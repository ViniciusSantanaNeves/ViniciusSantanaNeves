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endas" sheetId="2" state="visible" r:id="rId2"/>
    <sheet name="Bairros" sheetId="3" state="visible" r:id="rId3"/>
    <sheet name="Listas" sheetId="4" state="visible" r:id="rId4"/>
    <sheet name="Resumo" sheetId="5" state="visible" r:id="rId5"/>
    <sheet name="Padrão" sheetId="6" state="visible" r:id="rId6"/>
    <sheet name="Fontes" sheetId="7" state="visible" r:id="rId7"/>
    <sheet name="Regras" sheetId="8" state="visible" r:id="rId8"/>
    <sheet name="Referências" sheetId="9" state="visible" r:id="rId9"/>
    <sheet name="Galeria" sheetId="10" state="visible" r:id="rId10"/>
  </sheets>
  <definedNames>
    <definedName name="BAIRROS_SAO_SEBASTIAO">Bairros!$A$6:$A$41</definedName>
    <definedName name="BAIRROS_BERTIOGA">Bairros!$E$6:$E$24</definedName>
    <definedName name="LISTA_CIDADES">Listas!$A$2:$A$3</definedName>
    <definedName name="LISTA_TIPOS">Listas!$B$2:$B$8</definedName>
    <definedName name="LISTA_PADROES">Listas!$C$2:$C$5</definedName>
    <definedName name="LISTA_ORIGEM_PADRAO">Listas!$D$2:$D$5</definedName>
    <definedName name="LISTA_NATUREZAS">Listas!$E$2:$E$2</definedName>
    <definedName name="LISTA_FONTES">Listas!$F$2:$F$3</definedName>
    <definedName name="LISTA_ORIGEM_FOTO">Listas!$G$2:$G$5</definedName>
    <definedName name="LISTA_STATUS">Listas!$H$2:$H$4</definedName>
    <definedName name="_xlnm._FilterDatabase" localSheetId="1" hidden="1">'Vendas'!$A$1:$AD$3001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sz val="9"/>
    </font>
    <font>
      <name val="Arial"/>
      <i val="1"/>
      <color rgb="007F7F7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4" fontId="0" fillId="0" borderId="0" pivotButton="0" quotePrefix="0" xfId="0"/>
    <xf numFmtId="164" fontId="0" fillId="0" borderId="0" pivotButton="0" quotePrefix="0" xfId="0"/>
    <xf numFmtId="164" fontId="2" fillId="3" borderId="0" pivotButton="0" quotePrefix="0" xfId="0"/>
    <xf numFmtId="0" fontId="2" fillId="3" borderId="0" pivotButton="0" quotePrefix="0" xfId="0"/>
    <xf numFmtId="165" fontId="0" fillId="0" borderId="0" pivotButton="0" quotePrefix="0" xfId="0"/>
    <xf numFmtId="0" fontId="3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6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4" fontId="1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4">
    <dxf>
      <font>
        <name val="Arial"/>
        <color rgb="009C0006"/>
      </font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Base de vendas</author>
  </authors>
  <commentList>
    <comment ref="A1" authorId="0" shapeId="0">
      <text>
        <t>Identificador único. O importador gera automaticamente (ex.: LAI-SS-000001). Para entrada manual use CRI-&lt;cidade&gt;-&lt;nº matrícula&gt;-&lt;ato&gt;.</t>
      </text>
    </comment>
    <comment ref="B1" authorId="0" shapeId="0">
      <text>
        <t>Escolha na lista.</t>
      </text>
    </comment>
    <comment ref="C1" authorId="0" shapeId="0">
      <text>
        <t>Lista oficial da cidade escolhida (aba Bairros).</t>
      </text>
    </comment>
    <comment ref="D1" authorId="0" shapeId="0">
      <text>
        <t>Como consta no documento.</t>
      </text>
    </comment>
    <comment ref="E1" authorId="0" shapeId="0">
      <text>
        <t>Unidade, bloco, condomínio, lote/quadra.</t>
      </text>
    </comment>
    <comment ref="F1" authorId="0" shapeId="0">
      <text>
        <t>Inscrição do IPTU, se constar.</t>
      </text>
    </comment>
    <comment ref="G1" authorId="0" shapeId="0">
      <text>
        <t>Escolha na lista.</t>
      </text>
    </comment>
    <comment ref="H1" authorId="0" shapeId="0">
      <text>
        <t>Somente número. Vazio se o documento não informar.</t>
      </text>
    </comment>
    <comment ref="I1" authorId="0" shapeId="0">
      <text>
        <t>Somente número. Vazio se o documento não informar.</t>
      </text>
    </comment>
    <comment ref="J1" authorId="0" shapeId="0">
      <text>
        <t>Baixo / Normal / Alto, ou 'Não informado'. Critérios na aba Padrão.</t>
      </text>
    </comment>
    <comment ref="K1" authorId="0" shapeId="0">
      <text>
        <t>De onde saiu a classificação do padrão.</t>
      </text>
    </comment>
    <comment ref="L1" authorId="0" shapeId="0">
      <text>
        <t>Texto literal do documento (ex.: classe do cadastro do IPTU).</t>
      </text>
    </comment>
    <comment ref="M1" authorId="0" shapeId="0">
      <text>
        <t>Valor declarado na escritura/registro (ato R de compra e venda) ou 'valor da transação' informado no ITBI. NUNCA o valor anunciado.</t>
      </text>
    </comment>
    <comment ref="N1" authorId="0" shapeId="0">
      <text>
        <t>Base de cálculo usada pela prefeitura, se informada.</t>
      </text>
    </comment>
    <comment ref="O1" authorId="0" shapeId="0">
      <text>
        <t>Valor venal do IPTU no ano da transação, se informado.</t>
      </text>
    </comment>
    <comment ref="P1" authorId="0" shapeId="0">
      <text>
        <t>Fórmula: valor de venda ÷ área construída/privativa (ou ÷ área do terreno, quando o tipo for Terreno). Não editar.</t>
      </text>
    </comment>
    <comment ref="Q1" authorId="0" shapeId="0">
      <text>
        <t>Fórmula. Sinaliza valor de venda menor ou igual ao venal do IPTU (indício de subdeclaração). Não altera o valor.</t>
      </text>
    </comment>
    <comment ref="R1" authorId="0" shapeId="0">
      <text>
        <t>Data (dd/mm/aaaa).</t>
      </text>
    </comment>
    <comment ref="S1" authorId="0" shapeId="0">
      <text>
        <t>Data em que o ato foi registrado no CRI.</t>
      </text>
    </comment>
    <comment ref="T1" authorId="0" shapeId="0">
      <text>
        <t>Somente compra e venda onerosa entra na base.</t>
      </text>
    </comment>
    <comment ref="U1" authorId="0" shapeId="0">
      <text>
        <t>LAI ou certidão de matrícula.</t>
      </text>
    </comment>
    <comment ref="V1" authorId="0" shapeId="0">
      <text>
        <t>Matrícula nº + ato (ex.: M. 12.345 R-7) ou protocolo LAI + linha do arquivo.</t>
      </text>
    </comment>
    <comment ref="W1" authorId="0" shapeId="0">
      <text>
        <t>Cartório ou prefeitura que emitiu o documento.</t>
      </text>
    </comment>
    <comment ref="X1" authorId="0" shapeId="0">
      <text>
        <t>Cole no formato -23.761234,-45.409876 (clique direito no Google Maps copia neste formato).</t>
      </text>
    </comment>
    <comment ref="Y1" authorId="0" shapeId="0">
      <text>
        <t>Preenchido pelo script vincular_fotos.py a partir da pasta fotos/.</t>
      </text>
    </comment>
    <comment ref="Z1" authorId="0" shapeId="0">
      <text>
        <t>Escolha na lista.</t>
      </text>
    </comment>
    <comment ref="AA1" authorId="0" shapeId="0">
      <text>
        <t>Lida do EXIF da foto quando existir.</t>
      </text>
    </comment>
    <comment ref="AB1" authorId="0" shapeId="0">
      <text>
        <t>Fórmula: link do Street View a partir das coordenadas.</t>
      </text>
    </comment>
    <comment ref="AC1" authorId="0" shapeId="0">
      <text>
        <t>Validado = documento conferido. Só linhas validadas entram no Resumo.</t>
      </text>
    </comment>
    <comment ref="AD1" authorId="0" shapeId="0">
      <text>
        <t>Livre.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bertioga.sp.gov.br/wp/wp-content/uploads/2015/06/Lei-Complementar-99.2013.pdf" TargetMode="External" Id="rId1" /><Relationship Type="http://schemas.openxmlformats.org/officeDocument/2006/relationships/hyperlink" Target="https://geoftp.ibge.gov.br/organizacao_do_territorio/malhas_territoriais/malhas_de_setores_censitarios__divisoes_intramunicipais/censo_2022/bairros/shp/UF/SP_bairros_CD2022.zip" TargetMode="External" Id="rId2" /><Relationship Type="http://schemas.openxmlformats.org/officeDocument/2006/relationships/hyperlink" Target="https://www.risaosebastiao.com.br" TargetMode="External" Id="rId3" /><Relationship Type="http://schemas.openxmlformats.org/officeDocument/2006/relationships/hyperlink" Target="https://registrobertioga.com.br/" TargetMode="External" Id="rId4" /><Relationship Type="http://schemas.openxmlformats.org/officeDocument/2006/relationships/hyperlink" Target="https://www.al.sp.gov.br/repositorio/legislacao/lei/2024/lei-18075-27.12.2024.html" TargetMode="External" Id="rId5" /><Relationship Type="http://schemas.openxmlformats.org/officeDocument/2006/relationships/hyperlink" Target="https://www.1risantos.com.br/" TargetMode="External" Id="rId6" /><Relationship Type="http://schemas.openxmlformats.org/officeDocument/2006/relationships/hyperlink" Target="https://ridigital.org.br/" TargetMode="External" Id="rId7" /><Relationship Type="http://schemas.openxmlformats.org/officeDocument/2006/relationships/hyperlink" Target="http://www.saosebastiao.sp.gov.br/esic/" TargetMode="External" Id="rId8" /><Relationship Type="http://schemas.openxmlformats.org/officeDocument/2006/relationships/hyperlink" Target="https://transparencia-bertioga.smarapd.com.br/#/esic" TargetMode="External" Id="rId9" /><Relationship Type="http://schemas.openxmlformats.org/officeDocument/2006/relationships/hyperlink" Target="https://sistemas-smarapd.bertioga.sp.gov.br/falacidadao/#!/demanda" TargetMode="External" Id="rId10" /><Relationship Type="http://schemas.openxmlformats.org/officeDocument/2006/relationships/hyperlink" Target="https://sapl.bertioga.sp.leg.br/media/sapl/public/normajuridica/2015/3823/3823_texto_integral.pdf" TargetMode="External" Id="rId11" /><Relationship Type="http://schemas.openxmlformats.org/officeDocument/2006/relationships/hyperlink" Target="https://www.prefeitura.sp.gov.br/cidade/secretarias/fazenda/noticias/index.php?p=31551" TargetMode="External" Id="rId12" /><Relationship Type="http://schemas.openxmlformats.org/officeDocument/2006/relationships/hyperlink" Target="https://www.planalto.gov.br/ccivil_03/_ato2011-2014/2011/lei/l12527.ht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Base de imóveis vendidos — São Sebastião e Bertioga</t>
        </is>
      </c>
    </row>
    <row r="3">
      <c r="A3" s="2" t="inlineStr">
        <is>
          <t>Tópico</t>
        </is>
      </c>
      <c r="B3" s="2" t="inlineStr">
        <is>
          <t>Descrição</t>
        </is>
      </c>
    </row>
    <row r="4">
      <c r="A4" s="3" t="inlineStr">
        <is>
          <t>O que é</t>
        </is>
      </c>
      <c r="B4" s="4" t="inlineStr">
        <is>
          <t>Base de vendas efetivas de imóveis com o valor REAL de venda (escritura/registro ou ITBI), nunca o valor anunciado. Cada linha precisa de um documento comprobatório.</t>
        </is>
      </c>
    </row>
    <row r="5">
      <c r="A5" s="3" t="inlineStr">
        <is>
          <t>Por que começa vazia</t>
        </is>
      </c>
      <c r="B5" s="4" t="inlineStr">
        <is>
          <t>Não existem dados públicos de vendas para estas cidades. Os dados entram à medida que chegam as respostas dos pedidos LAI e as certidões de matrícula.</t>
        </is>
      </c>
    </row>
    <row r="6">
      <c r="A6" s="3" t="inlineStr">
        <is>
          <t>Onde digitar</t>
        </is>
      </c>
      <c r="B6" s="4" t="inlineStr">
        <is>
          <t>Aba Vendas. Células comuns = entrada. Células cinza = fórmulas (não editar): R$/m², Alerta e Street View. Passe o mouse no cabeçalho para ver a explicação de cada coluna.</t>
        </is>
      </c>
    </row>
    <row r="7">
      <c r="A7" s="3" t="inlineStr">
        <is>
          <t>Importar LAI</t>
        </is>
      </c>
      <c r="B7" s="4" t="inlineStr">
        <is>
          <t>python scripts/importar_lai.py &lt;arquivo_da_prefeitura&gt; &lt;mapa_colunas.json&gt;</t>
        </is>
      </c>
    </row>
    <row r="8">
      <c r="A8" s="3" t="inlineStr">
        <is>
          <t>Fotos</t>
        </is>
      </c>
      <c r="B8" s="4" t="inlineStr">
        <is>
          <t>Salve as fotos em fotos/ com o nome do ID (ex.: fotos/CRI-SS-12345-R7.jpg; várias: ..._2.jpg) e rode python scripts/vincular_fotos.py. A coluna 'Foto da fachada' recebe o link e a aba Galeria mostra as miniaturas.</t>
        </is>
      </c>
    </row>
    <row r="9">
      <c r="A9" s="3" t="inlineStr">
        <is>
          <t>Resumo</t>
        </is>
      </c>
      <c r="B9" s="4" t="inlineStr">
        <is>
          <t>Aba Resumo: por cidade/bairro e por padrão, só com linhas Validado.</t>
        </is>
      </c>
    </row>
    <row r="10">
      <c r="A10" s="3" t="inlineStr">
        <is>
          <t>Regras</t>
        </is>
      </c>
      <c r="B10" s="4" t="inlineStr">
        <is>
          <t>Aba Regras. Critério de padrão na aba Padrão. Documentos recebidos na aba Fontes.</t>
        </is>
      </c>
    </row>
    <row r="12">
      <c r="A12" s="3" t="inlineStr">
        <is>
          <t>Exemplo de preenchimento (FICTÍCIO — só mostra o formato; não é dado real e não está na aba Vendas)</t>
        </is>
      </c>
    </row>
    <row r="13">
      <c r="A13" s="3" t="inlineStr">
        <is>
          <t>ID</t>
        </is>
      </c>
      <c r="B13" s="5" t="inlineStr">
        <is>
          <t>CRI-SS-00000-R0</t>
        </is>
      </c>
    </row>
    <row r="14">
      <c r="A14" s="3" t="inlineStr">
        <is>
          <t>Cidade</t>
        </is>
      </c>
      <c r="B14" s="5" t="inlineStr">
        <is>
          <t>São Sebastião</t>
        </is>
      </c>
    </row>
    <row r="15">
      <c r="A15" s="3" t="inlineStr">
        <is>
          <t>Bairro</t>
        </is>
      </c>
      <c r="B15" s="5" t="inlineStr">
        <is>
          <t>Maresias</t>
        </is>
      </c>
    </row>
    <row r="16">
      <c r="A16" s="3" t="inlineStr">
        <is>
          <t>Logradouro e nº</t>
        </is>
      </c>
      <c r="B16" s="5" t="inlineStr">
        <is>
          <t>Rua Exemplo, 000</t>
        </is>
      </c>
    </row>
    <row r="17">
      <c r="A17" s="3" t="inlineStr">
        <is>
          <t>Condomínio / Complemento</t>
        </is>
      </c>
      <c r="B17" s="5" t="inlineStr">
        <is>
          <t>Cond. Exemplo, casa 0</t>
        </is>
      </c>
    </row>
    <row r="18">
      <c r="A18" s="3" t="inlineStr">
        <is>
          <t>Inscrição imobiliária</t>
        </is>
      </c>
      <c r="B18" s="5" t="inlineStr">
        <is>
          <t>0000.000.000</t>
        </is>
      </c>
    </row>
    <row r="19">
      <c r="A19" s="3" t="inlineStr">
        <is>
          <t>Tipo</t>
        </is>
      </c>
      <c r="B19" s="5" t="inlineStr">
        <is>
          <t>Casa em condomínio</t>
        </is>
      </c>
    </row>
    <row r="20">
      <c r="A20" s="3" t="inlineStr">
        <is>
          <t>Área construída/privativa (m²)</t>
        </is>
      </c>
      <c r="B20" s="5" t="inlineStr">
        <is>
          <t>000,00</t>
        </is>
      </c>
    </row>
    <row r="21">
      <c r="A21" s="3" t="inlineStr">
        <is>
          <t>Área do terreno (m²)</t>
        </is>
      </c>
      <c r="B21" s="5" t="inlineStr">
        <is>
          <t>000,00</t>
        </is>
      </c>
    </row>
    <row r="22">
      <c r="A22" s="3" t="inlineStr">
        <is>
          <t>Padrão</t>
        </is>
      </c>
      <c r="B22" s="5" t="inlineStr">
        <is>
          <t>Alto</t>
        </is>
      </c>
    </row>
    <row r="23">
      <c r="A23" s="3" t="inlineStr">
        <is>
          <t>Origem do padrão</t>
        </is>
      </c>
      <c r="B23" s="5" t="inlineStr">
        <is>
          <t>Certidão/memorial/habite-se</t>
        </is>
      </c>
    </row>
    <row r="24">
      <c r="A24" s="3" t="inlineStr">
        <is>
          <t>Padrão (texto do documento)</t>
        </is>
      </c>
      <c r="B24" s="5" t="inlineStr">
        <is>
          <t>texto literal</t>
        </is>
      </c>
    </row>
    <row r="25">
      <c r="A25" s="3" t="inlineStr">
        <is>
          <t>Valor de venda (R$)</t>
        </is>
      </c>
      <c r="B25" s="5" t="inlineStr">
        <is>
          <t>0.000.000,00</t>
        </is>
      </c>
    </row>
    <row r="26">
      <c r="A26" s="3" t="inlineStr">
        <is>
          <t>Base de cálculo ITBI (R$)</t>
        </is>
      </c>
      <c r="B26" s="5" t="inlineStr">
        <is>
          <t>0.000.000,00</t>
        </is>
      </c>
    </row>
    <row r="27">
      <c r="A27" s="3" t="inlineStr">
        <is>
          <t>Valor venal IPTU (R$)</t>
        </is>
      </c>
      <c r="B27" s="5" t="inlineStr">
        <is>
          <t>000.000,00</t>
        </is>
      </c>
    </row>
    <row r="28">
      <c r="A28" s="3" t="inlineStr">
        <is>
          <t>R$/m² (calculado)</t>
        </is>
      </c>
      <c r="B28" s="5" t="inlineStr">
        <is>
          <t>(automático)</t>
        </is>
      </c>
    </row>
    <row r="29">
      <c r="A29" s="3" t="inlineStr">
        <is>
          <t>Alerta</t>
        </is>
      </c>
      <c r="B29" s="5" t="inlineStr">
        <is>
          <t>(automático)</t>
        </is>
      </c>
    </row>
    <row r="30">
      <c r="A30" s="3" t="inlineStr">
        <is>
          <t>Data da escritura / transação</t>
        </is>
      </c>
      <c r="B30" s="5" t="inlineStr">
        <is>
          <t>dd/mm/aaaa</t>
        </is>
      </c>
    </row>
    <row r="31">
      <c r="A31" s="3" t="inlineStr">
        <is>
          <t>Data do registro</t>
        </is>
      </c>
      <c r="B31" s="5" t="inlineStr">
        <is>
          <t>dd/mm/aaaa</t>
        </is>
      </c>
    </row>
    <row r="32">
      <c r="A32" s="3" t="inlineStr">
        <is>
          <t>Natureza</t>
        </is>
      </c>
      <c r="B32" s="5" t="inlineStr">
        <is>
          <t>Compra e venda</t>
        </is>
      </c>
    </row>
    <row r="33">
      <c r="A33" s="3" t="inlineStr">
        <is>
          <t>Fonte</t>
        </is>
      </c>
      <c r="B33" s="5" t="inlineStr">
        <is>
          <t>Certidão de matrícula (CRI)</t>
        </is>
      </c>
    </row>
    <row r="34">
      <c r="A34" s="3" t="inlineStr">
        <is>
          <t>Documento comprobatório</t>
        </is>
      </c>
      <c r="B34" s="5" t="inlineStr">
        <is>
          <t>Matrícula 00.000 — R-0</t>
        </is>
      </c>
    </row>
    <row r="35">
      <c r="A35" s="3" t="inlineStr">
        <is>
          <t>CRI / Órgão</t>
        </is>
      </c>
      <c r="B35" s="5" t="inlineStr">
        <is>
          <t>RI São Sebastião</t>
        </is>
      </c>
    </row>
    <row r="36">
      <c r="A36" s="3" t="inlineStr">
        <is>
          <t>Coordenadas (lat,long)</t>
        </is>
      </c>
      <c r="B36" s="5" t="inlineStr">
        <is>
          <t>-23.000000,-45.000000</t>
        </is>
      </c>
    </row>
    <row r="37">
      <c r="A37" s="3" t="inlineStr">
        <is>
          <t>Foto da fachada</t>
        </is>
      </c>
      <c r="B37" s="5" t="inlineStr">
        <is>
          <t>(automático)</t>
        </is>
      </c>
    </row>
    <row r="38">
      <c r="A38" s="3" t="inlineStr">
        <is>
          <t>Origem da foto</t>
        </is>
      </c>
      <c r="B38" s="5" t="inlineStr">
        <is>
          <t>Foto própria no local</t>
        </is>
      </c>
    </row>
    <row r="39">
      <c r="A39" s="3" t="inlineStr">
        <is>
          <t>Data da foto</t>
        </is>
      </c>
      <c r="B39" s="5" t="inlineStr">
        <is>
          <t>dd/mm/aaaa</t>
        </is>
      </c>
    </row>
    <row r="40">
      <c r="A40" s="3" t="inlineStr">
        <is>
          <t>Street View</t>
        </is>
      </c>
      <c r="B40" s="5" t="inlineStr">
        <is>
          <t>(automático)</t>
        </is>
      </c>
    </row>
    <row r="41">
      <c r="A41" s="3" t="inlineStr">
        <is>
          <t>Status</t>
        </is>
      </c>
      <c r="B41" s="5" t="inlineStr">
        <is>
          <t>Validado</t>
        </is>
      </c>
    </row>
    <row r="42">
      <c r="A42" s="3" t="inlineStr">
        <is>
          <t>Observações</t>
        </is>
      </c>
      <c r="B4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6" customWidth="1" min="3" max="3"/>
    <col width="32" customWidth="1" min="4" max="4"/>
    <col width="24" customWidth="1" min="5" max="5"/>
    <col width="18" customWidth="1" min="6" max="6"/>
    <col width="18" customWidth="1" min="7" max="7"/>
    <col width="15" customWidth="1" min="8" max="8"/>
    <col width="14" customWidth="1" min="9" max="9"/>
    <col width="13" customWidth="1" min="10" max="10"/>
    <col width="24" customWidth="1" min="11" max="11"/>
    <col width="22" customWidth="1" min="12" max="12"/>
    <col width="16" customWidth="1" min="13" max="13"/>
    <col width="16" customWidth="1" min="14" max="14"/>
    <col width="16" customWidth="1" min="15" max="15"/>
    <col width="13" customWidth="1" min="16" max="16"/>
    <col width="22" customWidth="1" min="17" max="17"/>
    <col width="14" customWidth="1" min="18" max="18"/>
    <col width="14" customWidth="1" min="19" max="19"/>
    <col width="16" customWidth="1" min="20" max="20"/>
    <col width="24" customWidth="1" min="21" max="21"/>
    <col width="30" customWidth="1" min="22" max="22"/>
    <col width="26" customWidth="1" min="23" max="23"/>
    <col width="22" customWidth="1" min="24" max="24"/>
    <col width="22" customWidth="1" min="25" max="25"/>
    <col width="22" customWidth="1" min="26" max="26"/>
    <col width="12" customWidth="1" min="27" max="27"/>
    <col width="16" customWidth="1" min="28" max="28"/>
    <col width="20" customWidth="1" min="29" max="29"/>
    <col width="36" customWidth="1" min="30" max="30"/>
  </cols>
  <sheetData>
    <row r="1" ht="45" customHeight="1">
      <c r="A1" s="2" t="inlineStr">
        <is>
          <t>ID</t>
        </is>
      </c>
      <c r="B1" s="2" t="inlineStr">
        <is>
          <t>Cidade</t>
        </is>
      </c>
      <c r="C1" s="2" t="inlineStr">
        <is>
          <t>Bairro</t>
        </is>
      </c>
      <c r="D1" s="2" t="inlineStr">
        <is>
          <t>Logradouro e nº</t>
        </is>
      </c>
      <c r="E1" s="2" t="inlineStr">
        <is>
          <t>Condomínio / Complemento</t>
        </is>
      </c>
      <c r="F1" s="2" t="inlineStr">
        <is>
          <t>Inscrição imobiliária</t>
        </is>
      </c>
      <c r="G1" s="2" t="inlineStr">
        <is>
          <t>Tipo</t>
        </is>
      </c>
      <c r="H1" s="2" t="inlineStr">
        <is>
          <t>Área construída/privativa (m²)</t>
        </is>
      </c>
      <c r="I1" s="2" t="inlineStr">
        <is>
          <t>Área do terreno (m²)</t>
        </is>
      </c>
      <c r="J1" s="2" t="inlineStr">
        <is>
          <t>Padrão</t>
        </is>
      </c>
      <c r="K1" s="2" t="inlineStr">
        <is>
          <t>Origem do padrão</t>
        </is>
      </c>
      <c r="L1" s="2" t="inlineStr">
        <is>
          <t>Padrão (texto do documento)</t>
        </is>
      </c>
      <c r="M1" s="2" t="inlineStr">
        <is>
          <t>Valor de venda (R$)</t>
        </is>
      </c>
      <c r="N1" s="2" t="inlineStr">
        <is>
          <t>Base de cálculo ITBI (R$)</t>
        </is>
      </c>
      <c r="O1" s="2" t="inlineStr">
        <is>
          <t>Valor venal IPTU (R$)</t>
        </is>
      </c>
      <c r="P1" s="2" t="inlineStr">
        <is>
          <t>R$/m² (calculado)</t>
        </is>
      </c>
      <c r="Q1" s="2" t="inlineStr">
        <is>
          <t>Alerta</t>
        </is>
      </c>
      <c r="R1" s="2" t="inlineStr">
        <is>
          <t>Data da escritura / transação</t>
        </is>
      </c>
      <c r="S1" s="2" t="inlineStr">
        <is>
          <t>Data do registro</t>
        </is>
      </c>
      <c r="T1" s="2" t="inlineStr">
        <is>
          <t>Natureza</t>
        </is>
      </c>
      <c r="U1" s="2" t="inlineStr">
        <is>
          <t>Fonte</t>
        </is>
      </c>
      <c r="V1" s="2" t="inlineStr">
        <is>
          <t>Documento comprobatório</t>
        </is>
      </c>
      <c r="W1" s="2" t="inlineStr">
        <is>
          <t>CRI / Órgão</t>
        </is>
      </c>
      <c r="X1" s="2" t="inlineStr">
        <is>
          <t>Coordenadas (lat,long)</t>
        </is>
      </c>
      <c r="Y1" s="2" t="inlineStr">
        <is>
          <t>Foto da fachada</t>
        </is>
      </c>
      <c r="Z1" s="2" t="inlineStr">
        <is>
          <t>Origem da foto</t>
        </is>
      </c>
      <c r="AA1" s="2" t="inlineStr">
        <is>
          <t>Data da foto</t>
        </is>
      </c>
      <c r="AB1" s="2" t="inlineStr">
        <is>
          <t>Street View</t>
        </is>
      </c>
      <c r="AC1" s="2" t="inlineStr">
        <is>
          <t>Status</t>
        </is>
      </c>
      <c r="AD1" s="2" t="inlineStr">
        <is>
          <t>Observações</t>
        </is>
      </c>
    </row>
    <row r="2">
      <c r="H2" s="6" t="n"/>
      <c r="I2" s="6" t="n"/>
      <c r="M2" s="7" t="n"/>
      <c r="N2" s="7" t="n"/>
      <c r="O2" s="7" t="n"/>
      <c r="P2" s="8">
        <f>IF(NOT(ISNUMBER(M2)),"",IF(G2="Terreno",IF(AND(ISNUMBER(I2),I2&gt;0),M2/I2,""),IF(AND(ISNUMBER(H2),H2&gt;0),M2/H2,"")))</f>
        <v/>
      </c>
      <c r="Q2" s="9">
        <f>IF(AND(ISNUMBER(M2),ISNUMBER(O2)),IF(M2&lt;=O2,"Valor ≤ venal IPTU",""),"")</f>
        <v/>
      </c>
      <c r="R2" s="10" t="n"/>
      <c r="S2" s="10" t="n"/>
      <c r="AA2" s="10" t="n"/>
      <c r="AB2" s="11">
        <f>IF(LEN(TRIM(X2))=0,"",HYPERLINK("https://www.google.com/maps/@?api=1&amp;map_action=pano&amp;viewpoint="&amp;SUBSTITUTE(X2," ",""),"Abrir Street View"))</f>
        <v/>
      </c>
    </row>
    <row r="3">
      <c r="H3" s="6" t="n"/>
      <c r="I3" s="6" t="n"/>
      <c r="M3" s="7" t="n"/>
      <c r="N3" s="7" t="n"/>
      <c r="O3" s="7" t="n"/>
      <c r="P3" s="8">
        <f>IF(NOT(ISNUMBER(M3)),"",IF(G3="Terreno",IF(AND(ISNUMBER(I3),I3&gt;0),M3/I3,""),IF(AND(ISNUMBER(H3),H3&gt;0),M3/H3,"")))</f>
        <v/>
      </c>
      <c r="Q3" s="9">
        <f>IF(AND(ISNUMBER(M3),ISNUMBER(O3)),IF(M3&lt;=O3,"Valor ≤ venal IPTU",""),"")</f>
        <v/>
      </c>
      <c r="R3" s="10" t="n"/>
      <c r="S3" s="10" t="n"/>
      <c r="AA3" s="10" t="n"/>
      <c r="AB3" s="11">
        <f>IF(LEN(TRIM(X3))=0,"",HYPERLINK("https://www.google.com/maps/@?api=1&amp;map_action=pano&amp;viewpoint="&amp;SUBSTITUTE(X3," ",""),"Abrir Street View"))</f>
        <v/>
      </c>
    </row>
    <row r="4">
      <c r="H4" s="6" t="n"/>
      <c r="I4" s="6" t="n"/>
      <c r="M4" s="7" t="n"/>
      <c r="N4" s="7" t="n"/>
      <c r="O4" s="7" t="n"/>
      <c r="P4" s="8">
        <f>IF(NOT(ISNUMBER(M4)),"",IF(G4="Terreno",IF(AND(ISNUMBER(I4),I4&gt;0),M4/I4,""),IF(AND(ISNUMBER(H4),H4&gt;0),M4/H4,"")))</f>
        <v/>
      </c>
      <c r="Q4" s="9">
        <f>IF(AND(ISNUMBER(M4),ISNUMBER(O4)),IF(M4&lt;=O4,"Valor ≤ venal IPTU",""),"")</f>
        <v/>
      </c>
      <c r="R4" s="10" t="n"/>
      <c r="S4" s="10" t="n"/>
      <c r="AA4" s="10" t="n"/>
      <c r="AB4" s="11">
        <f>IF(LEN(TRIM(X4))=0,"",HYPERLINK("https://www.google.com/maps/@?api=1&amp;map_action=pano&amp;viewpoint="&amp;SUBSTITUTE(X4," ",""),"Abrir Street View"))</f>
        <v/>
      </c>
    </row>
    <row r="5">
      <c r="H5" s="6" t="n"/>
      <c r="I5" s="6" t="n"/>
      <c r="M5" s="7" t="n"/>
      <c r="N5" s="7" t="n"/>
      <c r="O5" s="7" t="n"/>
      <c r="P5" s="8">
        <f>IF(NOT(ISNUMBER(M5)),"",IF(G5="Terreno",IF(AND(ISNUMBER(I5),I5&gt;0),M5/I5,""),IF(AND(ISNUMBER(H5),H5&gt;0),M5/H5,"")))</f>
        <v/>
      </c>
      <c r="Q5" s="9">
        <f>IF(AND(ISNUMBER(M5),ISNUMBER(O5)),IF(M5&lt;=O5,"Valor ≤ venal IPTU",""),"")</f>
        <v/>
      </c>
      <c r="R5" s="10" t="n"/>
      <c r="S5" s="10" t="n"/>
      <c r="AA5" s="10" t="n"/>
      <c r="AB5" s="11">
        <f>IF(LEN(TRIM(X5))=0,"",HYPERLINK("https://www.google.com/maps/@?api=1&amp;map_action=pano&amp;viewpoint="&amp;SUBSTITUTE(X5," ",""),"Abrir Street View"))</f>
        <v/>
      </c>
    </row>
    <row r="6">
      <c r="H6" s="6" t="n"/>
      <c r="I6" s="6" t="n"/>
      <c r="M6" s="7" t="n"/>
      <c r="N6" s="7" t="n"/>
      <c r="O6" s="7" t="n"/>
      <c r="P6" s="8">
        <f>IF(NOT(ISNUMBER(M6)),"",IF(G6="Terreno",IF(AND(ISNUMBER(I6),I6&gt;0),M6/I6,""),IF(AND(ISNUMBER(H6),H6&gt;0),M6/H6,"")))</f>
        <v/>
      </c>
      <c r="Q6" s="9">
        <f>IF(AND(ISNUMBER(M6),ISNUMBER(O6)),IF(M6&lt;=O6,"Valor ≤ venal IPTU",""),"")</f>
        <v/>
      </c>
      <c r="R6" s="10" t="n"/>
      <c r="S6" s="10" t="n"/>
      <c r="AA6" s="10" t="n"/>
      <c r="AB6" s="11">
        <f>IF(LEN(TRIM(X6))=0,"",HYPERLINK("https://www.google.com/maps/@?api=1&amp;map_action=pano&amp;viewpoint="&amp;SUBSTITUTE(X6," ",""),"Abrir Street View"))</f>
        <v/>
      </c>
    </row>
    <row r="7">
      <c r="H7" s="6" t="n"/>
      <c r="I7" s="6" t="n"/>
      <c r="M7" s="7" t="n"/>
      <c r="N7" s="7" t="n"/>
      <c r="O7" s="7" t="n"/>
      <c r="P7" s="8">
        <f>IF(NOT(ISNUMBER(M7)),"",IF(G7="Terreno",IF(AND(ISNUMBER(I7),I7&gt;0),M7/I7,""),IF(AND(ISNUMBER(H7),H7&gt;0),M7/H7,"")))</f>
        <v/>
      </c>
      <c r="Q7" s="9">
        <f>IF(AND(ISNUMBER(M7),ISNUMBER(O7)),IF(M7&lt;=O7,"Valor ≤ venal IPTU",""),"")</f>
        <v/>
      </c>
      <c r="R7" s="10" t="n"/>
      <c r="S7" s="10" t="n"/>
      <c r="AA7" s="10" t="n"/>
      <c r="AB7" s="11">
        <f>IF(LEN(TRIM(X7))=0,"",HYPERLINK("https://www.google.com/maps/@?api=1&amp;map_action=pano&amp;viewpoint="&amp;SUBSTITUTE(X7," ",""),"Abrir Street View"))</f>
        <v/>
      </c>
    </row>
    <row r="8">
      <c r="H8" s="6" t="n"/>
      <c r="I8" s="6" t="n"/>
      <c r="M8" s="7" t="n"/>
      <c r="N8" s="7" t="n"/>
      <c r="O8" s="7" t="n"/>
      <c r="P8" s="8">
        <f>IF(NOT(ISNUMBER(M8)),"",IF(G8="Terreno",IF(AND(ISNUMBER(I8),I8&gt;0),M8/I8,""),IF(AND(ISNUMBER(H8),H8&gt;0),M8/H8,"")))</f>
        <v/>
      </c>
      <c r="Q8" s="9">
        <f>IF(AND(ISNUMBER(M8),ISNUMBER(O8)),IF(M8&lt;=O8,"Valor ≤ venal IPTU",""),"")</f>
        <v/>
      </c>
      <c r="R8" s="10" t="n"/>
      <c r="S8" s="10" t="n"/>
      <c r="AA8" s="10" t="n"/>
      <c r="AB8" s="11">
        <f>IF(LEN(TRIM(X8))=0,"",HYPERLINK("https://www.google.com/maps/@?api=1&amp;map_action=pano&amp;viewpoint="&amp;SUBSTITUTE(X8," ",""),"Abrir Street View"))</f>
        <v/>
      </c>
    </row>
    <row r="9">
      <c r="H9" s="6" t="n"/>
      <c r="I9" s="6" t="n"/>
      <c r="M9" s="7" t="n"/>
      <c r="N9" s="7" t="n"/>
      <c r="O9" s="7" t="n"/>
      <c r="P9" s="8">
        <f>IF(NOT(ISNUMBER(M9)),"",IF(G9="Terreno",IF(AND(ISNUMBER(I9),I9&gt;0),M9/I9,""),IF(AND(ISNUMBER(H9),H9&gt;0),M9/H9,"")))</f>
        <v/>
      </c>
      <c r="Q9" s="9">
        <f>IF(AND(ISNUMBER(M9),ISNUMBER(O9)),IF(M9&lt;=O9,"Valor ≤ venal IPTU",""),"")</f>
        <v/>
      </c>
      <c r="R9" s="10" t="n"/>
      <c r="S9" s="10" t="n"/>
      <c r="AA9" s="10" t="n"/>
      <c r="AB9" s="11">
        <f>IF(LEN(TRIM(X9))=0,"",HYPERLINK("https://www.google.com/maps/@?api=1&amp;map_action=pano&amp;viewpoint="&amp;SUBSTITUTE(X9," ",""),"Abrir Street View"))</f>
        <v/>
      </c>
    </row>
    <row r="10">
      <c r="H10" s="6" t="n"/>
      <c r="I10" s="6" t="n"/>
      <c r="M10" s="7" t="n"/>
      <c r="N10" s="7" t="n"/>
      <c r="O10" s="7" t="n"/>
      <c r="P10" s="8">
        <f>IF(NOT(ISNUMBER(M10)),"",IF(G10="Terreno",IF(AND(ISNUMBER(I10),I10&gt;0),M10/I10,""),IF(AND(ISNUMBER(H10),H10&gt;0),M10/H10,"")))</f>
        <v/>
      </c>
      <c r="Q10" s="9">
        <f>IF(AND(ISNUMBER(M10),ISNUMBER(O10)),IF(M10&lt;=O10,"Valor ≤ venal IPTU",""),"")</f>
        <v/>
      </c>
      <c r="R10" s="10" t="n"/>
      <c r="S10" s="10" t="n"/>
      <c r="AA10" s="10" t="n"/>
      <c r="AB10" s="11">
        <f>IF(LEN(TRIM(X10))=0,"",HYPERLINK("https://www.google.com/maps/@?api=1&amp;map_action=pano&amp;viewpoint="&amp;SUBSTITUTE(X10," ",""),"Abrir Street View"))</f>
        <v/>
      </c>
    </row>
    <row r="11">
      <c r="H11" s="6" t="n"/>
      <c r="I11" s="6" t="n"/>
      <c r="M11" s="7" t="n"/>
      <c r="N11" s="7" t="n"/>
      <c r="O11" s="7" t="n"/>
      <c r="P11" s="8">
        <f>IF(NOT(ISNUMBER(M11)),"",IF(G11="Terreno",IF(AND(ISNUMBER(I11),I11&gt;0),M11/I11,""),IF(AND(ISNUMBER(H11),H11&gt;0),M11/H11,"")))</f>
        <v/>
      </c>
      <c r="Q11" s="9">
        <f>IF(AND(ISNUMBER(M11),ISNUMBER(O11)),IF(M11&lt;=O11,"Valor ≤ venal IPTU",""),"")</f>
        <v/>
      </c>
      <c r="R11" s="10" t="n"/>
      <c r="S11" s="10" t="n"/>
      <c r="AA11" s="10" t="n"/>
      <c r="AB11" s="11">
        <f>IF(LEN(TRIM(X11))=0,"",HYPERLINK("https://www.google.com/maps/@?api=1&amp;map_action=pano&amp;viewpoint="&amp;SUBSTITUTE(X11," ",""),"Abrir Street View"))</f>
        <v/>
      </c>
    </row>
    <row r="12">
      <c r="H12" s="6" t="n"/>
      <c r="I12" s="6" t="n"/>
      <c r="M12" s="7" t="n"/>
      <c r="N12" s="7" t="n"/>
      <c r="O12" s="7" t="n"/>
      <c r="P12" s="8">
        <f>IF(NOT(ISNUMBER(M12)),"",IF(G12="Terreno",IF(AND(ISNUMBER(I12),I12&gt;0),M12/I12,""),IF(AND(ISNUMBER(H12),H12&gt;0),M12/H12,"")))</f>
        <v/>
      </c>
      <c r="Q12" s="9">
        <f>IF(AND(ISNUMBER(M12),ISNUMBER(O12)),IF(M12&lt;=O12,"Valor ≤ venal IPTU",""),"")</f>
        <v/>
      </c>
      <c r="R12" s="10" t="n"/>
      <c r="S12" s="10" t="n"/>
      <c r="AA12" s="10" t="n"/>
      <c r="AB12" s="11">
        <f>IF(LEN(TRIM(X12))=0,"",HYPERLINK("https://www.google.com/maps/@?api=1&amp;map_action=pano&amp;viewpoint="&amp;SUBSTITUTE(X12," ",""),"Abrir Street View"))</f>
        <v/>
      </c>
    </row>
    <row r="13">
      <c r="H13" s="6" t="n"/>
      <c r="I13" s="6" t="n"/>
      <c r="M13" s="7" t="n"/>
      <c r="N13" s="7" t="n"/>
      <c r="O13" s="7" t="n"/>
      <c r="P13" s="8">
        <f>IF(NOT(ISNUMBER(M13)),"",IF(G13="Terreno",IF(AND(ISNUMBER(I13),I13&gt;0),M13/I13,""),IF(AND(ISNUMBER(H13),H13&gt;0),M13/H13,"")))</f>
        <v/>
      </c>
      <c r="Q13" s="9">
        <f>IF(AND(ISNUMBER(M13),ISNUMBER(O13)),IF(M13&lt;=O13,"Valor ≤ venal IPTU",""),"")</f>
        <v/>
      </c>
      <c r="R13" s="10" t="n"/>
      <c r="S13" s="10" t="n"/>
      <c r="AA13" s="10" t="n"/>
      <c r="AB13" s="11">
        <f>IF(LEN(TRIM(X13))=0,"",HYPERLINK("https://www.google.com/maps/@?api=1&amp;map_action=pano&amp;viewpoint="&amp;SUBSTITUTE(X13," ",""),"Abrir Street View"))</f>
        <v/>
      </c>
    </row>
    <row r="14">
      <c r="H14" s="6" t="n"/>
      <c r="I14" s="6" t="n"/>
      <c r="M14" s="7" t="n"/>
      <c r="N14" s="7" t="n"/>
      <c r="O14" s="7" t="n"/>
      <c r="P14" s="8">
        <f>IF(NOT(ISNUMBER(M14)),"",IF(G14="Terreno",IF(AND(ISNUMBER(I14),I14&gt;0),M14/I14,""),IF(AND(ISNUMBER(H14),H14&gt;0),M14/H14,"")))</f>
        <v/>
      </c>
      <c r="Q14" s="9">
        <f>IF(AND(ISNUMBER(M14),ISNUMBER(O14)),IF(M14&lt;=O14,"Valor ≤ venal IPTU",""),"")</f>
        <v/>
      </c>
      <c r="R14" s="10" t="n"/>
      <c r="S14" s="10" t="n"/>
      <c r="AA14" s="10" t="n"/>
      <c r="AB14" s="11">
        <f>IF(LEN(TRIM(X14))=0,"",HYPERLINK("https://www.google.com/maps/@?api=1&amp;map_action=pano&amp;viewpoint="&amp;SUBSTITUTE(X14," ",""),"Abrir Street View"))</f>
        <v/>
      </c>
    </row>
    <row r="15">
      <c r="H15" s="6" t="n"/>
      <c r="I15" s="6" t="n"/>
      <c r="M15" s="7" t="n"/>
      <c r="N15" s="7" t="n"/>
      <c r="O15" s="7" t="n"/>
      <c r="P15" s="8">
        <f>IF(NOT(ISNUMBER(M15)),"",IF(G15="Terreno",IF(AND(ISNUMBER(I15),I15&gt;0),M15/I15,""),IF(AND(ISNUMBER(H15),H15&gt;0),M15/H15,"")))</f>
        <v/>
      </c>
      <c r="Q15" s="9">
        <f>IF(AND(ISNUMBER(M15),ISNUMBER(O15)),IF(M15&lt;=O15,"Valor ≤ venal IPTU",""),"")</f>
        <v/>
      </c>
      <c r="R15" s="10" t="n"/>
      <c r="S15" s="10" t="n"/>
      <c r="AA15" s="10" t="n"/>
      <c r="AB15" s="11">
        <f>IF(LEN(TRIM(X15))=0,"",HYPERLINK("https://www.google.com/maps/@?api=1&amp;map_action=pano&amp;viewpoint="&amp;SUBSTITUTE(X15," ",""),"Abrir Street View"))</f>
        <v/>
      </c>
    </row>
    <row r="16">
      <c r="H16" s="6" t="n"/>
      <c r="I16" s="6" t="n"/>
      <c r="M16" s="7" t="n"/>
      <c r="N16" s="7" t="n"/>
      <c r="O16" s="7" t="n"/>
      <c r="P16" s="8">
        <f>IF(NOT(ISNUMBER(M16)),"",IF(G16="Terreno",IF(AND(ISNUMBER(I16),I16&gt;0),M16/I16,""),IF(AND(ISNUMBER(H16),H16&gt;0),M16/H16,"")))</f>
        <v/>
      </c>
      <c r="Q16" s="9">
        <f>IF(AND(ISNUMBER(M16),ISNUMBER(O16)),IF(M16&lt;=O16,"Valor ≤ venal IPTU",""),"")</f>
        <v/>
      </c>
      <c r="R16" s="10" t="n"/>
      <c r="S16" s="10" t="n"/>
      <c r="AA16" s="10" t="n"/>
      <c r="AB16" s="11">
        <f>IF(LEN(TRIM(X16))=0,"",HYPERLINK("https://www.google.com/maps/@?api=1&amp;map_action=pano&amp;viewpoint="&amp;SUBSTITUTE(X16," ",""),"Abrir Street View"))</f>
        <v/>
      </c>
    </row>
    <row r="17">
      <c r="H17" s="6" t="n"/>
      <c r="I17" s="6" t="n"/>
      <c r="M17" s="7" t="n"/>
      <c r="N17" s="7" t="n"/>
      <c r="O17" s="7" t="n"/>
      <c r="P17" s="8">
        <f>IF(NOT(ISNUMBER(M17)),"",IF(G17="Terreno",IF(AND(ISNUMBER(I17),I17&gt;0),M17/I17,""),IF(AND(ISNUMBER(H17),H17&gt;0),M17/H17,"")))</f>
        <v/>
      </c>
      <c r="Q17" s="9">
        <f>IF(AND(ISNUMBER(M17),ISNUMBER(O17)),IF(M17&lt;=O17,"Valor ≤ venal IPTU",""),"")</f>
        <v/>
      </c>
      <c r="R17" s="10" t="n"/>
      <c r="S17" s="10" t="n"/>
      <c r="AA17" s="10" t="n"/>
      <c r="AB17" s="11">
        <f>IF(LEN(TRIM(X17))=0,"",HYPERLINK("https://www.google.com/maps/@?api=1&amp;map_action=pano&amp;viewpoint="&amp;SUBSTITUTE(X17," ",""),"Abrir Street View"))</f>
        <v/>
      </c>
    </row>
    <row r="18">
      <c r="H18" s="6" t="n"/>
      <c r="I18" s="6" t="n"/>
      <c r="M18" s="7" t="n"/>
      <c r="N18" s="7" t="n"/>
      <c r="O18" s="7" t="n"/>
      <c r="P18" s="8">
        <f>IF(NOT(ISNUMBER(M18)),"",IF(G18="Terreno",IF(AND(ISNUMBER(I18),I18&gt;0),M18/I18,""),IF(AND(ISNUMBER(H18),H18&gt;0),M18/H18,"")))</f>
        <v/>
      </c>
      <c r="Q18" s="9">
        <f>IF(AND(ISNUMBER(M18),ISNUMBER(O18)),IF(M18&lt;=O18,"Valor ≤ venal IPTU",""),"")</f>
        <v/>
      </c>
      <c r="R18" s="10" t="n"/>
      <c r="S18" s="10" t="n"/>
      <c r="AA18" s="10" t="n"/>
      <c r="AB18" s="11">
        <f>IF(LEN(TRIM(X18))=0,"",HYPERLINK("https://www.google.com/maps/@?api=1&amp;map_action=pano&amp;viewpoint="&amp;SUBSTITUTE(X18," ",""),"Abrir Street View"))</f>
        <v/>
      </c>
    </row>
    <row r="19">
      <c r="H19" s="6" t="n"/>
      <c r="I19" s="6" t="n"/>
      <c r="M19" s="7" t="n"/>
      <c r="N19" s="7" t="n"/>
      <c r="O19" s="7" t="n"/>
      <c r="P19" s="8">
        <f>IF(NOT(ISNUMBER(M19)),"",IF(G19="Terreno",IF(AND(ISNUMBER(I19),I19&gt;0),M19/I19,""),IF(AND(ISNUMBER(H19),H19&gt;0),M19/H19,"")))</f>
        <v/>
      </c>
      <c r="Q19" s="9">
        <f>IF(AND(ISNUMBER(M19),ISNUMBER(O19)),IF(M19&lt;=O19,"Valor ≤ venal IPTU",""),"")</f>
        <v/>
      </c>
      <c r="R19" s="10" t="n"/>
      <c r="S19" s="10" t="n"/>
      <c r="AA19" s="10" t="n"/>
      <c r="AB19" s="11">
        <f>IF(LEN(TRIM(X19))=0,"",HYPERLINK("https://www.google.com/maps/@?api=1&amp;map_action=pano&amp;viewpoint="&amp;SUBSTITUTE(X19," ",""),"Abrir Street View"))</f>
        <v/>
      </c>
    </row>
    <row r="20">
      <c r="H20" s="6" t="n"/>
      <c r="I20" s="6" t="n"/>
      <c r="M20" s="7" t="n"/>
      <c r="N20" s="7" t="n"/>
      <c r="O20" s="7" t="n"/>
      <c r="P20" s="8">
        <f>IF(NOT(ISNUMBER(M20)),"",IF(G20="Terreno",IF(AND(ISNUMBER(I20),I20&gt;0),M20/I20,""),IF(AND(ISNUMBER(H20),H20&gt;0),M20/H20,"")))</f>
        <v/>
      </c>
      <c r="Q20" s="9">
        <f>IF(AND(ISNUMBER(M20),ISNUMBER(O20)),IF(M20&lt;=O20,"Valor ≤ venal IPTU",""),"")</f>
        <v/>
      </c>
      <c r="R20" s="10" t="n"/>
      <c r="S20" s="10" t="n"/>
      <c r="AA20" s="10" t="n"/>
      <c r="AB20" s="11">
        <f>IF(LEN(TRIM(X20))=0,"",HYPERLINK("https://www.google.com/maps/@?api=1&amp;map_action=pano&amp;viewpoint="&amp;SUBSTITUTE(X20," ",""),"Abrir Street View"))</f>
        <v/>
      </c>
    </row>
    <row r="21">
      <c r="H21" s="6" t="n"/>
      <c r="I21" s="6" t="n"/>
      <c r="M21" s="7" t="n"/>
      <c r="N21" s="7" t="n"/>
      <c r="O21" s="7" t="n"/>
      <c r="P21" s="8">
        <f>IF(NOT(ISNUMBER(M21)),"",IF(G21="Terreno",IF(AND(ISNUMBER(I21),I21&gt;0),M21/I21,""),IF(AND(ISNUMBER(H21),H21&gt;0),M21/H21,"")))</f>
        <v/>
      </c>
      <c r="Q21" s="9">
        <f>IF(AND(ISNUMBER(M21),ISNUMBER(O21)),IF(M21&lt;=O21,"Valor ≤ venal IPTU",""),"")</f>
        <v/>
      </c>
      <c r="R21" s="10" t="n"/>
      <c r="S21" s="10" t="n"/>
      <c r="AA21" s="10" t="n"/>
      <c r="AB21" s="11">
        <f>IF(LEN(TRIM(X21))=0,"",HYPERLINK("https://www.google.com/maps/@?api=1&amp;map_action=pano&amp;viewpoint="&amp;SUBSTITUTE(X21," ",""),"Abrir Street View"))</f>
        <v/>
      </c>
    </row>
    <row r="22">
      <c r="H22" s="6" t="n"/>
      <c r="I22" s="6" t="n"/>
      <c r="M22" s="7" t="n"/>
      <c r="N22" s="7" t="n"/>
      <c r="O22" s="7" t="n"/>
      <c r="P22" s="8">
        <f>IF(NOT(ISNUMBER(M22)),"",IF(G22="Terreno",IF(AND(ISNUMBER(I22),I22&gt;0),M22/I22,""),IF(AND(ISNUMBER(H22),H22&gt;0),M22/H22,"")))</f>
        <v/>
      </c>
      <c r="Q22" s="9">
        <f>IF(AND(ISNUMBER(M22),ISNUMBER(O22)),IF(M22&lt;=O22,"Valor ≤ venal IPTU",""),"")</f>
        <v/>
      </c>
      <c r="R22" s="10" t="n"/>
      <c r="S22" s="10" t="n"/>
      <c r="AA22" s="10" t="n"/>
      <c r="AB22" s="11">
        <f>IF(LEN(TRIM(X22))=0,"",HYPERLINK("https://www.google.com/maps/@?api=1&amp;map_action=pano&amp;viewpoint="&amp;SUBSTITUTE(X22," ",""),"Abrir Street View"))</f>
        <v/>
      </c>
    </row>
    <row r="23">
      <c r="H23" s="6" t="n"/>
      <c r="I23" s="6" t="n"/>
      <c r="M23" s="7" t="n"/>
      <c r="N23" s="7" t="n"/>
      <c r="O23" s="7" t="n"/>
      <c r="P23" s="8">
        <f>IF(NOT(ISNUMBER(M23)),"",IF(G23="Terreno",IF(AND(ISNUMBER(I23),I23&gt;0),M23/I23,""),IF(AND(ISNUMBER(H23),H23&gt;0),M23/H23,"")))</f>
        <v/>
      </c>
      <c r="Q23" s="9">
        <f>IF(AND(ISNUMBER(M23),ISNUMBER(O23)),IF(M23&lt;=O23,"Valor ≤ venal IPTU",""),"")</f>
        <v/>
      </c>
      <c r="R23" s="10" t="n"/>
      <c r="S23" s="10" t="n"/>
      <c r="AA23" s="10" t="n"/>
      <c r="AB23" s="11">
        <f>IF(LEN(TRIM(X23))=0,"",HYPERLINK("https://www.google.com/maps/@?api=1&amp;map_action=pano&amp;viewpoint="&amp;SUBSTITUTE(X23," ",""),"Abrir Street View"))</f>
        <v/>
      </c>
    </row>
    <row r="24">
      <c r="H24" s="6" t="n"/>
      <c r="I24" s="6" t="n"/>
      <c r="M24" s="7" t="n"/>
      <c r="N24" s="7" t="n"/>
      <c r="O24" s="7" t="n"/>
      <c r="P24" s="8">
        <f>IF(NOT(ISNUMBER(M24)),"",IF(G24="Terreno",IF(AND(ISNUMBER(I24),I24&gt;0),M24/I24,""),IF(AND(ISNUMBER(H24),H24&gt;0),M24/H24,"")))</f>
        <v/>
      </c>
      <c r="Q24" s="9">
        <f>IF(AND(ISNUMBER(M24),ISNUMBER(O24)),IF(M24&lt;=O24,"Valor ≤ venal IPTU",""),"")</f>
        <v/>
      </c>
      <c r="R24" s="10" t="n"/>
      <c r="S24" s="10" t="n"/>
      <c r="AA24" s="10" t="n"/>
      <c r="AB24" s="11">
        <f>IF(LEN(TRIM(X24))=0,"",HYPERLINK("https://www.google.com/maps/@?api=1&amp;map_action=pano&amp;viewpoint="&amp;SUBSTITUTE(X24," ",""),"Abrir Street View"))</f>
        <v/>
      </c>
    </row>
    <row r="25">
      <c r="H25" s="6" t="n"/>
      <c r="I25" s="6" t="n"/>
      <c r="M25" s="7" t="n"/>
      <c r="N25" s="7" t="n"/>
      <c r="O25" s="7" t="n"/>
      <c r="P25" s="8">
        <f>IF(NOT(ISNUMBER(M25)),"",IF(G25="Terreno",IF(AND(ISNUMBER(I25),I25&gt;0),M25/I25,""),IF(AND(ISNUMBER(H25),H25&gt;0),M25/H25,"")))</f>
        <v/>
      </c>
      <c r="Q25" s="9">
        <f>IF(AND(ISNUMBER(M25),ISNUMBER(O25)),IF(M25&lt;=O25,"Valor ≤ venal IPTU",""),"")</f>
        <v/>
      </c>
      <c r="R25" s="10" t="n"/>
      <c r="S25" s="10" t="n"/>
      <c r="AA25" s="10" t="n"/>
      <c r="AB25" s="11">
        <f>IF(LEN(TRIM(X25))=0,"",HYPERLINK("https://www.google.com/maps/@?api=1&amp;map_action=pano&amp;viewpoint="&amp;SUBSTITUTE(X25," ",""),"Abrir Street View"))</f>
        <v/>
      </c>
    </row>
    <row r="26">
      <c r="H26" s="6" t="n"/>
      <c r="I26" s="6" t="n"/>
      <c r="M26" s="7" t="n"/>
      <c r="N26" s="7" t="n"/>
      <c r="O26" s="7" t="n"/>
      <c r="P26" s="8">
        <f>IF(NOT(ISNUMBER(M26)),"",IF(G26="Terreno",IF(AND(ISNUMBER(I26),I26&gt;0),M26/I26,""),IF(AND(ISNUMBER(H26),H26&gt;0),M26/H26,"")))</f>
        <v/>
      </c>
      <c r="Q26" s="9">
        <f>IF(AND(ISNUMBER(M26),ISNUMBER(O26)),IF(M26&lt;=O26,"Valor ≤ venal IPTU",""),"")</f>
        <v/>
      </c>
      <c r="R26" s="10" t="n"/>
      <c r="S26" s="10" t="n"/>
      <c r="AA26" s="10" t="n"/>
      <c r="AB26" s="11">
        <f>IF(LEN(TRIM(X26))=0,"",HYPERLINK("https://www.google.com/maps/@?api=1&amp;map_action=pano&amp;viewpoint="&amp;SUBSTITUTE(X26," ",""),"Abrir Street View"))</f>
        <v/>
      </c>
    </row>
    <row r="27">
      <c r="H27" s="6" t="n"/>
      <c r="I27" s="6" t="n"/>
      <c r="M27" s="7" t="n"/>
      <c r="N27" s="7" t="n"/>
      <c r="O27" s="7" t="n"/>
      <c r="P27" s="8">
        <f>IF(NOT(ISNUMBER(M27)),"",IF(G27="Terreno",IF(AND(ISNUMBER(I27),I27&gt;0),M27/I27,""),IF(AND(ISNUMBER(H27),H27&gt;0),M27/H27,"")))</f>
        <v/>
      </c>
      <c r="Q27" s="9">
        <f>IF(AND(ISNUMBER(M27),ISNUMBER(O27)),IF(M27&lt;=O27,"Valor ≤ venal IPTU",""),"")</f>
        <v/>
      </c>
      <c r="R27" s="10" t="n"/>
      <c r="S27" s="10" t="n"/>
      <c r="AA27" s="10" t="n"/>
      <c r="AB27" s="11">
        <f>IF(LEN(TRIM(X27))=0,"",HYPERLINK("https://www.google.com/maps/@?api=1&amp;map_action=pano&amp;viewpoint="&amp;SUBSTITUTE(X27," ",""),"Abrir Street View"))</f>
        <v/>
      </c>
    </row>
    <row r="28">
      <c r="H28" s="6" t="n"/>
      <c r="I28" s="6" t="n"/>
      <c r="M28" s="7" t="n"/>
      <c r="N28" s="7" t="n"/>
      <c r="O28" s="7" t="n"/>
      <c r="P28" s="8">
        <f>IF(NOT(ISNUMBER(M28)),"",IF(G28="Terreno",IF(AND(ISNUMBER(I28),I28&gt;0),M28/I28,""),IF(AND(ISNUMBER(H28),H28&gt;0),M28/H28,"")))</f>
        <v/>
      </c>
      <c r="Q28" s="9">
        <f>IF(AND(ISNUMBER(M28),ISNUMBER(O28)),IF(M28&lt;=O28,"Valor ≤ venal IPTU",""),"")</f>
        <v/>
      </c>
      <c r="R28" s="10" t="n"/>
      <c r="S28" s="10" t="n"/>
      <c r="AA28" s="10" t="n"/>
      <c r="AB28" s="11">
        <f>IF(LEN(TRIM(X28))=0,"",HYPERLINK("https://www.google.com/maps/@?api=1&amp;map_action=pano&amp;viewpoint="&amp;SUBSTITUTE(X28," ",""),"Abrir Street View"))</f>
        <v/>
      </c>
    </row>
    <row r="29">
      <c r="H29" s="6" t="n"/>
      <c r="I29" s="6" t="n"/>
      <c r="M29" s="7" t="n"/>
      <c r="N29" s="7" t="n"/>
      <c r="O29" s="7" t="n"/>
      <c r="P29" s="8">
        <f>IF(NOT(ISNUMBER(M29)),"",IF(G29="Terreno",IF(AND(ISNUMBER(I29),I29&gt;0),M29/I29,""),IF(AND(ISNUMBER(H29),H29&gt;0),M29/H29,"")))</f>
        <v/>
      </c>
      <c r="Q29" s="9">
        <f>IF(AND(ISNUMBER(M29),ISNUMBER(O29)),IF(M29&lt;=O29,"Valor ≤ venal IPTU",""),"")</f>
        <v/>
      </c>
      <c r="R29" s="10" t="n"/>
      <c r="S29" s="10" t="n"/>
      <c r="AA29" s="10" t="n"/>
      <c r="AB29" s="11">
        <f>IF(LEN(TRIM(X29))=0,"",HYPERLINK("https://www.google.com/maps/@?api=1&amp;map_action=pano&amp;viewpoint="&amp;SUBSTITUTE(X29," ",""),"Abrir Street View"))</f>
        <v/>
      </c>
    </row>
    <row r="30">
      <c r="H30" s="6" t="n"/>
      <c r="I30" s="6" t="n"/>
      <c r="M30" s="7" t="n"/>
      <c r="N30" s="7" t="n"/>
      <c r="O30" s="7" t="n"/>
      <c r="P30" s="8">
        <f>IF(NOT(ISNUMBER(M30)),"",IF(G30="Terreno",IF(AND(ISNUMBER(I30),I30&gt;0),M30/I30,""),IF(AND(ISNUMBER(H30),H30&gt;0),M30/H30,"")))</f>
        <v/>
      </c>
      <c r="Q30" s="9">
        <f>IF(AND(ISNUMBER(M30),ISNUMBER(O30)),IF(M30&lt;=O30,"Valor ≤ venal IPTU",""),"")</f>
        <v/>
      </c>
      <c r="R30" s="10" t="n"/>
      <c r="S30" s="10" t="n"/>
      <c r="AA30" s="10" t="n"/>
      <c r="AB30" s="11">
        <f>IF(LEN(TRIM(X30))=0,"",HYPERLINK("https://www.google.com/maps/@?api=1&amp;map_action=pano&amp;viewpoint="&amp;SUBSTITUTE(X30," ",""),"Abrir Street View"))</f>
        <v/>
      </c>
    </row>
    <row r="31">
      <c r="H31" s="6" t="n"/>
      <c r="I31" s="6" t="n"/>
      <c r="M31" s="7" t="n"/>
      <c r="N31" s="7" t="n"/>
      <c r="O31" s="7" t="n"/>
      <c r="P31" s="8">
        <f>IF(NOT(ISNUMBER(M31)),"",IF(G31="Terreno",IF(AND(ISNUMBER(I31),I31&gt;0),M31/I31,""),IF(AND(ISNUMBER(H31),H31&gt;0),M31/H31,"")))</f>
        <v/>
      </c>
      <c r="Q31" s="9">
        <f>IF(AND(ISNUMBER(M31),ISNUMBER(O31)),IF(M31&lt;=O31,"Valor ≤ venal IPTU",""),"")</f>
        <v/>
      </c>
      <c r="R31" s="10" t="n"/>
      <c r="S31" s="10" t="n"/>
      <c r="AA31" s="10" t="n"/>
      <c r="AB31" s="11">
        <f>IF(LEN(TRIM(X31))=0,"",HYPERLINK("https://www.google.com/maps/@?api=1&amp;map_action=pano&amp;viewpoint="&amp;SUBSTITUTE(X31," ",""),"Abrir Street View"))</f>
        <v/>
      </c>
    </row>
    <row r="32">
      <c r="H32" s="6" t="n"/>
      <c r="I32" s="6" t="n"/>
      <c r="M32" s="7" t="n"/>
      <c r="N32" s="7" t="n"/>
      <c r="O32" s="7" t="n"/>
      <c r="P32" s="8">
        <f>IF(NOT(ISNUMBER(M32)),"",IF(G32="Terreno",IF(AND(ISNUMBER(I32),I32&gt;0),M32/I32,""),IF(AND(ISNUMBER(H32),H32&gt;0),M32/H32,"")))</f>
        <v/>
      </c>
      <c r="Q32" s="9">
        <f>IF(AND(ISNUMBER(M32),ISNUMBER(O32)),IF(M32&lt;=O32,"Valor ≤ venal IPTU",""),"")</f>
        <v/>
      </c>
      <c r="R32" s="10" t="n"/>
      <c r="S32" s="10" t="n"/>
      <c r="AA32" s="10" t="n"/>
      <c r="AB32" s="11">
        <f>IF(LEN(TRIM(X32))=0,"",HYPERLINK("https://www.google.com/maps/@?api=1&amp;map_action=pano&amp;viewpoint="&amp;SUBSTITUTE(X32," ",""),"Abrir Street View"))</f>
        <v/>
      </c>
    </row>
    <row r="33">
      <c r="H33" s="6" t="n"/>
      <c r="I33" s="6" t="n"/>
      <c r="M33" s="7" t="n"/>
      <c r="N33" s="7" t="n"/>
      <c r="O33" s="7" t="n"/>
      <c r="P33" s="8">
        <f>IF(NOT(ISNUMBER(M33)),"",IF(G33="Terreno",IF(AND(ISNUMBER(I33),I33&gt;0),M33/I33,""),IF(AND(ISNUMBER(H33),H33&gt;0),M33/H33,"")))</f>
        <v/>
      </c>
      <c r="Q33" s="9">
        <f>IF(AND(ISNUMBER(M33),ISNUMBER(O33)),IF(M33&lt;=O33,"Valor ≤ venal IPTU",""),"")</f>
        <v/>
      </c>
      <c r="R33" s="10" t="n"/>
      <c r="S33" s="10" t="n"/>
      <c r="AA33" s="10" t="n"/>
      <c r="AB33" s="11">
        <f>IF(LEN(TRIM(X33))=0,"",HYPERLINK("https://www.google.com/maps/@?api=1&amp;map_action=pano&amp;viewpoint="&amp;SUBSTITUTE(X33," ",""),"Abrir Street View"))</f>
        <v/>
      </c>
    </row>
    <row r="34">
      <c r="H34" s="6" t="n"/>
      <c r="I34" s="6" t="n"/>
      <c r="M34" s="7" t="n"/>
      <c r="N34" s="7" t="n"/>
      <c r="O34" s="7" t="n"/>
      <c r="P34" s="8">
        <f>IF(NOT(ISNUMBER(M34)),"",IF(G34="Terreno",IF(AND(ISNUMBER(I34),I34&gt;0),M34/I34,""),IF(AND(ISNUMBER(H34),H34&gt;0),M34/H34,"")))</f>
        <v/>
      </c>
      <c r="Q34" s="9">
        <f>IF(AND(ISNUMBER(M34),ISNUMBER(O34)),IF(M34&lt;=O34,"Valor ≤ venal IPTU",""),"")</f>
        <v/>
      </c>
      <c r="R34" s="10" t="n"/>
      <c r="S34" s="10" t="n"/>
      <c r="AA34" s="10" t="n"/>
      <c r="AB34" s="11">
        <f>IF(LEN(TRIM(X34))=0,"",HYPERLINK("https://www.google.com/maps/@?api=1&amp;map_action=pano&amp;viewpoint="&amp;SUBSTITUTE(X34," ",""),"Abrir Street View"))</f>
        <v/>
      </c>
    </row>
    <row r="35">
      <c r="H35" s="6" t="n"/>
      <c r="I35" s="6" t="n"/>
      <c r="M35" s="7" t="n"/>
      <c r="N35" s="7" t="n"/>
      <c r="O35" s="7" t="n"/>
      <c r="P35" s="8">
        <f>IF(NOT(ISNUMBER(M35)),"",IF(G35="Terreno",IF(AND(ISNUMBER(I35),I35&gt;0),M35/I35,""),IF(AND(ISNUMBER(H35),H35&gt;0),M35/H35,"")))</f>
        <v/>
      </c>
      <c r="Q35" s="9">
        <f>IF(AND(ISNUMBER(M35),ISNUMBER(O35)),IF(M35&lt;=O35,"Valor ≤ venal IPTU",""),"")</f>
        <v/>
      </c>
      <c r="R35" s="10" t="n"/>
      <c r="S35" s="10" t="n"/>
      <c r="AA35" s="10" t="n"/>
      <c r="AB35" s="11">
        <f>IF(LEN(TRIM(X35))=0,"",HYPERLINK("https://www.google.com/maps/@?api=1&amp;map_action=pano&amp;viewpoint="&amp;SUBSTITUTE(X35," ",""),"Abrir Street View"))</f>
        <v/>
      </c>
    </row>
    <row r="36">
      <c r="H36" s="6" t="n"/>
      <c r="I36" s="6" t="n"/>
      <c r="M36" s="7" t="n"/>
      <c r="N36" s="7" t="n"/>
      <c r="O36" s="7" t="n"/>
      <c r="P36" s="8">
        <f>IF(NOT(ISNUMBER(M36)),"",IF(G36="Terreno",IF(AND(ISNUMBER(I36),I36&gt;0),M36/I36,""),IF(AND(ISNUMBER(H36),H36&gt;0),M36/H36,"")))</f>
        <v/>
      </c>
      <c r="Q36" s="9">
        <f>IF(AND(ISNUMBER(M36),ISNUMBER(O36)),IF(M36&lt;=O36,"Valor ≤ venal IPTU",""),"")</f>
        <v/>
      </c>
      <c r="R36" s="10" t="n"/>
      <c r="S36" s="10" t="n"/>
      <c r="AA36" s="10" t="n"/>
      <c r="AB36" s="11">
        <f>IF(LEN(TRIM(X36))=0,"",HYPERLINK("https://www.google.com/maps/@?api=1&amp;map_action=pano&amp;viewpoint="&amp;SUBSTITUTE(X36," ",""),"Abrir Street View"))</f>
        <v/>
      </c>
    </row>
    <row r="37">
      <c r="H37" s="6" t="n"/>
      <c r="I37" s="6" t="n"/>
      <c r="M37" s="7" t="n"/>
      <c r="N37" s="7" t="n"/>
      <c r="O37" s="7" t="n"/>
      <c r="P37" s="8">
        <f>IF(NOT(ISNUMBER(M37)),"",IF(G37="Terreno",IF(AND(ISNUMBER(I37),I37&gt;0),M37/I37,""),IF(AND(ISNUMBER(H37),H37&gt;0),M37/H37,"")))</f>
        <v/>
      </c>
      <c r="Q37" s="9">
        <f>IF(AND(ISNUMBER(M37),ISNUMBER(O37)),IF(M37&lt;=O37,"Valor ≤ venal IPTU",""),"")</f>
        <v/>
      </c>
      <c r="R37" s="10" t="n"/>
      <c r="S37" s="10" t="n"/>
      <c r="AA37" s="10" t="n"/>
      <c r="AB37" s="11">
        <f>IF(LEN(TRIM(X37))=0,"",HYPERLINK("https://www.google.com/maps/@?api=1&amp;map_action=pano&amp;viewpoint="&amp;SUBSTITUTE(X37," ",""),"Abrir Street View"))</f>
        <v/>
      </c>
    </row>
    <row r="38">
      <c r="H38" s="6" t="n"/>
      <c r="I38" s="6" t="n"/>
      <c r="M38" s="7" t="n"/>
      <c r="N38" s="7" t="n"/>
      <c r="O38" s="7" t="n"/>
      <c r="P38" s="8">
        <f>IF(NOT(ISNUMBER(M38)),"",IF(G38="Terreno",IF(AND(ISNUMBER(I38),I38&gt;0),M38/I38,""),IF(AND(ISNUMBER(H38),H38&gt;0),M38/H38,"")))</f>
        <v/>
      </c>
      <c r="Q38" s="9">
        <f>IF(AND(ISNUMBER(M38),ISNUMBER(O38)),IF(M38&lt;=O38,"Valor ≤ venal IPTU",""),"")</f>
        <v/>
      </c>
      <c r="R38" s="10" t="n"/>
      <c r="S38" s="10" t="n"/>
      <c r="AA38" s="10" t="n"/>
      <c r="AB38" s="11">
        <f>IF(LEN(TRIM(X38))=0,"",HYPERLINK("https://www.google.com/maps/@?api=1&amp;map_action=pano&amp;viewpoint="&amp;SUBSTITUTE(X38," ",""),"Abrir Street View"))</f>
        <v/>
      </c>
    </row>
    <row r="39">
      <c r="H39" s="6" t="n"/>
      <c r="I39" s="6" t="n"/>
      <c r="M39" s="7" t="n"/>
      <c r="N39" s="7" t="n"/>
      <c r="O39" s="7" t="n"/>
      <c r="P39" s="8">
        <f>IF(NOT(ISNUMBER(M39)),"",IF(G39="Terreno",IF(AND(ISNUMBER(I39),I39&gt;0),M39/I39,""),IF(AND(ISNUMBER(H39),H39&gt;0),M39/H39,"")))</f>
        <v/>
      </c>
      <c r="Q39" s="9">
        <f>IF(AND(ISNUMBER(M39),ISNUMBER(O39)),IF(M39&lt;=O39,"Valor ≤ venal IPTU",""),"")</f>
        <v/>
      </c>
      <c r="R39" s="10" t="n"/>
      <c r="S39" s="10" t="n"/>
      <c r="AA39" s="10" t="n"/>
      <c r="AB39" s="11">
        <f>IF(LEN(TRIM(X39))=0,"",HYPERLINK("https://www.google.com/maps/@?api=1&amp;map_action=pano&amp;viewpoint="&amp;SUBSTITUTE(X39," ",""),"Abrir Street View"))</f>
        <v/>
      </c>
    </row>
    <row r="40">
      <c r="H40" s="6" t="n"/>
      <c r="I40" s="6" t="n"/>
      <c r="M40" s="7" t="n"/>
      <c r="N40" s="7" t="n"/>
      <c r="O40" s="7" t="n"/>
      <c r="P40" s="8">
        <f>IF(NOT(ISNUMBER(M40)),"",IF(G40="Terreno",IF(AND(ISNUMBER(I40),I40&gt;0),M40/I40,""),IF(AND(ISNUMBER(H40),H40&gt;0),M40/H40,"")))</f>
        <v/>
      </c>
      <c r="Q40" s="9">
        <f>IF(AND(ISNUMBER(M40),ISNUMBER(O40)),IF(M40&lt;=O40,"Valor ≤ venal IPTU",""),"")</f>
        <v/>
      </c>
      <c r="R40" s="10" t="n"/>
      <c r="S40" s="10" t="n"/>
      <c r="AA40" s="10" t="n"/>
      <c r="AB40" s="11">
        <f>IF(LEN(TRIM(X40))=0,"",HYPERLINK("https://www.google.com/maps/@?api=1&amp;map_action=pano&amp;viewpoint="&amp;SUBSTITUTE(X40," ",""),"Abrir Street View"))</f>
        <v/>
      </c>
    </row>
    <row r="41">
      <c r="H41" s="6" t="n"/>
      <c r="I41" s="6" t="n"/>
      <c r="M41" s="7" t="n"/>
      <c r="N41" s="7" t="n"/>
      <c r="O41" s="7" t="n"/>
      <c r="P41" s="8">
        <f>IF(NOT(ISNUMBER(M41)),"",IF(G41="Terreno",IF(AND(ISNUMBER(I41),I41&gt;0),M41/I41,""),IF(AND(ISNUMBER(H41),H41&gt;0),M41/H41,"")))</f>
        <v/>
      </c>
      <c r="Q41" s="9">
        <f>IF(AND(ISNUMBER(M41),ISNUMBER(O41)),IF(M41&lt;=O41,"Valor ≤ venal IPTU",""),"")</f>
        <v/>
      </c>
      <c r="R41" s="10" t="n"/>
      <c r="S41" s="10" t="n"/>
      <c r="AA41" s="10" t="n"/>
      <c r="AB41" s="11">
        <f>IF(LEN(TRIM(X41))=0,"",HYPERLINK("https://www.google.com/maps/@?api=1&amp;map_action=pano&amp;viewpoint="&amp;SUBSTITUTE(X41," ",""),"Abrir Street View"))</f>
        <v/>
      </c>
    </row>
    <row r="42">
      <c r="H42" s="6" t="n"/>
      <c r="I42" s="6" t="n"/>
      <c r="M42" s="7" t="n"/>
      <c r="N42" s="7" t="n"/>
      <c r="O42" s="7" t="n"/>
      <c r="P42" s="8">
        <f>IF(NOT(ISNUMBER(M42)),"",IF(G42="Terreno",IF(AND(ISNUMBER(I42),I42&gt;0),M42/I42,""),IF(AND(ISNUMBER(H42),H42&gt;0),M42/H42,"")))</f>
        <v/>
      </c>
      <c r="Q42" s="9">
        <f>IF(AND(ISNUMBER(M42),ISNUMBER(O42)),IF(M42&lt;=O42,"Valor ≤ venal IPTU",""),"")</f>
        <v/>
      </c>
      <c r="R42" s="10" t="n"/>
      <c r="S42" s="10" t="n"/>
      <c r="AA42" s="10" t="n"/>
      <c r="AB42" s="11">
        <f>IF(LEN(TRIM(X42))=0,"",HYPERLINK("https://www.google.com/maps/@?api=1&amp;map_action=pano&amp;viewpoint="&amp;SUBSTITUTE(X42," ",""),"Abrir Street View"))</f>
        <v/>
      </c>
    </row>
    <row r="43">
      <c r="H43" s="6" t="n"/>
      <c r="I43" s="6" t="n"/>
      <c r="M43" s="7" t="n"/>
      <c r="N43" s="7" t="n"/>
      <c r="O43" s="7" t="n"/>
      <c r="P43" s="8">
        <f>IF(NOT(ISNUMBER(M43)),"",IF(G43="Terreno",IF(AND(ISNUMBER(I43),I43&gt;0),M43/I43,""),IF(AND(ISNUMBER(H43),H43&gt;0),M43/H43,"")))</f>
        <v/>
      </c>
      <c r="Q43" s="9">
        <f>IF(AND(ISNUMBER(M43),ISNUMBER(O43)),IF(M43&lt;=O43,"Valor ≤ venal IPTU",""),"")</f>
        <v/>
      </c>
      <c r="R43" s="10" t="n"/>
      <c r="S43" s="10" t="n"/>
      <c r="AA43" s="10" t="n"/>
      <c r="AB43" s="11">
        <f>IF(LEN(TRIM(X43))=0,"",HYPERLINK("https://www.google.com/maps/@?api=1&amp;map_action=pano&amp;viewpoint="&amp;SUBSTITUTE(X43," ",""),"Abrir Street View"))</f>
        <v/>
      </c>
    </row>
    <row r="44">
      <c r="H44" s="6" t="n"/>
      <c r="I44" s="6" t="n"/>
      <c r="M44" s="7" t="n"/>
      <c r="N44" s="7" t="n"/>
      <c r="O44" s="7" t="n"/>
      <c r="P44" s="8">
        <f>IF(NOT(ISNUMBER(M44)),"",IF(G44="Terreno",IF(AND(ISNUMBER(I44),I44&gt;0),M44/I44,""),IF(AND(ISNUMBER(H44),H44&gt;0),M44/H44,"")))</f>
        <v/>
      </c>
      <c r="Q44" s="9">
        <f>IF(AND(ISNUMBER(M44),ISNUMBER(O44)),IF(M44&lt;=O44,"Valor ≤ venal IPTU",""),"")</f>
        <v/>
      </c>
      <c r="R44" s="10" t="n"/>
      <c r="S44" s="10" t="n"/>
      <c r="AA44" s="10" t="n"/>
      <c r="AB44" s="11">
        <f>IF(LEN(TRIM(X44))=0,"",HYPERLINK("https://www.google.com/maps/@?api=1&amp;map_action=pano&amp;viewpoint="&amp;SUBSTITUTE(X44," ",""),"Abrir Street View"))</f>
        <v/>
      </c>
    </row>
    <row r="45">
      <c r="H45" s="6" t="n"/>
      <c r="I45" s="6" t="n"/>
      <c r="M45" s="7" t="n"/>
      <c r="N45" s="7" t="n"/>
      <c r="O45" s="7" t="n"/>
      <c r="P45" s="8">
        <f>IF(NOT(ISNUMBER(M45)),"",IF(G45="Terreno",IF(AND(ISNUMBER(I45),I45&gt;0),M45/I45,""),IF(AND(ISNUMBER(H45),H45&gt;0),M45/H45,"")))</f>
        <v/>
      </c>
      <c r="Q45" s="9">
        <f>IF(AND(ISNUMBER(M45),ISNUMBER(O45)),IF(M45&lt;=O45,"Valor ≤ venal IPTU",""),"")</f>
        <v/>
      </c>
      <c r="R45" s="10" t="n"/>
      <c r="S45" s="10" t="n"/>
      <c r="AA45" s="10" t="n"/>
      <c r="AB45" s="11">
        <f>IF(LEN(TRIM(X45))=0,"",HYPERLINK("https://www.google.com/maps/@?api=1&amp;map_action=pano&amp;viewpoint="&amp;SUBSTITUTE(X45," ",""),"Abrir Street View"))</f>
        <v/>
      </c>
    </row>
    <row r="46">
      <c r="H46" s="6" t="n"/>
      <c r="I46" s="6" t="n"/>
      <c r="M46" s="7" t="n"/>
      <c r="N46" s="7" t="n"/>
      <c r="O46" s="7" t="n"/>
      <c r="P46" s="8">
        <f>IF(NOT(ISNUMBER(M46)),"",IF(G46="Terreno",IF(AND(ISNUMBER(I46),I46&gt;0),M46/I46,""),IF(AND(ISNUMBER(H46),H46&gt;0),M46/H46,"")))</f>
        <v/>
      </c>
      <c r="Q46" s="9">
        <f>IF(AND(ISNUMBER(M46),ISNUMBER(O46)),IF(M46&lt;=O46,"Valor ≤ venal IPTU",""),"")</f>
        <v/>
      </c>
      <c r="R46" s="10" t="n"/>
      <c r="S46" s="10" t="n"/>
      <c r="AA46" s="10" t="n"/>
      <c r="AB46" s="11">
        <f>IF(LEN(TRIM(X46))=0,"",HYPERLINK("https://www.google.com/maps/@?api=1&amp;map_action=pano&amp;viewpoint="&amp;SUBSTITUTE(X46," ",""),"Abrir Street View"))</f>
        <v/>
      </c>
    </row>
    <row r="47">
      <c r="H47" s="6" t="n"/>
      <c r="I47" s="6" t="n"/>
      <c r="M47" s="7" t="n"/>
      <c r="N47" s="7" t="n"/>
      <c r="O47" s="7" t="n"/>
      <c r="P47" s="8">
        <f>IF(NOT(ISNUMBER(M47)),"",IF(G47="Terreno",IF(AND(ISNUMBER(I47),I47&gt;0),M47/I47,""),IF(AND(ISNUMBER(H47),H47&gt;0),M47/H47,"")))</f>
        <v/>
      </c>
      <c r="Q47" s="9">
        <f>IF(AND(ISNUMBER(M47),ISNUMBER(O47)),IF(M47&lt;=O47,"Valor ≤ venal IPTU",""),"")</f>
        <v/>
      </c>
      <c r="R47" s="10" t="n"/>
      <c r="S47" s="10" t="n"/>
      <c r="AA47" s="10" t="n"/>
      <c r="AB47" s="11">
        <f>IF(LEN(TRIM(X47))=0,"",HYPERLINK("https://www.google.com/maps/@?api=1&amp;map_action=pano&amp;viewpoint="&amp;SUBSTITUTE(X47," ",""),"Abrir Street View"))</f>
        <v/>
      </c>
    </row>
    <row r="48">
      <c r="H48" s="6" t="n"/>
      <c r="I48" s="6" t="n"/>
      <c r="M48" s="7" t="n"/>
      <c r="N48" s="7" t="n"/>
      <c r="O48" s="7" t="n"/>
      <c r="P48" s="8">
        <f>IF(NOT(ISNUMBER(M48)),"",IF(G48="Terreno",IF(AND(ISNUMBER(I48),I48&gt;0),M48/I48,""),IF(AND(ISNUMBER(H48),H48&gt;0),M48/H48,"")))</f>
        <v/>
      </c>
      <c r="Q48" s="9">
        <f>IF(AND(ISNUMBER(M48),ISNUMBER(O48)),IF(M48&lt;=O48,"Valor ≤ venal IPTU",""),"")</f>
        <v/>
      </c>
      <c r="R48" s="10" t="n"/>
      <c r="S48" s="10" t="n"/>
      <c r="AA48" s="10" t="n"/>
      <c r="AB48" s="11">
        <f>IF(LEN(TRIM(X48))=0,"",HYPERLINK("https://www.google.com/maps/@?api=1&amp;map_action=pano&amp;viewpoint="&amp;SUBSTITUTE(X48," ",""),"Abrir Street View"))</f>
        <v/>
      </c>
    </row>
    <row r="49">
      <c r="H49" s="6" t="n"/>
      <c r="I49" s="6" t="n"/>
      <c r="M49" s="7" t="n"/>
      <c r="N49" s="7" t="n"/>
      <c r="O49" s="7" t="n"/>
      <c r="P49" s="8">
        <f>IF(NOT(ISNUMBER(M49)),"",IF(G49="Terreno",IF(AND(ISNUMBER(I49),I49&gt;0),M49/I49,""),IF(AND(ISNUMBER(H49),H49&gt;0),M49/H49,"")))</f>
        <v/>
      </c>
      <c r="Q49" s="9">
        <f>IF(AND(ISNUMBER(M49),ISNUMBER(O49)),IF(M49&lt;=O49,"Valor ≤ venal IPTU",""),"")</f>
        <v/>
      </c>
      <c r="R49" s="10" t="n"/>
      <c r="S49" s="10" t="n"/>
      <c r="AA49" s="10" t="n"/>
      <c r="AB49" s="11">
        <f>IF(LEN(TRIM(X49))=0,"",HYPERLINK("https://www.google.com/maps/@?api=1&amp;map_action=pano&amp;viewpoint="&amp;SUBSTITUTE(X49," ",""),"Abrir Street View"))</f>
        <v/>
      </c>
    </row>
    <row r="50">
      <c r="H50" s="6" t="n"/>
      <c r="I50" s="6" t="n"/>
      <c r="M50" s="7" t="n"/>
      <c r="N50" s="7" t="n"/>
      <c r="O50" s="7" t="n"/>
      <c r="P50" s="8">
        <f>IF(NOT(ISNUMBER(M50)),"",IF(G50="Terreno",IF(AND(ISNUMBER(I50),I50&gt;0),M50/I50,""),IF(AND(ISNUMBER(H50),H50&gt;0),M50/H50,"")))</f>
        <v/>
      </c>
      <c r="Q50" s="9">
        <f>IF(AND(ISNUMBER(M50),ISNUMBER(O50)),IF(M50&lt;=O50,"Valor ≤ venal IPTU",""),"")</f>
        <v/>
      </c>
      <c r="R50" s="10" t="n"/>
      <c r="S50" s="10" t="n"/>
      <c r="AA50" s="10" t="n"/>
      <c r="AB50" s="11">
        <f>IF(LEN(TRIM(X50))=0,"",HYPERLINK("https://www.google.com/maps/@?api=1&amp;map_action=pano&amp;viewpoint="&amp;SUBSTITUTE(X50," ",""),"Abrir Street View"))</f>
        <v/>
      </c>
    </row>
    <row r="51">
      <c r="H51" s="6" t="n"/>
      <c r="I51" s="6" t="n"/>
      <c r="M51" s="7" t="n"/>
      <c r="N51" s="7" t="n"/>
      <c r="O51" s="7" t="n"/>
      <c r="P51" s="8">
        <f>IF(NOT(ISNUMBER(M51)),"",IF(G51="Terreno",IF(AND(ISNUMBER(I51),I51&gt;0),M51/I51,""),IF(AND(ISNUMBER(H51),H51&gt;0),M51/H51,"")))</f>
        <v/>
      </c>
      <c r="Q51" s="9">
        <f>IF(AND(ISNUMBER(M51),ISNUMBER(O51)),IF(M51&lt;=O51,"Valor ≤ venal IPTU",""),"")</f>
        <v/>
      </c>
      <c r="R51" s="10" t="n"/>
      <c r="S51" s="10" t="n"/>
      <c r="AA51" s="10" t="n"/>
      <c r="AB51" s="11">
        <f>IF(LEN(TRIM(X51))=0,"",HYPERLINK("https://www.google.com/maps/@?api=1&amp;map_action=pano&amp;viewpoint="&amp;SUBSTITUTE(X51," ",""),"Abrir Street View"))</f>
        <v/>
      </c>
    </row>
    <row r="52">
      <c r="H52" s="6" t="n"/>
      <c r="I52" s="6" t="n"/>
      <c r="M52" s="7" t="n"/>
      <c r="N52" s="7" t="n"/>
      <c r="O52" s="7" t="n"/>
      <c r="P52" s="8">
        <f>IF(NOT(ISNUMBER(M52)),"",IF(G52="Terreno",IF(AND(ISNUMBER(I52),I52&gt;0),M52/I52,""),IF(AND(ISNUMBER(H52),H52&gt;0),M52/H52,"")))</f>
        <v/>
      </c>
      <c r="Q52" s="9">
        <f>IF(AND(ISNUMBER(M52),ISNUMBER(O52)),IF(M52&lt;=O52,"Valor ≤ venal IPTU",""),"")</f>
        <v/>
      </c>
      <c r="R52" s="10" t="n"/>
      <c r="S52" s="10" t="n"/>
      <c r="AA52" s="10" t="n"/>
      <c r="AB52" s="11">
        <f>IF(LEN(TRIM(X52))=0,"",HYPERLINK("https://www.google.com/maps/@?api=1&amp;map_action=pano&amp;viewpoint="&amp;SUBSTITUTE(X52," ",""),"Abrir Street View"))</f>
        <v/>
      </c>
    </row>
    <row r="53">
      <c r="H53" s="6" t="n"/>
      <c r="I53" s="6" t="n"/>
      <c r="M53" s="7" t="n"/>
      <c r="N53" s="7" t="n"/>
      <c r="O53" s="7" t="n"/>
      <c r="P53" s="8">
        <f>IF(NOT(ISNUMBER(M53)),"",IF(G53="Terreno",IF(AND(ISNUMBER(I53),I53&gt;0),M53/I53,""),IF(AND(ISNUMBER(H53),H53&gt;0),M53/H53,"")))</f>
        <v/>
      </c>
      <c r="Q53" s="9">
        <f>IF(AND(ISNUMBER(M53),ISNUMBER(O53)),IF(M53&lt;=O53,"Valor ≤ venal IPTU",""),"")</f>
        <v/>
      </c>
      <c r="R53" s="10" t="n"/>
      <c r="S53" s="10" t="n"/>
      <c r="AA53" s="10" t="n"/>
      <c r="AB53" s="11">
        <f>IF(LEN(TRIM(X53))=0,"",HYPERLINK("https://www.google.com/maps/@?api=1&amp;map_action=pano&amp;viewpoint="&amp;SUBSTITUTE(X53," ",""),"Abrir Street View"))</f>
        <v/>
      </c>
    </row>
    <row r="54">
      <c r="H54" s="6" t="n"/>
      <c r="I54" s="6" t="n"/>
      <c r="M54" s="7" t="n"/>
      <c r="N54" s="7" t="n"/>
      <c r="O54" s="7" t="n"/>
      <c r="P54" s="8">
        <f>IF(NOT(ISNUMBER(M54)),"",IF(G54="Terreno",IF(AND(ISNUMBER(I54),I54&gt;0),M54/I54,""),IF(AND(ISNUMBER(H54),H54&gt;0),M54/H54,"")))</f>
        <v/>
      </c>
      <c r="Q54" s="9">
        <f>IF(AND(ISNUMBER(M54),ISNUMBER(O54)),IF(M54&lt;=O54,"Valor ≤ venal IPTU",""),"")</f>
        <v/>
      </c>
      <c r="R54" s="10" t="n"/>
      <c r="S54" s="10" t="n"/>
      <c r="AA54" s="10" t="n"/>
      <c r="AB54" s="11">
        <f>IF(LEN(TRIM(X54))=0,"",HYPERLINK("https://www.google.com/maps/@?api=1&amp;map_action=pano&amp;viewpoint="&amp;SUBSTITUTE(X54," ",""),"Abrir Street View"))</f>
        <v/>
      </c>
    </row>
    <row r="55">
      <c r="H55" s="6" t="n"/>
      <c r="I55" s="6" t="n"/>
      <c r="M55" s="7" t="n"/>
      <c r="N55" s="7" t="n"/>
      <c r="O55" s="7" t="n"/>
      <c r="P55" s="8">
        <f>IF(NOT(ISNUMBER(M55)),"",IF(G55="Terreno",IF(AND(ISNUMBER(I55),I55&gt;0),M55/I55,""),IF(AND(ISNUMBER(H55),H55&gt;0),M55/H55,"")))</f>
        <v/>
      </c>
      <c r="Q55" s="9">
        <f>IF(AND(ISNUMBER(M55),ISNUMBER(O55)),IF(M55&lt;=O55,"Valor ≤ venal IPTU",""),"")</f>
        <v/>
      </c>
      <c r="R55" s="10" t="n"/>
      <c r="S55" s="10" t="n"/>
      <c r="AA55" s="10" t="n"/>
      <c r="AB55" s="11">
        <f>IF(LEN(TRIM(X55))=0,"",HYPERLINK("https://www.google.com/maps/@?api=1&amp;map_action=pano&amp;viewpoint="&amp;SUBSTITUTE(X55," ",""),"Abrir Street View"))</f>
        <v/>
      </c>
    </row>
    <row r="56">
      <c r="H56" s="6" t="n"/>
      <c r="I56" s="6" t="n"/>
      <c r="M56" s="7" t="n"/>
      <c r="N56" s="7" t="n"/>
      <c r="O56" s="7" t="n"/>
      <c r="P56" s="8">
        <f>IF(NOT(ISNUMBER(M56)),"",IF(G56="Terreno",IF(AND(ISNUMBER(I56),I56&gt;0),M56/I56,""),IF(AND(ISNUMBER(H56),H56&gt;0),M56/H56,"")))</f>
        <v/>
      </c>
      <c r="Q56" s="9">
        <f>IF(AND(ISNUMBER(M56),ISNUMBER(O56)),IF(M56&lt;=O56,"Valor ≤ venal IPTU",""),"")</f>
        <v/>
      </c>
      <c r="R56" s="10" t="n"/>
      <c r="S56" s="10" t="n"/>
      <c r="AA56" s="10" t="n"/>
      <c r="AB56" s="11">
        <f>IF(LEN(TRIM(X56))=0,"",HYPERLINK("https://www.google.com/maps/@?api=1&amp;map_action=pano&amp;viewpoint="&amp;SUBSTITUTE(X56," ",""),"Abrir Street View"))</f>
        <v/>
      </c>
    </row>
    <row r="57">
      <c r="H57" s="6" t="n"/>
      <c r="I57" s="6" t="n"/>
      <c r="M57" s="7" t="n"/>
      <c r="N57" s="7" t="n"/>
      <c r="O57" s="7" t="n"/>
      <c r="P57" s="8">
        <f>IF(NOT(ISNUMBER(M57)),"",IF(G57="Terreno",IF(AND(ISNUMBER(I57),I57&gt;0),M57/I57,""),IF(AND(ISNUMBER(H57),H57&gt;0),M57/H57,"")))</f>
        <v/>
      </c>
      <c r="Q57" s="9">
        <f>IF(AND(ISNUMBER(M57),ISNUMBER(O57)),IF(M57&lt;=O57,"Valor ≤ venal IPTU",""),"")</f>
        <v/>
      </c>
      <c r="R57" s="10" t="n"/>
      <c r="S57" s="10" t="n"/>
      <c r="AA57" s="10" t="n"/>
      <c r="AB57" s="11">
        <f>IF(LEN(TRIM(X57))=0,"",HYPERLINK("https://www.google.com/maps/@?api=1&amp;map_action=pano&amp;viewpoint="&amp;SUBSTITUTE(X57," ",""),"Abrir Street View"))</f>
        <v/>
      </c>
    </row>
    <row r="58">
      <c r="H58" s="6" t="n"/>
      <c r="I58" s="6" t="n"/>
      <c r="M58" s="7" t="n"/>
      <c r="N58" s="7" t="n"/>
      <c r="O58" s="7" t="n"/>
      <c r="P58" s="8">
        <f>IF(NOT(ISNUMBER(M58)),"",IF(G58="Terreno",IF(AND(ISNUMBER(I58),I58&gt;0),M58/I58,""),IF(AND(ISNUMBER(H58),H58&gt;0),M58/H58,"")))</f>
        <v/>
      </c>
      <c r="Q58" s="9">
        <f>IF(AND(ISNUMBER(M58),ISNUMBER(O58)),IF(M58&lt;=O58,"Valor ≤ venal IPTU",""),"")</f>
        <v/>
      </c>
      <c r="R58" s="10" t="n"/>
      <c r="S58" s="10" t="n"/>
      <c r="AA58" s="10" t="n"/>
      <c r="AB58" s="11">
        <f>IF(LEN(TRIM(X58))=0,"",HYPERLINK("https://www.google.com/maps/@?api=1&amp;map_action=pano&amp;viewpoint="&amp;SUBSTITUTE(X58," ",""),"Abrir Street View"))</f>
        <v/>
      </c>
    </row>
    <row r="59">
      <c r="H59" s="6" t="n"/>
      <c r="I59" s="6" t="n"/>
      <c r="M59" s="7" t="n"/>
      <c r="N59" s="7" t="n"/>
      <c r="O59" s="7" t="n"/>
      <c r="P59" s="8">
        <f>IF(NOT(ISNUMBER(M59)),"",IF(G59="Terreno",IF(AND(ISNUMBER(I59),I59&gt;0),M59/I59,""),IF(AND(ISNUMBER(H59),H59&gt;0),M59/H59,"")))</f>
        <v/>
      </c>
      <c r="Q59" s="9">
        <f>IF(AND(ISNUMBER(M59),ISNUMBER(O59)),IF(M59&lt;=O59,"Valor ≤ venal IPTU",""),"")</f>
        <v/>
      </c>
      <c r="R59" s="10" t="n"/>
      <c r="S59" s="10" t="n"/>
      <c r="AA59" s="10" t="n"/>
      <c r="AB59" s="11">
        <f>IF(LEN(TRIM(X59))=0,"",HYPERLINK("https://www.google.com/maps/@?api=1&amp;map_action=pano&amp;viewpoint="&amp;SUBSTITUTE(X59," ",""),"Abrir Street View"))</f>
        <v/>
      </c>
    </row>
    <row r="60">
      <c r="H60" s="6" t="n"/>
      <c r="I60" s="6" t="n"/>
      <c r="M60" s="7" t="n"/>
      <c r="N60" s="7" t="n"/>
      <c r="O60" s="7" t="n"/>
      <c r="P60" s="8">
        <f>IF(NOT(ISNUMBER(M60)),"",IF(G60="Terreno",IF(AND(ISNUMBER(I60),I60&gt;0),M60/I60,""),IF(AND(ISNUMBER(H60),H60&gt;0),M60/H60,"")))</f>
        <v/>
      </c>
      <c r="Q60" s="9">
        <f>IF(AND(ISNUMBER(M60),ISNUMBER(O60)),IF(M60&lt;=O60,"Valor ≤ venal IPTU",""),"")</f>
        <v/>
      </c>
      <c r="R60" s="10" t="n"/>
      <c r="S60" s="10" t="n"/>
      <c r="AA60" s="10" t="n"/>
      <c r="AB60" s="11">
        <f>IF(LEN(TRIM(X60))=0,"",HYPERLINK("https://www.google.com/maps/@?api=1&amp;map_action=pano&amp;viewpoint="&amp;SUBSTITUTE(X60," ",""),"Abrir Street View"))</f>
        <v/>
      </c>
    </row>
    <row r="61">
      <c r="H61" s="6" t="n"/>
      <c r="I61" s="6" t="n"/>
      <c r="M61" s="7" t="n"/>
      <c r="N61" s="7" t="n"/>
      <c r="O61" s="7" t="n"/>
      <c r="P61" s="8">
        <f>IF(NOT(ISNUMBER(M61)),"",IF(G61="Terreno",IF(AND(ISNUMBER(I61),I61&gt;0),M61/I61,""),IF(AND(ISNUMBER(H61),H61&gt;0),M61/H61,"")))</f>
        <v/>
      </c>
      <c r="Q61" s="9">
        <f>IF(AND(ISNUMBER(M61),ISNUMBER(O61)),IF(M61&lt;=O61,"Valor ≤ venal IPTU",""),"")</f>
        <v/>
      </c>
      <c r="R61" s="10" t="n"/>
      <c r="S61" s="10" t="n"/>
      <c r="AA61" s="10" t="n"/>
      <c r="AB61" s="11">
        <f>IF(LEN(TRIM(X61))=0,"",HYPERLINK("https://www.google.com/maps/@?api=1&amp;map_action=pano&amp;viewpoint="&amp;SUBSTITUTE(X61," ",""),"Abrir Street View"))</f>
        <v/>
      </c>
    </row>
    <row r="62">
      <c r="H62" s="6" t="n"/>
      <c r="I62" s="6" t="n"/>
      <c r="M62" s="7" t="n"/>
      <c r="N62" s="7" t="n"/>
      <c r="O62" s="7" t="n"/>
      <c r="P62" s="8">
        <f>IF(NOT(ISNUMBER(M62)),"",IF(G62="Terreno",IF(AND(ISNUMBER(I62),I62&gt;0),M62/I62,""),IF(AND(ISNUMBER(H62),H62&gt;0),M62/H62,"")))</f>
        <v/>
      </c>
      <c r="Q62" s="9">
        <f>IF(AND(ISNUMBER(M62),ISNUMBER(O62)),IF(M62&lt;=O62,"Valor ≤ venal IPTU",""),"")</f>
        <v/>
      </c>
      <c r="R62" s="10" t="n"/>
      <c r="S62" s="10" t="n"/>
      <c r="AA62" s="10" t="n"/>
      <c r="AB62" s="11">
        <f>IF(LEN(TRIM(X62))=0,"",HYPERLINK("https://www.google.com/maps/@?api=1&amp;map_action=pano&amp;viewpoint="&amp;SUBSTITUTE(X62," ",""),"Abrir Street View"))</f>
        <v/>
      </c>
    </row>
    <row r="63">
      <c r="H63" s="6" t="n"/>
      <c r="I63" s="6" t="n"/>
      <c r="M63" s="7" t="n"/>
      <c r="N63" s="7" t="n"/>
      <c r="O63" s="7" t="n"/>
      <c r="P63" s="8">
        <f>IF(NOT(ISNUMBER(M63)),"",IF(G63="Terreno",IF(AND(ISNUMBER(I63),I63&gt;0),M63/I63,""),IF(AND(ISNUMBER(H63),H63&gt;0),M63/H63,"")))</f>
        <v/>
      </c>
      <c r="Q63" s="9">
        <f>IF(AND(ISNUMBER(M63),ISNUMBER(O63)),IF(M63&lt;=O63,"Valor ≤ venal IPTU",""),"")</f>
        <v/>
      </c>
      <c r="R63" s="10" t="n"/>
      <c r="S63" s="10" t="n"/>
      <c r="AA63" s="10" t="n"/>
      <c r="AB63" s="11">
        <f>IF(LEN(TRIM(X63))=0,"",HYPERLINK("https://www.google.com/maps/@?api=1&amp;map_action=pano&amp;viewpoint="&amp;SUBSTITUTE(X63," ",""),"Abrir Street View"))</f>
        <v/>
      </c>
    </row>
    <row r="64">
      <c r="H64" s="6" t="n"/>
      <c r="I64" s="6" t="n"/>
      <c r="M64" s="7" t="n"/>
      <c r="N64" s="7" t="n"/>
      <c r="O64" s="7" t="n"/>
      <c r="P64" s="8">
        <f>IF(NOT(ISNUMBER(M64)),"",IF(G64="Terreno",IF(AND(ISNUMBER(I64),I64&gt;0),M64/I64,""),IF(AND(ISNUMBER(H64),H64&gt;0),M64/H64,"")))</f>
        <v/>
      </c>
      <c r="Q64" s="9">
        <f>IF(AND(ISNUMBER(M64),ISNUMBER(O64)),IF(M64&lt;=O64,"Valor ≤ venal IPTU",""),"")</f>
        <v/>
      </c>
      <c r="R64" s="10" t="n"/>
      <c r="S64" s="10" t="n"/>
      <c r="AA64" s="10" t="n"/>
      <c r="AB64" s="11">
        <f>IF(LEN(TRIM(X64))=0,"",HYPERLINK("https://www.google.com/maps/@?api=1&amp;map_action=pano&amp;viewpoint="&amp;SUBSTITUTE(X64," ",""),"Abrir Street View"))</f>
        <v/>
      </c>
    </row>
    <row r="65">
      <c r="H65" s="6" t="n"/>
      <c r="I65" s="6" t="n"/>
      <c r="M65" s="7" t="n"/>
      <c r="N65" s="7" t="n"/>
      <c r="O65" s="7" t="n"/>
      <c r="P65" s="8">
        <f>IF(NOT(ISNUMBER(M65)),"",IF(G65="Terreno",IF(AND(ISNUMBER(I65),I65&gt;0),M65/I65,""),IF(AND(ISNUMBER(H65),H65&gt;0),M65/H65,"")))</f>
        <v/>
      </c>
      <c r="Q65" s="9">
        <f>IF(AND(ISNUMBER(M65),ISNUMBER(O65)),IF(M65&lt;=O65,"Valor ≤ venal IPTU",""),"")</f>
        <v/>
      </c>
      <c r="R65" s="10" t="n"/>
      <c r="S65" s="10" t="n"/>
      <c r="AA65" s="10" t="n"/>
      <c r="AB65" s="11">
        <f>IF(LEN(TRIM(X65))=0,"",HYPERLINK("https://www.google.com/maps/@?api=1&amp;map_action=pano&amp;viewpoint="&amp;SUBSTITUTE(X65," ",""),"Abrir Street View"))</f>
        <v/>
      </c>
    </row>
    <row r="66">
      <c r="H66" s="6" t="n"/>
      <c r="I66" s="6" t="n"/>
      <c r="M66" s="7" t="n"/>
      <c r="N66" s="7" t="n"/>
      <c r="O66" s="7" t="n"/>
      <c r="P66" s="8">
        <f>IF(NOT(ISNUMBER(M66)),"",IF(G66="Terreno",IF(AND(ISNUMBER(I66),I66&gt;0),M66/I66,""),IF(AND(ISNUMBER(H66),H66&gt;0),M66/H66,"")))</f>
        <v/>
      </c>
      <c r="Q66" s="9">
        <f>IF(AND(ISNUMBER(M66),ISNUMBER(O66)),IF(M66&lt;=O66,"Valor ≤ venal IPTU",""),"")</f>
        <v/>
      </c>
      <c r="R66" s="10" t="n"/>
      <c r="S66" s="10" t="n"/>
      <c r="AA66" s="10" t="n"/>
      <c r="AB66" s="11">
        <f>IF(LEN(TRIM(X66))=0,"",HYPERLINK("https://www.google.com/maps/@?api=1&amp;map_action=pano&amp;viewpoint="&amp;SUBSTITUTE(X66," ",""),"Abrir Street View"))</f>
        <v/>
      </c>
    </row>
    <row r="67">
      <c r="H67" s="6" t="n"/>
      <c r="I67" s="6" t="n"/>
      <c r="M67" s="7" t="n"/>
      <c r="N67" s="7" t="n"/>
      <c r="O67" s="7" t="n"/>
      <c r="P67" s="8">
        <f>IF(NOT(ISNUMBER(M67)),"",IF(G67="Terreno",IF(AND(ISNUMBER(I67),I67&gt;0),M67/I67,""),IF(AND(ISNUMBER(H67),H67&gt;0),M67/H67,"")))</f>
        <v/>
      </c>
      <c r="Q67" s="9">
        <f>IF(AND(ISNUMBER(M67),ISNUMBER(O67)),IF(M67&lt;=O67,"Valor ≤ venal IPTU",""),"")</f>
        <v/>
      </c>
      <c r="R67" s="10" t="n"/>
      <c r="S67" s="10" t="n"/>
      <c r="AA67" s="10" t="n"/>
      <c r="AB67" s="11">
        <f>IF(LEN(TRIM(X67))=0,"",HYPERLINK("https://www.google.com/maps/@?api=1&amp;map_action=pano&amp;viewpoint="&amp;SUBSTITUTE(X67," ",""),"Abrir Street View"))</f>
        <v/>
      </c>
    </row>
    <row r="68">
      <c r="H68" s="6" t="n"/>
      <c r="I68" s="6" t="n"/>
      <c r="M68" s="7" t="n"/>
      <c r="N68" s="7" t="n"/>
      <c r="O68" s="7" t="n"/>
      <c r="P68" s="8">
        <f>IF(NOT(ISNUMBER(M68)),"",IF(G68="Terreno",IF(AND(ISNUMBER(I68),I68&gt;0),M68/I68,""),IF(AND(ISNUMBER(H68),H68&gt;0),M68/H68,"")))</f>
        <v/>
      </c>
      <c r="Q68" s="9">
        <f>IF(AND(ISNUMBER(M68),ISNUMBER(O68)),IF(M68&lt;=O68,"Valor ≤ venal IPTU",""),"")</f>
        <v/>
      </c>
      <c r="R68" s="10" t="n"/>
      <c r="S68" s="10" t="n"/>
      <c r="AA68" s="10" t="n"/>
      <c r="AB68" s="11">
        <f>IF(LEN(TRIM(X68))=0,"",HYPERLINK("https://www.google.com/maps/@?api=1&amp;map_action=pano&amp;viewpoint="&amp;SUBSTITUTE(X68," ",""),"Abrir Street View"))</f>
        <v/>
      </c>
    </row>
    <row r="69">
      <c r="H69" s="6" t="n"/>
      <c r="I69" s="6" t="n"/>
      <c r="M69" s="7" t="n"/>
      <c r="N69" s="7" t="n"/>
      <c r="O69" s="7" t="n"/>
      <c r="P69" s="8">
        <f>IF(NOT(ISNUMBER(M69)),"",IF(G69="Terreno",IF(AND(ISNUMBER(I69),I69&gt;0),M69/I69,""),IF(AND(ISNUMBER(H69),H69&gt;0),M69/H69,"")))</f>
        <v/>
      </c>
      <c r="Q69" s="9">
        <f>IF(AND(ISNUMBER(M69),ISNUMBER(O69)),IF(M69&lt;=O69,"Valor ≤ venal IPTU",""),"")</f>
        <v/>
      </c>
      <c r="R69" s="10" t="n"/>
      <c r="S69" s="10" t="n"/>
      <c r="AA69" s="10" t="n"/>
      <c r="AB69" s="11">
        <f>IF(LEN(TRIM(X69))=0,"",HYPERLINK("https://www.google.com/maps/@?api=1&amp;map_action=pano&amp;viewpoint="&amp;SUBSTITUTE(X69," ",""),"Abrir Street View"))</f>
        <v/>
      </c>
    </row>
    <row r="70">
      <c r="H70" s="6" t="n"/>
      <c r="I70" s="6" t="n"/>
      <c r="M70" s="7" t="n"/>
      <c r="N70" s="7" t="n"/>
      <c r="O70" s="7" t="n"/>
      <c r="P70" s="8">
        <f>IF(NOT(ISNUMBER(M70)),"",IF(G70="Terreno",IF(AND(ISNUMBER(I70),I70&gt;0),M70/I70,""),IF(AND(ISNUMBER(H70),H70&gt;0),M70/H70,"")))</f>
        <v/>
      </c>
      <c r="Q70" s="9">
        <f>IF(AND(ISNUMBER(M70),ISNUMBER(O70)),IF(M70&lt;=O70,"Valor ≤ venal IPTU",""),"")</f>
        <v/>
      </c>
      <c r="R70" s="10" t="n"/>
      <c r="S70" s="10" t="n"/>
      <c r="AA70" s="10" t="n"/>
      <c r="AB70" s="11">
        <f>IF(LEN(TRIM(X70))=0,"",HYPERLINK("https://www.google.com/maps/@?api=1&amp;map_action=pano&amp;viewpoint="&amp;SUBSTITUTE(X70," ",""),"Abrir Street View"))</f>
        <v/>
      </c>
    </row>
    <row r="71">
      <c r="H71" s="6" t="n"/>
      <c r="I71" s="6" t="n"/>
      <c r="M71" s="7" t="n"/>
      <c r="N71" s="7" t="n"/>
      <c r="O71" s="7" t="n"/>
      <c r="P71" s="8">
        <f>IF(NOT(ISNUMBER(M71)),"",IF(G71="Terreno",IF(AND(ISNUMBER(I71),I71&gt;0),M71/I71,""),IF(AND(ISNUMBER(H71),H71&gt;0),M71/H71,"")))</f>
        <v/>
      </c>
      <c r="Q71" s="9">
        <f>IF(AND(ISNUMBER(M71),ISNUMBER(O71)),IF(M71&lt;=O71,"Valor ≤ venal IPTU",""),"")</f>
        <v/>
      </c>
      <c r="R71" s="10" t="n"/>
      <c r="S71" s="10" t="n"/>
      <c r="AA71" s="10" t="n"/>
      <c r="AB71" s="11">
        <f>IF(LEN(TRIM(X71))=0,"",HYPERLINK("https://www.google.com/maps/@?api=1&amp;map_action=pano&amp;viewpoint="&amp;SUBSTITUTE(X71," ",""),"Abrir Street View"))</f>
        <v/>
      </c>
    </row>
    <row r="72">
      <c r="H72" s="6" t="n"/>
      <c r="I72" s="6" t="n"/>
      <c r="M72" s="7" t="n"/>
      <c r="N72" s="7" t="n"/>
      <c r="O72" s="7" t="n"/>
      <c r="P72" s="8">
        <f>IF(NOT(ISNUMBER(M72)),"",IF(G72="Terreno",IF(AND(ISNUMBER(I72),I72&gt;0),M72/I72,""),IF(AND(ISNUMBER(H72),H72&gt;0),M72/H72,"")))</f>
        <v/>
      </c>
      <c r="Q72" s="9">
        <f>IF(AND(ISNUMBER(M72),ISNUMBER(O72)),IF(M72&lt;=O72,"Valor ≤ venal IPTU",""),"")</f>
        <v/>
      </c>
      <c r="R72" s="10" t="n"/>
      <c r="S72" s="10" t="n"/>
      <c r="AA72" s="10" t="n"/>
      <c r="AB72" s="11">
        <f>IF(LEN(TRIM(X72))=0,"",HYPERLINK("https://www.google.com/maps/@?api=1&amp;map_action=pano&amp;viewpoint="&amp;SUBSTITUTE(X72," ",""),"Abrir Street View"))</f>
        <v/>
      </c>
    </row>
    <row r="73">
      <c r="H73" s="6" t="n"/>
      <c r="I73" s="6" t="n"/>
      <c r="M73" s="7" t="n"/>
      <c r="N73" s="7" t="n"/>
      <c r="O73" s="7" t="n"/>
      <c r="P73" s="8">
        <f>IF(NOT(ISNUMBER(M73)),"",IF(G73="Terreno",IF(AND(ISNUMBER(I73),I73&gt;0),M73/I73,""),IF(AND(ISNUMBER(H73),H73&gt;0),M73/H73,"")))</f>
        <v/>
      </c>
      <c r="Q73" s="9">
        <f>IF(AND(ISNUMBER(M73),ISNUMBER(O73)),IF(M73&lt;=O73,"Valor ≤ venal IPTU",""),"")</f>
        <v/>
      </c>
      <c r="R73" s="10" t="n"/>
      <c r="S73" s="10" t="n"/>
      <c r="AA73" s="10" t="n"/>
      <c r="AB73" s="11">
        <f>IF(LEN(TRIM(X73))=0,"",HYPERLINK("https://www.google.com/maps/@?api=1&amp;map_action=pano&amp;viewpoint="&amp;SUBSTITUTE(X73," ",""),"Abrir Street View"))</f>
        <v/>
      </c>
    </row>
    <row r="74">
      <c r="H74" s="6" t="n"/>
      <c r="I74" s="6" t="n"/>
      <c r="M74" s="7" t="n"/>
      <c r="N74" s="7" t="n"/>
      <c r="O74" s="7" t="n"/>
      <c r="P74" s="8">
        <f>IF(NOT(ISNUMBER(M74)),"",IF(G74="Terreno",IF(AND(ISNUMBER(I74),I74&gt;0),M74/I74,""),IF(AND(ISNUMBER(H74),H74&gt;0),M74/H74,"")))</f>
        <v/>
      </c>
      <c r="Q74" s="9">
        <f>IF(AND(ISNUMBER(M74),ISNUMBER(O74)),IF(M74&lt;=O74,"Valor ≤ venal IPTU",""),"")</f>
        <v/>
      </c>
      <c r="R74" s="10" t="n"/>
      <c r="S74" s="10" t="n"/>
      <c r="AA74" s="10" t="n"/>
      <c r="AB74" s="11">
        <f>IF(LEN(TRIM(X74))=0,"",HYPERLINK("https://www.google.com/maps/@?api=1&amp;map_action=pano&amp;viewpoint="&amp;SUBSTITUTE(X74," ",""),"Abrir Street View"))</f>
        <v/>
      </c>
    </row>
    <row r="75">
      <c r="H75" s="6" t="n"/>
      <c r="I75" s="6" t="n"/>
      <c r="M75" s="7" t="n"/>
      <c r="N75" s="7" t="n"/>
      <c r="O75" s="7" t="n"/>
      <c r="P75" s="8">
        <f>IF(NOT(ISNUMBER(M75)),"",IF(G75="Terreno",IF(AND(ISNUMBER(I75),I75&gt;0),M75/I75,""),IF(AND(ISNUMBER(H75),H75&gt;0),M75/H75,"")))</f>
        <v/>
      </c>
      <c r="Q75" s="9">
        <f>IF(AND(ISNUMBER(M75),ISNUMBER(O75)),IF(M75&lt;=O75,"Valor ≤ venal IPTU",""),"")</f>
        <v/>
      </c>
      <c r="R75" s="10" t="n"/>
      <c r="S75" s="10" t="n"/>
      <c r="AA75" s="10" t="n"/>
      <c r="AB75" s="11">
        <f>IF(LEN(TRIM(X75))=0,"",HYPERLINK("https://www.google.com/maps/@?api=1&amp;map_action=pano&amp;viewpoint="&amp;SUBSTITUTE(X75," ",""),"Abrir Street View"))</f>
        <v/>
      </c>
    </row>
    <row r="76">
      <c r="H76" s="6" t="n"/>
      <c r="I76" s="6" t="n"/>
      <c r="M76" s="7" t="n"/>
      <c r="N76" s="7" t="n"/>
      <c r="O76" s="7" t="n"/>
      <c r="P76" s="8">
        <f>IF(NOT(ISNUMBER(M76)),"",IF(G76="Terreno",IF(AND(ISNUMBER(I76),I76&gt;0),M76/I76,""),IF(AND(ISNUMBER(H76),H76&gt;0),M76/H76,"")))</f>
        <v/>
      </c>
      <c r="Q76" s="9">
        <f>IF(AND(ISNUMBER(M76),ISNUMBER(O76)),IF(M76&lt;=O76,"Valor ≤ venal IPTU",""),"")</f>
        <v/>
      </c>
      <c r="R76" s="10" t="n"/>
      <c r="S76" s="10" t="n"/>
      <c r="AA76" s="10" t="n"/>
      <c r="AB76" s="11">
        <f>IF(LEN(TRIM(X76))=0,"",HYPERLINK("https://www.google.com/maps/@?api=1&amp;map_action=pano&amp;viewpoint="&amp;SUBSTITUTE(X76," ",""),"Abrir Street View"))</f>
        <v/>
      </c>
    </row>
    <row r="77">
      <c r="H77" s="6" t="n"/>
      <c r="I77" s="6" t="n"/>
      <c r="M77" s="7" t="n"/>
      <c r="N77" s="7" t="n"/>
      <c r="O77" s="7" t="n"/>
      <c r="P77" s="8">
        <f>IF(NOT(ISNUMBER(M77)),"",IF(G77="Terreno",IF(AND(ISNUMBER(I77),I77&gt;0),M77/I77,""),IF(AND(ISNUMBER(H77),H77&gt;0),M77/H77,"")))</f>
        <v/>
      </c>
      <c r="Q77" s="9">
        <f>IF(AND(ISNUMBER(M77),ISNUMBER(O77)),IF(M77&lt;=O77,"Valor ≤ venal IPTU",""),"")</f>
        <v/>
      </c>
      <c r="R77" s="10" t="n"/>
      <c r="S77" s="10" t="n"/>
      <c r="AA77" s="10" t="n"/>
      <c r="AB77" s="11">
        <f>IF(LEN(TRIM(X77))=0,"",HYPERLINK("https://www.google.com/maps/@?api=1&amp;map_action=pano&amp;viewpoint="&amp;SUBSTITUTE(X77," ",""),"Abrir Street View"))</f>
        <v/>
      </c>
    </row>
    <row r="78">
      <c r="H78" s="6" t="n"/>
      <c r="I78" s="6" t="n"/>
      <c r="M78" s="7" t="n"/>
      <c r="N78" s="7" t="n"/>
      <c r="O78" s="7" t="n"/>
      <c r="P78" s="8">
        <f>IF(NOT(ISNUMBER(M78)),"",IF(G78="Terreno",IF(AND(ISNUMBER(I78),I78&gt;0),M78/I78,""),IF(AND(ISNUMBER(H78),H78&gt;0),M78/H78,"")))</f>
        <v/>
      </c>
      <c r="Q78" s="9">
        <f>IF(AND(ISNUMBER(M78),ISNUMBER(O78)),IF(M78&lt;=O78,"Valor ≤ venal IPTU",""),"")</f>
        <v/>
      </c>
      <c r="R78" s="10" t="n"/>
      <c r="S78" s="10" t="n"/>
      <c r="AA78" s="10" t="n"/>
      <c r="AB78" s="11">
        <f>IF(LEN(TRIM(X78))=0,"",HYPERLINK("https://www.google.com/maps/@?api=1&amp;map_action=pano&amp;viewpoint="&amp;SUBSTITUTE(X78," ",""),"Abrir Street View"))</f>
        <v/>
      </c>
    </row>
    <row r="79">
      <c r="H79" s="6" t="n"/>
      <c r="I79" s="6" t="n"/>
      <c r="M79" s="7" t="n"/>
      <c r="N79" s="7" t="n"/>
      <c r="O79" s="7" t="n"/>
      <c r="P79" s="8">
        <f>IF(NOT(ISNUMBER(M79)),"",IF(G79="Terreno",IF(AND(ISNUMBER(I79),I79&gt;0),M79/I79,""),IF(AND(ISNUMBER(H79),H79&gt;0),M79/H79,"")))</f>
        <v/>
      </c>
      <c r="Q79" s="9">
        <f>IF(AND(ISNUMBER(M79),ISNUMBER(O79)),IF(M79&lt;=O79,"Valor ≤ venal IPTU",""),"")</f>
        <v/>
      </c>
      <c r="R79" s="10" t="n"/>
      <c r="S79" s="10" t="n"/>
      <c r="AA79" s="10" t="n"/>
      <c r="AB79" s="11">
        <f>IF(LEN(TRIM(X79))=0,"",HYPERLINK("https://www.google.com/maps/@?api=1&amp;map_action=pano&amp;viewpoint="&amp;SUBSTITUTE(X79," ",""),"Abrir Street View"))</f>
        <v/>
      </c>
    </row>
    <row r="80">
      <c r="H80" s="6" t="n"/>
      <c r="I80" s="6" t="n"/>
      <c r="M80" s="7" t="n"/>
      <c r="N80" s="7" t="n"/>
      <c r="O80" s="7" t="n"/>
      <c r="P80" s="8">
        <f>IF(NOT(ISNUMBER(M80)),"",IF(G80="Terreno",IF(AND(ISNUMBER(I80),I80&gt;0),M80/I80,""),IF(AND(ISNUMBER(H80),H80&gt;0),M80/H80,"")))</f>
        <v/>
      </c>
      <c r="Q80" s="9">
        <f>IF(AND(ISNUMBER(M80),ISNUMBER(O80)),IF(M80&lt;=O80,"Valor ≤ venal IPTU",""),"")</f>
        <v/>
      </c>
      <c r="R80" s="10" t="n"/>
      <c r="S80" s="10" t="n"/>
      <c r="AA80" s="10" t="n"/>
      <c r="AB80" s="11">
        <f>IF(LEN(TRIM(X80))=0,"",HYPERLINK("https://www.google.com/maps/@?api=1&amp;map_action=pano&amp;viewpoint="&amp;SUBSTITUTE(X80," ",""),"Abrir Street View"))</f>
        <v/>
      </c>
    </row>
    <row r="81">
      <c r="H81" s="6" t="n"/>
      <c r="I81" s="6" t="n"/>
      <c r="M81" s="7" t="n"/>
      <c r="N81" s="7" t="n"/>
      <c r="O81" s="7" t="n"/>
      <c r="P81" s="8">
        <f>IF(NOT(ISNUMBER(M81)),"",IF(G81="Terreno",IF(AND(ISNUMBER(I81),I81&gt;0),M81/I81,""),IF(AND(ISNUMBER(H81),H81&gt;0),M81/H81,"")))</f>
        <v/>
      </c>
      <c r="Q81" s="9">
        <f>IF(AND(ISNUMBER(M81),ISNUMBER(O81)),IF(M81&lt;=O81,"Valor ≤ venal IPTU",""),"")</f>
        <v/>
      </c>
      <c r="R81" s="10" t="n"/>
      <c r="S81" s="10" t="n"/>
      <c r="AA81" s="10" t="n"/>
      <c r="AB81" s="11">
        <f>IF(LEN(TRIM(X81))=0,"",HYPERLINK("https://www.google.com/maps/@?api=1&amp;map_action=pano&amp;viewpoint="&amp;SUBSTITUTE(X81," ",""),"Abrir Street View"))</f>
        <v/>
      </c>
    </row>
    <row r="82">
      <c r="H82" s="6" t="n"/>
      <c r="I82" s="6" t="n"/>
      <c r="M82" s="7" t="n"/>
      <c r="N82" s="7" t="n"/>
      <c r="O82" s="7" t="n"/>
      <c r="P82" s="8">
        <f>IF(NOT(ISNUMBER(M82)),"",IF(G82="Terreno",IF(AND(ISNUMBER(I82),I82&gt;0),M82/I82,""),IF(AND(ISNUMBER(H82),H82&gt;0),M82/H82,"")))</f>
        <v/>
      </c>
      <c r="Q82" s="9">
        <f>IF(AND(ISNUMBER(M82),ISNUMBER(O82)),IF(M82&lt;=O82,"Valor ≤ venal IPTU",""),"")</f>
        <v/>
      </c>
      <c r="R82" s="10" t="n"/>
      <c r="S82" s="10" t="n"/>
      <c r="AA82" s="10" t="n"/>
      <c r="AB82" s="11">
        <f>IF(LEN(TRIM(X82))=0,"",HYPERLINK("https://www.google.com/maps/@?api=1&amp;map_action=pano&amp;viewpoint="&amp;SUBSTITUTE(X82," ",""),"Abrir Street View"))</f>
        <v/>
      </c>
    </row>
    <row r="83">
      <c r="H83" s="6" t="n"/>
      <c r="I83" s="6" t="n"/>
      <c r="M83" s="7" t="n"/>
      <c r="N83" s="7" t="n"/>
      <c r="O83" s="7" t="n"/>
      <c r="P83" s="8">
        <f>IF(NOT(ISNUMBER(M83)),"",IF(G83="Terreno",IF(AND(ISNUMBER(I83),I83&gt;0),M83/I83,""),IF(AND(ISNUMBER(H83),H83&gt;0),M83/H83,"")))</f>
        <v/>
      </c>
      <c r="Q83" s="9">
        <f>IF(AND(ISNUMBER(M83),ISNUMBER(O83)),IF(M83&lt;=O83,"Valor ≤ venal IPTU",""),"")</f>
        <v/>
      </c>
      <c r="R83" s="10" t="n"/>
      <c r="S83" s="10" t="n"/>
      <c r="AA83" s="10" t="n"/>
      <c r="AB83" s="11">
        <f>IF(LEN(TRIM(X83))=0,"",HYPERLINK("https://www.google.com/maps/@?api=1&amp;map_action=pano&amp;viewpoint="&amp;SUBSTITUTE(X83," ",""),"Abrir Street View"))</f>
        <v/>
      </c>
    </row>
    <row r="84">
      <c r="H84" s="6" t="n"/>
      <c r="I84" s="6" t="n"/>
      <c r="M84" s="7" t="n"/>
      <c r="N84" s="7" t="n"/>
      <c r="O84" s="7" t="n"/>
      <c r="P84" s="8">
        <f>IF(NOT(ISNUMBER(M84)),"",IF(G84="Terreno",IF(AND(ISNUMBER(I84),I84&gt;0),M84/I84,""),IF(AND(ISNUMBER(H84),H84&gt;0),M84/H84,"")))</f>
        <v/>
      </c>
      <c r="Q84" s="9">
        <f>IF(AND(ISNUMBER(M84),ISNUMBER(O84)),IF(M84&lt;=O84,"Valor ≤ venal IPTU",""),"")</f>
        <v/>
      </c>
      <c r="R84" s="10" t="n"/>
      <c r="S84" s="10" t="n"/>
      <c r="AA84" s="10" t="n"/>
      <c r="AB84" s="11">
        <f>IF(LEN(TRIM(X84))=0,"",HYPERLINK("https://www.google.com/maps/@?api=1&amp;map_action=pano&amp;viewpoint="&amp;SUBSTITUTE(X84," ",""),"Abrir Street View"))</f>
        <v/>
      </c>
    </row>
    <row r="85">
      <c r="H85" s="6" t="n"/>
      <c r="I85" s="6" t="n"/>
      <c r="M85" s="7" t="n"/>
      <c r="N85" s="7" t="n"/>
      <c r="O85" s="7" t="n"/>
      <c r="P85" s="8">
        <f>IF(NOT(ISNUMBER(M85)),"",IF(G85="Terreno",IF(AND(ISNUMBER(I85),I85&gt;0),M85/I85,""),IF(AND(ISNUMBER(H85),H85&gt;0),M85/H85,"")))</f>
        <v/>
      </c>
      <c r="Q85" s="9">
        <f>IF(AND(ISNUMBER(M85),ISNUMBER(O85)),IF(M85&lt;=O85,"Valor ≤ venal IPTU",""),"")</f>
        <v/>
      </c>
      <c r="R85" s="10" t="n"/>
      <c r="S85" s="10" t="n"/>
      <c r="AA85" s="10" t="n"/>
      <c r="AB85" s="11">
        <f>IF(LEN(TRIM(X85))=0,"",HYPERLINK("https://www.google.com/maps/@?api=1&amp;map_action=pano&amp;viewpoint="&amp;SUBSTITUTE(X85," ",""),"Abrir Street View"))</f>
        <v/>
      </c>
    </row>
    <row r="86">
      <c r="H86" s="6" t="n"/>
      <c r="I86" s="6" t="n"/>
      <c r="M86" s="7" t="n"/>
      <c r="N86" s="7" t="n"/>
      <c r="O86" s="7" t="n"/>
      <c r="P86" s="8">
        <f>IF(NOT(ISNUMBER(M86)),"",IF(G86="Terreno",IF(AND(ISNUMBER(I86),I86&gt;0),M86/I86,""),IF(AND(ISNUMBER(H86),H86&gt;0),M86/H86,"")))</f>
        <v/>
      </c>
      <c r="Q86" s="9">
        <f>IF(AND(ISNUMBER(M86),ISNUMBER(O86)),IF(M86&lt;=O86,"Valor ≤ venal IPTU",""),"")</f>
        <v/>
      </c>
      <c r="R86" s="10" t="n"/>
      <c r="S86" s="10" t="n"/>
      <c r="AA86" s="10" t="n"/>
      <c r="AB86" s="11">
        <f>IF(LEN(TRIM(X86))=0,"",HYPERLINK("https://www.google.com/maps/@?api=1&amp;map_action=pano&amp;viewpoint="&amp;SUBSTITUTE(X86," ",""),"Abrir Street View"))</f>
        <v/>
      </c>
    </row>
    <row r="87">
      <c r="H87" s="6" t="n"/>
      <c r="I87" s="6" t="n"/>
      <c r="M87" s="7" t="n"/>
      <c r="N87" s="7" t="n"/>
      <c r="O87" s="7" t="n"/>
      <c r="P87" s="8">
        <f>IF(NOT(ISNUMBER(M87)),"",IF(G87="Terreno",IF(AND(ISNUMBER(I87),I87&gt;0),M87/I87,""),IF(AND(ISNUMBER(H87),H87&gt;0),M87/H87,"")))</f>
        <v/>
      </c>
      <c r="Q87" s="9">
        <f>IF(AND(ISNUMBER(M87),ISNUMBER(O87)),IF(M87&lt;=O87,"Valor ≤ venal IPTU",""),"")</f>
        <v/>
      </c>
      <c r="R87" s="10" t="n"/>
      <c r="S87" s="10" t="n"/>
      <c r="AA87" s="10" t="n"/>
      <c r="AB87" s="11">
        <f>IF(LEN(TRIM(X87))=0,"",HYPERLINK("https://www.google.com/maps/@?api=1&amp;map_action=pano&amp;viewpoint="&amp;SUBSTITUTE(X87," ",""),"Abrir Street View"))</f>
        <v/>
      </c>
    </row>
    <row r="88">
      <c r="H88" s="6" t="n"/>
      <c r="I88" s="6" t="n"/>
      <c r="M88" s="7" t="n"/>
      <c r="N88" s="7" t="n"/>
      <c r="O88" s="7" t="n"/>
      <c r="P88" s="8">
        <f>IF(NOT(ISNUMBER(M88)),"",IF(G88="Terreno",IF(AND(ISNUMBER(I88),I88&gt;0),M88/I88,""),IF(AND(ISNUMBER(H88),H88&gt;0),M88/H88,"")))</f>
        <v/>
      </c>
      <c r="Q88" s="9">
        <f>IF(AND(ISNUMBER(M88),ISNUMBER(O88)),IF(M88&lt;=O88,"Valor ≤ venal IPTU",""),"")</f>
        <v/>
      </c>
      <c r="R88" s="10" t="n"/>
      <c r="S88" s="10" t="n"/>
      <c r="AA88" s="10" t="n"/>
      <c r="AB88" s="11">
        <f>IF(LEN(TRIM(X88))=0,"",HYPERLINK("https://www.google.com/maps/@?api=1&amp;map_action=pano&amp;viewpoint="&amp;SUBSTITUTE(X88," ",""),"Abrir Street View"))</f>
        <v/>
      </c>
    </row>
    <row r="89">
      <c r="H89" s="6" t="n"/>
      <c r="I89" s="6" t="n"/>
      <c r="M89" s="7" t="n"/>
      <c r="N89" s="7" t="n"/>
      <c r="O89" s="7" t="n"/>
      <c r="P89" s="8">
        <f>IF(NOT(ISNUMBER(M89)),"",IF(G89="Terreno",IF(AND(ISNUMBER(I89),I89&gt;0),M89/I89,""),IF(AND(ISNUMBER(H89),H89&gt;0),M89/H89,"")))</f>
        <v/>
      </c>
      <c r="Q89" s="9">
        <f>IF(AND(ISNUMBER(M89),ISNUMBER(O89)),IF(M89&lt;=O89,"Valor ≤ venal IPTU",""),"")</f>
        <v/>
      </c>
      <c r="R89" s="10" t="n"/>
      <c r="S89" s="10" t="n"/>
      <c r="AA89" s="10" t="n"/>
      <c r="AB89" s="11">
        <f>IF(LEN(TRIM(X89))=0,"",HYPERLINK("https://www.google.com/maps/@?api=1&amp;map_action=pano&amp;viewpoint="&amp;SUBSTITUTE(X89," ",""),"Abrir Street View"))</f>
        <v/>
      </c>
    </row>
    <row r="90">
      <c r="H90" s="6" t="n"/>
      <c r="I90" s="6" t="n"/>
      <c r="M90" s="7" t="n"/>
      <c r="N90" s="7" t="n"/>
      <c r="O90" s="7" t="n"/>
      <c r="P90" s="8">
        <f>IF(NOT(ISNUMBER(M90)),"",IF(G90="Terreno",IF(AND(ISNUMBER(I90),I90&gt;0),M90/I90,""),IF(AND(ISNUMBER(H90),H90&gt;0),M90/H90,"")))</f>
        <v/>
      </c>
      <c r="Q90" s="9">
        <f>IF(AND(ISNUMBER(M90),ISNUMBER(O90)),IF(M90&lt;=O90,"Valor ≤ venal IPTU",""),"")</f>
        <v/>
      </c>
      <c r="R90" s="10" t="n"/>
      <c r="S90" s="10" t="n"/>
      <c r="AA90" s="10" t="n"/>
      <c r="AB90" s="11">
        <f>IF(LEN(TRIM(X90))=0,"",HYPERLINK("https://www.google.com/maps/@?api=1&amp;map_action=pano&amp;viewpoint="&amp;SUBSTITUTE(X90," ",""),"Abrir Street View"))</f>
        <v/>
      </c>
    </row>
    <row r="91">
      <c r="H91" s="6" t="n"/>
      <c r="I91" s="6" t="n"/>
      <c r="M91" s="7" t="n"/>
      <c r="N91" s="7" t="n"/>
      <c r="O91" s="7" t="n"/>
      <c r="P91" s="8">
        <f>IF(NOT(ISNUMBER(M91)),"",IF(G91="Terreno",IF(AND(ISNUMBER(I91),I91&gt;0),M91/I91,""),IF(AND(ISNUMBER(H91),H91&gt;0),M91/H91,"")))</f>
        <v/>
      </c>
      <c r="Q91" s="9">
        <f>IF(AND(ISNUMBER(M91),ISNUMBER(O91)),IF(M91&lt;=O91,"Valor ≤ venal IPTU",""),"")</f>
        <v/>
      </c>
      <c r="R91" s="10" t="n"/>
      <c r="S91" s="10" t="n"/>
      <c r="AA91" s="10" t="n"/>
      <c r="AB91" s="11">
        <f>IF(LEN(TRIM(X91))=0,"",HYPERLINK("https://www.google.com/maps/@?api=1&amp;map_action=pano&amp;viewpoint="&amp;SUBSTITUTE(X91," ",""),"Abrir Street View"))</f>
        <v/>
      </c>
    </row>
    <row r="92">
      <c r="H92" s="6" t="n"/>
      <c r="I92" s="6" t="n"/>
      <c r="M92" s="7" t="n"/>
      <c r="N92" s="7" t="n"/>
      <c r="O92" s="7" t="n"/>
      <c r="P92" s="8">
        <f>IF(NOT(ISNUMBER(M92)),"",IF(G92="Terreno",IF(AND(ISNUMBER(I92),I92&gt;0),M92/I92,""),IF(AND(ISNUMBER(H92),H92&gt;0),M92/H92,"")))</f>
        <v/>
      </c>
      <c r="Q92" s="9">
        <f>IF(AND(ISNUMBER(M92),ISNUMBER(O92)),IF(M92&lt;=O92,"Valor ≤ venal IPTU",""),"")</f>
        <v/>
      </c>
      <c r="R92" s="10" t="n"/>
      <c r="S92" s="10" t="n"/>
      <c r="AA92" s="10" t="n"/>
      <c r="AB92" s="11">
        <f>IF(LEN(TRIM(X92))=0,"",HYPERLINK("https://www.google.com/maps/@?api=1&amp;map_action=pano&amp;viewpoint="&amp;SUBSTITUTE(X92," ",""),"Abrir Street View"))</f>
        <v/>
      </c>
    </row>
    <row r="93">
      <c r="H93" s="6" t="n"/>
      <c r="I93" s="6" t="n"/>
      <c r="M93" s="7" t="n"/>
      <c r="N93" s="7" t="n"/>
      <c r="O93" s="7" t="n"/>
      <c r="P93" s="8">
        <f>IF(NOT(ISNUMBER(M93)),"",IF(G93="Terreno",IF(AND(ISNUMBER(I93),I93&gt;0),M93/I93,""),IF(AND(ISNUMBER(H93),H93&gt;0),M93/H93,"")))</f>
        <v/>
      </c>
      <c r="Q93" s="9">
        <f>IF(AND(ISNUMBER(M93),ISNUMBER(O93)),IF(M93&lt;=O93,"Valor ≤ venal IPTU",""),"")</f>
        <v/>
      </c>
      <c r="R93" s="10" t="n"/>
      <c r="S93" s="10" t="n"/>
      <c r="AA93" s="10" t="n"/>
      <c r="AB93" s="11">
        <f>IF(LEN(TRIM(X93))=0,"",HYPERLINK("https://www.google.com/maps/@?api=1&amp;map_action=pano&amp;viewpoint="&amp;SUBSTITUTE(X93," ",""),"Abrir Street View"))</f>
        <v/>
      </c>
    </row>
    <row r="94">
      <c r="H94" s="6" t="n"/>
      <c r="I94" s="6" t="n"/>
      <c r="M94" s="7" t="n"/>
      <c r="N94" s="7" t="n"/>
      <c r="O94" s="7" t="n"/>
      <c r="P94" s="8">
        <f>IF(NOT(ISNUMBER(M94)),"",IF(G94="Terreno",IF(AND(ISNUMBER(I94),I94&gt;0),M94/I94,""),IF(AND(ISNUMBER(H94),H94&gt;0),M94/H94,"")))</f>
        <v/>
      </c>
      <c r="Q94" s="9">
        <f>IF(AND(ISNUMBER(M94),ISNUMBER(O94)),IF(M94&lt;=O94,"Valor ≤ venal IPTU",""),"")</f>
        <v/>
      </c>
      <c r="R94" s="10" t="n"/>
      <c r="S94" s="10" t="n"/>
      <c r="AA94" s="10" t="n"/>
      <c r="AB94" s="11">
        <f>IF(LEN(TRIM(X94))=0,"",HYPERLINK("https://www.google.com/maps/@?api=1&amp;map_action=pano&amp;viewpoint="&amp;SUBSTITUTE(X94," ",""),"Abrir Street View"))</f>
        <v/>
      </c>
    </row>
    <row r="95">
      <c r="H95" s="6" t="n"/>
      <c r="I95" s="6" t="n"/>
      <c r="M95" s="7" t="n"/>
      <c r="N95" s="7" t="n"/>
      <c r="O95" s="7" t="n"/>
      <c r="P95" s="8">
        <f>IF(NOT(ISNUMBER(M95)),"",IF(G95="Terreno",IF(AND(ISNUMBER(I95),I95&gt;0),M95/I95,""),IF(AND(ISNUMBER(H95),H95&gt;0),M95/H95,"")))</f>
        <v/>
      </c>
      <c r="Q95" s="9">
        <f>IF(AND(ISNUMBER(M95),ISNUMBER(O95)),IF(M95&lt;=O95,"Valor ≤ venal IPTU",""),"")</f>
        <v/>
      </c>
      <c r="R95" s="10" t="n"/>
      <c r="S95" s="10" t="n"/>
      <c r="AA95" s="10" t="n"/>
      <c r="AB95" s="11">
        <f>IF(LEN(TRIM(X95))=0,"",HYPERLINK("https://www.google.com/maps/@?api=1&amp;map_action=pano&amp;viewpoint="&amp;SUBSTITUTE(X95," ",""),"Abrir Street View"))</f>
        <v/>
      </c>
    </row>
    <row r="96">
      <c r="H96" s="6" t="n"/>
      <c r="I96" s="6" t="n"/>
      <c r="M96" s="7" t="n"/>
      <c r="N96" s="7" t="n"/>
      <c r="O96" s="7" t="n"/>
      <c r="P96" s="8">
        <f>IF(NOT(ISNUMBER(M96)),"",IF(G96="Terreno",IF(AND(ISNUMBER(I96),I96&gt;0),M96/I96,""),IF(AND(ISNUMBER(H96),H96&gt;0),M96/H96,"")))</f>
        <v/>
      </c>
      <c r="Q96" s="9">
        <f>IF(AND(ISNUMBER(M96),ISNUMBER(O96)),IF(M96&lt;=O96,"Valor ≤ venal IPTU",""),"")</f>
        <v/>
      </c>
      <c r="R96" s="10" t="n"/>
      <c r="S96" s="10" t="n"/>
      <c r="AA96" s="10" t="n"/>
      <c r="AB96" s="11">
        <f>IF(LEN(TRIM(X96))=0,"",HYPERLINK("https://www.google.com/maps/@?api=1&amp;map_action=pano&amp;viewpoint="&amp;SUBSTITUTE(X96," ",""),"Abrir Street View"))</f>
        <v/>
      </c>
    </row>
    <row r="97">
      <c r="H97" s="6" t="n"/>
      <c r="I97" s="6" t="n"/>
      <c r="M97" s="7" t="n"/>
      <c r="N97" s="7" t="n"/>
      <c r="O97" s="7" t="n"/>
      <c r="P97" s="8">
        <f>IF(NOT(ISNUMBER(M97)),"",IF(G97="Terreno",IF(AND(ISNUMBER(I97),I97&gt;0),M97/I97,""),IF(AND(ISNUMBER(H97),H97&gt;0),M97/H97,"")))</f>
        <v/>
      </c>
      <c r="Q97" s="9">
        <f>IF(AND(ISNUMBER(M97),ISNUMBER(O97)),IF(M97&lt;=O97,"Valor ≤ venal IPTU",""),"")</f>
        <v/>
      </c>
      <c r="R97" s="10" t="n"/>
      <c r="S97" s="10" t="n"/>
      <c r="AA97" s="10" t="n"/>
      <c r="AB97" s="11">
        <f>IF(LEN(TRIM(X97))=0,"",HYPERLINK("https://www.google.com/maps/@?api=1&amp;map_action=pano&amp;viewpoint="&amp;SUBSTITUTE(X97," ",""),"Abrir Street View"))</f>
        <v/>
      </c>
    </row>
    <row r="98">
      <c r="H98" s="6" t="n"/>
      <c r="I98" s="6" t="n"/>
      <c r="M98" s="7" t="n"/>
      <c r="N98" s="7" t="n"/>
      <c r="O98" s="7" t="n"/>
      <c r="P98" s="8">
        <f>IF(NOT(ISNUMBER(M98)),"",IF(G98="Terreno",IF(AND(ISNUMBER(I98),I98&gt;0),M98/I98,""),IF(AND(ISNUMBER(H98),H98&gt;0),M98/H98,"")))</f>
        <v/>
      </c>
      <c r="Q98" s="9">
        <f>IF(AND(ISNUMBER(M98),ISNUMBER(O98)),IF(M98&lt;=O98,"Valor ≤ venal IPTU",""),"")</f>
        <v/>
      </c>
      <c r="R98" s="10" t="n"/>
      <c r="S98" s="10" t="n"/>
      <c r="AA98" s="10" t="n"/>
      <c r="AB98" s="11">
        <f>IF(LEN(TRIM(X98))=0,"",HYPERLINK("https://www.google.com/maps/@?api=1&amp;map_action=pano&amp;viewpoint="&amp;SUBSTITUTE(X98," ",""),"Abrir Street View"))</f>
        <v/>
      </c>
    </row>
    <row r="99">
      <c r="H99" s="6" t="n"/>
      <c r="I99" s="6" t="n"/>
      <c r="M99" s="7" t="n"/>
      <c r="N99" s="7" t="n"/>
      <c r="O99" s="7" t="n"/>
      <c r="P99" s="8">
        <f>IF(NOT(ISNUMBER(M99)),"",IF(G99="Terreno",IF(AND(ISNUMBER(I99),I99&gt;0),M99/I99,""),IF(AND(ISNUMBER(H99),H99&gt;0),M99/H99,"")))</f>
        <v/>
      </c>
      <c r="Q99" s="9">
        <f>IF(AND(ISNUMBER(M99),ISNUMBER(O99)),IF(M99&lt;=O99,"Valor ≤ venal IPTU",""),"")</f>
        <v/>
      </c>
      <c r="R99" s="10" t="n"/>
      <c r="S99" s="10" t="n"/>
      <c r="AA99" s="10" t="n"/>
      <c r="AB99" s="11">
        <f>IF(LEN(TRIM(X99))=0,"",HYPERLINK("https://www.google.com/maps/@?api=1&amp;map_action=pano&amp;viewpoint="&amp;SUBSTITUTE(X99," ",""),"Abrir Street View"))</f>
        <v/>
      </c>
    </row>
    <row r="100">
      <c r="H100" s="6" t="n"/>
      <c r="I100" s="6" t="n"/>
      <c r="M100" s="7" t="n"/>
      <c r="N100" s="7" t="n"/>
      <c r="O100" s="7" t="n"/>
      <c r="P100" s="8">
        <f>IF(NOT(ISNUMBER(M100)),"",IF(G100="Terreno",IF(AND(ISNUMBER(I100),I100&gt;0),M100/I100,""),IF(AND(ISNUMBER(H100),H100&gt;0),M100/H100,"")))</f>
        <v/>
      </c>
      <c r="Q100" s="9">
        <f>IF(AND(ISNUMBER(M100),ISNUMBER(O100)),IF(M100&lt;=O100,"Valor ≤ venal IPTU",""),"")</f>
        <v/>
      </c>
      <c r="R100" s="10" t="n"/>
      <c r="S100" s="10" t="n"/>
      <c r="AA100" s="10" t="n"/>
      <c r="AB100" s="11">
        <f>IF(LEN(TRIM(X100))=0,"",HYPERLINK("https://www.google.com/maps/@?api=1&amp;map_action=pano&amp;viewpoint="&amp;SUBSTITUTE(X100," ",""),"Abrir Street View"))</f>
        <v/>
      </c>
    </row>
    <row r="101">
      <c r="H101" s="6" t="n"/>
      <c r="I101" s="6" t="n"/>
      <c r="M101" s="7" t="n"/>
      <c r="N101" s="7" t="n"/>
      <c r="O101" s="7" t="n"/>
      <c r="P101" s="8">
        <f>IF(NOT(ISNUMBER(M101)),"",IF(G101="Terreno",IF(AND(ISNUMBER(I101),I101&gt;0),M101/I101,""),IF(AND(ISNUMBER(H101),H101&gt;0),M101/H101,"")))</f>
        <v/>
      </c>
      <c r="Q101" s="9">
        <f>IF(AND(ISNUMBER(M101),ISNUMBER(O101)),IF(M101&lt;=O101,"Valor ≤ venal IPTU",""),"")</f>
        <v/>
      </c>
      <c r="R101" s="10" t="n"/>
      <c r="S101" s="10" t="n"/>
      <c r="AA101" s="10" t="n"/>
      <c r="AB101" s="11">
        <f>IF(LEN(TRIM(X101))=0,"",HYPERLINK("https://www.google.com/maps/@?api=1&amp;map_action=pano&amp;viewpoint="&amp;SUBSTITUTE(X101," ",""),"Abrir Street View"))</f>
        <v/>
      </c>
    </row>
    <row r="102">
      <c r="H102" s="6" t="n"/>
      <c r="I102" s="6" t="n"/>
      <c r="M102" s="7" t="n"/>
      <c r="N102" s="7" t="n"/>
      <c r="O102" s="7" t="n"/>
      <c r="P102" s="8">
        <f>IF(NOT(ISNUMBER(M102)),"",IF(G102="Terreno",IF(AND(ISNUMBER(I102),I102&gt;0),M102/I102,""),IF(AND(ISNUMBER(H102),H102&gt;0),M102/H102,"")))</f>
        <v/>
      </c>
      <c r="Q102" s="9">
        <f>IF(AND(ISNUMBER(M102),ISNUMBER(O102)),IF(M102&lt;=O102,"Valor ≤ venal IPTU",""),"")</f>
        <v/>
      </c>
      <c r="R102" s="10" t="n"/>
      <c r="S102" s="10" t="n"/>
      <c r="AA102" s="10" t="n"/>
      <c r="AB102" s="11">
        <f>IF(LEN(TRIM(X102))=0,"",HYPERLINK("https://www.google.com/maps/@?api=1&amp;map_action=pano&amp;viewpoint="&amp;SUBSTITUTE(X102," ",""),"Abrir Street View"))</f>
        <v/>
      </c>
    </row>
    <row r="103">
      <c r="H103" s="6" t="n"/>
      <c r="I103" s="6" t="n"/>
      <c r="M103" s="7" t="n"/>
      <c r="N103" s="7" t="n"/>
      <c r="O103" s="7" t="n"/>
      <c r="P103" s="8">
        <f>IF(NOT(ISNUMBER(M103)),"",IF(G103="Terreno",IF(AND(ISNUMBER(I103),I103&gt;0),M103/I103,""),IF(AND(ISNUMBER(H103),H103&gt;0),M103/H103,"")))</f>
        <v/>
      </c>
      <c r="Q103" s="9">
        <f>IF(AND(ISNUMBER(M103),ISNUMBER(O103)),IF(M103&lt;=O103,"Valor ≤ venal IPTU",""),"")</f>
        <v/>
      </c>
      <c r="R103" s="10" t="n"/>
      <c r="S103" s="10" t="n"/>
      <c r="AA103" s="10" t="n"/>
      <c r="AB103" s="11">
        <f>IF(LEN(TRIM(X103))=0,"",HYPERLINK("https://www.google.com/maps/@?api=1&amp;map_action=pano&amp;viewpoint="&amp;SUBSTITUTE(X103," ",""),"Abrir Street View"))</f>
        <v/>
      </c>
    </row>
    <row r="104">
      <c r="H104" s="6" t="n"/>
      <c r="I104" s="6" t="n"/>
      <c r="M104" s="7" t="n"/>
      <c r="N104" s="7" t="n"/>
      <c r="O104" s="7" t="n"/>
      <c r="P104" s="8">
        <f>IF(NOT(ISNUMBER(M104)),"",IF(G104="Terreno",IF(AND(ISNUMBER(I104),I104&gt;0),M104/I104,""),IF(AND(ISNUMBER(H104),H104&gt;0),M104/H104,"")))</f>
        <v/>
      </c>
      <c r="Q104" s="9">
        <f>IF(AND(ISNUMBER(M104),ISNUMBER(O104)),IF(M104&lt;=O104,"Valor ≤ venal IPTU",""),"")</f>
        <v/>
      </c>
      <c r="R104" s="10" t="n"/>
      <c r="S104" s="10" t="n"/>
      <c r="AA104" s="10" t="n"/>
      <c r="AB104" s="11">
        <f>IF(LEN(TRIM(X104))=0,"",HYPERLINK("https://www.google.com/maps/@?api=1&amp;map_action=pano&amp;viewpoint="&amp;SUBSTITUTE(X104," ",""),"Abrir Street View"))</f>
        <v/>
      </c>
    </row>
    <row r="105">
      <c r="H105" s="6" t="n"/>
      <c r="I105" s="6" t="n"/>
      <c r="M105" s="7" t="n"/>
      <c r="N105" s="7" t="n"/>
      <c r="O105" s="7" t="n"/>
      <c r="P105" s="8">
        <f>IF(NOT(ISNUMBER(M105)),"",IF(G105="Terreno",IF(AND(ISNUMBER(I105),I105&gt;0),M105/I105,""),IF(AND(ISNUMBER(H105),H105&gt;0),M105/H105,"")))</f>
        <v/>
      </c>
      <c r="Q105" s="9">
        <f>IF(AND(ISNUMBER(M105),ISNUMBER(O105)),IF(M105&lt;=O105,"Valor ≤ venal IPTU",""),"")</f>
        <v/>
      </c>
      <c r="R105" s="10" t="n"/>
      <c r="S105" s="10" t="n"/>
      <c r="AA105" s="10" t="n"/>
      <c r="AB105" s="11">
        <f>IF(LEN(TRIM(X105))=0,"",HYPERLINK("https://www.google.com/maps/@?api=1&amp;map_action=pano&amp;viewpoint="&amp;SUBSTITUTE(X105," ",""),"Abrir Street View"))</f>
        <v/>
      </c>
    </row>
    <row r="106">
      <c r="H106" s="6" t="n"/>
      <c r="I106" s="6" t="n"/>
      <c r="M106" s="7" t="n"/>
      <c r="N106" s="7" t="n"/>
      <c r="O106" s="7" t="n"/>
      <c r="P106" s="8">
        <f>IF(NOT(ISNUMBER(M106)),"",IF(G106="Terreno",IF(AND(ISNUMBER(I106),I106&gt;0),M106/I106,""),IF(AND(ISNUMBER(H106),H106&gt;0),M106/H106,"")))</f>
        <v/>
      </c>
      <c r="Q106" s="9">
        <f>IF(AND(ISNUMBER(M106),ISNUMBER(O106)),IF(M106&lt;=O106,"Valor ≤ venal IPTU",""),"")</f>
        <v/>
      </c>
      <c r="R106" s="10" t="n"/>
      <c r="S106" s="10" t="n"/>
      <c r="AA106" s="10" t="n"/>
      <c r="AB106" s="11">
        <f>IF(LEN(TRIM(X106))=0,"",HYPERLINK("https://www.google.com/maps/@?api=1&amp;map_action=pano&amp;viewpoint="&amp;SUBSTITUTE(X106," ",""),"Abrir Street View"))</f>
        <v/>
      </c>
    </row>
    <row r="107">
      <c r="H107" s="6" t="n"/>
      <c r="I107" s="6" t="n"/>
      <c r="M107" s="7" t="n"/>
      <c r="N107" s="7" t="n"/>
      <c r="O107" s="7" t="n"/>
      <c r="P107" s="8">
        <f>IF(NOT(ISNUMBER(M107)),"",IF(G107="Terreno",IF(AND(ISNUMBER(I107),I107&gt;0),M107/I107,""),IF(AND(ISNUMBER(H107),H107&gt;0),M107/H107,"")))</f>
        <v/>
      </c>
      <c r="Q107" s="9">
        <f>IF(AND(ISNUMBER(M107),ISNUMBER(O107)),IF(M107&lt;=O107,"Valor ≤ venal IPTU",""),"")</f>
        <v/>
      </c>
      <c r="R107" s="10" t="n"/>
      <c r="S107" s="10" t="n"/>
      <c r="AA107" s="10" t="n"/>
      <c r="AB107" s="11">
        <f>IF(LEN(TRIM(X107))=0,"",HYPERLINK("https://www.google.com/maps/@?api=1&amp;map_action=pano&amp;viewpoint="&amp;SUBSTITUTE(X107," ",""),"Abrir Street View"))</f>
        <v/>
      </c>
    </row>
    <row r="108">
      <c r="H108" s="6" t="n"/>
      <c r="I108" s="6" t="n"/>
      <c r="M108" s="7" t="n"/>
      <c r="N108" s="7" t="n"/>
      <c r="O108" s="7" t="n"/>
      <c r="P108" s="8">
        <f>IF(NOT(ISNUMBER(M108)),"",IF(G108="Terreno",IF(AND(ISNUMBER(I108),I108&gt;0),M108/I108,""),IF(AND(ISNUMBER(H108),H108&gt;0),M108/H108,"")))</f>
        <v/>
      </c>
      <c r="Q108" s="9">
        <f>IF(AND(ISNUMBER(M108),ISNUMBER(O108)),IF(M108&lt;=O108,"Valor ≤ venal IPTU",""),"")</f>
        <v/>
      </c>
      <c r="R108" s="10" t="n"/>
      <c r="S108" s="10" t="n"/>
      <c r="AA108" s="10" t="n"/>
      <c r="AB108" s="11">
        <f>IF(LEN(TRIM(X108))=0,"",HYPERLINK("https://www.google.com/maps/@?api=1&amp;map_action=pano&amp;viewpoint="&amp;SUBSTITUTE(X108," ",""),"Abrir Street View"))</f>
        <v/>
      </c>
    </row>
    <row r="109">
      <c r="H109" s="6" t="n"/>
      <c r="I109" s="6" t="n"/>
      <c r="M109" s="7" t="n"/>
      <c r="N109" s="7" t="n"/>
      <c r="O109" s="7" t="n"/>
      <c r="P109" s="8">
        <f>IF(NOT(ISNUMBER(M109)),"",IF(G109="Terreno",IF(AND(ISNUMBER(I109),I109&gt;0),M109/I109,""),IF(AND(ISNUMBER(H109),H109&gt;0),M109/H109,"")))</f>
        <v/>
      </c>
      <c r="Q109" s="9">
        <f>IF(AND(ISNUMBER(M109),ISNUMBER(O109)),IF(M109&lt;=O109,"Valor ≤ venal IPTU",""),"")</f>
        <v/>
      </c>
      <c r="R109" s="10" t="n"/>
      <c r="S109" s="10" t="n"/>
      <c r="AA109" s="10" t="n"/>
      <c r="AB109" s="11">
        <f>IF(LEN(TRIM(X109))=0,"",HYPERLINK("https://www.google.com/maps/@?api=1&amp;map_action=pano&amp;viewpoint="&amp;SUBSTITUTE(X109," ",""),"Abrir Street View"))</f>
        <v/>
      </c>
    </row>
    <row r="110">
      <c r="H110" s="6" t="n"/>
      <c r="I110" s="6" t="n"/>
      <c r="M110" s="7" t="n"/>
      <c r="N110" s="7" t="n"/>
      <c r="O110" s="7" t="n"/>
      <c r="P110" s="8">
        <f>IF(NOT(ISNUMBER(M110)),"",IF(G110="Terreno",IF(AND(ISNUMBER(I110),I110&gt;0),M110/I110,""),IF(AND(ISNUMBER(H110),H110&gt;0),M110/H110,"")))</f>
        <v/>
      </c>
      <c r="Q110" s="9">
        <f>IF(AND(ISNUMBER(M110),ISNUMBER(O110)),IF(M110&lt;=O110,"Valor ≤ venal IPTU",""),"")</f>
        <v/>
      </c>
      <c r="R110" s="10" t="n"/>
      <c r="S110" s="10" t="n"/>
      <c r="AA110" s="10" t="n"/>
      <c r="AB110" s="11">
        <f>IF(LEN(TRIM(X110))=0,"",HYPERLINK("https://www.google.com/maps/@?api=1&amp;map_action=pano&amp;viewpoint="&amp;SUBSTITUTE(X110," ",""),"Abrir Street View"))</f>
        <v/>
      </c>
    </row>
    <row r="111">
      <c r="H111" s="6" t="n"/>
      <c r="I111" s="6" t="n"/>
      <c r="M111" s="7" t="n"/>
      <c r="N111" s="7" t="n"/>
      <c r="O111" s="7" t="n"/>
      <c r="P111" s="8">
        <f>IF(NOT(ISNUMBER(M111)),"",IF(G111="Terreno",IF(AND(ISNUMBER(I111),I111&gt;0),M111/I111,""),IF(AND(ISNUMBER(H111),H111&gt;0),M111/H111,"")))</f>
        <v/>
      </c>
      <c r="Q111" s="9">
        <f>IF(AND(ISNUMBER(M111),ISNUMBER(O111)),IF(M111&lt;=O111,"Valor ≤ venal IPTU",""),"")</f>
        <v/>
      </c>
      <c r="R111" s="10" t="n"/>
      <c r="S111" s="10" t="n"/>
      <c r="AA111" s="10" t="n"/>
      <c r="AB111" s="11">
        <f>IF(LEN(TRIM(X111))=0,"",HYPERLINK("https://www.google.com/maps/@?api=1&amp;map_action=pano&amp;viewpoint="&amp;SUBSTITUTE(X111," ",""),"Abrir Street View"))</f>
        <v/>
      </c>
    </row>
    <row r="112">
      <c r="H112" s="6" t="n"/>
      <c r="I112" s="6" t="n"/>
      <c r="M112" s="7" t="n"/>
      <c r="N112" s="7" t="n"/>
      <c r="O112" s="7" t="n"/>
      <c r="P112" s="8">
        <f>IF(NOT(ISNUMBER(M112)),"",IF(G112="Terreno",IF(AND(ISNUMBER(I112),I112&gt;0),M112/I112,""),IF(AND(ISNUMBER(H112),H112&gt;0),M112/H112,"")))</f>
        <v/>
      </c>
      <c r="Q112" s="9">
        <f>IF(AND(ISNUMBER(M112),ISNUMBER(O112)),IF(M112&lt;=O112,"Valor ≤ venal IPTU",""),"")</f>
        <v/>
      </c>
      <c r="R112" s="10" t="n"/>
      <c r="S112" s="10" t="n"/>
      <c r="AA112" s="10" t="n"/>
      <c r="AB112" s="11">
        <f>IF(LEN(TRIM(X112))=0,"",HYPERLINK("https://www.google.com/maps/@?api=1&amp;map_action=pano&amp;viewpoint="&amp;SUBSTITUTE(X112," ",""),"Abrir Street View"))</f>
        <v/>
      </c>
    </row>
    <row r="113">
      <c r="H113" s="6" t="n"/>
      <c r="I113" s="6" t="n"/>
      <c r="M113" s="7" t="n"/>
      <c r="N113" s="7" t="n"/>
      <c r="O113" s="7" t="n"/>
      <c r="P113" s="8">
        <f>IF(NOT(ISNUMBER(M113)),"",IF(G113="Terreno",IF(AND(ISNUMBER(I113),I113&gt;0),M113/I113,""),IF(AND(ISNUMBER(H113),H113&gt;0),M113/H113,"")))</f>
        <v/>
      </c>
      <c r="Q113" s="9">
        <f>IF(AND(ISNUMBER(M113),ISNUMBER(O113)),IF(M113&lt;=O113,"Valor ≤ venal IPTU",""),"")</f>
        <v/>
      </c>
      <c r="R113" s="10" t="n"/>
      <c r="S113" s="10" t="n"/>
      <c r="AA113" s="10" t="n"/>
      <c r="AB113" s="11">
        <f>IF(LEN(TRIM(X113))=0,"",HYPERLINK("https://www.google.com/maps/@?api=1&amp;map_action=pano&amp;viewpoint="&amp;SUBSTITUTE(X113," ",""),"Abrir Street View"))</f>
        <v/>
      </c>
    </row>
    <row r="114">
      <c r="H114" s="6" t="n"/>
      <c r="I114" s="6" t="n"/>
      <c r="M114" s="7" t="n"/>
      <c r="N114" s="7" t="n"/>
      <c r="O114" s="7" t="n"/>
      <c r="P114" s="8">
        <f>IF(NOT(ISNUMBER(M114)),"",IF(G114="Terreno",IF(AND(ISNUMBER(I114),I114&gt;0),M114/I114,""),IF(AND(ISNUMBER(H114),H114&gt;0),M114/H114,"")))</f>
        <v/>
      </c>
      <c r="Q114" s="9">
        <f>IF(AND(ISNUMBER(M114),ISNUMBER(O114)),IF(M114&lt;=O114,"Valor ≤ venal IPTU",""),"")</f>
        <v/>
      </c>
      <c r="R114" s="10" t="n"/>
      <c r="S114" s="10" t="n"/>
      <c r="AA114" s="10" t="n"/>
      <c r="AB114" s="11">
        <f>IF(LEN(TRIM(X114))=0,"",HYPERLINK("https://www.google.com/maps/@?api=1&amp;map_action=pano&amp;viewpoint="&amp;SUBSTITUTE(X114," ",""),"Abrir Street View"))</f>
        <v/>
      </c>
    </row>
    <row r="115">
      <c r="H115" s="6" t="n"/>
      <c r="I115" s="6" t="n"/>
      <c r="M115" s="7" t="n"/>
      <c r="N115" s="7" t="n"/>
      <c r="O115" s="7" t="n"/>
      <c r="P115" s="8">
        <f>IF(NOT(ISNUMBER(M115)),"",IF(G115="Terreno",IF(AND(ISNUMBER(I115),I115&gt;0),M115/I115,""),IF(AND(ISNUMBER(H115),H115&gt;0),M115/H115,"")))</f>
        <v/>
      </c>
      <c r="Q115" s="9">
        <f>IF(AND(ISNUMBER(M115),ISNUMBER(O115)),IF(M115&lt;=O115,"Valor ≤ venal IPTU",""),"")</f>
        <v/>
      </c>
      <c r="R115" s="10" t="n"/>
      <c r="S115" s="10" t="n"/>
      <c r="AA115" s="10" t="n"/>
      <c r="AB115" s="11">
        <f>IF(LEN(TRIM(X115))=0,"",HYPERLINK("https://www.google.com/maps/@?api=1&amp;map_action=pano&amp;viewpoint="&amp;SUBSTITUTE(X115," ",""),"Abrir Street View"))</f>
        <v/>
      </c>
    </row>
    <row r="116">
      <c r="H116" s="6" t="n"/>
      <c r="I116" s="6" t="n"/>
      <c r="M116" s="7" t="n"/>
      <c r="N116" s="7" t="n"/>
      <c r="O116" s="7" t="n"/>
      <c r="P116" s="8">
        <f>IF(NOT(ISNUMBER(M116)),"",IF(G116="Terreno",IF(AND(ISNUMBER(I116),I116&gt;0),M116/I116,""),IF(AND(ISNUMBER(H116),H116&gt;0),M116/H116,"")))</f>
        <v/>
      </c>
      <c r="Q116" s="9">
        <f>IF(AND(ISNUMBER(M116),ISNUMBER(O116)),IF(M116&lt;=O116,"Valor ≤ venal IPTU",""),"")</f>
        <v/>
      </c>
      <c r="R116" s="10" t="n"/>
      <c r="S116" s="10" t="n"/>
      <c r="AA116" s="10" t="n"/>
      <c r="AB116" s="11">
        <f>IF(LEN(TRIM(X116))=0,"",HYPERLINK("https://www.google.com/maps/@?api=1&amp;map_action=pano&amp;viewpoint="&amp;SUBSTITUTE(X116," ",""),"Abrir Street View"))</f>
        <v/>
      </c>
    </row>
    <row r="117">
      <c r="H117" s="6" t="n"/>
      <c r="I117" s="6" t="n"/>
      <c r="M117" s="7" t="n"/>
      <c r="N117" s="7" t="n"/>
      <c r="O117" s="7" t="n"/>
      <c r="P117" s="8">
        <f>IF(NOT(ISNUMBER(M117)),"",IF(G117="Terreno",IF(AND(ISNUMBER(I117),I117&gt;0),M117/I117,""),IF(AND(ISNUMBER(H117),H117&gt;0),M117/H117,"")))</f>
        <v/>
      </c>
      <c r="Q117" s="9">
        <f>IF(AND(ISNUMBER(M117),ISNUMBER(O117)),IF(M117&lt;=O117,"Valor ≤ venal IPTU",""),"")</f>
        <v/>
      </c>
      <c r="R117" s="10" t="n"/>
      <c r="S117" s="10" t="n"/>
      <c r="AA117" s="10" t="n"/>
      <c r="AB117" s="11">
        <f>IF(LEN(TRIM(X117))=0,"",HYPERLINK("https://www.google.com/maps/@?api=1&amp;map_action=pano&amp;viewpoint="&amp;SUBSTITUTE(X117," ",""),"Abrir Street View"))</f>
        <v/>
      </c>
    </row>
    <row r="118">
      <c r="H118" s="6" t="n"/>
      <c r="I118" s="6" t="n"/>
      <c r="M118" s="7" t="n"/>
      <c r="N118" s="7" t="n"/>
      <c r="O118" s="7" t="n"/>
      <c r="P118" s="8">
        <f>IF(NOT(ISNUMBER(M118)),"",IF(G118="Terreno",IF(AND(ISNUMBER(I118),I118&gt;0),M118/I118,""),IF(AND(ISNUMBER(H118),H118&gt;0),M118/H118,"")))</f>
        <v/>
      </c>
      <c r="Q118" s="9">
        <f>IF(AND(ISNUMBER(M118),ISNUMBER(O118)),IF(M118&lt;=O118,"Valor ≤ venal IPTU",""),"")</f>
        <v/>
      </c>
      <c r="R118" s="10" t="n"/>
      <c r="S118" s="10" t="n"/>
      <c r="AA118" s="10" t="n"/>
      <c r="AB118" s="11">
        <f>IF(LEN(TRIM(X118))=0,"",HYPERLINK("https://www.google.com/maps/@?api=1&amp;map_action=pano&amp;viewpoint="&amp;SUBSTITUTE(X118," ",""),"Abrir Street View"))</f>
        <v/>
      </c>
    </row>
    <row r="119">
      <c r="H119" s="6" t="n"/>
      <c r="I119" s="6" t="n"/>
      <c r="M119" s="7" t="n"/>
      <c r="N119" s="7" t="n"/>
      <c r="O119" s="7" t="n"/>
      <c r="P119" s="8">
        <f>IF(NOT(ISNUMBER(M119)),"",IF(G119="Terreno",IF(AND(ISNUMBER(I119),I119&gt;0),M119/I119,""),IF(AND(ISNUMBER(H119),H119&gt;0),M119/H119,"")))</f>
        <v/>
      </c>
      <c r="Q119" s="9">
        <f>IF(AND(ISNUMBER(M119),ISNUMBER(O119)),IF(M119&lt;=O119,"Valor ≤ venal IPTU",""),"")</f>
        <v/>
      </c>
      <c r="R119" s="10" t="n"/>
      <c r="S119" s="10" t="n"/>
      <c r="AA119" s="10" t="n"/>
      <c r="AB119" s="11">
        <f>IF(LEN(TRIM(X119))=0,"",HYPERLINK("https://www.google.com/maps/@?api=1&amp;map_action=pano&amp;viewpoint="&amp;SUBSTITUTE(X119," ",""),"Abrir Street View"))</f>
        <v/>
      </c>
    </row>
    <row r="120">
      <c r="H120" s="6" t="n"/>
      <c r="I120" s="6" t="n"/>
      <c r="M120" s="7" t="n"/>
      <c r="N120" s="7" t="n"/>
      <c r="O120" s="7" t="n"/>
      <c r="P120" s="8">
        <f>IF(NOT(ISNUMBER(M120)),"",IF(G120="Terreno",IF(AND(ISNUMBER(I120),I120&gt;0),M120/I120,""),IF(AND(ISNUMBER(H120),H120&gt;0),M120/H120,"")))</f>
        <v/>
      </c>
      <c r="Q120" s="9">
        <f>IF(AND(ISNUMBER(M120),ISNUMBER(O120)),IF(M120&lt;=O120,"Valor ≤ venal IPTU",""),"")</f>
        <v/>
      </c>
      <c r="R120" s="10" t="n"/>
      <c r="S120" s="10" t="n"/>
      <c r="AA120" s="10" t="n"/>
      <c r="AB120" s="11">
        <f>IF(LEN(TRIM(X120))=0,"",HYPERLINK("https://www.google.com/maps/@?api=1&amp;map_action=pano&amp;viewpoint="&amp;SUBSTITUTE(X120," ",""),"Abrir Street View"))</f>
        <v/>
      </c>
    </row>
    <row r="121">
      <c r="H121" s="6" t="n"/>
      <c r="I121" s="6" t="n"/>
      <c r="M121" s="7" t="n"/>
      <c r="N121" s="7" t="n"/>
      <c r="O121" s="7" t="n"/>
      <c r="P121" s="8">
        <f>IF(NOT(ISNUMBER(M121)),"",IF(G121="Terreno",IF(AND(ISNUMBER(I121),I121&gt;0),M121/I121,""),IF(AND(ISNUMBER(H121),H121&gt;0),M121/H121,"")))</f>
        <v/>
      </c>
      <c r="Q121" s="9">
        <f>IF(AND(ISNUMBER(M121),ISNUMBER(O121)),IF(M121&lt;=O121,"Valor ≤ venal IPTU",""),"")</f>
        <v/>
      </c>
      <c r="R121" s="10" t="n"/>
      <c r="S121" s="10" t="n"/>
      <c r="AA121" s="10" t="n"/>
      <c r="AB121" s="11">
        <f>IF(LEN(TRIM(X121))=0,"",HYPERLINK("https://www.google.com/maps/@?api=1&amp;map_action=pano&amp;viewpoint="&amp;SUBSTITUTE(X121," ",""),"Abrir Street View"))</f>
        <v/>
      </c>
    </row>
    <row r="122">
      <c r="H122" s="6" t="n"/>
      <c r="I122" s="6" t="n"/>
      <c r="M122" s="7" t="n"/>
      <c r="N122" s="7" t="n"/>
      <c r="O122" s="7" t="n"/>
      <c r="P122" s="8">
        <f>IF(NOT(ISNUMBER(M122)),"",IF(G122="Terreno",IF(AND(ISNUMBER(I122),I122&gt;0),M122/I122,""),IF(AND(ISNUMBER(H122),H122&gt;0),M122/H122,"")))</f>
        <v/>
      </c>
      <c r="Q122" s="9">
        <f>IF(AND(ISNUMBER(M122),ISNUMBER(O122)),IF(M122&lt;=O122,"Valor ≤ venal IPTU",""),"")</f>
        <v/>
      </c>
      <c r="R122" s="10" t="n"/>
      <c r="S122" s="10" t="n"/>
      <c r="AA122" s="10" t="n"/>
      <c r="AB122" s="11">
        <f>IF(LEN(TRIM(X122))=0,"",HYPERLINK("https://www.google.com/maps/@?api=1&amp;map_action=pano&amp;viewpoint="&amp;SUBSTITUTE(X122," ",""),"Abrir Street View"))</f>
        <v/>
      </c>
    </row>
    <row r="123">
      <c r="H123" s="6" t="n"/>
      <c r="I123" s="6" t="n"/>
      <c r="M123" s="7" t="n"/>
      <c r="N123" s="7" t="n"/>
      <c r="O123" s="7" t="n"/>
      <c r="P123" s="8">
        <f>IF(NOT(ISNUMBER(M123)),"",IF(G123="Terreno",IF(AND(ISNUMBER(I123),I123&gt;0),M123/I123,""),IF(AND(ISNUMBER(H123),H123&gt;0),M123/H123,"")))</f>
        <v/>
      </c>
      <c r="Q123" s="9">
        <f>IF(AND(ISNUMBER(M123),ISNUMBER(O123)),IF(M123&lt;=O123,"Valor ≤ venal IPTU",""),"")</f>
        <v/>
      </c>
      <c r="R123" s="10" t="n"/>
      <c r="S123" s="10" t="n"/>
      <c r="AA123" s="10" t="n"/>
      <c r="AB123" s="11">
        <f>IF(LEN(TRIM(X123))=0,"",HYPERLINK("https://www.google.com/maps/@?api=1&amp;map_action=pano&amp;viewpoint="&amp;SUBSTITUTE(X123," ",""),"Abrir Street View"))</f>
        <v/>
      </c>
    </row>
    <row r="124">
      <c r="H124" s="6" t="n"/>
      <c r="I124" s="6" t="n"/>
      <c r="M124" s="7" t="n"/>
      <c r="N124" s="7" t="n"/>
      <c r="O124" s="7" t="n"/>
      <c r="P124" s="8">
        <f>IF(NOT(ISNUMBER(M124)),"",IF(G124="Terreno",IF(AND(ISNUMBER(I124),I124&gt;0),M124/I124,""),IF(AND(ISNUMBER(H124),H124&gt;0),M124/H124,"")))</f>
        <v/>
      </c>
      <c r="Q124" s="9">
        <f>IF(AND(ISNUMBER(M124),ISNUMBER(O124)),IF(M124&lt;=O124,"Valor ≤ venal IPTU",""),"")</f>
        <v/>
      </c>
      <c r="R124" s="10" t="n"/>
      <c r="S124" s="10" t="n"/>
      <c r="AA124" s="10" t="n"/>
      <c r="AB124" s="11">
        <f>IF(LEN(TRIM(X124))=0,"",HYPERLINK("https://www.google.com/maps/@?api=1&amp;map_action=pano&amp;viewpoint="&amp;SUBSTITUTE(X124," ",""),"Abrir Street View"))</f>
        <v/>
      </c>
    </row>
    <row r="125">
      <c r="H125" s="6" t="n"/>
      <c r="I125" s="6" t="n"/>
      <c r="M125" s="7" t="n"/>
      <c r="N125" s="7" t="n"/>
      <c r="O125" s="7" t="n"/>
      <c r="P125" s="8">
        <f>IF(NOT(ISNUMBER(M125)),"",IF(G125="Terreno",IF(AND(ISNUMBER(I125),I125&gt;0),M125/I125,""),IF(AND(ISNUMBER(H125),H125&gt;0),M125/H125,"")))</f>
        <v/>
      </c>
      <c r="Q125" s="9">
        <f>IF(AND(ISNUMBER(M125),ISNUMBER(O125)),IF(M125&lt;=O125,"Valor ≤ venal IPTU",""),"")</f>
        <v/>
      </c>
      <c r="R125" s="10" t="n"/>
      <c r="S125" s="10" t="n"/>
      <c r="AA125" s="10" t="n"/>
      <c r="AB125" s="11">
        <f>IF(LEN(TRIM(X125))=0,"",HYPERLINK("https://www.google.com/maps/@?api=1&amp;map_action=pano&amp;viewpoint="&amp;SUBSTITUTE(X125," ",""),"Abrir Street View"))</f>
        <v/>
      </c>
    </row>
    <row r="126">
      <c r="H126" s="6" t="n"/>
      <c r="I126" s="6" t="n"/>
      <c r="M126" s="7" t="n"/>
      <c r="N126" s="7" t="n"/>
      <c r="O126" s="7" t="n"/>
      <c r="P126" s="8">
        <f>IF(NOT(ISNUMBER(M126)),"",IF(G126="Terreno",IF(AND(ISNUMBER(I126),I126&gt;0),M126/I126,""),IF(AND(ISNUMBER(H126),H126&gt;0),M126/H126,"")))</f>
        <v/>
      </c>
      <c r="Q126" s="9">
        <f>IF(AND(ISNUMBER(M126),ISNUMBER(O126)),IF(M126&lt;=O126,"Valor ≤ venal IPTU",""),"")</f>
        <v/>
      </c>
      <c r="R126" s="10" t="n"/>
      <c r="S126" s="10" t="n"/>
      <c r="AA126" s="10" t="n"/>
      <c r="AB126" s="11">
        <f>IF(LEN(TRIM(X126))=0,"",HYPERLINK("https://www.google.com/maps/@?api=1&amp;map_action=pano&amp;viewpoint="&amp;SUBSTITUTE(X126," ",""),"Abrir Street View"))</f>
        <v/>
      </c>
    </row>
    <row r="127">
      <c r="H127" s="6" t="n"/>
      <c r="I127" s="6" t="n"/>
      <c r="M127" s="7" t="n"/>
      <c r="N127" s="7" t="n"/>
      <c r="O127" s="7" t="n"/>
      <c r="P127" s="8">
        <f>IF(NOT(ISNUMBER(M127)),"",IF(G127="Terreno",IF(AND(ISNUMBER(I127),I127&gt;0),M127/I127,""),IF(AND(ISNUMBER(H127),H127&gt;0),M127/H127,"")))</f>
        <v/>
      </c>
      <c r="Q127" s="9">
        <f>IF(AND(ISNUMBER(M127),ISNUMBER(O127)),IF(M127&lt;=O127,"Valor ≤ venal IPTU",""),"")</f>
        <v/>
      </c>
      <c r="R127" s="10" t="n"/>
      <c r="S127" s="10" t="n"/>
      <c r="AA127" s="10" t="n"/>
      <c r="AB127" s="11">
        <f>IF(LEN(TRIM(X127))=0,"",HYPERLINK("https://www.google.com/maps/@?api=1&amp;map_action=pano&amp;viewpoint="&amp;SUBSTITUTE(X127," ",""),"Abrir Street View"))</f>
        <v/>
      </c>
    </row>
    <row r="128">
      <c r="H128" s="6" t="n"/>
      <c r="I128" s="6" t="n"/>
      <c r="M128" s="7" t="n"/>
      <c r="N128" s="7" t="n"/>
      <c r="O128" s="7" t="n"/>
      <c r="P128" s="8">
        <f>IF(NOT(ISNUMBER(M128)),"",IF(G128="Terreno",IF(AND(ISNUMBER(I128),I128&gt;0),M128/I128,""),IF(AND(ISNUMBER(H128),H128&gt;0),M128/H128,"")))</f>
        <v/>
      </c>
      <c r="Q128" s="9">
        <f>IF(AND(ISNUMBER(M128),ISNUMBER(O128)),IF(M128&lt;=O128,"Valor ≤ venal IPTU",""),"")</f>
        <v/>
      </c>
      <c r="R128" s="10" t="n"/>
      <c r="S128" s="10" t="n"/>
      <c r="AA128" s="10" t="n"/>
      <c r="AB128" s="11">
        <f>IF(LEN(TRIM(X128))=0,"",HYPERLINK("https://www.google.com/maps/@?api=1&amp;map_action=pano&amp;viewpoint="&amp;SUBSTITUTE(X128," ",""),"Abrir Street View"))</f>
        <v/>
      </c>
    </row>
    <row r="129">
      <c r="H129" s="6" t="n"/>
      <c r="I129" s="6" t="n"/>
      <c r="M129" s="7" t="n"/>
      <c r="N129" s="7" t="n"/>
      <c r="O129" s="7" t="n"/>
      <c r="P129" s="8">
        <f>IF(NOT(ISNUMBER(M129)),"",IF(G129="Terreno",IF(AND(ISNUMBER(I129),I129&gt;0),M129/I129,""),IF(AND(ISNUMBER(H129),H129&gt;0),M129/H129,"")))</f>
        <v/>
      </c>
      <c r="Q129" s="9">
        <f>IF(AND(ISNUMBER(M129),ISNUMBER(O129)),IF(M129&lt;=O129,"Valor ≤ venal IPTU",""),"")</f>
        <v/>
      </c>
      <c r="R129" s="10" t="n"/>
      <c r="S129" s="10" t="n"/>
      <c r="AA129" s="10" t="n"/>
      <c r="AB129" s="11">
        <f>IF(LEN(TRIM(X129))=0,"",HYPERLINK("https://www.google.com/maps/@?api=1&amp;map_action=pano&amp;viewpoint="&amp;SUBSTITUTE(X129," ",""),"Abrir Street View"))</f>
        <v/>
      </c>
    </row>
    <row r="130">
      <c r="H130" s="6" t="n"/>
      <c r="I130" s="6" t="n"/>
      <c r="M130" s="7" t="n"/>
      <c r="N130" s="7" t="n"/>
      <c r="O130" s="7" t="n"/>
      <c r="P130" s="8">
        <f>IF(NOT(ISNUMBER(M130)),"",IF(G130="Terreno",IF(AND(ISNUMBER(I130),I130&gt;0),M130/I130,""),IF(AND(ISNUMBER(H130),H130&gt;0),M130/H130,"")))</f>
        <v/>
      </c>
      <c r="Q130" s="9">
        <f>IF(AND(ISNUMBER(M130),ISNUMBER(O130)),IF(M130&lt;=O130,"Valor ≤ venal IPTU",""),"")</f>
        <v/>
      </c>
      <c r="R130" s="10" t="n"/>
      <c r="S130" s="10" t="n"/>
      <c r="AA130" s="10" t="n"/>
      <c r="AB130" s="11">
        <f>IF(LEN(TRIM(X130))=0,"",HYPERLINK("https://www.google.com/maps/@?api=1&amp;map_action=pano&amp;viewpoint="&amp;SUBSTITUTE(X130," ",""),"Abrir Street View"))</f>
        <v/>
      </c>
    </row>
    <row r="131">
      <c r="H131" s="6" t="n"/>
      <c r="I131" s="6" t="n"/>
      <c r="M131" s="7" t="n"/>
      <c r="N131" s="7" t="n"/>
      <c r="O131" s="7" t="n"/>
      <c r="P131" s="8">
        <f>IF(NOT(ISNUMBER(M131)),"",IF(G131="Terreno",IF(AND(ISNUMBER(I131),I131&gt;0),M131/I131,""),IF(AND(ISNUMBER(H131),H131&gt;0),M131/H131,"")))</f>
        <v/>
      </c>
      <c r="Q131" s="9">
        <f>IF(AND(ISNUMBER(M131),ISNUMBER(O131)),IF(M131&lt;=O131,"Valor ≤ venal IPTU",""),"")</f>
        <v/>
      </c>
      <c r="R131" s="10" t="n"/>
      <c r="S131" s="10" t="n"/>
      <c r="AA131" s="10" t="n"/>
      <c r="AB131" s="11">
        <f>IF(LEN(TRIM(X131))=0,"",HYPERLINK("https://www.google.com/maps/@?api=1&amp;map_action=pano&amp;viewpoint="&amp;SUBSTITUTE(X131," ",""),"Abrir Street View"))</f>
        <v/>
      </c>
    </row>
    <row r="132">
      <c r="H132" s="6" t="n"/>
      <c r="I132" s="6" t="n"/>
      <c r="M132" s="7" t="n"/>
      <c r="N132" s="7" t="n"/>
      <c r="O132" s="7" t="n"/>
      <c r="P132" s="8">
        <f>IF(NOT(ISNUMBER(M132)),"",IF(G132="Terreno",IF(AND(ISNUMBER(I132),I132&gt;0),M132/I132,""),IF(AND(ISNUMBER(H132),H132&gt;0),M132/H132,"")))</f>
        <v/>
      </c>
      <c r="Q132" s="9">
        <f>IF(AND(ISNUMBER(M132),ISNUMBER(O132)),IF(M132&lt;=O132,"Valor ≤ venal IPTU",""),"")</f>
        <v/>
      </c>
      <c r="R132" s="10" t="n"/>
      <c r="S132" s="10" t="n"/>
      <c r="AA132" s="10" t="n"/>
      <c r="AB132" s="11">
        <f>IF(LEN(TRIM(X132))=0,"",HYPERLINK("https://www.google.com/maps/@?api=1&amp;map_action=pano&amp;viewpoint="&amp;SUBSTITUTE(X132," ",""),"Abrir Street View"))</f>
        <v/>
      </c>
    </row>
    <row r="133">
      <c r="H133" s="6" t="n"/>
      <c r="I133" s="6" t="n"/>
      <c r="M133" s="7" t="n"/>
      <c r="N133" s="7" t="n"/>
      <c r="O133" s="7" t="n"/>
      <c r="P133" s="8">
        <f>IF(NOT(ISNUMBER(M133)),"",IF(G133="Terreno",IF(AND(ISNUMBER(I133),I133&gt;0),M133/I133,""),IF(AND(ISNUMBER(H133),H133&gt;0),M133/H133,"")))</f>
        <v/>
      </c>
      <c r="Q133" s="9">
        <f>IF(AND(ISNUMBER(M133),ISNUMBER(O133)),IF(M133&lt;=O133,"Valor ≤ venal IPTU",""),"")</f>
        <v/>
      </c>
      <c r="R133" s="10" t="n"/>
      <c r="S133" s="10" t="n"/>
      <c r="AA133" s="10" t="n"/>
      <c r="AB133" s="11">
        <f>IF(LEN(TRIM(X133))=0,"",HYPERLINK("https://www.google.com/maps/@?api=1&amp;map_action=pano&amp;viewpoint="&amp;SUBSTITUTE(X133," ",""),"Abrir Street View"))</f>
        <v/>
      </c>
    </row>
    <row r="134">
      <c r="H134" s="6" t="n"/>
      <c r="I134" s="6" t="n"/>
      <c r="M134" s="7" t="n"/>
      <c r="N134" s="7" t="n"/>
      <c r="O134" s="7" t="n"/>
      <c r="P134" s="8">
        <f>IF(NOT(ISNUMBER(M134)),"",IF(G134="Terreno",IF(AND(ISNUMBER(I134),I134&gt;0),M134/I134,""),IF(AND(ISNUMBER(H134),H134&gt;0),M134/H134,"")))</f>
        <v/>
      </c>
      <c r="Q134" s="9">
        <f>IF(AND(ISNUMBER(M134),ISNUMBER(O134)),IF(M134&lt;=O134,"Valor ≤ venal IPTU",""),"")</f>
        <v/>
      </c>
      <c r="R134" s="10" t="n"/>
      <c r="S134" s="10" t="n"/>
      <c r="AA134" s="10" t="n"/>
      <c r="AB134" s="11">
        <f>IF(LEN(TRIM(X134))=0,"",HYPERLINK("https://www.google.com/maps/@?api=1&amp;map_action=pano&amp;viewpoint="&amp;SUBSTITUTE(X134," ",""),"Abrir Street View"))</f>
        <v/>
      </c>
    </row>
    <row r="135">
      <c r="H135" s="6" t="n"/>
      <c r="I135" s="6" t="n"/>
      <c r="M135" s="7" t="n"/>
      <c r="N135" s="7" t="n"/>
      <c r="O135" s="7" t="n"/>
      <c r="P135" s="8">
        <f>IF(NOT(ISNUMBER(M135)),"",IF(G135="Terreno",IF(AND(ISNUMBER(I135),I135&gt;0),M135/I135,""),IF(AND(ISNUMBER(H135),H135&gt;0),M135/H135,"")))</f>
        <v/>
      </c>
      <c r="Q135" s="9">
        <f>IF(AND(ISNUMBER(M135),ISNUMBER(O135)),IF(M135&lt;=O135,"Valor ≤ venal IPTU",""),"")</f>
        <v/>
      </c>
      <c r="R135" s="10" t="n"/>
      <c r="S135" s="10" t="n"/>
      <c r="AA135" s="10" t="n"/>
      <c r="AB135" s="11">
        <f>IF(LEN(TRIM(X135))=0,"",HYPERLINK("https://www.google.com/maps/@?api=1&amp;map_action=pano&amp;viewpoint="&amp;SUBSTITUTE(X135," ",""),"Abrir Street View"))</f>
        <v/>
      </c>
    </row>
    <row r="136">
      <c r="H136" s="6" t="n"/>
      <c r="I136" s="6" t="n"/>
      <c r="M136" s="7" t="n"/>
      <c r="N136" s="7" t="n"/>
      <c r="O136" s="7" t="n"/>
      <c r="P136" s="8">
        <f>IF(NOT(ISNUMBER(M136)),"",IF(G136="Terreno",IF(AND(ISNUMBER(I136),I136&gt;0),M136/I136,""),IF(AND(ISNUMBER(H136),H136&gt;0),M136/H136,"")))</f>
        <v/>
      </c>
      <c r="Q136" s="9">
        <f>IF(AND(ISNUMBER(M136),ISNUMBER(O136)),IF(M136&lt;=O136,"Valor ≤ venal IPTU",""),"")</f>
        <v/>
      </c>
      <c r="R136" s="10" t="n"/>
      <c r="S136" s="10" t="n"/>
      <c r="AA136" s="10" t="n"/>
      <c r="AB136" s="11">
        <f>IF(LEN(TRIM(X136))=0,"",HYPERLINK("https://www.google.com/maps/@?api=1&amp;map_action=pano&amp;viewpoint="&amp;SUBSTITUTE(X136," ",""),"Abrir Street View"))</f>
        <v/>
      </c>
    </row>
    <row r="137">
      <c r="H137" s="6" t="n"/>
      <c r="I137" s="6" t="n"/>
      <c r="M137" s="7" t="n"/>
      <c r="N137" s="7" t="n"/>
      <c r="O137" s="7" t="n"/>
      <c r="P137" s="8">
        <f>IF(NOT(ISNUMBER(M137)),"",IF(G137="Terreno",IF(AND(ISNUMBER(I137),I137&gt;0),M137/I137,""),IF(AND(ISNUMBER(H137),H137&gt;0),M137/H137,"")))</f>
        <v/>
      </c>
      <c r="Q137" s="9">
        <f>IF(AND(ISNUMBER(M137),ISNUMBER(O137)),IF(M137&lt;=O137,"Valor ≤ venal IPTU",""),"")</f>
        <v/>
      </c>
      <c r="R137" s="10" t="n"/>
      <c r="S137" s="10" t="n"/>
      <c r="AA137" s="10" t="n"/>
      <c r="AB137" s="11">
        <f>IF(LEN(TRIM(X137))=0,"",HYPERLINK("https://www.google.com/maps/@?api=1&amp;map_action=pano&amp;viewpoint="&amp;SUBSTITUTE(X137," ",""),"Abrir Street View"))</f>
        <v/>
      </c>
    </row>
    <row r="138">
      <c r="H138" s="6" t="n"/>
      <c r="I138" s="6" t="n"/>
      <c r="M138" s="7" t="n"/>
      <c r="N138" s="7" t="n"/>
      <c r="O138" s="7" t="n"/>
      <c r="P138" s="8">
        <f>IF(NOT(ISNUMBER(M138)),"",IF(G138="Terreno",IF(AND(ISNUMBER(I138),I138&gt;0),M138/I138,""),IF(AND(ISNUMBER(H138),H138&gt;0),M138/H138,"")))</f>
        <v/>
      </c>
      <c r="Q138" s="9">
        <f>IF(AND(ISNUMBER(M138),ISNUMBER(O138)),IF(M138&lt;=O138,"Valor ≤ venal IPTU",""),"")</f>
        <v/>
      </c>
      <c r="R138" s="10" t="n"/>
      <c r="S138" s="10" t="n"/>
      <c r="AA138" s="10" t="n"/>
      <c r="AB138" s="11">
        <f>IF(LEN(TRIM(X138))=0,"",HYPERLINK("https://www.google.com/maps/@?api=1&amp;map_action=pano&amp;viewpoint="&amp;SUBSTITUTE(X138," ",""),"Abrir Street View"))</f>
        <v/>
      </c>
    </row>
    <row r="139">
      <c r="H139" s="6" t="n"/>
      <c r="I139" s="6" t="n"/>
      <c r="M139" s="7" t="n"/>
      <c r="N139" s="7" t="n"/>
      <c r="O139" s="7" t="n"/>
      <c r="P139" s="8">
        <f>IF(NOT(ISNUMBER(M139)),"",IF(G139="Terreno",IF(AND(ISNUMBER(I139),I139&gt;0),M139/I139,""),IF(AND(ISNUMBER(H139),H139&gt;0),M139/H139,"")))</f>
        <v/>
      </c>
      <c r="Q139" s="9">
        <f>IF(AND(ISNUMBER(M139),ISNUMBER(O139)),IF(M139&lt;=O139,"Valor ≤ venal IPTU",""),"")</f>
        <v/>
      </c>
      <c r="R139" s="10" t="n"/>
      <c r="S139" s="10" t="n"/>
      <c r="AA139" s="10" t="n"/>
      <c r="AB139" s="11">
        <f>IF(LEN(TRIM(X139))=0,"",HYPERLINK("https://www.google.com/maps/@?api=1&amp;map_action=pano&amp;viewpoint="&amp;SUBSTITUTE(X139," ",""),"Abrir Street View"))</f>
        <v/>
      </c>
    </row>
    <row r="140">
      <c r="H140" s="6" t="n"/>
      <c r="I140" s="6" t="n"/>
      <c r="M140" s="7" t="n"/>
      <c r="N140" s="7" t="n"/>
      <c r="O140" s="7" t="n"/>
      <c r="P140" s="8">
        <f>IF(NOT(ISNUMBER(M140)),"",IF(G140="Terreno",IF(AND(ISNUMBER(I140),I140&gt;0),M140/I140,""),IF(AND(ISNUMBER(H140),H140&gt;0),M140/H140,"")))</f>
        <v/>
      </c>
      <c r="Q140" s="9">
        <f>IF(AND(ISNUMBER(M140),ISNUMBER(O140)),IF(M140&lt;=O140,"Valor ≤ venal IPTU",""),"")</f>
        <v/>
      </c>
      <c r="R140" s="10" t="n"/>
      <c r="S140" s="10" t="n"/>
      <c r="AA140" s="10" t="n"/>
      <c r="AB140" s="11">
        <f>IF(LEN(TRIM(X140))=0,"",HYPERLINK("https://www.google.com/maps/@?api=1&amp;map_action=pano&amp;viewpoint="&amp;SUBSTITUTE(X140," ",""),"Abrir Street View"))</f>
        <v/>
      </c>
    </row>
    <row r="141">
      <c r="H141" s="6" t="n"/>
      <c r="I141" s="6" t="n"/>
      <c r="M141" s="7" t="n"/>
      <c r="N141" s="7" t="n"/>
      <c r="O141" s="7" t="n"/>
      <c r="P141" s="8">
        <f>IF(NOT(ISNUMBER(M141)),"",IF(G141="Terreno",IF(AND(ISNUMBER(I141),I141&gt;0),M141/I141,""),IF(AND(ISNUMBER(H141),H141&gt;0),M141/H141,"")))</f>
        <v/>
      </c>
      <c r="Q141" s="9">
        <f>IF(AND(ISNUMBER(M141),ISNUMBER(O141)),IF(M141&lt;=O141,"Valor ≤ venal IPTU",""),"")</f>
        <v/>
      </c>
      <c r="R141" s="10" t="n"/>
      <c r="S141" s="10" t="n"/>
      <c r="AA141" s="10" t="n"/>
      <c r="AB141" s="11">
        <f>IF(LEN(TRIM(X141))=0,"",HYPERLINK("https://www.google.com/maps/@?api=1&amp;map_action=pano&amp;viewpoint="&amp;SUBSTITUTE(X141," ",""),"Abrir Street View"))</f>
        <v/>
      </c>
    </row>
    <row r="142">
      <c r="H142" s="6" t="n"/>
      <c r="I142" s="6" t="n"/>
      <c r="M142" s="7" t="n"/>
      <c r="N142" s="7" t="n"/>
      <c r="O142" s="7" t="n"/>
      <c r="P142" s="8">
        <f>IF(NOT(ISNUMBER(M142)),"",IF(G142="Terreno",IF(AND(ISNUMBER(I142),I142&gt;0),M142/I142,""),IF(AND(ISNUMBER(H142),H142&gt;0),M142/H142,"")))</f>
        <v/>
      </c>
      <c r="Q142" s="9">
        <f>IF(AND(ISNUMBER(M142),ISNUMBER(O142)),IF(M142&lt;=O142,"Valor ≤ venal IPTU",""),"")</f>
        <v/>
      </c>
      <c r="R142" s="10" t="n"/>
      <c r="S142" s="10" t="n"/>
      <c r="AA142" s="10" t="n"/>
      <c r="AB142" s="11">
        <f>IF(LEN(TRIM(X142))=0,"",HYPERLINK("https://www.google.com/maps/@?api=1&amp;map_action=pano&amp;viewpoint="&amp;SUBSTITUTE(X142," ",""),"Abrir Street View"))</f>
        <v/>
      </c>
    </row>
    <row r="143">
      <c r="H143" s="6" t="n"/>
      <c r="I143" s="6" t="n"/>
      <c r="M143" s="7" t="n"/>
      <c r="N143" s="7" t="n"/>
      <c r="O143" s="7" t="n"/>
      <c r="P143" s="8">
        <f>IF(NOT(ISNUMBER(M143)),"",IF(G143="Terreno",IF(AND(ISNUMBER(I143),I143&gt;0),M143/I143,""),IF(AND(ISNUMBER(H143),H143&gt;0),M143/H143,"")))</f>
        <v/>
      </c>
      <c r="Q143" s="9">
        <f>IF(AND(ISNUMBER(M143),ISNUMBER(O143)),IF(M143&lt;=O143,"Valor ≤ venal IPTU",""),"")</f>
        <v/>
      </c>
      <c r="R143" s="10" t="n"/>
      <c r="S143" s="10" t="n"/>
      <c r="AA143" s="10" t="n"/>
      <c r="AB143" s="11">
        <f>IF(LEN(TRIM(X143))=0,"",HYPERLINK("https://www.google.com/maps/@?api=1&amp;map_action=pano&amp;viewpoint="&amp;SUBSTITUTE(X143," ",""),"Abrir Street View"))</f>
        <v/>
      </c>
    </row>
    <row r="144">
      <c r="H144" s="6" t="n"/>
      <c r="I144" s="6" t="n"/>
      <c r="M144" s="7" t="n"/>
      <c r="N144" s="7" t="n"/>
      <c r="O144" s="7" t="n"/>
      <c r="P144" s="8">
        <f>IF(NOT(ISNUMBER(M144)),"",IF(G144="Terreno",IF(AND(ISNUMBER(I144),I144&gt;0),M144/I144,""),IF(AND(ISNUMBER(H144),H144&gt;0),M144/H144,"")))</f>
        <v/>
      </c>
      <c r="Q144" s="9">
        <f>IF(AND(ISNUMBER(M144),ISNUMBER(O144)),IF(M144&lt;=O144,"Valor ≤ venal IPTU",""),"")</f>
        <v/>
      </c>
      <c r="R144" s="10" t="n"/>
      <c r="S144" s="10" t="n"/>
      <c r="AA144" s="10" t="n"/>
      <c r="AB144" s="11">
        <f>IF(LEN(TRIM(X144))=0,"",HYPERLINK("https://www.google.com/maps/@?api=1&amp;map_action=pano&amp;viewpoint="&amp;SUBSTITUTE(X144," ",""),"Abrir Street View"))</f>
        <v/>
      </c>
    </row>
    <row r="145">
      <c r="H145" s="6" t="n"/>
      <c r="I145" s="6" t="n"/>
      <c r="M145" s="7" t="n"/>
      <c r="N145" s="7" t="n"/>
      <c r="O145" s="7" t="n"/>
      <c r="P145" s="8">
        <f>IF(NOT(ISNUMBER(M145)),"",IF(G145="Terreno",IF(AND(ISNUMBER(I145),I145&gt;0),M145/I145,""),IF(AND(ISNUMBER(H145),H145&gt;0),M145/H145,"")))</f>
        <v/>
      </c>
      <c r="Q145" s="9">
        <f>IF(AND(ISNUMBER(M145),ISNUMBER(O145)),IF(M145&lt;=O145,"Valor ≤ venal IPTU",""),"")</f>
        <v/>
      </c>
      <c r="R145" s="10" t="n"/>
      <c r="S145" s="10" t="n"/>
      <c r="AA145" s="10" t="n"/>
      <c r="AB145" s="11">
        <f>IF(LEN(TRIM(X145))=0,"",HYPERLINK("https://www.google.com/maps/@?api=1&amp;map_action=pano&amp;viewpoint="&amp;SUBSTITUTE(X145," ",""),"Abrir Street View"))</f>
        <v/>
      </c>
    </row>
    <row r="146">
      <c r="H146" s="6" t="n"/>
      <c r="I146" s="6" t="n"/>
      <c r="M146" s="7" t="n"/>
      <c r="N146" s="7" t="n"/>
      <c r="O146" s="7" t="n"/>
      <c r="P146" s="8">
        <f>IF(NOT(ISNUMBER(M146)),"",IF(G146="Terreno",IF(AND(ISNUMBER(I146),I146&gt;0),M146/I146,""),IF(AND(ISNUMBER(H146),H146&gt;0),M146/H146,"")))</f>
        <v/>
      </c>
      <c r="Q146" s="9">
        <f>IF(AND(ISNUMBER(M146),ISNUMBER(O146)),IF(M146&lt;=O146,"Valor ≤ venal IPTU",""),"")</f>
        <v/>
      </c>
      <c r="R146" s="10" t="n"/>
      <c r="S146" s="10" t="n"/>
      <c r="AA146" s="10" t="n"/>
      <c r="AB146" s="11">
        <f>IF(LEN(TRIM(X146))=0,"",HYPERLINK("https://www.google.com/maps/@?api=1&amp;map_action=pano&amp;viewpoint="&amp;SUBSTITUTE(X146," ",""),"Abrir Street View"))</f>
        <v/>
      </c>
    </row>
    <row r="147">
      <c r="H147" s="6" t="n"/>
      <c r="I147" s="6" t="n"/>
      <c r="M147" s="7" t="n"/>
      <c r="N147" s="7" t="n"/>
      <c r="O147" s="7" t="n"/>
      <c r="P147" s="8">
        <f>IF(NOT(ISNUMBER(M147)),"",IF(G147="Terreno",IF(AND(ISNUMBER(I147),I147&gt;0),M147/I147,""),IF(AND(ISNUMBER(H147),H147&gt;0),M147/H147,"")))</f>
        <v/>
      </c>
      <c r="Q147" s="9">
        <f>IF(AND(ISNUMBER(M147),ISNUMBER(O147)),IF(M147&lt;=O147,"Valor ≤ venal IPTU",""),"")</f>
        <v/>
      </c>
      <c r="R147" s="10" t="n"/>
      <c r="S147" s="10" t="n"/>
      <c r="AA147" s="10" t="n"/>
      <c r="AB147" s="11">
        <f>IF(LEN(TRIM(X147))=0,"",HYPERLINK("https://www.google.com/maps/@?api=1&amp;map_action=pano&amp;viewpoint="&amp;SUBSTITUTE(X147," ",""),"Abrir Street View"))</f>
        <v/>
      </c>
    </row>
    <row r="148">
      <c r="H148" s="6" t="n"/>
      <c r="I148" s="6" t="n"/>
      <c r="M148" s="7" t="n"/>
      <c r="N148" s="7" t="n"/>
      <c r="O148" s="7" t="n"/>
      <c r="P148" s="8">
        <f>IF(NOT(ISNUMBER(M148)),"",IF(G148="Terreno",IF(AND(ISNUMBER(I148),I148&gt;0),M148/I148,""),IF(AND(ISNUMBER(H148),H148&gt;0),M148/H148,"")))</f>
        <v/>
      </c>
      <c r="Q148" s="9">
        <f>IF(AND(ISNUMBER(M148),ISNUMBER(O148)),IF(M148&lt;=O148,"Valor ≤ venal IPTU",""),"")</f>
        <v/>
      </c>
      <c r="R148" s="10" t="n"/>
      <c r="S148" s="10" t="n"/>
      <c r="AA148" s="10" t="n"/>
      <c r="AB148" s="11">
        <f>IF(LEN(TRIM(X148))=0,"",HYPERLINK("https://www.google.com/maps/@?api=1&amp;map_action=pano&amp;viewpoint="&amp;SUBSTITUTE(X148," ",""),"Abrir Street View"))</f>
        <v/>
      </c>
    </row>
    <row r="149">
      <c r="H149" s="6" t="n"/>
      <c r="I149" s="6" t="n"/>
      <c r="M149" s="7" t="n"/>
      <c r="N149" s="7" t="n"/>
      <c r="O149" s="7" t="n"/>
      <c r="P149" s="8">
        <f>IF(NOT(ISNUMBER(M149)),"",IF(G149="Terreno",IF(AND(ISNUMBER(I149),I149&gt;0),M149/I149,""),IF(AND(ISNUMBER(H149),H149&gt;0),M149/H149,"")))</f>
        <v/>
      </c>
      <c r="Q149" s="9">
        <f>IF(AND(ISNUMBER(M149),ISNUMBER(O149)),IF(M149&lt;=O149,"Valor ≤ venal IPTU",""),"")</f>
        <v/>
      </c>
      <c r="R149" s="10" t="n"/>
      <c r="S149" s="10" t="n"/>
      <c r="AA149" s="10" t="n"/>
      <c r="AB149" s="11">
        <f>IF(LEN(TRIM(X149))=0,"",HYPERLINK("https://www.google.com/maps/@?api=1&amp;map_action=pano&amp;viewpoint="&amp;SUBSTITUTE(X149," ",""),"Abrir Street View"))</f>
        <v/>
      </c>
    </row>
    <row r="150">
      <c r="H150" s="6" t="n"/>
      <c r="I150" s="6" t="n"/>
      <c r="M150" s="7" t="n"/>
      <c r="N150" s="7" t="n"/>
      <c r="O150" s="7" t="n"/>
      <c r="P150" s="8">
        <f>IF(NOT(ISNUMBER(M150)),"",IF(G150="Terreno",IF(AND(ISNUMBER(I150),I150&gt;0),M150/I150,""),IF(AND(ISNUMBER(H150),H150&gt;0),M150/H150,"")))</f>
        <v/>
      </c>
      <c r="Q150" s="9">
        <f>IF(AND(ISNUMBER(M150),ISNUMBER(O150)),IF(M150&lt;=O150,"Valor ≤ venal IPTU",""),"")</f>
        <v/>
      </c>
      <c r="R150" s="10" t="n"/>
      <c r="S150" s="10" t="n"/>
      <c r="AA150" s="10" t="n"/>
      <c r="AB150" s="11">
        <f>IF(LEN(TRIM(X150))=0,"",HYPERLINK("https://www.google.com/maps/@?api=1&amp;map_action=pano&amp;viewpoint="&amp;SUBSTITUTE(X150," ",""),"Abrir Street View"))</f>
        <v/>
      </c>
    </row>
    <row r="151">
      <c r="H151" s="6" t="n"/>
      <c r="I151" s="6" t="n"/>
      <c r="M151" s="7" t="n"/>
      <c r="N151" s="7" t="n"/>
      <c r="O151" s="7" t="n"/>
      <c r="P151" s="8">
        <f>IF(NOT(ISNUMBER(M151)),"",IF(G151="Terreno",IF(AND(ISNUMBER(I151),I151&gt;0),M151/I151,""),IF(AND(ISNUMBER(H151),H151&gt;0),M151/H151,"")))</f>
        <v/>
      </c>
      <c r="Q151" s="9">
        <f>IF(AND(ISNUMBER(M151),ISNUMBER(O151)),IF(M151&lt;=O151,"Valor ≤ venal IPTU",""),"")</f>
        <v/>
      </c>
      <c r="R151" s="10" t="n"/>
      <c r="S151" s="10" t="n"/>
      <c r="AA151" s="10" t="n"/>
      <c r="AB151" s="11">
        <f>IF(LEN(TRIM(X151))=0,"",HYPERLINK("https://www.google.com/maps/@?api=1&amp;map_action=pano&amp;viewpoint="&amp;SUBSTITUTE(X151," ",""),"Abrir Street View"))</f>
        <v/>
      </c>
    </row>
    <row r="152">
      <c r="H152" s="6" t="n"/>
      <c r="I152" s="6" t="n"/>
      <c r="M152" s="7" t="n"/>
      <c r="N152" s="7" t="n"/>
      <c r="O152" s="7" t="n"/>
      <c r="P152" s="8">
        <f>IF(NOT(ISNUMBER(M152)),"",IF(G152="Terreno",IF(AND(ISNUMBER(I152),I152&gt;0),M152/I152,""),IF(AND(ISNUMBER(H152),H152&gt;0),M152/H152,"")))</f>
        <v/>
      </c>
      <c r="Q152" s="9">
        <f>IF(AND(ISNUMBER(M152),ISNUMBER(O152)),IF(M152&lt;=O152,"Valor ≤ venal IPTU",""),"")</f>
        <v/>
      </c>
      <c r="R152" s="10" t="n"/>
      <c r="S152" s="10" t="n"/>
      <c r="AA152" s="10" t="n"/>
      <c r="AB152" s="11">
        <f>IF(LEN(TRIM(X152))=0,"",HYPERLINK("https://www.google.com/maps/@?api=1&amp;map_action=pano&amp;viewpoint="&amp;SUBSTITUTE(X152," ",""),"Abrir Street View"))</f>
        <v/>
      </c>
    </row>
    <row r="153">
      <c r="H153" s="6" t="n"/>
      <c r="I153" s="6" t="n"/>
      <c r="M153" s="7" t="n"/>
      <c r="N153" s="7" t="n"/>
      <c r="O153" s="7" t="n"/>
      <c r="P153" s="8">
        <f>IF(NOT(ISNUMBER(M153)),"",IF(G153="Terreno",IF(AND(ISNUMBER(I153),I153&gt;0),M153/I153,""),IF(AND(ISNUMBER(H153),H153&gt;0),M153/H153,"")))</f>
        <v/>
      </c>
      <c r="Q153" s="9">
        <f>IF(AND(ISNUMBER(M153),ISNUMBER(O153)),IF(M153&lt;=O153,"Valor ≤ venal IPTU",""),"")</f>
        <v/>
      </c>
      <c r="R153" s="10" t="n"/>
      <c r="S153" s="10" t="n"/>
      <c r="AA153" s="10" t="n"/>
      <c r="AB153" s="11">
        <f>IF(LEN(TRIM(X153))=0,"",HYPERLINK("https://www.google.com/maps/@?api=1&amp;map_action=pano&amp;viewpoint="&amp;SUBSTITUTE(X153," ",""),"Abrir Street View"))</f>
        <v/>
      </c>
    </row>
    <row r="154">
      <c r="H154" s="6" t="n"/>
      <c r="I154" s="6" t="n"/>
      <c r="M154" s="7" t="n"/>
      <c r="N154" s="7" t="n"/>
      <c r="O154" s="7" t="n"/>
      <c r="P154" s="8">
        <f>IF(NOT(ISNUMBER(M154)),"",IF(G154="Terreno",IF(AND(ISNUMBER(I154),I154&gt;0),M154/I154,""),IF(AND(ISNUMBER(H154),H154&gt;0),M154/H154,"")))</f>
        <v/>
      </c>
      <c r="Q154" s="9">
        <f>IF(AND(ISNUMBER(M154),ISNUMBER(O154)),IF(M154&lt;=O154,"Valor ≤ venal IPTU",""),"")</f>
        <v/>
      </c>
      <c r="R154" s="10" t="n"/>
      <c r="S154" s="10" t="n"/>
      <c r="AA154" s="10" t="n"/>
      <c r="AB154" s="11">
        <f>IF(LEN(TRIM(X154))=0,"",HYPERLINK("https://www.google.com/maps/@?api=1&amp;map_action=pano&amp;viewpoint="&amp;SUBSTITUTE(X154," ",""),"Abrir Street View"))</f>
        <v/>
      </c>
    </row>
    <row r="155">
      <c r="H155" s="6" t="n"/>
      <c r="I155" s="6" t="n"/>
      <c r="M155" s="7" t="n"/>
      <c r="N155" s="7" t="n"/>
      <c r="O155" s="7" t="n"/>
      <c r="P155" s="8">
        <f>IF(NOT(ISNUMBER(M155)),"",IF(G155="Terreno",IF(AND(ISNUMBER(I155),I155&gt;0),M155/I155,""),IF(AND(ISNUMBER(H155),H155&gt;0),M155/H155,"")))</f>
        <v/>
      </c>
      <c r="Q155" s="9">
        <f>IF(AND(ISNUMBER(M155),ISNUMBER(O155)),IF(M155&lt;=O155,"Valor ≤ venal IPTU",""),"")</f>
        <v/>
      </c>
      <c r="R155" s="10" t="n"/>
      <c r="S155" s="10" t="n"/>
      <c r="AA155" s="10" t="n"/>
      <c r="AB155" s="11">
        <f>IF(LEN(TRIM(X155))=0,"",HYPERLINK("https://www.google.com/maps/@?api=1&amp;map_action=pano&amp;viewpoint="&amp;SUBSTITUTE(X155," ",""),"Abrir Street View"))</f>
        <v/>
      </c>
    </row>
    <row r="156">
      <c r="H156" s="6" t="n"/>
      <c r="I156" s="6" t="n"/>
      <c r="M156" s="7" t="n"/>
      <c r="N156" s="7" t="n"/>
      <c r="O156" s="7" t="n"/>
      <c r="P156" s="8">
        <f>IF(NOT(ISNUMBER(M156)),"",IF(G156="Terreno",IF(AND(ISNUMBER(I156),I156&gt;0),M156/I156,""),IF(AND(ISNUMBER(H156),H156&gt;0),M156/H156,"")))</f>
        <v/>
      </c>
      <c r="Q156" s="9">
        <f>IF(AND(ISNUMBER(M156),ISNUMBER(O156)),IF(M156&lt;=O156,"Valor ≤ venal IPTU",""),"")</f>
        <v/>
      </c>
      <c r="R156" s="10" t="n"/>
      <c r="S156" s="10" t="n"/>
      <c r="AA156" s="10" t="n"/>
      <c r="AB156" s="11">
        <f>IF(LEN(TRIM(X156))=0,"",HYPERLINK("https://www.google.com/maps/@?api=1&amp;map_action=pano&amp;viewpoint="&amp;SUBSTITUTE(X156," ",""),"Abrir Street View"))</f>
        <v/>
      </c>
    </row>
    <row r="157">
      <c r="H157" s="6" t="n"/>
      <c r="I157" s="6" t="n"/>
      <c r="M157" s="7" t="n"/>
      <c r="N157" s="7" t="n"/>
      <c r="O157" s="7" t="n"/>
      <c r="P157" s="8">
        <f>IF(NOT(ISNUMBER(M157)),"",IF(G157="Terreno",IF(AND(ISNUMBER(I157),I157&gt;0),M157/I157,""),IF(AND(ISNUMBER(H157),H157&gt;0),M157/H157,"")))</f>
        <v/>
      </c>
      <c r="Q157" s="9">
        <f>IF(AND(ISNUMBER(M157),ISNUMBER(O157)),IF(M157&lt;=O157,"Valor ≤ venal IPTU",""),"")</f>
        <v/>
      </c>
      <c r="R157" s="10" t="n"/>
      <c r="S157" s="10" t="n"/>
      <c r="AA157" s="10" t="n"/>
      <c r="AB157" s="11">
        <f>IF(LEN(TRIM(X157))=0,"",HYPERLINK("https://www.google.com/maps/@?api=1&amp;map_action=pano&amp;viewpoint="&amp;SUBSTITUTE(X157," ",""),"Abrir Street View"))</f>
        <v/>
      </c>
    </row>
    <row r="158">
      <c r="H158" s="6" t="n"/>
      <c r="I158" s="6" t="n"/>
      <c r="M158" s="7" t="n"/>
      <c r="N158" s="7" t="n"/>
      <c r="O158" s="7" t="n"/>
      <c r="P158" s="8">
        <f>IF(NOT(ISNUMBER(M158)),"",IF(G158="Terreno",IF(AND(ISNUMBER(I158),I158&gt;0),M158/I158,""),IF(AND(ISNUMBER(H158),H158&gt;0),M158/H158,"")))</f>
        <v/>
      </c>
      <c r="Q158" s="9">
        <f>IF(AND(ISNUMBER(M158),ISNUMBER(O158)),IF(M158&lt;=O158,"Valor ≤ venal IPTU",""),"")</f>
        <v/>
      </c>
      <c r="R158" s="10" t="n"/>
      <c r="S158" s="10" t="n"/>
      <c r="AA158" s="10" t="n"/>
      <c r="AB158" s="11">
        <f>IF(LEN(TRIM(X158))=0,"",HYPERLINK("https://www.google.com/maps/@?api=1&amp;map_action=pano&amp;viewpoint="&amp;SUBSTITUTE(X158," ",""),"Abrir Street View"))</f>
        <v/>
      </c>
    </row>
    <row r="159">
      <c r="H159" s="6" t="n"/>
      <c r="I159" s="6" t="n"/>
      <c r="M159" s="7" t="n"/>
      <c r="N159" s="7" t="n"/>
      <c r="O159" s="7" t="n"/>
      <c r="P159" s="8">
        <f>IF(NOT(ISNUMBER(M159)),"",IF(G159="Terreno",IF(AND(ISNUMBER(I159),I159&gt;0),M159/I159,""),IF(AND(ISNUMBER(H159),H159&gt;0),M159/H159,"")))</f>
        <v/>
      </c>
      <c r="Q159" s="9">
        <f>IF(AND(ISNUMBER(M159),ISNUMBER(O159)),IF(M159&lt;=O159,"Valor ≤ venal IPTU",""),"")</f>
        <v/>
      </c>
      <c r="R159" s="10" t="n"/>
      <c r="S159" s="10" t="n"/>
      <c r="AA159" s="10" t="n"/>
      <c r="AB159" s="11">
        <f>IF(LEN(TRIM(X159))=0,"",HYPERLINK("https://www.google.com/maps/@?api=1&amp;map_action=pano&amp;viewpoint="&amp;SUBSTITUTE(X159," ",""),"Abrir Street View"))</f>
        <v/>
      </c>
    </row>
    <row r="160">
      <c r="H160" s="6" t="n"/>
      <c r="I160" s="6" t="n"/>
      <c r="M160" s="7" t="n"/>
      <c r="N160" s="7" t="n"/>
      <c r="O160" s="7" t="n"/>
      <c r="P160" s="8">
        <f>IF(NOT(ISNUMBER(M160)),"",IF(G160="Terreno",IF(AND(ISNUMBER(I160),I160&gt;0),M160/I160,""),IF(AND(ISNUMBER(H160),H160&gt;0),M160/H160,"")))</f>
        <v/>
      </c>
      <c r="Q160" s="9">
        <f>IF(AND(ISNUMBER(M160),ISNUMBER(O160)),IF(M160&lt;=O160,"Valor ≤ venal IPTU",""),"")</f>
        <v/>
      </c>
      <c r="R160" s="10" t="n"/>
      <c r="S160" s="10" t="n"/>
      <c r="AA160" s="10" t="n"/>
      <c r="AB160" s="11">
        <f>IF(LEN(TRIM(X160))=0,"",HYPERLINK("https://www.google.com/maps/@?api=1&amp;map_action=pano&amp;viewpoint="&amp;SUBSTITUTE(X160," ",""),"Abrir Street View"))</f>
        <v/>
      </c>
    </row>
    <row r="161">
      <c r="H161" s="6" t="n"/>
      <c r="I161" s="6" t="n"/>
      <c r="M161" s="7" t="n"/>
      <c r="N161" s="7" t="n"/>
      <c r="O161" s="7" t="n"/>
      <c r="P161" s="8">
        <f>IF(NOT(ISNUMBER(M161)),"",IF(G161="Terreno",IF(AND(ISNUMBER(I161),I161&gt;0),M161/I161,""),IF(AND(ISNUMBER(H161),H161&gt;0),M161/H161,"")))</f>
        <v/>
      </c>
      <c r="Q161" s="9">
        <f>IF(AND(ISNUMBER(M161),ISNUMBER(O161)),IF(M161&lt;=O161,"Valor ≤ venal IPTU",""),"")</f>
        <v/>
      </c>
      <c r="R161" s="10" t="n"/>
      <c r="S161" s="10" t="n"/>
      <c r="AA161" s="10" t="n"/>
      <c r="AB161" s="11">
        <f>IF(LEN(TRIM(X161))=0,"",HYPERLINK("https://www.google.com/maps/@?api=1&amp;map_action=pano&amp;viewpoint="&amp;SUBSTITUTE(X161," ",""),"Abrir Street View"))</f>
        <v/>
      </c>
    </row>
    <row r="162">
      <c r="H162" s="6" t="n"/>
      <c r="I162" s="6" t="n"/>
      <c r="M162" s="7" t="n"/>
      <c r="N162" s="7" t="n"/>
      <c r="O162" s="7" t="n"/>
      <c r="P162" s="8">
        <f>IF(NOT(ISNUMBER(M162)),"",IF(G162="Terreno",IF(AND(ISNUMBER(I162),I162&gt;0),M162/I162,""),IF(AND(ISNUMBER(H162),H162&gt;0),M162/H162,"")))</f>
        <v/>
      </c>
      <c r="Q162" s="9">
        <f>IF(AND(ISNUMBER(M162),ISNUMBER(O162)),IF(M162&lt;=O162,"Valor ≤ venal IPTU",""),"")</f>
        <v/>
      </c>
      <c r="R162" s="10" t="n"/>
      <c r="S162" s="10" t="n"/>
      <c r="AA162" s="10" t="n"/>
      <c r="AB162" s="11">
        <f>IF(LEN(TRIM(X162))=0,"",HYPERLINK("https://www.google.com/maps/@?api=1&amp;map_action=pano&amp;viewpoint="&amp;SUBSTITUTE(X162," ",""),"Abrir Street View"))</f>
        <v/>
      </c>
    </row>
    <row r="163">
      <c r="H163" s="6" t="n"/>
      <c r="I163" s="6" t="n"/>
      <c r="M163" s="7" t="n"/>
      <c r="N163" s="7" t="n"/>
      <c r="O163" s="7" t="n"/>
      <c r="P163" s="8">
        <f>IF(NOT(ISNUMBER(M163)),"",IF(G163="Terreno",IF(AND(ISNUMBER(I163),I163&gt;0),M163/I163,""),IF(AND(ISNUMBER(H163),H163&gt;0),M163/H163,"")))</f>
        <v/>
      </c>
      <c r="Q163" s="9">
        <f>IF(AND(ISNUMBER(M163),ISNUMBER(O163)),IF(M163&lt;=O163,"Valor ≤ venal IPTU",""),"")</f>
        <v/>
      </c>
      <c r="R163" s="10" t="n"/>
      <c r="S163" s="10" t="n"/>
      <c r="AA163" s="10" t="n"/>
      <c r="AB163" s="11">
        <f>IF(LEN(TRIM(X163))=0,"",HYPERLINK("https://www.google.com/maps/@?api=1&amp;map_action=pano&amp;viewpoint="&amp;SUBSTITUTE(X163," ",""),"Abrir Street View"))</f>
        <v/>
      </c>
    </row>
    <row r="164">
      <c r="H164" s="6" t="n"/>
      <c r="I164" s="6" t="n"/>
      <c r="M164" s="7" t="n"/>
      <c r="N164" s="7" t="n"/>
      <c r="O164" s="7" t="n"/>
      <c r="P164" s="8">
        <f>IF(NOT(ISNUMBER(M164)),"",IF(G164="Terreno",IF(AND(ISNUMBER(I164),I164&gt;0),M164/I164,""),IF(AND(ISNUMBER(H164),H164&gt;0),M164/H164,"")))</f>
        <v/>
      </c>
      <c r="Q164" s="9">
        <f>IF(AND(ISNUMBER(M164),ISNUMBER(O164)),IF(M164&lt;=O164,"Valor ≤ venal IPTU",""),"")</f>
        <v/>
      </c>
      <c r="R164" s="10" t="n"/>
      <c r="S164" s="10" t="n"/>
      <c r="AA164" s="10" t="n"/>
      <c r="AB164" s="11">
        <f>IF(LEN(TRIM(X164))=0,"",HYPERLINK("https://www.google.com/maps/@?api=1&amp;map_action=pano&amp;viewpoint="&amp;SUBSTITUTE(X164," ",""),"Abrir Street View"))</f>
        <v/>
      </c>
    </row>
    <row r="165">
      <c r="H165" s="6" t="n"/>
      <c r="I165" s="6" t="n"/>
      <c r="M165" s="7" t="n"/>
      <c r="N165" s="7" t="n"/>
      <c r="O165" s="7" t="n"/>
      <c r="P165" s="8">
        <f>IF(NOT(ISNUMBER(M165)),"",IF(G165="Terreno",IF(AND(ISNUMBER(I165),I165&gt;0),M165/I165,""),IF(AND(ISNUMBER(H165),H165&gt;0),M165/H165,"")))</f>
        <v/>
      </c>
      <c r="Q165" s="9">
        <f>IF(AND(ISNUMBER(M165),ISNUMBER(O165)),IF(M165&lt;=O165,"Valor ≤ venal IPTU",""),"")</f>
        <v/>
      </c>
      <c r="R165" s="10" t="n"/>
      <c r="S165" s="10" t="n"/>
      <c r="AA165" s="10" t="n"/>
      <c r="AB165" s="11">
        <f>IF(LEN(TRIM(X165))=0,"",HYPERLINK("https://www.google.com/maps/@?api=1&amp;map_action=pano&amp;viewpoint="&amp;SUBSTITUTE(X165," ",""),"Abrir Street View"))</f>
        <v/>
      </c>
    </row>
    <row r="166">
      <c r="H166" s="6" t="n"/>
      <c r="I166" s="6" t="n"/>
      <c r="M166" s="7" t="n"/>
      <c r="N166" s="7" t="n"/>
      <c r="O166" s="7" t="n"/>
      <c r="P166" s="8">
        <f>IF(NOT(ISNUMBER(M166)),"",IF(G166="Terreno",IF(AND(ISNUMBER(I166),I166&gt;0),M166/I166,""),IF(AND(ISNUMBER(H166),H166&gt;0),M166/H166,"")))</f>
        <v/>
      </c>
      <c r="Q166" s="9">
        <f>IF(AND(ISNUMBER(M166),ISNUMBER(O166)),IF(M166&lt;=O166,"Valor ≤ venal IPTU",""),"")</f>
        <v/>
      </c>
      <c r="R166" s="10" t="n"/>
      <c r="S166" s="10" t="n"/>
      <c r="AA166" s="10" t="n"/>
      <c r="AB166" s="11">
        <f>IF(LEN(TRIM(X166))=0,"",HYPERLINK("https://www.google.com/maps/@?api=1&amp;map_action=pano&amp;viewpoint="&amp;SUBSTITUTE(X166," ",""),"Abrir Street View"))</f>
        <v/>
      </c>
    </row>
    <row r="167">
      <c r="H167" s="6" t="n"/>
      <c r="I167" s="6" t="n"/>
      <c r="M167" s="7" t="n"/>
      <c r="N167" s="7" t="n"/>
      <c r="O167" s="7" t="n"/>
      <c r="P167" s="8">
        <f>IF(NOT(ISNUMBER(M167)),"",IF(G167="Terreno",IF(AND(ISNUMBER(I167),I167&gt;0),M167/I167,""),IF(AND(ISNUMBER(H167),H167&gt;0),M167/H167,"")))</f>
        <v/>
      </c>
      <c r="Q167" s="9">
        <f>IF(AND(ISNUMBER(M167),ISNUMBER(O167)),IF(M167&lt;=O167,"Valor ≤ venal IPTU",""),"")</f>
        <v/>
      </c>
      <c r="R167" s="10" t="n"/>
      <c r="S167" s="10" t="n"/>
      <c r="AA167" s="10" t="n"/>
      <c r="AB167" s="11">
        <f>IF(LEN(TRIM(X167))=0,"",HYPERLINK("https://www.google.com/maps/@?api=1&amp;map_action=pano&amp;viewpoint="&amp;SUBSTITUTE(X167," ",""),"Abrir Street View"))</f>
        <v/>
      </c>
    </row>
    <row r="168">
      <c r="H168" s="6" t="n"/>
      <c r="I168" s="6" t="n"/>
      <c r="M168" s="7" t="n"/>
      <c r="N168" s="7" t="n"/>
      <c r="O168" s="7" t="n"/>
      <c r="P168" s="8">
        <f>IF(NOT(ISNUMBER(M168)),"",IF(G168="Terreno",IF(AND(ISNUMBER(I168),I168&gt;0),M168/I168,""),IF(AND(ISNUMBER(H168),H168&gt;0),M168/H168,"")))</f>
        <v/>
      </c>
      <c r="Q168" s="9">
        <f>IF(AND(ISNUMBER(M168),ISNUMBER(O168)),IF(M168&lt;=O168,"Valor ≤ venal IPTU",""),"")</f>
        <v/>
      </c>
      <c r="R168" s="10" t="n"/>
      <c r="S168" s="10" t="n"/>
      <c r="AA168" s="10" t="n"/>
      <c r="AB168" s="11">
        <f>IF(LEN(TRIM(X168))=0,"",HYPERLINK("https://www.google.com/maps/@?api=1&amp;map_action=pano&amp;viewpoint="&amp;SUBSTITUTE(X168," ",""),"Abrir Street View"))</f>
        <v/>
      </c>
    </row>
    <row r="169">
      <c r="H169" s="6" t="n"/>
      <c r="I169" s="6" t="n"/>
      <c r="M169" s="7" t="n"/>
      <c r="N169" s="7" t="n"/>
      <c r="O169" s="7" t="n"/>
      <c r="P169" s="8">
        <f>IF(NOT(ISNUMBER(M169)),"",IF(G169="Terreno",IF(AND(ISNUMBER(I169),I169&gt;0),M169/I169,""),IF(AND(ISNUMBER(H169),H169&gt;0),M169/H169,"")))</f>
        <v/>
      </c>
      <c r="Q169" s="9">
        <f>IF(AND(ISNUMBER(M169),ISNUMBER(O169)),IF(M169&lt;=O169,"Valor ≤ venal IPTU",""),"")</f>
        <v/>
      </c>
      <c r="R169" s="10" t="n"/>
      <c r="S169" s="10" t="n"/>
      <c r="AA169" s="10" t="n"/>
      <c r="AB169" s="11">
        <f>IF(LEN(TRIM(X169))=0,"",HYPERLINK("https://www.google.com/maps/@?api=1&amp;map_action=pano&amp;viewpoint="&amp;SUBSTITUTE(X169," ",""),"Abrir Street View"))</f>
        <v/>
      </c>
    </row>
    <row r="170">
      <c r="H170" s="6" t="n"/>
      <c r="I170" s="6" t="n"/>
      <c r="M170" s="7" t="n"/>
      <c r="N170" s="7" t="n"/>
      <c r="O170" s="7" t="n"/>
      <c r="P170" s="8">
        <f>IF(NOT(ISNUMBER(M170)),"",IF(G170="Terreno",IF(AND(ISNUMBER(I170),I170&gt;0),M170/I170,""),IF(AND(ISNUMBER(H170),H170&gt;0),M170/H170,"")))</f>
        <v/>
      </c>
      <c r="Q170" s="9">
        <f>IF(AND(ISNUMBER(M170),ISNUMBER(O170)),IF(M170&lt;=O170,"Valor ≤ venal IPTU",""),"")</f>
        <v/>
      </c>
      <c r="R170" s="10" t="n"/>
      <c r="S170" s="10" t="n"/>
      <c r="AA170" s="10" t="n"/>
      <c r="AB170" s="11">
        <f>IF(LEN(TRIM(X170))=0,"",HYPERLINK("https://www.google.com/maps/@?api=1&amp;map_action=pano&amp;viewpoint="&amp;SUBSTITUTE(X170," ",""),"Abrir Street View"))</f>
        <v/>
      </c>
    </row>
    <row r="171">
      <c r="H171" s="6" t="n"/>
      <c r="I171" s="6" t="n"/>
      <c r="M171" s="7" t="n"/>
      <c r="N171" s="7" t="n"/>
      <c r="O171" s="7" t="n"/>
      <c r="P171" s="8">
        <f>IF(NOT(ISNUMBER(M171)),"",IF(G171="Terreno",IF(AND(ISNUMBER(I171),I171&gt;0),M171/I171,""),IF(AND(ISNUMBER(H171),H171&gt;0),M171/H171,"")))</f>
        <v/>
      </c>
      <c r="Q171" s="9">
        <f>IF(AND(ISNUMBER(M171),ISNUMBER(O171)),IF(M171&lt;=O171,"Valor ≤ venal IPTU",""),"")</f>
        <v/>
      </c>
      <c r="R171" s="10" t="n"/>
      <c r="S171" s="10" t="n"/>
      <c r="AA171" s="10" t="n"/>
      <c r="AB171" s="11">
        <f>IF(LEN(TRIM(X171))=0,"",HYPERLINK("https://www.google.com/maps/@?api=1&amp;map_action=pano&amp;viewpoint="&amp;SUBSTITUTE(X171," ",""),"Abrir Street View"))</f>
        <v/>
      </c>
    </row>
    <row r="172">
      <c r="H172" s="6" t="n"/>
      <c r="I172" s="6" t="n"/>
      <c r="M172" s="7" t="n"/>
      <c r="N172" s="7" t="n"/>
      <c r="O172" s="7" t="n"/>
      <c r="P172" s="8">
        <f>IF(NOT(ISNUMBER(M172)),"",IF(G172="Terreno",IF(AND(ISNUMBER(I172),I172&gt;0),M172/I172,""),IF(AND(ISNUMBER(H172),H172&gt;0),M172/H172,"")))</f>
        <v/>
      </c>
      <c r="Q172" s="9">
        <f>IF(AND(ISNUMBER(M172),ISNUMBER(O172)),IF(M172&lt;=O172,"Valor ≤ venal IPTU",""),"")</f>
        <v/>
      </c>
      <c r="R172" s="10" t="n"/>
      <c r="S172" s="10" t="n"/>
      <c r="AA172" s="10" t="n"/>
      <c r="AB172" s="11">
        <f>IF(LEN(TRIM(X172))=0,"",HYPERLINK("https://www.google.com/maps/@?api=1&amp;map_action=pano&amp;viewpoint="&amp;SUBSTITUTE(X172," ",""),"Abrir Street View"))</f>
        <v/>
      </c>
    </row>
    <row r="173">
      <c r="H173" s="6" t="n"/>
      <c r="I173" s="6" t="n"/>
      <c r="M173" s="7" t="n"/>
      <c r="N173" s="7" t="n"/>
      <c r="O173" s="7" t="n"/>
      <c r="P173" s="8">
        <f>IF(NOT(ISNUMBER(M173)),"",IF(G173="Terreno",IF(AND(ISNUMBER(I173),I173&gt;0),M173/I173,""),IF(AND(ISNUMBER(H173),H173&gt;0),M173/H173,"")))</f>
        <v/>
      </c>
      <c r="Q173" s="9">
        <f>IF(AND(ISNUMBER(M173),ISNUMBER(O173)),IF(M173&lt;=O173,"Valor ≤ venal IPTU",""),"")</f>
        <v/>
      </c>
      <c r="R173" s="10" t="n"/>
      <c r="S173" s="10" t="n"/>
      <c r="AA173" s="10" t="n"/>
      <c r="AB173" s="11">
        <f>IF(LEN(TRIM(X173))=0,"",HYPERLINK("https://www.google.com/maps/@?api=1&amp;map_action=pano&amp;viewpoint="&amp;SUBSTITUTE(X173," ",""),"Abrir Street View"))</f>
        <v/>
      </c>
    </row>
    <row r="174">
      <c r="H174" s="6" t="n"/>
      <c r="I174" s="6" t="n"/>
      <c r="M174" s="7" t="n"/>
      <c r="N174" s="7" t="n"/>
      <c r="O174" s="7" t="n"/>
      <c r="P174" s="8">
        <f>IF(NOT(ISNUMBER(M174)),"",IF(G174="Terreno",IF(AND(ISNUMBER(I174),I174&gt;0),M174/I174,""),IF(AND(ISNUMBER(H174),H174&gt;0),M174/H174,"")))</f>
        <v/>
      </c>
      <c r="Q174" s="9">
        <f>IF(AND(ISNUMBER(M174),ISNUMBER(O174)),IF(M174&lt;=O174,"Valor ≤ venal IPTU",""),"")</f>
        <v/>
      </c>
      <c r="R174" s="10" t="n"/>
      <c r="S174" s="10" t="n"/>
      <c r="AA174" s="10" t="n"/>
      <c r="AB174" s="11">
        <f>IF(LEN(TRIM(X174))=0,"",HYPERLINK("https://www.google.com/maps/@?api=1&amp;map_action=pano&amp;viewpoint="&amp;SUBSTITUTE(X174," ",""),"Abrir Street View"))</f>
        <v/>
      </c>
    </row>
    <row r="175">
      <c r="H175" s="6" t="n"/>
      <c r="I175" s="6" t="n"/>
      <c r="M175" s="7" t="n"/>
      <c r="N175" s="7" t="n"/>
      <c r="O175" s="7" t="n"/>
      <c r="P175" s="8">
        <f>IF(NOT(ISNUMBER(M175)),"",IF(G175="Terreno",IF(AND(ISNUMBER(I175),I175&gt;0),M175/I175,""),IF(AND(ISNUMBER(H175),H175&gt;0),M175/H175,"")))</f>
        <v/>
      </c>
      <c r="Q175" s="9">
        <f>IF(AND(ISNUMBER(M175),ISNUMBER(O175)),IF(M175&lt;=O175,"Valor ≤ venal IPTU",""),"")</f>
        <v/>
      </c>
      <c r="R175" s="10" t="n"/>
      <c r="S175" s="10" t="n"/>
      <c r="AA175" s="10" t="n"/>
      <c r="AB175" s="11">
        <f>IF(LEN(TRIM(X175))=0,"",HYPERLINK("https://www.google.com/maps/@?api=1&amp;map_action=pano&amp;viewpoint="&amp;SUBSTITUTE(X175," ",""),"Abrir Street View"))</f>
        <v/>
      </c>
    </row>
    <row r="176">
      <c r="H176" s="6" t="n"/>
      <c r="I176" s="6" t="n"/>
      <c r="M176" s="7" t="n"/>
      <c r="N176" s="7" t="n"/>
      <c r="O176" s="7" t="n"/>
      <c r="P176" s="8">
        <f>IF(NOT(ISNUMBER(M176)),"",IF(G176="Terreno",IF(AND(ISNUMBER(I176),I176&gt;0),M176/I176,""),IF(AND(ISNUMBER(H176),H176&gt;0),M176/H176,"")))</f>
        <v/>
      </c>
      <c r="Q176" s="9">
        <f>IF(AND(ISNUMBER(M176),ISNUMBER(O176)),IF(M176&lt;=O176,"Valor ≤ venal IPTU",""),"")</f>
        <v/>
      </c>
      <c r="R176" s="10" t="n"/>
      <c r="S176" s="10" t="n"/>
      <c r="AA176" s="10" t="n"/>
      <c r="AB176" s="11">
        <f>IF(LEN(TRIM(X176))=0,"",HYPERLINK("https://www.google.com/maps/@?api=1&amp;map_action=pano&amp;viewpoint="&amp;SUBSTITUTE(X176," ",""),"Abrir Street View"))</f>
        <v/>
      </c>
    </row>
    <row r="177">
      <c r="H177" s="6" t="n"/>
      <c r="I177" s="6" t="n"/>
      <c r="M177" s="7" t="n"/>
      <c r="N177" s="7" t="n"/>
      <c r="O177" s="7" t="n"/>
      <c r="P177" s="8">
        <f>IF(NOT(ISNUMBER(M177)),"",IF(G177="Terreno",IF(AND(ISNUMBER(I177),I177&gt;0),M177/I177,""),IF(AND(ISNUMBER(H177),H177&gt;0),M177/H177,"")))</f>
        <v/>
      </c>
      <c r="Q177" s="9">
        <f>IF(AND(ISNUMBER(M177),ISNUMBER(O177)),IF(M177&lt;=O177,"Valor ≤ venal IPTU",""),"")</f>
        <v/>
      </c>
      <c r="R177" s="10" t="n"/>
      <c r="S177" s="10" t="n"/>
      <c r="AA177" s="10" t="n"/>
      <c r="AB177" s="11">
        <f>IF(LEN(TRIM(X177))=0,"",HYPERLINK("https://www.google.com/maps/@?api=1&amp;map_action=pano&amp;viewpoint="&amp;SUBSTITUTE(X177," ",""),"Abrir Street View"))</f>
        <v/>
      </c>
    </row>
    <row r="178">
      <c r="H178" s="6" t="n"/>
      <c r="I178" s="6" t="n"/>
      <c r="M178" s="7" t="n"/>
      <c r="N178" s="7" t="n"/>
      <c r="O178" s="7" t="n"/>
      <c r="P178" s="8">
        <f>IF(NOT(ISNUMBER(M178)),"",IF(G178="Terreno",IF(AND(ISNUMBER(I178),I178&gt;0),M178/I178,""),IF(AND(ISNUMBER(H178),H178&gt;0),M178/H178,"")))</f>
        <v/>
      </c>
      <c r="Q178" s="9">
        <f>IF(AND(ISNUMBER(M178),ISNUMBER(O178)),IF(M178&lt;=O178,"Valor ≤ venal IPTU",""),"")</f>
        <v/>
      </c>
      <c r="R178" s="10" t="n"/>
      <c r="S178" s="10" t="n"/>
      <c r="AA178" s="10" t="n"/>
      <c r="AB178" s="11">
        <f>IF(LEN(TRIM(X178))=0,"",HYPERLINK("https://www.google.com/maps/@?api=1&amp;map_action=pano&amp;viewpoint="&amp;SUBSTITUTE(X178," ",""),"Abrir Street View"))</f>
        <v/>
      </c>
    </row>
    <row r="179">
      <c r="H179" s="6" t="n"/>
      <c r="I179" s="6" t="n"/>
      <c r="M179" s="7" t="n"/>
      <c r="N179" s="7" t="n"/>
      <c r="O179" s="7" t="n"/>
      <c r="P179" s="8">
        <f>IF(NOT(ISNUMBER(M179)),"",IF(G179="Terreno",IF(AND(ISNUMBER(I179),I179&gt;0),M179/I179,""),IF(AND(ISNUMBER(H179),H179&gt;0),M179/H179,"")))</f>
        <v/>
      </c>
      <c r="Q179" s="9">
        <f>IF(AND(ISNUMBER(M179),ISNUMBER(O179)),IF(M179&lt;=O179,"Valor ≤ venal IPTU",""),"")</f>
        <v/>
      </c>
      <c r="R179" s="10" t="n"/>
      <c r="S179" s="10" t="n"/>
      <c r="AA179" s="10" t="n"/>
      <c r="AB179" s="11">
        <f>IF(LEN(TRIM(X179))=0,"",HYPERLINK("https://www.google.com/maps/@?api=1&amp;map_action=pano&amp;viewpoint="&amp;SUBSTITUTE(X179," ",""),"Abrir Street View"))</f>
        <v/>
      </c>
    </row>
    <row r="180">
      <c r="H180" s="6" t="n"/>
      <c r="I180" s="6" t="n"/>
      <c r="M180" s="7" t="n"/>
      <c r="N180" s="7" t="n"/>
      <c r="O180" s="7" t="n"/>
      <c r="P180" s="8">
        <f>IF(NOT(ISNUMBER(M180)),"",IF(G180="Terreno",IF(AND(ISNUMBER(I180),I180&gt;0),M180/I180,""),IF(AND(ISNUMBER(H180),H180&gt;0),M180/H180,"")))</f>
        <v/>
      </c>
      <c r="Q180" s="9">
        <f>IF(AND(ISNUMBER(M180),ISNUMBER(O180)),IF(M180&lt;=O180,"Valor ≤ venal IPTU",""),"")</f>
        <v/>
      </c>
      <c r="R180" s="10" t="n"/>
      <c r="S180" s="10" t="n"/>
      <c r="AA180" s="10" t="n"/>
      <c r="AB180" s="11">
        <f>IF(LEN(TRIM(X180))=0,"",HYPERLINK("https://www.google.com/maps/@?api=1&amp;map_action=pano&amp;viewpoint="&amp;SUBSTITUTE(X180," ",""),"Abrir Street View"))</f>
        <v/>
      </c>
    </row>
    <row r="181">
      <c r="H181" s="6" t="n"/>
      <c r="I181" s="6" t="n"/>
      <c r="M181" s="7" t="n"/>
      <c r="N181" s="7" t="n"/>
      <c r="O181" s="7" t="n"/>
      <c r="P181" s="8">
        <f>IF(NOT(ISNUMBER(M181)),"",IF(G181="Terreno",IF(AND(ISNUMBER(I181),I181&gt;0),M181/I181,""),IF(AND(ISNUMBER(H181),H181&gt;0),M181/H181,"")))</f>
        <v/>
      </c>
      <c r="Q181" s="9">
        <f>IF(AND(ISNUMBER(M181),ISNUMBER(O181)),IF(M181&lt;=O181,"Valor ≤ venal IPTU",""),"")</f>
        <v/>
      </c>
      <c r="R181" s="10" t="n"/>
      <c r="S181" s="10" t="n"/>
      <c r="AA181" s="10" t="n"/>
      <c r="AB181" s="11">
        <f>IF(LEN(TRIM(X181))=0,"",HYPERLINK("https://www.google.com/maps/@?api=1&amp;map_action=pano&amp;viewpoint="&amp;SUBSTITUTE(X181," ",""),"Abrir Street View"))</f>
        <v/>
      </c>
    </row>
    <row r="182">
      <c r="H182" s="6" t="n"/>
      <c r="I182" s="6" t="n"/>
      <c r="M182" s="7" t="n"/>
      <c r="N182" s="7" t="n"/>
      <c r="O182" s="7" t="n"/>
      <c r="P182" s="8">
        <f>IF(NOT(ISNUMBER(M182)),"",IF(G182="Terreno",IF(AND(ISNUMBER(I182),I182&gt;0),M182/I182,""),IF(AND(ISNUMBER(H182),H182&gt;0),M182/H182,"")))</f>
        <v/>
      </c>
      <c r="Q182" s="9">
        <f>IF(AND(ISNUMBER(M182),ISNUMBER(O182)),IF(M182&lt;=O182,"Valor ≤ venal IPTU",""),"")</f>
        <v/>
      </c>
      <c r="R182" s="10" t="n"/>
      <c r="S182" s="10" t="n"/>
      <c r="AA182" s="10" t="n"/>
      <c r="AB182" s="11">
        <f>IF(LEN(TRIM(X182))=0,"",HYPERLINK("https://www.google.com/maps/@?api=1&amp;map_action=pano&amp;viewpoint="&amp;SUBSTITUTE(X182," ",""),"Abrir Street View"))</f>
        <v/>
      </c>
    </row>
    <row r="183">
      <c r="H183" s="6" t="n"/>
      <c r="I183" s="6" t="n"/>
      <c r="M183" s="7" t="n"/>
      <c r="N183" s="7" t="n"/>
      <c r="O183" s="7" t="n"/>
      <c r="P183" s="8">
        <f>IF(NOT(ISNUMBER(M183)),"",IF(G183="Terreno",IF(AND(ISNUMBER(I183),I183&gt;0),M183/I183,""),IF(AND(ISNUMBER(H183),H183&gt;0),M183/H183,"")))</f>
        <v/>
      </c>
      <c r="Q183" s="9">
        <f>IF(AND(ISNUMBER(M183),ISNUMBER(O183)),IF(M183&lt;=O183,"Valor ≤ venal IPTU",""),"")</f>
        <v/>
      </c>
      <c r="R183" s="10" t="n"/>
      <c r="S183" s="10" t="n"/>
      <c r="AA183" s="10" t="n"/>
      <c r="AB183" s="11">
        <f>IF(LEN(TRIM(X183))=0,"",HYPERLINK("https://www.google.com/maps/@?api=1&amp;map_action=pano&amp;viewpoint="&amp;SUBSTITUTE(X183," ",""),"Abrir Street View"))</f>
        <v/>
      </c>
    </row>
    <row r="184">
      <c r="H184" s="6" t="n"/>
      <c r="I184" s="6" t="n"/>
      <c r="M184" s="7" t="n"/>
      <c r="N184" s="7" t="n"/>
      <c r="O184" s="7" t="n"/>
      <c r="P184" s="8">
        <f>IF(NOT(ISNUMBER(M184)),"",IF(G184="Terreno",IF(AND(ISNUMBER(I184),I184&gt;0),M184/I184,""),IF(AND(ISNUMBER(H184),H184&gt;0),M184/H184,"")))</f>
        <v/>
      </c>
      <c r="Q184" s="9">
        <f>IF(AND(ISNUMBER(M184),ISNUMBER(O184)),IF(M184&lt;=O184,"Valor ≤ venal IPTU",""),"")</f>
        <v/>
      </c>
      <c r="R184" s="10" t="n"/>
      <c r="S184" s="10" t="n"/>
      <c r="AA184" s="10" t="n"/>
      <c r="AB184" s="11">
        <f>IF(LEN(TRIM(X184))=0,"",HYPERLINK("https://www.google.com/maps/@?api=1&amp;map_action=pano&amp;viewpoint="&amp;SUBSTITUTE(X184," ",""),"Abrir Street View"))</f>
        <v/>
      </c>
    </row>
    <row r="185">
      <c r="H185" s="6" t="n"/>
      <c r="I185" s="6" t="n"/>
      <c r="M185" s="7" t="n"/>
      <c r="N185" s="7" t="n"/>
      <c r="O185" s="7" t="n"/>
      <c r="P185" s="8">
        <f>IF(NOT(ISNUMBER(M185)),"",IF(G185="Terreno",IF(AND(ISNUMBER(I185),I185&gt;0),M185/I185,""),IF(AND(ISNUMBER(H185),H185&gt;0),M185/H185,"")))</f>
        <v/>
      </c>
      <c r="Q185" s="9">
        <f>IF(AND(ISNUMBER(M185),ISNUMBER(O185)),IF(M185&lt;=O185,"Valor ≤ venal IPTU",""),"")</f>
        <v/>
      </c>
      <c r="R185" s="10" t="n"/>
      <c r="S185" s="10" t="n"/>
      <c r="AA185" s="10" t="n"/>
      <c r="AB185" s="11">
        <f>IF(LEN(TRIM(X185))=0,"",HYPERLINK("https://www.google.com/maps/@?api=1&amp;map_action=pano&amp;viewpoint="&amp;SUBSTITUTE(X185," ",""),"Abrir Street View"))</f>
        <v/>
      </c>
    </row>
    <row r="186">
      <c r="H186" s="6" t="n"/>
      <c r="I186" s="6" t="n"/>
      <c r="M186" s="7" t="n"/>
      <c r="N186" s="7" t="n"/>
      <c r="O186" s="7" t="n"/>
      <c r="P186" s="8">
        <f>IF(NOT(ISNUMBER(M186)),"",IF(G186="Terreno",IF(AND(ISNUMBER(I186),I186&gt;0),M186/I186,""),IF(AND(ISNUMBER(H186),H186&gt;0),M186/H186,"")))</f>
        <v/>
      </c>
      <c r="Q186" s="9">
        <f>IF(AND(ISNUMBER(M186),ISNUMBER(O186)),IF(M186&lt;=O186,"Valor ≤ venal IPTU",""),"")</f>
        <v/>
      </c>
      <c r="R186" s="10" t="n"/>
      <c r="S186" s="10" t="n"/>
      <c r="AA186" s="10" t="n"/>
      <c r="AB186" s="11">
        <f>IF(LEN(TRIM(X186))=0,"",HYPERLINK("https://www.google.com/maps/@?api=1&amp;map_action=pano&amp;viewpoint="&amp;SUBSTITUTE(X186," ",""),"Abrir Street View"))</f>
        <v/>
      </c>
    </row>
    <row r="187">
      <c r="H187" s="6" t="n"/>
      <c r="I187" s="6" t="n"/>
      <c r="M187" s="7" t="n"/>
      <c r="N187" s="7" t="n"/>
      <c r="O187" s="7" t="n"/>
      <c r="P187" s="8">
        <f>IF(NOT(ISNUMBER(M187)),"",IF(G187="Terreno",IF(AND(ISNUMBER(I187),I187&gt;0),M187/I187,""),IF(AND(ISNUMBER(H187),H187&gt;0),M187/H187,"")))</f>
        <v/>
      </c>
      <c r="Q187" s="9">
        <f>IF(AND(ISNUMBER(M187),ISNUMBER(O187)),IF(M187&lt;=O187,"Valor ≤ venal IPTU",""),"")</f>
        <v/>
      </c>
      <c r="R187" s="10" t="n"/>
      <c r="S187" s="10" t="n"/>
      <c r="AA187" s="10" t="n"/>
      <c r="AB187" s="11">
        <f>IF(LEN(TRIM(X187))=0,"",HYPERLINK("https://www.google.com/maps/@?api=1&amp;map_action=pano&amp;viewpoint="&amp;SUBSTITUTE(X187," ",""),"Abrir Street View"))</f>
        <v/>
      </c>
    </row>
    <row r="188">
      <c r="H188" s="6" t="n"/>
      <c r="I188" s="6" t="n"/>
      <c r="M188" s="7" t="n"/>
      <c r="N188" s="7" t="n"/>
      <c r="O188" s="7" t="n"/>
      <c r="P188" s="8">
        <f>IF(NOT(ISNUMBER(M188)),"",IF(G188="Terreno",IF(AND(ISNUMBER(I188),I188&gt;0),M188/I188,""),IF(AND(ISNUMBER(H188),H188&gt;0),M188/H188,"")))</f>
        <v/>
      </c>
      <c r="Q188" s="9">
        <f>IF(AND(ISNUMBER(M188),ISNUMBER(O188)),IF(M188&lt;=O188,"Valor ≤ venal IPTU",""),"")</f>
        <v/>
      </c>
      <c r="R188" s="10" t="n"/>
      <c r="S188" s="10" t="n"/>
      <c r="AA188" s="10" t="n"/>
      <c r="AB188" s="11">
        <f>IF(LEN(TRIM(X188))=0,"",HYPERLINK("https://www.google.com/maps/@?api=1&amp;map_action=pano&amp;viewpoint="&amp;SUBSTITUTE(X188," ",""),"Abrir Street View"))</f>
        <v/>
      </c>
    </row>
    <row r="189">
      <c r="H189" s="6" t="n"/>
      <c r="I189" s="6" t="n"/>
      <c r="M189" s="7" t="n"/>
      <c r="N189" s="7" t="n"/>
      <c r="O189" s="7" t="n"/>
      <c r="P189" s="8">
        <f>IF(NOT(ISNUMBER(M189)),"",IF(G189="Terreno",IF(AND(ISNUMBER(I189),I189&gt;0),M189/I189,""),IF(AND(ISNUMBER(H189),H189&gt;0),M189/H189,"")))</f>
        <v/>
      </c>
      <c r="Q189" s="9">
        <f>IF(AND(ISNUMBER(M189),ISNUMBER(O189)),IF(M189&lt;=O189,"Valor ≤ venal IPTU",""),"")</f>
        <v/>
      </c>
      <c r="R189" s="10" t="n"/>
      <c r="S189" s="10" t="n"/>
      <c r="AA189" s="10" t="n"/>
      <c r="AB189" s="11">
        <f>IF(LEN(TRIM(X189))=0,"",HYPERLINK("https://www.google.com/maps/@?api=1&amp;map_action=pano&amp;viewpoint="&amp;SUBSTITUTE(X189," ",""),"Abrir Street View"))</f>
        <v/>
      </c>
    </row>
    <row r="190">
      <c r="H190" s="6" t="n"/>
      <c r="I190" s="6" t="n"/>
      <c r="M190" s="7" t="n"/>
      <c r="N190" s="7" t="n"/>
      <c r="O190" s="7" t="n"/>
      <c r="P190" s="8">
        <f>IF(NOT(ISNUMBER(M190)),"",IF(G190="Terreno",IF(AND(ISNUMBER(I190),I190&gt;0),M190/I190,""),IF(AND(ISNUMBER(H190),H190&gt;0),M190/H190,"")))</f>
        <v/>
      </c>
      <c r="Q190" s="9">
        <f>IF(AND(ISNUMBER(M190),ISNUMBER(O190)),IF(M190&lt;=O190,"Valor ≤ venal IPTU",""),"")</f>
        <v/>
      </c>
      <c r="R190" s="10" t="n"/>
      <c r="S190" s="10" t="n"/>
      <c r="AA190" s="10" t="n"/>
      <c r="AB190" s="11">
        <f>IF(LEN(TRIM(X190))=0,"",HYPERLINK("https://www.google.com/maps/@?api=1&amp;map_action=pano&amp;viewpoint="&amp;SUBSTITUTE(X190," ",""),"Abrir Street View"))</f>
        <v/>
      </c>
    </row>
    <row r="191">
      <c r="H191" s="6" t="n"/>
      <c r="I191" s="6" t="n"/>
      <c r="M191" s="7" t="n"/>
      <c r="N191" s="7" t="n"/>
      <c r="O191" s="7" t="n"/>
      <c r="P191" s="8">
        <f>IF(NOT(ISNUMBER(M191)),"",IF(G191="Terreno",IF(AND(ISNUMBER(I191),I191&gt;0),M191/I191,""),IF(AND(ISNUMBER(H191),H191&gt;0),M191/H191,"")))</f>
        <v/>
      </c>
      <c r="Q191" s="9">
        <f>IF(AND(ISNUMBER(M191),ISNUMBER(O191)),IF(M191&lt;=O191,"Valor ≤ venal IPTU",""),"")</f>
        <v/>
      </c>
      <c r="R191" s="10" t="n"/>
      <c r="S191" s="10" t="n"/>
      <c r="AA191" s="10" t="n"/>
      <c r="AB191" s="11">
        <f>IF(LEN(TRIM(X191))=0,"",HYPERLINK("https://www.google.com/maps/@?api=1&amp;map_action=pano&amp;viewpoint="&amp;SUBSTITUTE(X191," ",""),"Abrir Street View"))</f>
        <v/>
      </c>
    </row>
    <row r="192">
      <c r="H192" s="6" t="n"/>
      <c r="I192" s="6" t="n"/>
      <c r="M192" s="7" t="n"/>
      <c r="N192" s="7" t="n"/>
      <c r="O192" s="7" t="n"/>
      <c r="P192" s="8">
        <f>IF(NOT(ISNUMBER(M192)),"",IF(G192="Terreno",IF(AND(ISNUMBER(I192),I192&gt;0),M192/I192,""),IF(AND(ISNUMBER(H192),H192&gt;0),M192/H192,"")))</f>
        <v/>
      </c>
      <c r="Q192" s="9">
        <f>IF(AND(ISNUMBER(M192),ISNUMBER(O192)),IF(M192&lt;=O192,"Valor ≤ venal IPTU",""),"")</f>
        <v/>
      </c>
      <c r="R192" s="10" t="n"/>
      <c r="S192" s="10" t="n"/>
      <c r="AA192" s="10" t="n"/>
      <c r="AB192" s="11">
        <f>IF(LEN(TRIM(X192))=0,"",HYPERLINK("https://www.google.com/maps/@?api=1&amp;map_action=pano&amp;viewpoint="&amp;SUBSTITUTE(X192," ",""),"Abrir Street View"))</f>
        <v/>
      </c>
    </row>
    <row r="193">
      <c r="H193" s="6" t="n"/>
      <c r="I193" s="6" t="n"/>
      <c r="M193" s="7" t="n"/>
      <c r="N193" s="7" t="n"/>
      <c r="O193" s="7" t="n"/>
      <c r="P193" s="8">
        <f>IF(NOT(ISNUMBER(M193)),"",IF(G193="Terreno",IF(AND(ISNUMBER(I193),I193&gt;0),M193/I193,""),IF(AND(ISNUMBER(H193),H193&gt;0),M193/H193,"")))</f>
        <v/>
      </c>
      <c r="Q193" s="9">
        <f>IF(AND(ISNUMBER(M193),ISNUMBER(O193)),IF(M193&lt;=O193,"Valor ≤ venal IPTU",""),"")</f>
        <v/>
      </c>
      <c r="R193" s="10" t="n"/>
      <c r="S193" s="10" t="n"/>
      <c r="AA193" s="10" t="n"/>
      <c r="AB193" s="11">
        <f>IF(LEN(TRIM(X193))=0,"",HYPERLINK("https://www.google.com/maps/@?api=1&amp;map_action=pano&amp;viewpoint="&amp;SUBSTITUTE(X193," ",""),"Abrir Street View"))</f>
        <v/>
      </c>
    </row>
    <row r="194">
      <c r="H194" s="6" t="n"/>
      <c r="I194" s="6" t="n"/>
      <c r="M194" s="7" t="n"/>
      <c r="N194" s="7" t="n"/>
      <c r="O194" s="7" t="n"/>
      <c r="P194" s="8">
        <f>IF(NOT(ISNUMBER(M194)),"",IF(G194="Terreno",IF(AND(ISNUMBER(I194),I194&gt;0),M194/I194,""),IF(AND(ISNUMBER(H194),H194&gt;0),M194/H194,"")))</f>
        <v/>
      </c>
      <c r="Q194" s="9">
        <f>IF(AND(ISNUMBER(M194),ISNUMBER(O194)),IF(M194&lt;=O194,"Valor ≤ venal IPTU",""),"")</f>
        <v/>
      </c>
      <c r="R194" s="10" t="n"/>
      <c r="S194" s="10" t="n"/>
      <c r="AA194" s="10" t="n"/>
      <c r="AB194" s="11">
        <f>IF(LEN(TRIM(X194))=0,"",HYPERLINK("https://www.google.com/maps/@?api=1&amp;map_action=pano&amp;viewpoint="&amp;SUBSTITUTE(X194," ",""),"Abrir Street View"))</f>
        <v/>
      </c>
    </row>
    <row r="195">
      <c r="H195" s="6" t="n"/>
      <c r="I195" s="6" t="n"/>
      <c r="M195" s="7" t="n"/>
      <c r="N195" s="7" t="n"/>
      <c r="O195" s="7" t="n"/>
      <c r="P195" s="8">
        <f>IF(NOT(ISNUMBER(M195)),"",IF(G195="Terreno",IF(AND(ISNUMBER(I195),I195&gt;0),M195/I195,""),IF(AND(ISNUMBER(H195),H195&gt;0),M195/H195,"")))</f>
        <v/>
      </c>
      <c r="Q195" s="9">
        <f>IF(AND(ISNUMBER(M195),ISNUMBER(O195)),IF(M195&lt;=O195,"Valor ≤ venal IPTU",""),"")</f>
        <v/>
      </c>
      <c r="R195" s="10" t="n"/>
      <c r="S195" s="10" t="n"/>
      <c r="AA195" s="10" t="n"/>
      <c r="AB195" s="11">
        <f>IF(LEN(TRIM(X195))=0,"",HYPERLINK("https://www.google.com/maps/@?api=1&amp;map_action=pano&amp;viewpoint="&amp;SUBSTITUTE(X195," ",""),"Abrir Street View"))</f>
        <v/>
      </c>
    </row>
    <row r="196">
      <c r="H196" s="6" t="n"/>
      <c r="I196" s="6" t="n"/>
      <c r="M196" s="7" t="n"/>
      <c r="N196" s="7" t="n"/>
      <c r="O196" s="7" t="n"/>
      <c r="P196" s="8">
        <f>IF(NOT(ISNUMBER(M196)),"",IF(G196="Terreno",IF(AND(ISNUMBER(I196),I196&gt;0),M196/I196,""),IF(AND(ISNUMBER(H196),H196&gt;0),M196/H196,"")))</f>
        <v/>
      </c>
      <c r="Q196" s="9">
        <f>IF(AND(ISNUMBER(M196),ISNUMBER(O196)),IF(M196&lt;=O196,"Valor ≤ venal IPTU",""),"")</f>
        <v/>
      </c>
      <c r="R196" s="10" t="n"/>
      <c r="S196" s="10" t="n"/>
      <c r="AA196" s="10" t="n"/>
      <c r="AB196" s="11">
        <f>IF(LEN(TRIM(X196))=0,"",HYPERLINK("https://www.google.com/maps/@?api=1&amp;map_action=pano&amp;viewpoint="&amp;SUBSTITUTE(X196," ",""),"Abrir Street View"))</f>
        <v/>
      </c>
    </row>
    <row r="197">
      <c r="H197" s="6" t="n"/>
      <c r="I197" s="6" t="n"/>
      <c r="M197" s="7" t="n"/>
      <c r="N197" s="7" t="n"/>
      <c r="O197" s="7" t="n"/>
      <c r="P197" s="8">
        <f>IF(NOT(ISNUMBER(M197)),"",IF(G197="Terreno",IF(AND(ISNUMBER(I197),I197&gt;0),M197/I197,""),IF(AND(ISNUMBER(H197),H197&gt;0),M197/H197,"")))</f>
        <v/>
      </c>
      <c r="Q197" s="9">
        <f>IF(AND(ISNUMBER(M197),ISNUMBER(O197)),IF(M197&lt;=O197,"Valor ≤ venal IPTU",""),"")</f>
        <v/>
      </c>
      <c r="R197" s="10" t="n"/>
      <c r="S197" s="10" t="n"/>
      <c r="AA197" s="10" t="n"/>
      <c r="AB197" s="11">
        <f>IF(LEN(TRIM(X197))=0,"",HYPERLINK("https://www.google.com/maps/@?api=1&amp;map_action=pano&amp;viewpoint="&amp;SUBSTITUTE(X197," ",""),"Abrir Street View"))</f>
        <v/>
      </c>
    </row>
    <row r="198">
      <c r="H198" s="6" t="n"/>
      <c r="I198" s="6" t="n"/>
      <c r="M198" s="7" t="n"/>
      <c r="N198" s="7" t="n"/>
      <c r="O198" s="7" t="n"/>
      <c r="P198" s="8">
        <f>IF(NOT(ISNUMBER(M198)),"",IF(G198="Terreno",IF(AND(ISNUMBER(I198),I198&gt;0),M198/I198,""),IF(AND(ISNUMBER(H198),H198&gt;0),M198/H198,"")))</f>
        <v/>
      </c>
      <c r="Q198" s="9">
        <f>IF(AND(ISNUMBER(M198),ISNUMBER(O198)),IF(M198&lt;=O198,"Valor ≤ venal IPTU",""),"")</f>
        <v/>
      </c>
      <c r="R198" s="10" t="n"/>
      <c r="S198" s="10" t="n"/>
      <c r="AA198" s="10" t="n"/>
      <c r="AB198" s="11">
        <f>IF(LEN(TRIM(X198))=0,"",HYPERLINK("https://www.google.com/maps/@?api=1&amp;map_action=pano&amp;viewpoint="&amp;SUBSTITUTE(X198," ",""),"Abrir Street View"))</f>
        <v/>
      </c>
    </row>
    <row r="199">
      <c r="H199" s="6" t="n"/>
      <c r="I199" s="6" t="n"/>
      <c r="M199" s="7" t="n"/>
      <c r="N199" s="7" t="n"/>
      <c r="O199" s="7" t="n"/>
      <c r="P199" s="8">
        <f>IF(NOT(ISNUMBER(M199)),"",IF(G199="Terreno",IF(AND(ISNUMBER(I199),I199&gt;0),M199/I199,""),IF(AND(ISNUMBER(H199),H199&gt;0),M199/H199,"")))</f>
        <v/>
      </c>
      <c r="Q199" s="9">
        <f>IF(AND(ISNUMBER(M199),ISNUMBER(O199)),IF(M199&lt;=O199,"Valor ≤ venal IPTU",""),"")</f>
        <v/>
      </c>
      <c r="R199" s="10" t="n"/>
      <c r="S199" s="10" t="n"/>
      <c r="AA199" s="10" t="n"/>
      <c r="AB199" s="11">
        <f>IF(LEN(TRIM(X199))=0,"",HYPERLINK("https://www.google.com/maps/@?api=1&amp;map_action=pano&amp;viewpoint="&amp;SUBSTITUTE(X199," ",""),"Abrir Street View"))</f>
        <v/>
      </c>
    </row>
    <row r="200">
      <c r="H200" s="6" t="n"/>
      <c r="I200" s="6" t="n"/>
      <c r="M200" s="7" t="n"/>
      <c r="N200" s="7" t="n"/>
      <c r="O200" s="7" t="n"/>
      <c r="P200" s="8">
        <f>IF(NOT(ISNUMBER(M200)),"",IF(G200="Terreno",IF(AND(ISNUMBER(I200),I200&gt;0),M200/I200,""),IF(AND(ISNUMBER(H200),H200&gt;0),M200/H200,"")))</f>
        <v/>
      </c>
      <c r="Q200" s="9">
        <f>IF(AND(ISNUMBER(M200),ISNUMBER(O200)),IF(M200&lt;=O200,"Valor ≤ venal IPTU",""),"")</f>
        <v/>
      </c>
      <c r="R200" s="10" t="n"/>
      <c r="S200" s="10" t="n"/>
      <c r="AA200" s="10" t="n"/>
      <c r="AB200" s="11">
        <f>IF(LEN(TRIM(X200))=0,"",HYPERLINK("https://www.google.com/maps/@?api=1&amp;map_action=pano&amp;viewpoint="&amp;SUBSTITUTE(X200," ",""),"Abrir Street View"))</f>
        <v/>
      </c>
    </row>
    <row r="201">
      <c r="H201" s="6" t="n"/>
      <c r="I201" s="6" t="n"/>
      <c r="M201" s="7" t="n"/>
      <c r="N201" s="7" t="n"/>
      <c r="O201" s="7" t="n"/>
      <c r="P201" s="8">
        <f>IF(NOT(ISNUMBER(M201)),"",IF(G201="Terreno",IF(AND(ISNUMBER(I201),I201&gt;0),M201/I201,""),IF(AND(ISNUMBER(H201),H201&gt;0),M201/H201,"")))</f>
        <v/>
      </c>
      <c r="Q201" s="9">
        <f>IF(AND(ISNUMBER(M201),ISNUMBER(O201)),IF(M201&lt;=O201,"Valor ≤ venal IPTU",""),"")</f>
        <v/>
      </c>
      <c r="R201" s="10" t="n"/>
      <c r="S201" s="10" t="n"/>
      <c r="AA201" s="10" t="n"/>
      <c r="AB201" s="11">
        <f>IF(LEN(TRIM(X201))=0,"",HYPERLINK("https://www.google.com/maps/@?api=1&amp;map_action=pano&amp;viewpoint="&amp;SUBSTITUTE(X201," ",""),"Abrir Street View"))</f>
        <v/>
      </c>
    </row>
    <row r="202">
      <c r="H202" s="6" t="n"/>
      <c r="I202" s="6" t="n"/>
      <c r="M202" s="7" t="n"/>
      <c r="N202" s="7" t="n"/>
      <c r="O202" s="7" t="n"/>
      <c r="P202" s="8">
        <f>IF(NOT(ISNUMBER(M202)),"",IF(G202="Terreno",IF(AND(ISNUMBER(I202),I202&gt;0),M202/I202,""),IF(AND(ISNUMBER(H202),H202&gt;0),M202/H202,"")))</f>
        <v/>
      </c>
      <c r="Q202" s="9">
        <f>IF(AND(ISNUMBER(M202),ISNUMBER(O202)),IF(M202&lt;=O202,"Valor ≤ venal IPTU",""),"")</f>
        <v/>
      </c>
      <c r="R202" s="10" t="n"/>
      <c r="S202" s="10" t="n"/>
      <c r="AA202" s="10" t="n"/>
      <c r="AB202" s="11">
        <f>IF(LEN(TRIM(X202))=0,"",HYPERLINK("https://www.google.com/maps/@?api=1&amp;map_action=pano&amp;viewpoint="&amp;SUBSTITUTE(X202," ",""),"Abrir Street View"))</f>
        <v/>
      </c>
    </row>
    <row r="203">
      <c r="H203" s="6" t="n"/>
      <c r="I203" s="6" t="n"/>
      <c r="M203" s="7" t="n"/>
      <c r="N203" s="7" t="n"/>
      <c r="O203" s="7" t="n"/>
      <c r="P203" s="8">
        <f>IF(NOT(ISNUMBER(M203)),"",IF(G203="Terreno",IF(AND(ISNUMBER(I203),I203&gt;0),M203/I203,""),IF(AND(ISNUMBER(H203),H203&gt;0),M203/H203,"")))</f>
        <v/>
      </c>
      <c r="Q203" s="9">
        <f>IF(AND(ISNUMBER(M203),ISNUMBER(O203)),IF(M203&lt;=O203,"Valor ≤ venal IPTU",""),"")</f>
        <v/>
      </c>
      <c r="R203" s="10" t="n"/>
      <c r="S203" s="10" t="n"/>
      <c r="AA203" s="10" t="n"/>
      <c r="AB203" s="11">
        <f>IF(LEN(TRIM(X203))=0,"",HYPERLINK("https://www.google.com/maps/@?api=1&amp;map_action=pano&amp;viewpoint="&amp;SUBSTITUTE(X203," ",""),"Abrir Street View"))</f>
        <v/>
      </c>
    </row>
    <row r="204">
      <c r="H204" s="6" t="n"/>
      <c r="I204" s="6" t="n"/>
      <c r="M204" s="7" t="n"/>
      <c r="N204" s="7" t="n"/>
      <c r="O204" s="7" t="n"/>
      <c r="P204" s="8">
        <f>IF(NOT(ISNUMBER(M204)),"",IF(G204="Terreno",IF(AND(ISNUMBER(I204),I204&gt;0),M204/I204,""),IF(AND(ISNUMBER(H204),H204&gt;0),M204/H204,"")))</f>
        <v/>
      </c>
      <c r="Q204" s="9">
        <f>IF(AND(ISNUMBER(M204),ISNUMBER(O204)),IF(M204&lt;=O204,"Valor ≤ venal IPTU",""),"")</f>
        <v/>
      </c>
      <c r="R204" s="10" t="n"/>
      <c r="S204" s="10" t="n"/>
      <c r="AA204" s="10" t="n"/>
      <c r="AB204" s="11">
        <f>IF(LEN(TRIM(X204))=0,"",HYPERLINK("https://www.google.com/maps/@?api=1&amp;map_action=pano&amp;viewpoint="&amp;SUBSTITUTE(X204," ",""),"Abrir Street View"))</f>
        <v/>
      </c>
    </row>
    <row r="205">
      <c r="H205" s="6" t="n"/>
      <c r="I205" s="6" t="n"/>
      <c r="M205" s="7" t="n"/>
      <c r="N205" s="7" t="n"/>
      <c r="O205" s="7" t="n"/>
      <c r="P205" s="8">
        <f>IF(NOT(ISNUMBER(M205)),"",IF(G205="Terreno",IF(AND(ISNUMBER(I205),I205&gt;0),M205/I205,""),IF(AND(ISNUMBER(H205),H205&gt;0),M205/H205,"")))</f>
        <v/>
      </c>
      <c r="Q205" s="9">
        <f>IF(AND(ISNUMBER(M205),ISNUMBER(O205)),IF(M205&lt;=O205,"Valor ≤ venal IPTU",""),"")</f>
        <v/>
      </c>
      <c r="R205" s="10" t="n"/>
      <c r="S205" s="10" t="n"/>
      <c r="AA205" s="10" t="n"/>
      <c r="AB205" s="11">
        <f>IF(LEN(TRIM(X205))=0,"",HYPERLINK("https://www.google.com/maps/@?api=1&amp;map_action=pano&amp;viewpoint="&amp;SUBSTITUTE(X205," ",""),"Abrir Street View"))</f>
        <v/>
      </c>
    </row>
    <row r="206">
      <c r="H206" s="6" t="n"/>
      <c r="I206" s="6" t="n"/>
      <c r="M206" s="7" t="n"/>
      <c r="N206" s="7" t="n"/>
      <c r="O206" s="7" t="n"/>
      <c r="P206" s="8">
        <f>IF(NOT(ISNUMBER(M206)),"",IF(G206="Terreno",IF(AND(ISNUMBER(I206),I206&gt;0),M206/I206,""),IF(AND(ISNUMBER(H206),H206&gt;0),M206/H206,"")))</f>
        <v/>
      </c>
      <c r="Q206" s="9">
        <f>IF(AND(ISNUMBER(M206),ISNUMBER(O206)),IF(M206&lt;=O206,"Valor ≤ venal IPTU",""),"")</f>
        <v/>
      </c>
      <c r="R206" s="10" t="n"/>
      <c r="S206" s="10" t="n"/>
      <c r="AA206" s="10" t="n"/>
      <c r="AB206" s="11">
        <f>IF(LEN(TRIM(X206))=0,"",HYPERLINK("https://www.google.com/maps/@?api=1&amp;map_action=pano&amp;viewpoint="&amp;SUBSTITUTE(X206," ",""),"Abrir Street View"))</f>
        <v/>
      </c>
    </row>
    <row r="207">
      <c r="H207" s="6" t="n"/>
      <c r="I207" s="6" t="n"/>
      <c r="M207" s="7" t="n"/>
      <c r="N207" s="7" t="n"/>
      <c r="O207" s="7" t="n"/>
      <c r="P207" s="8">
        <f>IF(NOT(ISNUMBER(M207)),"",IF(G207="Terreno",IF(AND(ISNUMBER(I207),I207&gt;0),M207/I207,""),IF(AND(ISNUMBER(H207),H207&gt;0),M207/H207,"")))</f>
        <v/>
      </c>
      <c r="Q207" s="9">
        <f>IF(AND(ISNUMBER(M207),ISNUMBER(O207)),IF(M207&lt;=O207,"Valor ≤ venal IPTU",""),"")</f>
        <v/>
      </c>
      <c r="R207" s="10" t="n"/>
      <c r="S207" s="10" t="n"/>
      <c r="AA207" s="10" t="n"/>
      <c r="AB207" s="11">
        <f>IF(LEN(TRIM(X207))=0,"",HYPERLINK("https://www.google.com/maps/@?api=1&amp;map_action=pano&amp;viewpoint="&amp;SUBSTITUTE(X207," ",""),"Abrir Street View"))</f>
        <v/>
      </c>
    </row>
    <row r="208">
      <c r="H208" s="6" t="n"/>
      <c r="I208" s="6" t="n"/>
      <c r="M208" s="7" t="n"/>
      <c r="N208" s="7" t="n"/>
      <c r="O208" s="7" t="n"/>
      <c r="P208" s="8">
        <f>IF(NOT(ISNUMBER(M208)),"",IF(G208="Terreno",IF(AND(ISNUMBER(I208),I208&gt;0),M208/I208,""),IF(AND(ISNUMBER(H208),H208&gt;0),M208/H208,"")))</f>
        <v/>
      </c>
      <c r="Q208" s="9">
        <f>IF(AND(ISNUMBER(M208),ISNUMBER(O208)),IF(M208&lt;=O208,"Valor ≤ venal IPTU",""),"")</f>
        <v/>
      </c>
      <c r="R208" s="10" t="n"/>
      <c r="S208" s="10" t="n"/>
      <c r="AA208" s="10" t="n"/>
      <c r="AB208" s="11">
        <f>IF(LEN(TRIM(X208))=0,"",HYPERLINK("https://www.google.com/maps/@?api=1&amp;map_action=pano&amp;viewpoint="&amp;SUBSTITUTE(X208," ",""),"Abrir Street View"))</f>
        <v/>
      </c>
    </row>
    <row r="209">
      <c r="H209" s="6" t="n"/>
      <c r="I209" s="6" t="n"/>
      <c r="M209" s="7" t="n"/>
      <c r="N209" s="7" t="n"/>
      <c r="O209" s="7" t="n"/>
      <c r="P209" s="8">
        <f>IF(NOT(ISNUMBER(M209)),"",IF(G209="Terreno",IF(AND(ISNUMBER(I209),I209&gt;0),M209/I209,""),IF(AND(ISNUMBER(H209),H209&gt;0),M209/H209,"")))</f>
        <v/>
      </c>
      <c r="Q209" s="9">
        <f>IF(AND(ISNUMBER(M209),ISNUMBER(O209)),IF(M209&lt;=O209,"Valor ≤ venal IPTU",""),"")</f>
        <v/>
      </c>
      <c r="R209" s="10" t="n"/>
      <c r="S209" s="10" t="n"/>
      <c r="AA209" s="10" t="n"/>
      <c r="AB209" s="11">
        <f>IF(LEN(TRIM(X209))=0,"",HYPERLINK("https://www.google.com/maps/@?api=1&amp;map_action=pano&amp;viewpoint="&amp;SUBSTITUTE(X209," ",""),"Abrir Street View"))</f>
        <v/>
      </c>
    </row>
    <row r="210">
      <c r="H210" s="6" t="n"/>
      <c r="I210" s="6" t="n"/>
      <c r="M210" s="7" t="n"/>
      <c r="N210" s="7" t="n"/>
      <c r="O210" s="7" t="n"/>
      <c r="P210" s="8">
        <f>IF(NOT(ISNUMBER(M210)),"",IF(G210="Terreno",IF(AND(ISNUMBER(I210),I210&gt;0),M210/I210,""),IF(AND(ISNUMBER(H210),H210&gt;0),M210/H210,"")))</f>
        <v/>
      </c>
      <c r="Q210" s="9">
        <f>IF(AND(ISNUMBER(M210),ISNUMBER(O210)),IF(M210&lt;=O210,"Valor ≤ venal IPTU",""),"")</f>
        <v/>
      </c>
      <c r="R210" s="10" t="n"/>
      <c r="S210" s="10" t="n"/>
      <c r="AA210" s="10" t="n"/>
      <c r="AB210" s="11">
        <f>IF(LEN(TRIM(X210))=0,"",HYPERLINK("https://www.google.com/maps/@?api=1&amp;map_action=pano&amp;viewpoint="&amp;SUBSTITUTE(X210," ",""),"Abrir Street View"))</f>
        <v/>
      </c>
    </row>
    <row r="211">
      <c r="H211" s="6" t="n"/>
      <c r="I211" s="6" t="n"/>
      <c r="M211" s="7" t="n"/>
      <c r="N211" s="7" t="n"/>
      <c r="O211" s="7" t="n"/>
      <c r="P211" s="8">
        <f>IF(NOT(ISNUMBER(M211)),"",IF(G211="Terreno",IF(AND(ISNUMBER(I211),I211&gt;0),M211/I211,""),IF(AND(ISNUMBER(H211),H211&gt;0),M211/H211,"")))</f>
        <v/>
      </c>
      <c r="Q211" s="9">
        <f>IF(AND(ISNUMBER(M211),ISNUMBER(O211)),IF(M211&lt;=O211,"Valor ≤ venal IPTU",""),"")</f>
        <v/>
      </c>
      <c r="R211" s="10" t="n"/>
      <c r="S211" s="10" t="n"/>
      <c r="AA211" s="10" t="n"/>
      <c r="AB211" s="11">
        <f>IF(LEN(TRIM(X211))=0,"",HYPERLINK("https://www.google.com/maps/@?api=1&amp;map_action=pano&amp;viewpoint="&amp;SUBSTITUTE(X211," ",""),"Abrir Street View"))</f>
        <v/>
      </c>
    </row>
    <row r="212">
      <c r="H212" s="6" t="n"/>
      <c r="I212" s="6" t="n"/>
      <c r="M212" s="7" t="n"/>
      <c r="N212" s="7" t="n"/>
      <c r="O212" s="7" t="n"/>
      <c r="P212" s="8">
        <f>IF(NOT(ISNUMBER(M212)),"",IF(G212="Terreno",IF(AND(ISNUMBER(I212),I212&gt;0),M212/I212,""),IF(AND(ISNUMBER(H212),H212&gt;0),M212/H212,"")))</f>
        <v/>
      </c>
      <c r="Q212" s="9">
        <f>IF(AND(ISNUMBER(M212),ISNUMBER(O212)),IF(M212&lt;=O212,"Valor ≤ venal IPTU",""),"")</f>
        <v/>
      </c>
      <c r="R212" s="10" t="n"/>
      <c r="S212" s="10" t="n"/>
      <c r="AA212" s="10" t="n"/>
      <c r="AB212" s="11">
        <f>IF(LEN(TRIM(X212))=0,"",HYPERLINK("https://www.google.com/maps/@?api=1&amp;map_action=pano&amp;viewpoint="&amp;SUBSTITUTE(X212," ",""),"Abrir Street View"))</f>
        <v/>
      </c>
    </row>
    <row r="213">
      <c r="H213" s="6" t="n"/>
      <c r="I213" s="6" t="n"/>
      <c r="M213" s="7" t="n"/>
      <c r="N213" s="7" t="n"/>
      <c r="O213" s="7" t="n"/>
      <c r="P213" s="8">
        <f>IF(NOT(ISNUMBER(M213)),"",IF(G213="Terreno",IF(AND(ISNUMBER(I213),I213&gt;0),M213/I213,""),IF(AND(ISNUMBER(H213),H213&gt;0),M213/H213,"")))</f>
        <v/>
      </c>
      <c r="Q213" s="9">
        <f>IF(AND(ISNUMBER(M213),ISNUMBER(O213)),IF(M213&lt;=O213,"Valor ≤ venal IPTU",""),"")</f>
        <v/>
      </c>
      <c r="R213" s="10" t="n"/>
      <c r="S213" s="10" t="n"/>
      <c r="AA213" s="10" t="n"/>
      <c r="AB213" s="11">
        <f>IF(LEN(TRIM(X213))=0,"",HYPERLINK("https://www.google.com/maps/@?api=1&amp;map_action=pano&amp;viewpoint="&amp;SUBSTITUTE(X213," ",""),"Abrir Street View"))</f>
        <v/>
      </c>
    </row>
    <row r="214">
      <c r="H214" s="6" t="n"/>
      <c r="I214" s="6" t="n"/>
      <c r="M214" s="7" t="n"/>
      <c r="N214" s="7" t="n"/>
      <c r="O214" s="7" t="n"/>
      <c r="P214" s="8">
        <f>IF(NOT(ISNUMBER(M214)),"",IF(G214="Terreno",IF(AND(ISNUMBER(I214),I214&gt;0),M214/I214,""),IF(AND(ISNUMBER(H214),H214&gt;0),M214/H214,"")))</f>
        <v/>
      </c>
      <c r="Q214" s="9">
        <f>IF(AND(ISNUMBER(M214),ISNUMBER(O214)),IF(M214&lt;=O214,"Valor ≤ venal IPTU",""),"")</f>
        <v/>
      </c>
      <c r="R214" s="10" t="n"/>
      <c r="S214" s="10" t="n"/>
      <c r="AA214" s="10" t="n"/>
      <c r="AB214" s="11">
        <f>IF(LEN(TRIM(X214))=0,"",HYPERLINK("https://www.google.com/maps/@?api=1&amp;map_action=pano&amp;viewpoint="&amp;SUBSTITUTE(X214," ",""),"Abrir Street View"))</f>
        <v/>
      </c>
    </row>
    <row r="215">
      <c r="H215" s="6" t="n"/>
      <c r="I215" s="6" t="n"/>
      <c r="M215" s="7" t="n"/>
      <c r="N215" s="7" t="n"/>
      <c r="O215" s="7" t="n"/>
      <c r="P215" s="8">
        <f>IF(NOT(ISNUMBER(M215)),"",IF(G215="Terreno",IF(AND(ISNUMBER(I215),I215&gt;0),M215/I215,""),IF(AND(ISNUMBER(H215),H215&gt;0),M215/H215,"")))</f>
        <v/>
      </c>
      <c r="Q215" s="9">
        <f>IF(AND(ISNUMBER(M215),ISNUMBER(O215)),IF(M215&lt;=O215,"Valor ≤ venal IPTU",""),"")</f>
        <v/>
      </c>
      <c r="R215" s="10" t="n"/>
      <c r="S215" s="10" t="n"/>
      <c r="AA215" s="10" t="n"/>
      <c r="AB215" s="11">
        <f>IF(LEN(TRIM(X215))=0,"",HYPERLINK("https://www.google.com/maps/@?api=1&amp;map_action=pano&amp;viewpoint="&amp;SUBSTITUTE(X215," ",""),"Abrir Street View"))</f>
        <v/>
      </c>
    </row>
    <row r="216">
      <c r="H216" s="6" t="n"/>
      <c r="I216" s="6" t="n"/>
      <c r="M216" s="7" t="n"/>
      <c r="N216" s="7" t="n"/>
      <c r="O216" s="7" t="n"/>
      <c r="P216" s="8">
        <f>IF(NOT(ISNUMBER(M216)),"",IF(G216="Terreno",IF(AND(ISNUMBER(I216),I216&gt;0),M216/I216,""),IF(AND(ISNUMBER(H216),H216&gt;0),M216/H216,"")))</f>
        <v/>
      </c>
      <c r="Q216" s="9">
        <f>IF(AND(ISNUMBER(M216),ISNUMBER(O216)),IF(M216&lt;=O216,"Valor ≤ venal IPTU",""),"")</f>
        <v/>
      </c>
      <c r="R216" s="10" t="n"/>
      <c r="S216" s="10" t="n"/>
      <c r="AA216" s="10" t="n"/>
      <c r="AB216" s="11">
        <f>IF(LEN(TRIM(X216))=0,"",HYPERLINK("https://www.google.com/maps/@?api=1&amp;map_action=pano&amp;viewpoint="&amp;SUBSTITUTE(X216," ",""),"Abrir Street View"))</f>
        <v/>
      </c>
    </row>
    <row r="217">
      <c r="H217" s="6" t="n"/>
      <c r="I217" s="6" t="n"/>
      <c r="M217" s="7" t="n"/>
      <c r="N217" s="7" t="n"/>
      <c r="O217" s="7" t="n"/>
      <c r="P217" s="8">
        <f>IF(NOT(ISNUMBER(M217)),"",IF(G217="Terreno",IF(AND(ISNUMBER(I217),I217&gt;0),M217/I217,""),IF(AND(ISNUMBER(H217),H217&gt;0),M217/H217,"")))</f>
        <v/>
      </c>
      <c r="Q217" s="9">
        <f>IF(AND(ISNUMBER(M217),ISNUMBER(O217)),IF(M217&lt;=O217,"Valor ≤ venal IPTU",""),"")</f>
        <v/>
      </c>
      <c r="R217" s="10" t="n"/>
      <c r="S217" s="10" t="n"/>
      <c r="AA217" s="10" t="n"/>
      <c r="AB217" s="11">
        <f>IF(LEN(TRIM(X217))=0,"",HYPERLINK("https://www.google.com/maps/@?api=1&amp;map_action=pano&amp;viewpoint="&amp;SUBSTITUTE(X217," ",""),"Abrir Street View"))</f>
        <v/>
      </c>
    </row>
    <row r="218">
      <c r="H218" s="6" t="n"/>
      <c r="I218" s="6" t="n"/>
      <c r="M218" s="7" t="n"/>
      <c r="N218" s="7" t="n"/>
      <c r="O218" s="7" t="n"/>
      <c r="P218" s="8">
        <f>IF(NOT(ISNUMBER(M218)),"",IF(G218="Terreno",IF(AND(ISNUMBER(I218),I218&gt;0),M218/I218,""),IF(AND(ISNUMBER(H218),H218&gt;0),M218/H218,"")))</f>
        <v/>
      </c>
      <c r="Q218" s="9">
        <f>IF(AND(ISNUMBER(M218),ISNUMBER(O218)),IF(M218&lt;=O218,"Valor ≤ venal IPTU",""),"")</f>
        <v/>
      </c>
      <c r="R218" s="10" t="n"/>
      <c r="S218" s="10" t="n"/>
      <c r="AA218" s="10" t="n"/>
      <c r="AB218" s="11">
        <f>IF(LEN(TRIM(X218))=0,"",HYPERLINK("https://www.google.com/maps/@?api=1&amp;map_action=pano&amp;viewpoint="&amp;SUBSTITUTE(X218," ",""),"Abrir Street View"))</f>
        <v/>
      </c>
    </row>
    <row r="219">
      <c r="H219" s="6" t="n"/>
      <c r="I219" s="6" t="n"/>
      <c r="M219" s="7" t="n"/>
      <c r="N219" s="7" t="n"/>
      <c r="O219" s="7" t="n"/>
      <c r="P219" s="8">
        <f>IF(NOT(ISNUMBER(M219)),"",IF(G219="Terreno",IF(AND(ISNUMBER(I219),I219&gt;0),M219/I219,""),IF(AND(ISNUMBER(H219),H219&gt;0),M219/H219,"")))</f>
        <v/>
      </c>
      <c r="Q219" s="9">
        <f>IF(AND(ISNUMBER(M219),ISNUMBER(O219)),IF(M219&lt;=O219,"Valor ≤ venal IPTU",""),"")</f>
        <v/>
      </c>
      <c r="R219" s="10" t="n"/>
      <c r="S219" s="10" t="n"/>
      <c r="AA219" s="10" t="n"/>
      <c r="AB219" s="11">
        <f>IF(LEN(TRIM(X219))=0,"",HYPERLINK("https://www.google.com/maps/@?api=1&amp;map_action=pano&amp;viewpoint="&amp;SUBSTITUTE(X219," ",""),"Abrir Street View"))</f>
        <v/>
      </c>
    </row>
    <row r="220">
      <c r="H220" s="6" t="n"/>
      <c r="I220" s="6" t="n"/>
      <c r="M220" s="7" t="n"/>
      <c r="N220" s="7" t="n"/>
      <c r="O220" s="7" t="n"/>
      <c r="P220" s="8">
        <f>IF(NOT(ISNUMBER(M220)),"",IF(G220="Terreno",IF(AND(ISNUMBER(I220),I220&gt;0),M220/I220,""),IF(AND(ISNUMBER(H220),H220&gt;0),M220/H220,"")))</f>
        <v/>
      </c>
      <c r="Q220" s="9">
        <f>IF(AND(ISNUMBER(M220),ISNUMBER(O220)),IF(M220&lt;=O220,"Valor ≤ venal IPTU",""),"")</f>
        <v/>
      </c>
      <c r="R220" s="10" t="n"/>
      <c r="S220" s="10" t="n"/>
      <c r="AA220" s="10" t="n"/>
      <c r="AB220" s="11">
        <f>IF(LEN(TRIM(X220))=0,"",HYPERLINK("https://www.google.com/maps/@?api=1&amp;map_action=pano&amp;viewpoint="&amp;SUBSTITUTE(X220," ",""),"Abrir Street View"))</f>
        <v/>
      </c>
    </row>
    <row r="221">
      <c r="H221" s="6" t="n"/>
      <c r="I221" s="6" t="n"/>
      <c r="M221" s="7" t="n"/>
      <c r="N221" s="7" t="n"/>
      <c r="O221" s="7" t="n"/>
      <c r="P221" s="8">
        <f>IF(NOT(ISNUMBER(M221)),"",IF(G221="Terreno",IF(AND(ISNUMBER(I221),I221&gt;0),M221/I221,""),IF(AND(ISNUMBER(H221),H221&gt;0),M221/H221,"")))</f>
        <v/>
      </c>
      <c r="Q221" s="9">
        <f>IF(AND(ISNUMBER(M221),ISNUMBER(O221)),IF(M221&lt;=O221,"Valor ≤ venal IPTU",""),"")</f>
        <v/>
      </c>
      <c r="R221" s="10" t="n"/>
      <c r="S221" s="10" t="n"/>
      <c r="AA221" s="10" t="n"/>
      <c r="AB221" s="11">
        <f>IF(LEN(TRIM(X221))=0,"",HYPERLINK("https://www.google.com/maps/@?api=1&amp;map_action=pano&amp;viewpoint="&amp;SUBSTITUTE(X221," ",""),"Abrir Street View"))</f>
        <v/>
      </c>
    </row>
    <row r="222">
      <c r="H222" s="6" t="n"/>
      <c r="I222" s="6" t="n"/>
      <c r="M222" s="7" t="n"/>
      <c r="N222" s="7" t="n"/>
      <c r="O222" s="7" t="n"/>
      <c r="P222" s="8">
        <f>IF(NOT(ISNUMBER(M222)),"",IF(G222="Terreno",IF(AND(ISNUMBER(I222),I222&gt;0),M222/I222,""),IF(AND(ISNUMBER(H222),H222&gt;0),M222/H222,"")))</f>
        <v/>
      </c>
      <c r="Q222" s="9">
        <f>IF(AND(ISNUMBER(M222),ISNUMBER(O222)),IF(M222&lt;=O222,"Valor ≤ venal IPTU",""),"")</f>
        <v/>
      </c>
      <c r="R222" s="10" t="n"/>
      <c r="S222" s="10" t="n"/>
      <c r="AA222" s="10" t="n"/>
      <c r="AB222" s="11">
        <f>IF(LEN(TRIM(X222))=0,"",HYPERLINK("https://www.google.com/maps/@?api=1&amp;map_action=pano&amp;viewpoint="&amp;SUBSTITUTE(X222," ",""),"Abrir Street View"))</f>
        <v/>
      </c>
    </row>
    <row r="223">
      <c r="H223" s="6" t="n"/>
      <c r="I223" s="6" t="n"/>
      <c r="M223" s="7" t="n"/>
      <c r="N223" s="7" t="n"/>
      <c r="O223" s="7" t="n"/>
      <c r="P223" s="8">
        <f>IF(NOT(ISNUMBER(M223)),"",IF(G223="Terreno",IF(AND(ISNUMBER(I223),I223&gt;0),M223/I223,""),IF(AND(ISNUMBER(H223),H223&gt;0),M223/H223,"")))</f>
        <v/>
      </c>
      <c r="Q223" s="9">
        <f>IF(AND(ISNUMBER(M223),ISNUMBER(O223)),IF(M223&lt;=O223,"Valor ≤ venal IPTU",""),"")</f>
        <v/>
      </c>
      <c r="R223" s="10" t="n"/>
      <c r="S223" s="10" t="n"/>
      <c r="AA223" s="10" t="n"/>
      <c r="AB223" s="11">
        <f>IF(LEN(TRIM(X223))=0,"",HYPERLINK("https://www.google.com/maps/@?api=1&amp;map_action=pano&amp;viewpoint="&amp;SUBSTITUTE(X223," ",""),"Abrir Street View"))</f>
        <v/>
      </c>
    </row>
    <row r="224">
      <c r="H224" s="6" t="n"/>
      <c r="I224" s="6" t="n"/>
      <c r="M224" s="7" t="n"/>
      <c r="N224" s="7" t="n"/>
      <c r="O224" s="7" t="n"/>
      <c r="P224" s="8">
        <f>IF(NOT(ISNUMBER(M224)),"",IF(G224="Terreno",IF(AND(ISNUMBER(I224),I224&gt;0),M224/I224,""),IF(AND(ISNUMBER(H224),H224&gt;0),M224/H224,"")))</f>
        <v/>
      </c>
      <c r="Q224" s="9">
        <f>IF(AND(ISNUMBER(M224),ISNUMBER(O224)),IF(M224&lt;=O224,"Valor ≤ venal IPTU",""),"")</f>
        <v/>
      </c>
      <c r="R224" s="10" t="n"/>
      <c r="S224" s="10" t="n"/>
      <c r="AA224" s="10" t="n"/>
      <c r="AB224" s="11">
        <f>IF(LEN(TRIM(X224))=0,"",HYPERLINK("https://www.google.com/maps/@?api=1&amp;map_action=pano&amp;viewpoint="&amp;SUBSTITUTE(X224," ",""),"Abrir Street View"))</f>
        <v/>
      </c>
    </row>
    <row r="225">
      <c r="H225" s="6" t="n"/>
      <c r="I225" s="6" t="n"/>
      <c r="M225" s="7" t="n"/>
      <c r="N225" s="7" t="n"/>
      <c r="O225" s="7" t="n"/>
      <c r="P225" s="8">
        <f>IF(NOT(ISNUMBER(M225)),"",IF(G225="Terreno",IF(AND(ISNUMBER(I225),I225&gt;0),M225/I225,""),IF(AND(ISNUMBER(H225),H225&gt;0),M225/H225,"")))</f>
        <v/>
      </c>
      <c r="Q225" s="9">
        <f>IF(AND(ISNUMBER(M225),ISNUMBER(O225)),IF(M225&lt;=O225,"Valor ≤ venal IPTU",""),"")</f>
        <v/>
      </c>
      <c r="R225" s="10" t="n"/>
      <c r="S225" s="10" t="n"/>
      <c r="AA225" s="10" t="n"/>
      <c r="AB225" s="11">
        <f>IF(LEN(TRIM(X225))=0,"",HYPERLINK("https://www.google.com/maps/@?api=1&amp;map_action=pano&amp;viewpoint="&amp;SUBSTITUTE(X225," ",""),"Abrir Street View"))</f>
        <v/>
      </c>
    </row>
    <row r="226">
      <c r="H226" s="6" t="n"/>
      <c r="I226" s="6" t="n"/>
      <c r="M226" s="7" t="n"/>
      <c r="N226" s="7" t="n"/>
      <c r="O226" s="7" t="n"/>
      <c r="P226" s="8">
        <f>IF(NOT(ISNUMBER(M226)),"",IF(G226="Terreno",IF(AND(ISNUMBER(I226),I226&gt;0),M226/I226,""),IF(AND(ISNUMBER(H226),H226&gt;0),M226/H226,"")))</f>
        <v/>
      </c>
      <c r="Q226" s="9">
        <f>IF(AND(ISNUMBER(M226),ISNUMBER(O226)),IF(M226&lt;=O226,"Valor ≤ venal IPTU",""),"")</f>
        <v/>
      </c>
      <c r="R226" s="10" t="n"/>
      <c r="S226" s="10" t="n"/>
      <c r="AA226" s="10" t="n"/>
      <c r="AB226" s="11">
        <f>IF(LEN(TRIM(X226))=0,"",HYPERLINK("https://www.google.com/maps/@?api=1&amp;map_action=pano&amp;viewpoint="&amp;SUBSTITUTE(X226," ",""),"Abrir Street View"))</f>
        <v/>
      </c>
    </row>
    <row r="227">
      <c r="H227" s="6" t="n"/>
      <c r="I227" s="6" t="n"/>
      <c r="M227" s="7" t="n"/>
      <c r="N227" s="7" t="n"/>
      <c r="O227" s="7" t="n"/>
      <c r="P227" s="8">
        <f>IF(NOT(ISNUMBER(M227)),"",IF(G227="Terreno",IF(AND(ISNUMBER(I227),I227&gt;0),M227/I227,""),IF(AND(ISNUMBER(H227),H227&gt;0),M227/H227,"")))</f>
        <v/>
      </c>
      <c r="Q227" s="9">
        <f>IF(AND(ISNUMBER(M227),ISNUMBER(O227)),IF(M227&lt;=O227,"Valor ≤ venal IPTU",""),"")</f>
        <v/>
      </c>
      <c r="R227" s="10" t="n"/>
      <c r="S227" s="10" t="n"/>
      <c r="AA227" s="10" t="n"/>
      <c r="AB227" s="11">
        <f>IF(LEN(TRIM(X227))=0,"",HYPERLINK("https://www.google.com/maps/@?api=1&amp;map_action=pano&amp;viewpoint="&amp;SUBSTITUTE(X227," ",""),"Abrir Street View"))</f>
        <v/>
      </c>
    </row>
    <row r="228">
      <c r="H228" s="6" t="n"/>
      <c r="I228" s="6" t="n"/>
      <c r="M228" s="7" t="n"/>
      <c r="N228" s="7" t="n"/>
      <c r="O228" s="7" t="n"/>
      <c r="P228" s="8">
        <f>IF(NOT(ISNUMBER(M228)),"",IF(G228="Terreno",IF(AND(ISNUMBER(I228),I228&gt;0),M228/I228,""),IF(AND(ISNUMBER(H228),H228&gt;0),M228/H228,"")))</f>
        <v/>
      </c>
      <c r="Q228" s="9">
        <f>IF(AND(ISNUMBER(M228),ISNUMBER(O228)),IF(M228&lt;=O228,"Valor ≤ venal IPTU",""),"")</f>
        <v/>
      </c>
      <c r="R228" s="10" t="n"/>
      <c r="S228" s="10" t="n"/>
      <c r="AA228" s="10" t="n"/>
      <c r="AB228" s="11">
        <f>IF(LEN(TRIM(X228))=0,"",HYPERLINK("https://www.google.com/maps/@?api=1&amp;map_action=pano&amp;viewpoint="&amp;SUBSTITUTE(X228," ",""),"Abrir Street View"))</f>
        <v/>
      </c>
    </row>
    <row r="229">
      <c r="H229" s="6" t="n"/>
      <c r="I229" s="6" t="n"/>
      <c r="M229" s="7" t="n"/>
      <c r="N229" s="7" t="n"/>
      <c r="O229" s="7" t="n"/>
      <c r="P229" s="8">
        <f>IF(NOT(ISNUMBER(M229)),"",IF(G229="Terreno",IF(AND(ISNUMBER(I229),I229&gt;0),M229/I229,""),IF(AND(ISNUMBER(H229),H229&gt;0),M229/H229,"")))</f>
        <v/>
      </c>
      <c r="Q229" s="9">
        <f>IF(AND(ISNUMBER(M229),ISNUMBER(O229)),IF(M229&lt;=O229,"Valor ≤ venal IPTU",""),"")</f>
        <v/>
      </c>
      <c r="R229" s="10" t="n"/>
      <c r="S229" s="10" t="n"/>
      <c r="AA229" s="10" t="n"/>
      <c r="AB229" s="11">
        <f>IF(LEN(TRIM(X229))=0,"",HYPERLINK("https://www.google.com/maps/@?api=1&amp;map_action=pano&amp;viewpoint="&amp;SUBSTITUTE(X229," ",""),"Abrir Street View"))</f>
        <v/>
      </c>
    </row>
    <row r="230">
      <c r="H230" s="6" t="n"/>
      <c r="I230" s="6" t="n"/>
      <c r="M230" s="7" t="n"/>
      <c r="N230" s="7" t="n"/>
      <c r="O230" s="7" t="n"/>
      <c r="P230" s="8">
        <f>IF(NOT(ISNUMBER(M230)),"",IF(G230="Terreno",IF(AND(ISNUMBER(I230),I230&gt;0),M230/I230,""),IF(AND(ISNUMBER(H230),H230&gt;0),M230/H230,"")))</f>
        <v/>
      </c>
      <c r="Q230" s="9">
        <f>IF(AND(ISNUMBER(M230),ISNUMBER(O230)),IF(M230&lt;=O230,"Valor ≤ venal IPTU",""),"")</f>
        <v/>
      </c>
      <c r="R230" s="10" t="n"/>
      <c r="S230" s="10" t="n"/>
      <c r="AA230" s="10" t="n"/>
      <c r="AB230" s="11">
        <f>IF(LEN(TRIM(X230))=0,"",HYPERLINK("https://www.google.com/maps/@?api=1&amp;map_action=pano&amp;viewpoint="&amp;SUBSTITUTE(X230," ",""),"Abrir Street View"))</f>
        <v/>
      </c>
    </row>
    <row r="231">
      <c r="H231" s="6" t="n"/>
      <c r="I231" s="6" t="n"/>
      <c r="M231" s="7" t="n"/>
      <c r="N231" s="7" t="n"/>
      <c r="O231" s="7" t="n"/>
      <c r="P231" s="8">
        <f>IF(NOT(ISNUMBER(M231)),"",IF(G231="Terreno",IF(AND(ISNUMBER(I231),I231&gt;0),M231/I231,""),IF(AND(ISNUMBER(H231),H231&gt;0),M231/H231,"")))</f>
        <v/>
      </c>
      <c r="Q231" s="9">
        <f>IF(AND(ISNUMBER(M231),ISNUMBER(O231)),IF(M231&lt;=O231,"Valor ≤ venal IPTU",""),"")</f>
        <v/>
      </c>
      <c r="R231" s="10" t="n"/>
      <c r="S231" s="10" t="n"/>
      <c r="AA231" s="10" t="n"/>
      <c r="AB231" s="11">
        <f>IF(LEN(TRIM(X231))=0,"",HYPERLINK("https://www.google.com/maps/@?api=1&amp;map_action=pano&amp;viewpoint="&amp;SUBSTITUTE(X231," ",""),"Abrir Street View"))</f>
        <v/>
      </c>
    </row>
    <row r="232">
      <c r="H232" s="6" t="n"/>
      <c r="I232" s="6" t="n"/>
      <c r="M232" s="7" t="n"/>
      <c r="N232" s="7" t="n"/>
      <c r="O232" s="7" t="n"/>
      <c r="P232" s="8">
        <f>IF(NOT(ISNUMBER(M232)),"",IF(G232="Terreno",IF(AND(ISNUMBER(I232),I232&gt;0),M232/I232,""),IF(AND(ISNUMBER(H232),H232&gt;0),M232/H232,"")))</f>
        <v/>
      </c>
      <c r="Q232" s="9">
        <f>IF(AND(ISNUMBER(M232),ISNUMBER(O232)),IF(M232&lt;=O232,"Valor ≤ venal IPTU",""),"")</f>
        <v/>
      </c>
      <c r="R232" s="10" t="n"/>
      <c r="S232" s="10" t="n"/>
      <c r="AA232" s="10" t="n"/>
      <c r="AB232" s="11">
        <f>IF(LEN(TRIM(X232))=0,"",HYPERLINK("https://www.google.com/maps/@?api=1&amp;map_action=pano&amp;viewpoint="&amp;SUBSTITUTE(X232," ",""),"Abrir Street View"))</f>
        <v/>
      </c>
    </row>
    <row r="233">
      <c r="H233" s="6" t="n"/>
      <c r="I233" s="6" t="n"/>
      <c r="M233" s="7" t="n"/>
      <c r="N233" s="7" t="n"/>
      <c r="O233" s="7" t="n"/>
      <c r="P233" s="8">
        <f>IF(NOT(ISNUMBER(M233)),"",IF(G233="Terreno",IF(AND(ISNUMBER(I233),I233&gt;0),M233/I233,""),IF(AND(ISNUMBER(H233),H233&gt;0),M233/H233,"")))</f>
        <v/>
      </c>
      <c r="Q233" s="9">
        <f>IF(AND(ISNUMBER(M233),ISNUMBER(O233)),IF(M233&lt;=O233,"Valor ≤ venal IPTU",""),"")</f>
        <v/>
      </c>
      <c r="R233" s="10" t="n"/>
      <c r="S233" s="10" t="n"/>
      <c r="AA233" s="10" t="n"/>
      <c r="AB233" s="11">
        <f>IF(LEN(TRIM(X233))=0,"",HYPERLINK("https://www.google.com/maps/@?api=1&amp;map_action=pano&amp;viewpoint="&amp;SUBSTITUTE(X233," ",""),"Abrir Street View"))</f>
        <v/>
      </c>
    </row>
    <row r="234">
      <c r="H234" s="6" t="n"/>
      <c r="I234" s="6" t="n"/>
      <c r="M234" s="7" t="n"/>
      <c r="N234" s="7" t="n"/>
      <c r="O234" s="7" t="n"/>
      <c r="P234" s="8">
        <f>IF(NOT(ISNUMBER(M234)),"",IF(G234="Terreno",IF(AND(ISNUMBER(I234),I234&gt;0),M234/I234,""),IF(AND(ISNUMBER(H234),H234&gt;0),M234/H234,"")))</f>
        <v/>
      </c>
      <c r="Q234" s="9">
        <f>IF(AND(ISNUMBER(M234),ISNUMBER(O234)),IF(M234&lt;=O234,"Valor ≤ venal IPTU",""),"")</f>
        <v/>
      </c>
      <c r="R234" s="10" t="n"/>
      <c r="S234" s="10" t="n"/>
      <c r="AA234" s="10" t="n"/>
      <c r="AB234" s="11">
        <f>IF(LEN(TRIM(X234))=0,"",HYPERLINK("https://www.google.com/maps/@?api=1&amp;map_action=pano&amp;viewpoint="&amp;SUBSTITUTE(X234," ",""),"Abrir Street View"))</f>
        <v/>
      </c>
    </row>
    <row r="235">
      <c r="H235" s="6" t="n"/>
      <c r="I235" s="6" t="n"/>
      <c r="M235" s="7" t="n"/>
      <c r="N235" s="7" t="n"/>
      <c r="O235" s="7" t="n"/>
      <c r="P235" s="8">
        <f>IF(NOT(ISNUMBER(M235)),"",IF(G235="Terreno",IF(AND(ISNUMBER(I235),I235&gt;0),M235/I235,""),IF(AND(ISNUMBER(H235),H235&gt;0),M235/H235,"")))</f>
        <v/>
      </c>
      <c r="Q235" s="9">
        <f>IF(AND(ISNUMBER(M235),ISNUMBER(O235)),IF(M235&lt;=O235,"Valor ≤ venal IPTU",""),"")</f>
        <v/>
      </c>
      <c r="R235" s="10" t="n"/>
      <c r="S235" s="10" t="n"/>
      <c r="AA235" s="10" t="n"/>
      <c r="AB235" s="11">
        <f>IF(LEN(TRIM(X235))=0,"",HYPERLINK("https://www.google.com/maps/@?api=1&amp;map_action=pano&amp;viewpoint="&amp;SUBSTITUTE(X235," ",""),"Abrir Street View"))</f>
        <v/>
      </c>
    </row>
    <row r="236">
      <c r="H236" s="6" t="n"/>
      <c r="I236" s="6" t="n"/>
      <c r="M236" s="7" t="n"/>
      <c r="N236" s="7" t="n"/>
      <c r="O236" s="7" t="n"/>
      <c r="P236" s="8">
        <f>IF(NOT(ISNUMBER(M236)),"",IF(G236="Terreno",IF(AND(ISNUMBER(I236),I236&gt;0),M236/I236,""),IF(AND(ISNUMBER(H236),H236&gt;0),M236/H236,"")))</f>
        <v/>
      </c>
      <c r="Q236" s="9">
        <f>IF(AND(ISNUMBER(M236),ISNUMBER(O236)),IF(M236&lt;=O236,"Valor ≤ venal IPTU",""),"")</f>
        <v/>
      </c>
      <c r="R236" s="10" t="n"/>
      <c r="S236" s="10" t="n"/>
      <c r="AA236" s="10" t="n"/>
      <c r="AB236" s="11">
        <f>IF(LEN(TRIM(X236))=0,"",HYPERLINK("https://www.google.com/maps/@?api=1&amp;map_action=pano&amp;viewpoint="&amp;SUBSTITUTE(X236," ",""),"Abrir Street View"))</f>
        <v/>
      </c>
    </row>
    <row r="237">
      <c r="H237" s="6" t="n"/>
      <c r="I237" s="6" t="n"/>
      <c r="M237" s="7" t="n"/>
      <c r="N237" s="7" t="n"/>
      <c r="O237" s="7" t="n"/>
      <c r="P237" s="8">
        <f>IF(NOT(ISNUMBER(M237)),"",IF(G237="Terreno",IF(AND(ISNUMBER(I237),I237&gt;0),M237/I237,""),IF(AND(ISNUMBER(H237),H237&gt;0),M237/H237,"")))</f>
        <v/>
      </c>
      <c r="Q237" s="9">
        <f>IF(AND(ISNUMBER(M237),ISNUMBER(O237)),IF(M237&lt;=O237,"Valor ≤ venal IPTU",""),"")</f>
        <v/>
      </c>
      <c r="R237" s="10" t="n"/>
      <c r="S237" s="10" t="n"/>
      <c r="AA237" s="10" t="n"/>
      <c r="AB237" s="11">
        <f>IF(LEN(TRIM(X237))=0,"",HYPERLINK("https://www.google.com/maps/@?api=1&amp;map_action=pano&amp;viewpoint="&amp;SUBSTITUTE(X237," ",""),"Abrir Street View"))</f>
        <v/>
      </c>
    </row>
    <row r="238">
      <c r="H238" s="6" t="n"/>
      <c r="I238" s="6" t="n"/>
      <c r="M238" s="7" t="n"/>
      <c r="N238" s="7" t="n"/>
      <c r="O238" s="7" t="n"/>
      <c r="P238" s="8">
        <f>IF(NOT(ISNUMBER(M238)),"",IF(G238="Terreno",IF(AND(ISNUMBER(I238),I238&gt;0),M238/I238,""),IF(AND(ISNUMBER(H238),H238&gt;0),M238/H238,"")))</f>
        <v/>
      </c>
      <c r="Q238" s="9">
        <f>IF(AND(ISNUMBER(M238),ISNUMBER(O238)),IF(M238&lt;=O238,"Valor ≤ venal IPTU",""),"")</f>
        <v/>
      </c>
      <c r="R238" s="10" t="n"/>
      <c r="S238" s="10" t="n"/>
      <c r="AA238" s="10" t="n"/>
      <c r="AB238" s="11">
        <f>IF(LEN(TRIM(X238))=0,"",HYPERLINK("https://www.google.com/maps/@?api=1&amp;map_action=pano&amp;viewpoint="&amp;SUBSTITUTE(X238," ",""),"Abrir Street View"))</f>
        <v/>
      </c>
    </row>
    <row r="239">
      <c r="H239" s="6" t="n"/>
      <c r="I239" s="6" t="n"/>
      <c r="M239" s="7" t="n"/>
      <c r="N239" s="7" t="n"/>
      <c r="O239" s="7" t="n"/>
      <c r="P239" s="8">
        <f>IF(NOT(ISNUMBER(M239)),"",IF(G239="Terreno",IF(AND(ISNUMBER(I239),I239&gt;0),M239/I239,""),IF(AND(ISNUMBER(H239),H239&gt;0),M239/H239,"")))</f>
        <v/>
      </c>
      <c r="Q239" s="9">
        <f>IF(AND(ISNUMBER(M239),ISNUMBER(O239)),IF(M239&lt;=O239,"Valor ≤ venal IPTU",""),"")</f>
        <v/>
      </c>
      <c r="R239" s="10" t="n"/>
      <c r="S239" s="10" t="n"/>
      <c r="AA239" s="10" t="n"/>
      <c r="AB239" s="11">
        <f>IF(LEN(TRIM(X239))=0,"",HYPERLINK("https://www.google.com/maps/@?api=1&amp;map_action=pano&amp;viewpoint="&amp;SUBSTITUTE(X239," ",""),"Abrir Street View"))</f>
        <v/>
      </c>
    </row>
    <row r="240">
      <c r="H240" s="6" t="n"/>
      <c r="I240" s="6" t="n"/>
      <c r="M240" s="7" t="n"/>
      <c r="N240" s="7" t="n"/>
      <c r="O240" s="7" t="n"/>
      <c r="P240" s="8">
        <f>IF(NOT(ISNUMBER(M240)),"",IF(G240="Terreno",IF(AND(ISNUMBER(I240),I240&gt;0),M240/I240,""),IF(AND(ISNUMBER(H240),H240&gt;0),M240/H240,"")))</f>
        <v/>
      </c>
      <c r="Q240" s="9">
        <f>IF(AND(ISNUMBER(M240),ISNUMBER(O240)),IF(M240&lt;=O240,"Valor ≤ venal IPTU",""),"")</f>
        <v/>
      </c>
      <c r="R240" s="10" t="n"/>
      <c r="S240" s="10" t="n"/>
      <c r="AA240" s="10" t="n"/>
      <c r="AB240" s="11">
        <f>IF(LEN(TRIM(X240))=0,"",HYPERLINK("https://www.google.com/maps/@?api=1&amp;map_action=pano&amp;viewpoint="&amp;SUBSTITUTE(X240," ",""),"Abrir Street View"))</f>
        <v/>
      </c>
    </row>
    <row r="241">
      <c r="H241" s="6" t="n"/>
      <c r="I241" s="6" t="n"/>
      <c r="M241" s="7" t="n"/>
      <c r="N241" s="7" t="n"/>
      <c r="O241" s="7" t="n"/>
      <c r="P241" s="8">
        <f>IF(NOT(ISNUMBER(M241)),"",IF(G241="Terreno",IF(AND(ISNUMBER(I241),I241&gt;0),M241/I241,""),IF(AND(ISNUMBER(H241),H241&gt;0),M241/H241,"")))</f>
        <v/>
      </c>
      <c r="Q241" s="9">
        <f>IF(AND(ISNUMBER(M241),ISNUMBER(O241)),IF(M241&lt;=O241,"Valor ≤ venal IPTU",""),"")</f>
        <v/>
      </c>
      <c r="R241" s="10" t="n"/>
      <c r="S241" s="10" t="n"/>
      <c r="AA241" s="10" t="n"/>
      <c r="AB241" s="11">
        <f>IF(LEN(TRIM(X241))=0,"",HYPERLINK("https://www.google.com/maps/@?api=1&amp;map_action=pano&amp;viewpoint="&amp;SUBSTITUTE(X241," ",""),"Abrir Street View"))</f>
        <v/>
      </c>
    </row>
    <row r="242">
      <c r="H242" s="6" t="n"/>
      <c r="I242" s="6" t="n"/>
      <c r="M242" s="7" t="n"/>
      <c r="N242" s="7" t="n"/>
      <c r="O242" s="7" t="n"/>
      <c r="P242" s="8">
        <f>IF(NOT(ISNUMBER(M242)),"",IF(G242="Terreno",IF(AND(ISNUMBER(I242),I242&gt;0),M242/I242,""),IF(AND(ISNUMBER(H242),H242&gt;0),M242/H242,"")))</f>
        <v/>
      </c>
      <c r="Q242" s="9">
        <f>IF(AND(ISNUMBER(M242),ISNUMBER(O242)),IF(M242&lt;=O242,"Valor ≤ venal IPTU",""),"")</f>
        <v/>
      </c>
      <c r="R242" s="10" t="n"/>
      <c r="S242" s="10" t="n"/>
      <c r="AA242" s="10" t="n"/>
      <c r="AB242" s="11">
        <f>IF(LEN(TRIM(X242))=0,"",HYPERLINK("https://www.google.com/maps/@?api=1&amp;map_action=pano&amp;viewpoint="&amp;SUBSTITUTE(X242," ",""),"Abrir Street View"))</f>
        <v/>
      </c>
    </row>
    <row r="243">
      <c r="H243" s="6" t="n"/>
      <c r="I243" s="6" t="n"/>
      <c r="M243" s="7" t="n"/>
      <c r="N243" s="7" t="n"/>
      <c r="O243" s="7" t="n"/>
      <c r="P243" s="8">
        <f>IF(NOT(ISNUMBER(M243)),"",IF(G243="Terreno",IF(AND(ISNUMBER(I243),I243&gt;0),M243/I243,""),IF(AND(ISNUMBER(H243),H243&gt;0),M243/H243,"")))</f>
        <v/>
      </c>
      <c r="Q243" s="9">
        <f>IF(AND(ISNUMBER(M243),ISNUMBER(O243)),IF(M243&lt;=O243,"Valor ≤ venal IPTU",""),"")</f>
        <v/>
      </c>
      <c r="R243" s="10" t="n"/>
      <c r="S243" s="10" t="n"/>
      <c r="AA243" s="10" t="n"/>
      <c r="AB243" s="11">
        <f>IF(LEN(TRIM(X243))=0,"",HYPERLINK("https://www.google.com/maps/@?api=1&amp;map_action=pano&amp;viewpoint="&amp;SUBSTITUTE(X243," ",""),"Abrir Street View"))</f>
        <v/>
      </c>
    </row>
    <row r="244">
      <c r="H244" s="6" t="n"/>
      <c r="I244" s="6" t="n"/>
      <c r="M244" s="7" t="n"/>
      <c r="N244" s="7" t="n"/>
      <c r="O244" s="7" t="n"/>
      <c r="P244" s="8">
        <f>IF(NOT(ISNUMBER(M244)),"",IF(G244="Terreno",IF(AND(ISNUMBER(I244),I244&gt;0),M244/I244,""),IF(AND(ISNUMBER(H244),H244&gt;0),M244/H244,"")))</f>
        <v/>
      </c>
      <c r="Q244" s="9">
        <f>IF(AND(ISNUMBER(M244),ISNUMBER(O244)),IF(M244&lt;=O244,"Valor ≤ venal IPTU",""),"")</f>
        <v/>
      </c>
      <c r="R244" s="10" t="n"/>
      <c r="S244" s="10" t="n"/>
      <c r="AA244" s="10" t="n"/>
      <c r="AB244" s="11">
        <f>IF(LEN(TRIM(X244))=0,"",HYPERLINK("https://www.google.com/maps/@?api=1&amp;map_action=pano&amp;viewpoint="&amp;SUBSTITUTE(X244," ",""),"Abrir Street View"))</f>
        <v/>
      </c>
    </row>
    <row r="245">
      <c r="H245" s="6" t="n"/>
      <c r="I245" s="6" t="n"/>
      <c r="M245" s="7" t="n"/>
      <c r="N245" s="7" t="n"/>
      <c r="O245" s="7" t="n"/>
      <c r="P245" s="8">
        <f>IF(NOT(ISNUMBER(M245)),"",IF(G245="Terreno",IF(AND(ISNUMBER(I245),I245&gt;0),M245/I245,""),IF(AND(ISNUMBER(H245),H245&gt;0),M245/H245,"")))</f>
        <v/>
      </c>
      <c r="Q245" s="9">
        <f>IF(AND(ISNUMBER(M245),ISNUMBER(O245)),IF(M245&lt;=O245,"Valor ≤ venal IPTU",""),"")</f>
        <v/>
      </c>
      <c r="R245" s="10" t="n"/>
      <c r="S245" s="10" t="n"/>
      <c r="AA245" s="10" t="n"/>
      <c r="AB245" s="11">
        <f>IF(LEN(TRIM(X245))=0,"",HYPERLINK("https://www.google.com/maps/@?api=1&amp;map_action=pano&amp;viewpoint="&amp;SUBSTITUTE(X245," ",""),"Abrir Street View"))</f>
        <v/>
      </c>
    </row>
    <row r="246">
      <c r="H246" s="6" t="n"/>
      <c r="I246" s="6" t="n"/>
      <c r="M246" s="7" t="n"/>
      <c r="N246" s="7" t="n"/>
      <c r="O246" s="7" t="n"/>
      <c r="P246" s="8">
        <f>IF(NOT(ISNUMBER(M246)),"",IF(G246="Terreno",IF(AND(ISNUMBER(I246),I246&gt;0),M246/I246,""),IF(AND(ISNUMBER(H246),H246&gt;0),M246/H246,"")))</f>
        <v/>
      </c>
      <c r="Q246" s="9">
        <f>IF(AND(ISNUMBER(M246),ISNUMBER(O246)),IF(M246&lt;=O246,"Valor ≤ venal IPTU",""),"")</f>
        <v/>
      </c>
      <c r="R246" s="10" t="n"/>
      <c r="S246" s="10" t="n"/>
      <c r="AA246" s="10" t="n"/>
      <c r="AB246" s="11">
        <f>IF(LEN(TRIM(X246))=0,"",HYPERLINK("https://www.google.com/maps/@?api=1&amp;map_action=pano&amp;viewpoint="&amp;SUBSTITUTE(X246," ",""),"Abrir Street View"))</f>
        <v/>
      </c>
    </row>
    <row r="247">
      <c r="H247" s="6" t="n"/>
      <c r="I247" s="6" t="n"/>
      <c r="M247" s="7" t="n"/>
      <c r="N247" s="7" t="n"/>
      <c r="O247" s="7" t="n"/>
      <c r="P247" s="8">
        <f>IF(NOT(ISNUMBER(M247)),"",IF(G247="Terreno",IF(AND(ISNUMBER(I247),I247&gt;0),M247/I247,""),IF(AND(ISNUMBER(H247),H247&gt;0),M247/H247,"")))</f>
        <v/>
      </c>
      <c r="Q247" s="9">
        <f>IF(AND(ISNUMBER(M247),ISNUMBER(O247)),IF(M247&lt;=O247,"Valor ≤ venal IPTU",""),"")</f>
        <v/>
      </c>
      <c r="R247" s="10" t="n"/>
      <c r="S247" s="10" t="n"/>
      <c r="AA247" s="10" t="n"/>
      <c r="AB247" s="11">
        <f>IF(LEN(TRIM(X247))=0,"",HYPERLINK("https://www.google.com/maps/@?api=1&amp;map_action=pano&amp;viewpoint="&amp;SUBSTITUTE(X247," ",""),"Abrir Street View"))</f>
        <v/>
      </c>
    </row>
    <row r="248">
      <c r="H248" s="6" t="n"/>
      <c r="I248" s="6" t="n"/>
      <c r="M248" s="7" t="n"/>
      <c r="N248" s="7" t="n"/>
      <c r="O248" s="7" t="n"/>
      <c r="P248" s="8">
        <f>IF(NOT(ISNUMBER(M248)),"",IF(G248="Terreno",IF(AND(ISNUMBER(I248),I248&gt;0),M248/I248,""),IF(AND(ISNUMBER(H248),H248&gt;0),M248/H248,"")))</f>
        <v/>
      </c>
      <c r="Q248" s="9">
        <f>IF(AND(ISNUMBER(M248),ISNUMBER(O248)),IF(M248&lt;=O248,"Valor ≤ venal IPTU",""),"")</f>
        <v/>
      </c>
      <c r="R248" s="10" t="n"/>
      <c r="S248" s="10" t="n"/>
      <c r="AA248" s="10" t="n"/>
      <c r="AB248" s="11">
        <f>IF(LEN(TRIM(X248))=0,"",HYPERLINK("https://www.google.com/maps/@?api=1&amp;map_action=pano&amp;viewpoint="&amp;SUBSTITUTE(X248," ",""),"Abrir Street View"))</f>
        <v/>
      </c>
    </row>
    <row r="249">
      <c r="H249" s="6" t="n"/>
      <c r="I249" s="6" t="n"/>
      <c r="M249" s="7" t="n"/>
      <c r="N249" s="7" t="n"/>
      <c r="O249" s="7" t="n"/>
      <c r="P249" s="8">
        <f>IF(NOT(ISNUMBER(M249)),"",IF(G249="Terreno",IF(AND(ISNUMBER(I249),I249&gt;0),M249/I249,""),IF(AND(ISNUMBER(H249),H249&gt;0),M249/H249,"")))</f>
        <v/>
      </c>
      <c r="Q249" s="9">
        <f>IF(AND(ISNUMBER(M249),ISNUMBER(O249)),IF(M249&lt;=O249,"Valor ≤ venal IPTU",""),"")</f>
        <v/>
      </c>
      <c r="R249" s="10" t="n"/>
      <c r="S249" s="10" t="n"/>
      <c r="AA249" s="10" t="n"/>
      <c r="AB249" s="11">
        <f>IF(LEN(TRIM(X249))=0,"",HYPERLINK("https://www.google.com/maps/@?api=1&amp;map_action=pano&amp;viewpoint="&amp;SUBSTITUTE(X249," ",""),"Abrir Street View"))</f>
        <v/>
      </c>
    </row>
    <row r="250">
      <c r="H250" s="6" t="n"/>
      <c r="I250" s="6" t="n"/>
      <c r="M250" s="7" t="n"/>
      <c r="N250" s="7" t="n"/>
      <c r="O250" s="7" t="n"/>
      <c r="P250" s="8">
        <f>IF(NOT(ISNUMBER(M250)),"",IF(G250="Terreno",IF(AND(ISNUMBER(I250),I250&gt;0),M250/I250,""),IF(AND(ISNUMBER(H250),H250&gt;0),M250/H250,"")))</f>
        <v/>
      </c>
      <c r="Q250" s="9">
        <f>IF(AND(ISNUMBER(M250),ISNUMBER(O250)),IF(M250&lt;=O250,"Valor ≤ venal IPTU",""),"")</f>
        <v/>
      </c>
      <c r="R250" s="10" t="n"/>
      <c r="S250" s="10" t="n"/>
      <c r="AA250" s="10" t="n"/>
      <c r="AB250" s="11">
        <f>IF(LEN(TRIM(X250))=0,"",HYPERLINK("https://www.google.com/maps/@?api=1&amp;map_action=pano&amp;viewpoint="&amp;SUBSTITUTE(X250," ",""),"Abrir Street View"))</f>
        <v/>
      </c>
    </row>
    <row r="251">
      <c r="H251" s="6" t="n"/>
      <c r="I251" s="6" t="n"/>
      <c r="M251" s="7" t="n"/>
      <c r="N251" s="7" t="n"/>
      <c r="O251" s="7" t="n"/>
      <c r="P251" s="8">
        <f>IF(NOT(ISNUMBER(M251)),"",IF(G251="Terreno",IF(AND(ISNUMBER(I251),I251&gt;0),M251/I251,""),IF(AND(ISNUMBER(H251),H251&gt;0),M251/H251,"")))</f>
        <v/>
      </c>
      <c r="Q251" s="9">
        <f>IF(AND(ISNUMBER(M251),ISNUMBER(O251)),IF(M251&lt;=O251,"Valor ≤ venal IPTU",""),"")</f>
        <v/>
      </c>
      <c r="R251" s="10" t="n"/>
      <c r="S251" s="10" t="n"/>
      <c r="AA251" s="10" t="n"/>
      <c r="AB251" s="11">
        <f>IF(LEN(TRIM(X251))=0,"",HYPERLINK("https://www.google.com/maps/@?api=1&amp;map_action=pano&amp;viewpoint="&amp;SUBSTITUTE(X251," ",""),"Abrir Street View"))</f>
        <v/>
      </c>
    </row>
    <row r="252">
      <c r="H252" s="6" t="n"/>
      <c r="I252" s="6" t="n"/>
      <c r="M252" s="7" t="n"/>
      <c r="N252" s="7" t="n"/>
      <c r="O252" s="7" t="n"/>
      <c r="P252" s="8">
        <f>IF(NOT(ISNUMBER(M252)),"",IF(G252="Terreno",IF(AND(ISNUMBER(I252),I252&gt;0),M252/I252,""),IF(AND(ISNUMBER(H252),H252&gt;0),M252/H252,"")))</f>
        <v/>
      </c>
      <c r="Q252" s="9">
        <f>IF(AND(ISNUMBER(M252),ISNUMBER(O252)),IF(M252&lt;=O252,"Valor ≤ venal IPTU",""),"")</f>
        <v/>
      </c>
      <c r="R252" s="10" t="n"/>
      <c r="S252" s="10" t="n"/>
      <c r="AA252" s="10" t="n"/>
      <c r="AB252" s="11">
        <f>IF(LEN(TRIM(X252))=0,"",HYPERLINK("https://www.google.com/maps/@?api=1&amp;map_action=pano&amp;viewpoint="&amp;SUBSTITUTE(X252," ",""),"Abrir Street View"))</f>
        <v/>
      </c>
    </row>
    <row r="253">
      <c r="H253" s="6" t="n"/>
      <c r="I253" s="6" t="n"/>
      <c r="M253" s="7" t="n"/>
      <c r="N253" s="7" t="n"/>
      <c r="O253" s="7" t="n"/>
      <c r="P253" s="8">
        <f>IF(NOT(ISNUMBER(M253)),"",IF(G253="Terreno",IF(AND(ISNUMBER(I253),I253&gt;0),M253/I253,""),IF(AND(ISNUMBER(H253),H253&gt;0),M253/H253,"")))</f>
        <v/>
      </c>
      <c r="Q253" s="9">
        <f>IF(AND(ISNUMBER(M253),ISNUMBER(O253)),IF(M253&lt;=O253,"Valor ≤ venal IPTU",""),"")</f>
        <v/>
      </c>
      <c r="R253" s="10" t="n"/>
      <c r="S253" s="10" t="n"/>
      <c r="AA253" s="10" t="n"/>
      <c r="AB253" s="11">
        <f>IF(LEN(TRIM(X253))=0,"",HYPERLINK("https://www.google.com/maps/@?api=1&amp;map_action=pano&amp;viewpoint="&amp;SUBSTITUTE(X253," ",""),"Abrir Street View"))</f>
        <v/>
      </c>
    </row>
    <row r="254">
      <c r="H254" s="6" t="n"/>
      <c r="I254" s="6" t="n"/>
      <c r="M254" s="7" t="n"/>
      <c r="N254" s="7" t="n"/>
      <c r="O254" s="7" t="n"/>
      <c r="P254" s="8">
        <f>IF(NOT(ISNUMBER(M254)),"",IF(G254="Terreno",IF(AND(ISNUMBER(I254),I254&gt;0),M254/I254,""),IF(AND(ISNUMBER(H254),H254&gt;0),M254/H254,"")))</f>
        <v/>
      </c>
      <c r="Q254" s="9">
        <f>IF(AND(ISNUMBER(M254),ISNUMBER(O254)),IF(M254&lt;=O254,"Valor ≤ venal IPTU",""),"")</f>
        <v/>
      </c>
      <c r="R254" s="10" t="n"/>
      <c r="S254" s="10" t="n"/>
      <c r="AA254" s="10" t="n"/>
      <c r="AB254" s="11">
        <f>IF(LEN(TRIM(X254))=0,"",HYPERLINK("https://www.google.com/maps/@?api=1&amp;map_action=pano&amp;viewpoint="&amp;SUBSTITUTE(X254," ",""),"Abrir Street View"))</f>
        <v/>
      </c>
    </row>
    <row r="255">
      <c r="H255" s="6" t="n"/>
      <c r="I255" s="6" t="n"/>
      <c r="M255" s="7" t="n"/>
      <c r="N255" s="7" t="n"/>
      <c r="O255" s="7" t="n"/>
      <c r="P255" s="8">
        <f>IF(NOT(ISNUMBER(M255)),"",IF(G255="Terreno",IF(AND(ISNUMBER(I255),I255&gt;0),M255/I255,""),IF(AND(ISNUMBER(H255),H255&gt;0),M255/H255,"")))</f>
        <v/>
      </c>
      <c r="Q255" s="9">
        <f>IF(AND(ISNUMBER(M255),ISNUMBER(O255)),IF(M255&lt;=O255,"Valor ≤ venal IPTU",""),"")</f>
        <v/>
      </c>
      <c r="R255" s="10" t="n"/>
      <c r="S255" s="10" t="n"/>
      <c r="AA255" s="10" t="n"/>
      <c r="AB255" s="11">
        <f>IF(LEN(TRIM(X255))=0,"",HYPERLINK("https://www.google.com/maps/@?api=1&amp;map_action=pano&amp;viewpoint="&amp;SUBSTITUTE(X255," ",""),"Abrir Street View"))</f>
        <v/>
      </c>
    </row>
    <row r="256">
      <c r="H256" s="6" t="n"/>
      <c r="I256" s="6" t="n"/>
      <c r="M256" s="7" t="n"/>
      <c r="N256" s="7" t="n"/>
      <c r="O256" s="7" t="n"/>
      <c r="P256" s="8">
        <f>IF(NOT(ISNUMBER(M256)),"",IF(G256="Terreno",IF(AND(ISNUMBER(I256),I256&gt;0),M256/I256,""),IF(AND(ISNUMBER(H256),H256&gt;0),M256/H256,"")))</f>
        <v/>
      </c>
      <c r="Q256" s="9">
        <f>IF(AND(ISNUMBER(M256),ISNUMBER(O256)),IF(M256&lt;=O256,"Valor ≤ venal IPTU",""),"")</f>
        <v/>
      </c>
      <c r="R256" s="10" t="n"/>
      <c r="S256" s="10" t="n"/>
      <c r="AA256" s="10" t="n"/>
      <c r="AB256" s="11">
        <f>IF(LEN(TRIM(X256))=0,"",HYPERLINK("https://www.google.com/maps/@?api=1&amp;map_action=pano&amp;viewpoint="&amp;SUBSTITUTE(X256," ",""),"Abrir Street View"))</f>
        <v/>
      </c>
    </row>
    <row r="257">
      <c r="H257" s="6" t="n"/>
      <c r="I257" s="6" t="n"/>
      <c r="M257" s="7" t="n"/>
      <c r="N257" s="7" t="n"/>
      <c r="O257" s="7" t="n"/>
      <c r="P257" s="8">
        <f>IF(NOT(ISNUMBER(M257)),"",IF(G257="Terreno",IF(AND(ISNUMBER(I257),I257&gt;0),M257/I257,""),IF(AND(ISNUMBER(H257),H257&gt;0),M257/H257,"")))</f>
        <v/>
      </c>
      <c r="Q257" s="9">
        <f>IF(AND(ISNUMBER(M257),ISNUMBER(O257)),IF(M257&lt;=O257,"Valor ≤ venal IPTU",""),"")</f>
        <v/>
      </c>
      <c r="R257" s="10" t="n"/>
      <c r="S257" s="10" t="n"/>
      <c r="AA257" s="10" t="n"/>
      <c r="AB257" s="11">
        <f>IF(LEN(TRIM(X257))=0,"",HYPERLINK("https://www.google.com/maps/@?api=1&amp;map_action=pano&amp;viewpoint="&amp;SUBSTITUTE(X257," ",""),"Abrir Street View"))</f>
        <v/>
      </c>
    </row>
    <row r="258">
      <c r="H258" s="6" t="n"/>
      <c r="I258" s="6" t="n"/>
      <c r="M258" s="7" t="n"/>
      <c r="N258" s="7" t="n"/>
      <c r="O258" s="7" t="n"/>
      <c r="P258" s="8">
        <f>IF(NOT(ISNUMBER(M258)),"",IF(G258="Terreno",IF(AND(ISNUMBER(I258),I258&gt;0),M258/I258,""),IF(AND(ISNUMBER(H258),H258&gt;0),M258/H258,"")))</f>
        <v/>
      </c>
      <c r="Q258" s="9">
        <f>IF(AND(ISNUMBER(M258),ISNUMBER(O258)),IF(M258&lt;=O258,"Valor ≤ venal IPTU",""),"")</f>
        <v/>
      </c>
      <c r="R258" s="10" t="n"/>
      <c r="S258" s="10" t="n"/>
      <c r="AA258" s="10" t="n"/>
      <c r="AB258" s="11">
        <f>IF(LEN(TRIM(X258))=0,"",HYPERLINK("https://www.google.com/maps/@?api=1&amp;map_action=pano&amp;viewpoint="&amp;SUBSTITUTE(X258," ",""),"Abrir Street View"))</f>
        <v/>
      </c>
    </row>
    <row r="259">
      <c r="H259" s="6" t="n"/>
      <c r="I259" s="6" t="n"/>
      <c r="M259" s="7" t="n"/>
      <c r="N259" s="7" t="n"/>
      <c r="O259" s="7" t="n"/>
      <c r="P259" s="8">
        <f>IF(NOT(ISNUMBER(M259)),"",IF(G259="Terreno",IF(AND(ISNUMBER(I259),I259&gt;0),M259/I259,""),IF(AND(ISNUMBER(H259),H259&gt;0),M259/H259,"")))</f>
        <v/>
      </c>
      <c r="Q259" s="9">
        <f>IF(AND(ISNUMBER(M259),ISNUMBER(O259)),IF(M259&lt;=O259,"Valor ≤ venal IPTU",""),"")</f>
        <v/>
      </c>
      <c r="R259" s="10" t="n"/>
      <c r="S259" s="10" t="n"/>
      <c r="AA259" s="10" t="n"/>
      <c r="AB259" s="11">
        <f>IF(LEN(TRIM(X259))=0,"",HYPERLINK("https://www.google.com/maps/@?api=1&amp;map_action=pano&amp;viewpoint="&amp;SUBSTITUTE(X259," ",""),"Abrir Street View"))</f>
        <v/>
      </c>
    </row>
    <row r="260">
      <c r="H260" s="6" t="n"/>
      <c r="I260" s="6" t="n"/>
      <c r="M260" s="7" t="n"/>
      <c r="N260" s="7" t="n"/>
      <c r="O260" s="7" t="n"/>
      <c r="P260" s="8">
        <f>IF(NOT(ISNUMBER(M260)),"",IF(G260="Terreno",IF(AND(ISNUMBER(I260),I260&gt;0),M260/I260,""),IF(AND(ISNUMBER(H260),H260&gt;0),M260/H260,"")))</f>
        <v/>
      </c>
      <c r="Q260" s="9">
        <f>IF(AND(ISNUMBER(M260),ISNUMBER(O260)),IF(M260&lt;=O260,"Valor ≤ venal IPTU",""),"")</f>
        <v/>
      </c>
      <c r="R260" s="10" t="n"/>
      <c r="S260" s="10" t="n"/>
      <c r="AA260" s="10" t="n"/>
      <c r="AB260" s="11">
        <f>IF(LEN(TRIM(X260))=0,"",HYPERLINK("https://www.google.com/maps/@?api=1&amp;map_action=pano&amp;viewpoint="&amp;SUBSTITUTE(X260," ",""),"Abrir Street View"))</f>
        <v/>
      </c>
    </row>
    <row r="261">
      <c r="H261" s="6" t="n"/>
      <c r="I261" s="6" t="n"/>
      <c r="M261" s="7" t="n"/>
      <c r="N261" s="7" t="n"/>
      <c r="O261" s="7" t="n"/>
      <c r="P261" s="8">
        <f>IF(NOT(ISNUMBER(M261)),"",IF(G261="Terreno",IF(AND(ISNUMBER(I261),I261&gt;0),M261/I261,""),IF(AND(ISNUMBER(H261),H261&gt;0),M261/H261,"")))</f>
        <v/>
      </c>
      <c r="Q261" s="9">
        <f>IF(AND(ISNUMBER(M261),ISNUMBER(O261)),IF(M261&lt;=O261,"Valor ≤ venal IPTU",""),"")</f>
        <v/>
      </c>
      <c r="R261" s="10" t="n"/>
      <c r="S261" s="10" t="n"/>
      <c r="AA261" s="10" t="n"/>
      <c r="AB261" s="11">
        <f>IF(LEN(TRIM(X261))=0,"",HYPERLINK("https://www.google.com/maps/@?api=1&amp;map_action=pano&amp;viewpoint="&amp;SUBSTITUTE(X261," ",""),"Abrir Street View"))</f>
        <v/>
      </c>
    </row>
    <row r="262">
      <c r="H262" s="6" t="n"/>
      <c r="I262" s="6" t="n"/>
      <c r="M262" s="7" t="n"/>
      <c r="N262" s="7" t="n"/>
      <c r="O262" s="7" t="n"/>
      <c r="P262" s="8">
        <f>IF(NOT(ISNUMBER(M262)),"",IF(G262="Terreno",IF(AND(ISNUMBER(I262),I262&gt;0),M262/I262,""),IF(AND(ISNUMBER(H262),H262&gt;0),M262/H262,"")))</f>
        <v/>
      </c>
      <c r="Q262" s="9">
        <f>IF(AND(ISNUMBER(M262),ISNUMBER(O262)),IF(M262&lt;=O262,"Valor ≤ venal IPTU",""),"")</f>
        <v/>
      </c>
      <c r="R262" s="10" t="n"/>
      <c r="S262" s="10" t="n"/>
      <c r="AA262" s="10" t="n"/>
      <c r="AB262" s="11">
        <f>IF(LEN(TRIM(X262))=0,"",HYPERLINK("https://www.google.com/maps/@?api=1&amp;map_action=pano&amp;viewpoint="&amp;SUBSTITUTE(X262," ",""),"Abrir Street View"))</f>
        <v/>
      </c>
    </row>
    <row r="263">
      <c r="H263" s="6" t="n"/>
      <c r="I263" s="6" t="n"/>
      <c r="M263" s="7" t="n"/>
      <c r="N263" s="7" t="n"/>
      <c r="O263" s="7" t="n"/>
      <c r="P263" s="8">
        <f>IF(NOT(ISNUMBER(M263)),"",IF(G263="Terreno",IF(AND(ISNUMBER(I263),I263&gt;0),M263/I263,""),IF(AND(ISNUMBER(H263),H263&gt;0),M263/H263,"")))</f>
        <v/>
      </c>
      <c r="Q263" s="9">
        <f>IF(AND(ISNUMBER(M263),ISNUMBER(O263)),IF(M263&lt;=O263,"Valor ≤ venal IPTU",""),"")</f>
        <v/>
      </c>
      <c r="R263" s="10" t="n"/>
      <c r="S263" s="10" t="n"/>
      <c r="AA263" s="10" t="n"/>
      <c r="AB263" s="11">
        <f>IF(LEN(TRIM(X263))=0,"",HYPERLINK("https://www.google.com/maps/@?api=1&amp;map_action=pano&amp;viewpoint="&amp;SUBSTITUTE(X263," ",""),"Abrir Street View"))</f>
        <v/>
      </c>
    </row>
    <row r="264">
      <c r="H264" s="6" t="n"/>
      <c r="I264" s="6" t="n"/>
      <c r="M264" s="7" t="n"/>
      <c r="N264" s="7" t="n"/>
      <c r="O264" s="7" t="n"/>
      <c r="P264" s="8">
        <f>IF(NOT(ISNUMBER(M264)),"",IF(G264="Terreno",IF(AND(ISNUMBER(I264),I264&gt;0),M264/I264,""),IF(AND(ISNUMBER(H264),H264&gt;0),M264/H264,"")))</f>
        <v/>
      </c>
      <c r="Q264" s="9">
        <f>IF(AND(ISNUMBER(M264),ISNUMBER(O264)),IF(M264&lt;=O264,"Valor ≤ venal IPTU",""),"")</f>
        <v/>
      </c>
      <c r="R264" s="10" t="n"/>
      <c r="S264" s="10" t="n"/>
      <c r="AA264" s="10" t="n"/>
      <c r="AB264" s="11">
        <f>IF(LEN(TRIM(X264))=0,"",HYPERLINK("https://www.google.com/maps/@?api=1&amp;map_action=pano&amp;viewpoint="&amp;SUBSTITUTE(X264," ",""),"Abrir Street View"))</f>
        <v/>
      </c>
    </row>
    <row r="265">
      <c r="H265" s="6" t="n"/>
      <c r="I265" s="6" t="n"/>
      <c r="M265" s="7" t="n"/>
      <c r="N265" s="7" t="n"/>
      <c r="O265" s="7" t="n"/>
      <c r="P265" s="8">
        <f>IF(NOT(ISNUMBER(M265)),"",IF(G265="Terreno",IF(AND(ISNUMBER(I265),I265&gt;0),M265/I265,""),IF(AND(ISNUMBER(H265),H265&gt;0),M265/H265,"")))</f>
        <v/>
      </c>
      <c r="Q265" s="9">
        <f>IF(AND(ISNUMBER(M265),ISNUMBER(O265)),IF(M265&lt;=O265,"Valor ≤ venal IPTU",""),"")</f>
        <v/>
      </c>
      <c r="R265" s="10" t="n"/>
      <c r="S265" s="10" t="n"/>
      <c r="AA265" s="10" t="n"/>
      <c r="AB265" s="11">
        <f>IF(LEN(TRIM(X265))=0,"",HYPERLINK("https://www.google.com/maps/@?api=1&amp;map_action=pano&amp;viewpoint="&amp;SUBSTITUTE(X265," ",""),"Abrir Street View"))</f>
        <v/>
      </c>
    </row>
    <row r="266">
      <c r="H266" s="6" t="n"/>
      <c r="I266" s="6" t="n"/>
      <c r="M266" s="7" t="n"/>
      <c r="N266" s="7" t="n"/>
      <c r="O266" s="7" t="n"/>
      <c r="P266" s="8">
        <f>IF(NOT(ISNUMBER(M266)),"",IF(G266="Terreno",IF(AND(ISNUMBER(I266),I266&gt;0),M266/I266,""),IF(AND(ISNUMBER(H266),H266&gt;0),M266/H266,"")))</f>
        <v/>
      </c>
      <c r="Q266" s="9">
        <f>IF(AND(ISNUMBER(M266),ISNUMBER(O266)),IF(M266&lt;=O266,"Valor ≤ venal IPTU",""),"")</f>
        <v/>
      </c>
      <c r="R266" s="10" t="n"/>
      <c r="S266" s="10" t="n"/>
      <c r="AA266" s="10" t="n"/>
      <c r="AB266" s="11">
        <f>IF(LEN(TRIM(X266))=0,"",HYPERLINK("https://www.google.com/maps/@?api=1&amp;map_action=pano&amp;viewpoint="&amp;SUBSTITUTE(X266," ",""),"Abrir Street View"))</f>
        <v/>
      </c>
    </row>
    <row r="267">
      <c r="H267" s="6" t="n"/>
      <c r="I267" s="6" t="n"/>
      <c r="M267" s="7" t="n"/>
      <c r="N267" s="7" t="n"/>
      <c r="O267" s="7" t="n"/>
      <c r="P267" s="8">
        <f>IF(NOT(ISNUMBER(M267)),"",IF(G267="Terreno",IF(AND(ISNUMBER(I267),I267&gt;0),M267/I267,""),IF(AND(ISNUMBER(H267),H267&gt;0),M267/H267,"")))</f>
        <v/>
      </c>
      <c r="Q267" s="9">
        <f>IF(AND(ISNUMBER(M267),ISNUMBER(O267)),IF(M267&lt;=O267,"Valor ≤ venal IPTU",""),"")</f>
        <v/>
      </c>
      <c r="R267" s="10" t="n"/>
      <c r="S267" s="10" t="n"/>
      <c r="AA267" s="10" t="n"/>
      <c r="AB267" s="11">
        <f>IF(LEN(TRIM(X267))=0,"",HYPERLINK("https://www.google.com/maps/@?api=1&amp;map_action=pano&amp;viewpoint="&amp;SUBSTITUTE(X267," ",""),"Abrir Street View"))</f>
        <v/>
      </c>
    </row>
    <row r="268">
      <c r="H268" s="6" t="n"/>
      <c r="I268" s="6" t="n"/>
      <c r="M268" s="7" t="n"/>
      <c r="N268" s="7" t="n"/>
      <c r="O268" s="7" t="n"/>
      <c r="P268" s="8">
        <f>IF(NOT(ISNUMBER(M268)),"",IF(G268="Terreno",IF(AND(ISNUMBER(I268),I268&gt;0),M268/I268,""),IF(AND(ISNUMBER(H268),H268&gt;0),M268/H268,"")))</f>
        <v/>
      </c>
      <c r="Q268" s="9">
        <f>IF(AND(ISNUMBER(M268),ISNUMBER(O268)),IF(M268&lt;=O268,"Valor ≤ venal IPTU",""),"")</f>
        <v/>
      </c>
      <c r="R268" s="10" t="n"/>
      <c r="S268" s="10" t="n"/>
      <c r="AA268" s="10" t="n"/>
      <c r="AB268" s="11">
        <f>IF(LEN(TRIM(X268))=0,"",HYPERLINK("https://www.google.com/maps/@?api=1&amp;map_action=pano&amp;viewpoint="&amp;SUBSTITUTE(X268," ",""),"Abrir Street View"))</f>
        <v/>
      </c>
    </row>
    <row r="269">
      <c r="H269" s="6" t="n"/>
      <c r="I269" s="6" t="n"/>
      <c r="M269" s="7" t="n"/>
      <c r="N269" s="7" t="n"/>
      <c r="O269" s="7" t="n"/>
      <c r="P269" s="8">
        <f>IF(NOT(ISNUMBER(M269)),"",IF(G269="Terreno",IF(AND(ISNUMBER(I269),I269&gt;0),M269/I269,""),IF(AND(ISNUMBER(H269),H269&gt;0),M269/H269,"")))</f>
        <v/>
      </c>
      <c r="Q269" s="9">
        <f>IF(AND(ISNUMBER(M269),ISNUMBER(O269)),IF(M269&lt;=O269,"Valor ≤ venal IPTU",""),"")</f>
        <v/>
      </c>
      <c r="R269" s="10" t="n"/>
      <c r="S269" s="10" t="n"/>
      <c r="AA269" s="10" t="n"/>
      <c r="AB269" s="11">
        <f>IF(LEN(TRIM(X269))=0,"",HYPERLINK("https://www.google.com/maps/@?api=1&amp;map_action=pano&amp;viewpoint="&amp;SUBSTITUTE(X269," ",""),"Abrir Street View"))</f>
        <v/>
      </c>
    </row>
    <row r="270">
      <c r="H270" s="6" t="n"/>
      <c r="I270" s="6" t="n"/>
      <c r="M270" s="7" t="n"/>
      <c r="N270" s="7" t="n"/>
      <c r="O270" s="7" t="n"/>
      <c r="P270" s="8">
        <f>IF(NOT(ISNUMBER(M270)),"",IF(G270="Terreno",IF(AND(ISNUMBER(I270),I270&gt;0),M270/I270,""),IF(AND(ISNUMBER(H270),H270&gt;0),M270/H270,"")))</f>
        <v/>
      </c>
      <c r="Q270" s="9">
        <f>IF(AND(ISNUMBER(M270),ISNUMBER(O270)),IF(M270&lt;=O270,"Valor ≤ venal IPTU",""),"")</f>
        <v/>
      </c>
      <c r="R270" s="10" t="n"/>
      <c r="S270" s="10" t="n"/>
      <c r="AA270" s="10" t="n"/>
      <c r="AB270" s="11">
        <f>IF(LEN(TRIM(X270))=0,"",HYPERLINK("https://www.google.com/maps/@?api=1&amp;map_action=pano&amp;viewpoint="&amp;SUBSTITUTE(X270," ",""),"Abrir Street View"))</f>
        <v/>
      </c>
    </row>
    <row r="271">
      <c r="H271" s="6" t="n"/>
      <c r="I271" s="6" t="n"/>
      <c r="M271" s="7" t="n"/>
      <c r="N271" s="7" t="n"/>
      <c r="O271" s="7" t="n"/>
      <c r="P271" s="8">
        <f>IF(NOT(ISNUMBER(M271)),"",IF(G271="Terreno",IF(AND(ISNUMBER(I271),I271&gt;0),M271/I271,""),IF(AND(ISNUMBER(H271),H271&gt;0),M271/H271,"")))</f>
        <v/>
      </c>
      <c r="Q271" s="9">
        <f>IF(AND(ISNUMBER(M271),ISNUMBER(O271)),IF(M271&lt;=O271,"Valor ≤ venal IPTU",""),"")</f>
        <v/>
      </c>
      <c r="R271" s="10" t="n"/>
      <c r="S271" s="10" t="n"/>
      <c r="AA271" s="10" t="n"/>
      <c r="AB271" s="11">
        <f>IF(LEN(TRIM(X271))=0,"",HYPERLINK("https://www.google.com/maps/@?api=1&amp;map_action=pano&amp;viewpoint="&amp;SUBSTITUTE(X271," ",""),"Abrir Street View"))</f>
        <v/>
      </c>
    </row>
    <row r="272">
      <c r="H272" s="6" t="n"/>
      <c r="I272" s="6" t="n"/>
      <c r="M272" s="7" t="n"/>
      <c r="N272" s="7" t="n"/>
      <c r="O272" s="7" t="n"/>
      <c r="P272" s="8">
        <f>IF(NOT(ISNUMBER(M272)),"",IF(G272="Terreno",IF(AND(ISNUMBER(I272),I272&gt;0),M272/I272,""),IF(AND(ISNUMBER(H272),H272&gt;0),M272/H272,"")))</f>
        <v/>
      </c>
      <c r="Q272" s="9">
        <f>IF(AND(ISNUMBER(M272),ISNUMBER(O272)),IF(M272&lt;=O272,"Valor ≤ venal IPTU",""),"")</f>
        <v/>
      </c>
      <c r="R272" s="10" t="n"/>
      <c r="S272" s="10" t="n"/>
      <c r="AA272" s="10" t="n"/>
      <c r="AB272" s="11">
        <f>IF(LEN(TRIM(X272))=0,"",HYPERLINK("https://www.google.com/maps/@?api=1&amp;map_action=pano&amp;viewpoint="&amp;SUBSTITUTE(X272," ",""),"Abrir Street View"))</f>
        <v/>
      </c>
    </row>
    <row r="273">
      <c r="H273" s="6" t="n"/>
      <c r="I273" s="6" t="n"/>
      <c r="M273" s="7" t="n"/>
      <c r="N273" s="7" t="n"/>
      <c r="O273" s="7" t="n"/>
      <c r="P273" s="8">
        <f>IF(NOT(ISNUMBER(M273)),"",IF(G273="Terreno",IF(AND(ISNUMBER(I273),I273&gt;0),M273/I273,""),IF(AND(ISNUMBER(H273),H273&gt;0),M273/H273,"")))</f>
        <v/>
      </c>
      <c r="Q273" s="9">
        <f>IF(AND(ISNUMBER(M273),ISNUMBER(O273)),IF(M273&lt;=O273,"Valor ≤ venal IPTU",""),"")</f>
        <v/>
      </c>
      <c r="R273" s="10" t="n"/>
      <c r="S273" s="10" t="n"/>
      <c r="AA273" s="10" t="n"/>
      <c r="AB273" s="11">
        <f>IF(LEN(TRIM(X273))=0,"",HYPERLINK("https://www.google.com/maps/@?api=1&amp;map_action=pano&amp;viewpoint="&amp;SUBSTITUTE(X273," ",""),"Abrir Street View"))</f>
        <v/>
      </c>
    </row>
    <row r="274">
      <c r="H274" s="6" t="n"/>
      <c r="I274" s="6" t="n"/>
      <c r="M274" s="7" t="n"/>
      <c r="N274" s="7" t="n"/>
      <c r="O274" s="7" t="n"/>
      <c r="P274" s="8">
        <f>IF(NOT(ISNUMBER(M274)),"",IF(G274="Terreno",IF(AND(ISNUMBER(I274),I274&gt;0),M274/I274,""),IF(AND(ISNUMBER(H274),H274&gt;0),M274/H274,"")))</f>
        <v/>
      </c>
      <c r="Q274" s="9">
        <f>IF(AND(ISNUMBER(M274),ISNUMBER(O274)),IF(M274&lt;=O274,"Valor ≤ venal IPTU",""),"")</f>
        <v/>
      </c>
      <c r="R274" s="10" t="n"/>
      <c r="S274" s="10" t="n"/>
      <c r="AA274" s="10" t="n"/>
      <c r="AB274" s="11">
        <f>IF(LEN(TRIM(X274))=0,"",HYPERLINK("https://www.google.com/maps/@?api=1&amp;map_action=pano&amp;viewpoint="&amp;SUBSTITUTE(X274," ",""),"Abrir Street View"))</f>
        <v/>
      </c>
    </row>
    <row r="275">
      <c r="H275" s="6" t="n"/>
      <c r="I275" s="6" t="n"/>
      <c r="M275" s="7" t="n"/>
      <c r="N275" s="7" t="n"/>
      <c r="O275" s="7" t="n"/>
      <c r="P275" s="8">
        <f>IF(NOT(ISNUMBER(M275)),"",IF(G275="Terreno",IF(AND(ISNUMBER(I275),I275&gt;0),M275/I275,""),IF(AND(ISNUMBER(H275),H275&gt;0),M275/H275,"")))</f>
        <v/>
      </c>
      <c r="Q275" s="9">
        <f>IF(AND(ISNUMBER(M275),ISNUMBER(O275)),IF(M275&lt;=O275,"Valor ≤ venal IPTU",""),"")</f>
        <v/>
      </c>
      <c r="R275" s="10" t="n"/>
      <c r="S275" s="10" t="n"/>
      <c r="AA275" s="10" t="n"/>
      <c r="AB275" s="11">
        <f>IF(LEN(TRIM(X275))=0,"",HYPERLINK("https://www.google.com/maps/@?api=1&amp;map_action=pano&amp;viewpoint="&amp;SUBSTITUTE(X275," ",""),"Abrir Street View"))</f>
        <v/>
      </c>
    </row>
    <row r="276">
      <c r="H276" s="6" t="n"/>
      <c r="I276" s="6" t="n"/>
      <c r="M276" s="7" t="n"/>
      <c r="N276" s="7" t="n"/>
      <c r="O276" s="7" t="n"/>
      <c r="P276" s="8">
        <f>IF(NOT(ISNUMBER(M276)),"",IF(G276="Terreno",IF(AND(ISNUMBER(I276),I276&gt;0),M276/I276,""),IF(AND(ISNUMBER(H276),H276&gt;0),M276/H276,"")))</f>
        <v/>
      </c>
      <c r="Q276" s="9">
        <f>IF(AND(ISNUMBER(M276),ISNUMBER(O276)),IF(M276&lt;=O276,"Valor ≤ venal IPTU",""),"")</f>
        <v/>
      </c>
      <c r="R276" s="10" t="n"/>
      <c r="S276" s="10" t="n"/>
      <c r="AA276" s="10" t="n"/>
      <c r="AB276" s="11">
        <f>IF(LEN(TRIM(X276))=0,"",HYPERLINK("https://www.google.com/maps/@?api=1&amp;map_action=pano&amp;viewpoint="&amp;SUBSTITUTE(X276," ",""),"Abrir Street View"))</f>
        <v/>
      </c>
    </row>
    <row r="277">
      <c r="H277" s="6" t="n"/>
      <c r="I277" s="6" t="n"/>
      <c r="M277" s="7" t="n"/>
      <c r="N277" s="7" t="n"/>
      <c r="O277" s="7" t="n"/>
      <c r="P277" s="8">
        <f>IF(NOT(ISNUMBER(M277)),"",IF(G277="Terreno",IF(AND(ISNUMBER(I277),I277&gt;0),M277/I277,""),IF(AND(ISNUMBER(H277),H277&gt;0),M277/H277,"")))</f>
        <v/>
      </c>
      <c r="Q277" s="9">
        <f>IF(AND(ISNUMBER(M277),ISNUMBER(O277)),IF(M277&lt;=O277,"Valor ≤ venal IPTU",""),"")</f>
        <v/>
      </c>
      <c r="R277" s="10" t="n"/>
      <c r="S277" s="10" t="n"/>
      <c r="AA277" s="10" t="n"/>
      <c r="AB277" s="11">
        <f>IF(LEN(TRIM(X277))=0,"",HYPERLINK("https://www.google.com/maps/@?api=1&amp;map_action=pano&amp;viewpoint="&amp;SUBSTITUTE(X277," ",""),"Abrir Street View"))</f>
        <v/>
      </c>
    </row>
    <row r="278">
      <c r="H278" s="6" t="n"/>
      <c r="I278" s="6" t="n"/>
      <c r="M278" s="7" t="n"/>
      <c r="N278" s="7" t="n"/>
      <c r="O278" s="7" t="n"/>
      <c r="P278" s="8">
        <f>IF(NOT(ISNUMBER(M278)),"",IF(G278="Terreno",IF(AND(ISNUMBER(I278),I278&gt;0),M278/I278,""),IF(AND(ISNUMBER(H278),H278&gt;0),M278/H278,"")))</f>
        <v/>
      </c>
      <c r="Q278" s="9">
        <f>IF(AND(ISNUMBER(M278),ISNUMBER(O278)),IF(M278&lt;=O278,"Valor ≤ venal IPTU",""),"")</f>
        <v/>
      </c>
      <c r="R278" s="10" t="n"/>
      <c r="S278" s="10" t="n"/>
      <c r="AA278" s="10" t="n"/>
      <c r="AB278" s="11">
        <f>IF(LEN(TRIM(X278))=0,"",HYPERLINK("https://www.google.com/maps/@?api=1&amp;map_action=pano&amp;viewpoint="&amp;SUBSTITUTE(X278," ",""),"Abrir Street View"))</f>
        <v/>
      </c>
    </row>
    <row r="279">
      <c r="H279" s="6" t="n"/>
      <c r="I279" s="6" t="n"/>
      <c r="M279" s="7" t="n"/>
      <c r="N279" s="7" t="n"/>
      <c r="O279" s="7" t="n"/>
      <c r="P279" s="8">
        <f>IF(NOT(ISNUMBER(M279)),"",IF(G279="Terreno",IF(AND(ISNUMBER(I279),I279&gt;0),M279/I279,""),IF(AND(ISNUMBER(H279),H279&gt;0),M279/H279,"")))</f>
        <v/>
      </c>
      <c r="Q279" s="9">
        <f>IF(AND(ISNUMBER(M279),ISNUMBER(O279)),IF(M279&lt;=O279,"Valor ≤ venal IPTU",""),"")</f>
        <v/>
      </c>
      <c r="R279" s="10" t="n"/>
      <c r="S279" s="10" t="n"/>
      <c r="AA279" s="10" t="n"/>
      <c r="AB279" s="11">
        <f>IF(LEN(TRIM(X279))=0,"",HYPERLINK("https://www.google.com/maps/@?api=1&amp;map_action=pano&amp;viewpoint="&amp;SUBSTITUTE(X279," ",""),"Abrir Street View"))</f>
        <v/>
      </c>
    </row>
    <row r="280">
      <c r="H280" s="6" t="n"/>
      <c r="I280" s="6" t="n"/>
      <c r="M280" s="7" t="n"/>
      <c r="N280" s="7" t="n"/>
      <c r="O280" s="7" t="n"/>
      <c r="P280" s="8">
        <f>IF(NOT(ISNUMBER(M280)),"",IF(G280="Terreno",IF(AND(ISNUMBER(I280),I280&gt;0),M280/I280,""),IF(AND(ISNUMBER(H280),H280&gt;0),M280/H280,"")))</f>
        <v/>
      </c>
      <c r="Q280" s="9">
        <f>IF(AND(ISNUMBER(M280),ISNUMBER(O280)),IF(M280&lt;=O280,"Valor ≤ venal IPTU",""),"")</f>
        <v/>
      </c>
      <c r="R280" s="10" t="n"/>
      <c r="S280" s="10" t="n"/>
      <c r="AA280" s="10" t="n"/>
      <c r="AB280" s="11">
        <f>IF(LEN(TRIM(X280))=0,"",HYPERLINK("https://www.google.com/maps/@?api=1&amp;map_action=pano&amp;viewpoint="&amp;SUBSTITUTE(X280," ",""),"Abrir Street View"))</f>
        <v/>
      </c>
    </row>
    <row r="281">
      <c r="H281" s="6" t="n"/>
      <c r="I281" s="6" t="n"/>
      <c r="M281" s="7" t="n"/>
      <c r="N281" s="7" t="n"/>
      <c r="O281" s="7" t="n"/>
      <c r="P281" s="8">
        <f>IF(NOT(ISNUMBER(M281)),"",IF(G281="Terreno",IF(AND(ISNUMBER(I281),I281&gt;0),M281/I281,""),IF(AND(ISNUMBER(H281),H281&gt;0),M281/H281,"")))</f>
        <v/>
      </c>
      <c r="Q281" s="9">
        <f>IF(AND(ISNUMBER(M281),ISNUMBER(O281)),IF(M281&lt;=O281,"Valor ≤ venal IPTU",""),"")</f>
        <v/>
      </c>
      <c r="R281" s="10" t="n"/>
      <c r="S281" s="10" t="n"/>
      <c r="AA281" s="10" t="n"/>
      <c r="AB281" s="11">
        <f>IF(LEN(TRIM(X281))=0,"",HYPERLINK("https://www.google.com/maps/@?api=1&amp;map_action=pano&amp;viewpoint="&amp;SUBSTITUTE(X281," ",""),"Abrir Street View"))</f>
        <v/>
      </c>
    </row>
    <row r="282">
      <c r="H282" s="6" t="n"/>
      <c r="I282" s="6" t="n"/>
      <c r="M282" s="7" t="n"/>
      <c r="N282" s="7" t="n"/>
      <c r="O282" s="7" t="n"/>
      <c r="P282" s="8">
        <f>IF(NOT(ISNUMBER(M282)),"",IF(G282="Terreno",IF(AND(ISNUMBER(I282),I282&gt;0),M282/I282,""),IF(AND(ISNUMBER(H282),H282&gt;0),M282/H282,"")))</f>
        <v/>
      </c>
      <c r="Q282" s="9">
        <f>IF(AND(ISNUMBER(M282),ISNUMBER(O282)),IF(M282&lt;=O282,"Valor ≤ venal IPTU",""),"")</f>
        <v/>
      </c>
      <c r="R282" s="10" t="n"/>
      <c r="S282" s="10" t="n"/>
      <c r="AA282" s="10" t="n"/>
      <c r="AB282" s="11">
        <f>IF(LEN(TRIM(X282))=0,"",HYPERLINK("https://www.google.com/maps/@?api=1&amp;map_action=pano&amp;viewpoint="&amp;SUBSTITUTE(X282," ",""),"Abrir Street View"))</f>
        <v/>
      </c>
    </row>
    <row r="283">
      <c r="H283" s="6" t="n"/>
      <c r="I283" s="6" t="n"/>
      <c r="M283" s="7" t="n"/>
      <c r="N283" s="7" t="n"/>
      <c r="O283" s="7" t="n"/>
      <c r="P283" s="8">
        <f>IF(NOT(ISNUMBER(M283)),"",IF(G283="Terreno",IF(AND(ISNUMBER(I283),I283&gt;0),M283/I283,""),IF(AND(ISNUMBER(H283),H283&gt;0),M283/H283,"")))</f>
        <v/>
      </c>
      <c r="Q283" s="9">
        <f>IF(AND(ISNUMBER(M283),ISNUMBER(O283)),IF(M283&lt;=O283,"Valor ≤ venal IPTU",""),"")</f>
        <v/>
      </c>
      <c r="R283" s="10" t="n"/>
      <c r="S283" s="10" t="n"/>
      <c r="AA283" s="10" t="n"/>
      <c r="AB283" s="11">
        <f>IF(LEN(TRIM(X283))=0,"",HYPERLINK("https://www.google.com/maps/@?api=1&amp;map_action=pano&amp;viewpoint="&amp;SUBSTITUTE(X283," ",""),"Abrir Street View"))</f>
        <v/>
      </c>
    </row>
    <row r="284">
      <c r="H284" s="6" t="n"/>
      <c r="I284" s="6" t="n"/>
      <c r="M284" s="7" t="n"/>
      <c r="N284" s="7" t="n"/>
      <c r="O284" s="7" t="n"/>
      <c r="P284" s="8">
        <f>IF(NOT(ISNUMBER(M284)),"",IF(G284="Terreno",IF(AND(ISNUMBER(I284),I284&gt;0),M284/I284,""),IF(AND(ISNUMBER(H284),H284&gt;0),M284/H284,"")))</f>
        <v/>
      </c>
      <c r="Q284" s="9">
        <f>IF(AND(ISNUMBER(M284),ISNUMBER(O284)),IF(M284&lt;=O284,"Valor ≤ venal IPTU",""),"")</f>
        <v/>
      </c>
      <c r="R284" s="10" t="n"/>
      <c r="S284" s="10" t="n"/>
      <c r="AA284" s="10" t="n"/>
      <c r="AB284" s="11">
        <f>IF(LEN(TRIM(X284))=0,"",HYPERLINK("https://www.google.com/maps/@?api=1&amp;map_action=pano&amp;viewpoint="&amp;SUBSTITUTE(X284," ",""),"Abrir Street View"))</f>
        <v/>
      </c>
    </row>
    <row r="285">
      <c r="H285" s="6" t="n"/>
      <c r="I285" s="6" t="n"/>
      <c r="M285" s="7" t="n"/>
      <c r="N285" s="7" t="n"/>
      <c r="O285" s="7" t="n"/>
      <c r="P285" s="8">
        <f>IF(NOT(ISNUMBER(M285)),"",IF(G285="Terreno",IF(AND(ISNUMBER(I285),I285&gt;0),M285/I285,""),IF(AND(ISNUMBER(H285),H285&gt;0),M285/H285,"")))</f>
        <v/>
      </c>
      <c r="Q285" s="9">
        <f>IF(AND(ISNUMBER(M285),ISNUMBER(O285)),IF(M285&lt;=O285,"Valor ≤ venal IPTU",""),"")</f>
        <v/>
      </c>
      <c r="R285" s="10" t="n"/>
      <c r="S285" s="10" t="n"/>
      <c r="AA285" s="10" t="n"/>
      <c r="AB285" s="11">
        <f>IF(LEN(TRIM(X285))=0,"",HYPERLINK("https://www.google.com/maps/@?api=1&amp;map_action=pano&amp;viewpoint="&amp;SUBSTITUTE(X285," ",""),"Abrir Street View"))</f>
        <v/>
      </c>
    </row>
    <row r="286">
      <c r="H286" s="6" t="n"/>
      <c r="I286" s="6" t="n"/>
      <c r="M286" s="7" t="n"/>
      <c r="N286" s="7" t="n"/>
      <c r="O286" s="7" t="n"/>
      <c r="P286" s="8">
        <f>IF(NOT(ISNUMBER(M286)),"",IF(G286="Terreno",IF(AND(ISNUMBER(I286),I286&gt;0),M286/I286,""),IF(AND(ISNUMBER(H286),H286&gt;0),M286/H286,"")))</f>
        <v/>
      </c>
      <c r="Q286" s="9">
        <f>IF(AND(ISNUMBER(M286),ISNUMBER(O286)),IF(M286&lt;=O286,"Valor ≤ venal IPTU",""),"")</f>
        <v/>
      </c>
      <c r="R286" s="10" t="n"/>
      <c r="S286" s="10" t="n"/>
      <c r="AA286" s="10" t="n"/>
      <c r="AB286" s="11">
        <f>IF(LEN(TRIM(X286))=0,"",HYPERLINK("https://www.google.com/maps/@?api=1&amp;map_action=pano&amp;viewpoint="&amp;SUBSTITUTE(X286," ",""),"Abrir Street View"))</f>
        <v/>
      </c>
    </row>
    <row r="287">
      <c r="H287" s="6" t="n"/>
      <c r="I287" s="6" t="n"/>
      <c r="M287" s="7" t="n"/>
      <c r="N287" s="7" t="n"/>
      <c r="O287" s="7" t="n"/>
      <c r="P287" s="8">
        <f>IF(NOT(ISNUMBER(M287)),"",IF(G287="Terreno",IF(AND(ISNUMBER(I287),I287&gt;0),M287/I287,""),IF(AND(ISNUMBER(H287),H287&gt;0),M287/H287,"")))</f>
        <v/>
      </c>
      <c r="Q287" s="9">
        <f>IF(AND(ISNUMBER(M287),ISNUMBER(O287)),IF(M287&lt;=O287,"Valor ≤ venal IPTU",""),"")</f>
        <v/>
      </c>
      <c r="R287" s="10" t="n"/>
      <c r="S287" s="10" t="n"/>
      <c r="AA287" s="10" t="n"/>
      <c r="AB287" s="11">
        <f>IF(LEN(TRIM(X287))=0,"",HYPERLINK("https://www.google.com/maps/@?api=1&amp;map_action=pano&amp;viewpoint="&amp;SUBSTITUTE(X287," ",""),"Abrir Street View"))</f>
        <v/>
      </c>
    </row>
    <row r="288">
      <c r="H288" s="6" t="n"/>
      <c r="I288" s="6" t="n"/>
      <c r="M288" s="7" t="n"/>
      <c r="N288" s="7" t="n"/>
      <c r="O288" s="7" t="n"/>
      <c r="P288" s="8">
        <f>IF(NOT(ISNUMBER(M288)),"",IF(G288="Terreno",IF(AND(ISNUMBER(I288),I288&gt;0),M288/I288,""),IF(AND(ISNUMBER(H288),H288&gt;0),M288/H288,"")))</f>
        <v/>
      </c>
      <c r="Q288" s="9">
        <f>IF(AND(ISNUMBER(M288),ISNUMBER(O288)),IF(M288&lt;=O288,"Valor ≤ venal IPTU",""),"")</f>
        <v/>
      </c>
      <c r="R288" s="10" t="n"/>
      <c r="S288" s="10" t="n"/>
      <c r="AA288" s="10" t="n"/>
      <c r="AB288" s="11">
        <f>IF(LEN(TRIM(X288))=0,"",HYPERLINK("https://www.google.com/maps/@?api=1&amp;map_action=pano&amp;viewpoint="&amp;SUBSTITUTE(X288," ",""),"Abrir Street View"))</f>
        <v/>
      </c>
    </row>
    <row r="289">
      <c r="H289" s="6" t="n"/>
      <c r="I289" s="6" t="n"/>
      <c r="M289" s="7" t="n"/>
      <c r="N289" s="7" t="n"/>
      <c r="O289" s="7" t="n"/>
      <c r="P289" s="8">
        <f>IF(NOT(ISNUMBER(M289)),"",IF(G289="Terreno",IF(AND(ISNUMBER(I289),I289&gt;0),M289/I289,""),IF(AND(ISNUMBER(H289),H289&gt;0),M289/H289,"")))</f>
        <v/>
      </c>
      <c r="Q289" s="9">
        <f>IF(AND(ISNUMBER(M289),ISNUMBER(O289)),IF(M289&lt;=O289,"Valor ≤ venal IPTU",""),"")</f>
        <v/>
      </c>
      <c r="R289" s="10" t="n"/>
      <c r="S289" s="10" t="n"/>
      <c r="AA289" s="10" t="n"/>
      <c r="AB289" s="11">
        <f>IF(LEN(TRIM(X289))=0,"",HYPERLINK("https://www.google.com/maps/@?api=1&amp;map_action=pano&amp;viewpoint="&amp;SUBSTITUTE(X289," ",""),"Abrir Street View"))</f>
        <v/>
      </c>
    </row>
    <row r="290">
      <c r="H290" s="6" t="n"/>
      <c r="I290" s="6" t="n"/>
      <c r="M290" s="7" t="n"/>
      <c r="N290" s="7" t="n"/>
      <c r="O290" s="7" t="n"/>
      <c r="P290" s="8">
        <f>IF(NOT(ISNUMBER(M290)),"",IF(G290="Terreno",IF(AND(ISNUMBER(I290),I290&gt;0),M290/I290,""),IF(AND(ISNUMBER(H290),H290&gt;0),M290/H290,"")))</f>
        <v/>
      </c>
      <c r="Q290" s="9">
        <f>IF(AND(ISNUMBER(M290),ISNUMBER(O290)),IF(M290&lt;=O290,"Valor ≤ venal IPTU",""),"")</f>
        <v/>
      </c>
      <c r="R290" s="10" t="n"/>
      <c r="S290" s="10" t="n"/>
      <c r="AA290" s="10" t="n"/>
      <c r="AB290" s="11">
        <f>IF(LEN(TRIM(X290))=0,"",HYPERLINK("https://www.google.com/maps/@?api=1&amp;map_action=pano&amp;viewpoint="&amp;SUBSTITUTE(X290," ",""),"Abrir Street View"))</f>
        <v/>
      </c>
    </row>
    <row r="291">
      <c r="H291" s="6" t="n"/>
      <c r="I291" s="6" t="n"/>
      <c r="M291" s="7" t="n"/>
      <c r="N291" s="7" t="n"/>
      <c r="O291" s="7" t="n"/>
      <c r="P291" s="8">
        <f>IF(NOT(ISNUMBER(M291)),"",IF(G291="Terreno",IF(AND(ISNUMBER(I291),I291&gt;0),M291/I291,""),IF(AND(ISNUMBER(H291),H291&gt;0),M291/H291,"")))</f>
        <v/>
      </c>
      <c r="Q291" s="9">
        <f>IF(AND(ISNUMBER(M291),ISNUMBER(O291)),IF(M291&lt;=O291,"Valor ≤ venal IPTU",""),"")</f>
        <v/>
      </c>
      <c r="R291" s="10" t="n"/>
      <c r="S291" s="10" t="n"/>
      <c r="AA291" s="10" t="n"/>
      <c r="AB291" s="11">
        <f>IF(LEN(TRIM(X291))=0,"",HYPERLINK("https://www.google.com/maps/@?api=1&amp;map_action=pano&amp;viewpoint="&amp;SUBSTITUTE(X291," ",""),"Abrir Street View"))</f>
        <v/>
      </c>
    </row>
    <row r="292">
      <c r="H292" s="6" t="n"/>
      <c r="I292" s="6" t="n"/>
      <c r="M292" s="7" t="n"/>
      <c r="N292" s="7" t="n"/>
      <c r="O292" s="7" t="n"/>
      <c r="P292" s="8">
        <f>IF(NOT(ISNUMBER(M292)),"",IF(G292="Terreno",IF(AND(ISNUMBER(I292),I292&gt;0),M292/I292,""),IF(AND(ISNUMBER(H292),H292&gt;0),M292/H292,"")))</f>
        <v/>
      </c>
      <c r="Q292" s="9">
        <f>IF(AND(ISNUMBER(M292),ISNUMBER(O292)),IF(M292&lt;=O292,"Valor ≤ venal IPTU",""),"")</f>
        <v/>
      </c>
      <c r="R292" s="10" t="n"/>
      <c r="S292" s="10" t="n"/>
      <c r="AA292" s="10" t="n"/>
      <c r="AB292" s="11">
        <f>IF(LEN(TRIM(X292))=0,"",HYPERLINK("https://www.google.com/maps/@?api=1&amp;map_action=pano&amp;viewpoint="&amp;SUBSTITUTE(X292," ",""),"Abrir Street View"))</f>
        <v/>
      </c>
    </row>
    <row r="293">
      <c r="H293" s="6" t="n"/>
      <c r="I293" s="6" t="n"/>
      <c r="M293" s="7" t="n"/>
      <c r="N293" s="7" t="n"/>
      <c r="O293" s="7" t="n"/>
      <c r="P293" s="8">
        <f>IF(NOT(ISNUMBER(M293)),"",IF(G293="Terreno",IF(AND(ISNUMBER(I293),I293&gt;0),M293/I293,""),IF(AND(ISNUMBER(H293),H293&gt;0),M293/H293,"")))</f>
        <v/>
      </c>
      <c r="Q293" s="9">
        <f>IF(AND(ISNUMBER(M293),ISNUMBER(O293)),IF(M293&lt;=O293,"Valor ≤ venal IPTU",""),"")</f>
        <v/>
      </c>
      <c r="R293" s="10" t="n"/>
      <c r="S293" s="10" t="n"/>
      <c r="AA293" s="10" t="n"/>
      <c r="AB293" s="11">
        <f>IF(LEN(TRIM(X293))=0,"",HYPERLINK("https://www.google.com/maps/@?api=1&amp;map_action=pano&amp;viewpoint="&amp;SUBSTITUTE(X293," ",""),"Abrir Street View"))</f>
        <v/>
      </c>
    </row>
    <row r="294">
      <c r="H294" s="6" t="n"/>
      <c r="I294" s="6" t="n"/>
      <c r="M294" s="7" t="n"/>
      <c r="N294" s="7" t="n"/>
      <c r="O294" s="7" t="n"/>
      <c r="P294" s="8">
        <f>IF(NOT(ISNUMBER(M294)),"",IF(G294="Terreno",IF(AND(ISNUMBER(I294),I294&gt;0),M294/I294,""),IF(AND(ISNUMBER(H294),H294&gt;0),M294/H294,"")))</f>
        <v/>
      </c>
      <c r="Q294" s="9">
        <f>IF(AND(ISNUMBER(M294),ISNUMBER(O294)),IF(M294&lt;=O294,"Valor ≤ venal IPTU",""),"")</f>
        <v/>
      </c>
      <c r="R294" s="10" t="n"/>
      <c r="S294" s="10" t="n"/>
      <c r="AA294" s="10" t="n"/>
      <c r="AB294" s="11">
        <f>IF(LEN(TRIM(X294))=0,"",HYPERLINK("https://www.google.com/maps/@?api=1&amp;map_action=pano&amp;viewpoint="&amp;SUBSTITUTE(X294," ",""),"Abrir Street View"))</f>
        <v/>
      </c>
    </row>
    <row r="295">
      <c r="H295" s="6" t="n"/>
      <c r="I295" s="6" t="n"/>
      <c r="M295" s="7" t="n"/>
      <c r="N295" s="7" t="n"/>
      <c r="O295" s="7" t="n"/>
      <c r="P295" s="8">
        <f>IF(NOT(ISNUMBER(M295)),"",IF(G295="Terreno",IF(AND(ISNUMBER(I295),I295&gt;0),M295/I295,""),IF(AND(ISNUMBER(H295),H295&gt;0),M295/H295,"")))</f>
        <v/>
      </c>
      <c r="Q295" s="9">
        <f>IF(AND(ISNUMBER(M295),ISNUMBER(O295)),IF(M295&lt;=O295,"Valor ≤ venal IPTU",""),"")</f>
        <v/>
      </c>
      <c r="R295" s="10" t="n"/>
      <c r="S295" s="10" t="n"/>
      <c r="AA295" s="10" t="n"/>
      <c r="AB295" s="11">
        <f>IF(LEN(TRIM(X295))=0,"",HYPERLINK("https://www.google.com/maps/@?api=1&amp;map_action=pano&amp;viewpoint="&amp;SUBSTITUTE(X295," ",""),"Abrir Street View"))</f>
        <v/>
      </c>
    </row>
    <row r="296">
      <c r="H296" s="6" t="n"/>
      <c r="I296" s="6" t="n"/>
      <c r="M296" s="7" t="n"/>
      <c r="N296" s="7" t="n"/>
      <c r="O296" s="7" t="n"/>
      <c r="P296" s="8">
        <f>IF(NOT(ISNUMBER(M296)),"",IF(G296="Terreno",IF(AND(ISNUMBER(I296),I296&gt;0),M296/I296,""),IF(AND(ISNUMBER(H296),H296&gt;0),M296/H296,"")))</f>
        <v/>
      </c>
      <c r="Q296" s="9">
        <f>IF(AND(ISNUMBER(M296),ISNUMBER(O296)),IF(M296&lt;=O296,"Valor ≤ venal IPTU",""),"")</f>
        <v/>
      </c>
      <c r="R296" s="10" t="n"/>
      <c r="S296" s="10" t="n"/>
      <c r="AA296" s="10" t="n"/>
      <c r="AB296" s="11">
        <f>IF(LEN(TRIM(X296))=0,"",HYPERLINK("https://www.google.com/maps/@?api=1&amp;map_action=pano&amp;viewpoint="&amp;SUBSTITUTE(X296," ",""),"Abrir Street View"))</f>
        <v/>
      </c>
    </row>
    <row r="297">
      <c r="H297" s="6" t="n"/>
      <c r="I297" s="6" t="n"/>
      <c r="M297" s="7" t="n"/>
      <c r="N297" s="7" t="n"/>
      <c r="O297" s="7" t="n"/>
      <c r="P297" s="8">
        <f>IF(NOT(ISNUMBER(M297)),"",IF(G297="Terreno",IF(AND(ISNUMBER(I297),I297&gt;0),M297/I297,""),IF(AND(ISNUMBER(H297),H297&gt;0),M297/H297,"")))</f>
        <v/>
      </c>
      <c r="Q297" s="9">
        <f>IF(AND(ISNUMBER(M297),ISNUMBER(O297)),IF(M297&lt;=O297,"Valor ≤ venal IPTU",""),"")</f>
        <v/>
      </c>
      <c r="R297" s="10" t="n"/>
      <c r="S297" s="10" t="n"/>
      <c r="AA297" s="10" t="n"/>
      <c r="AB297" s="11">
        <f>IF(LEN(TRIM(X297))=0,"",HYPERLINK("https://www.google.com/maps/@?api=1&amp;map_action=pano&amp;viewpoint="&amp;SUBSTITUTE(X297," ",""),"Abrir Street View"))</f>
        <v/>
      </c>
    </row>
    <row r="298">
      <c r="H298" s="6" t="n"/>
      <c r="I298" s="6" t="n"/>
      <c r="M298" s="7" t="n"/>
      <c r="N298" s="7" t="n"/>
      <c r="O298" s="7" t="n"/>
      <c r="P298" s="8">
        <f>IF(NOT(ISNUMBER(M298)),"",IF(G298="Terreno",IF(AND(ISNUMBER(I298),I298&gt;0),M298/I298,""),IF(AND(ISNUMBER(H298),H298&gt;0),M298/H298,"")))</f>
        <v/>
      </c>
      <c r="Q298" s="9">
        <f>IF(AND(ISNUMBER(M298),ISNUMBER(O298)),IF(M298&lt;=O298,"Valor ≤ venal IPTU",""),"")</f>
        <v/>
      </c>
      <c r="R298" s="10" t="n"/>
      <c r="S298" s="10" t="n"/>
      <c r="AA298" s="10" t="n"/>
      <c r="AB298" s="11">
        <f>IF(LEN(TRIM(X298))=0,"",HYPERLINK("https://www.google.com/maps/@?api=1&amp;map_action=pano&amp;viewpoint="&amp;SUBSTITUTE(X298," ",""),"Abrir Street View"))</f>
        <v/>
      </c>
    </row>
    <row r="299">
      <c r="H299" s="6" t="n"/>
      <c r="I299" s="6" t="n"/>
      <c r="M299" s="7" t="n"/>
      <c r="N299" s="7" t="n"/>
      <c r="O299" s="7" t="n"/>
      <c r="P299" s="8">
        <f>IF(NOT(ISNUMBER(M299)),"",IF(G299="Terreno",IF(AND(ISNUMBER(I299),I299&gt;0),M299/I299,""),IF(AND(ISNUMBER(H299),H299&gt;0),M299/H299,"")))</f>
        <v/>
      </c>
      <c r="Q299" s="9">
        <f>IF(AND(ISNUMBER(M299),ISNUMBER(O299)),IF(M299&lt;=O299,"Valor ≤ venal IPTU",""),"")</f>
        <v/>
      </c>
      <c r="R299" s="10" t="n"/>
      <c r="S299" s="10" t="n"/>
      <c r="AA299" s="10" t="n"/>
      <c r="AB299" s="11">
        <f>IF(LEN(TRIM(X299))=0,"",HYPERLINK("https://www.google.com/maps/@?api=1&amp;map_action=pano&amp;viewpoint="&amp;SUBSTITUTE(X299," ",""),"Abrir Street View"))</f>
        <v/>
      </c>
    </row>
    <row r="300">
      <c r="H300" s="6" t="n"/>
      <c r="I300" s="6" t="n"/>
      <c r="M300" s="7" t="n"/>
      <c r="N300" s="7" t="n"/>
      <c r="O300" s="7" t="n"/>
      <c r="P300" s="8">
        <f>IF(NOT(ISNUMBER(M300)),"",IF(G300="Terreno",IF(AND(ISNUMBER(I300),I300&gt;0),M300/I300,""),IF(AND(ISNUMBER(H300),H300&gt;0),M300/H300,"")))</f>
        <v/>
      </c>
      <c r="Q300" s="9">
        <f>IF(AND(ISNUMBER(M300),ISNUMBER(O300)),IF(M300&lt;=O300,"Valor ≤ venal IPTU",""),"")</f>
        <v/>
      </c>
      <c r="R300" s="10" t="n"/>
      <c r="S300" s="10" t="n"/>
      <c r="AA300" s="10" t="n"/>
      <c r="AB300" s="11">
        <f>IF(LEN(TRIM(X300))=0,"",HYPERLINK("https://www.google.com/maps/@?api=1&amp;map_action=pano&amp;viewpoint="&amp;SUBSTITUTE(X300," ",""),"Abrir Street View"))</f>
        <v/>
      </c>
    </row>
    <row r="301">
      <c r="H301" s="6" t="n"/>
      <c r="I301" s="6" t="n"/>
      <c r="M301" s="7" t="n"/>
      <c r="N301" s="7" t="n"/>
      <c r="O301" s="7" t="n"/>
      <c r="P301" s="8">
        <f>IF(NOT(ISNUMBER(M301)),"",IF(G301="Terreno",IF(AND(ISNUMBER(I301),I301&gt;0),M301/I301,""),IF(AND(ISNUMBER(H301),H301&gt;0),M301/H301,"")))</f>
        <v/>
      </c>
      <c r="Q301" s="9">
        <f>IF(AND(ISNUMBER(M301),ISNUMBER(O301)),IF(M301&lt;=O301,"Valor ≤ venal IPTU",""),"")</f>
        <v/>
      </c>
      <c r="R301" s="10" t="n"/>
      <c r="S301" s="10" t="n"/>
      <c r="AA301" s="10" t="n"/>
      <c r="AB301" s="11">
        <f>IF(LEN(TRIM(X301))=0,"",HYPERLINK("https://www.google.com/maps/@?api=1&amp;map_action=pano&amp;viewpoint="&amp;SUBSTITUTE(X301," ",""),"Abrir Street View"))</f>
        <v/>
      </c>
    </row>
    <row r="302">
      <c r="H302" s="6" t="n"/>
      <c r="I302" s="6" t="n"/>
      <c r="M302" s="7" t="n"/>
      <c r="N302" s="7" t="n"/>
      <c r="O302" s="7" t="n"/>
      <c r="P302" s="8">
        <f>IF(NOT(ISNUMBER(M302)),"",IF(G302="Terreno",IF(AND(ISNUMBER(I302),I302&gt;0),M302/I302,""),IF(AND(ISNUMBER(H302),H302&gt;0),M302/H302,"")))</f>
        <v/>
      </c>
      <c r="Q302" s="9">
        <f>IF(AND(ISNUMBER(M302),ISNUMBER(O302)),IF(M302&lt;=O302,"Valor ≤ venal IPTU",""),"")</f>
        <v/>
      </c>
      <c r="R302" s="10" t="n"/>
      <c r="S302" s="10" t="n"/>
      <c r="AA302" s="10" t="n"/>
      <c r="AB302" s="11">
        <f>IF(LEN(TRIM(X302))=0,"",HYPERLINK("https://www.google.com/maps/@?api=1&amp;map_action=pano&amp;viewpoint="&amp;SUBSTITUTE(X302," ",""),"Abrir Street View"))</f>
        <v/>
      </c>
    </row>
    <row r="303">
      <c r="H303" s="6" t="n"/>
      <c r="I303" s="6" t="n"/>
      <c r="M303" s="7" t="n"/>
      <c r="N303" s="7" t="n"/>
      <c r="O303" s="7" t="n"/>
      <c r="P303" s="8">
        <f>IF(NOT(ISNUMBER(M303)),"",IF(G303="Terreno",IF(AND(ISNUMBER(I303),I303&gt;0),M303/I303,""),IF(AND(ISNUMBER(H303),H303&gt;0),M303/H303,"")))</f>
        <v/>
      </c>
      <c r="Q303" s="9">
        <f>IF(AND(ISNUMBER(M303),ISNUMBER(O303)),IF(M303&lt;=O303,"Valor ≤ venal IPTU",""),"")</f>
        <v/>
      </c>
      <c r="R303" s="10" t="n"/>
      <c r="S303" s="10" t="n"/>
      <c r="AA303" s="10" t="n"/>
      <c r="AB303" s="11">
        <f>IF(LEN(TRIM(X303))=0,"",HYPERLINK("https://www.google.com/maps/@?api=1&amp;map_action=pano&amp;viewpoint="&amp;SUBSTITUTE(X303," ",""),"Abrir Street View"))</f>
        <v/>
      </c>
    </row>
    <row r="304">
      <c r="H304" s="6" t="n"/>
      <c r="I304" s="6" t="n"/>
      <c r="M304" s="7" t="n"/>
      <c r="N304" s="7" t="n"/>
      <c r="O304" s="7" t="n"/>
      <c r="P304" s="8">
        <f>IF(NOT(ISNUMBER(M304)),"",IF(G304="Terreno",IF(AND(ISNUMBER(I304),I304&gt;0),M304/I304,""),IF(AND(ISNUMBER(H304),H304&gt;0),M304/H304,"")))</f>
        <v/>
      </c>
      <c r="Q304" s="9">
        <f>IF(AND(ISNUMBER(M304),ISNUMBER(O304)),IF(M304&lt;=O304,"Valor ≤ venal IPTU",""),"")</f>
        <v/>
      </c>
      <c r="R304" s="10" t="n"/>
      <c r="S304" s="10" t="n"/>
      <c r="AA304" s="10" t="n"/>
      <c r="AB304" s="11">
        <f>IF(LEN(TRIM(X304))=0,"",HYPERLINK("https://www.google.com/maps/@?api=1&amp;map_action=pano&amp;viewpoint="&amp;SUBSTITUTE(X304," ",""),"Abrir Street View"))</f>
        <v/>
      </c>
    </row>
    <row r="305">
      <c r="H305" s="6" t="n"/>
      <c r="I305" s="6" t="n"/>
      <c r="M305" s="7" t="n"/>
      <c r="N305" s="7" t="n"/>
      <c r="O305" s="7" t="n"/>
      <c r="P305" s="8">
        <f>IF(NOT(ISNUMBER(M305)),"",IF(G305="Terreno",IF(AND(ISNUMBER(I305),I305&gt;0),M305/I305,""),IF(AND(ISNUMBER(H305),H305&gt;0),M305/H305,"")))</f>
        <v/>
      </c>
      <c r="Q305" s="9">
        <f>IF(AND(ISNUMBER(M305),ISNUMBER(O305)),IF(M305&lt;=O305,"Valor ≤ venal IPTU",""),"")</f>
        <v/>
      </c>
      <c r="R305" s="10" t="n"/>
      <c r="S305" s="10" t="n"/>
      <c r="AA305" s="10" t="n"/>
      <c r="AB305" s="11">
        <f>IF(LEN(TRIM(X305))=0,"",HYPERLINK("https://www.google.com/maps/@?api=1&amp;map_action=pano&amp;viewpoint="&amp;SUBSTITUTE(X305," ",""),"Abrir Street View"))</f>
        <v/>
      </c>
    </row>
    <row r="306">
      <c r="H306" s="6" t="n"/>
      <c r="I306" s="6" t="n"/>
      <c r="M306" s="7" t="n"/>
      <c r="N306" s="7" t="n"/>
      <c r="O306" s="7" t="n"/>
      <c r="P306" s="8">
        <f>IF(NOT(ISNUMBER(M306)),"",IF(G306="Terreno",IF(AND(ISNUMBER(I306),I306&gt;0),M306/I306,""),IF(AND(ISNUMBER(H306),H306&gt;0),M306/H306,"")))</f>
        <v/>
      </c>
      <c r="Q306" s="9">
        <f>IF(AND(ISNUMBER(M306),ISNUMBER(O306)),IF(M306&lt;=O306,"Valor ≤ venal IPTU",""),"")</f>
        <v/>
      </c>
      <c r="R306" s="10" t="n"/>
      <c r="S306" s="10" t="n"/>
      <c r="AA306" s="10" t="n"/>
      <c r="AB306" s="11">
        <f>IF(LEN(TRIM(X306))=0,"",HYPERLINK("https://www.google.com/maps/@?api=1&amp;map_action=pano&amp;viewpoint="&amp;SUBSTITUTE(X306," ",""),"Abrir Street View"))</f>
        <v/>
      </c>
    </row>
    <row r="307">
      <c r="H307" s="6" t="n"/>
      <c r="I307" s="6" t="n"/>
      <c r="M307" s="7" t="n"/>
      <c r="N307" s="7" t="n"/>
      <c r="O307" s="7" t="n"/>
      <c r="P307" s="8">
        <f>IF(NOT(ISNUMBER(M307)),"",IF(G307="Terreno",IF(AND(ISNUMBER(I307),I307&gt;0),M307/I307,""),IF(AND(ISNUMBER(H307),H307&gt;0),M307/H307,"")))</f>
        <v/>
      </c>
      <c r="Q307" s="9">
        <f>IF(AND(ISNUMBER(M307),ISNUMBER(O307)),IF(M307&lt;=O307,"Valor ≤ venal IPTU",""),"")</f>
        <v/>
      </c>
      <c r="R307" s="10" t="n"/>
      <c r="S307" s="10" t="n"/>
      <c r="AA307" s="10" t="n"/>
      <c r="AB307" s="11">
        <f>IF(LEN(TRIM(X307))=0,"",HYPERLINK("https://www.google.com/maps/@?api=1&amp;map_action=pano&amp;viewpoint="&amp;SUBSTITUTE(X307," ",""),"Abrir Street View"))</f>
        <v/>
      </c>
    </row>
    <row r="308">
      <c r="H308" s="6" t="n"/>
      <c r="I308" s="6" t="n"/>
      <c r="M308" s="7" t="n"/>
      <c r="N308" s="7" t="n"/>
      <c r="O308" s="7" t="n"/>
      <c r="P308" s="8">
        <f>IF(NOT(ISNUMBER(M308)),"",IF(G308="Terreno",IF(AND(ISNUMBER(I308),I308&gt;0),M308/I308,""),IF(AND(ISNUMBER(H308),H308&gt;0),M308/H308,"")))</f>
        <v/>
      </c>
      <c r="Q308" s="9">
        <f>IF(AND(ISNUMBER(M308),ISNUMBER(O308)),IF(M308&lt;=O308,"Valor ≤ venal IPTU",""),"")</f>
        <v/>
      </c>
      <c r="R308" s="10" t="n"/>
      <c r="S308" s="10" t="n"/>
      <c r="AA308" s="10" t="n"/>
      <c r="AB308" s="11">
        <f>IF(LEN(TRIM(X308))=0,"",HYPERLINK("https://www.google.com/maps/@?api=1&amp;map_action=pano&amp;viewpoint="&amp;SUBSTITUTE(X308," ",""),"Abrir Street View"))</f>
        <v/>
      </c>
    </row>
    <row r="309">
      <c r="H309" s="6" t="n"/>
      <c r="I309" s="6" t="n"/>
      <c r="M309" s="7" t="n"/>
      <c r="N309" s="7" t="n"/>
      <c r="O309" s="7" t="n"/>
      <c r="P309" s="8">
        <f>IF(NOT(ISNUMBER(M309)),"",IF(G309="Terreno",IF(AND(ISNUMBER(I309),I309&gt;0),M309/I309,""),IF(AND(ISNUMBER(H309),H309&gt;0),M309/H309,"")))</f>
        <v/>
      </c>
      <c r="Q309" s="9">
        <f>IF(AND(ISNUMBER(M309),ISNUMBER(O309)),IF(M309&lt;=O309,"Valor ≤ venal IPTU",""),"")</f>
        <v/>
      </c>
      <c r="R309" s="10" t="n"/>
      <c r="S309" s="10" t="n"/>
      <c r="AA309" s="10" t="n"/>
      <c r="AB309" s="11">
        <f>IF(LEN(TRIM(X309))=0,"",HYPERLINK("https://www.google.com/maps/@?api=1&amp;map_action=pano&amp;viewpoint="&amp;SUBSTITUTE(X309," ",""),"Abrir Street View"))</f>
        <v/>
      </c>
    </row>
    <row r="310">
      <c r="H310" s="6" t="n"/>
      <c r="I310" s="6" t="n"/>
      <c r="M310" s="7" t="n"/>
      <c r="N310" s="7" t="n"/>
      <c r="O310" s="7" t="n"/>
      <c r="P310" s="8">
        <f>IF(NOT(ISNUMBER(M310)),"",IF(G310="Terreno",IF(AND(ISNUMBER(I310),I310&gt;0),M310/I310,""),IF(AND(ISNUMBER(H310),H310&gt;0),M310/H310,"")))</f>
        <v/>
      </c>
      <c r="Q310" s="9">
        <f>IF(AND(ISNUMBER(M310),ISNUMBER(O310)),IF(M310&lt;=O310,"Valor ≤ venal IPTU",""),"")</f>
        <v/>
      </c>
      <c r="R310" s="10" t="n"/>
      <c r="S310" s="10" t="n"/>
      <c r="AA310" s="10" t="n"/>
      <c r="AB310" s="11">
        <f>IF(LEN(TRIM(X310))=0,"",HYPERLINK("https://www.google.com/maps/@?api=1&amp;map_action=pano&amp;viewpoint="&amp;SUBSTITUTE(X310," ",""),"Abrir Street View"))</f>
        <v/>
      </c>
    </row>
    <row r="311">
      <c r="H311" s="6" t="n"/>
      <c r="I311" s="6" t="n"/>
      <c r="M311" s="7" t="n"/>
      <c r="N311" s="7" t="n"/>
      <c r="O311" s="7" t="n"/>
      <c r="P311" s="8">
        <f>IF(NOT(ISNUMBER(M311)),"",IF(G311="Terreno",IF(AND(ISNUMBER(I311),I311&gt;0),M311/I311,""),IF(AND(ISNUMBER(H311),H311&gt;0),M311/H311,"")))</f>
        <v/>
      </c>
      <c r="Q311" s="9">
        <f>IF(AND(ISNUMBER(M311),ISNUMBER(O311)),IF(M311&lt;=O311,"Valor ≤ venal IPTU",""),"")</f>
        <v/>
      </c>
      <c r="R311" s="10" t="n"/>
      <c r="S311" s="10" t="n"/>
      <c r="AA311" s="10" t="n"/>
      <c r="AB311" s="11">
        <f>IF(LEN(TRIM(X311))=0,"",HYPERLINK("https://www.google.com/maps/@?api=1&amp;map_action=pano&amp;viewpoint="&amp;SUBSTITUTE(X311," ",""),"Abrir Street View"))</f>
        <v/>
      </c>
    </row>
    <row r="312">
      <c r="H312" s="6" t="n"/>
      <c r="I312" s="6" t="n"/>
      <c r="M312" s="7" t="n"/>
      <c r="N312" s="7" t="n"/>
      <c r="O312" s="7" t="n"/>
      <c r="P312" s="8">
        <f>IF(NOT(ISNUMBER(M312)),"",IF(G312="Terreno",IF(AND(ISNUMBER(I312),I312&gt;0),M312/I312,""),IF(AND(ISNUMBER(H312),H312&gt;0),M312/H312,"")))</f>
        <v/>
      </c>
      <c r="Q312" s="9">
        <f>IF(AND(ISNUMBER(M312),ISNUMBER(O312)),IF(M312&lt;=O312,"Valor ≤ venal IPTU",""),"")</f>
        <v/>
      </c>
      <c r="R312" s="10" t="n"/>
      <c r="S312" s="10" t="n"/>
      <c r="AA312" s="10" t="n"/>
      <c r="AB312" s="11">
        <f>IF(LEN(TRIM(X312))=0,"",HYPERLINK("https://www.google.com/maps/@?api=1&amp;map_action=pano&amp;viewpoint="&amp;SUBSTITUTE(X312," ",""),"Abrir Street View"))</f>
        <v/>
      </c>
    </row>
    <row r="313">
      <c r="H313" s="6" t="n"/>
      <c r="I313" s="6" t="n"/>
      <c r="M313" s="7" t="n"/>
      <c r="N313" s="7" t="n"/>
      <c r="O313" s="7" t="n"/>
      <c r="P313" s="8">
        <f>IF(NOT(ISNUMBER(M313)),"",IF(G313="Terreno",IF(AND(ISNUMBER(I313),I313&gt;0),M313/I313,""),IF(AND(ISNUMBER(H313),H313&gt;0),M313/H313,"")))</f>
        <v/>
      </c>
      <c r="Q313" s="9">
        <f>IF(AND(ISNUMBER(M313),ISNUMBER(O313)),IF(M313&lt;=O313,"Valor ≤ venal IPTU",""),"")</f>
        <v/>
      </c>
      <c r="R313" s="10" t="n"/>
      <c r="S313" s="10" t="n"/>
      <c r="AA313" s="10" t="n"/>
      <c r="AB313" s="11">
        <f>IF(LEN(TRIM(X313))=0,"",HYPERLINK("https://www.google.com/maps/@?api=1&amp;map_action=pano&amp;viewpoint="&amp;SUBSTITUTE(X313," ",""),"Abrir Street View"))</f>
        <v/>
      </c>
    </row>
    <row r="314">
      <c r="H314" s="6" t="n"/>
      <c r="I314" s="6" t="n"/>
      <c r="M314" s="7" t="n"/>
      <c r="N314" s="7" t="n"/>
      <c r="O314" s="7" t="n"/>
      <c r="P314" s="8">
        <f>IF(NOT(ISNUMBER(M314)),"",IF(G314="Terreno",IF(AND(ISNUMBER(I314),I314&gt;0),M314/I314,""),IF(AND(ISNUMBER(H314),H314&gt;0),M314/H314,"")))</f>
        <v/>
      </c>
      <c r="Q314" s="9">
        <f>IF(AND(ISNUMBER(M314),ISNUMBER(O314)),IF(M314&lt;=O314,"Valor ≤ venal IPTU",""),"")</f>
        <v/>
      </c>
      <c r="R314" s="10" t="n"/>
      <c r="S314" s="10" t="n"/>
      <c r="AA314" s="10" t="n"/>
      <c r="AB314" s="11">
        <f>IF(LEN(TRIM(X314))=0,"",HYPERLINK("https://www.google.com/maps/@?api=1&amp;map_action=pano&amp;viewpoint="&amp;SUBSTITUTE(X314," ",""),"Abrir Street View"))</f>
        <v/>
      </c>
    </row>
    <row r="315">
      <c r="H315" s="6" t="n"/>
      <c r="I315" s="6" t="n"/>
      <c r="M315" s="7" t="n"/>
      <c r="N315" s="7" t="n"/>
      <c r="O315" s="7" t="n"/>
      <c r="P315" s="8">
        <f>IF(NOT(ISNUMBER(M315)),"",IF(G315="Terreno",IF(AND(ISNUMBER(I315),I315&gt;0),M315/I315,""),IF(AND(ISNUMBER(H315),H315&gt;0),M315/H315,"")))</f>
        <v/>
      </c>
      <c r="Q315" s="9">
        <f>IF(AND(ISNUMBER(M315),ISNUMBER(O315)),IF(M315&lt;=O315,"Valor ≤ venal IPTU",""),"")</f>
        <v/>
      </c>
      <c r="R315" s="10" t="n"/>
      <c r="S315" s="10" t="n"/>
      <c r="AA315" s="10" t="n"/>
      <c r="AB315" s="11">
        <f>IF(LEN(TRIM(X315))=0,"",HYPERLINK("https://www.google.com/maps/@?api=1&amp;map_action=pano&amp;viewpoint="&amp;SUBSTITUTE(X315," ",""),"Abrir Street View"))</f>
        <v/>
      </c>
    </row>
    <row r="316">
      <c r="H316" s="6" t="n"/>
      <c r="I316" s="6" t="n"/>
      <c r="M316" s="7" t="n"/>
      <c r="N316" s="7" t="n"/>
      <c r="O316" s="7" t="n"/>
      <c r="P316" s="8">
        <f>IF(NOT(ISNUMBER(M316)),"",IF(G316="Terreno",IF(AND(ISNUMBER(I316),I316&gt;0),M316/I316,""),IF(AND(ISNUMBER(H316),H316&gt;0),M316/H316,"")))</f>
        <v/>
      </c>
      <c r="Q316" s="9">
        <f>IF(AND(ISNUMBER(M316),ISNUMBER(O316)),IF(M316&lt;=O316,"Valor ≤ venal IPTU",""),"")</f>
        <v/>
      </c>
      <c r="R316" s="10" t="n"/>
      <c r="S316" s="10" t="n"/>
      <c r="AA316" s="10" t="n"/>
      <c r="AB316" s="11">
        <f>IF(LEN(TRIM(X316))=0,"",HYPERLINK("https://www.google.com/maps/@?api=1&amp;map_action=pano&amp;viewpoint="&amp;SUBSTITUTE(X316," ",""),"Abrir Street View"))</f>
        <v/>
      </c>
    </row>
    <row r="317">
      <c r="H317" s="6" t="n"/>
      <c r="I317" s="6" t="n"/>
      <c r="M317" s="7" t="n"/>
      <c r="N317" s="7" t="n"/>
      <c r="O317" s="7" t="n"/>
      <c r="P317" s="8">
        <f>IF(NOT(ISNUMBER(M317)),"",IF(G317="Terreno",IF(AND(ISNUMBER(I317),I317&gt;0),M317/I317,""),IF(AND(ISNUMBER(H317),H317&gt;0),M317/H317,"")))</f>
        <v/>
      </c>
      <c r="Q317" s="9">
        <f>IF(AND(ISNUMBER(M317),ISNUMBER(O317)),IF(M317&lt;=O317,"Valor ≤ venal IPTU",""),"")</f>
        <v/>
      </c>
      <c r="R317" s="10" t="n"/>
      <c r="S317" s="10" t="n"/>
      <c r="AA317" s="10" t="n"/>
      <c r="AB317" s="11">
        <f>IF(LEN(TRIM(X317))=0,"",HYPERLINK("https://www.google.com/maps/@?api=1&amp;map_action=pano&amp;viewpoint="&amp;SUBSTITUTE(X317," ",""),"Abrir Street View"))</f>
        <v/>
      </c>
    </row>
    <row r="318">
      <c r="H318" s="6" t="n"/>
      <c r="I318" s="6" t="n"/>
      <c r="M318" s="7" t="n"/>
      <c r="N318" s="7" t="n"/>
      <c r="O318" s="7" t="n"/>
      <c r="P318" s="8">
        <f>IF(NOT(ISNUMBER(M318)),"",IF(G318="Terreno",IF(AND(ISNUMBER(I318),I318&gt;0),M318/I318,""),IF(AND(ISNUMBER(H318),H318&gt;0),M318/H318,"")))</f>
        <v/>
      </c>
      <c r="Q318" s="9">
        <f>IF(AND(ISNUMBER(M318),ISNUMBER(O318)),IF(M318&lt;=O318,"Valor ≤ venal IPTU",""),"")</f>
        <v/>
      </c>
      <c r="R318" s="10" t="n"/>
      <c r="S318" s="10" t="n"/>
      <c r="AA318" s="10" t="n"/>
      <c r="AB318" s="11">
        <f>IF(LEN(TRIM(X318))=0,"",HYPERLINK("https://www.google.com/maps/@?api=1&amp;map_action=pano&amp;viewpoint="&amp;SUBSTITUTE(X318," ",""),"Abrir Street View"))</f>
        <v/>
      </c>
    </row>
    <row r="319">
      <c r="H319" s="6" t="n"/>
      <c r="I319" s="6" t="n"/>
      <c r="M319" s="7" t="n"/>
      <c r="N319" s="7" t="n"/>
      <c r="O319" s="7" t="n"/>
      <c r="P319" s="8">
        <f>IF(NOT(ISNUMBER(M319)),"",IF(G319="Terreno",IF(AND(ISNUMBER(I319),I319&gt;0),M319/I319,""),IF(AND(ISNUMBER(H319),H319&gt;0),M319/H319,"")))</f>
        <v/>
      </c>
      <c r="Q319" s="9">
        <f>IF(AND(ISNUMBER(M319),ISNUMBER(O319)),IF(M319&lt;=O319,"Valor ≤ venal IPTU",""),"")</f>
        <v/>
      </c>
      <c r="R319" s="10" t="n"/>
      <c r="S319" s="10" t="n"/>
      <c r="AA319" s="10" t="n"/>
      <c r="AB319" s="11">
        <f>IF(LEN(TRIM(X319))=0,"",HYPERLINK("https://www.google.com/maps/@?api=1&amp;map_action=pano&amp;viewpoint="&amp;SUBSTITUTE(X319," ",""),"Abrir Street View"))</f>
        <v/>
      </c>
    </row>
    <row r="320">
      <c r="H320" s="6" t="n"/>
      <c r="I320" s="6" t="n"/>
      <c r="M320" s="7" t="n"/>
      <c r="N320" s="7" t="n"/>
      <c r="O320" s="7" t="n"/>
      <c r="P320" s="8">
        <f>IF(NOT(ISNUMBER(M320)),"",IF(G320="Terreno",IF(AND(ISNUMBER(I320),I320&gt;0),M320/I320,""),IF(AND(ISNUMBER(H320),H320&gt;0),M320/H320,"")))</f>
        <v/>
      </c>
      <c r="Q320" s="9">
        <f>IF(AND(ISNUMBER(M320),ISNUMBER(O320)),IF(M320&lt;=O320,"Valor ≤ venal IPTU",""),"")</f>
        <v/>
      </c>
      <c r="R320" s="10" t="n"/>
      <c r="S320" s="10" t="n"/>
      <c r="AA320" s="10" t="n"/>
      <c r="AB320" s="11">
        <f>IF(LEN(TRIM(X320))=0,"",HYPERLINK("https://www.google.com/maps/@?api=1&amp;map_action=pano&amp;viewpoint="&amp;SUBSTITUTE(X320," ",""),"Abrir Street View"))</f>
        <v/>
      </c>
    </row>
    <row r="321">
      <c r="H321" s="6" t="n"/>
      <c r="I321" s="6" t="n"/>
      <c r="M321" s="7" t="n"/>
      <c r="N321" s="7" t="n"/>
      <c r="O321" s="7" t="n"/>
      <c r="P321" s="8">
        <f>IF(NOT(ISNUMBER(M321)),"",IF(G321="Terreno",IF(AND(ISNUMBER(I321),I321&gt;0),M321/I321,""),IF(AND(ISNUMBER(H321),H321&gt;0),M321/H321,"")))</f>
        <v/>
      </c>
      <c r="Q321" s="9">
        <f>IF(AND(ISNUMBER(M321),ISNUMBER(O321)),IF(M321&lt;=O321,"Valor ≤ venal IPTU",""),"")</f>
        <v/>
      </c>
      <c r="R321" s="10" t="n"/>
      <c r="S321" s="10" t="n"/>
      <c r="AA321" s="10" t="n"/>
      <c r="AB321" s="11">
        <f>IF(LEN(TRIM(X321))=0,"",HYPERLINK("https://www.google.com/maps/@?api=1&amp;map_action=pano&amp;viewpoint="&amp;SUBSTITUTE(X321," ",""),"Abrir Street View"))</f>
        <v/>
      </c>
    </row>
    <row r="322">
      <c r="H322" s="6" t="n"/>
      <c r="I322" s="6" t="n"/>
      <c r="M322" s="7" t="n"/>
      <c r="N322" s="7" t="n"/>
      <c r="O322" s="7" t="n"/>
      <c r="P322" s="8">
        <f>IF(NOT(ISNUMBER(M322)),"",IF(G322="Terreno",IF(AND(ISNUMBER(I322),I322&gt;0),M322/I322,""),IF(AND(ISNUMBER(H322),H322&gt;0),M322/H322,"")))</f>
        <v/>
      </c>
      <c r="Q322" s="9">
        <f>IF(AND(ISNUMBER(M322),ISNUMBER(O322)),IF(M322&lt;=O322,"Valor ≤ venal IPTU",""),"")</f>
        <v/>
      </c>
      <c r="R322" s="10" t="n"/>
      <c r="S322" s="10" t="n"/>
      <c r="AA322" s="10" t="n"/>
      <c r="AB322" s="11">
        <f>IF(LEN(TRIM(X322))=0,"",HYPERLINK("https://www.google.com/maps/@?api=1&amp;map_action=pano&amp;viewpoint="&amp;SUBSTITUTE(X322," ",""),"Abrir Street View"))</f>
        <v/>
      </c>
    </row>
    <row r="323">
      <c r="H323" s="6" t="n"/>
      <c r="I323" s="6" t="n"/>
      <c r="M323" s="7" t="n"/>
      <c r="N323" s="7" t="n"/>
      <c r="O323" s="7" t="n"/>
      <c r="P323" s="8">
        <f>IF(NOT(ISNUMBER(M323)),"",IF(G323="Terreno",IF(AND(ISNUMBER(I323),I323&gt;0),M323/I323,""),IF(AND(ISNUMBER(H323),H323&gt;0),M323/H323,"")))</f>
        <v/>
      </c>
      <c r="Q323" s="9">
        <f>IF(AND(ISNUMBER(M323),ISNUMBER(O323)),IF(M323&lt;=O323,"Valor ≤ venal IPTU",""),"")</f>
        <v/>
      </c>
      <c r="R323" s="10" t="n"/>
      <c r="S323" s="10" t="n"/>
      <c r="AA323" s="10" t="n"/>
      <c r="AB323" s="11">
        <f>IF(LEN(TRIM(X323))=0,"",HYPERLINK("https://www.google.com/maps/@?api=1&amp;map_action=pano&amp;viewpoint="&amp;SUBSTITUTE(X323," ",""),"Abrir Street View"))</f>
        <v/>
      </c>
    </row>
    <row r="324">
      <c r="H324" s="6" t="n"/>
      <c r="I324" s="6" t="n"/>
      <c r="M324" s="7" t="n"/>
      <c r="N324" s="7" t="n"/>
      <c r="O324" s="7" t="n"/>
      <c r="P324" s="8">
        <f>IF(NOT(ISNUMBER(M324)),"",IF(G324="Terreno",IF(AND(ISNUMBER(I324),I324&gt;0),M324/I324,""),IF(AND(ISNUMBER(H324),H324&gt;0),M324/H324,"")))</f>
        <v/>
      </c>
      <c r="Q324" s="9">
        <f>IF(AND(ISNUMBER(M324),ISNUMBER(O324)),IF(M324&lt;=O324,"Valor ≤ venal IPTU",""),"")</f>
        <v/>
      </c>
      <c r="R324" s="10" t="n"/>
      <c r="S324" s="10" t="n"/>
      <c r="AA324" s="10" t="n"/>
      <c r="AB324" s="11">
        <f>IF(LEN(TRIM(X324))=0,"",HYPERLINK("https://www.google.com/maps/@?api=1&amp;map_action=pano&amp;viewpoint="&amp;SUBSTITUTE(X324," ",""),"Abrir Street View"))</f>
        <v/>
      </c>
    </row>
    <row r="325">
      <c r="H325" s="6" t="n"/>
      <c r="I325" s="6" t="n"/>
      <c r="M325" s="7" t="n"/>
      <c r="N325" s="7" t="n"/>
      <c r="O325" s="7" t="n"/>
      <c r="P325" s="8">
        <f>IF(NOT(ISNUMBER(M325)),"",IF(G325="Terreno",IF(AND(ISNUMBER(I325),I325&gt;0),M325/I325,""),IF(AND(ISNUMBER(H325),H325&gt;0),M325/H325,"")))</f>
        <v/>
      </c>
      <c r="Q325" s="9">
        <f>IF(AND(ISNUMBER(M325),ISNUMBER(O325)),IF(M325&lt;=O325,"Valor ≤ venal IPTU",""),"")</f>
        <v/>
      </c>
      <c r="R325" s="10" t="n"/>
      <c r="S325" s="10" t="n"/>
      <c r="AA325" s="10" t="n"/>
      <c r="AB325" s="11">
        <f>IF(LEN(TRIM(X325))=0,"",HYPERLINK("https://www.google.com/maps/@?api=1&amp;map_action=pano&amp;viewpoint="&amp;SUBSTITUTE(X325," ",""),"Abrir Street View"))</f>
        <v/>
      </c>
    </row>
    <row r="326">
      <c r="H326" s="6" t="n"/>
      <c r="I326" s="6" t="n"/>
      <c r="M326" s="7" t="n"/>
      <c r="N326" s="7" t="n"/>
      <c r="O326" s="7" t="n"/>
      <c r="P326" s="8">
        <f>IF(NOT(ISNUMBER(M326)),"",IF(G326="Terreno",IF(AND(ISNUMBER(I326),I326&gt;0),M326/I326,""),IF(AND(ISNUMBER(H326),H326&gt;0),M326/H326,"")))</f>
        <v/>
      </c>
      <c r="Q326" s="9">
        <f>IF(AND(ISNUMBER(M326),ISNUMBER(O326)),IF(M326&lt;=O326,"Valor ≤ venal IPTU",""),"")</f>
        <v/>
      </c>
      <c r="R326" s="10" t="n"/>
      <c r="S326" s="10" t="n"/>
      <c r="AA326" s="10" t="n"/>
      <c r="AB326" s="11">
        <f>IF(LEN(TRIM(X326))=0,"",HYPERLINK("https://www.google.com/maps/@?api=1&amp;map_action=pano&amp;viewpoint="&amp;SUBSTITUTE(X326," ",""),"Abrir Street View"))</f>
        <v/>
      </c>
    </row>
    <row r="327">
      <c r="H327" s="6" t="n"/>
      <c r="I327" s="6" t="n"/>
      <c r="M327" s="7" t="n"/>
      <c r="N327" s="7" t="n"/>
      <c r="O327" s="7" t="n"/>
      <c r="P327" s="8">
        <f>IF(NOT(ISNUMBER(M327)),"",IF(G327="Terreno",IF(AND(ISNUMBER(I327),I327&gt;0),M327/I327,""),IF(AND(ISNUMBER(H327),H327&gt;0),M327/H327,"")))</f>
        <v/>
      </c>
      <c r="Q327" s="9">
        <f>IF(AND(ISNUMBER(M327),ISNUMBER(O327)),IF(M327&lt;=O327,"Valor ≤ venal IPTU",""),"")</f>
        <v/>
      </c>
      <c r="R327" s="10" t="n"/>
      <c r="S327" s="10" t="n"/>
      <c r="AA327" s="10" t="n"/>
      <c r="AB327" s="11">
        <f>IF(LEN(TRIM(X327))=0,"",HYPERLINK("https://www.google.com/maps/@?api=1&amp;map_action=pano&amp;viewpoint="&amp;SUBSTITUTE(X327," ",""),"Abrir Street View"))</f>
        <v/>
      </c>
    </row>
    <row r="328">
      <c r="H328" s="6" t="n"/>
      <c r="I328" s="6" t="n"/>
      <c r="M328" s="7" t="n"/>
      <c r="N328" s="7" t="n"/>
      <c r="O328" s="7" t="n"/>
      <c r="P328" s="8">
        <f>IF(NOT(ISNUMBER(M328)),"",IF(G328="Terreno",IF(AND(ISNUMBER(I328),I328&gt;0),M328/I328,""),IF(AND(ISNUMBER(H328),H328&gt;0),M328/H328,"")))</f>
        <v/>
      </c>
      <c r="Q328" s="9">
        <f>IF(AND(ISNUMBER(M328),ISNUMBER(O328)),IF(M328&lt;=O328,"Valor ≤ venal IPTU",""),"")</f>
        <v/>
      </c>
      <c r="R328" s="10" t="n"/>
      <c r="S328" s="10" t="n"/>
      <c r="AA328" s="10" t="n"/>
      <c r="AB328" s="11">
        <f>IF(LEN(TRIM(X328))=0,"",HYPERLINK("https://www.google.com/maps/@?api=1&amp;map_action=pano&amp;viewpoint="&amp;SUBSTITUTE(X328," ",""),"Abrir Street View"))</f>
        <v/>
      </c>
    </row>
    <row r="329">
      <c r="H329" s="6" t="n"/>
      <c r="I329" s="6" t="n"/>
      <c r="M329" s="7" t="n"/>
      <c r="N329" s="7" t="n"/>
      <c r="O329" s="7" t="n"/>
      <c r="P329" s="8">
        <f>IF(NOT(ISNUMBER(M329)),"",IF(G329="Terreno",IF(AND(ISNUMBER(I329),I329&gt;0),M329/I329,""),IF(AND(ISNUMBER(H329),H329&gt;0),M329/H329,"")))</f>
        <v/>
      </c>
      <c r="Q329" s="9">
        <f>IF(AND(ISNUMBER(M329),ISNUMBER(O329)),IF(M329&lt;=O329,"Valor ≤ venal IPTU",""),"")</f>
        <v/>
      </c>
      <c r="R329" s="10" t="n"/>
      <c r="S329" s="10" t="n"/>
      <c r="AA329" s="10" t="n"/>
      <c r="AB329" s="11">
        <f>IF(LEN(TRIM(X329))=0,"",HYPERLINK("https://www.google.com/maps/@?api=1&amp;map_action=pano&amp;viewpoint="&amp;SUBSTITUTE(X329," ",""),"Abrir Street View"))</f>
        <v/>
      </c>
    </row>
    <row r="330">
      <c r="H330" s="6" t="n"/>
      <c r="I330" s="6" t="n"/>
      <c r="M330" s="7" t="n"/>
      <c r="N330" s="7" t="n"/>
      <c r="O330" s="7" t="n"/>
      <c r="P330" s="8">
        <f>IF(NOT(ISNUMBER(M330)),"",IF(G330="Terreno",IF(AND(ISNUMBER(I330),I330&gt;0),M330/I330,""),IF(AND(ISNUMBER(H330),H330&gt;0),M330/H330,"")))</f>
        <v/>
      </c>
      <c r="Q330" s="9">
        <f>IF(AND(ISNUMBER(M330),ISNUMBER(O330)),IF(M330&lt;=O330,"Valor ≤ venal IPTU",""),"")</f>
        <v/>
      </c>
      <c r="R330" s="10" t="n"/>
      <c r="S330" s="10" t="n"/>
      <c r="AA330" s="10" t="n"/>
      <c r="AB330" s="11">
        <f>IF(LEN(TRIM(X330))=0,"",HYPERLINK("https://www.google.com/maps/@?api=1&amp;map_action=pano&amp;viewpoint="&amp;SUBSTITUTE(X330," ",""),"Abrir Street View"))</f>
        <v/>
      </c>
    </row>
    <row r="331">
      <c r="H331" s="6" t="n"/>
      <c r="I331" s="6" t="n"/>
      <c r="M331" s="7" t="n"/>
      <c r="N331" s="7" t="n"/>
      <c r="O331" s="7" t="n"/>
      <c r="P331" s="8">
        <f>IF(NOT(ISNUMBER(M331)),"",IF(G331="Terreno",IF(AND(ISNUMBER(I331),I331&gt;0),M331/I331,""),IF(AND(ISNUMBER(H331),H331&gt;0),M331/H331,"")))</f>
        <v/>
      </c>
      <c r="Q331" s="9">
        <f>IF(AND(ISNUMBER(M331),ISNUMBER(O331)),IF(M331&lt;=O331,"Valor ≤ venal IPTU",""),"")</f>
        <v/>
      </c>
      <c r="R331" s="10" t="n"/>
      <c r="S331" s="10" t="n"/>
      <c r="AA331" s="10" t="n"/>
      <c r="AB331" s="11">
        <f>IF(LEN(TRIM(X331))=0,"",HYPERLINK("https://www.google.com/maps/@?api=1&amp;map_action=pano&amp;viewpoint="&amp;SUBSTITUTE(X331," ",""),"Abrir Street View"))</f>
        <v/>
      </c>
    </row>
    <row r="332">
      <c r="H332" s="6" t="n"/>
      <c r="I332" s="6" t="n"/>
      <c r="M332" s="7" t="n"/>
      <c r="N332" s="7" t="n"/>
      <c r="O332" s="7" t="n"/>
      <c r="P332" s="8">
        <f>IF(NOT(ISNUMBER(M332)),"",IF(G332="Terreno",IF(AND(ISNUMBER(I332),I332&gt;0),M332/I332,""),IF(AND(ISNUMBER(H332),H332&gt;0),M332/H332,"")))</f>
        <v/>
      </c>
      <c r="Q332" s="9">
        <f>IF(AND(ISNUMBER(M332),ISNUMBER(O332)),IF(M332&lt;=O332,"Valor ≤ venal IPTU",""),"")</f>
        <v/>
      </c>
      <c r="R332" s="10" t="n"/>
      <c r="S332" s="10" t="n"/>
      <c r="AA332" s="10" t="n"/>
      <c r="AB332" s="11">
        <f>IF(LEN(TRIM(X332))=0,"",HYPERLINK("https://www.google.com/maps/@?api=1&amp;map_action=pano&amp;viewpoint="&amp;SUBSTITUTE(X332," ",""),"Abrir Street View"))</f>
        <v/>
      </c>
    </row>
    <row r="333">
      <c r="H333" s="6" t="n"/>
      <c r="I333" s="6" t="n"/>
      <c r="M333" s="7" t="n"/>
      <c r="N333" s="7" t="n"/>
      <c r="O333" s="7" t="n"/>
      <c r="P333" s="8">
        <f>IF(NOT(ISNUMBER(M333)),"",IF(G333="Terreno",IF(AND(ISNUMBER(I333),I333&gt;0),M333/I333,""),IF(AND(ISNUMBER(H333),H333&gt;0),M333/H333,"")))</f>
        <v/>
      </c>
      <c r="Q333" s="9">
        <f>IF(AND(ISNUMBER(M333),ISNUMBER(O333)),IF(M333&lt;=O333,"Valor ≤ venal IPTU",""),"")</f>
        <v/>
      </c>
      <c r="R333" s="10" t="n"/>
      <c r="S333" s="10" t="n"/>
      <c r="AA333" s="10" t="n"/>
      <c r="AB333" s="11">
        <f>IF(LEN(TRIM(X333))=0,"",HYPERLINK("https://www.google.com/maps/@?api=1&amp;map_action=pano&amp;viewpoint="&amp;SUBSTITUTE(X333," ",""),"Abrir Street View"))</f>
        <v/>
      </c>
    </row>
    <row r="334">
      <c r="H334" s="6" t="n"/>
      <c r="I334" s="6" t="n"/>
      <c r="M334" s="7" t="n"/>
      <c r="N334" s="7" t="n"/>
      <c r="O334" s="7" t="n"/>
      <c r="P334" s="8">
        <f>IF(NOT(ISNUMBER(M334)),"",IF(G334="Terreno",IF(AND(ISNUMBER(I334),I334&gt;0),M334/I334,""),IF(AND(ISNUMBER(H334),H334&gt;0),M334/H334,"")))</f>
        <v/>
      </c>
      <c r="Q334" s="9">
        <f>IF(AND(ISNUMBER(M334),ISNUMBER(O334)),IF(M334&lt;=O334,"Valor ≤ venal IPTU",""),"")</f>
        <v/>
      </c>
      <c r="R334" s="10" t="n"/>
      <c r="S334" s="10" t="n"/>
      <c r="AA334" s="10" t="n"/>
      <c r="AB334" s="11">
        <f>IF(LEN(TRIM(X334))=0,"",HYPERLINK("https://www.google.com/maps/@?api=1&amp;map_action=pano&amp;viewpoint="&amp;SUBSTITUTE(X334," ",""),"Abrir Street View"))</f>
        <v/>
      </c>
    </row>
    <row r="335">
      <c r="H335" s="6" t="n"/>
      <c r="I335" s="6" t="n"/>
      <c r="M335" s="7" t="n"/>
      <c r="N335" s="7" t="n"/>
      <c r="O335" s="7" t="n"/>
      <c r="P335" s="8">
        <f>IF(NOT(ISNUMBER(M335)),"",IF(G335="Terreno",IF(AND(ISNUMBER(I335),I335&gt;0),M335/I335,""),IF(AND(ISNUMBER(H335),H335&gt;0),M335/H335,"")))</f>
        <v/>
      </c>
      <c r="Q335" s="9">
        <f>IF(AND(ISNUMBER(M335),ISNUMBER(O335)),IF(M335&lt;=O335,"Valor ≤ venal IPTU",""),"")</f>
        <v/>
      </c>
      <c r="R335" s="10" t="n"/>
      <c r="S335" s="10" t="n"/>
      <c r="AA335" s="10" t="n"/>
      <c r="AB335" s="11">
        <f>IF(LEN(TRIM(X335))=0,"",HYPERLINK("https://www.google.com/maps/@?api=1&amp;map_action=pano&amp;viewpoint="&amp;SUBSTITUTE(X335," ",""),"Abrir Street View"))</f>
        <v/>
      </c>
    </row>
    <row r="336">
      <c r="H336" s="6" t="n"/>
      <c r="I336" s="6" t="n"/>
      <c r="M336" s="7" t="n"/>
      <c r="N336" s="7" t="n"/>
      <c r="O336" s="7" t="n"/>
      <c r="P336" s="8">
        <f>IF(NOT(ISNUMBER(M336)),"",IF(G336="Terreno",IF(AND(ISNUMBER(I336),I336&gt;0),M336/I336,""),IF(AND(ISNUMBER(H336),H336&gt;0),M336/H336,"")))</f>
        <v/>
      </c>
      <c r="Q336" s="9">
        <f>IF(AND(ISNUMBER(M336),ISNUMBER(O336)),IF(M336&lt;=O336,"Valor ≤ venal IPTU",""),"")</f>
        <v/>
      </c>
      <c r="R336" s="10" t="n"/>
      <c r="S336" s="10" t="n"/>
      <c r="AA336" s="10" t="n"/>
      <c r="AB336" s="11">
        <f>IF(LEN(TRIM(X336))=0,"",HYPERLINK("https://www.google.com/maps/@?api=1&amp;map_action=pano&amp;viewpoint="&amp;SUBSTITUTE(X336," ",""),"Abrir Street View"))</f>
        <v/>
      </c>
    </row>
    <row r="337">
      <c r="H337" s="6" t="n"/>
      <c r="I337" s="6" t="n"/>
      <c r="M337" s="7" t="n"/>
      <c r="N337" s="7" t="n"/>
      <c r="O337" s="7" t="n"/>
      <c r="P337" s="8">
        <f>IF(NOT(ISNUMBER(M337)),"",IF(G337="Terreno",IF(AND(ISNUMBER(I337),I337&gt;0),M337/I337,""),IF(AND(ISNUMBER(H337),H337&gt;0),M337/H337,"")))</f>
        <v/>
      </c>
      <c r="Q337" s="9">
        <f>IF(AND(ISNUMBER(M337),ISNUMBER(O337)),IF(M337&lt;=O337,"Valor ≤ venal IPTU",""),"")</f>
        <v/>
      </c>
      <c r="R337" s="10" t="n"/>
      <c r="S337" s="10" t="n"/>
      <c r="AA337" s="10" t="n"/>
      <c r="AB337" s="11">
        <f>IF(LEN(TRIM(X337))=0,"",HYPERLINK("https://www.google.com/maps/@?api=1&amp;map_action=pano&amp;viewpoint="&amp;SUBSTITUTE(X337," ",""),"Abrir Street View"))</f>
        <v/>
      </c>
    </row>
    <row r="338">
      <c r="H338" s="6" t="n"/>
      <c r="I338" s="6" t="n"/>
      <c r="M338" s="7" t="n"/>
      <c r="N338" s="7" t="n"/>
      <c r="O338" s="7" t="n"/>
      <c r="P338" s="8">
        <f>IF(NOT(ISNUMBER(M338)),"",IF(G338="Terreno",IF(AND(ISNUMBER(I338),I338&gt;0),M338/I338,""),IF(AND(ISNUMBER(H338),H338&gt;0),M338/H338,"")))</f>
        <v/>
      </c>
      <c r="Q338" s="9">
        <f>IF(AND(ISNUMBER(M338),ISNUMBER(O338)),IF(M338&lt;=O338,"Valor ≤ venal IPTU",""),"")</f>
        <v/>
      </c>
      <c r="R338" s="10" t="n"/>
      <c r="S338" s="10" t="n"/>
      <c r="AA338" s="10" t="n"/>
      <c r="AB338" s="11">
        <f>IF(LEN(TRIM(X338))=0,"",HYPERLINK("https://www.google.com/maps/@?api=1&amp;map_action=pano&amp;viewpoint="&amp;SUBSTITUTE(X338," ",""),"Abrir Street View"))</f>
        <v/>
      </c>
    </row>
    <row r="339">
      <c r="H339" s="6" t="n"/>
      <c r="I339" s="6" t="n"/>
      <c r="M339" s="7" t="n"/>
      <c r="N339" s="7" t="n"/>
      <c r="O339" s="7" t="n"/>
      <c r="P339" s="8">
        <f>IF(NOT(ISNUMBER(M339)),"",IF(G339="Terreno",IF(AND(ISNUMBER(I339),I339&gt;0),M339/I339,""),IF(AND(ISNUMBER(H339),H339&gt;0),M339/H339,"")))</f>
        <v/>
      </c>
      <c r="Q339" s="9">
        <f>IF(AND(ISNUMBER(M339),ISNUMBER(O339)),IF(M339&lt;=O339,"Valor ≤ venal IPTU",""),"")</f>
        <v/>
      </c>
      <c r="R339" s="10" t="n"/>
      <c r="S339" s="10" t="n"/>
      <c r="AA339" s="10" t="n"/>
      <c r="AB339" s="11">
        <f>IF(LEN(TRIM(X339))=0,"",HYPERLINK("https://www.google.com/maps/@?api=1&amp;map_action=pano&amp;viewpoint="&amp;SUBSTITUTE(X339," ",""),"Abrir Street View"))</f>
        <v/>
      </c>
    </row>
    <row r="340">
      <c r="H340" s="6" t="n"/>
      <c r="I340" s="6" t="n"/>
      <c r="M340" s="7" t="n"/>
      <c r="N340" s="7" t="n"/>
      <c r="O340" s="7" t="n"/>
      <c r="P340" s="8">
        <f>IF(NOT(ISNUMBER(M340)),"",IF(G340="Terreno",IF(AND(ISNUMBER(I340),I340&gt;0),M340/I340,""),IF(AND(ISNUMBER(H340),H340&gt;0),M340/H340,"")))</f>
        <v/>
      </c>
      <c r="Q340" s="9">
        <f>IF(AND(ISNUMBER(M340),ISNUMBER(O340)),IF(M340&lt;=O340,"Valor ≤ venal IPTU",""),"")</f>
        <v/>
      </c>
      <c r="R340" s="10" t="n"/>
      <c r="S340" s="10" t="n"/>
      <c r="AA340" s="10" t="n"/>
      <c r="AB340" s="11">
        <f>IF(LEN(TRIM(X340))=0,"",HYPERLINK("https://www.google.com/maps/@?api=1&amp;map_action=pano&amp;viewpoint="&amp;SUBSTITUTE(X340," ",""),"Abrir Street View"))</f>
        <v/>
      </c>
    </row>
    <row r="341">
      <c r="H341" s="6" t="n"/>
      <c r="I341" s="6" t="n"/>
      <c r="M341" s="7" t="n"/>
      <c r="N341" s="7" t="n"/>
      <c r="O341" s="7" t="n"/>
      <c r="P341" s="8">
        <f>IF(NOT(ISNUMBER(M341)),"",IF(G341="Terreno",IF(AND(ISNUMBER(I341),I341&gt;0),M341/I341,""),IF(AND(ISNUMBER(H341),H341&gt;0),M341/H341,"")))</f>
        <v/>
      </c>
      <c r="Q341" s="9">
        <f>IF(AND(ISNUMBER(M341),ISNUMBER(O341)),IF(M341&lt;=O341,"Valor ≤ venal IPTU",""),"")</f>
        <v/>
      </c>
      <c r="R341" s="10" t="n"/>
      <c r="S341" s="10" t="n"/>
      <c r="AA341" s="10" t="n"/>
      <c r="AB341" s="11">
        <f>IF(LEN(TRIM(X341))=0,"",HYPERLINK("https://www.google.com/maps/@?api=1&amp;map_action=pano&amp;viewpoint="&amp;SUBSTITUTE(X341," ",""),"Abrir Street View"))</f>
        <v/>
      </c>
    </row>
    <row r="342">
      <c r="H342" s="6" t="n"/>
      <c r="I342" s="6" t="n"/>
      <c r="M342" s="7" t="n"/>
      <c r="N342" s="7" t="n"/>
      <c r="O342" s="7" t="n"/>
      <c r="P342" s="8">
        <f>IF(NOT(ISNUMBER(M342)),"",IF(G342="Terreno",IF(AND(ISNUMBER(I342),I342&gt;0),M342/I342,""),IF(AND(ISNUMBER(H342),H342&gt;0),M342/H342,"")))</f>
        <v/>
      </c>
      <c r="Q342" s="9">
        <f>IF(AND(ISNUMBER(M342),ISNUMBER(O342)),IF(M342&lt;=O342,"Valor ≤ venal IPTU",""),"")</f>
        <v/>
      </c>
      <c r="R342" s="10" t="n"/>
      <c r="S342" s="10" t="n"/>
      <c r="AA342" s="10" t="n"/>
      <c r="AB342" s="11">
        <f>IF(LEN(TRIM(X342))=0,"",HYPERLINK("https://www.google.com/maps/@?api=1&amp;map_action=pano&amp;viewpoint="&amp;SUBSTITUTE(X342," ",""),"Abrir Street View"))</f>
        <v/>
      </c>
    </row>
    <row r="343">
      <c r="H343" s="6" t="n"/>
      <c r="I343" s="6" t="n"/>
      <c r="M343" s="7" t="n"/>
      <c r="N343" s="7" t="n"/>
      <c r="O343" s="7" t="n"/>
      <c r="P343" s="8">
        <f>IF(NOT(ISNUMBER(M343)),"",IF(G343="Terreno",IF(AND(ISNUMBER(I343),I343&gt;0),M343/I343,""),IF(AND(ISNUMBER(H343),H343&gt;0),M343/H343,"")))</f>
        <v/>
      </c>
      <c r="Q343" s="9">
        <f>IF(AND(ISNUMBER(M343),ISNUMBER(O343)),IF(M343&lt;=O343,"Valor ≤ venal IPTU",""),"")</f>
        <v/>
      </c>
      <c r="R343" s="10" t="n"/>
      <c r="S343" s="10" t="n"/>
      <c r="AA343" s="10" t="n"/>
      <c r="AB343" s="11">
        <f>IF(LEN(TRIM(X343))=0,"",HYPERLINK("https://www.google.com/maps/@?api=1&amp;map_action=pano&amp;viewpoint="&amp;SUBSTITUTE(X343," ",""),"Abrir Street View"))</f>
        <v/>
      </c>
    </row>
    <row r="344">
      <c r="H344" s="6" t="n"/>
      <c r="I344" s="6" t="n"/>
      <c r="M344" s="7" t="n"/>
      <c r="N344" s="7" t="n"/>
      <c r="O344" s="7" t="n"/>
      <c r="P344" s="8">
        <f>IF(NOT(ISNUMBER(M344)),"",IF(G344="Terreno",IF(AND(ISNUMBER(I344),I344&gt;0),M344/I344,""),IF(AND(ISNUMBER(H344),H344&gt;0),M344/H344,"")))</f>
        <v/>
      </c>
      <c r="Q344" s="9">
        <f>IF(AND(ISNUMBER(M344),ISNUMBER(O344)),IF(M344&lt;=O344,"Valor ≤ venal IPTU",""),"")</f>
        <v/>
      </c>
      <c r="R344" s="10" t="n"/>
      <c r="S344" s="10" t="n"/>
      <c r="AA344" s="10" t="n"/>
      <c r="AB344" s="11">
        <f>IF(LEN(TRIM(X344))=0,"",HYPERLINK("https://www.google.com/maps/@?api=1&amp;map_action=pano&amp;viewpoint="&amp;SUBSTITUTE(X344," ",""),"Abrir Street View"))</f>
        <v/>
      </c>
    </row>
    <row r="345">
      <c r="H345" s="6" t="n"/>
      <c r="I345" s="6" t="n"/>
      <c r="M345" s="7" t="n"/>
      <c r="N345" s="7" t="n"/>
      <c r="O345" s="7" t="n"/>
      <c r="P345" s="8">
        <f>IF(NOT(ISNUMBER(M345)),"",IF(G345="Terreno",IF(AND(ISNUMBER(I345),I345&gt;0),M345/I345,""),IF(AND(ISNUMBER(H345),H345&gt;0),M345/H345,"")))</f>
        <v/>
      </c>
      <c r="Q345" s="9">
        <f>IF(AND(ISNUMBER(M345),ISNUMBER(O345)),IF(M345&lt;=O345,"Valor ≤ venal IPTU",""),"")</f>
        <v/>
      </c>
      <c r="R345" s="10" t="n"/>
      <c r="S345" s="10" t="n"/>
      <c r="AA345" s="10" t="n"/>
      <c r="AB345" s="11">
        <f>IF(LEN(TRIM(X345))=0,"",HYPERLINK("https://www.google.com/maps/@?api=1&amp;map_action=pano&amp;viewpoint="&amp;SUBSTITUTE(X345," ",""),"Abrir Street View"))</f>
        <v/>
      </c>
    </row>
    <row r="346">
      <c r="H346" s="6" t="n"/>
      <c r="I346" s="6" t="n"/>
      <c r="M346" s="7" t="n"/>
      <c r="N346" s="7" t="n"/>
      <c r="O346" s="7" t="n"/>
      <c r="P346" s="8">
        <f>IF(NOT(ISNUMBER(M346)),"",IF(G346="Terreno",IF(AND(ISNUMBER(I346),I346&gt;0),M346/I346,""),IF(AND(ISNUMBER(H346),H346&gt;0),M346/H346,"")))</f>
        <v/>
      </c>
      <c r="Q346" s="9">
        <f>IF(AND(ISNUMBER(M346),ISNUMBER(O346)),IF(M346&lt;=O346,"Valor ≤ venal IPTU",""),"")</f>
        <v/>
      </c>
      <c r="R346" s="10" t="n"/>
      <c r="S346" s="10" t="n"/>
      <c r="AA346" s="10" t="n"/>
      <c r="AB346" s="11">
        <f>IF(LEN(TRIM(X346))=0,"",HYPERLINK("https://www.google.com/maps/@?api=1&amp;map_action=pano&amp;viewpoint="&amp;SUBSTITUTE(X346," ",""),"Abrir Street View"))</f>
        <v/>
      </c>
    </row>
    <row r="347">
      <c r="H347" s="6" t="n"/>
      <c r="I347" s="6" t="n"/>
      <c r="M347" s="7" t="n"/>
      <c r="N347" s="7" t="n"/>
      <c r="O347" s="7" t="n"/>
      <c r="P347" s="8">
        <f>IF(NOT(ISNUMBER(M347)),"",IF(G347="Terreno",IF(AND(ISNUMBER(I347),I347&gt;0),M347/I347,""),IF(AND(ISNUMBER(H347),H347&gt;0),M347/H347,"")))</f>
        <v/>
      </c>
      <c r="Q347" s="9">
        <f>IF(AND(ISNUMBER(M347),ISNUMBER(O347)),IF(M347&lt;=O347,"Valor ≤ venal IPTU",""),"")</f>
        <v/>
      </c>
      <c r="R347" s="10" t="n"/>
      <c r="S347" s="10" t="n"/>
      <c r="AA347" s="10" t="n"/>
      <c r="AB347" s="11">
        <f>IF(LEN(TRIM(X347))=0,"",HYPERLINK("https://www.google.com/maps/@?api=1&amp;map_action=pano&amp;viewpoint="&amp;SUBSTITUTE(X347," ",""),"Abrir Street View"))</f>
        <v/>
      </c>
    </row>
    <row r="348">
      <c r="H348" s="6" t="n"/>
      <c r="I348" s="6" t="n"/>
      <c r="M348" s="7" t="n"/>
      <c r="N348" s="7" t="n"/>
      <c r="O348" s="7" t="n"/>
      <c r="P348" s="8">
        <f>IF(NOT(ISNUMBER(M348)),"",IF(G348="Terreno",IF(AND(ISNUMBER(I348),I348&gt;0),M348/I348,""),IF(AND(ISNUMBER(H348),H348&gt;0),M348/H348,"")))</f>
        <v/>
      </c>
      <c r="Q348" s="9">
        <f>IF(AND(ISNUMBER(M348),ISNUMBER(O348)),IF(M348&lt;=O348,"Valor ≤ venal IPTU",""),"")</f>
        <v/>
      </c>
      <c r="R348" s="10" t="n"/>
      <c r="S348" s="10" t="n"/>
      <c r="AA348" s="10" t="n"/>
      <c r="AB348" s="11">
        <f>IF(LEN(TRIM(X348))=0,"",HYPERLINK("https://www.google.com/maps/@?api=1&amp;map_action=pano&amp;viewpoint="&amp;SUBSTITUTE(X348," ",""),"Abrir Street View"))</f>
        <v/>
      </c>
    </row>
    <row r="349">
      <c r="H349" s="6" t="n"/>
      <c r="I349" s="6" t="n"/>
      <c r="M349" s="7" t="n"/>
      <c r="N349" s="7" t="n"/>
      <c r="O349" s="7" t="n"/>
      <c r="P349" s="8">
        <f>IF(NOT(ISNUMBER(M349)),"",IF(G349="Terreno",IF(AND(ISNUMBER(I349),I349&gt;0),M349/I349,""),IF(AND(ISNUMBER(H349),H349&gt;0),M349/H349,"")))</f>
        <v/>
      </c>
      <c r="Q349" s="9">
        <f>IF(AND(ISNUMBER(M349),ISNUMBER(O349)),IF(M349&lt;=O349,"Valor ≤ venal IPTU",""),"")</f>
        <v/>
      </c>
      <c r="R349" s="10" t="n"/>
      <c r="S349" s="10" t="n"/>
      <c r="AA349" s="10" t="n"/>
      <c r="AB349" s="11">
        <f>IF(LEN(TRIM(X349))=0,"",HYPERLINK("https://www.google.com/maps/@?api=1&amp;map_action=pano&amp;viewpoint="&amp;SUBSTITUTE(X349," ",""),"Abrir Street View"))</f>
        <v/>
      </c>
    </row>
    <row r="350">
      <c r="H350" s="6" t="n"/>
      <c r="I350" s="6" t="n"/>
      <c r="M350" s="7" t="n"/>
      <c r="N350" s="7" t="n"/>
      <c r="O350" s="7" t="n"/>
      <c r="P350" s="8">
        <f>IF(NOT(ISNUMBER(M350)),"",IF(G350="Terreno",IF(AND(ISNUMBER(I350),I350&gt;0),M350/I350,""),IF(AND(ISNUMBER(H350),H350&gt;0),M350/H350,"")))</f>
        <v/>
      </c>
      <c r="Q350" s="9">
        <f>IF(AND(ISNUMBER(M350),ISNUMBER(O350)),IF(M350&lt;=O350,"Valor ≤ venal IPTU",""),"")</f>
        <v/>
      </c>
      <c r="R350" s="10" t="n"/>
      <c r="S350" s="10" t="n"/>
      <c r="AA350" s="10" t="n"/>
      <c r="AB350" s="11">
        <f>IF(LEN(TRIM(X350))=0,"",HYPERLINK("https://www.google.com/maps/@?api=1&amp;map_action=pano&amp;viewpoint="&amp;SUBSTITUTE(X350," ",""),"Abrir Street View"))</f>
        <v/>
      </c>
    </row>
    <row r="351">
      <c r="H351" s="6" t="n"/>
      <c r="I351" s="6" t="n"/>
      <c r="M351" s="7" t="n"/>
      <c r="N351" s="7" t="n"/>
      <c r="O351" s="7" t="n"/>
      <c r="P351" s="8">
        <f>IF(NOT(ISNUMBER(M351)),"",IF(G351="Terreno",IF(AND(ISNUMBER(I351),I351&gt;0),M351/I351,""),IF(AND(ISNUMBER(H351),H351&gt;0),M351/H351,"")))</f>
        <v/>
      </c>
      <c r="Q351" s="9">
        <f>IF(AND(ISNUMBER(M351),ISNUMBER(O351)),IF(M351&lt;=O351,"Valor ≤ venal IPTU",""),"")</f>
        <v/>
      </c>
      <c r="R351" s="10" t="n"/>
      <c r="S351" s="10" t="n"/>
      <c r="AA351" s="10" t="n"/>
      <c r="AB351" s="11">
        <f>IF(LEN(TRIM(X351))=0,"",HYPERLINK("https://www.google.com/maps/@?api=1&amp;map_action=pano&amp;viewpoint="&amp;SUBSTITUTE(X351," ",""),"Abrir Street View"))</f>
        <v/>
      </c>
    </row>
    <row r="352">
      <c r="H352" s="6" t="n"/>
      <c r="I352" s="6" t="n"/>
      <c r="M352" s="7" t="n"/>
      <c r="N352" s="7" t="n"/>
      <c r="O352" s="7" t="n"/>
      <c r="P352" s="8">
        <f>IF(NOT(ISNUMBER(M352)),"",IF(G352="Terreno",IF(AND(ISNUMBER(I352),I352&gt;0),M352/I352,""),IF(AND(ISNUMBER(H352),H352&gt;0),M352/H352,"")))</f>
        <v/>
      </c>
      <c r="Q352" s="9">
        <f>IF(AND(ISNUMBER(M352),ISNUMBER(O352)),IF(M352&lt;=O352,"Valor ≤ venal IPTU",""),"")</f>
        <v/>
      </c>
      <c r="R352" s="10" t="n"/>
      <c r="S352" s="10" t="n"/>
      <c r="AA352" s="10" t="n"/>
      <c r="AB352" s="11">
        <f>IF(LEN(TRIM(X352))=0,"",HYPERLINK("https://www.google.com/maps/@?api=1&amp;map_action=pano&amp;viewpoint="&amp;SUBSTITUTE(X352," ",""),"Abrir Street View"))</f>
        <v/>
      </c>
    </row>
    <row r="353">
      <c r="H353" s="6" t="n"/>
      <c r="I353" s="6" t="n"/>
      <c r="M353" s="7" t="n"/>
      <c r="N353" s="7" t="n"/>
      <c r="O353" s="7" t="n"/>
      <c r="P353" s="8">
        <f>IF(NOT(ISNUMBER(M353)),"",IF(G353="Terreno",IF(AND(ISNUMBER(I353),I353&gt;0),M353/I353,""),IF(AND(ISNUMBER(H353),H353&gt;0),M353/H353,"")))</f>
        <v/>
      </c>
      <c r="Q353" s="9">
        <f>IF(AND(ISNUMBER(M353),ISNUMBER(O353)),IF(M353&lt;=O353,"Valor ≤ venal IPTU",""),"")</f>
        <v/>
      </c>
      <c r="R353" s="10" t="n"/>
      <c r="S353" s="10" t="n"/>
      <c r="AA353" s="10" t="n"/>
      <c r="AB353" s="11">
        <f>IF(LEN(TRIM(X353))=0,"",HYPERLINK("https://www.google.com/maps/@?api=1&amp;map_action=pano&amp;viewpoint="&amp;SUBSTITUTE(X353," ",""),"Abrir Street View"))</f>
        <v/>
      </c>
    </row>
    <row r="354">
      <c r="H354" s="6" t="n"/>
      <c r="I354" s="6" t="n"/>
      <c r="M354" s="7" t="n"/>
      <c r="N354" s="7" t="n"/>
      <c r="O354" s="7" t="n"/>
      <c r="P354" s="8">
        <f>IF(NOT(ISNUMBER(M354)),"",IF(G354="Terreno",IF(AND(ISNUMBER(I354),I354&gt;0),M354/I354,""),IF(AND(ISNUMBER(H354),H354&gt;0),M354/H354,"")))</f>
        <v/>
      </c>
      <c r="Q354" s="9">
        <f>IF(AND(ISNUMBER(M354),ISNUMBER(O354)),IF(M354&lt;=O354,"Valor ≤ venal IPTU",""),"")</f>
        <v/>
      </c>
      <c r="R354" s="10" t="n"/>
      <c r="S354" s="10" t="n"/>
      <c r="AA354" s="10" t="n"/>
      <c r="AB354" s="11">
        <f>IF(LEN(TRIM(X354))=0,"",HYPERLINK("https://www.google.com/maps/@?api=1&amp;map_action=pano&amp;viewpoint="&amp;SUBSTITUTE(X354," ",""),"Abrir Street View"))</f>
        <v/>
      </c>
    </row>
    <row r="355">
      <c r="H355" s="6" t="n"/>
      <c r="I355" s="6" t="n"/>
      <c r="M355" s="7" t="n"/>
      <c r="N355" s="7" t="n"/>
      <c r="O355" s="7" t="n"/>
      <c r="P355" s="8">
        <f>IF(NOT(ISNUMBER(M355)),"",IF(G355="Terreno",IF(AND(ISNUMBER(I355),I355&gt;0),M355/I355,""),IF(AND(ISNUMBER(H355),H355&gt;0),M355/H355,"")))</f>
        <v/>
      </c>
      <c r="Q355" s="9">
        <f>IF(AND(ISNUMBER(M355),ISNUMBER(O355)),IF(M355&lt;=O355,"Valor ≤ venal IPTU",""),"")</f>
        <v/>
      </c>
      <c r="R355" s="10" t="n"/>
      <c r="S355" s="10" t="n"/>
      <c r="AA355" s="10" t="n"/>
      <c r="AB355" s="11">
        <f>IF(LEN(TRIM(X355))=0,"",HYPERLINK("https://www.google.com/maps/@?api=1&amp;map_action=pano&amp;viewpoint="&amp;SUBSTITUTE(X355," ",""),"Abrir Street View"))</f>
        <v/>
      </c>
    </row>
    <row r="356">
      <c r="H356" s="6" t="n"/>
      <c r="I356" s="6" t="n"/>
      <c r="M356" s="7" t="n"/>
      <c r="N356" s="7" t="n"/>
      <c r="O356" s="7" t="n"/>
      <c r="P356" s="8">
        <f>IF(NOT(ISNUMBER(M356)),"",IF(G356="Terreno",IF(AND(ISNUMBER(I356),I356&gt;0),M356/I356,""),IF(AND(ISNUMBER(H356),H356&gt;0),M356/H356,"")))</f>
        <v/>
      </c>
      <c r="Q356" s="9">
        <f>IF(AND(ISNUMBER(M356),ISNUMBER(O356)),IF(M356&lt;=O356,"Valor ≤ venal IPTU",""),"")</f>
        <v/>
      </c>
      <c r="R356" s="10" t="n"/>
      <c r="S356" s="10" t="n"/>
      <c r="AA356" s="10" t="n"/>
      <c r="AB356" s="11">
        <f>IF(LEN(TRIM(X356))=0,"",HYPERLINK("https://www.google.com/maps/@?api=1&amp;map_action=pano&amp;viewpoint="&amp;SUBSTITUTE(X356," ",""),"Abrir Street View"))</f>
        <v/>
      </c>
    </row>
    <row r="357">
      <c r="H357" s="6" t="n"/>
      <c r="I357" s="6" t="n"/>
      <c r="M357" s="7" t="n"/>
      <c r="N357" s="7" t="n"/>
      <c r="O357" s="7" t="n"/>
      <c r="P357" s="8">
        <f>IF(NOT(ISNUMBER(M357)),"",IF(G357="Terreno",IF(AND(ISNUMBER(I357),I357&gt;0),M357/I357,""),IF(AND(ISNUMBER(H357),H357&gt;0),M357/H357,"")))</f>
        <v/>
      </c>
      <c r="Q357" s="9">
        <f>IF(AND(ISNUMBER(M357),ISNUMBER(O357)),IF(M357&lt;=O357,"Valor ≤ venal IPTU",""),"")</f>
        <v/>
      </c>
      <c r="R357" s="10" t="n"/>
      <c r="S357" s="10" t="n"/>
      <c r="AA357" s="10" t="n"/>
      <c r="AB357" s="11">
        <f>IF(LEN(TRIM(X357))=0,"",HYPERLINK("https://www.google.com/maps/@?api=1&amp;map_action=pano&amp;viewpoint="&amp;SUBSTITUTE(X357," ",""),"Abrir Street View"))</f>
        <v/>
      </c>
    </row>
    <row r="358">
      <c r="H358" s="6" t="n"/>
      <c r="I358" s="6" t="n"/>
      <c r="M358" s="7" t="n"/>
      <c r="N358" s="7" t="n"/>
      <c r="O358" s="7" t="n"/>
      <c r="P358" s="8">
        <f>IF(NOT(ISNUMBER(M358)),"",IF(G358="Terreno",IF(AND(ISNUMBER(I358),I358&gt;0),M358/I358,""),IF(AND(ISNUMBER(H358),H358&gt;0),M358/H358,"")))</f>
        <v/>
      </c>
      <c r="Q358" s="9">
        <f>IF(AND(ISNUMBER(M358),ISNUMBER(O358)),IF(M358&lt;=O358,"Valor ≤ venal IPTU",""),"")</f>
        <v/>
      </c>
      <c r="R358" s="10" t="n"/>
      <c r="S358" s="10" t="n"/>
      <c r="AA358" s="10" t="n"/>
      <c r="AB358" s="11">
        <f>IF(LEN(TRIM(X358))=0,"",HYPERLINK("https://www.google.com/maps/@?api=1&amp;map_action=pano&amp;viewpoint="&amp;SUBSTITUTE(X358," ",""),"Abrir Street View"))</f>
        <v/>
      </c>
    </row>
    <row r="359">
      <c r="H359" s="6" t="n"/>
      <c r="I359" s="6" t="n"/>
      <c r="M359" s="7" t="n"/>
      <c r="N359" s="7" t="n"/>
      <c r="O359" s="7" t="n"/>
      <c r="P359" s="8">
        <f>IF(NOT(ISNUMBER(M359)),"",IF(G359="Terreno",IF(AND(ISNUMBER(I359),I359&gt;0),M359/I359,""),IF(AND(ISNUMBER(H359),H359&gt;0),M359/H359,"")))</f>
        <v/>
      </c>
      <c r="Q359" s="9">
        <f>IF(AND(ISNUMBER(M359),ISNUMBER(O359)),IF(M359&lt;=O359,"Valor ≤ venal IPTU",""),"")</f>
        <v/>
      </c>
      <c r="R359" s="10" t="n"/>
      <c r="S359" s="10" t="n"/>
      <c r="AA359" s="10" t="n"/>
      <c r="AB359" s="11">
        <f>IF(LEN(TRIM(X359))=0,"",HYPERLINK("https://www.google.com/maps/@?api=1&amp;map_action=pano&amp;viewpoint="&amp;SUBSTITUTE(X359," ",""),"Abrir Street View"))</f>
        <v/>
      </c>
    </row>
    <row r="360">
      <c r="H360" s="6" t="n"/>
      <c r="I360" s="6" t="n"/>
      <c r="M360" s="7" t="n"/>
      <c r="N360" s="7" t="n"/>
      <c r="O360" s="7" t="n"/>
      <c r="P360" s="8">
        <f>IF(NOT(ISNUMBER(M360)),"",IF(G360="Terreno",IF(AND(ISNUMBER(I360),I360&gt;0),M360/I360,""),IF(AND(ISNUMBER(H360),H360&gt;0),M360/H360,"")))</f>
        <v/>
      </c>
      <c r="Q360" s="9">
        <f>IF(AND(ISNUMBER(M360),ISNUMBER(O360)),IF(M360&lt;=O360,"Valor ≤ venal IPTU",""),"")</f>
        <v/>
      </c>
      <c r="R360" s="10" t="n"/>
      <c r="S360" s="10" t="n"/>
      <c r="AA360" s="10" t="n"/>
      <c r="AB360" s="11">
        <f>IF(LEN(TRIM(X360))=0,"",HYPERLINK("https://www.google.com/maps/@?api=1&amp;map_action=pano&amp;viewpoint="&amp;SUBSTITUTE(X360," ",""),"Abrir Street View"))</f>
        <v/>
      </c>
    </row>
    <row r="361">
      <c r="H361" s="6" t="n"/>
      <c r="I361" s="6" t="n"/>
      <c r="M361" s="7" t="n"/>
      <c r="N361" s="7" t="n"/>
      <c r="O361" s="7" t="n"/>
      <c r="P361" s="8">
        <f>IF(NOT(ISNUMBER(M361)),"",IF(G361="Terreno",IF(AND(ISNUMBER(I361),I361&gt;0),M361/I361,""),IF(AND(ISNUMBER(H361),H361&gt;0),M361/H361,"")))</f>
        <v/>
      </c>
      <c r="Q361" s="9">
        <f>IF(AND(ISNUMBER(M361),ISNUMBER(O361)),IF(M361&lt;=O361,"Valor ≤ venal IPTU",""),"")</f>
        <v/>
      </c>
      <c r="R361" s="10" t="n"/>
      <c r="S361" s="10" t="n"/>
      <c r="AA361" s="10" t="n"/>
      <c r="AB361" s="11">
        <f>IF(LEN(TRIM(X361))=0,"",HYPERLINK("https://www.google.com/maps/@?api=1&amp;map_action=pano&amp;viewpoint="&amp;SUBSTITUTE(X361," ",""),"Abrir Street View"))</f>
        <v/>
      </c>
    </row>
    <row r="362">
      <c r="H362" s="6" t="n"/>
      <c r="I362" s="6" t="n"/>
      <c r="M362" s="7" t="n"/>
      <c r="N362" s="7" t="n"/>
      <c r="O362" s="7" t="n"/>
      <c r="P362" s="8">
        <f>IF(NOT(ISNUMBER(M362)),"",IF(G362="Terreno",IF(AND(ISNUMBER(I362),I362&gt;0),M362/I362,""),IF(AND(ISNUMBER(H362),H362&gt;0),M362/H362,"")))</f>
        <v/>
      </c>
      <c r="Q362" s="9">
        <f>IF(AND(ISNUMBER(M362),ISNUMBER(O362)),IF(M362&lt;=O362,"Valor ≤ venal IPTU",""),"")</f>
        <v/>
      </c>
      <c r="R362" s="10" t="n"/>
      <c r="S362" s="10" t="n"/>
      <c r="AA362" s="10" t="n"/>
      <c r="AB362" s="11">
        <f>IF(LEN(TRIM(X362))=0,"",HYPERLINK("https://www.google.com/maps/@?api=1&amp;map_action=pano&amp;viewpoint="&amp;SUBSTITUTE(X362," ",""),"Abrir Street View"))</f>
        <v/>
      </c>
    </row>
    <row r="363">
      <c r="H363" s="6" t="n"/>
      <c r="I363" s="6" t="n"/>
      <c r="M363" s="7" t="n"/>
      <c r="N363" s="7" t="n"/>
      <c r="O363" s="7" t="n"/>
      <c r="P363" s="8">
        <f>IF(NOT(ISNUMBER(M363)),"",IF(G363="Terreno",IF(AND(ISNUMBER(I363),I363&gt;0),M363/I363,""),IF(AND(ISNUMBER(H363),H363&gt;0),M363/H363,"")))</f>
        <v/>
      </c>
      <c r="Q363" s="9">
        <f>IF(AND(ISNUMBER(M363),ISNUMBER(O363)),IF(M363&lt;=O363,"Valor ≤ venal IPTU",""),"")</f>
        <v/>
      </c>
      <c r="R363" s="10" t="n"/>
      <c r="S363" s="10" t="n"/>
      <c r="AA363" s="10" t="n"/>
      <c r="AB363" s="11">
        <f>IF(LEN(TRIM(X363))=0,"",HYPERLINK("https://www.google.com/maps/@?api=1&amp;map_action=pano&amp;viewpoint="&amp;SUBSTITUTE(X363," ",""),"Abrir Street View"))</f>
        <v/>
      </c>
    </row>
    <row r="364">
      <c r="H364" s="6" t="n"/>
      <c r="I364" s="6" t="n"/>
      <c r="M364" s="7" t="n"/>
      <c r="N364" s="7" t="n"/>
      <c r="O364" s="7" t="n"/>
      <c r="P364" s="8">
        <f>IF(NOT(ISNUMBER(M364)),"",IF(G364="Terreno",IF(AND(ISNUMBER(I364),I364&gt;0),M364/I364,""),IF(AND(ISNUMBER(H364),H364&gt;0),M364/H364,"")))</f>
        <v/>
      </c>
      <c r="Q364" s="9">
        <f>IF(AND(ISNUMBER(M364),ISNUMBER(O364)),IF(M364&lt;=O364,"Valor ≤ venal IPTU",""),"")</f>
        <v/>
      </c>
      <c r="R364" s="10" t="n"/>
      <c r="S364" s="10" t="n"/>
      <c r="AA364" s="10" t="n"/>
      <c r="AB364" s="11">
        <f>IF(LEN(TRIM(X364))=0,"",HYPERLINK("https://www.google.com/maps/@?api=1&amp;map_action=pano&amp;viewpoint="&amp;SUBSTITUTE(X364," ",""),"Abrir Street View"))</f>
        <v/>
      </c>
    </row>
    <row r="365">
      <c r="H365" s="6" t="n"/>
      <c r="I365" s="6" t="n"/>
      <c r="M365" s="7" t="n"/>
      <c r="N365" s="7" t="n"/>
      <c r="O365" s="7" t="n"/>
      <c r="P365" s="8">
        <f>IF(NOT(ISNUMBER(M365)),"",IF(G365="Terreno",IF(AND(ISNUMBER(I365),I365&gt;0),M365/I365,""),IF(AND(ISNUMBER(H365),H365&gt;0),M365/H365,"")))</f>
        <v/>
      </c>
      <c r="Q365" s="9">
        <f>IF(AND(ISNUMBER(M365),ISNUMBER(O365)),IF(M365&lt;=O365,"Valor ≤ venal IPTU",""),"")</f>
        <v/>
      </c>
      <c r="R365" s="10" t="n"/>
      <c r="S365" s="10" t="n"/>
      <c r="AA365" s="10" t="n"/>
      <c r="AB365" s="11">
        <f>IF(LEN(TRIM(X365))=0,"",HYPERLINK("https://www.google.com/maps/@?api=1&amp;map_action=pano&amp;viewpoint="&amp;SUBSTITUTE(X365," ",""),"Abrir Street View"))</f>
        <v/>
      </c>
    </row>
    <row r="366">
      <c r="H366" s="6" t="n"/>
      <c r="I366" s="6" t="n"/>
      <c r="M366" s="7" t="n"/>
      <c r="N366" s="7" t="n"/>
      <c r="O366" s="7" t="n"/>
      <c r="P366" s="8">
        <f>IF(NOT(ISNUMBER(M366)),"",IF(G366="Terreno",IF(AND(ISNUMBER(I366),I366&gt;0),M366/I366,""),IF(AND(ISNUMBER(H366),H366&gt;0),M366/H366,"")))</f>
        <v/>
      </c>
      <c r="Q366" s="9">
        <f>IF(AND(ISNUMBER(M366),ISNUMBER(O366)),IF(M366&lt;=O366,"Valor ≤ venal IPTU",""),"")</f>
        <v/>
      </c>
      <c r="R366" s="10" t="n"/>
      <c r="S366" s="10" t="n"/>
      <c r="AA366" s="10" t="n"/>
      <c r="AB366" s="11">
        <f>IF(LEN(TRIM(X366))=0,"",HYPERLINK("https://www.google.com/maps/@?api=1&amp;map_action=pano&amp;viewpoint="&amp;SUBSTITUTE(X366," ",""),"Abrir Street View"))</f>
        <v/>
      </c>
    </row>
    <row r="367">
      <c r="H367" s="6" t="n"/>
      <c r="I367" s="6" t="n"/>
      <c r="M367" s="7" t="n"/>
      <c r="N367" s="7" t="n"/>
      <c r="O367" s="7" t="n"/>
      <c r="P367" s="8">
        <f>IF(NOT(ISNUMBER(M367)),"",IF(G367="Terreno",IF(AND(ISNUMBER(I367),I367&gt;0),M367/I367,""),IF(AND(ISNUMBER(H367),H367&gt;0),M367/H367,"")))</f>
        <v/>
      </c>
      <c r="Q367" s="9">
        <f>IF(AND(ISNUMBER(M367),ISNUMBER(O367)),IF(M367&lt;=O367,"Valor ≤ venal IPTU",""),"")</f>
        <v/>
      </c>
      <c r="R367" s="10" t="n"/>
      <c r="S367" s="10" t="n"/>
      <c r="AA367" s="10" t="n"/>
      <c r="AB367" s="11">
        <f>IF(LEN(TRIM(X367))=0,"",HYPERLINK("https://www.google.com/maps/@?api=1&amp;map_action=pano&amp;viewpoint="&amp;SUBSTITUTE(X367," ",""),"Abrir Street View"))</f>
        <v/>
      </c>
    </row>
    <row r="368">
      <c r="H368" s="6" t="n"/>
      <c r="I368" s="6" t="n"/>
      <c r="M368" s="7" t="n"/>
      <c r="N368" s="7" t="n"/>
      <c r="O368" s="7" t="n"/>
      <c r="P368" s="8">
        <f>IF(NOT(ISNUMBER(M368)),"",IF(G368="Terreno",IF(AND(ISNUMBER(I368),I368&gt;0),M368/I368,""),IF(AND(ISNUMBER(H368),H368&gt;0),M368/H368,"")))</f>
        <v/>
      </c>
      <c r="Q368" s="9">
        <f>IF(AND(ISNUMBER(M368),ISNUMBER(O368)),IF(M368&lt;=O368,"Valor ≤ venal IPTU",""),"")</f>
        <v/>
      </c>
      <c r="R368" s="10" t="n"/>
      <c r="S368" s="10" t="n"/>
      <c r="AA368" s="10" t="n"/>
      <c r="AB368" s="11">
        <f>IF(LEN(TRIM(X368))=0,"",HYPERLINK("https://www.google.com/maps/@?api=1&amp;map_action=pano&amp;viewpoint="&amp;SUBSTITUTE(X368," ",""),"Abrir Street View"))</f>
        <v/>
      </c>
    </row>
    <row r="369">
      <c r="H369" s="6" t="n"/>
      <c r="I369" s="6" t="n"/>
      <c r="M369" s="7" t="n"/>
      <c r="N369" s="7" t="n"/>
      <c r="O369" s="7" t="n"/>
      <c r="P369" s="8">
        <f>IF(NOT(ISNUMBER(M369)),"",IF(G369="Terreno",IF(AND(ISNUMBER(I369),I369&gt;0),M369/I369,""),IF(AND(ISNUMBER(H369),H369&gt;0),M369/H369,"")))</f>
        <v/>
      </c>
      <c r="Q369" s="9">
        <f>IF(AND(ISNUMBER(M369),ISNUMBER(O369)),IF(M369&lt;=O369,"Valor ≤ venal IPTU",""),"")</f>
        <v/>
      </c>
      <c r="R369" s="10" t="n"/>
      <c r="S369" s="10" t="n"/>
      <c r="AA369" s="10" t="n"/>
      <c r="AB369" s="11">
        <f>IF(LEN(TRIM(X369))=0,"",HYPERLINK("https://www.google.com/maps/@?api=1&amp;map_action=pano&amp;viewpoint="&amp;SUBSTITUTE(X369," ",""),"Abrir Street View"))</f>
        <v/>
      </c>
    </row>
    <row r="370">
      <c r="H370" s="6" t="n"/>
      <c r="I370" s="6" t="n"/>
      <c r="M370" s="7" t="n"/>
      <c r="N370" s="7" t="n"/>
      <c r="O370" s="7" t="n"/>
      <c r="P370" s="8">
        <f>IF(NOT(ISNUMBER(M370)),"",IF(G370="Terreno",IF(AND(ISNUMBER(I370),I370&gt;0),M370/I370,""),IF(AND(ISNUMBER(H370),H370&gt;0),M370/H370,"")))</f>
        <v/>
      </c>
      <c r="Q370" s="9">
        <f>IF(AND(ISNUMBER(M370),ISNUMBER(O370)),IF(M370&lt;=O370,"Valor ≤ venal IPTU",""),"")</f>
        <v/>
      </c>
      <c r="R370" s="10" t="n"/>
      <c r="S370" s="10" t="n"/>
      <c r="AA370" s="10" t="n"/>
      <c r="AB370" s="11">
        <f>IF(LEN(TRIM(X370))=0,"",HYPERLINK("https://www.google.com/maps/@?api=1&amp;map_action=pano&amp;viewpoint="&amp;SUBSTITUTE(X370," ",""),"Abrir Street View"))</f>
        <v/>
      </c>
    </row>
    <row r="371">
      <c r="H371" s="6" t="n"/>
      <c r="I371" s="6" t="n"/>
      <c r="M371" s="7" t="n"/>
      <c r="N371" s="7" t="n"/>
      <c r="O371" s="7" t="n"/>
      <c r="P371" s="8">
        <f>IF(NOT(ISNUMBER(M371)),"",IF(G371="Terreno",IF(AND(ISNUMBER(I371),I371&gt;0),M371/I371,""),IF(AND(ISNUMBER(H371),H371&gt;0),M371/H371,"")))</f>
        <v/>
      </c>
      <c r="Q371" s="9">
        <f>IF(AND(ISNUMBER(M371),ISNUMBER(O371)),IF(M371&lt;=O371,"Valor ≤ venal IPTU",""),"")</f>
        <v/>
      </c>
      <c r="R371" s="10" t="n"/>
      <c r="S371" s="10" t="n"/>
      <c r="AA371" s="10" t="n"/>
      <c r="AB371" s="11">
        <f>IF(LEN(TRIM(X371))=0,"",HYPERLINK("https://www.google.com/maps/@?api=1&amp;map_action=pano&amp;viewpoint="&amp;SUBSTITUTE(X371," ",""),"Abrir Street View"))</f>
        <v/>
      </c>
    </row>
    <row r="372">
      <c r="H372" s="6" t="n"/>
      <c r="I372" s="6" t="n"/>
      <c r="M372" s="7" t="n"/>
      <c r="N372" s="7" t="n"/>
      <c r="O372" s="7" t="n"/>
      <c r="P372" s="8">
        <f>IF(NOT(ISNUMBER(M372)),"",IF(G372="Terreno",IF(AND(ISNUMBER(I372),I372&gt;0),M372/I372,""),IF(AND(ISNUMBER(H372),H372&gt;0),M372/H372,"")))</f>
        <v/>
      </c>
      <c r="Q372" s="9">
        <f>IF(AND(ISNUMBER(M372),ISNUMBER(O372)),IF(M372&lt;=O372,"Valor ≤ venal IPTU",""),"")</f>
        <v/>
      </c>
      <c r="R372" s="10" t="n"/>
      <c r="S372" s="10" t="n"/>
      <c r="AA372" s="10" t="n"/>
      <c r="AB372" s="11">
        <f>IF(LEN(TRIM(X372))=0,"",HYPERLINK("https://www.google.com/maps/@?api=1&amp;map_action=pano&amp;viewpoint="&amp;SUBSTITUTE(X372," ",""),"Abrir Street View"))</f>
        <v/>
      </c>
    </row>
    <row r="373">
      <c r="H373" s="6" t="n"/>
      <c r="I373" s="6" t="n"/>
      <c r="M373" s="7" t="n"/>
      <c r="N373" s="7" t="n"/>
      <c r="O373" s="7" t="n"/>
      <c r="P373" s="8">
        <f>IF(NOT(ISNUMBER(M373)),"",IF(G373="Terreno",IF(AND(ISNUMBER(I373),I373&gt;0),M373/I373,""),IF(AND(ISNUMBER(H373),H373&gt;0),M373/H373,"")))</f>
        <v/>
      </c>
      <c r="Q373" s="9">
        <f>IF(AND(ISNUMBER(M373),ISNUMBER(O373)),IF(M373&lt;=O373,"Valor ≤ venal IPTU",""),"")</f>
        <v/>
      </c>
      <c r="R373" s="10" t="n"/>
      <c r="S373" s="10" t="n"/>
      <c r="AA373" s="10" t="n"/>
      <c r="AB373" s="11">
        <f>IF(LEN(TRIM(X373))=0,"",HYPERLINK("https://www.google.com/maps/@?api=1&amp;map_action=pano&amp;viewpoint="&amp;SUBSTITUTE(X373," ",""),"Abrir Street View"))</f>
        <v/>
      </c>
    </row>
    <row r="374">
      <c r="H374" s="6" t="n"/>
      <c r="I374" s="6" t="n"/>
      <c r="M374" s="7" t="n"/>
      <c r="N374" s="7" t="n"/>
      <c r="O374" s="7" t="n"/>
      <c r="P374" s="8">
        <f>IF(NOT(ISNUMBER(M374)),"",IF(G374="Terreno",IF(AND(ISNUMBER(I374),I374&gt;0),M374/I374,""),IF(AND(ISNUMBER(H374),H374&gt;0),M374/H374,"")))</f>
        <v/>
      </c>
      <c r="Q374" s="9">
        <f>IF(AND(ISNUMBER(M374),ISNUMBER(O374)),IF(M374&lt;=O374,"Valor ≤ venal IPTU",""),"")</f>
        <v/>
      </c>
      <c r="R374" s="10" t="n"/>
      <c r="S374" s="10" t="n"/>
      <c r="AA374" s="10" t="n"/>
      <c r="AB374" s="11">
        <f>IF(LEN(TRIM(X374))=0,"",HYPERLINK("https://www.google.com/maps/@?api=1&amp;map_action=pano&amp;viewpoint="&amp;SUBSTITUTE(X374," ",""),"Abrir Street View"))</f>
        <v/>
      </c>
    </row>
    <row r="375">
      <c r="H375" s="6" t="n"/>
      <c r="I375" s="6" t="n"/>
      <c r="M375" s="7" t="n"/>
      <c r="N375" s="7" t="n"/>
      <c r="O375" s="7" t="n"/>
      <c r="P375" s="8">
        <f>IF(NOT(ISNUMBER(M375)),"",IF(G375="Terreno",IF(AND(ISNUMBER(I375),I375&gt;0),M375/I375,""),IF(AND(ISNUMBER(H375),H375&gt;0),M375/H375,"")))</f>
        <v/>
      </c>
      <c r="Q375" s="9">
        <f>IF(AND(ISNUMBER(M375),ISNUMBER(O375)),IF(M375&lt;=O375,"Valor ≤ venal IPTU",""),"")</f>
        <v/>
      </c>
      <c r="R375" s="10" t="n"/>
      <c r="S375" s="10" t="n"/>
      <c r="AA375" s="10" t="n"/>
      <c r="AB375" s="11">
        <f>IF(LEN(TRIM(X375))=0,"",HYPERLINK("https://www.google.com/maps/@?api=1&amp;map_action=pano&amp;viewpoint="&amp;SUBSTITUTE(X375," ",""),"Abrir Street View"))</f>
        <v/>
      </c>
    </row>
    <row r="376">
      <c r="H376" s="6" t="n"/>
      <c r="I376" s="6" t="n"/>
      <c r="M376" s="7" t="n"/>
      <c r="N376" s="7" t="n"/>
      <c r="O376" s="7" t="n"/>
      <c r="P376" s="8">
        <f>IF(NOT(ISNUMBER(M376)),"",IF(G376="Terreno",IF(AND(ISNUMBER(I376),I376&gt;0),M376/I376,""),IF(AND(ISNUMBER(H376),H376&gt;0),M376/H376,"")))</f>
        <v/>
      </c>
      <c r="Q376" s="9">
        <f>IF(AND(ISNUMBER(M376),ISNUMBER(O376)),IF(M376&lt;=O376,"Valor ≤ venal IPTU",""),"")</f>
        <v/>
      </c>
      <c r="R376" s="10" t="n"/>
      <c r="S376" s="10" t="n"/>
      <c r="AA376" s="10" t="n"/>
      <c r="AB376" s="11">
        <f>IF(LEN(TRIM(X376))=0,"",HYPERLINK("https://www.google.com/maps/@?api=1&amp;map_action=pano&amp;viewpoint="&amp;SUBSTITUTE(X376," ",""),"Abrir Street View"))</f>
        <v/>
      </c>
    </row>
    <row r="377">
      <c r="H377" s="6" t="n"/>
      <c r="I377" s="6" t="n"/>
      <c r="M377" s="7" t="n"/>
      <c r="N377" s="7" t="n"/>
      <c r="O377" s="7" t="n"/>
      <c r="P377" s="8">
        <f>IF(NOT(ISNUMBER(M377)),"",IF(G377="Terreno",IF(AND(ISNUMBER(I377),I377&gt;0),M377/I377,""),IF(AND(ISNUMBER(H377),H377&gt;0),M377/H377,"")))</f>
        <v/>
      </c>
      <c r="Q377" s="9">
        <f>IF(AND(ISNUMBER(M377),ISNUMBER(O377)),IF(M377&lt;=O377,"Valor ≤ venal IPTU",""),"")</f>
        <v/>
      </c>
      <c r="R377" s="10" t="n"/>
      <c r="S377" s="10" t="n"/>
      <c r="AA377" s="10" t="n"/>
      <c r="AB377" s="11">
        <f>IF(LEN(TRIM(X377))=0,"",HYPERLINK("https://www.google.com/maps/@?api=1&amp;map_action=pano&amp;viewpoint="&amp;SUBSTITUTE(X377," ",""),"Abrir Street View"))</f>
        <v/>
      </c>
    </row>
    <row r="378">
      <c r="H378" s="6" t="n"/>
      <c r="I378" s="6" t="n"/>
      <c r="M378" s="7" t="n"/>
      <c r="N378" s="7" t="n"/>
      <c r="O378" s="7" t="n"/>
      <c r="P378" s="8">
        <f>IF(NOT(ISNUMBER(M378)),"",IF(G378="Terreno",IF(AND(ISNUMBER(I378),I378&gt;0),M378/I378,""),IF(AND(ISNUMBER(H378),H378&gt;0),M378/H378,"")))</f>
        <v/>
      </c>
      <c r="Q378" s="9">
        <f>IF(AND(ISNUMBER(M378),ISNUMBER(O378)),IF(M378&lt;=O378,"Valor ≤ venal IPTU",""),"")</f>
        <v/>
      </c>
      <c r="R378" s="10" t="n"/>
      <c r="S378" s="10" t="n"/>
      <c r="AA378" s="10" t="n"/>
      <c r="AB378" s="11">
        <f>IF(LEN(TRIM(X378))=0,"",HYPERLINK("https://www.google.com/maps/@?api=1&amp;map_action=pano&amp;viewpoint="&amp;SUBSTITUTE(X378," ",""),"Abrir Street View"))</f>
        <v/>
      </c>
    </row>
    <row r="379">
      <c r="H379" s="6" t="n"/>
      <c r="I379" s="6" t="n"/>
      <c r="M379" s="7" t="n"/>
      <c r="N379" s="7" t="n"/>
      <c r="O379" s="7" t="n"/>
      <c r="P379" s="8">
        <f>IF(NOT(ISNUMBER(M379)),"",IF(G379="Terreno",IF(AND(ISNUMBER(I379),I379&gt;0),M379/I379,""),IF(AND(ISNUMBER(H379),H379&gt;0),M379/H379,"")))</f>
        <v/>
      </c>
      <c r="Q379" s="9">
        <f>IF(AND(ISNUMBER(M379),ISNUMBER(O379)),IF(M379&lt;=O379,"Valor ≤ venal IPTU",""),"")</f>
        <v/>
      </c>
      <c r="R379" s="10" t="n"/>
      <c r="S379" s="10" t="n"/>
      <c r="AA379" s="10" t="n"/>
      <c r="AB379" s="11">
        <f>IF(LEN(TRIM(X379))=0,"",HYPERLINK("https://www.google.com/maps/@?api=1&amp;map_action=pano&amp;viewpoint="&amp;SUBSTITUTE(X379," ",""),"Abrir Street View"))</f>
        <v/>
      </c>
    </row>
    <row r="380">
      <c r="H380" s="6" t="n"/>
      <c r="I380" s="6" t="n"/>
      <c r="M380" s="7" t="n"/>
      <c r="N380" s="7" t="n"/>
      <c r="O380" s="7" t="n"/>
      <c r="P380" s="8">
        <f>IF(NOT(ISNUMBER(M380)),"",IF(G380="Terreno",IF(AND(ISNUMBER(I380),I380&gt;0),M380/I380,""),IF(AND(ISNUMBER(H380),H380&gt;0),M380/H380,"")))</f>
        <v/>
      </c>
      <c r="Q380" s="9">
        <f>IF(AND(ISNUMBER(M380),ISNUMBER(O380)),IF(M380&lt;=O380,"Valor ≤ venal IPTU",""),"")</f>
        <v/>
      </c>
      <c r="R380" s="10" t="n"/>
      <c r="S380" s="10" t="n"/>
      <c r="AA380" s="10" t="n"/>
      <c r="AB380" s="11">
        <f>IF(LEN(TRIM(X380))=0,"",HYPERLINK("https://www.google.com/maps/@?api=1&amp;map_action=pano&amp;viewpoint="&amp;SUBSTITUTE(X380," ",""),"Abrir Street View"))</f>
        <v/>
      </c>
    </row>
    <row r="381">
      <c r="H381" s="6" t="n"/>
      <c r="I381" s="6" t="n"/>
      <c r="M381" s="7" t="n"/>
      <c r="N381" s="7" t="n"/>
      <c r="O381" s="7" t="n"/>
      <c r="P381" s="8">
        <f>IF(NOT(ISNUMBER(M381)),"",IF(G381="Terreno",IF(AND(ISNUMBER(I381),I381&gt;0),M381/I381,""),IF(AND(ISNUMBER(H381),H381&gt;0),M381/H381,"")))</f>
        <v/>
      </c>
      <c r="Q381" s="9">
        <f>IF(AND(ISNUMBER(M381),ISNUMBER(O381)),IF(M381&lt;=O381,"Valor ≤ venal IPTU",""),"")</f>
        <v/>
      </c>
      <c r="R381" s="10" t="n"/>
      <c r="S381" s="10" t="n"/>
      <c r="AA381" s="10" t="n"/>
      <c r="AB381" s="11">
        <f>IF(LEN(TRIM(X381))=0,"",HYPERLINK("https://www.google.com/maps/@?api=1&amp;map_action=pano&amp;viewpoint="&amp;SUBSTITUTE(X381," ",""),"Abrir Street View"))</f>
        <v/>
      </c>
    </row>
    <row r="382">
      <c r="H382" s="6" t="n"/>
      <c r="I382" s="6" t="n"/>
      <c r="M382" s="7" t="n"/>
      <c r="N382" s="7" t="n"/>
      <c r="O382" s="7" t="n"/>
      <c r="P382" s="8">
        <f>IF(NOT(ISNUMBER(M382)),"",IF(G382="Terreno",IF(AND(ISNUMBER(I382),I382&gt;0),M382/I382,""),IF(AND(ISNUMBER(H382),H382&gt;0),M382/H382,"")))</f>
        <v/>
      </c>
      <c r="Q382" s="9">
        <f>IF(AND(ISNUMBER(M382),ISNUMBER(O382)),IF(M382&lt;=O382,"Valor ≤ venal IPTU",""),"")</f>
        <v/>
      </c>
      <c r="R382" s="10" t="n"/>
      <c r="S382" s="10" t="n"/>
      <c r="AA382" s="10" t="n"/>
      <c r="AB382" s="11">
        <f>IF(LEN(TRIM(X382))=0,"",HYPERLINK("https://www.google.com/maps/@?api=1&amp;map_action=pano&amp;viewpoint="&amp;SUBSTITUTE(X382," ",""),"Abrir Street View"))</f>
        <v/>
      </c>
    </row>
    <row r="383">
      <c r="H383" s="6" t="n"/>
      <c r="I383" s="6" t="n"/>
      <c r="M383" s="7" t="n"/>
      <c r="N383" s="7" t="n"/>
      <c r="O383" s="7" t="n"/>
      <c r="P383" s="8">
        <f>IF(NOT(ISNUMBER(M383)),"",IF(G383="Terreno",IF(AND(ISNUMBER(I383),I383&gt;0),M383/I383,""),IF(AND(ISNUMBER(H383),H383&gt;0),M383/H383,"")))</f>
        <v/>
      </c>
      <c r="Q383" s="9">
        <f>IF(AND(ISNUMBER(M383),ISNUMBER(O383)),IF(M383&lt;=O383,"Valor ≤ venal IPTU",""),"")</f>
        <v/>
      </c>
      <c r="R383" s="10" t="n"/>
      <c r="S383" s="10" t="n"/>
      <c r="AA383" s="10" t="n"/>
      <c r="AB383" s="11">
        <f>IF(LEN(TRIM(X383))=0,"",HYPERLINK("https://www.google.com/maps/@?api=1&amp;map_action=pano&amp;viewpoint="&amp;SUBSTITUTE(X383," ",""),"Abrir Street View"))</f>
        <v/>
      </c>
    </row>
    <row r="384">
      <c r="H384" s="6" t="n"/>
      <c r="I384" s="6" t="n"/>
      <c r="M384" s="7" t="n"/>
      <c r="N384" s="7" t="n"/>
      <c r="O384" s="7" t="n"/>
      <c r="P384" s="8">
        <f>IF(NOT(ISNUMBER(M384)),"",IF(G384="Terreno",IF(AND(ISNUMBER(I384),I384&gt;0),M384/I384,""),IF(AND(ISNUMBER(H384),H384&gt;0),M384/H384,"")))</f>
        <v/>
      </c>
      <c r="Q384" s="9">
        <f>IF(AND(ISNUMBER(M384),ISNUMBER(O384)),IF(M384&lt;=O384,"Valor ≤ venal IPTU",""),"")</f>
        <v/>
      </c>
      <c r="R384" s="10" t="n"/>
      <c r="S384" s="10" t="n"/>
      <c r="AA384" s="10" t="n"/>
      <c r="AB384" s="11">
        <f>IF(LEN(TRIM(X384))=0,"",HYPERLINK("https://www.google.com/maps/@?api=1&amp;map_action=pano&amp;viewpoint="&amp;SUBSTITUTE(X384," ",""),"Abrir Street View"))</f>
        <v/>
      </c>
    </row>
    <row r="385">
      <c r="H385" s="6" t="n"/>
      <c r="I385" s="6" t="n"/>
      <c r="M385" s="7" t="n"/>
      <c r="N385" s="7" t="n"/>
      <c r="O385" s="7" t="n"/>
      <c r="P385" s="8">
        <f>IF(NOT(ISNUMBER(M385)),"",IF(G385="Terreno",IF(AND(ISNUMBER(I385),I385&gt;0),M385/I385,""),IF(AND(ISNUMBER(H385),H385&gt;0),M385/H385,"")))</f>
        <v/>
      </c>
      <c r="Q385" s="9">
        <f>IF(AND(ISNUMBER(M385),ISNUMBER(O385)),IF(M385&lt;=O385,"Valor ≤ venal IPTU",""),"")</f>
        <v/>
      </c>
      <c r="R385" s="10" t="n"/>
      <c r="S385" s="10" t="n"/>
      <c r="AA385" s="10" t="n"/>
      <c r="AB385" s="11">
        <f>IF(LEN(TRIM(X385))=0,"",HYPERLINK("https://www.google.com/maps/@?api=1&amp;map_action=pano&amp;viewpoint="&amp;SUBSTITUTE(X385," ",""),"Abrir Street View"))</f>
        <v/>
      </c>
    </row>
    <row r="386">
      <c r="H386" s="6" t="n"/>
      <c r="I386" s="6" t="n"/>
      <c r="M386" s="7" t="n"/>
      <c r="N386" s="7" t="n"/>
      <c r="O386" s="7" t="n"/>
      <c r="P386" s="8">
        <f>IF(NOT(ISNUMBER(M386)),"",IF(G386="Terreno",IF(AND(ISNUMBER(I386),I386&gt;0),M386/I386,""),IF(AND(ISNUMBER(H386),H386&gt;0),M386/H386,"")))</f>
        <v/>
      </c>
      <c r="Q386" s="9">
        <f>IF(AND(ISNUMBER(M386),ISNUMBER(O386)),IF(M386&lt;=O386,"Valor ≤ venal IPTU",""),"")</f>
        <v/>
      </c>
      <c r="R386" s="10" t="n"/>
      <c r="S386" s="10" t="n"/>
      <c r="AA386" s="10" t="n"/>
      <c r="AB386" s="11">
        <f>IF(LEN(TRIM(X386))=0,"",HYPERLINK("https://www.google.com/maps/@?api=1&amp;map_action=pano&amp;viewpoint="&amp;SUBSTITUTE(X386," ",""),"Abrir Street View"))</f>
        <v/>
      </c>
    </row>
    <row r="387">
      <c r="H387" s="6" t="n"/>
      <c r="I387" s="6" t="n"/>
      <c r="M387" s="7" t="n"/>
      <c r="N387" s="7" t="n"/>
      <c r="O387" s="7" t="n"/>
      <c r="P387" s="8">
        <f>IF(NOT(ISNUMBER(M387)),"",IF(G387="Terreno",IF(AND(ISNUMBER(I387),I387&gt;0),M387/I387,""),IF(AND(ISNUMBER(H387),H387&gt;0),M387/H387,"")))</f>
        <v/>
      </c>
      <c r="Q387" s="9">
        <f>IF(AND(ISNUMBER(M387),ISNUMBER(O387)),IF(M387&lt;=O387,"Valor ≤ venal IPTU",""),"")</f>
        <v/>
      </c>
      <c r="R387" s="10" t="n"/>
      <c r="S387" s="10" t="n"/>
      <c r="AA387" s="10" t="n"/>
      <c r="AB387" s="11">
        <f>IF(LEN(TRIM(X387))=0,"",HYPERLINK("https://www.google.com/maps/@?api=1&amp;map_action=pano&amp;viewpoint="&amp;SUBSTITUTE(X387," ",""),"Abrir Street View"))</f>
        <v/>
      </c>
    </row>
    <row r="388">
      <c r="H388" s="6" t="n"/>
      <c r="I388" s="6" t="n"/>
      <c r="M388" s="7" t="n"/>
      <c r="N388" s="7" t="n"/>
      <c r="O388" s="7" t="n"/>
      <c r="P388" s="8">
        <f>IF(NOT(ISNUMBER(M388)),"",IF(G388="Terreno",IF(AND(ISNUMBER(I388),I388&gt;0),M388/I388,""),IF(AND(ISNUMBER(H388),H388&gt;0),M388/H388,"")))</f>
        <v/>
      </c>
      <c r="Q388" s="9">
        <f>IF(AND(ISNUMBER(M388),ISNUMBER(O388)),IF(M388&lt;=O388,"Valor ≤ venal IPTU",""),"")</f>
        <v/>
      </c>
      <c r="R388" s="10" t="n"/>
      <c r="S388" s="10" t="n"/>
      <c r="AA388" s="10" t="n"/>
      <c r="AB388" s="11">
        <f>IF(LEN(TRIM(X388))=0,"",HYPERLINK("https://www.google.com/maps/@?api=1&amp;map_action=pano&amp;viewpoint="&amp;SUBSTITUTE(X388," ",""),"Abrir Street View"))</f>
        <v/>
      </c>
    </row>
    <row r="389">
      <c r="H389" s="6" t="n"/>
      <c r="I389" s="6" t="n"/>
      <c r="M389" s="7" t="n"/>
      <c r="N389" s="7" t="n"/>
      <c r="O389" s="7" t="n"/>
      <c r="P389" s="8">
        <f>IF(NOT(ISNUMBER(M389)),"",IF(G389="Terreno",IF(AND(ISNUMBER(I389),I389&gt;0),M389/I389,""),IF(AND(ISNUMBER(H389),H389&gt;0),M389/H389,"")))</f>
        <v/>
      </c>
      <c r="Q389" s="9">
        <f>IF(AND(ISNUMBER(M389),ISNUMBER(O389)),IF(M389&lt;=O389,"Valor ≤ venal IPTU",""),"")</f>
        <v/>
      </c>
      <c r="R389" s="10" t="n"/>
      <c r="S389" s="10" t="n"/>
      <c r="AA389" s="10" t="n"/>
      <c r="AB389" s="11">
        <f>IF(LEN(TRIM(X389))=0,"",HYPERLINK("https://www.google.com/maps/@?api=1&amp;map_action=pano&amp;viewpoint="&amp;SUBSTITUTE(X389," ",""),"Abrir Street View"))</f>
        <v/>
      </c>
    </row>
    <row r="390">
      <c r="H390" s="6" t="n"/>
      <c r="I390" s="6" t="n"/>
      <c r="M390" s="7" t="n"/>
      <c r="N390" s="7" t="n"/>
      <c r="O390" s="7" t="n"/>
      <c r="P390" s="8">
        <f>IF(NOT(ISNUMBER(M390)),"",IF(G390="Terreno",IF(AND(ISNUMBER(I390),I390&gt;0),M390/I390,""),IF(AND(ISNUMBER(H390),H390&gt;0),M390/H390,"")))</f>
        <v/>
      </c>
      <c r="Q390" s="9">
        <f>IF(AND(ISNUMBER(M390),ISNUMBER(O390)),IF(M390&lt;=O390,"Valor ≤ venal IPTU",""),"")</f>
        <v/>
      </c>
      <c r="R390" s="10" t="n"/>
      <c r="S390" s="10" t="n"/>
      <c r="AA390" s="10" t="n"/>
      <c r="AB390" s="11">
        <f>IF(LEN(TRIM(X390))=0,"",HYPERLINK("https://www.google.com/maps/@?api=1&amp;map_action=pano&amp;viewpoint="&amp;SUBSTITUTE(X390," ",""),"Abrir Street View"))</f>
        <v/>
      </c>
    </row>
    <row r="391">
      <c r="H391" s="6" t="n"/>
      <c r="I391" s="6" t="n"/>
      <c r="M391" s="7" t="n"/>
      <c r="N391" s="7" t="n"/>
      <c r="O391" s="7" t="n"/>
      <c r="P391" s="8">
        <f>IF(NOT(ISNUMBER(M391)),"",IF(G391="Terreno",IF(AND(ISNUMBER(I391),I391&gt;0),M391/I391,""),IF(AND(ISNUMBER(H391),H391&gt;0),M391/H391,"")))</f>
        <v/>
      </c>
      <c r="Q391" s="9">
        <f>IF(AND(ISNUMBER(M391),ISNUMBER(O391)),IF(M391&lt;=O391,"Valor ≤ venal IPTU",""),"")</f>
        <v/>
      </c>
      <c r="R391" s="10" t="n"/>
      <c r="S391" s="10" t="n"/>
      <c r="AA391" s="10" t="n"/>
      <c r="AB391" s="11">
        <f>IF(LEN(TRIM(X391))=0,"",HYPERLINK("https://www.google.com/maps/@?api=1&amp;map_action=pano&amp;viewpoint="&amp;SUBSTITUTE(X391," ",""),"Abrir Street View"))</f>
        <v/>
      </c>
    </row>
    <row r="392">
      <c r="H392" s="6" t="n"/>
      <c r="I392" s="6" t="n"/>
      <c r="M392" s="7" t="n"/>
      <c r="N392" s="7" t="n"/>
      <c r="O392" s="7" t="n"/>
      <c r="P392" s="8">
        <f>IF(NOT(ISNUMBER(M392)),"",IF(G392="Terreno",IF(AND(ISNUMBER(I392),I392&gt;0),M392/I392,""),IF(AND(ISNUMBER(H392),H392&gt;0),M392/H392,"")))</f>
        <v/>
      </c>
      <c r="Q392" s="9">
        <f>IF(AND(ISNUMBER(M392),ISNUMBER(O392)),IF(M392&lt;=O392,"Valor ≤ venal IPTU",""),"")</f>
        <v/>
      </c>
      <c r="R392" s="10" t="n"/>
      <c r="S392" s="10" t="n"/>
      <c r="AA392" s="10" t="n"/>
      <c r="AB392" s="11">
        <f>IF(LEN(TRIM(X392))=0,"",HYPERLINK("https://www.google.com/maps/@?api=1&amp;map_action=pano&amp;viewpoint="&amp;SUBSTITUTE(X392," ",""),"Abrir Street View"))</f>
        <v/>
      </c>
    </row>
    <row r="393">
      <c r="H393" s="6" t="n"/>
      <c r="I393" s="6" t="n"/>
      <c r="M393" s="7" t="n"/>
      <c r="N393" s="7" t="n"/>
      <c r="O393" s="7" t="n"/>
      <c r="P393" s="8">
        <f>IF(NOT(ISNUMBER(M393)),"",IF(G393="Terreno",IF(AND(ISNUMBER(I393),I393&gt;0),M393/I393,""),IF(AND(ISNUMBER(H393),H393&gt;0),M393/H393,"")))</f>
        <v/>
      </c>
      <c r="Q393" s="9">
        <f>IF(AND(ISNUMBER(M393),ISNUMBER(O393)),IF(M393&lt;=O393,"Valor ≤ venal IPTU",""),"")</f>
        <v/>
      </c>
      <c r="R393" s="10" t="n"/>
      <c r="S393" s="10" t="n"/>
      <c r="AA393" s="10" t="n"/>
      <c r="AB393" s="11">
        <f>IF(LEN(TRIM(X393))=0,"",HYPERLINK("https://www.google.com/maps/@?api=1&amp;map_action=pano&amp;viewpoint="&amp;SUBSTITUTE(X393," ",""),"Abrir Street View"))</f>
        <v/>
      </c>
    </row>
    <row r="394">
      <c r="H394" s="6" t="n"/>
      <c r="I394" s="6" t="n"/>
      <c r="M394" s="7" t="n"/>
      <c r="N394" s="7" t="n"/>
      <c r="O394" s="7" t="n"/>
      <c r="P394" s="8">
        <f>IF(NOT(ISNUMBER(M394)),"",IF(G394="Terreno",IF(AND(ISNUMBER(I394),I394&gt;0),M394/I394,""),IF(AND(ISNUMBER(H394),H394&gt;0),M394/H394,"")))</f>
        <v/>
      </c>
      <c r="Q394" s="9">
        <f>IF(AND(ISNUMBER(M394),ISNUMBER(O394)),IF(M394&lt;=O394,"Valor ≤ venal IPTU",""),"")</f>
        <v/>
      </c>
      <c r="R394" s="10" t="n"/>
      <c r="S394" s="10" t="n"/>
      <c r="AA394" s="10" t="n"/>
      <c r="AB394" s="11">
        <f>IF(LEN(TRIM(X394))=0,"",HYPERLINK("https://www.google.com/maps/@?api=1&amp;map_action=pano&amp;viewpoint="&amp;SUBSTITUTE(X394," ",""),"Abrir Street View"))</f>
        <v/>
      </c>
    </row>
    <row r="395">
      <c r="H395" s="6" t="n"/>
      <c r="I395" s="6" t="n"/>
      <c r="M395" s="7" t="n"/>
      <c r="N395" s="7" t="n"/>
      <c r="O395" s="7" t="n"/>
      <c r="P395" s="8">
        <f>IF(NOT(ISNUMBER(M395)),"",IF(G395="Terreno",IF(AND(ISNUMBER(I395),I395&gt;0),M395/I395,""),IF(AND(ISNUMBER(H395),H395&gt;0),M395/H395,"")))</f>
        <v/>
      </c>
      <c r="Q395" s="9">
        <f>IF(AND(ISNUMBER(M395),ISNUMBER(O395)),IF(M395&lt;=O395,"Valor ≤ venal IPTU",""),"")</f>
        <v/>
      </c>
      <c r="R395" s="10" t="n"/>
      <c r="S395" s="10" t="n"/>
      <c r="AA395" s="10" t="n"/>
      <c r="AB395" s="11">
        <f>IF(LEN(TRIM(X395))=0,"",HYPERLINK("https://www.google.com/maps/@?api=1&amp;map_action=pano&amp;viewpoint="&amp;SUBSTITUTE(X395," ",""),"Abrir Street View"))</f>
        <v/>
      </c>
    </row>
    <row r="396">
      <c r="H396" s="6" t="n"/>
      <c r="I396" s="6" t="n"/>
      <c r="M396" s="7" t="n"/>
      <c r="N396" s="7" t="n"/>
      <c r="O396" s="7" t="n"/>
      <c r="P396" s="8">
        <f>IF(NOT(ISNUMBER(M396)),"",IF(G396="Terreno",IF(AND(ISNUMBER(I396),I396&gt;0),M396/I396,""),IF(AND(ISNUMBER(H396),H396&gt;0),M396/H396,"")))</f>
        <v/>
      </c>
      <c r="Q396" s="9">
        <f>IF(AND(ISNUMBER(M396),ISNUMBER(O396)),IF(M396&lt;=O396,"Valor ≤ venal IPTU",""),"")</f>
        <v/>
      </c>
      <c r="R396" s="10" t="n"/>
      <c r="S396" s="10" t="n"/>
      <c r="AA396" s="10" t="n"/>
      <c r="AB396" s="11">
        <f>IF(LEN(TRIM(X396))=0,"",HYPERLINK("https://www.google.com/maps/@?api=1&amp;map_action=pano&amp;viewpoint="&amp;SUBSTITUTE(X396," ",""),"Abrir Street View"))</f>
        <v/>
      </c>
    </row>
    <row r="397">
      <c r="H397" s="6" t="n"/>
      <c r="I397" s="6" t="n"/>
      <c r="M397" s="7" t="n"/>
      <c r="N397" s="7" t="n"/>
      <c r="O397" s="7" t="n"/>
      <c r="P397" s="8">
        <f>IF(NOT(ISNUMBER(M397)),"",IF(G397="Terreno",IF(AND(ISNUMBER(I397),I397&gt;0),M397/I397,""),IF(AND(ISNUMBER(H397),H397&gt;0),M397/H397,"")))</f>
        <v/>
      </c>
      <c r="Q397" s="9">
        <f>IF(AND(ISNUMBER(M397),ISNUMBER(O397)),IF(M397&lt;=O397,"Valor ≤ venal IPTU",""),"")</f>
        <v/>
      </c>
      <c r="R397" s="10" t="n"/>
      <c r="S397" s="10" t="n"/>
      <c r="AA397" s="10" t="n"/>
      <c r="AB397" s="11">
        <f>IF(LEN(TRIM(X397))=0,"",HYPERLINK("https://www.google.com/maps/@?api=1&amp;map_action=pano&amp;viewpoint="&amp;SUBSTITUTE(X397," ",""),"Abrir Street View"))</f>
        <v/>
      </c>
    </row>
    <row r="398">
      <c r="H398" s="6" t="n"/>
      <c r="I398" s="6" t="n"/>
      <c r="M398" s="7" t="n"/>
      <c r="N398" s="7" t="n"/>
      <c r="O398" s="7" t="n"/>
      <c r="P398" s="8">
        <f>IF(NOT(ISNUMBER(M398)),"",IF(G398="Terreno",IF(AND(ISNUMBER(I398),I398&gt;0),M398/I398,""),IF(AND(ISNUMBER(H398),H398&gt;0),M398/H398,"")))</f>
        <v/>
      </c>
      <c r="Q398" s="9">
        <f>IF(AND(ISNUMBER(M398),ISNUMBER(O398)),IF(M398&lt;=O398,"Valor ≤ venal IPTU",""),"")</f>
        <v/>
      </c>
      <c r="R398" s="10" t="n"/>
      <c r="S398" s="10" t="n"/>
      <c r="AA398" s="10" t="n"/>
      <c r="AB398" s="11">
        <f>IF(LEN(TRIM(X398))=0,"",HYPERLINK("https://www.google.com/maps/@?api=1&amp;map_action=pano&amp;viewpoint="&amp;SUBSTITUTE(X398," ",""),"Abrir Street View"))</f>
        <v/>
      </c>
    </row>
    <row r="399">
      <c r="H399" s="6" t="n"/>
      <c r="I399" s="6" t="n"/>
      <c r="M399" s="7" t="n"/>
      <c r="N399" s="7" t="n"/>
      <c r="O399" s="7" t="n"/>
      <c r="P399" s="8">
        <f>IF(NOT(ISNUMBER(M399)),"",IF(G399="Terreno",IF(AND(ISNUMBER(I399),I399&gt;0),M399/I399,""),IF(AND(ISNUMBER(H399),H399&gt;0),M399/H399,"")))</f>
        <v/>
      </c>
      <c r="Q399" s="9">
        <f>IF(AND(ISNUMBER(M399),ISNUMBER(O399)),IF(M399&lt;=O399,"Valor ≤ venal IPTU",""),"")</f>
        <v/>
      </c>
      <c r="R399" s="10" t="n"/>
      <c r="S399" s="10" t="n"/>
      <c r="AA399" s="10" t="n"/>
      <c r="AB399" s="11">
        <f>IF(LEN(TRIM(X399))=0,"",HYPERLINK("https://www.google.com/maps/@?api=1&amp;map_action=pano&amp;viewpoint="&amp;SUBSTITUTE(X399," ",""),"Abrir Street View"))</f>
        <v/>
      </c>
    </row>
    <row r="400">
      <c r="H400" s="6" t="n"/>
      <c r="I400" s="6" t="n"/>
      <c r="M400" s="7" t="n"/>
      <c r="N400" s="7" t="n"/>
      <c r="O400" s="7" t="n"/>
      <c r="P400" s="8">
        <f>IF(NOT(ISNUMBER(M400)),"",IF(G400="Terreno",IF(AND(ISNUMBER(I400),I400&gt;0),M400/I400,""),IF(AND(ISNUMBER(H400),H400&gt;0),M400/H400,"")))</f>
        <v/>
      </c>
      <c r="Q400" s="9">
        <f>IF(AND(ISNUMBER(M400),ISNUMBER(O400)),IF(M400&lt;=O400,"Valor ≤ venal IPTU",""),"")</f>
        <v/>
      </c>
      <c r="R400" s="10" t="n"/>
      <c r="S400" s="10" t="n"/>
      <c r="AA400" s="10" t="n"/>
      <c r="AB400" s="11">
        <f>IF(LEN(TRIM(X400))=0,"",HYPERLINK("https://www.google.com/maps/@?api=1&amp;map_action=pano&amp;viewpoint="&amp;SUBSTITUTE(X400," ",""),"Abrir Street View"))</f>
        <v/>
      </c>
    </row>
    <row r="401">
      <c r="H401" s="6" t="n"/>
      <c r="I401" s="6" t="n"/>
      <c r="M401" s="7" t="n"/>
      <c r="N401" s="7" t="n"/>
      <c r="O401" s="7" t="n"/>
      <c r="P401" s="8">
        <f>IF(NOT(ISNUMBER(M401)),"",IF(G401="Terreno",IF(AND(ISNUMBER(I401),I401&gt;0),M401/I401,""),IF(AND(ISNUMBER(H401),H401&gt;0),M401/H401,"")))</f>
        <v/>
      </c>
      <c r="Q401" s="9">
        <f>IF(AND(ISNUMBER(M401),ISNUMBER(O401)),IF(M401&lt;=O401,"Valor ≤ venal IPTU",""),"")</f>
        <v/>
      </c>
      <c r="R401" s="10" t="n"/>
      <c r="S401" s="10" t="n"/>
      <c r="AA401" s="10" t="n"/>
      <c r="AB401" s="11">
        <f>IF(LEN(TRIM(X401))=0,"",HYPERLINK("https://www.google.com/maps/@?api=1&amp;map_action=pano&amp;viewpoint="&amp;SUBSTITUTE(X401," ",""),"Abrir Street View"))</f>
        <v/>
      </c>
    </row>
    <row r="402">
      <c r="H402" s="6" t="n"/>
      <c r="I402" s="6" t="n"/>
      <c r="M402" s="7" t="n"/>
      <c r="N402" s="7" t="n"/>
      <c r="O402" s="7" t="n"/>
      <c r="P402" s="8">
        <f>IF(NOT(ISNUMBER(M402)),"",IF(G402="Terreno",IF(AND(ISNUMBER(I402),I402&gt;0),M402/I402,""),IF(AND(ISNUMBER(H402),H402&gt;0),M402/H402,"")))</f>
        <v/>
      </c>
      <c r="Q402" s="9">
        <f>IF(AND(ISNUMBER(M402),ISNUMBER(O402)),IF(M402&lt;=O402,"Valor ≤ venal IPTU",""),"")</f>
        <v/>
      </c>
      <c r="R402" s="10" t="n"/>
      <c r="S402" s="10" t="n"/>
      <c r="AA402" s="10" t="n"/>
      <c r="AB402" s="11">
        <f>IF(LEN(TRIM(X402))=0,"",HYPERLINK("https://www.google.com/maps/@?api=1&amp;map_action=pano&amp;viewpoint="&amp;SUBSTITUTE(X402," ",""),"Abrir Street View"))</f>
        <v/>
      </c>
    </row>
    <row r="403">
      <c r="H403" s="6" t="n"/>
      <c r="I403" s="6" t="n"/>
      <c r="M403" s="7" t="n"/>
      <c r="N403" s="7" t="n"/>
      <c r="O403" s="7" t="n"/>
      <c r="P403" s="8">
        <f>IF(NOT(ISNUMBER(M403)),"",IF(G403="Terreno",IF(AND(ISNUMBER(I403),I403&gt;0),M403/I403,""),IF(AND(ISNUMBER(H403),H403&gt;0),M403/H403,"")))</f>
        <v/>
      </c>
      <c r="Q403" s="9">
        <f>IF(AND(ISNUMBER(M403),ISNUMBER(O403)),IF(M403&lt;=O403,"Valor ≤ venal IPTU",""),"")</f>
        <v/>
      </c>
      <c r="R403" s="10" t="n"/>
      <c r="S403" s="10" t="n"/>
      <c r="AA403" s="10" t="n"/>
      <c r="AB403" s="11">
        <f>IF(LEN(TRIM(X403))=0,"",HYPERLINK("https://www.google.com/maps/@?api=1&amp;map_action=pano&amp;viewpoint="&amp;SUBSTITUTE(X403," ",""),"Abrir Street View"))</f>
        <v/>
      </c>
    </row>
    <row r="404">
      <c r="H404" s="6" t="n"/>
      <c r="I404" s="6" t="n"/>
      <c r="M404" s="7" t="n"/>
      <c r="N404" s="7" t="n"/>
      <c r="O404" s="7" t="n"/>
      <c r="P404" s="8">
        <f>IF(NOT(ISNUMBER(M404)),"",IF(G404="Terreno",IF(AND(ISNUMBER(I404),I404&gt;0),M404/I404,""),IF(AND(ISNUMBER(H404),H404&gt;0),M404/H404,"")))</f>
        <v/>
      </c>
      <c r="Q404" s="9">
        <f>IF(AND(ISNUMBER(M404),ISNUMBER(O404)),IF(M404&lt;=O404,"Valor ≤ venal IPTU",""),"")</f>
        <v/>
      </c>
      <c r="R404" s="10" t="n"/>
      <c r="S404" s="10" t="n"/>
      <c r="AA404" s="10" t="n"/>
      <c r="AB404" s="11">
        <f>IF(LEN(TRIM(X404))=0,"",HYPERLINK("https://www.google.com/maps/@?api=1&amp;map_action=pano&amp;viewpoint="&amp;SUBSTITUTE(X404," ",""),"Abrir Street View"))</f>
        <v/>
      </c>
    </row>
    <row r="405">
      <c r="H405" s="6" t="n"/>
      <c r="I405" s="6" t="n"/>
      <c r="M405" s="7" t="n"/>
      <c r="N405" s="7" t="n"/>
      <c r="O405" s="7" t="n"/>
      <c r="P405" s="8">
        <f>IF(NOT(ISNUMBER(M405)),"",IF(G405="Terreno",IF(AND(ISNUMBER(I405),I405&gt;0),M405/I405,""),IF(AND(ISNUMBER(H405),H405&gt;0),M405/H405,"")))</f>
        <v/>
      </c>
      <c r="Q405" s="9">
        <f>IF(AND(ISNUMBER(M405),ISNUMBER(O405)),IF(M405&lt;=O405,"Valor ≤ venal IPTU",""),"")</f>
        <v/>
      </c>
      <c r="R405" s="10" t="n"/>
      <c r="S405" s="10" t="n"/>
      <c r="AA405" s="10" t="n"/>
      <c r="AB405" s="11">
        <f>IF(LEN(TRIM(X405))=0,"",HYPERLINK("https://www.google.com/maps/@?api=1&amp;map_action=pano&amp;viewpoint="&amp;SUBSTITUTE(X405," ",""),"Abrir Street View"))</f>
        <v/>
      </c>
    </row>
    <row r="406">
      <c r="H406" s="6" t="n"/>
      <c r="I406" s="6" t="n"/>
      <c r="M406" s="7" t="n"/>
      <c r="N406" s="7" t="n"/>
      <c r="O406" s="7" t="n"/>
      <c r="P406" s="8">
        <f>IF(NOT(ISNUMBER(M406)),"",IF(G406="Terreno",IF(AND(ISNUMBER(I406),I406&gt;0),M406/I406,""),IF(AND(ISNUMBER(H406),H406&gt;0),M406/H406,"")))</f>
        <v/>
      </c>
      <c r="Q406" s="9">
        <f>IF(AND(ISNUMBER(M406),ISNUMBER(O406)),IF(M406&lt;=O406,"Valor ≤ venal IPTU",""),"")</f>
        <v/>
      </c>
      <c r="R406" s="10" t="n"/>
      <c r="S406" s="10" t="n"/>
      <c r="AA406" s="10" t="n"/>
      <c r="AB406" s="11">
        <f>IF(LEN(TRIM(X406))=0,"",HYPERLINK("https://www.google.com/maps/@?api=1&amp;map_action=pano&amp;viewpoint="&amp;SUBSTITUTE(X406," ",""),"Abrir Street View"))</f>
        <v/>
      </c>
    </row>
    <row r="407">
      <c r="H407" s="6" t="n"/>
      <c r="I407" s="6" t="n"/>
      <c r="M407" s="7" t="n"/>
      <c r="N407" s="7" t="n"/>
      <c r="O407" s="7" t="n"/>
      <c r="P407" s="8">
        <f>IF(NOT(ISNUMBER(M407)),"",IF(G407="Terreno",IF(AND(ISNUMBER(I407),I407&gt;0),M407/I407,""),IF(AND(ISNUMBER(H407),H407&gt;0),M407/H407,"")))</f>
        <v/>
      </c>
      <c r="Q407" s="9">
        <f>IF(AND(ISNUMBER(M407),ISNUMBER(O407)),IF(M407&lt;=O407,"Valor ≤ venal IPTU",""),"")</f>
        <v/>
      </c>
      <c r="R407" s="10" t="n"/>
      <c r="S407" s="10" t="n"/>
      <c r="AA407" s="10" t="n"/>
      <c r="AB407" s="11">
        <f>IF(LEN(TRIM(X407))=0,"",HYPERLINK("https://www.google.com/maps/@?api=1&amp;map_action=pano&amp;viewpoint="&amp;SUBSTITUTE(X407," ",""),"Abrir Street View"))</f>
        <v/>
      </c>
    </row>
    <row r="408">
      <c r="H408" s="6" t="n"/>
      <c r="I408" s="6" t="n"/>
      <c r="M408" s="7" t="n"/>
      <c r="N408" s="7" t="n"/>
      <c r="O408" s="7" t="n"/>
      <c r="P408" s="8">
        <f>IF(NOT(ISNUMBER(M408)),"",IF(G408="Terreno",IF(AND(ISNUMBER(I408),I408&gt;0),M408/I408,""),IF(AND(ISNUMBER(H408),H408&gt;0),M408/H408,"")))</f>
        <v/>
      </c>
      <c r="Q408" s="9">
        <f>IF(AND(ISNUMBER(M408),ISNUMBER(O408)),IF(M408&lt;=O408,"Valor ≤ venal IPTU",""),"")</f>
        <v/>
      </c>
      <c r="R408" s="10" t="n"/>
      <c r="S408" s="10" t="n"/>
      <c r="AA408" s="10" t="n"/>
      <c r="AB408" s="11">
        <f>IF(LEN(TRIM(X408))=0,"",HYPERLINK("https://www.google.com/maps/@?api=1&amp;map_action=pano&amp;viewpoint="&amp;SUBSTITUTE(X408," ",""),"Abrir Street View"))</f>
        <v/>
      </c>
    </row>
    <row r="409">
      <c r="H409" s="6" t="n"/>
      <c r="I409" s="6" t="n"/>
      <c r="M409" s="7" t="n"/>
      <c r="N409" s="7" t="n"/>
      <c r="O409" s="7" t="n"/>
      <c r="P409" s="8">
        <f>IF(NOT(ISNUMBER(M409)),"",IF(G409="Terreno",IF(AND(ISNUMBER(I409),I409&gt;0),M409/I409,""),IF(AND(ISNUMBER(H409),H409&gt;0),M409/H409,"")))</f>
        <v/>
      </c>
      <c r="Q409" s="9">
        <f>IF(AND(ISNUMBER(M409),ISNUMBER(O409)),IF(M409&lt;=O409,"Valor ≤ venal IPTU",""),"")</f>
        <v/>
      </c>
      <c r="R409" s="10" t="n"/>
      <c r="S409" s="10" t="n"/>
      <c r="AA409" s="10" t="n"/>
      <c r="AB409" s="11">
        <f>IF(LEN(TRIM(X409))=0,"",HYPERLINK("https://www.google.com/maps/@?api=1&amp;map_action=pano&amp;viewpoint="&amp;SUBSTITUTE(X409," ",""),"Abrir Street View"))</f>
        <v/>
      </c>
    </row>
    <row r="410">
      <c r="H410" s="6" t="n"/>
      <c r="I410" s="6" t="n"/>
      <c r="M410" s="7" t="n"/>
      <c r="N410" s="7" t="n"/>
      <c r="O410" s="7" t="n"/>
      <c r="P410" s="8">
        <f>IF(NOT(ISNUMBER(M410)),"",IF(G410="Terreno",IF(AND(ISNUMBER(I410),I410&gt;0),M410/I410,""),IF(AND(ISNUMBER(H410),H410&gt;0),M410/H410,"")))</f>
        <v/>
      </c>
      <c r="Q410" s="9">
        <f>IF(AND(ISNUMBER(M410),ISNUMBER(O410)),IF(M410&lt;=O410,"Valor ≤ venal IPTU",""),"")</f>
        <v/>
      </c>
      <c r="R410" s="10" t="n"/>
      <c r="S410" s="10" t="n"/>
      <c r="AA410" s="10" t="n"/>
      <c r="AB410" s="11">
        <f>IF(LEN(TRIM(X410))=0,"",HYPERLINK("https://www.google.com/maps/@?api=1&amp;map_action=pano&amp;viewpoint="&amp;SUBSTITUTE(X410," ",""),"Abrir Street View"))</f>
        <v/>
      </c>
    </row>
    <row r="411">
      <c r="H411" s="6" t="n"/>
      <c r="I411" s="6" t="n"/>
      <c r="M411" s="7" t="n"/>
      <c r="N411" s="7" t="n"/>
      <c r="O411" s="7" t="n"/>
      <c r="P411" s="8">
        <f>IF(NOT(ISNUMBER(M411)),"",IF(G411="Terreno",IF(AND(ISNUMBER(I411),I411&gt;0),M411/I411,""),IF(AND(ISNUMBER(H411),H411&gt;0),M411/H411,"")))</f>
        <v/>
      </c>
      <c r="Q411" s="9">
        <f>IF(AND(ISNUMBER(M411),ISNUMBER(O411)),IF(M411&lt;=O411,"Valor ≤ venal IPTU",""),"")</f>
        <v/>
      </c>
      <c r="R411" s="10" t="n"/>
      <c r="S411" s="10" t="n"/>
      <c r="AA411" s="10" t="n"/>
      <c r="AB411" s="11">
        <f>IF(LEN(TRIM(X411))=0,"",HYPERLINK("https://www.google.com/maps/@?api=1&amp;map_action=pano&amp;viewpoint="&amp;SUBSTITUTE(X411," ",""),"Abrir Street View"))</f>
        <v/>
      </c>
    </row>
    <row r="412">
      <c r="H412" s="6" t="n"/>
      <c r="I412" s="6" t="n"/>
      <c r="M412" s="7" t="n"/>
      <c r="N412" s="7" t="n"/>
      <c r="O412" s="7" t="n"/>
      <c r="P412" s="8">
        <f>IF(NOT(ISNUMBER(M412)),"",IF(G412="Terreno",IF(AND(ISNUMBER(I412),I412&gt;0),M412/I412,""),IF(AND(ISNUMBER(H412),H412&gt;0),M412/H412,"")))</f>
        <v/>
      </c>
      <c r="Q412" s="9">
        <f>IF(AND(ISNUMBER(M412),ISNUMBER(O412)),IF(M412&lt;=O412,"Valor ≤ venal IPTU",""),"")</f>
        <v/>
      </c>
      <c r="R412" s="10" t="n"/>
      <c r="S412" s="10" t="n"/>
      <c r="AA412" s="10" t="n"/>
      <c r="AB412" s="11">
        <f>IF(LEN(TRIM(X412))=0,"",HYPERLINK("https://www.google.com/maps/@?api=1&amp;map_action=pano&amp;viewpoint="&amp;SUBSTITUTE(X412," ",""),"Abrir Street View"))</f>
        <v/>
      </c>
    </row>
    <row r="413">
      <c r="H413" s="6" t="n"/>
      <c r="I413" s="6" t="n"/>
      <c r="M413" s="7" t="n"/>
      <c r="N413" s="7" t="n"/>
      <c r="O413" s="7" t="n"/>
      <c r="P413" s="8">
        <f>IF(NOT(ISNUMBER(M413)),"",IF(G413="Terreno",IF(AND(ISNUMBER(I413),I413&gt;0),M413/I413,""),IF(AND(ISNUMBER(H413),H413&gt;0),M413/H413,"")))</f>
        <v/>
      </c>
      <c r="Q413" s="9">
        <f>IF(AND(ISNUMBER(M413),ISNUMBER(O413)),IF(M413&lt;=O413,"Valor ≤ venal IPTU",""),"")</f>
        <v/>
      </c>
      <c r="R413" s="10" t="n"/>
      <c r="S413" s="10" t="n"/>
      <c r="AA413" s="10" t="n"/>
      <c r="AB413" s="11">
        <f>IF(LEN(TRIM(X413))=0,"",HYPERLINK("https://www.google.com/maps/@?api=1&amp;map_action=pano&amp;viewpoint="&amp;SUBSTITUTE(X413," ",""),"Abrir Street View"))</f>
        <v/>
      </c>
    </row>
    <row r="414">
      <c r="H414" s="6" t="n"/>
      <c r="I414" s="6" t="n"/>
      <c r="M414" s="7" t="n"/>
      <c r="N414" s="7" t="n"/>
      <c r="O414" s="7" t="n"/>
      <c r="P414" s="8">
        <f>IF(NOT(ISNUMBER(M414)),"",IF(G414="Terreno",IF(AND(ISNUMBER(I414),I414&gt;0),M414/I414,""),IF(AND(ISNUMBER(H414),H414&gt;0),M414/H414,"")))</f>
        <v/>
      </c>
      <c r="Q414" s="9">
        <f>IF(AND(ISNUMBER(M414),ISNUMBER(O414)),IF(M414&lt;=O414,"Valor ≤ venal IPTU",""),"")</f>
        <v/>
      </c>
      <c r="R414" s="10" t="n"/>
      <c r="S414" s="10" t="n"/>
      <c r="AA414" s="10" t="n"/>
      <c r="AB414" s="11">
        <f>IF(LEN(TRIM(X414))=0,"",HYPERLINK("https://www.google.com/maps/@?api=1&amp;map_action=pano&amp;viewpoint="&amp;SUBSTITUTE(X414," ",""),"Abrir Street View"))</f>
        <v/>
      </c>
    </row>
    <row r="415">
      <c r="H415" s="6" t="n"/>
      <c r="I415" s="6" t="n"/>
      <c r="M415" s="7" t="n"/>
      <c r="N415" s="7" t="n"/>
      <c r="O415" s="7" t="n"/>
      <c r="P415" s="8">
        <f>IF(NOT(ISNUMBER(M415)),"",IF(G415="Terreno",IF(AND(ISNUMBER(I415),I415&gt;0),M415/I415,""),IF(AND(ISNUMBER(H415),H415&gt;0),M415/H415,"")))</f>
        <v/>
      </c>
      <c r="Q415" s="9">
        <f>IF(AND(ISNUMBER(M415),ISNUMBER(O415)),IF(M415&lt;=O415,"Valor ≤ venal IPTU",""),"")</f>
        <v/>
      </c>
      <c r="R415" s="10" t="n"/>
      <c r="S415" s="10" t="n"/>
      <c r="AA415" s="10" t="n"/>
      <c r="AB415" s="11">
        <f>IF(LEN(TRIM(X415))=0,"",HYPERLINK("https://www.google.com/maps/@?api=1&amp;map_action=pano&amp;viewpoint="&amp;SUBSTITUTE(X415," ",""),"Abrir Street View"))</f>
        <v/>
      </c>
    </row>
    <row r="416">
      <c r="H416" s="6" t="n"/>
      <c r="I416" s="6" t="n"/>
      <c r="M416" s="7" t="n"/>
      <c r="N416" s="7" t="n"/>
      <c r="O416" s="7" t="n"/>
      <c r="P416" s="8">
        <f>IF(NOT(ISNUMBER(M416)),"",IF(G416="Terreno",IF(AND(ISNUMBER(I416),I416&gt;0),M416/I416,""),IF(AND(ISNUMBER(H416),H416&gt;0),M416/H416,"")))</f>
        <v/>
      </c>
      <c r="Q416" s="9">
        <f>IF(AND(ISNUMBER(M416),ISNUMBER(O416)),IF(M416&lt;=O416,"Valor ≤ venal IPTU",""),"")</f>
        <v/>
      </c>
      <c r="R416" s="10" t="n"/>
      <c r="S416" s="10" t="n"/>
      <c r="AA416" s="10" t="n"/>
      <c r="AB416" s="11">
        <f>IF(LEN(TRIM(X416))=0,"",HYPERLINK("https://www.google.com/maps/@?api=1&amp;map_action=pano&amp;viewpoint="&amp;SUBSTITUTE(X416," ",""),"Abrir Street View"))</f>
        <v/>
      </c>
    </row>
    <row r="417">
      <c r="H417" s="6" t="n"/>
      <c r="I417" s="6" t="n"/>
      <c r="M417" s="7" t="n"/>
      <c r="N417" s="7" t="n"/>
      <c r="O417" s="7" t="n"/>
      <c r="P417" s="8">
        <f>IF(NOT(ISNUMBER(M417)),"",IF(G417="Terreno",IF(AND(ISNUMBER(I417),I417&gt;0),M417/I417,""),IF(AND(ISNUMBER(H417),H417&gt;0),M417/H417,"")))</f>
        <v/>
      </c>
      <c r="Q417" s="9">
        <f>IF(AND(ISNUMBER(M417),ISNUMBER(O417)),IF(M417&lt;=O417,"Valor ≤ venal IPTU",""),"")</f>
        <v/>
      </c>
      <c r="R417" s="10" t="n"/>
      <c r="S417" s="10" t="n"/>
      <c r="AA417" s="10" t="n"/>
      <c r="AB417" s="11">
        <f>IF(LEN(TRIM(X417))=0,"",HYPERLINK("https://www.google.com/maps/@?api=1&amp;map_action=pano&amp;viewpoint="&amp;SUBSTITUTE(X417," ",""),"Abrir Street View"))</f>
        <v/>
      </c>
    </row>
    <row r="418">
      <c r="H418" s="6" t="n"/>
      <c r="I418" s="6" t="n"/>
      <c r="M418" s="7" t="n"/>
      <c r="N418" s="7" t="n"/>
      <c r="O418" s="7" t="n"/>
      <c r="P418" s="8">
        <f>IF(NOT(ISNUMBER(M418)),"",IF(G418="Terreno",IF(AND(ISNUMBER(I418),I418&gt;0),M418/I418,""),IF(AND(ISNUMBER(H418),H418&gt;0),M418/H418,"")))</f>
        <v/>
      </c>
      <c r="Q418" s="9">
        <f>IF(AND(ISNUMBER(M418),ISNUMBER(O418)),IF(M418&lt;=O418,"Valor ≤ venal IPTU",""),"")</f>
        <v/>
      </c>
      <c r="R418" s="10" t="n"/>
      <c r="S418" s="10" t="n"/>
      <c r="AA418" s="10" t="n"/>
      <c r="AB418" s="11">
        <f>IF(LEN(TRIM(X418))=0,"",HYPERLINK("https://www.google.com/maps/@?api=1&amp;map_action=pano&amp;viewpoint="&amp;SUBSTITUTE(X418," ",""),"Abrir Street View"))</f>
        <v/>
      </c>
    </row>
    <row r="419">
      <c r="H419" s="6" t="n"/>
      <c r="I419" s="6" t="n"/>
      <c r="M419" s="7" t="n"/>
      <c r="N419" s="7" t="n"/>
      <c r="O419" s="7" t="n"/>
      <c r="P419" s="8">
        <f>IF(NOT(ISNUMBER(M419)),"",IF(G419="Terreno",IF(AND(ISNUMBER(I419),I419&gt;0),M419/I419,""),IF(AND(ISNUMBER(H419),H419&gt;0),M419/H419,"")))</f>
        <v/>
      </c>
      <c r="Q419" s="9">
        <f>IF(AND(ISNUMBER(M419),ISNUMBER(O419)),IF(M419&lt;=O419,"Valor ≤ venal IPTU",""),"")</f>
        <v/>
      </c>
      <c r="R419" s="10" t="n"/>
      <c r="S419" s="10" t="n"/>
      <c r="AA419" s="10" t="n"/>
      <c r="AB419" s="11">
        <f>IF(LEN(TRIM(X419))=0,"",HYPERLINK("https://www.google.com/maps/@?api=1&amp;map_action=pano&amp;viewpoint="&amp;SUBSTITUTE(X419," ",""),"Abrir Street View"))</f>
        <v/>
      </c>
    </row>
    <row r="420">
      <c r="H420" s="6" t="n"/>
      <c r="I420" s="6" t="n"/>
      <c r="M420" s="7" t="n"/>
      <c r="N420" s="7" t="n"/>
      <c r="O420" s="7" t="n"/>
      <c r="P420" s="8">
        <f>IF(NOT(ISNUMBER(M420)),"",IF(G420="Terreno",IF(AND(ISNUMBER(I420),I420&gt;0),M420/I420,""),IF(AND(ISNUMBER(H420),H420&gt;0),M420/H420,"")))</f>
        <v/>
      </c>
      <c r="Q420" s="9">
        <f>IF(AND(ISNUMBER(M420),ISNUMBER(O420)),IF(M420&lt;=O420,"Valor ≤ venal IPTU",""),"")</f>
        <v/>
      </c>
      <c r="R420" s="10" t="n"/>
      <c r="S420" s="10" t="n"/>
      <c r="AA420" s="10" t="n"/>
      <c r="AB420" s="11">
        <f>IF(LEN(TRIM(X420))=0,"",HYPERLINK("https://www.google.com/maps/@?api=1&amp;map_action=pano&amp;viewpoint="&amp;SUBSTITUTE(X420," ",""),"Abrir Street View"))</f>
        <v/>
      </c>
    </row>
    <row r="421">
      <c r="H421" s="6" t="n"/>
      <c r="I421" s="6" t="n"/>
      <c r="M421" s="7" t="n"/>
      <c r="N421" s="7" t="n"/>
      <c r="O421" s="7" t="n"/>
      <c r="P421" s="8">
        <f>IF(NOT(ISNUMBER(M421)),"",IF(G421="Terreno",IF(AND(ISNUMBER(I421),I421&gt;0),M421/I421,""),IF(AND(ISNUMBER(H421),H421&gt;0),M421/H421,"")))</f>
        <v/>
      </c>
      <c r="Q421" s="9">
        <f>IF(AND(ISNUMBER(M421),ISNUMBER(O421)),IF(M421&lt;=O421,"Valor ≤ venal IPTU",""),"")</f>
        <v/>
      </c>
      <c r="R421" s="10" t="n"/>
      <c r="S421" s="10" t="n"/>
      <c r="AA421" s="10" t="n"/>
      <c r="AB421" s="11">
        <f>IF(LEN(TRIM(X421))=0,"",HYPERLINK("https://www.google.com/maps/@?api=1&amp;map_action=pano&amp;viewpoint="&amp;SUBSTITUTE(X421," ",""),"Abrir Street View"))</f>
        <v/>
      </c>
    </row>
    <row r="422">
      <c r="H422" s="6" t="n"/>
      <c r="I422" s="6" t="n"/>
      <c r="M422" s="7" t="n"/>
      <c r="N422" s="7" t="n"/>
      <c r="O422" s="7" t="n"/>
      <c r="P422" s="8">
        <f>IF(NOT(ISNUMBER(M422)),"",IF(G422="Terreno",IF(AND(ISNUMBER(I422),I422&gt;0),M422/I422,""),IF(AND(ISNUMBER(H422),H422&gt;0),M422/H422,"")))</f>
        <v/>
      </c>
      <c r="Q422" s="9">
        <f>IF(AND(ISNUMBER(M422),ISNUMBER(O422)),IF(M422&lt;=O422,"Valor ≤ venal IPTU",""),"")</f>
        <v/>
      </c>
      <c r="R422" s="10" t="n"/>
      <c r="S422" s="10" t="n"/>
      <c r="AA422" s="10" t="n"/>
      <c r="AB422" s="11">
        <f>IF(LEN(TRIM(X422))=0,"",HYPERLINK("https://www.google.com/maps/@?api=1&amp;map_action=pano&amp;viewpoint="&amp;SUBSTITUTE(X422," ",""),"Abrir Street View"))</f>
        <v/>
      </c>
    </row>
    <row r="423">
      <c r="H423" s="6" t="n"/>
      <c r="I423" s="6" t="n"/>
      <c r="M423" s="7" t="n"/>
      <c r="N423" s="7" t="n"/>
      <c r="O423" s="7" t="n"/>
      <c r="P423" s="8">
        <f>IF(NOT(ISNUMBER(M423)),"",IF(G423="Terreno",IF(AND(ISNUMBER(I423),I423&gt;0),M423/I423,""),IF(AND(ISNUMBER(H423),H423&gt;0),M423/H423,"")))</f>
        <v/>
      </c>
      <c r="Q423" s="9">
        <f>IF(AND(ISNUMBER(M423),ISNUMBER(O423)),IF(M423&lt;=O423,"Valor ≤ venal IPTU",""),"")</f>
        <v/>
      </c>
      <c r="R423" s="10" t="n"/>
      <c r="S423" s="10" t="n"/>
      <c r="AA423" s="10" t="n"/>
      <c r="AB423" s="11">
        <f>IF(LEN(TRIM(X423))=0,"",HYPERLINK("https://www.google.com/maps/@?api=1&amp;map_action=pano&amp;viewpoint="&amp;SUBSTITUTE(X423," ",""),"Abrir Street View"))</f>
        <v/>
      </c>
    </row>
    <row r="424">
      <c r="H424" s="6" t="n"/>
      <c r="I424" s="6" t="n"/>
      <c r="M424" s="7" t="n"/>
      <c r="N424" s="7" t="n"/>
      <c r="O424" s="7" t="n"/>
      <c r="P424" s="8">
        <f>IF(NOT(ISNUMBER(M424)),"",IF(G424="Terreno",IF(AND(ISNUMBER(I424),I424&gt;0),M424/I424,""),IF(AND(ISNUMBER(H424),H424&gt;0),M424/H424,"")))</f>
        <v/>
      </c>
      <c r="Q424" s="9">
        <f>IF(AND(ISNUMBER(M424),ISNUMBER(O424)),IF(M424&lt;=O424,"Valor ≤ venal IPTU",""),"")</f>
        <v/>
      </c>
      <c r="R424" s="10" t="n"/>
      <c r="S424" s="10" t="n"/>
      <c r="AA424" s="10" t="n"/>
      <c r="AB424" s="11">
        <f>IF(LEN(TRIM(X424))=0,"",HYPERLINK("https://www.google.com/maps/@?api=1&amp;map_action=pano&amp;viewpoint="&amp;SUBSTITUTE(X424," ",""),"Abrir Street View"))</f>
        <v/>
      </c>
    </row>
    <row r="425">
      <c r="H425" s="6" t="n"/>
      <c r="I425" s="6" t="n"/>
      <c r="M425" s="7" t="n"/>
      <c r="N425" s="7" t="n"/>
      <c r="O425" s="7" t="n"/>
      <c r="P425" s="8">
        <f>IF(NOT(ISNUMBER(M425)),"",IF(G425="Terreno",IF(AND(ISNUMBER(I425),I425&gt;0),M425/I425,""),IF(AND(ISNUMBER(H425),H425&gt;0),M425/H425,"")))</f>
        <v/>
      </c>
      <c r="Q425" s="9">
        <f>IF(AND(ISNUMBER(M425),ISNUMBER(O425)),IF(M425&lt;=O425,"Valor ≤ venal IPTU",""),"")</f>
        <v/>
      </c>
      <c r="R425" s="10" t="n"/>
      <c r="S425" s="10" t="n"/>
      <c r="AA425" s="10" t="n"/>
      <c r="AB425" s="11">
        <f>IF(LEN(TRIM(X425))=0,"",HYPERLINK("https://www.google.com/maps/@?api=1&amp;map_action=pano&amp;viewpoint="&amp;SUBSTITUTE(X425," ",""),"Abrir Street View"))</f>
        <v/>
      </c>
    </row>
    <row r="426">
      <c r="H426" s="6" t="n"/>
      <c r="I426" s="6" t="n"/>
      <c r="M426" s="7" t="n"/>
      <c r="N426" s="7" t="n"/>
      <c r="O426" s="7" t="n"/>
      <c r="P426" s="8">
        <f>IF(NOT(ISNUMBER(M426)),"",IF(G426="Terreno",IF(AND(ISNUMBER(I426),I426&gt;0),M426/I426,""),IF(AND(ISNUMBER(H426),H426&gt;0),M426/H426,"")))</f>
        <v/>
      </c>
      <c r="Q426" s="9">
        <f>IF(AND(ISNUMBER(M426),ISNUMBER(O426)),IF(M426&lt;=O426,"Valor ≤ venal IPTU",""),"")</f>
        <v/>
      </c>
      <c r="R426" s="10" t="n"/>
      <c r="S426" s="10" t="n"/>
      <c r="AA426" s="10" t="n"/>
      <c r="AB426" s="11">
        <f>IF(LEN(TRIM(X426))=0,"",HYPERLINK("https://www.google.com/maps/@?api=1&amp;map_action=pano&amp;viewpoint="&amp;SUBSTITUTE(X426," ",""),"Abrir Street View"))</f>
        <v/>
      </c>
    </row>
    <row r="427">
      <c r="H427" s="6" t="n"/>
      <c r="I427" s="6" t="n"/>
      <c r="M427" s="7" t="n"/>
      <c r="N427" s="7" t="n"/>
      <c r="O427" s="7" t="n"/>
      <c r="P427" s="8">
        <f>IF(NOT(ISNUMBER(M427)),"",IF(G427="Terreno",IF(AND(ISNUMBER(I427),I427&gt;0),M427/I427,""),IF(AND(ISNUMBER(H427),H427&gt;0),M427/H427,"")))</f>
        <v/>
      </c>
      <c r="Q427" s="9">
        <f>IF(AND(ISNUMBER(M427),ISNUMBER(O427)),IF(M427&lt;=O427,"Valor ≤ venal IPTU",""),"")</f>
        <v/>
      </c>
      <c r="R427" s="10" t="n"/>
      <c r="S427" s="10" t="n"/>
      <c r="AA427" s="10" t="n"/>
      <c r="AB427" s="11">
        <f>IF(LEN(TRIM(X427))=0,"",HYPERLINK("https://www.google.com/maps/@?api=1&amp;map_action=pano&amp;viewpoint="&amp;SUBSTITUTE(X427," ",""),"Abrir Street View"))</f>
        <v/>
      </c>
    </row>
    <row r="428">
      <c r="H428" s="6" t="n"/>
      <c r="I428" s="6" t="n"/>
      <c r="M428" s="7" t="n"/>
      <c r="N428" s="7" t="n"/>
      <c r="O428" s="7" t="n"/>
      <c r="P428" s="8">
        <f>IF(NOT(ISNUMBER(M428)),"",IF(G428="Terreno",IF(AND(ISNUMBER(I428),I428&gt;0),M428/I428,""),IF(AND(ISNUMBER(H428),H428&gt;0),M428/H428,"")))</f>
        <v/>
      </c>
      <c r="Q428" s="9">
        <f>IF(AND(ISNUMBER(M428),ISNUMBER(O428)),IF(M428&lt;=O428,"Valor ≤ venal IPTU",""),"")</f>
        <v/>
      </c>
      <c r="R428" s="10" t="n"/>
      <c r="S428" s="10" t="n"/>
      <c r="AA428" s="10" t="n"/>
      <c r="AB428" s="11">
        <f>IF(LEN(TRIM(X428))=0,"",HYPERLINK("https://www.google.com/maps/@?api=1&amp;map_action=pano&amp;viewpoint="&amp;SUBSTITUTE(X428," ",""),"Abrir Street View"))</f>
        <v/>
      </c>
    </row>
    <row r="429">
      <c r="H429" s="6" t="n"/>
      <c r="I429" s="6" t="n"/>
      <c r="M429" s="7" t="n"/>
      <c r="N429" s="7" t="n"/>
      <c r="O429" s="7" t="n"/>
      <c r="P429" s="8">
        <f>IF(NOT(ISNUMBER(M429)),"",IF(G429="Terreno",IF(AND(ISNUMBER(I429),I429&gt;0),M429/I429,""),IF(AND(ISNUMBER(H429),H429&gt;0),M429/H429,"")))</f>
        <v/>
      </c>
      <c r="Q429" s="9">
        <f>IF(AND(ISNUMBER(M429),ISNUMBER(O429)),IF(M429&lt;=O429,"Valor ≤ venal IPTU",""),"")</f>
        <v/>
      </c>
      <c r="R429" s="10" t="n"/>
      <c r="S429" s="10" t="n"/>
      <c r="AA429" s="10" t="n"/>
      <c r="AB429" s="11">
        <f>IF(LEN(TRIM(X429))=0,"",HYPERLINK("https://www.google.com/maps/@?api=1&amp;map_action=pano&amp;viewpoint="&amp;SUBSTITUTE(X429," ",""),"Abrir Street View"))</f>
        <v/>
      </c>
    </row>
    <row r="430">
      <c r="H430" s="6" t="n"/>
      <c r="I430" s="6" t="n"/>
      <c r="M430" s="7" t="n"/>
      <c r="N430" s="7" t="n"/>
      <c r="O430" s="7" t="n"/>
      <c r="P430" s="8">
        <f>IF(NOT(ISNUMBER(M430)),"",IF(G430="Terreno",IF(AND(ISNUMBER(I430),I430&gt;0),M430/I430,""),IF(AND(ISNUMBER(H430),H430&gt;0),M430/H430,"")))</f>
        <v/>
      </c>
      <c r="Q430" s="9">
        <f>IF(AND(ISNUMBER(M430),ISNUMBER(O430)),IF(M430&lt;=O430,"Valor ≤ venal IPTU",""),"")</f>
        <v/>
      </c>
      <c r="R430" s="10" t="n"/>
      <c r="S430" s="10" t="n"/>
      <c r="AA430" s="10" t="n"/>
      <c r="AB430" s="11">
        <f>IF(LEN(TRIM(X430))=0,"",HYPERLINK("https://www.google.com/maps/@?api=1&amp;map_action=pano&amp;viewpoint="&amp;SUBSTITUTE(X430," ",""),"Abrir Street View"))</f>
        <v/>
      </c>
    </row>
    <row r="431">
      <c r="H431" s="6" t="n"/>
      <c r="I431" s="6" t="n"/>
      <c r="M431" s="7" t="n"/>
      <c r="N431" s="7" t="n"/>
      <c r="O431" s="7" t="n"/>
      <c r="P431" s="8">
        <f>IF(NOT(ISNUMBER(M431)),"",IF(G431="Terreno",IF(AND(ISNUMBER(I431),I431&gt;0),M431/I431,""),IF(AND(ISNUMBER(H431),H431&gt;0),M431/H431,"")))</f>
        <v/>
      </c>
      <c r="Q431" s="9">
        <f>IF(AND(ISNUMBER(M431),ISNUMBER(O431)),IF(M431&lt;=O431,"Valor ≤ venal IPTU",""),"")</f>
        <v/>
      </c>
      <c r="R431" s="10" t="n"/>
      <c r="S431" s="10" t="n"/>
      <c r="AA431" s="10" t="n"/>
      <c r="AB431" s="11">
        <f>IF(LEN(TRIM(X431))=0,"",HYPERLINK("https://www.google.com/maps/@?api=1&amp;map_action=pano&amp;viewpoint="&amp;SUBSTITUTE(X431," ",""),"Abrir Street View"))</f>
        <v/>
      </c>
    </row>
    <row r="432">
      <c r="H432" s="6" t="n"/>
      <c r="I432" s="6" t="n"/>
      <c r="M432" s="7" t="n"/>
      <c r="N432" s="7" t="n"/>
      <c r="O432" s="7" t="n"/>
      <c r="P432" s="8">
        <f>IF(NOT(ISNUMBER(M432)),"",IF(G432="Terreno",IF(AND(ISNUMBER(I432),I432&gt;0),M432/I432,""),IF(AND(ISNUMBER(H432),H432&gt;0),M432/H432,"")))</f>
        <v/>
      </c>
      <c r="Q432" s="9">
        <f>IF(AND(ISNUMBER(M432),ISNUMBER(O432)),IF(M432&lt;=O432,"Valor ≤ venal IPTU",""),"")</f>
        <v/>
      </c>
      <c r="R432" s="10" t="n"/>
      <c r="S432" s="10" t="n"/>
      <c r="AA432" s="10" t="n"/>
      <c r="AB432" s="11">
        <f>IF(LEN(TRIM(X432))=0,"",HYPERLINK("https://www.google.com/maps/@?api=1&amp;map_action=pano&amp;viewpoint="&amp;SUBSTITUTE(X432," ",""),"Abrir Street View"))</f>
        <v/>
      </c>
    </row>
    <row r="433">
      <c r="H433" s="6" t="n"/>
      <c r="I433" s="6" t="n"/>
      <c r="M433" s="7" t="n"/>
      <c r="N433" s="7" t="n"/>
      <c r="O433" s="7" t="n"/>
      <c r="P433" s="8">
        <f>IF(NOT(ISNUMBER(M433)),"",IF(G433="Terreno",IF(AND(ISNUMBER(I433),I433&gt;0),M433/I433,""),IF(AND(ISNUMBER(H433),H433&gt;0),M433/H433,"")))</f>
        <v/>
      </c>
      <c r="Q433" s="9">
        <f>IF(AND(ISNUMBER(M433),ISNUMBER(O433)),IF(M433&lt;=O433,"Valor ≤ venal IPTU",""),"")</f>
        <v/>
      </c>
      <c r="R433" s="10" t="n"/>
      <c r="S433" s="10" t="n"/>
      <c r="AA433" s="10" t="n"/>
      <c r="AB433" s="11">
        <f>IF(LEN(TRIM(X433))=0,"",HYPERLINK("https://www.google.com/maps/@?api=1&amp;map_action=pano&amp;viewpoint="&amp;SUBSTITUTE(X433," ",""),"Abrir Street View"))</f>
        <v/>
      </c>
    </row>
    <row r="434">
      <c r="H434" s="6" t="n"/>
      <c r="I434" s="6" t="n"/>
      <c r="M434" s="7" t="n"/>
      <c r="N434" s="7" t="n"/>
      <c r="O434" s="7" t="n"/>
      <c r="P434" s="8">
        <f>IF(NOT(ISNUMBER(M434)),"",IF(G434="Terreno",IF(AND(ISNUMBER(I434),I434&gt;0),M434/I434,""),IF(AND(ISNUMBER(H434),H434&gt;0),M434/H434,"")))</f>
        <v/>
      </c>
      <c r="Q434" s="9">
        <f>IF(AND(ISNUMBER(M434),ISNUMBER(O434)),IF(M434&lt;=O434,"Valor ≤ venal IPTU",""),"")</f>
        <v/>
      </c>
      <c r="R434" s="10" t="n"/>
      <c r="S434" s="10" t="n"/>
      <c r="AA434" s="10" t="n"/>
      <c r="AB434" s="11">
        <f>IF(LEN(TRIM(X434))=0,"",HYPERLINK("https://www.google.com/maps/@?api=1&amp;map_action=pano&amp;viewpoint="&amp;SUBSTITUTE(X434," ",""),"Abrir Street View"))</f>
        <v/>
      </c>
    </row>
    <row r="435">
      <c r="H435" s="6" t="n"/>
      <c r="I435" s="6" t="n"/>
      <c r="M435" s="7" t="n"/>
      <c r="N435" s="7" t="n"/>
      <c r="O435" s="7" t="n"/>
      <c r="P435" s="8">
        <f>IF(NOT(ISNUMBER(M435)),"",IF(G435="Terreno",IF(AND(ISNUMBER(I435),I435&gt;0),M435/I435,""),IF(AND(ISNUMBER(H435),H435&gt;0),M435/H435,"")))</f>
        <v/>
      </c>
      <c r="Q435" s="9">
        <f>IF(AND(ISNUMBER(M435),ISNUMBER(O435)),IF(M435&lt;=O435,"Valor ≤ venal IPTU",""),"")</f>
        <v/>
      </c>
      <c r="R435" s="10" t="n"/>
      <c r="S435" s="10" t="n"/>
      <c r="AA435" s="10" t="n"/>
      <c r="AB435" s="11">
        <f>IF(LEN(TRIM(X435))=0,"",HYPERLINK("https://www.google.com/maps/@?api=1&amp;map_action=pano&amp;viewpoint="&amp;SUBSTITUTE(X435," ",""),"Abrir Street View"))</f>
        <v/>
      </c>
    </row>
    <row r="436">
      <c r="H436" s="6" t="n"/>
      <c r="I436" s="6" t="n"/>
      <c r="M436" s="7" t="n"/>
      <c r="N436" s="7" t="n"/>
      <c r="O436" s="7" t="n"/>
      <c r="P436" s="8">
        <f>IF(NOT(ISNUMBER(M436)),"",IF(G436="Terreno",IF(AND(ISNUMBER(I436),I436&gt;0),M436/I436,""),IF(AND(ISNUMBER(H436),H436&gt;0),M436/H436,"")))</f>
        <v/>
      </c>
      <c r="Q436" s="9">
        <f>IF(AND(ISNUMBER(M436),ISNUMBER(O436)),IF(M436&lt;=O436,"Valor ≤ venal IPTU",""),"")</f>
        <v/>
      </c>
      <c r="R436" s="10" t="n"/>
      <c r="S436" s="10" t="n"/>
      <c r="AA436" s="10" t="n"/>
      <c r="AB436" s="11">
        <f>IF(LEN(TRIM(X436))=0,"",HYPERLINK("https://www.google.com/maps/@?api=1&amp;map_action=pano&amp;viewpoint="&amp;SUBSTITUTE(X436," ",""),"Abrir Street View"))</f>
        <v/>
      </c>
    </row>
    <row r="437">
      <c r="H437" s="6" t="n"/>
      <c r="I437" s="6" t="n"/>
      <c r="M437" s="7" t="n"/>
      <c r="N437" s="7" t="n"/>
      <c r="O437" s="7" t="n"/>
      <c r="P437" s="8">
        <f>IF(NOT(ISNUMBER(M437)),"",IF(G437="Terreno",IF(AND(ISNUMBER(I437),I437&gt;0),M437/I437,""),IF(AND(ISNUMBER(H437),H437&gt;0),M437/H437,"")))</f>
        <v/>
      </c>
      <c r="Q437" s="9">
        <f>IF(AND(ISNUMBER(M437),ISNUMBER(O437)),IF(M437&lt;=O437,"Valor ≤ venal IPTU",""),"")</f>
        <v/>
      </c>
      <c r="R437" s="10" t="n"/>
      <c r="S437" s="10" t="n"/>
      <c r="AA437" s="10" t="n"/>
      <c r="AB437" s="11">
        <f>IF(LEN(TRIM(X437))=0,"",HYPERLINK("https://www.google.com/maps/@?api=1&amp;map_action=pano&amp;viewpoint="&amp;SUBSTITUTE(X437," ",""),"Abrir Street View"))</f>
        <v/>
      </c>
    </row>
    <row r="438">
      <c r="H438" s="6" t="n"/>
      <c r="I438" s="6" t="n"/>
      <c r="M438" s="7" t="n"/>
      <c r="N438" s="7" t="n"/>
      <c r="O438" s="7" t="n"/>
      <c r="P438" s="8">
        <f>IF(NOT(ISNUMBER(M438)),"",IF(G438="Terreno",IF(AND(ISNUMBER(I438),I438&gt;0),M438/I438,""),IF(AND(ISNUMBER(H438),H438&gt;0),M438/H438,"")))</f>
        <v/>
      </c>
      <c r="Q438" s="9">
        <f>IF(AND(ISNUMBER(M438),ISNUMBER(O438)),IF(M438&lt;=O438,"Valor ≤ venal IPTU",""),"")</f>
        <v/>
      </c>
      <c r="R438" s="10" t="n"/>
      <c r="S438" s="10" t="n"/>
      <c r="AA438" s="10" t="n"/>
      <c r="AB438" s="11">
        <f>IF(LEN(TRIM(X438))=0,"",HYPERLINK("https://www.google.com/maps/@?api=1&amp;map_action=pano&amp;viewpoint="&amp;SUBSTITUTE(X438," ",""),"Abrir Street View"))</f>
        <v/>
      </c>
    </row>
    <row r="439">
      <c r="H439" s="6" t="n"/>
      <c r="I439" s="6" t="n"/>
      <c r="M439" s="7" t="n"/>
      <c r="N439" s="7" t="n"/>
      <c r="O439" s="7" t="n"/>
      <c r="P439" s="8">
        <f>IF(NOT(ISNUMBER(M439)),"",IF(G439="Terreno",IF(AND(ISNUMBER(I439),I439&gt;0),M439/I439,""),IF(AND(ISNUMBER(H439),H439&gt;0),M439/H439,"")))</f>
        <v/>
      </c>
      <c r="Q439" s="9">
        <f>IF(AND(ISNUMBER(M439),ISNUMBER(O439)),IF(M439&lt;=O439,"Valor ≤ venal IPTU",""),"")</f>
        <v/>
      </c>
      <c r="R439" s="10" t="n"/>
      <c r="S439" s="10" t="n"/>
      <c r="AA439" s="10" t="n"/>
      <c r="AB439" s="11">
        <f>IF(LEN(TRIM(X439))=0,"",HYPERLINK("https://www.google.com/maps/@?api=1&amp;map_action=pano&amp;viewpoint="&amp;SUBSTITUTE(X439," ",""),"Abrir Street View"))</f>
        <v/>
      </c>
    </row>
    <row r="440">
      <c r="H440" s="6" t="n"/>
      <c r="I440" s="6" t="n"/>
      <c r="M440" s="7" t="n"/>
      <c r="N440" s="7" t="n"/>
      <c r="O440" s="7" t="n"/>
      <c r="P440" s="8">
        <f>IF(NOT(ISNUMBER(M440)),"",IF(G440="Terreno",IF(AND(ISNUMBER(I440),I440&gt;0),M440/I440,""),IF(AND(ISNUMBER(H440),H440&gt;0),M440/H440,"")))</f>
        <v/>
      </c>
      <c r="Q440" s="9">
        <f>IF(AND(ISNUMBER(M440),ISNUMBER(O440)),IF(M440&lt;=O440,"Valor ≤ venal IPTU",""),"")</f>
        <v/>
      </c>
      <c r="R440" s="10" t="n"/>
      <c r="S440" s="10" t="n"/>
      <c r="AA440" s="10" t="n"/>
      <c r="AB440" s="11">
        <f>IF(LEN(TRIM(X440))=0,"",HYPERLINK("https://www.google.com/maps/@?api=1&amp;map_action=pano&amp;viewpoint="&amp;SUBSTITUTE(X440," ",""),"Abrir Street View"))</f>
        <v/>
      </c>
    </row>
    <row r="441">
      <c r="H441" s="6" t="n"/>
      <c r="I441" s="6" t="n"/>
      <c r="M441" s="7" t="n"/>
      <c r="N441" s="7" t="n"/>
      <c r="O441" s="7" t="n"/>
      <c r="P441" s="8">
        <f>IF(NOT(ISNUMBER(M441)),"",IF(G441="Terreno",IF(AND(ISNUMBER(I441),I441&gt;0),M441/I441,""),IF(AND(ISNUMBER(H441),H441&gt;0),M441/H441,"")))</f>
        <v/>
      </c>
      <c r="Q441" s="9">
        <f>IF(AND(ISNUMBER(M441),ISNUMBER(O441)),IF(M441&lt;=O441,"Valor ≤ venal IPTU",""),"")</f>
        <v/>
      </c>
      <c r="R441" s="10" t="n"/>
      <c r="S441" s="10" t="n"/>
      <c r="AA441" s="10" t="n"/>
      <c r="AB441" s="11">
        <f>IF(LEN(TRIM(X441))=0,"",HYPERLINK("https://www.google.com/maps/@?api=1&amp;map_action=pano&amp;viewpoint="&amp;SUBSTITUTE(X441," ",""),"Abrir Street View"))</f>
        <v/>
      </c>
    </row>
    <row r="442">
      <c r="H442" s="6" t="n"/>
      <c r="I442" s="6" t="n"/>
      <c r="M442" s="7" t="n"/>
      <c r="N442" s="7" t="n"/>
      <c r="O442" s="7" t="n"/>
      <c r="P442" s="8">
        <f>IF(NOT(ISNUMBER(M442)),"",IF(G442="Terreno",IF(AND(ISNUMBER(I442),I442&gt;0),M442/I442,""),IF(AND(ISNUMBER(H442),H442&gt;0),M442/H442,"")))</f>
        <v/>
      </c>
      <c r="Q442" s="9">
        <f>IF(AND(ISNUMBER(M442),ISNUMBER(O442)),IF(M442&lt;=O442,"Valor ≤ venal IPTU",""),"")</f>
        <v/>
      </c>
      <c r="R442" s="10" t="n"/>
      <c r="S442" s="10" t="n"/>
      <c r="AA442" s="10" t="n"/>
      <c r="AB442" s="11">
        <f>IF(LEN(TRIM(X442))=0,"",HYPERLINK("https://www.google.com/maps/@?api=1&amp;map_action=pano&amp;viewpoint="&amp;SUBSTITUTE(X442," ",""),"Abrir Street View"))</f>
        <v/>
      </c>
    </row>
    <row r="443">
      <c r="H443" s="6" t="n"/>
      <c r="I443" s="6" t="n"/>
      <c r="M443" s="7" t="n"/>
      <c r="N443" s="7" t="n"/>
      <c r="O443" s="7" t="n"/>
      <c r="P443" s="8">
        <f>IF(NOT(ISNUMBER(M443)),"",IF(G443="Terreno",IF(AND(ISNUMBER(I443),I443&gt;0),M443/I443,""),IF(AND(ISNUMBER(H443),H443&gt;0),M443/H443,"")))</f>
        <v/>
      </c>
      <c r="Q443" s="9">
        <f>IF(AND(ISNUMBER(M443),ISNUMBER(O443)),IF(M443&lt;=O443,"Valor ≤ venal IPTU",""),"")</f>
        <v/>
      </c>
      <c r="R443" s="10" t="n"/>
      <c r="S443" s="10" t="n"/>
      <c r="AA443" s="10" t="n"/>
      <c r="AB443" s="11">
        <f>IF(LEN(TRIM(X443))=0,"",HYPERLINK("https://www.google.com/maps/@?api=1&amp;map_action=pano&amp;viewpoint="&amp;SUBSTITUTE(X443," ",""),"Abrir Street View"))</f>
        <v/>
      </c>
    </row>
    <row r="444">
      <c r="H444" s="6" t="n"/>
      <c r="I444" s="6" t="n"/>
      <c r="M444" s="7" t="n"/>
      <c r="N444" s="7" t="n"/>
      <c r="O444" s="7" t="n"/>
      <c r="P444" s="8">
        <f>IF(NOT(ISNUMBER(M444)),"",IF(G444="Terreno",IF(AND(ISNUMBER(I444),I444&gt;0),M444/I444,""),IF(AND(ISNUMBER(H444),H444&gt;0),M444/H444,"")))</f>
        <v/>
      </c>
      <c r="Q444" s="9">
        <f>IF(AND(ISNUMBER(M444),ISNUMBER(O444)),IF(M444&lt;=O444,"Valor ≤ venal IPTU",""),"")</f>
        <v/>
      </c>
      <c r="R444" s="10" t="n"/>
      <c r="S444" s="10" t="n"/>
      <c r="AA444" s="10" t="n"/>
      <c r="AB444" s="11">
        <f>IF(LEN(TRIM(X444))=0,"",HYPERLINK("https://www.google.com/maps/@?api=1&amp;map_action=pano&amp;viewpoint="&amp;SUBSTITUTE(X444," ",""),"Abrir Street View"))</f>
        <v/>
      </c>
    </row>
    <row r="445">
      <c r="H445" s="6" t="n"/>
      <c r="I445" s="6" t="n"/>
      <c r="M445" s="7" t="n"/>
      <c r="N445" s="7" t="n"/>
      <c r="O445" s="7" t="n"/>
      <c r="P445" s="8">
        <f>IF(NOT(ISNUMBER(M445)),"",IF(G445="Terreno",IF(AND(ISNUMBER(I445),I445&gt;0),M445/I445,""),IF(AND(ISNUMBER(H445),H445&gt;0),M445/H445,"")))</f>
        <v/>
      </c>
      <c r="Q445" s="9">
        <f>IF(AND(ISNUMBER(M445),ISNUMBER(O445)),IF(M445&lt;=O445,"Valor ≤ venal IPTU",""),"")</f>
        <v/>
      </c>
      <c r="R445" s="10" t="n"/>
      <c r="S445" s="10" t="n"/>
      <c r="AA445" s="10" t="n"/>
      <c r="AB445" s="11">
        <f>IF(LEN(TRIM(X445))=0,"",HYPERLINK("https://www.google.com/maps/@?api=1&amp;map_action=pano&amp;viewpoint="&amp;SUBSTITUTE(X445," ",""),"Abrir Street View"))</f>
        <v/>
      </c>
    </row>
    <row r="446">
      <c r="H446" s="6" t="n"/>
      <c r="I446" s="6" t="n"/>
      <c r="M446" s="7" t="n"/>
      <c r="N446" s="7" t="n"/>
      <c r="O446" s="7" t="n"/>
      <c r="P446" s="8">
        <f>IF(NOT(ISNUMBER(M446)),"",IF(G446="Terreno",IF(AND(ISNUMBER(I446),I446&gt;0),M446/I446,""),IF(AND(ISNUMBER(H446),H446&gt;0),M446/H446,"")))</f>
        <v/>
      </c>
      <c r="Q446" s="9">
        <f>IF(AND(ISNUMBER(M446),ISNUMBER(O446)),IF(M446&lt;=O446,"Valor ≤ venal IPTU",""),"")</f>
        <v/>
      </c>
      <c r="R446" s="10" t="n"/>
      <c r="S446" s="10" t="n"/>
      <c r="AA446" s="10" t="n"/>
      <c r="AB446" s="11">
        <f>IF(LEN(TRIM(X446))=0,"",HYPERLINK("https://www.google.com/maps/@?api=1&amp;map_action=pano&amp;viewpoint="&amp;SUBSTITUTE(X446," ",""),"Abrir Street View"))</f>
        <v/>
      </c>
    </row>
    <row r="447">
      <c r="H447" s="6" t="n"/>
      <c r="I447" s="6" t="n"/>
      <c r="M447" s="7" t="n"/>
      <c r="N447" s="7" t="n"/>
      <c r="O447" s="7" t="n"/>
      <c r="P447" s="8">
        <f>IF(NOT(ISNUMBER(M447)),"",IF(G447="Terreno",IF(AND(ISNUMBER(I447),I447&gt;0),M447/I447,""),IF(AND(ISNUMBER(H447),H447&gt;0),M447/H447,"")))</f>
        <v/>
      </c>
      <c r="Q447" s="9">
        <f>IF(AND(ISNUMBER(M447),ISNUMBER(O447)),IF(M447&lt;=O447,"Valor ≤ venal IPTU",""),"")</f>
        <v/>
      </c>
      <c r="R447" s="10" t="n"/>
      <c r="S447" s="10" t="n"/>
      <c r="AA447" s="10" t="n"/>
      <c r="AB447" s="11">
        <f>IF(LEN(TRIM(X447))=0,"",HYPERLINK("https://www.google.com/maps/@?api=1&amp;map_action=pano&amp;viewpoint="&amp;SUBSTITUTE(X447," ",""),"Abrir Street View"))</f>
        <v/>
      </c>
    </row>
    <row r="448">
      <c r="H448" s="6" t="n"/>
      <c r="I448" s="6" t="n"/>
      <c r="M448" s="7" t="n"/>
      <c r="N448" s="7" t="n"/>
      <c r="O448" s="7" t="n"/>
      <c r="P448" s="8">
        <f>IF(NOT(ISNUMBER(M448)),"",IF(G448="Terreno",IF(AND(ISNUMBER(I448),I448&gt;0),M448/I448,""),IF(AND(ISNUMBER(H448),H448&gt;0),M448/H448,"")))</f>
        <v/>
      </c>
      <c r="Q448" s="9">
        <f>IF(AND(ISNUMBER(M448),ISNUMBER(O448)),IF(M448&lt;=O448,"Valor ≤ venal IPTU",""),"")</f>
        <v/>
      </c>
      <c r="R448" s="10" t="n"/>
      <c r="S448" s="10" t="n"/>
      <c r="AA448" s="10" t="n"/>
      <c r="AB448" s="11">
        <f>IF(LEN(TRIM(X448))=0,"",HYPERLINK("https://www.google.com/maps/@?api=1&amp;map_action=pano&amp;viewpoint="&amp;SUBSTITUTE(X448," ",""),"Abrir Street View"))</f>
        <v/>
      </c>
    </row>
    <row r="449">
      <c r="H449" s="6" t="n"/>
      <c r="I449" s="6" t="n"/>
      <c r="M449" s="7" t="n"/>
      <c r="N449" s="7" t="n"/>
      <c r="O449" s="7" t="n"/>
      <c r="P449" s="8">
        <f>IF(NOT(ISNUMBER(M449)),"",IF(G449="Terreno",IF(AND(ISNUMBER(I449),I449&gt;0),M449/I449,""),IF(AND(ISNUMBER(H449),H449&gt;0),M449/H449,"")))</f>
        <v/>
      </c>
      <c r="Q449" s="9">
        <f>IF(AND(ISNUMBER(M449),ISNUMBER(O449)),IF(M449&lt;=O449,"Valor ≤ venal IPTU",""),"")</f>
        <v/>
      </c>
      <c r="R449" s="10" t="n"/>
      <c r="S449" s="10" t="n"/>
      <c r="AA449" s="10" t="n"/>
      <c r="AB449" s="11">
        <f>IF(LEN(TRIM(X449))=0,"",HYPERLINK("https://www.google.com/maps/@?api=1&amp;map_action=pano&amp;viewpoint="&amp;SUBSTITUTE(X449," ",""),"Abrir Street View"))</f>
        <v/>
      </c>
    </row>
    <row r="450">
      <c r="H450" s="6" t="n"/>
      <c r="I450" s="6" t="n"/>
      <c r="M450" s="7" t="n"/>
      <c r="N450" s="7" t="n"/>
      <c r="O450" s="7" t="n"/>
      <c r="P450" s="8">
        <f>IF(NOT(ISNUMBER(M450)),"",IF(G450="Terreno",IF(AND(ISNUMBER(I450),I450&gt;0),M450/I450,""),IF(AND(ISNUMBER(H450),H450&gt;0),M450/H450,"")))</f>
        <v/>
      </c>
      <c r="Q450" s="9">
        <f>IF(AND(ISNUMBER(M450),ISNUMBER(O450)),IF(M450&lt;=O450,"Valor ≤ venal IPTU",""),"")</f>
        <v/>
      </c>
      <c r="R450" s="10" t="n"/>
      <c r="S450" s="10" t="n"/>
      <c r="AA450" s="10" t="n"/>
      <c r="AB450" s="11">
        <f>IF(LEN(TRIM(X450))=0,"",HYPERLINK("https://www.google.com/maps/@?api=1&amp;map_action=pano&amp;viewpoint="&amp;SUBSTITUTE(X450," ",""),"Abrir Street View"))</f>
        <v/>
      </c>
    </row>
    <row r="451">
      <c r="H451" s="6" t="n"/>
      <c r="I451" s="6" t="n"/>
      <c r="M451" s="7" t="n"/>
      <c r="N451" s="7" t="n"/>
      <c r="O451" s="7" t="n"/>
      <c r="P451" s="8">
        <f>IF(NOT(ISNUMBER(M451)),"",IF(G451="Terreno",IF(AND(ISNUMBER(I451),I451&gt;0),M451/I451,""),IF(AND(ISNUMBER(H451),H451&gt;0),M451/H451,"")))</f>
        <v/>
      </c>
      <c r="Q451" s="9">
        <f>IF(AND(ISNUMBER(M451),ISNUMBER(O451)),IF(M451&lt;=O451,"Valor ≤ venal IPTU",""),"")</f>
        <v/>
      </c>
      <c r="R451" s="10" t="n"/>
      <c r="S451" s="10" t="n"/>
      <c r="AA451" s="10" t="n"/>
      <c r="AB451" s="11">
        <f>IF(LEN(TRIM(X451))=0,"",HYPERLINK("https://www.google.com/maps/@?api=1&amp;map_action=pano&amp;viewpoint="&amp;SUBSTITUTE(X451," ",""),"Abrir Street View"))</f>
        <v/>
      </c>
    </row>
    <row r="452">
      <c r="H452" s="6" t="n"/>
      <c r="I452" s="6" t="n"/>
      <c r="M452" s="7" t="n"/>
      <c r="N452" s="7" t="n"/>
      <c r="O452" s="7" t="n"/>
      <c r="P452" s="8">
        <f>IF(NOT(ISNUMBER(M452)),"",IF(G452="Terreno",IF(AND(ISNUMBER(I452),I452&gt;0),M452/I452,""),IF(AND(ISNUMBER(H452),H452&gt;0),M452/H452,"")))</f>
        <v/>
      </c>
      <c r="Q452" s="9">
        <f>IF(AND(ISNUMBER(M452),ISNUMBER(O452)),IF(M452&lt;=O452,"Valor ≤ venal IPTU",""),"")</f>
        <v/>
      </c>
      <c r="R452" s="10" t="n"/>
      <c r="S452" s="10" t="n"/>
      <c r="AA452" s="10" t="n"/>
      <c r="AB452" s="11">
        <f>IF(LEN(TRIM(X452))=0,"",HYPERLINK("https://www.google.com/maps/@?api=1&amp;map_action=pano&amp;viewpoint="&amp;SUBSTITUTE(X452," ",""),"Abrir Street View"))</f>
        <v/>
      </c>
    </row>
    <row r="453">
      <c r="H453" s="6" t="n"/>
      <c r="I453" s="6" t="n"/>
      <c r="M453" s="7" t="n"/>
      <c r="N453" s="7" t="n"/>
      <c r="O453" s="7" t="n"/>
      <c r="P453" s="8">
        <f>IF(NOT(ISNUMBER(M453)),"",IF(G453="Terreno",IF(AND(ISNUMBER(I453),I453&gt;0),M453/I453,""),IF(AND(ISNUMBER(H453),H453&gt;0),M453/H453,"")))</f>
        <v/>
      </c>
      <c r="Q453" s="9">
        <f>IF(AND(ISNUMBER(M453),ISNUMBER(O453)),IF(M453&lt;=O453,"Valor ≤ venal IPTU",""),"")</f>
        <v/>
      </c>
      <c r="R453" s="10" t="n"/>
      <c r="S453" s="10" t="n"/>
      <c r="AA453" s="10" t="n"/>
      <c r="AB453" s="11">
        <f>IF(LEN(TRIM(X453))=0,"",HYPERLINK("https://www.google.com/maps/@?api=1&amp;map_action=pano&amp;viewpoint="&amp;SUBSTITUTE(X453," ",""),"Abrir Street View"))</f>
        <v/>
      </c>
    </row>
    <row r="454">
      <c r="H454" s="6" t="n"/>
      <c r="I454" s="6" t="n"/>
      <c r="M454" s="7" t="n"/>
      <c r="N454" s="7" t="n"/>
      <c r="O454" s="7" t="n"/>
      <c r="P454" s="8">
        <f>IF(NOT(ISNUMBER(M454)),"",IF(G454="Terreno",IF(AND(ISNUMBER(I454),I454&gt;0),M454/I454,""),IF(AND(ISNUMBER(H454),H454&gt;0),M454/H454,"")))</f>
        <v/>
      </c>
      <c r="Q454" s="9">
        <f>IF(AND(ISNUMBER(M454),ISNUMBER(O454)),IF(M454&lt;=O454,"Valor ≤ venal IPTU",""),"")</f>
        <v/>
      </c>
      <c r="R454" s="10" t="n"/>
      <c r="S454" s="10" t="n"/>
      <c r="AA454" s="10" t="n"/>
      <c r="AB454" s="11">
        <f>IF(LEN(TRIM(X454))=0,"",HYPERLINK("https://www.google.com/maps/@?api=1&amp;map_action=pano&amp;viewpoint="&amp;SUBSTITUTE(X454," ",""),"Abrir Street View"))</f>
        <v/>
      </c>
    </row>
    <row r="455">
      <c r="H455" s="6" t="n"/>
      <c r="I455" s="6" t="n"/>
      <c r="M455" s="7" t="n"/>
      <c r="N455" s="7" t="n"/>
      <c r="O455" s="7" t="n"/>
      <c r="P455" s="8">
        <f>IF(NOT(ISNUMBER(M455)),"",IF(G455="Terreno",IF(AND(ISNUMBER(I455),I455&gt;0),M455/I455,""),IF(AND(ISNUMBER(H455),H455&gt;0),M455/H455,"")))</f>
        <v/>
      </c>
      <c r="Q455" s="9">
        <f>IF(AND(ISNUMBER(M455),ISNUMBER(O455)),IF(M455&lt;=O455,"Valor ≤ venal IPTU",""),"")</f>
        <v/>
      </c>
      <c r="R455" s="10" t="n"/>
      <c r="S455" s="10" t="n"/>
      <c r="AA455" s="10" t="n"/>
      <c r="AB455" s="11">
        <f>IF(LEN(TRIM(X455))=0,"",HYPERLINK("https://www.google.com/maps/@?api=1&amp;map_action=pano&amp;viewpoint="&amp;SUBSTITUTE(X455," ",""),"Abrir Street View"))</f>
        <v/>
      </c>
    </row>
    <row r="456">
      <c r="H456" s="6" t="n"/>
      <c r="I456" s="6" t="n"/>
      <c r="M456" s="7" t="n"/>
      <c r="N456" s="7" t="n"/>
      <c r="O456" s="7" t="n"/>
      <c r="P456" s="8">
        <f>IF(NOT(ISNUMBER(M456)),"",IF(G456="Terreno",IF(AND(ISNUMBER(I456),I456&gt;0),M456/I456,""),IF(AND(ISNUMBER(H456),H456&gt;0),M456/H456,"")))</f>
        <v/>
      </c>
      <c r="Q456" s="9">
        <f>IF(AND(ISNUMBER(M456),ISNUMBER(O456)),IF(M456&lt;=O456,"Valor ≤ venal IPTU",""),"")</f>
        <v/>
      </c>
      <c r="R456" s="10" t="n"/>
      <c r="S456" s="10" t="n"/>
      <c r="AA456" s="10" t="n"/>
      <c r="AB456" s="11">
        <f>IF(LEN(TRIM(X456))=0,"",HYPERLINK("https://www.google.com/maps/@?api=1&amp;map_action=pano&amp;viewpoint="&amp;SUBSTITUTE(X456," ",""),"Abrir Street View"))</f>
        <v/>
      </c>
    </row>
    <row r="457">
      <c r="H457" s="6" t="n"/>
      <c r="I457" s="6" t="n"/>
      <c r="M457" s="7" t="n"/>
      <c r="N457" s="7" t="n"/>
      <c r="O457" s="7" t="n"/>
      <c r="P457" s="8">
        <f>IF(NOT(ISNUMBER(M457)),"",IF(G457="Terreno",IF(AND(ISNUMBER(I457),I457&gt;0),M457/I457,""),IF(AND(ISNUMBER(H457),H457&gt;0),M457/H457,"")))</f>
        <v/>
      </c>
      <c r="Q457" s="9">
        <f>IF(AND(ISNUMBER(M457),ISNUMBER(O457)),IF(M457&lt;=O457,"Valor ≤ venal IPTU",""),"")</f>
        <v/>
      </c>
      <c r="R457" s="10" t="n"/>
      <c r="S457" s="10" t="n"/>
      <c r="AA457" s="10" t="n"/>
      <c r="AB457" s="11">
        <f>IF(LEN(TRIM(X457))=0,"",HYPERLINK("https://www.google.com/maps/@?api=1&amp;map_action=pano&amp;viewpoint="&amp;SUBSTITUTE(X457," ",""),"Abrir Street View"))</f>
        <v/>
      </c>
    </row>
    <row r="458">
      <c r="H458" s="6" t="n"/>
      <c r="I458" s="6" t="n"/>
      <c r="M458" s="7" t="n"/>
      <c r="N458" s="7" t="n"/>
      <c r="O458" s="7" t="n"/>
      <c r="P458" s="8">
        <f>IF(NOT(ISNUMBER(M458)),"",IF(G458="Terreno",IF(AND(ISNUMBER(I458),I458&gt;0),M458/I458,""),IF(AND(ISNUMBER(H458),H458&gt;0),M458/H458,"")))</f>
        <v/>
      </c>
      <c r="Q458" s="9">
        <f>IF(AND(ISNUMBER(M458),ISNUMBER(O458)),IF(M458&lt;=O458,"Valor ≤ venal IPTU",""),"")</f>
        <v/>
      </c>
      <c r="R458" s="10" t="n"/>
      <c r="S458" s="10" t="n"/>
      <c r="AA458" s="10" t="n"/>
      <c r="AB458" s="11">
        <f>IF(LEN(TRIM(X458))=0,"",HYPERLINK("https://www.google.com/maps/@?api=1&amp;map_action=pano&amp;viewpoint="&amp;SUBSTITUTE(X458," ",""),"Abrir Street View"))</f>
        <v/>
      </c>
    </row>
    <row r="459">
      <c r="H459" s="6" t="n"/>
      <c r="I459" s="6" t="n"/>
      <c r="M459" s="7" t="n"/>
      <c r="N459" s="7" t="n"/>
      <c r="O459" s="7" t="n"/>
      <c r="P459" s="8">
        <f>IF(NOT(ISNUMBER(M459)),"",IF(G459="Terreno",IF(AND(ISNUMBER(I459),I459&gt;0),M459/I459,""),IF(AND(ISNUMBER(H459),H459&gt;0),M459/H459,"")))</f>
        <v/>
      </c>
      <c r="Q459" s="9">
        <f>IF(AND(ISNUMBER(M459),ISNUMBER(O459)),IF(M459&lt;=O459,"Valor ≤ venal IPTU",""),"")</f>
        <v/>
      </c>
      <c r="R459" s="10" t="n"/>
      <c r="S459" s="10" t="n"/>
      <c r="AA459" s="10" t="n"/>
      <c r="AB459" s="11">
        <f>IF(LEN(TRIM(X459))=0,"",HYPERLINK("https://www.google.com/maps/@?api=1&amp;map_action=pano&amp;viewpoint="&amp;SUBSTITUTE(X459," ",""),"Abrir Street View"))</f>
        <v/>
      </c>
    </row>
    <row r="460">
      <c r="H460" s="6" t="n"/>
      <c r="I460" s="6" t="n"/>
      <c r="M460" s="7" t="n"/>
      <c r="N460" s="7" t="n"/>
      <c r="O460" s="7" t="n"/>
      <c r="P460" s="8">
        <f>IF(NOT(ISNUMBER(M460)),"",IF(G460="Terreno",IF(AND(ISNUMBER(I460),I460&gt;0),M460/I460,""),IF(AND(ISNUMBER(H460),H460&gt;0),M460/H460,"")))</f>
        <v/>
      </c>
      <c r="Q460" s="9">
        <f>IF(AND(ISNUMBER(M460),ISNUMBER(O460)),IF(M460&lt;=O460,"Valor ≤ venal IPTU",""),"")</f>
        <v/>
      </c>
      <c r="R460" s="10" t="n"/>
      <c r="S460" s="10" t="n"/>
      <c r="AA460" s="10" t="n"/>
      <c r="AB460" s="11">
        <f>IF(LEN(TRIM(X460))=0,"",HYPERLINK("https://www.google.com/maps/@?api=1&amp;map_action=pano&amp;viewpoint="&amp;SUBSTITUTE(X460," ",""),"Abrir Street View"))</f>
        <v/>
      </c>
    </row>
    <row r="461">
      <c r="H461" s="6" t="n"/>
      <c r="I461" s="6" t="n"/>
      <c r="M461" s="7" t="n"/>
      <c r="N461" s="7" t="n"/>
      <c r="O461" s="7" t="n"/>
      <c r="P461" s="8">
        <f>IF(NOT(ISNUMBER(M461)),"",IF(G461="Terreno",IF(AND(ISNUMBER(I461),I461&gt;0),M461/I461,""),IF(AND(ISNUMBER(H461),H461&gt;0),M461/H461,"")))</f>
        <v/>
      </c>
      <c r="Q461" s="9">
        <f>IF(AND(ISNUMBER(M461),ISNUMBER(O461)),IF(M461&lt;=O461,"Valor ≤ venal IPTU",""),"")</f>
        <v/>
      </c>
      <c r="R461" s="10" t="n"/>
      <c r="S461" s="10" t="n"/>
      <c r="AA461" s="10" t="n"/>
      <c r="AB461" s="11">
        <f>IF(LEN(TRIM(X461))=0,"",HYPERLINK("https://www.google.com/maps/@?api=1&amp;map_action=pano&amp;viewpoint="&amp;SUBSTITUTE(X461," ",""),"Abrir Street View"))</f>
        <v/>
      </c>
    </row>
    <row r="462">
      <c r="H462" s="6" t="n"/>
      <c r="I462" s="6" t="n"/>
      <c r="M462" s="7" t="n"/>
      <c r="N462" s="7" t="n"/>
      <c r="O462" s="7" t="n"/>
      <c r="P462" s="8">
        <f>IF(NOT(ISNUMBER(M462)),"",IF(G462="Terreno",IF(AND(ISNUMBER(I462),I462&gt;0),M462/I462,""),IF(AND(ISNUMBER(H462),H462&gt;0),M462/H462,"")))</f>
        <v/>
      </c>
      <c r="Q462" s="9">
        <f>IF(AND(ISNUMBER(M462),ISNUMBER(O462)),IF(M462&lt;=O462,"Valor ≤ venal IPTU",""),"")</f>
        <v/>
      </c>
      <c r="R462" s="10" t="n"/>
      <c r="S462" s="10" t="n"/>
      <c r="AA462" s="10" t="n"/>
      <c r="AB462" s="11">
        <f>IF(LEN(TRIM(X462))=0,"",HYPERLINK("https://www.google.com/maps/@?api=1&amp;map_action=pano&amp;viewpoint="&amp;SUBSTITUTE(X462," ",""),"Abrir Street View"))</f>
        <v/>
      </c>
    </row>
    <row r="463">
      <c r="H463" s="6" t="n"/>
      <c r="I463" s="6" t="n"/>
      <c r="M463" s="7" t="n"/>
      <c r="N463" s="7" t="n"/>
      <c r="O463" s="7" t="n"/>
      <c r="P463" s="8">
        <f>IF(NOT(ISNUMBER(M463)),"",IF(G463="Terreno",IF(AND(ISNUMBER(I463),I463&gt;0),M463/I463,""),IF(AND(ISNUMBER(H463),H463&gt;0),M463/H463,"")))</f>
        <v/>
      </c>
      <c r="Q463" s="9">
        <f>IF(AND(ISNUMBER(M463),ISNUMBER(O463)),IF(M463&lt;=O463,"Valor ≤ venal IPTU",""),"")</f>
        <v/>
      </c>
      <c r="R463" s="10" t="n"/>
      <c r="S463" s="10" t="n"/>
      <c r="AA463" s="10" t="n"/>
      <c r="AB463" s="11">
        <f>IF(LEN(TRIM(X463))=0,"",HYPERLINK("https://www.google.com/maps/@?api=1&amp;map_action=pano&amp;viewpoint="&amp;SUBSTITUTE(X463," ",""),"Abrir Street View"))</f>
        <v/>
      </c>
    </row>
    <row r="464">
      <c r="H464" s="6" t="n"/>
      <c r="I464" s="6" t="n"/>
      <c r="M464" s="7" t="n"/>
      <c r="N464" s="7" t="n"/>
      <c r="O464" s="7" t="n"/>
      <c r="P464" s="8">
        <f>IF(NOT(ISNUMBER(M464)),"",IF(G464="Terreno",IF(AND(ISNUMBER(I464),I464&gt;0),M464/I464,""),IF(AND(ISNUMBER(H464),H464&gt;0),M464/H464,"")))</f>
        <v/>
      </c>
      <c r="Q464" s="9">
        <f>IF(AND(ISNUMBER(M464),ISNUMBER(O464)),IF(M464&lt;=O464,"Valor ≤ venal IPTU",""),"")</f>
        <v/>
      </c>
      <c r="R464" s="10" t="n"/>
      <c r="S464" s="10" t="n"/>
      <c r="AA464" s="10" t="n"/>
      <c r="AB464" s="11">
        <f>IF(LEN(TRIM(X464))=0,"",HYPERLINK("https://www.google.com/maps/@?api=1&amp;map_action=pano&amp;viewpoint="&amp;SUBSTITUTE(X464," ",""),"Abrir Street View"))</f>
        <v/>
      </c>
    </row>
    <row r="465">
      <c r="H465" s="6" t="n"/>
      <c r="I465" s="6" t="n"/>
      <c r="M465" s="7" t="n"/>
      <c r="N465" s="7" t="n"/>
      <c r="O465" s="7" t="n"/>
      <c r="P465" s="8">
        <f>IF(NOT(ISNUMBER(M465)),"",IF(G465="Terreno",IF(AND(ISNUMBER(I465),I465&gt;0),M465/I465,""),IF(AND(ISNUMBER(H465),H465&gt;0),M465/H465,"")))</f>
        <v/>
      </c>
      <c r="Q465" s="9">
        <f>IF(AND(ISNUMBER(M465),ISNUMBER(O465)),IF(M465&lt;=O465,"Valor ≤ venal IPTU",""),"")</f>
        <v/>
      </c>
      <c r="R465" s="10" t="n"/>
      <c r="S465" s="10" t="n"/>
      <c r="AA465" s="10" t="n"/>
      <c r="AB465" s="11">
        <f>IF(LEN(TRIM(X465))=0,"",HYPERLINK("https://www.google.com/maps/@?api=1&amp;map_action=pano&amp;viewpoint="&amp;SUBSTITUTE(X465," ",""),"Abrir Street View"))</f>
        <v/>
      </c>
    </row>
    <row r="466">
      <c r="H466" s="6" t="n"/>
      <c r="I466" s="6" t="n"/>
      <c r="M466" s="7" t="n"/>
      <c r="N466" s="7" t="n"/>
      <c r="O466" s="7" t="n"/>
      <c r="P466" s="8">
        <f>IF(NOT(ISNUMBER(M466)),"",IF(G466="Terreno",IF(AND(ISNUMBER(I466),I466&gt;0),M466/I466,""),IF(AND(ISNUMBER(H466),H466&gt;0),M466/H466,"")))</f>
        <v/>
      </c>
      <c r="Q466" s="9">
        <f>IF(AND(ISNUMBER(M466),ISNUMBER(O466)),IF(M466&lt;=O466,"Valor ≤ venal IPTU",""),"")</f>
        <v/>
      </c>
      <c r="R466" s="10" t="n"/>
      <c r="S466" s="10" t="n"/>
      <c r="AA466" s="10" t="n"/>
      <c r="AB466" s="11">
        <f>IF(LEN(TRIM(X466))=0,"",HYPERLINK("https://www.google.com/maps/@?api=1&amp;map_action=pano&amp;viewpoint="&amp;SUBSTITUTE(X466," ",""),"Abrir Street View"))</f>
        <v/>
      </c>
    </row>
    <row r="467">
      <c r="H467" s="6" t="n"/>
      <c r="I467" s="6" t="n"/>
      <c r="M467" s="7" t="n"/>
      <c r="N467" s="7" t="n"/>
      <c r="O467" s="7" t="n"/>
      <c r="P467" s="8">
        <f>IF(NOT(ISNUMBER(M467)),"",IF(G467="Terreno",IF(AND(ISNUMBER(I467),I467&gt;0),M467/I467,""),IF(AND(ISNUMBER(H467),H467&gt;0),M467/H467,"")))</f>
        <v/>
      </c>
      <c r="Q467" s="9">
        <f>IF(AND(ISNUMBER(M467),ISNUMBER(O467)),IF(M467&lt;=O467,"Valor ≤ venal IPTU",""),"")</f>
        <v/>
      </c>
      <c r="R467" s="10" t="n"/>
      <c r="S467" s="10" t="n"/>
      <c r="AA467" s="10" t="n"/>
      <c r="AB467" s="11">
        <f>IF(LEN(TRIM(X467))=0,"",HYPERLINK("https://www.google.com/maps/@?api=1&amp;map_action=pano&amp;viewpoint="&amp;SUBSTITUTE(X467," ",""),"Abrir Street View"))</f>
        <v/>
      </c>
    </row>
    <row r="468">
      <c r="H468" s="6" t="n"/>
      <c r="I468" s="6" t="n"/>
      <c r="M468" s="7" t="n"/>
      <c r="N468" s="7" t="n"/>
      <c r="O468" s="7" t="n"/>
      <c r="P468" s="8">
        <f>IF(NOT(ISNUMBER(M468)),"",IF(G468="Terreno",IF(AND(ISNUMBER(I468),I468&gt;0),M468/I468,""),IF(AND(ISNUMBER(H468),H468&gt;0),M468/H468,"")))</f>
        <v/>
      </c>
      <c r="Q468" s="9">
        <f>IF(AND(ISNUMBER(M468),ISNUMBER(O468)),IF(M468&lt;=O468,"Valor ≤ venal IPTU",""),"")</f>
        <v/>
      </c>
      <c r="R468" s="10" t="n"/>
      <c r="S468" s="10" t="n"/>
      <c r="AA468" s="10" t="n"/>
      <c r="AB468" s="11">
        <f>IF(LEN(TRIM(X468))=0,"",HYPERLINK("https://www.google.com/maps/@?api=1&amp;map_action=pano&amp;viewpoint="&amp;SUBSTITUTE(X468," ",""),"Abrir Street View"))</f>
        <v/>
      </c>
    </row>
    <row r="469">
      <c r="H469" s="6" t="n"/>
      <c r="I469" s="6" t="n"/>
      <c r="M469" s="7" t="n"/>
      <c r="N469" s="7" t="n"/>
      <c r="O469" s="7" t="n"/>
      <c r="P469" s="8">
        <f>IF(NOT(ISNUMBER(M469)),"",IF(G469="Terreno",IF(AND(ISNUMBER(I469),I469&gt;0),M469/I469,""),IF(AND(ISNUMBER(H469),H469&gt;0),M469/H469,"")))</f>
        <v/>
      </c>
      <c r="Q469" s="9">
        <f>IF(AND(ISNUMBER(M469),ISNUMBER(O469)),IF(M469&lt;=O469,"Valor ≤ venal IPTU",""),"")</f>
        <v/>
      </c>
      <c r="R469" s="10" t="n"/>
      <c r="S469" s="10" t="n"/>
      <c r="AA469" s="10" t="n"/>
      <c r="AB469" s="11">
        <f>IF(LEN(TRIM(X469))=0,"",HYPERLINK("https://www.google.com/maps/@?api=1&amp;map_action=pano&amp;viewpoint="&amp;SUBSTITUTE(X469," ",""),"Abrir Street View"))</f>
        <v/>
      </c>
    </row>
    <row r="470">
      <c r="H470" s="6" t="n"/>
      <c r="I470" s="6" t="n"/>
      <c r="M470" s="7" t="n"/>
      <c r="N470" s="7" t="n"/>
      <c r="O470" s="7" t="n"/>
      <c r="P470" s="8">
        <f>IF(NOT(ISNUMBER(M470)),"",IF(G470="Terreno",IF(AND(ISNUMBER(I470),I470&gt;0),M470/I470,""),IF(AND(ISNUMBER(H470),H470&gt;0),M470/H470,"")))</f>
        <v/>
      </c>
      <c r="Q470" s="9">
        <f>IF(AND(ISNUMBER(M470),ISNUMBER(O470)),IF(M470&lt;=O470,"Valor ≤ venal IPTU",""),"")</f>
        <v/>
      </c>
      <c r="R470" s="10" t="n"/>
      <c r="S470" s="10" t="n"/>
      <c r="AA470" s="10" t="n"/>
      <c r="AB470" s="11">
        <f>IF(LEN(TRIM(X470))=0,"",HYPERLINK("https://www.google.com/maps/@?api=1&amp;map_action=pano&amp;viewpoint="&amp;SUBSTITUTE(X470," ",""),"Abrir Street View"))</f>
        <v/>
      </c>
    </row>
    <row r="471">
      <c r="H471" s="6" t="n"/>
      <c r="I471" s="6" t="n"/>
      <c r="M471" s="7" t="n"/>
      <c r="N471" s="7" t="n"/>
      <c r="O471" s="7" t="n"/>
      <c r="P471" s="8">
        <f>IF(NOT(ISNUMBER(M471)),"",IF(G471="Terreno",IF(AND(ISNUMBER(I471),I471&gt;0),M471/I471,""),IF(AND(ISNUMBER(H471),H471&gt;0),M471/H471,"")))</f>
        <v/>
      </c>
      <c r="Q471" s="9">
        <f>IF(AND(ISNUMBER(M471),ISNUMBER(O471)),IF(M471&lt;=O471,"Valor ≤ venal IPTU",""),"")</f>
        <v/>
      </c>
      <c r="R471" s="10" t="n"/>
      <c r="S471" s="10" t="n"/>
      <c r="AA471" s="10" t="n"/>
      <c r="AB471" s="11">
        <f>IF(LEN(TRIM(X471))=0,"",HYPERLINK("https://www.google.com/maps/@?api=1&amp;map_action=pano&amp;viewpoint="&amp;SUBSTITUTE(X471," ",""),"Abrir Street View"))</f>
        <v/>
      </c>
    </row>
    <row r="472">
      <c r="H472" s="6" t="n"/>
      <c r="I472" s="6" t="n"/>
      <c r="M472" s="7" t="n"/>
      <c r="N472" s="7" t="n"/>
      <c r="O472" s="7" t="n"/>
      <c r="P472" s="8">
        <f>IF(NOT(ISNUMBER(M472)),"",IF(G472="Terreno",IF(AND(ISNUMBER(I472),I472&gt;0),M472/I472,""),IF(AND(ISNUMBER(H472),H472&gt;0),M472/H472,"")))</f>
        <v/>
      </c>
      <c r="Q472" s="9">
        <f>IF(AND(ISNUMBER(M472),ISNUMBER(O472)),IF(M472&lt;=O472,"Valor ≤ venal IPTU",""),"")</f>
        <v/>
      </c>
      <c r="R472" s="10" t="n"/>
      <c r="S472" s="10" t="n"/>
      <c r="AA472" s="10" t="n"/>
      <c r="AB472" s="11">
        <f>IF(LEN(TRIM(X472))=0,"",HYPERLINK("https://www.google.com/maps/@?api=1&amp;map_action=pano&amp;viewpoint="&amp;SUBSTITUTE(X472," ",""),"Abrir Street View"))</f>
        <v/>
      </c>
    </row>
    <row r="473">
      <c r="H473" s="6" t="n"/>
      <c r="I473" s="6" t="n"/>
      <c r="M473" s="7" t="n"/>
      <c r="N473" s="7" t="n"/>
      <c r="O473" s="7" t="n"/>
      <c r="P473" s="8">
        <f>IF(NOT(ISNUMBER(M473)),"",IF(G473="Terreno",IF(AND(ISNUMBER(I473),I473&gt;0),M473/I473,""),IF(AND(ISNUMBER(H473),H473&gt;0),M473/H473,"")))</f>
        <v/>
      </c>
      <c r="Q473" s="9">
        <f>IF(AND(ISNUMBER(M473),ISNUMBER(O473)),IF(M473&lt;=O473,"Valor ≤ venal IPTU",""),"")</f>
        <v/>
      </c>
      <c r="R473" s="10" t="n"/>
      <c r="S473" s="10" t="n"/>
      <c r="AA473" s="10" t="n"/>
      <c r="AB473" s="11">
        <f>IF(LEN(TRIM(X473))=0,"",HYPERLINK("https://www.google.com/maps/@?api=1&amp;map_action=pano&amp;viewpoint="&amp;SUBSTITUTE(X473," ",""),"Abrir Street View"))</f>
        <v/>
      </c>
    </row>
    <row r="474">
      <c r="H474" s="6" t="n"/>
      <c r="I474" s="6" t="n"/>
      <c r="M474" s="7" t="n"/>
      <c r="N474" s="7" t="n"/>
      <c r="O474" s="7" t="n"/>
      <c r="P474" s="8">
        <f>IF(NOT(ISNUMBER(M474)),"",IF(G474="Terreno",IF(AND(ISNUMBER(I474),I474&gt;0),M474/I474,""),IF(AND(ISNUMBER(H474),H474&gt;0),M474/H474,"")))</f>
        <v/>
      </c>
      <c r="Q474" s="9">
        <f>IF(AND(ISNUMBER(M474),ISNUMBER(O474)),IF(M474&lt;=O474,"Valor ≤ venal IPTU",""),"")</f>
        <v/>
      </c>
      <c r="R474" s="10" t="n"/>
      <c r="S474" s="10" t="n"/>
      <c r="AA474" s="10" t="n"/>
      <c r="AB474" s="11">
        <f>IF(LEN(TRIM(X474))=0,"",HYPERLINK("https://www.google.com/maps/@?api=1&amp;map_action=pano&amp;viewpoint="&amp;SUBSTITUTE(X474," ",""),"Abrir Street View"))</f>
        <v/>
      </c>
    </row>
    <row r="475">
      <c r="H475" s="6" t="n"/>
      <c r="I475" s="6" t="n"/>
      <c r="M475" s="7" t="n"/>
      <c r="N475" s="7" t="n"/>
      <c r="O475" s="7" t="n"/>
      <c r="P475" s="8">
        <f>IF(NOT(ISNUMBER(M475)),"",IF(G475="Terreno",IF(AND(ISNUMBER(I475),I475&gt;0),M475/I475,""),IF(AND(ISNUMBER(H475),H475&gt;0),M475/H475,"")))</f>
        <v/>
      </c>
      <c r="Q475" s="9">
        <f>IF(AND(ISNUMBER(M475),ISNUMBER(O475)),IF(M475&lt;=O475,"Valor ≤ venal IPTU",""),"")</f>
        <v/>
      </c>
      <c r="R475" s="10" t="n"/>
      <c r="S475" s="10" t="n"/>
      <c r="AA475" s="10" t="n"/>
      <c r="AB475" s="11">
        <f>IF(LEN(TRIM(X475))=0,"",HYPERLINK("https://www.google.com/maps/@?api=1&amp;map_action=pano&amp;viewpoint="&amp;SUBSTITUTE(X475," ",""),"Abrir Street View"))</f>
        <v/>
      </c>
    </row>
    <row r="476">
      <c r="H476" s="6" t="n"/>
      <c r="I476" s="6" t="n"/>
      <c r="M476" s="7" t="n"/>
      <c r="N476" s="7" t="n"/>
      <c r="O476" s="7" t="n"/>
      <c r="P476" s="8">
        <f>IF(NOT(ISNUMBER(M476)),"",IF(G476="Terreno",IF(AND(ISNUMBER(I476),I476&gt;0),M476/I476,""),IF(AND(ISNUMBER(H476),H476&gt;0),M476/H476,"")))</f>
        <v/>
      </c>
      <c r="Q476" s="9">
        <f>IF(AND(ISNUMBER(M476),ISNUMBER(O476)),IF(M476&lt;=O476,"Valor ≤ venal IPTU",""),"")</f>
        <v/>
      </c>
      <c r="R476" s="10" t="n"/>
      <c r="S476" s="10" t="n"/>
      <c r="AA476" s="10" t="n"/>
      <c r="AB476" s="11">
        <f>IF(LEN(TRIM(X476))=0,"",HYPERLINK("https://www.google.com/maps/@?api=1&amp;map_action=pano&amp;viewpoint="&amp;SUBSTITUTE(X476," ",""),"Abrir Street View"))</f>
        <v/>
      </c>
    </row>
    <row r="477">
      <c r="H477" s="6" t="n"/>
      <c r="I477" s="6" t="n"/>
      <c r="M477" s="7" t="n"/>
      <c r="N477" s="7" t="n"/>
      <c r="O477" s="7" t="n"/>
      <c r="P477" s="8">
        <f>IF(NOT(ISNUMBER(M477)),"",IF(G477="Terreno",IF(AND(ISNUMBER(I477),I477&gt;0),M477/I477,""),IF(AND(ISNUMBER(H477),H477&gt;0),M477/H477,"")))</f>
        <v/>
      </c>
      <c r="Q477" s="9">
        <f>IF(AND(ISNUMBER(M477),ISNUMBER(O477)),IF(M477&lt;=O477,"Valor ≤ venal IPTU",""),"")</f>
        <v/>
      </c>
      <c r="R477" s="10" t="n"/>
      <c r="S477" s="10" t="n"/>
      <c r="AA477" s="10" t="n"/>
      <c r="AB477" s="11">
        <f>IF(LEN(TRIM(X477))=0,"",HYPERLINK("https://www.google.com/maps/@?api=1&amp;map_action=pano&amp;viewpoint="&amp;SUBSTITUTE(X477," ",""),"Abrir Street View"))</f>
        <v/>
      </c>
    </row>
    <row r="478">
      <c r="H478" s="6" t="n"/>
      <c r="I478" s="6" t="n"/>
      <c r="M478" s="7" t="n"/>
      <c r="N478" s="7" t="n"/>
      <c r="O478" s="7" t="n"/>
      <c r="P478" s="8">
        <f>IF(NOT(ISNUMBER(M478)),"",IF(G478="Terreno",IF(AND(ISNUMBER(I478),I478&gt;0),M478/I478,""),IF(AND(ISNUMBER(H478),H478&gt;0),M478/H478,"")))</f>
        <v/>
      </c>
      <c r="Q478" s="9">
        <f>IF(AND(ISNUMBER(M478),ISNUMBER(O478)),IF(M478&lt;=O478,"Valor ≤ venal IPTU",""),"")</f>
        <v/>
      </c>
      <c r="R478" s="10" t="n"/>
      <c r="S478" s="10" t="n"/>
      <c r="AA478" s="10" t="n"/>
      <c r="AB478" s="11">
        <f>IF(LEN(TRIM(X478))=0,"",HYPERLINK("https://www.google.com/maps/@?api=1&amp;map_action=pano&amp;viewpoint="&amp;SUBSTITUTE(X478," ",""),"Abrir Street View"))</f>
        <v/>
      </c>
    </row>
    <row r="479">
      <c r="H479" s="6" t="n"/>
      <c r="I479" s="6" t="n"/>
      <c r="M479" s="7" t="n"/>
      <c r="N479" s="7" t="n"/>
      <c r="O479" s="7" t="n"/>
      <c r="P479" s="8">
        <f>IF(NOT(ISNUMBER(M479)),"",IF(G479="Terreno",IF(AND(ISNUMBER(I479),I479&gt;0),M479/I479,""),IF(AND(ISNUMBER(H479),H479&gt;0),M479/H479,"")))</f>
        <v/>
      </c>
      <c r="Q479" s="9">
        <f>IF(AND(ISNUMBER(M479),ISNUMBER(O479)),IF(M479&lt;=O479,"Valor ≤ venal IPTU",""),"")</f>
        <v/>
      </c>
      <c r="R479" s="10" t="n"/>
      <c r="S479" s="10" t="n"/>
      <c r="AA479" s="10" t="n"/>
      <c r="AB479" s="11">
        <f>IF(LEN(TRIM(X479))=0,"",HYPERLINK("https://www.google.com/maps/@?api=1&amp;map_action=pano&amp;viewpoint="&amp;SUBSTITUTE(X479," ",""),"Abrir Street View"))</f>
        <v/>
      </c>
    </row>
    <row r="480">
      <c r="H480" s="6" t="n"/>
      <c r="I480" s="6" t="n"/>
      <c r="M480" s="7" t="n"/>
      <c r="N480" s="7" t="n"/>
      <c r="O480" s="7" t="n"/>
      <c r="P480" s="8">
        <f>IF(NOT(ISNUMBER(M480)),"",IF(G480="Terreno",IF(AND(ISNUMBER(I480),I480&gt;0),M480/I480,""),IF(AND(ISNUMBER(H480),H480&gt;0),M480/H480,"")))</f>
        <v/>
      </c>
      <c r="Q480" s="9">
        <f>IF(AND(ISNUMBER(M480),ISNUMBER(O480)),IF(M480&lt;=O480,"Valor ≤ venal IPTU",""),"")</f>
        <v/>
      </c>
      <c r="R480" s="10" t="n"/>
      <c r="S480" s="10" t="n"/>
      <c r="AA480" s="10" t="n"/>
      <c r="AB480" s="11">
        <f>IF(LEN(TRIM(X480))=0,"",HYPERLINK("https://www.google.com/maps/@?api=1&amp;map_action=pano&amp;viewpoint="&amp;SUBSTITUTE(X480," ",""),"Abrir Street View"))</f>
        <v/>
      </c>
    </row>
    <row r="481">
      <c r="H481" s="6" t="n"/>
      <c r="I481" s="6" t="n"/>
      <c r="M481" s="7" t="n"/>
      <c r="N481" s="7" t="n"/>
      <c r="O481" s="7" t="n"/>
      <c r="P481" s="8">
        <f>IF(NOT(ISNUMBER(M481)),"",IF(G481="Terreno",IF(AND(ISNUMBER(I481),I481&gt;0),M481/I481,""),IF(AND(ISNUMBER(H481),H481&gt;0),M481/H481,"")))</f>
        <v/>
      </c>
      <c r="Q481" s="9">
        <f>IF(AND(ISNUMBER(M481),ISNUMBER(O481)),IF(M481&lt;=O481,"Valor ≤ venal IPTU",""),"")</f>
        <v/>
      </c>
      <c r="R481" s="10" t="n"/>
      <c r="S481" s="10" t="n"/>
      <c r="AA481" s="10" t="n"/>
      <c r="AB481" s="11">
        <f>IF(LEN(TRIM(X481))=0,"",HYPERLINK("https://www.google.com/maps/@?api=1&amp;map_action=pano&amp;viewpoint="&amp;SUBSTITUTE(X481," ",""),"Abrir Street View"))</f>
        <v/>
      </c>
    </row>
    <row r="482">
      <c r="H482" s="6" t="n"/>
      <c r="I482" s="6" t="n"/>
      <c r="M482" s="7" t="n"/>
      <c r="N482" s="7" t="n"/>
      <c r="O482" s="7" t="n"/>
      <c r="P482" s="8">
        <f>IF(NOT(ISNUMBER(M482)),"",IF(G482="Terreno",IF(AND(ISNUMBER(I482),I482&gt;0),M482/I482,""),IF(AND(ISNUMBER(H482),H482&gt;0),M482/H482,"")))</f>
        <v/>
      </c>
      <c r="Q482" s="9">
        <f>IF(AND(ISNUMBER(M482),ISNUMBER(O482)),IF(M482&lt;=O482,"Valor ≤ venal IPTU",""),"")</f>
        <v/>
      </c>
      <c r="R482" s="10" t="n"/>
      <c r="S482" s="10" t="n"/>
      <c r="AA482" s="10" t="n"/>
      <c r="AB482" s="11">
        <f>IF(LEN(TRIM(X482))=0,"",HYPERLINK("https://www.google.com/maps/@?api=1&amp;map_action=pano&amp;viewpoint="&amp;SUBSTITUTE(X482," ",""),"Abrir Street View"))</f>
        <v/>
      </c>
    </row>
    <row r="483">
      <c r="H483" s="6" t="n"/>
      <c r="I483" s="6" t="n"/>
      <c r="M483" s="7" t="n"/>
      <c r="N483" s="7" t="n"/>
      <c r="O483" s="7" t="n"/>
      <c r="P483" s="8">
        <f>IF(NOT(ISNUMBER(M483)),"",IF(G483="Terreno",IF(AND(ISNUMBER(I483),I483&gt;0),M483/I483,""),IF(AND(ISNUMBER(H483),H483&gt;0),M483/H483,"")))</f>
        <v/>
      </c>
      <c r="Q483" s="9">
        <f>IF(AND(ISNUMBER(M483),ISNUMBER(O483)),IF(M483&lt;=O483,"Valor ≤ venal IPTU",""),"")</f>
        <v/>
      </c>
      <c r="R483" s="10" t="n"/>
      <c r="S483" s="10" t="n"/>
      <c r="AA483" s="10" t="n"/>
      <c r="AB483" s="11">
        <f>IF(LEN(TRIM(X483))=0,"",HYPERLINK("https://www.google.com/maps/@?api=1&amp;map_action=pano&amp;viewpoint="&amp;SUBSTITUTE(X483," ",""),"Abrir Street View"))</f>
        <v/>
      </c>
    </row>
    <row r="484">
      <c r="H484" s="6" t="n"/>
      <c r="I484" s="6" t="n"/>
      <c r="M484" s="7" t="n"/>
      <c r="N484" s="7" t="n"/>
      <c r="O484" s="7" t="n"/>
      <c r="P484" s="8">
        <f>IF(NOT(ISNUMBER(M484)),"",IF(G484="Terreno",IF(AND(ISNUMBER(I484),I484&gt;0),M484/I484,""),IF(AND(ISNUMBER(H484),H484&gt;0),M484/H484,"")))</f>
        <v/>
      </c>
      <c r="Q484" s="9">
        <f>IF(AND(ISNUMBER(M484),ISNUMBER(O484)),IF(M484&lt;=O484,"Valor ≤ venal IPTU",""),"")</f>
        <v/>
      </c>
      <c r="R484" s="10" t="n"/>
      <c r="S484" s="10" t="n"/>
      <c r="AA484" s="10" t="n"/>
      <c r="AB484" s="11">
        <f>IF(LEN(TRIM(X484))=0,"",HYPERLINK("https://www.google.com/maps/@?api=1&amp;map_action=pano&amp;viewpoint="&amp;SUBSTITUTE(X484," ",""),"Abrir Street View"))</f>
        <v/>
      </c>
    </row>
    <row r="485">
      <c r="H485" s="6" t="n"/>
      <c r="I485" s="6" t="n"/>
      <c r="M485" s="7" t="n"/>
      <c r="N485" s="7" t="n"/>
      <c r="O485" s="7" t="n"/>
      <c r="P485" s="8">
        <f>IF(NOT(ISNUMBER(M485)),"",IF(G485="Terreno",IF(AND(ISNUMBER(I485),I485&gt;0),M485/I485,""),IF(AND(ISNUMBER(H485),H485&gt;0),M485/H485,"")))</f>
        <v/>
      </c>
      <c r="Q485" s="9">
        <f>IF(AND(ISNUMBER(M485),ISNUMBER(O485)),IF(M485&lt;=O485,"Valor ≤ venal IPTU",""),"")</f>
        <v/>
      </c>
      <c r="R485" s="10" t="n"/>
      <c r="S485" s="10" t="n"/>
      <c r="AA485" s="10" t="n"/>
      <c r="AB485" s="11">
        <f>IF(LEN(TRIM(X485))=0,"",HYPERLINK("https://www.google.com/maps/@?api=1&amp;map_action=pano&amp;viewpoint="&amp;SUBSTITUTE(X485," ",""),"Abrir Street View"))</f>
        <v/>
      </c>
    </row>
    <row r="486">
      <c r="H486" s="6" t="n"/>
      <c r="I486" s="6" t="n"/>
      <c r="M486" s="7" t="n"/>
      <c r="N486" s="7" t="n"/>
      <c r="O486" s="7" t="n"/>
      <c r="P486" s="8">
        <f>IF(NOT(ISNUMBER(M486)),"",IF(G486="Terreno",IF(AND(ISNUMBER(I486),I486&gt;0),M486/I486,""),IF(AND(ISNUMBER(H486),H486&gt;0),M486/H486,"")))</f>
        <v/>
      </c>
      <c r="Q486" s="9">
        <f>IF(AND(ISNUMBER(M486),ISNUMBER(O486)),IF(M486&lt;=O486,"Valor ≤ venal IPTU",""),"")</f>
        <v/>
      </c>
      <c r="R486" s="10" t="n"/>
      <c r="S486" s="10" t="n"/>
      <c r="AA486" s="10" t="n"/>
      <c r="AB486" s="11">
        <f>IF(LEN(TRIM(X486))=0,"",HYPERLINK("https://www.google.com/maps/@?api=1&amp;map_action=pano&amp;viewpoint="&amp;SUBSTITUTE(X486," ",""),"Abrir Street View"))</f>
        <v/>
      </c>
    </row>
    <row r="487">
      <c r="H487" s="6" t="n"/>
      <c r="I487" s="6" t="n"/>
      <c r="M487" s="7" t="n"/>
      <c r="N487" s="7" t="n"/>
      <c r="O487" s="7" t="n"/>
      <c r="P487" s="8">
        <f>IF(NOT(ISNUMBER(M487)),"",IF(G487="Terreno",IF(AND(ISNUMBER(I487),I487&gt;0),M487/I487,""),IF(AND(ISNUMBER(H487),H487&gt;0),M487/H487,"")))</f>
        <v/>
      </c>
      <c r="Q487" s="9">
        <f>IF(AND(ISNUMBER(M487),ISNUMBER(O487)),IF(M487&lt;=O487,"Valor ≤ venal IPTU",""),"")</f>
        <v/>
      </c>
      <c r="R487" s="10" t="n"/>
      <c r="S487" s="10" t="n"/>
      <c r="AA487" s="10" t="n"/>
      <c r="AB487" s="11">
        <f>IF(LEN(TRIM(X487))=0,"",HYPERLINK("https://www.google.com/maps/@?api=1&amp;map_action=pano&amp;viewpoint="&amp;SUBSTITUTE(X487," ",""),"Abrir Street View"))</f>
        <v/>
      </c>
    </row>
    <row r="488">
      <c r="H488" s="6" t="n"/>
      <c r="I488" s="6" t="n"/>
      <c r="M488" s="7" t="n"/>
      <c r="N488" s="7" t="n"/>
      <c r="O488" s="7" t="n"/>
      <c r="P488" s="8">
        <f>IF(NOT(ISNUMBER(M488)),"",IF(G488="Terreno",IF(AND(ISNUMBER(I488),I488&gt;0),M488/I488,""),IF(AND(ISNUMBER(H488),H488&gt;0),M488/H488,"")))</f>
        <v/>
      </c>
      <c r="Q488" s="9">
        <f>IF(AND(ISNUMBER(M488),ISNUMBER(O488)),IF(M488&lt;=O488,"Valor ≤ venal IPTU",""),"")</f>
        <v/>
      </c>
      <c r="R488" s="10" t="n"/>
      <c r="S488" s="10" t="n"/>
      <c r="AA488" s="10" t="n"/>
      <c r="AB488" s="11">
        <f>IF(LEN(TRIM(X488))=0,"",HYPERLINK("https://www.google.com/maps/@?api=1&amp;map_action=pano&amp;viewpoint="&amp;SUBSTITUTE(X488," ",""),"Abrir Street View"))</f>
        <v/>
      </c>
    </row>
    <row r="489">
      <c r="H489" s="6" t="n"/>
      <c r="I489" s="6" t="n"/>
      <c r="M489" s="7" t="n"/>
      <c r="N489" s="7" t="n"/>
      <c r="O489" s="7" t="n"/>
      <c r="P489" s="8">
        <f>IF(NOT(ISNUMBER(M489)),"",IF(G489="Terreno",IF(AND(ISNUMBER(I489),I489&gt;0),M489/I489,""),IF(AND(ISNUMBER(H489),H489&gt;0),M489/H489,"")))</f>
        <v/>
      </c>
      <c r="Q489" s="9">
        <f>IF(AND(ISNUMBER(M489),ISNUMBER(O489)),IF(M489&lt;=O489,"Valor ≤ venal IPTU",""),"")</f>
        <v/>
      </c>
      <c r="R489" s="10" t="n"/>
      <c r="S489" s="10" t="n"/>
      <c r="AA489" s="10" t="n"/>
      <c r="AB489" s="11">
        <f>IF(LEN(TRIM(X489))=0,"",HYPERLINK("https://www.google.com/maps/@?api=1&amp;map_action=pano&amp;viewpoint="&amp;SUBSTITUTE(X489," ",""),"Abrir Street View"))</f>
        <v/>
      </c>
    </row>
    <row r="490">
      <c r="H490" s="6" t="n"/>
      <c r="I490" s="6" t="n"/>
      <c r="M490" s="7" t="n"/>
      <c r="N490" s="7" t="n"/>
      <c r="O490" s="7" t="n"/>
      <c r="P490" s="8">
        <f>IF(NOT(ISNUMBER(M490)),"",IF(G490="Terreno",IF(AND(ISNUMBER(I490),I490&gt;0),M490/I490,""),IF(AND(ISNUMBER(H490),H490&gt;0),M490/H490,"")))</f>
        <v/>
      </c>
      <c r="Q490" s="9">
        <f>IF(AND(ISNUMBER(M490),ISNUMBER(O490)),IF(M490&lt;=O490,"Valor ≤ venal IPTU",""),"")</f>
        <v/>
      </c>
      <c r="R490" s="10" t="n"/>
      <c r="S490" s="10" t="n"/>
      <c r="AA490" s="10" t="n"/>
      <c r="AB490" s="11">
        <f>IF(LEN(TRIM(X490))=0,"",HYPERLINK("https://www.google.com/maps/@?api=1&amp;map_action=pano&amp;viewpoint="&amp;SUBSTITUTE(X490," ",""),"Abrir Street View"))</f>
        <v/>
      </c>
    </row>
    <row r="491">
      <c r="H491" s="6" t="n"/>
      <c r="I491" s="6" t="n"/>
      <c r="M491" s="7" t="n"/>
      <c r="N491" s="7" t="n"/>
      <c r="O491" s="7" t="n"/>
      <c r="P491" s="8">
        <f>IF(NOT(ISNUMBER(M491)),"",IF(G491="Terreno",IF(AND(ISNUMBER(I491),I491&gt;0),M491/I491,""),IF(AND(ISNUMBER(H491),H491&gt;0),M491/H491,"")))</f>
        <v/>
      </c>
      <c r="Q491" s="9">
        <f>IF(AND(ISNUMBER(M491),ISNUMBER(O491)),IF(M491&lt;=O491,"Valor ≤ venal IPTU",""),"")</f>
        <v/>
      </c>
      <c r="R491" s="10" t="n"/>
      <c r="S491" s="10" t="n"/>
      <c r="AA491" s="10" t="n"/>
      <c r="AB491" s="11">
        <f>IF(LEN(TRIM(X491))=0,"",HYPERLINK("https://www.google.com/maps/@?api=1&amp;map_action=pano&amp;viewpoint="&amp;SUBSTITUTE(X491," ",""),"Abrir Street View"))</f>
        <v/>
      </c>
    </row>
    <row r="492">
      <c r="H492" s="6" t="n"/>
      <c r="I492" s="6" t="n"/>
      <c r="M492" s="7" t="n"/>
      <c r="N492" s="7" t="n"/>
      <c r="O492" s="7" t="n"/>
      <c r="P492" s="8">
        <f>IF(NOT(ISNUMBER(M492)),"",IF(G492="Terreno",IF(AND(ISNUMBER(I492),I492&gt;0),M492/I492,""),IF(AND(ISNUMBER(H492),H492&gt;0),M492/H492,"")))</f>
        <v/>
      </c>
      <c r="Q492" s="9">
        <f>IF(AND(ISNUMBER(M492),ISNUMBER(O492)),IF(M492&lt;=O492,"Valor ≤ venal IPTU",""),"")</f>
        <v/>
      </c>
      <c r="R492" s="10" t="n"/>
      <c r="S492" s="10" t="n"/>
      <c r="AA492" s="10" t="n"/>
      <c r="AB492" s="11">
        <f>IF(LEN(TRIM(X492))=0,"",HYPERLINK("https://www.google.com/maps/@?api=1&amp;map_action=pano&amp;viewpoint="&amp;SUBSTITUTE(X492," ",""),"Abrir Street View"))</f>
        <v/>
      </c>
    </row>
    <row r="493">
      <c r="H493" s="6" t="n"/>
      <c r="I493" s="6" t="n"/>
      <c r="M493" s="7" t="n"/>
      <c r="N493" s="7" t="n"/>
      <c r="O493" s="7" t="n"/>
      <c r="P493" s="8">
        <f>IF(NOT(ISNUMBER(M493)),"",IF(G493="Terreno",IF(AND(ISNUMBER(I493),I493&gt;0),M493/I493,""),IF(AND(ISNUMBER(H493),H493&gt;0),M493/H493,"")))</f>
        <v/>
      </c>
      <c r="Q493" s="9">
        <f>IF(AND(ISNUMBER(M493),ISNUMBER(O493)),IF(M493&lt;=O493,"Valor ≤ venal IPTU",""),"")</f>
        <v/>
      </c>
      <c r="R493" s="10" t="n"/>
      <c r="S493" s="10" t="n"/>
      <c r="AA493" s="10" t="n"/>
      <c r="AB493" s="11">
        <f>IF(LEN(TRIM(X493))=0,"",HYPERLINK("https://www.google.com/maps/@?api=1&amp;map_action=pano&amp;viewpoint="&amp;SUBSTITUTE(X493," ",""),"Abrir Street View"))</f>
        <v/>
      </c>
    </row>
    <row r="494">
      <c r="H494" s="6" t="n"/>
      <c r="I494" s="6" t="n"/>
      <c r="M494" s="7" t="n"/>
      <c r="N494" s="7" t="n"/>
      <c r="O494" s="7" t="n"/>
      <c r="P494" s="8">
        <f>IF(NOT(ISNUMBER(M494)),"",IF(G494="Terreno",IF(AND(ISNUMBER(I494),I494&gt;0),M494/I494,""),IF(AND(ISNUMBER(H494),H494&gt;0),M494/H494,"")))</f>
        <v/>
      </c>
      <c r="Q494" s="9">
        <f>IF(AND(ISNUMBER(M494),ISNUMBER(O494)),IF(M494&lt;=O494,"Valor ≤ venal IPTU",""),"")</f>
        <v/>
      </c>
      <c r="R494" s="10" t="n"/>
      <c r="S494" s="10" t="n"/>
      <c r="AA494" s="10" t="n"/>
      <c r="AB494" s="11">
        <f>IF(LEN(TRIM(X494))=0,"",HYPERLINK("https://www.google.com/maps/@?api=1&amp;map_action=pano&amp;viewpoint="&amp;SUBSTITUTE(X494," ",""),"Abrir Street View"))</f>
        <v/>
      </c>
    </row>
    <row r="495">
      <c r="H495" s="6" t="n"/>
      <c r="I495" s="6" t="n"/>
      <c r="M495" s="7" t="n"/>
      <c r="N495" s="7" t="n"/>
      <c r="O495" s="7" t="n"/>
      <c r="P495" s="8">
        <f>IF(NOT(ISNUMBER(M495)),"",IF(G495="Terreno",IF(AND(ISNUMBER(I495),I495&gt;0),M495/I495,""),IF(AND(ISNUMBER(H495),H495&gt;0),M495/H495,"")))</f>
        <v/>
      </c>
      <c r="Q495" s="9">
        <f>IF(AND(ISNUMBER(M495),ISNUMBER(O495)),IF(M495&lt;=O495,"Valor ≤ venal IPTU",""),"")</f>
        <v/>
      </c>
      <c r="R495" s="10" t="n"/>
      <c r="S495" s="10" t="n"/>
      <c r="AA495" s="10" t="n"/>
      <c r="AB495" s="11">
        <f>IF(LEN(TRIM(X495))=0,"",HYPERLINK("https://www.google.com/maps/@?api=1&amp;map_action=pano&amp;viewpoint="&amp;SUBSTITUTE(X495," ",""),"Abrir Street View"))</f>
        <v/>
      </c>
    </row>
    <row r="496">
      <c r="H496" s="6" t="n"/>
      <c r="I496" s="6" t="n"/>
      <c r="M496" s="7" t="n"/>
      <c r="N496" s="7" t="n"/>
      <c r="O496" s="7" t="n"/>
      <c r="P496" s="8">
        <f>IF(NOT(ISNUMBER(M496)),"",IF(G496="Terreno",IF(AND(ISNUMBER(I496),I496&gt;0),M496/I496,""),IF(AND(ISNUMBER(H496),H496&gt;0),M496/H496,"")))</f>
        <v/>
      </c>
      <c r="Q496" s="9">
        <f>IF(AND(ISNUMBER(M496),ISNUMBER(O496)),IF(M496&lt;=O496,"Valor ≤ venal IPTU",""),"")</f>
        <v/>
      </c>
      <c r="R496" s="10" t="n"/>
      <c r="S496" s="10" t="n"/>
      <c r="AA496" s="10" t="n"/>
      <c r="AB496" s="11">
        <f>IF(LEN(TRIM(X496))=0,"",HYPERLINK("https://www.google.com/maps/@?api=1&amp;map_action=pano&amp;viewpoint="&amp;SUBSTITUTE(X496," ",""),"Abrir Street View"))</f>
        <v/>
      </c>
    </row>
    <row r="497">
      <c r="H497" s="6" t="n"/>
      <c r="I497" s="6" t="n"/>
      <c r="M497" s="7" t="n"/>
      <c r="N497" s="7" t="n"/>
      <c r="O497" s="7" t="n"/>
      <c r="P497" s="8">
        <f>IF(NOT(ISNUMBER(M497)),"",IF(G497="Terreno",IF(AND(ISNUMBER(I497),I497&gt;0),M497/I497,""),IF(AND(ISNUMBER(H497),H497&gt;0),M497/H497,"")))</f>
        <v/>
      </c>
      <c r="Q497" s="9">
        <f>IF(AND(ISNUMBER(M497),ISNUMBER(O497)),IF(M497&lt;=O497,"Valor ≤ venal IPTU",""),"")</f>
        <v/>
      </c>
      <c r="R497" s="10" t="n"/>
      <c r="S497" s="10" t="n"/>
      <c r="AA497" s="10" t="n"/>
      <c r="AB497" s="11">
        <f>IF(LEN(TRIM(X497))=0,"",HYPERLINK("https://www.google.com/maps/@?api=1&amp;map_action=pano&amp;viewpoint="&amp;SUBSTITUTE(X497," ",""),"Abrir Street View"))</f>
        <v/>
      </c>
    </row>
    <row r="498">
      <c r="H498" s="6" t="n"/>
      <c r="I498" s="6" t="n"/>
      <c r="M498" s="7" t="n"/>
      <c r="N498" s="7" t="n"/>
      <c r="O498" s="7" t="n"/>
      <c r="P498" s="8">
        <f>IF(NOT(ISNUMBER(M498)),"",IF(G498="Terreno",IF(AND(ISNUMBER(I498),I498&gt;0),M498/I498,""),IF(AND(ISNUMBER(H498),H498&gt;0),M498/H498,"")))</f>
        <v/>
      </c>
      <c r="Q498" s="9">
        <f>IF(AND(ISNUMBER(M498),ISNUMBER(O498)),IF(M498&lt;=O498,"Valor ≤ venal IPTU",""),"")</f>
        <v/>
      </c>
      <c r="R498" s="10" t="n"/>
      <c r="S498" s="10" t="n"/>
      <c r="AA498" s="10" t="n"/>
      <c r="AB498" s="11">
        <f>IF(LEN(TRIM(X498))=0,"",HYPERLINK("https://www.google.com/maps/@?api=1&amp;map_action=pano&amp;viewpoint="&amp;SUBSTITUTE(X498," ",""),"Abrir Street View"))</f>
        <v/>
      </c>
    </row>
    <row r="499">
      <c r="H499" s="6" t="n"/>
      <c r="I499" s="6" t="n"/>
      <c r="M499" s="7" t="n"/>
      <c r="N499" s="7" t="n"/>
      <c r="O499" s="7" t="n"/>
      <c r="P499" s="8">
        <f>IF(NOT(ISNUMBER(M499)),"",IF(G499="Terreno",IF(AND(ISNUMBER(I499),I499&gt;0),M499/I499,""),IF(AND(ISNUMBER(H499),H499&gt;0),M499/H499,"")))</f>
        <v/>
      </c>
      <c r="Q499" s="9">
        <f>IF(AND(ISNUMBER(M499),ISNUMBER(O499)),IF(M499&lt;=O499,"Valor ≤ venal IPTU",""),"")</f>
        <v/>
      </c>
      <c r="R499" s="10" t="n"/>
      <c r="S499" s="10" t="n"/>
      <c r="AA499" s="10" t="n"/>
      <c r="AB499" s="11">
        <f>IF(LEN(TRIM(X499))=0,"",HYPERLINK("https://www.google.com/maps/@?api=1&amp;map_action=pano&amp;viewpoint="&amp;SUBSTITUTE(X499," ",""),"Abrir Street View"))</f>
        <v/>
      </c>
    </row>
    <row r="500">
      <c r="H500" s="6" t="n"/>
      <c r="I500" s="6" t="n"/>
      <c r="M500" s="7" t="n"/>
      <c r="N500" s="7" t="n"/>
      <c r="O500" s="7" t="n"/>
      <c r="P500" s="8">
        <f>IF(NOT(ISNUMBER(M500)),"",IF(G500="Terreno",IF(AND(ISNUMBER(I500),I500&gt;0),M500/I500,""),IF(AND(ISNUMBER(H500),H500&gt;0),M500/H500,"")))</f>
        <v/>
      </c>
      <c r="Q500" s="9">
        <f>IF(AND(ISNUMBER(M500),ISNUMBER(O500)),IF(M500&lt;=O500,"Valor ≤ venal IPTU",""),"")</f>
        <v/>
      </c>
      <c r="R500" s="10" t="n"/>
      <c r="S500" s="10" t="n"/>
      <c r="AA500" s="10" t="n"/>
      <c r="AB500" s="11">
        <f>IF(LEN(TRIM(X500))=0,"",HYPERLINK("https://www.google.com/maps/@?api=1&amp;map_action=pano&amp;viewpoint="&amp;SUBSTITUTE(X500," ",""),"Abrir Street View"))</f>
        <v/>
      </c>
    </row>
    <row r="501">
      <c r="H501" s="6" t="n"/>
      <c r="I501" s="6" t="n"/>
      <c r="M501" s="7" t="n"/>
      <c r="N501" s="7" t="n"/>
      <c r="O501" s="7" t="n"/>
      <c r="P501" s="8">
        <f>IF(NOT(ISNUMBER(M501)),"",IF(G501="Terreno",IF(AND(ISNUMBER(I501),I501&gt;0),M501/I501,""),IF(AND(ISNUMBER(H501),H501&gt;0),M501/H501,"")))</f>
        <v/>
      </c>
      <c r="Q501" s="9">
        <f>IF(AND(ISNUMBER(M501),ISNUMBER(O501)),IF(M501&lt;=O501,"Valor ≤ venal IPTU",""),"")</f>
        <v/>
      </c>
      <c r="R501" s="10" t="n"/>
      <c r="S501" s="10" t="n"/>
      <c r="AA501" s="10" t="n"/>
      <c r="AB501" s="11">
        <f>IF(LEN(TRIM(X501))=0,"",HYPERLINK("https://www.google.com/maps/@?api=1&amp;map_action=pano&amp;viewpoint="&amp;SUBSTITUTE(X501," ",""),"Abrir Street View"))</f>
        <v/>
      </c>
    </row>
    <row r="502">
      <c r="H502" s="6" t="n"/>
      <c r="I502" s="6" t="n"/>
      <c r="M502" s="7" t="n"/>
      <c r="N502" s="7" t="n"/>
      <c r="O502" s="7" t="n"/>
      <c r="P502" s="8">
        <f>IF(NOT(ISNUMBER(M502)),"",IF(G502="Terreno",IF(AND(ISNUMBER(I502),I502&gt;0),M502/I502,""),IF(AND(ISNUMBER(H502),H502&gt;0),M502/H502,"")))</f>
        <v/>
      </c>
      <c r="Q502" s="9">
        <f>IF(AND(ISNUMBER(M502),ISNUMBER(O502)),IF(M502&lt;=O502,"Valor ≤ venal IPTU",""),"")</f>
        <v/>
      </c>
      <c r="R502" s="10" t="n"/>
      <c r="S502" s="10" t="n"/>
      <c r="AA502" s="10" t="n"/>
      <c r="AB502" s="11">
        <f>IF(LEN(TRIM(X502))=0,"",HYPERLINK("https://www.google.com/maps/@?api=1&amp;map_action=pano&amp;viewpoint="&amp;SUBSTITUTE(X502," ",""),"Abrir Street View"))</f>
        <v/>
      </c>
    </row>
    <row r="503">
      <c r="H503" s="6" t="n"/>
      <c r="I503" s="6" t="n"/>
      <c r="M503" s="7" t="n"/>
      <c r="N503" s="7" t="n"/>
      <c r="O503" s="7" t="n"/>
      <c r="P503" s="8">
        <f>IF(NOT(ISNUMBER(M503)),"",IF(G503="Terreno",IF(AND(ISNUMBER(I503),I503&gt;0),M503/I503,""),IF(AND(ISNUMBER(H503),H503&gt;0),M503/H503,"")))</f>
        <v/>
      </c>
      <c r="Q503" s="9">
        <f>IF(AND(ISNUMBER(M503),ISNUMBER(O503)),IF(M503&lt;=O503,"Valor ≤ venal IPTU",""),"")</f>
        <v/>
      </c>
      <c r="R503" s="10" t="n"/>
      <c r="S503" s="10" t="n"/>
      <c r="AA503" s="10" t="n"/>
      <c r="AB503" s="11">
        <f>IF(LEN(TRIM(X503))=0,"",HYPERLINK("https://www.google.com/maps/@?api=1&amp;map_action=pano&amp;viewpoint="&amp;SUBSTITUTE(X503," ",""),"Abrir Street View"))</f>
        <v/>
      </c>
    </row>
    <row r="504">
      <c r="H504" s="6" t="n"/>
      <c r="I504" s="6" t="n"/>
      <c r="M504" s="7" t="n"/>
      <c r="N504" s="7" t="n"/>
      <c r="O504" s="7" t="n"/>
      <c r="P504" s="8">
        <f>IF(NOT(ISNUMBER(M504)),"",IF(G504="Terreno",IF(AND(ISNUMBER(I504),I504&gt;0),M504/I504,""),IF(AND(ISNUMBER(H504),H504&gt;0),M504/H504,"")))</f>
        <v/>
      </c>
      <c r="Q504" s="9">
        <f>IF(AND(ISNUMBER(M504),ISNUMBER(O504)),IF(M504&lt;=O504,"Valor ≤ venal IPTU",""),"")</f>
        <v/>
      </c>
      <c r="R504" s="10" t="n"/>
      <c r="S504" s="10" t="n"/>
      <c r="AA504" s="10" t="n"/>
      <c r="AB504" s="11">
        <f>IF(LEN(TRIM(X504))=0,"",HYPERLINK("https://www.google.com/maps/@?api=1&amp;map_action=pano&amp;viewpoint="&amp;SUBSTITUTE(X504," ",""),"Abrir Street View"))</f>
        <v/>
      </c>
    </row>
    <row r="505">
      <c r="H505" s="6" t="n"/>
      <c r="I505" s="6" t="n"/>
      <c r="M505" s="7" t="n"/>
      <c r="N505" s="7" t="n"/>
      <c r="O505" s="7" t="n"/>
      <c r="P505" s="8">
        <f>IF(NOT(ISNUMBER(M505)),"",IF(G505="Terreno",IF(AND(ISNUMBER(I505),I505&gt;0),M505/I505,""),IF(AND(ISNUMBER(H505),H505&gt;0),M505/H505,"")))</f>
        <v/>
      </c>
      <c r="Q505" s="9">
        <f>IF(AND(ISNUMBER(M505),ISNUMBER(O505)),IF(M505&lt;=O505,"Valor ≤ venal IPTU",""),"")</f>
        <v/>
      </c>
      <c r="R505" s="10" t="n"/>
      <c r="S505" s="10" t="n"/>
      <c r="AA505" s="10" t="n"/>
      <c r="AB505" s="11">
        <f>IF(LEN(TRIM(X505))=0,"",HYPERLINK("https://www.google.com/maps/@?api=1&amp;map_action=pano&amp;viewpoint="&amp;SUBSTITUTE(X505," ",""),"Abrir Street View"))</f>
        <v/>
      </c>
    </row>
    <row r="506">
      <c r="H506" s="6" t="n"/>
      <c r="I506" s="6" t="n"/>
      <c r="M506" s="7" t="n"/>
      <c r="N506" s="7" t="n"/>
      <c r="O506" s="7" t="n"/>
      <c r="P506" s="8">
        <f>IF(NOT(ISNUMBER(M506)),"",IF(G506="Terreno",IF(AND(ISNUMBER(I506),I506&gt;0),M506/I506,""),IF(AND(ISNUMBER(H506),H506&gt;0),M506/H506,"")))</f>
        <v/>
      </c>
      <c r="Q506" s="9">
        <f>IF(AND(ISNUMBER(M506),ISNUMBER(O506)),IF(M506&lt;=O506,"Valor ≤ venal IPTU",""),"")</f>
        <v/>
      </c>
      <c r="R506" s="10" t="n"/>
      <c r="S506" s="10" t="n"/>
      <c r="AA506" s="10" t="n"/>
      <c r="AB506" s="11">
        <f>IF(LEN(TRIM(X506))=0,"",HYPERLINK("https://www.google.com/maps/@?api=1&amp;map_action=pano&amp;viewpoint="&amp;SUBSTITUTE(X506," ",""),"Abrir Street View"))</f>
        <v/>
      </c>
    </row>
    <row r="507">
      <c r="H507" s="6" t="n"/>
      <c r="I507" s="6" t="n"/>
      <c r="M507" s="7" t="n"/>
      <c r="N507" s="7" t="n"/>
      <c r="O507" s="7" t="n"/>
      <c r="P507" s="8">
        <f>IF(NOT(ISNUMBER(M507)),"",IF(G507="Terreno",IF(AND(ISNUMBER(I507),I507&gt;0),M507/I507,""),IF(AND(ISNUMBER(H507),H507&gt;0),M507/H507,"")))</f>
        <v/>
      </c>
      <c r="Q507" s="9">
        <f>IF(AND(ISNUMBER(M507),ISNUMBER(O507)),IF(M507&lt;=O507,"Valor ≤ venal IPTU",""),"")</f>
        <v/>
      </c>
      <c r="R507" s="10" t="n"/>
      <c r="S507" s="10" t="n"/>
      <c r="AA507" s="10" t="n"/>
      <c r="AB507" s="11">
        <f>IF(LEN(TRIM(X507))=0,"",HYPERLINK("https://www.google.com/maps/@?api=1&amp;map_action=pano&amp;viewpoint="&amp;SUBSTITUTE(X507," ",""),"Abrir Street View"))</f>
        <v/>
      </c>
    </row>
    <row r="508">
      <c r="H508" s="6" t="n"/>
      <c r="I508" s="6" t="n"/>
      <c r="M508" s="7" t="n"/>
      <c r="N508" s="7" t="n"/>
      <c r="O508" s="7" t="n"/>
      <c r="P508" s="8">
        <f>IF(NOT(ISNUMBER(M508)),"",IF(G508="Terreno",IF(AND(ISNUMBER(I508),I508&gt;0),M508/I508,""),IF(AND(ISNUMBER(H508),H508&gt;0),M508/H508,"")))</f>
        <v/>
      </c>
      <c r="Q508" s="9">
        <f>IF(AND(ISNUMBER(M508),ISNUMBER(O508)),IF(M508&lt;=O508,"Valor ≤ venal IPTU",""),"")</f>
        <v/>
      </c>
      <c r="R508" s="10" t="n"/>
      <c r="S508" s="10" t="n"/>
      <c r="AA508" s="10" t="n"/>
      <c r="AB508" s="11">
        <f>IF(LEN(TRIM(X508))=0,"",HYPERLINK("https://www.google.com/maps/@?api=1&amp;map_action=pano&amp;viewpoint="&amp;SUBSTITUTE(X508," ",""),"Abrir Street View"))</f>
        <v/>
      </c>
    </row>
    <row r="509">
      <c r="H509" s="6" t="n"/>
      <c r="I509" s="6" t="n"/>
      <c r="M509" s="7" t="n"/>
      <c r="N509" s="7" t="n"/>
      <c r="O509" s="7" t="n"/>
      <c r="P509" s="8">
        <f>IF(NOT(ISNUMBER(M509)),"",IF(G509="Terreno",IF(AND(ISNUMBER(I509),I509&gt;0),M509/I509,""),IF(AND(ISNUMBER(H509),H509&gt;0),M509/H509,"")))</f>
        <v/>
      </c>
      <c r="Q509" s="9">
        <f>IF(AND(ISNUMBER(M509),ISNUMBER(O509)),IF(M509&lt;=O509,"Valor ≤ venal IPTU",""),"")</f>
        <v/>
      </c>
      <c r="R509" s="10" t="n"/>
      <c r="S509" s="10" t="n"/>
      <c r="AA509" s="10" t="n"/>
      <c r="AB509" s="11">
        <f>IF(LEN(TRIM(X509))=0,"",HYPERLINK("https://www.google.com/maps/@?api=1&amp;map_action=pano&amp;viewpoint="&amp;SUBSTITUTE(X509," ",""),"Abrir Street View"))</f>
        <v/>
      </c>
    </row>
    <row r="510">
      <c r="H510" s="6" t="n"/>
      <c r="I510" s="6" t="n"/>
      <c r="M510" s="7" t="n"/>
      <c r="N510" s="7" t="n"/>
      <c r="O510" s="7" t="n"/>
      <c r="P510" s="8">
        <f>IF(NOT(ISNUMBER(M510)),"",IF(G510="Terreno",IF(AND(ISNUMBER(I510),I510&gt;0),M510/I510,""),IF(AND(ISNUMBER(H510),H510&gt;0),M510/H510,"")))</f>
        <v/>
      </c>
      <c r="Q510" s="9">
        <f>IF(AND(ISNUMBER(M510),ISNUMBER(O510)),IF(M510&lt;=O510,"Valor ≤ venal IPTU",""),"")</f>
        <v/>
      </c>
      <c r="R510" s="10" t="n"/>
      <c r="S510" s="10" t="n"/>
      <c r="AA510" s="10" t="n"/>
      <c r="AB510" s="11">
        <f>IF(LEN(TRIM(X510))=0,"",HYPERLINK("https://www.google.com/maps/@?api=1&amp;map_action=pano&amp;viewpoint="&amp;SUBSTITUTE(X510," ",""),"Abrir Street View"))</f>
        <v/>
      </c>
    </row>
    <row r="511">
      <c r="H511" s="6" t="n"/>
      <c r="I511" s="6" t="n"/>
      <c r="M511" s="7" t="n"/>
      <c r="N511" s="7" t="n"/>
      <c r="O511" s="7" t="n"/>
      <c r="P511" s="8">
        <f>IF(NOT(ISNUMBER(M511)),"",IF(G511="Terreno",IF(AND(ISNUMBER(I511),I511&gt;0),M511/I511,""),IF(AND(ISNUMBER(H511),H511&gt;0),M511/H511,"")))</f>
        <v/>
      </c>
      <c r="Q511" s="9">
        <f>IF(AND(ISNUMBER(M511),ISNUMBER(O511)),IF(M511&lt;=O511,"Valor ≤ venal IPTU",""),"")</f>
        <v/>
      </c>
      <c r="R511" s="10" t="n"/>
      <c r="S511" s="10" t="n"/>
      <c r="AA511" s="10" t="n"/>
      <c r="AB511" s="11">
        <f>IF(LEN(TRIM(X511))=0,"",HYPERLINK("https://www.google.com/maps/@?api=1&amp;map_action=pano&amp;viewpoint="&amp;SUBSTITUTE(X511," ",""),"Abrir Street View"))</f>
        <v/>
      </c>
    </row>
    <row r="512">
      <c r="H512" s="6" t="n"/>
      <c r="I512" s="6" t="n"/>
      <c r="M512" s="7" t="n"/>
      <c r="N512" s="7" t="n"/>
      <c r="O512" s="7" t="n"/>
      <c r="P512" s="8">
        <f>IF(NOT(ISNUMBER(M512)),"",IF(G512="Terreno",IF(AND(ISNUMBER(I512),I512&gt;0),M512/I512,""),IF(AND(ISNUMBER(H512),H512&gt;0),M512/H512,"")))</f>
        <v/>
      </c>
      <c r="Q512" s="9">
        <f>IF(AND(ISNUMBER(M512),ISNUMBER(O512)),IF(M512&lt;=O512,"Valor ≤ venal IPTU",""),"")</f>
        <v/>
      </c>
      <c r="R512" s="10" t="n"/>
      <c r="S512" s="10" t="n"/>
      <c r="AA512" s="10" t="n"/>
      <c r="AB512" s="11">
        <f>IF(LEN(TRIM(X512))=0,"",HYPERLINK("https://www.google.com/maps/@?api=1&amp;map_action=pano&amp;viewpoint="&amp;SUBSTITUTE(X512," ",""),"Abrir Street View"))</f>
        <v/>
      </c>
    </row>
    <row r="513">
      <c r="H513" s="6" t="n"/>
      <c r="I513" s="6" t="n"/>
      <c r="M513" s="7" t="n"/>
      <c r="N513" s="7" t="n"/>
      <c r="O513" s="7" t="n"/>
      <c r="P513" s="8">
        <f>IF(NOT(ISNUMBER(M513)),"",IF(G513="Terreno",IF(AND(ISNUMBER(I513),I513&gt;0),M513/I513,""),IF(AND(ISNUMBER(H513),H513&gt;0),M513/H513,"")))</f>
        <v/>
      </c>
      <c r="Q513" s="9">
        <f>IF(AND(ISNUMBER(M513),ISNUMBER(O513)),IF(M513&lt;=O513,"Valor ≤ venal IPTU",""),"")</f>
        <v/>
      </c>
      <c r="R513" s="10" t="n"/>
      <c r="S513" s="10" t="n"/>
      <c r="AA513" s="10" t="n"/>
      <c r="AB513" s="11">
        <f>IF(LEN(TRIM(X513))=0,"",HYPERLINK("https://www.google.com/maps/@?api=1&amp;map_action=pano&amp;viewpoint="&amp;SUBSTITUTE(X513," ",""),"Abrir Street View"))</f>
        <v/>
      </c>
    </row>
    <row r="514">
      <c r="H514" s="6" t="n"/>
      <c r="I514" s="6" t="n"/>
      <c r="M514" s="7" t="n"/>
      <c r="N514" s="7" t="n"/>
      <c r="O514" s="7" t="n"/>
      <c r="P514" s="8">
        <f>IF(NOT(ISNUMBER(M514)),"",IF(G514="Terreno",IF(AND(ISNUMBER(I514),I514&gt;0),M514/I514,""),IF(AND(ISNUMBER(H514),H514&gt;0),M514/H514,"")))</f>
        <v/>
      </c>
      <c r="Q514" s="9">
        <f>IF(AND(ISNUMBER(M514),ISNUMBER(O514)),IF(M514&lt;=O514,"Valor ≤ venal IPTU",""),"")</f>
        <v/>
      </c>
      <c r="R514" s="10" t="n"/>
      <c r="S514" s="10" t="n"/>
      <c r="AA514" s="10" t="n"/>
      <c r="AB514" s="11">
        <f>IF(LEN(TRIM(X514))=0,"",HYPERLINK("https://www.google.com/maps/@?api=1&amp;map_action=pano&amp;viewpoint="&amp;SUBSTITUTE(X514," ",""),"Abrir Street View"))</f>
        <v/>
      </c>
    </row>
    <row r="515">
      <c r="H515" s="6" t="n"/>
      <c r="I515" s="6" t="n"/>
      <c r="M515" s="7" t="n"/>
      <c r="N515" s="7" t="n"/>
      <c r="O515" s="7" t="n"/>
      <c r="P515" s="8">
        <f>IF(NOT(ISNUMBER(M515)),"",IF(G515="Terreno",IF(AND(ISNUMBER(I515),I515&gt;0),M515/I515,""),IF(AND(ISNUMBER(H515),H515&gt;0),M515/H515,"")))</f>
        <v/>
      </c>
      <c r="Q515" s="9">
        <f>IF(AND(ISNUMBER(M515),ISNUMBER(O515)),IF(M515&lt;=O515,"Valor ≤ venal IPTU",""),"")</f>
        <v/>
      </c>
      <c r="R515" s="10" t="n"/>
      <c r="S515" s="10" t="n"/>
      <c r="AA515" s="10" t="n"/>
      <c r="AB515" s="11">
        <f>IF(LEN(TRIM(X515))=0,"",HYPERLINK("https://www.google.com/maps/@?api=1&amp;map_action=pano&amp;viewpoint="&amp;SUBSTITUTE(X515," ",""),"Abrir Street View"))</f>
        <v/>
      </c>
    </row>
    <row r="516">
      <c r="H516" s="6" t="n"/>
      <c r="I516" s="6" t="n"/>
      <c r="M516" s="7" t="n"/>
      <c r="N516" s="7" t="n"/>
      <c r="O516" s="7" t="n"/>
      <c r="P516" s="8">
        <f>IF(NOT(ISNUMBER(M516)),"",IF(G516="Terreno",IF(AND(ISNUMBER(I516),I516&gt;0),M516/I516,""),IF(AND(ISNUMBER(H516),H516&gt;0),M516/H516,"")))</f>
        <v/>
      </c>
      <c r="Q516" s="9">
        <f>IF(AND(ISNUMBER(M516),ISNUMBER(O516)),IF(M516&lt;=O516,"Valor ≤ venal IPTU",""),"")</f>
        <v/>
      </c>
      <c r="R516" s="10" t="n"/>
      <c r="S516" s="10" t="n"/>
      <c r="AA516" s="10" t="n"/>
      <c r="AB516" s="11">
        <f>IF(LEN(TRIM(X516))=0,"",HYPERLINK("https://www.google.com/maps/@?api=1&amp;map_action=pano&amp;viewpoint="&amp;SUBSTITUTE(X516," ",""),"Abrir Street View"))</f>
        <v/>
      </c>
    </row>
    <row r="517">
      <c r="H517" s="6" t="n"/>
      <c r="I517" s="6" t="n"/>
      <c r="M517" s="7" t="n"/>
      <c r="N517" s="7" t="n"/>
      <c r="O517" s="7" t="n"/>
      <c r="P517" s="8">
        <f>IF(NOT(ISNUMBER(M517)),"",IF(G517="Terreno",IF(AND(ISNUMBER(I517),I517&gt;0),M517/I517,""),IF(AND(ISNUMBER(H517),H517&gt;0),M517/H517,"")))</f>
        <v/>
      </c>
      <c r="Q517" s="9">
        <f>IF(AND(ISNUMBER(M517),ISNUMBER(O517)),IF(M517&lt;=O517,"Valor ≤ venal IPTU",""),"")</f>
        <v/>
      </c>
      <c r="R517" s="10" t="n"/>
      <c r="S517" s="10" t="n"/>
      <c r="AA517" s="10" t="n"/>
      <c r="AB517" s="11">
        <f>IF(LEN(TRIM(X517))=0,"",HYPERLINK("https://www.google.com/maps/@?api=1&amp;map_action=pano&amp;viewpoint="&amp;SUBSTITUTE(X517," ",""),"Abrir Street View"))</f>
        <v/>
      </c>
    </row>
    <row r="518">
      <c r="H518" s="6" t="n"/>
      <c r="I518" s="6" t="n"/>
      <c r="M518" s="7" t="n"/>
      <c r="N518" s="7" t="n"/>
      <c r="O518" s="7" t="n"/>
      <c r="P518" s="8">
        <f>IF(NOT(ISNUMBER(M518)),"",IF(G518="Terreno",IF(AND(ISNUMBER(I518),I518&gt;0),M518/I518,""),IF(AND(ISNUMBER(H518),H518&gt;0),M518/H518,"")))</f>
        <v/>
      </c>
      <c r="Q518" s="9">
        <f>IF(AND(ISNUMBER(M518),ISNUMBER(O518)),IF(M518&lt;=O518,"Valor ≤ venal IPTU",""),"")</f>
        <v/>
      </c>
      <c r="R518" s="10" t="n"/>
      <c r="S518" s="10" t="n"/>
      <c r="AA518" s="10" t="n"/>
      <c r="AB518" s="11">
        <f>IF(LEN(TRIM(X518))=0,"",HYPERLINK("https://www.google.com/maps/@?api=1&amp;map_action=pano&amp;viewpoint="&amp;SUBSTITUTE(X518," ",""),"Abrir Street View"))</f>
        <v/>
      </c>
    </row>
    <row r="519">
      <c r="H519" s="6" t="n"/>
      <c r="I519" s="6" t="n"/>
      <c r="M519" s="7" t="n"/>
      <c r="N519" s="7" t="n"/>
      <c r="O519" s="7" t="n"/>
      <c r="P519" s="8">
        <f>IF(NOT(ISNUMBER(M519)),"",IF(G519="Terreno",IF(AND(ISNUMBER(I519),I519&gt;0),M519/I519,""),IF(AND(ISNUMBER(H519),H519&gt;0),M519/H519,"")))</f>
        <v/>
      </c>
      <c r="Q519" s="9">
        <f>IF(AND(ISNUMBER(M519),ISNUMBER(O519)),IF(M519&lt;=O519,"Valor ≤ venal IPTU",""),"")</f>
        <v/>
      </c>
      <c r="R519" s="10" t="n"/>
      <c r="S519" s="10" t="n"/>
      <c r="AA519" s="10" t="n"/>
      <c r="AB519" s="11">
        <f>IF(LEN(TRIM(X519))=0,"",HYPERLINK("https://www.google.com/maps/@?api=1&amp;map_action=pano&amp;viewpoint="&amp;SUBSTITUTE(X519," ",""),"Abrir Street View"))</f>
        <v/>
      </c>
    </row>
    <row r="520">
      <c r="H520" s="6" t="n"/>
      <c r="I520" s="6" t="n"/>
      <c r="M520" s="7" t="n"/>
      <c r="N520" s="7" t="n"/>
      <c r="O520" s="7" t="n"/>
      <c r="P520" s="8">
        <f>IF(NOT(ISNUMBER(M520)),"",IF(G520="Terreno",IF(AND(ISNUMBER(I520),I520&gt;0),M520/I520,""),IF(AND(ISNUMBER(H520),H520&gt;0),M520/H520,"")))</f>
        <v/>
      </c>
      <c r="Q520" s="9">
        <f>IF(AND(ISNUMBER(M520),ISNUMBER(O520)),IF(M520&lt;=O520,"Valor ≤ venal IPTU",""),"")</f>
        <v/>
      </c>
      <c r="R520" s="10" t="n"/>
      <c r="S520" s="10" t="n"/>
      <c r="AA520" s="10" t="n"/>
      <c r="AB520" s="11">
        <f>IF(LEN(TRIM(X520))=0,"",HYPERLINK("https://www.google.com/maps/@?api=1&amp;map_action=pano&amp;viewpoint="&amp;SUBSTITUTE(X520," ",""),"Abrir Street View"))</f>
        <v/>
      </c>
    </row>
    <row r="521">
      <c r="H521" s="6" t="n"/>
      <c r="I521" s="6" t="n"/>
      <c r="M521" s="7" t="n"/>
      <c r="N521" s="7" t="n"/>
      <c r="O521" s="7" t="n"/>
      <c r="P521" s="8">
        <f>IF(NOT(ISNUMBER(M521)),"",IF(G521="Terreno",IF(AND(ISNUMBER(I521),I521&gt;0),M521/I521,""),IF(AND(ISNUMBER(H521),H521&gt;0),M521/H521,"")))</f>
        <v/>
      </c>
      <c r="Q521" s="9">
        <f>IF(AND(ISNUMBER(M521),ISNUMBER(O521)),IF(M521&lt;=O521,"Valor ≤ venal IPTU",""),"")</f>
        <v/>
      </c>
      <c r="R521" s="10" t="n"/>
      <c r="S521" s="10" t="n"/>
      <c r="AA521" s="10" t="n"/>
      <c r="AB521" s="11">
        <f>IF(LEN(TRIM(X521))=0,"",HYPERLINK("https://www.google.com/maps/@?api=1&amp;map_action=pano&amp;viewpoint="&amp;SUBSTITUTE(X521," ",""),"Abrir Street View"))</f>
        <v/>
      </c>
    </row>
    <row r="522">
      <c r="H522" s="6" t="n"/>
      <c r="I522" s="6" t="n"/>
      <c r="M522" s="7" t="n"/>
      <c r="N522" s="7" t="n"/>
      <c r="O522" s="7" t="n"/>
      <c r="P522" s="8">
        <f>IF(NOT(ISNUMBER(M522)),"",IF(G522="Terreno",IF(AND(ISNUMBER(I522),I522&gt;0),M522/I522,""),IF(AND(ISNUMBER(H522),H522&gt;0),M522/H522,"")))</f>
        <v/>
      </c>
      <c r="Q522" s="9">
        <f>IF(AND(ISNUMBER(M522),ISNUMBER(O522)),IF(M522&lt;=O522,"Valor ≤ venal IPTU",""),"")</f>
        <v/>
      </c>
      <c r="R522" s="10" t="n"/>
      <c r="S522" s="10" t="n"/>
      <c r="AA522" s="10" t="n"/>
      <c r="AB522" s="11">
        <f>IF(LEN(TRIM(X522))=0,"",HYPERLINK("https://www.google.com/maps/@?api=1&amp;map_action=pano&amp;viewpoint="&amp;SUBSTITUTE(X522," ",""),"Abrir Street View"))</f>
        <v/>
      </c>
    </row>
    <row r="523">
      <c r="H523" s="6" t="n"/>
      <c r="I523" s="6" t="n"/>
      <c r="M523" s="7" t="n"/>
      <c r="N523" s="7" t="n"/>
      <c r="O523" s="7" t="n"/>
      <c r="P523" s="8">
        <f>IF(NOT(ISNUMBER(M523)),"",IF(G523="Terreno",IF(AND(ISNUMBER(I523),I523&gt;0),M523/I523,""),IF(AND(ISNUMBER(H523),H523&gt;0),M523/H523,"")))</f>
        <v/>
      </c>
      <c r="Q523" s="9">
        <f>IF(AND(ISNUMBER(M523),ISNUMBER(O523)),IF(M523&lt;=O523,"Valor ≤ venal IPTU",""),"")</f>
        <v/>
      </c>
      <c r="R523" s="10" t="n"/>
      <c r="S523" s="10" t="n"/>
      <c r="AA523" s="10" t="n"/>
      <c r="AB523" s="11">
        <f>IF(LEN(TRIM(X523))=0,"",HYPERLINK("https://www.google.com/maps/@?api=1&amp;map_action=pano&amp;viewpoint="&amp;SUBSTITUTE(X523," ",""),"Abrir Street View"))</f>
        <v/>
      </c>
    </row>
    <row r="524">
      <c r="H524" s="6" t="n"/>
      <c r="I524" s="6" t="n"/>
      <c r="M524" s="7" t="n"/>
      <c r="N524" s="7" t="n"/>
      <c r="O524" s="7" t="n"/>
      <c r="P524" s="8">
        <f>IF(NOT(ISNUMBER(M524)),"",IF(G524="Terreno",IF(AND(ISNUMBER(I524),I524&gt;0),M524/I524,""),IF(AND(ISNUMBER(H524),H524&gt;0),M524/H524,"")))</f>
        <v/>
      </c>
      <c r="Q524" s="9">
        <f>IF(AND(ISNUMBER(M524),ISNUMBER(O524)),IF(M524&lt;=O524,"Valor ≤ venal IPTU",""),"")</f>
        <v/>
      </c>
      <c r="R524" s="10" t="n"/>
      <c r="S524" s="10" t="n"/>
      <c r="AA524" s="10" t="n"/>
      <c r="AB524" s="11">
        <f>IF(LEN(TRIM(X524))=0,"",HYPERLINK("https://www.google.com/maps/@?api=1&amp;map_action=pano&amp;viewpoint="&amp;SUBSTITUTE(X524," ",""),"Abrir Street View"))</f>
        <v/>
      </c>
    </row>
    <row r="525">
      <c r="H525" s="6" t="n"/>
      <c r="I525" s="6" t="n"/>
      <c r="M525" s="7" t="n"/>
      <c r="N525" s="7" t="n"/>
      <c r="O525" s="7" t="n"/>
      <c r="P525" s="8">
        <f>IF(NOT(ISNUMBER(M525)),"",IF(G525="Terreno",IF(AND(ISNUMBER(I525),I525&gt;0),M525/I525,""),IF(AND(ISNUMBER(H525),H525&gt;0),M525/H525,"")))</f>
        <v/>
      </c>
      <c r="Q525" s="9">
        <f>IF(AND(ISNUMBER(M525),ISNUMBER(O525)),IF(M525&lt;=O525,"Valor ≤ venal IPTU",""),"")</f>
        <v/>
      </c>
      <c r="R525" s="10" t="n"/>
      <c r="S525" s="10" t="n"/>
      <c r="AA525" s="10" t="n"/>
      <c r="AB525" s="11">
        <f>IF(LEN(TRIM(X525))=0,"",HYPERLINK("https://www.google.com/maps/@?api=1&amp;map_action=pano&amp;viewpoint="&amp;SUBSTITUTE(X525," ",""),"Abrir Street View"))</f>
        <v/>
      </c>
    </row>
    <row r="526">
      <c r="H526" s="6" t="n"/>
      <c r="I526" s="6" t="n"/>
      <c r="M526" s="7" t="n"/>
      <c r="N526" s="7" t="n"/>
      <c r="O526" s="7" t="n"/>
      <c r="P526" s="8">
        <f>IF(NOT(ISNUMBER(M526)),"",IF(G526="Terreno",IF(AND(ISNUMBER(I526),I526&gt;0),M526/I526,""),IF(AND(ISNUMBER(H526),H526&gt;0),M526/H526,"")))</f>
        <v/>
      </c>
      <c r="Q526" s="9">
        <f>IF(AND(ISNUMBER(M526),ISNUMBER(O526)),IF(M526&lt;=O526,"Valor ≤ venal IPTU",""),"")</f>
        <v/>
      </c>
      <c r="R526" s="10" t="n"/>
      <c r="S526" s="10" t="n"/>
      <c r="AA526" s="10" t="n"/>
      <c r="AB526" s="11">
        <f>IF(LEN(TRIM(X526))=0,"",HYPERLINK("https://www.google.com/maps/@?api=1&amp;map_action=pano&amp;viewpoint="&amp;SUBSTITUTE(X526," ",""),"Abrir Street View"))</f>
        <v/>
      </c>
    </row>
    <row r="527">
      <c r="H527" s="6" t="n"/>
      <c r="I527" s="6" t="n"/>
      <c r="M527" s="7" t="n"/>
      <c r="N527" s="7" t="n"/>
      <c r="O527" s="7" t="n"/>
      <c r="P527" s="8">
        <f>IF(NOT(ISNUMBER(M527)),"",IF(G527="Terreno",IF(AND(ISNUMBER(I527),I527&gt;0),M527/I527,""),IF(AND(ISNUMBER(H527),H527&gt;0),M527/H527,"")))</f>
        <v/>
      </c>
      <c r="Q527" s="9">
        <f>IF(AND(ISNUMBER(M527),ISNUMBER(O527)),IF(M527&lt;=O527,"Valor ≤ venal IPTU",""),"")</f>
        <v/>
      </c>
      <c r="R527" s="10" t="n"/>
      <c r="S527" s="10" t="n"/>
      <c r="AA527" s="10" t="n"/>
      <c r="AB527" s="11">
        <f>IF(LEN(TRIM(X527))=0,"",HYPERLINK("https://www.google.com/maps/@?api=1&amp;map_action=pano&amp;viewpoint="&amp;SUBSTITUTE(X527," ",""),"Abrir Street View"))</f>
        <v/>
      </c>
    </row>
    <row r="528">
      <c r="H528" s="6" t="n"/>
      <c r="I528" s="6" t="n"/>
      <c r="M528" s="7" t="n"/>
      <c r="N528" s="7" t="n"/>
      <c r="O528" s="7" t="n"/>
      <c r="P528" s="8">
        <f>IF(NOT(ISNUMBER(M528)),"",IF(G528="Terreno",IF(AND(ISNUMBER(I528),I528&gt;0),M528/I528,""),IF(AND(ISNUMBER(H528),H528&gt;0),M528/H528,"")))</f>
        <v/>
      </c>
      <c r="Q528" s="9">
        <f>IF(AND(ISNUMBER(M528),ISNUMBER(O528)),IF(M528&lt;=O528,"Valor ≤ venal IPTU",""),"")</f>
        <v/>
      </c>
      <c r="R528" s="10" t="n"/>
      <c r="S528" s="10" t="n"/>
      <c r="AA528" s="10" t="n"/>
      <c r="AB528" s="11">
        <f>IF(LEN(TRIM(X528))=0,"",HYPERLINK("https://www.google.com/maps/@?api=1&amp;map_action=pano&amp;viewpoint="&amp;SUBSTITUTE(X528," ",""),"Abrir Street View"))</f>
        <v/>
      </c>
    </row>
    <row r="529">
      <c r="H529" s="6" t="n"/>
      <c r="I529" s="6" t="n"/>
      <c r="M529" s="7" t="n"/>
      <c r="N529" s="7" t="n"/>
      <c r="O529" s="7" t="n"/>
      <c r="P529" s="8">
        <f>IF(NOT(ISNUMBER(M529)),"",IF(G529="Terreno",IF(AND(ISNUMBER(I529),I529&gt;0),M529/I529,""),IF(AND(ISNUMBER(H529),H529&gt;0),M529/H529,"")))</f>
        <v/>
      </c>
      <c r="Q529" s="9">
        <f>IF(AND(ISNUMBER(M529),ISNUMBER(O529)),IF(M529&lt;=O529,"Valor ≤ venal IPTU",""),"")</f>
        <v/>
      </c>
      <c r="R529" s="10" t="n"/>
      <c r="S529" s="10" t="n"/>
      <c r="AA529" s="10" t="n"/>
      <c r="AB529" s="11">
        <f>IF(LEN(TRIM(X529))=0,"",HYPERLINK("https://www.google.com/maps/@?api=1&amp;map_action=pano&amp;viewpoint="&amp;SUBSTITUTE(X529," ",""),"Abrir Street View"))</f>
        <v/>
      </c>
    </row>
    <row r="530">
      <c r="H530" s="6" t="n"/>
      <c r="I530" s="6" t="n"/>
      <c r="M530" s="7" t="n"/>
      <c r="N530" s="7" t="n"/>
      <c r="O530" s="7" t="n"/>
      <c r="P530" s="8">
        <f>IF(NOT(ISNUMBER(M530)),"",IF(G530="Terreno",IF(AND(ISNUMBER(I530),I530&gt;0),M530/I530,""),IF(AND(ISNUMBER(H530),H530&gt;0),M530/H530,"")))</f>
        <v/>
      </c>
      <c r="Q530" s="9">
        <f>IF(AND(ISNUMBER(M530),ISNUMBER(O530)),IF(M530&lt;=O530,"Valor ≤ venal IPTU",""),"")</f>
        <v/>
      </c>
      <c r="R530" s="10" t="n"/>
      <c r="S530" s="10" t="n"/>
      <c r="AA530" s="10" t="n"/>
      <c r="AB530" s="11">
        <f>IF(LEN(TRIM(X530))=0,"",HYPERLINK("https://www.google.com/maps/@?api=1&amp;map_action=pano&amp;viewpoint="&amp;SUBSTITUTE(X530," ",""),"Abrir Street View"))</f>
        <v/>
      </c>
    </row>
    <row r="531">
      <c r="H531" s="6" t="n"/>
      <c r="I531" s="6" t="n"/>
      <c r="M531" s="7" t="n"/>
      <c r="N531" s="7" t="n"/>
      <c r="O531" s="7" t="n"/>
      <c r="P531" s="8">
        <f>IF(NOT(ISNUMBER(M531)),"",IF(G531="Terreno",IF(AND(ISNUMBER(I531),I531&gt;0),M531/I531,""),IF(AND(ISNUMBER(H531),H531&gt;0),M531/H531,"")))</f>
        <v/>
      </c>
      <c r="Q531" s="9">
        <f>IF(AND(ISNUMBER(M531),ISNUMBER(O531)),IF(M531&lt;=O531,"Valor ≤ venal IPTU",""),"")</f>
        <v/>
      </c>
      <c r="R531" s="10" t="n"/>
      <c r="S531" s="10" t="n"/>
      <c r="AA531" s="10" t="n"/>
      <c r="AB531" s="11">
        <f>IF(LEN(TRIM(X531))=0,"",HYPERLINK("https://www.google.com/maps/@?api=1&amp;map_action=pano&amp;viewpoint="&amp;SUBSTITUTE(X531," ",""),"Abrir Street View"))</f>
        <v/>
      </c>
    </row>
    <row r="532">
      <c r="H532" s="6" t="n"/>
      <c r="I532" s="6" t="n"/>
      <c r="M532" s="7" t="n"/>
      <c r="N532" s="7" t="n"/>
      <c r="O532" s="7" t="n"/>
      <c r="P532" s="8">
        <f>IF(NOT(ISNUMBER(M532)),"",IF(G532="Terreno",IF(AND(ISNUMBER(I532),I532&gt;0),M532/I532,""),IF(AND(ISNUMBER(H532),H532&gt;0),M532/H532,"")))</f>
        <v/>
      </c>
      <c r="Q532" s="9">
        <f>IF(AND(ISNUMBER(M532),ISNUMBER(O532)),IF(M532&lt;=O532,"Valor ≤ venal IPTU",""),"")</f>
        <v/>
      </c>
      <c r="R532" s="10" t="n"/>
      <c r="S532" s="10" t="n"/>
      <c r="AA532" s="10" t="n"/>
      <c r="AB532" s="11">
        <f>IF(LEN(TRIM(X532))=0,"",HYPERLINK("https://www.google.com/maps/@?api=1&amp;map_action=pano&amp;viewpoint="&amp;SUBSTITUTE(X532," ",""),"Abrir Street View"))</f>
        <v/>
      </c>
    </row>
    <row r="533">
      <c r="H533" s="6" t="n"/>
      <c r="I533" s="6" t="n"/>
      <c r="M533" s="7" t="n"/>
      <c r="N533" s="7" t="n"/>
      <c r="O533" s="7" t="n"/>
      <c r="P533" s="8">
        <f>IF(NOT(ISNUMBER(M533)),"",IF(G533="Terreno",IF(AND(ISNUMBER(I533),I533&gt;0),M533/I533,""),IF(AND(ISNUMBER(H533),H533&gt;0),M533/H533,"")))</f>
        <v/>
      </c>
      <c r="Q533" s="9">
        <f>IF(AND(ISNUMBER(M533),ISNUMBER(O533)),IF(M533&lt;=O533,"Valor ≤ venal IPTU",""),"")</f>
        <v/>
      </c>
      <c r="R533" s="10" t="n"/>
      <c r="S533" s="10" t="n"/>
      <c r="AA533" s="10" t="n"/>
      <c r="AB533" s="11">
        <f>IF(LEN(TRIM(X533))=0,"",HYPERLINK("https://www.google.com/maps/@?api=1&amp;map_action=pano&amp;viewpoint="&amp;SUBSTITUTE(X533," ",""),"Abrir Street View"))</f>
        <v/>
      </c>
    </row>
    <row r="534">
      <c r="H534" s="6" t="n"/>
      <c r="I534" s="6" t="n"/>
      <c r="M534" s="7" t="n"/>
      <c r="N534" s="7" t="n"/>
      <c r="O534" s="7" t="n"/>
      <c r="P534" s="8">
        <f>IF(NOT(ISNUMBER(M534)),"",IF(G534="Terreno",IF(AND(ISNUMBER(I534),I534&gt;0),M534/I534,""),IF(AND(ISNUMBER(H534),H534&gt;0),M534/H534,"")))</f>
        <v/>
      </c>
      <c r="Q534" s="9">
        <f>IF(AND(ISNUMBER(M534),ISNUMBER(O534)),IF(M534&lt;=O534,"Valor ≤ venal IPTU",""),"")</f>
        <v/>
      </c>
      <c r="R534" s="10" t="n"/>
      <c r="S534" s="10" t="n"/>
      <c r="AA534" s="10" t="n"/>
      <c r="AB534" s="11">
        <f>IF(LEN(TRIM(X534))=0,"",HYPERLINK("https://www.google.com/maps/@?api=1&amp;map_action=pano&amp;viewpoint="&amp;SUBSTITUTE(X534," ",""),"Abrir Street View"))</f>
        <v/>
      </c>
    </row>
    <row r="535">
      <c r="H535" s="6" t="n"/>
      <c r="I535" s="6" t="n"/>
      <c r="M535" s="7" t="n"/>
      <c r="N535" s="7" t="n"/>
      <c r="O535" s="7" t="n"/>
      <c r="P535" s="8">
        <f>IF(NOT(ISNUMBER(M535)),"",IF(G535="Terreno",IF(AND(ISNUMBER(I535),I535&gt;0),M535/I535,""),IF(AND(ISNUMBER(H535),H535&gt;0),M535/H535,"")))</f>
        <v/>
      </c>
      <c r="Q535" s="9">
        <f>IF(AND(ISNUMBER(M535),ISNUMBER(O535)),IF(M535&lt;=O535,"Valor ≤ venal IPTU",""),"")</f>
        <v/>
      </c>
      <c r="R535" s="10" t="n"/>
      <c r="S535" s="10" t="n"/>
      <c r="AA535" s="10" t="n"/>
      <c r="AB535" s="11">
        <f>IF(LEN(TRIM(X535))=0,"",HYPERLINK("https://www.google.com/maps/@?api=1&amp;map_action=pano&amp;viewpoint="&amp;SUBSTITUTE(X535," ",""),"Abrir Street View"))</f>
        <v/>
      </c>
    </row>
    <row r="536">
      <c r="H536" s="6" t="n"/>
      <c r="I536" s="6" t="n"/>
      <c r="M536" s="7" t="n"/>
      <c r="N536" s="7" t="n"/>
      <c r="O536" s="7" t="n"/>
      <c r="P536" s="8">
        <f>IF(NOT(ISNUMBER(M536)),"",IF(G536="Terreno",IF(AND(ISNUMBER(I536),I536&gt;0),M536/I536,""),IF(AND(ISNUMBER(H536),H536&gt;0),M536/H536,"")))</f>
        <v/>
      </c>
      <c r="Q536" s="9">
        <f>IF(AND(ISNUMBER(M536),ISNUMBER(O536)),IF(M536&lt;=O536,"Valor ≤ venal IPTU",""),"")</f>
        <v/>
      </c>
      <c r="R536" s="10" t="n"/>
      <c r="S536" s="10" t="n"/>
      <c r="AA536" s="10" t="n"/>
      <c r="AB536" s="11">
        <f>IF(LEN(TRIM(X536))=0,"",HYPERLINK("https://www.google.com/maps/@?api=1&amp;map_action=pano&amp;viewpoint="&amp;SUBSTITUTE(X536," ",""),"Abrir Street View"))</f>
        <v/>
      </c>
    </row>
    <row r="537">
      <c r="H537" s="6" t="n"/>
      <c r="I537" s="6" t="n"/>
      <c r="M537" s="7" t="n"/>
      <c r="N537" s="7" t="n"/>
      <c r="O537" s="7" t="n"/>
      <c r="P537" s="8">
        <f>IF(NOT(ISNUMBER(M537)),"",IF(G537="Terreno",IF(AND(ISNUMBER(I537),I537&gt;0),M537/I537,""),IF(AND(ISNUMBER(H537),H537&gt;0),M537/H537,"")))</f>
        <v/>
      </c>
      <c r="Q537" s="9">
        <f>IF(AND(ISNUMBER(M537),ISNUMBER(O537)),IF(M537&lt;=O537,"Valor ≤ venal IPTU",""),"")</f>
        <v/>
      </c>
      <c r="R537" s="10" t="n"/>
      <c r="S537" s="10" t="n"/>
      <c r="AA537" s="10" t="n"/>
      <c r="AB537" s="11">
        <f>IF(LEN(TRIM(X537))=0,"",HYPERLINK("https://www.google.com/maps/@?api=1&amp;map_action=pano&amp;viewpoint="&amp;SUBSTITUTE(X537," ",""),"Abrir Street View"))</f>
        <v/>
      </c>
    </row>
    <row r="538">
      <c r="H538" s="6" t="n"/>
      <c r="I538" s="6" t="n"/>
      <c r="M538" s="7" t="n"/>
      <c r="N538" s="7" t="n"/>
      <c r="O538" s="7" t="n"/>
      <c r="P538" s="8">
        <f>IF(NOT(ISNUMBER(M538)),"",IF(G538="Terreno",IF(AND(ISNUMBER(I538),I538&gt;0),M538/I538,""),IF(AND(ISNUMBER(H538),H538&gt;0),M538/H538,"")))</f>
        <v/>
      </c>
      <c r="Q538" s="9">
        <f>IF(AND(ISNUMBER(M538),ISNUMBER(O538)),IF(M538&lt;=O538,"Valor ≤ venal IPTU",""),"")</f>
        <v/>
      </c>
      <c r="R538" s="10" t="n"/>
      <c r="S538" s="10" t="n"/>
      <c r="AA538" s="10" t="n"/>
      <c r="AB538" s="11">
        <f>IF(LEN(TRIM(X538))=0,"",HYPERLINK("https://www.google.com/maps/@?api=1&amp;map_action=pano&amp;viewpoint="&amp;SUBSTITUTE(X538," ",""),"Abrir Street View"))</f>
        <v/>
      </c>
    </row>
    <row r="539">
      <c r="H539" s="6" t="n"/>
      <c r="I539" s="6" t="n"/>
      <c r="M539" s="7" t="n"/>
      <c r="N539" s="7" t="n"/>
      <c r="O539" s="7" t="n"/>
      <c r="P539" s="8">
        <f>IF(NOT(ISNUMBER(M539)),"",IF(G539="Terreno",IF(AND(ISNUMBER(I539),I539&gt;0),M539/I539,""),IF(AND(ISNUMBER(H539),H539&gt;0),M539/H539,"")))</f>
        <v/>
      </c>
      <c r="Q539" s="9">
        <f>IF(AND(ISNUMBER(M539),ISNUMBER(O539)),IF(M539&lt;=O539,"Valor ≤ venal IPTU",""),"")</f>
        <v/>
      </c>
      <c r="R539" s="10" t="n"/>
      <c r="S539" s="10" t="n"/>
      <c r="AA539" s="10" t="n"/>
      <c r="AB539" s="11">
        <f>IF(LEN(TRIM(X539))=0,"",HYPERLINK("https://www.google.com/maps/@?api=1&amp;map_action=pano&amp;viewpoint="&amp;SUBSTITUTE(X539," ",""),"Abrir Street View"))</f>
        <v/>
      </c>
    </row>
    <row r="540">
      <c r="H540" s="6" t="n"/>
      <c r="I540" s="6" t="n"/>
      <c r="M540" s="7" t="n"/>
      <c r="N540" s="7" t="n"/>
      <c r="O540" s="7" t="n"/>
      <c r="P540" s="8">
        <f>IF(NOT(ISNUMBER(M540)),"",IF(G540="Terreno",IF(AND(ISNUMBER(I540),I540&gt;0),M540/I540,""),IF(AND(ISNUMBER(H540),H540&gt;0),M540/H540,"")))</f>
        <v/>
      </c>
      <c r="Q540" s="9">
        <f>IF(AND(ISNUMBER(M540),ISNUMBER(O540)),IF(M540&lt;=O540,"Valor ≤ venal IPTU",""),"")</f>
        <v/>
      </c>
      <c r="R540" s="10" t="n"/>
      <c r="S540" s="10" t="n"/>
      <c r="AA540" s="10" t="n"/>
      <c r="AB540" s="11">
        <f>IF(LEN(TRIM(X540))=0,"",HYPERLINK("https://www.google.com/maps/@?api=1&amp;map_action=pano&amp;viewpoint="&amp;SUBSTITUTE(X540," ",""),"Abrir Street View"))</f>
        <v/>
      </c>
    </row>
    <row r="541">
      <c r="H541" s="6" t="n"/>
      <c r="I541" s="6" t="n"/>
      <c r="M541" s="7" t="n"/>
      <c r="N541" s="7" t="n"/>
      <c r="O541" s="7" t="n"/>
      <c r="P541" s="8">
        <f>IF(NOT(ISNUMBER(M541)),"",IF(G541="Terreno",IF(AND(ISNUMBER(I541),I541&gt;0),M541/I541,""),IF(AND(ISNUMBER(H541),H541&gt;0),M541/H541,"")))</f>
        <v/>
      </c>
      <c r="Q541" s="9">
        <f>IF(AND(ISNUMBER(M541),ISNUMBER(O541)),IF(M541&lt;=O541,"Valor ≤ venal IPTU",""),"")</f>
        <v/>
      </c>
      <c r="R541" s="10" t="n"/>
      <c r="S541" s="10" t="n"/>
      <c r="AA541" s="10" t="n"/>
      <c r="AB541" s="11">
        <f>IF(LEN(TRIM(X541))=0,"",HYPERLINK("https://www.google.com/maps/@?api=1&amp;map_action=pano&amp;viewpoint="&amp;SUBSTITUTE(X541," ",""),"Abrir Street View"))</f>
        <v/>
      </c>
    </row>
    <row r="542">
      <c r="H542" s="6" t="n"/>
      <c r="I542" s="6" t="n"/>
      <c r="M542" s="7" t="n"/>
      <c r="N542" s="7" t="n"/>
      <c r="O542" s="7" t="n"/>
      <c r="P542" s="8">
        <f>IF(NOT(ISNUMBER(M542)),"",IF(G542="Terreno",IF(AND(ISNUMBER(I542),I542&gt;0),M542/I542,""),IF(AND(ISNUMBER(H542),H542&gt;0),M542/H542,"")))</f>
        <v/>
      </c>
      <c r="Q542" s="9">
        <f>IF(AND(ISNUMBER(M542),ISNUMBER(O542)),IF(M542&lt;=O542,"Valor ≤ venal IPTU",""),"")</f>
        <v/>
      </c>
      <c r="R542" s="10" t="n"/>
      <c r="S542" s="10" t="n"/>
      <c r="AA542" s="10" t="n"/>
      <c r="AB542" s="11">
        <f>IF(LEN(TRIM(X542))=0,"",HYPERLINK("https://www.google.com/maps/@?api=1&amp;map_action=pano&amp;viewpoint="&amp;SUBSTITUTE(X542," ",""),"Abrir Street View"))</f>
        <v/>
      </c>
    </row>
    <row r="543">
      <c r="H543" s="6" t="n"/>
      <c r="I543" s="6" t="n"/>
      <c r="M543" s="7" t="n"/>
      <c r="N543" s="7" t="n"/>
      <c r="O543" s="7" t="n"/>
      <c r="P543" s="8">
        <f>IF(NOT(ISNUMBER(M543)),"",IF(G543="Terreno",IF(AND(ISNUMBER(I543),I543&gt;0),M543/I543,""),IF(AND(ISNUMBER(H543),H543&gt;0),M543/H543,"")))</f>
        <v/>
      </c>
      <c r="Q543" s="9">
        <f>IF(AND(ISNUMBER(M543),ISNUMBER(O543)),IF(M543&lt;=O543,"Valor ≤ venal IPTU",""),"")</f>
        <v/>
      </c>
      <c r="R543" s="10" t="n"/>
      <c r="S543" s="10" t="n"/>
      <c r="AA543" s="10" t="n"/>
      <c r="AB543" s="11">
        <f>IF(LEN(TRIM(X543))=0,"",HYPERLINK("https://www.google.com/maps/@?api=1&amp;map_action=pano&amp;viewpoint="&amp;SUBSTITUTE(X543," ",""),"Abrir Street View"))</f>
        <v/>
      </c>
    </row>
    <row r="544">
      <c r="H544" s="6" t="n"/>
      <c r="I544" s="6" t="n"/>
      <c r="M544" s="7" t="n"/>
      <c r="N544" s="7" t="n"/>
      <c r="O544" s="7" t="n"/>
      <c r="P544" s="8">
        <f>IF(NOT(ISNUMBER(M544)),"",IF(G544="Terreno",IF(AND(ISNUMBER(I544),I544&gt;0),M544/I544,""),IF(AND(ISNUMBER(H544),H544&gt;0),M544/H544,"")))</f>
        <v/>
      </c>
      <c r="Q544" s="9">
        <f>IF(AND(ISNUMBER(M544),ISNUMBER(O544)),IF(M544&lt;=O544,"Valor ≤ venal IPTU",""),"")</f>
        <v/>
      </c>
      <c r="R544" s="10" t="n"/>
      <c r="S544" s="10" t="n"/>
      <c r="AA544" s="10" t="n"/>
      <c r="AB544" s="11">
        <f>IF(LEN(TRIM(X544))=0,"",HYPERLINK("https://www.google.com/maps/@?api=1&amp;map_action=pano&amp;viewpoint="&amp;SUBSTITUTE(X544," ",""),"Abrir Street View"))</f>
        <v/>
      </c>
    </row>
    <row r="545">
      <c r="H545" s="6" t="n"/>
      <c r="I545" s="6" t="n"/>
      <c r="M545" s="7" t="n"/>
      <c r="N545" s="7" t="n"/>
      <c r="O545" s="7" t="n"/>
      <c r="P545" s="8">
        <f>IF(NOT(ISNUMBER(M545)),"",IF(G545="Terreno",IF(AND(ISNUMBER(I545),I545&gt;0),M545/I545,""),IF(AND(ISNUMBER(H545),H545&gt;0),M545/H545,"")))</f>
        <v/>
      </c>
      <c r="Q545" s="9">
        <f>IF(AND(ISNUMBER(M545),ISNUMBER(O545)),IF(M545&lt;=O545,"Valor ≤ venal IPTU",""),"")</f>
        <v/>
      </c>
      <c r="R545" s="10" t="n"/>
      <c r="S545" s="10" t="n"/>
      <c r="AA545" s="10" t="n"/>
      <c r="AB545" s="11">
        <f>IF(LEN(TRIM(X545))=0,"",HYPERLINK("https://www.google.com/maps/@?api=1&amp;map_action=pano&amp;viewpoint="&amp;SUBSTITUTE(X545," ",""),"Abrir Street View"))</f>
        <v/>
      </c>
    </row>
    <row r="546">
      <c r="H546" s="6" t="n"/>
      <c r="I546" s="6" t="n"/>
      <c r="M546" s="7" t="n"/>
      <c r="N546" s="7" t="n"/>
      <c r="O546" s="7" t="n"/>
      <c r="P546" s="8">
        <f>IF(NOT(ISNUMBER(M546)),"",IF(G546="Terreno",IF(AND(ISNUMBER(I546),I546&gt;0),M546/I546,""),IF(AND(ISNUMBER(H546),H546&gt;0),M546/H546,"")))</f>
        <v/>
      </c>
      <c r="Q546" s="9">
        <f>IF(AND(ISNUMBER(M546),ISNUMBER(O546)),IF(M546&lt;=O546,"Valor ≤ venal IPTU",""),"")</f>
        <v/>
      </c>
      <c r="R546" s="10" t="n"/>
      <c r="S546" s="10" t="n"/>
      <c r="AA546" s="10" t="n"/>
      <c r="AB546" s="11">
        <f>IF(LEN(TRIM(X546))=0,"",HYPERLINK("https://www.google.com/maps/@?api=1&amp;map_action=pano&amp;viewpoint="&amp;SUBSTITUTE(X546," ",""),"Abrir Street View"))</f>
        <v/>
      </c>
    </row>
    <row r="547">
      <c r="H547" s="6" t="n"/>
      <c r="I547" s="6" t="n"/>
      <c r="M547" s="7" t="n"/>
      <c r="N547" s="7" t="n"/>
      <c r="O547" s="7" t="n"/>
      <c r="P547" s="8">
        <f>IF(NOT(ISNUMBER(M547)),"",IF(G547="Terreno",IF(AND(ISNUMBER(I547),I547&gt;0),M547/I547,""),IF(AND(ISNUMBER(H547),H547&gt;0),M547/H547,"")))</f>
        <v/>
      </c>
      <c r="Q547" s="9">
        <f>IF(AND(ISNUMBER(M547),ISNUMBER(O547)),IF(M547&lt;=O547,"Valor ≤ venal IPTU",""),"")</f>
        <v/>
      </c>
      <c r="R547" s="10" t="n"/>
      <c r="S547" s="10" t="n"/>
      <c r="AA547" s="10" t="n"/>
      <c r="AB547" s="11">
        <f>IF(LEN(TRIM(X547))=0,"",HYPERLINK("https://www.google.com/maps/@?api=1&amp;map_action=pano&amp;viewpoint="&amp;SUBSTITUTE(X547," ",""),"Abrir Street View"))</f>
        <v/>
      </c>
    </row>
    <row r="548">
      <c r="H548" s="6" t="n"/>
      <c r="I548" s="6" t="n"/>
      <c r="M548" s="7" t="n"/>
      <c r="N548" s="7" t="n"/>
      <c r="O548" s="7" t="n"/>
      <c r="P548" s="8">
        <f>IF(NOT(ISNUMBER(M548)),"",IF(G548="Terreno",IF(AND(ISNUMBER(I548),I548&gt;0),M548/I548,""),IF(AND(ISNUMBER(H548),H548&gt;0),M548/H548,"")))</f>
        <v/>
      </c>
      <c r="Q548" s="9">
        <f>IF(AND(ISNUMBER(M548),ISNUMBER(O548)),IF(M548&lt;=O548,"Valor ≤ venal IPTU",""),"")</f>
        <v/>
      </c>
      <c r="R548" s="10" t="n"/>
      <c r="S548" s="10" t="n"/>
      <c r="AA548" s="10" t="n"/>
      <c r="AB548" s="11">
        <f>IF(LEN(TRIM(X548))=0,"",HYPERLINK("https://www.google.com/maps/@?api=1&amp;map_action=pano&amp;viewpoint="&amp;SUBSTITUTE(X548," ",""),"Abrir Street View"))</f>
        <v/>
      </c>
    </row>
    <row r="549">
      <c r="H549" s="6" t="n"/>
      <c r="I549" s="6" t="n"/>
      <c r="M549" s="7" t="n"/>
      <c r="N549" s="7" t="n"/>
      <c r="O549" s="7" t="n"/>
      <c r="P549" s="8">
        <f>IF(NOT(ISNUMBER(M549)),"",IF(G549="Terreno",IF(AND(ISNUMBER(I549),I549&gt;0),M549/I549,""),IF(AND(ISNUMBER(H549),H549&gt;0),M549/H549,"")))</f>
        <v/>
      </c>
      <c r="Q549" s="9">
        <f>IF(AND(ISNUMBER(M549),ISNUMBER(O549)),IF(M549&lt;=O549,"Valor ≤ venal IPTU",""),"")</f>
        <v/>
      </c>
      <c r="R549" s="10" t="n"/>
      <c r="S549" s="10" t="n"/>
      <c r="AA549" s="10" t="n"/>
      <c r="AB549" s="11">
        <f>IF(LEN(TRIM(X549))=0,"",HYPERLINK("https://www.google.com/maps/@?api=1&amp;map_action=pano&amp;viewpoint="&amp;SUBSTITUTE(X549," ",""),"Abrir Street View"))</f>
        <v/>
      </c>
    </row>
    <row r="550">
      <c r="H550" s="6" t="n"/>
      <c r="I550" s="6" t="n"/>
      <c r="M550" s="7" t="n"/>
      <c r="N550" s="7" t="n"/>
      <c r="O550" s="7" t="n"/>
      <c r="P550" s="8">
        <f>IF(NOT(ISNUMBER(M550)),"",IF(G550="Terreno",IF(AND(ISNUMBER(I550),I550&gt;0),M550/I550,""),IF(AND(ISNUMBER(H550),H550&gt;0),M550/H550,"")))</f>
        <v/>
      </c>
      <c r="Q550" s="9">
        <f>IF(AND(ISNUMBER(M550),ISNUMBER(O550)),IF(M550&lt;=O550,"Valor ≤ venal IPTU",""),"")</f>
        <v/>
      </c>
      <c r="R550" s="10" t="n"/>
      <c r="S550" s="10" t="n"/>
      <c r="AA550" s="10" t="n"/>
      <c r="AB550" s="11">
        <f>IF(LEN(TRIM(X550))=0,"",HYPERLINK("https://www.google.com/maps/@?api=1&amp;map_action=pano&amp;viewpoint="&amp;SUBSTITUTE(X550," ",""),"Abrir Street View"))</f>
        <v/>
      </c>
    </row>
    <row r="551">
      <c r="H551" s="6" t="n"/>
      <c r="I551" s="6" t="n"/>
      <c r="M551" s="7" t="n"/>
      <c r="N551" s="7" t="n"/>
      <c r="O551" s="7" t="n"/>
      <c r="P551" s="8">
        <f>IF(NOT(ISNUMBER(M551)),"",IF(G551="Terreno",IF(AND(ISNUMBER(I551),I551&gt;0),M551/I551,""),IF(AND(ISNUMBER(H551),H551&gt;0),M551/H551,"")))</f>
        <v/>
      </c>
      <c r="Q551" s="9">
        <f>IF(AND(ISNUMBER(M551),ISNUMBER(O551)),IF(M551&lt;=O551,"Valor ≤ venal IPTU",""),"")</f>
        <v/>
      </c>
      <c r="R551" s="10" t="n"/>
      <c r="S551" s="10" t="n"/>
      <c r="AA551" s="10" t="n"/>
      <c r="AB551" s="11">
        <f>IF(LEN(TRIM(X551))=0,"",HYPERLINK("https://www.google.com/maps/@?api=1&amp;map_action=pano&amp;viewpoint="&amp;SUBSTITUTE(X551," ",""),"Abrir Street View"))</f>
        <v/>
      </c>
    </row>
    <row r="552">
      <c r="H552" s="6" t="n"/>
      <c r="I552" s="6" t="n"/>
      <c r="M552" s="7" t="n"/>
      <c r="N552" s="7" t="n"/>
      <c r="O552" s="7" t="n"/>
      <c r="P552" s="8">
        <f>IF(NOT(ISNUMBER(M552)),"",IF(G552="Terreno",IF(AND(ISNUMBER(I552),I552&gt;0),M552/I552,""),IF(AND(ISNUMBER(H552),H552&gt;0),M552/H552,"")))</f>
        <v/>
      </c>
      <c r="Q552" s="9">
        <f>IF(AND(ISNUMBER(M552),ISNUMBER(O552)),IF(M552&lt;=O552,"Valor ≤ venal IPTU",""),"")</f>
        <v/>
      </c>
      <c r="R552" s="10" t="n"/>
      <c r="S552" s="10" t="n"/>
      <c r="AA552" s="10" t="n"/>
      <c r="AB552" s="11">
        <f>IF(LEN(TRIM(X552))=0,"",HYPERLINK("https://www.google.com/maps/@?api=1&amp;map_action=pano&amp;viewpoint="&amp;SUBSTITUTE(X552," ",""),"Abrir Street View"))</f>
        <v/>
      </c>
    </row>
    <row r="553">
      <c r="H553" s="6" t="n"/>
      <c r="I553" s="6" t="n"/>
      <c r="M553" s="7" t="n"/>
      <c r="N553" s="7" t="n"/>
      <c r="O553" s="7" t="n"/>
      <c r="P553" s="8">
        <f>IF(NOT(ISNUMBER(M553)),"",IF(G553="Terreno",IF(AND(ISNUMBER(I553),I553&gt;0),M553/I553,""),IF(AND(ISNUMBER(H553),H553&gt;0),M553/H553,"")))</f>
        <v/>
      </c>
      <c r="Q553" s="9">
        <f>IF(AND(ISNUMBER(M553),ISNUMBER(O553)),IF(M553&lt;=O553,"Valor ≤ venal IPTU",""),"")</f>
        <v/>
      </c>
      <c r="R553" s="10" t="n"/>
      <c r="S553" s="10" t="n"/>
      <c r="AA553" s="10" t="n"/>
      <c r="AB553" s="11">
        <f>IF(LEN(TRIM(X553))=0,"",HYPERLINK("https://www.google.com/maps/@?api=1&amp;map_action=pano&amp;viewpoint="&amp;SUBSTITUTE(X553," ",""),"Abrir Street View"))</f>
        <v/>
      </c>
    </row>
    <row r="554">
      <c r="H554" s="6" t="n"/>
      <c r="I554" s="6" t="n"/>
      <c r="M554" s="7" t="n"/>
      <c r="N554" s="7" t="n"/>
      <c r="O554" s="7" t="n"/>
      <c r="P554" s="8">
        <f>IF(NOT(ISNUMBER(M554)),"",IF(G554="Terreno",IF(AND(ISNUMBER(I554),I554&gt;0),M554/I554,""),IF(AND(ISNUMBER(H554),H554&gt;0),M554/H554,"")))</f>
        <v/>
      </c>
      <c r="Q554" s="9">
        <f>IF(AND(ISNUMBER(M554),ISNUMBER(O554)),IF(M554&lt;=O554,"Valor ≤ venal IPTU",""),"")</f>
        <v/>
      </c>
      <c r="R554" s="10" t="n"/>
      <c r="S554" s="10" t="n"/>
      <c r="AA554" s="10" t="n"/>
      <c r="AB554" s="11">
        <f>IF(LEN(TRIM(X554))=0,"",HYPERLINK("https://www.google.com/maps/@?api=1&amp;map_action=pano&amp;viewpoint="&amp;SUBSTITUTE(X554," ",""),"Abrir Street View"))</f>
        <v/>
      </c>
    </row>
    <row r="555">
      <c r="H555" s="6" t="n"/>
      <c r="I555" s="6" t="n"/>
      <c r="M555" s="7" t="n"/>
      <c r="N555" s="7" t="n"/>
      <c r="O555" s="7" t="n"/>
      <c r="P555" s="8">
        <f>IF(NOT(ISNUMBER(M555)),"",IF(G555="Terreno",IF(AND(ISNUMBER(I555),I555&gt;0),M555/I555,""),IF(AND(ISNUMBER(H555),H555&gt;0),M555/H555,"")))</f>
        <v/>
      </c>
      <c r="Q555" s="9">
        <f>IF(AND(ISNUMBER(M555),ISNUMBER(O555)),IF(M555&lt;=O555,"Valor ≤ venal IPTU",""),"")</f>
        <v/>
      </c>
      <c r="R555" s="10" t="n"/>
      <c r="S555" s="10" t="n"/>
      <c r="AA555" s="10" t="n"/>
      <c r="AB555" s="11">
        <f>IF(LEN(TRIM(X555))=0,"",HYPERLINK("https://www.google.com/maps/@?api=1&amp;map_action=pano&amp;viewpoint="&amp;SUBSTITUTE(X555," ",""),"Abrir Street View"))</f>
        <v/>
      </c>
    </row>
    <row r="556">
      <c r="H556" s="6" t="n"/>
      <c r="I556" s="6" t="n"/>
      <c r="M556" s="7" t="n"/>
      <c r="N556" s="7" t="n"/>
      <c r="O556" s="7" t="n"/>
      <c r="P556" s="8">
        <f>IF(NOT(ISNUMBER(M556)),"",IF(G556="Terreno",IF(AND(ISNUMBER(I556),I556&gt;0),M556/I556,""),IF(AND(ISNUMBER(H556),H556&gt;0),M556/H556,"")))</f>
        <v/>
      </c>
      <c r="Q556" s="9">
        <f>IF(AND(ISNUMBER(M556),ISNUMBER(O556)),IF(M556&lt;=O556,"Valor ≤ venal IPTU",""),"")</f>
        <v/>
      </c>
      <c r="R556" s="10" t="n"/>
      <c r="S556" s="10" t="n"/>
      <c r="AA556" s="10" t="n"/>
      <c r="AB556" s="11">
        <f>IF(LEN(TRIM(X556))=0,"",HYPERLINK("https://www.google.com/maps/@?api=1&amp;map_action=pano&amp;viewpoint="&amp;SUBSTITUTE(X556," ",""),"Abrir Street View"))</f>
        <v/>
      </c>
    </row>
    <row r="557">
      <c r="H557" s="6" t="n"/>
      <c r="I557" s="6" t="n"/>
      <c r="M557" s="7" t="n"/>
      <c r="N557" s="7" t="n"/>
      <c r="O557" s="7" t="n"/>
      <c r="P557" s="8">
        <f>IF(NOT(ISNUMBER(M557)),"",IF(G557="Terreno",IF(AND(ISNUMBER(I557),I557&gt;0),M557/I557,""),IF(AND(ISNUMBER(H557),H557&gt;0),M557/H557,"")))</f>
        <v/>
      </c>
      <c r="Q557" s="9">
        <f>IF(AND(ISNUMBER(M557),ISNUMBER(O557)),IF(M557&lt;=O557,"Valor ≤ venal IPTU",""),"")</f>
        <v/>
      </c>
      <c r="R557" s="10" t="n"/>
      <c r="S557" s="10" t="n"/>
      <c r="AA557" s="10" t="n"/>
      <c r="AB557" s="11">
        <f>IF(LEN(TRIM(X557))=0,"",HYPERLINK("https://www.google.com/maps/@?api=1&amp;map_action=pano&amp;viewpoint="&amp;SUBSTITUTE(X557," ",""),"Abrir Street View"))</f>
        <v/>
      </c>
    </row>
    <row r="558">
      <c r="H558" s="6" t="n"/>
      <c r="I558" s="6" t="n"/>
      <c r="M558" s="7" t="n"/>
      <c r="N558" s="7" t="n"/>
      <c r="O558" s="7" t="n"/>
      <c r="P558" s="8">
        <f>IF(NOT(ISNUMBER(M558)),"",IF(G558="Terreno",IF(AND(ISNUMBER(I558),I558&gt;0),M558/I558,""),IF(AND(ISNUMBER(H558),H558&gt;0),M558/H558,"")))</f>
        <v/>
      </c>
      <c r="Q558" s="9">
        <f>IF(AND(ISNUMBER(M558),ISNUMBER(O558)),IF(M558&lt;=O558,"Valor ≤ venal IPTU",""),"")</f>
        <v/>
      </c>
      <c r="R558" s="10" t="n"/>
      <c r="S558" s="10" t="n"/>
      <c r="AA558" s="10" t="n"/>
      <c r="AB558" s="11">
        <f>IF(LEN(TRIM(X558))=0,"",HYPERLINK("https://www.google.com/maps/@?api=1&amp;map_action=pano&amp;viewpoint="&amp;SUBSTITUTE(X558," ",""),"Abrir Street View"))</f>
        <v/>
      </c>
    </row>
    <row r="559">
      <c r="H559" s="6" t="n"/>
      <c r="I559" s="6" t="n"/>
      <c r="M559" s="7" t="n"/>
      <c r="N559" s="7" t="n"/>
      <c r="O559" s="7" t="n"/>
      <c r="P559" s="8">
        <f>IF(NOT(ISNUMBER(M559)),"",IF(G559="Terreno",IF(AND(ISNUMBER(I559),I559&gt;0),M559/I559,""),IF(AND(ISNUMBER(H559),H559&gt;0),M559/H559,"")))</f>
        <v/>
      </c>
      <c r="Q559" s="9">
        <f>IF(AND(ISNUMBER(M559),ISNUMBER(O559)),IF(M559&lt;=O559,"Valor ≤ venal IPTU",""),"")</f>
        <v/>
      </c>
      <c r="R559" s="10" t="n"/>
      <c r="S559" s="10" t="n"/>
      <c r="AA559" s="10" t="n"/>
      <c r="AB559" s="11">
        <f>IF(LEN(TRIM(X559))=0,"",HYPERLINK("https://www.google.com/maps/@?api=1&amp;map_action=pano&amp;viewpoint="&amp;SUBSTITUTE(X559," ",""),"Abrir Street View"))</f>
        <v/>
      </c>
    </row>
    <row r="560">
      <c r="H560" s="6" t="n"/>
      <c r="I560" s="6" t="n"/>
      <c r="M560" s="7" t="n"/>
      <c r="N560" s="7" t="n"/>
      <c r="O560" s="7" t="n"/>
      <c r="P560" s="8">
        <f>IF(NOT(ISNUMBER(M560)),"",IF(G560="Terreno",IF(AND(ISNUMBER(I560),I560&gt;0),M560/I560,""),IF(AND(ISNUMBER(H560),H560&gt;0),M560/H560,"")))</f>
        <v/>
      </c>
      <c r="Q560" s="9">
        <f>IF(AND(ISNUMBER(M560),ISNUMBER(O560)),IF(M560&lt;=O560,"Valor ≤ venal IPTU",""),"")</f>
        <v/>
      </c>
      <c r="R560" s="10" t="n"/>
      <c r="S560" s="10" t="n"/>
      <c r="AA560" s="10" t="n"/>
      <c r="AB560" s="11">
        <f>IF(LEN(TRIM(X560))=0,"",HYPERLINK("https://www.google.com/maps/@?api=1&amp;map_action=pano&amp;viewpoint="&amp;SUBSTITUTE(X560," ",""),"Abrir Street View"))</f>
        <v/>
      </c>
    </row>
    <row r="561">
      <c r="H561" s="6" t="n"/>
      <c r="I561" s="6" t="n"/>
      <c r="M561" s="7" t="n"/>
      <c r="N561" s="7" t="n"/>
      <c r="O561" s="7" t="n"/>
      <c r="P561" s="8">
        <f>IF(NOT(ISNUMBER(M561)),"",IF(G561="Terreno",IF(AND(ISNUMBER(I561),I561&gt;0),M561/I561,""),IF(AND(ISNUMBER(H561),H561&gt;0),M561/H561,"")))</f>
        <v/>
      </c>
      <c r="Q561" s="9">
        <f>IF(AND(ISNUMBER(M561),ISNUMBER(O561)),IF(M561&lt;=O561,"Valor ≤ venal IPTU",""),"")</f>
        <v/>
      </c>
      <c r="R561" s="10" t="n"/>
      <c r="S561" s="10" t="n"/>
      <c r="AA561" s="10" t="n"/>
      <c r="AB561" s="11">
        <f>IF(LEN(TRIM(X561))=0,"",HYPERLINK("https://www.google.com/maps/@?api=1&amp;map_action=pano&amp;viewpoint="&amp;SUBSTITUTE(X561," ",""),"Abrir Street View"))</f>
        <v/>
      </c>
    </row>
    <row r="562">
      <c r="H562" s="6" t="n"/>
      <c r="I562" s="6" t="n"/>
      <c r="M562" s="7" t="n"/>
      <c r="N562" s="7" t="n"/>
      <c r="O562" s="7" t="n"/>
      <c r="P562" s="8">
        <f>IF(NOT(ISNUMBER(M562)),"",IF(G562="Terreno",IF(AND(ISNUMBER(I562),I562&gt;0),M562/I562,""),IF(AND(ISNUMBER(H562),H562&gt;0),M562/H562,"")))</f>
        <v/>
      </c>
      <c r="Q562" s="9">
        <f>IF(AND(ISNUMBER(M562),ISNUMBER(O562)),IF(M562&lt;=O562,"Valor ≤ venal IPTU",""),"")</f>
        <v/>
      </c>
      <c r="R562" s="10" t="n"/>
      <c r="S562" s="10" t="n"/>
      <c r="AA562" s="10" t="n"/>
      <c r="AB562" s="11">
        <f>IF(LEN(TRIM(X562))=0,"",HYPERLINK("https://www.google.com/maps/@?api=1&amp;map_action=pano&amp;viewpoint="&amp;SUBSTITUTE(X562," ",""),"Abrir Street View"))</f>
        <v/>
      </c>
    </row>
    <row r="563">
      <c r="H563" s="6" t="n"/>
      <c r="I563" s="6" t="n"/>
      <c r="M563" s="7" t="n"/>
      <c r="N563" s="7" t="n"/>
      <c r="O563" s="7" t="n"/>
      <c r="P563" s="8">
        <f>IF(NOT(ISNUMBER(M563)),"",IF(G563="Terreno",IF(AND(ISNUMBER(I563),I563&gt;0),M563/I563,""),IF(AND(ISNUMBER(H563),H563&gt;0),M563/H563,"")))</f>
        <v/>
      </c>
      <c r="Q563" s="9">
        <f>IF(AND(ISNUMBER(M563),ISNUMBER(O563)),IF(M563&lt;=O563,"Valor ≤ venal IPTU",""),"")</f>
        <v/>
      </c>
      <c r="R563" s="10" t="n"/>
      <c r="S563" s="10" t="n"/>
      <c r="AA563" s="10" t="n"/>
      <c r="AB563" s="11">
        <f>IF(LEN(TRIM(X563))=0,"",HYPERLINK("https://www.google.com/maps/@?api=1&amp;map_action=pano&amp;viewpoint="&amp;SUBSTITUTE(X563," ",""),"Abrir Street View"))</f>
        <v/>
      </c>
    </row>
    <row r="564">
      <c r="H564" s="6" t="n"/>
      <c r="I564" s="6" t="n"/>
      <c r="M564" s="7" t="n"/>
      <c r="N564" s="7" t="n"/>
      <c r="O564" s="7" t="n"/>
      <c r="P564" s="8">
        <f>IF(NOT(ISNUMBER(M564)),"",IF(G564="Terreno",IF(AND(ISNUMBER(I564),I564&gt;0),M564/I564,""),IF(AND(ISNUMBER(H564),H564&gt;0),M564/H564,"")))</f>
        <v/>
      </c>
      <c r="Q564" s="9">
        <f>IF(AND(ISNUMBER(M564),ISNUMBER(O564)),IF(M564&lt;=O564,"Valor ≤ venal IPTU",""),"")</f>
        <v/>
      </c>
      <c r="R564" s="10" t="n"/>
      <c r="S564" s="10" t="n"/>
      <c r="AA564" s="10" t="n"/>
      <c r="AB564" s="11">
        <f>IF(LEN(TRIM(X564))=0,"",HYPERLINK("https://www.google.com/maps/@?api=1&amp;map_action=pano&amp;viewpoint="&amp;SUBSTITUTE(X564," ",""),"Abrir Street View"))</f>
        <v/>
      </c>
    </row>
    <row r="565">
      <c r="H565" s="6" t="n"/>
      <c r="I565" s="6" t="n"/>
      <c r="M565" s="7" t="n"/>
      <c r="N565" s="7" t="n"/>
      <c r="O565" s="7" t="n"/>
      <c r="P565" s="8">
        <f>IF(NOT(ISNUMBER(M565)),"",IF(G565="Terreno",IF(AND(ISNUMBER(I565),I565&gt;0),M565/I565,""),IF(AND(ISNUMBER(H565),H565&gt;0),M565/H565,"")))</f>
        <v/>
      </c>
      <c r="Q565" s="9">
        <f>IF(AND(ISNUMBER(M565),ISNUMBER(O565)),IF(M565&lt;=O565,"Valor ≤ venal IPTU",""),"")</f>
        <v/>
      </c>
      <c r="R565" s="10" t="n"/>
      <c r="S565" s="10" t="n"/>
      <c r="AA565" s="10" t="n"/>
      <c r="AB565" s="11">
        <f>IF(LEN(TRIM(X565))=0,"",HYPERLINK("https://www.google.com/maps/@?api=1&amp;map_action=pano&amp;viewpoint="&amp;SUBSTITUTE(X565," ",""),"Abrir Street View"))</f>
        <v/>
      </c>
    </row>
    <row r="566">
      <c r="H566" s="6" t="n"/>
      <c r="I566" s="6" t="n"/>
      <c r="M566" s="7" t="n"/>
      <c r="N566" s="7" t="n"/>
      <c r="O566" s="7" t="n"/>
      <c r="P566" s="8">
        <f>IF(NOT(ISNUMBER(M566)),"",IF(G566="Terreno",IF(AND(ISNUMBER(I566),I566&gt;0),M566/I566,""),IF(AND(ISNUMBER(H566),H566&gt;0),M566/H566,"")))</f>
        <v/>
      </c>
      <c r="Q566" s="9">
        <f>IF(AND(ISNUMBER(M566),ISNUMBER(O566)),IF(M566&lt;=O566,"Valor ≤ venal IPTU",""),"")</f>
        <v/>
      </c>
      <c r="R566" s="10" t="n"/>
      <c r="S566" s="10" t="n"/>
      <c r="AA566" s="10" t="n"/>
      <c r="AB566" s="11">
        <f>IF(LEN(TRIM(X566))=0,"",HYPERLINK("https://www.google.com/maps/@?api=1&amp;map_action=pano&amp;viewpoint="&amp;SUBSTITUTE(X566," ",""),"Abrir Street View"))</f>
        <v/>
      </c>
    </row>
    <row r="567">
      <c r="H567" s="6" t="n"/>
      <c r="I567" s="6" t="n"/>
      <c r="M567" s="7" t="n"/>
      <c r="N567" s="7" t="n"/>
      <c r="O567" s="7" t="n"/>
      <c r="P567" s="8">
        <f>IF(NOT(ISNUMBER(M567)),"",IF(G567="Terreno",IF(AND(ISNUMBER(I567),I567&gt;0),M567/I567,""),IF(AND(ISNUMBER(H567),H567&gt;0),M567/H567,"")))</f>
        <v/>
      </c>
      <c r="Q567" s="9">
        <f>IF(AND(ISNUMBER(M567),ISNUMBER(O567)),IF(M567&lt;=O567,"Valor ≤ venal IPTU",""),"")</f>
        <v/>
      </c>
      <c r="R567" s="10" t="n"/>
      <c r="S567" s="10" t="n"/>
      <c r="AA567" s="10" t="n"/>
      <c r="AB567" s="11">
        <f>IF(LEN(TRIM(X567))=0,"",HYPERLINK("https://www.google.com/maps/@?api=1&amp;map_action=pano&amp;viewpoint="&amp;SUBSTITUTE(X567," ",""),"Abrir Street View"))</f>
        <v/>
      </c>
    </row>
    <row r="568">
      <c r="H568" s="6" t="n"/>
      <c r="I568" s="6" t="n"/>
      <c r="M568" s="7" t="n"/>
      <c r="N568" s="7" t="n"/>
      <c r="O568" s="7" t="n"/>
      <c r="P568" s="8">
        <f>IF(NOT(ISNUMBER(M568)),"",IF(G568="Terreno",IF(AND(ISNUMBER(I568),I568&gt;0),M568/I568,""),IF(AND(ISNUMBER(H568),H568&gt;0),M568/H568,"")))</f>
        <v/>
      </c>
      <c r="Q568" s="9">
        <f>IF(AND(ISNUMBER(M568),ISNUMBER(O568)),IF(M568&lt;=O568,"Valor ≤ venal IPTU",""),"")</f>
        <v/>
      </c>
      <c r="R568" s="10" t="n"/>
      <c r="S568" s="10" t="n"/>
      <c r="AA568" s="10" t="n"/>
      <c r="AB568" s="11">
        <f>IF(LEN(TRIM(X568))=0,"",HYPERLINK("https://www.google.com/maps/@?api=1&amp;map_action=pano&amp;viewpoint="&amp;SUBSTITUTE(X568," ",""),"Abrir Street View"))</f>
        <v/>
      </c>
    </row>
    <row r="569">
      <c r="H569" s="6" t="n"/>
      <c r="I569" s="6" t="n"/>
      <c r="M569" s="7" t="n"/>
      <c r="N569" s="7" t="n"/>
      <c r="O569" s="7" t="n"/>
      <c r="P569" s="8">
        <f>IF(NOT(ISNUMBER(M569)),"",IF(G569="Terreno",IF(AND(ISNUMBER(I569),I569&gt;0),M569/I569,""),IF(AND(ISNUMBER(H569),H569&gt;0),M569/H569,"")))</f>
        <v/>
      </c>
      <c r="Q569" s="9">
        <f>IF(AND(ISNUMBER(M569),ISNUMBER(O569)),IF(M569&lt;=O569,"Valor ≤ venal IPTU",""),"")</f>
        <v/>
      </c>
      <c r="R569" s="10" t="n"/>
      <c r="S569" s="10" t="n"/>
      <c r="AA569" s="10" t="n"/>
      <c r="AB569" s="11">
        <f>IF(LEN(TRIM(X569))=0,"",HYPERLINK("https://www.google.com/maps/@?api=1&amp;map_action=pano&amp;viewpoint="&amp;SUBSTITUTE(X569," ",""),"Abrir Street View"))</f>
        <v/>
      </c>
    </row>
    <row r="570">
      <c r="H570" s="6" t="n"/>
      <c r="I570" s="6" t="n"/>
      <c r="M570" s="7" t="n"/>
      <c r="N570" s="7" t="n"/>
      <c r="O570" s="7" t="n"/>
      <c r="P570" s="8">
        <f>IF(NOT(ISNUMBER(M570)),"",IF(G570="Terreno",IF(AND(ISNUMBER(I570),I570&gt;0),M570/I570,""),IF(AND(ISNUMBER(H570),H570&gt;0),M570/H570,"")))</f>
        <v/>
      </c>
      <c r="Q570" s="9">
        <f>IF(AND(ISNUMBER(M570),ISNUMBER(O570)),IF(M570&lt;=O570,"Valor ≤ venal IPTU",""),"")</f>
        <v/>
      </c>
      <c r="R570" s="10" t="n"/>
      <c r="S570" s="10" t="n"/>
      <c r="AA570" s="10" t="n"/>
      <c r="AB570" s="11">
        <f>IF(LEN(TRIM(X570))=0,"",HYPERLINK("https://www.google.com/maps/@?api=1&amp;map_action=pano&amp;viewpoint="&amp;SUBSTITUTE(X570," ",""),"Abrir Street View"))</f>
        <v/>
      </c>
    </row>
    <row r="571">
      <c r="H571" s="6" t="n"/>
      <c r="I571" s="6" t="n"/>
      <c r="M571" s="7" t="n"/>
      <c r="N571" s="7" t="n"/>
      <c r="O571" s="7" t="n"/>
      <c r="P571" s="8">
        <f>IF(NOT(ISNUMBER(M571)),"",IF(G571="Terreno",IF(AND(ISNUMBER(I571),I571&gt;0),M571/I571,""),IF(AND(ISNUMBER(H571),H571&gt;0),M571/H571,"")))</f>
        <v/>
      </c>
      <c r="Q571" s="9">
        <f>IF(AND(ISNUMBER(M571),ISNUMBER(O571)),IF(M571&lt;=O571,"Valor ≤ venal IPTU",""),"")</f>
        <v/>
      </c>
      <c r="R571" s="10" t="n"/>
      <c r="S571" s="10" t="n"/>
      <c r="AA571" s="10" t="n"/>
      <c r="AB571" s="11">
        <f>IF(LEN(TRIM(X571))=0,"",HYPERLINK("https://www.google.com/maps/@?api=1&amp;map_action=pano&amp;viewpoint="&amp;SUBSTITUTE(X571," ",""),"Abrir Street View"))</f>
        <v/>
      </c>
    </row>
    <row r="572">
      <c r="H572" s="6" t="n"/>
      <c r="I572" s="6" t="n"/>
      <c r="M572" s="7" t="n"/>
      <c r="N572" s="7" t="n"/>
      <c r="O572" s="7" t="n"/>
      <c r="P572" s="8">
        <f>IF(NOT(ISNUMBER(M572)),"",IF(G572="Terreno",IF(AND(ISNUMBER(I572),I572&gt;0),M572/I572,""),IF(AND(ISNUMBER(H572),H572&gt;0),M572/H572,"")))</f>
        <v/>
      </c>
      <c r="Q572" s="9">
        <f>IF(AND(ISNUMBER(M572),ISNUMBER(O572)),IF(M572&lt;=O572,"Valor ≤ venal IPTU",""),"")</f>
        <v/>
      </c>
      <c r="R572" s="10" t="n"/>
      <c r="S572" s="10" t="n"/>
      <c r="AA572" s="10" t="n"/>
      <c r="AB572" s="11">
        <f>IF(LEN(TRIM(X572))=0,"",HYPERLINK("https://www.google.com/maps/@?api=1&amp;map_action=pano&amp;viewpoint="&amp;SUBSTITUTE(X572," ",""),"Abrir Street View"))</f>
        <v/>
      </c>
    </row>
    <row r="573">
      <c r="H573" s="6" t="n"/>
      <c r="I573" s="6" t="n"/>
      <c r="M573" s="7" t="n"/>
      <c r="N573" s="7" t="n"/>
      <c r="O573" s="7" t="n"/>
      <c r="P573" s="8">
        <f>IF(NOT(ISNUMBER(M573)),"",IF(G573="Terreno",IF(AND(ISNUMBER(I573),I573&gt;0),M573/I573,""),IF(AND(ISNUMBER(H573),H573&gt;0),M573/H573,"")))</f>
        <v/>
      </c>
      <c r="Q573" s="9">
        <f>IF(AND(ISNUMBER(M573),ISNUMBER(O573)),IF(M573&lt;=O573,"Valor ≤ venal IPTU",""),"")</f>
        <v/>
      </c>
      <c r="R573" s="10" t="n"/>
      <c r="S573" s="10" t="n"/>
      <c r="AA573" s="10" t="n"/>
      <c r="AB573" s="11">
        <f>IF(LEN(TRIM(X573))=0,"",HYPERLINK("https://www.google.com/maps/@?api=1&amp;map_action=pano&amp;viewpoint="&amp;SUBSTITUTE(X573," ",""),"Abrir Street View"))</f>
        <v/>
      </c>
    </row>
    <row r="574">
      <c r="H574" s="6" t="n"/>
      <c r="I574" s="6" t="n"/>
      <c r="M574" s="7" t="n"/>
      <c r="N574" s="7" t="n"/>
      <c r="O574" s="7" t="n"/>
      <c r="P574" s="8">
        <f>IF(NOT(ISNUMBER(M574)),"",IF(G574="Terreno",IF(AND(ISNUMBER(I574),I574&gt;0),M574/I574,""),IF(AND(ISNUMBER(H574),H574&gt;0),M574/H574,"")))</f>
        <v/>
      </c>
      <c r="Q574" s="9">
        <f>IF(AND(ISNUMBER(M574),ISNUMBER(O574)),IF(M574&lt;=O574,"Valor ≤ venal IPTU",""),"")</f>
        <v/>
      </c>
      <c r="R574" s="10" t="n"/>
      <c r="S574" s="10" t="n"/>
      <c r="AA574" s="10" t="n"/>
      <c r="AB574" s="11">
        <f>IF(LEN(TRIM(X574))=0,"",HYPERLINK("https://www.google.com/maps/@?api=1&amp;map_action=pano&amp;viewpoint="&amp;SUBSTITUTE(X574," ",""),"Abrir Street View"))</f>
        <v/>
      </c>
    </row>
    <row r="575">
      <c r="H575" s="6" t="n"/>
      <c r="I575" s="6" t="n"/>
      <c r="M575" s="7" t="n"/>
      <c r="N575" s="7" t="n"/>
      <c r="O575" s="7" t="n"/>
      <c r="P575" s="8">
        <f>IF(NOT(ISNUMBER(M575)),"",IF(G575="Terreno",IF(AND(ISNUMBER(I575),I575&gt;0),M575/I575,""),IF(AND(ISNUMBER(H575),H575&gt;0),M575/H575,"")))</f>
        <v/>
      </c>
      <c r="Q575" s="9">
        <f>IF(AND(ISNUMBER(M575),ISNUMBER(O575)),IF(M575&lt;=O575,"Valor ≤ venal IPTU",""),"")</f>
        <v/>
      </c>
      <c r="R575" s="10" t="n"/>
      <c r="S575" s="10" t="n"/>
      <c r="AA575" s="10" t="n"/>
      <c r="AB575" s="11">
        <f>IF(LEN(TRIM(X575))=0,"",HYPERLINK("https://www.google.com/maps/@?api=1&amp;map_action=pano&amp;viewpoint="&amp;SUBSTITUTE(X575," ",""),"Abrir Street View"))</f>
        <v/>
      </c>
    </row>
    <row r="576">
      <c r="H576" s="6" t="n"/>
      <c r="I576" s="6" t="n"/>
      <c r="M576" s="7" t="n"/>
      <c r="N576" s="7" t="n"/>
      <c r="O576" s="7" t="n"/>
      <c r="P576" s="8">
        <f>IF(NOT(ISNUMBER(M576)),"",IF(G576="Terreno",IF(AND(ISNUMBER(I576),I576&gt;0),M576/I576,""),IF(AND(ISNUMBER(H576),H576&gt;0),M576/H576,"")))</f>
        <v/>
      </c>
      <c r="Q576" s="9">
        <f>IF(AND(ISNUMBER(M576),ISNUMBER(O576)),IF(M576&lt;=O576,"Valor ≤ venal IPTU",""),"")</f>
        <v/>
      </c>
      <c r="R576" s="10" t="n"/>
      <c r="S576" s="10" t="n"/>
      <c r="AA576" s="10" t="n"/>
      <c r="AB576" s="11">
        <f>IF(LEN(TRIM(X576))=0,"",HYPERLINK("https://www.google.com/maps/@?api=1&amp;map_action=pano&amp;viewpoint="&amp;SUBSTITUTE(X576," ",""),"Abrir Street View"))</f>
        <v/>
      </c>
    </row>
    <row r="577">
      <c r="H577" s="6" t="n"/>
      <c r="I577" s="6" t="n"/>
      <c r="M577" s="7" t="n"/>
      <c r="N577" s="7" t="n"/>
      <c r="O577" s="7" t="n"/>
      <c r="P577" s="8">
        <f>IF(NOT(ISNUMBER(M577)),"",IF(G577="Terreno",IF(AND(ISNUMBER(I577),I577&gt;0),M577/I577,""),IF(AND(ISNUMBER(H577),H577&gt;0),M577/H577,"")))</f>
        <v/>
      </c>
      <c r="Q577" s="9">
        <f>IF(AND(ISNUMBER(M577),ISNUMBER(O577)),IF(M577&lt;=O577,"Valor ≤ venal IPTU",""),"")</f>
        <v/>
      </c>
      <c r="R577" s="10" t="n"/>
      <c r="S577" s="10" t="n"/>
      <c r="AA577" s="10" t="n"/>
      <c r="AB577" s="11">
        <f>IF(LEN(TRIM(X577))=0,"",HYPERLINK("https://www.google.com/maps/@?api=1&amp;map_action=pano&amp;viewpoint="&amp;SUBSTITUTE(X577," ",""),"Abrir Street View"))</f>
        <v/>
      </c>
    </row>
    <row r="578">
      <c r="H578" s="6" t="n"/>
      <c r="I578" s="6" t="n"/>
      <c r="M578" s="7" t="n"/>
      <c r="N578" s="7" t="n"/>
      <c r="O578" s="7" t="n"/>
      <c r="P578" s="8">
        <f>IF(NOT(ISNUMBER(M578)),"",IF(G578="Terreno",IF(AND(ISNUMBER(I578),I578&gt;0),M578/I578,""),IF(AND(ISNUMBER(H578),H578&gt;0),M578/H578,"")))</f>
        <v/>
      </c>
      <c r="Q578" s="9">
        <f>IF(AND(ISNUMBER(M578),ISNUMBER(O578)),IF(M578&lt;=O578,"Valor ≤ venal IPTU",""),"")</f>
        <v/>
      </c>
      <c r="R578" s="10" t="n"/>
      <c r="S578" s="10" t="n"/>
      <c r="AA578" s="10" t="n"/>
      <c r="AB578" s="11">
        <f>IF(LEN(TRIM(X578))=0,"",HYPERLINK("https://www.google.com/maps/@?api=1&amp;map_action=pano&amp;viewpoint="&amp;SUBSTITUTE(X578," ",""),"Abrir Street View"))</f>
        <v/>
      </c>
    </row>
    <row r="579">
      <c r="H579" s="6" t="n"/>
      <c r="I579" s="6" t="n"/>
      <c r="M579" s="7" t="n"/>
      <c r="N579" s="7" t="n"/>
      <c r="O579" s="7" t="n"/>
      <c r="P579" s="8">
        <f>IF(NOT(ISNUMBER(M579)),"",IF(G579="Terreno",IF(AND(ISNUMBER(I579),I579&gt;0),M579/I579,""),IF(AND(ISNUMBER(H579),H579&gt;0),M579/H579,"")))</f>
        <v/>
      </c>
      <c r="Q579" s="9">
        <f>IF(AND(ISNUMBER(M579),ISNUMBER(O579)),IF(M579&lt;=O579,"Valor ≤ venal IPTU",""),"")</f>
        <v/>
      </c>
      <c r="R579" s="10" t="n"/>
      <c r="S579" s="10" t="n"/>
      <c r="AA579" s="10" t="n"/>
      <c r="AB579" s="11">
        <f>IF(LEN(TRIM(X579))=0,"",HYPERLINK("https://www.google.com/maps/@?api=1&amp;map_action=pano&amp;viewpoint="&amp;SUBSTITUTE(X579," ",""),"Abrir Street View"))</f>
        <v/>
      </c>
    </row>
    <row r="580">
      <c r="H580" s="6" t="n"/>
      <c r="I580" s="6" t="n"/>
      <c r="M580" s="7" t="n"/>
      <c r="N580" s="7" t="n"/>
      <c r="O580" s="7" t="n"/>
      <c r="P580" s="8">
        <f>IF(NOT(ISNUMBER(M580)),"",IF(G580="Terreno",IF(AND(ISNUMBER(I580),I580&gt;0),M580/I580,""),IF(AND(ISNUMBER(H580),H580&gt;0),M580/H580,"")))</f>
        <v/>
      </c>
      <c r="Q580" s="9">
        <f>IF(AND(ISNUMBER(M580),ISNUMBER(O580)),IF(M580&lt;=O580,"Valor ≤ venal IPTU",""),"")</f>
        <v/>
      </c>
      <c r="R580" s="10" t="n"/>
      <c r="S580" s="10" t="n"/>
      <c r="AA580" s="10" t="n"/>
      <c r="AB580" s="11">
        <f>IF(LEN(TRIM(X580))=0,"",HYPERLINK("https://www.google.com/maps/@?api=1&amp;map_action=pano&amp;viewpoint="&amp;SUBSTITUTE(X580," ",""),"Abrir Street View"))</f>
        <v/>
      </c>
    </row>
    <row r="581">
      <c r="H581" s="6" t="n"/>
      <c r="I581" s="6" t="n"/>
      <c r="M581" s="7" t="n"/>
      <c r="N581" s="7" t="n"/>
      <c r="O581" s="7" t="n"/>
      <c r="P581" s="8">
        <f>IF(NOT(ISNUMBER(M581)),"",IF(G581="Terreno",IF(AND(ISNUMBER(I581),I581&gt;0),M581/I581,""),IF(AND(ISNUMBER(H581),H581&gt;0),M581/H581,"")))</f>
        <v/>
      </c>
      <c r="Q581" s="9">
        <f>IF(AND(ISNUMBER(M581),ISNUMBER(O581)),IF(M581&lt;=O581,"Valor ≤ venal IPTU",""),"")</f>
        <v/>
      </c>
      <c r="R581" s="10" t="n"/>
      <c r="S581" s="10" t="n"/>
      <c r="AA581" s="10" t="n"/>
      <c r="AB581" s="11">
        <f>IF(LEN(TRIM(X581))=0,"",HYPERLINK("https://www.google.com/maps/@?api=1&amp;map_action=pano&amp;viewpoint="&amp;SUBSTITUTE(X581," ",""),"Abrir Street View"))</f>
        <v/>
      </c>
    </row>
    <row r="582">
      <c r="H582" s="6" t="n"/>
      <c r="I582" s="6" t="n"/>
      <c r="M582" s="7" t="n"/>
      <c r="N582" s="7" t="n"/>
      <c r="O582" s="7" t="n"/>
      <c r="P582" s="8">
        <f>IF(NOT(ISNUMBER(M582)),"",IF(G582="Terreno",IF(AND(ISNUMBER(I582),I582&gt;0),M582/I582,""),IF(AND(ISNUMBER(H582),H582&gt;0),M582/H582,"")))</f>
        <v/>
      </c>
      <c r="Q582" s="9">
        <f>IF(AND(ISNUMBER(M582),ISNUMBER(O582)),IF(M582&lt;=O582,"Valor ≤ venal IPTU",""),"")</f>
        <v/>
      </c>
      <c r="R582" s="10" t="n"/>
      <c r="S582" s="10" t="n"/>
      <c r="AA582" s="10" t="n"/>
      <c r="AB582" s="11">
        <f>IF(LEN(TRIM(X582))=0,"",HYPERLINK("https://www.google.com/maps/@?api=1&amp;map_action=pano&amp;viewpoint="&amp;SUBSTITUTE(X582," ",""),"Abrir Street View"))</f>
        <v/>
      </c>
    </row>
    <row r="583">
      <c r="H583" s="6" t="n"/>
      <c r="I583" s="6" t="n"/>
      <c r="M583" s="7" t="n"/>
      <c r="N583" s="7" t="n"/>
      <c r="O583" s="7" t="n"/>
      <c r="P583" s="8">
        <f>IF(NOT(ISNUMBER(M583)),"",IF(G583="Terreno",IF(AND(ISNUMBER(I583),I583&gt;0),M583/I583,""),IF(AND(ISNUMBER(H583),H583&gt;0),M583/H583,"")))</f>
        <v/>
      </c>
      <c r="Q583" s="9">
        <f>IF(AND(ISNUMBER(M583),ISNUMBER(O583)),IF(M583&lt;=O583,"Valor ≤ venal IPTU",""),"")</f>
        <v/>
      </c>
      <c r="R583" s="10" t="n"/>
      <c r="S583" s="10" t="n"/>
      <c r="AA583" s="10" t="n"/>
      <c r="AB583" s="11">
        <f>IF(LEN(TRIM(X583))=0,"",HYPERLINK("https://www.google.com/maps/@?api=1&amp;map_action=pano&amp;viewpoint="&amp;SUBSTITUTE(X583," ",""),"Abrir Street View"))</f>
        <v/>
      </c>
    </row>
    <row r="584">
      <c r="H584" s="6" t="n"/>
      <c r="I584" s="6" t="n"/>
      <c r="M584" s="7" t="n"/>
      <c r="N584" s="7" t="n"/>
      <c r="O584" s="7" t="n"/>
      <c r="P584" s="8">
        <f>IF(NOT(ISNUMBER(M584)),"",IF(G584="Terreno",IF(AND(ISNUMBER(I584),I584&gt;0),M584/I584,""),IF(AND(ISNUMBER(H584),H584&gt;0),M584/H584,"")))</f>
        <v/>
      </c>
      <c r="Q584" s="9">
        <f>IF(AND(ISNUMBER(M584),ISNUMBER(O584)),IF(M584&lt;=O584,"Valor ≤ venal IPTU",""),"")</f>
        <v/>
      </c>
      <c r="R584" s="10" t="n"/>
      <c r="S584" s="10" t="n"/>
      <c r="AA584" s="10" t="n"/>
      <c r="AB584" s="11">
        <f>IF(LEN(TRIM(X584))=0,"",HYPERLINK("https://www.google.com/maps/@?api=1&amp;map_action=pano&amp;viewpoint="&amp;SUBSTITUTE(X584," ",""),"Abrir Street View"))</f>
        <v/>
      </c>
    </row>
    <row r="585">
      <c r="H585" s="6" t="n"/>
      <c r="I585" s="6" t="n"/>
      <c r="M585" s="7" t="n"/>
      <c r="N585" s="7" t="n"/>
      <c r="O585" s="7" t="n"/>
      <c r="P585" s="8">
        <f>IF(NOT(ISNUMBER(M585)),"",IF(G585="Terreno",IF(AND(ISNUMBER(I585),I585&gt;0),M585/I585,""),IF(AND(ISNUMBER(H585),H585&gt;0),M585/H585,"")))</f>
        <v/>
      </c>
      <c r="Q585" s="9">
        <f>IF(AND(ISNUMBER(M585),ISNUMBER(O585)),IF(M585&lt;=O585,"Valor ≤ venal IPTU",""),"")</f>
        <v/>
      </c>
      <c r="R585" s="10" t="n"/>
      <c r="S585" s="10" t="n"/>
      <c r="AA585" s="10" t="n"/>
      <c r="AB585" s="11">
        <f>IF(LEN(TRIM(X585))=0,"",HYPERLINK("https://www.google.com/maps/@?api=1&amp;map_action=pano&amp;viewpoint="&amp;SUBSTITUTE(X585," ",""),"Abrir Street View"))</f>
        <v/>
      </c>
    </row>
    <row r="586">
      <c r="H586" s="6" t="n"/>
      <c r="I586" s="6" t="n"/>
      <c r="M586" s="7" t="n"/>
      <c r="N586" s="7" t="n"/>
      <c r="O586" s="7" t="n"/>
      <c r="P586" s="8">
        <f>IF(NOT(ISNUMBER(M586)),"",IF(G586="Terreno",IF(AND(ISNUMBER(I586),I586&gt;0),M586/I586,""),IF(AND(ISNUMBER(H586),H586&gt;0),M586/H586,"")))</f>
        <v/>
      </c>
      <c r="Q586" s="9">
        <f>IF(AND(ISNUMBER(M586),ISNUMBER(O586)),IF(M586&lt;=O586,"Valor ≤ venal IPTU",""),"")</f>
        <v/>
      </c>
      <c r="R586" s="10" t="n"/>
      <c r="S586" s="10" t="n"/>
      <c r="AA586" s="10" t="n"/>
      <c r="AB586" s="11">
        <f>IF(LEN(TRIM(X586))=0,"",HYPERLINK("https://www.google.com/maps/@?api=1&amp;map_action=pano&amp;viewpoint="&amp;SUBSTITUTE(X586," ",""),"Abrir Street View"))</f>
        <v/>
      </c>
    </row>
    <row r="587">
      <c r="H587" s="6" t="n"/>
      <c r="I587" s="6" t="n"/>
      <c r="M587" s="7" t="n"/>
      <c r="N587" s="7" t="n"/>
      <c r="O587" s="7" t="n"/>
      <c r="P587" s="8">
        <f>IF(NOT(ISNUMBER(M587)),"",IF(G587="Terreno",IF(AND(ISNUMBER(I587),I587&gt;0),M587/I587,""),IF(AND(ISNUMBER(H587),H587&gt;0),M587/H587,"")))</f>
        <v/>
      </c>
      <c r="Q587" s="9">
        <f>IF(AND(ISNUMBER(M587),ISNUMBER(O587)),IF(M587&lt;=O587,"Valor ≤ venal IPTU",""),"")</f>
        <v/>
      </c>
      <c r="R587" s="10" t="n"/>
      <c r="S587" s="10" t="n"/>
      <c r="AA587" s="10" t="n"/>
      <c r="AB587" s="11">
        <f>IF(LEN(TRIM(X587))=0,"",HYPERLINK("https://www.google.com/maps/@?api=1&amp;map_action=pano&amp;viewpoint="&amp;SUBSTITUTE(X587," ",""),"Abrir Street View"))</f>
        <v/>
      </c>
    </row>
    <row r="588">
      <c r="H588" s="6" t="n"/>
      <c r="I588" s="6" t="n"/>
      <c r="M588" s="7" t="n"/>
      <c r="N588" s="7" t="n"/>
      <c r="O588" s="7" t="n"/>
      <c r="P588" s="8">
        <f>IF(NOT(ISNUMBER(M588)),"",IF(G588="Terreno",IF(AND(ISNUMBER(I588),I588&gt;0),M588/I588,""),IF(AND(ISNUMBER(H588),H588&gt;0),M588/H588,"")))</f>
        <v/>
      </c>
      <c r="Q588" s="9">
        <f>IF(AND(ISNUMBER(M588),ISNUMBER(O588)),IF(M588&lt;=O588,"Valor ≤ venal IPTU",""),"")</f>
        <v/>
      </c>
      <c r="R588" s="10" t="n"/>
      <c r="S588" s="10" t="n"/>
      <c r="AA588" s="10" t="n"/>
      <c r="AB588" s="11">
        <f>IF(LEN(TRIM(X588))=0,"",HYPERLINK("https://www.google.com/maps/@?api=1&amp;map_action=pano&amp;viewpoint="&amp;SUBSTITUTE(X588," ",""),"Abrir Street View"))</f>
        <v/>
      </c>
    </row>
    <row r="589">
      <c r="H589" s="6" t="n"/>
      <c r="I589" s="6" t="n"/>
      <c r="M589" s="7" t="n"/>
      <c r="N589" s="7" t="n"/>
      <c r="O589" s="7" t="n"/>
      <c r="P589" s="8">
        <f>IF(NOT(ISNUMBER(M589)),"",IF(G589="Terreno",IF(AND(ISNUMBER(I589),I589&gt;0),M589/I589,""),IF(AND(ISNUMBER(H589),H589&gt;0),M589/H589,"")))</f>
        <v/>
      </c>
      <c r="Q589" s="9">
        <f>IF(AND(ISNUMBER(M589),ISNUMBER(O589)),IF(M589&lt;=O589,"Valor ≤ venal IPTU",""),"")</f>
        <v/>
      </c>
      <c r="R589" s="10" t="n"/>
      <c r="S589" s="10" t="n"/>
      <c r="AA589" s="10" t="n"/>
      <c r="AB589" s="11">
        <f>IF(LEN(TRIM(X589))=0,"",HYPERLINK("https://www.google.com/maps/@?api=1&amp;map_action=pano&amp;viewpoint="&amp;SUBSTITUTE(X589," ",""),"Abrir Street View"))</f>
        <v/>
      </c>
    </row>
    <row r="590">
      <c r="H590" s="6" t="n"/>
      <c r="I590" s="6" t="n"/>
      <c r="M590" s="7" t="n"/>
      <c r="N590" s="7" t="n"/>
      <c r="O590" s="7" t="n"/>
      <c r="P590" s="8">
        <f>IF(NOT(ISNUMBER(M590)),"",IF(G590="Terreno",IF(AND(ISNUMBER(I590),I590&gt;0),M590/I590,""),IF(AND(ISNUMBER(H590),H590&gt;0),M590/H590,"")))</f>
        <v/>
      </c>
      <c r="Q590" s="9">
        <f>IF(AND(ISNUMBER(M590),ISNUMBER(O590)),IF(M590&lt;=O590,"Valor ≤ venal IPTU",""),"")</f>
        <v/>
      </c>
      <c r="R590" s="10" t="n"/>
      <c r="S590" s="10" t="n"/>
      <c r="AA590" s="10" t="n"/>
      <c r="AB590" s="11">
        <f>IF(LEN(TRIM(X590))=0,"",HYPERLINK("https://www.google.com/maps/@?api=1&amp;map_action=pano&amp;viewpoint="&amp;SUBSTITUTE(X590," ",""),"Abrir Street View"))</f>
        <v/>
      </c>
    </row>
    <row r="591">
      <c r="H591" s="6" t="n"/>
      <c r="I591" s="6" t="n"/>
      <c r="M591" s="7" t="n"/>
      <c r="N591" s="7" t="n"/>
      <c r="O591" s="7" t="n"/>
      <c r="P591" s="8">
        <f>IF(NOT(ISNUMBER(M591)),"",IF(G591="Terreno",IF(AND(ISNUMBER(I591),I591&gt;0),M591/I591,""),IF(AND(ISNUMBER(H591),H591&gt;0),M591/H591,"")))</f>
        <v/>
      </c>
      <c r="Q591" s="9">
        <f>IF(AND(ISNUMBER(M591),ISNUMBER(O591)),IF(M591&lt;=O591,"Valor ≤ venal IPTU",""),"")</f>
        <v/>
      </c>
      <c r="R591" s="10" t="n"/>
      <c r="S591" s="10" t="n"/>
      <c r="AA591" s="10" t="n"/>
      <c r="AB591" s="11">
        <f>IF(LEN(TRIM(X591))=0,"",HYPERLINK("https://www.google.com/maps/@?api=1&amp;map_action=pano&amp;viewpoint="&amp;SUBSTITUTE(X591," ",""),"Abrir Street View"))</f>
        <v/>
      </c>
    </row>
    <row r="592">
      <c r="H592" s="6" t="n"/>
      <c r="I592" s="6" t="n"/>
      <c r="M592" s="7" t="n"/>
      <c r="N592" s="7" t="n"/>
      <c r="O592" s="7" t="n"/>
      <c r="P592" s="8">
        <f>IF(NOT(ISNUMBER(M592)),"",IF(G592="Terreno",IF(AND(ISNUMBER(I592),I592&gt;0),M592/I592,""),IF(AND(ISNUMBER(H592),H592&gt;0),M592/H592,"")))</f>
        <v/>
      </c>
      <c r="Q592" s="9">
        <f>IF(AND(ISNUMBER(M592),ISNUMBER(O592)),IF(M592&lt;=O592,"Valor ≤ venal IPTU",""),"")</f>
        <v/>
      </c>
      <c r="R592" s="10" t="n"/>
      <c r="S592" s="10" t="n"/>
      <c r="AA592" s="10" t="n"/>
      <c r="AB592" s="11">
        <f>IF(LEN(TRIM(X592))=0,"",HYPERLINK("https://www.google.com/maps/@?api=1&amp;map_action=pano&amp;viewpoint="&amp;SUBSTITUTE(X592," ",""),"Abrir Street View"))</f>
        <v/>
      </c>
    </row>
    <row r="593">
      <c r="H593" s="6" t="n"/>
      <c r="I593" s="6" t="n"/>
      <c r="M593" s="7" t="n"/>
      <c r="N593" s="7" t="n"/>
      <c r="O593" s="7" t="n"/>
      <c r="P593" s="8">
        <f>IF(NOT(ISNUMBER(M593)),"",IF(G593="Terreno",IF(AND(ISNUMBER(I593),I593&gt;0),M593/I593,""),IF(AND(ISNUMBER(H593),H593&gt;0),M593/H593,"")))</f>
        <v/>
      </c>
      <c r="Q593" s="9">
        <f>IF(AND(ISNUMBER(M593),ISNUMBER(O593)),IF(M593&lt;=O593,"Valor ≤ venal IPTU",""),"")</f>
        <v/>
      </c>
      <c r="R593" s="10" t="n"/>
      <c r="S593" s="10" t="n"/>
      <c r="AA593" s="10" t="n"/>
      <c r="AB593" s="11">
        <f>IF(LEN(TRIM(X593))=0,"",HYPERLINK("https://www.google.com/maps/@?api=1&amp;map_action=pano&amp;viewpoint="&amp;SUBSTITUTE(X593," ",""),"Abrir Street View"))</f>
        <v/>
      </c>
    </row>
    <row r="594">
      <c r="H594" s="6" t="n"/>
      <c r="I594" s="6" t="n"/>
      <c r="M594" s="7" t="n"/>
      <c r="N594" s="7" t="n"/>
      <c r="O594" s="7" t="n"/>
      <c r="P594" s="8">
        <f>IF(NOT(ISNUMBER(M594)),"",IF(G594="Terreno",IF(AND(ISNUMBER(I594),I594&gt;0),M594/I594,""),IF(AND(ISNUMBER(H594),H594&gt;0),M594/H594,"")))</f>
        <v/>
      </c>
      <c r="Q594" s="9">
        <f>IF(AND(ISNUMBER(M594),ISNUMBER(O594)),IF(M594&lt;=O594,"Valor ≤ venal IPTU",""),"")</f>
        <v/>
      </c>
      <c r="R594" s="10" t="n"/>
      <c r="S594" s="10" t="n"/>
      <c r="AA594" s="10" t="n"/>
      <c r="AB594" s="11">
        <f>IF(LEN(TRIM(X594))=0,"",HYPERLINK("https://www.google.com/maps/@?api=1&amp;map_action=pano&amp;viewpoint="&amp;SUBSTITUTE(X594," ",""),"Abrir Street View"))</f>
        <v/>
      </c>
    </row>
    <row r="595">
      <c r="H595" s="6" t="n"/>
      <c r="I595" s="6" t="n"/>
      <c r="M595" s="7" t="n"/>
      <c r="N595" s="7" t="n"/>
      <c r="O595" s="7" t="n"/>
      <c r="P595" s="8">
        <f>IF(NOT(ISNUMBER(M595)),"",IF(G595="Terreno",IF(AND(ISNUMBER(I595),I595&gt;0),M595/I595,""),IF(AND(ISNUMBER(H595),H595&gt;0),M595/H595,"")))</f>
        <v/>
      </c>
      <c r="Q595" s="9">
        <f>IF(AND(ISNUMBER(M595),ISNUMBER(O595)),IF(M595&lt;=O595,"Valor ≤ venal IPTU",""),"")</f>
        <v/>
      </c>
      <c r="R595" s="10" t="n"/>
      <c r="S595" s="10" t="n"/>
      <c r="AA595" s="10" t="n"/>
      <c r="AB595" s="11">
        <f>IF(LEN(TRIM(X595))=0,"",HYPERLINK("https://www.google.com/maps/@?api=1&amp;map_action=pano&amp;viewpoint="&amp;SUBSTITUTE(X595," ",""),"Abrir Street View"))</f>
        <v/>
      </c>
    </row>
    <row r="596">
      <c r="H596" s="6" t="n"/>
      <c r="I596" s="6" t="n"/>
      <c r="M596" s="7" t="n"/>
      <c r="N596" s="7" t="n"/>
      <c r="O596" s="7" t="n"/>
      <c r="P596" s="8">
        <f>IF(NOT(ISNUMBER(M596)),"",IF(G596="Terreno",IF(AND(ISNUMBER(I596),I596&gt;0),M596/I596,""),IF(AND(ISNUMBER(H596),H596&gt;0),M596/H596,"")))</f>
        <v/>
      </c>
      <c r="Q596" s="9">
        <f>IF(AND(ISNUMBER(M596),ISNUMBER(O596)),IF(M596&lt;=O596,"Valor ≤ venal IPTU",""),"")</f>
        <v/>
      </c>
      <c r="R596" s="10" t="n"/>
      <c r="S596" s="10" t="n"/>
      <c r="AA596" s="10" t="n"/>
      <c r="AB596" s="11">
        <f>IF(LEN(TRIM(X596))=0,"",HYPERLINK("https://www.google.com/maps/@?api=1&amp;map_action=pano&amp;viewpoint="&amp;SUBSTITUTE(X596," ",""),"Abrir Street View"))</f>
        <v/>
      </c>
    </row>
    <row r="597">
      <c r="H597" s="6" t="n"/>
      <c r="I597" s="6" t="n"/>
      <c r="M597" s="7" t="n"/>
      <c r="N597" s="7" t="n"/>
      <c r="O597" s="7" t="n"/>
      <c r="P597" s="8">
        <f>IF(NOT(ISNUMBER(M597)),"",IF(G597="Terreno",IF(AND(ISNUMBER(I597),I597&gt;0),M597/I597,""),IF(AND(ISNUMBER(H597),H597&gt;0),M597/H597,"")))</f>
        <v/>
      </c>
      <c r="Q597" s="9">
        <f>IF(AND(ISNUMBER(M597),ISNUMBER(O597)),IF(M597&lt;=O597,"Valor ≤ venal IPTU",""),"")</f>
        <v/>
      </c>
      <c r="R597" s="10" t="n"/>
      <c r="S597" s="10" t="n"/>
      <c r="AA597" s="10" t="n"/>
      <c r="AB597" s="11">
        <f>IF(LEN(TRIM(X597))=0,"",HYPERLINK("https://www.google.com/maps/@?api=1&amp;map_action=pano&amp;viewpoint="&amp;SUBSTITUTE(X597," ",""),"Abrir Street View"))</f>
        <v/>
      </c>
    </row>
    <row r="598">
      <c r="H598" s="6" t="n"/>
      <c r="I598" s="6" t="n"/>
      <c r="M598" s="7" t="n"/>
      <c r="N598" s="7" t="n"/>
      <c r="O598" s="7" t="n"/>
      <c r="P598" s="8">
        <f>IF(NOT(ISNUMBER(M598)),"",IF(G598="Terreno",IF(AND(ISNUMBER(I598),I598&gt;0),M598/I598,""),IF(AND(ISNUMBER(H598),H598&gt;0),M598/H598,"")))</f>
        <v/>
      </c>
      <c r="Q598" s="9">
        <f>IF(AND(ISNUMBER(M598),ISNUMBER(O598)),IF(M598&lt;=O598,"Valor ≤ venal IPTU",""),"")</f>
        <v/>
      </c>
      <c r="R598" s="10" t="n"/>
      <c r="S598" s="10" t="n"/>
      <c r="AA598" s="10" t="n"/>
      <c r="AB598" s="11">
        <f>IF(LEN(TRIM(X598))=0,"",HYPERLINK("https://www.google.com/maps/@?api=1&amp;map_action=pano&amp;viewpoint="&amp;SUBSTITUTE(X598," ",""),"Abrir Street View"))</f>
        <v/>
      </c>
    </row>
    <row r="599">
      <c r="H599" s="6" t="n"/>
      <c r="I599" s="6" t="n"/>
      <c r="M599" s="7" t="n"/>
      <c r="N599" s="7" t="n"/>
      <c r="O599" s="7" t="n"/>
      <c r="P599" s="8">
        <f>IF(NOT(ISNUMBER(M599)),"",IF(G599="Terreno",IF(AND(ISNUMBER(I599),I599&gt;0),M599/I599,""),IF(AND(ISNUMBER(H599),H599&gt;0),M599/H599,"")))</f>
        <v/>
      </c>
      <c r="Q599" s="9">
        <f>IF(AND(ISNUMBER(M599),ISNUMBER(O599)),IF(M599&lt;=O599,"Valor ≤ venal IPTU",""),"")</f>
        <v/>
      </c>
      <c r="R599" s="10" t="n"/>
      <c r="S599" s="10" t="n"/>
      <c r="AA599" s="10" t="n"/>
      <c r="AB599" s="11">
        <f>IF(LEN(TRIM(X599))=0,"",HYPERLINK("https://www.google.com/maps/@?api=1&amp;map_action=pano&amp;viewpoint="&amp;SUBSTITUTE(X599," ",""),"Abrir Street View"))</f>
        <v/>
      </c>
    </row>
    <row r="600">
      <c r="H600" s="6" t="n"/>
      <c r="I600" s="6" t="n"/>
      <c r="M600" s="7" t="n"/>
      <c r="N600" s="7" t="n"/>
      <c r="O600" s="7" t="n"/>
      <c r="P600" s="8">
        <f>IF(NOT(ISNUMBER(M600)),"",IF(G600="Terreno",IF(AND(ISNUMBER(I600),I600&gt;0),M600/I600,""),IF(AND(ISNUMBER(H600),H600&gt;0),M600/H600,"")))</f>
        <v/>
      </c>
      <c r="Q600" s="9">
        <f>IF(AND(ISNUMBER(M600),ISNUMBER(O600)),IF(M600&lt;=O600,"Valor ≤ venal IPTU",""),"")</f>
        <v/>
      </c>
      <c r="R600" s="10" t="n"/>
      <c r="S600" s="10" t="n"/>
      <c r="AA600" s="10" t="n"/>
      <c r="AB600" s="11">
        <f>IF(LEN(TRIM(X600))=0,"",HYPERLINK("https://www.google.com/maps/@?api=1&amp;map_action=pano&amp;viewpoint="&amp;SUBSTITUTE(X600," ",""),"Abrir Street View"))</f>
        <v/>
      </c>
    </row>
    <row r="601">
      <c r="H601" s="6" t="n"/>
      <c r="I601" s="6" t="n"/>
      <c r="M601" s="7" t="n"/>
      <c r="N601" s="7" t="n"/>
      <c r="O601" s="7" t="n"/>
      <c r="P601" s="8">
        <f>IF(NOT(ISNUMBER(M601)),"",IF(G601="Terreno",IF(AND(ISNUMBER(I601),I601&gt;0),M601/I601,""),IF(AND(ISNUMBER(H601),H601&gt;0),M601/H601,"")))</f>
        <v/>
      </c>
      <c r="Q601" s="9">
        <f>IF(AND(ISNUMBER(M601),ISNUMBER(O601)),IF(M601&lt;=O601,"Valor ≤ venal IPTU",""),"")</f>
        <v/>
      </c>
      <c r="R601" s="10" t="n"/>
      <c r="S601" s="10" t="n"/>
      <c r="AA601" s="10" t="n"/>
      <c r="AB601" s="11">
        <f>IF(LEN(TRIM(X601))=0,"",HYPERLINK("https://www.google.com/maps/@?api=1&amp;map_action=pano&amp;viewpoint="&amp;SUBSTITUTE(X601," ",""),"Abrir Street View"))</f>
        <v/>
      </c>
    </row>
    <row r="602">
      <c r="H602" s="6" t="n"/>
      <c r="I602" s="6" t="n"/>
      <c r="M602" s="7" t="n"/>
      <c r="N602" s="7" t="n"/>
      <c r="O602" s="7" t="n"/>
      <c r="P602" s="8">
        <f>IF(NOT(ISNUMBER(M602)),"",IF(G602="Terreno",IF(AND(ISNUMBER(I602),I602&gt;0),M602/I602,""),IF(AND(ISNUMBER(H602),H602&gt;0),M602/H602,"")))</f>
        <v/>
      </c>
      <c r="Q602" s="9">
        <f>IF(AND(ISNUMBER(M602),ISNUMBER(O602)),IF(M602&lt;=O602,"Valor ≤ venal IPTU",""),"")</f>
        <v/>
      </c>
      <c r="R602" s="10" t="n"/>
      <c r="S602" s="10" t="n"/>
      <c r="AA602" s="10" t="n"/>
      <c r="AB602" s="11">
        <f>IF(LEN(TRIM(X602))=0,"",HYPERLINK("https://www.google.com/maps/@?api=1&amp;map_action=pano&amp;viewpoint="&amp;SUBSTITUTE(X602," ",""),"Abrir Street View"))</f>
        <v/>
      </c>
    </row>
    <row r="603">
      <c r="H603" s="6" t="n"/>
      <c r="I603" s="6" t="n"/>
      <c r="M603" s="7" t="n"/>
      <c r="N603" s="7" t="n"/>
      <c r="O603" s="7" t="n"/>
      <c r="P603" s="8">
        <f>IF(NOT(ISNUMBER(M603)),"",IF(G603="Terreno",IF(AND(ISNUMBER(I603),I603&gt;0),M603/I603,""),IF(AND(ISNUMBER(H603),H603&gt;0),M603/H603,"")))</f>
        <v/>
      </c>
      <c r="Q603" s="9">
        <f>IF(AND(ISNUMBER(M603),ISNUMBER(O603)),IF(M603&lt;=O603,"Valor ≤ venal IPTU",""),"")</f>
        <v/>
      </c>
      <c r="R603" s="10" t="n"/>
      <c r="S603" s="10" t="n"/>
      <c r="AA603" s="10" t="n"/>
      <c r="AB603" s="11">
        <f>IF(LEN(TRIM(X603))=0,"",HYPERLINK("https://www.google.com/maps/@?api=1&amp;map_action=pano&amp;viewpoint="&amp;SUBSTITUTE(X603," ",""),"Abrir Street View"))</f>
        <v/>
      </c>
    </row>
    <row r="604">
      <c r="H604" s="6" t="n"/>
      <c r="I604" s="6" t="n"/>
      <c r="M604" s="7" t="n"/>
      <c r="N604" s="7" t="n"/>
      <c r="O604" s="7" t="n"/>
      <c r="P604" s="8">
        <f>IF(NOT(ISNUMBER(M604)),"",IF(G604="Terreno",IF(AND(ISNUMBER(I604),I604&gt;0),M604/I604,""),IF(AND(ISNUMBER(H604),H604&gt;0),M604/H604,"")))</f>
        <v/>
      </c>
      <c r="Q604" s="9">
        <f>IF(AND(ISNUMBER(M604),ISNUMBER(O604)),IF(M604&lt;=O604,"Valor ≤ venal IPTU",""),"")</f>
        <v/>
      </c>
      <c r="R604" s="10" t="n"/>
      <c r="S604" s="10" t="n"/>
      <c r="AA604" s="10" t="n"/>
      <c r="AB604" s="11">
        <f>IF(LEN(TRIM(X604))=0,"",HYPERLINK("https://www.google.com/maps/@?api=1&amp;map_action=pano&amp;viewpoint="&amp;SUBSTITUTE(X604," ",""),"Abrir Street View"))</f>
        <v/>
      </c>
    </row>
    <row r="605">
      <c r="H605" s="6" t="n"/>
      <c r="I605" s="6" t="n"/>
      <c r="M605" s="7" t="n"/>
      <c r="N605" s="7" t="n"/>
      <c r="O605" s="7" t="n"/>
      <c r="P605" s="8">
        <f>IF(NOT(ISNUMBER(M605)),"",IF(G605="Terreno",IF(AND(ISNUMBER(I605),I605&gt;0),M605/I605,""),IF(AND(ISNUMBER(H605),H605&gt;0),M605/H605,"")))</f>
        <v/>
      </c>
      <c r="Q605" s="9">
        <f>IF(AND(ISNUMBER(M605),ISNUMBER(O605)),IF(M605&lt;=O605,"Valor ≤ venal IPTU",""),"")</f>
        <v/>
      </c>
      <c r="R605" s="10" t="n"/>
      <c r="S605" s="10" t="n"/>
      <c r="AA605" s="10" t="n"/>
      <c r="AB605" s="11">
        <f>IF(LEN(TRIM(X605))=0,"",HYPERLINK("https://www.google.com/maps/@?api=1&amp;map_action=pano&amp;viewpoint="&amp;SUBSTITUTE(X605," ",""),"Abrir Street View"))</f>
        <v/>
      </c>
    </row>
    <row r="606">
      <c r="H606" s="6" t="n"/>
      <c r="I606" s="6" t="n"/>
      <c r="M606" s="7" t="n"/>
      <c r="N606" s="7" t="n"/>
      <c r="O606" s="7" t="n"/>
      <c r="P606" s="8">
        <f>IF(NOT(ISNUMBER(M606)),"",IF(G606="Terreno",IF(AND(ISNUMBER(I606),I606&gt;0),M606/I606,""),IF(AND(ISNUMBER(H606),H606&gt;0),M606/H606,"")))</f>
        <v/>
      </c>
      <c r="Q606" s="9">
        <f>IF(AND(ISNUMBER(M606),ISNUMBER(O606)),IF(M606&lt;=O606,"Valor ≤ venal IPTU",""),"")</f>
        <v/>
      </c>
      <c r="R606" s="10" t="n"/>
      <c r="S606" s="10" t="n"/>
      <c r="AA606" s="10" t="n"/>
      <c r="AB606" s="11">
        <f>IF(LEN(TRIM(X606))=0,"",HYPERLINK("https://www.google.com/maps/@?api=1&amp;map_action=pano&amp;viewpoint="&amp;SUBSTITUTE(X606," ",""),"Abrir Street View"))</f>
        <v/>
      </c>
    </row>
    <row r="607">
      <c r="H607" s="6" t="n"/>
      <c r="I607" s="6" t="n"/>
      <c r="M607" s="7" t="n"/>
      <c r="N607" s="7" t="n"/>
      <c r="O607" s="7" t="n"/>
      <c r="P607" s="8">
        <f>IF(NOT(ISNUMBER(M607)),"",IF(G607="Terreno",IF(AND(ISNUMBER(I607),I607&gt;0),M607/I607,""),IF(AND(ISNUMBER(H607),H607&gt;0),M607/H607,"")))</f>
        <v/>
      </c>
      <c r="Q607" s="9">
        <f>IF(AND(ISNUMBER(M607),ISNUMBER(O607)),IF(M607&lt;=O607,"Valor ≤ venal IPTU",""),"")</f>
        <v/>
      </c>
      <c r="R607" s="10" t="n"/>
      <c r="S607" s="10" t="n"/>
      <c r="AA607" s="10" t="n"/>
      <c r="AB607" s="11">
        <f>IF(LEN(TRIM(X607))=0,"",HYPERLINK("https://www.google.com/maps/@?api=1&amp;map_action=pano&amp;viewpoint="&amp;SUBSTITUTE(X607," ",""),"Abrir Street View"))</f>
        <v/>
      </c>
    </row>
    <row r="608">
      <c r="H608" s="6" t="n"/>
      <c r="I608" s="6" t="n"/>
      <c r="M608" s="7" t="n"/>
      <c r="N608" s="7" t="n"/>
      <c r="O608" s="7" t="n"/>
      <c r="P608" s="8">
        <f>IF(NOT(ISNUMBER(M608)),"",IF(G608="Terreno",IF(AND(ISNUMBER(I608),I608&gt;0),M608/I608,""),IF(AND(ISNUMBER(H608),H608&gt;0),M608/H608,"")))</f>
        <v/>
      </c>
      <c r="Q608" s="9">
        <f>IF(AND(ISNUMBER(M608),ISNUMBER(O608)),IF(M608&lt;=O608,"Valor ≤ venal IPTU",""),"")</f>
        <v/>
      </c>
      <c r="R608" s="10" t="n"/>
      <c r="S608" s="10" t="n"/>
      <c r="AA608" s="10" t="n"/>
      <c r="AB608" s="11">
        <f>IF(LEN(TRIM(X608))=0,"",HYPERLINK("https://www.google.com/maps/@?api=1&amp;map_action=pano&amp;viewpoint="&amp;SUBSTITUTE(X608," ",""),"Abrir Street View"))</f>
        <v/>
      </c>
    </row>
    <row r="609">
      <c r="H609" s="6" t="n"/>
      <c r="I609" s="6" t="n"/>
      <c r="M609" s="7" t="n"/>
      <c r="N609" s="7" t="n"/>
      <c r="O609" s="7" t="n"/>
      <c r="P609" s="8">
        <f>IF(NOT(ISNUMBER(M609)),"",IF(G609="Terreno",IF(AND(ISNUMBER(I609),I609&gt;0),M609/I609,""),IF(AND(ISNUMBER(H609),H609&gt;0),M609/H609,"")))</f>
        <v/>
      </c>
      <c r="Q609" s="9">
        <f>IF(AND(ISNUMBER(M609),ISNUMBER(O609)),IF(M609&lt;=O609,"Valor ≤ venal IPTU",""),"")</f>
        <v/>
      </c>
      <c r="R609" s="10" t="n"/>
      <c r="S609" s="10" t="n"/>
      <c r="AA609" s="10" t="n"/>
      <c r="AB609" s="11">
        <f>IF(LEN(TRIM(X609))=0,"",HYPERLINK("https://www.google.com/maps/@?api=1&amp;map_action=pano&amp;viewpoint="&amp;SUBSTITUTE(X609," ",""),"Abrir Street View"))</f>
        <v/>
      </c>
    </row>
    <row r="610">
      <c r="H610" s="6" t="n"/>
      <c r="I610" s="6" t="n"/>
      <c r="M610" s="7" t="n"/>
      <c r="N610" s="7" t="n"/>
      <c r="O610" s="7" t="n"/>
      <c r="P610" s="8">
        <f>IF(NOT(ISNUMBER(M610)),"",IF(G610="Terreno",IF(AND(ISNUMBER(I610),I610&gt;0),M610/I610,""),IF(AND(ISNUMBER(H610),H610&gt;0),M610/H610,"")))</f>
        <v/>
      </c>
      <c r="Q610" s="9">
        <f>IF(AND(ISNUMBER(M610),ISNUMBER(O610)),IF(M610&lt;=O610,"Valor ≤ venal IPTU",""),"")</f>
        <v/>
      </c>
      <c r="R610" s="10" t="n"/>
      <c r="S610" s="10" t="n"/>
      <c r="AA610" s="10" t="n"/>
      <c r="AB610" s="11">
        <f>IF(LEN(TRIM(X610))=0,"",HYPERLINK("https://www.google.com/maps/@?api=1&amp;map_action=pano&amp;viewpoint="&amp;SUBSTITUTE(X610," ",""),"Abrir Street View"))</f>
        <v/>
      </c>
    </row>
    <row r="611">
      <c r="H611" s="6" t="n"/>
      <c r="I611" s="6" t="n"/>
      <c r="M611" s="7" t="n"/>
      <c r="N611" s="7" t="n"/>
      <c r="O611" s="7" t="n"/>
      <c r="P611" s="8">
        <f>IF(NOT(ISNUMBER(M611)),"",IF(G611="Terreno",IF(AND(ISNUMBER(I611),I611&gt;0),M611/I611,""),IF(AND(ISNUMBER(H611),H611&gt;0),M611/H611,"")))</f>
        <v/>
      </c>
      <c r="Q611" s="9">
        <f>IF(AND(ISNUMBER(M611),ISNUMBER(O611)),IF(M611&lt;=O611,"Valor ≤ venal IPTU",""),"")</f>
        <v/>
      </c>
      <c r="R611" s="10" t="n"/>
      <c r="S611" s="10" t="n"/>
      <c r="AA611" s="10" t="n"/>
      <c r="AB611" s="11">
        <f>IF(LEN(TRIM(X611))=0,"",HYPERLINK("https://www.google.com/maps/@?api=1&amp;map_action=pano&amp;viewpoint="&amp;SUBSTITUTE(X611," ",""),"Abrir Street View"))</f>
        <v/>
      </c>
    </row>
    <row r="612">
      <c r="H612" s="6" t="n"/>
      <c r="I612" s="6" t="n"/>
      <c r="M612" s="7" t="n"/>
      <c r="N612" s="7" t="n"/>
      <c r="O612" s="7" t="n"/>
      <c r="P612" s="8">
        <f>IF(NOT(ISNUMBER(M612)),"",IF(G612="Terreno",IF(AND(ISNUMBER(I612),I612&gt;0),M612/I612,""),IF(AND(ISNUMBER(H612),H612&gt;0),M612/H612,"")))</f>
        <v/>
      </c>
      <c r="Q612" s="9">
        <f>IF(AND(ISNUMBER(M612),ISNUMBER(O612)),IF(M612&lt;=O612,"Valor ≤ venal IPTU",""),"")</f>
        <v/>
      </c>
      <c r="R612" s="10" t="n"/>
      <c r="S612" s="10" t="n"/>
      <c r="AA612" s="10" t="n"/>
      <c r="AB612" s="11">
        <f>IF(LEN(TRIM(X612))=0,"",HYPERLINK("https://www.google.com/maps/@?api=1&amp;map_action=pano&amp;viewpoint="&amp;SUBSTITUTE(X612," ",""),"Abrir Street View"))</f>
        <v/>
      </c>
    </row>
    <row r="613">
      <c r="H613" s="6" t="n"/>
      <c r="I613" s="6" t="n"/>
      <c r="M613" s="7" t="n"/>
      <c r="N613" s="7" t="n"/>
      <c r="O613" s="7" t="n"/>
      <c r="P613" s="8">
        <f>IF(NOT(ISNUMBER(M613)),"",IF(G613="Terreno",IF(AND(ISNUMBER(I613),I613&gt;0),M613/I613,""),IF(AND(ISNUMBER(H613),H613&gt;0),M613/H613,"")))</f>
        <v/>
      </c>
      <c r="Q613" s="9">
        <f>IF(AND(ISNUMBER(M613),ISNUMBER(O613)),IF(M613&lt;=O613,"Valor ≤ venal IPTU",""),"")</f>
        <v/>
      </c>
      <c r="R613" s="10" t="n"/>
      <c r="S613" s="10" t="n"/>
      <c r="AA613" s="10" t="n"/>
      <c r="AB613" s="11">
        <f>IF(LEN(TRIM(X613))=0,"",HYPERLINK("https://www.google.com/maps/@?api=1&amp;map_action=pano&amp;viewpoint="&amp;SUBSTITUTE(X613," ",""),"Abrir Street View"))</f>
        <v/>
      </c>
    </row>
    <row r="614">
      <c r="H614" s="6" t="n"/>
      <c r="I614" s="6" t="n"/>
      <c r="M614" s="7" t="n"/>
      <c r="N614" s="7" t="n"/>
      <c r="O614" s="7" t="n"/>
      <c r="P614" s="8">
        <f>IF(NOT(ISNUMBER(M614)),"",IF(G614="Terreno",IF(AND(ISNUMBER(I614),I614&gt;0),M614/I614,""),IF(AND(ISNUMBER(H614),H614&gt;0),M614/H614,"")))</f>
        <v/>
      </c>
      <c r="Q614" s="9">
        <f>IF(AND(ISNUMBER(M614),ISNUMBER(O614)),IF(M614&lt;=O614,"Valor ≤ venal IPTU",""),"")</f>
        <v/>
      </c>
      <c r="R614" s="10" t="n"/>
      <c r="S614" s="10" t="n"/>
      <c r="AA614" s="10" t="n"/>
      <c r="AB614" s="11">
        <f>IF(LEN(TRIM(X614))=0,"",HYPERLINK("https://www.google.com/maps/@?api=1&amp;map_action=pano&amp;viewpoint="&amp;SUBSTITUTE(X614," ",""),"Abrir Street View"))</f>
        <v/>
      </c>
    </row>
    <row r="615">
      <c r="H615" s="6" t="n"/>
      <c r="I615" s="6" t="n"/>
      <c r="M615" s="7" t="n"/>
      <c r="N615" s="7" t="n"/>
      <c r="O615" s="7" t="n"/>
      <c r="P615" s="8">
        <f>IF(NOT(ISNUMBER(M615)),"",IF(G615="Terreno",IF(AND(ISNUMBER(I615),I615&gt;0),M615/I615,""),IF(AND(ISNUMBER(H615),H615&gt;0),M615/H615,"")))</f>
        <v/>
      </c>
      <c r="Q615" s="9">
        <f>IF(AND(ISNUMBER(M615),ISNUMBER(O615)),IF(M615&lt;=O615,"Valor ≤ venal IPTU",""),"")</f>
        <v/>
      </c>
      <c r="R615" s="10" t="n"/>
      <c r="S615" s="10" t="n"/>
      <c r="AA615" s="10" t="n"/>
      <c r="AB615" s="11">
        <f>IF(LEN(TRIM(X615))=0,"",HYPERLINK("https://www.google.com/maps/@?api=1&amp;map_action=pano&amp;viewpoint="&amp;SUBSTITUTE(X615," ",""),"Abrir Street View"))</f>
        <v/>
      </c>
    </row>
    <row r="616">
      <c r="H616" s="6" t="n"/>
      <c r="I616" s="6" t="n"/>
      <c r="M616" s="7" t="n"/>
      <c r="N616" s="7" t="n"/>
      <c r="O616" s="7" t="n"/>
      <c r="P616" s="8">
        <f>IF(NOT(ISNUMBER(M616)),"",IF(G616="Terreno",IF(AND(ISNUMBER(I616),I616&gt;0),M616/I616,""),IF(AND(ISNUMBER(H616),H616&gt;0),M616/H616,"")))</f>
        <v/>
      </c>
      <c r="Q616" s="9">
        <f>IF(AND(ISNUMBER(M616),ISNUMBER(O616)),IF(M616&lt;=O616,"Valor ≤ venal IPTU",""),"")</f>
        <v/>
      </c>
      <c r="R616" s="10" t="n"/>
      <c r="S616" s="10" t="n"/>
      <c r="AA616" s="10" t="n"/>
      <c r="AB616" s="11">
        <f>IF(LEN(TRIM(X616))=0,"",HYPERLINK("https://www.google.com/maps/@?api=1&amp;map_action=pano&amp;viewpoint="&amp;SUBSTITUTE(X616," ",""),"Abrir Street View"))</f>
        <v/>
      </c>
    </row>
    <row r="617">
      <c r="H617" s="6" t="n"/>
      <c r="I617" s="6" t="n"/>
      <c r="M617" s="7" t="n"/>
      <c r="N617" s="7" t="n"/>
      <c r="O617" s="7" t="n"/>
      <c r="P617" s="8">
        <f>IF(NOT(ISNUMBER(M617)),"",IF(G617="Terreno",IF(AND(ISNUMBER(I617),I617&gt;0),M617/I617,""),IF(AND(ISNUMBER(H617),H617&gt;0),M617/H617,"")))</f>
        <v/>
      </c>
      <c r="Q617" s="9">
        <f>IF(AND(ISNUMBER(M617),ISNUMBER(O617)),IF(M617&lt;=O617,"Valor ≤ venal IPTU",""),"")</f>
        <v/>
      </c>
      <c r="R617" s="10" t="n"/>
      <c r="S617" s="10" t="n"/>
      <c r="AA617" s="10" t="n"/>
      <c r="AB617" s="11">
        <f>IF(LEN(TRIM(X617))=0,"",HYPERLINK("https://www.google.com/maps/@?api=1&amp;map_action=pano&amp;viewpoint="&amp;SUBSTITUTE(X617," ",""),"Abrir Street View"))</f>
        <v/>
      </c>
    </row>
    <row r="618">
      <c r="H618" s="6" t="n"/>
      <c r="I618" s="6" t="n"/>
      <c r="M618" s="7" t="n"/>
      <c r="N618" s="7" t="n"/>
      <c r="O618" s="7" t="n"/>
      <c r="P618" s="8">
        <f>IF(NOT(ISNUMBER(M618)),"",IF(G618="Terreno",IF(AND(ISNUMBER(I618),I618&gt;0),M618/I618,""),IF(AND(ISNUMBER(H618),H618&gt;0),M618/H618,"")))</f>
        <v/>
      </c>
      <c r="Q618" s="9">
        <f>IF(AND(ISNUMBER(M618),ISNUMBER(O618)),IF(M618&lt;=O618,"Valor ≤ venal IPTU",""),"")</f>
        <v/>
      </c>
      <c r="R618" s="10" t="n"/>
      <c r="S618" s="10" t="n"/>
      <c r="AA618" s="10" t="n"/>
      <c r="AB618" s="11">
        <f>IF(LEN(TRIM(X618))=0,"",HYPERLINK("https://www.google.com/maps/@?api=1&amp;map_action=pano&amp;viewpoint="&amp;SUBSTITUTE(X618," ",""),"Abrir Street View"))</f>
        <v/>
      </c>
    </row>
    <row r="619">
      <c r="H619" s="6" t="n"/>
      <c r="I619" s="6" t="n"/>
      <c r="M619" s="7" t="n"/>
      <c r="N619" s="7" t="n"/>
      <c r="O619" s="7" t="n"/>
      <c r="P619" s="8">
        <f>IF(NOT(ISNUMBER(M619)),"",IF(G619="Terreno",IF(AND(ISNUMBER(I619),I619&gt;0),M619/I619,""),IF(AND(ISNUMBER(H619),H619&gt;0),M619/H619,"")))</f>
        <v/>
      </c>
      <c r="Q619" s="9">
        <f>IF(AND(ISNUMBER(M619),ISNUMBER(O619)),IF(M619&lt;=O619,"Valor ≤ venal IPTU",""),"")</f>
        <v/>
      </c>
      <c r="R619" s="10" t="n"/>
      <c r="S619" s="10" t="n"/>
      <c r="AA619" s="10" t="n"/>
      <c r="AB619" s="11">
        <f>IF(LEN(TRIM(X619))=0,"",HYPERLINK("https://www.google.com/maps/@?api=1&amp;map_action=pano&amp;viewpoint="&amp;SUBSTITUTE(X619," ",""),"Abrir Street View"))</f>
        <v/>
      </c>
    </row>
    <row r="620">
      <c r="H620" s="6" t="n"/>
      <c r="I620" s="6" t="n"/>
      <c r="M620" s="7" t="n"/>
      <c r="N620" s="7" t="n"/>
      <c r="O620" s="7" t="n"/>
      <c r="P620" s="8">
        <f>IF(NOT(ISNUMBER(M620)),"",IF(G620="Terreno",IF(AND(ISNUMBER(I620),I620&gt;0),M620/I620,""),IF(AND(ISNUMBER(H620),H620&gt;0),M620/H620,"")))</f>
        <v/>
      </c>
      <c r="Q620" s="9">
        <f>IF(AND(ISNUMBER(M620),ISNUMBER(O620)),IF(M620&lt;=O620,"Valor ≤ venal IPTU",""),"")</f>
        <v/>
      </c>
      <c r="R620" s="10" t="n"/>
      <c r="S620" s="10" t="n"/>
      <c r="AA620" s="10" t="n"/>
      <c r="AB620" s="11">
        <f>IF(LEN(TRIM(X620))=0,"",HYPERLINK("https://www.google.com/maps/@?api=1&amp;map_action=pano&amp;viewpoint="&amp;SUBSTITUTE(X620," ",""),"Abrir Street View"))</f>
        <v/>
      </c>
    </row>
    <row r="621">
      <c r="H621" s="6" t="n"/>
      <c r="I621" s="6" t="n"/>
      <c r="M621" s="7" t="n"/>
      <c r="N621" s="7" t="n"/>
      <c r="O621" s="7" t="n"/>
      <c r="P621" s="8">
        <f>IF(NOT(ISNUMBER(M621)),"",IF(G621="Terreno",IF(AND(ISNUMBER(I621),I621&gt;0),M621/I621,""),IF(AND(ISNUMBER(H621),H621&gt;0),M621/H621,"")))</f>
        <v/>
      </c>
      <c r="Q621" s="9">
        <f>IF(AND(ISNUMBER(M621),ISNUMBER(O621)),IF(M621&lt;=O621,"Valor ≤ venal IPTU",""),"")</f>
        <v/>
      </c>
      <c r="R621" s="10" t="n"/>
      <c r="S621" s="10" t="n"/>
      <c r="AA621" s="10" t="n"/>
      <c r="AB621" s="11">
        <f>IF(LEN(TRIM(X621))=0,"",HYPERLINK("https://www.google.com/maps/@?api=1&amp;map_action=pano&amp;viewpoint="&amp;SUBSTITUTE(X621," ",""),"Abrir Street View"))</f>
        <v/>
      </c>
    </row>
    <row r="622">
      <c r="H622" s="6" t="n"/>
      <c r="I622" s="6" t="n"/>
      <c r="M622" s="7" t="n"/>
      <c r="N622" s="7" t="n"/>
      <c r="O622" s="7" t="n"/>
      <c r="P622" s="8">
        <f>IF(NOT(ISNUMBER(M622)),"",IF(G622="Terreno",IF(AND(ISNUMBER(I622),I622&gt;0),M622/I622,""),IF(AND(ISNUMBER(H622),H622&gt;0),M622/H622,"")))</f>
        <v/>
      </c>
      <c r="Q622" s="9">
        <f>IF(AND(ISNUMBER(M622),ISNUMBER(O622)),IF(M622&lt;=O622,"Valor ≤ venal IPTU",""),"")</f>
        <v/>
      </c>
      <c r="R622" s="10" t="n"/>
      <c r="S622" s="10" t="n"/>
      <c r="AA622" s="10" t="n"/>
      <c r="AB622" s="11">
        <f>IF(LEN(TRIM(X622))=0,"",HYPERLINK("https://www.google.com/maps/@?api=1&amp;map_action=pano&amp;viewpoint="&amp;SUBSTITUTE(X622," ",""),"Abrir Street View"))</f>
        <v/>
      </c>
    </row>
    <row r="623">
      <c r="H623" s="6" t="n"/>
      <c r="I623" s="6" t="n"/>
      <c r="M623" s="7" t="n"/>
      <c r="N623" s="7" t="n"/>
      <c r="O623" s="7" t="n"/>
      <c r="P623" s="8">
        <f>IF(NOT(ISNUMBER(M623)),"",IF(G623="Terreno",IF(AND(ISNUMBER(I623),I623&gt;0),M623/I623,""),IF(AND(ISNUMBER(H623),H623&gt;0),M623/H623,"")))</f>
        <v/>
      </c>
      <c r="Q623" s="9">
        <f>IF(AND(ISNUMBER(M623),ISNUMBER(O623)),IF(M623&lt;=O623,"Valor ≤ venal IPTU",""),"")</f>
        <v/>
      </c>
      <c r="R623" s="10" t="n"/>
      <c r="S623" s="10" t="n"/>
      <c r="AA623" s="10" t="n"/>
      <c r="AB623" s="11">
        <f>IF(LEN(TRIM(X623))=0,"",HYPERLINK("https://www.google.com/maps/@?api=1&amp;map_action=pano&amp;viewpoint="&amp;SUBSTITUTE(X623," ",""),"Abrir Street View"))</f>
        <v/>
      </c>
    </row>
    <row r="624">
      <c r="H624" s="6" t="n"/>
      <c r="I624" s="6" t="n"/>
      <c r="M624" s="7" t="n"/>
      <c r="N624" s="7" t="n"/>
      <c r="O624" s="7" t="n"/>
      <c r="P624" s="8">
        <f>IF(NOT(ISNUMBER(M624)),"",IF(G624="Terreno",IF(AND(ISNUMBER(I624),I624&gt;0),M624/I624,""),IF(AND(ISNUMBER(H624),H624&gt;0),M624/H624,"")))</f>
        <v/>
      </c>
      <c r="Q624" s="9">
        <f>IF(AND(ISNUMBER(M624),ISNUMBER(O624)),IF(M624&lt;=O624,"Valor ≤ venal IPTU",""),"")</f>
        <v/>
      </c>
      <c r="R624" s="10" t="n"/>
      <c r="S624" s="10" t="n"/>
      <c r="AA624" s="10" t="n"/>
      <c r="AB624" s="11">
        <f>IF(LEN(TRIM(X624))=0,"",HYPERLINK("https://www.google.com/maps/@?api=1&amp;map_action=pano&amp;viewpoint="&amp;SUBSTITUTE(X624," ",""),"Abrir Street View"))</f>
        <v/>
      </c>
    </row>
    <row r="625">
      <c r="H625" s="6" t="n"/>
      <c r="I625" s="6" t="n"/>
      <c r="M625" s="7" t="n"/>
      <c r="N625" s="7" t="n"/>
      <c r="O625" s="7" t="n"/>
      <c r="P625" s="8">
        <f>IF(NOT(ISNUMBER(M625)),"",IF(G625="Terreno",IF(AND(ISNUMBER(I625),I625&gt;0),M625/I625,""),IF(AND(ISNUMBER(H625),H625&gt;0),M625/H625,"")))</f>
        <v/>
      </c>
      <c r="Q625" s="9">
        <f>IF(AND(ISNUMBER(M625),ISNUMBER(O625)),IF(M625&lt;=O625,"Valor ≤ venal IPTU",""),"")</f>
        <v/>
      </c>
      <c r="R625" s="10" t="n"/>
      <c r="S625" s="10" t="n"/>
      <c r="AA625" s="10" t="n"/>
      <c r="AB625" s="11">
        <f>IF(LEN(TRIM(X625))=0,"",HYPERLINK("https://www.google.com/maps/@?api=1&amp;map_action=pano&amp;viewpoint="&amp;SUBSTITUTE(X625," ",""),"Abrir Street View"))</f>
        <v/>
      </c>
    </row>
    <row r="626">
      <c r="H626" s="6" t="n"/>
      <c r="I626" s="6" t="n"/>
      <c r="M626" s="7" t="n"/>
      <c r="N626" s="7" t="n"/>
      <c r="O626" s="7" t="n"/>
      <c r="P626" s="8">
        <f>IF(NOT(ISNUMBER(M626)),"",IF(G626="Terreno",IF(AND(ISNUMBER(I626),I626&gt;0),M626/I626,""),IF(AND(ISNUMBER(H626),H626&gt;0),M626/H626,"")))</f>
        <v/>
      </c>
      <c r="Q626" s="9">
        <f>IF(AND(ISNUMBER(M626),ISNUMBER(O626)),IF(M626&lt;=O626,"Valor ≤ venal IPTU",""),"")</f>
        <v/>
      </c>
      <c r="R626" s="10" t="n"/>
      <c r="S626" s="10" t="n"/>
      <c r="AA626" s="10" t="n"/>
      <c r="AB626" s="11">
        <f>IF(LEN(TRIM(X626))=0,"",HYPERLINK("https://www.google.com/maps/@?api=1&amp;map_action=pano&amp;viewpoint="&amp;SUBSTITUTE(X626," ",""),"Abrir Street View"))</f>
        <v/>
      </c>
    </row>
    <row r="627">
      <c r="H627" s="6" t="n"/>
      <c r="I627" s="6" t="n"/>
      <c r="M627" s="7" t="n"/>
      <c r="N627" s="7" t="n"/>
      <c r="O627" s="7" t="n"/>
      <c r="P627" s="8">
        <f>IF(NOT(ISNUMBER(M627)),"",IF(G627="Terreno",IF(AND(ISNUMBER(I627),I627&gt;0),M627/I627,""),IF(AND(ISNUMBER(H627),H627&gt;0),M627/H627,"")))</f>
        <v/>
      </c>
      <c r="Q627" s="9">
        <f>IF(AND(ISNUMBER(M627),ISNUMBER(O627)),IF(M627&lt;=O627,"Valor ≤ venal IPTU",""),"")</f>
        <v/>
      </c>
      <c r="R627" s="10" t="n"/>
      <c r="S627" s="10" t="n"/>
      <c r="AA627" s="10" t="n"/>
      <c r="AB627" s="11">
        <f>IF(LEN(TRIM(X627))=0,"",HYPERLINK("https://www.google.com/maps/@?api=1&amp;map_action=pano&amp;viewpoint="&amp;SUBSTITUTE(X627," ",""),"Abrir Street View"))</f>
        <v/>
      </c>
    </row>
    <row r="628">
      <c r="H628" s="6" t="n"/>
      <c r="I628" s="6" t="n"/>
      <c r="M628" s="7" t="n"/>
      <c r="N628" s="7" t="n"/>
      <c r="O628" s="7" t="n"/>
      <c r="P628" s="8">
        <f>IF(NOT(ISNUMBER(M628)),"",IF(G628="Terreno",IF(AND(ISNUMBER(I628),I628&gt;0),M628/I628,""),IF(AND(ISNUMBER(H628),H628&gt;0),M628/H628,"")))</f>
        <v/>
      </c>
      <c r="Q628" s="9">
        <f>IF(AND(ISNUMBER(M628),ISNUMBER(O628)),IF(M628&lt;=O628,"Valor ≤ venal IPTU",""),"")</f>
        <v/>
      </c>
      <c r="R628" s="10" t="n"/>
      <c r="S628" s="10" t="n"/>
      <c r="AA628" s="10" t="n"/>
      <c r="AB628" s="11">
        <f>IF(LEN(TRIM(X628))=0,"",HYPERLINK("https://www.google.com/maps/@?api=1&amp;map_action=pano&amp;viewpoint="&amp;SUBSTITUTE(X628," ",""),"Abrir Street View"))</f>
        <v/>
      </c>
    </row>
    <row r="629">
      <c r="H629" s="6" t="n"/>
      <c r="I629" s="6" t="n"/>
      <c r="M629" s="7" t="n"/>
      <c r="N629" s="7" t="n"/>
      <c r="O629" s="7" t="n"/>
      <c r="P629" s="8">
        <f>IF(NOT(ISNUMBER(M629)),"",IF(G629="Terreno",IF(AND(ISNUMBER(I629),I629&gt;0),M629/I629,""),IF(AND(ISNUMBER(H629),H629&gt;0),M629/H629,"")))</f>
        <v/>
      </c>
      <c r="Q629" s="9">
        <f>IF(AND(ISNUMBER(M629),ISNUMBER(O629)),IF(M629&lt;=O629,"Valor ≤ venal IPTU",""),"")</f>
        <v/>
      </c>
      <c r="R629" s="10" t="n"/>
      <c r="S629" s="10" t="n"/>
      <c r="AA629" s="10" t="n"/>
      <c r="AB629" s="11">
        <f>IF(LEN(TRIM(X629))=0,"",HYPERLINK("https://www.google.com/maps/@?api=1&amp;map_action=pano&amp;viewpoint="&amp;SUBSTITUTE(X629," ",""),"Abrir Street View"))</f>
        <v/>
      </c>
    </row>
    <row r="630">
      <c r="H630" s="6" t="n"/>
      <c r="I630" s="6" t="n"/>
      <c r="M630" s="7" t="n"/>
      <c r="N630" s="7" t="n"/>
      <c r="O630" s="7" t="n"/>
      <c r="P630" s="8">
        <f>IF(NOT(ISNUMBER(M630)),"",IF(G630="Terreno",IF(AND(ISNUMBER(I630),I630&gt;0),M630/I630,""),IF(AND(ISNUMBER(H630),H630&gt;0),M630/H630,"")))</f>
        <v/>
      </c>
      <c r="Q630" s="9">
        <f>IF(AND(ISNUMBER(M630),ISNUMBER(O630)),IF(M630&lt;=O630,"Valor ≤ venal IPTU",""),"")</f>
        <v/>
      </c>
      <c r="R630" s="10" t="n"/>
      <c r="S630" s="10" t="n"/>
      <c r="AA630" s="10" t="n"/>
      <c r="AB630" s="11">
        <f>IF(LEN(TRIM(X630))=0,"",HYPERLINK("https://www.google.com/maps/@?api=1&amp;map_action=pano&amp;viewpoint="&amp;SUBSTITUTE(X630," ",""),"Abrir Street View"))</f>
        <v/>
      </c>
    </row>
    <row r="631">
      <c r="H631" s="6" t="n"/>
      <c r="I631" s="6" t="n"/>
      <c r="M631" s="7" t="n"/>
      <c r="N631" s="7" t="n"/>
      <c r="O631" s="7" t="n"/>
      <c r="P631" s="8">
        <f>IF(NOT(ISNUMBER(M631)),"",IF(G631="Terreno",IF(AND(ISNUMBER(I631),I631&gt;0),M631/I631,""),IF(AND(ISNUMBER(H631),H631&gt;0),M631/H631,"")))</f>
        <v/>
      </c>
      <c r="Q631" s="9">
        <f>IF(AND(ISNUMBER(M631),ISNUMBER(O631)),IF(M631&lt;=O631,"Valor ≤ venal IPTU",""),"")</f>
        <v/>
      </c>
      <c r="R631" s="10" t="n"/>
      <c r="S631" s="10" t="n"/>
      <c r="AA631" s="10" t="n"/>
      <c r="AB631" s="11">
        <f>IF(LEN(TRIM(X631))=0,"",HYPERLINK("https://www.google.com/maps/@?api=1&amp;map_action=pano&amp;viewpoint="&amp;SUBSTITUTE(X631," ",""),"Abrir Street View"))</f>
        <v/>
      </c>
    </row>
    <row r="632">
      <c r="H632" s="6" t="n"/>
      <c r="I632" s="6" t="n"/>
      <c r="M632" s="7" t="n"/>
      <c r="N632" s="7" t="n"/>
      <c r="O632" s="7" t="n"/>
      <c r="P632" s="8">
        <f>IF(NOT(ISNUMBER(M632)),"",IF(G632="Terreno",IF(AND(ISNUMBER(I632),I632&gt;0),M632/I632,""),IF(AND(ISNUMBER(H632),H632&gt;0),M632/H632,"")))</f>
        <v/>
      </c>
      <c r="Q632" s="9">
        <f>IF(AND(ISNUMBER(M632),ISNUMBER(O632)),IF(M632&lt;=O632,"Valor ≤ venal IPTU",""),"")</f>
        <v/>
      </c>
      <c r="R632" s="10" t="n"/>
      <c r="S632" s="10" t="n"/>
      <c r="AA632" s="10" t="n"/>
      <c r="AB632" s="11">
        <f>IF(LEN(TRIM(X632))=0,"",HYPERLINK("https://www.google.com/maps/@?api=1&amp;map_action=pano&amp;viewpoint="&amp;SUBSTITUTE(X632," ",""),"Abrir Street View"))</f>
        <v/>
      </c>
    </row>
    <row r="633">
      <c r="H633" s="6" t="n"/>
      <c r="I633" s="6" t="n"/>
      <c r="M633" s="7" t="n"/>
      <c r="N633" s="7" t="n"/>
      <c r="O633" s="7" t="n"/>
      <c r="P633" s="8">
        <f>IF(NOT(ISNUMBER(M633)),"",IF(G633="Terreno",IF(AND(ISNUMBER(I633),I633&gt;0),M633/I633,""),IF(AND(ISNUMBER(H633),H633&gt;0),M633/H633,"")))</f>
        <v/>
      </c>
      <c r="Q633" s="9">
        <f>IF(AND(ISNUMBER(M633),ISNUMBER(O633)),IF(M633&lt;=O633,"Valor ≤ venal IPTU",""),"")</f>
        <v/>
      </c>
      <c r="R633" s="10" t="n"/>
      <c r="S633" s="10" t="n"/>
      <c r="AA633" s="10" t="n"/>
      <c r="AB633" s="11">
        <f>IF(LEN(TRIM(X633))=0,"",HYPERLINK("https://www.google.com/maps/@?api=1&amp;map_action=pano&amp;viewpoint="&amp;SUBSTITUTE(X633," ",""),"Abrir Street View"))</f>
        <v/>
      </c>
    </row>
    <row r="634">
      <c r="H634" s="6" t="n"/>
      <c r="I634" s="6" t="n"/>
      <c r="M634" s="7" t="n"/>
      <c r="N634" s="7" t="n"/>
      <c r="O634" s="7" t="n"/>
      <c r="P634" s="8">
        <f>IF(NOT(ISNUMBER(M634)),"",IF(G634="Terreno",IF(AND(ISNUMBER(I634),I634&gt;0),M634/I634,""),IF(AND(ISNUMBER(H634),H634&gt;0),M634/H634,"")))</f>
        <v/>
      </c>
      <c r="Q634" s="9">
        <f>IF(AND(ISNUMBER(M634),ISNUMBER(O634)),IF(M634&lt;=O634,"Valor ≤ venal IPTU",""),"")</f>
        <v/>
      </c>
      <c r="R634" s="10" t="n"/>
      <c r="S634" s="10" t="n"/>
      <c r="AA634" s="10" t="n"/>
      <c r="AB634" s="11">
        <f>IF(LEN(TRIM(X634))=0,"",HYPERLINK("https://www.google.com/maps/@?api=1&amp;map_action=pano&amp;viewpoint="&amp;SUBSTITUTE(X634," ",""),"Abrir Street View"))</f>
        <v/>
      </c>
    </row>
    <row r="635">
      <c r="H635" s="6" t="n"/>
      <c r="I635" s="6" t="n"/>
      <c r="M635" s="7" t="n"/>
      <c r="N635" s="7" t="n"/>
      <c r="O635" s="7" t="n"/>
      <c r="P635" s="8">
        <f>IF(NOT(ISNUMBER(M635)),"",IF(G635="Terreno",IF(AND(ISNUMBER(I635),I635&gt;0),M635/I635,""),IF(AND(ISNUMBER(H635),H635&gt;0),M635/H635,"")))</f>
        <v/>
      </c>
      <c r="Q635" s="9">
        <f>IF(AND(ISNUMBER(M635),ISNUMBER(O635)),IF(M635&lt;=O635,"Valor ≤ venal IPTU",""),"")</f>
        <v/>
      </c>
      <c r="R635" s="10" t="n"/>
      <c r="S635" s="10" t="n"/>
      <c r="AA635" s="10" t="n"/>
      <c r="AB635" s="11">
        <f>IF(LEN(TRIM(X635))=0,"",HYPERLINK("https://www.google.com/maps/@?api=1&amp;map_action=pano&amp;viewpoint="&amp;SUBSTITUTE(X635," ",""),"Abrir Street View"))</f>
        <v/>
      </c>
    </row>
    <row r="636">
      <c r="H636" s="6" t="n"/>
      <c r="I636" s="6" t="n"/>
      <c r="M636" s="7" t="n"/>
      <c r="N636" s="7" t="n"/>
      <c r="O636" s="7" t="n"/>
      <c r="P636" s="8">
        <f>IF(NOT(ISNUMBER(M636)),"",IF(G636="Terreno",IF(AND(ISNUMBER(I636),I636&gt;0),M636/I636,""),IF(AND(ISNUMBER(H636),H636&gt;0),M636/H636,"")))</f>
        <v/>
      </c>
      <c r="Q636" s="9">
        <f>IF(AND(ISNUMBER(M636),ISNUMBER(O636)),IF(M636&lt;=O636,"Valor ≤ venal IPTU",""),"")</f>
        <v/>
      </c>
      <c r="R636" s="10" t="n"/>
      <c r="S636" s="10" t="n"/>
      <c r="AA636" s="10" t="n"/>
      <c r="AB636" s="11">
        <f>IF(LEN(TRIM(X636))=0,"",HYPERLINK("https://www.google.com/maps/@?api=1&amp;map_action=pano&amp;viewpoint="&amp;SUBSTITUTE(X636," ",""),"Abrir Street View"))</f>
        <v/>
      </c>
    </row>
    <row r="637">
      <c r="H637" s="6" t="n"/>
      <c r="I637" s="6" t="n"/>
      <c r="M637" s="7" t="n"/>
      <c r="N637" s="7" t="n"/>
      <c r="O637" s="7" t="n"/>
      <c r="P637" s="8">
        <f>IF(NOT(ISNUMBER(M637)),"",IF(G637="Terreno",IF(AND(ISNUMBER(I637),I637&gt;0),M637/I637,""),IF(AND(ISNUMBER(H637),H637&gt;0),M637/H637,"")))</f>
        <v/>
      </c>
      <c r="Q637" s="9">
        <f>IF(AND(ISNUMBER(M637),ISNUMBER(O637)),IF(M637&lt;=O637,"Valor ≤ venal IPTU",""),"")</f>
        <v/>
      </c>
      <c r="R637" s="10" t="n"/>
      <c r="S637" s="10" t="n"/>
      <c r="AA637" s="10" t="n"/>
      <c r="AB637" s="11">
        <f>IF(LEN(TRIM(X637))=0,"",HYPERLINK("https://www.google.com/maps/@?api=1&amp;map_action=pano&amp;viewpoint="&amp;SUBSTITUTE(X637," ",""),"Abrir Street View"))</f>
        <v/>
      </c>
    </row>
    <row r="638">
      <c r="H638" s="6" t="n"/>
      <c r="I638" s="6" t="n"/>
      <c r="M638" s="7" t="n"/>
      <c r="N638" s="7" t="n"/>
      <c r="O638" s="7" t="n"/>
      <c r="P638" s="8">
        <f>IF(NOT(ISNUMBER(M638)),"",IF(G638="Terreno",IF(AND(ISNUMBER(I638),I638&gt;0),M638/I638,""),IF(AND(ISNUMBER(H638),H638&gt;0),M638/H638,"")))</f>
        <v/>
      </c>
      <c r="Q638" s="9">
        <f>IF(AND(ISNUMBER(M638),ISNUMBER(O638)),IF(M638&lt;=O638,"Valor ≤ venal IPTU",""),"")</f>
        <v/>
      </c>
      <c r="R638" s="10" t="n"/>
      <c r="S638" s="10" t="n"/>
      <c r="AA638" s="10" t="n"/>
      <c r="AB638" s="11">
        <f>IF(LEN(TRIM(X638))=0,"",HYPERLINK("https://www.google.com/maps/@?api=1&amp;map_action=pano&amp;viewpoint="&amp;SUBSTITUTE(X638," ",""),"Abrir Street View"))</f>
        <v/>
      </c>
    </row>
    <row r="639">
      <c r="H639" s="6" t="n"/>
      <c r="I639" s="6" t="n"/>
      <c r="M639" s="7" t="n"/>
      <c r="N639" s="7" t="n"/>
      <c r="O639" s="7" t="n"/>
      <c r="P639" s="8">
        <f>IF(NOT(ISNUMBER(M639)),"",IF(G639="Terreno",IF(AND(ISNUMBER(I639),I639&gt;0),M639/I639,""),IF(AND(ISNUMBER(H639),H639&gt;0),M639/H639,"")))</f>
        <v/>
      </c>
      <c r="Q639" s="9">
        <f>IF(AND(ISNUMBER(M639),ISNUMBER(O639)),IF(M639&lt;=O639,"Valor ≤ venal IPTU",""),"")</f>
        <v/>
      </c>
      <c r="R639" s="10" t="n"/>
      <c r="S639" s="10" t="n"/>
      <c r="AA639" s="10" t="n"/>
      <c r="AB639" s="11">
        <f>IF(LEN(TRIM(X639))=0,"",HYPERLINK("https://www.google.com/maps/@?api=1&amp;map_action=pano&amp;viewpoint="&amp;SUBSTITUTE(X639," ",""),"Abrir Street View"))</f>
        <v/>
      </c>
    </row>
    <row r="640">
      <c r="H640" s="6" t="n"/>
      <c r="I640" s="6" t="n"/>
      <c r="M640" s="7" t="n"/>
      <c r="N640" s="7" t="n"/>
      <c r="O640" s="7" t="n"/>
      <c r="P640" s="8">
        <f>IF(NOT(ISNUMBER(M640)),"",IF(G640="Terreno",IF(AND(ISNUMBER(I640),I640&gt;0),M640/I640,""),IF(AND(ISNUMBER(H640),H640&gt;0),M640/H640,"")))</f>
        <v/>
      </c>
      <c r="Q640" s="9">
        <f>IF(AND(ISNUMBER(M640),ISNUMBER(O640)),IF(M640&lt;=O640,"Valor ≤ venal IPTU",""),"")</f>
        <v/>
      </c>
      <c r="R640" s="10" t="n"/>
      <c r="S640" s="10" t="n"/>
      <c r="AA640" s="10" t="n"/>
      <c r="AB640" s="11">
        <f>IF(LEN(TRIM(X640))=0,"",HYPERLINK("https://www.google.com/maps/@?api=1&amp;map_action=pano&amp;viewpoint="&amp;SUBSTITUTE(X640," ",""),"Abrir Street View"))</f>
        <v/>
      </c>
    </row>
    <row r="641">
      <c r="H641" s="6" t="n"/>
      <c r="I641" s="6" t="n"/>
      <c r="M641" s="7" t="n"/>
      <c r="N641" s="7" t="n"/>
      <c r="O641" s="7" t="n"/>
      <c r="P641" s="8">
        <f>IF(NOT(ISNUMBER(M641)),"",IF(G641="Terreno",IF(AND(ISNUMBER(I641),I641&gt;0),M641/I641,""),IF(AND(ISNUMBER(H641),H641&gt;0),M641/H641,"")))</f>
        <v/>
      </c>
      <c r="Q641" s="9">
        <f>IF(AND(ISNUMBER(M641),ISNUMBER(O641)),IF(M641&lt;=O641,"Valor ≤ venal IPTU",""),"")</f>
        <v/>
      </c>
      <c r="R641" s="10" t="n"/>
      <c r="S641" s="10" t="n"/>
      <c r="AA641" s="10" t="n"/>
      <c r="AB641" s="11">
        <f>IF(LEN(TRIM(X641))=0,"",HYPERLINK("https://www.google.com/maps/@?api=1&amp;map_action=pano&amp;viewpoint="&amp;SUBSTITUTE(X641," ",""),"Abrir Street View"))</f>
        <v/>
      </c>
    </row>
    <row r="642">
      <c r="H642" s="6" t="n"/>
      <c r="I642" s="6" t="n"/>
      <c r="M642" s="7" t="n"/>
      <c r="N642" s="7" t="n"/>
      <c r="O642" s="7" t="n"/>
      <c r="P642" s="8">
        <f>IF(NOT(ISNUMBER(M642)),"",IF(G642="Terreno",IF(AND(ISNUMBER(I642),I642&gt;0),M642/I642,""),IF(AND(ISNUMBER(H642),H642&gt;0),M642/H642,"")))</f>
        <v/>
      </c>
      <c r="Q642" s="9">
        <f>IF(AND(ISNUMBER(M642),ISNUMBER(O642)),IF(M642&lt;=O642,"Valor ≤ venal IPTU",""),"")</f>
        <v/>
      </c>
      <c r="R642" s="10" t="n"/>
      <c r="S642" s="10" t="n"/>
      <c r="AA642" s="10" t="n"/>
      <c r="AB642" s="11">
        <f>IF(LEN(TRIM(X642))=0,"",HYPERLINK("https://www.google.com/maps/@?api=1&amp;map_action=pano&amp;viewpoint="&amp;SUBSTITUTE(X642," ",""),"Abrir Street View"))</f>
        <v/>
      </c>
    </row>
    <row r="643">
      <c r="H643" s="6" t="n"/>
      <c r="I643" s="6" t="n"/>
      <c r="M643" s="7" t="n"/>
      <c r="N643" s="7" t="n"/>
      <c r="O643" s="7" t="n"/>
      <c r="P643" s="8">
        <f>IF(NOT(ISNUMBER(M643)),"",IF(G643="Terreno",IF(AND(ISNUMBER(I643),I643&gt;0),M643/I643,""),IF(AND(ISNUMBER(H643),H643&gt;0),M643/H643,"")))</f>
        <v/>
      </c>
      <c r="Q643" s="9">
        <f>IF(AND(ISNUMBER(M643),ISNUMBER(O643)),IF(M643&lt;=O643,"Valor ≤ venal IPTU",""),"")</f>
        <v/>
      </c>
      <c r="R643" s="10" t="n"/>
      <c r="S643" s="10" t="n"/>
      <c r="AA643" s="10" t="n"/>
      <c r="AB643" s="11">
        <f>IF(LEN(TRIM(X643))=0,"",HYPERLINK("https://www.google.com/maps/@?api=1&amp;map_action=pano&amp;viewpoint="&amp;SUBSTITUTE(X643," ",""),"Abrir Street View"))</f>
        <v/>
      </c>
    </row>
    <row r="644">
      <c r="H644" s="6" t="n"/>
      <c r="I644" s="6" t="n"/>
      <c r="M644" s="7" t="n"/>
      <c r="N644" s="7" t="n"/>
      <c r="O644" s="7" t="n"/>
      <c r="P644" s="8">
        <f>IF(NOT(ISNUMBER(M644)),"",IF(G644="Terreno",IF(AND(ISNUMBER(I644),I644&gt;0),M644/I644,""),IF(AND(ISNUMBER(H644),H644&gt;0),M644/H644,"")))</f>
        <v/>
      </c>
      <c r="Q644" s="9">
        <f>IF(AND(ISNUMBER(M644),ISNUMBER(O644)),IF(M644&lt;=O644,"Valor ≤ venal IPTU",""),"")</f>
        <v/>
      </c>
      <c r="R644" s="10" t="n"/>
      <c r="S644" s="10" t="n"/>
      <c r="AA644" s="10" t="n"/>
      <c r="AB644" s="11">
        <f>IF(LEN(TRIM(X644))=0,"",HYPERLINK("https://www.google.com/maps/@?api=1&amp;map_action=pano&amp;viewpoint="&amp;SUBSTITUTE(X644," ",""),"Abrir Street View"))</f>
        <v/>
      </c>
    </row>
    <row r="645">
      <c r="H645" s="6" t="n"/>
      <c r="I645" s="6" t="n"/>
      <c r="M645" s="7" t="n"/>
      <c r="N645" s="7" t="n"/>
      <c r="O645" s="7" t="n"/>
      <c r="P645" s="8">
        <f>IF(NOT(ISNUMBER(M645)),"",IF(G645="Terreno",IF(AND(ISNUMBER(I645),I645&gt;0),M645/I645,""),IF(AND(ISNUMBER(H645),H645&gt;0),M645/H645,"")))</f>
        <v/>
      </c>
      <c r="Q645" s="9">
        <f>IF(AND(ISNUMBER(M645),ISNUMBER(O645)),IF(M645&lt;=O645,"Valor ≤ venal IPTU",""),"")</f>
        <v/>
      </c>
      <c r="R645" s="10" t="n"/>
      <c r="S645" s="10" t="n"/>
      <c r="AA645" s="10" t="n"/>
      <c r="AB645" s="11">
        <f>IF(LEN(TRIM(X645))=0,"",HYPERLINK("https://www.google.com/maps/@?api=1&amp;map_action=pano&amp;viewpoint="&amp;SUBSTITUTE(X645," ",""),"Abrir Street View"))</f>
        <v/>
      </c>
    </row>
    <row r="646">
      <c r="H646" s="6" t="n"/>
      <c r="I646" s="6" t="n"/>
      <c r="M646" s="7" t="n"/>
      <c r="N646" s="7" t="n"/>
      <c r="O646" s="7" t="n"/>
      <c r="P646" s="8">
        <f>IF(NOT(ISNUMBER(M646)),"",IF(G646="Terreno",IF(AND(ISNUMBER(I646),I646&gt;0),M646/I646,""),IF(AND(ISNUMBER(H646),H646&gt;0),M646/H646,"")))</f>
        <v/>
      </c>
      <c r="Q646" s="9">
        <f>IF(AND(ISNUMBER(M646),ISNUMBER(O646)),IF(M646&lt;=O646,"Valor ≤ venal IPTU",""),"")</f>
        <v/>
      </c>
      <c r="R646" s="10" t="n"/>
      <c r="S646" s="10" t="n"/>
      <c r="AA646" s="10" t="n"/>
      <c r="AB646" s="11">
        <f>IF(LEN(TRIM(X646))=0,"",HYPERLINK("https://www.google.com/maps/@?api=1&amp;map_action=pano&amp;viewpoint="&amp;SUBSTITUTE(X646," ",""),"Abrir Street View"))</f>
        <v/>
      </c>
    </row>
    <row r="647">
      <c r="H647" s="6" t="n"/>
      <c r="I647" s="6" t="n"/>
      <c r="M647" s="7" t="n"/>
      <c r="N647" s="7" t="n"/>
      <c r="O647" s="7" t="n"/>
      <c r="P647" s="8">
        <f>IF(NOT(ISNUMBER(M647)),"",IF(G647="Terreno",IF(AND(ISNUMBER(I647),I647&gt;0),M647/I647,""),IF(AND(ISNUMBER(H647),H647&gt;0),M647/H647,"")))</f>
        <v/>
      </c>
      <c r="Q647" s="9">
        <f>IF(AND(ISNUMBER(M647),ISNUMBER(O647)),IF(M647&lt;=O647,"Valor ≤ venal IPTU",""),"")</f>
        <v/>
      </c>
      <c r="R647" s="10" t="n"/>
      <c r="S647" s="10" t="n"/>
      <c r="AA647" s="10" t="n"/>
      <c r="AB647" s="11">
        <f>IF(LEN(TRIM(X647))=0,"",HYPERLINK("https://www.google.com/maps/@?api=1&amp;map_action=pano&amp;viewpoint="&amp;SUBSTITUTE(X647," ",""),"Abrir Street View"))</f>
        <v/>
      </c>
    </row>
    <row r="648">
      <c r="H648" s="6" t="n"/>
      <c r="I648" s="6" t="n"/>
      <c r="M648" s="7" t="n"/>
      <c r="N648" s="7" t="n"/>
      <c r="O648" s="7" t="n"/>
      <c r="P648" s="8">
        <f>IF(NOT(ISNUMBER(M648)),"",IF(G648="Terreno",IF(AND(ISNUMBER(I648),I648&gt;0),M648/I648,""),IF(AND(ISNUMBER(H648),H648&gt;0),M648/H648,"")))</f>
        <v/>
      </c>
      <c r="Q648" s="9">
        <f>IF(AND(ISNUMBER(M648),ISNUMBER(O648)),IF(M648&lt;=O648,"Valor ≤ venal IPTU",""),"")</f>
        <v/>
      </c>
      <c r="R648" s="10" t="n"/>
      <c r="S648" s="10" t="n"/>
      <c r="AA648" s="10" t="n"/>
      <c r="AB648" s="11">
        <f>IF(LEN(TRIM(X648))=0,"",HYPERLINK("https://www.google.com/maps/@?api=1&amp;map_action=pano&amp;viewpoint="&amp;SUBSTITUTE(X648," ",""),"Abrir Street View"))</f>
        <v/>
      </c>
    </row>
    <row r="649">
      <c r="H649" s="6" t="n"/>
      <c r="I649" s="6" t="n"/>
      <c r="M649" s="7" t="n"/>
      <c r="N649" s="7" t="n"/>
      <c r="O649" s="7" t="n"/>
      <c r="P649" s="8">
        <f>IF(NOT(ISNUMBER(M649)),"",IF(G649="Terreno",IF(AND(ISNUMBER(I649),I649&gt;0),M649/I649,""),IF(AND(ISNUMBER(H649),H649&gt;0),M649/H649,"")))</f>
        <v/>
      </c>
      <c r="Q649" s="9">
        <f>IF(AND(ISNUMBER(M649),ISNUMBER(O649)),IF(M649&lt;=O649,"Valor ≤ venal IPTU",""),"")</f>
        <v/>
      </c>
      <c r="R649" s="10" t="n"/>
      <c r="S649" s="10" t="n"/>
      <c r="AA649" s="10" t="n"/>
      <c r="AB649" s="11">
        <f>IF(LEN(TRIM(X649))=0,"",HYPERLINK("https://www.google.com/maps/@?api=1&amp;map_action=pano&amp;viewpoint="&amp;SUBSTITUTE(X649," ",""),"Abrir Street View"))</f>
        <v/>
      </c>
    </row>
    <row r="650">
      <c r="H650" s="6" t="n"/>
      <c r="I650" s="6" t="n"/>
      <c r="M650" s="7" t="n"/>
      <c r="N650" s="7" t="n"/>
      <c r="O650" s="7" t="n"/>
      <c r="P650" s="8">
        <f>IF(NOT(ISNUMBER(M650)),"",IF(G650="Terreno",IF(AND(ISNUMBER(I650),I650&gt;0),M650/I650,""),IF(AND(ISNUMBER(H650),H650&gt;0),M650/H650,"")))</f>
        <v/>
      </c>
      <c r="Q650" s="9">
        <f>IF(AND(ISNUMBER(M650),ISNUMBER(O650)),IF(M650&lt;=O650,"Valor ≤ venal IPTU",""),"")</f>
        <v/>
      </c>
      <c r="R650" s="10" t="n"/>
      <c r="S650" s="10" t="n"/>
      <c r="AA650" s="10" t="n"/>
      <c r="AB650" s="11">
        <f>IF(LEN(TRIM(X650))=0,"",HYPERLINK("https://www.google.com/maps/@?api=1&amp;map_action=pano&amp;viewpoint="&amp;SUBSTITUTE(X650," ",""),"Abrir Street View"))</f>
        <v/>
      </c>
    </row>
    <row r="651">
      <c r="H651" s="6" t="n"/>
      <c r="I651" s="6" t="n"/>
      <c r="M651" s="7" t="n"/>
      <c r="N651" s="7" t="n"/>
      <c r="O651" s="7" t="n"/>
      <c r="P651" s="8">
        <f>IF(NOT(ISNUMBER(M651)),"",IF(G651="Terreno",IF(AND(ISNUMBER(I651),I651&gt;0),M651/I651,""),IF(AND(ISNUMBER(H651),H651&gt;0),M651/H651,"")))</f>
        <v/>
      </c>
      <c r="Q651" s="9">
        <f>IF(AND(ISNUMBER(M651),ISNUMBER(O651)),IF(M651&lt;=O651,"Valor ≤ venal IPTU",""),"")</f>
        <v/>
      </c>
      <c r="R651" s="10" t="n"/>
      <c r="S651" s="10" t="n"/>
      <c r="AA651" s="10" t="n"/>
      <c r="AB651" s="11">
        <f>IF(LEN(TRIM(X651))=0,"",HYPERLINK("https://www.google.com/maps/@?api=1&amp;map_action=pano&amp;viewpoint="&amp;SUBSTITUTE(X651," ",""),"Abrir Street View"))</f>
        <v/>
      </c>
    </row>
    <row r="652">
      <c r="H652" s="6" t="n"/>
      <c r="I652" s="6" t="n"/>
      <c r="M652" s="7" t="n"/>
      <c r="N652" s="7" t="n"/>
      <c r="O652" s="7" t="n"/>
      <c r="P652" s="8">
        <f>IF(NOT(ISNUMBER(M652)),"",IF(G652="Terreno",IF(AND(ISNUMBER(I652),I652&gt;0),M652/I652,""),IF(AND(ISNUMBER(H652),H652&gt;0),M652/H652,"")))</f>
        <v/>
      </c>
      <c r="Q652" s="9">
        <f>IF(AND(ISNUMBER(M652),ISNUMBER(O652)),IF(M652&lt;=O652,"Valor ≤ venal IPTU",""),"")</f>
        <v/>
      </c>
      <c r="R652" s="10" t="n"/>
      <c r="S652" s="10" t="n"/>
      <c r="AA652" s="10" t="n"/>
      <c r="AB652" s="11">
        <f>IF(LEN(TRIM(X652))=0,"",HYPERLINK("https://www.google.com/maps/@?api=1&amp;map_action=pano&amp;viewpoint="&amp;SUBSTITUTE(X652," ",""),"Abrir Street View"))</f>
        <v/>
      </c>
    </row>
    <row r="653">
      <c r="H653" s="6" t="n"/>
      <c r="I653" s="6" t="n"/>
      <c r="M653" s="7" t="n"/>
      <c r="N653" s="7" t="n"/>
      <c r="O653" s="7" t="n"/>
      <c r="P653" s="8">
        <f>IF(NOT(ISNUMBER(M653)),"",IF(G653="Terreno",IF(AND(ISNUMBER(I653),I653&gt;0),M653/I653,""),IF(AND(ISNUMBER(H653),H653&gt;0),M653/H653,"")))</f>
        <v/>
      </c>
      <c r="Q653" s="9">
        <f>IF(AND(ISNUMBER(M653),ISNUMBER(O653)),IF(M653&lt;=O653,"Valor ≤ venal IPTU",""),"")</f>
        <v/>
      </c>
      <c r="R653" s="10" t="n"/>
      <c r="S653" s="10" t="n"/>
      <c r="AA653" s="10" t="n"/>
      <c r="AB653" s="11">
        <f>IF(LEN(TRIM(X653))=0,"",HYPERLINK("https://www.google.com/maps/@?api=1&amp;map_action=pano&amp;viewpoint="&amp;SUBSTITUTE(X653," ",""),"Abrir Street View"))</f>
        <v/>
      </c>
    </row>
    <row r="654">
      <c r="H654" s="6" t="n"/>
      <c r="I654" s="6" t="n"/>
      <c r="M654" s="7" t="n"/>
      <c r="N654" s="7" t="n"/>
      <c r="O654" s="7" t="n"/>
      <c r="P654" s="8">
        <f>IF(NOT(ISNUMBER(M654)),"",IF(G654="Terreno",IF(AND(ISNUMBER(I654),I654&gt;0),M654/I654,""),IF(AND(ISNUMBER(H654),H654&gt;0),M654/H654,"")))</f>
        <v/>
      </c>
      <c r="Q654" s="9">
        <f>IF(AND(ISNUMBER(M654),ISNUMBER(O654)),IF(M654&lt;=O654,"Valor ≤ venal IPTU",""),"")</f>
        <v/>
      </c>
      <c r="R654" s="10" t="n"/>
      <c r="S654" s="10" t="n"/>
      <c r="AA654" s="10" t="n"/>
      <c r="AB654" s="11">
        <f>IF(LEN(TRIM(X654))=0,"",HYPERLINK("https://www.google.com/maps/@?api=1&amp;map_action=pano&amp;viewpoint="&amp;SUBSTITUTE(X654," ",""),"Abrir Street View"))</f>
        <v/>
      </c>
    </row>
    <row r="655">
      <c r="H655" s="6" t="n"/>
      <c r="I655" s="6" t="n"/>
      <c r="M655" s="7" t="n"/>
      <c r="N655" s="7" t="n"/>
      <c r="O655" s="7" t="n"/>
      <c r="P655" s="8">
        <f>IF(NOT(ISNUMBER(M655)),"",IF(G655="Terreno",IF(AND(ISNUMBER(I655),I655&gt;0),M655/I655,""),IF(AND(ISNUMBER(H655),H655&gt;0),M655/H655,"")))</f>
        <v/>
      </c>
      <c r="Q655" s="9">
        <f>IF(AND(ISNUMBER(M655),ISNUMBER(O655)),IF(M655&lt;=O655,"Valor ≤ venal IPTU",""),"")</f>
        <v/>
      </c>
      <c r="R655" s="10" t="n"/>
      <c r="S655" s="10" t="n"/>
      <c r="AA655" s="10" t="n"/>
      <c r="AB655" s="11">
        <f>IF(LEN(TRIM(X655))=0,"",HYPERLINK("https://www.google.com/maps/@?api=1&amp;map_action=pano&amp;viewpoint="&amp;SUBSTITUTE(X655," ",""),"Abrir Street View"))</f>
        <v/>
      </c>
    </row>
    <row r="656">
      <c r="H656" s="6" t="n"/>
      <c r="I656" s="6" t="n"/>
      <c r="M656" s="7" t="n"/>
      <c r="N656" s="7" t="n"/>
      <c r="O656" s="7" t="n"/>
      <c r="P656" s="8">
        <f>IF(NOT(ISNUMBER(M656)),"",IF(G656="Terreno",IF(AND(ISNUMBER(I656),I656&gt;0),M656/I656,""),IF(AND(ISNUMBER(H656),H656&gt;0),M656/H656,"")))</f>
        <v/>
      </c>
      <c r="Q656" s="9">
        <f>IF(AND(ISNUMBER(M656),ISNUMBER(O656)),IF(M656&lt;=O656,"Valor ≤ venal IPTU",""),"")</f>
        <v/>
      </c>
      <c r="R656" s="10" t="n"/>
      <c r="S656" s="10" t="n"/>
      <c r="AA656" s="10" t="n"/>
      <c r="AB656" s="11">
        <f>IF(LEN(TRIM(X656))=0,"",HYPERLINK("https://www.google.com/maps/@?api=1&amp;map_action=pano&amp;viewpoint="&amp;SUBSTITUTE(X656," ",""),"Abrir Street View"))</f>
        <v/>
      </c>
    </row>
    <row r="657">
      <c r="H657" s="6" t="n"/>
      <c r="I657" s="6" t="n"/>
      <c r="M657" s="7" t="n"/>
      <c r="N657" s="7" t="n"/>
      <c r="O657" s="7" t="n"/>
      <c r="P657" s="8">
        <f>IF(NOT(ISNUMBER(M657)),"",IF(G657="Terreno",IF(AND(ISNUMBER(I657),I657&gt;0),M657/I657,""),IF(AND(ISNUMBER(H657),H657&gt;0),M657/H657,"")))</f>
        <v/>
      </c>
      <c r="Q657" s="9">
        <f>IF(AND(ISNUMBER(M657),ISNUMBER(O657)),IF(M657&lt;=O657,"Valor ≤ venal IPTU",""),"")</f>
        <v/>
      </c>
      <c r="R657" s="10" t="n"/>
      <c r="S657" s="10" t="n"/>
      <c r="AA657" s="10" t="n"/>
      <c r="AB657" s="11">
        <f>IF(LEN(TRIM(X657))=0,"",HYPERLINK("https://www.google.com/maps/@?api=1&amp;map_action=pano&amp;viewpoint="&amp;SUBSTITUTE(X657," ",""),"Abrir Street View"))</f>
        <v/>
      </c>
    </row>
    <row r="658">
      <c r="H658" s="6" t="n"/>
      <c r="I658" s="6" t="n"/>
      <c r="M658" s="7" t="n"/>
      <c r="N658" s="7" t="n"/>
      <c r="O658" s="7" t="n"/>
      <c r="P658" s="8">
        <f>IF(NOT(ISNUMBER(M658)),"",IF(G658="Terreno",IF(AND(ISNUMBER(I658),I658&gt;0),M658/I658,""),IF(AND(ISNUMBER(H658),H658&gt;0),M658/H658,"")))</f>
        <v/>
      </c>
      <c r="Q658" s="9">
        <f>IF(AND(ISNUMBER(M658),ISNUMBER(O658)),IF(M658&lt;=O658,"Valor ≤ venal IPTU",""),"")</f>
        <v/>
      </c>
      <c r="R658" s="10" t="n"/>
      <c r="S658" s="10" t="n"/>
      <c r="AA658" s="10" t="n"/>
      <c r="AB658" s="11">
        <f>IF(LEN(TRIM(X658))=0,"",HYPERLINK("https://www.google.com/maps/@?api=1&amp;map_action=pano&amp;viewpoint="&amp;SUBSTITUTE(X658," ",""),"Abrir Street View"))</f>
        <v/>
      </c>
    </row>
    <row r="659">
      <c r="H659" s="6" t="n"/>
      <c r="I659" s="6" t="n"/>
      <c r="M659" s="7" t="n"/>
      <c r="N659" s="7" t="n"/>
      <c r="O659" s="7" t="n"/>
      <c r="P659" s="8">
        <f>IF(NOT(ISNUMBER(M659)),"",IF(G659="Terreno",IF(AND(ISNUMBER(I659),I659&gt;0),M659/I659,""),IF(AND(ISNUMBER(H659),H659&gt;0),M659/H659,"")))</f>
        <v/>
      </c>
      <c r="Q659" s="9">
        <f>IF(AND(ISNUMBER(M659),ISNUMBER(O659)),IF(M659&lt;=O659,"Valor ≤ venal IPTU",""),"")</f>
        <v/>
      </c>
      <c r="R659" s="10" t="n"/>
      <c r="S659" s="10" t="n"/>
      <c r="AA659" s="10" t="n"/>
      <c r="AB659" s="11">
        <f>IF(LEN(TRIM(X659))=0,"",HYPERLINK("https://www.google.com/maps/@?api=1&amp;map_action=pano&amp;viewpoint="&amp;SUBSTITUTE(X659," ",""),"Abrir Street View"))</f>
        <v/>
      </c>
    </row>
    <row r="660">
      <c r="H660" s="6" t="n"/>
      <c r="I660" s="6" t="n"/>
      <c r="M660" s="7" t="n"/>
      <c r="N660" s="7" t="n"/>
      <c r="O660" s="7" t="n"/>
      <c r="P660" s="8">
        <f>IF(NOT(ISNUMBER(M660)),"",IF(G660="Terreno",IF(AND(ISNUMBER(I660),I660&gt;0),M660/I660,""),IF(AND(ISNUMBER(H660),H660&gt;0),M660/H660,"")))</f>
        <v/>
      </c>
      <c r="Q660" s="9">
        <f>IF(AND(ISNUMBER(M660),ISNUMBER(O660)),IF(M660&lt;=O660,"Valor ≤ venal IPTU",""),"")</f>
        <v/>
      </c>
      <c r="R660" s="10" t="n"/>
      <c r="S660" s="10" t="n"/>
      <c r="AA660" s="10" t="n"/>
      <c r="AB660" s="11">
        <f>IF(LEN(TRIM(X660))=0,"",HYPERLINK("https://www.google.com/maps/@?api=1&amp;map_action=pano&amp;viewpoint="&amp;SUBSTITUTE(X660," ",""),"Abrir Street View"))</f>
        <v/>
      </c>
    </row>
    <row r="661">
      <c r="H661" s="6" t="n"/>
      <c r="I661" s="6" t="n"/>
      <c r="M661" s="7" t="n"/>
      <c r="N661" s="7" t="n"/>
      <c r="O661" s="7" t="n"/>
      <c r="P661" s="8">
        <f>IF(NOT(ISNUMBER(M661)),"",IF(G661="Terreno",IF(AND(ISNUMBER(I661),I661&gt;0),M661/I661,""),IF(AND(ISNUMBER(H661),H661&gt;0),M661/H661,"")))</f>
        <v/>
      </c>
      <c r="Q661" s="9">
        <f>IF(AND(ISNUMBER(M661),ISNUMBER(O661)),IF(M661&lt;=O661,"Valor ≤ venal IPTU",""),"")</f>
        <v/>
      </c>
      <c r="R661" s="10" t="n"/>
      <c r="S661" s="10" t="n"/>
      <c r="AA661" s="10" t="n"/>
      <c r="AB661" s="11">
        <f>IF(LEN(TRIM(X661))=0,"",HYPERLINK("https://www.google.com/maps/@?api=1&amp;map_action=pano&amp;viewpoint="&amp;SUBSTITUTE(X661," ",""),"Abrir Street View"))</f>
        <v/>
      </c>
    </row>
    <row r="662">
      <c r="H662" s="6" t="n"/>
      <c r="I662" s="6" t="n"/>
      <c r="M662" s="7" t="n"/>
      <c r="N662" s="7" t="n"/>
      <c r="O662" s="7" t="n"/>
      <c r="P662" s="8">
        <f>IF(NOT(ISNUMBER(M662)),"",IF(G662="Terreno",IF(AND(ISNUMBER(I662),I662&gt;0),M662/I662,""),IF(AND(ISNUMBER(H662),H662&gt;0),M662/H662,"")))</f>
        <v/>
      </c>
      <c r="Q662" s="9">
        <f>IF(AND(ISNUMBER(M662),ISNUMBER(O662)),IF(M662&lt;=O662,"Valor ≤ venal IPTU",""),"")</f>
        <v/>
      </c>
      <c r="R662" s="10" t="n"/>
      <c r="S662" s="10" t="n"/>
      <c r="AA662" s="10" t="n"/>
      <c r="AB662" s="11">
        <f>IF(LEN(TRIM(X662))=0,"",HYPERLINK("https://www.google.com/maps/@?api=1&amp;map_action=pano&amp;viewpoint="&amp;SUBSTITUTE(X662," ",""),"Abrir Street View"))</f>
        <v/>
      </c>
    </row>
    <row r="663">
      <c r="H663" s="6" t="n"/>
      <c r="I663" s="6" t="n"/>
      <c r="M663" s="7" t="n"/>
      <c r="N663" s="7" t="n"/>
      <c r="O663" s="7" t="n"/>
      <c r="P663" s="8">
        <f>IF(NOT(ISNUMBER(M663)),"",IF(G663="Terreno",IF(AND(ISNUMBER(I663),I663&gt;0),M663/I663,""),IF(AND(ISNUMBER(H663),H663&gt;0),M663/H663,"")))</f>
        <v/>
      </c>
      <c r="Q663" s="9">
        <f>IF(AND(ISNUMBER(M663),ISNUMBER(O663)),IF(M663&lt;=O663,"Valor ≤ venal IPTU",""),"")</f>
        <v/>
      </c>
      <c r="R663" s="10" t="n"/>
      <c r="S663" s="10" t="n"/>
      <c r="AA663" s="10" t="n"/>
      <c r="AB663" s="11">
        <f>IF(LEN(TRIM(X663))=0,"",HYPERLINK("https://www.google.com/maps/@?api=1&amp;map_action=pano&amp;viewpoint="&amp;SUBSTITUTE(X663," ",""),"Abrir Street View"))</f>
        <v/>
      </c>
    </row>
    <row r="664">
      <c r="H664" s="6" t="n"/>
      <c r="I664" s="6" t="n"/>
      <c r="M664" s="7" t="n"/>
      <c r="N664" s="7" t="n"/>
      <c r="O664" s="7" t="n"/>
      <c r="P664" s="8">
        <f>IF(NOT(ISNUMBER(M664)),"",IF(G664="Terreno",IF(AND(ISNUMBER(I664),I664&gt;0),M664/I664,""),IF(AND(ISNUMBER(H664),H664&gt;0),M664/H664,"")))</f>
        <v/>
      </c>
      <c r="Q664" s="9">
        <f>IF(AND(ISNUMBER(M664),ISNUMBER(O664)),IF(M664&lt;=O664,"Valor ≤ venal IPTU",""),"")</f>
        <v/>
      </c>
      <c r="R664" s="10" t="n"/>
      <c r="S664" s="10" t="n"/>
      <c r="AA664" s="10" t="n"/>
      <c r="AB664" s="11">
        <f>IF(LEN(TRIM(X664))=0,"",HYPERLINK("https://www.google.com/maps/@?api=1&amp;map_action=pano&amp;viewpoint="&amp;SUBSTITUTE(X664," ",""),"Abrir Street View"))</f>
        <v/>
      </c>
    </row>
    <row r="665">
      <c r="H665" s="6" t="n"/>
      <c r="I665" s="6" t="n"/>
      <c r="M665" s="7" t="n"/>
      <c r="N665" s="7" t="n"/>
      <c r="O665" s="7" t="n"/>
      <c r="P665" s="8">
        <f>IF(NOT(ISNUMBER(M665)),"",IF(G665="Terreno",IF(AND(ISNUMBER(I665),I665&gt;0),M665/I665,""),IF(AND(ISNUMBER(H665),H665&gt;0),M665/H665,"")))</f>
        <v/>
      </c>
      <c r="Q665" s="9">
        <f>IF(AND(ISNUMBER(M665),ISNUMBER(O665)),IF(M665&lt;=O665,"Valor ≤ venal IPTU",""),"")</f>
        <v/>
      </c>
      <c r="R665" s="10" t="n"/>
      <c r="S665" s="10" t="n"/>
      <c r="AA665" s="10" t="n"/>
      <c r="AB665" s="11">
        <f>IF(LEN(TRIM(X665))=0,"",HYPERLINK("https://www.google.com/maps/@?api=1&amp;map_action=pano&amp;viewpoint="&amp;SUBSTITUTE(X665," ",""),"Abrir Street View"))</f>
        <v/>
      </c>
    </row>
    <row r="666">
      <c r="H666" s="6" t="n"/>
      <c r="I666" s="6" t="n"/>
      <c r="M666" s="7" t="n"/>
      <c r="N666" s="7" t="n"/>
      <c r="O666" s="7" t="n"/>
      <c r="P666" s="8">
        <f>IF(NOT(ISNUMBER(M666)),"",IF(G666="Terreno",IF(AND(ISNUMBER(I666),I666&gt;0),M666/I666,""),IF(AND(ISNUMBER(H666),H666&gt;0),M666/H666,"")))</f>
        <v/>
      </c>
      <c r="Q666" s="9">
        <f>IF(AND(ISNUMBER(M666),ISNUMBER(O666)),IF(M666&lt;=O666,"Valor ≤ venal IPTU",""),"")</f>
        <v/>
      </c>
      <c r="R666" s="10" t="n"/>
      <c r="S666" s="10" t="n"/>
      <c r="AA666" s="10" t="n"/>
      <c r="AB666" s="11">
        <f>IF(LEN(TRIM(X666))=0,"",HYPERLINK("https://www.google.com/maps/@?api=1&amp;map_action=pano&amp;viewpoint="&amp;SUBSTITUTE(X666," ",""),"Abrir Street View"))</f>
        <v/>
      </c>
    </row>
    <row r="667">
      <c r="H667" s="6" t="n"/>
      <c r="I667" s="6" t="n"/>
      <c r="M667" s="7" t="n"/>
      <c r="N667" s="7" t="n"/>
      <c r="O667" s="7" t="n"/>
      <c r="P667" s="8">
        <f>IF(NOT(ISNUMBER(M667)),"",IF(G667="Terreno",IF(AND(ISNUMBER(I667),I667&gt;0),M667/I667,""),IF(AND(ISNUMBER(H667),H667&gt;0),M667/H667,"")))</f>
        <v/>
      </c>
      <c r="Q667" s="9">
        <f>IF(AND(ISNUMBER(M667),ISNUMBER(O667)),IF(M667&lt;=O667,"Valor ≤ venal IPTU",""),"")</f>
        <v/>
      </c>
      <c r="R667" s="10" t="n"/>
      <c r="S667" s="10" t="n"/>
      <c r="AA667" s="10" t="n"/>
      <c r="AB667" s="11">
        <f>IF(LEN(TRIM(X667))=0,"",HYPERLINK("https://www.google.com/maps/@?api=1&amp;map_action=pano&amp;viewpoint="&amp;SUBSTITUTE(X667," ",""),"Abrir Street View"))</f>
        <v/>
      </c>
    </row>
    <row r="668">
      <c r="H668" s="6" t="n"/>
      <c r="I668" s="6" t="n"/>
      <c r="M668" s="7" t="n"/>
      <c r="N668" s="7" t="n"/>
      <c r="O668" s="7" t="n"/>
      <c r="P668" s="8">
        <f>IF(NOT(ISNUMBER(M668)),"",IF(G668="Terreno",IF(AND(ISNUMBER(I668),I668&gt;0),M668/I668,""),IF(AND(ISNUMBER(H668),H668&gt;0),M668/H668,"")))</f>
        <v/>
      </c>
      <c r="Q668" s="9">
        <f>IF(AND(ISNUMBER(M668),ISNUMBER(O668)),IF(M668&lt;=O668,"Valor ≤ venal IPTU",""),"")</f>
        <v/>
      </c>
      <c r="R668" s="10" t="n"/>
      <c r="S668" s="10" t="n"/>
      <c r="AA668" s="10" t="n"/>
      <c r="AB668" s="11">
        <f>IF(LEN(TRIM(X668))=0,"",HYPERLINK("https://www.google.com/maps/@?api=1&amp;map_action=pano&amp;viewpoint="&amp;SUBSTITUTE(X668," ",""),"Abrir Street View"))</f>
        <v/>
      </c>
    </row>
    <row r="669">
      <c r="H669" s="6" t="n"/>
      <c r="I669" s="6" t="n"/>
      <c r="M669" s="7" t="n"/>
      <c r="N669" s="7" t="n"/>
      <c r="O669" s="7" t="n"/>
      <c r="P669" s="8">
        <f>IF(NOT(ISNUMBER(M669)),"",IF(G669="Terreno",IF(AND(ISNUMBER(I669),I669&gt;0),M669/I669,""),IF(AND(ISNUMBER(H669),H669&gt;0),M669/H669,"")))</f>
        <v/>
      </c>
      <c r="Q669" s="9">
        <f>IF(AND(ISNUMBER(M669),ISNUMBER(O669)),IF(M669&lt;=O669,"Valor ≤ venal IPTU",""),"")</f>
        <v/>
      </c>
      <c r="R669" s="10" t="n"/>
      <c r="S669" s="10" t="n"/>
      <c r="AA669" s="10" t="n"/>
      <c r="AB669" s="11">
        <f>IF(LEN(TRIM(X669))=0,"",HYPERLINK("https://www.google.com/maps/@?api=1&amp;map_action=pano&amp;viewpoint="&amp;SUBSTITUTE(X669," ",""),"Abrir Street View"))</f>
        <v/>
      </c>
    </row>
    <row r="670">
      <c r="H670" s="6" t="n"/>
      <c r="I670" s="6" t="n"/>
      <c r="M670" s="7" t="n"/>
      <c r="N670" s="7" t="n"/>
      <c r="O670" s="7" t="n"/>
      <c r="P670" s="8">
        <f>IF(NOT(ISNUMBER(M670)),"",IF(G670="Terreno",IF(AND(ISNUMBER(I670),I670&gt;0),M670/I670,""),IF(AND(ISNUMBER(H670),H670&gt;0),M670/H670,"")))</f>
        <v/>
      </c>
      <c r="Q670" s="9">
        <f>IF(AND(ISNUMBER(M670),ISNUMBER(O670)),IF(M670&lt;=O670,"Valor ≤ venal IPTU",""),"")</f>
        <v/>
      </c>
      <c r="R670" s="10" t="n"/>
      <c r="S670" s="10" t="n"/>
      <c r="AA670" s="10" t="n"/>
      <c r="AB670" s="11">
        <f>IF(LEN(TRIM(X670))=0,"",HYPERLINK("https://www.google.com/maps/@?api=1&amp;map_action=pano&amp;viewpoint="&amp;SUBSTITUTE(X670," ",""),"Abrir Street View"))</f>
        <v/>
      </c>
    </row>
    <row r="671">
      <c r="H671" s="6" t="n"/>
      <c r="I671" s="6" t="n"/>
      <c r="M671" s="7" t="n"/>
      <c r="N671" s="7" t="n"/>
      <c r="O671" s="7" t="n"/>
      <c r="P671" s="8">
        <f>IF(NOT(ISNUMBER(M671)),"",IF(G671="Terreno",IF(AND(ISNUMBER(I671),I671&gt;0),M671/I671,""),IF(AND(ISNUMBER(H671),H671&gt;0),M671/H671,"")))</f>
        <v/>
      </c>
      <c r="Q671" s="9">
        <f>IF(AND(ISNUMBER(M671),ISNUMBER(O671)),IF(M671&lt;=O671,"Valor ≤ venal IPTU",""),"")</f>
        <v/>
      </c>
      <c r="R671" s="10" t="n"/>
      <c r="S671" s="10" t="n"/>
      <c r="AA671" s="10" t="n"/>
      <c r="AB671" s="11">
        <f>IF(LEN(TRIM(X671))=0,"",HYPERLINK("https://www.google.com/maps/@?api=1&amp;map_action=pano&amp;viewpoint="&amp;SUBSTITUTE(X671," ",""),"Abrir Street View"))</f>
        <v/>
      </c>
    </row>
    <row r="672">
      <c r="H672" s="6" t="n"/>
      <c r="I672" s="6" t="n"/>
      <c r="M672" s="7" t="n"/>
      <c r="N672" s="7" t="n"/>
      <c r="O672" s="7" t="n"/>
      <c r="P672" s="8">
        <f>IF(NOT(ISNUMBER(M672)),"",IF(G672="Terreno",IF(AND(ISNUMBER(I672),I672&gt;0),M672/I672,""),IF(AND(ISNUMBER(H672),H672&gt;0),M672/H672,"")))</f>
        <v/>
      </c>
      <c r="Q672" s="9">
        <f>IF(AND(ISNUMBER(M672),ISNUMBER(O672)),IF(M672&lt;=O672,"Valor ≤ venal IPTU",""),"")</f>
        <v/>
      </c>
      <c r="R672" s="10" t="n"/>
      <c r="S672" s="10" t="n"/>
      <c r="AA672" s="10" t="n"/>
      <c r="AB672" s="11">
        <f>IF(LEN(TRIM(X672))=0,"",HYPERLINK("https://www.google.com/maps/@?api=1&amp;map_action=pano&amp;viewpoint="&amp;SUBSTITUTE(X672," ",""),"Abrir Street View"))</f>
        <v/>
      </c>
    </row>
    <row r="673">
      <c r="H673" s="6" t="n"/>
      <c r="I673" s="6" t="n"/>
      <c r="M673" s="7" t="n"/>
      <c r="N673" s="7" t="n"/>
      <c r="O673" s="7" t="n"/>
      <c r="P673" s="8">
        <f>IF(NOT(ISNUMBER(M673)),"",IF(G673="Terreno",IF(AND(ISNUMBER(I673),I673&gt;0),M673/I673,""),IF(AND(ISNUMBER(H673),H673&gt;0),M673/H673,"")))</f>
        <v/>
      </c>
      <c r="Q673" s="9">
        <f>IF(AND(ISNUMBER(M673),ISNUMBER(O673)),IF(M673&lt;=O673,"Valor ≤ venal IPTU",""),"")</f>
        <v/>
      </c>
      <c r="R673" s="10" t="n"/>
      <c r="S673" s="10" t="n"/>
      <c r="AA673" s="10" t="n"/>
      <c r="AB673" s="11">
        <f>IF(LEN(TRIM(X673))=0,"",HYPERLINK("https://www.google.com/maps/@?api=1&amp;map_action=pano&amp;viewpoint="&amp;SUBSTITUTE(X673," ",""),"Abrir Street View"))</f>
        <v/>
      </c>
    </row>
    <row r="674">
      <c r="H674" s="6" t="n"/>
      <c r="I674" s="6" t="n"/>
      <c r="M674" s="7" t="n"/>
      <c r="N674" s="7" t="n"/>
      <c r="O674" s="7" t="n"/>
      <c r="P674" s="8">
        <f>IF(NOT(ISNUMBER(M674)),"",IF(G674="Terreno",IF(AND(ISNUMBER(I674),I674&gt;0),M674/I674,""),IF(AND(ISNUMBER(H674),H674&gt;0),M674/H674,"")))</f>
        <v/>
      </c>
      <c r="Q674" s="9">
        <f>IF(AND(ISNUMBER(M674),ISNUMBER(O674)),IF(M674&lt;=O674,"Valor ≤ venal IPTU",""),"")</f>
        <v/>
      </c>
      <c r="R674" s="10" t="n"/>
      <c r="S674" s="10" t="n"/>
      <c r="AA674" s="10" t="n"/>
      <c r="AB674" s="11">
        <f>IF(LEN(TRIM(X674))=0,"",HYPERLINK("https://www.google.com/maps/@?api=1&amp;map_action=pano&amp;viewpoint="&amp;SUBSTITUTE(X674," ",""),"Abrir Street View"))</f>
        <v/>
      </c>
    </row>
    <row r="675">
      <c r="H675" s="6" t="n"/>
      <c r="I675" s="6" t="n"/>
      <c r="M675" s="7" t="n"/>
      <c r="N675" s="7" t="n"/>
      <c r="O675" s="7" t="n"/>
      <c r="P675" s="8">
        <f>IF(NOT(ISNUMBER(M675)),"",IF(G675="Terreno",IF(AND(ISNUMBER(I675),I675&gt;0),M675/I675,""),IF(AND(ISNUMBER(H675),H675&gt;0),M675/H675,"")))</f>
        <v/>
      </c>
      <c r="Q675" s="9">
        <f>IF(AND(ISNUMBER(M675),ISNUMBER(O675)),IF(M675&lt;=O675,"Valor ≤ venal IPTU",""),"")</f>
        <v/>
      </c>
      <c r="R675" s="10" t="n"/>
      <c r="S675" s="10" t="n"/>
      <c r="AA675" s="10" t="n"/>
      <c r="AB675" s="11">
        <f>IF(LEN(TRIM(X675))=0,"",HYPERLINK("https://www.google.com/maps/@?api=1&amp;map_action=pano&amp;viewpoint="&amp;SUBSTITUTE(X675," ",""),"Abrir Street View"))</f>
        <v/>
      </c>
    </row>
    <row r="676">
      <c r="H676" s="6" t="n"/>
      <c r="I676" s="6" t="n"/>
      <c r="M676" s="7" t="n"/>
      <c r="N676" s="7" t="n"/>
      <c r="O676" s="7" t="n"/>
      <c r="P676" s="8">
        <f>IF(NOT(ISNUMBER(M676)),"",IF(G676="Terreno",IF(AND(ISNUMBER(I676),I676&gt;0),M676/I676,""),IF(AND(ISNUMBER(H676),H676&gt;0),M676/H676,"")))</f>
        <v/>
      </c>
      <c r="Q676" s="9">
        <f>IF(AND(ISNUMBER(M676),ISNUMBER(O676)),IF(M676&lt;=O676,"Valor ≤ venal IPTU",""),"")</f>
        <v/>
      </c>
      <c r="R676" s="10" t="n"/>
      <c r="S676" s="10" t="n"/>
      <c r="AA676" s="10" t="n"/>
      <c r="AB676" s="11">
        <f>IF(LEN(TRIM(X676))=0,"",HYPERLINK("https://www.google.com/maps/@?api=1&amp;map_action=pano&amp;viewpoint="&amp;SUBSTITUTE(X676," ",""),"Abrir Street View"))</f>
        <v/>
      </c>
    </row>
    <row r="677">
      <c r="H677" s="6" t="n"/>
      <c r="I677" s="6" t="n"/>
      <c r="M677" s="7" t="n"/>
      <c r="N677" s="7" t="n"/>
      <c r="O677" s="7" t="n"/>
      <c r="P677" s="8">
        <f>IF(NOT(ISNUMBER(M677)),"",IF(G677="Terreno",IF(AND(ISNUMBER(I677),I677&gt;0),M677/I677,""),IF(AND(ISNUMBER(H677),H677&gt;0),M677/H677,"")))</f>
        <v/>
      </c>
      <c r="Q677" s="9">
        <f>IF(AND(ISNUMBER(M677),ISNUMBER(O677)),IF(M677&lt;=O677,"Valor ≤ venal IPTU",""),"")</f>
        <v/>
      </c>
      <c r="R677" s="10" t="n"/>
      <c r="S677" s="10" t="n"/>
      <c r="AA677" s="10" t="n"/>
      <c r="AB677" s="11">
        <f>IF(LEN(TRIM(X677))=0,"",HYPERLINK("https://www.google.com/maps/@?api=1&amp;map_action=pano&amp;viewpoint="&amp;SUBSTITUTE(X677," ",""),"Abrir Street View"))</f>
        <v/>
      </c>
    </row>
    <row r="678">
      <c r="H678" s="6" t="n"/>
      <c r="I678" s="6" t="n"/>
      <c r="M678" s="7" t="n"/>
      <c r="N678" s="7" t="n"/>
      <c r="O678" s="7" t="n"/>
      <c r="P678" s="8">
        <f>IF(NOT(ISNUMBER(M678)),"",IF(G678="Terreno",IF(AND(ISNUMBER(I678),I678&gt;0),M678/I678,""),IF(AND(ISNUMBER(H678),H678&gt;0),M678/H678,"")))</f>
        <v/>
      </c>
      <c r="Q678" s="9">
        <f>IF(AND(ISNUMBER(M678),ISNUMBER(O678)),IF(M678&lt;=O678,"Valor ≤ venal IPTU",""),"")</f>
        <v/>
      </c>
      <c r="R678" s="10" t="n"/>
      <c r="S678" s="10" t="n"/>
      <c r="AA678" s="10" t="n"/>
      <c r="AB678" s="11">
        <f>IF(LEN(TRIM(X678))=0,"",HYPERLINK("https://www.google.com/maps/@?api=1&amp;map_action=pano&amp;viewpoint="&amp;SUBSTITUTE(X678," ",""),"Abrir Street View"))</f>
        <v/>
      </c>
    </row>
    <row r="679">
      <c r="H679" s="6" t="n"/>
      <c r="I679" s="6" t="n"/>
      <c r="M679" s="7" t="n"/>
      <c r="N679" s="7" t="n"/>
      <c r="O679" s="7" t="n"/>
      <c r="P679" s="8">
        <f>IF(NOT(ISNUMBER(M679)),"",IF(G679="Terreno",IF(AND(ISNUMBER(I679),I679&gt;0),M679/I679,""),IF(AND(ISNUMBER(H679),H679&gt;0),M679/H679,"")))</f>
        <v/>
      </c>
      <c r="Q679" s="9">
        <f>IF(AND(ISNUMBER(M679),ISNUMBER(O679)),IF(M679&lt;=O679,"Valor ≤ venal IPTU",""),"")</f>
        <v/>
      </c>
      <c r="R679" s="10" t="n"/>
      <c r="S679" s="10" t="n"/>
      <c r="AA679" s="10" t="n"/>
      <c r="AB679" s="11">
        <f>IF(LEN(TRIM(X679))=0,"",HYPERLINK("https://www.google.com/maps/@?api=1&amp;map_action=pano&amp;viewpoint="&amp;SUBSTITUTE(X679," ",""),"Abrir Street View"))</f>
        <v/>
      </c>
    </row>
    <row r="680">
      <c r="H680" s="6" t="n"/>
      <c r="I680" s="6" t="n"/>
      <c r="M680" s="7" t="n"/>
      <c r="N680" s="7" t="n"/>
      <c r="O680" s="7" t="n"/>
      <c r="P680" s="8">
        <f>IF(NOT(ISNUMBER(M680)),"",IF(G680="Terreno",IF(AND(ISNUMBER(I680),I680&gt;0),M680/I680,""),IF(AND(ISNUMBER(H680),H680&gt;0),M680/H680,"")))</f>
        <v/>
      </c>
      <c r="Q680" s="9">
        <f>IF(AND(ISNUMBER(M680),ISNUMBER(O680)),IF(M680&lt;=O680,"Valor ≤ venal IPTU",""),"")</f>
        <v/>
      </c>
      <c r="R680" s="10" t="n"/>
      <c r="S680" s="10" t="n"/>
      <c r="AA680" s="10" t="n"/>
      <c r="AB680" s="11">
        <f>IF(LEN(TRIM(X680))=0,"",HYPERLINK("https://www.google.com/maps/@?api=1&amp;map_action=pano&amp;viewpoint="&amp;SUBSTITUTE(X680," ",""),"Abrir Street View"))</f>
        <v/>
      </c>
    </row>
    <row r="681">
      <c r="H681" s="6" t="n"/>
      <c r="I681" s="6" t="n"/>
      <c r="M681" s="7" t="n"/>
      <c r="N681" s="7" t="n"/>
      <c r="O681" s="7" t="n"/>
      <c r="P681" s="8">
        <f>IF(NOT(ISNUMBER(M681)),"",IF(G681="Terreno",IF(AND(ISNUMBER(I681),I681&gt;0),M681/I681,""),IF(AND(ISNUMBER(H681),H681&gt;0),M681/H681,"")))</f>
        <v/>
      </c>
      <c r="Q681" s="9">
        <f>IF(AND(ISNUMBER(M681),ISNUMBER(O681)),IF(M681&lt;=O681,"Valor ≤ venal IPTU",""),"")</f>
        <v/>
      </c>
      <c r="R681" s="10" t="n"/>
      <c r="S681" s="10" t="n"/>
      <c r="AA681" s="10" t="n"/>
      <c r="AB681" s="11">
        <f>IF(LEN(TRIM(X681))=0,"",HYPERLINK("https://www.google.com/maps/@?api=1&amp;map_action=pano&amp;viewpoint="&amp;SUBSTITUTE(X681," ",""),"Abrir Street View"))</f>
        <v/>
      </c>
    </row>
    <row r="682">
      <c r="H682" s="6" t="n"/>
      <c r="I682" s="6" t="n"/>
      <c r="M682" s="7" t="n"/>
      <c r="N682" s="7" t="n"/>
      <c r="O682" s="7" t="n"/>
      <c r="P682" s="8">
        <f>IF(NOT(ISNUMBER(M682)),"",IF(G682="Terreno",IF(AND(ISNUMBER(I682),I682&gt;0),M682/I682,""),IF(AND(ISNUMBER(H682),H682&gt;0),M682/H682,"")))</f>
        <v/>
      </c>
      <c r="Q682" s="9">
        <f>IF(AND(ISNUMBER(M682),ISNUMBER(O682)),IF(M682&lt;=O682,"Valor ≤ venal IPTU",""),"")</f>
        <v/>
      </c>
      <c r="R682" s="10" t="n"/>
      <c r="S682" s="10" t="n"/>
      <c r="AA682" s="10" t="n"/>
      <c r="AB682" s="11">
        <f>IF(LEN(TRIM(X682))=0,"",HYPERLINK("https://www.google.com/maps/@?api=1&amp;map_action=pano&amp;viewpoint="&amp;SUBSTITUTE(X682," ",""),"Abrir Street View"))</f>
        <v/>
      </c>
    </row>
    <row r="683">
      <c r="H683" s="6" t="n"/>
      <c r="I683" s="6" t="n"/>
      <c r="M683" s="7" t="n"/>
      <c r="N683" s="7" t="n"/>
      <c r="O683" s="7" t="n"/>
      <c r="P683" s="8">
        <f>IF(NOT(ISNUMBER(M683)),"",IF(G683="Terreno",IF(AND(ISNUMBER(I683),I683&gt;0),M683/I683,""),IF(AND(ISNUMBER(H683),H683&gt;0),M683/H683,"")))</f>
        <v/>
      </c>
      <c r="Q683" s="9">
        <f>IF(AND(ISNUMBER(M683),ISNUMBER(O683)),IF(M683&lt;=O683,"Valor ≤ venal IPTU",""),"")</f>
        <v/>
      </c>
      <c r="R683" s="10" t="n"/>
      <c r="S683" s="10" t="n"/>
      <c r="AA683" s="10" t="n"/>
      <c r="AB683" s="11">
        <f>IF(LEN(TRIM(X683))=0,"",HYPERLINK("https://www.google.com/maps/@?api=1&amp;map_action=pano&amp;viewpoint="&amp;SUBSTITUTE(X683," ",""),"Abrir Street View"))</f>
        <v/>
      </c>
    </row>
    <row r="684">
      <c r="H684" s="6" t="n"/>
      <c r="I684" s="6" t="n"/>
      <c r="M684" s="7" t="n"/>
      <c r="N684" s="7" t="n"/>
      <c r="O684" s="7" t="n"/>
      <c r="P684" s="8">
        <f>IF(NOT(ISNUMBER(M684)),"",IF(G684="Terreno",IF(AND(ISNUMBER(I684),I684&gt;0),M684/I684,""),IF(AND(ISNUMBER(H684),H684&gt;0),M684/H684,"")))</f>
        <v/>
      </c>
      <c r="Q684" s="9">
        <f>IF(AND(ISNUMBER(M684),ISNUMBER(O684)),IF(M684&lt;=O684,"Valor ≤ venal IPTU",""),"")</f>
        <v/>
      </c>
      <c r="R684" s="10" t="n"/>
      <c r="S684" s="10" t="n"/>
      <c r="AA684" s="10" t="n"/>
      <c r="AB684" s="11">
        <f>IF(LEN(TRIM(X684))=0,"",HYPERLINK("https://www.google.com/maps/@?api=1&amp;map_action=pano&amp;viewpoint="&amp;SUBSTITUTE(X684," ",""),"Abrir Street View"))</f>
        <v/>
      </c>
    </row>
    <row r="685">
      <c r="H685" s="6" t="n"/>
      <c r="I685" s="6" t="n"/>
      <c r="M685" s="7" t="n"/>
      <c r="N685" s="7" t="n"/>
      <c r="O685" s="7" t="n"/>
      <c r="P685" s="8">
        <f>IF(NOT(ISNUMBER(M685)),"",IF(G685="Terreno",IF(AND(ISNUMBER(I685),I685&gt;0),M685/I685,""),IF(AND(ISNUMBER(H685),H685&gt;0),M685/H685,"")))</f>
        <v/>
      </c>
      <c r="Q685" s="9">
        <f>IF(AND(ISNUMBER(M685),ISNUMBER(O685)),IF(M685&lt;=O685,"Valor ≤ venal IPTU",""),"")</f>
        <v/>
      </c>
      <c r="R685" s="10" t="n"/>
      <c r="S685" s="10" t="n"/>
      <c r="AA685" s="10" t="n"/>
      <c r="AB685" s="11">
        <f>IF(LEN(TRIM(X685))=0,"",HYPERLINK("https://www.google.com/maps/@?api=1&amp;map_action=pano&amp;viewpoint="&amp;SUBSTITUTE(X685," ",""),"Abrir Street View"))</f>
        <v/>
      </c>
    </row>
    <row r="686">
      <c r="H686" s="6" t="n"/>
      <c r="I686" s="6" t="n"/>
      <c r="M686" s="7" t="n"/>
      <c r="N686" s="7" t="n"/>
      <c r="O686" s="7" t="n"/>
      <c r="P686" s="8">
        <f>IF(NOT(ISNUMBER(M686)),"",IF(G686="Terreno",IF(AND(ISNUMBER(I686),I686&gt;0),M686/I686,""),IF(AND(ISNUMBER(H686),H686&gt;0),M686/H686,"")))</f>
        <v/>
      </c>
      <c r="Q686" s="9">
        <f>IF(AND(ISNUMBER(M686),ISNUMBER(O686)),IF(M686&lt;=O686,"Valor ≤ venal IPTU",""),"")</f>
        <v/>
      </c>
      <c r="R686" s="10" t="n"/>
      <c r="S686" s="10" t="n"/>
      <c r="AA686" s="10" t="n"/>
      <c r="AB686" s="11">
        <f>IF(LEN(TRIM(X686))=0,"",HYPERLINK("https://www.google.com/maps/@?api=1&amp;map_action=pano&amp;viewpoint="&amp;SUBSTITUTE(X686," ",""),"Abrir Street View"))</f>
        <v/>
      </c>
    </row>
    <row r="687">
      <c r="H687" s="6" t="n"/>
      <c r="I687" s="6" t="n"/>
      <c r="M687" s="7" t="n"/>
      <c r="N687" s="7" t="n"/>
      <c r="O687" s="7" t="n"/>
      <c r="P687" s="8">
        <f>IF(NOT(ISNUMBER(M687)),"",IF(G687="Terreno",IF(AND(ISNUMBER(I687),I687&gt;0),M687/I687,""),IF(AND(ISNUMBER(H687),H687&gt;0),M687/H687,"")))</f>
        <v/>
      </c>
      <c r="Q687" s="9">
        <f>IF(AND(ISNUMBER(M687),ISNUMBER(O687)),IF(M687&lt;=O687,"Valor ≤ venal IPTU",""),"")</f>
        <v/>
      </c>
      <c r="R687" s="10" t="n"/>
      <c r="S687" s="10" t="n"/>
      <c r="AA687" s="10" t="n"/>
      <c r="AB687" s="11">
        <f>IF(LEN(TRIM(X687))=0,"",HYPERLINK("https://www.google.com/maps/@?api=1&amp;map_action=pano&amp;viewpoint="&amp;SUBSTITUTE(X687," ",""),"Abrir Street View"))</f>
        <v/>
      </c>
    </row>
    <row r="688">
      <c r="H688" s="6" t="n"/>
      <c r="I688" s="6" t="n"/>
      <c r="M688" s="7" t="n"/>
      <c r="N688" s="7" t="n"/>
      <c r="O688" s="7" t="n"/>
      <c r="P688" s="8">
        <f>IF(NOT(ISNUMBER(M688)),"",IF(G688="Terreno",IF(AND(ISNUMBER(I688),I688&gt;0),M688/I688,""),IF(AND(ISNUMBER(H688),H688&gt;0),M688/H688,"")))</f>
        <v/>
      </c>
      <c r="Q688" s="9">
        <f>IF(AND(ISNUMBER(M688),ISNUMBER(O688)),IF(M688&lt;=O688,"Valor ≤ venal IPTU",""),"")</f>
        <v/>
      </c>
      <c r="R688" s="10" t="n"/>
      <c r="S688" s="10" t="n"/>
      <c r="AA688" s="10" t="n"/>
      <c r="AB688" s="11">
        <f>IF(LEN(TRIM(X688))=0,"",HYPERLINK("https://www.google.com/maps/@?api=1&amp;map_action=pano&amp;viewpoint="&amp;SUBSTITUTE(X688," ",""),"Abrir Street View"))</f>
        <v/>
      </c>
    </row>
    <row r="689">
      <c r="H689" s="6" t="n"/>
      <c r="I689" s="6" t="n"/>
      <c r="M689" s="7" t="n"/>
      <c r="N689" s="7" t="n"/>
      <c r="O689" s="7" t="n"/>
      <c r="P689" s="8">
        <f>IF(NOT(ISNUMBER(M689)),"",IF(G689="Terreno",IF(AND(ISNUMBER(I689),I689&gt;0),M689/I689,""),IF(AND(ISNUMBER(H689),H689&gt;0),M689/H689,"")))</f>
        <v/>
      </c>
      <c r="Q689" s="9">
        <f>IF(AND(ISNUMBER(M689),ISNUMBER(O689)),IF(M689&lt;=O689,"Valor ≤ venal IPTU",""),"")</f>
        <v/>
      </c>
      <c r="R689" s="10" t="n"/>
      <c r="S689" s="10" t="n"/>
      <c r="AA689" s="10" t="n"/>
      <c r="AB689" s="11">
        <f>IF(LEN(TRIM(X689))=0,"",HYPERLINK("https://www.google.com/maps/@?api=1&amp;map_action=pano&amp;viewpoint="&amp;SUBSTITUTE(X689," ",""),"Abrir Street View"))</f>
        <v/>
      </c>
    </row>
    <row r="690">
      <c r="H690" s="6" t="n"/>
      <c r="I690" s="6" t="n"/>
      <c r="M690" s="7" t="n"/>
      <c r="N690" s="7" t="n"/>
      <c r="O690" s="7" t="n"/>
      <c r="P690" s="8">
        <f>IF(NOT(ISNUMBER(M690)),"",IF(G690="Terreno",IF(AND(ISNUMBER(I690),I690&gt;0),M690/I690,""),IF(AND(ISNUMBER(H690),H690&gt;0),M690/H690,"")))</f>
        <v/>
      </c>
      <c r="Q690" s="9">
        <f>IF(AND(ISNUMBER(M690),ISNUMBER(O690)),IF(M690&lt;=O690,"Valor ≤ venal IPTU",""),"")</f>
        <v/>
      </c>
      <c r="R690" s="10" t="n"/>
      <c r="S690" s="10" t="n"/>
      <c r="AA690" s="10" t="n"/>
      <c r="AB690" s="11">
        <f>IF(LEN(TRIM(X690))=0,"",HYPERLINK("https://www.google.com/maps/@?api=1&amp;map_action=pano&amp;viewpoint="&amp;SUBSTITUTE(X690," ",""),"Abrir Street View"))</f>
        <v/>
      </c>
    </row>
    <row r="691">
      <c r="H691" s="6" t="n"/>
      <c r="I691" s="6" t="n"/>
      <c r="M691" s="7" t="n"/>
      <c r="N691" s="7" t="n"/>
      <c r="O691" s="7" t="n"/>
      <c r="P691" s="8">
        <f>IF(NOT(ISNUMBER(M691)),"",IF(G691="Terreno",IF(AND(ISNUMBER(I691),I691&gt;0),M691/I691,""),IF(AND(ISNUMBER(H691),H691&gt;0),M691/H691,"")))</f>
        <v/>
      </c>
      <c r="Q691" s="9">
        <f>IF(AND(ISNUMBER(M691),ISNUMBER(O691)),IF(M691&lt;=O691,"Valor ≤ venal IPTU",""),"")</f>
        <v/>
      </c>
      <c r="R691" s="10" t="n"/>
      <c r="S691" s="10" t="n"/>
      <c r="AA691" s="10" t="n"/>
      <c r="AB691" s="11">
        <f>IF(LEN(TRIM(X691))=0,"",HYPERLINK("https://www.google.com/maps/@?api=1&amp;map_action=pano&amp;viewpoint="&amp;SUBSTITUTE(X691," ",""),"Abrir Street View"))</f>
        <v/>
      </c>
    </row>
    <row r="692">
      <c r="H692" s="6" t="n"/>
      <c r="I692" s="6" t="n"/>
      <c r="M692" s="7" t="n"/>
      <c r="N692" s="7" t="n"/>
      <c r="O692" s="7" t="n"/>
      <c r="P692" s="8">
        <f>IF(NOT(ISNUMBER(M692)),"",IF(G692="Terreno",IF(AND(ISNUMBER(I692),I692&gt;0),M692/I692,""),IF(AND(ISNUMBER(H692),H692&gt;0),M692/H692,"")))</f>
        <v/>
      </c>
      <c r="Q692" s="9">
        <f>IF(AND(ISNUMBER(M692),ISNUMBER(O692)),IF(M692&lt;=O692,"Valor ≤ venal IPTU",""),"")</f>
        <v/>
      </c>
      <c r="R692" s="10" t="n"/>
      <c r="S692" s="10" t="n"/>
      <c r="AA692" s="10" t="n"/>
      <c r="AB692" s="11">
        <f>IF(LEN(TRIM(X692))=0,"",HYPERLINK("https://www.google.com/maps/@?api=1&amp;map_action=pano&amp;viewpoint="&amp;SUBSTITUTE(X692," ",""),"Abrir Street View"))</f>
        <v/>
      </c>
    </row>
    <row r="693">
      <c r="H693" s="6" t="n"/>
      <c r="I693" s="6" t="n"/>
      <c r="M693" s="7" t="n"/>
      <c r="N693" s="7" t="n"/>
      <c r="O693" s="7" t="n"/>
      <c r="P693" s="8">
        <f>IF(NOT(ISNUMBER(M693)),"",IF(G693="Terreno",IF(AND(ISNUMBER(I693),I693&gt;0),M693/I693,""),IF(AND(ISNUMBER(H693),H693&gt;0),M693/H693,"")))</f>
        <v/>
      </c>
      <c r="Q693" s="9">
        <f>IF(AND(ISNUMBER(M693),ISNUMBER(O693)),IF(M693&lt;=O693,"Valor ≤ venal IPTU",""),"")</f>
        <v/>
      </c>
      <c r="R693" s="10" t="n"/>
      <c r="S693" s="10" t="n"/>
      <c r="AA693" s="10" t="n"/>
      <c r="AB693" s="11">
        <f>IF(LEN(TRIM(X693))=0,"",HYPERLINK("https://www.google.com/maps/@?api=1&amp;map_action=pano&amp;viewpoint="&amp;SUBSTITUTE(X693," ",""),"Abrir Street View"))</f>
        <v/>
      </c>
    </row>
    <row r="694">
      <c r="H694" s="6" t="n"/>
      <c r="I694" s="6" t="n"/>
      <c r="M694" s="7" t="n"/>
      <c r="N694" s="7" t="n"/>
      <c r="O694" s="7" t="n"/>
      <c r="P694" s="8">
        <f>IF(NOT(ISNUMBER(M694)),"",IF(G694="Terreno",IF(AND(ISNUMBER(I694),I694&gt;0),M694/I694,""),IF(AND(ISNUMBER(H694),H694&gt;0),M694/H694,"")))</f>
        <v/>
      </c>
      <c r="Q694" s="9">
        <f>IF(AND(ISNUMBER(M694),ISNUMBER(O694)),IF(M694&lt;=O694,"Valor ≤ venal IPTU",""),"")</f>
        <v/>
      </c>
      <c r="R694" s="10" t="n"/>
      <c r="S694" s="10" t="n"/>
      <c r="AA694" s="10" t="n"/>
      <c r="AB694" s="11">
        <f>IF(LEN(TRIM(X694))=0,"",HYPERLINK("https://www.google.com/maps/@?api=1&amp;map_action=pano&amp;viewpoint="&amp;SUBSTITUTE(X694," ",""),"Abrir Street View"))</f>
        <v/>
      </c>
    </row>
    <row r="695">
      <c r="H695" s="6" t="n"/>
      <c r="I695" s="6" t="n"/>
      <c r="M695" s="7" t="n"/>
      <c r="N695" s="7" t="n"/>
      <c r="O695" s="7" t="n"/>
      <c r="P695" s="8">
        <f>IF(NOT(ISNUMBER(M695)),"",IF(G695="Terreno",IF(AND(ISNUMBER(I695),I695&gt;0),M695/I695,""),IF(AND(ISNUMBER(H695),H695&gt;0),M695/H695,"")))</f>
        <v/>
      </c>
      <c r="Q695" s="9">
        <f>IF(AND(ISNUMBER(M695),ISNUMBER(O695)),IF(M695&lt;=O695,"Valor ≤ venal IPTU",""),"")</f>
        <v/>
      </c>
      <c r="R695" s="10" t="n"/>
      <c r="S695" s="10" t="n"/>
      <c r="AA695" s="10" t="n"/>
      <c r="AB695" s="11">
        <f>IF(LEN(TRIM(X695))=0,"",HYPERLINK("https://www.google.com/maps/@?api=1&amp;map_action=pano&amp;viewpoint="&amp;SUBSTITUTE(X695," ",""),"Abrir Street View"))</f>
        <v/>
      </c>
    </row>
    <row r="696">
      <c r="H696" s="6" t="n"/>
      <c r="I696" s="6" t="n"/>
      <c r="M696" s="7" t="n"/>
      <c r="N696" s="7" t="n"/>
      <c r="O696" s="7" t="n"/>
      <c r="P696" s="8">
        <f>IF(NOT(ISNUMBER(M696)),"",IF(G696="Terreno",IF(AND(ISNUMBER(I696),I696&gt;0),M696/I696,""),IF(AND(ISNUMBER(H696),H696&gt;0),M696/H696,"")))</f>
        <v/>
      </c>
      <c r="Q696" s="9">
        <f>IF(AND(ISNUMBER(M696),ISNUMBER(O696)),IF(M696&lt;=O696,"Valor ≤ venal IPTU",""),"")</f>
        <v/>
      </c>
      <c r="R696" s="10" t="n"/>
      <c r="S696" s="10" t="n"/>
      <c r="AA696" s="10" t="n"/>
      <c r="AB696" s="11">
        <f>IF(LEN(TRIM(X696))=0,"",HYPERLINK("https://www.google.com/maps/@?api=1&amp;map_action=pano&amp;viewpoint="&amp;SUBSTITUTE(X696," ",""),"Abrir Street View"))</f>
        <v/>
      </c>
    </row>
    <row r="697">
      <c r="H697" s="6" t="n"/>
      <c r="I697" s="6" t="n"/>
      <c r="M697" s="7" t="n"/>
      <c r="N697" s="7" t="n"/>
      <c r="O697" s="7" t="n"/>
      <c r="P697" s="8">
        <f>IF(NOT(ISNUMBER(M697)),"",IF(G697="Terreno",IF(AND(ISNUMBER(I697),I697&gt;0),M697/I697,""),IF(AND(ISNUMBER(H697),H697&gt;0),M697/H697,"")))</f>
        <v/>
      </c>
      <c r="Q697" s="9">
        <f>IF(AND(ISNUMBER(M697),ISNUMBER(O697)),IF(M697&lt;=O697,"Valor ≤ venal IPTU",""),"")</f>
        <v/>
      </c>
      <c r="R697" s="10" t="n"/>
      <c r="S697" s="10" t="n"/>
      <c r="AA697" s="10" t="n"/>
      <c r="AB697" s="11">
        <f>IF(LEN(TRIM(X697))=0,"",HYPERLINK("https://www.google.com/maps/@?api=1&amp;map_action=pano&amp;viewpoint="&amp;SUBSTITUTE(X697," ",""),"Abrir Street View"))</f>
        <v/>
      </c>
    </row>
    <row r="698">
      <c r="H698" s="6" t="n"/>
      <c r="I698" s="6" t="n"/>
      <c r="M698" s="7" t="n"/>
      <c r="N698" s="7" t="n"/>
      <c r="O698" s="7" t="n"/>
      <c r="P698" s="8">
        <f>IF(NOT(ISNUMBER(M698)),"",IF(G698="Terreno",IF(AND(ISNUMBER(I698),I698&gt;0),M698/I698,""),IF(AND(ISNUMBER(H698),H698&gt;0),M698/H698,"")))</f>
        <v/>
      </c>
      <c r="Q698" s="9">
        <f>IF(AND(ISNUMBER(M698),ISNUMBER(O698)),IF(M698&lt;=O698,"Valor ≤ venal IPTU",""),"")</f>
        <v/>
      </c>
      <c r="R698" s="10" t="n"/>
      <c r="S698" s="10" t="n"/>
      <c r="AA698" s="10" t="n"/>
      <c r="AB698" s="11">
        <f>IF(LEN(TRIM(X698))=0,"",HYPERLINK("https://www.google.com/maps/@?api=1&amp;map_action=pano&amp;viewpoint="&amp;SUBSTITUTE(X698," ",""),"Abrir Street View"))</f>
        <v/>
      </c>
    </row>
    <row r="699">
      <c r="H699" s="6" t="n"/>
      <c r="I699" s="6" t="n"/>
      <c r="M699" s="7" t="n"/>
      <c r="N699" s="7" t="n"/>
      <c r="O699" s="7" t="n"/>
      <c r="P699" s="8">
        <f>IF(NOT(ISNUMBER(M699)),"",IF(G699="Terreno",IF(AND(ISNUMBER(I699),I699&gt;0),M699/I699,""),IF(AND(ISNUMBER(H699),H699&gt;0),M699/H699,"")))</f>
        <v/>
      </c>
      <c r="Q699" s="9">
        <f>IF(AND(ISNUMBER(M699),ISNUMBER(O699)),IF(M699&lt;=O699,"Valor ≤ venal IPTU",""),"")</f>
        <v/>
      </c>
      <c r="R699" s="10" t="n"/>
      <c r="S699" s="10" t="n"/>
      <c r="AA699" s="10" t="n"/>
      <c r="AB699" s="11">
        <f>IF(LEN(TRIM(X699))=0,"",HYPERLINK("https://www.google.com/maps/@?api=1&amp;map_action=pano&amp;viewpoint="&amp;SUBSTITUTE(X699," ",""),"Abrir Street View"))</f>
        <v/>
      </c>
    </row>
    <row r="700">
      <c r="H700" s="6" t="n"/>
      <c r="I700" s="6" t="n"/>
      <c r="M700" s="7" t="n"/>
      <c r="N700" s="7" t="n"/>
      <c r="O700" s="7" t="n"/>
      <c r="P700" s="8">
        <f>IF(NOT(ISNUMBER(M700)),"",IF(G700="Terreno",IF(AND(ISNUMBER(I700),I700&gt;0),M700/I700,""),IF(AND(ISNUMBER(H700),H700&gt;0),M700/H700,"")))</f>
        <v/>
      </c>
      <c r="Q700" s="9">
        <f>IF(AND(ISNUMBER(M700),ISNUMBER(O700)),IF(M700&lt;=O700,"Valor ≤ venal IPTU",""),"")</f>
        <v/>
      </c>
      <c r="R700" s="10" t="n"/>
      <c r="S700" s="10" t="n"/>
      <c r="AA700" s="10" t="n"/>
      <c r="AB700" s="11">
        <f>IF(LEN(TRIM(X700))=0,"",HYPERLINK("https://www.google.com/maps/@?api=1&amp;map_action=pano&amp;viewpoint="&amp;SUBSTITUTE(X700," ",""),"Abrir Street View"))</f>
        <v/>
      </c>
    </row>
    <row r="701">
      <c r="H701" s="6" t="n"/>
      <c r="I701" s="6" t="n"/>
      <c r="M701" s="7" t="n"/>
      <c r="N701" s="7" t="n"/>
      <c r="O701" s="7" t="n"/>
      <c r="P701" s="8">
        <f>IF(NOT(ISNUMBER(M701)),"",IF(G701="Terreno",IF(AND(ISNUMBER(I701),I701&gt;0),M701/I701,""),IF(AND(ISNUMBER(H701),H701&gt;0),M701/H701,"")))</f>
        <v/>
      </c>
      <c r="Q701" s="9">
        <f>IF(AND(ISNUMBER(M701),ISNUMBER(O701)),IF(M701&lt;=O701,"Valor ≤ venal IPTU",""),"")</f>
        <v/>
      </c>
      <c r="R701" s="10" t="n"/>
      <c r="S701" s="10" t="n"/>
      <c r="AA701" s="10" t="n"/>
      <c r="AB701" s="11">
        <f>IF(LEN(TRIM(X701))=0,"",HYPERLINK("https://www.google.com/maps/@?api=1&amp;map_action=pano&amp;viewpoint="&amp;SUBSTITUTE(X701," ",""),"Abrir Street View"))</f>
        <v/>
      </c>
    </row>
    <row r="702">
      <c r="H702" s="6" t="n"/>
      <c r="I702" s="6" t="n"/>
      <c r="M702" s="7" t="n"/>
      <c r="N702" s="7" t="n"/>
      <c r="O702" s="7" t="n"/>
      <c r="P702" s="8">
        <f>IF(NOT(ISNUMBER(M702)),"",IF(G702="Terreno",IF(AND(ISNUMBER(I702),I702&gt;0),M702/I702,""),IF(AND(ISNUMBER(H702),H702&gt;0),M702/H702,"")))</f>
        <v/>
      </c>
      <c r="Q702" s="9">
        <f>IF(AND(ISNUMBER(M702),ISNUMBER(O702)),IF(M702&lt;=O702,"Valor ≤ venal IPTU",""),"")</f>
        <v/>
      </c>
      <c r="R702" s="10" t="n"/>
      <c r="S702" s="10" t="n"/>
      <c r="AA702" s="10" t="n"/>
      <c r="AB702" s="11">
        <f>IF(LEN(TRIM(X702))=0,"",HYPERLINK("https://www.google.com/maps/@?api=1&amp;map_action=pano&amp;viewpoint="&amp;SUBSTITUTE(X702," ",""),"Abrir Street View"))</f>
        <v/>
      </c>
    </row>
    <row r="703">
      <c r="H703" s="6" t="n"/>
      <c r="I703" s="6" t="n"/>
      <c r="M703" s="7" t="n"/>
      <c r="N703" s="7" t="n"/>
      <c r="O703" s="7" t="n"/>
      <c r="P703" s="8">
        <f>IF(NOT(ISNUMBER(M703)),"",IF(G703="Terreno",IF(AND(ISNUMBER(I703),I703&gt;0),M703/I703,""),IF(AND(ISNUMBER(H703),H703&gt;0),M703/H703,"")))</f>
        <v/>
      </c>
      <c r="Q703" s="9">
        <f>IF(AND(ISNUMBER(M703),ISNUMBER(O703)),IF(M703&lt;=O703,"Valor ≤ venal IPTU",""),"")</f>
        <v/>
      </c>
      <c r="R703" s="10" t="n"/>
      <c r="S703" s="10" t="n"/>
      <c r="AA703" s="10" t="n"/>
      <c r="AB703" s="11">
        <f>IF(LEN(TRIM(X703))=0,"",HYPERLINK("https://www.google.com/maps/@?api=1&amp;map_action=pano&amp;viewpoint="&amp;SUBSTITUTE(X703," ",""),"Abrir Street View"))</f>
        <v/>
      </c>
    </row>
    <row r="704">
      <c r="H704" s="6" t="n"/>
      <c r="I704" s="6" t="n"/>
      <c r="M704" s="7" t="n"/>
      <c r="N704" s="7" t="n"/>
      <c r="O704" s="7" t="n"/>
      <c r="P704" s="8">
        <f>IF(NOT(ISNUMBER(M704)),"",IF(G704="Terreno",IF(AND(ISNUMBER(I704),I704&gt;0),M704/I704,""),IF(AND(ISNUMBER(H704),H704&gt;0),M704/H704,"")))</f>
        <v/>
      </c>
      <c r="Q704" s="9">
        <f>IF(AND(ISNUMBER(M704),ISNUMBER(O704)),IF(M704&lt;=O704,"Valor ≤ venal IPTU",""),"")</f>
        <v/>
      </c>
      <c r="R704" s="10" t="n"/>
      <c r="S704" s="10" t="n"/>
      <c r="AA704" s="10" t="n"/>
      <c r="AB704" s="11">
        <f>IF(LEN(TRIM(X704))=0,"",HYPERLINK("https://www.google.com/maps/@?api=1&amp;map_action=pano&amp;viewpoint="&amp;SUBSTITUTE(X704," ",""),"Abrir Street View"))</f>
        <v/>
      </c>
    </row>
    <row r="705">
      <c r="H705" s="6" t="n"/>
      <c r="I705" s="6" t="n"/>
      <c r="M705" s="7" t="n"/>
      <c r="N705" s="7" t="n"/>
      <c r="O705" s="7" t="n"/>
      <c r="P705" s="8">
        <f>IF(NOT(ISNUMBER(M705)),"",IF(G705="Terreno",IF(AND(ISNUMBER(I705),I705&gt;0),M705/I705,""),IF(AND(ISNUMBER(H705),H705&gt;0),M705/H705,"")))</f>
        <v/>
      </c>
      <c r="Q705" s="9">
        <f>IF(AND(ISNUMBER(M705),ISNUMBER(O705)),IF(M705&lt;=O705,"Valor ≤ venal IPTU",""),"")</f>
        <v/>
      </c>
      <c r="R705" s="10" t="n"/>
      <c r="S705" s="10" t="n"/>
      <c r="AA705" s="10" t="n"/>
      <c r="AB705" s="11">
        <f>IF(LEN(TRIM(X705))=0,"",HYPERLINK("https://www.google.com/maps/@?api=1&amp;map_action=pano&amp;viewpoint="&amp;SUBSTITUTE(X705," ",""),"Abrir Street View"))</f>
        <v/>
      </c>
    </row>
    <row r="706">
      <c r="H706" s="6" t="n"/>
      <c r="I706" s="6" t="n"/>
      <c r="M706" s="7" t="n"/>
      <c r="N706" s="7" t="n"/>
      <c r="O706" s="7" t="n"/>
      <c r="P706" s="8">
        <f>IF(NOT(ISNUMBER(M706)),"",IF(G706="Terreno",IF(AND(ISNUMBER(I706),I706&gt;0),M706/I706,""),IF(AND(ISNUMBER(H706),H706&gt;0),M706/H706,"")))</f>
        <v/>
      </c>
      <c r="Q706" s="9">
        <f>IF(AND(ISNUMBER(M706),ISNUMBER(O706)),IF(M706&lt;=O706,"Valor ≤ venal IPTU",""),"")</f>
        <v/>
      </c>
      <c r="R706" s="10" t="n"/>
      <c r="S706" s="10" t="n"/>
      <c r="AA706" s="10" t="n"/>
      <c r="AB706" s="11">
        <f>IF(LEN(TRIM(X706))=0,"",HYPERLINK("https://www.google.com/maps/@?api=1&amp;map_action=pano&amp;viewpoint="&amp;SUBSTITUTE(X706," ",""),"Abrir Street View"))</f>
        <v/>
      </c>
    </row>
    <row r="707">
      <c r="H707" s="6" t="n"/>
      <c r="I707" s="6" t="n"/>
      <c r="M707" s="7" t="n"/>
      <c r="N707" s="7" t="n"/>
      <c r="O707" s="7" t="n"/>
      <c r="P707" s="8">
        <f>IF(NOT(ISNUMBER(M707)),"",IF(G707="Terreno",IF(AND(ISNUMBER(I707),I707&gt;0),M707/I707,""),IF(AND(ISNUMBER(H707),H707&gt;0),M707/H707,"")))</f>
        <v/>
      </c>
      <c r="Q707" s="9">
        <f>IF(AND(ISNUMBER(M707),ISNUMBER(O707)),IF(M707&lt;=O707,"Valor ≤ venal IPTU",""),"")</f>
        <v/>
      </c>
      <c r="R707" s="10" t="n"/>
      <c r="S707" s="10" t="n"/>
      <c r="AA707" s="10" t="n"/>
      <c r="AB707" s="11">
        <f>IF(LEN(TRIM(X707))=0,"",HYPERLINK("https://www.google.com/maps/@?api=1&amp;map_action=pano&amp;viewpoint="&amp;SUBSTITUTE(X707," ",""),"Abrir Street View"))</f>
        <v/>
      </c>
    </row>
    <row r="708">
      <c r="H708" s="6" t="n"/>
      <c r="I708" s="6" t="n"/>
      <c r="M708" s="7" t="n"/>
      <c r="N708" s="7" t="n"/>
      <c r="O708" s="7" t="n"/>
      <c r="P708" s="8">
        <f>IF(NOT(ISNUMBER(M708)),"",IF(G708="Terreno",IF(AND(ISNUMBER(I708),I708&gt;0),M708/I708,""),IF(AND(ISNUMBER(H708),H708&gt;0),M708/H708,"")))</f>
        <v/>
      </c>
      <c r="Q708" s="9">
        <f>IF(AND(ISNUMBER(M708),ISNUMBER(O708)),IF(M708&lt;=O708,"Valor ≤ venal IPTU",""),"")</f>
        <v/>
      </c>
      <c r="R708" s="10" t="n"/>
      <c r="S708" s="10" t="n"/>
      <c r="AA708" s="10" t="n"/>
      <c r="AB708" s="11">
        <f>IF(LEN(TRIM(X708))=0,"",HYPERLINK("https://www.google.com/maps/@?api=1&amp;map_action=pano&amp;viewpoint="&amp;SUBSTITUTE(X708," ",""),"Abrir Street View"))</f>
        <v/>
      </c>
    </row>
    <row r="709">
      <c r="H709" s="6" t="n"/>
      <c r="I709" s="6" t="n"/>
      <c r="M709" s="7" t="n"/>
      <c r="N709" s="7" t="n"/>
      <c r="O709" s="7" t="n"/>
      <c r="P709" s="8">
        <f>IF(NOT(ISNUMBER(M709)),"",IF(G709="Terreno",IF(AND(ISNUMBER(I709),I709&gt;0),M709/I709,""),IF(AND(ISNUMBER(H709),H709&gt;0),M709/H709,"")))</f>
        <v/>
      </c>
      <c r="Q709" s="9">
        <f>IF(AND(ISNUMBER(M709),ISNUMBER(O709)),IF(M709&lt;=O709,"Valor ≤ venal IPTU",""),"")</f>
        <v/>
      </c>
      <c r="R709" s="10" t="n"/>
      <c r="S709" s="10" t="n"/>
      <c r="AA709" s="10" t="n"/>
      <c r="AB709" s="11">
        <f>IF(LEN(TRIM(X709))=0,"",HYPERLINK("https://www.google.com/maps/@?api=1&amp;map_action=pano&amp;viewpoint="&amp;SUBSTITUTE(X709," ",""),"Abrir Street View"))</f>
        <v/>
      </c>
    </row>
    <row r="710">
      <c r="H710" s="6" t="n"/>
      <c r="I710" s="6" t="n"/>
      <c r="M710" s="7" t="n"/>
      <c r="N710" s="7" t="n"/>
      <c r="O710" s="7" t="n"/>
      <c r="P710" s="8">
        <f>IF(NOT(ISNUMBER(M710)),"",IF(G710="Terreno",IF(AND(ISNUMBER(I710),I710&gt;0),M710/I710,""),IF(AND(ISNUMBER(H710),H710&gt;0),M710/H710,"")))</f>
        <v/>
      </c>
      <c r="Q710" s="9">
        <f>IF(AND(ISNUMBER(M710),ISNUMBER(O710)),IF(M710&lt;=O710,"Valor ≤ venal IPTU",""),"")</f>
        <v/>
      </c>
      <c r="R710" s="10" t="n"/>
      <c r="S710" s="10" t="n"/>
      <c r="AA710" s="10" t="n"/>
      <c r="AB710" s="11">
        <f>IF(LEN(TRIM(X710))=0,"",HYPERLINK("https://www.google.com/maps/@?api=1&amp;map_action=pano&amp;viewpoint="&amp;SUBSTITUTE(X710," ",""),"Abrir Street View"))</f>
        <v/>
      </c>
    </row>
    <row r="711">
      <c r="H711" s="6" t="n"/>
      <c r="I711" s="6" t="n"/>
      <c r="M711" s="7" t="n"/>
      <c r="N711" s="7" t="n"/>
      <c r="O711" s="7" t="n"/>
      <c r="P711" s="8">
        <f>IF(NOT(ISNUMBER(M711)),"",IF(G711="Terreno",IF(AND(ISNUMBER(I711),I711&gt;0),M711/I711,""),IF(AND(ISNUMBER(H711),H711&gt;0),M711/H711,"")))</f>
        <v/>
      </c>
      <c r="Q711" s="9">
        <f>IF(AND(ISNUMBER(M711),ISNUMBER(O711)),IF(M711&lt;=O711,"Valor ≤ venal IPTU",""),"")</f>
        <v/>
      </c>
      <c r="R711" s="10" t="n"/>
      <c r="S711" s="10" t="n"/>
      <c r="AA711" s="10" t="n"/>
      <c r="AB711" s="11">
        <f>IF(LEN(TRIM(X711))=0,"",HYPERLINK("https://www.google.com/maps/@?api=1&amp;map_action=pano&amp;viewpoint="&amp;SUBSTITUTE(X711," ",""),"Abrir Street View"))</f>
        <v/>
      </c>
    </row>
    <row r="712">
      <c r="H712" s="6" t="n"/>
      <c r="I712" s="6" t="n"/>
      <c r="M712" s="7" t="n"/>
      <c r="N712" s="7" t="n"/>
      <c r="O712" s="7" t="n"/>
      <c r="P712" s="8">
        <f>IF(NOT(ISNUMBER(M712)),"",IF(G712="Terreno",IF(AND(ISNUMBER(I712),I712&gt;0),M712/I712,""),IF(AND(ISNUMBER(H712),H712&gt;0),M712/H712,"")))</f>
        <v/>
      </c>
      <c r="Q712" s="9">
        <f>IF(AND(ISNUMBER(M712),ISNUMBER(O712)),IF(M712&lt;=O712,"Valor ≤ venal IPTU",""),"")</f>
        <v/>
      </c>
      <c r="R712" s="10" t="n"/>
      <c r="S712" s="10" t="n"/>
      <c r="AA712" s="10" t="n"/>
      <c r="AB712" s="11">
        <f>IF(LEN(TRIM(X712))=0,"",HYPERLINK("https://www.google.com/maps/@?api=1&amp;map_action=pano&amp;viewpoint="&amp;SUBSTITUTE(X712," ",""),"Abrir Street View"))</f>
        <v/>
      </c>
    </row>
    <row r="713">
      <c r="H713" s="6" t="n"/>
      <c r="I713" s="6" t="n"/>
      <c r="M713" s="7" t="n"/>
      <c r="N713" s="7" t="n"/>
      <c r="O713" s="7" t="n"/>
      <c r="P713" s="8">
        <f>IF(NOT(ISNUMBER(M713)),"",IF(G713="Terreno",IF(AND(ISNUMBER(I713),I713&gt;0),M713/I713,""),IF(AND(ISNUMBER(H713),H713&gt;0),M713/H713,"")))</f>
        <v/>
      </c>
      <c r="Q713" s="9">
        <f>IF(AND(ISNUMBER(M713),ISNUMBER(O713)),IF(M713&lt;=O713,"Valor ≤ venal IPTU",""),"")</f>
        <v/>
      </c>
      <c r="R713" s="10" t="n"/>
      <c r="S713" s="10" t="n"/>
      <c r="AA713" s="10" t="n"/>
      <c r="AB713" s="11">
        <f>IF(LEN(TRIM(X713))=0,"",HYPERLINK("https://www.google.com/maps/@?api=1&amp;map_action=pano&amp;viewpoint="&amp;SUBSTITUTE(X713," ",""),"Abrir Street View"))</f>
        <v/>
      </c>
    </row>
    <row r="714">
      <c r="H714" s="6" t="n"/>
      <c r="I714" s="6" t="n"/>
      <c r="M714" s="7" t="n"/>
      <c r="N714" s="7" t="n"/>
      <c r="O714" s="7" t="n"/>
      <c r="P714" s="8">
        <f>IF(NOT(ISNUMBER(M714)),"",IF(G714="Terreno",IF(AND(ISNUMBER(I714),I714&gt;0),M714/I714,""),IF(AND(ISNUMBER(H714),H714&gt;0),M714/H714,"")))</f>
        <v/>
      </c>
      <c r="Q714" s="9">
        <f>IF(AND(ISNUMBER(M714),ISNUMBER(O714)),IF(M714&lt;=O714,"Valor ≤ venal IPTU",""),"")</f>
        <v/>
      </c>
      <c r="R714" s="10" t="n"/>
      <c r="S714" s="10" t="n"/>
      <c r="AA714" s="10" t="n"/>
      <c r="AB714" s="11">
        <f>IF(LEN(TRIM(X714))=0,"",HYPERLINK("https://www.google.com/maps/@?api=1&amp;map_action=pano&amp;viewpoint="&amp;SUBSTITUTE(X714," ",""),"Abrir Street View"))</f>
        <v/>
      </c>
    </row>
    <row r="715">
      <c r="H715" s="6" t="n"/>
      <c r="I715" s="6" t="n"/>
      <c r="M715" s="7" t="n"/>
      <c r="N715" s="7" t="n"/>
      <c r="O715" s="7" t="n"/>
      <c r="P715" s="8">
        <f>IF(NOT(ISNUMBER(M715)),"",IF(G715="Terreno",IF(AND(ISNUMBER(I715),I715&gt;0),M715/I715,""),IF(AND(ISNUMBER(H715),H715&gt;0),M715/H715,"")))</f>
        <v/>
      </c>
      <c r="Q715" s="9">
        <f>IF(AND(ISNUMBER(M715),ISNUMBER(O715)),IF(M715&lt;=O715,"Valor ≤ venal IPTU",""),"")</f>
        <v/>
      </c>
      <c r="R715" s="10" t="n"/>
      <c r="S715" s="10" t="n"/>
      <c r="AA715" s="10" t="n"/>
      <c r="AB715" s="11">
        <f>IF(LEN(TRIM(X715))=0,"",HYPERLINK("https://www.google.com/maps/@?api=1&amp;map_action=pano&amp;viewpoint="&amp;SUBSTITUTE(X715," ",""),"Abrir Street View"))</f>
        <v/>
      </c>
    </row>
    <row r="716">
      <c r="H716" s="6" t="n"/>
      <c r="I716" s="6" t="n"/>
      <c r="M716" s="7" t="n"/>
      <c r="N716" s="7" t="n"/>
      <c r="O716" s="7" t="n"/>
      <c r="P716" s="8">
        <f>IF(NOT(ISNUMBER(M716)),"",IF(G716="Terreno",IF(AND(ISNUMBER(I716),I716&gt;0),M716/I716,""),IF(AND(ISNUMBER(H716),H716&gt;0),M716/H716,"")))</f>
        <v/>
      </c>
      <c r="Q716" s="9">
        <f>IF(AND(ISNUMBER(M716),ISNUMBER(O716)),IF(M716&lt;=O716,"Valor ≤ venal IPTU",""),"")</f>
        <v/>
      </c>
      <c r="R716" s="10" t="n"/>
      <c r="S716" s="10" t="n"/>
      <c r="AA716" s="10" t="n"/>
      <c r="AB716" s="11">
        <f>IF(LEN(TRIM(X716))=0,"",HYPERLINK("https://www.google.com/maps/@?api=1&amp;map_action=pano&amp;viewpoint="&amp;SUBSTITUTE(X716," ",""),"Abrir Street View"))</f>
        <v/>
      </c>
    </row>
    <row r="717">
      <c r="H717" s="6" t="n"/>
      <c r="I717" s="6" t="n"/>
      <c r="M717" s="7" t="n"/>
      <c r="N717" s="7" t="n"/>
      <c r="O717" s="7" t="n"/>
      <c r="P717" s="8">
        <f>IF(NOT(ISNUMBER(M717)),"",IF(G717="Terreno",IF(AND(ISNUMBER(I717),I717&gt;0),M717/I717,""),IF(AND(ISNUMBER(H717),H717&gt;0),M717/H717,"")))</f>
        <v/>
      </c>
      <c r="Q717" s="9">
        <f>IF(AND(ISNUMBER(M717),ISNUMBER(O717)),IF(M717&lt;=O717,"Valor ≤ venal IPTU",""),"")</f>
        <v/>
      </c>
      <c r="R717" s="10" t="n"/>
      <c r="S717" s="10" t="n"/>
      <c r="AA717" s="10" t="n"/>
      <c r="AB717" s="11">
        <f>IF(LEN(TRIM(X717))=0,"",HYPERLINK("https://www.google.com/maps/@?api=1&amp;map_action=pano&amp;viewpoint="&amp;SUBSTITUTE(X717," ",""),"Abrir Street View"))</f>
        <v/>
      </c>
    </row>
    <row r="718">
      <c r="H718" s="6" t="n"/>
      <c r="I718" s="6" t="n"/>
      <c r="M718" s="7" t="n"/>
      <c r="N718" s="7" t="n"/>
      <c r="O718" s="7" t="n"/>
      <c r="P718" s="8">
        <f>IF(NOT(ISNUMBER(M718)),"",IF(G718="Terreno",IF(AND(ISNUMBER(I718),I718&gt;0),M718/I718,""),IF(AND(ISNUMBER(H718),H718&gt;0),M718/H718,"")))</f>
        <v/>
      </c>
      <c r="Q718" s="9">
        <f>IF(AND(ISNUMBER(M718),ISNUMBER(O718)),IF(M718&lt;=O718,"Valor ≤ venal IPTU",""),"")</f>
        <v/>
      </c>
      <c r="R718" s="10" t="n"/>
      <c r="S718" s="10" t="n"/>
      <c r="AA718" s="10" t="n"/>
      <c r="AB718" s="11">
        <f>IF(LEN(TRIM(X718))=0,"",HYPERLINK("https://www.google.com/maps/@?api=1&amp;map_action=pano&amp;viewpoint="&amp;SUBSTITUTE(X718," ",""),"Abrir Street View"))</f>
        <v/>
      </c>
    </row>
    <row r="719">
      <c r="H719" s="6" t="n"/>
      <c r="I719" s="6" t="n"/>
      <c r="M719" s="7" t="n"/>
      <c r="N719" s="7" t="n"/>
      <c r="O719" s="7" t="n"/>
      <c r="P719" s="8">
        <f>IF(NOT(ISNUMBER(M719)),"",IF(G719="Terreno",IF(AND(ISNUMBER(I719),I719&gt;0),M719/I719,""),IF(AND(ISNUMBER(H719),H719&gt;0),M719/H719,"")))</f>
        <v/>
      </c>
      <c r="Q719" s="9">
        <f>IF(AND(ISNUMBER(M719),ISNUMBER(O719)),IF(M719&lt;=O719,"Valor ≤ venal IPTU",""),"")</f>
        <v/>
      </c>
      <c r="R719" s="10" t="n"/>
      <c r="S719" s="10" t="n"/>
      <c r="AA719" s="10" t="n"/>
      <c r="AB719" s="11">
        <f>IF(LEN(TRIM(X719))=0,"",HYPERLINK("https://www.google.com/maps/@?api=1&amp;map_action=pano&amp;viewpoint="&amp;SUBSTITUTE(X719," ",""),"Abrir Street View"))</f>
        <v/>
      </c>
    </row>
    <row r="720">
      <c r="H720" s="6" t="n"/>
      <c r="I720" s="6" t="n"/>
      <c r="M720" s="7" t="n"/>
      <c r="N720" s="7" t="n"/>
      <c r="O720" s="7" t="n"/>
      <c r="P720" s="8">
        <f>IF(NOT(ISNUMBER(M720)),"",IF(G720="Terreno",IF(AND(ISNUMBER(I720),I720&gt;0),M720/I720,""),IF(AND(ISNUMBER(H720),H720&gt;0),M720/H720,"")))</f>
        <v/>
      </c>
      <c r="Q720" s="9">
        <f>IF(AND(ISNUMBER(M720),ISNUMBER(O720)),IF(M720&lt;=O720,"Valor ≤ venal IPTU",""),"")</f>
        <v/>
      </c>
      <c r="R720" s="10" t="n"/>
      <c r="S720" s="10" t="n"/>
      <c r="AA720" s="10" t="n"/>
      <c r="AB720" s="11">
        <f>IF(LEN(TRIM(X720))=0,"",HYPERLINK("https://www.google.com/maps/@?api=1&amp;map_action=pano&amp;viewpoint="&amp;SUBSTITUTE(X720," ",""),"Abrir Street View"))</f>
        <v/>
      </c>
    </row>
    <row r="721">
      <c r="H721" s="6" t="n"/>
      <c r="I721" s="6" t="n"/>
      <c r="M721" s="7" t="n"/>
      <c r="N721" s="7" t="n"/>
      <c r="O721" s="7" t="n"/>
      <c r="P721" s="8">
        <f>IF(NOT(ISNUMBER(M721)),"",IF(G721="Terreno",IF(AND(ISNUMBER(I721),I721&gt;0),M721/I721,""),IF(AND(ISNUMBER(H721),H721&gt;0),M721/H721,"")))</f>
        <v/>
      </c>
      <c r="Q721" s="9">
        <f>IF(AND(ISNUMBER(M721),ISNUMBER(O721)),IF(M721&lt;=O721,"Valor ≤ venal IPTU",""),"")</f>
        <v/>
      </c>
      <c r="R721" s="10" t="n"/>
      <c r="S721" s="10" t="n"/>
      <c r="AA721" s="10" t="n"/>
      <c r="AB721" s="11">
        <f>IF(LEN(TRIM(X721))=0,"",HYPERLINK("https://www.google.com/maps/@?api=1&amp;map_action=pano&amp;viewpoint="&amp;SUBSTITUTE(X721," ",""),"Abrir Street View"))</f>
        <v/>
      </c>
    </row>
    <row r="722">
      <c r="H722" s="6" t="n"/>
      <c r="I722" s="6" t="n"/>
      <c r="M722" s="7" t="n"/>
      <c r="N722" s="7" t="n"/>
      <c r="O722" s="7" t="n"/>
      <c r="P722" s="8">
        <f>IF(NOT(ISNUMBER(M722)),"",IF(G722="Terreno",IF(AND(ISNUMBER(I722),I722&gt;0),M722/I722,""),IF(AND(ISNUMBER(H722),H722&gt;0),M722/H722,"")))</f>
        <v/>
      </c>
      <c r="Q722" s="9">
        <f>IF(AND(ISNUMBER(M722),ISNUMBER(O722)),IF(M722&lt;=O722,"Valor ≤ venal IPTU",""),"")</f>
        <v/>
      </c>
      <c r="R722" s="10" t="n"/>
      <c r="S722" s="10" t="n"/>
      <c r="AA722" s="10" t="n"/>
      <c r="AB722" s="11">
        <f>IF(LEN(TRIM(X722))=0,"",HYPERLINK("https://www.google.com/maps/@?api=1&amp;map_action=pano&amp;viewpoint="&amp;SUBSTITUTE(X722," ",""),"Abrir Street View"))</f>
        <v/>
      </c>
    </row>
    <row r="723">
      <c r="H723" s="6" t="n"/>
      <c r="I723" s="6" t="n"/>
      <c r="M723" s="7" t="n"/>
      <c r="N723" s="7" t="n"/>
      <c r="O723" s="7" t="n"/>
      <c r="P723" s="8">
        <f>IF(NOT(ISNUMBER(M723)),"",IF(G723="Terreno",IF(AND(ISNUMBER(I723),I723&gt;0),M723/I723,""),IF(AND(ISNUMBER(H723),H723&gt;0),M723/H723,"")))</f>
        <v/>
      </c>
      <c r="Q723" s="9">
        <f>IF(AND(ISNUMBER(M723),ISNUMBER(O723)),IF(M723&lt;=O723,"Valor ≤ venal IPTU",""),"")</f>
        <v/>
      </c>
      <c r="R723" s="10" t="n"/>
      <c r="S723" s="10" t="n"/>
      <c r="AA723" s="10" t="n"/>
      <c r="AB723" s="11">
        <f>IF(LEN(TRIM(X723))=0,"",HYPERLINK("https://www.google.com/maps/@?api=1&amp;map_action=pano&amp;viewpoint="&amp;SUBSTITUTE(X723," ",""),"Abrir Street View"))</f>
        <v/>
      </c>
    </row>
    <row r="724">
      <c r="H724" s="6" t="n"/>
      <c r="I724" s="6" t="n"/>
      <c r="M724" s="7" t="n"/>
      <c r="N724" s="7" t="n"/>
      <c r="O724" s="7" t="n"/>
      <c r="P724" s="8">
        <f>IF(NOT(ISNUMBER(M724)),"",IF(G724="Terreno",IF(AND(ISNUMBER(I724),I724&gt;0),M724/I724,""),IF(AND(ISNUMBER(H724),H724&gt;0),M724/H724,"")))</f>
        <v/>
      </c>
      <c r="Q724" s="9">
        <f>IF(AND(ISNUMBER(M724),ISNUMBER(O724)),IF(M724&lt;=O724,"Valor ≤ venal IPTU",""),"")</f>
        <v/>
      </c>
      <c r="R724" s="10" t="n"/>
      <c r="S724" s="10" t="n"/>
      <c r="AA724" s="10" t="n"/>
      <c r="AB724" s="11">
        <f>IF(LEN(TRIM(X724))=0,"",HYPERLINK("https://www.google.com/maps/@?api=1&amp;map_action=pano&amp;viewpoint="&amp;SUBSTITUTE(X724," ",""),"Abrir Street View"))</f>
        <v/>
      </c>
    </row>
    <row r="725">
      <c r="H725" s="6" t="n"/>
      <c r="I725" s="6" t="n"/>
      <c r="M725" s="7" t="n"/>
      <c r="N725" s="7" t="n"/>
      <c r="O725" s="7" t="n"/>
      <c r="P725" s="8">
        <f>IF(NOT(ISNUMBER(M725)),"",IF(G725="Terreno",IF(AND(ISNUMBER(I725),I725&gt;0),M725/I725,""),IF(AND(ISNUMBER(H725),H725&gt;0),M725/H725,"")))</f>
        <v/>
      </c>
      <c r="Q725" s="9">
        <f>IF(AND(ISNUMBER(M725),ISNUMBER(O725)),IF(M725&lt;=O725,"Valor ≤ venal IPTU",""),"")</f>
        <v/>
      </c>
      <c r="R725" s="10" t="n"/>
      <c r="S725" s="10" t="n"/>
      <c r="AA725" s="10" t="n"/>
      <c r="AB725" s="11">
        <f>IF(LEN(TRIM(X725))=0,"",HYPERLINK("https://www.google.com/maps/@?api=1&amp;map_action=pano&amp;viewpoint="&amp;SUBSTITUTE(X725," ",""),"Abrir Street View"))</f>
        <v/>
      </c>
    </row>
    <row r="726">
      <c r="H726" s="6" t="n"/>
      <c r="I726" s="6" t="n"/>
      <c r="M726" s="7" t="n"/>
      <c r="N726" s="7" t="n"/>
      <c r="O726" s="7" t="n"/>
      <c r="P726" s="8">
        <f>IF(NOT(ISNUMBER(M726)),"",IF(G726="Terreno",IF(AND(ISNUMBER(I726),I726&gt;0),M726/I726,""),IF(AND(ISNUMBER(H726),H726&gt;0),M726/H726,"")))</f>
        <v/>
      </c>
      <c r="Q726" s="9">
        <f>IF(AND(ISNUMBER(M726),ISNUMBER(O726)),IF(M726&lt;=O726,"Valor ≤ venal IPTU",""),"")</f>
        <v/>
      </c>
      <c r="R726" s="10" t="n"/>
      <c r="S726" s="10" t="n"/>
      <c r="AA726" s="10" t="n"/>
      <c r="AB726" s="11">
        <f>IF(LEN(TRIM(X726))=0,"",HYPERLINK("https://www.google.com/maps/@?api=1&amp;map_action=pano&amp;viewpoint="&amp;SUBSTITUTE(X726," ",""),"Abrir Street View"))</f>
        <v/>
      </c>
    </row>
    <row r="727">
      <c r="H727" s="6" t="n"/>
      <c r="I727" s="6" t="n"/>
      <c r="M727" s="7" t="n"/>
      <c r="N727" s="7" t="n"/>
      <c r="O727" s="7" t="n"/>
      <c r="P727" s="8">
        <f>IF(NOT(ISNUMBER(M727)),"",IF(G727="Terreno",IF(AND(ISNUMBER(I727),I727&gt;0),M727/I727,""),IF(AND(ISNUMBER(H727),H727&gt;0),M727/H727,"")))</f>
        <v/>
      </c>
      <c r="Q727" s="9">
        <f>IF(AND(ISNUMBER(M727),ISNUMBER(O727)),IF(M727&lt;=O727,"Valor ≤ venal IPTU",""),"")</f>
        <v/>
      </c>
      <c r="R727" s="10" t="n"/>
      <c r="S727" s="10" t="n"/>
      <c r="AA727" s="10" t="n"/>
      <c r="AB727" s="11">
        <f>IF(LEN(TRIM(X727))=0,"",HYPERLINK("https://www.google.com/maps/@?api=1&amp;map_action=pano&amp;viewpoint="&amp;SUBSTITUTE(X727," ",""),"Abrir Street View"))</f>
        <v/>
      </c>
    </row>
    <row r="728">
      <c r="H728" s="6" t="n"/>
      <c r="I728" s="6" t="n"/>
      <c r="M728" s="7" t="n"/>
      <c r="N728" s="7" t="n"/>
      <c r="O728" s="7" t="n"/>
      <c r="P728" s="8">
        <f>IF(NOT(ISNUMBER(M728)),"",IF(G728="Terreno",IF(AND(ISNUMBER(I728),I728&gt;0),M728/I728,""),IF(AND(ISNUMBER(H728),H728&gt;0),M728/H728,"")))</f>
        <v/>
      </c>
      <c r="Q728" s="9">
        <f>IF(AND(ISNUMBER(M728),ISNUMBER(O728)),IF(M728&lt;=O728,"Valor ≤ venal IPTU",""),"")</f>
        <v/>
      </c>
      <c r="R728" s="10" t="n"/>
      <c r="S728" s="10" t="n"/>
      <c r="AA728" s="10" t="n"/>
      <c r="AB728" s="11">
        <f>IF(LEN(TRIM(X728))=0,"",HYPERLINK("https://www.google.com/maps/@?api=1&amp;map_action=pano&amp;viewpoint="&amp;SUBSTITUTE(X728," ",""),"Abrir Street View"))</f>
        <v/>
      </c>
    </row>
    <row r="729">
      <c r="H729" s="6" t="n"/>
      <c r="I729" s="6" t="n"/>
      <c r="M729" s="7" t="n"/>
      <c r="N729" s="7" t="n"/>
      <c r="O729" s="7" t="n"/>
      <c r="P729" s="8">
        <f>IF(NOT(ISNUMBER(M729)),"",IF(G729="Terreno",IF(AND(ISNUMBER(I729),I729&gt;0),M729/I729,""),IF(AND(ISNUMBER(H729),H729&gt;0),M729/H729,"")))</f>
        <v/>
      </c>
      <c r="Q729" s="9">
        <f>IF(AND(ISNUMBER(M729),ISNUMBER(O729)),IF(M729&lt;=O729,"Valor ≤ venal IPTU",""),"")</f>
        <v/>
      </c>
      <c r="R729" s="10" t="n"/>
      <c r="S729" s="10" t="n"/>
      <c r="AA729" s="10" t="n"/>
      <c r="AB729" s="11">
        <f>IF(LEN(TRIM(X729))=0,"",HYPERLINK("https://www.google.com/maps/@?api=1&amp;map_action=pano&amp;viewpoint="&amp;SUBSTITUTE(X729," ",""),"Abrir Street View"))</f>
        <v/>
      </c>
    </row>
    <row r="730">
      <c r="H730" s="6" t="n"/>
      <c r="I730" s="6" t="n"/>
      <c r="M730" s="7" t="n"/>
      <c r="N730" s="7" t="n"/>
      <c r="O730" s="7" t="n"/>
      <c r="P730" s="8">
        <f>IF(NOT(ISNUMBER(M730)),"",IF(G730="Terreno",IF(AND(ISNUMBER(I730),I730&gt;0),M730/I730,""),IF(AND(ISNUMBER(H730),H730&gt;0),M730/H730,"")))</f>
        <v/>
      </c>
      <c r="Q730" s="9">
        <f>IF(AND(ISNUMBER(M730),ISNUMBER(O730)),IF(M730&lt;=O730,"Valor ≤ venal IPTU",""),"")</f>
        <v/>
      </c>
      <c r="R730" s="10" t="n"/>
      <c r="S730" s="10" t="n"/>
      <c r="AA730" s="10" t="n"/>
      <c r="AB730" s="11">
        <f>IF(LEN(TRIM(X730))=0,"",HYPERLINK("https://www.google.com/maps/@?api=1&amp;map_action=pano&amp;viewpoint="&amp;SUBSTITUTE(X730," ",""),"Abrir Street View"))</f>
        <v/>
      </c>
    </row>
    <row r="731">
      <c r="H731" s="6" t="n"/>
      <c r="I731" s="6" t="n"/>
      <c r="M731" s="7" t="n"/>
      <c r="N731" s="7" t="n"/>
      <c r="O731" s="7" t="n"/>
      <c r="P731" s="8">
        <f>IF(NOT(ISNUMBER(M731)),"",IF(G731="Terreno",IF(AND(ISNUMBER(I731),I731&gt;0),M731/I731,""),IF(AND(ISNUMBER(H731),H731&gt;0),M731/H731,"")))</f>
        <v/>
      </c>
      <c r="Q731" s="9">
        <f>IF(AND(ISNUMBER(M731),ISNUMBER(O731)),IF(M731&lt;=O731,"Valor ≤ venal IPTU",""),"")</f>
        <v/>
      </c>
      <c r="R731" s="10" t="n"/>
      <c r="S731" s="10" t="n"/>
      <c r="AA731" s="10" t="n"/>
      <c r="AB731" s="11">
        <f>IF(LEN(TRIM(X731))=0,"",HYPERLINK("https://www.google.com/maps/@?api=1&amp;map_action=pano&amp;viewpoint="&amp;SUBSTITUTE(X731," ",""),"Abrir Street View"))</f>
        <v/>
      </c>
    </row>
    <row r="732">
      <c r="H732" s="6" t="n"/>
      <c r="I732" s="6" t="n"/>
      <c r="M732" s="7" t="n"/>
      <c r="N732" s="7" t="n"/>
      <c r="O732" s="7" t="n"/>
      <c r="P732" s="8">
        <f>IF(NOT(ISNUMBER(M732)),"",IF(G732="Terreno",IF(AND(ISNUMBER(I732),I732&gt;0),M732/I732,""),IF(AND(ISNUMBER(H732),H732&gt;0),M732/H732,"")))</f>
        <v/>
      </c>
      <c r="Q732" s="9">
        <f>IF(AND(ISNUMBER(M732),ISNUMBER(O732)),IF(M732&lt;=O732,"Valor ≤ venal IPTU",""),"")</f>
        <v/>
      </c>
      <c r="R732" s="10" t="n"/>
      <c r="S732" s="10" t="n"/>
      <c r="AA732" s="10" t="n"/>
      <c r="AB732" s="11">
        <f>IF(LEN(TRIM(X732))=0,"",HYPERLINK("https://www.google.com/maps/@?api=1&amp;map_action=pano&amp;viewpoint="&amp;SUBSTITUTE(X732," ",""),"Abrir Street View"))</f>
        <v/>
      </c>
    </row>
    <row r="733">
      <c r="H733" s="6" t="n"/>
      <c r="I733" s="6" t="n"/>
      <c r="M733" s="7" t="n"/>
      <c r="N733" s="7" t="n"/>
      <c r="O733" s="7" t="n"/>
      <c r="P733" s="8">
        <f>IF(NOT(ISNUMBER(M733)),"",IF(G733="Terreno",IF(AND(ISNUMBER(I733),I733&gt;0),M733/I733,""),IF(AND(ISNUMBER(H733),H733&gt;0),M733/H733,"")))</f>
        <v/>
      </c>
      <c r="Q733" s="9">
        <f>IF(AND(ISNUMBER(M733),ISNUMBER(O733)),IF(M733&lt;=O733,"Valor ≤ venal IPTU",""),"")</f>
        <v/>
      </c>
      <c r="R733" s="10" t="n"/>
      <c r="S733" s="10" t="n"/>
      <c r="AA733" s="10" t="n"/>
      <c r="AB733" s="11">
        <f>IF(LEN(TRIM(X733))=0,"",HYPERLINK("https://www.google.com/maps/@?api=1&amp;map_action=pano&amp;viewpoint="&amp;SUBSTITUTE(X733," ",""),"Abrir Street View"))</f>
        <v/>
      </c>
    </row>
    <row r="734">
      <c r="H734" s="6" t="n"/>
      <c r="I734" s="6" t="n"/>
      <c r="M734" s="7" t="n"/>
      <c r="N734" s="7" t="n"/>
      <c r="O734" s="7" t="n"/>
      <c r="P734" s="8">
        <f>IF(NOT(ISNUMBER(M734)),"",IF(G734="Terreno",IF(AND(ISNUMBER(I734),I734&gt;0),M734/I734,""),IF(AND(ISNUMBER(H734),H734&gt;0),M734/H734,"")))</f>
        <v/>
      </c>
      <c r="Q734" s="9">
        <f>IF(AND(ISNUMBER(M734),ISNUMBER(O734)),IF(M734&lt;=O734,"Valor ≤ venal IPTU",""),"")</f>
        <v/>
      </c>
      <c r="R734" s="10" t="n"/>
      <c r="S734" s="10" t="n"/>
      <c r="AA734" s="10" t="n"/>
      <c r="AB734" s="11">
        <f>IF(LEN(TRIM(X734))=0,"",HYPERLINK("https://www.google.com/maps/@?api=1&amp;map_action=pano&amp;viewpoint="&amp;SUBSTITUTE(X734," ",""),"Abrir Street View"))</f>
        <v/>
      </c>
    </row>
    <row r="735">
      <c r="H735" s="6" t="n"/>
      <c r="I735" s="6" t="n"/>
      <c r="M735" s="7" t="n"/>
      <c r="N735" s="7" t="n"/>
      <c r="O735" s="7" t="n"/>
      <c r="P735" s="8">
        <f>IF(NOT(ISNUMBER(M735)),"",IF(G735="Terreno",IF(AND(ISNUMBER(I735),I735&gt;0),M735/I735,""),IF(AND(ISNUMBER(H735),H735&gt;0),M735/H735,"")))</f>
        <v/>
      </c>
      <c r="Q735" s="9">
        <f>IF(AND(ISNUMBER(M735),ISNUMBER(O735)),IF(M735&lt;=O735,"Valor ≤ venal IPTU",""),"")</f>
        <v/>
      </c>
      <c r="R735" s="10" t="n"/>
      <c r="S735" s="10" t="n"/>
      <c r="AA735" s="10" t="n"/>
      <c r="AB735" s="11">
        <f>IF(LEN(TRIM(X735))=0,"",HYPERLINK("https://www.google.com/maps/@?api=1&amp;map_action=pano&amp;viewpoint="&amp;SUBSTITUTE(X735," ",""),"Abrir Street View"))</f>
        <v/>
      </c>
    </row>
    <row r="736">
      <c r="H736" s="6" t="n"/>
      <c r="I736" s="6" t="n"/>
      <c r="M736" s="7" t="n"/>
      <c r="N736" s="7" t="n"/>
      <c r="O736" s="7" t="n"/>
      <c r="P736" s="8">
        <f>IF(NOT(ISNUMBER(M736)),"",IF(G736="Terreno",IF(AND(ISNUMBER(I736),I736&gt;0),M736/I736,""),IF(AND(ISNUMBER(H736),H736&gt;0),M736/H736,"")))</f>
        <v/>
      </c>
      <c r="Q736" s="9">
        <f>IF(AND(ISNUMBER(M736),ISNUMBER(O736)),IF(M736&lt;=O736,"Valor ≤ venal IPTU",""),"")</f>
        <v/>
      </c>
      <c r="R736" s="10" t="n"/>
      <c r="S736" s="10" t="n"/>
      <c r="AA736" s="10" t="n"/>
      <c r="AB736" s="11">
        <f>IF(LEN(TRIM(X736))=0,"",HYPERLINK("https://www.google.com/maps/@?api=1&amp;map_action=pano&amp;viewpoint="&amp;SUBSTITUTE(X736," ",""),"Abrir Street View"))</f>
        <v/>
      </c>
    </row>
    <row r="737">
      <c r="H737" s="6" t="n"/>
      <c r="I737" s="6" t="n"/>
      <c r="M737" s="7" t="n"/>
      <c r="N737" s="7" t="n"/>
      <c r="O737" s="7" t="n"/>
      <c r="P737" s="8">
        <f>IF(NOT(ISNUMBER(M737)),"",IF(G737="Terreno",IF(AND(ISNUMBER(I737),I737&gt;0),M737/I737,""),IF(AND(ISNUMBER(H737),H737&gt;0),M737/H737,"")))</f>
        <v/>
      </c>
      <c r="Q737" s="9">
        <f>IF(AND(ISNUMBER(M737),ISNUMBER(O737)),IF(M737&lt;=O737,"Valor ≤ venal IPTU",""),"")</f>
        <v/>
      </c>
      <c r="R737" s="10" t="n"/>
      <c r="S737" s="10" t="n"/>
      <c r="AA737" s="10" t="n"/>
      <c r="AB737" s="11">
        <f>IF(LEN(TRIM(X737))=0,"",HYPERLINK("https://www.google.com/maps/@?api=1&amp;map_action=pano&amp;viewpoint="&amp;SUBSTITUTE(X737," ",""),"Abrir Street View"))</f>
        <v/>
      </c>
    </row>
    <row r="738">
      <c r="H738" s="6" t="n"/>
      <c r="I738" s="6" t="n"/>
      <c r="M738" s="7" t="n"/>
      <c r="N738" s="7" t="n"/>
      <c r="O738" s="7" t="n"/>
      <c r="P738" s="8">
        <f>IF(NOT(ISNUMBER(M738)),"",IF(G738="Terreno",IF(AND(ISNUMBER(I738),I738&gt;0),M738/I738,""),IF(AND(ISNUMBER(H738),H738&gt;0),M738/H738,"")))</f>
        <v/>
      </c>
      <c r="Q738" s="9">
        <f>IF(AND(ISNUMBER(M738),ISNUMBER(O738)),IF(M738&lt;=O738,"Valor ≤ venal IPTU",""),"")</f>
        <v/>
      </c>
      <c r="R738" s="10" t="n"/>
      <c r="S738" s="10" t="n"/>
      <c r="AA738" s="10" t="n"/>
      <c r="AB738" s="11">
        <f>IF(LEN(TRIM(X738))=0,"",HYPERLINK("https://www.google.com/maps/@?api=1&amp;map_action=pano&amp;viewpoint="&amp;SUBSTITUTE(X738," ",""),"Abrir Street View"))</f>
        <v/>
      </c>
    </row>
    <row r="739">
      <c r="H739" s="6" t="n"/>
      <c r="I739" s="6" t="n"/>
      <c r="M739" s="7" t="n"/>
      <c r="N739" s="7" t="n"/>
      <c r="O739" s="7" t="n"/>
      <c r="P739" s="8">
        <f>IF(NOT(ISNUMBER(M739)),"",IF(G739="Terreno",IF(AND(ISNUMBER(I739),I739&gt;0),M739/I739,""),IF(AND(ISNUMBER(H739),H739&gt;0),M739/H739,"")))</f>
        <v/>
      </c>
      <c r="Q739" s="9">
        <f>IF(AND(ISNUMBER(M739),ISNUMBER(O739)),IF(M739&lt;=O739,"Valor ≤ venal IPTU",""),"")</f>
        <v/>
      </c>
      <c r="R739" s="10" t="n"/>
      <c r="S739" s="10" t="n"/>
      <c r="AA739" s="10" t="n"/>
      <c r="AB739" s="11">
        <f>IF(LEN(TRIM(X739))=0,"",HYPERLINK("https://www.google.com/maps/@?api=1&amp;map_action=pano&amp;viewpoint="&amp;SUBSTITUTE(X739," ",""),"Abrir Street View"))</f>
        <v/>
      </c>
    </row>
    <row r="740">
      <c r="H740" s="6" t="n"/>
      <c r="I740" s="6" t="n"/>
      <c r="M740" s="7" t="n"/>
      <c r="N740" s="7" t="n"/>
      <c r="O740" s="7" t="n"/>
      <c r="P740" s="8">
        <f>IF(NOT(ISNUMBER(M740)),"",IF(G740="Terreno",IF(AND(ISNUMBER(I740),I740&gt;0),M740/I740,""),IF(AND(ISNUMBER(H740),H740&gt;0),M740/H740,"")))</f>
        <v/>
      </c>
      <c r="Q740" s="9">
        <f>IF(AND(ISNUMBER(M740),ISNUMBER(O740)),IF(M740&lt;=O740,"Valor ≤ venal IPTU",""),"")</f>
        <v/>
      </c>
      <c r="R740" s="10" t="n"/>
      <c r="S740" s="10" t="n"/>
      <c r="AA740" s="10" t="n"/>
      <c r="AB740" s="11">
        <f>IF(LEN(TRIM(X740))=0,"",HYPERLINK("https://www.google.com/maps/@?api=1&amp;map_action=pano&amp;viewpoint="&amp;SUBSTITUTE(X740," ",""),"Abrir Street View"))</f>
        <v/>
      </c>
    </row>
    <row r="741">
      <c r="H741" s="6" t="n"/>
      <c r="I741" s="6" t="n"/>
      <c r="M741" s="7" t="n"/>
      <c r="N741" s="7" t="n"/>
      <c r="O741" s="7" t="n"/>
      <c r="P741" s="8">
        <f>IF(NOT(ISNUMBER(M741)),"",IF(G741="Terreno",IF(AND(ISNUMBER(I741),I741&gt;0),M741/I741,""),IF(AND(ISNUMBER(H741),H741&gt;0),M741/H741,"")))</f>
        <v/>
      </c>
      <c r="Q741" s="9">
        <f>IF(AND(ISNUMBER(M741),ISNUMBER(O741)),IF(M741&lt;=O741,"Valor ≤ venal IPTU",""),"")</f>
        <v/>
      </c>
      <c r="R741" s="10" t="n"/>
      <c r="S741" s="10" t="n"/>
      <c r="AA741" s="10" t="n"/>
      <c r="AB741" s="11">
        <f>IF(LEN(TRIM(X741))=0,"",HYPERLINK("https://www.google.com/maps/@?api=1&amp;map_action=pano&amp;viewpoint="&amp;SUBSTITUTE(X741," ",""),"Abrir Street View"))</f>
        <v/>
      </c>
    </row>
    <row r="742">
      <c r="H742" s="6" t="n"/>
      <c r="I742" s="6" t="n"/>
      <c r="M742" s="7" t="n"/>
      <c r="N742" s="7" t="n"/>
      <c r="O742" s="7" t="n"/>
      <c r="P742" s="8">
        <f>IF(NOT(ISNUMBER(M742)),"",IF(G742="Terreno",IF(AND(ISNUMBER(I742),I742&gt;0),M742/I742,""),IF(AND(ISNUMBER(H742),H742&gt;0),M742/H742,"")))</f>
        <v/>
      </c>
      <c r="Q742" s="9">
        <f>IF(AND(ISNUMBER(M742),ISNUMBER(O742)),IF(M742&lt;=O742,"Valor ≤ venal IPTU",""),"")</f>
        <v/>
      </c>
      <c r="R742" s="10" t="n"/>
      <c r="S742" s="10" t="n"/>
      <c r="AA742" s="10" t="n"/>
      <c r="AB742" s="11">
        <f>IF(LEN(TRIM(X742))=0,"",HYPERLINK("https://www.google.com/maps/@?api=1&amp;map_action=pano&amp;viewpoint="&amp;SUBSTITUTE(X742," ",""),"Abrir Street View"))</f>
        <v/>
      </c>
    </row>
    <row r="743">
      <c r="H743" s="6" t="n"/>
      <c r="I743" s="6" t="n"/>
      <c r="M743" s="7" t="n"/>
      <c r="N743" s="7" t="n"/>
      <c r="O743" s="7" t="n"/>
      <c r="P743" s="8">
        <f>IF(NOT(ISNUMBER(M743)),"",IF(G743="Terreno",IF(AND(ISNUMBER(I743),I743&gt;0),M743/I743,""),IF(AND(ISNUMBER(H743),H743&gt;0),M743/H743,"")))</f>
        <v/>
      </c>
      <c r="Q743" s="9">
        <f>IF(AND(ISNUMBER(M743),ISNUMBER(O743)),IF(M743&lt;=O743,"Valor ≤ venal IPTU",""),"")</f>
        <v/>
      </c>
      <c r="R743" s="10" t="n"/>
      <c r="S743" s="10" t="n"/>
      <c r="AA743" s="10" t="n"/>
      <c r="AB743" s="11">
        <f>IF(LEN(TRIM(X743))=0,"",HYPERLINK("https://www.google.com/maps/@?api=1&amp;map_action=pano&amp;viewpoint="&amp;SUBSTITUTE(X743," ",""),"Abrir Street View"))</f>
        <v/>
      </c>
    </row>
    <row r="744">
      <c r="H744" s="6" t="n"/>
      <c r="I744" s="6" t="n"/>
      <c r="M744" s="7" t="n"/>
      <c r="N744" s="7" t="n"/>
      <c r="O744" s="7" t="n"/>
      <c r="P744" s="8">
        <f>IF(NOT(ISNUMBER(M744)),"",IF(G744="Terreno",IF(AND(ISNUMBER(I744),I744&gt;0),M744/I744,""),IF(AND(ISNUMBER(H744),H744&gt;0),M744/H744,"")))</f>
        <v/>
      </c>
      <c r="Q744" s="9">
        <f>IF(AND(ISNUMBER(M744),ISNUMBER(O744)),IF(M744&lt;=O744,"Valor ≤ venal IPTU",""),"")</f>
        <v/>
      </c>
      <c r="R744" s="10" t="n"/>
      <c r="S744" s="10" t="n"/>
      <c r="AA744" s="10" t="n"/>
      <c r="AB744" s="11">
        <f>IF(LEN(TRIM(X744))=0,"",HYPERLINK("https://www.google.com/maps/@?api=1&amp;map_action=pano&amp;viewpoint="&amp;SUBSTITUTE(X744," ",""),"Abrir Street View"))</f>
        <v/>
      </c>
    </row>
    <row r="745">
      <c r="H745" s="6" t="n"/>
      <c r="I745" s="6" t="n"/>
      <c r="M745" s="7" t="n"/>
      <c r="N745" s="7" t="n"/>
      <c r="O745" s="7" t="n"/>
      <c r="P745" s="8">
        <f>IF(NOT(ISNUMBER(M745)),"",IF(G745="Terreno",IF(AND(ISNUMBER(I745),I745&gt;0),M745/I745,""),IF(AND(ISNUMBER(H745),H745&gt;0),M745/H745,"")))</f>
        <v/>
      </c>
      <c r="Q745" s="9">
        <f>IF(AND(ISNUMBER(M745),ISNUMBER(O745)),IF(M745&lt;=O745,"Valor ≤ venal IPTU",""),"")</f>
        <v/>
      </c>
      <c r="R745" s="10" t="n"/>
      <c r="S745" s="10" t="n"/>
      <c r="AA745" s="10" t="n"/>
      <c r="AB745" s="11">
        <f>IF(LEN(TRIM(X745))=0,"",HYPERLINK("https://www.google.com/maps/@?api=1&amp;map_action=pano&amp;viewpoint="&amp;SUBSTITUTE(X745," ",""),"Abrir Street View"))</f>
        <v/>
      </c>
    </row>
    <row r="746">
      <c r="H746" s="6" t="n"/>
      <c r="I746" s="6" t="n"/>
      <c r="M746" s="7" t="n"/>
      <c r="N746" s="7" t="n"/>
      <c r="O746" s="7" t="n"/>
      <c r="P746" s="8">
        <f>IF(NOT(ISNUMBER(M746)),"",IF(G746="Terreno",IF(AND(ISNUMBER(I746),I746&gt;0),M746/I746,""),IF(AND(ISNUMBER(H746),H746&gt;0),M746/H746,"")))</f>
        <v/>
      </c>
      <c r="Q746" s="9">
        <f>IF(AND(ISNUMBER(M746),ISNUMBER(O746)),IF(M746&lt;=O746,"Valor ≤ venal IPTU",""),"")</f>
        <v/>
      </c>
      <c r="R746" s="10" t="n"/>
      <c r="S746" s="10" t="n"/>
      <c r="AA746" s="10" t="n"/>
      <c r="AB746" s="11">
        <f>IF(LEN(TRIM(X746))=0,"",HYPERLINK("https://www.google.com/maps/@?api=1&amp;map_action=pano&amp;viewpoint="&amp;SUBSTITUTE(X746," ",""),"Abrir Street View"))</f>
        <v/>
      </c>
    </row>
    <row r="747">
      <c r="H747" s="6" t="n"/>
      <c r="I747" s="6" t="n"/>
      <c r="M747" s="7" t="n"/>
      <c r="N747" s="7" t="n"/>
      <c r="O747" s="7" t="n"/>
      <c r="P747" s="8">
        <f>IF(NOT(ISNUMBER(M747)),"",IF(G747="Terreno",IF(AND(ISNUMBER(I747),I747&gt;0),M747/I747,""),IF(AND(ISNUMBER(H747),H747&gt;0),M747/H747,"")))</f>
        <v/>
      </c>
      <c r="Q747" s="9">
        <f>IF(AND(ISNUMBER(M747),ISNUMBER(O747)),IF(M747&lt;=O747,"Valor ≤ venal IPTU",""),"")</f>
        <v/>
      </c>
      <c r="R747" s="10" t="n"/>
      <c r="S747" s="10" t="n"/>
      <c r="AA747" s="10" t="n"/>
      <c r="AB747" s="11">
        <f>IF(LEN(TRIM(X747))=0,"",HYPERLINK("https://www.google.com/maps/@?api=1&amp;map_action=pano&amp;viewpoint="&amp;SUBSTITUTE(X747," ",""),"Abrir Street View"))</f>
        <v/>
      </c>
    </row>
    <row r="748">
      <c r="H748" s="6" t="n"/>
      <c r="I748" s="6" t="n"/>
      <c r="M748" s="7" t="n"/>
      <c r="N748" s="7" t="n"/>
      <c r="O748" s="7" t="n"/>
      <c r="P748" s="8">
        <f>IF(NOT(ISNUMBER(M748)),"",IF(G748="Terreno",IF(AND(ISNUMBER(I748),I748&gt;0),M748/I748,""),IF(AND(ISNUMBER(H748),H748&gt;0),M748/H748,"")))</f>
        <v/>
      </c>
      <c r="Q748" s="9">
        <f>IF(AND(ISNUMBER(M748),ISNUMBER(O748)),IF(M748&lt;=O748,"Valor ≤ venal IPTU",""),"")</f>
        <v/>
      </c>
      <c r="R748" s="10" t="n"/>
      <c r="S748" s="10" t="n"/>
      <c r="AA748" s="10" t="n"/>
      <c r="AB748" s="11">
        <f>IF(LEN(TRIM(X748))=0,"",HYPERLINK("https://www.google.com/maps/@?api=1&amp;map_action=pano&amp;viewpoint="&amp;SUBSTITUTE(X748," ",""),"Abrir Street View"))</f>
        <v/>
      </c>
    </row>
    <row r="749">
      <c r="H749" s="6" t="n"/>
      <c r="I749" s="6" t="n"/>
      <c r="M749" s="7" t="n"/>
      <c r="N749" s="7" t="n"/>
      <c r="O749" s="7" t="n"/>
      <c r="P749" s="8">
        <f>IF(NOT(ISNUMBER(M749)),"",IF(G749="Terreno",IF(AND(ISNUMBER(I749),I749&gt;0),M749/I749,""),IF(AND(ISNUMBER(H749),H749&gt;0),M749/H749,"")))</f>
        <v/>
      </c>
      <c r="Q749" s="9">
        <f>IF(AND(ISNUMBER(M749),ISNUMBER(O749)),IF(M749&lt;=O749,"Valor ≤ venal IPTU",""),"")</f>
        <v/>
      </c>
      <c r="R749" s="10" t="n"/>
      <c r="S749" s="10" t="n"/>
      <c r="AA749" s="10" t="n"/>
      <c r="AB749" s="11">
        <f>IF(LEN(TRIM(X749))=0,"",HYPERLINK("https://www.google.com/maps/@?api=1&amp;map_action=pano&amp;viewpoint="&amp;SUBSTITUTE(X749," ",""),"Abrir Street View"))</f>
        <v/>
      </c>
    </row>
    <row r="750">
      <c r="H750" s="6" t="n"/>
      <c r="I750" s="6" t="n"/>
      <c r="M750" s="7" t="n"/>
      <c r="N750" s="7" t="n"/>
      <c r="O750" s="7" t="n"/>
      <c r="P750" s="8">
        <f>IF(NOT(ISNUMBER(M750)),"",IF(G750="Terreno",IF(AND(ISNUMBER(I750),I750&gt;0),M750/I750,""),IF(AND(ISNUMBER(H750),H750&gt;0),M750/H750,"")))</f>
        <v/>
      </c>
      <c r="Q750" s="9">
        <f>IF(AND(ISNUMBER(M750),ISNUMBER(O750)),IF(M750&lt;=O750,"Valor ≤ venal IPTU",""),"")</f>
        <v/>
      </c>
      <c r="R750" s="10" t="n"/>
      <c r="S750" s="10" t="n"/>
      <c r="AA750" s="10" t="n"/>
      <c r="AB750" s="11">
        <f>IF(LEN(TRIM(X750))=0,"",HYPERLINK("https://www.google.com/maps/@?api=1&amp;map_action=pano&amp;viewpoint="&amp;SUBSTITUTE(X750," ",""),"Abrir Street View"))</f>
        <v/>
      </c>
    </row>
    <row r="751">
      <c r="H751" s="6" t="n"/>
      <c r="I751" s="6" t="n"/>
      <c r="M751" s="7" t="n"/>
      <c r="N751" s="7" t="n"/>
      <c r="O751" s="7" t="n"/>
      <c r="P751" s="8">
        <f>IF(NOT(ISNUMBER(M751)),"",IF(G751="Terreno",IF(AND(ISNUMBER(I751),I751&gt;0),M751/I751,""),IF(AND(ISNUMBER(H751),H751&gt;0),M751/H751,"")))</f>
        <v/>
      </c>
      <c r="Q751" s="9">
        <f>IF(AND(ISNUMBER(M751),ISNUMBER(O751)),IF(M751&lt;=O751,"Valor ≤ venal IPTU",""),"")</f>
        <v/>
      </c>
      <c r="R751" s="10" t="n"/>
      <c r="S751" s="10" t="n"/>
      <c r="AA751" s="10" t="n"/>
      <c r="AB751" s="11">
        <f>IF(LEN(TRIM(X751))=0,"",HYPERLINK("https://www.google.com/maps/@?api=1&amp;map_action=pano&amp;viewpoint="&amp;SUBSTITUTE(X751," ",""),"Abrir Street View"))</f>
        <v/>
      </c>
    </row>
    <row r="752">
      <c r="H752" s="6" t="n"/>
      <c r="I752" s="6" t="n"/>
      <c r="M752" s="7" t="n"/>
      <c r="N752" s="7" t="n"/>
      <c r="O752" s="7" t="n"/>
      <c r="P752" s="8">
        <f>IF(NOT(ISNUMBER(M752)),"",IF(G752="Terreno",IF(AND(ISNUMBER(I752),I752&gt;0),M752/I752,""),IF(AND(ISNUMBER(H752),H752&gt;0),M752/H752,"")))</f>
        <v/>
      </c>
      <c r="Q752" s="9">
        <f>IF(AND(ISNUMBER(M752),ISNUMBER(O752)),IF(M752&lt;=O752,"Valor ≤ venal IPTU",""),"")</f>
        <v/>
      </c>
      <c r="R752" s="10" t="n"/>
      <c r="S752" s="10" t="n"/>
      <c r="AA752" s="10" t="n"/>
      <c r="AB752" s="11">
        <f>IF(LEN(TRIM(X752))=0,"",HYPERLINK("https://www.google.com/maps/@?api=1&amp;map_action=pano&amp;viewpoint="&amp;SUBSTITUTE(X752," ",""),"Abrir Street View"))</f>
        <v/>
      </c>
    </row>
    <row r="753">
      <c r="H753" s="6" t="n"/>
      <c r="I753" s="6" t="n"/>
      <c r="M753" s="7" t="n"/>
      <c r="N753" s="7" t="n"/>
      <c r="O753" s="7" t="n"/>
      <c r="P753" s="8">
        <f>IF(NOT(ISNUMBER(M753)),"",IF(G753="Terreno",IF(AND(ISNUMBER(I753),I753&gt;0),M753/I753,""),IF(AND(ISNUMBER(H753),H753&gt;0),M753/H753,"")))</f>
        <v/>
      </c>
      <c r="Q753" s="9">
        <f>IF(AND(ISNUMBER(M753),ISNUMBER(O753)),IF(M753&lt;=O753,"Valor ≤ venal IPTU",""),"")</f>
        <v/>
      </c>
      <c r="R753" s="10" t="n"/>
      <c r="S753" s="10" t="n"/>
      <c r="AA753" s="10" t="n"/>
      <c r="AB753" s="11">
        <f>IF(LEN(TRIM(X753))=0,"",HYPERLINK("https://www.google.com/maps/@?api=1&amp;map_action=pano&amp;viewpoint="&amp;SUBSTITUTE(X753," ",""),"Abrir Street View"))</f>
        <v/>
      </c>
    </row>
    <row r="754">
      <c r="H754" s="6" t="n"/>
      <c r="I754" s="6" t="n"/>
      <c r="M754" s="7" t="n"/>
      <c r="N754" s="7" t="n"/>
      <c r="O754" s="7" t="n"/>
      <c r="P754" s="8">
        <f>IF(NOT(ISNUMBER(M754)),"",IF(G754="Terreno",IF(AND(ISNUMBER(I754),I754&gt;0),M754/I754,""),IF(AND(ISNUMBER(H754),H754&gt;0),M754/H754,"")))</f>
        <v/>
      </c>
      <c r="Q754" s="9">
        <f>IF(AND(ISNUMBER(M754),ISNUMBER(O754)),IF(M754&lt;=O754,"Valor ≤ venal IPTU",""),"")</f>
        <v/>
      </c>
      <c r="R754" s="10" t="n"/>
      <c r="S754" s="10" t="n"/>
      <c r="AA754" s="10" t="n"/>
      <c r="AB754" s="11">
        <f>IF(LEN(TRIM(X754))=0,"",HYPERLINK("https://www.google.com/maps/@?api=1&amp;map_action=pano&amp;viewpoint="&amp;SUBSTITUTE(X754," ",""),"Abrir Street View"))</f>
        <v/>
      </c>
    </row>
    <row r="755">
      <c r="H755" s="6" t="n"/>
      <c r="I755" s="6" t="n"/>
      <c r="M755" s="7" t="n"/>
      <c r="N755" s="7" t="n"/>
      <c r="O755" s="7" t="n"/>
      <c r="P755" s="8">
        <f>IF(NOT(ISNUMBER(M755)),"",IF(G755="Terreno",IF(AND(ISNUMBER(I755),I755&gt;0),M755/I755,""),IF(AND(ISNUMBER(H755),H755&gt;0),M755/H755,"")))</f>
        <v/>
      </c>
      <c r="Q755" s="9">
        <f>IF(AND(ISNUMBER(M755),ISNUMBER(O755)),IF(M755&lt;=O755,"Valor ≤ venal IPTU",""),"")</f>
        <v/>
      </c>
      <c r="R755" s="10" t="n"/>
      <c r="S755" s="10" t="n"/>
      <c r="AA755" s="10" t="n"/>
      <c r="AB755" s="11">
        <f>IF(LEN(TRIM(X755))=0,"",HYPERLINK("https://www.google.com/maps/@?api=1&amp;map_action=pano&amp;viewpoint="&amp;SUBSTITUTE(X755," ",""),"Abrir Street View"))</f>
        <v/>
      </c>
    </row>
    <row r="756">
      <c r="H756" s="6" t="n"/>
      <c r="I756" s="6" t="n"/>
      <c r="M756" s="7" t="n"/>
      <c r="N756" s="7" t="n"/>
      <c r="O756" s="7" t="n"/>
      <c r="P756" s="8">
        <f>IF(NOT(ISNUMBER(M756)),"",IF(G756="Terreno",IF(AND(ISNUMBER(I756),I756&gt;0),M756/I756,""),IF(AND(ISNUMBER(H756),H756&gt;0),M756/H756,"")))</f>
        <v/>
      </c>
      <c r="Q756" s="9">
        <f>IF(AND(ISNUMBER(M756),ISNUMBER(O756)),IF(M756&lt;=O756,"Valor ≤ venal IPTU",""),"")</f>
        <v/>
      </c>
      <c r="R756" s="10" t="n"/>
      <c r="S756" s="10" t="n"/>
      <c r="AA756" s="10" t="n"/>
      <c r="AB756" s="11">
        <f>IF(LEN(TRIM(X756))=0,"",HYPERLINK("https://www.google.com/maps/@?api=1&amp;map_action=pano&amp;viewpoint="&amp;SUBSTITUTE(X756," ",""),"Abrir Street View"))</f>
        <v/>
      </c>
    </row>
    <row r="757">
      <c r="H757" s="6" t="n"/>
      <c r="I757" s="6" t="n"/>
      <c r="M757" s="7" t="n"/>
      <c r="N757" s="7" t="n"/>
      <c r="O757" s="7" t="n"/>
      <c r="P757" s="8">
        <f>IF(NOT(ISNUMBER(M757)),"",IF(G757="Terreno",IF(AND(ISNUMBER(I757),I757&gt;0),M757/I757,""),IF(AND(ISNUMBER(H757),H757&gt;0),M757/H757,"")))</f>
        <v/>
      </c>
      <c r="Q757" s="9">
        <f>IF(AND(ISNUMBER(M757),ISNUMBER(O757)),IF(M757&lt;=O757,"Valor ≤ venal IPTU",""),"")</f>
        <v/>
      </c>
      <c r="R757" s="10" t="n"/>
      <c r="S757" s="10" t="n"/>
      <c r="AA757" s="10" t="n"/>
      <c r="AB757" s="11">
        <f>IF(LEN(TRIM(X757))=0,"",HYPERLINK("https://www.google.com/maps/@?api=1&amp;map_action=pano&amp;viewpoint="&amp;SUBSTITUTE(X757," ",""),"Abrir Street View"))</f>
        <v/>
      </c>
    </row>
    <row r="758">
      <c r="H758" s="6" t="n"/>
      <c r="I758" s="6" t="n"/>
      <c r="M758" s="7" t="n"/>
      <c r="N758" s="7" t="n"/>
      <c r="O758" s="7" t="n"/>
      <c r="P758" s="8">
        <f>IF(NOT(ISNUMBER(M758)),"",IF(G758="Terreno",IF(AND(ISNUMBER(I758),I758&gt;0),M758/I758,""),IF(AND(ISNUMBER(H758),H758&gt;0),M758/H758,"")))</f>
        <v/>
      </c>
      <c r="Q758" s="9">
        <f>IF(AND(ISNUMBER(M758),ISNUMBER(O758)),IF(M758&lt;=O758,"Valor ≤ venal IPTU",""),"")</f>
        <v/>
      </c>
      <c r="R758" s="10" t="n"/>
      <c r="S758" s="10" t="n"/>
      <c r="AA758" s="10" t="n"/>
      <c r="AB758" s="11">
        <f>IF(LEN(TRIM(X758))=0,"",HYPERLINK("https://www.google.com/maps/@?api=1&amp;map_action=pano&amp;viewpoint="&amp;SUBSTITUTE(X758," ",""),"Abrir Street View"))</f>
        <v/>
      </c>
    </row>
    <row r="759">
      <c r="H759" s="6" t="n"/>
      <c r="I759" s="6" t="n"/>
      <c r="M759" s="7" t="n"/>
      <c r="N759" s="7" t="n"/>
      <c r="O759" s="7" t="n"/>
      <c r="P759" s="8">
        <f>IF(NOT(ISNUMBER(M759)),"",IF(G759="Terreno",IF(AND(ISNUMBER(I759),I759&gt;0),M759/I759,""),IF(AND(ISNUMBER(H759),H759&gt;0),M759/H759,"")))</f>
        <v/>
      </c>
      <c r="Q759" s="9">
        <f>IF(AND(ISNUMBER(M759),ISNUMBER(O759)),IF(M759&lt;=O759,"Valor ≤ venal IPTU",""),"")</f>
        <v/>
      </c>
      <c r="R759" s="10" t="n"/>
      <c r="S759" s="10" t="n"/>
      <c r="AA759" s="10" t="n"/>
      <c r="AB759" s="11">
        <f>IF(LEN(TRIM(X759))=0,"",HYPERLINK("https://www.google.com/maps/@?api=1&amp;map_action=pano&amp;viewpoint="&amp;SUBSTITUTE(X759," ",""),"Abrir Street View"))</f>
        <v/>
      </c>
    </row>
    <row r="760">
      <c r="H760" s="6" t="n"/>
      <c r="I760" s="6" t="n"/>
      <c r="M760" s="7" t="n"/>
      <c r="N760" s="7" t="n"/>
      <c r="O760" s="7" t="n"/>
      <c r="P760" s="8">
        <f>IF(NOT(ISNUMBER(M760)),"",IF(G760="Terreno",IF(AND(ISNUMBER(I760),I760&gt;0),M760/I760,""),IF(AND(ISNUMBER(H760),H760&gt;0),M760/H760,"")))</f>
        <v/>
      </c>
      <c r="Q760" s="9">
        <f>IF(AND(ISNUMBER(M760),ISNUMBER(O760)),IF(M760&lt;=O760,"Valor ≤ venal IPTU",""),"")</f>
        <v/>
      </c>
      <c r="R760" s="10" t="n"/>
      <c r="S760" s="10" t="n"/>
      <c r="AA760" s="10" t="n"/>
      <c r="AB760" s="11">
        <f>IF(LEN(TRIM(X760))=0,"",HYPERLINK("https://www.google.com/maps/@?api=1&amp;map_action=pano&amp;viewpoint="&amp;SUBSTITUTE(X760," ",""),"Abrir Street View"))</f>
        <v/>
      </c>
    </row>
    <row r="761">
      <c r="H761" s="6" t="n"/>
      <c r="I761" s="6" t="n"/>
      <c r="M761" s="7" t="n"/>
      <c r="N761" s="7" t="n"/>
      <c r="O761" s="7" t="n"/>
      <c r="P761" s="8">
        <f>IF(NOT(ISNUMBER(M761)),"",IF(G761="Terreno",IF(AND(ISNUMBER(I761),I761&gt;0),M761/I761,""),IF(AND(ISNUMBER(H761),H761&gt;0),M761/H761,"")))</f>
        <v/>
      </c>
      <c r="Q761" s="9">
        <f>IF(AND(ISNUMBER(M761),ISNUMBER(O761)),IF(M761&lt;=O761,"Valor ≤ venal IPTU",""),"")</f>
        <v/>
      </c>
      <c r="R761" s="10" t="n"/>
      <c r="S761" s="10" t="n"/>
      <c r="AA761" s="10" t="n"/>
      <c r="AB761" s="11">
        <f>IF(LEN(TRIM(X761))=0,"",HYPERLINK("https://www.google.com/maps/@?api=1&amp;map_action=pano&amp;viewpoint="&amp;SUBSTITUTE(X761," ",""),"Abrir Street View"))</f>
        <v/>
      </c>
    </row>
    <row r="762">
      <c r="H762" s="6" t="n"/>
      <c r="I762" s="6" t="n"/>
      <c r="M762" s="7" t="n"/>
      <c r="N762" s="7" t="n"/>
      <c r="O762" s="7" t="n"/>
      <c r="P762" s="8">
        <f>IF(NOT(ISNUMBER(M762)),"",IF(G762="Terreno",IF(AND(ISNUMBER(I762),I762&gt;0),M762/I762,""),IF(AND(ISNUMBER(H762),H762&gt;0),M762/H762,"")))</f>
        <v/>
      </c>
      <c r="Q762" s="9">
        <f>IF(AND(ISNUMBER(M762),ISNUMBER(O762)),IF(M762&lt;=O762,"Valor ≤ venal IPTU",""),"")</f>
        <v/>
      </c>
      <c r="R762" s="10" t="n"/>
      <c r="S762" s="10" t="n"/>
      <c r="AA762" s="10" t="n"/>
      <c r="AB762" s="11">
        <f>IF(LEN(TRIM(X762))=0,"",HYPERLINK("https://www.google.com/maps/@?api=1&amp;map_action=pano&amp;viewpoint="&amp;SUBSTITUTE(X762," ",""),"Abrir Street View"))</f>
        <v/>
      </c>
    </row>
    <row r="763">
      <c r="H763" s="6" t="n"/>
      <c r="I763" s="6" t="n"/>
      <c r="M763" s="7" t="n"/>
      <c r="N763" s="7" t="n"/>
      <c r="O763" s="7" t="n"/>
      <c r="P763" s="8">
        <f>IF(NOT(ISNUMBER(M763)),"",IF(G763="Terreno",IF(AND(ISNUMBER(I763),I763&gt;0),M763/I763,""),IF(AND(ISNUMBER(H763),H763&gt;0),M763/H763,"")))</f>
        <v/>
      </c>
      <c r="Q763" s="9">
        <f>IF(AND(ISNUMBER(M763),ISNUMBER(O763)),IF(M763&lt;=O763,"Valor ≤ venal IPTU",""),"")</f>
        <v/>
      </c>
      <c r="R763" s="10" t="n"/>
      <c r="S763" s="10" t="n"/>
      <c r="AA763" s="10" t="n"/>
      <c r="AB763" s="11">
        <f>IF(LEN(TRIM(X763))=0,"",HYPERLINK("https://www.google.com/maps/@?api=1&amp;map_action=pano&amp;viewpoint="&amp;SUBSTITUTE(X763," ",""),"Abrir Street View"))</f>
        <v/>
      </c>
    </row>
    <row r="764">
      <c r="H764" s="6" t="n"/>
      <c r="I764" s="6" t="n"/>
      <c r="M764" s="7" t="n"/>
      <c r="N764" s="7" t="n"/>
      <c r="O764" s="7" t="n"/>
      <c r="P764" s="8">
        <f>IF(NOT(ISNUMBER(M764)),"",IF(G764="Terreno",IF(AND(ISNUMBER(I764),I764&gt;0),M764/I764,""),IF(AND(ISNUMBER(H764),H764&gt;0),M764/H764,"")))</f>
        <v/>
      </c>
      <c r="Q764" s="9">
        <f>IF(AND(ISNUMBER(M764),ISNUMBER(O764)),IF(M764&lt;=O764,"Valor ≤ venal IPTU",""),"")</f>
        <v/>
      </c>
      <c r="R764" s="10" t="n"/>
      <c r="S764" s="10" t="n"/>
      <c r="AA764" s="10" t="n"/>
      <c r="AB764" s="11">
        <f>IF(LEN(TRIM(X764))=0,"",HYPERLINK("https://www.google.com/maps/@?api=1&amp;map_action=pano&amp;viewpoint="&amp;SUBSTITUTE(X764," ",""),"Abrir Street View"))</f>
        <v/>
      </c>
    </row>
    <row r="765">
      <c r="H765" s="6" t="n"/>
      <c r="I765" s="6" t="n"/>
      <c r="M765" s="7" t="n"/>
      <c r="N765" s="7" t="n"/>
      <c r="O765" s="7" t="n"/>
      <c r="P765" s="8">
        <f>IF(NOT(ISNUMBER(M765)),"",IF(G765="Terreno",IF(AND(ISNUMBER(I765),I765&gt;0),M765/I765,""),IF(AND(ISNUMBER(H765),H765&gt;0),M765/H765,"")))</f>
        <v/>
      </c>
      <c r="Q765" s="9">
        <f>IF(AND(ISNUMBER(M765),ISNUMBER(O765)),IF(M765&lt;=O765,"Valor ≤ venal IPTU",""),"")</f>
        <v/>
      </c>
      <c r="R765" s="10" t="n"/>
      <c r="S765" s="10" t="n"/>
      <c r="AA765" s="10" t="n"/>
      <c r="AB765" s="11">
        <f>IF(LEN(TRIM(X765))=0,"",HYPERLINK("https://www.google.com/maps/@?api=1&amp;map_action=pano&amp;viewpoint="&amp;SUBSTITUTE(X765," ",""),"Abrir Street View"))</f>
        <v/>
      </c>
    </row>
    <row r="766">
      <c r="H766" s="6" t="n"/>
      <c r="I766" s="6" t="n"/>
      <c r="M766" s="7" t="n"/>
      <c r="N766" s="7" t="n"/>
      <c r="O766" s="7" t="n"/>
      <c r="P766" s="8">
        <f>IF(NOT(ISNUMBER(M766)),"",IF(G766="Terreno",IF(AND(ISNUMBER(I766),I766&gt;0),M766/I766,""),IF(AND(ISNUMBER(H766),H766&gt;0),M766/H766,"")))</f>
        <v/>
      </c>
      <c r="Q766" s="9">
        <f>IF(AND(ISNUMBER(M766),ISNUMBER(O766)),IF(M766&lt;=O766,"Valor ≤ venal IPTU",""),"")</f>
        <v/>
      </c>
      <c r="R766" s="10" t="n"/>
      <c r="S766" s="10" t="n"/>
      <c r="AA766" s="10" t="n"/>
      <c r="AB766" s="11">
        <f>IF(LEN(TRIM(X766))=0,"",HYPERLINK("https://www.google.com/maps/@?api=1&amp;map_action=pano&amp;viewpoint="&amp;SUBSTITUTE(X766," ",""),"Abrir Street View"))</f>
        <v/>
      </c>
    </row>
    <row r="767">
      <c r="H767" s="6" t="n"/>
      <c r="I767" s="6" t="n"/>
      <c r="M767" s="7" t="n"/>
      <c r="N767" s="7" t="n"/>
      <c r="O767" s="7" t="n"/>
      <c r="P767" s="8">
        <f>IF(NOT(ISNUMBER(M767)),"",IF(G767="Terreno",IF(AND(ISNUMBER(I767),I767&gt;0),M767/I767,""),IF(AND(ISNUMBER(H767),H767&gt;0),M767/H767,"")))</f>
        <v/>
      </c>
      <c r="Q767" s="9">
        <f>IF(AND(ISNUMBER(M767),ISNUMBER(O767)),IF(M767&lt;=O767,"Valor ≤ venal IPTU",""),"")</f>
        <v/>
      </c>
      <c r="R767" s="10" t="n"/>
      <c r="S767" s="10" t="n"/>
      <c r="AA767" s="10" t="n"/>
      <c r="AB767" s="11">
        <f>IF(LEN(TRIM(X767))=0,"",HYPERLINK("https://www.google.com/maps/@?api=1&amp;map_action=pano&amp;viewpoint="&amp;SUBSTITUTE(X767," ",""),"Abrir Street View"))</f>
        <v/>
      </c>
    </row>
    <row r="768">
      <c r="H768" s="6" t="n"/>
      <c r="I768" s="6" t="n"/>
      <c r="M768" s="7" t="n"/>
      <c r="N768" s="7" t="n"/>
      <c r="O768" s="7" t="n"/>
      <c r="P768" s="8">
        <f>IF(NOT(ISNUMBER(M768)),"",IF(G768="Terreno",IF(AND(ISNUMBER(I768),I768&gt;0),M768/I768,""),IF(AND(ISNUMBER(H768),H768&gt;0),M768/H768,"")))</f>
        <v/>
      </c>
      <c r="Q768" s="9">
        <f>IF(AND(ISNUMBER(M768),ISNUMBER(O768)),IF(M768&lt;=O768,"Valor ≤ venal IPTU",""),"")</f>
        <v/>
      </c>
      <c r="R768" s="10" t="n"/>
      <c r="S768" s="10" t="n"/>
      <c r="AA768" s="10" t="n"/>
      <c r="AB768" s="11">
        <f>IF(LEN(TRIM(X768))=0,"",HYPERLINK("https://www.google.com/maps/@?api=1&amp;map_action=pano&amp;viewpoint="&amp;SUBSTITUTE(X768," ",""),"Abrir Street View"))</f>
        <v/>
      </c>
    </row>
    <row r="769">
      <c r="H769" s="6" t="n"/>
      <c r="I769" s="6" t="n"/>
      <c r="M769" s="7" t="n"/>
      <c r="N769" s="7" t="n"/>
      <c r="O769" s="7" t="n"/>
      <c r="P769" s="8">
        <f>IF(NOT(ISNUMBER(M769)),"",IF(G769="Terreno",IF(AND(ISNUMBER(I769),I769&gt;0),M769/I769,""),IF(AND(ISNUMBER(H769),H769&gt;0),M769/H769,"")))</f>
        <v/>
      </c>
      <c r="Q769" s="9">
        <f>IF(AND(ISNUMBER(M769),ISNUMBER(O769)),IF(M769&lt;=O769,"Valor ≤ venal IPTU",""),"")</f>
        <v/>
      </c>
      <c r="R769" s="10" t="n"/>
      <c r="S769" s="10" t="n"/>
      <c r="AA769" s="10" t="n"/>
      <c r="AB769" s="11">
        <f>IF(LEN(TRIM(X769))=0,"",HYPERLINK("https://www.google.com/maps/@?api=1&amp;map_action=pano&amp;viewpoint="&amp;SUBSTITUTE(X769," ",""),"Abrir Street View"))</f>
        <v/>
      </c>
    </row>
    <row r="770">
      <c r="H770" s="6" t="n"/>
      <c r="I770" s="6" t="n"/>
      <c r="M770" s="7" t="n"/>
      <c r="N770" s="7" t="n"/>
      <c r="O770" s="7" t="n"/>
      <c r="P770" s="8">
        <f>IF(NOT(ISNUMBER(M770)),"",IF(G770="Terreno",IF(AND(ISNUMBER(I770),I770&gt;0),M770/I770,""),IF(AND(ISNUMBER(H770),H770&gt;0),M770/H770,"")))</f>
        <v/>
      </c>
      <c r="Q770" s="9">
        <f>IF(AND(ISNUMBER(M770),ISNUMBER(O770)),IF(M770&lt;=O770,"Valor ≤ venal IPTU",""),"")</f>
        <v/>
      </c>
      <c r="R770" s="10" t="n"/>
      <c r="S770" s="10" t="n"/>
      <c r="AA770" s="10" t="n"/>
      <c r="AB770" s="11">
        <f>IF(LEN(TRIM(X770))=0,"",HYPERLINK("https://www.google.com/maps/@?api=1&amp;map_action=pano&amp;viewpoint="&amp;SUBSTITUTE(X770," ",""),"Abrir Street View"))</f>
        <v/>
      </c>
    </row>
    <row r="771">
      <c r="H771" s="6" t="n"/>
      <c r="I771" s="6" t="n"/>
      <c r="M771" s="7" t="n"/>
      <c r="N771" s="7" t="n"/>
      <c r="O771" s="7" t="n"/>
      <c r="P771" s="8">
        <f>IF(NOT(ISNUMBER(M771)),"",IF(G771="Terreno",IF(AND(ISNUMBER(I771),I771&gt;0),M771/I771,""),IF(AND(ISNUMBER(H771),H771&gt;0),M771/H771,"")))</f>
        <v/>
      </c>
      <c r="Q771" s="9">
        <f>IF(AND(ISNUMBER(M771),ISNUMBER(O771)),IF(M771&lt;=O771,"Valor ≤ venal IPTU",""),"")</f>
        <v/>
      </c>
      <c r="R771" s="10" t="n"/>
      <c r="S771" s="10" t="n"/>
      <c r="AA771" s="10" t="n"/>
      <c r="AB771" s="11">
        <f>IF(LEN(TRIM(X771))=0,"",HYPERLINK("https://www.google.com/maps/@?api=1&amp;map_action=pano&amp;viewpoint="&amp;SUBSTITUTE(X771," ",""),"Abrir Street View"))</f>
        <v/>
      </c>
    </row>
    <row r="772">
      <c r="H772" s="6" t="n"/>
      <c r="I772" s="6" t="n"/>
      <c r="M772" s="7" t="n"/>
      <c r="N772" s="7" t="n"/>
      <c r="O772" s="7" t="n"/>
      <c r="P772" s="8">
        <f>IF(NOT(ISNUMBER(M772)),"",IF(G772="Terreno",IF(AND(ISNUMBER(I772),I772&gt;0),M772/I772,""),IF(AND(ISNUMBER(H772),H772&gt;0),M772/H772,"")))</f>
        <v/>
      </c>
      <c r="Q772" s="9">
        <f>IF(AND(ISNUMBER(M772),ISNUMBER(O772)),IF(M772&lt;=O772,"Valor ≤ venal IPTU",""),"")</f>
        <v/>
      </c>
      <c r="R772" s="10" t="n"/>
      <c r="S772" s="10" t="n"/>
      <c r="AA772" s="10" t="n"/>
      <c r="AB772" s="11">
        <f>IF(LEN(TRIM(X772))=0,"",HYPERLINK("https://www.google.com/maps/@?api=1&amp;map_action=pano&amp;viewpoint="&amp;SUBSTITUTE(X772," ",""),"Abrir Street View"))</f>
        <v/>
      </c>
    </row>
    <row r="773">
      <c r="H773" s="6" t="n"/>
      <c r="I773" s="6" t="n"/>
      <c r="M773" s="7" t="n"/>
      <c r="N773" s="7" t="n"/>
      <c r="O773" s="7" t="n"/>
      <c r="P773" s="8">
        <f>IF(NOT(ISNUMBER(M773)),"",IF(G773="Terreno",IF(AND(ISNUMBER(I773),I773&gt;0),M773/I773,""),IF(AND(ISNUMBER(H773),H773&gt;0),M773/H773,"")))</f>
        <v/>
      </c>
      <c r="Q773" s="9">
        <f>IF(AND(ISNUMBER(M773),ISNUMBER(O773)),IF(M773&lt;=O773,"Valor ≤ venal IPTU",""),"")</f>
        <v/>
      </c>
      <c r="R773" s="10" t="n"/>
      <c r="S773" s="10" t="n"/>
      <c r="AA773" s="10" t="n"/>
      <c r="AB773" s="11">
        <f>IF(LEN(TRIM(X773))=0,"",HYPERLINK("https://www.google.com/maps/@?api=1&amp;map_action=pano&amp;viewpoint="&amp;SUBSTITUTE(X773," ",""),"Abrir Street View"))</f>
        <v/>
      </c>
    </row>
    <row r="774">
      <c r="H774" s="6" t="n"/>
      <c r="I774" s="6" t="n"/>
      <c r="M774" s="7" t="n"/>
      <c r="N774" s="7" t="n"/>
      <c r="O774" s="7" t="n"/>
      <c r="P774" s="8">
        <f>IF(NOT(ISNUMBER(M774)),"",IF(G774="Terreno",IF(AND(ISNUMBER(I774),I774&gt;0),M774/I774,""),IF(AND(ISNUMBER(H774),H774&gt;0),M774/H774,"")))</f>
        <v/>
      </c>
      <c r="Q774" s="9">
        <f>IF(AND(ISNUMBER(M774),ISNUMBER(O774)),IF(M774&lt;=O774,"Valor ≤ venal IPTU",""),"")</f>
        <v/>
      </c>
      <c r="R774" s="10" t="n"/>
      <c r="S774" s="10" t="n"/>
      <c r="AA774" s="10" t="n"/>
      <c r="AB774" s="11">
        <f>IF(LEN(TRIM(X774))=0,"",HYPERLINK("https://www.google.com/maps/@?api=1&amp;map_action=pano&amp;viewpoint="&amp;SUBSTITUTE(X774," ",""),"Abrir Street View"))</f>
        <v/>
      </c>
    </row>
    <row r="775">
      <c r="H775" s="6" t="n"/>
      <c r="I775" s="6" t="n"/>
      <c r="M775" s="7" t="n"/>
      <c r="N775" s="7" t="n"/>
      <c r="O775" s="7" t="n"/>
      <c r="P775" s="8">
        <f>IF(NOT(ISNUMBER(M775)),"",IF(G775="Terreno",IF(AND(ISNUMBER(I775),I775&gt;0),M775/I775,""),IF(AND(ISNUMBER(H775),H775&gt;0),M775/H775,"")))</f>
        <v/>
      </c>
      <c r="Q775" s="9">
        <f>IF(AND(ISNUMBER(M775),ISNUMBER(O775)),IF(M775&lt;=O775,"Valor ≤ venal IPTU",""),"")</f>
        <v/>
      </c>
      <c r="R775" s="10" t="n"/>
      <c r="S775" s="10" t="n"/>
      <c r="AA775" s="10" t="n"/>
      <c r="AB775" s="11">
        <f>IF(LEN(TRIM(X775))=0,"",HYPERLINK("https://www.google.com/maps/@?api=1&amp;map_action=pano&amp;viewpoint="&amp;SUBSTITUTE(X775," ",""),"Abrir Street View"))</f>
        <v/>
      </c>
    </row>
    <row r="776">
      <c r="H776" s="6" t="n"/>
      <c r="I776" s="6" t="n"/>
      <c r="M776" s="7" t="n"/>
      <c r="N776" s="7" t="n"/>
      <c r="O776" s="7" t="n"/>
      <c r="P776" s="8">
        <f>IF(NOT(ISNUMBER(M776)),"",IF(G776="Terreno",IF(AND(ISNUMBER(I776),I776&gt;0),M776/I776,""),IF(AND(ISNUMBER(H776),H776&gt;0),M776/H776,"")))</f>
        <v/>
      </c>
      <c r="Q776" s="9">
        <f>IF(AND(ISNUMBER(M776),ISNUMBER(O776)),IF(M776&lt;=O776,"Valor ≤ venal IPTU",""),"")</f>
        <v/>
      </c>
      <c r="R776" s="10" t="n"/>
      <c r="S776" s="10" t="n"/>
      <c r="AA776" s="10" t="n"/>
      <c r="AB776" s="11">
        <f>IF(LEN(TRIM(X776))=0,"",HYPERLINK("https://www.google.com/maps/@?api=1&amp;map_action=pano&amp;viewpoint="&amp;SUBSTITUTE(X776," ",""),"Abrir Street View"))</f>
        <v/>
      </c>
    </row>
    <row r="777">
      <c r="H777" s="6" t="n"/>
      <c r="I777" s="6" t="n"/>
      <c r="M777" s="7" t="n"/>
      <c r="N777" s="7" t="n"/>
      <c r="O777" s="7" t="n"/>
      <c r="P777" s="8">
        <f>IF(NOT(ISNUMBER(M777)),"",IF(G777="Terreno",IF(AND(ISNUMBER(I777),I777&gt;0),M777/I777,""),IF(AND(ISNUMBER(H777),H777&gt;0),M777/H777,"")))</f>
        <v/>
      </c>
      <c r="Q777" s="9">
        <f>IF(AND(ISNUMBER(M777),ISNUMBER(O777)),IF(M777&lt;=O777,"Valor ≤ venal IPTU",""),"")</f>
        <v/>
      </c>
      <c r="R777" s="10" t="n"/>
      <c r="S777" s="10" t="n"/>
      <c r="AA777" s="10" t="n"/>
      <c r="AB777" s="11">
        <f>IF(LEN(TRIM(X777))=0,"",HYPERLINK("https://www.google.com/maps/@?api=1&amp;map_action=pano&amp;viewpoint="&amp;SUBSTITUTE(X777," ",""),"Abrir Street View"))</f>
        <v/>
      </c>
    </row>
    <row r="778">
      <c r="H778" s="6" t="n"/>
      <c r="I778" s="6" t="n"/>
      <c r="M778" s="7" t="n"/>
      <c r="N778" s="7" t="n"/>
      <c r="O778" s="7" t="n"/>
      <c r="P778" s="8">
        <f>IF(NOT(ISNUMBER(M778)),"",IF(G778="Terreno",IF(AND(ISNUMBER(I778),I778&gt;0),M778/I778,""),IF(AND(ISNUMBER(H778),H778&gt;0),M778/H778,"")))</f>
        <v/>
      </c>
      <c r="Q778" s="9">
        <f>IF(AND(ISNUMBER(M778),ISNUMBER(O778)),IF(M778&lt;=O778,"Valor ≤ venal IPTU",""),"")</f>
        <v/>
      </c>
      <c r="R778" s="10" t="n"/>
      <c r="S778" s="10" t="n"/>
      <c r="AA778" s="10" t="n"/>
      <c r="AB778" s="11">
        <f>IF(LEN(TRIM(X778))=0,"",HYPERLINK("https://www.google.com/maps/@?api=1&amp;map_action=pano&amp;viewpoint="&amp;SUBSTITUTE(X778," ",""),"Abrir Street View"))</f>
        <v/>
      </c>
    </row>
    <row r="779">
      <c r="H779" s="6" t="n"/>
      <c r="I779" s="6" t="n"/>
      <c r="M779" s="7" t="n"/>
      <c r="N779" s="7" t="n"/>
      <c r="O779" s="7" t="n"/>
      <c r="P779" s="8">
        <f>IF(NOT(ISNUMBER(M779)),"",IF(G779="Terreno",IF(AND(ISNUMBER(I779),I779&gt;0),M779/I779,""),IF(AND(ISNUMBER(H779),H779&gt;0),M779/H779,"")))</f>
        <v/>
      </c>
      <c r="Q779" s="9">
        <f>IF(AND(ISNUMBER(M779),ISNUMBER(O779)),IF(M779&lt;=O779,"Valor ≤ venal IPTU",""),"")</f>
        <v/>
      </c>
      <c r="R779" s="10" t="n"/>
      <c r="S779" s="10" t="n"/>
      <c r="AA779" s="10" t="n"/>
      <c r="AB779" s="11">
        <f>IF(LEN(TRIM(X779))=0,"",HYPERLINK("https://www.google.com/maps/@?api=1&amp;map_action=pano&amp;viewpoint="&amp;SUBSTITUTE(X779," ",""),"Abrir Street View"))</f>
        <v/>
      </c>
    </row>
    <row r="780">
      <c r="H780" s="6" t="n"/>
      <c r="I780" s="6" t="n"/>
      <c r="M780" s="7" t="n"/>
      <c r="N780" s="7" t="n"/>
      <c r="O780" s="7" t="n"/>
      <c r="P780" s="8">
        <f>IF(NOT(ISNUMBER(M780)),"",IF(G780="Terreno",IF(AND(ISNUMBER(I780),I780&gt;0),M780/I780,""),IF(AND(ISNUMBER(H780),H780&gt;0),M780/H780,"")))</f>
        <v/>
      </c>
      <c r="Q780" s="9">
        <f>IF(AND(ISNUMBER(M780),ISNUMBER(O780)),IF(M780&lt;=O780,"Valor ≤ venal IPTU",""),"")</f>
        <v/>
      </c>
      <c r="R780" s="10" t="n"/>
      <c r="S780" s="10" t="n"/>
      <c r="AA780" s="10" t="n"/>
      <c r="AB780" s="11">
        <f>IF(LEN(TRIM(X780))=0,"",HYPERLINK("https://www.google.com/maps/@?api=1&amp;map_action=pano&amp;viewpoint="&amp;SUBSTITUTE(X780," ",""),"Abrir Street View"))</f>
        <v/>
      </c>
    </row>
    <row r="781">
      <c r="H781" s="6" t="n"/>
      <c r="I781" s="6" t="n"/>
      <c r="M781" s="7" t="n"/>
      <c r="N781" s="7" t="n"/>
      <c r="O781" s="7" t="n"/>
      <c r="P781" s="8">
        <f>IF(NOT(ISNUMBER(M781)),"",IF(G781="Terreno",IF(AND(ISNUMBER(I781),I781&gt;0),M781/I781,""),IF(AND(ISNUMBER(H781),H781&gt;0),M781/H781,"")))</f>
        <v/>
      </c>
      <c r="Q781" s="9">
        <f>IF(AND(ISNUMBER(M781),ISNUMBER(O781)),IF(M781&lt;=O781,"Valor ≤ venal IPTU",""),"")</f>
        <v/>
      </c>
      <c r="R781" s="10" t="n"/>
      <c r="S781" s="10" t="n"/>
      <c r="AA781" s="10" t="n"/>
      <c r="AB781" s="11">
        <f>IF(LEN(TRIM(X781))=0,"",HYPERLINK("https://www.google.com/maps/@?api=1&amp;map_action=pano&amp;viewpoint="&amp;SUBSTITUTE(X781," ",""),"Abrir Street View"))</f>
        <v/>
      </c>
    </row>
    <row r="782">
      <c r="H782" s="6" t="n"/>
      <c r="I782" s="6" t="n"/>
      <c r="M782" s="7" t="n"/>
      <c r="N782" s="7" t="n"/>
      <c r="O782" s="7" t="n"/>
      <c r="P782" s="8">
        <f>IF(NOT(ISNUMBER(M782)),"",IF(G782="Terreno",IF(AND(ISNUMBER(I782),I782&gt;0),M782/I782,""),IF(AND(ISNUMBER(H782),H782&gt;0),M782/H782,"")))</f>
        <v/>
      </c>
      <c r="Q782" s="9">
        <f>IF(AND(ISNUMBER(M782),ISNUMBER(O782)),IF(M782&lt;=O782,"Valor ≤ venal IPTU",""),"")</f>
        <v/>
      </c>
      <c r="R782" s="10" t="n"/>
      <c r="S782" s="10" t="n"/>
      <c r="AA782" s="10" t="n"/>
      <c r="AB782" s="11">
        <f>IF(LEN(TRIM(X782))=0,"",HYPERLINK("https://www.google.com/maps/@?api=1&amp;map_action=pano&amp;viewpoint="&amp;SUBSTITUTE(X782," ",""),"Abrir Street View"))</f>
        <v/>
      </c>
    </row>
    <row r="783">
      <c r="H783" s="6" t="n"/>
      <c r="I783" s="6" t="n"/>
      <c r="M783" s="7" t="n"/>
      <c r="N783" s="7" t="n"/>
      <c r="O783" s="7" t="n"/>
      <c r="P783" s="8">
        <f>IF(NOT(ISNUMBER(M783)),"",IF(G783="Terreno",IF(AND(ISNUMBER(I783),I783&gt;0),M783/I783,""),IF(AND(ISNUMBER(H783),H783&gt;0),M783/H783,"")))</f>
        <v/>
      </c>
      <c r="Q783" s="9">
        <f>IF(AND(ISNUMBER(M783),ISNUMBER(O783)),IF(M783&lt;=O783,"Valor ≤ venal IPTU",""),"")</f>
        <v/>
      </c>
      <c r="R783" s="10" t="n"/>
      <c r="S783" s="10" t="n"/>
      <c r="AA783" s="10" t="n"/>
      <c r="AB783" s="11">
        <f>IF(LEN(TRIM(X783))=0,"",HYPERLINK("https://www.google.com/maps/@?api=1&amp;map_action=pano&amp;viewpoint="&amp;SUBSTITUTE(X783," ",""),"Abrir Street View"))</f>
        <v/>
      </c>
    </row>
    <row r="784">
      <c r="H784" s="6" t="n"/>
      <c r="I784" s="6" t="n"/>
      <c r="M784" s="7" t="n"/>
      <c r="N784" s="7" t="n"/>
      <c r="O784" s="7" t="n"/>
      <c r="P784" s="8">
        <f>IF(NOT(ISNUMBER(M784)),"",IF(G784="Terreno",IF(AND(ISNUMBER(I784),I784&gt;0),M784/I784,""),IF(AND(ISNUMBER(H784),H784&gt;0),M784/H784,"")))</f>
        <v/>
      </c>
      <c r="Q784" s="9">
        <f>IF(AND(ISNUMBER(M784),ISNUMBER(O784)),IF(M784&lt;=O784,"Valor ≤ venal IPTU",""),"")</f>
        <v/>
      </c>
      <c r="R784" s="10" t="n"/>
      <c r="S784" s="10" t="n"/>
      <c r="AA784" s="10" t="n"/>
      <c r="AB784" s="11">
        <f>IF(LEN(TRIM(X784))=0,"",HYPERLINK("https://www.google.com/maps/@?api=1&amp;map_action=pano&amp;viewpoint="&amp;SUBSTITUTE(X784," ",""),"Abrir Street View"))</f>
        <v/>
      </c>
    </row>
    <row r="785">
      <c r="H785" s="6" t="n"/>
      <c r="I785" s="6" t="n"/>
      <c r="M785" s="7" t="n"/>
      <c r="N785" s="7" t="n"/>
      <c r="O785" s="7" t="n"/>
      <c r="P785" s="8">
        <f>IF(NOT(ISNUMBER(M785)),"",IF(G785="Terreno",IF(AND(ISNUMBER(I785),I785&gt;0),M785/I785,""),IF(AND(ISNUMBER(H785),H785&gt;0),M785/H785,"")))</f>
        <v/>
      </c>
      <c r="Q785" s="9">
        <f>IF(AND(ISNUMBER(M785),ISNUMBER(O785)),IF(M785&lt;=O785,"Valor ≤ venal IPTU",""),"")</f>
        <v/>
      </c>
      <c r="R785" s="10" t="n"/>
      <c r="S785" s="10" t="n"/>
      <c r="AA785" s="10" t="n"/>
      <c r="AB785" s="11">
        <f>IF(LEN(TRIM(X785))=0,"",HYPERLINK("https://www.google.com/maps/@?api=1&amp;map_action=pano&amp;viewpoint="&amp;SUBSTITUTE(X785," ",""),"Abrir Street View"))</f>
        <v/>
      </c>
    </row>
    <row r="786">
      <c r="H786" s="6" t="n"/>
      <c r="I786" s="6" t="n"/>
      <c r="M786" s="7" t="n"/>
      <c r="N786" s="7" t="n"/>
      <c r="O786" s="7" t="n"/>
      <c r="P786" s="8">
        <f>IF(NOT(ISNUMBER(M786)),"",IF(G786="Terreno",IF(AND(ISNUMBER(I786),I786&gt;0),M786/I786,""),IF(AND(ISNUMBER(H786),H786&gt;0),M786/H786,"")))</f>
        <v/>
      </c>
      <c r="Q786" s="9">
        <f>IF(AND(ISNUMBER(M786),ISNUMBER(O786)),IF(M786&lt;=O786,"Valor ≤ venal IPTU",""),"")</f>
        <v/>
      </c>
      <c r="R786" s="10" t="n"/>
      <c r="S786" s="10" t="n"/>
      <c r="AA786" s="10" t="n"/>
      <c r="AB786" s="11">
        <f>IF(LEN(TRIM(X786))=0,"",HYPERLINK("https://www.google.com/maps/@?api=1&amp;map_action=pano&amp;viewpoint="&amp;SUBSTITUTE(X786," ",""),"Abrir Street View"))</f>
        <v/>
      </c>
    </row>
    <row r="787">
      <c r="H787" s="6" t="n"/>
      <c r="I787" s="6" t="n"/>
      <c r="M787" s="7" t="n"/>
      <c r="N787" s="7" t="n"/>
      <c r="O787" s="7" t="n"/>
      <c r="P787" s="8">
        <f>IF(NOT(ISNUMBER(M787)),"",IF(G787="Terreno",IF(AND(ISNUMBER(I787),I787&gt;0),M787/I787,""),IF(AND(ISNUMBER(H787),H787&gt;0),M787/H787,"")))</f>
        <v/>
      </c>
      <c r="Q787" s="9">
        <f>IF(AND(ISNUMBER(M787),ISNUMBER(O787)),IF(M787&lt;=O787,"Valor ≤ venal IPTU",""),"")</f>
        <v/>
      </c>
      <c r="R787" s="10" t="n"/>
      <c r="S787" s="10" t="n"/>
      <c r="AA787" s="10" t="n"/>
      <c r="AB787" s="11">
        <f>IF(LEN(TRIM(X787))=0,"",HYPERLINK("https://www.google.com/maps/@?api=1&amp;map_action=pano&amp;viewpoint="&amp;SUBSTITUTE(X787," ",""),"Abrir Street View"))</f>
        <v/>
      </c>
    </row>
    <row r="788">
      <c r="H788" s="6" t="n"/>
      <c r="I788" s="6" t="n"/>
      <c r="M788" s="7" t="n"/>
      <c r="N788" s="7" t="n"/>
      <c r="O788" s="7" t="n"/>
      <c r="P788" s="8">
        <f>IF(NOT(ISNUMBER(M788)),"",IF(G788="Terreno",IF(AND(ISNUMBER(I788),I788&gt;0),M788/I788,""),IF(AND(ISNUMBER(H788),H788&gt;0),M788/H788,"")))</f>
        <v/>
      </c>
      <c r="Q788" s="9">
        <f>IF(AND(ISNUMBER(M788),ISNUMBER(O788)),IF(M788&lt;=O788,"Valor ≤ venal IPTU",""),"")</f>
        <v/>
      </c>
      <c r="R788" s="10" t="n"/>
      <c r="S788" s="10" t="n"/>
      <c r="AA788" s="10" t="n"/>
      <c r="AB788" s="11">
        <f>IF(LEN(TRIM(X788))=0,"",HYPERLINK("https://www.google.com/maps/@?api=1&amp;map_action=pano&amp;viewpoint="&amp;SUBSTITUTE(X788," ",""),"Abrir Street View"))</f>
        <v/>
      </c>
    </row>
    <row r="789">
      <c r="H789" s="6" t="n"/>
      <c r="I789" s="6" t="n"/>
      <c r="M789" s="7" t="n"/>
      <c r="N789" s="7" t="n"/>
      <c r="O789" s="7" t="n"/>
      <c r="P789" s="8">
        <f>IF(NOT(ISNUMBER(M789)),"",IF(G789="Terreno",IF(AND(ISNUMBER(I789),I789&gt;0),M789/I789,""),IF(AND(ISNUMBER(H789),H789&gt;0),M789/H789,"")))</f>
        <v/>
      </c>
      <c r="Q789" s="9">
        <f>IF(AND(ISNUMBER(M789),ISNUMBER(O789)),IF(M789&lt;=O789,"Valor ≤ venal IPTU",""),"")</f>
        <v/>
      </c>
      <c r="R789" s="10" t="n"/>
      <c r="S789" s="10" t="n"/>
      <c r="AA789" s="10" t="n"/>
      <c r="AB789" s="11">
        <f>IF(LEN(TRIM(X789))=0,"",HYPERLINK("https://www.google.com/maps/@?api=1&amp;map_action=pano&amp;viewpoint="&amp;SUBSTITUTE(X789," ",""),"Abrir Street View"))</f>
        <v/>
      </c>
    </row>
    <row r="790">
      <c r="H790" s="6" t="n"/>
      <c r="I790" s="6" t="n"/>
      <c r="M790" s="7" t="n"/>
      <c r="N790" s="7" t="n"/>
      <c r="O790" s="7" t="n"/>
      <c r="P790" s="8">
        <f>IF(NOT(ISNUMBER(M790)),"",IF(G790="Terreno",IF(AND(ISNUMBER(I790),I790&gt;0),M790/I790,""),IF(AND(ISNUMBER(H790),H790&gt;0),M790/H790,"")))</f>
        <v/>
      </c>
      <c r="Q790" s="9">
        <f>IF(AND(ISNUMBER(M790),ISNUMBER(O790)),IF(M790&lt;=O790,"Valor ≤ venal IPTU",""),"")</f>
        <v/>
      </c>
      <c r="R790" s="10" t="n"/>
      <c r="S790" s="10" t="n"/>
      <c r="AA790" s="10" t="n"/>
      <c r="AB790" s="11">
        <f>IF(LEN(TRIM(X790))=0,"",HYPERLINK("https://www.google.com/maps/@?api=1&amp;map_action=pano&amp;viewpoint="&amp;SUBSTITUTE(X790," ",""),"Abrir Street View"))</f>
        <v/>
      </c>
    </row>
    <row r="791">
      <c r="H791" s="6" t="n"/>
      <c r="I791" s="6" t="n"/>
      <c r="M791" s="7" t="n"/>
      <c r="N791" s="7" t="n"/>
      <c r="O791" s="7" t="n"/>
      <c r="P791" s="8">
        <f>IF(NOT(ISNUMBER(M791)),"",IF(G791="Terreno",IF(AND(ISNUMBER(I791),I791&gt;0),M791/I791,""),IF(AND(ISNUMBER(H791),H791&gt;0),M791/H791,"")))</f>
        <v/>
      </c>
      <c r="Q791" s="9">
        <f>IF(AND(ISNUMBER(M791),ISNUMBER(O791)),IF(M791&lt;=O791,"Valor ≤ venal IPTU",""),"")</f>
        <v/>
      </c>
      <c r="R791" s="10" t="n"/>
      <c r="S791" s="10" t="n"/>
      <c r="AA791" s="10" t="n"/>
      <c r="AB791" s="11">
        <f>IF(LEN(TRIM(X791))=0,"",HYPERLINK("https://www.google.com/maps/@?api=1&amp;map_action=pano&amp;viewpoint="&amp;SUBSTITUTE(X791," ",""),"Abrir Street View"))</f>
        <v/>
      </c>
    </row>
    <row r="792">
      <c r="H792" s="6" t="n"/>
      <c r="I792" s="6" t="n"/>
      <c r="M792" s="7" t="n"/>
      <c r="N792" s="7" t="n"/>
      <c r="O792" s="7" t="n"/>
      <c r="P792" s="8">
        <f>IF(NOT(ISNUMBER(M792)),"",IF(G792="Terreno",IF(AND(ISNUMBER(I792),I792&gt;0),M792/I792,""),IF(AND(ISNUMBER(H792),H792&gt;0),M792/H792,"")))</f>
        <v/>
      </c>
      <c r="Q792" s="9">
        <f>IF(AND(ISNUMBER(M792),ISNUMBER(O792)),IF(M792&lt;=O792,"Valor ≤ venal IPTU",""),"")</f>
        <v/>
      </c>
      <c r="R792" s="10" t="n"/>
      <c r="S792" s="10" t="n"/>
      <c r="AA792" s="10" t="n"/>
      <c r="AB792" s="11">
        <f>IF(LEN(TRIM(X792))=0,"",HYPERLINK("https://www.google.com/maps/@?api=1&amp;map_action=pano&amp;viewpoint="&amp;SUBSTITUTE(X792," ",""),"Abrir Street View"))</f>
        <v/>
      </c>
    </row>
    <row r="793">
      <c r="H793" s="6" t="n"/>
      <c r="I793" s="6" t="n"/>
      <c r="M793" s="7" t="n"/>
      <c r="N793" s="7" t="n"/>
      <c r="O793" s="7" t="n"/>
      <c r="P793" s="8">
        <f>IF(NOT(ISNUMBER(M793)),"",IF(G793="Terreno",IF(AND(ISNUMBER(I793),I793&gt;0),M793/I793,""),IF(AND(ISNUMBER(H793),H793&gt;0),M793/H793,"")))</f>
        <v/>
      </c>
      <c r="Q793" s="9">
        <f>IF(AND(ISNUMBER(M793),ISNUMBER(O793)),IF(M793&lt;=O793,"Valor ≤ venal IPTU",""),"")</f>
        <v/>
      </c>
      <c r="R793" s="10" t="n"/>
      <c r="S793" s="10" t="n"/>
      <c r="AA793" s="10" t="n"/>
      <c r="AB793" s="11">
        <f>IF(LEN(TRIM(X793))=0,"",HYPERLINK("https://www.google.com/maps/@?api=1&amp;map_action=pano&amp;viewpoint="&amp;SUBSTITUTE(X793," ",""),"Abrir Street View"))</f>
        <v/>
      </c>
    </row>
    <row r="794">
      <c r="H794" s="6" t="n"/>
      <c r="I794" s="6" t="n"/>
      <c r="M794" s="7" t="n"/>
      <c r="N794" s="7" t="n"/>
      <c r="O794" s="7" t="n"/>
      <c r="P794" s="8">
        <f>IF(NOT(ISNUMBER(M794)),"",IF(G794="Terreno",IF(AND(ISNUMBER(I794),I794&gt;0),M794/I794,""),IF(AND(ISNUMBER(H794),H794&gt;0),M794/H794,"")))</f>
        <v/>
      </c>
      <c r="Q794" s="9">
        <f>IF(AND(ISNUMBER(M794),ISNUMBER(O794)),IF(M794&lt;=O794,"Valor ≤ venal IPTU",""),"")</f>
        <v/>
      </c>
      <c r="R794" s="10" t="n"/>
      <c r="S794" s="10" t="n"/>
      <c r="AA794" s="10" t="n"/>
      <c r="AB794" s="11">
        <f>IF(LEN(TRIM(X794))=0,"",HYPERLINK("https://www.google.com/maps/@?api=1&amp;map_action=pano&amp;viewpoint="&amp;SUBSTITUTE(X794," ",""),"Abrir Street View"))</f>
        <v/>
      </c>
    </row>
    <row r="795">
      <c r="H795" s="6" t="n"/>
      <c r="I795" s="6" t="n"/>
      <c r="M795" s="7" t="n"/>
      <c r="N795" s="7" t="n"/>
      <c r="O795" s="7" t="n"/>
      <c r="P795" s="8">
        <f>IF(NOT(ISNUMBER(M795)),"",IF(G795="Terreno",IF(AND(ISNUMBER(I795),I795&gt;0),M795/I795,""),IF(AND(ISNUMBER(H795),H795&gt;0),M795/H795,"")))</f>
        <v/>
      </c>
      <c r="Q795" s="9">
        <f>IF(AND(ISNUMBER(M795),ISNUMBER(O795)),IF(M795&lt;=O795,"Valor ≤ venal IPTU",""),"")</f>
        <v/>
      </c>
      <c r="R795" s="10" t="n"/>
      <c r="S795" s="10" t="n"/>
      <c r="AA795" s="10" t="n"/>
      <c r="AB795" s="11">
        <f>IF(LEN(TRIM(X795))=0,"",HYPERLINK("https://www.google.com/maps/@?api=1&amp;map_action=pano&amp;viewpoint="&amp;SUBSTITUTE(X795," ",""),"Abrir Street View"))</f>
        <v/>
      </c>
    </row>
    <row r="796">
      <c r="H796" s="6" t="n"/>
      <c r="I796" s="6" t="n"/>
      <c r="M796" s="7" t="n"/>
      <c r="N796" s="7" t="n"/>
      <c r="O796" s="7" t="n"/>
      <c r="P796" s="8">
        <f>IF(NOT(ISNUMBER(M796)),"",IF(G796="Terreno",IF(AND(ISNUMBER(I796),I796&gt;0),M796/I796,""),IF(AND(ISNUMBER(H796),H796&gt;0),M796/H796,"")))</f>
        <v/>
      </c>
      <c r="Q796" s="9">
        <f>IF(AND(ISNUMBER(M796),ISNUMBER(O796)),IF(M796&lt;=O796,"Valor ≤ venal IPTU",""),"")</f>
        <v/>
      </c>
      <c r="R796" s="10" t="n"/>
      <c r="S796" s="10" t="n"/>
      <c r="AA796" s="10" t="n"/>
      <c r="AB796" s="11">
        <f>IF(LEN(TRIM(X796))=0,"",HYPERLINK("https://www.google.com/maps/@?api=1&amp;map_action=pano&amp;viewpoint="&amp;SUBSTITUTE(X796," ",""),"Abrir Street View"))</f>
        <v/>
      </c>
    </row>
    <row r="797">
      <c r="H797" s="6" t="n"/>
      <c r="I797" s="6" t="n"/>
      <c r="M797" s="7" t="n"/>
      <c r="N797" s="7" t="n"/>
      <c r="O797" s="7" t="n"/>
      <c r="P797" s="8">
        <f>IF(NOT(ISNUMBER(M797)),"",IF(G797="Terreno",IF(AND(ISNUMBER(I797),I797&gt;0),M797/I797,""),IF(AND(ISNUMBER(H797),H797&gt;0),M797/H797,"")))</f>
        <v/>
      </c>
      <c r="Q797" s="9">
        <f>IF(AND(ISNUMBER(M797),ISNUMBER(O797)),IF(M797&lt;=O797,"Valor ≤ venal IPTU",""),"")</f>
        <v/>
      </c>
      <c r="R797" s="10" t="n"/>
      <c r="S797" s="10" t="n"/>
      <c r="AA797" s="10" t="n"/>
      <c r="AB797" s="11">
        <f>IF(LEN(TRIM(X797))=0,"",HYPERLINK("https://www.google.com/maps/@?api=1&amp;map_action=pano&amp;viewpoint="&amp;SUBSTITUTE(X797," ",""),"Abrir Street View"))</f>
        <v/>
      </c>
    </row>
    <row r="798">
      <c r="H798" s="6" t="n"/>
      <c r="I798" s="6" t="n"/>
      <c r="M798" s="7" t="n"/>
      <c r="N798" s="7" t="n"/>
      <c r="O798" s="7" t="n"/>
      <c r="P798" s="8">
        <f>IF(NOT(ISNUMBER(M798)),"",IF(G798="Terreno",IF(AND(ISNUMBER(I798),I798&gt;0),M798/I798,""),IF(AND(ISNUMBER(H798),H798&gt;0),M798/H798,"")))</f>
        <v/>
      </c>
      <c r="Q798" s="9">
        <f>IF(AND(ISNUMBER(M798),ISNUMBER(O798)),IF(M798&lt;=O798,"Valor ≤ venal IPTU",""),"")</f>
        <v/>
      </c>
      <c r="R798" s="10" t="n"/>
      <c r="S798" s="10" t="n"/>
      <c r="AA798" s="10" t="n"/>
      <c r="AB798" s="11">
        <f>IF(LEN(TRIM(X798))=0,"",HYPERLINK("https://www.google.com/maps/@?api=1&amp;map_action=pano&amp;viewpoint="&amp;SUBSTITUTE(X798," ",""),"Abrir Street View"))</f>
        <v/>
      </c>
    </row>
    <row r="799">
      <c r="H799" s="6" t="n"/>
      <c r="I799" s="6" t="n"/>
      <c r="M799" s="7" t="n"/>
      <c r="N799" s="7" t="n"/>
      <c r="O799" s="7" t="n"/>
      <c r="P799" s="8">
        <f>IF(NOT(ISNUMBER(M799)),"",IF(G799="Terreno",IF(AND(ISNUMBER(I799),I799&gt;0),M799/I799,""),IF(AND(ISNUMBER(H799),H799&gt;0),M799/H799,"")))</f>
        <v/>
      </c>
      <c r="Q799" s="9">
        <f>IF(AND(ISNUMBER(M799),ISNUMBER(O799)),IF(M799&lt;=O799,"Valor ≤ venal IPTU",""),"")</f>
        <v/>
      </c>
      <c r="R799" s="10" t="n"/>
      <c r="S799" s="10" t="n"/>
      <c r="AA799" s="10" t="n"/>
      <c r="AB799" s="11">
        <f>IF(LEN(TRIM(X799))=0,"",HYPERLINK("https://www.google.com/maps/@?api=1&amp;map_action=pano&amp;viewpoint="&amp;SUBSTITUTE(X799," ",""),"Abrir Street View"))</f>
        <v/>
      </c>
    </row>
    <row r="800">
      <c r="H800" s="6" t="n"/>
      <c r="I800" s="6" t="n"/>
      <c r="M800" s="7" t="n"/>
      <c r="N800" s="7" t="n"/>
      <c r="O800" s="7" t="n"/>
      <c r="P800" s="8">
        <f>IF(NOT(ISNUMBER(M800)),"",IF(G800="Terreno",IF(AND(ISNUMBER(I800),I800&gt;0),M800/I800,""),IF(AND(ISNUMBER(H800),H800&gt;0),M800/H800,"")))</f>
        <v/>
      </c>
      <c r="Q800" s="9">
        <f>IF(AND(ISNUMBER(M800),ISNUMBER(O800)),IF(M800&lt;=O800,"Valor ≤ venal IPTU",""),"")</f>
        <v/>
      </c>
      <c r="R800" s="10" t="n"/>
      <c r="S800" s="10" t="n"/>
      <c r="AA800" s="10" t="n"/>
      <c r="AB800" s="11">
        <f>IF(LEN(TRIM(X800))=0,"",HYPERLINK("https://www.google.com/maps/@?api=1&amp;map_action=pano&amp;viewpoint="&amp;SUBSTITUTE(X800," ",""),"Abrir Street View"))</f>
        <v/>
      </c>
    </row>
    <row r="801">
      <c r="H801" s="6" t="n"/>
      <c r="I801" s="6" t="n"/>
      <c r="M801" s="7" t="n"/>
      <c r="N801" s="7" t="n"/>
      <c r="O801" s="7" t="n"/>
      <c r="P801" s="8">
        <f>IF(NOT(ISNUMBER(M801)),"",IF(G801="Terreno",IF(AND(ISNUMBER(I801),I801&gt;0),M801/I801,""),IF(AND(ISNUMBER(H801),H801&gt;0),M801/H801,"")))</f>
        <v/>
      </c>
      <c r="Q801" s="9">
        <f>IF(AND(ISNUMBER(M801),ISNUMBER(O801)),IF(M801&lt;=O801,"Valor ≤ venal IPTU",""),"")</f>
        <v/>
      </c>
      <c r="R801" s="10" t="n"/>
      <c r="S801" s="10" t="n"/>
      <c r="AA801" s="10" t="n"/>
      <c r="AB801" s="11">
        <f>IF(LEN(TRIM(X801))=0,"",HYPERLINK("https://www.google.com/maps/@?api=1&amp;map_action=pano&amp;viewpoint="&amp;SUBSTITUTE(X801," ",""),"Abrir Street View"))</f>
        <v/>
      </c>
    </row>
    <row r="802">
      <c r="H802" s="6" t="n"/>
      <c r="I802" s="6" t="n"/>
      <c r="M802" s="7" t="n"/>
      <c r="N802" s="7" t="n"/>
      <c r="O802" s="7" t="n"/>
      <c r="P802" s="8">
        <f>IF(NOT(ISNUMBER(M802)),"",IF(G802="Terreno",IF(AND(ISNUMBER(I802),I802&gt;0),M802/I802,""),IF(AND(ISNUMBER(H802),H802&gt;0),M802/H802,"")))</f>
        <v/>
      </c>
      <c r="Q802" s="9">
        <f>IF(AND(ISNUMBER(M802),ISNUMBER(O802)),IF(M802&lt;=O802,"Valor ≤ venal IPTU",""),"")</f>
        <v/>
      </c>
      <c r="R802" s="10" t="n"/>
      <c r="S802" s="10" t="n"/>
      <c r="AA802" s="10" t="n"/>
      <c r="AB802" s="11">
        <f>IF(LEN(TRIM(X802))=0,"",HYPERLINK("https://www.google.com/maps/@?api=1&amp;map_action=pano&amp;viewpoint="&amp;SUBSTITUTE(X802," ",""),"Abrir Street View"))</f>
        <v/>
      </c>
    </row>
    <row r="803">
      <c r="H803" s="6" t="n"/>
      <c r="I803" s="6" t="n"/>
      <c r="M803" s="7" t="n"/>
      <c r="N803" s="7" t="n"/>
      <c r="O803" s="7" t="n"/>
      <c r="P803" s="8">
        <f>IF(NOT(ISNUMBER(M803)),"",IF(G803="Terreno",IF(AND(ISNUMBER(I803),I803&gt;0),M803/I803,""),IF(AND(ISNUMBER(H803),H803&gt;0),M803/H803,"")))</f>
        <v/>
      </c>
      <c r="Q803" s="9">
        <f>IF(AND(ISNUMBER(M803),ISNUMBER(O803)),IF(M803&lt;=O803,"Valor ≤ venal IPTU",""),"")</f>
        <v/>
      </c>
      <c r="R803" s="10" t="n"/>
      <c r="S803" s="10" t="n"/>
      <c r="AA803" s="10" t="n"/>
      <c r="AB803" s="11">
        <f>IF(LEN(TRIM(X803))=0,"",HYPERLINK("https://www.google.com/maps/@?api=1&amp;map_action=pano&amp;viewpoint="&amp;SUBSTITUTE(X803," ",""),"Abrir Street View"))</f>
        <v/>
      </c>
    </row>
    <row r="804">
      <c r="H804" s="6" t="n"/>
      <c r="I804" s="6" t="n"/>
      <c r="M804" s="7" t="n"/>
      <c r="N804" s="7" t="n"/>
      <c r="O804" s="7" t="n"/>
      <c r="P804" s="8">
        <f>IF(NOT(ISNUMBER(M804)),"",IF(G804="Terreno",IF(AND(ISNUMBER(I804),I804&gt;0),M804/I804,""),IF(AND(ISNUMBER(H804),H804&gt;0),M804/H804,"")))</f>
        <v/>
      </c>
      <c r="Q804" s="9">
        <f>IF(AND(ISNUMBER(M804),ISNUMBER(O804)),IF(M804&lt;=O804,"Valor ≤ venal IPTU",""),"")</f>
        <v/>
      </c>
      <c r="R804" s="10" t="n"/>
      <c r="S804" s="10" t="n"/>
      <c r="AA804" s="10" t="n"/>
      <c r="AB804" s="11">
        <f>IF(LEN(TRIM(X804))=0,"",HYPERLINK("https://www.google.com/maps/@?api=1&amp;map_action=pano&amp;viewpoint="&amp;SUBSTITUTE(X804," ",""),"Abrir Street View"))</f>
        <v/>
      </c>
    </row>
    <row r="805">
      <c r="H805" s="6" t="n"/>
      <c r="I805" s="6" t="n"/>
      <c r="M805" s="7" t="n"/>
      <c r="N805" s="7" t="n"/>
      <c r="O805" s="7" t="n"/>
      <c r="P805" s="8">
        <f>IF(NOT(ISNUMBER(M805)),"",IF(G805="Terreno",IF(AND(ISNUMBER(I805),I805&gt;0),M805/I805,""),IF(AND(ISNUMBER(H805),H805&gt;0),M805/H805,"")))</f>
        <v/>
      </c>
      <c r="Q805" s="9">
        <f>IF(AND(ISNUMBER(M805),ISNUMBER(O805)),IF(M805&lt;=O805,"Valor ≤ venal IPTU",""),"")</f>
        <v/>
      </c>
      <c r="R805" s="10" t="n"/>
      <c r="S805" s="10" t="n"/>
      <c r="AA805" s="10" t="n"/>
      <c r="AB805" s="11">
        <f>IF(LEN(TRIM(X805))=0,"",HYPERLINK("https://www.google.com/maps/@?api=1&amp;map_action=pano&amp;viewpoint="&amp;SUBSTITUTE(X805," ",""),"Abrir Street View"))</f>
        <v/>
      </c>
    </row>
    <row r="806">
      <c r="H806" s="6" t="n"/>
      <c r="I806" s="6" t="n"/>
      <c r="M806" s="7" t="n"/>
      <c r="N806" s="7" t="n"/>
      <c r="O806" s="7" t="n"/>
      <c r="P806" s="8">
        <f>IF(NOT(ISNUMBER(M806)),"",IF(G806="Terreno",IF(AND(ISNUMBER(I806),I806&gt;0),M806/I806,""),IF(AND(ISNUMBER(H806),H806&gt;0),M806/H806,"")))</f>
        <v/>
      </c>
      <c r="Q806" s="9">
        <f>IF(AND(ISNUMBER(M806),ISNUMBER(O806)),IF(M806&lt;=O806,"Valor ≤ venal IPTU",""),"")</f>
        <v/>
      </c>
      <c r="R806" s="10" t="n"/>
      <c r="S806" s="10" t="n"/>
      <c r="AA806" s="10" t="n"/>
      <c r="AB806" s="11">
        <f>IF(LEN(TRIM(X806))=0,"",HYPERLINK("https://www.google.com/maps/@?api=1&amp;map_action=pano&amp;viewpoint="&amp;SUBSTITUTE(X806," ",""),"Abrir Street View"))</f>
        <v/>
      </c>
    </row>
    <row r="807">
      <c r="H807" s="6" t="n"/>
      <c r="I807" s="6" t="n"/>
      <c r="M807" s="7" t="n"/>
      <c r="N807" s="7" t="n"/>
      <c r="O807" s="7" t="n"/>
      <c r="P807" s="8">
        <f>IF(NOT(ISNUMBER(M807)),"",IF(G807="Terreno",IF(AND(ISNUMBER(I807),I807&gt;0),M807/I807,""),IF(AND(ISNUMBER(H807),H807&gt;0),M807/H807,"")))</f>
        <v/>
      </c>
      <c r="Q807" s="9">
        <f>IF(AND(ISNUMBER(M807),ISNUMBER(O807)),IF(M807&lt;=O807,"Valor ≤ venal IPTU",""),"")</f>
        <v/>
      </c>
      <c r="R807" s="10" t="n"/>
      <c r="S807" s="10" t="n"/>
      <c r="AA807" s="10" t="n"/>
      <c r="AB807" s="11">
        <f>IF(LEN(TRIM(X807))=0,"",HYPERLINK("https://www.google.com/maps/@?api=1&amp;map_action=pano&amp;viewpoint="&amp;SUBSTITUTE(X807," ",""),"Abrir Street View"))</f>
        <v/>
      </c>
    </row>
    <row r="808">
      <c r="H808" s="6" t="n"/>
      <c r="I808" s="6" t="n"/>
      <c r="M808" s="7" t="n"/>
      <c r="N808" s="7" t="n"/>
      <c r="O808" s="7" t="n"/>
      <c r="P808" s="8">
        <f>IF(NOT(ISNUMBER(M808)),"",IF(G808="Terreno",IF(AND(ISNUMBER(I808),I808&gt;0),M808/I808,""),IF(AND(ISNUMBER(H808),H808&gt;0),M808/H808,"")))</f>
        <v/>
      </c>
      <c r="Q808" s="9">
        <f>IF(AND(ISNUMBER(M808),ISNUMBER(O808)),IF(M808&lt;=O808,"Valor ≤ venal IPTU",""),"")</f>
        <v/>
      </c>
      <c r="R808" s="10" t="n"/>
      <c r="S808" s="10" t="n"/>
      <c r="AA808" s="10" t="n"/>
      <c r="AB808" s="11">
        <f>IF(LEN(TRIM(X808))=0,"",HYPERLINK("https://www.google.com/maps/@?api=1&amp;map_action=pano&amp;viewpoint="&amp;SUBSTITUTE(X808," ",""),"Abrir Street View"))</f>
        <v/>
      </c>
    </row>
    <row r="809">
      <c r="H809" s="6" t="n"/>
      <c r="I809" s="6" t="n"/>
      <c r="M809" s="7" t="n"/>
      <c r="N809" s="7" t="n"/>
      <c r="O809" s="7" t="n"/>
      <c r="P809" s="8">
        <f>IF(NOT(ISNUMBER(M809)),"",IF(G809="Terreno",IF(AND(ISNUMBER(I809),I809&gt;0),M809/I809,""),IF(AND(ISNUMBER(H809),H809&gt;0),M809/H809,"")))</f>
        <v/>
      </c>
      <c r="Q809" s="9">
        <f>IF(AND(ISNUMBER(M809),ISNUMBER(O809)),IF(M809&lt;=O809,"Valor ≤ venal IPTU",""),"")</f>
        <v/>
      </c>
      <c r="R809" s="10" t="n"/>
      <c r="S809" s="10" t="n"/>
      <c r="AA809" s="10" t="n"/>
      <c r="AB809" s="11">
        <f>IF(LEN(TRIM(X809))=0,"",HYPERLINK("https://www.google.com/maps/@?api=1&amp;map_action=pano&amp;viewpoint="&amp;SUBSTITUTE(X809," ",""),"Abrir Street View"))</f>
        <v/>
      </c>
    </row>
    <row r="810">
      <c r="H810" s="6" t="n"/>
      <c r="I810" s="6" t="n"/>
      <c r="M810" s="7" t="n"/>
      <c r="N810" s="7" t="n"/>
      <c r="O810" s="7" t="n"/>
      <c r="P810" s="8">
        <f>IF(NOT(ISNUMBER(M810)),"",IF(G810="Terreno",IF(AND(ISNUMBER(I810),I810&gt;0),M810/I810,""),IF(AND(ISNUMBER(H810),H810&gt;0),M810/H810,"")))</f>
        <v/>
      </c>
      <c r="Q810" s="9">
        <f>IF(AND(ISNUMBER(M810),ISNUMBER(O810)),IF(M810&lt;=O810,"Valor ≤ venal IPTU",""),"")</f>
        <v/>
      </c>
      <c r="R810" s="10" t="n"/>
      <c r="S810" s="10" t="n"/>
      <c r="AA810" s="10" t="n"/>
      <c r="AB810" s="11">
        <f>IF(LEN(TRIM(X810))=0,"",HYPERLINK("https://www.google.com/maps/@?api=1&amp;map_action=pano&amp;viewpoint="&amp;SUBSTITUTE(X810," ",""),"Abrir Street View"))</f>
        <v/>
      </c>
    </row>
    <row r="811">
      <c r="H811" s="6" t="n"/>
      <c r="I811" s="6" t="n"/>
      <c r="M811" s="7" t="n"/>
      <c r="N811" s="7" t="n"/>
      <c r="O811" s="7" t="n"/>
      <c r="P811" s="8">
        <f>IF(NOT(ISNUMBER(M811)),"",IF(G811="Terreno",IF(AND(ISNUMBER(I811),I811&gt;0),M811/I811,""),IF(AND(ISNUMBER(H811),H811&gt;0),M811/H811,"")))</f>
        <v/>
      </c>
      <c r="Q811" s="9">
        <f>IF(AND(ISNUMBER(M811),ISNUMBER(O811)),IF(M811&lt;=O811,"Valor ≤ venal IPTU",""),"")</f>
        <v/>
      </c>
      <c r="R811" s="10" t="n"/>
      <c r="S811" s="10" t="n"/>
      <c r="AA811" s="10" t="n"/>
      <c r="AB811" s="11">
        <f>IF(LEN(TRIM(X811))=0,"",HYPERLINK("https://www.google.com/maps/@?api=1&amp;map_action=pano&amp;viewpoint="&amp;SUBSTITUTE(X811," ",""),"Abrir Street View"))</f>
        <v/>
      </c>
    </row>
    <row r="812">
      <c r="H812" s="6" t="n"/>
      <c r="I812" s="6" t="n"/>
      <c r="M812" s="7" t="n"/>
      <c r="N812" s="7" t="n"/>
      <c r="O812" s="7" t="n"/>
      <c r="P812" s="8">
        <f>IF(NOT(ISNUMBER(M812)),"",IF(G812="Terreno",IF(AND(ISNUMBER(I812),I812&gt;0),M812/I812,""),IF(AND(ISNUMBER(H812),H812&gt;0),M812/H812,"")))</f>
        <v/>
      </c>
      <c r="Q812" s="9">
        <f>IF(AND(ISNUMBER(M812),ISNUMBER(O812)),IF(M812&lt;=O812,"Valor ≤ venal IPTU",""),"")</f>
        <v/>
      </c>
      <c r="R812" s="10" t="n"/>
      <c r="S812" s="10" t="n"/>
      <c r="AA812" s="10" t="n"/>
      <c r="AB812" s="11">
        <f>IF(LEN(TRIM(X812))=0,"",HYPERLINK("https://www.google.com/maps/@?api=1&amp;map_action=pano&amp;viewpoint="&amp;SUBSTITUTE(X812," ",""),"Abrir Street View"))</f>
        <v/>
      </c>
    </row>
    <row r="813">
      <c r="H813" s="6" t="n"/>
      <c r="I813" s="6" t="n"/>
      <c r="M813" s="7" t="n"/>
      <c r="N813" s="7" t="n"/>
      <c r="O813" s="7" t="n"/>
      <c r="P813" s="8">
        <f>IF(NOT(ISNUMBER(M813)),"",IF(G813="Terreno",IF(AND(ISNUMBER(I813),I813&gt;0),M813/I813,""),IF(AND(ISNUMBER(H813),H813&gt;0),M813/H813,"")))</f>
        <v/>
      </c>
      <c r="Q813" s="9">
        <f>IF(AND(ISNUMBER(M813),ISNUMBER(O813)),IF(M813&lt;=O813,"Valor ≤ venal IPTU",""),"")</f>
        <v/>
      </c>
      <c r="R813" s="10" t="n"/>
      <c r="S813" s="10" t="n"/>
      <c r="AA813" s="10" t="n"/>
      <c r="AB813" s="11">
        <f>IF(LEN(TRIM(X813))=0,"",HYPERLINK("https://www.google.com/maps/@?api=1&amp;map_action=pano&amp;viewpoint="&amp;SUBSTITUTE(X813," ",""),"Abrir Street View"))</f>
        <v/>
      </c>
    </row>
    <row r="814">
      <c r="H814" s="6" t="n"/>
      <c r="I814" s="6" t="n"/>
      <c r="M814" s="7" t="n"/>
      <c r="N814" s="7" t="n"/>
      <c r="O814" s="7" t="n"/>
      <c r="P814" s="8">
        <f>IF(NOT(ISNUMBER(M814)),"",IF(G814="Terreno",IF(AND(ISNUMBER(I814),I814&gt;0),M814/I814,""),IF(AND(ISNUMBER(H814),H814&gt;0),M814/H814,"")))</f>
        <v/>
      </c>
      <c r="Q814" s="9">
        <f>IF(AND(ISNUMBER(M814),ISNUMBER(O814)),IF(M814&lt;=O814,"Valor ≤ venal IPTU",""),"")</f>
        <v/>
      </c>
      <c r="R814" s="10" t="n"/>
      <c r="S814" s="10" t="n"/>
      <c r="AA814" s="10" t="n"/>
      <c r="AB814" s="11">
        <f>IF(LEN(TRIM(X814))=0,"",HYPERLINK("https://www.google.com/maps/@?api=1&amp;map_action=pano&amp;viewpoint="&amp;SUBSTITUTE(X814," ",""),"Abrir Street View"))</f>
        <v/>
      </c>
    </row>
    <row r="815">
      <c r="H815" s="6" t="n"/>
      <c r="I815" s="6" t="n"/>
      <c r="M815" s="7" t="n"/>
      <c r="N815" s="7" t="n"/>
      <c r="O815" s="7" t="n"/>
      <c r="P815" s="8">
        <f>IF(NOT(ISNUMBER(M815)),"",IF(G815="Terreno",IF(AND(ISNUMBER(I815),I815&gt;0),M815/I815,""),IF(AND(ISNUMBER(H815),H815&gt;0),M815/H815,"")))</f>
        <v/>
      </c>
      <c r="Q815" s="9">
        <f>IF(AND(ISNUMBER(M815),ISNUMBER(O815)),IF(M815&lt;=O815,"Valor ≤ venal IPTU",""),"")</f>
        <v/>
      </c>
      <c r="R815" s="10" t="n"/>
      <c r="S815" s="10" t="n"/>
      <c r="AA815" s="10" t="n"/>
      <c r="AB815" s="11">
        <f>IF(LEN(TRIM(X815))=0,"",HYPERLINK("https://www.google.com/maps/@?api=1&amp;map_action=pano&amp;viewpoint="&amp;SUBSTITUTE(X815," ",""),"Abrir Street View"))</f>
        <v/>
      </c>
    </row>
    <row r="816">
      <c r="H816" s="6" t="n"/>
      <c r="I816" s="6" t="n"/>
      <c r="M816" s="7" t="n"/>
      <c r="N816" s="7" t="n"/>
      <c r="O816" s="7" t="n"/>
      <c r="P816" s="8">
        <f>IF(NOT(ISNUMBER(M816)),"",IF(G816="Terreno",IF(AND(ISNUMBER(I816),I816&gt;0),M816/I816,""),IF(AND(ISNUMBER(H816),H816&gt;0),M816/H816,"")))</f>
        <v/>
      </c>
      <c r="Q816" s="9">
        <f>IF(AND(ISNUMBER(M816),ISNUMBER(O816)),IF(M816&lt;=O816,"Valor ≤ venal IPTU",""),"")</f>
        <v/>
      </c>
      <c r="R816" s="10" t="n"/>
      <c r="S816" s="10" t="n"/>
      <c r="AA816" s="10" t="n"/>
      <c r="AB816" s="11">
        <f>IF(LEN(TRIM(X816))=0,"",HYPERLINK("https://www.google.com/maps/@?api=1&amp;map_action=pano&amp;viewpoint="&amp;SUBSTITUTE(X816," ",""),"Abrir Street View"))</f>
        <v/>
      </c>
    </row>
    <row r="817">
      <c r="H817" s="6" t="n"/>
      <c r="I817" s="6" t="n"/>
      <c r="M817" s="7" t="n"/>
      <c r="N817" s="7" t="n"/>
      <c r="O817" s="7" t="n"/>
      <c r="P817" s="8">
        <f>IF(NOT(ISNUMBER(M817)),"",IF(G817="Terreno",IF(AND(ISNUMBER(I817),I817&gt;0),M817/I817,""),IF(AND(ISNUMBER(H817),H817&gt;0),M817/H817,"")))</f>
        <v/>
      </c>
      <c r="Q817" s="9">
        <f>IF(AND(ISNUMBER(M817),ISNUMBER(O817)),IF(M817&lt;=O817,"Valor ≤ venal IPTU",""),"")</f>
        <v/>
      </c>
      <c r="R817" s="10" t="n"/>
      <c r="S817" s="10" t="n"/>
      <c r="AA817" s="10" t="n"/>
      <c r="AB817" s="11">
        <f>IF(LEN(TRIM(X817))=0,"",HYPERLINK("https://www.google.com/maps/@?api=1&amp;map_action=pano&amp;viewpoint="&amp;SUBSTITUTE(X817," ",""),"Abrir Street View"))</f>
        <v/>
      </c>
    </row>
    <row r="818">
      <c r="H818" s="6" t="n"/>
      <c r="I818" s="6" t="n"/>
      <c r="M818" s="7" t="n"/>
      <c r="N818" s="7" t="n"/>
      <c r="O818" s="7" t="n"/>
      <c r="P818" s="8">
        <f>IF(NOT(ISNUMBER(M818)),"",IF(G818="Terreno",IF(AND(ISNUMBER(I818),I818&gt;0),M818/I818,""),IF(AND(ISNUMBER(H818),H818&gt;0),M818/H818,"")))</f>
        <v/>
      </c>
      <c r="Q818" s="9">
        <f>IF(AND(ISNUMBER(M818),ISNUMBER(O818)),IF(M818&lt;=O818,"Valor ≤ venal IPTU",""),"")</f>
        <v/>
      </c>
      <c r="R818" s="10" t="n"/>
      <c r="S818" s="10" t="n"/>
      <c r="AA818" s="10" t="n"/>
      <c r="AB818" s="11">
        <f>IF(LEN(TRIM(X818))=0,"",HYPERLINK("https://www.google.com/maps/@?api=1&amp;map_action=pano&amp;viewpoint="&amp;SUBSTITUTE(X818," ",""),"Abrir Street View"))</f>
        <v/>
      </c>
    </row>
    <row r="819">
      <c r="H819" s="6" t="n"/>
      <c r="I819" s="6" t="n"/>
      <c r="M819" s="7" t="n"/>
      <c r="N819" s="7" t="n"/>
      <c r="O819" s="7" t="n"/>
      <c r="P819" s="8">
        <f>IF(NOT(ISNUMBER(M819)),"",IF(G819="Terreno",IF(AND(ISNUMBER(I819),I819&gt;0),M819/I819,""),IF(AND(ISNUMBER(H819),H819&gt;0),M819/H819,"")))</f>
        <v/>
      </c>
      <c r="Q819" s="9">
        <f>IF(AND(ISNUMBER(M819),ISNUMBER(O819)),IF(M819&lt;=O819,"Valor ≤ venal IPTU",""),"")</f>
        <v/>
      </c>
      <c r="R819" s="10" t="n"/>
      <c r="S819" s="10" t="n"/>
      <c r="AA819" s="10" t="n"/>
      <c r="AB819" s="11">
        <f>IF(LEN(TRIM(X819))=0,"",HYPERLINK("https://www.google.com/maps/@?api=1&amp;map_action=pano&amp;viewpoint="&amp;SUBSTITUTE(X819," ",""),"Abrir Street View"))</f>
        <v/>
      </c>
    </row>
    <row r="820">
      <c r="H820" s="6" t="n"/>
      <c r="I820" s="6" t="n"/>
      <c r="M820" s="7" t="n"/>
      <c r="N820" s="7" t="n"/>
      <c r="O820" s="7" t="n"/>
      <c r="P820" s="8">
        <f>IF(NOT(ISNUMBER(M820)),"",IF(G820="Terreno",IF(AND(ISNUMBER(I820),I820&gt;0),M820/I820,""),IF(AND(ISNUMBER(H820),H820&gt;0),M820/H820,"")))</f>
        <v/>
      </c>
      <c r="Q820" s="9">
        <f>IF(AND(ISNUMBER(M820),ISNUMBER(O820)),IF(M820&lt;=O820,"Valor ≤ venal IPTU",""),"")</f>
        <v/>
      </c>
      <c r="R820" s="10" t="n"/>
      <c r="S820" s="10" t="n"/>
      <c r="AA820" s="10" t="n"/>
      <c r="AB820" s="11">
        <f>IF(LEN(TRIM(X820))=0,"",HYPERLINK("https://www.google.com/maps/@?api=1&amp;map_action=pano&amp;viewpoint="&amp;SUBSTITUTE(X820," ",""),"Abrir Street View"))</f>
        <v/>
      </c>
    </row>
    <row r="821">
      <c r="H821" s="6" t="n"/>
      <c r="I821" s="6" t="n"/>
      <c r="M821" s="7" t="n"/>
      <c r="N821" s="7" t="n"/>
      <c r="O821" s="7" t="n"/>
      <c r="P821" s="8">
        <f>IF(NOT(ISNUMBER(M821)),"",IF(G821="Terreno",IF(AND(ISNUMBER(I821),I821&gt;0),M821/I821,""),IF(AND(ISNUMBER(H821),H821&gt;0),M821/H821,"")))</f>
        <v/>
      </c>
      <c r="Q821" s="9">
        <f>IF(AND(ISNUMBER(M821),ISNUMBER(O821)),IF(M821&lt;=O821,"Valor ≤ venal IPTU",""),"")</f>
        <v/>
      </c>
      <c r="R821" s="10" t="n"/>
      <c r="S821" s="10" t="n"/>
      <c r="AA821" s="10" t="n"/>
      <c r="AB821" s="11">
        <f>IF(LEN(TRIM(X821))=0,"",HYPERLINK("https://www.google.com/maps/@?api=1&amp;map_action=pano&amp;viewpoint="&amp;SUBSTITUTE(X821," ",""),"Abrir Street View"))</f>
        <v/>
      </c>
    </row>
    <row r="822">
      <c r="H822" s="6" t="n"/>
      <c r="I822" s="6" t="n"/>
      <c r="M822" s="7" t="n"/>
      <c r="N822" s="7" t="n"/>
      <c r="O822" s="7" t="n"/>
      <c r="P822" s="8">
        <f>IF(NOT(ISNUMBER(M822)),"",IF(G822="Terreno",IF(AND(ISNUMBER(I822),I822&gt;0),M822/I822,""),IF(AND(ISNUMBER(H822),H822&gt;0),M822/H822,"")))</f>
        <v/>
      </c>
      <c r="Q822" s="9">
        <f>IF(AND(ISNUMBER(M822),ISNUMBER(O822)),IF(M822&lt;=O822,"Valor ≤ venal IPTU",""),"")</f>
        <v/>
      </c>
      <c r="R822" s="10" t="n"/>
      <c r="S822" s="10" t="n"/>
      <c r="AA822" s="10" t="n"/>
      <c r="AB822" s="11">
        <f>IF(LEN(TRIM(X822))=0,"",HYPERLINK("https://www.google.com/maps/@?api=1&amp;map_action=pano&amp;viewpoint="&amp;SUBSTITUTE(X822," ",""),"Abrir Street View"))</f>
        <v/>
      </c>
    </row>
    <row r="823">
      <c r="H823" s="6" t="n"/>
      <c r="I823" s="6" t="n"/>
      <c r="M823" s="7" t="n"/>
      <c r="N823" s="7" t="n"/>
      <c r="O823" s="7" t="n"/>
      <c r="P823" s="8">
        <f>IF(NOT(ISNUMBER(M823)),"",IF(G823="Terreno",IF(AND(ISNUMBER(I823),I823&gt;0),M823/I823,""),IF(AND(ISNUMBER(H823),H823&gt;0),M823/H823,"")))</f>
        <v/>
      </c>
      <c r="Q823" s="9">
        <f>IF(AND(ISNUMBER(M823),ISNUMBER(O823)),IF(M823&lt;=O823,"Valor ≤ venal IPTU",""),"")</f>
        <v/>
      </c>
      <c r="R823" s="10" t="n"/>
      <c r="S823" s="10" t="n"/>
      <c r="AA823" s="10" t="n"/>
      <c r="AB823" s="11">
        <f>IF(LEN(TRIM(X823))=0,"",HYPERLINK("https://www.google.com/maps/@?api=1&amp;map_action=pano&amp;viewpoint="&amp;SUBSTITUTE(X823," ",""),"Abrir Street View"))</f>
        <v/>
      </c>
    </row>
    <row r="824">
      <c r="H824" s="6" t="n"/>
      <c r="I824" s="6" t="n"/>
      <c r="M824" s="7" t="n"/>
      <c r="N824" s="7" t="n"/>
      <c r="O824" s="7" t="n"/>
      <c r="P824" s="8">
        <f>IF(NOT(ISNUMBER(M824)),"",IF(G824="Terreno",IF(AND(ISNUMBER(I824),I824&gt;0),M824/I824,""),IF(AND(ISNUMBER(H824),H824&gt;0),M824/H824,"")))</f>
        <v/>
      </c>
      <c r="Q824" s="9">
        <f>IF(AND(ISNUMBER(M824),ISNUMBER(O824)),IF(M824&lt;=O824,"Valor ≤ venal IPTU",""),"")</f>
        <v/>
      </c>
      <c r="R824" s="10" t="n"/>
      <c r="S824" s="10" t="n"/>
      <c r="AA824" s="10" t="n"/>
      <c r="AB824" s="11">
        <f>IF(LEN(TRIM(X824))=0,"",HYPERLINK("https://www.google.com/maps/@?api=1&amp;map_action=pano&amp;viewpoint="&amp;SUBSTITUTE(X824," ",""),"Abrir Street View"))</f>
        <v/>
      </c>
    </row>
    <row r="825">
      <c r="H825" s="6" t="n"/>
      <c r="I825" s="6" t="n"/>
      <c r="M825" s="7" t="n"/>
      <c r="N825" s="7" t="n"/>
      <c r="O825" s="7" t="n"/>
      <c r="P825" s="8">
        <f>IF(NOT(ISNUMBER(M825)),"",IF(G825="Terreno",IF(AND(ISNUMBER(I825),I825&gt;0),M825/I825,""),IF(AND(ISNUMBER(H825),H825&gt;0),M825/H825,"")))</f>
        <v/>
      </c>
      <c r="Q825" s="9">
        <f>IF(AND(ISNUMBER(M825),ISNUMBER(O825)),IF(M825&lt;=O825,"Valor ≤ venal IPTU",""),"")</f>
        <v/>
      </c>
      <c r="R825" s="10" t="n"/>
      <c r="S825" s="10" t="n"/>
      <c r="AA825" s="10" t="n"/>
      <c r="AB825" s="11">
        <f>IF(LEN(TRIM(X825))=0,"",HYPERLINK("https://www.google.com/maps/@?api=1&amp;map_action=pano&amp;viewpoint="&amp;SUBSTITUTE(X825," ",""),"Abrir Street View"))</f>
        <v/>
      </c>
    </row>
    <row r="826">
      <c r="H826" s="6" t="n"/>
      <c r="I826" s="6" t="n"/>
      <c r="M826" s="7" t="n"/>
      <c r="N826" s="7" t="n"/>
      <c r="O826" s="7" t="n"/>
      <c r="P826" s="8">
        <f>IF(NOT(ISNUMBER(M826)),"",IF(G826="Terreno",IF(AND(ISNUMBER(I826),I826&gt;0),M826/I826,""),IF(AND(ISNUMBER(H826),H826&gt;0),M826/H826,"")))</f>
        <v/>
      </c>
      <c r="Q826" s="9">
        <f>IF(AND(ISNUMBER(M826),ISNUMBER(O826)),IF(M826&lt;=O826,"Valor ≤ venal IPTU",""),"")</f>
        <v/>
      </c>
      <c r="R826" s="10" t="n"/>
      <c r="S826" s="10" t="n"/>
      <c r="AA826" s="10" t="n"/>
      <c r="AB826" s="11">
        <f>IF(LEN(TRIM(X826))=0,"",HYPERLINK("https://www.google.com/maps/@?api=1&amp;map_action=pano&amp;viewpoint="&amp;SUBSTITUTE(X826," ",""),"Abrir Street View"))</f>
        <v/>
      </c>
    </row>
    <row r="827">
      <c r="H827" s="6" t="n"/>
      <c r="I827" s="6" t="n"/>
      <c r="M827" s="7" t="n"/>
      <c r="N827" s="7" t="n"/>
      <c r="O827" s="7" t="n"/>
      <c r="P827" s="8">
        <f>IF(NOT(ISNUMBER(M827)),"",IF(G827="Terreno",IF(AND(ISNUMBER(I827),I827&gt;0),M827/I827,""),IF(AND(ISNUMBER(H827),H827&gt;0),M827/H827,"")))</f>
        <v/>
      </c>
      <c r="Q827" s="9">
        <f>IF(AND(ISNUMBER(M827),ISNUMBER(O827)),IF(M827&lt;=O827,"Valor ≤ venal IPTU",""),"")</f>
        <v/>
      </c>
      <c r="R827" s="10" t="n"/>
      <c r="S827" s="10" t="n"/>
      <c r="AA827" s="10" t="n"/>
      <c r="AB827" s="11">
        <f>IF(LEN(TRIM(X827))=0,"",HYPERLINK("https://www.google.com/maps/@?api=1&amp;map_action=pano&amp;viewpoint="&amp;SUBSTITUTE(X827," ",""),"Abrir Street View"))</f>
        <v/>
      </c>
    </row>
    <row r="828">
      <c r="H828" s="6" t="n"/>
      <c r="I828" s="6" t="n"/>
      <c r="M828" s="7" t="n"/>
      <c r="N828" s="7" t="n"/>
      <c r="O828" s="7" t="n"/>
      <c r="P828" s="8">
        <f>IF(NOT(ISNUMBER(M828)),"",IF(G828="Terreno",IF(AND(ISNUMBER(I828),I828&gt;0),M828/I828,""),IF(AND(ISNUMBER(H828),H828&gt;0),M828/H828,"")))</f>
        <v/>
      </c>
      <c r="Q828" s="9">
        <f>IF(AND(ISNUMBER(M828),ISNUMBER(O828)),IF(M828&lt;=O828,"Valor ≤ venal IPTU",""),"")</f>
        <v/>
      </c>
      <c r="R828" s="10" t="n"/>
      <c r="S828" s="10" t="n"/>
      <c r="AA828" s="10" t="n"/>
      <c r="AB828" s="11">
        <f>IF(LEN(TRIM(X828))=0,"",HYPERLINK("https://www.google.com/maps/@?api=1&amp;map_action=pano&amp;viewpoint="&amp;SUBSTITUTE(X828," ",""),"Abrir Street View"))</f>
        <v/>
      </c>
    </row>
    <row r="829">
      <c r="H829" s="6" t="n"/>
      <c r="I829" s="6" t="n"/>
      <c r="M829" s="7" t="n"/>
      <c r="N829" s="7" t="n"/>
      <c r="O829" s="7" t="n"/>
      <c r="P829" s="8">
        <f>IF(NOT(ISNUMBER(M829)),"",IF(G829="Terreno",IF(AND(ISNUMBER(I829),I829&gt;0),M829/I829,""),IF(AND(ISNUMBER(H829),H829&gt;0),M829/H829,"")))</f>
        <v/>
      </c>
      <c r="Q829" s="9">
        <f>IF(AND(ISNUMBER(M829),ISNUMBER(O829)),IF(M829&lt;=O829,"Valor ≤ venal IPTU",""),"")</f>
        <v/>
      </c>
      <c r="R829" s="10" t="n"/>
      <c r="S829" s="10" t="n"/>
      <c r="AA829" s="10" t="n"/>
      <c r="AB829" s="11">
        <f>IF(LEN(TRIM(X829))=0,"",HYPERLINK("https://www.google.com/maps/@?api=1&amp;map_action=pano&amp;viewpoint="&amp;SUBSTITUTE(X829," ",""),"Abrir Street View"))</f>
        <v/>
      </c>
    </row>
    <row r="830">
      <c r="H830" s="6" t="n"/>
      <c r="I830" s="6" t="n"/>
      <c r="M830" s="7" t="n"/>
      <c r="N830" s="7" t="n"/>
      <c r="O830" s="7" t="n"/>
      <c r="P830" s="8">
        <f>IF(NOT(ISNUMBER(M830)),"",IF(G830="Terreno",IF(AND(ISNUMBER(I830),I830&gt;0),M830/I830,""),IF(AND(ISNUMBER(H830),H830&gt;0),M830/H830,"")))</f>
        <v/>
      </c>
      <c r="Q830" s="9">
        <f>IF(AND(ISNUMBER(M830),ISNUMBER(O830)),IF(M830&lt;=O830,"Valor ≤ venal IPTU",""),"")</f>
        <v/>
      </c>
      <c r="R830" s="10" t="n"/>
      <c r="S830" s="10" t="n"/>
      <c r="AA830" s="10" t="n"/>
      <c r="AB830" s="11">
        <f>IF(LEN(TRIM(X830))=0,"",HYPERLINK("https://www.google.com/maps/@?api=1&amp;map_action=pano&amp;viewpoint="&amp;SUBSTITUTE(X830," ",""),"Abrir Street View"))</f>
        <v/>
      </c>
    </row>
    <row r="831">
      <c r="H831" s="6" t="n"/>
      <c r="I831" s="6" t="n"/>
      <c r="M831" s="7" t="n"/>
      <c r="N831" s="7" t="n"/>
      <c r="O831" s="7" t="n"/>
      <c r="P831" s="8">
        <f>IF(NOT(ISNUMBER(M831)),"",IF(G831="Terreno",IF(AND(ISNUMBER(I831),I831&gt;0),M831/I831,""),IF(AND(ISNUMBER(H831),H831&gt;0),M831/H831,"")))</f>
        <v/>
      </c>
      <c r="Q831" s="9">
        <f>IF(AND(ISNUMBER(M831),ISNUMBER(O831)),IF(M831&lt;=O831,"Valor ≤ venal IPTU",""),"")</f>
        <v/>
      </c>
      <c r="R831" s="10" t="n"/>
      <c r="S831" s="10" t="n"/>
      <c r="AA831" s="10" t="n"/>
      <c r="AB831" s="11">
        <f>IF(LEN(TRIM(X831))=0,"",HYPERLINK("https://www.google.com/maps/@?api=1&amp;map_action=pano&amp;viewpoint="&amp;SUBSTITUTE(X831," ",""),"Abrir Street View"))</f>
        <v/>
      </c>
    </row>
    <row r="832">
      <c r="H832" s="6" t="n"/>
      <c r="I832" s="6" t="n"/>
      <c r="M832" s="7" t="n"/>
      <c r="N832" s="7" t="n"/>
      <c r="O832" s="7" t="n"/>
      <c r="P832" s="8">
        <f>IF(NOT(ISNUMBER(M832)),"",IF(G832="Terreno",IF(AND(ISNUMBER(I832),I832&gt;0),M832/I832,""),IF(AND(ISNUMBER(H832),H832&gt;0),M832/H832,"")))</f>
        <v/>
      </c>
      <c r="Q832" s="9">
        <f>IF(AND(ISNUMBER(M832),ISNUMBER(O832)),IF(M832&lt;=O832,"Valor ≤ venal IPTU",""),"")</f>
        <v/>
      </c>
      <c r="R832" s="10" t="n"/>
      <c r="S832" s="10" t="n"/>
      <c r="AA832" s="10" t="n"/>
      <c r="AB832" s="11">
        <f>IF(LEN(TRIM(X832))=0,"",HYPERLINK("https://www.google.com/maps/@?api=1&amp;map_action=pano&amp;viewpoint="&amp;SUBSTITUTE(X832," ",""),"Abrir Street View"))</f>
        <v/>
      </c>
    </row>
    <row r="833">
      <c r="H833" s="6" t="n"/>
      <c r="I833" s="6" t="n"/>
      <c r="M833" s="7" t="n"/>
      <c r="N833" s="7" t="n"/>
      <c r="O833" s="7" t="n"/>
      <c r="P833" s="8">
        <f>IF(NOT(ISNUMBER(M833)),"",IF(G833="Terreno",IF(AND(ISNUMBER(I833),I833&gt;0),M833/I833,""),IF(AND(ISNUMBER(H833),H833&gt;0),M833/H833,"")))</f>
        <v/>
      </c>
      <c r="Q833" s="9">
        <f>IF(AND(ISNUMBER(M833),ISNUMBER(O833)),IF(M833&lt;=O833,"Valor ≤ venal IPTU",""),"")</f>
        <v/>
      </c>
      <c r="R833" s="10" t="n"/>
      <c r="S833" s="10" t="n"/>
      <c r="AA833" s="10" t="n"/>
      <c r="AB833" s="11">
        <f>IF(LEN(TRIM(X833))=0,"",HYPERLINK("https://www.google.com/maps/@?api=1&amp;map_action=pano&amp;viewpoint="&amp;SUBSTITUTE(X833," ",""),"Abrir Street View"))</f>
        <v/>
      </c>
    </row>
    <row r="834">
      <c r="H834" s="6" t="n"/>
      <c r="I834" s="6" t="n"/>
      <c r="M834" s="7" t="n"/>
      <c r="N834" s="7" t="n"/>
      <c r="O834" s="7" t="n"/>
      <c r="P834" s="8">
        <f>IF(NOT(ISNUMBER(M834)),"",IF(G834="Terreno",IF(AND(ISNUMBER(I834),I834&gt;0),M834/I834,""),IF(AND(ISNUMBER(H834),H834&gt;0),M834/H834,"")))</f>
        <v/>
      </c>
      <c r="Q834" s="9">
        <f>IF(AND(ISNUMBER(M834),ISNUMBER(O834)),IF(M834&lt;=O834,"Valor ≤ venal IPTU",""),"")</f>
        <v/>
      </c>
      <c r="R834" s="10" t="n"/>
      <c r="S834" s="10" t="n"/>
      <c r="AA834" s="10" t="n"/>
      <c r="AB834" s="11">
        <f>IF(LEN(TRIM(X834))=0,"",HYPERLINK("https://www.google.com/maps/@?api=1&amp;map_action=pano&amp;viewpoint="&amp;SUBSTITUTE(X834," ",""),"Abrir Street View"))</f>
        <v/>
      </c>
    </row>
    <row r="835">
      <c r="H835" s="6" t="n"/>
      <c r="I835" s="6" t="n"/>
      <c r="M835" s="7" t="n"/>
      <c r="N835" s="7" t="n"/>
      <c r="O835" s="7" t="n"/>
      <c r="P835" s="8">
        <f>IF(NOT(ISNUMBER(M835)),"",IF(G835="Terreno",IF(AND(ISNUMBER(I835),I835&gt;0),M835/I835,""),IF(AND(ISNUMBER(H835),H835&gt;0),M835/H835,"")))</f>
        <v/>
      </c>
      <c r="Q835" s="9">
        <f>IF(AND(ISNUMBER(M835),ISNUMBER(O835)),IF(M835&lt;=O835,"Valor ≤ venal IPTU",""),"")</f>
        <v/>
      </c>
      <c r="R835" s="10" t="n"/>
      <c r="S835" s="10" t="n"/>
      <c r="AA835" s="10" t="n"/>
      <c r="AB835" s="11">
        <f>IF(LEN(TRIM(X835))=0,"",HYPERLINK("https://www.google.com/maps/@?api=1&amp;map_action=pano&amp;viewpoint="&amp;SUBSTITUTE(X835," ",""),"Abrir Street View"))</f>
        <v/>
      </c>
    </row>
    <row r="836">
      <c r="H836" s="6" t="n"/>
      <c r="I836" s="6" t="n"/>
      <c r="M836" s="7" t="n"/>
      <c r="N836" s="7" t="n"/>
      <c r="O836" s="7" t="n"/>
      <c r="P836" s="8">
        <f>IF(NOT(ISNUMBER(M836)),"",IF(G836="Terreno",IF(AND(ISNUMBER(I836),I836&gt;0),M836/I836,""),IF(AND(ISNUMBER(H836),H836&gt;0),M836/H836,"")))</f>
        <v/>
      </c>
      <c r="Q836" s="9">
        <f>IF(AND(ISNUMBER(M836),ISNUMBER(O836)),IF(M836&lt;=O836,"Valor ≤ venal IPTU",""),"")</f>
        <v/>
      </c>
      <c r="R836" s="10" t="n"/>
      <c r="S836" s="10" t="n"/>
      <c r="AA836" s="10" t="n"/>
      <c r="AB836" s="11">
        <f>IF(LEN(TRIM(X836))=0,"",HYPERLINK("https://www.google.com/maps/@?api=1&amp;map_action=pano&amp;viewpoint="&amp;SUBSTITUTE(X836," ",""),"Abrir Street View"))</f>
        <v/>
      </c>
    </row>
    <row r="837">
      <c r="H837" s="6" t="n"/>
      <c r="I837" s="6" t="n"/>
      <c r="M837" s="7" t="n"/>
      <c r="N837" s="7" t="n"/>
      <c r="O837" s="7" t="n"/>
      <c r="P837" s="8">
        <f>IF(NOT(ISNUMBER(M837)),"",IF(G837="Terreno",IF(AND(ISNUMBER(I837),I837&gt;0),M837/I837,""),IF(AND(ISNUMBER(H837),H837&gt;0),M837/H837,"")))</f>
        <v/>
      </c>
      <c r="Q837" s="9">
        <f>IF(AND(ISNUMBER(M837),ISNUMBER(O837)),IF(M837&lt;=O837,"Valor ≤ venal IPTU",""),"")</f>
        <v/>
      </c>
      <c r="R837" s="10" t="n"/>
      <c r="S837" s="10" t="n"/>
      <c r="AA837" s="10" t="n"/>
      <c r="AB837" s="11">
        <f>IF(LEN(TRIM(X837))=0,"",HYPERLINK("https://www.google.com/maps/@?api=1&amp;map_action=pano&amp;viewpoint="&amp;SUBSTITUTE(X837," ",""),"Abrir Street View"))</f>
        <v/>
      </c>
    </row>
    <row r="838">
      <c r="H838" s="6" t="n"/>
      <c r="I838" s="6" t="n"/>
      <c r="M838" s="7" t="n"/>
      <c r="N838" s="7" t="n"/>
      <c r="O838" s="7" t="n"/>
      <c r="P838" s="8">
        <f>IF(NOT(ISNUMBER(M838)),"",IF(G838="Terreno",IF(AND(ISNUMBER(I838),I838&gt;0),M838/I838,""),IF(AND(ISNUMBER(H838),H838&gt;0),M838/H838,"")))</f>
        <v/>
      </c>
      <c r="Q838" s="9">
        <f>IF(AND(ISNUMBER(M838),ISNUMBER(O838)),IF(M838&lt;=O838,"Valor ≤ venal IPTU",""),"")</f>
        <v/>
      </c>
      <c r="R838" s="10" t="n"/>
      <c r="S838" s="10" t="n"/>
      <c r="AA838" s="10" t="n"/>
      <c r="AB838" s="11">
        <f>IF(LEN(TRIM(X838))=0,"",HYPERLINK("https://www.google.com/maps/@?api=1&amp;map_action=pano&amp;viewpoint="&amp;SUBSTITUTE(X838," ",""),"Abrir Street View"))</f>
        <v/>
      </c>
    </row>
    <row r="839">
      <c r="H839" s="6" t="n"/>
      <c r="I839" s="6" t="n"/>
      <c r="M839" s="7" t="n"/>
      <c r="N839" s="7" t="n"/>
      <c r="O839" s="7" t="n"/>
      <c r="P839" s="8">
        <f>IF(NOT(ISNUMBER(M839)),"",IF(G839="Terreno",IF(AND(ISNUMBER(I839),I839&gt;0),M839/I839,""),IF(AND(ISNUMBER(H839),H839&gt;0),M839/H839,"")))</f>
        <v/>
      </c>
      <c r="Q839" s="9">
        <f>IF(AND(ISNUMBER(M839),ISNUMBER(O839)),IF(M839&lt;=O839,"Valor ≤ venal IPTU",""),"")</f>
        <v/>
      </c>
      <c r="R839" s="10" t="n"/>
      <c r="S839" s="10" t="n"/>
      <c r="AA839" s="10" t="n"/>
      <c r="AB839" s="11">
        <f>IF(LEN(TRIM(X839))=0,"",HYPERLINK("https://www.google.com/maps/@?api=1&amp;map_action=pano&amp;viewpoint="&amp;SUBSTITUTE(X839," ",""),"Abrir Street View"))</f>
        <v/>
      </c>
    </row>
    <row r="840">
      <c r="H840" s="6" t="n"/>
      <c r="I840" s="6" t="n"/>
      <c r="M840" s="7" t="n"/>
      <c r="N840" s="7" t="n"/>
      <c r="O840" s="7" t="n"/>
      <c r="P840" s="8">
        <f>IF(NOT(ISNUMBER(M840)),"",IF(G840="Terreno",IF(AND(ISNUMBER(I840),I840&gt;0),M840/I840,""),IF(AND(ISNUMBER(H840),H840&gt;0),M840/H840,"")))</f>
        <v/>
      </c>
      <c r="Q840" s="9">
        <f>IF(AND(ISNUMBER(M840),ISNUMBER(O840)),IF(M840&lt;=O840,"Valor ≤ venal IPTU",""),"")</f>
        <v/>
      </c>
      <c r="R840" s="10" t="n"/>
      <c r="S840" s="10" t="n"/>
      <c r="AA840" s="10" t="n"/>
      <c r="AB840" s="11">
        <f>IF(LEN(TRIM(X840))=0,"",HYPERLINK("https://www.google.com/maps/@?api=1&amp;map_action=pano&amp;viewpoint="&amp;SUBSTITUTE(X840," ",""),"Abrir Street View"))</f>
        <v/>
      </c>
    </row>
    <row r="841">
      <c r="H841" s="6" t="n"/>
      <c r="I841" s="6" t="n"/>
      <c r="M841" s="7" t="n"/>
      <c r="N841" s="7" t="n"/>
      <c r="O841" s="7" t="n"/>
      <c r="P841" s="8">
        <f>IF(NOT(ISNUMBER(M841)),"",IF(G841="Terreno",IF(AND(ISNUMBER(I841),I841&gt;0),M841/I841,""),IF(AND(ISNUMBER(H841),H841&gt;0),M841/H841,"")))</f>
        <v/>
      </c>
      <c r="Q841" s="9">
        <f>IF(AND(ISNUMBER(M841),ISNUMBER(O841)),IF(M841&lt;=O841,"Valor ≤ venal IPTU",""),"")</f>
        <v/>
      </c>
      <c r="R841" s="10" t="n"/>
      <c r="S841" s="10" t="n"/>
      <c r="AA841" s="10" t="n"/>
      <c r="AB841" s="11">
        <f>IF(LEN(TRIM(X841))=0,"",HYPERLINK("https://www.google.com/maps/@?api=1&amp;map_action=pano&amp;viewpoint="&amp;SUBSTITUTE(X841," ",""),"Abrir Street View"))</f>
        <v/>
      </c>
    </row>
    <row r="842">
      <c r="H842" s="6" t="n"/>
      <c r="I842" s="6" t="n"/>
      <c r="M842" s="7" t="n"/>
      <c r="N842" s="7" t="n"/>
      <c r="O842" s="7" t="n"/>
      <c r="P842" s="8">
        <f>IF(NOT(ISNUMBER(M842)),"",IF(G842="Terreno",IF(AND(ISNUMBER(I842),I842&gt;0),M842/I842,""),IF(AND(ISNUMBER(H842),H842&gt;0),M842/H842,"")))</f>
        <v/>
      </c>
      <c r="Q842" s="9">
        <f>IF(AND(ISNUMBER(M842),ISNUMBER(O842)),IF(M842&lt;=O842,"Valor ≤ venal IPTU",""),"")</f>
        <v/>
      </c>
      <c r="R842" s="10" t="n"/>
      <c r="S842" s="10" t="n"/>
      <c r="AA842" s="10" t="n"/>
      <c r="AB842" s="11">
        <f>IF(LEN(TRIM(X842))=0,"",HYPERLINK("https://www.google.com/maps/@?api=1&amp;map_action=pano&amp;viewpoint="&amp;SUBSTITUTE(X842," ",""),"Abrir Street View"))</f>
        <v/>
      </c>
    </row>
    <row r="843">
      <c r="H843" s="6" t="n"/>
      <c r="I843" s="6" t="n"/>
      <c r="M843" s="7" t="n"/>
      <c r="N843" s="7" t="n"/>
      <c r="O843" s="7" t="n"/>
      <c r="P843" s="8">
        <f>IF(NOT(ISNUMBER(M843)),"",IF(G843="Terreno",IF(AND(ISNUMBER(I843),I843&gt;0),M843/I843,""),IF(AND(ISNUMBER(H843),H843&gt;0),M843/H843,"")))</f>
        <v/>
      </c>
      <c r="Q843" s="9">
        <f>IF(AND(ISNUMBER(M843),ISNUMBER(O843)),IF(M843&lt;=O843,"Valor ≤ venal IPTU",""),"")</f>
        <v/>
      </c>
      <c r="R843" s="10" t="n"/>
      <c r="S843" s="10" t="n"/>
      <c r="AA843" s="10" t="n"/>
      <c r="AB843" s="11">
        <f>IF(LEN(TRIM(X843))=0,"",HYPERLINK("https://www.google.com/maps/@?api=1&amp;map_action=pano&amp;viewpoint="&amp;SUBSTITUTE(X843," ",""),"Abrir Street View"))</f>
        <v/>
      </c>
    </row>
    <row r="844">
      <c r="H844" s="6" t="n"/>
      <c r="I844" s="6" t="n"/>
      <c r="M844" s="7" t="n"/>
      <c r="N844" s="7" t="n"/>
      <c r="O844" s="7" t="n"/>
      <c r="P844" s="8">
        <f>IF(NOT(ISNUMBER(M844)),"",IF(G844="Terreno",IF(AND(ISNUMBER(I844),I844&gt;0),M844/I844,""),IF(AND(ISNUMBER(H844),H844&gt;0),M844/H844,"")))</f>
        <v/>
      </c>
      <c r="Q844" s="9">
        <f>IF(AND(ISNUMBER(M844),ISNUMBER(O844)),IF(M844&lt;=O844,"Valor ≤ venal IPTU",""),"")</f>
        <v/>
      </c>
      <c r="R844" s="10" t="n"/>
      <c r="S844" s="10" t="n"/>
      <c r="AA844" s="10" t="n"/>
      <c r="AB844" s="11">
        <f>IF(LEN(TRIM(X844))=0,"",HYPERLINK("https://www.google.com/maps/@?api=1&amp;map_action=pano&amp;viewpoint="&amp;SUBSTITUTE(X844," ",""),"Abrir Street View"))</f>
        <v/>
      </c>
    </row>
    <row r="845">
      <c r="H845" s="6" t="n"/>
      <c r="I845" s="6" t="n"/>
      <c r="M845" s="7" t="n"/>
      <c r="N845" s="7" t="n"/>
      <c r="O845" s="7" t="n"/>
      <c r="P845" s="8">
        <f>IF(NOT(ISNUMBER(M845)),"",IF(G845="Terreno",IF(AND(ISNUMBER(I845),I845&gt;0),M845/I845,""),IF(AND(ISNUMBER(H845),H845&gt;0),M845/H845,"")))</f>
        <v/>
      </c>
      <c r="Q845" s="9">
        <f>IF(AND(ISNUMBER(M845),ISNUMBER(O845)),IF(M845&lt;=O845,"Valor ≤ venal IPTU",""),"")</f>
        <v/>
      </c>
      <c r="R845" s="10" t="n"/>
      <c r="S845" s="10" t="n"/>
      <c r="AA845" s="10" t="n"/>
      <c r="AB845" s="11">
        <f>IF(LEN(TRIM(X845))=0,"",HYPERLINK("https://www.google.com/maps/@?api=1&amp;map_action=pano&amp;viewpoint="&amp;SUBSTITUTE(X845," ",""),"Abrir Street View"))</f>
        <v/>
      </c>
    </row>
    <row r="846">
      <c r="H846" s="6" t="n"/>
      <c r="I846" s="6" t="n"/>
      <c r="M846" s="7" t="n"/>
      <c r="N846" s="7" t="n"/>
      <c r="O846" s="7" t="n"/>
      <c r="P846" s="8">
        <f>IF(NOT(ISNUMBER(M846)),"",IF(G846="Terreno",IF(AND(ISNUMBER(I846),I846&gt;0),M846/I846,""),IF(AND(ISNUMBER(H846),H846&gt;0),M846/H846,"")))</f>
        <v/>
      </c>
      <c r="Q846" s="9">
        <f>IF(AND(ISNUMBER(M846),ISNUMBER(O846)),IF(M846&lt;=O846,"Valor ≤ venal IPTU",""),"")</f>
        <v/>
      </c>
      <c r="R846" s="10" t="n"/>
      <c r="S846" s="10" t="n"/>
      <c r="AA846" s="10" t="n"/>
      <c r="AB846" s="11">
        <f>IF(LEN(TRIM(X846))=0,"",HYPERLINK("https://www.google.com/maps/@?api=1&amp;map_action=pano&amp;viewpoint="&amp;SUBSTITUTE(X846," ",""),"Abrir Street View"))</f>
        <v/>
      </c>
    </row>
    <row r="847">
      <c r="H847" s="6" t="n"/>
      <c r="I847" s="6" t="n"/>
      <c r="M847" s="7" t="n"/>
      <c r="N847" s="7" t="n"/>
      <c r="O847" s="7" t="n"/>
      <c r="P847" s="8">
        <f>IF(NOT(ISNUMBER(M847)),"",IF(G847="Terreno",IF(AND(ISNUMBER(I847),I847&gt;0),M847/I847,""),IF(AND(ISNUMBER(H847),H847&gt;0),M847/H847,"")))</f>
        <v/>
      </c>
      <c r="Q847" s="9">
        <f>IF(AND(ISNUMBER(M847),ISNUMBER(O847)),IF(M847&lt;=O847,"Valor ≤ venal IPTU",""),"")</f>
        <v/>
      </c>
      <c r="R847" s="10" t="n"/>
      <c r="S847" s="10" t="n"/>
      <c r="AA847" s="10" t="n"/>
      <c r="AB847" s="11">
        <f>IF(LEN(TRIM(X847))=0,"",HYPERLINK("https://www.google.com/maps/@?api=1&amp;map_action=pano&amp;viewpoint="&amp;SUBSTITUTE(X847," ",""),"Abrir Street View"))</f>
        <v/>
      </c>
    </row>
    <row r="848">
      <c r="H848" s="6" t="n"/>
      <c r="I848" s="6" t="n"/>
      <c r="M848" s="7" t="n"/>
      <c r="N848" s="7" t="n"/>
      <c r="O848" s="7" t="n"/>
      <c r="P848" s="8">
        <f>IF(NOT(ISNUMBER(M848)),"",IF(G848="Terreno",IF(AND(ISNUMBER(I848),I848&gt;0),M848/I848,""),IF(AND(ISNUMBER(H848),H848&gt;0),M848/H848,"")))</f>
        <v/>
      </c>
      <c r="Q848" s="9">
        <f>IF(AND(ISNUMBER(M848),ISNUMBER(O848)),IF(M848&lt;=O848,"Valor ≤ venal IPTU",""),"")</f>
        <v/>
      </c>
      <c r="R848" s="10" t="n"/>
      <c r="S848" s="10" t="n"/>
      <c r="AA848" s="10" t="n"/>
      <c r="AB848" s="11">
        <f>IF(LEN(TRIM(X848))=0,"",HYPERLINK("https://www.google.com/maps/@?api=1&amp;map_action=pano&amp;viewpoint="&amp;SUBSTITUTE(X848," ",""),"Abrir Street View"))</f>
        <v/>
      </c>
    </row>
    <row r="849">
      <c r="H849" s="6" t="n"/>
      <c r="I849" s="6" t="n"/>
      <c r="M849" s="7" t="n"/>
      <c r="N849" s="7" t="n"/>
      <c r="O849" s="7" t="n"/>
      <c r="P849" s="8">
        <f>IF(NOT(ISNUMBER(M849)),"",IF(G849="Terreno",IF(AND(ISNUMBER(I849),I849&gt;0),M849/I849,""),IF(AND(ISNUMBER(H849),H849&gt;0),M849/H849,"")))</f>
        <v/>
      </c>
      <c r="Q849" s="9">
        <f>IF(AND(ISNUMBER(M849),ISNUMBER(O849)),IF(M849&lt;=O849,"Valor ≤ venal IPTU",""),"")</f>
        <v/>
      </c>
      <c r="R849" s="10" t="n"/>
      <c r="S849" s="10" t="n"/>
      <c r="AA849" s="10" t="n"/>
      <c r="AB849" s="11">
        <f>IF(LEN(TRIM(X849))=0,"",HYPERLINK("https://www.google.com/maps/@?api=1&amp;map_action=pano&amp;viewpoint="&amp;SUBSTITUTE(X849," ",""),"Abrir Street View"))</f>
        <v/>
      </c>
    </row>
    <row r="850">
      <c r="H850" s="6" t="n"/>
      <c r="I850" s="6" t="n"/>
      <c r="M850" s="7" t="n"/>
      <c r="N850" s="7" t="n"/>
      <c r="O850" s="7" t="n"/>
      <c r="P850" s="8">
        <f>IF(NOT(ISNUMBER(M850)),"",IF(G850="Terreno",IF(AND(ISNUMBER(I850),I850&gt;0),M850/I850,""),IF(AND(ISNUMBER(H850),H850&gt;0),M850/H850,"")))</f>
        <v/>
      </c>
      <c r="Q850" s="9">
        <f>IF(AND(ISNUMBER(M850),ISNUMBER(O850)),IF(M850&lt;=O850,"Valor ≤ venal IPTU",""),"")</f>
        <v/>
      </c>
      <c r="R850" s="10" t="n"/>
      <c r="S850" s="10" t="n"/>
      <c r="AA850" s="10" t="n"/>
      <c r="AB850" s="11">
        <f>IF(LEN(TRIM(X850))=0,"",HYPERLINK("https://www.google.com/maps/@?api=1&amp;map_action=pano&amp;viewpoint="&amp;SUBSTITUTE(X850," ",""),"Abrir Street View"))</f>
        <v/>
      </c>
    </row>
    <row r="851">
      <c r="H851" s="6" t="n"/>
      <c r="I851" s="6" t="n"/>
      <c r="M851" s="7" t="n"/>
      <c r="N851" s="7" t="n"/>
      <c r="O851" s="7" t="n"/>
      <c r="P851" s="8">
        <f>IF(NOT(ISNUMBER(M851)),"",IF(G851="Terreno",IF(AND(ISNUMBER(I851),I851&gt;0),M851/I851,""),IF(AND(ISNUMBER(H851),H851&gt;0),M851/H851,"")))</f>
        <v/>
      </c>
      <c r="Q851" s="9">
        <f>IF(AND(ISNUMBER(M851),ISNUMBER(O851)),IF(M851&lt;=O851,"Valor ≤ venal IPTU",""),"")</f>
        <v/>
      </c>
      <c r="R851" s="10" t="n"/>
      <c r="S851" s="10" t="n"/>
      <c r="AA851" s="10" t="n"/>
      <c r="AB851" s="11">
        <f>IF(LEN(TRIM(X851))=0,"",HYPERLINK("https://www.google.com/maps/@?api=1&amp;map_action=pano&amp;viewpoint="&amp;SUBSTITUTE(X851," ",""),"Abrir Street View"))</f>
        <v/>
      </c>
    </row>
    <row r="852">
      <c r="H852" s="6" t="n"/>
      <c r="I852" s="6" t="n"/>
      <c r="M852" s="7" t="n"/>
      <c r="N852" s="7" t="n"/>
      <c r="O852" s="7" t="n"/>
      <c r="P852" s="8">
        <f>IF(NOT(ISNUMBER(M852)),"",IF(G852="Terreno",IF(AND(ISNUMBER(I852),I852&gt;0),M852/I852,""),IF(AND(ISNUMBER(H852),H852&gt;0),M852/H852,"")))</f>
        <v/>
      </c>
      <c r="Q852" s="9">
        <f>IF(AND(ISNUMBER(M852),ISNUMBER(O852)),IF(M852&lt;=O852,"Valor ≤ venal IPTU",""),"")</f>
        <v/>
      </c>
      <c r="R852" s="10" t="n"/>
      <c r="S852" s="10" t="n"/>
      <c r="AA852" s="10" t="n"/>
      <c r="AB852" s="11">
        <f>IF(LEN(TRIM(X852))=0,"",HYPERLINK("https://www.google.com/maps/@?api=1&amp;map_action=pano&amp;viewpoint="&amp;SUBSTITUTE(X852," ",""),"Abrir Street View"))</f>
        <v/>
      </c>
    </row>
    <row r="853">
      <c r="H853" s="6" t="n"/>
      <c r="I853" s="6" t="n"/>
      <c r="M853" s="7" t="n"/>
      <c r="N853" s="7" t="n"/>
      <c r="O853" s="7" t="n"/>
      <c r="P853" s="8">
        <f>IF(NOT(ISNUMBER(M853)),"",IF(G853="Terreno",IF(AND(ISNUMBER(I853),I853&gt;0),M853/I853,""),IF(AND(ISNUMBER(H853),H853&gt;0),M853/H853,"")))</f>
        <v/>
      </c>
      <c r="Q853" s="9">
        <f>IF(AND(ISNUMBER(M853),ISNUMBER(O853)),IF(M853&lt;=O853,"Valor ≤ venal IPTU",""),"")</f>
        <v/>
      </c>
      <c r="R853" s="10" t="n"/>
      <c r="S853" s="10" t="n"/>
      <c r="AA853" s="10" t="n"/>
      <c r="AB853" s="11">
        <f>IF(LEN(TRIM(X853))=0,"",HYPERLINK("https://www.google.com/maps/@?api=1&amp;map_action=pano&amp;viewpoint="&amp;SUBSTITUTE(X853," ",""),"Abrir Street View"))</f>
        <v/>
      </c>
    </row>
    <row r="854">
      <c r="H854" s="6" t="n"/>
      <c r="I854" s="6" t="n"/>
      <c r="M854" s="7" t="n"/>
      <c r="N854" s="7" t="n"/>
      <c r="O854" s="7" t="n"/>
      <c r="P854" s="8">
        <f>IF(NOT(ISNUMBER(M854)),"",IF(G854="Terreno",IF(AND(ISNUMBER(I854),I854&gt;0),M854/I854,""),IF(AND(ISNUMBER(H854),H854&gt;0),M854/H854,"")))</f>
        <v/>
      </c>
      <c r="Q854" s="9">
        <f>IF(AND(ISNUMBER(M854),ISNUMBER(O854)),IF(M854&lt;=O854,"Valor ≤ venal IPTU",""),"")</f>
        <v/>
      </c>
      <c r="R854" s="10" t="n"/>
      <c r="S854" s="10" t="n"/>
      <c r="AA854" s="10" t="n"/>
      <c r="AB854" s="11">
        <f>IF(LEN(TRIM(X854))=0,"",HYPERLINK("https://www.google.com/maps/@?api=1&amp;map_action=pano&amp;viewpoint="&amp;SUBSTITUTE(X854," ",""),"Abrir Street View"))</f>
        <v/>
      </c>
    </row>
    <row r="855">
      <c r="H855" s="6" t="n"/>
      <c r="I855" s="6" t="n"/>
      <c r="M855" s="7" t="n"/>
      <c r="N855" s="7" t="n"/>
      <c r="O855" s="7" t="n"/>
      <c r="P855" s="8">
        <f>IF(NOT(ISNUMBER(M855)),"",IF(G855="Terreno",IF(AND(ISNUMBER(I855),I855&gt;0),M855/I855,""),IF(AND(ISNUMBER(H855),H855&gt;0),M855/H855,"")))</f>
        <v/>
      </c>
      <c r="Q855" s="9">
        <f>IF(AND(ISNUMBER(M855),ISNUMBER(O855)),IF(M855&lt;=O855,"Valor ≤ venal IPTU",""),"")</f>
        <v/>
      </c>
      <c r="R855" s="10" t="n"/>
      <c r="S855" s="10" t="n"/>
      <c r="AA855" s="10" t="n"/>
      <c r="AB855" s="11">
        <f>IF(LEN(TRIM(X855))=0,"",HYPERLINK("https://www.google.com/maps/@?api=1&amp;map_action=pano&amp;viewpoint="&amp;SUBSTITUTE(X855," ",""),"Abrir Street View"))</f>
        <v/>
      </c>
    </row>
    <row r="856">
      <c r="H856" s="6" t="n"/>
      <c r="I856" s="6" t="n"/>
      <c r="M856" s="7" t="n"/>
      <c r="N856" s="7" t="n"/>
      <c r="O856" s="7" t="n"/>
      <c r="P856" s="8">
        <f>IF(NOT(ISNUMBER(M856)),"",IF(G856="Terreno",IF(AND(ISNUMBER(I856),I856&gt;0),M856/I856,""),IF(AND(ISNUMBER(H856),H856&gt;0),M856/H856,"")))</f>
        <v/>
      </c>
      <c r="Q856" s="9">
        <f>IF(AND(ISNUMBER(M856),ISNUMBER(O856)),IF(M856&lt;=O856,"Valor ≤ venal IPTU",""),"")</f>
        <v/>
      </c>
      <c r="R856" s="10" t="n"/>
      <c r="S856" s="10" t="n"/>
      <c r="AA856" s="10" t="n"/>
      <c r="AB856" s="11">
        <f>IF(LEN(TRIM(X856))=0,"",HYPERLINK("https://www.google.com/maps/@?api=1&amp;map_action=pano&amp;viewpoint="&amp;SUBSTITUTE(X856," ",""),"Abrir Street View"))</f>
        <v/>
      </c>
    </row>
    <row r="857">
      <c r="H857" s="6" t="n"/>
      <c r="I857" s="6" t="n"/>
      <c r="M857" s="7" t="n"/>
      <c r="N857" s="7" t="n"/>
      <c r="O857" s="7" t="n"/>
      <c r="P857" s="8">
        <f>IF(NOT(ISNUMBER(M857)),"",IF(G857="Terreno",IF(AND(ISNUMBER(I857),I857&gt;0),M857/I857,""),IF(AND(ISNUMBER(H857),H857&gt;0),M857/H857,"")))</f>
        <v/>
      </c>
      <c r="Q857" s="9">
        <f>IF(AND(ISNUMBER(M857),ISNUMBER(O857)),IF(M857&lt;=O857,"Valor ≤ venal IPTU",""),"")</f>
        <v/>
      </c>
      <c r="R857" s="10" t="n"/>
      <c r="S857" s="10" t="n"/>
      <c r="AA857" s="10" t="n"/>
      <c r="AB857" s="11">
        <f>IF(LEN(TRIM(X857))=0,"",HYPERLINK("https://www.google.com/maps/@?api=1&amp;map_action=pano&amp;viewpoint="&amp;SUBSTITUTE(X857," ",""),"Abrir Street View"))</f>
        <v/>
      </c>
    </row>
    <row r="858">
      <c r="H858" s="6" t="n"/>
      <c r="I858" s="6" t="n"/>
      <c r="M858" s="7" t="n"/>
      <c r="N858" s="7" t="n"/>
      <c r="O858" s="7" t="n"/>
      <c r="P858" s="8">
        <f>IF(NOT(ISNUMBER(M858)),"",IF(G858="Terreno",IF(AND(ISNUMBER(I858),I858&gt;0),M858/I858,""),IF(AND(ISNUMBER(H858),H858&gt;0),M858/H858,"")))</f>
        <v/>
      </c>
      <c r="Q858" s="9">
        <f>IF(AND(ISNUMBER(M858),ISNUMBER(O858)),IF(M858&lt;=O858,"Valor ≤ venal IPTU",""),"")</f>
        <v/>
      </c>
      <c r="R858" s="10" t="n"/>
      <c r="S858" s="10" t="n"/>
      <c r="AA858" s="10" t="n"/>
      <c r="AB858" s="11">
        <f>IF(LEN(TRIM(X858))=0,"",HYPERLINK("https://www.google.com/maps/@?api=1&amp;map_action=pano&amp;viewpoint="&amp;SUBSTITUTE(X858," ",""),"Abrir Street View"))</f>
        <v/>
      </c>
    </row>
    <row r="859">
      <c r="H859" s="6" t="n"/>
      <c r="I859" s="6" t="n"/>
      <c r="M859" s="7" t="n"/>
      <c r="N859" s="7" t="n"/>
      <c r="O859" s="7" t="n"/>
      <c r="P859" s="8">
        <f>IF(NOT(ISNUMBER(M859)),"",IF(G859="Terreno",IF(AND(ISNUMBER(I859),I859&gt;0),M859/I859,""),IF(AND(ISNUMBER(H859),H859&gt;0),M859/H859,"")))</f>
        <v/>
      </c>
      <c r="Q859" s="9">
        <f>IF(AND(ISNUMBER(M859),ISNUMBER(O859)),IF(M859&lt;=O859,"Valor ≤ venal IPTU",""),"")</f>
        <v/>
      </c>
      <c r="R859" s="10" t="n"/>
      <c r="S859" s="10" t="n"/>
      <c r="AA859" s="10" t="n"/>
      <c r="AB859" s="11">
        <f>IF(LEN(TRIM(X859))=0,"",HYPERLINK("https://www.google.com/maps/@?api=1&amp;map_action=pano&amp;viewpoint="&amp;SUBSTITUTE(X859," ",""),"Abrir Street View"))</f>
        <v/>
      </c>
    </row>
    <row r="860">
      <c r="H860" s="6" t="n"/>
      <c r="I860" s="6" t="n"/>
      <c r="M860" s="7" t="n"/>
      <c r="N860" s="7" t="n"/>
      <c r="O860" s="7" t="n"/>
      <c r="P860" s="8">
        <f>IF(NOT(ISNUMBER(M860)),"",IF(G860="Terreno",IF(AND(ISNUMBER(I860),I860&gt;0),M860/I860,""),IF(AND(ISNUMBER(H860),H860&gt;0),M860/H860,"")))</f>
        <v/>
      </c>
      <c r="Q860" s="9">
        <f>IF(AND(ISNUMBER(M860),ISNUMBER(O860)),IF(M860&lt;=O860,"Valor ≤ venal IPTU",""),"")</f>
        <v/>
      </c>
      <c r="R860" s="10" t="n"/>
      <c r="S860" s="10" t="n"/>
      <c r="AA860" s="10" t="n"/>
      <c r="AB860" s="11">
        <f>IF(LEN(TRIM(X860))=0,"",HYPERLINK("https://www.google.com/maps/@?api=1&amp;map_action=pano&amp;viewpoint="&amp;SUBSTITUTE(X860," ",""),"Abrir Street View"))</f>
        <v/>
      </c>
    </row>
    <row r="861">
      <c r="H861" s="6" t="n"/>
      <c r="I861" s="6" t="n"/>
      <c r="M861" s="7" t="n"/>
      <c r="N861" s="7" t="n"/>
      <c r="O861" s="7" t="n"/>
      <c r="P861" s="8">
        <f>IF(NOT(ISNUMBER(M861)),"",IF(G861="Terreno",IF(AND(ISNUMBER(I861),I861&gt;0),M861/I861,""),IF(AND(ISNUMBER(H861),H861&gt;0),M861/H861,"")))</f>
        <v/>
      </c>
      <c r="Q861" s="9">
        <f>IF(AND(ISNUMBER(M861),ISNUMBER(O861)),IF(M861&lt;=O861,"Valor ≤ venal IPTU",""),"")</f>
        <v/>
      </c>
      <c r="R861" s="10" t="n"/>
      <c r="S861" s="10" t="n"/>
      <c r="AA861" s="10" t="n"/>
      <c r="AB861" s="11">
        <f>IF(LEN(TRIM(X861))=0,"",HYPERLINK("https://www.google.com/maps/@?api=1&amp;map_action=pano&amp;viewpoint="&amp;SUBSTITUTE(X861," ",""),"Abrir Street View"))</f>
        <v/>
      </c>
    </row>
    <row r="862">
      <c r="H862" s="6" t="n"/>
      <c r="I862" s="6" t="n"/>
      <c r="M862" s="7" t="n"/>
      <c r="N862" s="7" t="n"/>
      <c r="O862" s="7" t="n"/>
      <c r="P862" s="8">
        <f>IF(NOT(ISNUMBER(M862)),"",IF(G862="Terreno",IF(AND(ISNUMBER(I862),I862&gt;0),M862/I862,""),IF(AND(ISNUMBER(H862),H862&gt;0),M862/H862,"")))</f>
        <v/>
      </c>
      <c r="Q862" s="9">
        <f>IF(AND(ISNUMBER(M862),ISNUMBER(O862)),IF(M862&lt;=O862,"Valor ≤ venal IPTU",""),"")</f>
        <v/>
      </c>
      <c r="R862" s="10" t="n"/>
      <c r="S862" s="10" t="n"/>
      <c r="AA862" s="10" t="n"/>
      <c r="AB862" s="11">
        <f>IF(LEN(TRIM(X862))=0,"",HYPERLINK("https://www.google.com/maps/@?api=1&amp;map_action=pano&amp;viewpoint="&amp;SUBSTITUTE(X862," ",""),"Abrir Street View"))</f>
        <v/>
      </c>
    </row>
    <row r="863">
      <c r="H863" s="6" t="n"/>
      <c r="I863" s="6" t="n"/>
      <c r="M863" s="7" t="n"/>
      <c r="N863" s="7" t="n"/>
      <c r="O863" s="7" t="n"/>
      <c r="P863" s="8">
        <f>IF(NOT(ISNUMBER(M863)),"",IF(G863="Terreno",IF(AND(ISNUMBER(I863),I863&gt;0),M863/I863,""),IF(AND(ISNUMBER(H863),H863&gt;0),M863/H863,"")))</f>
        <v/>
      </c>
      <c r="Q863" s="9">
        <f>IF(AND(ISNUMBER(M863),ISNUMBER(O863)),IF(M863&lt;=O863,"Valor ≤ venal IPTU",""),"")</f>
        <v/>
      </c>
      <c r="R863" s="10" t="n"/>
      <c r="S863" s="10" t="n"/>
      <c r="AA863" s="10" t="n"/>
      <c r="AB863" s="11">
        <f>IF(LEN(TRIM(X863))=0,"",HYPERLINK("https://www.google.com/maps/@?api=1&amp;map_action=pano&amp;viewpoint="&amp;SUBSTITUTE(X863," ",""),"Abrir Street View"))</f>
        <v/>
      </c>
    </row>
    <row r="864">
      <c r="H864" s="6" t="n"/>
      <c r="I864" s="6" t="n"/>
      <c r="M864" s="7" t="n"/>
      <c r="N864" s="7" t="n"/>
      <c r="O864" s="7" t="n"/>
      <c r="P864" s="8">
        <f>IF(NOT(ISNUMBER(M864)),"",IF(G864="Terreno",IF(AND(ISNUMBER(I864),I864&gt;0),M864/I864,""),IF(AND(ISNUMBER(H864),H864&gt;0),M864/H864,"")))</f>
        <v/>
      </c>
      <c r="Q864" s="9">
        <f>IF(AND(ISNUMBER(M864),ISNUMBER(O864)),IF(M864&lt;=O864,"Valor ≤ venal IPTU",""),"")</f>
        <v/>
      </c>
      <c r="R864" s="10" t="n"/>
      <c r="S864" s="10" t="n"/>
      <c r="AA864" s="10" t="n"/>
      <c r="AB864" s="11">
        <f>IF(LEN(TRIM(X864))=0,"",HYPERLINK("https://www.google.com/maps/@?api=1&amp;map_action=pano&amp;viewpoint="&amp;SUBSTITUTE(X864," ",""),"Abrir Street View"))</f>
        <v/>
      </c>
    </row>
    <row r="865">
      <c r="H865" s="6" t="n"/>
      <c r="I865" s="6" t="n"/>
      <c r="M865" s="7" t="n"/>
      <c r="N865" s="7" t="n"/>
      <c r="O865" s="7" t="n"/>
      <c r="P865" s="8">
        <f>IF(NOT(ISNUMBER(M865)),"",IF(G865="Terreno",IF(AND(ISNUMBER(I865),I865&gt;0),M865/I865,""),IF(AND(ISNUMBER(H865),H865&gt;0),M865/H865,"")))</f>
        <v/>
      </c>
      <c r="Q865" s="9">
        <f>IF(AND(ISNUMBER(M865),ISNUMBER(O865)),IF(M865&lt;=O865,"Valor ≤ venal IPTU",""),"")</f>
        <v/>
      </c>
      <c r="R865" s="10" t="n"/>
      <c r="S865" s="10" t="n"/>
      <c r="AA865" s="10" t="n"/>
      <c r="AB865" s="11">
        <f>IF(LEN(TRIM(X865))=0,"",HYPERLINK("https://www.google.com/maps/@?api=1&amp;map_action=pano&amp;viewpoint="&amp;SUBSTITUTE(X865," ",""),"Abrir Street View"))</f>
        <v/>
      </c>
    </row>
    <row r="866">
      <c r="H866" s="6" t="n"/>
      <c r="I866" s="6" t="n"/>
      <c r="M866" s="7" t="n"/>
      <c r="N866" s="7" t="n"/>
      <c r="O866" s="7" t="n"/>
      <c r="P866" s="8">
        <f>IF(NOT(ISNUMBER(M866)),"",IF(G866="Terreno",IF(AND(ISNUMBER(I866),I866&gt;0),M866/I866,""),IF(AND(ISNUMBER(H866),H866&gt;0),M866/H866,"")))</f>
        <v/>
      </c>
      <c r="Q866" s="9">
        <f>IF(AND(ISNUMBER(M866),ISNUMBER(O866)),IF(M866&lt;=O866,"Valor ≤ venal IPTU",""),"")</f>
        <v/>
      </c>
      <c r="R866" s="10" t="n"/>
      <c r="S866" s="10" t="n"/>
      <c r="AA866" s="10" t="n"/>
      <c r="AB866" s="11">
        <f>IF(LEN(TRIM(X866))=0,"",HYPERLINK("https://www.google.com/maps/@?api=1&amp;map_action=pano&amp;viewpoint="&amp;SUBSTITUTE(X866," ",""),"Abrir Street View"))</f>
        <v/>
      </c>
    </row>
    <row r="867">
      <c r="H867" s="6" t="n"/>
      <c r="I867" s="6" t="n"/>
      <c r="M867" s="7" t="n"/>
      <c r="N867" s="7" t="n"/>
      <c r="O867" s="7" t="n"/>
      <c r="P867" s="8">
        <f>IF(NOT(ISNUMBER(M867)),"",IF(G867="Terreno",IF(AND(ISNUMBER(I867),I867&gt;0),M867/I867,""),IF(AND(ISNUMBER(H867),H867&gt;0),M867/H867,"")))</f>
        <v/>
      </c>
      <c r="Q867" s="9">
        <f>IF(AND(ISNUMBER(M867),ISNUMBER(O867)),IF(M867&lt;=O867,"Valor ≤ venal IPTU",""),"")</f>
        <v/>
      </c>
      <c r="R867" s="10" t="n"/>
      <c r="S867" s="10" t="n"/>
      <c r="AA867" s="10" t="n"/>
      <c r="AB867" s="11">
        <f>IF(LEN(TRIM(X867))=0,"",HYPERLINK("https://www.google.com/maps/@?api=1&amp;map_action=pano&amp;viewpoint="&amp;SUBSTITUTE(X867," ",""),"Abrir Street View"))</f>
        <v/>
      </c>
    </row>
    <row r="868">
      <c r="H868" s="6" t="n"/>
      <c r="I868" s="6" t="n"/>
      <c r="M868" s="7" t="n"/>
      <c r="N868" s="7" t="n"/>
      <c r="O868" s="7" t="n"/>
      <c r="P868" s="8">
        <f>IF(NOT(ISNUMBER(M868)),"",IF(G868="Terreno",IF(AND(ISNUMBER(I868),I868&gt;0),M868/I868,""),IF(AND(ISNUMBER(H868),H868&gt;0),M868/H868,"")))</f>
        <v/>
      </c>
      <c r="Q868" s="9">
        <f>IF(AND(ISNUMBER(M868),ISNUMBER(O868)),IF(M868&lt;=O868,"Valor ≤ venal IPTU",""),"")</f>
        <v/>
      </c>
      <c r="R868" s="10" t="n"/>
      <c r="S868" s="10" t="n"/>
      <c r="AA868" s="10" t="n"/>
      <c r="AB868" s="11">
        <f>IF(LEN(TRIM(X868))=0,"",HYPERLINK("https://www.google.com/maps/@?api=1&amp;map_action=pano&amp;viewpoint="&amp;SUBSTITUTE(X868," ",""),"Abrir Street View"))</f>
        <v/>
      </c>
    </row>
    <row r="869">
      <c r="H869" s="6" t="n"/>
      <c r="I869" s="6" t="n"/>
      <c r="M869" s="7" t="n"/>
      <c r="N869" s="7" t="n"/>
      <c r="O869" s="7" t="n"/>
      <c r="P869" s="8">
        <f>IF(NOT(ISNUMBER(M869)),"",IF(G869="Terreno",IF(AND(ISNUMBER(I869),I869&gt;0),M869/I869,""),IF(AND(ISNUMBER(H869),H869&gt;0),M869/H869,"")))</f>
        <v/>
      </c>
      <c r="Q869" s="9">
        <f>IF(AND(ISNUMBER(M869),ISNUMBER(O869)),IF(M869&lt;=O869,"Valor ≤ venal IPTU",""),"")</f>
        <v/>
      </c>
      <c r="R869" s="10" t="n"/>
      <c r="S869" s="10" t="n"/>
      <c r="AA869" s="10" t="n"/>
      <c r="AB869" s="11">
        <f>IF(LEN(TRIM(X869))=0,"",HYPERLINK("https://www.google.com/maps/@?api=1&amp;map_action=pano&amp;viewpoint="&amp;SUBSTITUTE(X869," ",""),"Abrir Street View"))</f>
        <v/>
      </c>
    </row>
    <row r="870">
      <c r="H870" s="6" t="n"/>
      <c r="I870" s="6" t="n"/>
      <c r="M870" s="7" t="n"/>
      <c r="N870" s="7" t="n"/>
      <c r="O870" s="7" t="n"/>
      <c r="P870" s="8">
        <f>IF(NOT(ISNUMBER(M870)),"",IF(G870="Terreno",IF(AND(ISNUMBER(I870),I870&gt;0),M870/I870,""),IF(AND(ISNUMBER(H870),H870&gt;0),M870/H870,"")))</f>
        <v/>
      </c>
      <c r="Q870" s="9">
        <f>IF(AND(ISNUMBER(M870),ISNUMBER(O870)),IF(M870&lt;=O870,"Valor ≤ venal IPTU",""),"")</f>
        <v/>
      </c>
      <c r="R870" s="10" t="n"/>
      <c r="S870" s="10" t="n"/>
      <c r="AA870" s="10" t="n"/>
      <c r="AB870" s="11">
        <f>IF(LEN(TRIM(X870))=0,"",HYPERLINK("https://www.google.com/maps/@?api=1&amp;map_action=pano&amp;viewpoint="&amp;SUBSTITUTE(X870," ",""),"Abrir Street View"))</f>
        <v/>
      </c>
    </row>
    <row r="871">
      <c r="H871" s="6" t="n"/>
      <c r="I871" s="6" t="n"/>
      <c r="M871" s="7" t="n"/>
      <c r="N871" s="7" t="n"/>
      <c r="O871" s="7" t="n"/>
      <c r="P871" s="8">
        <f>IF(NOT(ISNUMBER(M871)),"",IF(G871="Terreno",IF(AND(ISNUMBER(I871),I871&gt;0),M871/I871,""),IF(AND(ISNUMBER(H871),H871&gt;0),M871/H871,"")))</f>
        <v/>
      </c>
      <c r="Q871" s="9">
        <f>IF(AND(ISNUMBER(M871),ISNUMBER(O871)),IF(M871&lt;=O871,"Valor ≤ venal IPTU",""),"")</f>
        <v/>
      </c>
      <c r="R871" s="10" t="n"/>
      <c r="S871" s="10" t="n"/>
      <c r="AA871" s="10" t="n"/>
      <c r="AB871" s="11">
        <f>IF(LEN(TRIM(X871))=0,"",HYPERLINK("https://www.google.com/maps/@?api=1&amp;map_action=pano&amp;viewpoint="&amp;SUBSTITUTE(X871," ",""),"Abrir Street View"))</f>
        <v/>
      </c>
    </row>
    <row r="872">
      <c r="H872" s="6" t="n"/>
      <c r="I872" s="6" t="n"/>
      <c r="M872" s="7" t="n"/>
      <c r="N872" s="7" t="n"/>
      <c r="O872" s="7" t="n"/>
      <c r="P872" s="8">
        <f>IF(NOT(ISNUMBER(M872)),"",IF(G872="Terreno",IF(AND(ISNUMBER(I872),I872&gt;0),M872/I872,""),IF(AND(ISNUMBER(H872),H872&gt;0),M872/H872,"")))</f>
        <v/>
      </c>
      <c r="Q872" s="9">
        <f>IF(AND(ISNUMBER(M872),ISNUMBER(O872)),IF(M872&lt;=O872,"Valor ≤ venal IPTU",""),"")</f>
        <v/>
      </c>
      <c r="R872" s="10" t="n"/>
      <c r="S872" s="10" t="n"/>
      <c r="AA872" s="10" t="n"/>
      <c r="AB872" s="11">
        <f>IF(LEN(TRIM(X872))=0,"",HYPERLINK("https://www.google.com/maps/@?api=1&amp;map_action=pano&amp;viewpoint="&amp;SUBSTITUTE(X872," ",""),"Abrir Street View"))</f>
        <v/>
      </c>
    </row>
    <row r="873">
      <c r="H873" s="6" t="n"/>
      <c r="I873" s="6" t="n"/>
      <c r="M873" s="7" t="n"/>
      <c r="N873" s="7" t="n"/>
      <c r="O873" s="7" t="n"/>
      <c r="P873" s="8">
        <f>IF(NOT(ISNUMBER(M873)),"",IF(G873="Terreno",IF(AND(ISNUMBER(I873),I873&gt;0),M873/I873,""),IF(AND(ISNUMBER(H873),H873&gt;0),M873/H873,"")))</f>
        <v/>
      </c>
      <c r="Q873" s="9">
        <f>IF(AND(ISNUMBER(M873),ISNUMBER(O873)),IF(M873&lt;=O873,"Valor ≤ venal IPTU",""),"")</f>
        <v/>
      </c>
      <c r="R873" s="10" t="n"/>
      <c r="S873" s="10" t="n"/>
      <c r="AA873" s="10" t="n"/>
      <c r="AB873" s="11">
        <f>IF(LEN(TRIM(X873))=0,"",HYPERLINK("https://www.google.com/maps/@?api=1&amp;map_action=pano&amp;viewpoint="&amp;SUBSTITUTE(X873," ",""),"Abrir Street View"))</f>
        <v/>
      </c>
    </row>
    <row r="874">
      <c r="H874" s="6" t="n"/>
      <c r="I874" s="6" t="n"/>
      <c r="M874" s="7" t="n"/>
      <c r="N874" s="7" t="n"/>
      <c r="O874" s="7" t="n"/>
      <c r="P874" s="8">
        <f>IF(NOT(ISNUMBER(M874)),"",IF(G874="Terreno",IF(AND(ISNUMBER(I874),I874&gt;0),M874/I874,""),IF(AND(ISNUMBER(H874),H874&gt;0),M874/H874,"")))</f>
        <v/>
      </c>
      <c r="Q874" s="9">
        <f>IF(AND(ISNUMBER(M874),ISNUMBER(O874)),IF(M874&lt;=O874,"Valor ≤ venal IPTU",""),"")</f>
        <v/>
      </c>
      <c r="R874" s="10" t="n"/>
      <c r="S874" s="10" t="n"/>
      <c r="AA874" s="10" t="n"/>
      <c r="AB874" s="11">
        <f>IF(LEN(TRIM(X874))=0,"",HYPERLINK("https://www.google.com/maps/@?api=1&amp;map_action=pano&amp;viewpoint="&amp;SUBSTITUTE(X874," ",""),"Abrir Street View"))</f>
        <v/>
      </c>
    </row>
    <row r="875">
      <c r="H875" s="6" t="n"/>
      <c r="I875" s="6" t="n"/>
      <c r="M875" s="7" t="n"/>
      <c r="N875" s="7" t="n"/>
      <c r="O875" s="7" t="n"/>
      <c r="P875" s="8">
        <f>IF(NOT(ISNUMBER(M875)),"",IF(G875="Terreno",IF(AND(ISNUMBER(I875),I875&gt;0),M875/I875,""),IF(AND(ISNUMBER(H875),H875&gt;0),M875/H875,"")))</f>
        <v/>
      </c>
      <c r="Q875" s="9">
        <f>IF(AND(ISNUMBER(M875),ISNUMBER(O875)),IF(M875&lt;=O875,"Valor ≤ venal IPTU",""),"")</f>
        <v/>
      </c>
      <c r="R875" s="10" t="n"/>
      <c r="S875" s="10" t="n"/>
      <c r="AA875" s="10" t="n"/>
      <c r="AB875" s="11">
        <f>IF(LEN(TRIM(X875))=0,"",HYPERLINK("https://www.google.com/maps/@?api=1&amp;map_action=pano&amp;viewpoint="&amp;SUBSTITUTE(X875," ",""),"Abrir Street View"))</f>
        <v/>
      </c>
    </row>
    <row r="876">
      <c r="H876" s="6" t="n"/>
      <c r="I876" s="6" t="n"/>
      <c r="M876" s="7" t="n"/>
      <c r="N876" s="7" t="n"/>
      <c r="O876" s="7" t="n"/>
      <c r="P876" s="8">
        <f>IF(NOT(ISNUMBER(M876)),"",IF(G876="Terreno",IF(AND(ISNUMBER(I876),I876&gt;0),M876/I876,""),IF(AND(ISNUMBER(H876),H876&gt;0),M876/H876,"")))</f>
        <v/>
      </c>
      <c r="Q876" s="9">
        <f>IF(AND(ISNUMBER(M876),ISNUMBER(O876)),IF(M876&lt;=O876,"Valor ≤ venal IPTU",""),"")</f>
        <v/>
      </c>
      <c r="R876" s="10" t="n"/>
      <c r="S876" s="10" t="n"/>
      <c r="AA876" s="10" t="n"/>
      <c r="AB876" s="11">
        <f>IF(LEN(TRIM(X876))=0,"",HYPERLINK("https://www.google.com/maps/@?api=1&amp;map_action=pano&amp;viewpoint="&amp;SUBSTITUTE(X876," ",""),"Abrir Street View"))</f>
        <v/>
      </c>
    </row>
    <row r="877">
      <c r="H877" s="6" t="n"/>
      <c r="I877" s="6" t="n"/>
      <c r="M877" s="7" t="n"/>
      <c r="N877" s="7" t="n"/>
      <c r="O877" s="7" t="n"/>
      <c r="P877" s="8">
        <f>IF(NOT(ISNUMBER(M877)),"",IF(G877="Terreno",IF(AND(ISNUMBER(I877),I877&gt;0),M877/I877,""),IF(AND(ISNUMBER(H877),H877&gt;0),M877/H877,"")))</f>
        <v/>
      </c>
      <c r="Q877" s="9">
        <f>IF(AND(ISNUMBER(M877),ISNUMBER(O877)),IF(M877&lt;=O877,"Valor ≤ venal IPTU",""),"")</f>
        <v/>
      </c>
      <c r="R877" s="10" t="n"/>
      <c r="S877" s="10" t="n"/>
      <c r="AA877" s="10" t="n"/>
      <c r="AB877" s="11">
        <f>IF(LEN(TRIM(X877))=0,"",HYPERLINK("https://www.google.com/maps/@?api=1&amp;map_action=pano&amp;viewpoint="&amp;SUBSTITUTE(X877," ",""),"Abrir Street View"))</f>
        <v/>
      </c>
    </row>
    <row r="878">
      <c r="H878" s="6" t="n"/>
      <c r="I878" s="6" t="n"/>
      <c r="M878" s="7" t="n"/>
      <c r="N878" s="7" t="n"/>
      <c r="O878" s="7" t="n"/>
      <c r="P878" s="8">
        <f>IF(NOT(ISNUMBER(M878)),"",IF(G878="Terreno",IF(AND(ISNUMBER(I878),I878&gt;0),M878/I878,""),IF(AND(ISNUMBER(H878),H878&gt;0),M878/H878,"")))</f>
        <v/>
      </c>
      <c r="Q878" s="9">
        <f>IF(AND(ISNUMBER(M878),ISNUMBER(O878)),IF(M878&lt;=O878,"Valor ≤ venal IPTU",""),"")</f>
        <v/>
      </c>
      <c r="R878" s="10" t="n"/>
      <c r="S878" s="10" t="n"/>
      <c r="AA878" s="10" t="n"/>
      <c r="AB878" s="11">
        <f>IF(LEN(TRIM(X878))=0,"",HYPERLINK("https://www.google.com/maps/@?api=1&amp;map_action=pano&amp;viewpoint="&amp;SUBSTITUTE(X878," ",""),"Abrir Street View"))</f>
        <v/>
      </c>
    </row>
    <row r="879">
      <c r="H879" s="6" t="n"/>
      <c r="I879" s="6" t="n"/>
      <c r="M879" s="7" t="n"/>
      <c r="N879" s="7" t="n"/>
      <c r="O879" s="7" t="n"/>
      <c r="P879" s="8">
        <f>IF(NOT(ISNUMBER(M879)),"",IF(G879="Terreno",IF(AND(ISNUMBER(I879),I879&gt;0),M879/I879,""),IF(AND(ISNUMBER(H879),H879&gt;0),M879/H879,"")))</f>
        <v/>
      </c>
      <c r="Q879" s="9">
        <f>IF(AND(ISNUMBER(M879),ISNUMBER(O879)),IF(M879&lt;=O879,"Valor ≤ venal IPTU",""),"")</f>
        <v/>
      </c>
      <c r="R879" s="10" t="n"/>
      <c r="S879" s="10" t="n"/>
      <c r="AA879" s="10" t="n"/>
      <c r="AB879" s="11">
        <f>IF(LEN(TRIM(X879))=0,"",HYPERLINK("https://www.google.com/maps/@?api=1&amp;map_action=pano&amp;viewpoint="&amp;SUBSTITUTE(X879," ",""),"Abrir Street View"))</f>
        <v/>
      </c>
    </row>
    <row r="880">
      <c r="H880" s="6" t="n"/>
      <c r="I880" s="6" t="n"/>
      <c r="M880" s="7" t="n"/>
      <c r="N880" s="7" t="n"/>
      <c r="O880" s="7" t="n"/>
      <c r="P880" s="8">
        <f>IF(NOT(ISNUMBER(M880)),"",IF(G880="Terreno",IF(AND(ISNUMBER(I880),I880&gt;0),M880/I880,""),IF(AND(ISNUMBER(H880),H880&gt;0),M880/H880,"")))</f>
        <v/>
      </c>
      <c r="Q880" s="9">
        <f>IF(AND(ISNUMBER(M880),ISNUMBER(O880)),IF(M880&lt;=O880,"Valor ≤ venal IPTU",""),"")</f>
        <v/>
      </c>
      <c r="R880" s="10" t="n"/>
      <c r="S880" s="10" t="n"/>
      <c r="AA880" s="10" t="n"/>
      <c r="AB880" s="11">
        <f>IF(LEN(TRIM(X880))=0,"",HYPERLINK("https://www.google.com/maps/@?api=1&amp;map_action=pano&amp;viewpoint="&amp;SUBSTITUTE(X880," ",""),"Abrir Street View"))</f>
        <v/>
      </c>
    </row>
    <row r="881">
      <c r="H881" s="6" t="n"/>
      <c r="I881" s="6" t="n"/>
      <c r="M881" s="7" t="n"/>
      <c r="N881" s="7" t="n"/>
      <c r="O881" s="7" t="n"/>
      <c r="P881" s="8">
        <f>IF(NOT(ISNUMBER(M881)),"",IF(G881="Terreno",IF(AND(ISNUMBER(I881),I881&gt;0),M881/I881,""),IF(AND(ISNUMBER(H881),H881&gt;0),M881/H881,"")))</f>
        <v/>
      </c>
      <c r="Q881" s="9">
        <f>IF(AND(ISNUMBER(M881),ISNUMBER(O881)),IF(M881&lt;=O881,"Valor ≤ venal IPTU",""),"")</f>
        <v/>
      </c>
      <c r="R881" s="10" t="n"/>
      <c r="S881" s="10" t="n"/>
      <c r="AA881" s="10" t="n"/>
      <c r="AB881" s="11">
        <f>IF(LEN(TRIM(X881))=0,"",HYPERLINK("https://www.google.com/maps/@?api=1&amp;map_action=pano&amp;viewpoint="&amp;SUBSTITUTE(X881," ",""),"Abrir Street View"))</f>
        <v/>
      </c>
    </row>
    <row r="882">
      <c r="H882" s="6" t="n"/>
      <c r="I882" s="6" t="n"/>
      <c r="M882" s="7" t="n"/>
      <c r="N882" s="7" t="n"/>
      <c r="O882" s="7" t="n"/>
      <c r="P882" s="8">
        <f>IF(NOT(ISNUMBER(M882)),"",IF(G882="Terreno",IF(AND(ISNUMBER(I882),I882&gt;0),M882/I882,""),IF(AND(ISNUMBER(H882),H882&gt;0),M882/H882,"")))</f>
        <v/>
      </c>
      <c r="Q882" s="9">
        <f>IF(AND(ISNUMBER(M882),ISNUMBER(O882)),IF(M882&lt;=O882,"Valor ≤ venal IPTU",""),"")</f>
        <v/>
      </c>
      <c r="R882" s="10" t="n"/>
      <c r="S882" s="10" t="n"/>
      <c r="AA882" s="10" t="n"/>
      <c r="AB882" s="11">
        <f>IF(LEN(TRIM(X882))=0,"",HYPERLINK("https://www.google.com/maps/@?api=1&amp;map_action=pano&amp;viewpoint="&amp;SUBSTITUTE(X882," ",""),"Abrir Street View"))</f>
        <v/>
      </c>
    </row>
    <row r="883">
      <c r="H883" s="6" t="n"/>
      <c r="I883" s="6" t="n"/>
      <c r="M883" s="7" t="n"/>
      <c r="N883" s="7" t="n"/>
      <c r="O883" s="7" t="n"/>
      <c r="P883" s="8">
        <f>IF(NOT(ISNUMBER(M883)),"",IF(G883="Terreno",IF(AND(ISNUMBER(I883),I883&gt;0),M883/I883,""),IF(AND(ISNUMBER(H883),H883&gt;0),M883/H883,"")))</f>
        <v/>
      </c>
      <c r="Q883" s="9">
        <f>IF(AND(ISNUMBER(M883),ISNUMBER(O883)),IF(M883&lt;=O883,"Valor ≤ venal IPTU",""),"")</f>
        <v/>
      </c>
      <c r="R883" s="10" t="n"/>
      <c r="S883" s="10" t="n"/>
      <c r="AA883" s="10" t="n"/>
      <c r="AB883" s="11">
        <f>IF(LEN(TRIM(X883))=0,"",HYPERLINK("https://www.google.com/maps/@?api=1&amp;map_action=pano&amp;viewpoint="&amp;SUBSTITUTE(X883," ",""),"Abrir Street View"))</f>
        <v/>
      </c>
    </row>
    <row r="884">
      <c r="H884" s="6" t="n"/>
      <c r="I884" s="6" t="n"/>
      <c r="M884" s="7" t="n"/>
      <c r="N884" s="7" t="n"/>
      <c r="O884" s="7" t="n"/>
      <c r="P884" s="8">
        <f>IF(NOT(ISNUMBER(M884)),"",IF(G884="Terreno",IF(AND(ISNUMBER(I884),I884&gt;0),M884/I884,""),IF(AND(ISNUMBER(H884),H884&gt;0),M884/H884,"")))</f>
        <v/>
      </c>
      <c r="Q884" s="9">
        <f>IF(AND(ISNUMBER(M884),ISNUMBER(O884)),IF(M884&lt;=O884,"Valor ≤ venal IPTU",""),"")</f>
        <v/>
      </c>
      <c r="R884" s="10" t="n"/>
      <c r="S884" s="10" t="n"/>
      <c r="AA884" s="10" t="n"/>
      <c r="AB884" s="11">
        <f>IF(LEN(TRIM(X884))=0,"",HYPERLINK("https://www.google.com/maps/@?api=1&amp;map_action=pano&amp;viewpoint="&amp;SUBSTITUTE(X884," ",""),"Abrir Street View"))</f>
        <v/>
      </c>
    </row>
    <row r="885">
      <c r="H885" s="6" t="n"/>
      <c r="I885" s="6" t="n"/>
      <c r="M885" s="7" t="n"/>
      <c r="N885" s="7" t="n"/>
      <c r="O885" s="7" t="n"/>
      <c r="P885" s="8">
        <f>IF(NOT(ISNUMBER(M885)),"",IF(G885="Terreno",IF(AND(ISNUMBER(I885),I885&gt;0),M885/I885,""),IF(AND(ISNUMBER(H885),H885&gt;0),M885/H885,"")))</f>
        <v/>
      </c>
      <c r="Q885" s="9">
        <f>IF(AND(ISNUMBER(M885),ISNUMBER(O885)),IF(M885&lt;=O885,"Valor ≤ venal IPTU",""),"")</f>
        <v/>
      </c>
      <c r="R885" s="10" t="n"/>
      <c r="S885" s="10" t="n"/>
      <c r="AA885" s="10" t="n"/>
      <c r="AB885" s="11">
        <f>IF(LEN(TRIM(X885))=0,"",HYPERLINK("https://www.google.com/maps/@?api=1&amp;map_action=pano&amp;viewpoint="&amp;SUBSTITUTE(X885," ",""),"Abrir Street View"))</f>
        <v/>
      </c>
    </row>
    <row r="886">
      <c r="H886" s="6" t="n"/>
      <c r="I886" s="6" t="n"/>
      <c r="M886" s="7" t="n"/>
      <c r="N886" s="7" t="n"/>
      <c r="O886" s="7" t="n"/>
      <c r="P886" s="8">
        <f>IF(NOT(ISNUMBER(M886)),"",IF(G886="Terreno",IF(AND(ISNUMBER(I886),I886&gt;0),M886/I886,""),IF(AND(ISNUMBER(H886),H886&gt;0),M886/H886,"")))</f>
        <v/>
      </c>
      <c r="Q886" s="9">
        <f>IF(AND(ISNUMBER(M886),ISNUMBER(O886)),IF(M886&lt;=O886,"Valor ≤ venal IPTU",""),"")</f>
        <v/>
      </c>
      <c r="R886" s="10" t="n"/>
      <c r="S886" s="10" t="n"/>
      <c r="AA886" s="10" t="n"/>
      <c r="AB886" s="11">
        <f>IF(LEN(TRIM(X886))=0,"",HYPERLINK("https://www.google.com/maps/@?api=1&amp;map_action=pano&amp;viewpoint="&amp;SUBSTITUTE(X886," ",""),"Abrir Street View"))</f>
        <v/>
      </c>
    </row>
    <row r="887">
      <c r="H887" s="6" t="n"/>
      <c r="I887" s="6" t="n"/>
      <c r="M887" s="7" t="n"/>
      <c r="N887" s="7" t="n"/>
      <c r="O887" s="7" t="n"/>
      <c r="P887" s="8">
        <f>IF(NOT(ISNUMBER(M887)),"",IF(G887="Terreno",IF(AND(ISNUMBER(I887),I887&gt;0),M887/I887,""),IF(AND(ISNUMBER(H887),H887&gt;0),M887/H887,"")))</f>
        <v/>
      </c>
      <c r="Q887" s="9">
        <f>IF(AND(ISNUMBER(M887),ISNUMBER(O887)),IF(M887&lt;=O887,"Valor ≤ venal IPTU",""),"")</f>
        <v/>
      </c>
      <c r="R887" s="10" t="n"/>
      <c r="S887" s="10" t="n"/>
      <c r="AA887" s="10" t="n"/>
      <c r="AB887" s="11">
        <f>IF(LEN(TRIM(X887))=0,"",HYPERLINK("https://www.google.com/maps/@?api=1&amp;map_action=pano&amp;viewpoint="&amp;SUBSTITUTE(X887," ",""),"Abrir Street View"))</f>
        <v/>
      </c>
    </row>
    <row r="888">
      <c r="H888" s="6" t="n"/>
      <c r="I888" s="6" t="n"/>
      <c r="M888" s="7" t="n"/>
      <c r="N888" s="7" t="n"/>
      <c r="O888" s="7" t="n"/>
      <c r="P888" s="8">
        <f>IF(NOT(ISNUMBER(M888)),"",IF(G888="Terreno",IF(AND(ISNUMBER(I888),I888&gt;0),M888/I888,""),IF(AND(ISNUMBER(H888),H888&gt;0),M888/H888,"")))</f>
        <v/>
      </c>
      <c r="Q888" s="9">
        <f>IF(AND(ISNUMBER(M888),ISNUMBER(O888)),IF(M888&lt;=O888,"Valor ≤ venal IPTU",""),"")</f>
        <v/>
      </c>
      <c r="R888" s="10" t="n"/>
      <c r="S888" s="10" t="n"/>
      <c r="AA888" s="10" t="n"/>
      <c r="AB888" s="11">
        <f>IF(LEN(TRIM(X888))=0,"",HYPERLINK("https://www.google.com/maps/@?api=1&amp;map_action=pano&amp;viewpoint="&amp;SUBSTITUTE(X888," ",""),"Abrir Street View"))</f>
        <v/>
      </c>
    </row>
    <row r="889">
      <c r="H889" s="6" t="n"/>
      <c r="I889" s="6" t="n"/>
      <c r="M889" s="7" t="n"/>
      <c r="N889" s="7" t="n"/>
      <c r="O889" s="7" t="n"/>
      <c r="P889" s="8">
        <f>IF(NOT(ISNUMBER(M889)),"",IF(G889="Terreno",IF(AND(ISNUMBER(I889),I889&gt;0),M889/I889,""),IF(AND(ISNUMBER(H889),H889&gt;0),M889/H889,"")))</f>
        <v/>
      </c>
      <c r="Q889" s="9">
        <f>IF(AND(ISNUMBER(M889),ISNUMBER(O889)),IF(M889&lt;=O889,"Valor ≤ venal IPTU",""),"")</f>
        <v/>
      </c>
      <c r="R889" s="10" t="n"/>
      <c r="S889" s="10" t="n"/>
      <c r="AA889" s="10" t="n"/>
      <c r="AB889" s="11">
        <f>IF(LEN(TRIM(X889))=0,"",HYPERLINK("https://www.google.com/maps/@?api=1&amp;map_action=pano&amp;viewpoint="&amp;SUBSTITUTE(X889," ",""),"Abrir Street View"))</f>
        <v/>
      </c>
    </row>
    <row r="890">
      <c r="H890" s="6" t="n"/>
      <c r="I890" s="6" t="n"/>
      <c r="M890" s="7" t="n"/>
      <c r="N890" s="7" t="n"/>
      <c r="O890" s="7" t="n"/>
      <c r="P890" s="8">
        <f>IF(NOT(ISNUMBER(M890)),"",IF(G890="Terreno",IF(AND(ISNUMBER(I890),I890&gt;0),M890/I890,""),IF(AND(ISNUMBER(H890),H890&gt;0),M890/H890,"")))</f>
        <v/>
      </c>
      <c r="Q890" s="9">
        <f>IF(AND(ISNUMBER(M890),ISNUMBER(O890)),IF(M890&lt;=O890,"Valor ≤ venal IPTU",""),"")</f>
        <v/>
      </c>
      <c r="R890" s="10" t="n"/>
      <c r="S890" s="10" t="n"/>
      <c r="AA890" s="10" t="n"/>
      <c r="AB890" s="11">
        <f>IF(LEN(TRIM(X890))=0,"",HYPERLINK("https://www.google.com/maps/@?api=1&amp;map_action=pano&amp;viewpoint="&amp;SUBSTITUTE(X890," ",""),"Abrir Street View"))</f>
        <v/>
      </c>
    </row>
    <row r="891">
      <c r="H891" s="6" t="n"/>
      <c r="I891" s="6" t="n"/>
      <c r="M891" s="7" t="n"/>
      <c r="N891" s="7" t="n"/>
      <c r="O891" s="7" t="n"/>
      <c r="P891" s="8">
        <f>IF(NOT(ISNUMBER(M891)),"",IF(G891="Terreno",IF(AND(ISNUMBER(I891),I891&gt;0),M891/I891,""),IF(AND(ISNUMBER(H891),H891&gt;0),M891/H891,"")))</f>
        <v/>
      </c>
      <c r="Q891" s="9">
        <f>IF(AND(ISNUMBER(M891),ISNUMBER(O891)),IF(M891&lt;=O891,"Valor ≤ venal IPTU",""),"")</f>
        <v/>
      </c>
      <c r="R891" s="10" t="n"/>
      <c r="S891" s="10" t="n"/>
      <c r="AA891" s="10" t="n"/>
      <c r="AB891" s="11">
        <f>IF(LEN(TRIM(X891))=0,"",HYPERLINK("https://www.google.com/maps/@?api=1&amp;map_action=pano&amp;viewpoint="&amp;SUBSTITUTE(X891," ",""),"Abrir Street View"))</f>
        <v/>
      </c>
    </row>
    <row r="892">
      <c r="H892" s="6" t="n"/>
      <c r="I892" s="6" t="n"/>
      <c r="M892" s="7" t="n"/>
      <c r="N892" s="7" t="n"/>
      <c r="O892" s="7" t="n"/>
      <c r="P892" s="8">
        <f>IF(NOT(ISNUMBER(M892)),"",IF(G892="Terreno",IF(AND(ISNUMBER(I892),I892&gt;0),M892/I892,""),IF(AND(ISNUMBER(H892),H892&gt;0),M892/H892,"")))</f>
        <v/>
      </c>
      <c r="Q892" s="9">
        <f>IF(AND(ISNUMBER(M892),ISNUMBER(O892)),IF(M892&lt;=O892,"Valor ≤ venal IPTU",""),"")</f>
        <v/>
      </c>
      <c r="R892" s="10" t="n"/>
      <c r="S892" s="10" t="n"/>
      <c r="AA892" s="10" t="n"/>
      <c r="AB892" s="11">
        <f>IF(LEN(TRIM(X892))=0,"",HYPERLINK("https://www.google.com/maps/@?api=1&amp;map_action=pano&amp;viewpoint="&amp;SUBSTITUTE(X892," ",""),"Abrir Street View"))</f>
        <v/>
      </c>
    </row>
    <row r="893">
      <c r="H893" s="6" t="n"/>
      <c r="I893" s="6" t="n"/>
      <c r="M893" s="7" t="n"/>
      <c r="N893" s="7" t="n"/>
      <c r="O893" s="7" t="n"/>
      <c r="P893" s="8">
        <f>IF(NOT(ISNUMBER(M893)),"",IF(G893="Terreno",IF(AND(ISNUMBER(I893),I893&gt;0),M893/I893,""),IF(AND(ISNUMBER(H893),H893&gt;0),M893/H893,"")))</f>
        <v/>
      </c>
      <c r="Q893" s="9">
        <f>IF(AND(ISNUMBER(M893),ISNUMBER(O893)),IF(M893&lt;=O893,"Valor ≤ venal IPTU",""),"")</f>
        <v/>
      </c>
      <c r="R893" s="10" t="n"/>
      <c r="S893" s="10" t="n"/>
      <c r="AA893" s="10" t="n"/>
      <c r="AB893" s="11">
        <f>IF(LEN(TRIM(X893))=0,"",HYPERLINK("https://www.google.com/maps/@?api=1&amp;map_action=pano&amp;viewpoint="&amp;SUBSTITUTE(X893," ",""),"Abrir Street View"))</f>
        <v/>
      </c>
    </row>
    <row r="894">
      <c r="H894" s="6" t="n"/>
      <c r="I894" s="6" t="n"/>
      <c r="M894" s="7" t="n"/>
      <c r="N894" s="7" t="n"/>
      <c r="O894" s="7" t="n"/>
      <c r="P894" s="8">
        <f>IF(NOT(ISNUMBER(M894)),"",IF(G894="Terreno",IF(AND(ISNUMBER(I894),I894&gt;0),M894/I894,""),IF(AND(ISNUMBER(H894),H894&gt;0),M894/H894,"")))</f>
        <v/>
      </c>
      <c r="Q894" s="9">
        <f>IF(AND(ISNUMBER(M894),ISNUMBER(O894)),IF(M894&lt;=O894,"Valor ≤ venal IPTU",""),"")</f>
        <v/>
      </c>
      <c r="R894" s="10" t="n"/>
      <c r="S894" s="10" t="n"/>
      <c r="AA894" s="10" t="n"/>
      <c r="AB894" s="11">
        <f>IF(LEN(TRIM(X894))=0,"",HYPERLINK("https://www.google.com/maps/@?api=1&amp;map_action=pano&amp;viewpoint="&amp;SUBSTITUTE(X894," ",""),"Abrir Street View"))</f>
        <v/>
      </c>
    </row>
    <row r="895">
      <c r="H895" s="6" t="n"/>
      <c r="I895" s="6" t="n"/>
      <c r="M895" s="7" t="n"/>
      <c r="N895" s="7" t="n"/>
      <c r="O895" s="7" t="n"/>
      <c r="P895" s="8">
        <f>IF(NOT(ISNUMBER(M895)),"",IF(G895="Terreno",IF(AND(ISNUMBER(I895),I895&gt;0),M895/I895,""),IF(AND(ISNUMBER(H895),H895&gt;0),M895/H895,"")))</f>
        <v/>
      </c>
      <c r="Q895" s="9">
        <f>IF(AND(ISNUMBER(M895),ISNUMBER(O895)),IF(M895&lt;=O895,"Valor ≤ venal IPTU",""),"")</f>
        <v/>
      </c>
      <c r="R895" s="10" t="n"/>
      <c r="S895" s="10" t="n"/>
      <c r="AA895" s="10" t="n"/>
      <c r="AB895" s="11">
        <f>IF(LEN(TRIM(X895))=0,"",HYPERLINK("https://www.google.com/maps/@?api=1&amp;map_action=pano&amp;viewpoint="&amp;SUBSTITUTE(X895," ",""),"Abrir Street View"))</f>
        <v/>
      </c>
    </row>
    <row r="896">
      <c r="H896" s="6" t="n"/>
      <c r="I896" s="6" t="n"/>
      <c r="M896" s="7" t="n"/>
      <c r="N896" s="7" t="n"/>
      <c r="O896" s="7" t="n"/>
      <c r="P896" s="8">
        <f>IF(NOT(ISNUMBER(M896)),"",IF(G896="Terreno",IF(AND(ISNUMBER(I896),I896&gt;0),M896/I896,""),IF(AND(ISNUMBER(H896),H896&gt;0),M896/H896,"")))</f>
        <v/>
      </c>
      <c r="Q896" s="9">
        <f>IF(AND(ISNUMBER(M896),ISNUMBER(O896)),IF(M896&lt;=O896,"Valor ≤ venal IPTU",""),"")</f>
        <v/>
      </c>
      <c r="R896" s="10" t="n"/>
      <c r="S896" s="10" t="n"/>
      <c r="AA896" s="10" t="n"/>
      <c r="AB896" s="11">
        <f>IF(LEN(TRIM(X896))=0,"",HYPERLINK("https://www.google.com/maps/@?api=1&amp;map_action=pano&amp;viewpoint="&amp;SUBSTITUTE(X896," ",""),"Abrir Street View"))</f>
        <v/>
      </c>
    </row>
    <row r="897">
      <c r="H897" s="6" t="n"/>
      <c r="I897" s="6" t="n"/>
      <c r="M897" s="7" t="n"/>
      <c r="N897" s="7" t="n"/>
      <c r="O897" s="7" t="n"/>
      <c r="P897" s="8">
        <f>IF(NOT(ISNUMBER(M897)),"",IF(G897="Terreno",IF(AND(ISNUMBER(I897),I897&gt;0),M897/I897,""),IF(AND(ISNUMBER(H897),H897&gt;0),M897/H897,"")))</f>
        <v/>
      </c>
      <c r="Q897" s="9">
        <f>IF(AND(ISNUMBER(M897),ISNUMBER(O897)),IF(M897&lt;=O897,"Valor ≤ venal IPTU",""),"")</f>
        <v/>
      </c>
      <c r="R897" s="10" t="n"/>
      <c r="S897" s="10" t="n"/>
      <c r="AA897" s="10" t="n"/>
      <c r="AB897" s="11">
        <f>IF(LEN(TRIM(X897))=0,"",HYPERLINK("https://www.google.com/maps/@?api=1&amp;map_action=pano&amp;viewpoint="&amp;SUBSTITUTE(X897," ",""),"Abrir Street View"))</f>
        <v/>
      </c>
    </row>
    <row r="898">
      <c r="H898" s="6" t="n"/>
      <c r="I898" s="6" t="n"/>
      <c r="M898" s="7" t="n"/>
      <c r="N898" s="7" t="n"/>
      <c r="O898" s="7" t="n"/>
      <c r="P898" s="8">
        <f>IF(NOT(ISNUMBER(M898)),"",IF(G898="Terreno",IF(AND(ISNUMBER(I898),I898&gt;0),M898/I898,""),IF(AND(ISNUMBER(H898),H898&gt;0),M898/H898,"")))</f>
        <v/>
      </c>
      <c r="Q898" s="9">
        <f>IF(AND(ISNUMBER(M898),ISNUMBER(O898)),IF(M898&lt;=O898,"Valor ≤ venal IPTU",""),"")</f>
        <v/>
      </c>
      <c r="R898" s="10" t="n"/>
      <c r="S898" s="10" t="n"/>
      <c r="AA898" s="10" t="n"/>
      <c r="AB898" s="11">
        <f>IF(LEN(TRIM(X898))=0,"",HYPERLINK("https://www.google.com/maps/@?api=1&amp;map_action=pano&amp;viewpoint="&amp;SUBSTITUTE(X898," ",""),"Abrir Street View"))</f>
        <v/>
      </c>
    </row>
    <row r="899">
      <c r="H899" s="6" t="n"/>
      <c r="I899" s="6" t="n"/>
      <c r="M899" s="7" t="n"/>
      <c r="N899" s="7" t="n"/>
      <c r="O899" s="7" t="n"/>
      <c r="P899" s="8">
        <f>IF(NOT(ISNUMBER(M899)),"",IF(G899="Terreno",IF(AND(ISNUMBER(I899),I899&gt;0),M899/I899,""),IF(AND(ISNUMBER(H899),H899&gt;0),M899/H899,"")))</f>
        <v/>
      </c>
      <c r="Q899" s="9">
        <f>IF(AND(ISNUMBER(M899),ISNUMBER(O899)),IF(M899&lt;=O899,"Valor ≤ venal IPTU",""),"")</f>
        <v/>
      </c>
      <c r="R899" s="10" t="n"/>
      <c r="S899" s="10" t="n"/>
      <c r="AA899" s="10" t="n"/>
      <c r="AB899" s="11">
        <f>IF(LEN(TRIM(X899))=0,"",HYPERLINK("https://www.google.com/maps/@?api=1&amp;map_action=pano&amp;viewpoint="&amp;SUBSTITUTE(X899," ",""),"Abrir Street View"))</f>
        <v/>
      </c>
    </row>
    <row r="900">
      <c r="H900" s="6" t="n"/>
      <c r="I900" s="6" t="n"/>
      <c r="M900" s="7" t="n"/>
      <c r="N900" s="7" t="n"/>
      <c r="O900" s="7" t="n"/>
      <c r="P900" s="8">
        <f>IF(NOT(ISNUMBER(M900)),"",IF(G900="Terreno",IF(AND(ISNUMBER(I900),I900&gt;0),M900/I900,""),IF(AND(ISNUMBER(H900),H900&gt;0),M900/H900,"")))</f>
        <v/>
      </c>
      <c r="Q900" s="9">
        <f>IF(AND(ISNUMBER(M900),ISNUMBER(O900)),IF(M900&lt;=O900,"Valor ≤ venal IPTU",""),"")</f>
        <v/>
      </c>
      <c r="R900" s="10" t="n"/>
      <c r="S900" s="10" t="n"/>
      <c r="AA900" s="10" t="n"/>
      <c r="AB900" s="11">
        <f>IF(LEN(TRIM(X900))=0,"",HYPERLINK("https://www.google.com/maps/@?api=1&amp;map_action=pano&amp;viewpoint="&amp;SUBSTITUTE(X900," ",""),"Abrir Street View"))</f>
        <v/>
      </c>
    </row>
    <row r="901">
      <c r="H901" s="6" t="n"/>
      <c r="I901" s="6" t="n"/>
      <c r="M901" s="7" t="n"/>
      <c r="N901" s="7" t="n"/>
      <c r="O901" s="7" t="n"/>
      <c r="P901" s="8">
        <f>IF(NOT(ISNUMBER(M901)),"",IF(G901="Terreno",IF(AND(ISNUMBER(I901),I901&gt;0),M901/I901,""),IF(AND(ISNUMBER(H901),H901&gt;0),M901/H901,"")))</f>
        <v/>
      </c>
      <c r="Q901" s="9">
        <f>IF(AND(ISNUMBER(M901),ISNUMBER(O901)),IF(M901&lt;=O901,"Valor ≤ venal IPTU",""),"")</f>
        <v/>
      </c>
      <c r="R901" s="10" t="n"/>
      <c r="S901" s="10" t="n"/>
      <c r="AA901" s="10" t="n"/>
      <c r="AB901" s="11">
        <f>IF(LEN(TRIM(X901))=0,"",HYPERLINK("https://www.google.com/maps/@?api=1&amp;map_action=pano&amp;viewpoint="&amp;SUBSTITUTE(X901," ",""),"Abrir Street View"))</f>
        <v/>
      </c>
    </row>
    <row r="902">
      <c r="H902" s="6" t="n"/>
      <c r="I902" s="6" t="n"/>
      <c r="M902" s="7" t="n"/>
      <c r="N902" s="7" t="n"/>
      <c r="O902" s="7" t="n"/>
      <c r="P902" s="8">
        <f>IF(NOT(ISNUMBER(M902)),"",IF(G902="Terreno",IF(AND(ISNUMBER(I902),I902&gt;0),M902/I902,""),IF(AND(ISNUMBER(H902),H902&gt;0),M902/H902,"")))</f>
        <v/>
      </c>
      <c r="Q902" s="9">
        <f>IF(AND(ISNUMBER(M902),ISNUMBER(O902)),IF(M902&lt;=O902,"Valor ≤ venal IPTU",""),"")</f>
        <v/>
      </c>
      <c r="R902" s="10" t="n"/>
      <c r="S902" s="10" t="n"/>
      <c r="AA902" s="10" t="n"/>
      <c r="AB902" s="11">
        <f>IF(LEN(TRIM(X902))=0,"",HYPERLINK("https://www.google.com/maps/@?api=1&amp;map_action=pano&amp;viewpoint="&amp;SUBSTITUTE(X902," ",""),"Abrir Street View"))</f>
        <v/>
      </c>
    </row>
    <row r="903">
      <c r="H903" s="6" t="n"/>
      <c r="I903" s="6" t="n"/>
      <c r="M903" s="7" t="n"/>
      <c r="N903" s="7" t="n"/>
      <c r="O903" s="7" t="n"/>
      <c r="P903" s="8">
        <f>IF(NOT(ISNUMBER(M903)),"",IF(G903="Terreno",IF(AND(ISNUMBER(I903),I903&gt;0),M903/I903,""),IF(AND(ISNUMBER(H903),H903&gt;0),M903/H903,"")))</f>
        <v/>
      </c>
      <c r="Q903" s="9">
        <f>IF(AND(ISNUMBER(M903),ISNUMBER(O903)),IF(M903&lt;=O903,"Valor ≤ venal IPTU",""),"")</f>
        <v/>
      </c>
      <c r="R903" s="10" t="n"/>
      <c r="S903" s="10" t="n"/>
      <c r="AA903" s="10" t="n"/>
      <c r="AB903" s="11">
        <f>IF(LEN(TRIM(X903))=0,"",HYPERLINK("https://www.google.com/maps/@?api=1&amp;map_action=pano&amp;viewpoint="&amp;SUBSTITUTE(X903," ",""),"Abrir Street View"))</f>
        <v/>
      </c>
    </row>
    <row r="904">
      <c r="H904" s="6" t="n"/>
      <c r="I904" s="6" t="n"/>
      <c r="M904" s="7" t="n"/>
      <c r="N904" s="7" t="n"/>
      <c r="O904" s="7" t="n"/>
      <c r="P904" s="8">
        <f>IF(NOT(ISNUMBER(M904)),"",IF(G904="Terreno",IF(AND(ISNUMBER(I904),I904&gt;0),M904/I904,""),IF(AND(ISNUMBER(H904),H904&gt;0),M904/H904,"")))</f>
        <v/>
      </c>
      <c r="Q904" s="9">
        <f>IF(AND(ISNUMBER(M904),ISNUMBER(O904)),IF(M904&lt;=O904,"Valor ≤ venal IPTU",""),"")</f>
        <v/>
      </c>
      <c r="R904" s="10" t="n"/>
      <c r="S904" s="10" t="n"/>
      <c r="AA904" s="10" t="n"/>
      <c r="AB904" s="11">
        <f>IF(LEN(TRIM(X904))=0,"",HYPERLINK("https://www.google.com/maps/@?api=1&amp;map_action=pano&amp;viewpoint="&amp;SUBSTITUTE(X904," ",""),"Abrir Street View"))</f>
        <v/>
      </c>
    </row>
    <row r="905">
      <c r="H905" s="6" t="n"/>
      <c r="I905" s="6" t="n"/>
      <c r="M905" s="7" t="n"/>
      <c r="N905" s="7" t="n"/>
      <c r="O905" s="7" t="n"/>
      <c r="P905" s="8">
        <f>IF(NOT(ISNUMBER(M905)),"",IF(G905="Terreno",IF(AND(ISNUMBER(I905),I905&gt;0),M905/I905,""),IF(AND(ISNUMBER(H905),H905&gt;0),M905/H905,"")))</f>
        <v/>
      </c>
      <c r="Q905" s="9">
        <f>IF(AND(ISNUMBER(M905),ISNUMBER(O905)),IF(M905&lt;=O905,"Valor ≤ venal IPTU",""),"")</f>
        <v/>
      </c>
      <c r="R905" s="10" t="n"/>
      <c r="S905" s="10" t="n"/>
      <c r="AA905" s="10" t="n"/>
      <c r="AB905" s="11">
        <f>IF(LEN(TRIM(X905))=0,"",HYPERLINK("https://www.google.com/maps/@?api=1&amp;map_action=pano&amp;viewpoint="&amp;SUBSTITUTE(X905," ",""),"Abrir Street View"))</f>
        <v/>
      </c>
    </row>
    <row r="906">
      <c r="H906" s="6" t="n"/>
      <c r="I906" s="6" t="n"/>
      <c r="M906" s="7" t="n"/>
      <c r="N906" s="7" t="n"/>
      <c r="O906" s="7" t="n"/>
      <c r="P906" s="8">
        <f>IF(NOT(ISNUMBER(M906)),"",IF(G906="Terreno",IF(AND(ISNUMBER(I906),I906&gt;0),M906/I906,""),IF(AND(ISNUMBER(H906),H906&gt;0),M906/H906,"")))</f>
        <v/>
      </c>
      <c r="Q906" s="9">
        <f>IF(AND(ISNUMBER(M906),ISNUMBER(O906)),IF(M906&lt;=O906,"Valor ≤ venal IPTU",""),"")</f>
        <v/>
      </c>
      <c r="R906" s="10" t="n"/>
      <c r="S906" s="10" t="n"/>
      <c r="AA906" s="10" t="n"/>
      <c r="AB906" s="11">
        <f>IF(LEN(TRIM(X906))=0,"",HYPERLINK("https://www.google.com/maps/@?api=1&amp;map_action=pano&amp;viewpoint="&amp;SUBSTITUTE(X906," ",""),"Abrir Street View"))</f>
        <v/>
      </c>
    </row>
    <row r="907">
      <c r="H907" s="6" t="n"/>
      <c r="I907" s="6" t="n"/>
      <c r="M907" s="7" t="n"/>
      <c r="N907" s="7" t="n"/>
      <c r="O907" s="7" t="n"/>
      <c r="P907" s="8">
        <f>IF(NOT(ISNUMBER(M907)),"",IF(G907="Terreno",IF(AND(ISNUMBER(I907),I907&gt;0),M907/I907,""),IF(AND(ISNUMBER(H907),H907&gt;0),M907/H907,"")))</f>
        <v/>
      </c>
      <c r="Q907" s="9">
        <f>IF(AND(ISNUMBER(M907),ISNUMBER(O907)),IF(M907&lt;=O907,"Valor ≤ venal IPTU",""),"")</f>
        <v/>
      </c>
      <c r="R907" s="10" t="n"/>
      <c r="S907" s="10" t="n"/>
      <c r="AA907" s="10" t="n"/>
      <c r="AB907" s="11">
        <f>IF(LEN(TRIM(X907))=0,"",HYPERLINK("https://www.google.com/maps/@?api=1&amp;map_action=pano&amp;viewpoint="&amp;SUBSTITUTE(X907," ",""),"Abrir Street View"))</f>
        <v/>
      </c>
    </row>
    <row r="908">
      <c r="H908" s="6" t="n"/>
      <c r="I908" s="6" t="n"/>
      <c r="M908" s="7" t="n"/>
      <c r="N908" s="7" t="n"/>
      <c r="O908" s="7" t="n"/>
      <c r="P908" s="8">
        <f>IF(NOT(ISNUMBER(M908)),"",IF(G908="Terreno",IF(AND(ISNUMBER(I908),I908&gt;0),M908/I908,""),IF(AND(ISNUMBER(H908),H908&gt;0),M908/H908,"")))</f>
        <v/>
      </c>
      <c r="Q908" s="9">
        <f>IF(AND(ISNUMBER(M908),ISNUMBER(O908)),IF(M908&lt;=O908,"Valor ≤ venal IPTU",""),"")</f>
        <v/>
      </c>
      <c r="R908" s="10" t="n"/>
      <c r="S908" s="10" t="n"/>
      <c r="AA908" s="10" t="n"/>
      <c r="AB908" s="11">
        <f>IF(LEN(TRIM(X908))=0,"",HYPERLINK("https://www.google.com/maps/@?api=1&amp;map_action=pano&amp;viewpoint="&amp;SUBSTITUTE(X908," ",""),"Abrir Street View"))</f>
        <v/>
      </c>
    </row>
    <row r="909">
      <c r="H909" s="6" t="n"/>
      <c r="I909" s="6" t="n"/>
      <c r="M909" s="7" t="n"/>
      <c r="N909" s="7" t="n"/>
      <c r="O909" s="7" t="n"/>
      <c r="P909" s="8">
        <f>IF(NOT(ISNUMBER(M909)),"",IF(G909="Terreno",IF(AND(ISNUMBER(I909),I909&gt;0),M909/I909,""),IF(AND(ISNUMBER(H909),H909&gt;0),M909/H909,"")))</f>
        <v/>
      </c>
      <c r="Q909" s="9">
        <f>IF(AND(ISNUMBER(M909),ISNUMBER(O909)),IF(M909&lt;=O909,"Valor ≤ venal IPTU",""),"")</f>
        <v/>
      </c>
      <c r="R909" s="10" t="n"/>
      <c r="S909" s="10" t="n"/>
      <c r="AA909" s="10" t="n"/>
      <c r="AB909" s="11">
        <f>IF(LEN(TRIM(X909))=0,"",HYPERLINK("https://www.google.com/maps/@?api=1&amp;map_action=pano&amp;viewpoint="&amp;SUBSTITUTE(X909," ",""),"Abrir Street View"))</f>
        <v/>
      </c>
    </row>
    <row r="910">
      <c r="H910" s="6" t="n"/>
      <c r="I910" s="6" t="n"/>
      <c r="M910" s="7" t="n"/>
      <c r="N910" s="7" t="n"/>
      <c r="O910" s="7" t="n"/>
      <c r="P910" s="8">
        <f>IF(NOT(ISNUMBER(M910)),"",IF(G910="Terreno",IF(AND(ISNUMBER(I910),I910&gt;0),M910/I910,""),IF(AND(ISNUMBER(H910),H910&gt;0),M910/H910,"")))</f>
        <v/>
      </c>
      <c r="Q910" s="9">
        <f>IF(AND(ISNUMBER(M910),ISNUMBER(O910)),IF(M910&lt;=O910,"Valor ≤ venal IPTU",""),"")</f>
        <v/>
      </c>
      <c r="R910" s="10" t="n"/>
      <c r="S910" s="10" t="n"/>
      <c r="AA910" s="10" t="n"/>
      <c r="AB910" s="11">
        <f>IF(LEN(TRIM(X910))=0,"",HYPERLINK("https://www.google.com/maps/@?api=1&amp;map_action=pano&amp;viewpoint="&amp;SUBSTITUTE(X910," ",""),"Abrir Street View"))</f>
        <v/>
      </c>
    </row>
    <row r="911">
      <c r="H911" s="6" t="n"/>
      <c r="I911" s="6" t="n"/>
      <c r="M911" s="7" t="n"/>
      <c r="N911" s="7" t="n"/>
      <c r="O911" s="7" t="n"/>
      <c r="P911" s="8">
        <f>IF(NOT(ISNUMBER(M911)),"",IF(G911="Terreno",IF(AND(ISNUMBER(I911),I911&gt;0),M911/I911,""),IF(AND(ISNUMBER(H911),H911&gt;0),M911/H911,"")))</f>
        <v/>
      </c>
      <c r="Q911" s="9">
        <f>IF(AND(ISNUMBER(M911),ISNUMBER(O911)),IF(M911&lt;=O911,"Valor ≤ venal IPTU",""),"")</f>
        <v/>
      </c>
      <c r="R911" s="10" t="n"/>
      <c r="S911" s="10" t="n"/>
      <c r="AA911" s="10" t="n"/>
      <c r="AB911" s="11">
        <f>IF(LEN(TRIM(X911))=0,"",HYPERLINK("https://www.google.com/maps/@?api=1&amp;map_action=pano&amp;viewpoint="&amp;SUBSTITUTE(X911," ",""),"Abrir Street View"))</f>
        <v/>
      </c>
    </row>
    <row r="912">
      <c r="H912" s="6" t="n"/>
      <c r="I912" s="6" t="n"/>
      <c r="M912" s="7" t="n"/>
      <c r="N912" s="7" t="n"/>
      <c r="O912" s="7" t="n"/>
      <c r="P912" s="8">
        <f>IF(NOT(ISNUMBER(M912)),"",IF(G912="Terreno",IF(AND(ISNUMBER(I912),I912&gt;0),M912/I912,""),IF(AND(ISNUMBER(H912),H912&gt;0),M912/H912,"")))</f>
        <v/>
      </c>
      <c r="Q912" s="9">
        <f>IF(AND(ISNUMBER(M912),ISNUMBER(O912)),IF(M912&lt;=O912,"Valor ≤ venal IPTU",""),"")</f>
        <v/>
      </c>
      <c r="R912" s="10" t="n"/>
      <c r="S912" s="10" t="n"/>
      <c r="AA912" s="10" t="n"/>
      <c r="AB912" s="11">
        <f>IF(LEN(TRIM(X912))=0,"",HYPERLINK("https://www.google.com/maps/@?api=1&amp;map_action=pano&amp;viewpoint="&amp;SUBSTITUTE(X912," ",""),"Abrir Street View"))</f>
        <v/>
      </c>
    </row>
    <row r="913">
      <c r="H913" s="6" t="n"/>
      <c r="I913" s="6" t="n"/>
      <c r="M913" s="7" t="n"/>
      <c r="N913" s="7" t="n"/>
      <c r="O913" s="7" t="n"/>
      <c r="P913" s="8">
        <f>IF(NOT(ISNUMBER(M913)),"",IF(G913="Terreno",IF(AND(ISNUMBER(I913),I913&gt;0),M913/I913,""),IF(AND(ISNUMBER(H913),H913&gt;0),M913/H913,"")))</f>
        <v/>
      </c>
      <c r="Q913" s="9">
        <f>IF(AND(ISNUMBER(M913),ISNUMBER(O913)),IF(M913&lt;=O913,"Valor ≤ venal IPTU",""),"")</f>
        <v/>
      </c>
      <c r="R913" s="10" t="n"/>
      <c r="S913" s="10" t="n"/>
      <c r="AA913" s="10" t="n"/>
      <c r="AB913" s="11">
        <f>IF(LEN(TRIM(X913))=0,"",HYPERLINK("https://www.google.com/maps/@?api=1&amp;map_action=pano&amp;viewpoint="&amp;SUBSTITUTE(X913," ",""),"Abrir Street View"))</f>
        <v/>
      </c>
    </row>
    <row r="914">
      <c r="H914" s="6" t="n"/>
      <c r="I914" s="6" t="n"/>
      <c r="M914" s="7" t="n"/>
      <c r="N914" s="7" t="n"/>
      <c r="O914" s="7" t="n"/>
      <c r="P914" s="8">
        <f>IF(NOT(ISNUMBER(M914)),"",IF(G914="Terreno",IF(AND(ISNUMBER(I914),I914&gt;0),M914/I914,""),IF(AND(ISNUMBER(H914),H914&gt;0),M914/H914,"")))</f>
        <v/>
      </c>
      <c r="Q914" s="9">
        <f>IF(AND(ISNUMBER(M914),ISNUMBER(O914)),IF(M914&lt;=O914,"Valor ≤ venal IPTU",""),"")</f>
        <v/>
      </c>
      <c r="R914" s="10" t="n"/>
      <c r="S914" s="10" t="n"/>
      <c r="AA914" s="10" t="n"/>
      <c r="AB914" s="11">
        <f>IF(LEN(TRIM(X914))=0,"",HYPERLINK("https://www.google.com/maps/@?api=1&amp;map_action=pano&amp;viewpoint="&amp;SUBSTITUTE(X914," ",""),"Abrir Street View"))</f>
        <v/>
      </c>
    </row>
    <row r="915">
      <c r="H915" s="6" t="n"/>
      <c r="I915" s="6" t="n"/>
      <c r="M915" s="7" t="n"/>
      <c r="N915" s="7" t="n"/>
      <c r="O915" s="7" t="n"/>
      <c r="P915" s="8">
        <f>IF(NOT(ISNUMBER(M915)),"",IF(G915="Terreno",IF(AND(ISNUMBER(I915),I915&gt;0),M915/I915,""),IF(AND(ISNUMBER(H915),H915&gt;0),M915/H915,"")))</f>
        <v/>
      </c>
      <c r="Q915" s="9">
        <f>IF(AND(ISNUMBER(M915),ISNUMBER(O915)),IF(M915&lt;=O915,"Valor ≤ venal IPTU",""),"")</f>
        <v/>
      </c>
      <c r="R915" s="10" t="n"/>
      <c r="S915" s="10" t="n"/>
      <c r="AA915" s="10" t="n"/>
      <c r="AB915" s="11">
        <f>IF(LEN(TRIM(X915))=0,"",HYPERLINK("https://www.google.com/maps/@?api=1&amp;map_action=pano&amp;viewpoint="&amp;SUBSTITUTE(X915," ",""),"Abrir Street View"))</f>
        <v/>
      </c>
    </row>
    <row r="916">
      <c r="H916" s="6" t="n"/>
      <c r="I916" s="6" t="n"/>
      <c r="M916" s="7" t="n"/>
      <c r="N916" s="7" t="n"/>
      <c r="O916" s="7" t="n"/>
      <c r="P916" s="8">
        <f>IF(NOT(ISNUMBER(M916)),"",IF(G916="Terreno",IF(AND(ISNUMBER(I916),I916&gt;0),M916/I916,""),IF(AND(ISNUMBER(H916),H916&gt;0),M916/H916,"")))</f>
        <v/>
      </c>
      <c r="Q916" s="9">
        <f>IF(AND(ISNUMBER(M916),ISNUMBER(O916)),IF(M916&lt;=O916,"Valor ≤ venal IPTU",""),"")</f>
        <v/>
      </c>
      <c r="R916" s="10" t="n"/>
      <c r="S916" s="10" t="n"/>
      <c r="AA916" s="10" t="n"/>
      <c r="AB916" s="11">
        <f>IF(LEN(TRIM(X916))=0,"",HYPERLINK("https://www.google.com/maps/@?api=1&amp;map_action=pano&amp;viewpoint="&amp;SUBSTITUTE(X916," ",""),"Abrir Street View"))</f>
        <v/>
      </c>
    </row>
    <row r="917">
      <c r="H917" s="6" t="n"/>
      <c r="I917" s="6" t="n"/>
      <c r="M917" s="7" t="n"/>
      <c r="N917" s="7" t="n"/>
      <c r="O917" s="7" t="n"/>
      <c r="P917" s="8">
        <f>IF(NOT(ISNUMBER(M917)),"",IF(G917="Terreno",IF(AND(ISNUMBER(I917),I917&gt;0),M917/I917,""),IF(AND(ISNUMBER(H917),H917&gt;0),M917/H917,"")))</f>
        <v/>
      </c>
      <c r="Q917" s="9">
        <f>IF(AND(ISNUMBER(M917),ISNUMBER(O917)),IF(M917&lt;=O917,"Valor ≤ venal IPTU",""),"")</f>
        <v/>
      </c>
      <c r="R917" s="10" t="n"/>
      <c r="S917" s="10" t="n"/>
      <c r="AA917" s="10" t="n"/>
      <c r="AB917" s="11">
        <f>IF(LEN(TRIM(X917))=0,"",HYPERLINK("https://www.google.com/maps/@?api=1&amp;map_action=pano&amp;viewpoint="&amp;SUBSTITUTE(X917," ",""),"Abrir Street View"))</f>
        <v/>
      </c>
    </row>
    <row r="918">
      <c r="H918" s="6" t="n"/>
      <c r="I918" s="6" t="n"/>
      <c r="M918" s="7" t="n"/>
      <c r="N918" s="7" t="n"/>
      <c r="O918" s="7" t="n"/>
      <c r="P918" s="8">
        <f>IF(NOT(ISNUMBER(M918)),"",IF(G918="Terreno",IF(AND(ISNUMBER(I918),I918&gt;0),M918/I918,""),IF(AND(ISNUMBER(H918),H918&gt;0),M918/H918,"")))</f>
        <v/>
      </c>
      <c r="Q918" s="9">
        <f>IF(AND(ISNUMBER(M918),ISNUMBER(O918)),IF(M918&lt;=O918,"Valor ≤ venal IPTU",""),"")</f>
        <v/>
      </c>
      <c r="R918" s="10" t="n"/>
      <c r="S918" s="10" t="n"/>
      <c r="AA918" s="10" t="n"/>
      <c r="AB918" s="11">
        <f>IF(LEN(TRIM(X918))=0,"",HYPERLINK("https://www.google.com/maps/@?api=1&amp;map_action=pano&amp;viewpoint="&amp;SUBSTITUTE(X918," ",""),"Abrir Street View"))</f>
        <v/>
      </c>
    </row>
    <row r="919">
      <c r="H919" s="6" t="n"/>
      <c r="I919" s="6" t="n"/>
      <c r="M919" s="7" t="n"/>
      <c r="N919" s="7" t="n"/>
      <c r="O919" s="7" t="n"/>
      <c r="P919" s="8">
        <f>IF(NOT(ISNUMBER(M919)),"",IF(G919="Terreno",IF(AND(ISNUMBER(I919),I919&gt;0),M919/I919,""),IF(AND(ISNUMBER(H919),H919&gt;0),M919/H919,"")))</f>
        <v/>
      </c>
      <c r="Q919" s="9">
        <f>IF(AND(ISNUMBER(M919),ISNUMBER(O919)),IF(M919&lt;=O919,"Valor ≤ venal IPTU",""),"")</f>
        <v/>
      </c>
      <c r="R919" s="10" t="n"/>
      <c r="S919" s="10" t="n"/>
      <c r="AA919" s="10" t="n"/>
      <c r="AB919" s="11">
        <f>IF(LEN(TRIM(X919))=0,"",HYPERLINK("https://www.google.com/maps/@?api=1&amp;map_action=pano&amp;viewpoint="&amp;SUBSTITUTE(X919," ",""),"Abrir Street View"))</f>
        <v/>
      </c>
    </row>
    <row r="920">
      <c r="H920" s="6" t="n"/>
      <c r="I920" s="6" t="n"/>
      <c r="M920" s="7" t="n"/>
      <c r="N920" s="7" t="n"/>
      <c r="O920" s="7" t="n"/>
      <c r="P920" s="8">
        <f>IF(NOT(ISNUMBER(M920)),"",IF(G920="Terreno",IF(AND(ISNUMBER(I920),I920&gt;0),M920/I920,""),IF(AND(ISNUMBER(H920),H920&gt;0),M920/H920,"")))</f>
        <v/>
      </c>
      <c r="Q920" s="9">
        <f>IF(AND(ISNUMBER(M920),ISNUMBER(O920)),IF(M920&lt;=O920,"Valor ≤ venal IPTU",""),"")</f>
        <v/>
      </c>
      <c r="R920" s="10" t="n"/>
      <c r="S920" s="10" t="n"/>
      <c r="AA920" s="10" t="n"/>
      <c r="AB920" s="11">
        <f>IF(LEN(TRIM(X920))=0,"",HYPERLINK("https://www.google.com/maps/@?api=1&amp;map_action=pano&amp;viewpoint="&amp;SUBSTITUTE(X920," ",""),"Abrir Street View"))</f>
        <v/>
      </c>
    </row>
    <row r="921">
      <c r="H921" s="6" t="n"/>
      <c r="I921" s="6" t="n"/>
      <c r="M921" s="7" t="n"/>
      <c r="N921" s="7" t="n"/>
      <c r="O921" s="7" t="n"/>
      <c r="P921" s="8">
        <f>IF(NOT(ISNUMBER(M921)),"",IF(G921="Terreno",IF(AND(ISNUMBER(I921),I921&gt;0),M921/I921,""),IF(AND(ISNUMBER(H921),H921&gt;0),M921/H921,"")))</f>
        <v/>
      </c>
      <c r="Q921" s="9">
        <f>IF(AND(ISNUMBER(M921),ISNUMBER(O921)),IF(M921&lt;=O921,"Valor ≤ venal IPTU",""),"")</f>
        <v/>
      </c>
      <c r="R921" s="10" t="n"/>
      <c r="S921" s="10" t="n"/>
      <c r="AA921" s="10" t="n"/>
      <c r="AB921" s="11">
        <f>IF(LEN(TRIM(X921))=0,"",HYPERLINK("https://www.google.com/maps/@?api=1&amp;map_action=pano&amp;viewpoint="&amp;SUBSTITUTE(X921," ",""),"Abrir Street View"))</f>
        <v/>
      </c>
    </row>
    <row r="922">
      <c r="H922" s="6" t="n"/>
      <c r="I922" s="6" t="n"/>
      <c r="M922" s="7" t="n"/>
      <c r="N922" s="7" t="n"/>
      <c r="O922" s="7" t="n"/>
      <c r="P922" s="8">
        <f>IF(NOT(ISNUMBER(M922)),"",IF(G922="Terreno",IF(AND(ISNUMBER(I922),I922&gt;0),M922/I922,""),IF(AND(ISNUMBER(H922),H922&gt;0),M922/H922,"")))</f>
        <v/>
      </c>
      <c r="Q922" s="9">
        <f>IF(AND(ISNUMBER(M922),ISNUMBER(O922)),IF(M922&lt;=O922,"Valor ≤ venal IPTU",""),"")</f>
        <v/>
      </c>
      <c r="R922" s="10" t="n"/>
      <c r="S922" s="10" t="n"/>
      <c r="AA922" s="10" t="n"/>
      <c r="AB922" s="11">
        <f>IF(LEN(TRIM(X922))=0,"",HYPERLINK("https://www.google.com/maps/@?api=1&amp;map_action=pano&amp;viewpoint="&amp;SUBSTITUTE(X922," ",""),"Abrir Street View"))</f>
        <v/>
      </c>
    </row>
    <row r="923">
      <c r="H923" s="6" t="n"/>
      <c r="I923" s="6" t="n"/>
      <c r="M923" s="7" t="n"/>
      <c r="N923" s="7" t="n"/>
      <c r="O923" s="7" t="n"/>
      <c r="P923" s="8">
        <f>IF(NOT(ISNUMBER(M923)),"",IF(G923="Terreno",IF(AND(ISNUMBER(I923),I923&gt;0),M923/I923,""),IF(AND(ISNUMBER(H923),H923&gt;0),M923/H923,"")))</f>
        <v/>
      </c>
      <c r="Q923" s="9">
        <f>IF(AND(ISNUMBER(M923),ISNUMBER(O923)),IF(M923&lt;=O923,"Valor ≤ venal IPTU",""),"")</f>
        <v/>
      </c>
      <c r="R923" s="10" t="n"/>
      <c r="S923" s="10" t="n"/>
      <c r="AA923" s="10" t="n"/>
      <c r="AB923" s="11">
        <f>IF(LEN(TRIM(X923))=0,"",HYPERLINK("https://www.google.com/maps/@?api=1&amp;map_action=pano&amp;viewpoint="&amp;SUBSTITUTE(X923," ",""),"Abrir Street View"))</f>
        <v/>
      </c>
    </row>
    <row r="924">
      <c r="H924" s="6" t="n"/>
      <c r="I924" s="6" t="n"/>
      <c r="M924" s="7" t="n"/>
      <c r="N924" s="7" t="n"/>
      <c r="O924" s="7" t="n"/>
      <c r="P924" s="8">
        <f>IF(NOT(ISNUMBER(M924)),"",IF(G924="Terreno",IF(AND(ISNUMBER(I924),I924&gt;0),M924/I924,""),IF(AND(ISNUMBER(H924),H924&gt;0),M924/H924,"")))</f>
        <v/>
      </c>
      <c r="Q924" s="9">
        <f>IF(AND(ISNUMBER(M924),ISNUMBER(O924)),IF(M924&lt;=O924,"Valor ≤ venal IPTU",""),"")</f>
        <v/>
      </c>
      <c r="R924" s="10" t="n"/>
      <c r="S924" s="10" t="n"/>
      <c r="AA924" s="10" t="n"/>
      <c r="AB924" s="11">
        <f>IF(LEN(TRIM(X924))=0,"",HYPERLINK("https://www.google.com/maps/@?api=1&amp;map_action=pano&amp;viewpoint="&amp;SUBSTITUTE(X924," ",""),"Abrir Street View"))</f>
        <v/>
      </c>
    </row>
    <row r="925">
      <c r="H925" s="6" t="n"/>
      <c r="I925" s="6" t="n"/>
      <c r="M925" s="7" t="n"/>
      <c r="N925" s="7" t="n"/>
      <c r="O925" s="7" t="n"/>
      <c r="P925" s="8">
        <f>IF(NOT(ISNUMBER(M925)),"",IF(G925="Terreno",IF(AND(ISNUMBER(I925),I925&gt;0),M925/I925,""),IF(AND(ISNUMBER(H925),H925&gt;0),M925/H925,"")))</f>
        <v/>
      </c>
      <c r="Q925" s="9">
        <f>IF(AND(ISNUMBER(M925),ISNUMBER(O925)),IF(M925&lt;=O925,"Valor ≤ venal IPTU",""),"")</f>
        <v/>
      </c>
      <c r="R925" s="10" t="n"/>
      <c r="S925" s="10" t="n"/>
      <c r="AA925" s="10" t="n"/>
      <c r="AB925" s="11">
        <f>IF(LEN(TRIM(X925))=0,"",HYPERLINK("https://www.google.com/maps/@?api=1&amp;map_action=pano&amp;viewpoint="&amp;SUBSTITUTE(X925," ",""),"Abrir Street View"))</f>
        <v/>
      </c>
    </row>
    <row r="926">
      <c r="H926" s="6" t="n"/>
      <c r="I926" s="6" t="n"/>
      <c r="M926" s="7" t="n"/>
      <c r="N926" s="7" t="n"/>
      <c r="O926" s="7" t="n"/>
      <c r="P926" s="8">
        <f>IF(NOT(ISNUMBER(M926)),"",IF(G926="Terreno",IF(AND(ISNUMBER(I926),I926&gt;0),M926/I926,""),IF(AND(ISNUMBER(H926),H926&gt;0),M926/H926,"")))</f>
        <v/>
      </c>
      <c r="Q926" s="9">
        <f>IF(AND(ISNUMBER(M926),ISNUMBER(O926)),IF(M926&lt;=O926,"Valor ≤ venal IPTU",""),"")</f>
        <v/>
      </c>
      <c r="R926" s="10" t="n"/>
      <c r="S926" s="10" t="n"/>
      <c r="AA926" s="10" t="n"/>
      <c r="AB926" s="11">
        <f>IF(LEN(TRIM(X926))=0,"",HYPERLINK("https://www.google.com/maps/@?api=1&amp;map_action=pano&amp;viewpoint="&amp;SUBSTITUTE(X926," ",""),"Abrir Street View"))</f>
        <v/>
      </c>
    </row>
    <row r="927">
      <c r="H927" s="6" t="n"/>
      <c r="I927" s="6" t="n"/>
      <c r="M927" s="7" t="n"/>
      <c r="N927" s="7" t="n"/>
      <c r="O927" s="7" t="n"/>
      <c r="P927" s="8">
        <f>IF(NOT(ISNUMBER(M927)),"",IF(G927="Terreno",IF(AND(ISNUMBER(I927),I927&gt;0),M927/I927,""),IF(AND(ISNUMBER(H927),H927&gt;0),M927/H927,"")))</f>
        <v/>
      </c>
      <c r="Q927" s="9">
        <f>IF(AND(ISNUMBER(M927),ISNUMBER(O927)),IF(M927&lt;=O927,"Valor ≤ venal IPTU",""),"")</f>
        <v/>
      </c>
      <c r="R927" s="10" t="n"/>
      <c r="S927" s="10" t="n"/>
      <c r="AA927" s="10" t="n"/>
      <c r="AB927" s="11">
        <f>IF(LEN(TRIM(X927))=0,"",HYPERLINK("https://www.google.com/maps/@?api=1&amp;map_action=pano&amp;viewpoint="&amp;SUBSTITUTE(X927," ",""),"Abrir Street View"))</f>
        <v/>
      </c>
    </row>
    <row r="928">
      <c r="H928" s="6" t="n"/>
      <c r="I928" s="6" t="n"/>
      <c r="M928" s="7" t="n"/>
      <c r="N928" s="7" t="n"/>
      <c r="O928" s="7" t="n"/>
      <c r="P928" s="8">
        <f>IF(NOT(ISNUMBER(M928)),"",IF(G928="Terreno",IF(AND(ISNUMBER(I928),I928&gt;0),M928/I928,""),IF(AND(ISNUMBER(H928),H928&gt;0),M928/H928,"")))</f>
        <v/>
      </c>
      <c r="Q928" s="9">
        <f>IF(AND(ISNUMBER(M928),ISNUMBER(O928)),IF(M928&lt;=O928,"Valor ≤ venal IPTU",""),"")</f>
        <v/>
      </c>
      <c r="R928" s="10" t="n"/>
      <c r="S928" s="10" t="n"/>
      <c r="AA928" s="10" t="n"/>
      <c r="AB928" s="11">
        <f>IF(LEN(TRIM(X928))=0,"",HYPERLINK("https://www.google.com/maps/@?api=1&amp;map_action=pano&amp;viewpoint="&amp;SUBSTITUTE(X928," ",""),"Abrir Street View"))</f>
        <v/>
      </c>
    </row>
    <row r="929">
      <c r="H929" s="6" t="n"/>
      <c r="I929" s="6" t="n"/>
      <c r="M929" s="7" t="n"/>
      <c r="N929" s="7" t="n"/>
      <c r="O929" s="7" t="n"/>
      <c r="P929" s="8">
        <f>IF(NOT(ISNUMBER(M929)),"",IF(G929="Terreno",IF(AND(ISNUMBER(I929),I929&gt;0),M929/I929,""),IF(AND(ISNUMBER(H929),H929&gt;0),M929/H929,"")))</f>
        <v/>
      </c>
      <c r="Q929" s="9">
        <f>IF(AND(ISNUMBER(M929),ISNUMBER(O929)),IF(M929&lt;=O929,"Valor ≤ venal IPTU",""),"")</f>
        <v/>
      </c>
      <c r="R929" s="10" t="n"/>
      <c r="S929" s="10" t="n"/>
      <c r="AA929" s="10" t="n"/>
      <c r="AB929" s="11">
        <f>IF(LEN(TRIM(X929))=0,"",HYPERLINK("https://www.google.com/maps/@?api=1&amp;map_action=pano&amp;viewpoint="&amp;SUBSTITUTE(X929," ",""),"Abrir Street View"))</f>
        <v/>
      </c>
    </row>
    <row r="930">
      <c r="H930" s="6" t="n"/>
      <c r="I930" s="6" t="n"/>
      <c r="M930" s="7" t="n"/>
      <c r="N930" s="7" t="n"/>
      <c r="O930" s="7" t="n"/>
      <c r="P930" s="8">
        <f>IF(NOT(ISNUMBER(M930)),"",IF(G930="Terreno",IF(AND(ISNUMBER(I930),I930&gt;0),M930/I930,""),IF(AND(ISNUMBER(H930),H930&gt;0),M930/H930,"")))</f>
        <v/>
      </c>
      <c r="Q930" s="9">
        <f>IF(AND(ISNUMBER(M930),ISNUMBER(O930)),IF(M930&lt;=O930,"Valor ≤ venal IPTU",""),"")</f>
        <v/>
      </c>
      <c r="R930" s="10" t="n"/>
      <c r="S930" s="10" t="n"/>
      <c r="AA930" s="10" t="n"/>
      <c r="AB930" s="11">
        <f>IF(LEN(TRIM(X930))=0,"",HYPERLINK("https://www.google.com/maps/@?api=1&amp;map_action=pano&amp;viewpoint="&amp;SUBSTITUTE(X930," ",""),"Abrir Street View"))</f>
        <v/>
      </c>
    </row>
    <row r="931">
      <c r="H931" s="6" t="n"/>
      <c r="I931" s="6" t="n"/>
      <c r="M931" s="7" t="n"/>
      <c r="N931" s="7" t="n"/>
      <c r="O931" s="7" t="n"/>
      <c r="P931" s="8">
        <f>IF(NOT(ISNUMBER(M931)),"",IF(G931="Terreno",IF(AND(ISNUMBER(I931),I931&gt;0),M931/I931,""),IF(AND(ISNUMBER(H931),H931&gt;0),M931/H931,"")))</f>
        <v/>
      </c>
      <c r="Q931" s="9">
        <f>IF(AND(ISNUMBER(M931),ISNUMBER(O931)),IF(M931&lt;=O931,"Valor ≤ venal IPTU",""),"")</f>
        <v/>
      </c>
      <c r="R931" s="10" t="n"/>
      <c r="S931" s="10" t="n"/>
      <c r="AA931" s="10" t="n"/>
      <c r="AB931" s="11">
        <f>IF(LEN(TRIM(X931))=0,"",HYPERLINK("https://www.google.com/maps/@?api=1&amp;map_action=pano&amp;viewpoint="&amp;SUBSTITUTE(X931," ",""),"Abrir Street View"))</f>
        <v/>
      </c>
    </row>
    <row r="932">
      <c r="H932" s="6" t="n"/>
      <c r="I932" s="6" t="n"/>
      <c r="M932" s="7" t="n"/>
      <c r="N932" s="7" t="n"/>
      <c r="O932" s="7" t="n"/>
      <c r="P932" s="8">
        <f>IF(NOT(ISNUMBER(M932)),"",IF(G932="Terreno",IF(AND(ISNUMBER(I932),I932&gt;0),M932/I932,""),IF(AND(ISNUMBER(H932),H932&gt;0),M932/H932,"")))</f>
        <v/>
      </c>
      <c r="Q932" s="9">
        <f>IF(AND(ISNUMBER(M932),ISNUMBER(O932)),IF(M932&lt;=O932,"Valor ≤ venal IPTU",""),"")</f>
        <v/>
      </c>
      <c r="R932" s="10" t="n"/>
      <c r="S932" s="10" t="n"/>
      <c r="AA932" s="10" t="n"/>
      <c r="AB932" s="11">
        <f>IF(LEN(TRIM(X932))=0,"",HYPERLINK("https://www.google.com/maps/@?api=1&amp;map_action=pano&amp;viewpoint="&amp;SUBSTITUTE(X932," ",""),"Abrir Street View"))</f>
        <v/>
      </c>
    </row>
    <row r="933">
      <c r="H933" s="6" t="n"/>
      <c r="I933" s="6" t="n"/>
      <c r="M933" s="7" t="n"/>
      <c r="N933" s="7" t="n"/>
      <c r="O933" s="7" t="n"/>
      <c r="P933" s="8">
        <f>IF(NOT(ISNUMBER(M933)),"",IF(G933="Terreno",IF(AND(ISNUMBER(I933),I933&gt;0),M933/I933,""),IF(AND(ISNUMBER(H933),H933&gt;0),M933/H933,"")))</f>
        <v/>
      </c>
      <c r="Q933" s="9">
        <f>IF(AND(ISNUMBER(M933),ISNUMBER(O933)),IF(M933&lt;=O933,"Valor ≤ venal IPTU",""),"")</f>
        <v/>
      </c>
      <c r="R933" s="10" t="n"/>
      <c r="S933" s="10" t="n"/>
      <c r="AA933" s="10" t="n"/>
      <c r="AB933" s="11">
        <f>IF(LEN(TRIM(X933))=0,"",HYPERLINK("https://www.google.com/maps/@?api=1&amp;map_action=pano&amp;viewpoint="&amp;SUBSTITUTE(X933," ",""),"Abrir Street View"))</f>
        <v/>
      </c>
    </row>
    <row r="934">
      <c r="H934" s="6" t="n"/>
      <c r="I934" s="6" t="n"/>
      <c r="M934" s="7" t="n"/>
      <c r="N934" s="7" t="n"/>
      <c r="O934" s="7" t="n"/>
      <c r="P934" s="8">
        <f>IF(NOT(ISNUMBER(M934)),"",IF(G934="Terreno",IF(AND(ISNUMBER(I934),I934&gt;0),M934/I934,""),IF(AND(ISNUMBER(H934),H934&gt;0),M934/H934,"")))</f>
        <v/>
      </c>
      <c r="Q934" s="9">
        <f>IF(AND(ISNUMBER(M934),ISNUMBER(O934)),IF(M934&lt;=O934,"Valor ≤ venal IPTU",""),"")</f>
        <v/>
      </c>
      <c r="R934" s="10" t="n"/>
      <c r="S934" s="10" t="n"/>
      <c r="AA934" s="10" t="n"/>
      <c r="AB934" s="11">
        <f>IF(LEN(TRIM(X934))=0,"",HYPERLINK("https://www.google.com/maps/@?api=1&amp;map_action=pano&amp;viewpoint="&amp;SUBSTITUTE(X934," ",""),"Abrir Street View"))</f>
        <v/>
      </c>
    </row>
    <row r="935">
      <c r="H935" s="6" t="n"/>
      <c r="I935" s="6" t="n"/>
      <c r="M935" s="7" t="n"/>
      <c r="N935" s="7" t="n"/>
      <c r="O935" s="7" t="n"/>
      <c r="P935" s="8">
        <f>IF(NOT(ISNUMBER(M935)),"",IF(G935="Terreno",IF(AND(ISNUMBER(I935),I935&gt;0),M935/I935,""),IF(AND(ISNUMBER(H935),H935&gt;0),M935/H935,"")))</f>
        <v/>
      </c>
      <c r="Q935" s="9">
        <f>IF(AND(ISNUMBER(M935),ISNUMBER(O935)),IF(M935&lt;=O935,"Valor ≤ venal IPTU",""),"")</f>
        <v/>
      </c>
      <c r="R935" s="10" t="n"/>
      <c r="S935" s="10" t="n"/>
      <c r="AA935" s="10" t="n"/>
      <c r="AB935" s="11">
        <f>IF(LEN(TRIM(X935))=0,"",HYPERLINK("https://www.google.com/maps/@?api=1&amp;map_action=pano&amp;viewpoint="&amp;SUBSTITUTE(X935," ",""),"Abrir Street View"))</f>
        <v/>
      </c>
    </row>
    <row r="936">
      <c r="H936" s="6" t="n"/>
      <c r="I936" s="6" t="n"/>
      <c r="M936" s="7" t="n"/>
      <c r="N936" s="7" t="n"/>
      <c r="O936" s="7" t="n"/>
      <c r="P936" s="8">
        <f>IF(NOT(ISNUMBER(M936)),"",IF(G936="Terreno",IF(AND(ISNUMBER(I936),I936&gt;0),M936/I936,""),IF(AND(ISNUMBER(H936),H936&gt;0),M936/H936,"")))</f>
        <v/>
      </c>
      <c r="Q936" s="9">
        <f>IF(AND(ISNUMBER(M936),ISNUMBER(O936)),IF(M936&lt;=O936,"Valor ≤ venal IPTU",""),"")</f>
        <v/>
      </c>
      <c r="R936" s="10" t="n"/>
      <c r="S936" s="10" t="n"/>
      <c r="AA936" s="10" t="n"/>
      <c r="AB936" s="11">
        <f>IF(LEN(TRIM(X936))=0,"",HYPERLINK("https://www.google.com/maps/@?api=1&amp;map_action=pano&amp;viewpoint="&amp;SUBSTITUTE(X936," ",""),"Abrir Street View"))</f>
        <v/>
      </c>
    </row>
    <row r="937">
      <c r="H937" s="6" t="n"/>
      <c r="I937" s="6" t="n"/>
      <c r="M937" s="7" t="n"/>
      <c r="N937" s="7" t="n"/>
      <c r="O937" s="7" t="n"/>
      <c r="P937" s="8">
        <f>IF(NOT(ISNUMBER(M937)),"",IF(G937="Terreno",IF(AND(ISNUMBER(I937),I937&gt;0),M937/I937,""),IF(AND(ISNUMBER(H937),H937&gt;0),M937/H937,"")))</f>
        <v/>
      </c>
      <c r="Q937" s="9">
        <f>IF(AND(ISNUMBER(M937),ISNUMBER(O937)),IF(M937&lt;=O937,"Valor ≤ venal IPTU",""),"")</f>
        <v/>
      </c>
      <c r="R937" s="10" t="n"/>
      <c r="S937" s="10" t="n"/>
      <c r="AA937" s="10" t="n"/>
      <c r="AB937" s="11">
        <f>IF(LEN(TRIM(X937))=0,"",HYPERLINK("https://www.google.com/maps/@?api=1&amp;map_action=pano&amp;viewpoint="&amp;SUBSTITUTE(X937," ",""),"Abrir Street View"))</f>
        <v/>
      </c>
    </row>
    <row r="938">
      <c r="H938" s="6" t="n"/>
      <c r="I938" s="6" t="n"/>
      <c r="M938" s="7" t="n"/>
      <c r="N938" s="7" t="n"/>
      <c r="O938" s="7" t="n"/>
      <c r="P938" s="8">
        <f>IF(NOT(ISNUMBER(M938)),"",IF(G938="Terreno",IF(AND(ISNUMBER(I938),I938&gt;0),M938/I938,""),IF(AND(ISNUMBER(H938),H938&gt;0),M938/H938,"")))</f>
        <v/>
      </c>
      <c r="Q938" s="9">
        <f>IF(AND(ISNUMBER(M938),ISNUMBER(O938)),IF(M938&lt;=O938,"Valor ≤ venal IPTU",""),"")</f>
        <v/>
      </c>
      <c r="R938" s="10" t="n"/>
      <c r="S938" s="10" t="n"/>
      <c r="AA938" s="10" t="n"/>
      <c r="AB938" s="11">
        <f>IF(LEN(TRIM(X938))=0,"",HYPERLINK("https://www.google.com/maps/@?api=1&amp;map_action=pano&amp;viewpoint="&amp;SUBSTITUTE(X938," ",""),"Abrir Street View"))</f>
        <v/>
      </c>
    </row>
    <row r="939">
      <c r="H939" s="6" t="n"/>
      <c r="I939" s="6" t="n"/>
      <c r="M939" s="7" t="n"/>
      <c r="N939" s="7" t="n"/>
      <c r="O939" s="7" t="n"/>
      <c r="P939" s="8">
        <f>IF(NOT(ISNUMBER(M939)),"",IF(G939="Terreno",IF(AND(ISNUMBER(I939),I939&gt;0),M939/I939,""),IF(AND(ISNUMBER(H939),H939&gt;0),M939/H939,"")))</f>
        <v/>
      </c>
      <c r="Q939" s="9">
        <f>IF(AND(ISNUMBER(M939),ISNUMBER(O939)),IF(M939&lt;=O939,"Valor ≤ venal IPTU",""),"")</f>
        <v/>
      </c>
      <c r="R939" s="10" t="n"/>
      <c r="S939" s="10" t="n"/>
      <c r="AA939" s="10" t="n"/>
      <c r="AB939" s="11">
        <f>IF(LEN(TRIM(X939))=0,"",HYPERLINK("https://www.google.com/maps/@?api=1&amp;map_action=pano&amp;viewpoint="&amp;SUBSTITUTE(X939," ",""),"Abrir Street View"))</f>
        <v/>
      </c>
    </row>
    <row r="940">
      <c r="H940" s="6" t="n"/>
      <c r="I940" s="6" t="n"/>
      <c r="M940" s="7" t="n"/>
      <c r="N940" s="7" t="n"/>
      <c r="O940" s="7" t="n"/>
      <c r="P940" s="8">
        <f>IF(NOT(ISNUMBER(M940)),"",IF(G940="Terreno",IF(AND(ISNUMBER(I940),I940&gt;0),M940/I940,""),IF(AND(ISNUMBER(H940),H940&gt;0),M940/H940,"")))</f>
        <v/>
      </c>
      <c r="Q940" s="9">
        <f>IF(AND(ISNUMBER(M940),ISNUMBER(O940)),IF(M940&lt;=O940,"Valor ≤ venal IPTU",""),"")</f>
        <v/>
      </c>
      <c r="R940" s="10" t="n"/>
      <c r="S940" s="10" t="n"/>
      <c r="AA940" s="10" t="n"/>
      <c r="AB940" s="11">
        <f>IF(LEN(TRIM(X940))=0,"",HYPERLINK("https://www.google.com/maps/@?api=1&amp;map_action=pano&amp;viewpoint="&amp;SUBSTITUTE(X940," ",""),"Abrir Street View"))</f>
        <v/>
      </c>
    </row>
    <row r="941">
      <c r="H941" s="6" t="n"/>
      <c r="I941" s="6" t="n"/>
      <c r="M941" s="7" t="n"/>
      <c r="N941" s="7" t="n"/>
      <c r="O941" s="7" t="n"/>
      <c r="P941" s="8">
        <f>IF(NOT(ISNUMBER(M941)),"",IF(G941="Terreno",IF(AND(ISNUMBER(I941),I941&gt;0),M941/I941,""),IF(AND(ISNUMBER(H941),H941&gt;0),M941/H941,"")))</f>
        <v/>
      </c>
      <c r="Q941" s="9">
        <f>IF(AND(ISNUMBER(M941),ISNUMBER(O941)),IF(M941&lt;=O941,"Valor ≤ venal IPTU",""),"")</f>
        <v/>
      </c>
      <c r="R941" s="10" t="n"/>
      <c r="S941" s="10" t="n"/>
      <c r="AA941" s="10" t="n"/>
      <c r="AB941" s="11">
        <f>IF(LEN(TRIM(X941))=0,"",HYPERLINK("https://www.google.com/maps/@?api=1&amp;map_action=pano&amp;viewpoint="&amp;SUBSTITUTE(X941," ",""),"Abrir Street View"))</f>
        <v/>
      </c>
    </row>
    <row r="942">
      <c r="H942" s="6" t="n"/>
      <c r="I942" s="6" t="n"/>
      <c r="M942" s="7" t="n"/>
      <c r="N942" s="7" t="n"/>
      <c r="O942" s="7" t="n"/>
      <c r="P942" s="8">
        <f>IF(NOT(ISNUMBER(M942)),"",IF(G942="Terreno",IF(AND(ISNUMBER(I942),I942&gt;0),M942/I942,""),IF(AND(ISNUMBER(H942),H942&gt;0),M942/H942,"")))</f>
        <v/>
      </c>
      <c r="Q942" s="9">
        <f>IF(AND(ISNUMBER(M942),ISNUMBER(O942)),IF(M942&lt;=O942,"Valor ≤ venal IPTU",""),"")</f>
        <v/>
      </c>
      <c r="R942" s="10" t="n"/>
      <c r="S942" s="10" t="n"/>
      <c r="AA942" s="10" t="n"/>
      <c r="AB942" s="11">
        <f>IF(LEN(TRIM(X942))=0,"",HYPERLINK("https://www.google.com/maps/@?api=1&amp;map_action=pano&amp;viewpoint="&amp;SUBSTITUTE(X942," ",""),"Abrir Street View"))</f>
        <v/>
      </c>
    </row>
    <row r="943">
      <c r="H943" s="6" t="n"/>
      <c r="I943" s="6" t="n"/>
      <c r="M943" s="7" t="n"/>
      <c r="N943" s="7" t="n"/>
      <c r="O943" s="7" t="n"/>
      <c r="P943" s="8">
        <f>IF(NOT(ISNUMBER(M943)),"",IF(G943="Terreno",IF(AND(ISNUMBER(I943),I943&gt;0),M943/I943,""),IF(AND(ISNUMBER(H943),H943&gt;0),M943/H943,"")))</f>
        <v/>
      </c>
      <c r="Q943" s="9">
        <f>IF(AND(ISNUMBER(M943),ISNUMBER(O943)),IF(M943&lt;=O943,"Valor ≤ venal IPTU",""),"")</f>
        <v/>
      </c>
      <c r="R943" s="10" t="n"/>
      <c r="S943" s="10" t="n"/>
      <c r="AA943" s="10" t="n"/>
      <c r="AB943" s="11">
        <f>IF(LEN(TRIM(X943))=0,"",HYPERLINK("https://www.google.com/maps/@?api=1&amp;map_action=pano&amp;viewpoint="&amp;SUBSTITUTE(X943," ",""),"Abrir Street View"))</f>
        <v/>
      </c>
    </row>
    <row r="944">
      <c r="H944" s="6" t="n"/>
      <c r="I944" s="6" t="n"/>
      <c r="M944" s="7" t="n"/>
      <c r="N944" s="7" t="n"/>
      <c r="O944" s="7" t="n"/>
      <c r="P944" s="8">
        <f>IF(NOT(ISNUMBER(M944)),"",IF(G944="Terreno",IF(AND(ISNUMBER(I944),I944&gt;0),M944/I944,""),IF(AND(ISNUMBER(H944),H944&gt;0),M944/H944,"")))</f>
        <v/>
      </c>
      <c r="Q944" s="9">
        <f>IF(AND(ISNUMBER(M944),ISNUMBER(O944)),IF(M944&lt;=O944,"Valor ≤ venal IPTU",""),"")</f>
        <v/>
      </c>
      <c r="R944" s="10" t="n"/>
      <c r="S944" s="10" t="n"/>
      <c r="AA944" s="10" t="n"/>
      <c r="AB944" s="11">
        <f>IF(LEN(TRIM(X944))=0,"",HYPERLINK("https://www.google.com/maps/@?api=1&amp;map_action=pano&amp;viewpoint="&amp;SUBSTITUTE(X944," ",""),"Abrir Street View"))</f>
        <v/>
      </c>
    </row>
    <row r="945">
      <c r="H945" s="6" t="n"/>
      <c r="I945" s="6" t="n"/>
      <c r="M945" s="7" t="n"/>
      <c r="N945" s="7" t="n"/>
      <c r="O945" s="7" t="n"/>
      <c r="P945" s="8">
        <f>IF(NOT(ISNUMBER(M945)),"",IF(G945="Terreno",IF(AND(ISNUMBER(I945),I945&gt;0),M945/I945,""),IF(AND(ISNUMBER(H945),H945&gt;0),M945/H945,"")))</f>
        <v/>
      </c>
      <c r="Q945" s="9">
        <f>IF(AND(ISNUMBER(M945),ISNUMBER(O945)),IF(M945&lt;=O945,"Valor ≤ venal IPTU",""),"")</f>
        <v/>
      </c>
      <c r="R945" s="10" t="n"/>
      <c r="S945" s="10" t="n"/>
      <c r="AA945" s="10" t="n"/>
      <c r="AB945" s="11">
        <f>IF(LEN(TRIM(X945))=0,"",HYPERLINK("https://www.google.com/maps/@?api=1&amp;map_action=pano&amp;viewpoint="&amp;SUBSTITUTE(X945," ",""),"Abrir Street View"))</f>
        <v/>
      </c>
    </row>
    <row r="946">
      <c r="H946" s="6" t="n"/>
      <c r="I946" s="6" t="n"/>
      <c r="M946" s="7" t="n"/>
      <c r="N946" s="7" t="n"/>
      <c r="O946" s="7" t="n"/>
      <c r="P946" s="8">
        <f>IF(NOT(ISNUMBER(M946)),"",IF(G946="Terreno",IF(AND(ISNUMBER(I946),I946&gt;0),M946/I946,""),IF(AND(ISNUMBER(H946),H946&gt;0),M946/H946,"")))</f>
        <v/>
      </c>
      <c r="Q946" s="9">
        <f>IF(AND(ISNUMBER(M946),ISNUMBER(O946)),IF(M946&lt;=O946,"Valor ≤ venal IPTU",""),"")</f>
        <v/>
      </c>
      <c r="R946" s="10" t="n"/>
      <c r="S946" s="10" t="n"/>
      <c r="AA946" s="10" t="n"/>
      <c r="AB946" s="11">
        <f>IF(LEN(TRIM(X946))=0,"",HYPERLINK("https://www.google.com/maps/@?api=1&amp;map_action=pano&amp;viewpoint="&amp;SUBSTITUTE(X946," ",""),"Abrir Street View"))</f>
        <v/>
      </c>
    </row>
    <row r="947">
      <c r="H947" s="6" t="n"/>
      <c r="I947" s="6" t="n"/>
      <c r="M947" s="7" t="n"/>
      <c r="N947" s="7" t="n"/>
      <c r="O947" s="7" t="n"/>
      <c r="P947" s="8">
        <f>IF(NOT(ISNUMBER(M947)),"",IF(G947="Terreno",IF(AND(ISNUMBER(I947),I947&gt;0),M947/I947,""),IF(AND(ISNUMBER(H947),H947&gt;0),M947/H947,"")))</f>
        <v/>
      </c>
      <c r="Q947" s="9">
        <f>IF(AND(ISNUMBER(M947),ISNUMBER(O947)),IF(M947&lt;=O947,"Valor ≤ venal IPTU",""),"")</f>
        <v/>
      </c>
      <c r="R947" s="10" t="n"/>
      <c r="S947" s="10" t="n"/>
      <c r="AA947" s="10" t="n"/>
      <c r="AB947" s="11">
        <f>IF(LEN(TRIM(X947))=0,"",HYPERLINK("https://www.google.com/maps/@?api=1&amp;map_action=pano&amp;viewpoint="&amp;SUBSTITUTE(X947," ",""),"Abrir Street View"))</f>
        <v/>
      </c>
    </row>
    <row r="948">
      <c r="H948" s="6" t="n"/>
      <c r="I948" s="6" t="n"/>
      <c r="M948" s="7" t="n"/>
      <c r="N948" s="7" t="n"/>
      <c r="O948" s="7" t="n"/>
      <c r="P948" s="8">
        <f>IF(NOT(ISNUMBER(M948)),"",IF(G948="Terreno",IF(AND(ISNUMBER(I948),I948&gt;0),M948/I948,""),IF(AND(ISNUMBER(H948),H948&gt;0),M948/H948,"")))</f>
        <v/>
      </c>
      <c r="Q948" s="9">
        <f>IF(AND(ISNUMBER(M948),ISNUMBER(O948)),IF(M948&lt;=O948,"Valor ≤ venal IPTU",""),"")</f>
        <v/>
      </c>
      <c r="R948" s="10" t="n"/>
      <c r="S948" s="10" t="n"/>
      <c r="AA948" s="10" t="n"/>
      <c r="AB948" s="11">
        <f>IF(LEN(TRIM(X948))=0,"",HYPERLINK("https://www.google.com/maps/@?api=1&amp;map_action=pano&amp;viewpoint="&amp;SUBSTITUTE(X948," ",""),"Abrir Street View"))</f>
        <v/>
      </c>
    </row>
    <row r="949">
      <c r="H949" s="6" t="n"/>
      <c r="I949" s="6" t="n"/>
      <c r="M949" s="7" t="n"/>
      <c r="N949" s="7" t="n"/>
      <c r="O949" s="7" t="n"/>
      <c r="P949" s="8">
        <f>IF(NOT(ISNUMBER(M949)),"",IF(G949="Terreno",IF(AND(ISNUMBER(I949),I949&gt;0),M949/I949,""),IF(AND(ISNUMBER(H949),H949&gt;0),M949/H949,"")))</f>
        <v/>
      </c>
      <c r="Q949" s="9">
        <f>IF(AND(ISNUMBER(M949),ISNUMBER(O949)),IF(M949&lt;=O949,"Valor ≤ venal IPTU",""),"")</f>
        <v/>
      </c>
      <c r="R949" s="10" t="n"/>
      <c r="S949" s="10" t="n"/>
      <c r="AA949" s="10" t="n"/>
      <c r="AB949" s="11">
        <f>IF(LEN(TRIM(X949))=0,"",HYPERLINK("https://www.google.com/maps/@?api=1&amp;map_action=pano&amp;viewpoint="&amp;SUBSTITUTE(X949," ",""),"Abrir Street View"))</f>
        <v/>
      </c>
    </row>
    <row r="950">
      <c r="H950" s="6" t="n"/>
      <c r="I950" s="6" t="n"/>
      <c r="M950" s="7" t="n"/>
      <c r="N950" s="7" t="n"/>
      <c r="O950" s="7" t="n"/>
      <c r="P950" s="8">
        <f>IF(NOT(ISNUMBER(M950)),"",IF(G950="Terreno",IF(AND(ISNUMBER(I950),I950&gt;0),M950/I950,""),IF(AND(ISNUMBER(H950),H950&gt;0),M950/H950,"")))</f>
        <v/>
      </c>
      <c r="Q950" s="9">
        <f>IF(AND(ISNUMBER(M950),ISNUMBER(O950)),IF(M950&lt;=O950,"Valor ≤ venal IPTU",""),"")</f>
        <v/>
      </c>
      <c r="R950" s="10" t="n"/>
      <c r="S950" s="10" t="n"/>
      <c r="AA950" s="10" t="n"/>
      <c r="AB950" s="11">
        <f>IF(LEN(TRIM(X950))=0,"",HYPERLINK("https://www.google.com/maps/@?api=1&amp;map_action=pano&amp;viewpoint="&amp;SUBSTITUTE(X950," ",""),"Abrir Street View"))</f>
        <v/>
      </c>
    </row>
    <row r="951">
      <c r="H951" s="6" t="n"/>
      <c r="I951" s="6" t="n"/>
      <c r="M951" s="7" t="n"/>
      <c r="N951" s="7" t="n"/>
      <c r="O951" s="7" t="n"/>
      <c r="P951" s="8">
        <f>IF(NOT(ISNUMBER(M951)),"",IF(G951="Terreno",IF(AND(ISNUMBER(I951),I951&gt;0),M951/I951,""),IF(AND(ISNUMBER(H951),H951&gt;0),M951/H951,"")))</f>
        <v/>
      </c>
      <c r="Q951" s="9">
        <f>IF(AND(ISNUMBER(M951),ISNUMBER(O951)),IF(M951&lt;=O951,"Valor ≤ venal IPTU",""),"")</f>
        <v/>
      </c>
      <c r="R951" s="10" t="n"/>
      <c r="S951" s="10" t="n"/>
      <c r="AA951" s="10" t="n"/>
      <c r="AB951" s="11">
        <f>IF(LEN(TRIM(X951))=0,"",HYPERLINK("https://www.google.com/maps/@?api=1&amp;map_action=pano&amp;viewpoint="&amp;SUBSTITUTE(X951," ",""),"Abrir Street View"))</f>
        <v/>
      </c>
    </row>
    <row r="952">
      <c r="H952" s="6" t="n"/>
      <c r="I952" s="6" t="n"/>
      <c r="M952" s="7" t="n"/>
      <c r="N952" s="7" t="n"/>
      <c r="O952" s="7" t="n"/>
      <c r="P952" s="8">
        <f>IF(NOT(ISNUMBER(M952)),"",IF(G952="Terreno",IF(AND(ISNUMBER(I952),I952&gt;0),M952/I952,""),IF(AND(ISNUMBER(H952),H952&gt;0),M952/H952,"")))</f>
        <v/>
      </c>
      <c r="Q952" s="9">
        <f>IF(AND(ISNUMBER(M952),ISNUMBER(O952)),IF(M952&lt;=O952,"Valor ≤ venal IPTU",""),"")</f>
        <v/>
      </c>
      <c r="R952" s="10" t="n"/>
      <c r="S952" s="10" t="n"/>
      <c r="AA952" s="10" t="n"/>
      <c r="AB952" s="11">
        <f>IF(LEN(TRIM(X952))=0,"",HYPERLINK("https://www.google.com/maps/@?api=1&amp;map_action=pano&amp;viewpoint="&amp;SUBSTITUTE(X952," ",""),"Abrir Street View"))</f>
        <v/>
      </c>
    </row>
    <row r="953">
      <c r="H953" s="6" t="n"/>
      <c r="I953" s="6" t="n"/>
      <c r="M953" s="7" t="n"/>
      <c r="N953" s="7" t="n"/>
      <c r="O953" s="7" t="n"/>
      <c r="P953" s="8">
        <f>IF(NOT(ISNUMBER(M953)),"",IF(G953="Terreno",IF(AND(ISNUMBER(I953),I953&gt;0),M953/I953,""),IF(AND(ISNUMBER(H953),H953&gt;0),M953/H953,"")))</f>
        <v/>
      </c>
      <c r="Q953" s="9">
        <f>IF(AND(ISNUMBER(M953),ISNUMBER(O953)),IF(M953&lt;=O953,"Valor ≤ venal IPTU",""),"")</f>
        <v/>
      </c>
      <c r="R953" s="10" t="n"/>
      <c r="S953" s="10" t="n"/>
      <c r="AA953" s="10" t="n"/>
      <c r="AB953" s="11">
        <f>IF(LEN(TRIM(X953))=0,"",HYPERLINK("https://www.google.com/maps/@?api=1&amp;map_action=pano&amp;viewpoint="&amp;SUBSTITUTE(X953," ",""),"Abrir Street View"))</f>
        <v/>
      </c>
    </row>
    <row r="954">
      <c r="H954" s="6" t="n"/>
      <c r="I954" s="6" t="n"/>
      <c r="M954" s="7" t="n"/>
      <c r="N954" s="7" t="n"/>
      <c r="O954" s="7" t="n"/>
      <c r="P954" s="8">
        <f>IF(NOT(ISNUMBER(M954)),"",IF(G954="Terreno",IF(AND(ISNUMBER(I954),I954&gt;0),M954/I954,""),IF(AND(ISNUMBER(H954),H954&gt;0),M954/H954,"")))</f>
        <v/>
      </c>
      <c r="Q954" s="9">
        <f>IF(AND(ISNUMBER(M954),ISNUMBER(O954)),IF(M954&lt;=O954,"Valor ≤ venal IPTU",""),"")</f>
        <v/>
      </c>
      <c r="R954" s="10" t="n"/>
      <c r="S954" s="10" t="n"/>
      <c r="AA954" s="10" t="n"/>
      <c r="AB954" s="11">
        <f>IF(LEN(TRIM(X954))=0,"",HYPERLINK("https://www.google.com/maps/@?api=1&amp;map_action=pano&amp;viewpoint="&amp;SUBSTITUTE(X954," ",""),"Abrir Street View"))</f>
        <v/>
      </c>
    </row>
    <row r="955">
      <c r="H955" s="6" t="n"/>
      <c r="I955" s="6" t="n"/>
      <c r="M955" s="7" t="n"/>
      <c r="N955" s="7" t="n"/>
      <c r="O955" s="7" t="n"/>
      <c r="P955" s="8">
        <f>IF(NOT(ISNUMBER(M955)),"",IF(G955="Terreno",IF(AND(ISNUMBER(I955),I955&gt;0),M955/I955,""),IF(AND(ISNUMBER(H955),H955&gt;0),M955/H955,"")))</f>
        <v/>
      </c>
      <c r="Q955" s="9">
        <f>IF(AND(ISNUMBER(M955),ISNUMBER(O955)),IF(M955&lt;=O955,"Valor ≤ venal IPTU",""),"")</f>
        <v/>
      </c>
      <c r="R955" s="10" t="n"/>
      <c r="S955" s="10" t="n"/>
      <c r="AA955" s="10" t="n"/>
      <c r="AB955" s="11">
        <f>IF(LEN(TRIM(X955))=0,"",HYPERLINK("https://www.google.com/maps/@?api=1&amp;map_action=pano&amp;viewpoint="&amp;SUBSTITUTE(X955," ",""),"Abrir Street View"))</f>
        <v/>
      </c>
    </row>
    <row r="956">
      <c r="H956" s="6" t="n"/>
      <c r="I956" s="6" t="n"/>
      <c r="M956" s="7" t="n"/>
      <c r="N956" s="7" t="n"/>
      <c r="O956" s="7" t="n"/>
      <c r="P956" s="8">
        <f>IF(NOT(ISNUMBER(M956)),"",IF(G956="Terreno",IF(AND(ISNUMBER(I956),I956&gt;0),M956/I956,""),IF(AND(ISNUMBER(H956),H956&gt;0),M956/H956,"")))</f>
        <v/>
      </c>
      <c r="Q956" s="9">
        <f>IF(AND(ISNUMBER(M956),ISNUMBER(O956)),IF(M956&lt;=O956,"Valor ≤ venal IPTU",""),"")</f>
        <v/>
      </c>
      <c r="R956" s="10" t="n"/>
      <c r="S956" s="10" t="n"/>
      <c r="AA956" s="10" t="n"/>
      <c r="AB956" s="11">
        <f>IF(LEN(TRIM(X956))=0,"",HYPERLINK("https://www.google.com/maps/@?api=1&amp;map_action=pano&amp;viewpoint="&amp;SUBSTITUTE(X956," ",""),"Abrir Street View"))</f>
        <v/>
      </c>
    </row>
    <row r="957">
      <c r="H957" s="6" t="n"/>
      <c r="I957" s="6" t="n"/>
      <c r="M957" s="7" t="n"/>
      <c r="N957" s="7" t="n"/>
      <c r="O957" s="7" t="n"/>
      <c r="P957" s="8">
        <f>IF(NOT(ISNUMBER(M957)),"",IF(G957="Terreno",IF(AND(ISNUMBER(I957),I957&gt;0),M957/I957,""),IF(AND(ISNUMBER(H957),H957&gt;0),M957/H957,"")))</f>
        <v/>
      </c>
      <c r="Q957" s="9">
        <f>IF(AND(ISNUMBER(M957),ISNUMBER(O957)),IF(M957&lt;=O957,"Valor ≤ venal IPTU",""),"")</f>
        <v/>
      </c>
      <c r="R957" s="10" t="n"/>
      <c r="S957" s="10" t="n"/>
      <c r="AA957" s="10" t="n"/>
      <c r="AB957" s="11">
        <f>IF(LEN(TRIM(X957))=0,"",HYPERLINK("https://www.google.com/maps/@?api=1&amp;map_action=pano&amp;viewpoint="&amp;SUBSTITUTE(X957," ",""),"Abrir Street View"))</f>
        <v/>
      </c>
    </row>
    <row r="958">
      <c r="H958" s="6" t="n"/>
      <c r="I958" s="6" t="n"/>
      <c r="M958" s="7" t="n"/>
      <c r="N958" s="7" t="n"/>
      <c r="O958" s="7" t="n"/>
      <c r="P958" s="8">
        <f>IF(NOT(ISNUMBER(M958)),"",IF(G958="Terreno",IF(AND(ISNUMBER(I958),I958&gt;0),M958/I958,""),IF(AND(ISNUMBER(H958),H958&gt;0),M958/H958,"")))</f>
        <v/>
      </c>
      <c r="Q958" s="9">
        <f>IF(AND(ISNUMBER(M958),ISNUMBER(O958)),IF(M958&lt;=O958,"Valor ≤ venal IPTU",""),"")</f>
        <v/>
      </c>
      <c r="R958" s="10" t="n"/>
      <c r="S958" s="10" t="n"/>
      <c r="AA958" s="10" t="n"/>
      <c r="AB958" s="11">
        <f>IF(LEN(TRIM(X958))=0,"",HYPERLINK("https://www.google.com/maps/@?api=1&amp;map_action=pano&amp;viewpoint="&amp;SUBSTITUTE(X958," ",""),"Abrir Street View"))</f>
        <v/>
      </c>
    </row>
    <row r="959">
      <c r="H959" s="6" t="n"/>
      <c r="I959" s="6" t="n"/>
      <c r="M959" s="7" t="n"/>
      <c r="N959" s="7" t="n"/>
      <c r="O959" s="7" t="n"/>
      <c r="P959" s="8">
        <f>IF(NOT(ISNUMBER(M959)),"",IF(G959="Terreno",IF(AND(ISNUMBER(I959),I959&gt;0),M959/I959,""),IF(AND(ISNUMBER(H959),H959&gt;0),M959/H959,"")))</f>
        <v/>
      </c>
      <c r="Q959" s="9">
        <f>IF(AND(ISNUMBER(M959),ISNUMBER(O959)),IF(M959&lt;=O959,"Valor ≤ venal IPTU",""),"")</f>
        <v/>
      </c>
      <c r="R959" s="10" t="n"/>
      <c r="S959" s="10" t="n"/>
      <c r="AA959" s="10" t="n"/>
      <c r="AB959" s="11">
        <f>IF(LEN(TRIM(X959))=0,"",HYPERLINK("https://www.google.com/maps/@?api=1&amp;map_action=pano&amp;viewpoint="&amp;SUBSTITUTE(X959," ",""),"Abrir Street View"))</f>
        <v/>
      </c>
    </row>
    <row r="960">
      <c r="H960" s="6" t="n"/>
      <c r="I960" s="6" t="n"/>
      <c r="M960" s="7" t="n"/>
      <c r="N960" s="7" t="n"/>
      <c r="O960" s="7" t="n"/>
      <c r="P960" s="8">
        <f>IF(NOT(ISNUMBER(M960)),"",IF(G960="Terreno",IF(AND(ISNUMBER(I960),I960&gt;0),M960/I960,""),IF(AND(ISNUMBER(H960),H960&gt;0),M960/H960,"")))</f>
        <v/>
      </c>
      <c r="Q960" s="9">
        <f>IF(AND(ISNUMBER(M960),ISNUMBER(O960)),IF(M960&lt;=O960,"Valor ≤ venal IPTU",""),"")</f>
        <v/>
      </c>
      <c r="R960" s="10" t="n"/>
      <c r="S960" s="10" t="n"/>
      <c r="AA960" s="10" t="n"/>
      <c r="AB960" s="11">
        <f>IF(LEN(TRIM(X960))=0,"",HYPERLINK("https://www.google.com/maps/@?api=1&amp;map_action=pano&amp;viewpoint="&amp;SUBSTITUTE(X960," ",""),"Abrir Street View"))</f>
        <v/>
      </c>
    </row>
    <row r="961">
      <c r="H961" s="6" t="n"/>
      <c r="I961" s="6" t="n"/>
      <c r="M961" s="7" t="n"/>
      <c r="N961" s="7" t="n"/>
      <c r="O961" s="7" t="n"/>
      <c r="P961" s="8">
        <f>IF(NOT(ISNUMBER(M961)),"",IF(G961="Terreno",IF(AND(ISNUMBER(I961),I961&gt;0),M961/I961,""),IF(AND(ISNUMBER(H961),H961&gt;0),M961/H961,"")))</f>
        <v/>
      </c>
      <c r="Q961" s="9">
        <f>IF(AND(ISNUMBER(M961),ISNUMBER(O961)),IF(M961&lt;=O961,"Valor ≤ venal IPTU",""),"")</f>
        <v/>
      </c>
      <c r="R961" s="10" t="n"/>
      <c r="S961" s="10" t="n"/>
      <c r="AA961" s="10" t="n"/>
      <c r="AB961" s="11">
        <f>IF(LEN(TRIM(X961))=0,"",HYPERLINK("https://www.google.com/maps/@?api=1&amp;map_action=pano&amp;viewpoint="&amp;SUBSTITUTE(X961," ",""),"Abrir Street View"))</f>
        <v/>
      </c>
    </row>
    <row r="962">
      <c r="H962" s="6" t="n"/>
      <c r="I962" s="6" t="n"/>
      <c r="M962" s="7" t="n"/>
      <c r="N962" s="7" t="n"/>
      <c r="O962" s="7" t="n"/>
      <c r="P962" s="8">
        <f>IF(NOT(ISNUMBER(M962)),"",IF(G962="Terreno",IF(AND(ISNUMBER(I962),I962&gt;0),M962/I962,""),IF(AND(ISNUMBER(H962),H962&gt;0),M962/H962,"")))</f>
        <v/>
      </c>
      <c r="Q962" s="9">
        <f>IF(AND(ISNUMBER(M962),ISNUMBER(O962)),IF(M962&lt;=O962,"Valor ≤ venal IPTU",""),"")</f>
        <v/>
      </c>
      <c r="R962" s="10" t="n"/>
      <c r="S962" s="10" t="n"/>
      <c r="AA962" s="10" t="n"/>
      <c r="AB962" s="11">
        <f>IF(LEN(TRIM(X962))=0,"",HYPERLINK("https://www.google.com/maps/@?api=1&amp;map_action=pano&amp;viewpoint="&amp;SUBSTITUTE(X962," ",""),"Abrir Street View"))</f>
        <v/>
      </c>
    </row>
    <row r="963">
      <c r="H963" s="6" t="n"/>
      <c r="I963" s="6" t="n"/>
      <c r="M963" s="7" t="n"/>
      <c r="N963" s="7" t="n"/>
      <c r="O963" s="7" t="n"/>
      <c r="P963" s="8">
        <f>IF(NOT(ISNUMBER(M963)),"",IF(G963="Terreno",IF(AND(ISNUMBER(I963),I963&gt;0),M963/I963,""),IF(AND(ISNUMBER(H963),H963&gt;0),M963/H963,"")))</f>
        <v/>
      </c>
      <c r="Q963" s="9">
        <f>IF(AND(ISNUMBER(M963),ISNUMBER(O963)),IF(M963&lt;=O963,"Valor ≤ venal IPTU",""),"")</f>
        <v/>
      </c>
      <c r="R963" s="10" t="n"/>
      <c r="S963" s="10" t="n"/>
      <c r="AA963" s="10" t="n"/>
      <c r="AB963" s="11">
        <f>IF(LEN(TRIM(X963))=0,"",HYPERLINK("https://www.google.com/maps/@?api=1&amp;map_action=pano&amp;viewpoint="&amp;SUBSTITUTE(X963," ",""),"Abrir Street View"))</f>
        <v/>
      </c>
    </row>
    <row r="964">
      <c r="H964" s="6" t="n"/>
      <c r="I964" s="6" t="n"/>
      <c r="M964" s="7" t="n"/>
      <c r="N964" s="7" t="n"/>
      <c r="O964" s="7" t="n"/>
      <c r="P964" s="8">
        <f>IF(NOT(ISNUMBER(M964)),"",IF(G964="Terreno",IF(AND(ISNUMBER(I964),I964&gt;0),M964/I964,""),IF(AND(ISNUMBER(H964),H964&gt;0),M964/H964,"")))</f>
        <v/>
      </c>
      <c r="Q964" s="9">
        <f>IF(AND(ISNUMBER(M964),ISNUMBER(O964)),IF(M964&lt;=O964,"Valor ≤ venal IPTU",""),"")</f>
        <v/>
      </c>
      <c r="R964" s="10" t="n"/>
      <c r="S964" s="10" t="n"/>
      <c r="AA964" s="10" t="n"/>
      <c r="AB964" s="11">
        <f>IF(LEN(TRIM(X964))=0,"",HYPERLINK("https://www.google.com/maps/@?api=1&amp;map_action=pano&amp;viewpoint="&amp;SUBSTITUTE(X964," ",""),"Abrir Street View"))</f>
        <v/>
      </c>
    </row>
    <row r="965">
      <c r="H965" s="6" t="n"/>
      <c r="I965" s="6" t="n"/>
      <c r="M965" s="7" t="n"/>
      <c r="N965" s="7" t="n"/>
      <c r="O965" s="7" t="n"/>
      <c r="P965" s="8">
        <f>IF(NOT(ISNUMBER(M965)),"",IF(G965="Terreno",IF(AND(ISNUMBER(I965),I965&gt;0),M965/I965,""),IF(AND(ISNUMBER(H965),H965&gt;0),M965/H965,"")))</f>
        <v/>
      </c>
      <c r="Q965" s="9">
        <f>IF(AND(ISNUMBER(M965),ISNUMBER(O965)),IF(M965&lt;=O965,"Valor ≤ venal IPTU",""),"")</f>
        <v/>
      </c>
      <c r="R965" s="10" t="n"/>
      <c r="S965" s="10" t="n"/>
      <c r="AA965" s="10" t="n"/>
      <c r="AB965" s="11">
        <f>IF(LEN(TRIM(X965))=0,"",HYPERLINK("https://www.google.com/maps/@?api=1&amp;map_action=pano&amp;viewpoint="&amp;SUBSTITUTE(X965," ",""),"Abrir Street View"))</f>
        <v/>
      </c>
    </row>
    <row r="966">
      <c r="H966" s="6" t="n"/>
      <c r="I966" s="6" t="n"/>
      <c r="M966" s="7" t="n"/>
      <c r="N966" s="7" t="n"/>
      <c r="O966" s="7" t="n"/>
      <c r="P966" s="8">
        <f>IF(NOT(ISNUMBER(M966)),"",IF(G966="Terreno",IF(AND(ISNUMBER(I966),I966&gt;0),M966/I966,""),IF(AND(ISNUMBER(H966),H966&gt;0),M966/H966,"")))</f>
        <v/>
      </c>
      <c r="Q966" s="9">
        <f>IF(AND(ISNUMBER(M966),ISNUMBER(O966)),IF(M966&lt;=O966,"Valor ≤ venal IPTU",""),"")</f>
        <v/>
      </c>
      <c r="R966" s="10" t="n"/>
      <c r="S966" s="10" t="n"/>
      <c r="AA966" s="10" t="n"/>
      <c r="AB966" s="11">
        <f>IF(LEN(TRIM(X966))=0,"",HYPERLINK("https://www.google.com/maps/@?api=1&amp;map_action=pano&amp;viewpoint="&amp;SUBSTITUTE(X966," ",""),"Abrir Street View"))</f>
        <v/>
      </c>
    </row>
    <row r="967">
      <c r="H967" s="6" t="n"/>
      <c r="I967" s="6" t="n"/>
      <c r="M967" s="7" t="n"/>
      <c r="N967" s="7" t="n"/>
      <c r="O967" s="7" t="n"/>
      <c r="P967" s="8">
        <f>IF(NOT(ISNUMBER(M967)),"",IF(G967="Terreno",IF(AND(ISNUMBER(I967),I967&gt;0),M967/I967,""),IF(AND(ISNUMBER(H967),H967&gt;0),M967/H967,"")))</f>
        <v/>
      </c>
      <c r="Q967" s="9">
        <f>IF(AND(ISNUMBER(M967),ISNUMBER(O967)),IF(M967&lt;=O967,"Valor ≤ venal IPTU",""),"")</f>
        <v/>
      </c>
      <c r="R967" s="10" t="n"/>
      <c r="S967" s="10" t="n"/>
      <c r="AA967" s="10" t="n"/>
      <c r="AB967" s="11">
        <f>IF(LEN(TRIM(X967))=0,"",HYPERLINK("https://www.google.com/maps/@?api=1&amp;map_action=pano&amp;viewpoint="&amp;SUBSTITUTE(X967," ",""),"Abrir Street View"))</f>
        <v/>
      </c>
    </row>
    <row r="968">
      <c r="H968" s="6" t="n"/>
      <c r="I968" s="6" t="n"/>
      <c r="M968" s="7" t="n"/>
      <c r="N968" s="7" t="n"/>
      <c r="O968" s="7" t="n"/>
      <c r="P968" s="8">
        <f>IF(NOT(ISNUMBER(M968)),"",IF(G968="Terreno",IF(AND(ISNUMBER(I968),I968&gt;0),M968/I968,""),IF(AND(ISNUMBER(H968),H968&gt;0),M968/H968,"")))</f>
        <v/>
      </c>
      <c r="Q968" s="9">
        <f>IF(AND(ISNUMBER(M968),ISNUMBER(O968)),IF(M968&lt;=O968,"Valor ≤ venal IPTU",""),"")</f>
        <v/>
      </c>
      <c r="R968" s="10" t="n"/>
      <c r="S968" s="10" t="n"/>
      <c r="AA968" s="10" t="n"/>
      <c r="AB968" s="11">
        <f>IF(LEN(TRIM(X968))=0,"",HYPERLINK("https://www.google.com/maps/@?api=1&amp;map_action=pano&amp;viewpoint="&amp;SUBSTITUTE(X968," ",""),"Abrir Street View"))</f>
        <v/>
      </c>
    </row>
    <row r="969">
      <c r="H969" s="6" t="n"/>
      <c r="I969" s="6" t="n"/>
      <c r="M969" s="7" t="n"/>
      <c r="N969" s="7" t="n"/>
      <c r="O969" s="7" t="n"/>
      <c r="P969" s="8">
        <f>IF(NOT(ISNUMBER(M969)),"",IF(G969="Terreno",IF(AND(ISNUMBER(I969),I969&gt;0),M969/I969,""),IF(AND(ISNUMBER(H969),H969&gt;0),M969/H969,"")))</f>
        <v/>
      </c>
      <c r="Q969" s="9">
        <f>IF(AND(ISNUMBER(M969),ISNUMBER(O969)),IF(M969&lt;=O969,"Valor ≤ venal IPTU",""),"")</f>
        <v/>
      </c>
      <c r="R969" s="10" t="n"/>
      <c r="S969" s="10" t="n"/>
      <c r="AA969" s="10" t="n"/>
      <c r="AB969" s="11">
        <f>IF(LEN(TRIM(X969))=0,"",HYPERLINK("https://www.google.com/maps/@?api=1&amp;map_action=pano&amp;viewpoint="&amp;SUBSTITUTE(X969," ",""),"Abrir Street View"))</f>
        <v/>
      </c>
    </row>
    <row r="970">
      <c r="H970" s="6" t="n"/>
      <c r="I970" s="6" t="n"/>
      <c r="M970" s="7" t="n"/>
      <c r="N970" s="7" t="n"/>
      <c r="O970" s="7" t="n"/>
      <c r="P970" s="8">
        <f>IF(NOT(ISNUMBER(M970)),"",IF(G970="Terreno",IF(AND(ISNUMBER(I970),I970&gt;0),M970/I970,""),IF(AND(ISNUMBER(H970),H970&gt;0),M970/H970,"")))</f>
        <v/>
      </c>
      <c r="Q970" s="9">
        <f>IF(AND(ISNUMBER(M970),ISNUMBER(O970)),IF(M970&lt;=O970,"Valor ≤ venal IPTU",""),"")</f>
        <v/>
      </c>
      <c r="R970" s="10" t="n"/>
      <c r="S970" s="10" t="n"/>
      <c r="AA970" s="10" t="n"/>
      <c r="AB970" s="11">
        <f>IF(LEN(TRIM(X970))=0,"",HYPERLINK("https://www.google.com/maps/@?api=1&amp;map_action=pano&amp;viewpoint="&amp;SUBSTITUTE(X970," ",""),"Abrir Street View"))</f>
        <v/>
      </c>
    </row>
    <row r="971">
      <c r="H971" s="6" t="n"/>
      <c r="I971" s="6" t="n"/>
      <c r="M971" s="7" t="n"/>
      <c r="N971" s="7" t="n"/>
      <c r="O971" s="7" t="n"/>
      <c r="P971" s="8">
        <f>IF(NOT(ISNUMBER(M971)),"",IF(G971="Terreno",IF(AND(ISNUMBER(I971),I971&gt;0),M971/I971,""),IF(AND(ISNUMBER(H971),H971&gt;0),M971/H971,"")))</f>
        <v/>
      </c>
      <c r="Q971" s="9">
        <f>IF(AND(ISNUMBER(M971),ISNUMBER(O971)),IF(M971&lt;=O971,"Valor ≤ venal IPTU",""),"")</f>
        <v/>
      </c>
      <c r="R971" s="10" t="n"/>
      <c r="S971" s="10" t="n"/>
      <c r="AA971" s="10" t="n"/>
      <c r="AB971" s="11">
        <f>IF(LEN(TRIM(X971))=0,"",HYPERLINK("https://www.google.com/maps/@?api=1&amp;map_action=pano&amp;viewpoint="&amp;SUBSTITUTE(X971," ",""),"Abrir Street View"))</f>
        <v/>
      </c>
    </row>
    <row r="972">
      <c r="H972" s="6" t="n"/>
      <c r="I972" s="6" t="n"/>
      <c r="M972" s="7" t="n"/>
      <c r="N972" s="7" t="n"/>
      <c r="O972" s="7" t="n"/>
      <c r="P972" s="8">
        <f>IF(NOT(ISNUMBER(M972)),"",IF(G972="Terreno",IF(AND(ISNUMBER(I972),I972&gt;0),M972/I972,""),IF(AND(ISNUMBER(H972),H972&gt;0),M972/H972,"")))</f>
        <v/>
      </c>
      <c r="Q972" s="9">
        <f>IF(AND(ISNUMBER(M972),ISNUMBER(O972)),IF(M972&lt;=O972,"Valor ≤ venal IPTU",""),"")</f>
        <v/>
      </c>
      <c r="R972" s="10" t="n"/>
      <c r="S972" s="10" t="n"/>
      <c r="AA972" s="10" t="n"/>
      <c r="AB972" s="11">
        <f>IF(LEN(TRIM(X972))=0,"",HYPERLINK("https://www.google.com/maps/@?api=1&amp;map_action=pano&amp;viewpoint="&amp;SUBSTITUTE(X972," ",""),"Abrir Street View"))</f>
        <v/>
      </c>
    </row>
    <row r="973">
      <c r="H973" s="6" t="n"/>
      <c r="I973" s="6" t="n"/>
      <c r="M973" s="7" t="n"/>
      <c r="N973" s="7" t="n"/>
      <c r="O973" s="7" t="n"/>
      <c r="P973" s="8">
        <f>IF(NOT(ISNUMBER(M973)),"",IF(G973="Terreno",IF(AND(ISNUMBER(I973),I973&gt;0),M973/I973,""),IF(AND(ISNUMBER(H973),H973&gt;0),M973/H973,"")))</f>
        <v/>
      </c>
      <c r="Q973" s="9">
        <f>IF(AND(ISNUMBER(M973),ISNUMBER(O973)),IF(M973&lt;=O973,"Valor ≤ venal IPTU",""),"")</f>
        <v/>
      </c>
      <c r="R973" s="10" t="n"/>
      <c r="S973" s="10" t="n"/>
      <c r="AA973" s="10" t="n"/>
      <c r="AB973" s="11">
        <f>IF(LEN(TRIM(X973))=0,"",HYPERLINK("https://www.google.com/maps/@?api=1&amp;map_action=pano&amp;viewpoint="&amp;SUBSTITUTE(X973," ",""),"Abrir Street View"))</f>
        <v/>
      </c>
    </row>
    <row r="974">
      <c r="H974" s="6" t="n"/>
      <c r="I974" s="6" t="n"/>
      <c r="M974" s="7" t="n"/>
      <c r="N974" s="7" t="n"/>
      <c r="O974" s="7" t="n"/>
      <c r="P974" s="8">
        <f>IF(NOT(ISNUMBER(M974)),"",IF(G974="Terreno",IF(AND(ISNUMBER(I974),I974&gt;0),M974/I974,""),IF(AND(ISNUMBER(H974),H974&gt;0),M974/H974,"")))</f>
        <v/>
      </c>
      <c r="Q974" s="9">
        <f>IF(AND(ISNUMBER(M974),ISNUMBER(O974)),IF(M974&lt;=O974,"Valor ≤ venal IPTU",""),"")</f>
        <v/>
      </c>
      <c r="R974" s="10" t="n"/>
      <c r="S974" s="10" t="n"/>
      <c r="AA974" s="10" t="n"/>
      <c r="AB974" s="11">
        <f>IF(LEN(TRIM(X974))=0,"",HYPERLINK("https://www.google.com/maps/@?api=1&amp;map_action=pano&amp;viewpoint="&amp;SUBSTITUTE(X974," ",""),"Abrir Street View"))</f>
        <v/>
      </c>
    </row>
    <row r="975">
      <c r="H975" s="6" t="n"/>
      <c r="I975" s="6" t="n"/>
      <c r="M975" s="7" t="n"/>
      <c r="N975" s="7" t="n"/>
      <c r="O975" s="7" t="n"/>
      <c r="P975" s="8">
        <f>IF(NOT(ISNUMBER(M975)),"",IF(G975="Terreno",IF(AND(ISNUMBER(I975),I975&gt;0),M975/I975,""),IF(AND(ISNUMBER(H975),H975&gt;0),M975/H975,"")))</f>
        <v/>
      </c>
      <c r="Q975" s="9">
        <f>IF(AND(ISNUMBER(M975),ISNUMBER(O975)),IF(M975&lt;=O975,"Valor ≤ venal IPTU",""),"")</f>
        <v/>
      </c>
      <c r="R975" s="10" t="n"/>
      <c r="S975" s="10" t="n"/>
      <c r="AA975" s="10" t="n"/>
      <c r="AB975" s="11">
        <f>IF(LEN(TRIM(X975))=0,"",HYPERLINK("https://www.google.com/maps/@?api=1&amp;map_action=pano&amp;viewpoint="&amp;SUBSTITUTE(X975," ",""),"Abrir Street View"))</f>
        <v/>
      </c>
    </row>
    <row r="976">
      <c r="H976" s="6" t="n"/>
      <c r="I976" s="6" t="n"/>
      <c r="M976" s="7" t="n"/>
      <c r="N976" s="7" t="n"/>
      <c r="O976" s="7" t="n"/>
      <c r="P976" s="8">
        <f>IF(NOT(ISNUMBER(M976)),"",IF(G976="Terreno",IF(AND(ISNUMBER(I976),I976&gt;0),M976/I976,""),IF(AND(ISNUMBER(H976),H976&gt;0),M976/H976,"")))</f>
        <v/>
      </c>
      <c r="Q976" s="9">
        <f>IF(AND(ISNUMBER(M976),ISNUMBER(O976)),IF(M976&lt;=O976,"Valor ≤ venal IPTU",""),"")</f>
        <v/>
      </c>
      <c r="R976" s="10" t="n"/>
      <c r="S976" s="10" t="n"/>
      <c r="AA976" s="10" t="n"/>
      <c r="AB976" s="11">
        <f>IF(LEN(TRIM(X976))=0,"",HYPERLINK("https://www.google.com/maps/@?api=1&amp;map_action=pano&amp;viewpoint="&amp;SUBSTITUTE(X976," ",""),"Abrir Street View"))</f>
        <v/>
      </c>
    </row>
    <row r="977">
      <c r="H977" s="6" t="n"/>
      <c r="I977" s="6" t="n"/>
      <c r="M977" s="7" t="n"/>
      <c r="N977" s="7" t="n"/>
      <c r="O977" s="7" t="n"/>
      <c r="P977" s="8">
        <f>IF(NOT(ISNUMBER(M977)),"",IF(G977="Terreno",IF(AND(ISNUMBER(I977),I977&gt;0),M977/I977,""),IF(AND(ISNUMBER(H977),H977&gt;0),M977/H977,"")))</f>
        <v/>
      </c>
      <c r="Q977" s="9">
        <f>IF(AND(ISNUMBER(M977),ISNUMBER(O977)),IF(M977&lt;=O977,"Valor ≤ venal IPTU",""),"")</f>
        <v/>
      </c>
      <c r="R977" s="10" t="n"/>
      <c r="S977" s="10" t="n"/>
      <c r="AA977" s="10" t="n"/>
      <c r="AB977" s="11">
        <f>IF(LEN(TRIM(X977))=0,"",HYPERLINK("https://www.google.com/maps/@?api=1&amp;map_action=pano&amp;viewpoint="&amp;SUBSTITUTE(X977," ",""),"Abrir Street View"))</f>
        <v/>
      </c>
    </row>
    <row r="978">
      <c r="H978" s="6" t="n"/>
      <c r="I978" s="6" t="n"/>
      <c r="M978" s="7" t="n"/>
      <c r="N978" s="7" t="n"/>
      <c r="O978" s="7" t="n"/>
      <c r="P978" s="8">
        <f>IF(NOT(ISNUMBER(M978)),"",IF(G978="Terreno",IF(AND(ISNUMBER(I978),I978&gt;0),M978/I978,""),IF(AND(ISNUMBER(H978),H978&gt;0),M978/H978,"")))</f>
        <v/>
      </c>
      <c r="Q978" s="9">
        <f>IF(AND(ISNUMBER(M978),ISNUMBER(O978)),IF(M978&lt;=O978,"Valor ≤ venal IPTU",""),"")</f>
        <v/>
      </c>
      <c r="R978" s="10" t="n"/>
      <c r="S978" s="10" t="n"/>
      <c r="AA978" s="10" t="n"/>
      <c r="AB978" s="11">
        <f>IF(LEN(TRIM(X978))=0,"",HYPERLINK("https://www.google.com/maps/@?api=1&amp;map_action=pano&amp;viewpoint="&amp;SUBSTITUTE(X978," ",""),"Abrir Street View"))</f>
        <v/>
      </c>
    </row>
    <row r="979">
      <c r="H979" s="6" t="n"/>
      <c r="I979" s="6" t="n"/>
      <c r="M979" s="7" t="n"/>
      <c r="N979" s="7" t="n"/>
      <c r="O979" s="7" t="n"/>
      <c r="P979" s="8">
        <f>IF(NOT(ISNUMBER(M979)),"",IF(G979="Terreno",IF(AND(ISNUMBER(I979),I979&gt;0),M979/I979,""),IF(AND(ISNUMBER(H979),H979&gt;0),M979/H979,"")))</f>
        <v/>
      </c>
      <c r="Q979" s="9">
        <f>IF(AND(ISNUMBER(M979),ISNUMBER(O979)),IF(M979&lt;=O979,"Valor ≤ venal IPTU",""),"")</f>
        <v/>
      </c>
      <c r="R979" s="10" t="n"/>
      <c r="S979" s="10" t="n"/>
      <c r="AA979" s="10" t="n"/>
      <c r="AB979" s="11">
        <f>IF(LEN(TRIM(X979))=0,"",HYPERLINK("https://www.google.com/maps/@?api=1&amp;map_action=pano&amp;viewpoint="&amp;SUBSTITUTE(X979," ",""),"Abrir Street View"))</f>
        <v/>
      </c>
    </row>
    <row r="980">
      <c r="H980" s="6" t="n"/>
      <c r="I980" s="6" t="n"/>
      <c r="M980" s="7" t="n"/>
      <c r="N980" s="7" t="n"/>
      <c r="O980" s="7" t="n"/>
      <c r="P980" s="8">
        <f>IF(NOT(ISNUMBER(M980)),"",IF(G980="Terreno",IF(AND(ISNUMBER(I980),I980&gt;0),M980/I980,""),IF(AND(ISNUMBER(H980),H980&gt;0),M980/H980,"")))</f>
        <v/>
      </c>
      <c r="Q980" s="9">
        <f>IF(AND(ISNUMBER(M980),ISNUMBER(O980)),IF(M980&lt;=O980,"Valor ≤ venal IPTU",""),"")</f>
        <v/>
      </c>
      <c r="R980" s="10" t="n"/>
      <c r="S980" s="10" t="n"/>
      <c r="AA980" s="10" t="n"/>
      <c r="AB980" s="11">
        <f>IF(LEN(TRIM(X980))=0,"",HYPERLINK("https://www.google.com/maps/@?api=1&amp;map_action=pano&amp;viewpoint="&amp;SUBSTITUTE(X980," ",""),"Abrir Street View"))</f>
        <v/>
      </c>
    </row>
    <row r="981">
      <c r="H981" s="6" t="n"/>
      <c r="I981" s="6" t="n"/>
      <c r="M981" s="7" t="n"/>
      <c r="N981" s="7" t="n"/>
      <c r="O981" s="7" t="n"/>
      <c r="P981" s="8">
        <f>IF(NOT(ISNUMBER(M981)),"",IF(G981="Terreno",IF(AND(ISNUMBER(I981),I981&gt;0),M981/I981,""),IF(AND(ISNUMBER(H981),H981&gt;0),M981/H981,"")))</f>
        <v/>
      </c>
      <c r="Q981" s="9">
        <f>IF(AND(ISNUMBER(M981),ISNUMBER(O981)),IF(M981&lt;=O981,"Valor ≤ venal IPTU",""),"")</f>
        <v/>
      </c>
      <c r="R981" s="10" t="n"/>
      <c r="S981" s="10" t="n"/>
      <c r="AA981" s="10" t="n"/>
      <c r="AB981" s="11">
        <f>IF(LEN(TRIM(X981))=0,"",HYPERLINK("https://www.google.com/maps/@?api=1&amp;map_action=pano&amp;viewpoint="&amp;SUBSTITUTE(X981," ",""),"Abrir Street View"))</f>
        <v/>
      </c>
    </row>
    <row r="982">
      <c r="H982" s="6" t="n"/>
      <c r="I982" s="6" t="n"/>
      <c r="M982" s="7" t="n"/>
      <c r="N982" s="7" t="n"/>
      <c r="O982" s="7" t="n"/>
      <c r="P982" s="8">
        <f>IF(NOT(ISNUMBER(M982)),"",IF(G982="Terreno",IF(AND(ISNUMBER(I982),I982&gt;0),M982/I982,""),IF(AND(ISNUMBER(H982),H982&gt;0),M982/H982,"")))</f>
        <v/>
      </c>
      <c r="Q982" s="9">
        <f>IF(AND(ISNUMBER(M982),ISNUMBER(O982)),IF(M982&lt;=O982,"Valor ≤ venal IPTU",""),"")</f>
        <v/>
      </c>
      <c r="R982" s="10" t="n"/>
      <c r="S982" s="10" t="n"/>
      <c r="AA982" s="10" t="n"/>
      <c r="AB982" s="11">
        <f>IF(LEN(TRIM(X982))=0,"",HYPERLINK("https://www.google.com/maps/@?api=1&amp;map_action=pano&amp;viewpoint="&amp;SUBSTITUTE(X982," ",""),"Abrir Street View"))</f>
        <v/>
      </c>
    </row>
    <row r="983">
      <c r="H983" s="6" t="n"/>
      <c r="I983" s="6" t="n"/>
      <c r="M983" s="7" t="n"/>
      <c r="N983" s="7" t="n"/>
      <c r="O983" s="7" t="n"/>
      <c r="P983" s="8">
        <f>IF(NOT(ISNUMBER(M983)),"",IF(G983="Terreno",IF(AND(ISNUMBER(I983),I983&gt;0),M983/I983,""),IF(AND(ISNUMBER(H983),H983&gt;0),M983/H983,"")))</f>
        <v/>
      </c>
      <c r="Q983" s="9">
        <f>IF(AND(ISNUMBER(M983),ISNUMBER(O983)),IF(M983&lt;=O983,"Valor ≤ venal IPTU",""),"")</f>
        <v/>
      </c>
      <c r="R983" s="10" t="n"/>
      <c r="S983" s="10" t="n"/>
      <c r="AA983" s="10" t="n"/>
      <c r="AB983" s="11">
        <f>IF(LEN(TRIM(X983))=0,"",HYPERLINK("https://www.google.com/maps/@?api=1&amp;map_action=pano&amp;viewpoint="&amp;SUBSTITUTE(X983," ",""),"Abrir Street View"))</f>
        <v/>
      </c>
    </row>
    <row r="984">
      <c r="H984" s="6" t="n"/>
      <c r="I984" s="6" t="n"/>
      <c r="M984" s="7" t="n"/>
      <c r="N984" s="7" t="n"/>
      <c r="O984" s="7" t="n"/>
      <c r="P984" s="8">
        <f>IF(NOT(ISNUMBER(M984)),"",IF(G984="Terreno",IF(AND(ISNUMBER(I984),I984&gt;0),M984/I984,""),IF(AND(ISNUMBER(H984),H984&gt;0),M984/H984,"")))</f>
        <v/>
      </c>
      <c r="Q984" s="9">
        <f>IF(AND(ISNUMBER(M984),ISNUMBER(O984)),IF(M984&lt;=O984,"Valor ≤ venal IPTU",""),"")</f>
        <v/>
      </c>
      <c r="R984" s="10" t="n"/>
      <c r="S984" s="10" t="n"/>
      <c r="AA984" s="10" t="n"/>
      <c r="AB984" s="11">
        <f>IF(LEN(TRIM(X984))=0,"",HYPERLINK("https://www.google.com/maps/@?api=1&amp;map_action=pano&amp;viewpoint="&amp;SUBSTITUTE(X984," ",""),"Abrir Street View"))</f>
        <v/>
      </c>
    </row>
    <row r="985">
      <c r="H985" s="6" t="n"/>
      <c r="I985" s="6" t="n"/>
      <c r="M985" s="7" t="n"/>
      <c r="N985" s="7" t="n"/>
      <c r="O985" s="7" t="n"/>
      <c r="P985" s="8">
        <f>IF(NOT(ISNUMBER(M985)),"",IF(G985="Terreno",IF(AND(ISNUMBER(I985),I985&gt;0),M985/I985,""),IF(AND(ISNUMBER(H985),H985&gt;0),M985/H985,"")))</f>
        <v/>
      </c>
      <c r="Q985" s="9">
        <f>IF(AND(ISNUMBER(M985),ISNUMBER(O985)),IF(M985&lt;=O985,"Valor ≤ venal IPTU",""),"")</f>
        <v/>
      </c>
      <c r="R985" s="10" t="n"/>
      <c r="S985" s="10" t="n"/>
      <c r="AA985" s="10" t="n"/>
      <c r="AB985" s="11">
        <f>IF(LEN(TRIM(X985))=0,"",HYPERLINK("https://www.google.com/maps/@?api=1&amp;map_action=pano&amp;viewpoint="&amp;SUBSTITUTE(X985," ",""),"Abrir Street View"))</f>
        <v/>
      </c>
    </row>
    <row r="986">
      <c r="H986" s="6" t="n"/>
      <c r="I986" s="6" t="n"/>
      <c r="M986" s="7" t="n"/>
      <c r="N986" s="7" t="n"/>
      <c r="O986" s="7" t="n"/>
      <c r="P986" s="8">
        <f>IF(NOT(ISNUMBER(M986)),"",IF(G986="Terreno",IF(AND(ISNUMBER(I986),I986&gt;0),M986/I986,""),IF(AND(ISNUMBER(H986),H986&gt;0),M986/H986,"")))</f>
        <v/>
      </c>
      <c r="Q986" s="9">
        <f>IF(AND(ISNUMBER(M986),ISNUMBER(O986)),IF(M986&lt;=O986,"Valor ≤ venal IPTU",""),"")</f>
        <v/>
      </c>
      <c r="R986" s="10" t="n"/>
      <c r="S986" s="10" t="n"/>
      <c r="AA986" s="10" t="n"/>
      <c r="AB986" s="11">
        <f>IF(LEN(TRIM(X986))=0,"",HYPERLINK("https://www.google.com/maps/@?api=1&amp;map_action=pano&amp;viewpoint="&amp;SUBSTITUTE(X986," ",""),"Abrir Street View"))</f>
        <v/>
      </c>
    </row>
    <row r="987">
      <c r="H987" s="6" t="n"/>
      <c r="I987" s="6" t="n"/>
      <c r="M987" s="7" t="n"/>
      <c r="N987" s="7" t="n"/>
      <c r="O987" s="7" t="n"/>
      <c r="P987" s="8">
        <f>IF(NOT(ISNUMBER(M987)),"",IF(G987="Terreno",IF(AND(ISNUMBER(I987),I987&gt;0),M987/I987,""),IF(AND(ISNUMBER(H987),H987&gt;0),M987/H987,"")))</f>
        <v/>
      </c>
      <c r="Q987" s="9">
        <f>IF(AND(ISNUMBER(M987),ISNUMBER(O987)),IF(M987&lt;=O987,"Valor ≤ venal IPTU",""),"")</f>
        <v/>
      </c>
      <c r="R987" s="10" t="n"/>
      <c r="S987" s="10" t="n"/>
      <c r="AA987" s="10" t="n"/>
      <c r="AB987" s="11">
        <f>IF(LEN(TRIM(X987))=0,"",HYPERLINK("https://www.google.com/maps/@?api=1&amp;map_action=pano&amp;viewpoint="&amp;SUBSTITUTE(X987," ",""),"Abrir Street View"))</f>
        <v/>
      </c>
    </row>
    <row r="988">
      <c r="H988" s="6" t="n"/>
      <c r="I988" s="6" t="n"/>
      <c r="M988" s="7" t="n"/>
      <c r="N988" s="7" t="n"/>
      <c r="O988" s="7" t="n"/>
      <c r="P988" s="8">
        <f>IF(NOT(ISNUMBER(M988)),"",IF(G988="Terreno",IF(AND(ISNUMBER(I988),I988&gt;0),M988/I988,""),IF(AND(ISNUMBER(H988),H988&gt;0),M988/H988,"")))</f>
        <v/>
      </c>
      <c r="Q988" s="9">
        <f>IF(AND(ISNUMBER(M988),ISNUMBER(O988)),IF(M988&lt;=O988,"Valor ≤ venal IPTU",""),"")</f>
        <v/>
      </c>
      <c r="R988" s="10" t="n"/>
      <c r="S988" s="10" t="n"/>
      <c r="AA988" s="10" t="n"/>
      <c r="AB988" s="11">
        <f>IF(LEN(TRIM(X988))=0,"",HYPERLINK("https://www.google.com/maps/@?api=1&amp;map_action=pano&amp;viewpoint="&amp;SUBSTITUTE(X988," ",""),"Abrir Street View"))</f>
        <v/>
      </c>
    </row>
    <row r="989">
      <c r="H989" s="6" t="n"/>
      <c r="I989" s="6" t="n"/>
      <c r="M989" s="7" t="n"/>
      <c r="N989" s="7" t="n"/>
      <c r="O989" s="7" t="n"/>
      <c r="P989" s="8">
        <f>IF(NOT(ISNUMBER(M989)),"",IF(G989="Terreno",IF(AND(ISNUMBER(I989),I989&gt;0),M989/I989,""),IF(AND(ISNUMBER(H989),H989&gt;0),M989/H989,"")))</f>
        <v/>
      </c>
      <c r="Q989" s="9">
        <f>IF(AND(ISNUMBER(M989),ISNUMBER(O989)),IF(M989&lt;=O989,"Valor ≤ venal IPTU",""),"")</f>
        <v/>
      </c>
      <c r="R989" s="10" t="n"/>
      <c r="S989" s="10" t="n"/>
      <c r="AA989" s="10" t="n"/>
      <c r="AB989" s="11">
        <f>IF(LEN(TRIM(X989))=0,"",HYPERLINK("https://www.google.com/maps/@?api=1&amp;map_action=pano&amp;viewpoint="&amp;SUBSTITUTE(X989," ",""),"Abrir Street View"))</f>
        <v/>
      </c>
    </row>
    <row r="990">
      <c r="H990" s="6" t="n"/>
      <c r="I990" s="6" t="n"/>
      <c r="M990" s="7" t="n"/>
      <c r="N990" s="7" t="n"/>
      <c r="O990" s="7" t="n"/>
      <c r="P990" s="8">
        <f>IF(NOT(ISNUMBER(M990)),"",IF(G990="Terreno",IF(AND(ISNUMBER(I990),I990&gt;0),M990/I990,""),IF(AND(ISNUMBER(H990),H990&gt;0),M990/H990,"")))</f>
        <v/>
      </c>
      <c r="Q990" s="9">
        <f>IF(AND(ISNUMBER(M990),ISNUMBER(O990)),IF(M990&lt;=O990,"Valor ≤ venal IPTU",""),"")</f>
        <v/>
      </c>
      <c r="R990" s="10" t="n"/>
      <c r="S990" s="10" t="n"/>
      <c r="AA990" s="10" t="n"/>
      <c r="AB990" s="11">
        <f>IF(LEN(TRIM(X990))=0,"",HYPERLINK("https://www.google.com/maps/@?api=1&amp;map_action=pano&amp;viewpoint="&amp;SUBSTITUTE(X990," ",""),"Abrir Street View"))</f>
        <v/>
      </c>
    </row>
    <row r="991">
      <c r="H991" s="6" t="n"/>
      <c r="I991" s="6" t="n"/>
      <c r="M991" s="7" t="n"/>
      <c r="N991" s="7" t="n"/>
      <c r="O991" s="7" t="n"/>
      <c r="P991" s="8">
        <f>IF(NOT(ISNUMBER(M991)),"",IF(G991="Terreno",IF(AND(ISNUMBER(I991),I991&gt;0),M991/I991,""),IF(AND(ISNUMBER(H991),H991&gt;0),M991/H991,"")))</f>
        <v/>
      </c>
      <c r="Q991" s="9">
        <f>IF(AND(ISNUMBER(M991),ISNUMBER(O991)),IF(M991&lt;=O991,"Valor ≤ venal IPTU",""),"")</f>
        <v/>
      </c>
      <c r="R991" s="10" t="n"/>
      <c r="S991" s="10" t="n"/>
      <c r="AA991" s="10" t="n"/>
      <c r="AB991" s="11">
        <f>IF(LEN(TRIM(X991))=0,"",HYPERLINK("https://www.google.com/maps/@?api=1&amp;map_action=pano&amp;viewpoint="&amp;SUBSTITUTE(X991," ",""),"Abrir Street View"))</f>
        <v/>
      </c>
    </row>
    <row r="992">
      <c r="H992" s="6" t="n"/>
      <c r="I992" s="6" t="n"/>
      <c r="M992" s="7" t="n"/>
      <c r="N992" s="7" t="n"/>
      <c r="O992" s="7" t="n"/>
      <c r="P992" s="8">
        <f>IF(NOT(ISNUMBER(M992)),"",IF(G992="Terreno",IF(AND(ISNUMBER(I992),I992&gt;0),M992/I992,""),IF(AND(ISNUMBER(H992),H992&gt;0),M992/H992,"")))</f>
        <v/>
      </c>
      <c r="Q992" s="9">
        <f>IF(AND(ISNUMBER(M992),ISNUMBER(O992)),IF(M992&lt;=O992,"Valor ≤ venal IPTU",""),"")</f>
        <v/>
      </c>
      <c r="R992" s="10" t="n"/>
      <c r="S992" s="10" t="n"/>
      <c r="AA992" s="10" t="n"/>
      <c r="AB992" s="11">
        <f>IF(LEN(TRIM(X992))=0,"",HYPERLINK("https://www.google.com/maps/@?api=1&amp;map_action=pano&amp;viewpoint="&amp;SUBSTITUTE(X992," ",""),"Abrir Street View"))</f>
        <v/>
      </c>
    </row>
    <row r="993">
      <c r="H993" s="6" t="n"/>
      <c r="I993" s="6" t="n"/>
      <c r="M993" s="7" t="n"/>
      <c r="N993" s="7" t="n"/>
      <c r="O993" s="7" t="n"/>
      <c r="P993" s="8">
        <f>IF(NOT(ISNUMBER(M993)),"",IF(G993="Terreno",IF(AND(ISNUMBER(I993),I993&gt;0),M993/I993,""),IF(AND(ISNUMBER(H993),H993&gt;0),M993/H993,"")))</f>
        <v/>
      </c>
      <c r="Q993" s="9">
        <f>IF(AND(ISNUMBER(M993),ISNUMBER(O993)),IF(M993&lt;=O993,"Valor ≤ venal IPTU",""),"")</f>
        <v/>
      </c>
      <c r="R993" s="10" t="n"/>
      <c r="S993" s="10" t="n"/>
      <c r="AA993" s="10" t="n"/>
      <c r="AB993" s="11">
        <f>IF(LEN(TRIM(X993))=0,"",HYPERLINK("https://www.google.com/maps/@?api=1&amp;map_action=pano&amp;viewpoint="&amp;SUBSTITUTE(X993," ",""),"Abrir Street View"))</f>
        <v/>
      </c>
    </row>
    <row r="994">
      <c r="H994" s="6" t="n"/>
      <c r="I994" s="6" t="n"/>
      <c r="M994" s="7" t="n"/>
      <c r="N994" s="7" t="n"/>
      <c r="O994" s="7" t="n"/>
      <c r="P994" s="8">
        <f>IF(NOT(ISNUMBER(M994)),"",IF(G994="Terreno",IF(AND(ISNUMBER(I994),I994&gt;0),M994/I994,""),IF(AND(ISNUMBER(H994),H994&gt;0),M994/H994,"")))</f>
        <v/>
      </c>
      <c r="Q994" s="9">
        <f>IF(AND(ISNUMBER(M994),ISNUMBER(O994)),IF(M994&lt;=O994,"Valor ≤ venal IPTU",""),"")</f>
        <v/>
      </c>
      <c r="R994" s="10" t="n"/>
      <c r="S994" s="10" t="n"/>
      <c r="AA994" s="10" t="n"/>
      <c r="AB994" s="11">
        <f>IF(LEN(TRIM(X994))=0,"",HYPERLINK("https://www.google.com/maps/@?api=1&amp;map_action=pano&amp;viewpoint="&amp;SUBSTITUTE(X994," ",""),"Abrir Street View"))</f>
        <v/>
      </c>
    </row>
    <row r="995">
      <c r="H995" s="6" t="n"/>
      <c r="I995" s="6" t="n"/>
      <c r="M995" s="7" t="n"/>
      <c r="N995" s="7" t="n"/>
      <c r="O995" s="7" t="n"/>
      <c r="P995" s="8">
        <f>IF(NOT(ISNUMBER(M995)),"",IF(G995="Terreno",IF(AND(ISNUMBER(I995),I995&gt;0),M995/I995,""),IF(AND(ISNUMBER(H995),H995&gt;0),M995/H995,"")))</f>
        <v/>
      </c>
      <c r="Q995" s="9">
        <f>IF(AND(ISNUMBER(M995),ISNUMBER(O995)),IF(M995&lt;=O995,"Valor ≤ venal IPTU",""),"")</f>
        <v/>
      </c>
      <c r="R995" s="10" t="n"/>
      <c r="S995" s="10" t="n"/>
      <c r="AA995" s="10" t="n"/>
      <c r="AB995" s="11">
        <f>IF(LEN(TRIM(X995))=0,"",HYPERLINK("https://www.google.com/maps/@?api=1&amp;map_action=pano&amp;viewpoint="&amp;SUBSTITUTE(X995," ",""),"Abrir Street View"))</f>
        <v/>
      </c>
    </row>
    <row r="996">
      <c r="H996" s="6" t="n"/>
      <c r="I996" s="6" t="n"/>
      <c r="M996" s="7" t="n"/>
      <c r="N996" s="7" t="n"/>
      <c r="O996" s="7" t="n"/>
      <c r="P996" s="8">
        <f>IF(NOT(ISNUMBER(M996)),"",IF(G996="Terreno",IF(AND(ISNUMBER(I996),I996&gt;0),M996/I996,""),IF(AND(ISNUMBER(H996),H996&gt;0),M996/H996,"")))</f>
        <v/>
      </c>
      <c r="Q996" s="9">
        <f>IF(AND(ISNUMBER(M996),ISNUMBER(O996)),IF(M996&lt;=O996,"Valor ≤ venal IPTU",""),"")</f>
        <v/>
      </c>
      <c r="R996" s="10" t="n"/>
      <c r="S996" s="10" t="n"/>
      <c r="AA996" s="10" t="n"/>
      <c r="AB996" s="11">
        <f>IF(LEN(TRIM(X996))=0,"",HYPERLINK("https://www.google.com/maps/@?api=1&amp;map_action=pano&amp;viewpoint="&amp;SUBSTITUTE(X996," ",""),"Abrir Street View"))</f>
        <v/>
      </c>
    </row>
    <row r="997">
      <c r="H997" s="6" t="n"/>
      <c r="I997" s="6" t="n"/>
      <c r="M997" s="7" t="n"/>
      <c r="N997" s="7" t="n"/>
      <c r="O997" s="7" t="n"/>
      <c r="P997" s="8">
        <f>IF(NOT(ISNUMBER(M997)),"",IF(G997="Terreno",IF(AND(ISNUMBER(I997),I997&gt;0),M997/I997,""),IF(AND(ISNUMBER(H997),H997&gt;0),M997/H997,"")))</f>
        <v/>
      </c>
      <c r="Q997" s="9">
        <f>IF(AND(ISNUMBER(M997),ISNUMBER(O997)),IF(M997&lt;=O997,"Valor ≤ venal IPTU",""),"")</f>
        <v/>
      </c>
      <c r="R997" s="10" t="n"/>
      <c r="S997" s="10" t="n"/>
      <c r="AA997" s="10" t="n"/>
      <c r="AB997" s="11">
        <f>IF(LEN(TRIM(X997))=0,"",HYPERLINK("https://www.google.com/maps/@?api=1&amp;map_action=pano&amp;viewpoint="&amp;SUBSTITUTE(X997," ",""),"Abrir Street View"))</f>
        <v/>
      </c>
    </row>
    <row r="998">
      <c r="H998" s="6" t="n"/>
      <c r="I998" s="6" t="n"/>
      <c r="M998" s="7" t="n"/>
      <c r="N998" s="7" t="n"/>
      <c r="O998" s="7" t="n"/>
      <c r="P998" s="8">
        <f>IF(NOT(ISNUMBER(M998)),"",IF(G998="Terreno",IF(AND(ISNUMBER(I998),I998&gt;0),M998/I998,""),IF(AND(ISNUMBER(H998),H998&gt;0),M998/H998,"")))</f>
        <v/>
      </c>
      <c r="Q998" s="9">
        <f>IF(AND(ISNUMBER(M998),ISNUMBER(O998)),IF(M998&lt;=O998,"Valor ≤ venal IPTU",""),"")</f>
        <v/>
      </c>
      <c r="R998" s="10" t="n"/>
      <c r="S998" s="10" t="n"/>
      <c r="AA998" s="10" t="n"/>
      <c r="AB998" s="11">
        <f>IF(LEN(TRIM(X998))=0,"",HYPERLINK("https://www.google.com/maps/@?api=1&amp;map_action=pano&amp;viewpoint="&amp;SUBSTITUTE(X998," ",""),"Abrir Street View"))</f>
        <v/>
      </c>
    </row>
    <row r="999">
      <c r="H999" s="6" t="n"/>
      <c r="I999" s="6" t="n"/>
      <c r="M999" s="7" t="n"/>
      <c r="N999" s="7" t="n"/>
      <c r="O999" s="7" t="n"/>
      <c r="P999" s="8">
        <f>IF(NOT(ISNUMBER(M999)),"",IF(G999="Terreno",IF(AND(ISNUMBER(I999),I999&gt;0),M999/I999,""),IF(AND(ISNUMBER(H999),H999&gt;0),M999/H999,"")))</f>
        <v/>
      </c>
      <c r="Q999" s="9">
        <f>IF(AND(ISNUMBER(M999),ISNUMBER(O999)),IF(M999&lt;=O999,"Valor ≤ venal IPTU",""),"")</f>
        <v/>
      </c>
      <c r="R999" s="10" t="n"/>
      <c r="S999" s="10" t="n"/>
      <c r="AA999" s="10" t="n"/>
      <c r="AB999" s="11">
        <f>IF(LEN(TRIM(X999))=0,"",HYPERLINK("https://www.google.com/maps/@?api=1&amp;map_action=pano&amp;viewpoint="&amp;SUBSTITUTE(X999," ",""),"Abrir Street View"))</f>
        <v/>
      </c>
    </row>
    <row r="1000">
      <c r="H1000" s="6" t="n"/>
      <c r="I1000" s="6" t="n"/>
      <c r="M1000" s="7" t="n"/>
      <c r="N1000" s="7" t="n"/>
      <c r="O1000" s="7" t="n"/>
      <c r="P1000" s="8">
        <f>IF(NOT(ISNUMBER(M1000)),"",IF(G1000="Terreno",IF(AND(ISNUMBER(I1000),I1000&gt;0),M1000/I1000,""),IF(AND(ISNUMBER(H1000),H1000&gt;0),M1000/H1000,"")))</f>
        <v/>
      </c>
      <c r="Q1000" s="9">
        <f>IF(AND(ISNUMBER(M1000),ISNUMBER(O1000)),IF(M1000&lt;=O1000,"Valor ≤ venal IPTU",""),"")</f>
        <v/>
      </c>
      <c r="R1000" s="10" t="n"/>
      <c r="S1000" s="10" t="n"/>
      <c r="AA1000" s="10" t="n"/>
      <c r="AB1000" s="11">
        <f>IF(LEN(TRIM(X1000))=0,"",HYPERLINK("https://www.google.com/maps/@?api=1&amp;map_action=pano&amp;viewpoint="&amp;SUBSTITUTE(X1000," ",""),"Abrir Street View"))</f>
        <v/>
      </c>
    </row>
    <row r="1001">
      <c r="H1001" s="6" t="n"/>
      <c r="I1001" s="6" t="n"/>
      <c r="M1001" s="7" t="n"/>
      <c r="N1001" s="7" t="n"/>
      <c r="O1001" s="7" t="n"/>
      <c r="P1001" s="8">
        <f>IF(NOT(ISNUMBER(M1001)),"",IF(G1001="Terreno",IF(AND(ISNUMBER(I1001),I1001&gt;0),M1001/I1001,""),IF(AND(ISNUMBER(H1001),H1001&gt;0),M1001/H1001,"")))</f>
        <v/>
      </c>
      <c r="Q1001" s="9">
        <f>IF(AND(ISNUMBER(M1001),ISNUMBER(O1001)),IF(M1001&lt;=O1001,"Valor ≤ venal IPTU",""),"")</f>
        <v/>
      </c>
      <c r="R1001" s="10" t="n"/>
      <c r="S1001" s="10" t="n"/>
      <c r="AA1001" s="10" t="n"/>
      <c r="AB1001" s="11">
        <f>IF(LEN(TRIM(X1001))=0,"",HYPERLINK("https://www.google.com/maps/@?api=1&amp;map_action=pano&amp;viewpoint="&amp;SUBSTITUTE(X1001," ",""),"Abrir Street View"))</f>
        <v/>
      </c>
    </row>
    <row r="1002">
      <c r="H1002" s="6" t="n"/>
      <c r="I1002" s="6" t="n"/>
      <c r="M1002" s="7" t="n"/>
      <c r="N1002" s="7" t="n"/>
      <c r="O1002" s="7" t="n"/>
      <c r="P1002" s="8">
        <f>IF(NOT(ISNUMBER(M1002)),"",IF(G1002="Terreno",IF(AND(ISNUMBER(I1002),I1002&gt;0),M1002/I1002,""),IF(AND(ISNUMBER(H1002),H1002&gt;0),M1002/H1002,"")))</f>
        <v/>
      </c>
      <c r="Q1002" s="9">
        <f>IF(AND(ISNUMBER(M1002),ISNUMBER(O1002)),IF(M1002&lt;=O1002,"Valor ≤ venal IPTU",""),"")</f>
        <v/>
      </c>
      <c r="R1002" s="10" t="n"/>
      <c r="S1002" s="10" t="n"/>
      <c r="AA1002" s="10" t="n"/>
      <c r="AB1002" s="11">
        <f>IF(LEN(TRIM(X1002))=0,"",HYPERLINK("https://www.google.com/maps/@?api=1&amp;map_action=pano&amp;viewpoint="&amp;SUBSTITUTE(X1002," ",""),"Abrir Street View"))</f>
        <v/>
      </c>
    </row>
    <row r="1003">
      <c r="H1003" s="6" t="n"/>
      <c r="I1003" s="6" t="n"/>
      <c r="M1003" s="7" t="n"/>
      <c r="N1003" s="7" t="n"/>
      <c r="O1003" s="7" t="n"/>
      <c r="P1003" s="8">
        <f>IF(NOT(ISNUMBER(M1003)),"",IF(G1003="Terreno",IF(AND(ISNUMBER(I1003),I1003&gt;0),M1003/I1003,""),IF(AND(ISNUMBER(H1003),H1003&gt;0),M1003/H1003,"")))</f>
        <v/>
      </c>
      <c r="Q1003" s="9">
        <f>IF(AND(ISNUMBER(M1003),ISNUMBER(O1003)),IF(M1003&lt;=O1003,"Valor ≤ venal IPTU",""),"")</f>
        <v/>
      </c>
      <c r="R1003" s="10" t="n"/>
      <c r="S1003" s="10" t="n"/>
      <c r="AA1003" s="10" t="n"/>
      <c r="AB1003" s="11">
        <f>IF(LEN(TRIM(X1003))=0,"",HYPERLINK("https://www.google.com/maps/@?api=1&amp;map_action=pano&amp;viewpoint="&amp;SUBSTITUTE(X1003," ",""),"Abrir Street View"))</f>
        <v/>
      </c>
    </row>
    <row r="1004">
      <c r="H1004" s="6" t="n"/>
      <c r="I1004" s="6" t="n"/>
      <c r="M1004" s="7" t="n"/>
      <c r="N1004" s="7" t="n"/>
      <c r="O1004" s="7" t="n"/>
      <c r="P1004" s="8">
        <f>IF(NOT(ISNUMBER(M1004)),"",IF(G1004="Terreno",IF(AND(ISNUMBER(I1004),I1004&gt;0),M1004/I1004,""),IF(AND(ISNUMBER(H1004),H1004&gt;0),M1004/H1004,"")))</f>
        <v/>
      </c>
      <c r="Q1004" s="9">
        <f>IF(AND(ISNUMBER(M1004),ISNUMBER(O1004)),IF(M1004&lt;=O1004,"Valor ≤ venal IPTU",""),"")</f>
        <v/>
      </c>
      <c r="R1004" s="10" t="n"/>
      <c r="S1004" s="10" t="n"/>
      <c r="AA1004" s="10" t="n"/>
      <c r="AB1004" s="11">
        <f>IF(LEN(TRIM(X1004))=0,"",HYPERLINK("https://www.google.com/maps/@?api=1&amp;map_action=pano&amp;viewpoint="&amp;SUBSTITUTE(X1004," ",""),"Abrir Street View"))</f>
        <v/>
      </c>
    </row>
    <row r="1005">
      <c r="H1005" s="6" t="n"/>
      <c r="I1005" s="6" t="n"/>
      <c r="M1005" s="7" t="n"/>
      <c r="N1005" s="7" t="n"/>
      <c r="O1005" s="7" t="n"/>
      <c r="P1005" s="8">
        <f>IF(NOT(ISNUMBER(M1005)),"",IF(G1005="Terreno",IF(AND(ISNUMBER(I1005),I1005&gt;0),M1005/I1005,""),IF(AND(ISNUMBER(H1005),H1005&gt;0),M1005/H1005,"")))</f>
        <v/>
      </c>
      <c r="Q1005" s="9">
        <f>IF(AND(ISNUMBER(M1005),ISNUMBER(O1005)),IF(M1005&lt;=O1005,"Valor ≤ venal IPTU",""),"")</f>
        <v/>
      </c>
      <c r="R1005" s="10" t="n"/>
      <c r="S1005" s="10" t="n"/>
      <c r="AA1005" s="10" t="n"/>
      <c r="AB1005" s="11">
        <f>IF(LEN(TRIM(X1005))=0,"",HYPERLINK("https://www.google.com/maps/@?api=1&amp;map_action=pano&amp;viewpoint="&amp;SUBSTITUTE(X1005," ",""),"Abrir Street View"))</f>
        <v/>
      </c>
    </row>
    <row r="1006">
      <c r="H1006" s="6" t="n"/>
      <c r="I1006" s="6" t="n"/>
      <c r="M1006" s="7" t="n"/>
      <c r="N1006" s="7" t="n"/>
      <c r="O1006" s="7" t="n"/>
      <c r="P1006" s="8">
        <f>IF(NOT(ISNUMBER(M1006)),"",IF(G1006="Terreno",IF(AND(ISNUMBER(I1006),I1006&gt;0),M1006/I1006,""),IF(AND(ISNUMBER(H1006),H1006&gt;0),M1006/H1006,"")))</f>
        <v/>
      </c>
      <c r="Q1006" s="9">
        <f>IF(AND(ISNUMBER(M1006),ISNUMBER(O1006)),IF(M1006&lt;=O1006,"Valor ≤ venal IPTU",""),"")</f>
        <v/>
      </c>
      <c r="R1006" s="10" t="n"/>
      <c r="S1006" s="10" t="n"/>
      <c r="AA1006" s="10" t="n"/>
      <c r="AB1006" s="11">
        <f>IF(LEN(TRIM(X1006))=0,"",HYPERLINK("https://www.google.com/maps/@?api=1&amp;map_action=pano&amp;viewpoint="&amp;SUBSTITUTE(X1006," ",""),"Abrir Street View"))</f>
        <v/>
      </c>
    </row>
    <row r="1007">
      <c r="H1007" s="6" t="n"/>
      <c r="I1007" s="6" t="n"/>
      <c r="M1007" s="7" t="n"/>
      <c r="N1007" s="7" t="n"/>
      <c r="O1007" s="7" t="n"/>
      <c r="P1007" s="8">
        <f>IF(NOT(ISNUMBER(M1007)),"",IF(G1007="Terreno",IF(AND(ISNUMBER(I1007),I1007&gt;0),M1007/I1007,""),IF(AND(ISNUMBER(H1007),H1007&gt;0),M1007/H1007,"")))</f>
        <v/>
      </c>
      <c r="Q1007" s="9">
        <f>IF(AND(ISNUMBER(M1007),ISNUMBER(O1007)),IF(M1007&lt;=O1007,"Valor ≤ venal IPTU",""),"")</f>
        <v/>
      </c>
      <c r="R1007" s="10" t="n"/>
      <c r="S1007" s="10" t="n"/>
      <c r="AA1007" s="10" t="n"/>
      <c r="AB1007" s="11">
        <f>IF(LEN(TRIM(X1007))=0,"",HYPERLINK("https://www.google.com/maps/@?api=1&amp;map_action=pano&amp;viewpoint="&amp;SUBSTITUTE(X1007," ",""),"Abrir Street View"))</f>
        <v/>
      </c>
    </row>
    <row r="1008">
      <c r="H1008" s="6" t="n"/>
      <c r="I1008" s="6" t="n"/>
      <c r="M1008" s="7" t="n"/>
      <c r="N1008" s="7" t="n"/>
      <c r="O1008" s="7" t="n"/>
      <c r="P1008" s="8">
        <f>IF(NOT(ISNUMBER(M1008)),"",IF(G1008="Terreno",IF(AND(ISNUMBER(I1008),I1008&gt;0),M1008/I1008,""),IF(AND(ISNUMBER(H1008),H1008&gt;0),M1008/H1008,"")))</f>
        <v/>
      </c>
      <c r="Q1008" s="9">
        <f>IF(AND(ISNUMBER(M1008),ISNUMBER(O1008)),IF(M1008&lt;=O1008,"Valor ≤ venal IPTU",""),"")</f>
        <v/>
      </c>
      <c r="R1008" s="10" t="n"/>
      <c r="S1008" s="10" t="n"/>
      <c r="AA1008" s="10" t="n"/>
      <c r="AB1008" s="11">
        <f>IF(LEN(TRIM(X1008))=0,"",HYPERLINK("https://www.google.com/maps/@?api=1&amp;map_action=pano&amp;viewpoint="&amp;SUBSTITUTE(X1008," ",""),"Abrir Street View"))</f>
        <v/>
      </c>
    </row>
    <row r="1009">
      <c r="H1009" s="6" t="n"/>
      <c r="I1009" s="6" t="n"/>
      <c r="M1009" s="7" t="n"/>
      <c r="N1009" s="7" t="n"/>
      <c r="O1009" s="7" t="n"/>
      <c r="P1009" s="8">
        <f>IF(NOT(ISNUMBER(M1009)),"",IF(G1009="Terreno",IF(AND(ISNUMBER(I1009),I1009&gt;0),M1009/I1009,""),IF(AND(ISNUMBER(H1009),H1009&gt;0),M1009/H1009,"")))</f>
        <v/>
      </c>
      <c r="Q1009" s="9">
        <f>IF(AND(ISNUMBER(M1009),ISNUMBER(O1009)),IF(M1009&lt;=O1009,"Valor ≤ venal IPTU",""),"")</f>
        <v/>
      </c>
      <c r="R1009" s="10" t="n"/>
      <c r="S1009" s="10" t="n"/>
      <c r="AA1009" s="10" t="n"/>
      <c r="AB1009" s="11">
        <f>IF(LEN(TRIM(X1009))=0,"",HYPERLINK("https://www.google.com/maps/@?api=1&amp;map_action=pano&amp;viewpoint="&amp;SUBSTITUTE(X1009," ",""),"Abrir Street View"))</f>
        <v/>
      </c>
    </row>
    <row r="1010">
      <c r="H1010" s="6" t="n"/>
      <c r="I1010" s="6" t="n"/>
      <c r="M1010" s="7" t="n"/>
      <c r="N1010" s="7" t="n"/>
      <c r="O1010" s="7" t="n"/>
      <c r="P1010" s="8">
        <f>IF(NOT(ISNUMBER(M1010)),"",IF(G1010="Terreno",IF(AND(ISNUMBER(I1010),I1010&gt;0),M1010/I1010,""),IF(AND(ISNUMBER(H1010),H1010&gt;0),M1010/H1010,"")))</f>
        <v/>
      </c>
      <c r="Q1010" s="9">
        <f>IF(AND(ISNUMBER(M1010),ISNUMBER(O1010)),IF(M1010&lt;=O1010,"Valor ≤ venal IPTU",""),"")</f>
        <v/>
      </c>
      <c r="R1010" s="10" t="n"/>
      <c r="S1010" s="10" t="n"/>
      <c r="AA1010" s="10" t="n"/>
      <c r="AB1010" s="11">
        <f>IF(LEN(TRIM(X1010))=0,"",HYPERLINK("https://www.google.com/maps/@?api=1&amp;map_action=pano&amp;viewpoint="&amp;SUBSTITUTE(X1010," ",""),"Abrir Street View"))</f>
        <v/>
      </c>
    </row>
    <row r="1011">
      <c r="H1011" s="6" t="n"/>
      <c r="I1011" s="6" t="n"/>
      <c r="M1011" s="7" t="n"/>
      <c r="N1011" s="7" t="n"/>
      <c r="O1011" s="7" t="n"/>
      <c r="P1011" s="8">
        <f>IF(NOT(ISNUMBER(M1011)),"",IF(G1011="Terreno",IF(AND(ISNUMBER(I1011),I1011&gt;0),M1011/I1011,""),IF(AND(ISNUMBER(H1011),H1011&gt;0),M1011/H1011,"")))</f>
        <v/>
      </c>
      <c r="Q1011" s="9">
        <f>IF(AND(ISNUMBER(M1011),ISNUMBER(O1011)),IF(M1011&lt;=O1011,"Valor ≤ venal IPTU",""),"")</f>
        <v/>
      </c>
      <c r="R1011" s="10" t="n"/>
      <c r="S1011" s="10" t="n"/>
      <c r="AA1011" s="10" t="n"/>
      <c r="AB1011" s="11">
        <f>IF(LEN(TRIM(X1011))=0,"",HYPERLINK("https://www.google.com/maps/@?api=1&amp;map_action=pano&amp;viewpoint="&amp;SUBSTITUTE(X1011," ",""),"Abrir Street View"))</f>
        <v/>
      </c>
    </row>
    <row r="1012">
      <c r="H1012" s="6" t="n"/>
      <c r="I1012" s="6" t="n"/>
      <c r="M1012" s="7" t="n"/>
      <c r="N1012" s="7" t="n"/>
      <c r="O1012" s="7" t="n"/>
      <c r="P1012" s="8">
        <f>IF(NOT(ISNUMBER(M1012)),"",IF(G1012="Terreno",IF(AND(ISNUMBER(I1012),I1012&gt;0),M1012/I1012,""),IF(AND(ISNUMBER(H1012),H1012&gt;0),M1012/H1012,"")))</f>
        <v/>
      </c>
      <c r="Q1012" s="9">
        <f>IF(AND(ISNUMBER(M1012),ISNUMBER(O1012)),IF(M1012&lt;=O1012,"Valor ≤ venal IPTU",""),"")</f>
        <v/>
      </c>
      <c r="R1012" s="10" t="n"/>
      <c r="S1012" s="10" t="n"/>
      <c r="AA1012" s="10" t="n"/>
      <c r="AB1012" s="11">
        <f>IF(LEN(TRIM(X1012))=0,"",HYPERLINK("https://www.google.com/maps/@?api=1&amp;map_action=pano&amp;viewpoint="&amp;SUBSTITUTE(X1012," ",""),"Abrir Street View"))</f>
        <v/>
      </c>
    </row>
    <row r="1013">
      <c r="H1013" s="6" t="n"/>
      <c r="I1013" s="6" t="n"/>
      <c r="M1013" s="7" t="n"/>
      <c r="N1013" s="7" t="n"/>
      <c r="O1013" s="7" t="n"/>
      <c r="P1013" s="8">
        <f>IF(NOT(ISNUMBER(M1013)),"",IF(G1013="Terreno",IF(AND(ISNUMBER(I1013),I1013&gt;0),M1013/I1013,""),IF(AND(ISNUMBER(H1013),H1013&gt;0),M1013/H1013,"")))</f>
        <v/>
      </c>
      <c r="Q1013" s="9">
        <f>IF(AND(ISNUMBER(M1013),ISNUMBER(O1013)),IF(M1013&lt;=O1013,"Valor ≤ venal IPTU",""),"")</f>
        <v/>
      </c>
      <c r="R1013" s="10" t="n"/>
      <c r="S1013" s="10" t="n"/>
      <c r="AA1013" s="10" t="n"/>
      <c r="AB1013" s="11">
        <f>IF(LEN(TRIM(X1013))=0,"",HYPERLINK("https://www.google.com/maps/@?api=1&amp;map_action=pano&amp;viewpoint="&amp;SUBSTITUTE(X1013," ",""),"Abrir Street View"))</f>
        <v/>
      </c>
    </row>
    <row r="1014">
      <c r="H1014" s="6" t="n"/>
      <c r="I1014" s="6" t="n"/>
      <c r="M1014" s="7" t="n"/>
      <c r="N1014" s="7" t="n"/>
      <c r="O1014" s="7" t="n"/>
      <c r="P1014" s="8">
        <f>IF(NOT(ISNUMBER(M1014)),"",IF(G1014="Terreno",IF(AND(ISNUMBER(I1014),I1014&gt;0),M1014/I1014,""),IF(AND(ISNUMBER(H1014),H1014&gt;0),M1014/H1014,"")))</f>
        <v/>
      </c>
      <c r="Q1014" s="9">
        <f>IF(AND(ISNUMBER(M1014),ISNUMBER(O1014)),IF(M1014&lt;=O1014,"Valor ≤ venal IPTU",""),"")</f>
        <v/>
      </c>
      <c r="R1014" s="10" t="n"/>
      <c r="S1014" s="10" t="n"/>
      <c r="AA1014" s="10" t="n"/>
      <c r="AB1014" s="11">
        <f>IF(LEN(TRIM(X1014))=0,"",HYPERLINK("https://www.google.com/maps/@?api=1&amp;map_action=pano&amp;viewpoint="&amp;SUBSTITUTE(X1014," ",""),"Abrir Street View"))</f>
        <v/>
      </c>
    </row>
    <row r="1015">
      <c r="H1015" s="6" t="n"/>
      <c r="I1015" s="6" t="n"/>
      <c r="M1015" s="7" t="n"/>
      <c r="N1015" s="7" t="n"/>
      <c r="O1015" s="7" t="n"/>
      <c r="P1015" s="8">
        <f>IF(NOT(ISNUMBER(M1015)),"",IF(G1015="Terreno",IF(AND(ISNUMBER(I1015),I1015&gt;0),M1015/I1015,""),IF(AND(ISNUMBER(H1015),H1015&gt;0),M1015/H1015,"")))</f>
        <v/>
      </c>
      <c r="Q1015" s="9">
        <f>IF(AND(ISNUMBER(M1015),ISNUMBER(O1015)),IF(M1015&lt;=O1015,"Valor ≤ venal IPTU",""),"")</f>
        <v/>
      </c>
      <c r="R1015" s="10" t="n"/>
      <c r="S1015" s="10" t="n"/>
      <c r="AA1015" s="10" t="n"/>
      <c r="AB1015" s="11">
        <f>IF(LEN(TRIM(X1015))=0,"",HYPERLINK("https://www.google.com/maps/@?api=1&amp;map_action=pano&amp;viewpoint="&amp;SUBSTITUTE(X1015," ",""),"Abrir Street View"))</f>
        <v/>
      </c>
    </row>
    <row r="1016">
      <c r="H1016" s="6" t="n"/>
      <c r="I1016" s="6" t="n"/>
      <c r="M1016" s="7" t="n"/>
      <c r="N1016" s="7" t="n"/>
      <c r="O1016" s="7" t="n"/>
      <c r="P1016" s="8">
        <f>IF(NOT(ISNUMBER(M1016)),"",IF(G1016="Terreno",IF(AND(ISNUMBER(I1016),I1016&gt;0),M1016/I1016,""),IF(AND(ISNUMBER(H1016),H1016&gt;0),M1016/H1016,"")))</f>
        <v/>
      </c>
      <c r="Q1016" s="9">
        <f>IF(AND(ISNUMBER(M1016),ISNUMBER(O1016)),IF(M1016&lt;=O1016,"Valor ≤ venal IPTU",""),"")</f>
        <v/>
      </c>
      <c r="R1016" s="10" t="n"/>
      <c r="S1016" s="10" t="n"/>
      <c r="AA1016" s="10" t="n"/>
      <c r="AB1016" s="11">
        <f>IF(LEN(TRIM(X1016))=0,"",HYPERLINK("https://www.google.com/maps/@?api=1&amp;map_action=pano&amp;viewpoint="&amp;SUBSTITUTE(X1016," ",""),"Abrir Street View"))</f>
        <v/>
      </c>
    </row>
    <row r="1017">
      <c r="H1017" s="6" t="n"/>
      <c r="I1017" s="6" t="n"/>
      <c r="M1017" s="7" t="n"/>
      <c r="N1017" s="7" t="n"/>
      <c r="O1017" s="7" t="n"/>
      <c r="P1017" s="8">
        <f>IF(NOT(ISNUMBER(M1017)),"",IF(G1017="Terreno",IF(AND(ISNUMBER(I1017),I1017&gt;0),M1017/I1017,""),IF(AND(ISNUMBER(H1017),H1017&gt;0),M1017/H1017,"")))</f>
        <v/>
      </c>
      <c r="Q1017" s="9">
        <f>IF(AND(ISNUMBER(M1017),ISNUMBER(O1017)),IF(M1017&lt;=O1017,"Valor ≤ venal IPTU",""),"")</f>
        <v/>
      </c>
      <c r="R1017" s="10" t="n"/>
      <c r="S1017" s="10" t="n"/>
      <c r="AA1017" s="10" t="n"/>
      <c r="AB1017" s="11">
        <f>IF(LEN(TRIM(X1017))=0,"",HYPERLINK("https://www.google.com/maps/@?api=1&amp;map_action=pano&amp;viewpoint="&amp;SUBSTITUTE(X1017," ",""),"Abrir Street View"))</f>
        <v/>
      </c>
    </row>
    <row r="1018">
      <c r="H1018" s="6" t="n"/>
      <c r="I1018" s="6" t="n"/>
      <c r="M1018" s="7" t="n"/>
      <c r="N1018" s="7" t="n"/>
      <c r="O1018" s="7" t="n"/>
      <c r="P1018" s="8">
        <f>IF(NOT(ISNUMBER(M1018)),"",IF(G1018="Terreno",IF(AND(ISNUMBER(I1018),I1018&gt;0),M1018/I1018,""),IF(AND(ISNUMBER(H1018),H1018&gt;0),M1018/H1018,"")))</f>
        <v/>
      </c>
      <c r="Q1018" s="9">
        <f>IF(AND(ISNUMBER(M1018),ISNUMBER(O1018)),IF(M1018&lt;=O1018,"Valor ≤ venal IPTU",""),"")</f>
        <v/>
      </c>
      <c r="R1018" s="10" t="n"/>
      <c r="S1018" s="10" t="n"/>
      <c r="AA1018" s="10" t="n"/>
      <c r="AB1018" s="11">
        <f>IF(LEN(TRIM(X1018))=0,"",HYPERLINK("https://www.google.com/maps/@?api=1&amp;map_action=pano&amp;viewpoint="&amp;SUBSTITUTE(X1018," ",""),"Abrir Street View"))</f>
        <v/>
      </c>
    </row>
    <row r="1019">
      <c r="H1019" s="6" t="n"/>
      <c r="I1019" s="6" t="n"/>
      <c r="M1019" s="7" t="n"/>
      <c r="N1019" s="7" t="n"/>
      <c r="O1019" s="7" t="n"/>
      <c r="P1019" s="8">
        <f>IF(NOT(ISNUMBER(M1019)),"",IF(G1019="Terreno",IF(AND(ISNUMBER(I1019),I1019&gt;0),M1019/I1019,""),IF(AND(ISNUMBER(H1019),H1019&gt;0),M1019/H1019,"")))</f>
        <v/>
      </c>
      <c r="Q1019" s="9">
        <f>IF(AND(ISNUMBER(M1019),ISNUMBER(O1019)),IF(M1019&lt;=O1019,"Valor ≤ venal IPTU",""),"")</f>
        <v/>
      </c>
      <c r="R1019" s="10" t="n"/>
      <c r="S1019" s="10" t="n"/>
      <c r="AA1019" s="10" t="n"/>
      <c r="AB1019" s="11">
        <f>IF(LEN(TRIM(X1019))=0,"",HYPERLINK("https://www.google.com/maps/@?api=1&amp;map_action=pano&amp;viewpoint="&amp;SUBSTITUTE(X1019," ",""),"Abrir Street View"))</f>
        <v/>
      </c>
    </row>
    <row r="1020">
      <c r="H1020" s="6" t="n"/>
      <c r="I1020" s="6" t="n"/>
      <c r="M1020" s="7" t="n"/>
      <c r="N1020" s="7" t="n"/>
      <c r="O1020" s="7" t="n"/>
      <c r="P1020" s="8">
        <f>IF(NOT(ISNUMBER(M1020)),"",IF(G1020="Terreno",IF(AND(ISNUMBER(I1020),I1020&gt;0),M1020/I1020,""),IF(AND(ISNUMBER(H1020),H1020&gt;0),M1020/H1020,"")))</f>
        <v/>
      </c>
      <c r="Q1020" s="9">
        <f>IF(AND(ISNUMBER(M1020),ISNUMBER(O1020)),IF(M1020&lt;=O1020,"Valor ≤ venal IPTU",""),"")</f>
        <v/>
      </c>
      <c r="R1020" s="10" t="n"/>
      <c r="S1020" s="10" t="n"/>
      <c r="AA1020" s="10" t="n"/>
      <c r="AB1020" s="11">
        <f>IF(LEN(TRIM(X1020))=0,"",HYPERLINK("https://www.google.com/maps/@?api=1&amp;map_action=pano&amp;viewpoint="&amp;SUBSTITUTE(X1020," ",""),"Abrir Street View"))</f>
        <v/>
      </c>
    </row>
    <row r="1021">
      <c r="H1021" s="6" t="n"/>
      <c r="I1021" s="6" t="n"/>
      <c r="M1021" s="7" t="n"/>
      <c r="N1021" s="7" t="n"/>
      <c r="O1021" s="7" t="n"/>
      <c r="P1021" s="8">
        <f>IF(NOT(ISNUMBER(M1021)),"",IF(G1021="Terreno",IF(AND(ISNUMBER(I1021),I1021&gt;0),M1021/I1021,""),IF(AND(ISNUMBER(H1021),H1021&gt;0),M1021/H1021,"")))</f>
        <v/>
      </c>
      <c r="Q1021" s="9">
        <f>IF(AND(ISNUMBER(M1021),ISNUMBER(O1021)),IF(M1021&lt;=O1021,"Valor ≤ venal IPTU",""),"")</f>
        <v/>
      </c>
      <c r="R1021" s="10" t="n"/>
      <c r="S1021" s="10" t="n"/>
      <c r="AA1021" s="10" t="n"/>
      <c r="AB1021" s="11">
        <f>IF(LEN(TRIM(X1021))=0,"",HYPERLINK("https://www.google.com/maps/@?api=1&amp;map_action=pano&amp;viewpoint="&amp;SUBSTITUTE(X1021," ",""),"Abrir Street View"))</f>
        <v/>
      </c>
    </row>
    <row r="1022">
      <c r="H1022" s="6" t="n"/>
      <c r="I1022" s="6" t="n"/>
      <c r="M1022" s="7" t="n"/>
      <c r="N1022" s="7" t="n"/>
      <c r="O1022" s="7" t="n"/>
      <c r="P1022" s="8">
        <f>IF(NOT(ISNUMBER(M1022)),"",IF(G1022="Terreno",IF(AND(ISNUMBER(I1022),I1022&gt;0),M1022/I1022,""),IF(AND(ISNUMBER(H1022),H1022&gt;0),M1022/H1022,"")))</f>
        <v/>
      </c>
      <c r="Q1022" s="9">
        <f>IF(AND(ISNUMBER(M1022),ISNUMBER(O1022)),IF(M1022&lt;=O1022,"Valor ≤ venal IPTU",""),"")</f>
        <v/>
      </c>
      <c r="R1022" s="10" t="n"/>
      <c r="S1022" s="10" t="n"/>
      <c r="AA1022" s="10" t="n"/>
      <c r="AB1022" s="11">
        <f>IF(LEN(TRIM(X1022))=0,"",HYPERLINK("https://www.google.com/maps/@?api=1&amp;map_action=pano&amp;viewpoint="&amp;SUBSTITUTE(X1022," ",""),"Abrir Street View"))</f>
        <v/>
      </c>
    </row>
    <row r="1023">
      <c r="H1023" s="6" t="n"/>
      <c r="I1023" s="6" t="n"/>
      <c r="M1023" s="7" t="n"/>
      <c r="N1023" s="7" t="n"/>
      <c r="O1023" s="7" t="n"/>
      <c r="P1023" s="8">
        <f>IF(NOT(ISNUMBER(M1023)),"",IF(G1023="Terreno",IF(AND(ISNUMBER(I1023),I1023&gt;0),M1023/I1023,""),IF(AND(ISNUMBER(H1023),H1023&gt;0),M1023/H1023,"")))</f>
        <v/>
      </c>
      <c r="Q1023" s="9">
        <f>IF(AND(ISNUMBER(M1023),ISNUMBER(O1023)),IF(M1023&lt;=O1023,"Valor ≤ venal IPTU",""),"")</f>
        <v/>
      </c>
      <c r="R1023" s="10" t="n"/>
      <c r="S1023" s="10" t="n"/>
      <c r="AA1023" s="10" t="n"/>
      <c r="AB1023" s="11">
        <f>IF(LEN(TRIM(X1023))=0,"",HYPERLINK("https://www.google.com/maps/@?api=1&amp;map_action=pano&amp;viewpoint="&amp;SUBSTITUTE(X1023," ",""),"Abrir Street View"))</f>
        <v/>
      </c>
    </row>
    <row r="1024">
      <c r="H1024" s="6" t="n"/>
      <c r="I1024" s="6" t="n"/>
      <c r="M1024" s="7" t="n"/>
      <c r="N1024" s="7" t="n"/>
      <c r="O1024" s="7" t="n"/>
      <c r="P1024" s="8">
        <f>IF(NOT(ISNUMBER(M1024)),"",IF(G1024="Terreno",IF(AND(ISNUMBER(I1024),I1024&gt;0),M1024/I1024,""),IF(AND(ISNUMBER(H1024),H1024&gt;0),M1024/H1024,"")))</f>
        <v/>
      </c>
      <c r="Q1024" s="9">
        <f>IF(AND(ISNUMBER(M1024),ISNUMBER(O1024)),IF(M1024&lt;=O1024,"Valor ≤ venal IPTU",""),"")</f>
        <v/>
      </c>
      <c r="R1024" s="10" t="n"/>
      <c r="S1024" s="10" t="n"/>
      <c r="AA1024" s="10" t="n"/>
      <c r="AB1024" s="11">
        <f>IF(LEN(TRIM(X1024))=0,"",HYPERLINK("https://www.google.com/maps/@?api=1&amp;map_action=pano&amp;viewpoint="&amp;SUBSTITUTE(X1024," ",""),"Abrir Street View"))</f>
        <v/>
      </c>
    </row>
    <row r="1025">
      <c r="H1025" s="6" t="n"/>
      <c r="I1025" s="6" t="n"/>
      <c r="M1025" s="7" t="n"/>
      <c r="N1025" s="7" t="n"/>
      <c r="O1025" s="7" t="n"/>
      <c r="P1025" s="8">
        <f>IF(NOT(ISNUMBER(M1025)),"",IF(G1025="Terreno",IF(AND(ISNUMBER(I1025),I1025&gt;0),M1025/I1025,""),IF(AND(ISNUMBER(H1025),H1025&gt;0),M1025/H1025,"")))</f>
        <v/>
      </c>
      <c r="Q1025" s="9">
        <f>IF(AND(ISNUMBER(M1025),ISNUMBER(O1025)),IF(M1025&lt;=O1025,"Valor ≤ venal IPTU",""),"")</f>
        <v/>
      </c>
      <c r="R1025" s="10" t="n"/>
      <c r="S1025" s="10" t="n"/>
      <c r="AA1025" s="10" t="n"/>
      <c r="AB1025" s="11">
        <f>IF(LEN(TRIM(X1025))=0,"",HYPERLINK("https://www.google.com/maps/@?api=1&amp;map_action=pano&amp;viewpoint="&amp;SUBSTITUTE(X1025," ",""),"Abrir Street View"))</f>
        <v/>
      </c>
    </row>
    <row r="1026">
      <c r="H1026" s="6" t="n"/>
      <c r="I1026" s="6" t="n"/>
      <c r="M1026" s="7" t="n"/>
      <c r="N1026" s="7" t="n"/>
      <c r="O1026" s="7" t="n"/>
      <c r="P1026" s="8">
        <f>IF(NOT(ISNUMBER(M1026)),"",IF(G1026="Terreno",IF(AND(ISNUMBER(I1026),I1026&gt;0),M1026/I1026,""),IF(AND(ISNUMBER(H1026),H1026&gt;0),M1026/H1026,"")))</f>
        <v/>
      </c>
      <c r="Q1026" s="9">
        <f>IF(AND(ISNUMBER(M1026),ISNUMBER(O1026)),IF(M1026&lt;=O1026,"Valor ≤ venal IPTU",""),"")</f>
        <v/>
      </c>
      <c r="R1026" s="10" t="n"/>
      <c r="S1026" s="10" t="n"/>
      <c r="AA1026" s="10" t="n"/>
      <c r="AB1026" s="11">
        <f>IF(LEN(TRIM(X1026))=0,"",HYPERLINK("https://www.google.com/maps/@?api=1&amp;map_action=pano&amp;viewpoint="&amp;SUBSTITUTE(X1026," ",""),"Abrir Street View"))</f>
        <v/>
      </c>
    </row>
    <row r="1027">
      <c r="H1027" s="6" t="n"/>
      <c r="I1027" s="6" t="n"/>
      <c r="M1027" s="7" t="n"/>
      <c r="N1027" s="7" t="n"/>
      <c r="O1027" s="7" t="n"/>
      <c r="P1027" s="8">
        <f>IF(NOT(ISNUMBER(M1027)),"",IF(G1027="Terreno",IF(AND(ISNUMBER(I1027),I1027&gt;0),M1027/I1027,""),IF(AND(ISNUMBER(H1027),H1027&gt;0),M1027/H1027,"")))</f>
        <v/>
      </c>
      <c r="Q1027" s="9">
        <f>IF(AND(ISNUMBER(M1027),ISNUMBER(O1027)),IF(M1027&lt;=O1027,"Valor ≤ venal IPTU",""),"")</f>
        <v/>
      </c>
      <c r="R1027" s="10" t="n"/>
      <c r="S1027" s="10" t="n"/>
      <c r="AA1027" s="10" t="n"/>
      <c r="AB1027" s="11">
        <f>IF(LEN(TRIM(X1027))=0,"",HYPERLINK("https://www.google.com/maps/@?api=1&amp;map_action=pano&amp;viewpoint="&amp;SUBSTITUTE(X1027," ",""),"Abrir Street View"))</f>
        <v/>
      </c>
    </row>
    <row r="1028">
      <c r="H1028" s="6" t="n"/>
      <c r="I1028" s="6" t="n"/>
      <c r="M1028" s="7" t="n"/>
      <c r="N1028" s="7" t="n"/>
      <c r="O1028" s="7" t="n"/>
      <c r="P1028" s="8">
        <f>IF(NOT(ISNUMBER(M1028)),"",IF(G1028="Terreno",IF(AND(ISNUMBER(I1028),I1028&gt;0),M1028/I1028,""),IF(AND(ISNUMBER(H1028),H1028&gt;0),M1028/H1028,"")))</f>
        <v/>
      </c>
      <c r="Q1028" s="9">
        <f>IF(AND(ISNUMBER(M1028),ISNUMBER(O1028)),IF(M1028&lt;=O1028,"Valor ≤ venal IPTU",""),"")</f>
        <v/>
      </c>
      <c r="R1028" s="10" t="n"/>
      <c r="S1028" s="10" t="n"/>
      <c r="AA1028" s="10" t="n"/>
      <c r="AB1028" s="11">
        <f>IF(LEN(TRIM(X1028))=0,"",HYPERLINK("https://www.google.com/maps/@?api=1&amp;map_action=pano&amp;viewpoint="&amp;SUBSTITUTE(X1028," ",""),"Abrir Street View"))</f>
        <v/>
      </c>
    </row>
    <row r="1029">
      <c r="H1029" s="6" t="n"/>
      <c r="I1029" s="6" t="n"/>
      <c r="M1029" s="7" t="n"/>
      <c r="N1029" s="7" t="n"/>
      <c r="O1029" s="7" t="n"/>
      <c r="P1029" s="8">
        <f>IF(NOT(ISNUMBER(M1029)),"",IF(G1029="Terreno",IF(AND(ISNUMBER(I1029),I1029&gt;0),M1029/I1029,""),IF(AND(ISNUMBER(H1029),H1029&gt;0),M1029/H1029,"")))</f>
        <v/>
      </c>
      <c r="Q1029" s="9">
        <f>IF(AND(ISNUMBER(M1029),ISNUMBER(O1029)),IF(M1029&lt;=O1029,"Valor ≤ venal IPTU",""),"")</f>
        <v/>
      </c>
      <c r="R1029" s="10" t="n"/>
      <c r="S1029" s="10" t="n"/>
      <c r="AA1029" s="10" t="n"/>
      <c r="AB1029" s="11">
        <f>IF(LEN(TRIM(X1029))=0,"",HYPERLINK("https://www.google.com/maps/@?api=1&amp;map_action=pano&amp;viewpoint="&amp;SUBSTITUTE(X1029," ",""),"Abrir Street View"))</f>
        <v/>
      </c>
    </row>
    <row r="1030">
      <c r="H1030" s="6" t="n"/>
      <c r="I1030" s="6" t="n"/>
      <c r="M1030" s="7" t="n"/>
      <c r="N1030" s="7" t="n"/>
      <c r="O1030" s="7" t="n"/>
      <c r="P1030" s="8">
        <f>IF(NOT(ISNUMBER(M1030)),"",IF(G1030="Terreno",IF(AND(ISNUMBER(I1030),I1030&gt;0),M1030/I1030,""),IF(AND(ISNUMBER(H1030),H1030&gt;0),M1030/H1030,"")))</f>
        <v/>
      </c>
      <c r="Q1030" s="9">
        <f>IF(AND(ISNUMBER(M1030),ISNUMBER(O1030)),IF(M1030&lt;=O1030,"Valor ≤ venal IPTU",""),"")</f>
        <v/>
      </c>
      <c r="R1030" s="10" t="n"/>
      <c r="S1030" s="10" t="n"/>
      <c r="AA1030" s="10" t="n"/>
      <c r="AB1030" s="11">
        <f>IF(LEN(TRIM(X1030))=0,"",HYPERLINK("https://www.google.com/maps/@?api=1&amp;map_action=pano&amp;viewpoint="&amp;SUBSTITUTE(X1030," ",""),"Abrir Street View"))</f>
        <v/>
      </c>
    </row>
    <row r="1031">
      <c r="H1031" s="6" t="n"/>
      <c r="I1031" s="6" t="n"/>
      <c r="M1031" s="7" t="n"/>
      <c r="N1031" s="7" t="n"/>
      <c r="O1031" s="7" t="n"/>
      <c r="P1031" s="8">
        <f>IF(NOT(ISNUMBER(M1031)),"",IF(G1031="Terreno",IF(AND(ISNUMBER(I1031),I1031&gt;0),M1031/I1031,""),IF(AND(ISNUMBER(H1031),H1031&gt;0),M1031/H1031,"")))</f>
        <v/>
      </c>
      <c r="Q1031" s="9">
        <f>IF(AND(ISNUMBER(M1031),ISNUMBER(O1031)),IF(M1031&lt;=O1031,"Valor ≤ venal IPTU",""),"")</f>
        <v/>
      </c>
      <c r="R1031" s="10" t="n"/>
      <c r="S1031" s="10" t="n"/>
      <c r="AA1031" s="10" t="n"/>
      <c r="AB1031" s="11">
        <f>IF(LEN(TRIM(X1031))=0,"",HYPERLINK("https://www.google.com/maps/@?api=1&amp;map_action=pano&amp;viewpoint="&amp;SUBSTITUTE(X1031," ",""),"Abrir Street View"))</f>
        <v/>
      </c>
    </row>
    <row r="1032">
      <c r="H1032" s="6" t="n"/>
      <c r="I1032" s="6" t="n"/>
      <c r="M1032" s="7" t="n"/>
      <c r="N1032" s="7" t="n"/>
      <c r="O1032" s="7" t="n"/>
      <c r="P1032" s="8">
        <f>IF(NOT(ISNUMBER(M1032)),"",IF(G1032="Terreno",IF(AND(ISNUMBER(I1032),I1032&gt;0),M1032/I1032,""),IF(AND(ISNUMBER(H1032),H1032&gt;0),M1032/H1032,"")))</f>
        <v/>
      </c>
      <c r="Q1032" s="9">
        <f>IF(AND(ISNUMBER(M1032),ISNUMBER(O1032)),IF(M1032&lt;=O1032,"Valor ≤ venal IPTU",""),"")</f>
        <v/>
      </c>
      <c r="R1032" s="10" t="n"/>
      <c r="S1032" s="10" t="n"/>
      <c r="AA1032" s="10" t="n"/>
      <c r="AB1032" s="11">
        <f>IF(LEN(TRIM(X1032))=0,"",HYPERLINK("https://www.google.com/maps/@?api=1&amp;map_action=pano&amp;viewpoint="&amp;SUBSTITUTE(X1032," ",""),"Abrir Street View"))</f>
        <v/>
      </c>
    </row>
    <row r="1033">
      <c r="H1033" s="6" t="n"/>
      <c r="I1033" s="6" t="n"/>
      <c r="M1033" s="7" t="n"/>
      <c r="N1033" s="7" t="n"/>
      <c r="O1033" s="7" t="n"/>
      <c r="P1033" s="8">
        <f>IF(NOT(ISNUMBER(M1033)),"",IF(G1033="Terreno",IF(AND(ISNUMBER(I1033),I1033&gt;0),M1033/I1033,""),IF(AND(ISNUMBER(H1033),H1033&gt;0),M1033/H1033,"")))</f>
        <v/>
      </c>
      <c r="Q1033" s="9">
        <f>IF(AND(ISNUMBER(M1033),ISNUMBER(O1033)),IF(M1033&lt;=O1033,"Valor ≤ venal IPTU",""),"")</f>
        <v/>
      </c>
      <c r="R1033" s="10" t="n"/>
      <c r="S1033" s="10" t="n"/>
      <c r="AA1033" s="10" t="n"/>
      <c r="AB1033" s="11">
        <f>IF(LEN(TRIM(X1033))=0,"",HYPERLINK("https://www.google.com/maps/@?api=1&amp;map_action=pano&amp;viewpoint="&amp;SUBSTITUTE(X1033," ",""),"Abrir Street View"))</f>
        <v/>
      </c>
    </row>
    <row r="1034">
      <c r="H1034" s="6" t="n"/>
      <c r="I1034" s="6" t="n"/>
      <c r="M1034" s="7" t="n"/>
      <c r="N1034" s="7" t="n"/>
      <c r="O1034" s="7" t="n"/>
      <c r="P1034" s="8">
        <f>IF(NOT(ISNUMBER(M1034)),"",IF(G1034="Terreno",IF(AND(ISNUMBER(I1034),I1034&gt;0),M1034/I1034,""),IF(AND(ISNUMBER(H1034),H1034&gt;0),M1034/H1034,"")))</f>
        <v/>
      </c>
      <c r="Q1034" s="9">
        <f>IF(AND(ISNUMBER(M1034),ISNUMBER(O1034)),IF(M1034&lt;=O1034,"Valor ≤ venal IPTU",""),"")</f>
        <v/>
      </c>
      <c r="R1034" s="10" t="n"/>
      <c r="S1034" s="10" t="n"/>
      <c r="AA1034" s="10" t="n"/>
      <c r="AB1034" s="11">
        <f>IF(LEN(TRIM(X1034))=0,"",HYPERLINK("https://www.google.com/maps/@?api=1&amp;map_action=pano&amp;viewpoint="&amp;SUBSTITUTE(X1034," ",""),"Abrir Street View"))</f>
        <v/>
      </c>
    </row>
    <row r="1035">
      <c r="H1035" s="6" t="n"/>
      <c r="I1035" s="6" t="n"/>
      <c r="M1035" s="7" t="n"/>
      <c r="N1035" s="7" t="n"/>
      <c r="O1035" s="7" t="n"/>
      <c r="P1035" s="8">
        <f>IF(NOT(ISNUMBER(M1035)),"",IF(G1035="Terreno",IF(AND(ISNUMBER(I1035),I1035&gt;0),M1035/I1035,""),IF(AND(ISNUMBER(H1035),H1035&gt;0),M1035/H1035,"")))</f>
        <v/>
      </c>
      <c r="Q1035" s="9">
        <f>IF(AND(ISNUMBER(M1035),ISNUMBER(O1035)),IF(M1035&lt;=O1035,"Valor ≤ venal IPTU",""),"")</f>
        <v/>
      </c>
      <c r="R1035" s="10" t="n"/>
      <c r="S1035" s="10" t="n"/>
      <c r="AA1035" s="10" t="n"/>
      <c r="AB1035" s="11">
        <f>IF(LEN(TRIM(X1035))=0,"",HYPERLINK("https://www.google.com/maps/@?api=1&amp;map_action=pano&amp;viewpoint="&amp;SUBSTITUTE(X1035," ",""),"Abrir Street View"))</f>
        <v/>
      </c>
    </row>
    <row r="1036">
      <c r="H1036" s="6" t="n"/>
      <c r="I1036" s="6" t="n"/>
      <c r="M1036" s="7" t="n"/>
      <c r="N1036" s="7" t="n"/>
      <c r="O1036" s="7" t="n"/>
      <c r="P1036" s="8">
        <f>IF(NOT(ISNUMBER(M1036)),"",IF(G1036="Terreno",IF(AND(ISNUMBER(I1036),I1036&gt;0),M1036/I1036,""),IF(AND(ISNUMBER(H1036),H1036&gt;0),M1036/H1036,"")))</f>
        <v/>
      </c>
      <c r="Q1036" s="9">
        <f>IF(AND(ISNUMBER(M1036),ISNUMBER(O1036)),IF(M1036&lt;=O1036,"Valor ≤ venal IPTU",""),"")</f>
        <v/>
      </c>
      <c r="R1036" s="10" t="n"/>
      <c r="S1036" s="10" t="n"/>
      <c r="AA1036" s="10" t="n"/>
      <c r="AB1036" s="11">
        <f>IF(LEN(TRIM(X1036))=0,"",HYPERLINK("https://www.google.com/maps/@?api=1&amp;map_action=pano&amp;viewpoint="&amp;SUBSTITUTE(X1036," ",""),"Abrir Street View"))</f>
        <v/>
      </c>
    </row>
    <row r="1037">
      <c r="H1037" s="6" t="n"/>
      <c r="I1037" s="6" t="n"/>
      <c r="M1037" s="7" t="n"/>
      <c r="N1037" s="7" t="n"/>
      <c r="O1037" s="7" t="n"/>
      <c r="P1037" s="8">
        <f>IF(NOT(ISNUMBER(M1037)),"",IF(G1037="Terreno",IF(AND(ISNUMBER(I1037),I1037&gt;0),M1037/I1037,""),IF(AND(ISNUMBER(H1037),H1037&gt;0),M1037/H1037,"")))</f>
        <v/>
      </c>
      <c r="Q1037" s="9">
        <f>IF(AND(ISNUMBER(M1037),ISNUMBER(O1037)),IF(M1037&lt;=O1037,"Valor ≤ venal IPTU",""),"")</f>
        <v/>
      </c>
      <c r="R1037" s="10" t="n"/>
      <c r="S1037" s="10" t="n"/>
      <c r="AA1037" s="10" t="n"/>
      <c r="AB1037" s="11">
        <f>IF(LEN(TRIM(X1037))=0,"",HYPERLINK("https://www.google.com/maps/@?api=1&amp;map_action=pano&amp;viewpoint="&amp;SUBSTITUTE(X1037," ",""),"Abrir Street View"))</f>
        <v/>
      </c>
    </row>
    <row r="1038">
      <c r="H1038" s="6" t="n"/>
      <c r="I1038" s="6" t="n"/>
      <c r="M1038" s="7" t="n"/>
      <c r="N1038" s="7" t="n"/>
      <c r="O1038" s="7" t="n"/>
      <c r="P1038" s="8">
        <f>IF(NOT(ISNUMBER(M1038)),"",IF(G1038="Terreno",IF(AND(ISNUMBER(I1038),I1038&gt;0),M1038/I1038,""),IF(AND(ISNUMBER(H1038),H1038&gt;0),M1038/H1038,"")))</f>
        <v/>
      </c>
      <c r="Q1038" s="9">
        <f>IF(AND(ISNUMBER(M1038),ISNUMBER(O1038)),IF(M1038&lt;=O1038,"Valor ≤ venal IPTU",""),"")</f>
        <v/>
      </c>
      <c r="R1038" s="10" t="n"/>
      <c r="S1038" s="10" t="n"/>
      <c r="AA1038" s="10" t="n"/>
      <c r="AB1038" s="11">
        <f>IF(LEN(TRIM(X1038))=0,"",HYPERLINK("https://www.google.com/maps/@?api=1&amp;map_action=pano&amp;viewpoint="&amp;SUBSTITUTE(X1038," ",""),"Abrir Street View"))</f>
        <v/>
      </c>
    </row>
    <row r="1039">
      <c r="H1039" s="6" t="n"/>
      <c r="I1039" s="6" t="n"/>
      <c r="M1039" s="7" t="n"/>
      <c r="N1039" s="7" t="n"/>
      <c r="O1039" s="7" t="n"/>
      <c r="P1039" s="8">
        <f>IF(NOT(ISNUMBER(M1039)),"",IF(G1039="Terreno",IF(AND(ISNUMBER(I1039),I1039&gt;0),M1039/I1039,""),IF(AND(ISNUMBER(H1039),H1039&gt;0),M1039/H1039,"")))</f>
        <v/>
      </c>
      <c r="Q1039" s="9">
        <f>IF(AND(ISNUMBER(M1039),ISNUMBER(O1039)),IF(M1039&lt;=O1039,"Valor ≤ venal IPTU",""),"")</f>
        <v/>
      </c>
      <c r="R1039" s="10" t="n"/>
      <c r="S1039" s="10" t="n"/>
      <c r="AA1039" s="10" t="n"/>
      <c r="AB1039" s="11">
        <f>IF(LEN(TRIM(X1039))=0,"",HYPERLINK("https://www.google.com/maps/@?api=1&amp;map_action=pano&amp;viewpoint="&amp;SUBSTITUTE(X1039," ",""),"Abrir Street View"))</f>
        <v/>
      </c>
    </row>
    <row r="1040">
      <c r="H1040" s="6" t="n"/>
      <c r="I1040" s="6" t="n"/>
      <c r="M1040" s="7" t="n"/>
      <c r="N1040" s="7" t="n"/>
      <c r="O1040" s="7" t="n"/>
      <c r="P1040" s="8">
        <f>IF(NOT(ISNUMBER(M1040)),"",IF(G1040="Terreno",IF(AND(ISNUMBER(I1040),I1040&gt;0),M1040/I1040,""),IF(AND(ISNUMBER(H1040),H1040&gt;0),M1040/H1040,"")))</f>
        <v/>
      </c>
      <c r="Q1040" s="9">
        <f>IF(AND(ISNUMBER(M1040),ISNUMBER(O1040)),IF(M1040&lt;=O1040,"Valor ≤ venal IPTU",""),"")</f>
        <v/>
      </c>
      <c r="R1040" s="10" t="n"/>
      <c r="S1040" s="10" t="n"/>
      <c r="AA1040" s="10" t="n"/>
      <c r="AB1040" s="11">
        <f>IF(LEN(TRIM(X1040))=0,"",HYPERLINK("https://www.google.com/maps/@?api=1&amp;map_action=pano&amp;viewpoint="&amp;SUBSTITUTE(X1040," ",""),"Abrir Street View"))</f>
        <v/>
      </c>
    </row>
    <row r="1041">
      <c r="H1041" s="6" t="n"/>
      <c r="I1041" s="6" t="n"/>
      <c r="M1041" s="7" t="n"/>
      <c r="N1041" s="7" t="n"/>
      <c r="O1041" s="7" t="n"/>
      <c r="P1041" s="8">
        <f>IF(NOT(ISNUMBER(M1041)),"",IF(G1041="Terreno",IF(AND(ISNUMBER(I1041),I1041&gt;0),M1041/I1041,""),IF(AND(ISNUMBER(H1041),H1041&gt;0),M1041/H1041,"")))</f>
        <v/>
      </c>
      <c r="Q1041" s="9">
        <f>IF(AND(ISNUMBER(M1041),ISNUMBER(O1041)),IF(M1041&lt;=O1041,"Valor ≤ venal IPTU",""),"")</f>
        <v/>
      </c>
      <c r="R1041" s="10" t="n"/>
      <c r="S1041" s="10" t="n"/>
      <c r="AA1041" s="10" t="n"/>
      <c r="AB1041" s="11">
        <f>IF(LEN(TRIM(X1041))=0,"",HYPERLINK("https://www.google.com/maps/@?api=1&amp;map_action=pano&amp;viewpoint="&amp;SUBSTITUTE(X1041," ",""),"Abrir Street View"))</f>
        <v/>
      </c>
    </row>
    <row r="1042">
      <c r="H1042" s="6" t="n"/>
      <c r="I1042" s="6" t="n"/>
      <c r="M1042" s="7" t="n"/>
      <c r="N1042" s="7" t="n"/>
      <c r="O1042" s="7" t="n"/>
      <c r="P1042" s="8">
        <f>IF(NOT(ISNUMBER(M1042)),"",IF(G1042="Terreno",IF(AND(ISNUMBER(I1042),I1042&gt;0),M1042/I1042,""),IF(AND(ISNUMBER(H1042),H1042&gt;0),M1042/H1042,"")))</f>
        <v/>
      </c>
      <c r="Q1042" s="9">
        <f>IF(AND(ISNUMBER(M1042),ISNUMBER(O1042)),IF(M1042&lt;=O1042,"Valor ≤ venal IPTU",""),"")</f>
        <v/>
      </c>
      <c r="R1042" s="10" t="n"/>
      <c r="S1042" s="10" t="n"/>
      <c r="AA1042" s="10" t="n"/>
      <c r="AB1042" s="11">
        <f>IF(LEN(TRIM(X1042))=0,"",HYPERLINK("https://www.google.com/maps/@?api=1&amp;map_action=pano&amp;viewpoint="&amp;SUBSTITUTE(X1042," ",""),"Abrir Street View"))</f>
        <v/>
      </c>
    </row>
    <row r="1043">
      <c r="H1043" s="6" t="n"/>
      <c r="I1043" s="6" t="n"/>
      <c r="M1043" s="7" t="n"/>
      <c r="N1043" s="7" t="n"/>
      <c r="O1043" s="7" t="n"/>
      <c r="P1043" s="8">
        <f>IF(NOT(ISNUMBER(M1043)),"",IF(G1043="Terreno",IF(AND(ISNUMBER(I1043),I1043&gt;0),M1043/I1043,""),IF(AND(ISNUMBER(H1043),H1043&gt;0),M1043/H1043,"")))</f>
        <v/>
      </c>
      <c r="Q1043" s="9">
        <f>IF(AND(ISNUMBER(M1043),ISNUMBER(O1043)),IF(M1043&lt;=O1043,"Valor ≤ venal IPTU",""),"")</f>
        <v/>
      </c>
      <c r="R1043" s="10" t="n"/>
      <c r="S1043" s="10" t="n"/>
      <c r="AA1043" s="10" t="n"/>
      <c r="AB1043" s="11">
        <f>IF(LEN(TRIM(X1043))=0,"",HYPERLINK("https://www.google.com/maps/@?api=1&amp;map_action=pano&amp;viewpoint="&amp;SUBSTITUTE(X1043," ",""),"Abrir Street View"))</f>
        <v/>
      </c>
    </row>
    <row r="1044">
      <c r="H1044" s="6" t="n"/>
      <c r="I1044" s="6" t="n"/>
      <c r="M1044" s="7" t="n"/>
      <c r="N1044" s="7" t="n"/>
      <c r="O1044" s="7" t="n"/>
      <c r="P1044" s="8">
        <f>IF(NOT(ISNUMBER(M1044)),"",IF(G1044="Terreno",IF(AND(ISNUMBER(I1044),I1044&gt;0),M1044/I1044,""),IF(AND(ISNUMBER(H1044),H1044&gt;0),M1044/H1044,"")))</f>
        <v/>
      </c>
      <c r="Q1044" s="9">
        <f>IF(AND(ISNUMBER(M1044),ISNUMBER(O1044)),IF(M1044&lt;=O1044,"Valor ≤ venal IPTU",""),"")</f>
        <v/>
      </c>
      <c r="R1044" s="10" t="n"/>
      <c r="S1044" s="10" t="n"/>
      <c r="AA1044" s="10" t="n"/>
      <c r="AB1044" s="11">
        <f>IF(LEN(TRIM(X1044))=0,"",HYPERLINK("https://www.google.com/maps/@?api=1&amp;map_action=pano&amp;viewpoint="&amp;SUBSTITUTE(X1044," ",""),"Abrir Street View"))</f>
        <v/>
      </c>
    </row>
    <row r="1045">
      <c r="H1045" s="6" t="n"/>
      <c r="I1045" s="6" t="n"/>
      <c r="M1045" s="7" t="n"/>
      <c r="N1045" s="7" t="n"/>
      <c r="O1045" s="7" t="n"/>
      <c r="P1045" s="8">
        <f>IF(NOT(ISNUMBER(M1045)),"",IF(G1045="Terreno",IF(AND(ISNUMBER(I1045),I1045&gt;0),M1045/I1045,""),IF(AND(ISNUMBER(H1045),H1045&gt;0),M1045/H1045,"")))</f>
        <v/>
      </c>
      <c r="Q1045" s="9">
        <f>IF(AND(ISNUMBER(M1045),ISNUMBER(O1045)),IF(M1045&lt;=O1045,"Valor ≤ venal IPTU",""),"")</f>
        <v/>
      </c>
      <c r="R1045" s="10" t="n"/>
      <c r="S1045" s="10" t="n"/>
      <c r="AA1045" s="10" t="n"/>
      <c r="AB1045" s="11">
        <f>IF(LEN(TRIM(X1045))=0,"",HYPERLINK("https://www.google.com/maps/@?api=1&amp;map_action=pano&amp;viewpoint="&amp;SUBSTITUTE(X1045," ",""),"Abrir Street View"))</f>
        <v/>
      </c>
    </row>
    <row r="1046">
      <c r="H1046" s="6" t="n"/>
      <c r="I1046" s="6" t="n"/>
      <c r="M1046" s="7" t="n"/>
      <c r="N1046" s="7" t="n"/>
      <c r="O1046" s="7" t="n"/>
      <c r="P1046" s="8">
        <f>IF(NOT(ISNUMBER(M1046)),"",IF(G1046="Terreno",IF(AND(ISNUMBER(I1046),I1046&gt;0),M1046/I1046,""),IF(AND(ISNUMBER(H1046),H1046&gt;0),M1046/H1046,"")))</f>
        <v/>
      </c>
      <c r="Q1046" s="9">
        <f>IF(AND(ISNUMBER(M1046),ISNUMBER(O1046)),IF(M1046&lt;=O1046,"Valor ≤ venal IPTU",""),"")</f>
        <v/>
      </c>
      <c r="R1046" s="10" t="n"/>
      <c r="S1046" s="10" t="n"/>
      <c r="AA1046" s="10" t="n"/>
      <c r="AB1046" s="11">
        <f>IF(LEN(TRIM(X1046))=0,"",HYPERLINK("https://www.google.com/maps/@?api=1&amp;map_action=pano&amp;viewpoint="&amp;SUBSTITUTE(X1046," ",""),"Abrir Street View"))</f>
        <v/>
      </c>
    </row>
    <row r="1047">
      <c r="H1047" s="6" t="n"/>
      <c r="I1047" s="6" t="n"/>
      <c r="M1047" s="7" t="n"/>
      <c r="N1047" s="7" t="n"/>
      <c r="O1047" s="7" t="n"/>
      <c r="P1047" s="8">
        <f>IF(NOT(ISNUMBER(M1047)),"",IF(G1047="Terreno",IF(AND(ISNUMBER(I1047),I1047&gt;0),M1047/I1047,""),IF(AND(ISNUMBER(H1047),H1047&gt;0),M1047/H1047,"")))</f>
        <v/>
      </c>
      <c r="Q1047" s="9">
        <f>IF(AND(ISNUMBER(M1047),ISNUMBER(O1047)),IF(M1047&lt;=O1047,"Valor ≤ venal IPTU",""),"")</f>
        <v/>
      </c>
      <c r="R1047" s="10" t="n"/>
      <c r="S1047" s="10" t="n"/>
      <c r="AA1047" s="10" t="n"/>
      <c r="AB1047" s="11">
        <f>IF(LEN(TRIM(X1047))=0,"",HYPERLINK("https://www.google.com/maps/@?api=1&amp;map_action=pano&amp;viewpoint="&amp;SUBSTITUTE(X1047," ",""),"Abrir Street View"))</f>
        <v/>
      </c>
    </row>
    <row r="1048">
      <c r="H1048" s="6" t="n"/>
      <c r="I1048" s="6" t="n"/>
      <c r="M1048" s="7" t="n"/>
      <c r="N1048" s="7" t="n"/>
      <c r="O1048" s="7" t="n"/>
      <c r="P1048" s="8">
        <f>IF(NOT(ISNUMBER(M1048)),"",IF(G1048="Terreno",IF(AND(ISNUMBER(I1048),I1048&gt;0),M1048/I1048,""),IF(AND(ISNUMBER(H1048),H1048&gt;0),M1048/H1048,"")))</f>
        <v/>
      </c>
      <c r="Q1048" s="9">
        <f>IF(AND(ISNUMBER(M1048),ISNUMBER(O1048)),IF(M1048&lt;=O1048,"Valor ≤ venal IPTU",""),"")</f>
        <v/>
      </c>
      <c r="R1048" s="10" t="n"/>
      <c r="S1048" s="10" t="n"/>
      <c r="AA1048" s="10" t="n"/>
      <c r="AB1048" s="11">
        <f>IF(LEN(TRIM(X1048))=0,"",HYPERLINK("https://www.google.com/maps/@?api=1&amp;map_action=pano&amp;viewpoint="&amp;SUBSTITUTE(X1048," ",""),"Abrir Street View"))</f>
        <v/>
      </c>
    </row>
    <row r="1049">
      <c r="H1049" s="6" t="n"/>
      <c r="I1049" s="6" t="n"/>
      <c r="M1049" s="7" t="n"/>
      <c r="N1049" s="7" t="n"/>
      <c r="O1049" s="7" t="n"/>
      <c r="P1049" s="8">
        <f>IF(NOT(ISNUMBER(M1049)),"",IF(G1049="Terreno",IF(AND(ISNUMBER(I1049),I1049&gt;0),M1049/I1049,""),IF(AND(ISNUMBER(H1049),H1049&gt;0),M1049/H1049,"")))</f>
        <v/>
      </c>
      <c r="Q1049" s="9">
        <f>IF(AND(ISNUMBER(M1049),ISNUMBER(O1049)),IF(M1049&lt;=O1049,"Valor ≤ venal IPTU",""),"")</f>
        <v/>
      </c>
      <c r="R1049" s="10" t="n"/>
      <c r="S1049" s="10" t="n"/>
      <c r="AA1049" s="10" t="n"/>
      <c r="AB1049" s="11">
        <f>IF(LEN(TRIM(X1049))=0,"",HYPERLINK("https://www.google.com/maps/@?api=1&amp;map_action=pano&amp;viewpoint="&amp;SUBSTITUTE(X1049," ",""),"Abrir Street View"))</f>
        <v/>
      </c>
    </row>
    <row r="1050">
      <c r="H1050" s="6" t="n"/>
      <c r="I1050" s="6" t="n"/>
      <c r="M1050" s="7" t="n"/>
      <c r="N1050" s="7" t="n"/>
      <c r="O1050" s="7" t="n"/>
      <c r="P1050" s="8">
        <f>IF(NOT(ISNUMBER(M1050)),"",IF(G1050="Terreno",IF(AND(ISNUMBER(I1050),I1050&gt;0),M1050/I1050,""),IF(AND(ISNUMBER(H1050),H1050&gt;0),M1050/H1050,"")))</f>
        <v/>
      </c>
      <c r="Q1050" s="9">
        <f>IF(AND(ISNUMBER(M1050),ISNUMBER(O1050)),IF(M1050&lt;=O1050,"Valor ≤ venal IPTU",""),"")</f>
        <v/>
      </c>
      <c r="R1050" s="10" t="n"/>
      <c r="S1050" s="10" t="n"/>
      <c r="AA1050" s="10" t="n"/>
      <c r="AB1050" s="11">
        <f>IF(LEN(TRIM(X1050))=0,"",HYPERLINK("https://www.google.com/maps/@?api=1&amp;map_action=pano&amp;viewpoint="&amp;SUBSTITUTE(X1050," ",""),"Abrir Street View"))</f>
        <v/>
      </c>
    </row>
    <row r="1051">
      <c r="H1051" s="6" t="n"/>
      <c r="I1051" s="6" t="n"/>
      <c r="M1051" s="7" t="n"/>
      <c r="N1051" s="7" t="n"/>
      <c r="O1051" s="7" t="n"/>
      <c r="P1051" s="8">
        <f>IF(NOT(ISNUMBER(M1051)),"",IF(G1051="Terreno",IF(AND(ISNUMBER(I1051),I1051&gt;0),M1051/I1051,""),IF(AND(ISNUMBER(H1051),H1051&gt;0),M1051/H1051,"")))</f>
        <v/>
      </c>
      <c r="Q1051" s="9">
        <f>IF(AND(ISNUMBER(M1051),ISNUMBER(O1051)),IF(M1051&lt;=O1051,"Valor ≤ venal IPTU",""),"")</f>
        <v/>
      </c>
      <c r="R1051" s="10" t="n"/>
      <c r="S1051" s="10" t="n"/>
      <c r="AA1051" s="10" t="n"/>
      <c r="AB1051" s="11">
        <f>IF(LEN(TRIM(X1051))=0,"",HYPERLINK("https://www.google.com/maps/@?api=1&amp;map_action=pano&amp;viewpoint="&amp;SUBSTITUTE(X1051," ",""),"Abrir Street View"))</f>
        <v/>
      </c>
    </row>
    <row r="1052">
      <c r="H1052" s="6" t="n"/>
      <c r="I1052" s="6" t="n"/>
      <c r="M1052" s="7" t="n"/>
      <c r="N1052" s="7" t="n"/>
      <c r="O1052" s="7" t="n"/>
      <c r="P1052" s="8">
        <f>IF(NOT(ISNUMBER(M1052)),"",IF(G1052="Terreno",IF(AND(ISNUMBER(I1052),I1052&gt;0),M1052/I1052,""),IF(AND(ISNUMBER(H1052),H1052&gt;0),M1052/H1052,"")))</f>
        <v/>
      </c>
      <c r="Q1052" s="9">
        <f>IF(AND(ISNUMBER(M1052),ISNUMBER(O1052)),IF(M1052&lt;=O1052,"Valor ≤ venal IPTU",""),"")</f>
        <v/>
      </c>
      <c r="R1052" s="10" t="n"/>
      <c r="S1052" s="10" t="n"/>
      <c r="AA1052" s="10" t="n"/>
      <c r="AB1052" s="11">
        <f>IF(LEN(TRIM(X1052))=0,"",HYPERLINK("https://www.google.com/maps/@?api=1&amp;map_action=pano&amp;viewpoint="&amp;SUBSTITUTE(X1052," ",""),"Abrir Street View"))</f>
        <v/>
      </c>
    </row>
    <row r="1053">
      <c r="H1053" s="6" t="n"/>
      <c r="I1053" s="6" t="n"/>
      <c r="M1053" s="7" t="n"/>
      <c r="N1053" s="7" t="n"/>
      <c r="O1053" s="7" t="n"/>
      <c r="P1053" s="8">
        <f>IF(NOT(ISNUMBER(M1053)),"",IF(G1053="Terreno",IF(AND(ISNUMBER(I1053),I1053&gt;0),M1053/I1053,""),IF(AND(ISNUMBER(H1053),H1053&gt;0),M1053/H1053,"")))</f>
        <v/>
      </c>
      <c r="Q1053" s="9">
        <f>IF(AND(ISNUMBER(M1053),ISNUMBER(O1053)),IF(M1053&lt;=O1053,"Valor ≤ venal IPTU",""),"")</f>
        <v/>
      </c>
      <c r="R1053" s="10" t="n"/>
      <c r="S1053" s="10" t="n"/>
      <c r="AA1053" s="10" t="n"/>
      <c r="AB1053" s="11">
        <f>IF(LEN(TRIM(X1053))=0,"",HYPERLINK("https://www.google.com/maps/@?api=1&amp;map_action=pano&amp;viewpoint="&amp;SUBSTITUTE(X1053," ",""),"Abrir Street View"))</f>
        <v/>
      </c>
    </row>
    <row r="1054">
      <c r="H1054" s="6" t="n"/>
      <c r="I1054" s="6" t="n"/>
      <c r="M1054" s="7" t="n"/>
      <c r="N1054" s="7" t="n"/>
      <c r="O1054" s="7" t="n"/>
      <c r="P1054" s="8">
        <f>IF(NOT(ISNUMBER(M1054)),"",IF(G1054="Terreno",IF(AND(ISNUMBER(I1054),I1054&gt;0),M1054/I1054,""),IF(AND(ISNUMBER(H1054),H1054&gt;0),M1054/H1054,"")))</f>
        <v/>
      </c>
      <c r="Q1054" s="9">
        <f>IF(AND(ISNUMBER(M1054),ISNUMBER(O1054)),IF(M1054&lt;=O1054,"Valor ≤ venal IPTU",""),"")</f>
        <v/>
      </c>
      <c r="R1054" s="10" t="n"/>
      <c r="S1054" s="10" t="n"/>
      <c r="AA1054" s="10" t="n"/>
      <c r="AB1054" s="11">
        <f>IF(LEN(TRIM(X1054))=0,"",HYPERLINK("https://www.google.com/maps/@?api=1&amp;map_action=pano&amp;viewpoint="&amp;SUBSTITUTE(X1054," ",""),"Abrir Street View"))</f>
        <v/>
      </c>
    </row>
    <row r="1055">
      <c r="H1055" s="6" t="n"/>
      <c r="I1055" s="6" t="n"/>
      <c r="M1055" s="7" t="n"/>
      <c r="N1055" s="7" t="n"/>
      <c r="O1055" s="7" t="n"/>
      <c r="P1055" s="8">
        <f>IF(NOT(ISNUMBER(M1055)),"",IF(G1055="Terreno",IF(AND(ISNUMBER(I1055),I1055&gt;0),M1055/I1055,""),IF(AND(ISNUMBER(H1055),H1055&gt;0),M1055/H1055,"")))</f>
        <v/>
      </c>
      <c r="Q1055" s="9">
        <f>IF(AND(ISNUMBER(M1055),ISNUMBER(O1055)),IF(M1055&lt;=O1055,"Valor ≤ venal IPTU",""),"")</f>
        <v/>
      </c>
      <c r="R1055" s="10" t="n"/>
      <c r="S1055" s="10" t="n"/>
      <c r="AA1055" s="10" t="n"/>
      <c r="AB1055" s="11">
        <f>IF(LEN(TRIM(X1055))=0,"",HYPERLINK("https://www.google.com/maps/@?api=1&amp;map_action=pano&amp;viewpoint="&amp;SUBSTITUTE(X1055," ",""),"Abrir Street View"))</f>
        <v/>
      </c>
    </row>
    <row r="1056">
      <c r="H1056" s="6" t="n"/>
      <c r="I1056" s="6" t="n"/>
      <c r="M1056" s="7" t="n"/>
      <c r="N1056" s="7" t="n"/>
      <c r="O1056" s="7" t="n"/>
      <c r="P1056" s="8">
        <f>IF(NOT(ISNUMBER(M1056)),"",IF(G1056="Terreno",IF(AND(ISNUMBER(I1056),I1056&gt;0),M1056/I1056,""),IF(AND(ISNUMBER(H1056),H1056&gt;0),M1056/H1056,"")))</f>
        <v/>
      </c>
      <c r="Q1056" s="9">
        <f>IF(AND(ISNUMBER(M1056),ISNUMBER(O1056)),IF(M1056&lt;=O1056,"Valor ≤ venal IPTU",""),"")</f>
        <v/>
      </c>
      <c r="R1056" s="10" t="n"/>
      <c r="S1056" s="10" t="n"/>
      <c r="AA1056" s="10" t="n"/>
      <c r="AB1056" s="11">
        <f>IF(LEN(TRIM(X1056))=0,"",HYPERLINK("https://www.google.com/maps/@?api=1&amp;map_action=pano&amp;viewpoint="&amp;SUBSTITUTE(X1056," ",""),"Abrir Street View"))</f>
        <v/>
      </c>
    </row>
    <row r="1057">
      <c r="H1057" s="6" t="n"/>
      <c r="I1057" s="6" t="n"/>
      <c r="M1057" s="7" t="n"/>
      <c r="N1057" s="7" t="n"/>
      <c r="O1057" s="7" t="n"/>
      <c r="P1057" s="8">
        <f>IF(NOT(ISNUMBER(M1057)),"",IF(G1057="Terreno",IF(AND(ISNUMBER(I1057),I1057&gt;0),M1057/I1057,""),IF(AND(ISNUMBER(H1057),H1057&gt;0),M1057/H1057,"")))</f>
        <v/>
      </c>
      <c r="Q1057" s="9">
        <f>IF(AND(ISNUMBER(M1057),ISNUMBER(O1057)),IF(M1057&lt;=O1057,"Valor ≤ venal IPTU",""),"")</f>
        <v/>
      </c>
      <c r="R1057" s="10" t="n"/>
      <c r="S1057" s="10" t="n"/>
      <c r="AA1057" s="10" t="n"/>
      <c r="AB1057" s="11">
        <f>IF(LEN(TRIM(X1057))=0,"",HYPERLINK("https://www.google.com/maps/@?api=1&amp;map_action=pano&amp;viewpoint="&amp;SUBSTITUTE(X1057," ",""),"Abrir Street View"))</f>
        <v/>
      </c>
    </row>
    <row r="1058">
      <c r="H1058" s="6" t="n"/>
      <c r="I1058" s="6" t="n"/>
      <c r="M1058" s="7" t="n"/>
      <c r="N1058" s="7" t="n"/>
      <c r="O1058" s="7" t="n"/>
      <c r="P1058" s="8">
        <f>IF(NOT(ISNUMBER(M1058)),"",IF(G1058="Terreno",IF(AND(ISNUMBER(I1058),I1058&gt;0),M1058/I1058,""),IF(AND(ISNUMBER(H1058),H1058&gt;0),M1058/H1058,"")))</f>
        <v/>
      </c>
      <c r="Q1058" s="9">
        <f>IF(AND(ISNUMBER(M1058),ISNUMBER(O1058)),IF(M1058&lt;=O1058,"Valor ≤ venal IPTU",""),"")</f>
        <v/>
      </c>
      <c r="R1058" s="10" t="n"/>
      <c r="S1058" s="10" t="n"/>
      <c r="AA1058" s="10" t="n"/>
      <c r="AB1058" s="11">
        <f>IF(LEN(TRIM(X1058))=0,"",HYPERLINK("https://www.google.com/maps/@?api=1&amp;map_action=pano&amp;viewpoint="&amp;SUBSTITUTE(X1058," ",""),"Abrir Street View"))</f>
        <v/>
      </c>
    </row>
    <row r="1059">
      <c r="H1059" s="6" t="n"/>
      <c r="I1059" s="6" t="n"/>
      <c r="M1059" s="7" t="n"/>
      <c r="N1059" s="7" t="n"/>
      <c r="O1059" s="7" t="n"/>
      <c r="P1059" s="8">
        <f>IF(NOT(ISNUMBER(M1059)),"",IF(G1059="Terreno",IF(AND(ISNUMBER(I1059),I1059&gt;0),M1059/I1059,""),IF(AND(ISNUMBER(H1059),H1059&gt;0),M1059/H1059,"")))</f>
        <v/>
      </c>
      <c r="Q1059" s="9">
        <f>IF(AND(ISNUMBER(M1059),ISNUMBER(O1059)),IF(M1059&lt;=O1059,"Valor ≤ venal IPTU",""),"")</f>
        <v/>
      </c>
      <c r="R1059" s="10" t="n"/>
      <c r="S1059" s="10" t="n"/>
      <c r="AA1059" s="10" t="n"/>
      <c r="AB1059" s="11">
        <f>IF(LEN(TRIM(X1059))=0,"",HYPERLINK("https://www.google.com/maps/@?api=1&amp;map_action=pano&amp;viewpoint="&amp;SUBSTITUTE(X1059," ",""),"Abrir Street View"))</f>
        <v/>
      </c>
    </row>
    <row r="1060">
      <c r="H1060" s="6" t="n"/>
      <c r="I1060" s="6" t="n"/>
      <c r="M1060" s="7" t="n"/>
      <c r="N1060" s="7" t="n"/>
      <c r="O1060" s="7" t="n"/>
      <c r="P1060" s="8">
        <f>IF(NOT(ISNUMBER(M1060)),"",IF(G1060="Terreno",IF(AND(ISNUMBER(I1060),I1060&gt;0),M1060/I1060,""),IF(AND(ISNUMBER(H1060),H1060&gt;0),M1060/H1060,"")))</f>
        <v/>
      </c>
      <c r="Q1060" s="9">
        <f>IF(AND(ISNUMBER(M1060),ISNUMBER(O1060)),IF(M1060&lt;=O1060,"Valor ≤ venal IPTU",""),"")</f>
        <v/>
      </c>
      <c r="R1060" s="10" t="n"/>
      <c r="S1060" s="10" t="n"/>
      <c r="AA1060" s="10" t="n"/>
      <c r="AB1060" s="11">
        <f>IF(LEN(TRIM(X1060))=0,"",HYPERLINK("https://www.google.com/maps/@?api=1&amp;map_action=pano&amp;viewpoint="&amp;SUBSTITUTE(X1060," ",""),"Abrir Street View"))</f>
        <v/>
      </c>
    </row>
    <row r="1061">
      <c r="H1061" s="6" t="n"/>
      <c r="I1061" s="6" t="n"/>
      <c r="M1061" s="7" t="n"/>
      <c r="N1061" s="7" t="n"/>
      <c r="O1061" s="7" t="n"/>
      <c r="P1061" s="8">
        <f>IF(NOT(ISNUMBER(M1061)),"",IF(G1061="Terreno",IF(AND(ISNUMBER(I1061),I1061&gt;0),M1061/I1061,""),IF(AND(ISNUMBER(H1061),H1061&gt;0),M1061/H1061,"")))</f>
        <v/>
      </c>
      <c r="Q1061" s="9">
        <f>IF(AND(ISNUMBER(M1061),ISNUMBER(O1061)),IF(M1061&lt;=O1061,"Valor ≤ venal IPTU",""),"")</f>
        <v/>
      </c>
      <c r="R1061" s="10" t="n"/>
      <c r="S1061" s="10" t="n"/>
      <c r="AA1061" s="10" t="n"/>
      <c r="AB1061" s="11">
        <f>IF(LEN(TRIM(X1061))=0,"",HYPERLINK("https://www.google.com/maps/@?api=1&amp;map_action=pano&amp;viewpoint="&amp;SUBSTITUTE(X1061," ",""),"Abrir Street View"))</f>
        <v/>
      </c>
    </row>
    <row r="1062">
      <c r="H1062" s="6" t="n"/>
      <c r="I1062" s="6" t="n"/>
      <c r="M1062" s="7" t="n"/>
      <c r="N1062" s="7" t="n"/>
      <c r="O1062" s="7" t="n"/>
      <c r="P1062" s="8">
        <f>IF(NOT(ISNUMBER(M1062)),"",IF(G1062="Terreno",IF(AND(ISNUMBER(I1062),I1062&gt;0),M1062/I1062,""),IF(AND(ISNUMBER(H1062),H1062&gt;0),M1062/H1062,"")))</f>
        <v/>
      </c>
      <c r="Q1062" s="9">
        <f>IF(AND(ISNUMBER(M1062),ISNUMBER(O1062)),IF(M1062&lt;=O1062,"Valor ≤ venal IPTU",""),"")</f>
        <v/>
      </c>
      <c r="R1062" s="10" t="n"/>
      <c r="S1062" s="10" t="n"/>
      <c r="AA1062" s="10" t="n"/>
      <c r="AB1062" s="11">
        <f>IF(LEN(TRIM(X1062))=0,"",HYPERLINK("https://www.google.com/maps/@?api=1&amp;map_action=pano&amp;viewpoint="&amp;SUBSTITUTE(X1062," ",""),"Abrir Street View"))</f>
        <v/>
      </c>
    </row>
    <row r="1063">
      <c r="H1063" s="6" t="n"/>
      <c r="I1063" s="6" t="n"/>
      <c r="M1063" s="7" t="n"/>
      <c r="N1063" s="7" t="n"/>
      <c r="O1063" s="7" t="n"/>
      <c r="P1063" s="8">
        <f>IF(NOT(ISNUMBER(M1063)),"",IF(G1063="Terreno",IF(AND(ISNUMBER(I1063),I1063&gt;0),M1063/I1063,""),IF(AND(ISNUMBER(H1063),H1063&gt;0),M1063/H1063,"")))</f>
        <v/>
      </c>
      <c r="Q1063" s="9">
        <f>IF(AND(ISNUMBER(M1063),ISNUMBER(O1063)),IF(M1063&lt;=O1063,"Valor ≤ venal IPTU",""),"")</f>
        <v/>
      </c>
      <c r="R1063" s="10" t="n"/>
      <c r="S1063" s="10" t="n"/>
      <c r="AA1063" s="10" t="n"/>
      <c r="AB1063" s="11">
        <f>IF(LEN(TRIM(X1063))=0,"",HYPERLINK("https://www.google.com/maps/@?api=1&amp;map_action=pano&amp;viewpoint="&amp;SUBSTITUTE(X1063," ",""),"Abrir Street View"))</f>
        <v/>
      </c>
    </row>
    <row r="1064">
      <c r="H1064" s="6" t="n"/>
      <c r="I1064" s="6" t="n"/>
      <c r="M1064" s="7" t="n"/>
      <c r="N1064" s="7" t="n"/>
      <c r="O1064" s="7" t="n"/>
      <c r="P1064" s="8">
        <f>IF(NOT(ISNUMBER(M1064)),"",IF(G1064="Terreno",IF(AND(ISNUMBER(I1064),I1064&gt;0),M1064/I1064,""),IF(AND(ISNUMBER(H1064),H1064&gt;0),M1064/H1064,"")))</f>
        <v/>
      </c>
      <c r="Q1064" s="9">
        <f>IF(AND(ISNUMBER(M1064),ISNUMBER(O1064)),IF(M1064&lt;=O1064,"Valor ≤ venal IPTU",""),"")</f>
        <v/>
      </c>
      <c r="R1064" s="10" t="n"/>
      <c r="S1064" s="10" t="n"/>
      <c r="AA1064" s="10" t="n"/>
      <c r="AB1064" s="11">
        <f>IF(LEN(TRIM(X1064))=0,"",HYPERLINK("https://www.google.com/maps/@?api=1&amp;map_action=pano&amp;viewpoint="&amp;SUBSTITUTE(X1064," ",""),"Abrir Street View"))</f>
        <v/>
      </c>
    </row>
    <row r="1065">
      <c r="H1065" s="6" t="n"/>
      <c r="I1065" s="6" t="n"/>
      <c r="M1065" s="7" t="n"/>
      <c r="N1065" s="7" t="n"/>
      <c r="O1065" s="7" t="n"/>
      <c r="P1065" s="8">
        <f>IF(NOT(ISNUMBER(M1065)),"",IF(G1065="Terreno",IF(AND(ISNUMBER(I1065),I1065&gt;0),M1065/I1065,""),IF(AND(ISNUMBER(H1065),H1065&gt;0),M1065/H1065,"")))</f>
        <v/>
      </c>
      <c r="Q1065" s="9">
        <f>IF(AND(ISNUMBER(M1065),ISNUMBER(O1065)),IF(M1065&lt;=O1065,"Valor ≤ venal IPTU",""),"")</f>
        <v/>
      </c>
      <c r="R1065" s="10" t="n"/>
      <c r="S1065" s="10" t="n"/>
      <c r="AA1065" s="10" t="n"/>
      <c r="AB1065" s="11">
        <f>IF(LEN(TRIM(X1065))=0,"",HYPERLINK("https://www.google.com/maps/@?api=1&amp;map_action=pano&amp;viewpoint="&amp;SUBSTITUTE(X1065," ",""),"Abrir Street View"))</f>
        <v/>
      </c>
    </row>
    <row r="1066">
      <c r="H1066" s="6" t="n"/>
      <c r="I1066" s="6" t="n"/>
      <c r="M1066" s="7" t="n"/>
      <c r="N1066" s="7" t="n"/>
      <c r="O1066" s="7" t="n"/>
      <c r="P1066" s="8">
        <f>IF(NOT(ISNUMBER(M1066)),"",IF(G1066="Terreno",IF(AND(ISNUMBER(I1066),I1066&gt;0),M1066/I1066,""),IF(AND(ISNUMBER(H1066),H1066&gt;0),M1066/H1066,"")))</f>
        <v/>
      </c>
      <c r="Q1066" s="9">
        <f>IF(AND(ISNUMBER(M1066),ISNUMBER(O1066)),IF(M1066&lt;=O1066,"Valor ≤ venal IPTU",""),"")</f>
        <v/>
      </c>
      <c r="R1066" s="10" t="n"/>
      <c r="S1066" s="10" t="n"/>
      <c r="AA1066" s="10" t="n"/>
      <c r="AB1066" s="11">
        <f>IF(LEN(TRIM(X1066))=0,"",HYPERLINK("https://www.google.com/maps/@?api=1&amp;map_action=pano&amp;viewpoint="&amp;SUBSTITUTE(X1066," ",""),"Abrir Street View"))</f>
        <v/>
      </c>
    </row>
    <row r="1067">
      <c r="H1067" s="6" t="n"/>
      <c r="I1067" s="6" t="n"/>
      <c r="M1067" s="7" t="n"/>
      <c r="N1067" s="7" t="n"/>
      <c r="O1067" s="7" t="n"/>
      <c r="P1067" s="8">
        <f>IF(NOT(ISNUMBER(M1067)),"",IF(G1067="Terreno",IF(AND(ISNUMBER(I1067),I1067&gt;0),M1067/I1067,""),IF(AND(ISNUMBER(H1067),H1067&gt;0),M1067/H1067,"")))</f>
        <v/>
      </c>
      <c r="Q1067" s="9">
        <f>IF(AND(ISNUMBER(M1067),ISNUMBER(O1067)),IF(M1067&lt;=O1067,"Valor ≤ venal IPTU",""),"")</f>
        <v/>
      </c>
      <c r="R1067" s="10" t="n"/>
      <c r="S1067" s="10" t="n"/>
      <c r="AA1067" s="10" t="n"/>
      <c r="AB1067" s="11">
        <f>IF(LEN(TRIM(X1067))=0,"",HYPERLINK("https://www.google.com/maps/@?api=1&amp;map_action=pano&amp;viewpoint="&amp;SUBSTITUTE(X1067," ",""),"Abrir Street View"))</f>
        <v/>
      </c>
    </row>
    <row r="1068">
      <c r="H1068" s="6" t="n"/>
      <c r="I1068" s="6" t="n"/>
      <c r="M1068" s="7" t="n"/>
      <c r="N1068" s="7" t="n"/>
      <c r="O1068" s="7" t="n"/>
      <c r="P1068" s="8">
        <f>IF(NOT(ISNUMBER(M1068)),"",IF(G1068="Terreno",IF(AND(ISNUMBER(I1068),I1068&gt;0),M1068/I1068,""),IF(AND(ISNUMBER(H1068),H1068&gt;0),M1068/H1068,"")))</f>
        <v/>
      </c>
      <c r="Q1068" s="9">
        <f>IF(AND(ISNUMBER(M1068),ISNUMBER(O1068)),IF(M1068&lt;=O1068,"Valor ≤ venal IPTU",""),"")</f>
        <v/>
      </c>
      <c r="R1068" s="10" t="n"/>
      <c r="S1068" s="10" t="n"/>
      <c r="AA1068" s="10" t="n"/>
      <c r="AB1068" s="11">
        <f>IF(LEN(TRIM(X1068))=0,"",HYPERLINK("https://www.google.com/maps/@?api=1&amp;map_action=pano&amp;viewpoint="&amp;SUBSTITUTE(X1068," ",""),"Abrir Street View"))</f>
        <v/>
      </c>
    </row>
    <row r="1069">
      <c r="H1069" s="6" t="n"/>
      <c r="I1069" s="6" t="n"/>
      <c r="M1069" s="7" t="n"/>
      <c r="N1069" s="7" t="n"/>
      <c r="O1069" s="7" t="n"/>
      <c r="P1069" s="8">
        <f>IF(NOT(ISNUMBER(M1069)),"",IF(G1069="Terreno",IF(AND(ISNUMBER(I1069),I1069&gt;0),M1069/I1069,""),IF(AND(ISNUMBER(H1069),H1069&gt;0),M1069/H1069,"")))</f>
        <v/>
      </c>
      <c r="Q1069" s="9">
        <f>IF(AND(ISNUMBER(M1069),ISNUMBER(O1069)),IF(M1069&lt;=O1069,"Valor ≤ venal IPTU",""),"")</f>
        <v/>
      </c>
      <c r="R1069" s="10" t="n"/>
      <c r="S1069" s="10" t="n"/>
      <c r="AA1069" s="10" t="n"/>
      <c r="AB1069" s="11">
        <f>IF(LEN(TRIM(X1069))=0,"",HYPERLINK("https://www.google.com/maps/@?api=1&amp;map_action=pano&amp;viewpoint="&amp;SUBSTITUTE(X1069," ",""),"Abrir Street View"))</f>
        <v/>
      </c>
    </row>
    <row r="1070">
      <c r="H1070" s="6" t="n"/>
      <c r="I1070" s="6" t="n"/>
      <c r="M1070" s="7" t="n"/>
      <c r="N1070" s="7" t="n"/>
      <c r="O1070" s="7" t="n"/>
      <c r="P1070" s="8">
        <f>IF(NOT(ISNUMBER(M1070)),"",IF(G1070="Terreno",IF(AND(ISNUMBER(I1070),I1070&gt;0),M1070/I1070,""),IF(AND(ISNUMBER(H1070),H1070&gt;0),M1070/H1070,"")))</f>
        <v/>
      </c>
      <c r="Q1070" s="9">
        <f>IF(AND(ISNUMBER(M1070),ISNUMBER(O1070)),IF(M1070&lt;=O1070,"Valor ≤ venal IPTU",""),"")</f>
        <v/>
      </c>
      <c r="R1070" s="10" t="n"/>
      <c r="S1070" s="10" t="n"/>
      <c r="AA1070" s="10" t="n"/>
      <c r="AB1070" s="11">
        <f>IF(LEN(TRIM(X1070))=0,"",HYPERLINK("https://www.google.com/maps/@?api=1&amp;map_action=pano&amp;viewpoint="&amp;SUBSTITUTE(X1070," ",""),"Abrir Street View"))</f>
        <v/>
      </c>
    </row>
    <row r="1071">
      <c r="H1071" s="6" t="n"/>
      <c r="I1071" s="6" t="n"/>
      <c r="M1071" s="7" t="n"/>
      <c r="N1071" s="7" t="n"/>
      <c r="O1071" s="7" t="n"/>
      <c r="P1071" s="8">
        <f>IF(NOT(ISNUMBER(M1071)),"",IF(G1071="Terreno",IF(AND(ISNUMBER(I1071),I1071&gt;0),M1071/I1071,""),IF(AND(ISNUMBER(H1071),H1071&gt;0),M1071/H1071,"")))</f>
        <v/>
      </c>
      <c r="Q1071" s="9">
        <f>IF(AND(ISNUMBER(M1071),ISNUMBER(O1071)),IF(M1071&lt;=O1071,"Valor ≤ venal IPTU",""),"")</f>
        <v/>
      </c>
      <c r="R1071" s="10" t="n"/>
      <c r="S1071" s="10" t="n"/>
      <c r="AA1071" s="10" t="n"/>
      <c r="AB1071" s="11">
        <f>IF(LEN(TRIM(X1071))=0,"",HYPERLINK("https://www.google.com/maps/@?api=1&amp;map_action=pano&amp;viewpoint="&amp;SUBSTITUTE(X1071," ",""),"Abrir Street View"))</f>
        <v/>
      </c>
    </row>
    <row r="1072">
      <c r="H1072" s="6" t="n"/>
      <c r="I1072" s="6" t="n"/>
      <c r="M1072" s="7" t="n"/>
      <c r="N1072" s="7" t="n"/>
      <c r="O1072" s="7" t="n"/>
      <c r="P1072" s="8">
        <f>IF(NOT(ISNUMBER(M1072)),"",IF(G1072="Terreno",IF(AND(ISNUMBER(I1072),I1072&gt;0),M1072/I1072,""),IF(AND(ISNUMBER(H1072),H1072&gt;0),M1072/H1072,"")))</f>
        <v/>
      </c>
      <c r="Q1072" s="9">
        <f>IF(AND(ISNUMBER(M1072),ISNUMBER(O1072)),IF(M1072&lt;=O1072,"Valor ≤ venal IPTU",""),"")</f>
        <v/>
      </c>
      <c r="R1072" s="10" t="n"/>
      <c r="S1072" s="10" t="n"/>
      <c r="AA1072" s="10" t="n"/>
      <c r="AB1072" s="11">
        <f>IF(LEN(TRIM(X1072))=0,"",HYPERLINK("https://www.google.com/maps/@?api=1&amp;map_action=pano&amp;viewpoint="&amp;SUBSTITUTE(X1072," ",""),"Abrir Street View"))</f>
        <v/>
      </c>
    </row>
    <row r="1073">
      <c r="H1073" s="6" t="n"/>
      <c r="I1073" s="6" t="n"/>
      <c r="M1073" s="7" t="n"/>
      <c r="N1073" s="7" t="n"/>
      <c r="O1073" s="7" t="n"/>
      <c r="P1073" s="8">
        <f>IF(NOT(ISNUMBER(M1073)),"",IF(G1073="Terreno",IF(AND(ISNUMBER(I1073),I1073&gt;0),M1073/I1073,""),IF(AND(ISNUMBER(H1073),H1073&gt;0),M1073/H1073,"")))</f>
        <v/>
      </c>
      <c r="Q1073" s="9">
        <f>IF(AND(ISNUMBER(M1073),ISNUMBER(O1073)),IF(M1073&lt;=O1073,"Valor ≤ venal IPTU",""),"")</f>
        <v/>
      </c>
      <c r="R1073" s="10" t="n"/>
      <c r="S1073" s="10" t="n"/>
      <c r="AA1073" s="10" t="n"/>
      <c r="AB1073" s="11">
        <f>IF(LEN(TRIM(X1073))=0,"",HYPERLINK("https://www.google.com/maps/@?api=1&amp;map_action=pano&amp;viewpoint="&amp;SUBSTITUTE(X1073," ",""),"Abrir Street View"))</f>
        <v/>
      </c>
    </row>
    <row r="1074">
      <c r="H1074" s="6" t="n"/>
      <c r="I1074" s="6" t="n"/>
      <c r="M1074" s="7" t="n"/>
      <c r="N1074" s="7" t="n"/>
      <c r="O1074" s="7" t="n"/>
      <c r="P1074" s="8">
        <f>IF(NOT(ISNUMBER(M1074)),"",IF(G1074="Terreno",IF(AND(ISNUMBER(I1074),I1074&gt;0),M1074/I1074,""),IF(AND(ISNUMBER(H1074),H1074&gt;0),M1074/H1074,"")))</f>
        <v/>
      </c>
      <c r="Q1074" s="9">
        <f>IF(AND(ISNUMBER(M1074),ISNUMBER(O1074)),IF(M1074&lt;=O1074,"Valor ≤ venal IPTU",""),"")</f>
        <v/>
      </c>
      <c r="R1074" s="10" t="n"/>
      <c r="S1074" s="10" t="n"/>
      <c r="AA1074" s="10" t="n"/>
      <c r="AB1074" s="11">
        <f>IF(LEN(TRIM(X1074))=0,"",HYPERLINK("https://www.google.com/maps/@?api=1&amp;map_action=pano&amp;viewpoint="&amp;SUBSTITUTE(X1074," ",""),"Abrir Street View"))</f>
        <v/>
      </c>
    </row>
    <row r="1075">
      <c r="H1075" s="6" t="n"/>
      <c r="I1075" s="6" t="n"/>
      <c r="M1075" s="7" t="n"/>
      <c r="N1075" s="7" t="n"/>
      <c r="O1075" s="7" t="n"/>
      <c r="P1075" s="8">
        <f>IF(NOT(ISNUMBER(M1075)),"",IF(G1075="Terreno",IF(AND(ISNUMBER(I1075),I1075&gt;0),M1075/I1075,""),IF(AND(ISNUMBER(H1075),H1075&gt;0),M1075/H1075,"")))</f>
        <v/>
      </c>
      <c r="Q1075" s="9">
        <f>IF(AND(ISNUMBER(M1075),ISNUMBER(O1075)),IF(M1075&lt;=O1075,"Valor ≤ venal IPTU",""),"")</f>
        <v/>
      </c>
      <c r="R1075" s="10" t="n"/>
      <c r="S1075" s="10" t="n"/>
      <c r="AA1075" s="10" t="n"/>
      <c r="AB1075" s="11">
        <f>IF(LEN(TRIM(X1075))=0,"",HYPERLINK("https://www.google.com/maps/@?api=1&amp;map_action=pano&amp;viewpoint="&amp;SUBSTITUTE(X1075," ",""),"Abrir Street View"))</f>
        <v/>
      </c>
    </row>
    <row r="1076">
      <c r="H1076" s="6" t="n"/>
      <c r="I1076" s="6" t="n"/>
      <c r="M1076" s="7" t="n"/>
      <c r="N1076" s="7" t="n"/>
      <c r="O1076" s="7" t="n"/>
      <c r="P1076" s="8">
        <f>IF(NOT(ISNUMBER(M1076)),"",IF(G1076="Terreno",IF(AND(ISNUMBER(I1076),I1076&gt;0),M1076/I1076,""),IF(AND(ISNUMBER(H1076),H1076&gt;0),M1076/H1076,"")))</f>
        <v/>
      </c>
      <c r="Q1076" s="9">
        <f>IF(AND(ISNUMBER(M1076),ISNUMBER(O1076)),IF(M1076&lt;=O1076,"Valor ≤ venal IPTU",""),"")</f>
        <v/>
      </c>
      <c r="R1076" s="10" t="n"/>
      <c r="S1076" s="10" t="n"/>
      <c r="AA1076" s="10" t="n"/>
      <c r="AB1076" s="11">
        <f>IF(LEN(TRIM(X1076))=0,"",HYPERLINK("https://www.google.com/maps/@?api=1&amp;map_action=pano&amp;viewpoint="&amp;SUBSTITUTE(X1076," ",""),"Abrir Street View"))</f>
        <v/>
      </c>
    </row>
    <row r="1077">
      <c r="H1077" s="6" t="n"/>
      <c r="I1077" s="6" t="n"/>
      <c r="M1077" s="7" t="n"/>
      <c r="N1077" s="7" t="n"/>
      <c r="O1077" s="7" t="n"/>
      <c r="P1077" s="8">
        <f>IF(NOT(ISNUMBER(M1077)),"",IF(G1077="Terreno",IF(AND(ISNUMBER(I1077),I1077&gt;0),M1077/I1077,""),IF(AND(ISNUMBER(H1077),H1077&gt;0),M1077/H1077,"")))</f>
        <v/>
      </c>
      <c r="Q1077" s="9">
        <f>IF(AND(ISNUMBER(M1077),ISNUMBER(O1077)),IF(M1077&lt;=O1077,"Valor ≤ venal IPTU",""),"")</f>
        <v/>
      </c>
      <c r="R1077" s="10" t="n"/>
      <c r="S1077" s="10" t="n"/>
      <c r="AA1077" s="10" t="n"/>
      <c r="AB1077" s="11">
        <f>IF(LEN(TRIM(X1077))=0,"",HYPERLINK("https://www.google.com/maps/@?api=1&amp;map_action=pano&amp;viewpoint="&amp;SUBSTITUTE(X1077," ",""),"Abrir Street View"))</f>
        <v/>
      </c>
    </row>
    <row r="1078">
      <c r="H1078" s="6" t="n"/>
      <c r="I1078" s="6" t="n"/>
      <c r="M1078" s="7" t="n"/>
      <c r="N1078" s="7" t="n"/>
      <c r="O1078" s="7" t="n"/>
      <c r="P1078" s="8">
        <f>IF(NOT(ISNUMBER(M1078)),"",IF(G1078="Terreno",IF(AND(ISNUMBER(I1078),I1078&gt;0),M1078/I1078,""),IF(AND(ISNUMBER(H1078),H1078&gt;0),M1078/H1078,"")))</f>
        <v/>
      </c>
      <c r="Q1078" s="9">
        <f>IF(AND(ISNUMBER(M1078),ISNUMBER(O1078)),IF(M1078&lt;=O1078,"Valor ≤ venal IPTU",""),"")</f>
        <v/>
      </c>
      <c r="R1078" s="10" t="n"/>
      <c r="S1078" s="10" t="n"/>
      <c r="AA1078" s="10" t="n"/>
      <c r="AB1078" s="11">
        <f>IF(LEN(TRIM(X1078))=0,"",HYPERLINK("https://www.google.com/maps/@?api=1&amp;map_action=pano&amp;viewpoint="&amp;SUBSTITUTE(X1078," ",""),"Abrir Street View"))</f>
        <v/>
      </c>
    </row>
    <row r="1079">
      <c r="H1079" s="6" t="n"/>
      <c r="I1079" s="6" t="n"/>
      <c r="M1079" s="7" t="n"/>
      <c r="N1079" s="7" t="n"/>
      <c r="O1079" s="7" t="n"/>
      <c r="P1079" s="8">
        <f>IF(NOT(ISNUMBER(M1079)),"",IF(G1079="Terreno",IF(AND(ISNUMBER(I1079),I1079&gt;0),M1079/I1079,""),IF(AND(ISNUMBER(H1079),H1079&gt;0),M1079/H1079,"")))</f>
        <v/>
      </c>
      <c r="Q1079" s="9">
        <f>IF(AND(ISNUMBER(M1079),ISNUMBER(O1079)),IF(M1079&lt;=O1079,"Valor ≤ venal IPTU",""),"")</f>
        <v/>
      </c>
      <c r="R1079" s="10" t="n"/>
      <c r="S1079" s="10" t="n"/>
      <c r="AA1079" s="10" t="n"/>
      <c r="AB1079" s="11">
        <f>IF(LEN(TRIM(X1079))=0,"",HYPERLINK("https://www.google.com/maps/@?api=1&amp;map_action=pano&amp;viewpoint="&amp;SUBSTITUTE(X1079," ",""),"Abrir Street View"))</f>
        <v/>
      </c>
    </row>
    <row r="1080">
      <c r="H1080" s="6" t="n"/>
      <c r="I1080" s="6" t="n"/>
      <c r="M1080" s="7" t="n"/>
      <c r="N1080" s="7" t="n"/>
      <c r="O1080" s="7" t="n"/>
      <c r="P1080" s="8">
        <f>IF(NOT(ISNUMBER(M1080)),"",IF(G1080="Terreno",IF(AND(ISNUMBER(I1080),I1080&gt;0),M1080/I1080,""),IF(AND(ISNUMBER(H1080),H1080&gt;0),M1080/H1080,"")))</f>
        <v/>
      </c>
      <c r="Q1080" s="9">
        <f>IF(AND(ISNUMBER(M1080),ISNUMBER(O1080)),IF(M1080&lt;=O1080,"Valor ≤ venal IPTU",""),"")</f>
        <v/>
      </c>
      <c r="R1080" s="10" t="n"/>
      <c r="S1080" s="10" t="n"/>
      <c r="AA1080" s="10" t="n"/>
      <c r="AB1080" s="11">
        <f>IF(LEN(TRIM(X1080))=0,"",HYPERLINK("https://www.google.com/maps/@?api=1&amp;map_action=pano&amp;viewpoint="&amp;SUBSTITUTE(X1080," ",""),"Abrir Street View"))</f>
        <v/>
      </c>
    </row>
    <row r="1081">
      <c r="H1081" s="6" t="n"/>
      <c r="I1081" s="6" t="n"/>
      <c r="M1081" s="7" t="n"/>
      <c r="N1081" s="7" t="n"/>
      <c r="O1081" s="7" t="n"/>
      <c r="P1081" s="8">
        <f>IF(NOT(ISNUMBER(M1081)),"",IF(G1081="Terreno",IF(AND(ISNUMBER(I1081),I1081&gt;0),M1081/I1081,""),IF(AND(ISNUMBER(H1081),H1081&gt;0),M1081/H1081,"")))</f>
        <v/>
      </c>
      <c r="Q1081" s="9">
        <f>IF(AND(ISNUMBER(M1081),ISNUMBER(O1081)),IF(M1081&lt;=O1081,"Valor ≤ venal IPTU",""),"")</f>
        <v/>
      </c>
      <c r="R1081" s="10" t="n"/>
      <c r="S1081" s="10" t="n"/>
      <c r="AA1081" s="10" t="n"/>
      <c r="AB1081" s="11">
        <f>IF(LEN(TRIM(X1081))=0,"",HYPERLINK("https://www.google.com/maps/@?api=1&amp;map_action=pano&amp;viewpoint="&amp;SUBSTITUTE(X1081," ",""),"Abrir Street View"))</f>
        <v/>
      </c>
    </row>
    <row r="1082">
      <c r="H1082" s="6" t="n"/>
      <c r="I1082" s="6" t="n"/>
      <c r="M1082" s="7" t="n"/>
      <c r="N1082" s="7" t="n"/>
      <c r="O1082" s="7" t="n"/>
      <c r="P1082" s="8">
        <f>IF(NOT(ISNUMBER(M1082)),"",IF(G1082="Terreno",IF(AND(ISNUMBER(I1082),I1082&gt;0),M1082/I1082,""),IF(AND(ISNUMBER(H1082),H1082&gt;0),M1082/H1082,"")))</f>
        <v/>
      </c>
      <c r="Q1082" s="9">
        <f>IF(AND(ISNUMBER(M1082),ISNUMBER(O1082)),IF(M1082&lt;=O1082,"Valor ≤ venal IPTU",""),"")</f>
        <v/>
      </c>
      <c r="R1082" s="10" t="n"/>
      <c r="S1082" s="10" t="n"/>
      <c r="AA1082" s="10" t="n"/>
      <c r="AB1082" s="11">
        <f>IF(LEN(TRIM(X1082))=0,"",HYPERLINK("https://www.google.com/maps/@?api=1&amp;map_action=pano&amp;viewpoint="&amp;SUBSTITUTE(X1082," ",""),"Abrir Street View"))</f>
        <v/>
      </c>
    </row>
    <row r="1083">
      <c r="H1083" s="6" t="n"/>
      <c r="I1083" s="6" t="n"/>
      <c r="M1083" s="7" t="n"/>
      <c r="N1083" s="7" t="n"/>
      <c r="O1083" s="7" t="n"/>
      <c r="P1083" s="8">
        <f>IF(NOT(ISNUMBER(M1083)),"",IF(G1083="Terreno",IF(AND(ISNUMBER(I1083),I1083&gt;0),M1083/I1083,""),IF(AND(ISNUMBER(H1083),H1083&gt;0),M1083/H1083,"")))</f>
        <v/>
      </c>
      <c r="Q1083" s="9">
        <f>IF(AND(ISNUMBER(M1083),ISNUMBER(O1083)),IF(M1083&lt;=O1083,"Valor ≤ venal IPTU",""),"")</f>
        <v/>
      </c>
      <c r="R1083" s="10" t="n"/>
      <c r="S1083" s="10" t="n"/>
      <c r="AA1083" s="10" t="n"/>
      <c r="AB1083" s="11">
        <f>IF(LEN(TRIM(X1083))=0,"",HYPERLINK("https://www.google.com/maps/@?api=1&amp;map_action=pano&amp;viewpoint="&amp;SUBSTITUTE(X1083," ",""),"Abrir Street View"))</f>
        <v/>
      </c>
    </row>
    <row r="1084">
      <c r="H1084" s="6" t="n"/>
      <c r="I1084" s="6" t="n"/>
      <c r="M1084" s="7" t="n"/>
      <c r="N1084" s="7" t="n"/>
      <c r="O1084" s="7" t="n"/>
      <c r="P1084" s="8">
        <f>IF(NOT(ISNUMBER(M1084)),"",IF(G1084="Terreno",IF(AND(ISNUMBER(I1084),I1084&gt;0),M1084/I1084,""),IF(AND(ISNUMBER(H1084),H1084&gt;0),M1084/H1084,"")))</f>
        <v/>
      </c>
      <c r="Q1084" s="9">
        <f>IF(AND(ISNUMBER(M1084),ISNUMBER(O1084)),IF(M1084&lt;=O1084,"Valor ≤ venal IPTU",""),"")</f>
        <v/>
      </c>
      <c r="R1084" s="10" t="n"/>
      <c r="S1084" s="10" t="n"/>
      <c r="AA1084" s="10" t="n"/>
      <c r="AB1084" s="11">
        <f>IF(LEN(TRIM(X1084))=0,"",HYPERLINK("https://www.google.com/maps/@?api=1&amp;map_action=pano&amp;viewpoint="&amp;SUBSTITUTE(X1084," ",""),"Abrir Street View"))</f>
        <v/>
      </c>
    </row>
    <row r="1085">
      <c r="H1085" s="6" t="n"/>
      <c r="I1085" s="6" t="n"/>
      <c r="M1085" s="7" t="n"/>
      <c r="N1085" s="7" t="n"/>
      <c r="O1085" s="7" t="n"/>
      <c r="P1085" s="8">
        <f>IF(NOT(ISNUMBER(M1085)),"",IF(G1085="Terreno",IF(AND(ISNUMBER(I1085),I1085&gt;0),M1085/I1085,""),IF(AND(ISNUMBER(H1085),H1085&gt;0),M1085/H1085,"")))</f>
        <v/>
      </c>
      <c r="Q1085" s="9">
        <f>IF(AND(ISNUMBER(M1085),ISNUMBER(O1085)),IF(M1085&lt;=O1085,"Valor ≤ venal IPTU",""),"")</f>
        <v/>
      </c>
      <c r="R1085" s="10" t="n"/>
      <c r="S1085" s="10" t="n"/>
      <c r="AA1085" s="10" t="n"/>
      <c r="AB1085" s="11">
        <f>IF(LEN(TRIM(X1085))=0,"",HYPERLINK("https://www.google.com/maps/@?api=1&amp;map_action=pano&amp;viewpoint="&amp;SUBSTITUTE(X1085," ",""),"Abrir Street View"))</f>
        <v/>
      </c>
    </row>
    <row r="1086">
      <c r="H1086" s="6" t="n"/>
      <c r="I1086" s="6" t="n"/>
      <c r="M1086" s="7" t="n"/>
      <c r="N1086" s="7" t="n"/>
      <c r="O1086" s="7" t="n"/>
      <c r="P1086" s="8">
        <f>IF(NOT(ISNUMBER(M1086)),"",IF(G1086="Terreno",IF(AND(ISNUMBER(I1086),I1086&gt;0),M1086/I1086,""),IF(AND(ISNUMBER(H1086),H1086&gt;0),M1086/H1086,"")))</f>
        <v/>
      </c>
      <c r="Q1086" s="9">
        <f>IF(AND(ISNUMBER(M1086),ISNUMBER(O1086)),IF(M1086&lt;=O1086,"Valor ≤ venal IPTU",""),"")</f>
        <v/>
      </c>
      <c r="R1086" s="10" t="n"/>
      <c r="S1086" s="10" t="n"/>
      <c r="AA1086" s="10" t="n"/>
      <c r="AB1086" s="11">
        <f>IF(LEN(TRIM(X1086))=0,"",HYPERLINK("https://www.google.com/maps/@?api=1&amp;map_action=pano&amp;viewpoint="&amp;SUBSTITUTE(X1086," ",""),"Abrir Street View"))</f>
        <v/>
      </c>
    </row>
    <row r="1087">
      <c r="H1087" s="6" t="n"/>
      <c r="I1087" s="6" t="n"/>
      <c r="M1087" s="7" t="n"/>
      <c r="N1087" s="7" t="n"/>
      <c r="O1087" s="7" t="n"/>
      <c r="P1087" s="8">
        <f>IF(NOT(ISNUMBER(M1087)),"",IF(G1087="Terreno",IF(AND(ISNUMBER(I1087),I1087&gt;0),M1087/I1087,""),IF(AND(ISNUMBER(H1087),H1087&gt;0),M1087/H1087,"")))</f>
        <v/>
      </c>
      <c r="Q1087" s="9">
        <f>IF(AND(ISNUMBER(M1087),ISNUMBER(O1087)),IF(M1087&lt;=O1087,"Valor ≤ venal IPTU",""),"")</f>
        <v/>
      </c>
      <c r="R1087" s="10" t="n"/>
      <c r="S1087" s="10" t="n"/>
      <c r="AA1087" s="10" t="n"/>
      <c r="AB1087" s="11">
        <f>IF(LEN(TRIM(X1087))=0,"",HYPERLINK("https://www.google.com/maps/@?api=1&amp;map_action=pano&amp;viewpoint="&amp;SUBSTITUTE(X1087," ",""),"Abrir Street View"))</f>
        <v/>
      </c>
    </row>
    <row r="1088">
      <c r="H1088" s="6" t="n"/>
      <c r="I1088" s="6" t="n"/>
      <c r="M1088" s="7" t="n"/>
      <c r="N1088" s="7" t="n"/>
      <c r="O1088" s="7" t="n"/>
      <c r="P1088" s="8">
        <f>IF(NOT(ISNUMBER(M1088)),"",IF(G1088="Terreno",IF(AND(ISNUMBER(I1088),I1088&gt;0),M1088/I1088,""),IF(AND(ISNUMBER(H1088),H1088&gt;0),M1088/H1088,"")))</f>
        <v/>
      </c>
      <c r="Q1088" s="9">
        <f>IF(AND(ISNUMBER(M1088),ISNUMBER(O1088)),IF(M1088&lt;=O1088,"Valor ≤ venal IPTU",""),"")</f>
        <v/>
      </c>
      <c r="R1088" s="10" t="n"/>
      <c r="S1088" s="10" t="n"/>
      <c r="AA1088" s="10" t="n"/>
      <c r="AB1088" s="11">
        <f>IF(LEN(TRIM(X1088))=0,"",HYPERLINK("https://www.google.com/maps/@?api=1&amp;map_action=pano&amp;viewpoint="&amp;SUBSTITUTE(X1088," ",""),"Abrir Street View"))</f>
        <v/>
      </c>
    </row>
    <row r="1089">
      <c r="H1089" s="6" t="n"/>
      <c r="I1089" s="6" t="n"/>
      <c r="M1089" s="7" t="n"/>
      <c r="N1089" s="7" t="n"/>
      <c r="O1089" s="7" t="n"/>
      <c r="P1089" s="8">
        <f>IF(NOT(ISNUMBER(M1089)),"",IF(G1089="Terreno",IF(AND(ISNUMBER(I1089),I1089&gt;0),M1089/I1089,""),IF(AND(ISNUMBER(H1089),H1089&gt;0),M1089/H1089,"")))</f>
        <v/>
      </c>
      <c r="Q1089" s="9">
        <f>IF(AND(ISNUMBER(M1089),ISNUMBER(O1089)),IF(M1089&lt;=O1089,"Valor ≤ venal IPTU",""),"")</f>
        <v/>
      </c>
      <c r="R1089" s="10" t="n"/>
      <c r="S1089" s="10" t="n"/>
      <c r="AA1089" s="10" t="n"/>
      <c r="AB1089" s="11">
        <f>IF(LEN(TRIM(X1089))=0,"",HYPERLINK("https://www.google.com/maps/@?api=1&amp;map_action=pano&amp;viewpoint="&amp;SUBSTITUTE(X1089," ",""),"Abrir Street View"))</f>
        <v/>
      </c>
    </row>
    <row r="1090">
      <c r="H1090" s="6" t="n"/>
      <c r="I1090" s="6" t="n"/>
      <c r="M1090" s="7" t="n"/>
      <c r="N1090" s="7" t="n"/>
      <c r="O1090" s="7" t="n"/>
      <c r="P1090" s="8">
        <f>IF(NOT(ISNUMBER(M1090)),"",IF(G1090="Terreno",IF(AND(ISNUMBER(I1090),I1090&gt;0),M1090/I1090,""),IF(AND(ISNUMBER(H1090),H1090&gt;0),M1090/H1090,"")))</f>
        <v/>
      </c>
      <c r="Q1090" s="9">
        <f>IF(AND(ISNUMBER(M1090),ISNUMBER(O1090)),IF(M1090&lt;=O1090,"Valor ≤ venal IPTU",""),"")</f>
        <v/>
      </c>
      <c r="R1090" s="10" t="n"/>
      <c r="S1090" s="10" t="n"/>
      <c r="AA1090" s="10" t="n"/>
      <c r="AB1090" s="11">
        <f>IF(LEN(TRIM(X1090))=0,"",HYPERLINK("https://www.google.com/maps/@?api=1&amp;map_action=pano&amp;viewpoint="&amp;SUBSTITUTE(X1090," ",""),"Abrir Street View"))</f>
        <v/>
      </c>
    </row>
    <row r="1091">
      <c r="H1091" s="6" t="n"/>
      <c r="I1091" s="6" t="n"/>
      <c r="M1091" s="7" t="n"/>
      <c r="N1091" s="7" t="n"/>
      <c r="O1091" s="7" t="n"/>
      <c r="P1091" s="8">
        <f>IF(NOT(ISNUMBER(M1091)),"",IF(G1091="Terreno",IF(AND(ISNUMBER(I1091),I1091&gt;0),M1091/I1091,""),IF(AND(ISNUMBER(H1091),H1091&gt;0),M1091/H1091,"")))</f>
        <v/>
      </c>
      <c r="Q1091" s="9">
        <f>IF(AND(ISNUMBER(M1091),ISNUMBER(O1091)),IF(M1091&lt;=O1091,"Valor ≤ venal IPTU",""),"")</f>
        <v/>
      </c>
      <c r="R1091" s="10" t="n"/>
      <c r="S1091" s="10" t="n"/>
      <c r="AA1091" s="10" t="n"/>
      <c r="AB1091" s="11">
        <f>IF(LEN(TRIM(X1091))=0,"",HYPERLINK("https://www.google.com/maps/@?api=1&amp;map_action=pano&amp;viewpoint="&amp;SUBSTITUTE(X1091," ",""),"Abrir Street View"))</f>
        <v/>
      </c>
    </row>
    <row r="1092">
      <c r="H1092" s="6" t="n"/>
      <c r="I1092" s="6" t="n"/>
      <c r="M1092" s="7" t="n"/>
      <c r="N1092" s="7" t="n"/>
      <c r="O1092" s="7" t="n"/>
      <c r="P1092" s="8">
        <f>IF(NOT(ISNUMBER(M1092)),"",IF(G1092="Terreno",IF(AND(ISNUMBER(I1092),I1092&gt;0),M1092/I1092,""),IF(AND(ISNUMBER(H1092),H1092&gt;0),M1092/H1092,"")))</f>
        <v/>
      </c>
      <c r="Q1092" s="9">
        <f>IF(AND(ISNUMBER(M1092),ISNUMBER(O1092)),IF(M1092&lt;=O1092,"Valor ≤ venal IPTU",""),"")</f>
        <v/>
      </c>
      <c r="R1092" s="10" t="n"/>
      <c r="S1092" s="10" t="n"/>
      <c r="AA1092" s="10" t="n"/>
      <c r="AB1092" s="11">
        <f>IF(LEN(TRIM(X1092))=0,"",HYPERLINK("https://www.google.com/maps/@?api=1&amp;map_action=pano&amp;viewpoint="&amp;SUBSTITUTE(X1092," ",""),"Abrir Street View"))</f>
        <v/>
      </c>
    </row>
    <row r="1093">
      <c r="H1093" s="6" t="n"/>
      <c r="I1093" s="6" t="n"/>
      <c r="M1093" s="7" t="n"/>
      <c r="N1093" s="7" t="n"/>
      <c r="O1093" s="7" t="n"/>
      <c r="P1093" s="8">
        <f>IF(NOT(ISNUMBER(M1093)),"",IF(G1093="Terreno",IF(AND(ISNUMBER(I1093),I1093&gt;0),M1093/I1093,""),IF(AND(ISNUMBER(H1093),H1093&gt;0),M1093/H1093,"")))</f>
        <v/>
      </c>
      <c r="Q1093" s="9">
        <f>IF(AND(ISNUMBER(M1093),ISNUMBER(O1093)),IF(M1093&lt;=O1093,"Valor ≤ venal IPTU",""),"")</f>
        <v/>
      </c>
      <c r="R1093" s="10" t="n"/>
      <c r="S1093" s="10" t="n"/>
      <c r="AA1093" s="10" t="n"/>
      <c r="AB1093" s="11">
        <f>IF(LEN(TRIM(X1093))=0,"",HYPERLINK("https://www.google.com/maps/@?api=1&amp;map_action=pano&amp;viewpoint="&amp;SUBSTITUTE(X1093," ",""),"Abrir Street View"))</f>
        <v/>
      </c>
    </row>
    <row r="1094">
      <c r="H1094" s="6" t="n"/>
      <c r="I1094" s="6" t="n"/>
      <c r="M1094" s="7" t="n"/>
      <c r="N1094" s="7" t="n"/>
      <c r="O1094" s="7" t="n"/>
      <c r="P1094" s="8">
        <f>IF(NOT(ISNUMBER(M1094)),"",IF(G1094="Terreno",IF(AND(ISNUMBER(I1094),I1094&gt;0),M1094/I1094,""),IF(AND(ISNUMBER(H1094),H1094&gt;0),M1094/H1094,"")))</f>
        <v/>
      </c>
      <c r="Q1094" s="9">
        <f>IF(AND(ISNUMBER(M1094),ISNUMBER(O1094)),IF(M1094&lt;=O1094,"Valor ≤ venal IPTU",""),"")</f>
        <v/>
      </c>
      <c r="R1094" s="10" t="n"/>
      <c r="S1094" s="10" t="n"/>
      <c r="AA1094" s="10" t="n"/>
      <c r="AB1094" s="11">
        <f>IF(LEN(TRIM(X1094))=0,"",HYPERLINK("https://www.google.com/maps/@?api=1&amp;map_action=pano&amp;viewpoint="&amp;SUBSTITUTE(X1094," ",""),"Abrir Street View"))</f>
        <v/>
      </c>
    </row>
    <row r="1095">
      <c r="H1095" s="6" t="n"/>
      <c r="I1095" s="6" t="n"/>
      <c r="M1095" s="7" t="n"/>
      <c r="N1095" s="7" t="n"/>
      <c r="O1095" s="7" t="n"/>
      <c r="P1095" s="8">
        <f>IF(NOT(ISNUMBER(M1095)),"",IF(G1095="Terreno",IF(AND(ISNUMBER(I1095),I1095&gt;0),M1095/I1095,""),IF(AND(ISNUMBER(H1095),H1095&gt;0),M1095/H1095,"")))</f>
        <v/>
      </c>
      <c r="Q1095" s="9">
        <f>IF(AND(ISNUMBER(M1095),ISNUMBER(O1095)),IF(M1095&lt;=O1095,"Valor ≤ venal IPTU",""),"")</f>
        <v/>
      </c>
      <c r="R1095" s="10" t="n"/>
      <c r="S1095" s="10" t="n"/>
      <c r="AA1095" s="10" t="n"/>
      <c r="AB1095" s="11">
        <f>IF(LEN(TRIM(X1095))=0,"",HYPERLINK("https://www.google.com/maps/@?api=1&amp;map_action=pano&amp;viewpoint="&amp;SUBSTITUTE(X1095," ",""),"Abrir Street View"))</f>
        <v/>
      </c>
    </row>
    <row r="1096">
      <c r="H1096" s="6" t="n"/>
      <c r="I1096" s="6" t="n"/>
      <c r="M1096" s="7" t="n"/>
      <c r="N1096" s="7" t="n"/>
      <c r="O1096" s="7" t="n"/>
      <c r="P1096" s="8">
        <f>IF(NOT(ISNUMBER(M1096)),"",IF(G1096="Terreno",IF(AND(ISNUMBER(I1096),I1096&gt;0),M1096/I1096,""),IF(AND(ISNUMBER(H1096),H1096&gt;0),M1096/H1096,"")))</f>
        <v/>
      </c>
      <c r="Q1096" s="9">
        <f>IF(AND(ISNUMBER(M1096),ISNUMBER(O1096)),IF(M1096&lt;=O1096,"Valor ≤ venal IPTU",""),"")</f>
        <v/>
      </c>
      <c r="R1096" s="10" t="n"/>
      <c r="S1096" s="10" t="n"/>
      <c r="AA1096" s="10" t="n"/>
      <c r="AB1096" s="11">
        <f>IF(LEN(TRIM(X1096))=0,"",HYPERLINK("https://www.google.com/maps/@?api=1&amp;map_action=pano&amp;viewpoint="&amp;SUBSTITUTE(X1096," ",""),"Abrir Street View"))</f>
        <v/>
      </c>
    </row>
    <row r="1097">
      <c r="H1097" s="6" t="n"/>
      <c r="I1097" s="6" t="n"/>
      <c r="M1097" s="7" t="n"/>
      <c r="N1097" s="7" t="n"/>
      <c r="O1097" s="7" t="n"/>
      <c r="P1097" s="8">
        <f>IF(NOT(ISNUMBER(M1097)),"",IF(G1097="Terreno",IF(AND(ISNUMBER(I1097),I1097&gt;0),M1097/I1097,""),IF(AND(ISNUMBER(H1097),H1097&gt;0),M1097/H1097,"")))</f>
        <v/>
      </c>
      <c r="Q1097" s="9">
        <f>IF(AND(ISNUMBER(M1097),ISNUMBER(O1097)),IF(M1097&lt;=O1097,"Valor ≤ venal IPTU",""),"")</f>
        <v/>
      </c>
      <c r="R1097" s="10" t="n"/>
      <c r="S1097" s="10" t="n"/>
      <c r="AA1097" s="10" t="n"/>
      <c r="AB1097" s="11">
        <f>IF(LEN(TRIM(X1097))=0,"",HYPERLINK("https://www.google.com/maps/@?api=1&amp;map_action=pano&amp;viewpoint="&amp;SUBSTITUTE(X1097," ",""),"Abrir Street View"))</f>
        <v/>
      </c>
    </row>
    <row r="1098">
      <c r="H1098" s="6" t="n"/>
      <c r="I1098" s="6" t="n"/>
      <c r="M1098" s="7" t="n"/>
      <c r="N1098" s="7" t="n"/>
      <c r="O1098" s="7" t="n"/>
      <c r="P1098" s="8">
        <f>IF(NOT(ISNUMBER(M1098)),"",IF(G1098="Terreno",IF(AND(ISNUMBER(I1098),I1098&gt;0),M1098/I1098,""),IF(AND(ISNUMBER(H1098),H1098&gt;0),M1098/H1098,"")))</f>
        <v/>
      </c>
      <c r="Q1098" s="9">
        <f>IF(AND(ISNUMBER(M1098),ISNUMBER(O1098)),IF(M1098&lt;=O1098,"Valor ≤ venal IPTU",""),"")</f>
        <v/>
      </c>
      <c r="R1098" s="10" t="n"/>
      <c r="S1098" s="10" t="n"/>
      <c r="AA1098" s="10" t="n"/>
      <c r="AB1098" s="11">
        <f>IF(LEN(TRIM(X1098))=0,"",HYPERLINK("https://www.google.com/maps/@?api=1&amp;map_action=pano&amp;viewpoint="&amp;SUBSTITUTE(X1098," ",""),"Abrir Street View"))</f>
        <v/>
      </c>
    </row>
    <row r="1099">
      <c r="H1099" s="6" t="n"/>
      <c r="I1099" s="6" t="n"/>
      <c r="M1099" s="7" t="n"/>
      <c r="N1099" s="7" t="n"/>
      <c r="O1099" s="7" t="n"/>
      <c r="P1099" s="8">
        <f>IF(NOT(ISNUMBER(M1099)),"",IF(G1099="Terreno",IF(AND(ISNUMBER(I1099),I1099&gt;0),M1099/I1099,""),IF(AND(ISNUMBER(H1099),H1099&gt;0),M1099/H1099,"")))</f>
        <v/>
      </c>
      <c r="Q1099" s="9">
        <f>IF(AND(ISNUMBER(M1099),ISNUMBER(O1099)),IF(M1099&lt;=O1099,"Valor ≤ venal IPTU",""),"")</f>
        <v/>
      </c>
      <c r="R1099" s="10" t="n"/>
      <c r="S1099" s="10" t="n"/>
      <c r="AA1099" s="10" t="n"/>
      <c r="AB1099" s="11">
        <f>IF(LEN(TRIM(X1099))=0,"",HYPERLINK("https://www.google.com/maps/@?api=1&amp;map_action=pano&amp;viewpoint="&amp;SUBSTITUTE(X1099," ",""),"Abrir Street View"))</f>
        <v/>
      </c>
    </row>
    <row r="1100">
      <c r="H1100" s="6" t="n"/>
      <c r="I1100" s="6" t="n"/>
      <c r="M1100" s="7" t="n"/>
      <c r="N1100" s="7" t="n"/>
      <c r="O1100" s="7" t="n"/>
      <c r="P1100" s="8">
        <f>IF(NOT(ISNUMBER(M1100)),"",IF(G1100="Terreno",IF(AND(ISNUMBER(I1100),I1100&gt;0),M1100/I1100,""),IF(AND(ISNUMBER(H1100),H1100&gt;0),M1100/H1100,"")))</f>
        <v/>
      </c>
      <c r="Q1100" s="9">
        <f>IF(AND(ISNUMBER(M1100),ISNUMBER(O1100)),IF(M1100&lt;=O1100,"Valor ≤ venal IPTU",""),"")</f>
        <v/>
      </c>
      <c r="R1100" s="10" t="n"/>
      <c r="S1100" s="10" t="n"/>
      <c r="AA1100" s="10" t="n"/>
      <c r="AB1100" s="11">
        <f>IF(LEN(TRIM(X1100))=0,"",HYPERLINK("https://www.google.com/maps/@?api=1&amp;map_action=pano&amp;viewpoint="&amp;SUBSTITUTE(X1100," ",""),"Abrir Street View"))</f>
        <v/>
      </c>
    </row>
    <row r="1101">
      <c r="H1101" s="6" t="n"/>
      <c r="I1101" s="6" t="n"/>
      <c r="M1101" s="7" t="n"/>
      <c r="N1101" s="7" t="n"/>
      <c r="O1101" s="7" t="n"/>
      <c r="P1101" s="8">
        <f>IF(NOT(ISNUMBER(M1101)),"",IF(G1101="Terreno",IF(AND(ISNUMBER(I1101),I1101&gt;0),M1101/I1101,""),IF(AND(ISNUMBER(H1101),H1101&gt;0),M1101/H1101,"")))</f>
        <v/>
      </c>
      <c r="Q1101" s="9">
        <f>IF(AND(ISNUMBER(M1101),ISNUMBER(O1101)),IF(M1101&lt;=O1101,"Valor ≤ venal IPTU",""),"")</f>
        <v/>
      </c>
      <c r="R1101" s="10" t="n"/>
      <c r="S1101" s="10" t="n"/>
      <c r="AA1101" s="10" t="n"/>
      <c r="AB1101" s="11">
        <f>IF(LEN(TRIM(X1101))=0,"",HYPERLINK("https://www.google.com/maps/@?api=1&amp;map_action=pano&amp;viewpoint="&amp;SUBSTITUTE(X1101," ",""),"Abrir Street View"))</f>
        <v/>
      </c>
    </row>
    <row r="1102">
      <c r="H1102" s="6" t="n"/>
      <c r="I1102" s="6" t="n"/>
      <c r="M1102" s="7" t="n"/>
      <c r="N1102" s="7" t="n"/>
      <c r="O1102" s="7" t="n"/>
      <c r="P1102" s="8">
        <f>IF(NOT(ISNUMBER(M1102)),"",IF(G1102="Terreno",IF(AND(ISNUMBER(I1102),I1102&gt;0),M1102/I1102,""),IF(AND(ISNUMBER(H1102),H1102&gt;0),M1102/H1102,"")))</f>
        <v/>
      </c>
      <c r="Q1102" s="9">
        <f>IF(AND(ISNUMBER(M1102),ISNUMBER(O1102)),IF(M1102&lt;=O1102,"Valor ≤ venal IPTU",""),"")</f>
        <v/>
      </c>
      <c r="R1102" s="10" t="n"/>
      <c r="S1102" s="10" t="n"/>
      <c r="AA1102" s="10" t="n"/>
      <c r="AB1102" s="11">
        <f>IF(LEN(TRIM(X1102))=0,"",HYPERLINK("https://www.google.com/maps/@?api=1&amp;map_action=pano&amp;viewpoint="&amp;SUBSTITUTE(X1102," ",""),"Abrir Street View"))</f>
        <v/>
      </c>
    </row>
    <row r="1103">
      <c r="H1103" s="6" t="n"/>
      <c r="I1103" s="6" t="n"/>
      <c r="M1103" s="7" t="n"/>
      <c r="N1103" s="7" t="n"/>
      <c r="O1103" s="7" t="n"/>
      <c r="P1103" s="8">
        <f>IF(NOT(ISNUMBER(M1103)),"",IF(G1103="Terreno",IF(AND(ISNUMBER(I1103),I1103&gt;0),M1103/I1103,""),IF(AND(ISNUMBER(H1103),H1103&gt;0),M1103/H1103,"")))</f>
        <v/>
      </c>
      <c r="Q1103" s="9">
        <f>IF(AND(ISNUMBER(M1103),ISNUMBER(O1103)),IF(M1103&lt;=O1103,"Valor ≤ venal IPTU",""),"")</f>
        <v/>
      </c>
      <c r="R1103" s="10" t="n"/>
      <c r="S1103" s="10" t="n"/>
      <c r="AA1103" s="10" t="n"/>
      <c r="AB1103" s="11">
        <f>IF(LEN(TRIM(X1103))=0,"",HYPERLINK("https://www.google.com/maps/@?api=1&amp;map_action=pano&amp;viewpoint="&amp;SUBSTITUTE(X1103," ",""),"Abrir Street View"))</f>
        <v/>
      </c>
    </row>
    <row r="1104">
      <c r="H1104" s="6" t="n"/>
      <c r="I1104" s="6" t="n"/>
      <c r="M1104" s="7" t="n"/>
      <c r="N1104" s="7" t="n"/>
      <c r="O1104" s="7" t="n"/>
      <c r="P1104" s="8">
        <f>IF(NOT(ISNUMBER(M1104)),"",IF(G1104="Terreno",IF(AND(ISNUMBER(I1104),I1104&gt;0),M1104/I1104,""),IF(AND(ISNUMBER(H1104),H1104&gt;0),M1104/H1104,"")))</f>
        <v/>
      </c>
      <c r="Q1104" s="9">
        <f>IF(AND(ISNUMBER(M1104),ISNUMBER(O1104)),IF(M1104&lt;=O1104,"Valor ≤ venal IPTU",""),"")</f>
        <v/>
      </c>
      <c r="R1104" s="10" t="n"/>
      <c r="S1104" s="10" t="n"/>
      <c r="AA1104" s="10" t="n"/>
      <c r="AB1104" s="11">
        <f>IF(LEN(TRIM(X1104))=0,"",HYPERLINK("https://www.google.com/maps/@?api=1&amp;map_action=pano&amp;viewpoint="&amp;SUBSTITUTE(X1104," ",""),"Abrir Street View"))</f>
        <v/>
      </c>
    </row>
    <row r="1105">
      <c r="H1105" s="6" t="n"/>
      <c r="I1105" s="6" t="n"/>
      <c r="M1105" s="7" t="n"/>
      <c r="N1105" s="7" t="n"/>
      <c r="O1105" s="7" t="n"/>
      <c r="P1105" s="8">
        <f>IF(NOT(ISNUMBER(M1105)),"",IF(G1105="Terreno",IF(AND(ISNUMBER(I1105),I1105&gt;0),M1105/I1105,""),IF(AND(ISNUMBER(H1105),H1105&gt;0),M1105/H1105,"")))</f>
        <v/>
      </c>
      <c r="Q1105" s="9">
        <f>IF(AND(ISNUMBER(M1105),ISNUMBER(O1105)),IF(M1105&lt;=O1105,"Valor ≤ venal IPTU",""),"")</f>
        <v/>
      </c>
      <c r="R1105" s="10" t="n"/>
      <c r="S1105" s="10" t="n"/>
      <c r="AA1105" s="10" t="n"/>
      <c r="AB1105" s="11">
        <f>IF(LEN(TRIM(X1105))=0,"",HYPERLINK("https://www.google.com/maps/@?api=1&amp;map_action=pano&amp;viewpoint="&amp;SUBSTITUTE(X1105," ",""),"Abrir Street View"))</f>
        <v/>
      </c>
    </row>
    <row r="1106">
      <c r="H1106" s="6" t="n"/>
      <c r="I1106" s="6" t="n"/>
      <c r="M1106" s="7" t="n"/>
      <c r="N1106" s="7" t="n"/>
      <c r="O1106" s="7" t="n"/>
      <c r="P1106" s="8">
        <f>IF(NOT(ISNUMBER(M1106)),"",IF(G1106="Terreno",IF(AND(ISNUMBER(I1106),I1106&gt;0),M1106/I1106,""),IF(AND(ISNUMBER(H1106),H1106&gt;0),M1106/H1106,"")))</f>
        <v/>
      </c>
      <c r="Q1106" s="9">
        <f>IF(AND(ISNUMBER(M1106),ISNUMBER(O1106)),IF(M1106&lt;=O1106,"Valor ≤ venal IPTU",""),"")</f>
        <v/>
      </c>
      <c r="R1106" s="10" t="n"/>
      <c r="S1106" s="10" t="n"/>
      <c r="AA1106" s="10" t="n"/>
      <c r="AB1106" s="11">
        <f>IF(LEN(TRIM(X1106))=0,"",HYPERLINK("https://www.google.com/maps/@?api=1&amp;map_action=pano&amp;viewpoint="&amp;SUBSTITUTE(X1106," ",""),"Abrir Street View"))</f>
        <v/>
      </c>
    </row>
    <row r="1107">
      <c r="H1107" s="6" t="n"/>
      <c r="I1107" s="6" t="n"/>
      <c r="M1107" s="7" t="n"/>
      <c r="N1107" s="7" t="n"/>
      <c r="O1107" s="7" t="n"/>
      <c r="P1107" s="8">
        <f>IF(NOT(ISNUMBER(M1107)),"",IF(G1107="Terreno",IF(AND(ISNUMBER(I1107),I1107&gt;0),M1107/I1107,""),IF(AND(ISNUMBER(H1107),H1107&gt;0),M1107/H1107,"")))</f>
        <v/>
      </c>
      <c r="Q1107" s="9">
        <f>IF(AND(ISNUMBER(M1107),ISNUMBER(O1107)),IF(M1107&lt;=O1107,"Valor ≤ venal IPTU",""),"")</f>
        <v/>
      </c>
      <c r="R1107" s="10" t="n"/>
      <c r="S1107" s="10" t="n"/>
      <c r="AA1107" s="10" t="n"/>
      <c r="AB1107" s="11">
        <f>IF(LEN(TRIM(X1107))=0,"",HYPERLINK("https://www.google.com/maps/@?api=1&amp;map_action=pano&amp;viewpoint="&amp;SUBSTITUTE(X1107," ",""),"Abrir Street View"))</f>
        <v/>
      </c>
    </row>
    <row r="1108">
      <c r="H1108" s="6" t="n"/>
      <c r="I1108" s="6" t="n"/>
      <c r="M1108" s="7" t="n"/>
      <c r="N1108" s="7" t="n"/>
      <c r="O1108" s="7" t="n"/>
      <c r="P1108" s="8">
        <f>IF(NOT(ISNUMBER(M1108)),"",IF(G1108="Terreno",IF(AND(ISNUMBER(I1108),I1108&gt;0),M1108/I1108,""),IF(AND(ISNUMBER(H1108),H1108&gt;0),M1108/H1108,"")))</f>
        <v/>
      </c>
      <c r="Q1108" s="9">
        <f>IF(AND(ISNUMBER(M1108),ISNUMBER(O1108)),IF(M1108&lt;=O1108,"Valor ≤ venal IPTU",""),"")</f>
        <v/>
      </c>
      <c r="R1108" s="10" t="n"/>
      <c r="S1108" s="10" t="n"/>
      <c r="AA1108" s="10" t="n"/>
      <c r="AB1108" s="11">
        <f>IF(LEN(TRIM(X1108))=0,"",HYPERLINK("https://www.google.com/maps/@?api=1&amp;map_action=pano&amp;viewpoint="&amp;SUBSTITUTE(X1108," ",""),"Abrir Street View"))</f>
        <v/>
      </c>
    </row>
    <row r="1109">
      <c r="H1109" s="6" t="n"/>
      <c r="I1109" s="6" t="n"/>
      <c r="M1109" s="7" t="n"/>
      <c r="N1109" s="7" t="n"/>
      <c r="O1109" s="7" t="n"/>
      <c r="P1109" s="8">
        <f>IF(NOT(ISNUMBER(M1109)),"",IF(G1109="Terreno",IF(AND(ISNUMBER(I1109),I1109&gt;0),M1109/I1109,""),IF(AND(ISNUMBER(H1109),H1109&gt;0),M1109/H1109,"")))</f>
        <v/>
      </c>
      <c r="Q1109" s="9">
        <f>IF(AND(ISNUMBER(M1109),ISNUMBER(O1109)),IF(M1109&lt;=O1109,"Valor ≤ venal IPTU",""),"")</f>
        <v/>
      </c>
      <c r="R1109" s="10" t="n"/>
      <c r="S1109" s="10" t="n"/>
      <c r="AA1109" s="10" t="n"/>
      <c r="AB1109" s="11">
        <f>IF(LEN(TRIM(X1109))=0,"",HYPERLINK("https://www.google.com/maps/@?api=1&amp;map_action=pano&amp;viewpoint="&amp;SUBSTITUTE(X1109," ",""),"Abrir Street View"))</f>
        <v/>
      </c>
    </row>
    <row r="1110">
      <c r="H1110" s="6" t="n"/>
      <c r="I1110" s="6" t="n"/>
      <c r="M1110" s="7" t="n"/>
      <c r="N1110" s="7" t="n"/>
      <c r="O1110" s="7" t="n"/>
      <c r="P1110" s="8">
        <f>IF(NOT(ISNUMBER(M1110)),"",IF(G1110="Terreno",IF(AND(ISNUMBER(I1110),I1110&gt;0),M1110/I1110,""),IF(AND(ISNUMBER(H1110),H1110&gt;0),M1110/H1110,"")))</f>
        <v/>
      </c>
      <c r="Q1110" s="9">
        <f>IF(AND(ISNUMBER(M1110),ISNUMBER(O1110)),IF(M1110&lt;=O1110,"Valor ≤ venal IPTU",""),"")</f>
        <v/>
      </c>
      <c r="R1110" s="10" t="n"/>
      <c r="S1110" s="10" t="n"/>
      <c r="AA1110" s="10" t="n"/>
      <c r="AB1110" s="11">
        <f>IF(LEN(TRIM(X1110))=0,"",HYPERLINK("https://www.google.com/maps/@?api=1&amp;map_action=pano&amp;viewpoint="&amp;SUBSTITUTE(X1110," ",""),"Abrir Street View"))</f>
        <v/>
      </c>
    </row>
    <row r="1111">
      <c r="H1111" s="6" t="n"/>
      <c r="I1111" s="6" t="n"/>
      <c r="M1111" s="7" t="n"/>
      <c r="N1111" s="7" t="n"/>
      <c r="O1111" s="7" t="n"/>
      <c r="P1111" s="8">
        <f>IF(NOT(ISNUMBER(M1111)),"",IF(G1111="Terreno",IF(AND(ISNUMBER(I1111),I1111&gt;0),M1111/I1111,""),IF(AND(ISNUMBER(H1111),H1111&gt;0),M1111/H1111,"")))</f>
        <v/>
      </c>
      <c r="Q1111" s="9">
        <f>IF(AND(ISNUMBER(M1111),ISNUMBER(O1111)),IF(M1111&lt;=O1111,"Valor ≤ venal IPTU",""),"")</f>
        <v/>
      </c>
      <c r="R1111" s="10" t="n"/>
      <c r="S1111" s="10" t="n"/>
      <c r="AA1111" s="10" t="n"/>
      <c r="AB1111" s="11">
        <f>IF(LEN(TRIM(X1111))=0,"",HYPERLINK("https://www.google.com/maps/@?api=1&amp;map_action=pano&amp;viewpoint="&amp;SUBSTITUTE(X1111," ",""),"Abrir Street View"))</f>
        <v/>
      </c>
    </row>
    <row r="1112">
      <c r="H1112" s="6" t="n"/>
      <c r="I1112" s="6" t="n"/>
      <c r="M1112" s="7" t="n"/>
      <c r="N1112" s="7" t="n"/>
      <c r="O1112" s="7" t="n"/>
      <c r="P1112" s="8">
        <f>IF(NOT(ISNUMBER(M1112)),"",IF(G1112="Terreno",IF(AND(ISNUMBER(I1112),I1112&gt;0),M1112/I1112,""),IF(AND(ISNUMBER(H1112),H1112&gt;0),M1112/H1112,"")))</f>
        <v/>
      </c>
      <c r="Q1112" s="9">
        <f>IF(AND(ISNUMBER(M1112),ISNUMBER(O1112)),IF(M1112&lt;=O1112,"Valor ≤ venal IPTU",""),"")</f>
        <v/>
      </c>
      <c r="R1112" s="10" t="n"/>
      <c r="S1112" s="10" t="n"/>
      <c r="AA1112" s="10" t="n"/>
      <c r="AB1112" s="11">
        <f>IF(LEN(TRIM(X1112))=0,"",HYPERLINK("https://www.google.com/maps/@?api=1&amp;map_action=pano&amp;viewpoint="&amp;SUBSTITUTE(X1112," ",""),"Abrir Street View"))</f>
        <v/>
      </c>
    </row>
    <row r="1113">
      <c r="H1113" s="6" t="n"/>
      <c r="I1113" s="6" t="n"/>
      <c r="M1113" s="7" t="n"/>
      <c r="N1113" s="7" t="n"/>
      <c r="O1113" s="7" t="n"/>
      <c r="P1113" s="8">
        <f>IF(NOT(ISNUMBER(M1113)),"",IF(G1113="Terreno",IF(AND(ISNUMBER(I1113),I1113&gt;0),M1113/I1113,""),IF(AND(ISNUMBER(H1113),H1113&gt;0),M1113/H1113,"")))</f>
        <v/>
      </c>
      <c r="Q1113" s="9">
        <f>IF(AND(ISNUMBER(M1113),ISNUMBER(O1113)),IF(M1113&lt;=O1113,"Valor ≤ venal IPTU",""),"")</f>
        <v/>
      </c>
      <c r="R1113" s="10" t="n"/>
      <c r="S1113" s="10" t="n"/>
      <c r="AA1113" s="10" t="n"/>
      <c r="AB1113" s="11">
        <f>IF(LEN(TRIM(X1113))=0,"",HYPERLINK("https://www.google.com/maps/@?api=1&amp;map_action=pano&amp;viewpoint="&amp;SUBSTITUTE(X1113," ",""),"Abrir Street View"))</f>
        <v/>
      </c>
    </row>
    <row r="1114">
      <c r="H1114" s="6" t="n"/>
      <c r="I1114" s="6" t="n"/>
      <c r="M1114" s="7" t="n"/>
      <c r="N1114" s="7" t="n"/>
      <c r="O1114" s="7" t="n"/>
      <c r="P1114" s="8">
        <f>IF(NOT(ISNUMBER(M1114)),"",IF(G1114="Terreno",IF(AND(ISNUMBER(I1114),I1114&gt;0),M1114/I1114,""),IF(AND(ISNUMBER(H1114),H1114&gt;0),M1114/H1114,"")))</f>
        <v/>
      </c>
      <c r="Q1114" s="9">
        <f>IF(AND(ISNUMBER(M1114),ISNUMBER(O1114)),IF(M1114&lt;=O1114,"Valor ≤ venal IPTU",""),"")</f>
        <v/>
      </c>
      <c r="R1114" s="10" t="n"/>
      <c r="S1114" s="10" t="n"/>
      <c r="AA1114" s="10" t="n"/>
      <c r="AB1114" s="11">
        <f>IF(LEN(TRIM(X1114))=0,"",HYPERLINK("https://www.google.com/maps/@?api=1&amp;map_action=pano&amp;viewpoint="&amp;SUBSTITUTE(X1114," ",""),"Abrir Street View"))</f>
        <v/>
      </c>
    </row>
    <row r="1115">
      <c r="H1115" s="6" t="n"/>
      <c r="I1115" s="6" t="n"/>
      <c r="M1115" s="7" t="n"/>
      <c r="N1115" s="7" t="n"/>
      <c r="O1115" s="7" t="n"/>
      <c r="P1115" s="8">
        <f>IF(NOT(ISNUMBER(M1115)),"",IF(G1115="Terreno",IF(AND(ISNUMBER(I1115),I1115&gt;0),M1115/I1115,""),IF(AND(ISNUMBER(H1115),H1115&gt;0),M1115/H1115,"")))</f>
        <v/>
      </c>
      <c r="Q1115" s="9">
        <f>IF(AND(ISNUMBER(M1115),ISNUMBER(O1115)),IF(M1115&lt;=O1115,"Valor ≤ venal IPTU",""),"")</f>
        <v/>
      </c>
      <c r="R1115" s="10" t="n"/>
      <c r="S1115" s="10" t="n"/>
      <c r="AA1115" s="10" t="n"/>
      <c r="AB1115" s="11">
        <f>IF(LEN(TRIM(X1115))=0,"",HYPERLINK("https://www.google.com/maps/@?api=1&amp;map_action=pano&amp;viewpoint="&amp;SUBSTITUTE(X1115," ",""),"Abrir Street View"))</f>
        <v/>
      </c>
    </row>
    <row r="1116">
      <c r="H1116" s="6" t="n"/>
      <c r="I1116" s="6" t="n"/>
      <c r="M1116" s="7" t="n"/>
      <c r="N1116" s="7" t="n"/>
      <c r="O1116" s="7" t="n"/>
      <c r="P1116" s="8">
        <f>IF(NOT(ISNUMBER(M1116)),"",IF(G1116="Terreno",IF(AND(ISNUMBER(I1116),I1116&gt;0),M1116/I1116,""),IF(AND(ISNUMBER(H1116),H1116&gt;0),M1116/H1116,"")))</f>
        <v/>
      </c>
      <c r="Q1116" s="9">
        <f>IF(AND(ISNUMBER(M1116),ISNUMBER(O1116)),IF(M1116&lt;=O1116,"Valor ≤ venal IPTU",""),"")</f>
        <v/>
      </c>
      <c r="R1116" s="10" t="n"/>
      <c r="S1116" s="10" t="n"/>
      <c r="AA1116" s="10" t="n"/>
      <c r="AB1116" s="11">
        <f>IF(LEN(TRIM(X1116))=0,"",HYPERLINK("https://www.google.com/maps/@?api=1&amp;map_action=pano&amp;viewpoint="&amp;SUBSTITUTE(X1116," ",""),"Abrir Street View"))</f>
        <v/>
      </c>
    </row>
    <row r="1117">
      <c r="H1117" s="6" t="n"/>
      <c r="I1117" s="6" t="n"/>
      <c r="M1117" s="7" t="n"/>
      <c r="N1117" s="7" t="n"/>
      <c r="O1117" s="7" t="n"/>
      <c r="P1117" s="8">
        <f>IF(NOT(ISNUMBER(M1117)),"",IF(G1117="Terreno",IF(AND(ISNUMBER(I1117),I1117&gt;0),M1117/I1117,""),IF(AND(ISNUMBER(H1117),H1117&gt;0),M1117/H1117,"")))</f>
        <v/>
      </c>
      <c r="Q1117" s="9">
        <f>IF(AND(ISNUMBER(M1117),ISNUMBER(O1117)),IF(M1117&lt;=O1117,"Valor ≤ venal IPTU",""),"")</f>
        <v/>
      </c>
      <c r="R1117" s="10" t="n"/>
      <c r="S1117" s="10" t="n"/>
      <c r="AA1117" s="10" t="n"/>
      <c r="AB1117" s="11">
        <f>IF(LEN(TRIM(X1117))=0,"",HYPERLINK("https://www.google.com/maps/@?api=1&amp;map_action=pano&amp;viewpoint="&amp;SUBSTITUTE(X1117," ",""),"Abrir Street View"))</f>
        <v/>
      </c>
    </row>
    <row r="1118">
      <c r="H1118" s="6" t="n"/>
      <c r="I1118" s="6" t="n"/>
      <c r="M1118" s="7" t="n"/>
      <c r="N1118" s="7" t="n"/>
      <c r="O1118" s="7" t="n"/>
      <c r="P1118" s="8">
        <f>IF(NOT(ISNUMBER(M1118)),"",IF(G1118="Terreno",IF(AND(ISNUMBER(I1118),I1118&gt;0),M1118/I1118,""),IF(AND(ISNUMBER(H1118),H1118&gt;0),M1118/H1118,"")))</f>
        <v/>
      </c>
      <c r="Q1118" s="9">
        <f>IF(AND(ISNUMBER(M1118),ISNUMBER(O1118)),IF(M1118&lt;=O1118,"Valor ≤ venal IPTU",""),"")</f>
        <v/>
      </c>
      <c r="R1118" s="10" t="n"/>
      <c r="S1118" s="10" t="n"/>
      <c r="AA1118" s="10" t="n"/>
      <c r="AB1118" s="11">
        <f>IF(LEN(TRIM(X1118))=0,"",HYPERLINK("https://www.google.com/maps/@?api=1&amp;map_action=pano&amp;viewpoint="&amp;SUBSTITUTE(X1118," ",""),"Abrir Street View"))</f>
        <v/>
      </c>
    </row>
    <row r="1119">
      <c r="H1119" s="6" t="n"/>
      <c r="I1119" s="6" t="n"/>
      <c r="M1119" s="7" t="n"/>
      <c r="N1119" s="7" t="n"/>
      <c r="O1119" s="7" t="n"/>
      <c r="P1119" s="8">
        <f>IF(NOT(ISNUMBER(M1119)),"",IF(G1119="Terreno",IF(AND(ISNUMBER(I1119),I1119&gt;0),M1119/I1119,""),IF(AND(ISNUMBER(H1119),H1119&gt;0),M1119/H1119,"")))</f>
        <v/>
      </c>
      <c r="Q1119" s="9">
        <f>IF(AND(ISNUMBER(M1119),ISNUMBER(O1119)),IF(M1119&lt;=O1119,"Valor ≤ venal IPTU",""),"")</f>
        <v/>
      </c>
      <c r="R1119" s="10" t="n"/>
      <c r="S1119" s="10" t="n"/>
      <c r="AA1119" s="10" t="n"/>
      <c r="AB1119" s="11">
        <f>IF(LEN(TRIM(X1119))=0,"",HYPERLINK("https://www.google.com/maps/@?api=1&amp;map_action=pano&amp;viewpoint="&amp;SUBSTITUTE(X1119," ",""),"Abrir Street View"))</f>
        <v/>
      </c>
    </row>
    <row r="1120">
      <c r="H1120" s="6" t="n"/>
      <c r="I1120" s="6" t="n"/>
      <c r="M1120" s="7" t="n"/>
      <c r="N1120" s="7" t="n"/>
      <c r="O1120" s="7" t="n"/>
      <c r="P1120" s="8">
        <f>IF(NOT(ISNUMBER(M1120)),"",IF(G1120="Terreno",IF(AND(ISNUMBER(I1120),I1120&gt;0),M1120/I1120,""),IF(AND(ISNUMBER(H1120),H1120&gt;0),M1120/H1120,"")))</f>
        <v/>
      </c>
      <c r="Q1120" s="9">
        <f>IF(AND(ISNUMBER(M1120),ISNUMBER(O1120)),IF(M1120&lt;=O1120,"Valor ≤ venal IPTU",""),"")</f>
        <v/>
      </c>
      <c r="R1120" s="10" t="n"/>
      <c r="S1120" s="10" t="n"/>
      <c r="AA1120" s="10" t="n"/>
      <c r="AB1120" s="11">
        <f>IF(LEN(TRIM(X1120))=0,"",HYPERLINK("https://www.google.com/maps/@?api=1&amp;map_action=pano&amp;viewpoint="&amp;SUBSTITUTE(X1120," ",""),"Abrir Street View"))</f>
        <v/>
      </c>
    </row>
    <row r="1121">
      <c r="H1121" s="6" t="n"/>
      <c r="I1121" s="6" t="n"/>
      <c r="M1121" s="7" t="n"/>
      <c r="N1121" s="7" t="n"/>
      <c r="O1121" s="7" t="n"/>
      <c r="P1121" s="8">
        <f>IF(NOT(ISNUMBER(M1121)),"",IF(G1121="Terreno",IF(AND(ISNUMBER(I1121),I1121&gt;0),M1121/I1121,""),IF(AND(ISNUMBER(H1121),H1121&gt;0),M1121/H1121,"")))</f>
        <v/>
      </c>
      <c r="Q1121" s="9">
        <f>IF(AND(ISNUMBER(M1121),ISNUMBER(O1121)),IF(M1121&lt;=O1121,"Valor ≤ venal IPTU",""),"")</f>
        <v/>
      </c>
      <c r="R1121" s="10" t="n"/>
      <c r="S1121" s="10" t="n"/>
      <c r="AA1121" s="10" t="n"/>
      <c r="AB1121" s="11">
        <f>IF(LEN(TRIM(X1121))=0,"",HYPERLINK("https://www.google.com/maps/@?api=1&amp;map_action=pano&amp;viewpoint="&amp;SUBSTITUTE(X1121," ",""),"Abrir Street View"))</f>
        <v/>
      </c>
    </row>
    <row r="1122">
      <c r="H1122" s="6" t="n"/>
      <c r="I1122" s="6" t="n"/>
      <c r="M1122" s="7" t="n"/>
      <c r="N1122" s="7" t="n"/>
      <c r="O1122" s="7" t="n"/>
      <c r="P1122" s="8">
        <f>IF(NOT(ISNUMBER(M1122)),"",IF(G1122="Terreno",IF(AND(ISNUMBER(I1122),I1122&gt;0),M1122/I1122,""),IF(AND(ISNUMBER(H1122),H1122&gt;0),M1122/H1122,"")))</f>
        <v/>
      </c>
      <c r="Q1122" s="9">
        <f>IF(AND(ISNUMBER(M1122),ISNUMBER(O1122)),IF(M1122&lt;=O1122,"Valor ≤ venal IPTU",""),"")</f>
        <v/>
      </c>
      <c r="R1122" s="10" t="n"/>
      <c r="S1122" s="10" t="n"/>
      <c r="AA1122" s="10" t="n"/>
      <c r="AB1122" s="11">
        <f>IF(LEN(TRIM(X1122))=0,"",HYPERLINK("https://www.google.com/maps/@?api=1&amp;map_action=pano&amp;viewpoint="&amp;SUBSTITUTE(X1122," ",""),"Abrir Street View"))</f>
        <v/>
      </c>
    </row>
    <row r="1123">
      <c r="H1123" s="6" t="n"/>
      <c r="I1123" s="6" t="n"/>
      <c r="M1123" s="7" t="n"/>
      <c r="N1123" s="7" t="n"/>
      <c r="O1123" s="7" t="n"/>
      <c r="P1123" s="8">
        <f>IF(NOT(ISNUMBER(M1123)),"",IF(G1123="Terreno",IF(AND(ISNUMBER(I1123),I1123&gt;0),M1123/I1123,""),IF(AND(ISNUMBER(H1123),H1123&gt;0),M1123/H1123,"")))</f>
        <v/>
      </c>
      <c r="Q1123" s="9">
        <f>IF(AND(ISNUMBER(M1123),ISNUMBER(O1123)),IF(M1123&lt;=O1123,"Valor ≤ venal IPTU",""),"")</f>
        <v/>
      </c>
      <c r="R1123" s="10" t="n"/>
      <c r="S1123" s="10" t="n"/>
      <c r="AA1123" s="10" t="n"/>
      <c r="AB1123" s="11">
        <f>IF(LEN(TRIM(X1123))=0,"",HYPERLINK("https://www.google.com/maps/@?api=1&amp;map_action=pano&amp;viewpoint="&amp;SUBSTITUTE(X1123," ",""),"Abrir Street View"))</f>
        <v/>
      </c>
    </row>
    <row r="1124">
      <c r="H1124" s="6" t="n"/>
      <c r="I1124" s="6" t="n"/>
      <c r="M1124" s="7" t="n"/>
      <c r="N1124" s="7" t="n"/>
      <c r="O1124" s="7" t="n"/>
      <c r="P1124" s="8">
        <f>IF(NOT(ISNUMBER(M1124)),"",IF(G1124="Terreno",IF(AND(ISNUMBER(I1124),I1124&gt;0),M1124/I1124,""),IF(AND(ISNUMBER(H1124),H1124&gt;0),M1124/H1124,"")))</f>
        <v/>
      </c>
      <c r="Q1124" s="9">
        <f>IF(AND(ISNUMBER(M1124),ISNUMBER(O1124)),IF(M1124&lt;=O1124,"Valor ≤ venal IPTU",""),"")</f>
        <v/>
      </c>
      <c r="R1124" s="10" t="n"/>
      <c r="S1124" s="10" t="n"/>
      <c r="AA1124" s="10" t="n"/>
      <c r="AB1124" s="11">
        <f>IF(LEN(TRIM(X1124))=0,"",HYPERLINK("https://www.google.com/maps/@?api=1&amp;map_action=pano&amp;viewpoint="&amp;SUBSTITUTE(X1124," ",""),"Abrir Street View"))</f>
        <v/>
      </c>
    </row>
    <row r="1125">
      <c r="H1125" s="6" t="n"/>
      <c r="I1125" s="6" t="n"/>
      <c r="M1125" s="7" t="n"/>
      <c r="N1125" s="7" t="n"/>
      <c r="O1125" s="7" t="n"/>
      <c r="P1125" s="8">
        <f>IF(NOT(ISNUMBER(M1125)),"",IF(G1125="Terreno",IF(AND(ISNUMBER(I1125),I1125&gt;0),M1125/I1125,""),IF(AND(ISNUMBER(H1125),H1125&gt;0),M1125/H1125,"")))</f>
        <v/>
      </c>
      <c r="Q1125" s="9">
        <f>IF(AND(ISNUMBER(M1125),ISNUMBER(O1125)),IF(M1125&lt;=O1125,"Valor ≤ venal IPTU",""),"")</f>
        <v/>
      </c>
      <c r="R1125" s="10" t="n"/>
      <c r="S1125" s="10" t="n"/>
      <c r="AA1125" s="10" t="n"/>
      <c r="AB1125" s="11">
        <f>IF(LEN(TRIM(X1125))=0,"",HYPERLINK("https://www.google.com/maps/@?api=1&amp;map_action=pano&amp;viewpoint="&amp;SUBSTITUTE(X1125," ",""),"Abrir Street View"))</f>
        <v/>
      </c>
    </row>
    <row r="1126">
      <c r="H1126" s="6" t="n"/>
      <c r="I1126" s="6" t="n"/>
      <c r="M1126" s="7" t="n"/>
      <c r="N1126" s="7" t="n"/>
      <c r="O1126" s="7" t="n"/>
      <c r="P1126" s="8">
        <f>IF(NOT(ISNUMBER(M1126)),"",IF(G1126="Terreno",IF(AND(ISNUMBER(I1126),I1126&gt;0),M1126/I1126,""),IF(AND(ISNUMBER(H1126),H1126&gt;0),M1126/H1126,"")))</f>
        <v/>
      </c>
      <c r="Q1126" s="9">
        <f>IF(AND(ISNUMBER(M1126),ISNUMBER(O1126)),IF(M1126&lt;=O1126,"Valor ≤ venal IPTU",""),"")</f>
        <v/>
      </c>
      <c r="R1126" s="10" t="n"/>
      <c r="S1126" s="10" t="n"/>
      <c r="AA1126" s="10" t="n"/>
      <c r="AB1126" s="11">
        <f>IF(LEN(TRIM(X1126))=0,"",HYPERLINK("https://www.google.com/maps/@?api=1&amp;map_action=pano&amp;viewpoint="&amp;SUBSTITUTE(X1126," ",""),"Abrir Street View"))</f>
        <v/>
      </c>
    </row>
    <row r="1127">
      <c r="H1127" s="6" t="n"/>
      <c r="I1127" s="6" t="n"/>
      <c r="M1127" s="7" t="n"/>
      <c r="N1127" s="7" t="n"/>
      <c r="O1127" s="7" t="n"/>
      <c r="P1127" s="8">
        <f>IF(NOT(ISNUMBER(M1127)),"",IF(G1127="Terreno",IF(AND(ISNUMBER(I1127),I1127&gt;0),M1127/I1127,""),IF(AND(ISNUMBER(H1127),H1127&gt;0),M1127/H1127,"")))</f>
        <v/>
      </c>
      <c r="Q1127" s="9">
        <f>IF(AND(ISNUMBER(M1127),ISNUMBER(O1127)),IF(M1127&lt;=O1127,"Valor ≤ venal IPTU",""),"")</f>
        <v/>
      </c>
      <c r="R1127" s="10" t="n"/>
      <c r="S1127" s="10" t="n"/>
      <c r="AA1127" s="10" t="n"/>
      <c r="AB1127" s="11">
        <f>IF(LEN(TRIM(X1127))=0,"",HYPERLINK("https://www.google.com/maps/@?api=1&amp;map_action=pano&amp;viewpoint="&amp;SUBSTITUTE(X1127," ",""),"Abrir Street View"))</f>
        <v/>
      </c>
    </row>
    <row r="1128">
      <c r="H1128" s="6" t="n"/>
      <c r="I1128" s="6" t="n"/>
      <c r="M1128" s="7" t="n"/>
      <c r="N1128" s="7" t="n"/>
      <c r="O1128" s="7" t="n"/>
      <c r="P1128" s="8">
        <f>IF(NOT(ISNUMBER(M1128)),"",IF(G1128="Terreno",IF(AND(ISNUMBER(I1128),I1128&gt;0),M1128/I1128,""),IF(AND(ISNUMBER(H1128),H1128&gt;0),M1128/H1128,"")))</f>
        <v/>
      </c>
      <c r="Q1128" s="9">
        <f>IF(AND(ISNUMBER(M1128),ISNUMBER(O1128)),IF(M1128&lt;=O1128,"Valor ≤ venal IPTU",""),"")</f>
        <v/>
      </c>
      <c r="R1128" s="10" t="n"/>
      <c r="S1128" s="10" t="n"/>
      <c r="AA1128" s="10" t="n"/>
      <c r="AB1128" s="11">
        <f>IF(LEN(TRIM(X1128))=0,"",HYPERLINK("https://www.google.com/maps/@?api=1&amp;map_action=pano&amp;viewpoint="&amp;SUBSTITUTE(X1128," ",""),"Abrir Street View"))</f>
        <v/>
      </c>
    </row>
    <row r="1129">
      <c r="H1129" s="6" t="n"/>
      <c r="I1129" s="6" t="n"/>
      <c r="M1129" s="7" t="n"/>
      <c r="N1129" s="7" t="n"/>
      <c r="O1129" s="7" t="n"/>
      <c r="P1129" s="8">
        <f>IF(NOT(ISNUMBER(M1129)),"",IF(G1129="Terreno",IF(AND(ISNUMBER(I1129),I1129&gt;0),M1129/I1129,""),IF(AND(ISNUMBER(H1129),H1129&gt;0),M1129/H1129,"")))</f>
        <v/>
      </c>
      <c r="Q1129" s="9">
        <f>IF(AND(ISNUMBER(M1129),ISNUMBER(O1129)),IF(M1129&lt;=O1129,"Valor ≤ venal IPTU",""),"")</f>
        <v/>
      </c>
      <c r="R1129" s="10" t="n"/>
      <c r="S1129" s="10" t="n"/>
      <c r="AA1129" s="10" t="n"/>
      <c r="AB1129" s="11">
        <f>IF(LEN(TRIM(X1129))=0,"",HYPERLINK("https://www.google.com/maps/@?api=1&amp;map_action=pano&amp;viewpoint="&amp;SUBSTITUTE(X1129," ",""),"Abrir Street View"))</f>
        <v/>
      </c>
    </row>
    <row r="1130">
      <c r="H1130" s="6" t="n"/>
      <c r="I1130" s="6" t="n"/>
      <c r="M1130" s="7" t="n"/>
      <c r="N1130" s="7" t="n"/>
      <c r="O1130" s="7" t="n"/>
      <c r="P1130" s="8">
        <f>IF(NOT(ISNUMBER(M1130)),"",IF(G1130="Terreno",IF(AND(ISNUMBER(I1130),I1130&gt;0),M1130/I1130,""),IF(AND(ISNUMBER(H1130),H1130&gt;0),M1130/H1130,"")))</f>
        <v/>
      </c>
      <c r="Q1130" s="9">
        <f>IF(AND(ISNUMBER(M1130),ISNUMBER(O1130)),IF(M1130&lt;=O1130,"Valor ≤ venal IPTU",""),"")</f>
        <v/>
      </c>
      <c r="R1130" s="10" t="n"/>
      <c r="S1130" s="10" t="n"/>
      <c r="AA1130" s="10" t="n"/>
      <c r="AB1130" s="11">
        <f>IF(LEN(TRIM(X1130))=0,"",HYPERLINK("https://www.google.com/maps/@?api=1&amp;map_action=pano&amp;viewpoint="&amp;SUBSTITUTE(X1130," ",""),"Abrir Street View"))</f>
        <v/>
      </c>
    </row>
    <row r="1131">
      <c r="H1131" s="6" t="n"/>
      <c r="I1131" s="6" t="n"/>
      <c r="M1131" s="7" t="n"/>
      <c r="N1131" s="7" t="n"/>
      <c r="O1131" s="7" t="n"/>
      <c r="P1131" s="8">
        <f>IF(NOT(ISNUMBER(M1131)),"",IF(G1131="Terreno",IF(AND(ISNUMBER(I1131),I1131&gt;0),M1131/I1131,""),IF(AND(ISNUMBER(H1131),H1131&gt;0),M1131/H1131,"")))</f>
        <v/>
      </c>
      <c r="Q1131" s="9">
        <f>IF(AND(ISNUMBER(M1131),ISNUMBER(O1131)),IF(M1131&lt;=O1131,"Valor ≤ venal IPTU",""),"")</f>
        <v/>
      </c>
      <c r="R1131" s="10" t="n"/>
      <c r="S1131" s="10" t="n"/>
      <c r="AA1131" s="10" t="n"/>
      <c r="AB1131" s="11">
        <f>IF(LEN(TRIM(X1131))=0,"",HYPERLINK("https://www.google.com/maps/@?api=1&amp;map_action=pano&amp;viewpoint="&amp;SUBSTITUTE(X1131," ",""),"Abrir Street View"))</f>
        <v/>
      </c>
    </row>
    <row r="1132">
      <c r="H1132" s="6" t="n"/>
      <c r="I1132" s="6" t="n"/>
      <c r="M1132" s="7" t="n"/>
      <c r="N1132" s="7" t="n"/>
      <c r="O1132" s="7" t="n"/>
      <c r="P1132" s="8">
        <f>IF(NOT(ISNUMBER(M1132)),"",IF(G1132="Terreno",IF(AND(ISNUMBER(I1132),I1132&gt;0),M1132/I1132,""),IF(AND(ISNUMBER(H1132),H1132&gt;0),M1132/H1132,"")))</f>
        <v/>
      </c>
      <c r="Q1132" s="9">
        <f>IF(AND(ISNUMBER(M1132),ISNUMBER(O1132)),IF(M1132&lt;=O1132,"Valor ≤ venal IPTU",""),"")</f>
        <v/>
      </c>
      <c r="R1132" s="10" t="n"/>
      <c r="S1132" s="10" t="n"/>
      <c r="AA1132" s="10" t="n"/>
      <c r="AB1132" s="11">
        <f>IF(LEN(TRIM(X1132))=0,"",HYPERLINK("https://www.google.com/maps/@?api=1&amp;map_action=pano&amp;viewpoint="&amp;SUBSTITUTE(X1132," ",""),"Abrir Street View"))</f>
        <v/>
      </c>
    </row>
    <row r="1133">
      <c r="H1133" s="6" t="n"/>
      <c r="I1133" s="6" t="n"/>
      <c r="M1133" s="7" t="n"/>
      <c r="N1133" s="7" t="n"/>
      <c r="O1133" s="7" t="n"/>
      <c r="P1133" s="8">
        <f>IF(NOT(ISNUMBER(M1133)),"",IF(G1133="Terreno",IF(AND(ISNUMBER(I1133),I1133&gt;0),M1133/I1133,""),IF(AND(ISNUMBER(H1133),H1133&gt;0),M1133/H1133,"")))</f>
        <v/>
      </c>
      <c r="Q1133" s="9">
        <f>IF(AND(ISNUMBER(M1133),ISNUMBER(O1133)),IF(M1133&lt;=O1133,"Valor ≤ venal IPTU",""),"")</f>
        <v/>
      </c>
      <c r="R1133" s="10" t="n"/>
      <c r="S1133" s="10" t="n"/>
      <c r="AA1133" s="10" t="n"/>
      <c r="AB1133" s="11">
        <f>IF(LEN(TRIM(X1133))=0,"",HYPERLINK("https://www.google.com/maps/@?api=1&amp;map_action=pano&amp;viewpoint="&amp;SUBSTITUTE(X1133," ",""),"Abrir Street View"))</f>
        <v/>
      </c>
    </row>
    <row r="1134">
      <c r="H1134" s="6" t="n"/>
      <c r="I1134" s="6" t="n"/>
      <c r="M1134" s="7" t="n"/>
      <c r="N1134" s="7" t="n"/>
      <c r="O1134" s="7" t="n"/>
      <c r="P1134" s="8">
        <f>IF(NOT(ISNUMBER(M1134)),"",IF(G1134="Terreno",IF(AND(ISNUMBER(I1134),I1134&gt;0),M1134/I1134,""),IF(AND(ISNUMBER(H1134),H1134&gt;0),M1134/H1134,"")))</f>
        <v/>
      </c>
      <c r="Q1134" s="9">
        <f>IF(AND(ISNUMBER(M1134),ISNUMBER(O1134)),IF(M1134&lt;=O1134,"Valor ≤ venal IPTU",""),"")</f>
        <v/>
      </c>
      <c r="R1134" s="10" t="n"/>
      <c r="S1134" s="10" t="n"/>
      <c r="AA1134" s="10" t="n"/>
      <c r="AB1134" s="11">
        <f>IF(LEN(TRIM(X1134))=0,"",HYPERLINK("https://www.google.com/maps/@?api=1&amp;map_action=pano&amp;viewpoint="&amp;SUBSTITUTE(X1134," ",""),"Abrir Street View"))</f>
        <v/>
      </c>
    </row>
    <row r="1135">
      <c r="H1135" s="6" t="n"/>
      <c r="I1135" s="6" t="n"/>
      <c r="M1135" s="7" t="n"/>
      <c r="N1135" s="7" t="n"/>
      <c r="O1135" s="7" t="n"/>
      <c r="P1135" s="8">
        <f>IF(NOT(ISNUMBER(M1135)),"",IF(G1135="Terreno",IF(AND(ISNUMBER(I1135),I1135&gt;0),M1135/I1135,""),IF(AND(ISNUMBER(H1135),H1135&gt;0),M1135/H1135,"")))</f>
        <v/>
      </c>
      <c r="Q1135" s="9">
        <f>IF(AND(ISNUMBER(M1135),ISNUMBER(O1135)),IF(M1135&lt;=O1135,"Valor ≤ venal IPTU",""),"")</f>
        <v/>
      </c>
      <c r="R1135" s="10" t="n"/>
      <c r="S1135" s="10" t="n"/>
      <c r="AA1135" s="10" t="n"/>
      <c r="AB1135" s="11">
        <f>IF(LEN(TRIM(X1135))=0,"",HYPERLINK("https://www.google.com/maps/@?api=1&amp;map_action=pano&amp;viewpoint="&amp;SUBSTITUTE(X1135," ",""),"Abrir Street View"))</f>
        <v/>
      </c>
    </row>
    <row r="1136">
      <c r="H1136" s="6" t="n"/>
      <c r="I1136" s="6" t="n"/>
      <c r="M1136" s="7" t="n"/>
      <c r="N1136" s="7" t="n"/>
      <c r="O1136" s="7" t="n"/>
      <c r="P1136" s="8">
        <f>IF(NOT(ISNUMBER(M1136)),"",IF(G1136="Terreno",IF(AND(ISNUMBER(I1136),I1136&gt;0),M1136/I1136,""),IF(AND(ISNUMBER(H1136),H1136&gt;0),M1136/H1136,"")))</f>
        <v/>
      </c>
      <c r="Q1136" s="9">
        <f>IF(AND(ISNUMBER(M1136),ISNUMBER(O1136)),IF(M1136&lt;=O1136,"Valor ≤ venal IPTU",""),"")</f>
        <v/>
      </c>
      <c r="R1136" s="10" t="n"/>
      <c r="S1136" s="10" t="n"/>
      <c r="AA1136" s="10" t="n"/>
      <c r="AB1136" s="11">
        <f>IF(LEN(TRIM(X1136))=0,"",HYPERLINK("https://www.google.com/maps/@?api=1&amp;map_action=pano&amp;viewpoint="&amp;SUBSTITUTE(X1136," ",""),"Abrir Street View"))</f>
        <v/>
      </c>
    </row>
    <row r="1137">
      <c r="H1137" s="6" t="n"/>
      <c r="I1137" s="6" t="n"/>
      <c r="M1137" s="7" t="n"/>
      <c r="N1137" s="7" t="n"/>
      <c r="O1137" s="7" t="n"/>
      <c r="P1137" s="8">
        <f>IF(NOT(ISNUMBER(M1137)),"",IF(G1137="Terreno",IF(AND(ISNUMBER(I1137),I1137&gt;0),M1137/I1137,""),IF(AND(ISNUMBER(H1137),H1137&gt;0),M1137/H1137,"")))</f>
        <v/>
      </c>
      <c r="Q1137" s="9">
        <f>IF(AND(ISNUMBER(M1137),ISNUMBER(O1137)),IF(M1137&lt;=O1137,"Valor ≤ venal IPTU",""),"")</f>
        <v/>
      </c>
      <c r="R1137" s="10" t="n"/>
      <c r="S1137" s="10" t="n"/>
      <c r="AA1137" s="10" t="n"/>
      <c r="AB1137" s="11">
        <f>IF(LEN(TRIM(X1137))=0,"",HYPERLINK("https://www.google.com/maps/@?api=1&amp;map_action=pano&amp;viewpoint="&amp;SUBSTITUTE(X1137," ",""),"Abrir Street View"))</f>
        <v/>
      </c>
    </row>
    <row r="1138">
      <c r="H1138" s="6" t="n"/>
      <c r="I1138" s="6" t="n"/>
      <c r="M1138" s="7" t="n"/>
      <c r="N1138" s="7" t="n"/>
      <c r="O1138" s="7" t="n"/>
      <c r="P1138" s="8">
        <f>IF(NOT(ISNUMBER(M1138)),"",IF(G1138="Terreno",IF(AND(ISNUMBER(I1138),I1138&gt;0),M1138/I1138,""),IF(AND(ISNUMBER(H1138),H1138&gt;0),M1138/H1138,"")))</f>
        <v/>
      </c>
      <c r="Q1138" s="9">
        <f>IF(AND(ISNUMBER(M1138),ISNUMBER(O1138)),IF(M1138&lt;=O1138,"Valor ≤ venal IPTU",""),"")</f>
        <v/>
      </c>
      <c r="R1138" s="10" t="n"/>
      <c r="S1138" s="10" t="n"/>
      <c r="AA1138" s="10" t="n"/>
      <c r="AB1138" s="11">
        <f>IF(LEN(TRIM(X1138))=0,"",HYPERLINK("https://www.google.com/maps/@?api=1&amp;map_action=pano&amp;viewpoint="&amp;SUBSTITUTE(X1138," ",""),"Abrir Street View"))</f>
        <v/>
      </c>
    </row>
    <row r="1139">
      <c r="H1139" s="6" t="n"/>
      <c r="I1139" s="6" t="n"/>
      <c r="M1139" s="7" t="n"/>
      <c r="N1139" s="7" t="n"/>
      <c r="O1139" s="7" t="n"/>
      <c r="P1139" s="8">
        <f>IF(NOT(ISNUMBER(M1139)),"",IF(G1139="Terreno",IF(AND(ISNUMBER(I1139),I1139&gt;0),M1139/I1139,""),IF(AND(ISNUMBER(H1139),H1139&gt;0),M1139/H1139,"")))</f>
        <v/>
      </c>
      <c r="Q1139" s="9">
        <f>IF(AND(ISNUMBER(M1139),ISNUMBER(O1139)),IF(M1139&lt;=O1139,"Valor ≤ venal IPTU",""),"")</f>
        <v/>
      </c>
      <c r="R1139" s="10" t="n"/>
      <c r="S1139" s="10" t="n"/>
      <c r="AA1139" s="10" t="n"/>
      <c r="AB1139" s="11">
        <f>IF(LEN(TRIM(X1139))=0,"",HYPERLINK("https://www.google.com/maps/@?api=1&amp;map_action=pano&amp;viewpoint="&amp;SUBSTITUTE(X1139," ",""),"Abrir Street View"))</f>
        <v/>
      </c>
    </row>
    <row r="1140">
      <c r="H1140" s="6" t="n"/>
      <c r="I1140" s="6" t="n"/>
      <c r="M1140" s="7" t="n"/>
      <c r="N1140" s="7" t="n"/>
      <c r="O1140" s="7" t="n"/>
      <c r="P1140" s="8">
        <f>IF(NOT(ISNUMBER(M1140)),"",IF(G1140="Terreno",IF(AND(ISNUMBER(I1140),I1140&gt;0),M1140/I1140,""),IF(AND(ISNUMBER(H1140),H1140&gt;0),M1140/H1140,"")))</f>
        <v/>
      </c>
      <c r="Q1140" s="9">
        <f>IF(AND(ISNUMBER(M1140),ISNUMBER(O1140)),IF(M1140&lt;=O1140,"Valor ≤ venal IPTU",""),"")</f>
        <v/>
      </c>
      <c r="R1140" s="10" t="n"/>
      <c r="S1140" s="10" t="n"/>
      <c r="AA1140" s="10" t="n"/>
      <c r="AB1140" s="11">
        <f>IF(LEN(TRIM(X1140))=0,"",HYPERLINK("https://www.google.com/maps/@?api=1&amp;map_action=pano&amp;viewpoint="&amp;SUBSTITUTE(X1140," ",""),"Abrir Street View"))</f>
        <v/>
      </c>
    </row>
    <row r="1141">
      <c r="H1141" s="6" t="n"/>
      <c r="I1141" s="6" t="n"/>
      <c r="M1141" s="7" t="n"/>
      <c r="N1141" s="7" t="n"/>
      <c r="O1141" s="7" t="n"/>
      <c r="P1141" s="8">
        <f>IF(NOT(ISNUMBER(M1141)),"",IF(G1141="Terreno",IF(AND(ISNUMBER(I1141),I1141&gt;0),M1141/I1141,""),IF(AND(ISNUMBER(H1141),H1141&gt;0),M1141/H1141,"")))</f>
        <v/>
      </c>
      <c r="Q1141" s="9">
        <f>IF(AND(ISNUMBER(M1141),ISNUMBER(O1141)),IF(M1141&lt;=O1141,"Valor ≤ venal IPTU",""),"")</f>
        <v/>
      </c>
      <c r="R1141" s="10" t="n"/>
      <c r="S1141" s="10" t="n"/>
      <c r="AA1141" s="10" t="n"/>
      <c r="AB1141" s="11">
        <f>IF(LEN(TRIM(X1141))=0,"",HYPERLINK("https://www.google.com/maps/@?api=1&amp;map_action=pano&amp;viewpoint="&amp;SUBSTITUTE(X1141," ",""),"Abrir Street View"))</f>
        <v/>
      </c>
    </row>
    <row r="1142">
      <c r="H1142" s="6" t="n"/>
      <c r="I1142" s="6" t="n"/>
      <c r="M1142" s="7" t="n"/>
      <c r="N1142" s="7" t="n"/>
      <c r="O1142" s="7" t="n"/>
      <c r="P1142" s="8">
        <f>IF(NOT(ISNUMBER(M1142)),"",IF(G1142="Terreno",IF(AND(ISNUMBER(I1142),I1142&gt;0),M1142/I1142,""),IF(AND(ISNUMBER(H1142),H1142&gt;0),M1142/H1142,"")))</f>
        <v/>
      </c>
      <c r="Q1142" s="9">
        <f>IF(AND(ISNUMBER(M1142),ISNUMBER(O1142)),IF(M1142&lt;=O1142,"Valor ≤ venal IPTU",""),"")</f>
        <v/>
      </c>
      <c r="R1142" s="10" t="n"/>
      <c r="S1142" s="10" t="n"/>
      <c r="AA1142" s="10" t="n"/>
      <c r="AB1142" s="11">
        <f>IF(LEN(TRIM(X1142))=0,"",HYPERLINK("https://www.google.com/maps/@?api=1&amp;map_action=pano&amp;viewpoint="&amp;SUBSTITUTE(X1142," ",""),"Abrir Street View"))</f>
        <v/>
      </c>
    </row>
    <row r="1143">
      <c r="H1143" s="6" t="n"/>
      <c r="I1143" s="6" t="n"/>
      <c r="M1143" s="7" t="n"/>
      <c r="N1143" s="7" t="n"/>
      <c r="O1143" s="7" t="n"/>
      <c r="P1143" s="8">
        <f>IF(NOT(ISNUMBER(M1143)),"",IF(G1143="Terreno",IF(AND(ISNUMBER(I1143),I1143&gt;0),M1143/I1143,""),IF(AND(ISNUMBER(H1143),H1143&gt;0),M1143/H1143,"")))</f>
        <v/>
      </c>
      <c r="Q1143" s="9">
        <f>IF(AND(ISNUMBER(M1143),ISNUMBER(O1143)),IF(M1143&lt;=O1143,"Valor ≤ venal IPTU",""),"")</f>
        <v/>
      </c>
      <c r="R1143" s="10" t="n"/>
      <c r="S1143" s="10" t="n"/>
      <c r="AA1143" s="10" t="n"/>
      <c r="AB1143" s="11">
        <f>IF(LEN(TRIM(X1143))=0,"",HYPERLINK("https://www.google.com/maps/@?api=1&amp;map_action=pano&amp;viewpoint="&amp;SUBSTITUTE(X1143," ",""),"Abrir Street View"))</f>
        <v/>
      </c>
    </row>
    <row r="1144">
      <c r="H1144" s="6" t="n"/>
      <c r="I1144" s="6" t="n"/>
      <c r="M1144" s="7" t="n"/>
      <c r="N1144" s="7" t="n"/>
      <c r="O1144" s="7" t="n"/>
      <c r="P1144" s="8">
        <f>IF(NOT(ISNUMBER(M1144)),"",IF(G1144="Terreno",IF(AND(ISNUMBER(I1144),I1144&gt;0),M1144/I1144,""),IF(AND(ISNUMBER(H1144),H1144&gt;0),M1144/H1144,"")))</f>
        <v/>
      </c>
      <c r="Q1144" s="9">
        <f>IF(AND(ISNUMBER(M1144),ISNUMBER(O1144)),IF(M1144&lt;=O1144,"Valor ≤ venal IPTU",""),"")</f>
        <v/>
      </c>
      <c r="R1144" s="10" t="n"/>
      <c r="S1144" s="10" t="n"/>
      <c r="AA1144" s="10" t="n"/>
      <c r="AB1144" s="11">
        <f>IF(LEN(TRIM(X1144))=0,"",HYPERLINK("https://www.google.com/maps/@?api=1&amp;map_action=pano&amp;viewpoint="&amp;SUBSTITUTE(X1144," ",""),"Abrir Street View"))</f>
        <v/>
      </c>
    </row>
    <row r="1145">
      <c r="H1145" s="6" t="n"/>
      <c r="I1145" s="6" t="n"/>
      <c r="M1145" s="7" t="n"/>
      <c r="N1145" s="7" t="n"/>
      <c r="O1145" s="7" t="n"/>
      <c r="P1145" s="8">
        <f>IF(NOT(ISNUMBER(M1145)),"",IF(G1145="Terreno",IF(AND(ISNUMBER(I1145),I1145&gt;0),M1145/I1145,""),IF(AND(ISNUMBER(H1145),H1145&gt;0),M1145/H1145,"")))</f>
        <v/>
      </c>
      <c r="Q1145" s="9">
        <f>IF(AND(ISNUMBER(M1145),ISNUMBER(O1145)),IF(M1145&lt;=O1145,"Valor ≤ venal IPTU",""),"")</f>
        <v/>
      </c>
      <c r="R1145" s="10" t="n"/>
      <c r="S1145" s="10" t="n"/>
      <c r="AA1145" s="10" t="n"/>
      <c r="AB1145" s="11">
        <f>IF(LEN(TRIM(X1145))=0,"",HYPERLINK("https://www.google.com/maps/@?api=1&amp;map_action=pano&amp;viewpoint="&amp;SUBSTITUTE(X1145," ",""),"Abrir Street View"))</f>
        <v/>
      </c>
    </row>
    <row r="1146">
      <c r="H1146" s="6" t="n"/>
      <c r="I1146" s="6" t="n"/>
      <c r="M1146" s="7" t="n"/>
      <c r="N1146" s="7" t="n"/>
      <c r="O1146" s="7" t="n"/>
      <c r="P1146" s="8">
        <f>IF(NOT(ISNUMBER(M1146)),"",IF(G1146="Terreno",IF(AND(ISNUMBER(I1146),I1146&gt;0),M1146/I1146,""),IF(AND(ISNUMBER(H1146),H1146&gt;0),M1146/H1146,"")))</f>
        <v/>
      </c>
      <c r="Q1146" s="9">
        <f>IF(AND(ISNUMBER(M1146),ISNUMBER(O1146)),IF(M1146&lt;=O1146,"Valor ≤ venal IPTU",""),"")</f>
        <v/>
      </c>
      <c r="R1146" s="10" t="n"/>
      <c r="S1146" s="10" t="n"/>
      <c r="AA1146" s="10" t="n"/>
      <c r="AB1146" s="11">
        <f>IF(LEN(TRIM(X1146))=0,"",HYPERLINK("https://www.google.com/maps/@?api=1&amp;map_action=pano&amp;viewpoint="&amp;SUBSTITUTE(X1146," ",""),"Abrir Street View"))</f>
        <v/>
      </c>
    </row>
    <row r="1147">
      <c r="H1147" s="6" t="n"/>
      <c r="I1147" s="6" t="n"/>
      <c r="M1147" s="7" t="n"/>
      <c r="N1147" s="7" t="n"/>
      <c r="O1147" s="7" t="n"/>
      <c r="P1147" s="8">
        <f>IF(NOT(ISNUMBER(M1147)),"",IF(G1147="Terreno",IF(AND(ISNUMBER(I1147),I1147&gt;0),M1147/I1147,""),IF(AND(ISNUMBER(H1147),H1147&gt;0),M1147/H1147,"")))</f>
        <v/>
      </c>
      <c r="Q1147" s="9">
        <f>IF(AND(ISNUMBER(M1147),ISNUMBER(O1147)),IF(M1147&lt;=O1147,"Valor ≤ venal IPTU",""),"")</f>
        <v/>
      </c>
      <c r="R1147" s="10" t="n"/>
      <c r="S1147" s="10" t="n"/>
      <c r="AA1147" s="10" t="n"/>
      <c r="AB1147" s="11">
        <f>IF(LEN(TRIM(X1147))=0,"",HYPERLINK("https://www.google.com/maps/@?api=1&amp;map_action=pano&amp;viewpoint="&amp;SUBSTITUTE(X1147," ",""),"Abrir Street View"))</f>
        <v/>
      </c>
    </row>
    <row r="1148">
      <c r="H1148" s="6" t="n"/>
      <c r="I1148" s="6" t="n"/>
      <c r="M1148" s="7" t="n"/>
      <c r="N1148" s="7" t="n"/>
      <c r="O1148" s="7" t="n"/>
      <c r="P1148" s="8">
        <f>IF(NOT(ISNUMBER(M1148)),"",IF(G1148="Terreno",IF(AND(ISNUMBER(I1148),I1148&gt;0),M1148/I1148,""),IF(AND(ISNUMBER(H1148),H1148&gt;0),M1148/H1148,"")))</f>
        <v/>
      </c>
      <c r="Q1148" s="9">
        <f>IF(AND(ISNUMBER(M1148),ISNUMBER(O1148)),IF(M1148&lt;=O1148,"Valor ≤ venal IPTU",""),"")</f>
        <v/>
      </c>
      <c r="R1148" s="10" t="n"/>
      <c r="S1148" s="10" t="n"/>
      <c r="AA1148" s="10" t="n"/>
      <c r="AB1148" s="11">
        <f>IF(LEN(TRIM(X1148))=0,"",HYPERLINK("https://www.google.com/maps/@?api=1&amp;map_action=pano&amp;viewpoint="&amp;SUBSTITUTE(X1148," ",""),"Abrir Street View"))</f>
        <v/>
      </c>
    </row>
    <row r="1149">
      <c r="H1149" s="6" t="n"/>
      <c r="I1149" s="6" t="n"/>
      <c r="M1149" s="7" t="n"/>
      <c r="N1149" s="7" t="n"/>
      <c r="O1149" s="7" t="n"/>
      <c r="P1149" s="8">
        <f>IF(NOT(ISNUMBER(M1149)),"",IF(G1149="Terreno",IF(AND(ISNUMBER(I1149),I1149&gt;0),M1149/I1149,""),IF(AND(ISNUMBER(H1149),H1149&gt;0),M1149/H1149,"")))</f>
        <v/>
      </c>
      <c r="Q1149" s="9">
        <f>IF(AND(ISNUMBER(M1149),ISNUMBER(O1149)),IF(M1149&lt;=O1149,"Valor ≤ venal IPTU",""),"")</f>
        <v/>
      </c>
      <c r="R1149" s="10" t="n"/>
      <c r="S1149" s="10" t="n"/>
      <c r="AA1149" s="10" t="n"/>
      <c r="AB1149" s="11">
        <f>IF(LEN(TRIM(X1149))=0,"",HYPERLINK("https://www.google.com/maps/@?api=1&amp;map_action=pano&amp;viewpoint="&amp;SUBSTITUTE(X1149," ",""),"Abrir Street View"))</f>
        <v/>
      </c>
    </row>
    <row r="1150">
      <c r="H1150" s="6" t="n"/>
      <c r="I1150" s="6" t="n"/>
      <c r="M1150" s="7" t="n"/>
      <c r="N1150" s="7" t="n"/>
      <c r="O1150" s="7" t="n"/>
      <c r="P1150" s="8">
        <f>IF(NOT(ISNUMBER(M1150)),"",IF(G1150="Terreno",IF(AND(ISNUMBER(I1150),I1150&gt;0),M1150/I1150,""),IF(AND(ISNUMBER(H1150),H1150&gt;0),M1150/H1150,"")))</f>
        <v/>
      </c>
      <c r="Q1150" s="9">
        <f>IF(AND(ISNUMBER(M1150),ISNUMBER(O1150)),IF(M1150&lt;=O1150,"Valor ≤ venal IPTU",""),"")</f>
        <v/>
      </c>
      <c r="R1150" s="10" t="n"/>
      <c r="S1150" s="10" t="n"/>
      <c r="AA1150" s="10" t="n"/>
      <c r="AB1150" s="11">
        <f>IF(LEN(TRIM(X1150))=0,"",HYPERLINK("https://www.google.com/maps/@?api=1&amp;map_action=pano&amp;viewpoint="&amp;SUBSTITUTE(X1150," ",""),"Abrir Street View"))</f>
        <v/>
      </c>
    </row>
    <row r="1151">
      <c r="H1151" s="6" t="n"/>
      <c r="I1151" s="6" t="n"/>
      <c r="M1151" s="7" t="n"/>
      <c r="N1151" s="7" t="n"/>
      <c r="O1151" s="7" t="n"/>
      <c r="P1151" s="8">
        <f>IF(NOT(ISNUMBER(M1151)),"",IF(G1151="Terreno",IF(AND(ISNUMBER(I1151),I1151&gt;0),M1151/I1151,""),IF(AND(ISNUMBER(H1151),H1151&gt;0),M1151/H1151,"")))</f>
        <v/>
      </c>
      <c r="Q1151" s="9">
        <f>IF(AND(ISNUMBER(M1151),ISNUMBER(O1151)),IF(M1151&lt;=O1151,"Valor ≤ venal IPTU",""),"")</f>
        <v/>
      </c>
      <c r="R1151" s="10" t="n"/>
      <c r="S1151" s="10" t="n"/>
      <c r="AA1151" s="10" t="n"/>
      <c r="AB1151" s="11">
        <f>IF(LEN(TRIM(X1151))=0,"",HYPERLINK("https://www.google.com/maps/@?api=1&amp;map_action=pano&amp;viewpoint="&amp;SUBSTITUTE(X1151," ",""),"Abrir Street View"))</f>
        <v/>
      </c>
    </row>
    <row r="1152">
      <c r="H1152" s="6" t="n"/>
      <c r="I1152" s="6" t="n"/>
      <c r="M1152" s="7" t="n"/>
      <c r="N1152" s="7" t="n"/>
      <c r="O1152" s="7" t="n"/>
      <c r="P1152" s="8">
        <f>IF(NOT(ISNUMBER(M1152)),"",IF(G1152="Terreno",IF(AND(ISNUMBER(I1152),I1152&gt;0),M1152/I1152,""),IF(AND(ISNUMBER(H1152),H1152&gt;0),M1152/H1152,"")))</f>
        <v/>
      </c>
      <c r="Q1152" s="9">
        <f>IF(AND(ISNUMBER(M1152),ISNUMBER(O1152)),IF(M1152&lt;=O1152,"Valor ≤ venal IPTU",""),"")</f>
        <v/>
      </c>
      <c r="R1152" s="10" t="n"/>
      <c r="S1152" s="10" t="n"/>
      <c r="AA1152" s="10" t="n"/>
      <c r="AB1152" s="11">
        <f>IF(LEN(TRIM(X1152))=0,"",HYPERLINK("https://www.google.com/maps/@?api=1&amp;map_action=pano&amp;viewpoint="&amp;SUBSTITUTE(X1152," ",""),"Abrir Street View"))</f>
        <v/>
      </c>
    </row>
    <row r="1153">
      <c r="H1153" s="6" t="n"/>
      <c r="I1153" s="6" t="n"/>
      <c r="M1153" s="7" t="n"/>
      <c r="N1153" s="7" t="n"/>
      <c r="O1153" s="7" t="n"/>
      <c r="P1153" s="8">
        <f>IF(NOT(ISNUMBER(M1153)),"",IF(G1153="Terreno",IF(AND(ISNUMBER(I1153),I1153&gt;0),M1153/I1153,""),IF(AND(ISNUMBER(H1153),H1153&gt;0),M1153/H1153,"")))</f>
        <v/>
      </c>
      <c r="Q1153" s="9">
        <f>IF(AND(ISNUMBER(M1153),ISNUMBER(O1153)),IF(M1153&lt;=O1153,"Valor ≤ venal IPTU",""),"")</f>
        <v/>
      </c>
      <c r="R1153" s="10" t="n"/>
      <c r="S1153" s="10" t="n"/>
      <c r="AA1153" s="10" t="n"/>
      <c r="AB1153" s="11">
        <f>IF(LEN(TRIM(X1153))=0,"",HYPERLINK("https://www.google.com/maps/@?api=1&amp;map_action=pano&amp;viewpoint="&amp;SUBSTITUTE(X1153," ",""),"Abrir Street View"))</f>
        <v/>
      </c>
    </row>
    <row r="1154">
      <c r="H1154" s="6" t="n"/>
      <c r="I1154" s="6" t="n"/>
      <c r="M1154" s="7" t="n"/>
      <c r="N1154" s="7" t="n"/>
      <c r="O1154" s="7" t="n"/>
      <c r="P1154" s="8">
        <f>IF(NOT(ISNUMBER(M1154)),"",IF(G1154="Terreno",IF(AND(ISNUMBER(I1154),I1154&gt;0),M1154/I1154,""),IF(AND(ISNUMBER(H1154),H1154&gt;0),M1154/H1154,"")))</f>
        <v/>
      </c>
      <c r="Q1154" s="9">
        <f>IF(AND(ISNUMBER(M1154),ISNUMBER(O1154)),IF(M1154&lt;=O1154,"Valor ≤ venal IPTU",""),"")</f>
        <v/>
      </c>
      <c r="R1154" s="10" t="n"/>
      <c r="S1154" s="10" t="n"/>
      <c r="AA1154" s="10" t="n"/>
      <c r="AB1154" s="11">
        <f>IF(LEN(TRIM(X1154))=0,"",HYPERLINK("https://www.google.com/maps/@?api=1&amp;map_action=pano&amp;viewpoint="&amp;SUBSTITUTE(X1154," ",""),"Abrir Street View"))</f>
        <v/>
      </c>
    </row>
    <row r="1155">
      <c r="H1155" s="6" t="n"/>
      <c r="I1155" s="6" t="n"/>
      <c r="M1155" s="7" t="n"/>
      <c r="N1155" s="7" t="n"/>
      <c r="O1155" s="7" t="n"/>
      <c r="P1155" s="8">
        <f>IF(NOT(ISNUMBER(M1155)),"",IF(G1155="Terreno",IF(AND(ISNUMBER(I1155),I1155&gt;0),M1155/I1155,""),IF(AND(ISNUMBER(H1155),H1155&gt;0),M1155/H1155,"")))</f>
        <v/>
      </c>
      <c r="Q1155" s="9">
        <f>IF(AND(ISNUMBER(M1155),ISNUMBER(O1155)),IF(M1155&lt;=O1155,"Valor ≤ venal IPTU",""),"")</f>
        <v/>
      </c>
      <c r="R1155" s="10" t="n"/>
      <c r="S1155" s="10" t="n"/>
      <c r="AA1155" s="10" t="n"/>
      <c r="AB1155" s="11">
        <f>IF(LEN(TRIM(X1155))=0,"",HYPERLINK("https://www.google.com/maps/@?api=1&amp;map_action=pano&amp;viewpoint="&amp;SUBSTITUTE(X1155," ",""),"Abrir Street View"))</f>
        <v/>
      </c>
    </row>
    <row r="1156">
      <c r="H1156" s="6" t="n"/>
      <c r="I1156" s="6" t="n"/>
      <c r="M1156" s="7" t="n"/>
      <c r="N1156" s="7" t="n"/>
      <c r="O1156" s="7" t="n"/>
      <c r="P1156" s="8">
        <f>IF(NOT(ISNUMBER(M1156)),"",IF(G1156="Terreno",IF(AND(ISNUMBER(I1156),I1156&gt;0),M1156/I1156,""),IF(AND(ISNUMBER(H1156),H1156&gt;0),M1156/H1156,"")))</f>
        <v/>
      </c>
      <c r="Q1156" s="9">
        <f>IF(AND(ISNUMBER(M1156),ISNUMBER(O1156)),IF(M1156&lt;=O1156,"Valor ≤ venal IPTU",""),"")</f>
        <v/>
      </c>
      <c r="R1156" s="10" t="n"/>
      <c r="S1156" s="10" t="n"/>
      <c r="AA1156" s="10" t="n"/>
      <c r="AB1156" s="11">
        <f>IF(LEN(TRIM(X1156))=0,"",HYPERLINK("https://www.google.com/maps/@?api=1&amp;map_action=pano&amp;viewpoint="&amp;SUBSTITUTE(X1156," ",""),"Abrir Street View"))</f>
        <v/>
      </c>
    </row>
    <row r="1157">
      <c r="H1157" s="6" t="n"/>
      <c r="I1157" s="6" t="n"/>
      <c r="M1157" s="7" t="n"/>
      <c r="N1157" s="7" t="n"/>
      <c r="O1157" s="7" t="n"/>
      <c r="P1157" s="8">
        <f>IF(NOT(ISNUMBER(M1157)),"",IF(G1157="Terreno",IF(AND(ISNUMBER(I1157),I1157&gt;0),M1157/I1157,""),IF(AND(ISNUMBER(H1157),H1157&gt;0),M1157/H1157,"")))</f>
        <v/>
      </c>
      <c r="Q1157" s="9">
        <f>IF(AND(ISNUMBER(M1157),ISNUMBER(O1157)),IF(M1157&lt;=O1157,"Valor ≤ venal IPTU",""),"")</f>
        <v/>
      </c>
      <c r="R1157" s="10" t="n"/>
      <c r="S1157" s="10" t="n"/>
      <c r="AA1157" s="10" t="n"/>
      <c r="AB1157" s="11">
        <f>IF(LEN(TRIM(X1157))=0,"",HYPERLINK("https://www.google.com/maps/@?api=1&amp;map_action=pano&amp;viewpoint="&amp;SUBSTITUTE(X1157," ",""),"Abrir Street View"))</f>
        <v/>
      </c>
    </row>
    <row r="1158">
      <c r="H1158" s="6" t="n"/>
      <c r="I1158" s="6" t="n"/>
      <c r="M1158" s="7" t="n"/>
      <c r="N1158" s="7" t="n"/>
      <c r="O1158" s="7" t="n"/>
      <c r="P1158" s="8">
        <f>IF(NOT(ISNUMBER(M1158)),"",IF(G1158="Terreno",IF(AND(ISNUMBER(I1158),I1158&gt;0),M1158/I1158,""),IF(AND(ISNUMBER(H1158),H1158&gt;0),M1158/H1158,"")))</f>
        <v/>
      </c>
      <c r="Q1158" s="9">
        <f>IF(AND(ISNUMBER(M1158),ISNUMBER(O1158)),IF(M1158&lt;=O1158,"Valor ≤ venal IPTU",""),"")</f>
        <v/>
      </c>
      <c r="R1158" s="10" t="n"/>
      <c r="S1158" s="10" t="n"/>
      <c r="AA1158" s="10" t="n"/>
      <c r="AB1158" s="11">
        <f>IF(LEN(TRIM(X1158))=0,"",HYPERLINK("https://www.google.com/maps/@?api=1&amp;map_action=pano&amp;viewpoint="&amp;SUBSTITUTE(X1158," ",""),"Abrir Street View"))</f>
        <v/>
      </c>
    </row>
    <row r="1159">
      <c r="H1159" s="6" t="n"/>
      <c r="I1159" s="6" t="n"/>
      <c r="M1159" s="7" t="n"/>
      <c r="N1159" s="7" t="n"/>
      <c r="O1159" s="7" t="n"/>
      <c r="P1159" s="8">
        <f>IF(NOT(ISNUMBER(M1159)),"",IF(G1159="Terreno",IF(AND(ISNUMBER(I1159),I1159&gt;0),M1159/I1159,""),IF(AND(ISNUMBER(H1159),H1159&gt;0),M1159/H1159,"")))</f>
        <v/>
      </c>
      <c r="Q1159" s="9">
        <f>IF(AND(ISNUMBER(M1159),ISNUMBER(O1159)),IF(M1159&lt;=O1159,"Valor ≤ venal IPTU",""),"")</f>
        <v/>
      </c>
      <c r="R1159" s="10" t="n"/>
      <c r="S1159" s="10" t="n"/>
      <c r="AA1159" s="10" t="n"/>
      <c r="AB1159" s="11">
        <f>IF(LEN(TRIM(X1159))=0,"",HYPERLINK("https://www.google.com/maps/@?api=1&amp;map_action=pano&amp;viewpoint="&amp;SUBSTITUTE(X1159," ",""),"Abrir Street View"))</f>
        <v/>
      </c>
    </row>
    <row r="1160">
      <c r="H1160" s="6" t="n"/>
      <c r="I1160" s="6" t="n"/>
      <c r="M1160" s="7" t="n"/>
      <c r="N1160" s="7" t="n"/>
      <c r="O1160" s="7" t="n"/>
      <c r="P1160" s="8">
        <f>IF(NOT(ISNUMBER(M1160)),"",IF(G1160="Terreno",IF(AND(ISNUMBER(I1160),I1160&gt;0),M1160/I1160,""),IF(AND(ISNUMBER(H1160),H1160&gt;0),M1160/H1160,"")))</f>
        <v/>
      </c>
      <c r="Q1160" s="9">
        <f>IF(AND(ISNUMBER(M1160),ISNUMBER(O1160)),IF(M1160&lt;=O1160,"Valor ≤ venal IPTU",""),"")</f>
        <v/>
      </c>
      <c r="R1160" s="10" t="n"/>
      <c r="S1160" s="10" t="n"/>
      <c r="AA1160" s="10" t="n"/>
      <c r="AB1160" s="11">
        <f>IF(LEN(TRIM(X1160))=0,"",HYPERLINK("https://www.google.com/maps/@?api=1&amp;map_action=pano&amp;viewpoint="&amp;SUBSTITUTE(X1160," ",""),"Abrir Street View"))</f>
        <v/>
      </c>
    </row>
    <row r="1161">
      <c r="H1161" s="6" t="n"/>
      <c r="I1161" s="6" t="n"/>
      <c r="M1161" s="7" t="n"/>
      <c r="N1161" s="7" t="n"/>
      <c r="O1161" s="7" t="n"/>
      <c r="P1161" s="8">
        <f>IF(NOT(ISNUMBER(M1161)),"",IF(G1161="Terreno",IF(AND(ISNUMBER(I1161),I1161&gt;0),M1161/I1161,""),IF(AND(ISNUMBER(H1161),H1161&gt;0),M1161/H1161,"")))</f>
        <v/>
      </c>
      <c r="Q1161" s="9">
        <f>IF(AND(ISNUMBER(M1161),ISNUMBER(O1161)),IF(M1161&lt;=O1161,"Valor ≤ venal IPTU",""),"")</f>
        <v/>
      </c>
      <c r="R1161" s="10" t="n"/>
      <c r="S1161" s="10" t="n"/>
      <c r="AA1161" s="10" t="n"/>
      <c r="AB1161" s="11">
        <f>IF(LEN(TRIM(X1161))=0,"",HYPERLINK("https://www.google.com/maps/@?api=1&amp;map_action=pano&amp;viewpoint="&amp;SUBSTITUTE(X1161," ",""),"Abrir Street View"))</f>
        <v/>
      </c>
    </row>
    <row r="1162">
      <c r="H1162" s="6" t="n"/>
      <c r="I1162" s="6" t="n"/>
      <c r="M1162" s="7" t="n"/>
      <c r="N1162" s="7" t="n"/>
      <c r="O1162" s="7" t="n"/>
      <c r="P1162" s="8">
        <f>IF(NOT(ISNUMBER(M1162)),"",IF(G1162="Terreno",IF(AND(ISNUMBER(I1162),I1162&gt;0),M1162/I1162,""),IF(AND(ISNUMBER(H1162),H1162&gt;0),M1162/H1162,"")))</f>
        <v/>
      </c>
      <c r="Q1162" s="9">
        <f>IF(AND(ISNUMBER(M1162),ISNUMBER(O1162)),IF(M1162&lt;=O1162,"Valor ≤ venal IPTU",""),"")</f>
        <v/>
      </c>
      <c r="R1162" s="10" t="n"/>
      <c r="S1162" s="10" t="n"/>
      <c r="AA1162" s="10" t="n"/>
      <c r="AB1162" s="11">
        <f>IF(LEN(TRIM(X1162))=0,"",HYPERLINK("https://www.google.com/maps/@?api=1&amp;map_action=pano&amp;viewpoint="&amp;SUBSTITUTE(X1162," ",""),"Abrir Street View"))</f>
        <v/>
      </c>
    </row>
    <row r="1163">
      <c r="H1163" s="6" t="n"/>
      <c r="I1163" s="6" t="n"/>
      <c r="M1163" s="7" t="n"/>
      <c r="N1163" s="7" t="n"/>
      <c r="O1163" s="7" t="n"/>
      <c r="P1163" s="8">
        <f>IF(NOT(ISNUMBER(M1163)),"",IF(G1163="Terreno",IF(AND(ISNUMBER(I1163),I1163&gt;0),M1163/I1163,""),IF(AND(ISNUMBER(H1163),H1163&gt;0),M1163/H1163,"")))</f>
        <v/>
      </c>
      <c r="Q1163" s="9">
        <f>IF(AND(ISNUMBER(M1163),ISNUMBER(O1163)),IF(M1163&lt;=O1163,"Valor ≤ venal IPTU",""),"")</f>
        <v/>
      </c>
      <c r="R1163" s="10" t="n"/>
      <c r="S1163" s="10" t="n"/>
      <c r="AA1163" s="10" t="n"/>
      <c r="AB1163" s="11">
        <f>IF(LEN(TRIM(X1163))=0,"",HYPERLINK("https://www.google.com/maps/@?api=1&amp;map_action=pano&amp;viewpoint="&amp;SUBSTITUTE(X1163," ",""),"Abrir Street View"))</f>
        <v/>
      </c>
    </row>
    <row r="1164">
      <c r="H1164" s="6" t="n"/>
      <c r="I1164" s="6" t="n"/>
      <c r="M1164" s="7" t="n"/>
      <c r="N1164" s="7" t="n"/>
      <c r="O1164" s="7" t="n"/>
      <c r="P1164" s="8">
        <f>IF(NOT(ISNUMBER(M1164)),"",IF(G1164="Terreno",IF(AND(ISNUMBER(I1164),I1164&gt;0),M1164/I1164,""),IF(AND(ISNUMBER(H1164),H1164&gt;0),M1164/H1164,"")))</f>
        <v/>
      </c>
      <c r="Q1164" s="9">
        <f>IF(AND(ISNUMBER(M1164),ISNUMBER(O1164)),IF(M1164&lt;=O1164,"Valor ≤ venal IPTU",""),"")</f>
        <v/>
      </c>
      <c r="R1164" s="10" t="n"/>
      <c r="S1164" s="10" t="n"/>
      <c r="AA1164" s="10" t="n"/>
      <c r="AB1164" s="11">
        <f>IF(LEN(TRIM(X1164))=0,"",HYPERLINK("https://www.google.com/maps/@?api=1&amp;map_action=pano&amp;viewpoint="&amp;SUBSTITUTE(X1164," ",""),"Abrir Street View"))</f>
        <v/>
      </c>
    </row>
    <row r="1165">
      <c r="H1165" s="6" t="n"/>
      <c r="I1165" s="6" t="n"/>
      <c r="M1165" s="7" t="n"/>
      <c r="N1165" s="7" t="n"/>
      <c r="O1165" s="7" t="n"/>
      <c r="P1165" s="8">
        <f>IF(NOT(ISNUMBER(M1165)),"",IF(G1165="Terreno",IF(AND(ISNUMBER(I1165),I1165&gt;0),M1165/I1165,""),IF(AND(ISNUMBER(H1165),H1165&gt;0),M1165/H1165,"")))</f>
        <v/>
      </c>
      <c r="Q1165" s="9">
        <f>IF(AND(ISNUMBER(M1165),ISNUMBER(O1165)),IF(M1165&lt;=O1165,"Valor ≤ venal IPTU",""),"")</f>
        <v/>
      </c>
      <c r="R1165" s="10" t="n"/>
      <c r="S1165" s="10" t="n"/>
      <c r="AA1165" s="10" t="n"/>
      <c r="AB1165" s="11">
        <f>IF(LEN(TRIM(X1165))=0,"",HYPERLINK("https://www.google.com/maps/@?api=1&amp;map_action=pano&amp;viewpoint="&amp;SUBSTITUTE(X1165," ",""),"Abrir Street View"))</f>
        <v/>
      </c>
    </row>
    <row r="1166">
      <c r="H1166" s="6" t="n"/>
      <c r="I1166" s="6" t="n"/>
      <c r="M1166" s="7" t="n"/>
      <c r="N1166" s="7" t="n"/>
      <c r="O1166" s="7" t="n"/>
      <c r="P1166" s="8">
        <f>IF(NOT(ISNUMBER(M1166)),"",IF(G1166="Terreno",IF(AND(ISNUMBER(I1166),I1166&gt;0),M1166/I1166,""),IF(AND(ISNUMBER(H1166),H1166&gt;0),M1166/H1166,"")))</f>
        <v/>
      </c>
      <c r="Q1166" s="9">
        <f>IF(AND(ISNUMBER(M1166),ISNUMBER(O1166)),IF(M1166&lt;=O1166,"Valor ≤ venal IPTU",""),"")</f>
        <v/>
      </c>
      <c r="R1166" s="10" t="n"/>
      <c r="S1166" s="10" t="n"/>
      <c r="AA1166" s="10" t="n"/>
      <c r="AB1166" s="11">
        <f>IF(LEN(TRIM(X1166))=0,"",HYPERLINK("https://www.google.com/maps/@?api=1&amp;map_action=pano&amp;viewpoint="&amp;SUBSTITUTE(X1166," ",""),"Abrir Street View"))</f>
        <v/>
      </c>
    </row>
    <row r="1167">
      <c r="H1167" s="6" t="n"/>
      <c r="I1167" s="6" t="n"/>
      <c r="M1167" s="7" t="n"/>
      <c r="N1167" s="7" t="n"/>
      <c r="O1167" s="7" t="n"/>
      <c r="P1167" s="8">
        <f>IF(NOT(ISNUMBER(M1167)),"",IF(G1167="Terreno",IF(AND(ISNUMBER(I1167),I1167&gt;0),M1167/I1167,""),IF(AND(ISNUMBER(H1167),H1167&gt;0),M1167/H1167,"")))</f>
        <v/>
      </c>
      <c r="Q1167" s="9">
        <f>IF(AND(ISNUMBER(M1167),ISNUMBER(O1167)),IF(M1167&lt;=O1167,"Valor ≤ venal IPTU",""),"")</f>
        <v/>
      </c>
      <c r="R1167" s="10" t="n"/>
      <c r="S1167" s="10" t="n"/>
      <c r="AA1167" s="10" t="n"/>
      <c r="AB1167" s="11">
        <f>IF(LEN(TRIM(X1167))=0,"",HYPERLINK("https://www.google.com/maps/@?api=1&amp;map_action=pano&amp;viewpoint="&amp;SUBSTITUTE(X1167," ",""),"Abrir Street View"))</f>
        <v/>
      </c>
    </row>
    <row r="1168">
      <c r="H1168" s="6" t="n"/>
      <c r="I1168" s="6" t="n"/>
      <c r="M1168" s="7" t="n"/>
      <c r="N1168" s="7" t="n"/>
      <c r="O1168" s="7" t="n"/>
      <c r="P1168" s="8">
        <f>IF(NOT(ISNUMBER(M1168)),"",IF(G1168="Terreno",IF(AND(ISNUMBER(I1168),I1168&gt;0),M1168/I1168,""),IF(AND(ISNUMBER(H1168),H1168&gt;0),M1168/H1168,"")))</f>
        <v/>
      </c>
      <c r="Q1168" s="9">
        <f>IF(AND(ISNUMBER(M1168),ISNUMBER(O1168)),IF(M1168&lt;=O1168,"Valor ≤ venal IPTU",""),"")</f>
        <v/>
      </c>
      <c r="R1168" s="10" t="n"/>
      <c r="S1168" s="10" t="n"/>
      <c r="AA1168" s="10" t="n"/>
      <c r="AB1168" s="11">
        <f>IF(LEN(TRIM(X1168))=0,"",HYPERLINK("https://www.google.com/maps/@?api=1&amp;map_action=pano&amp;viewpoint="&amp;SUBSTITUTE(X1168," ",""),"Abrir Street View"))</f>
        <v/>
      </c>
    </row>
    <row r="1169">
      <c r="H1169" s="6" t="n"/>
      <c r="I1169" s="6" t="n"/>
      <c r="M1169" s="7" t="n"/>
      <c r="N1169" s="7" t="n"/>
      <c r="O1169" s="7" t="n"/>
      <c r="P1169" s="8">
        <f>IF(NOT(ISNUMBER(M1169)),"",IF(G1169="Terreno",IF(AND(ISNUMBER(I1169),I1169&gt;0),M1169/I1169,""),IF(AND(ISNUMBER(H1169),H1169&gt;0),M1169/H1169,"")))</f>
        <v/>
      </c>
      <c r="Q1169" s="9">
        <f>IF(AND(ISNUMBER(M1169),ISNUMBER(O1169)),IF(M1169&lt;=O1169,"Valor ≤ venal IPTU",""),"")</f>
        <v/>
      </c>
      <c r="R1169" s="10" t="n"/>
      <c r="S1169" s="10" t="n"/>
      <c r="AA1169" s="10" t="n"/>
      <c r="AB1169" s="11">
        <f>IF(LEN(TRIM(X1169))=0,"",HYPERLINK("https://www.google.com/maps/@?api=1&amp;map_action=pano&amp;viewpoint="&amp;SUBSTITUTE(X1169," ",""),"Abrir Street View"))</f>
        <v/>
      </c>
    </row>
    <row r="1170">
      <c r="H1170" s="6" t="n"/>
      <c r="I1170" s="6" t="n"/>
      <c r="M1170" s="7" t="n"/>
      <c r="N1170" s="7" t="n"/>
      <c r="O1170" s="7" t="n"/>
      <c r="P1170" s="8">
        <f>IF(NOT(ISNUMBER(M1170)),"",IF(G1170="Terreno",IF(AND(ISNUMBER(I1170),I1170&gt;0),M1170/I1170,""),IF(AND(ISNUMBER(H1170),H1170&gt;0),M1170/H1170,"")))</f>
        <v/>
      </c>
      <c r="Q1170" s="9">
        <f>IF(AND(ISNUMBER(M1170),ISNUMBER(O1170)),IF(M1170&lt;=O1170,"Valor ≤ venal IPTU",""),"")</f>
        <v/>
      </c>
      <c r="R1170" s="10" t="n"/>
      <c r="S1170" s="10" t="n"/>
      <c r="AA1170" s="10" t="n"/>
      <c r="AB1170" s="11">
        <f>IF(LEN(TRIM(X1170))=0,"",HYPERLINK("https://www.google.com/maps/@?api=1&amp;map_action=pano&amp;viewpoint="&amp;SUBSTITUTE(X1170," ",""),"Abrir Street View"))</f>
        <v/>
      </c>
    </row>
    <row r="1171">
      <c r="H1171" s="6" t="n"/>
      <c r="I1171" s="6" t="n"/>
      <c r="M1171" s="7" t="n"/>
      <c r="N1171" s="7" t="n"/>
      <c r="O1171" s="7" t="n"/>
      <c r="P1171" s="8">
        <f>IF(NOT(ISNUMBER(M1171)),"",IF(G1171="Terreno",IF(AND(ISNUMBER(I1171),I1171&gt;0),M1171/I1171,""),IF(AND(ISNUMBER(H1171),H1171&gt;0),M1171/H1171,"")))</f>
        <v/>
      </c>
      <c r="Q1171" s="9">
        <f>IF(AND(ISNUMBER(M1171),ISNUMBER(O1171)),IF(M1171&lt;=O1171,"Valor ≤ venal IPTU",""),"")</f>
        <v/>
      </c>
      <c r="R1171" s="10" t="n"/>
      <c r="S1171" s="10" t="n"/>
      <c r="AA1171" s="10" t="n"/>
      <c r="AB1171" s="11">
        <f>IF(LEN(TRIM(X1171))=0,"",HYPERLINK("https://www.google.com/maps/@?api=1&amp;map_action=pano&amp;viewpoint="&amp;SUBSTITUTE(X1171," ",""),"Abrir Street View"))</f>
        <v/>
      </c>
    </row>
    <row r="1172">
      <c r="H1172" s="6" t="n"/>
      <c r="I1172" s="6" t="n"/>
      <c r="M1172" s="7" t="n"/>
      <c r="N1172" s="7" t="n"/>
      <c r="O1172" s="7" t="n"/>
      <c r="P1172" s="8">
        <f>IF(NOT(ISNUMBER(M1172)),"",IF(G1172="Terreno",IF(AND(ISNUMBER(I1172),I1172&gt;0),M1172/I1172,""),IF(AND(ISNUMBER(H1172),H1172&gt;0),M1172/H1172,"")))</f>
        <v/>
      </c>
      <c r="Q1172" s="9">
        <f>IF(AND(ISNUMBER(M1172),ISNUMBER(O1172)),IF(M1172&lt;=O1172,"Valor ≤ venal IPTU",""),"")</f>
        <v/>
      </c>
      <c r="R1172" s="10" t="n"/>
      <c r="S1172" s="10" t="n"/>
      <c r="AA1172" s="10" t="n"/>
      <c r="AB1172" s="11">
        <f>IF(LEN(TRIM(X1172))=0,"",HYPERLINK("https://www.google.com/maps/@?api=1&amp;map_action=pano&amp;viewpoint="&amp;SUBSTITUTE(X1172," ",""),"Abrir Street View"))</f>
        <v/>
      </c>
    </row>
    <row r="1173">
      <c r="H1173" s="6" t="n"/>
      <c r="I1173" s="6" t="n"/>
      <c r="M1173" s="7" t="n"/>
      <c r="N1173" s="7" t="n"/>
      <c r="O1173" s="7" t="n"/>
      <c r="P1173" s="8">
        <f>IF(NOT(ISNUMBER(M1173)),"",IF(G1173="Terreno",IF(AND(ISNUMBER(I1173),I1173&gt;0),M1173/I1173,""),IF(AND(ISNUMBER(H1173),H1173&gt;0),M1173/H1173,"")))</f>
        <v/>
      </c>
      <c r="Q1173" s="9">
        <f>IF(AND(ISNUMBER(M1173),ISNUMBER(O1173)),IF(M1173&lt;=O1173,"Valor ≤ venal IPTU",""),"")</f>
        <v/>
      </c>
      <c r="R1173" s="10" t="n"/>
      <c r="S1173" s="10" t="n"/>
      <c r="AA1173" s="10" t="n"/>
      <c r="AB1173" s="11">
        <f>IF(LEN(TRIM(X1173))=0,"",HYPERLINK("https://www.google.com/maps/@?api=1&amp;map_action=pano&amp;viewpoint="&amp;SUBSTITUTE(X1173," ",""),"Abrir Street View"))</f>
        <v/>
      </c>
    </row>
    <row r="1174">
      <c r="H1174" s="6" t="n"/>
      <c r="I1174" s="6" t="n"/>
      <c r="M1174" s="7" t="n"/>
      <c r="N1174" s="7" t="n"/>
      <c r="O1174" s="7" t="n"/>
      <c r="P1174" s="8">
        <f>IF(NOT(ISNUMBER(M1174)),"",IF(G1174="Terreno",IF(AND(ISNUMBER(I1174),I1174&gt;0),M1174/I1174,""),IF(AND(ISNUMBER(H1174),H1174&gt;0),M1174/H1174,"")))</f>
        <v/>
      </c>
      <c r="Q1174" s="9">
        <f>IF(AND(ISNUMBER(M1174),ISNUMBER(O1174)),IF(M1174&lt;=O1174,"Valor ≤ venal IPTU",""),"")</f>
        <v/>
      </c>
      <c r="R1174" s="10" t="n"/>
      <c r="S1174" s="10" t="n"/>
      <c r="AA1174" s="10" t="n"/>
      <c r="AB1174" s="11">
        <f>IF(LEN(TRIM(X1174))=0,"",HYPERLINK("https://www.google.com/maps/@?api=1&amp;map_action=pano&amp;viewpoint="&amp;SUBSTITUTE(X1174," ",""),"Abrir Street View"))</f>
        <v/>
      </c>
    </row>
    <row r="1175">
      <c r="H1175" s="6" t="n"/>
      <c r="I1175" s="6" t="n"/>
      <c r="M1175" s="7" t="n"/>
      <c r="N1175" s="7" t="n"/>
      <c r="O1175" s="7" t="n"/>
      <c r="P1175" s="8">
        <f>IF(NOT(ISNUMBER(M1175)),"",IF(G1175="Terreno",IF(AND(ISNUMBER(I1175),I1175&gt;0),M1175/I1175,""),IF(AND(ISNUMBER(H1175),H1175&gt;0),M1175/H1175,"")))</f>
        <v/>
      </c>
      <c r="Q1175" s="9">
        <f>IF(AND(ISNUMBER(M1175),ISNUMBER(O1175)),IF(M1175&lt;=O1175,"Valor ≤ venal IPTU",""),"")</f>
        <v/>
      </c>
      <c r="R1175" s="10" t="n"/>
      <c r="S1175" s="10" t="n"/>
      <c r="AA1175" s="10" t="n"/>
      <c r="AB1175" s="11">
        <f>IF(LEN(TRIM(X1175))=0,"",HYPERLINK("https://www.google.com/maps/@?api=1&amp;map_action=pano&amp;viewpoint="&amp;SUBSTITUTE(X1175," ",""),"Abrir Street View"))</f>
        <v/>
      </c>
    </row>
    <row r="1176">
      <c r="H1176" s="6" t="n"/>
      <c r="I1176" s="6" t="n"/>
      <c r="M1176" s="7" t="n"/>
      <c r="N1176" s="7" t="n"/>
      <c r="O1176" s="7" t="n"/>
      <c r="P1176" s="8">
        <f>IF(NOT(ISNUMBER(M1176)),"",IF(G1176="Terreno",IF(AND(ISNUMBER(I1176),I1176&gt;0),M1176/I1176,""),IF(AND(ISNUMBER(H1176),H1176&gt;0),M1176/H1176,"")))</f>
        <v/>
      </c>
      <c r="Q1176" s="9">
        <f>IF(AND(ISNUMBER(M1176),ISNUMBER(O1176)),IF(M1176&lt;=O1176,"Valor ≤ venal IPTU",""),"")</f>
        <v/>
      </c>
      <c r="R1176" s="10" t="n"/>
      <c r="S1176" s="10" t="n"/>
      <c r="AA1176" s="10" t="n"/>
      <c r="AB1176" s="11">
        <f>IF(LEN(TRIM(X1176))=0,"",HYPERLINK("https://www.google.com/maps/@?api=1&amp;map_action=pano&amp;viewpoint="&amp;SUBSTITUTE(X1176," ",""),"Abrir Street View"))</f>
        <v/>
      </c>
    </row>
    <row r="1177">
      <c r="H1177" s="6" t="n"/>
      <c r="I1177" s="6" t="n"/>
      <c r="M1177" s="7" t="n"/>
      <c r="N1177" s="7" t="n"/>
      <c r="O1177" s="7" t="n"/>
      <c r="P1177" s="8">
        <f>IF(NOT(ISNUMBER(M1177)),"",IF(G1177="Terreno",IF(AND(ISNUMBER(I1177),I1177&gt;0),M1177/I1177,""),IF(AND(ISNUMBER(H1177),H1177&gt;0),M1177/H1177,"")))</f>
        <v/>
      </c>
      <c r="Q1177" s="9">
        <f>IF(AND(ISNUMBER(M1177),ISNUMBER(O1177)),IF(M1177&lt;=O1177,"Valor ≤ venal IPTU",""),"")</f>
        <v/>
      </c>
      <c r="R1177" s="10" t="n"/>
      <c r="S1177" s="10" t="n"/>
      <c r="AA1177" s="10" t="n"/>
      <c r="AB1177" s="11">
        <f>IF(LEN(TRIM(X1177))=0,"",HYPERLINK("https://www.google.com/maps/@?api=1&amp;map_action=pano&amp;viewpoint="&amp;SUBSTITUTE(X1177," ",""),"Abrir Street View"))</f>
        <v/>
      </c>
    </row>
    <row r="1178">
      <c r="H1178" s="6" t="n"/>
      <c r="I1178" s="6" t="n"/>
      <c r="M1178" s="7" t="n"/>
      <c r="N1178" s="7" t="n"/>
      <c r="O1178" s="7" t="n"/>
      <c r="P1178" s="8">
        <f>IF(NOT(ISNUMBER(M1178)),"",IF(G1178="Terreno",IF(AND(ISNUMBER(I1178),I1178&gt;0),M1178/I1178,""),IF(AND(ISNUMBER(H1178),H1178&gt;0),M1178/H1178,"")))</f>
        <v/>
      </c>
      <c r="Q1178" s="9">
        <f>IF(AND(ISNUMBER(M1178),ISNUMBER(O1178)),IF(M1178&lt;=O1178,"Valor ≤ venal IPTU",""),"")</f>
        <v/>
      </c>
      <c r="R1178" s="10" t="n"/>
      <c r="S1178" s="10" t="n"/>
      <c r="AA1178" s="10" t="n"/>
      <c r="AB1178" s="11">
        <f>IF(LEN(TRIM(X1178))=0,"",HYPERLINK("https://www.google.com/maps/@?api=1&amp;map_action=pano&amp;viewpoint="&amp;SUBSTITUTE(X1178," ",""),"Abrir Street View"))</f>
        <v/>
      </c>
    </row>
    <row r="1179">
      <c r="H1179" s="6" t="n"/>
      <c r="I1179" s="6" t="n"/>
      <c r="M1179" s="7" t="n"/>
      <c r="N1179" s="7" t="n"/>
      <c r="O1179" s="7" t="n"/>
      <c r="P1179" s="8">
        <f>IF(NOT(ISNUMBER(M1179)),"",IF(G1179="Terreno",IF(AND(ISNUMBER(I1179),I1179&gt;0),M1179/I1179,""),IF(AND(ISNUMBER(H1179),H1179&gt;0),M1179/H1179,"")))</f>
        <v/>
      </c>
      <c r="Q1179" s="9">
        <f>IF(AND(ISNUMBER(M1179),ISNUMBER(O1179)),IF(M1179&lt;=O1179,"Valor ≤ venal IPTU",""),"")</f>
        <v/>
      </c>
      <c r="R1179" s="10" t="n"/>
      <c r="S1179" s="10" t="n"/>
      <c r="AA1179" s="10" t="n"/>
      <c r="AB1179" s="11">
        <f>IF(LEN(TRIM(X1179))=0,"",HYPERLINK("https://www.google.com/maps/@?api=1&amp;map_action=pano&amp;viewpoint="&amp;SUBSTITUTE(X1179," ",""),"Abrir Street View"))</f>
        <v/>
      </c>
    </row>
    <row r="1180">
      <c r="H1180" s="6" t="n"/>
      <c r="I1180" s="6" t="n"/>
      <c r="M1180" s="7" t="n"/>
      <c r="N1180" s="7" t="n"/>
      <c r="O1180" s="7" t="n"/>
      <c r="P1180" s="8">
        <f>IF(NOT(ISNUMBER(M1180)),"",IF(G1180="Terreno",IF(AND(ISNUMBER(I1180),I1180&gt;0),M1180/I1180,""),IF(AND(ISNUMBER(H1180),H1180&gt;0),M1180/H1180,"")))</f>
        <v/>
      </c>
      <c r="Q1180" s="9">
        <f>IF(AND(ISNUMBER(M1180),ISNUMBER(O1180)),IF(M1180&lt;=O1180,"Valor ≤ venal IPTU",""),"")</f>
        <v/>
      </c>
      <c r="R1180" s="10" t="n"/>
      <c r="S1180" s="10" t="n"/>
      <c r="AA1180" s="10" t="n"/>
      <c r="AB1180" s="11">
        <f>IF(LEN(TRIM(X1180))=0,"",HYPERLINK("https://www.google.com/maps/@?api=1&amp;map_action=pano&amp;viewpoint="&amp;SUBSTITUTE(X1180," ",""),"Abrir Street View"))</f>
        <v/>
      </c>
    </row>
    <row r="1181">
      <c r="H1181" s="6" t="n"/>
      <c r="I1181" s="6" t="n"/>
      <c r="M1181" s="7" t="n"/>
      <c r="N1181" s="7" t="n"/>
      <c r="O1181" s="7" t="n"/>
      <c r="P1181" s="8">
        <f>IF(NOT(ISNUMBER(M1181)),"",IF(G1181="Terreno",IF(AND(ISNUMBER(I1181),I1181&gt;0),M1181/I1181,""),IF(AND(ISNUMBER(H1181),H1181&gt;0),M1181/H1181,"")))</f>
        <v/>
      </c>
      <c r="Q1181" s="9">
        <f>IF(AND(ISNUMBER(M1181),ISNUMBER(O1181)),IF(M1181&lt;=O1181,"Valor ≤ venal IPTU",""),"")</f>
        <v/>
      </c>
      <c r="R1181" s="10" t="n"/>
      <c r="S1181" s="10" t="n"/>
      <c r="AA1181" s="10" t="n"/>
      <c r="AB1181" s="11">
        <f>IF(LEN(TRIM(X1181))=0,"",HYPERLINK("https://www.google.com/maps/@?api=1&amp;map_action=pano&amp;viewpoint="&amp;SUBSTITUTE(X1181," ",""),"Abrir Street View"))</f>
        <v/>
      </c>
    </row>
    <row r="1182">
      <c r="H1182" s="6" t="n"/>
      <c r="I1182" s="6" t="n"/>
      <c r="M1182" s="7" t="n"/>
      <c r="N1182" s="7" t="n"/>
      <c r="O1182" s="7" t="n"/>
      <c r="P1182" s="8">
        <f>IF(NOT(ISNUMBER(M1182)),"",IF(G1182="Terreno",IF(AND(ISNUMBER(I1182),I1182&gt;0),M1182/I1182,""),IF(AND(ISNUMBER(H1182),H1182&gt;0),M1182/H1182,"")))</f>
        <v/>
      </c>
      <c r="Q1182" s="9">
        <f>IF(AND(ISNUMBER(M1182),ISNUMBER(O1182)),IF(M1182&lt;=O1182,"Valor ≤ venal IPTU",""),"")</f>
        <v/>
      </c>
      <c r="R1182" s="10" t="n"/>
      <c r="S1182" s="10" t="n"/>
      <c r="AA1182" s="10" t="n"/>
      <c r="AB1182" s="11">
        <f>IF(LEN(TRIM(X1182))=0,"",HYPERLINK("https://www.google.com/maps/@?api=1&amp;map_action=pano&amp;viewpoint="&amp;SUBSTITUTE(X1182," ",""),"Abrir Street View"))</f>
        <v/>
      </c>
    </row>
    <row r="1183">
      <c r="H1183" s="6" t="n"/>
      <c r="I1183" s="6" t="n"/>
      <c r="M1183" s="7" t="n"/>
      <c r="N1183" s="7" t="n"/>
      <c r="O1183" s="7" t="n"/>
      <c r="P1183" s="8">
        <f>IF(NOT(ISNUMBER(M1183)),"",IF(G1183="Terreno",IF(AND(ISNUMBER(I1183),I1183&gt;0),M1183/I1183,""),IF(AND(ISNUMBER(H1183),H1183&gt;0),M1183/H1183,"")))</f>
        <v/>
      </c>
      <c r="Q1183" s="9">
        <f>IF(AND(ISNUMBER(M1183),ISNUMBER(O1183)),IF(M1183&lt;=O1183,"Valor ≤ venal IPTU",""),"")</f>
        <v/>
      </c>
      <c r="R1183" s="10" t="n"/>
      <c r="S1183" s="10" t="n"/>
      <c r="AA1183" s="10" t="n"/>
      <c r="AB1183" s="11">
        <f>IF(LEN(TRIM(X1183))=0,"",HYPERLINK("https://www.google.com/maps/@?api=1&amp;map_action=pano&amp;viewpoint="&amp;SUBSTITUTE(X1183," ",""),"Abrir Street View"))</f>
        <v/>
      </c>
    </row>
    <row r="1184">
      <c r="H1184" s="6" t="n"/>
      <c r="I1184" s="6" t="n"/>
      <c r="M1184" s="7" t="n"/>
      <c r="N1184" s="7" t="n"/>
      <c r="O1184" s="7" t="n"/>
      <c r="P1184" s="8">
        <f>IF(NOT(ISNUMBER(M1184)),"",IF(G1184="Terreno",IF(AND(ISNUMBER(I1184),I1184&gt;0),M1184/I1184,""),IF(AND(ISNUMBER(H1184),H1184&gt;0),M1184/H1184,"")))</f>
        <v/>
      </c>
      <c r="Q1184" s="9">
        <f>IF(AND(ISNUMBER(M1184),ISNUMBER(O1184)),IF(M1184&lt;=O1184,"Valor ≤ venal IPTU",""),"")</f>
        <v/>
      </c>
      <c r="R1184" s="10" t="n"/>
      <c r="S1184" s="10" t="n"/>
      <c r="AA1184" s="10" t="n"/>
      <c r="AB1184" s="11">
        <f>IF(LEN(TRIM(X1184))=0,"",HYPERLINK("https://www.google.com/maps/@?api=1&amp;map_action=pano&amp;viewpoint="&amp;SUBSTITUTE(X1184," ",""),"Abrir Street View"))</f>
        <v/>
      </c>
    </row>
    <row r="1185">
      <c r="H1185" s="6" t="n"/>
      <c r="I1185" s="6" t="n"/>
      <c r="M1185" s="7" t="n"/>
      <c r="N1185" s="7" t="n"/>
      <c r="O1185" s="7" t="n"/>
      <c r="P1185" s="8">
        <f>IF(NOT(ISNUMBER(M1185)),"",IF(G1185="Terreno",IF(AND(ISNUMBER(I1185),I1185&gt;0),M1185/I1185,""),IF(AND(ISNUMBER(H1185),H1185&gt;0),M1185/H1185,"")))</f>
        <v/>
      </c>
      <c r="Q1185" s="9">
        <f>IF(AND(ISNUMBER(M1185),ISNUMBER(O1185)),IF(M1185&lt;=O1185,"Valor ≤ venal IPTU",""),"")</f>
        <v/>
      </c>
      <c r="R1185" s="10" t="n"/>
      <c r="S1185" s="10" t="n"/>
      <c r="AA1185" s="10" t="n"/>
      <c r="AB1185" s="11">
        <f>IF(LEN(TRIM(X1185))=0,"",HYPERLINK("https://www.google.com/maps/@?api=1&amp;map_action=pano&amp;viewpoint="&amp;SUBSTITUTE(X1185," ",""),"Abrir Street View"))</f>
        <v/>
      </c>
    </row>
    <row r="1186">
      <c r="H1186" s="6" t="n"/>
      <c r="I1186" s="6" t="n"/>
      <c r="M1186" s="7" t="n"/>
      <c r="N1186" s="7" t="n"/>
      <c r="O1186" s="7" t="n"/>
      <c r="P1186" s="8">
        <f>IF(NOT(ISNUMBER(M1186)),"",IF(G1186="Terreno",IF(AND(ISNUMBER(I1186),I1186&gt;0),M1186/I1186,""),IF(AND(ISNUMBER(H1186),H1186&gt;0),M1186/H1186,"")))</f>
        <v/>
      </c>
      <c r="Q1186" s="9">
        <f>IF(AND(ISNUMBER(M1186),ISNUMBER(O1186)),IF(M1186&lt;=O1186,"Valor ≤ venal IPTU",""),"")</f>
        <v/>
      </c>
      <c r="R1186" s="10" t="n"/>
      <c r="S1186" s="10" t="n"/>
      <c r="AA1186" s="10" t="n"/>
      <c r="AB1186" s="11">
        <f>IF(LEN(TRIM(X1186))=0,"",HYPERLINK("https://www.google.com/maps/@?api=1&amp;map_action=pano&amp;viewpoint="&amp;SUBSTITUTE(X1186," ",""),"Abrir Street View"))</f>
        <v/>
      </c>
    </row>
    <row r="1187">
      <c r="H1187" s="6" t="n"/>
      <c r="I1187" s="6" t="n"/>
      <c r="M1187" s="7" t="n"/>
      <c r="N1187" s="7" t="n"/>
      <c r="O1187" s="7" t="n"/>
      <c r="P1187" s="8">
        <f>IF(NOT(ISNUMBER(M1187)),"",IF(G1187="Terreno",IF(AND(ISNUMBER(I1187),I1187&gt;0),M1187/I1187,""),IF(AND(ISNUMBER(H1187),H1187&gt;0),M1187/H1187,"")))</f>
        <v/>
      </c>
      <c r="Q1187" s="9">
        <f>IF(AND(ISNUMBER(M1187),ISNUMBER(O1187)),IF(M1187&lt;=O1187,"Valor ≤ venal IPTU",""),"")</f>
        <v/>
      </c>
      <c r="R1187" s="10" t="n"/>
      <c r="S1187" s="10" t="n"/>
      <c r="AA1187" s="10" t="n"/>
      <c r="AB1187" s="11">
        <f>IF(LEN(TRIM(X1187))=0,"",HYPERLINK("https://www.google.com/maps/@?api=1&amp;map_action=pano&amp;viewpoint="&amp;SUBSTITUTE(X1187," ",""),"Abrir Street View"))</f>
        <v/>
      </c>
    </row>
    <row r="1188">
      <c r="H1188" s="6" t="n"/>
      <c r="I1188" s="6" t="n"/>
      <c r="M1188" s="7" t="n"/>
      <c r="N1188" s="7" t="n"/>
      <c r="O1188" s="7" t="n"/>
      <c r="P1188" s="8">
        <f>IF(NOT(ISNUMBER(M1188)),"",IF(G1188="Terreno",IF(AND(ISNUMBER(I1188),I1188&gt;0),M1188/I1188,""),IF(AND(ISNUMBER(H1188),H1188&gt;0),M1188/H1188,"")))</f>
        <v/>
      </c>
      <c r="Q1188" s="9">
        <f>IF(AND(ISNUMBER(M1188),ISNUMBER(O1188)),IF(M1188&lt;=O1188,"Valor ≤ venal IPTU",""),"")</f>
        <v/>
      </c>
      <c r="R1188" s="10" t="n"/>
      <c r="S1188" s="10" t="n"/>
      <c r="AA1188" s="10" t="n"/>
      <c r="AB1188" s="11">
        <f>IF(LEN(TRIM(X1188))=0,"",HYPERLINK("https://www.google.com/maps/@?api=1&amp;map_action=pano&amp;viewpoint="&amp;SUBSTITUTE(X1188," ",""),"Abrir Street View"))</f>
        <v/>
      </c>
    </row>
    <row r="1189">
      <c r="H1189" s="6" t="n"/>
      <c r="I1189" s="6" t="n"/>
      <c r="M1189" s="7" t="n"/>
      <c r="N1189" s="7" t="n"/>
      <c r="O1189" s="7" t="n"/>
      <c r="P1189" s="8">
        <f>IF(NOT(ISNUMBER(M1189)),"",IF(G1189="Terreno",IF(AND(ISNUMBER(I1189),I1189&gt;0),M1189/I1189,""),IF(AND(ISNUMBER(H1189),H1189&gt;0),M1189/H1189,"")))</f>
        <v/>
      </c>
      <c r="Q1189" s="9">
        <f>IF(AND(ISNUMBER(M1189),ISNUMBER(O1189)),IF(M1189&lt;=O1189,"Valor ≤ venal IPTU",""),"")</f>
        <v/>
      </c>
      <c r="R1189" s="10" t="n"/>
      <c r="S1189" s="10" t="n"/>
      <c r="AA1189" s="10" t="n"/>
      <c r="AB1189" s="11">
        <f>IF(LEN(TRIM(X1189))=0,"",HYPERLINK("https://www.google.com/maps/@?api=1&amp;map_action=pano&amp;viewpoint="&amp;SUBSTITUTE(X1189," ",""),"Abrir Street View"))</f>
        <v/>
      </c>
    </row>
    <row r="1190">
      <c r="H1190" s="6" t="n"/>
      <c r="I1190" s="6" t="n"/>
      <c r="M1190" s="7" t="n"/>
      <c r="N1190" s="7" t="n"/>
      <c r="O1190" s="7" t="n"/>
      <c r="P1190" s="8">
        <f>IF(NOT(ISNUMBER(M1190)),"",IF(G1190="Terreno",IF(AND(ISNUMBER(I1190),I1190&gt;0),M1190/I1190,""),IF(AND(ISNUMBER(H1190),H1190&gt;0),M1190/H1190,"")))</f>
        <v/>
      </c>
      <c r="Q1190" s="9">
        <f>IF(AND(ISNUMBER(M1190),ISNUMBER(O1190)),IF(M1190&lt;=O1190,"Valor ≤ venal IPTU",""),"")</f>
        <v/>
      </c>
      <c r="R1190" s="10" t="n"/>
      <c r="S1190" s="10" t="n"/>
      <c r="AA1190" s="10" t="n"/>
      <c r="AB1190" s="11">
        <f>IF(LEN(TRIM(X1190))=0,"",HYPERLINK("https://www.google.com/maps/@?api=1&amp;map_action=pano&amp;viewpoint="&amp;SUBSTITUTE(X1190," ",""),"Abrir Street View"))</f>
        <v/>
      </c>
    </row>
    <row r="1191">
      <c r="H1191" s="6" t="n"/>
      <c r="I1191" s="6" t="n"/>
      <c r="M1191" s="7" t="n"/>
      <c r="N1191" s="7" t="n"/>
      <c r="O1191" s="7" t="n"/>
      <c r="P1191" s="8">
        <f>IF(NOT(ISNUMBER(M1191)),"",IF(G1191="Terreno",IF(AND(ISNUMBER(I1191),I1191&gt;0),M1191/I1191,""),IF(AND(ISNUMBER(H1191),H1191&gt;0),M1191/H1191,"")))</f>
        <v/>
      </c>
      <c r="Q1191" s="9">
        <f>IF(AND(ISNUMBER(M1191),ISNUMBER(O1191)),IF(M1191&lt;=O1191,"Valor ≤ venal IPTU",""),"")</f>
        <v/>
      </c>
      <c r="R1191" s="10" t="n"/>
      <c r="S1191" s="10" t="n"/>
      <c r="AA1191" s="10" t="n"/>
      <c r="AB1191" s="11">
        <f>IF(LEN(TRIM(X1191))=0,"",HYPERLINK("https://www.google.com/maps/@?api=1&amp;map_action=pano&amp;viewpoint="&amp;SUBSTITUTE(X1191," ",""),"Abrir Street View"))</f>
        <v/>
      </c>
    </row>
    <row r="1192">
      <c r="H1192" s="6" t="n"/>
      <c r="I1192" s="6" t="n"/>
      <c r="M1192" s="7" t="n"/>
      <c r="N1192" s="7" t="n"/>
      <c r="O1192" s="7" t="n"/>
      <c r="P1192" s="8">
        <f>IF(NOT(ISNUMBER(M1192)),"",IF(G1192="Terreno",IF(AND(ISNUMBER(I1192),I1192&gt;0),M1192/I1192,""),IF(AND(ISNUMBER(H1192),H1192&gt;0),M1192/H1192,"")))</f>
        <v/>
      </c>
      <c r="Q1192" s="9">
        <f>IF(AND(ISNUMBER(M1192),ISNUMBER(O1192)),IF(M1192&lt;=O1192,"Valor ≤ venal IPTU",""),"")</f>
        <v/>
      </c>
      <c r="R1192" s="10" t="n"/>
      <c r="S1192" s="10" t="n"/>
      <c r="AA1192" s="10" t="n"/>
      <c r="AB1192" s="11">
        <f>IF(LEN(TRIM(X1192))=0,"",HYPERLINK("https://www.google.com/maps/@?api=1&amp;map_action=pano&amp;viewpoint="&amp;SUBSTITUTE(X1192," ",""),"Abrir Street View"))</f>
        <v/>
      </c>
    </row>
    <row r="1193">
      <c r="H1193" s="6" t="n"/>
      <c r="I1193" s="6" t="n"/>
      <c r="M1193" s="7" t="n"/>
      <c r="N1193" s="7" t="n"/>
      <c r="O1193" s="7" t="n"/>
      <c r="P1193" s="8">
        <f>IF(NOT(ISNUMBER(M1193)),"",IF(G1193="Terreno",IF(AND(ISNUMBER(I1193),I1193&gt;0),M1193/I1193,""),IF(AND(ISNUMBER(H1193),H1193&gt;0),M1193/H1193,"")))</f>
        <v/>
      </c>
      <c r="Q1193" s="9">
        <f>IF(AND(ISNUMBER(M1193),ISNUMBER(O1193)),IF(M1193&lt;=O1193,"Valor ≤ venal IPTU",""),"")</f>
        <v/>
      </c>
      <c r="R1193" s="10" t="n"/>
      <c r="S1193" s="10" t="n"/>
      <c r="AA1193" s="10" t="n"/>
      <c r="AB1193" s="11">
        <f>IF(LEN(TRIM(X1193))=0,"",HYPERLINK("https://www.google.com/maps/@?api=1&amp;map_action=pano&amp;viewpoint="&amp;SUBSTITUTE(X1193," ",""),"Abrir Street View"))</f>
        <v/>
      </c>
    </row>
    <row r="1194">
      <c r="H1194" s="6" t="n"/>
      <c r="I1194" s="6" t="n"/>
      <c r="M1194" s="7" t="n"/>
      <c r="N1194" s="7" t="n"/>
      <c r="O1194" s="7" t="n"/>
      <c r="P1194" s="8">
        <f>IF(NOT(ISNUMBER(M1194)),"",IF(G1194="Terreno",IF(AND(ISNUMBER(I1194),I1194&gt;0),M1194/I1194,""),IF(AND(ISNUMBER(H1194),H1194&gt;0),M1194/H1194,"")))</f>
        <v/>
      </c>
      <c r="Q1194" s="9">
        <f>IF(AND(ISNUMBER(M1194),ISNUMBER(O1194)),IF(M1194&lt;=O1194,"Valor ≤ venal IPTU",""),"")</f>
        <v/>
      </c>
      <c r="R1194" s="10" t="n"/>
      <c r="S1194" s="10" t="n"/>
      <c r="AA1194" s="10" t="n"/>
      <c r="AB1194" s="11">
        <f>IF(LEN(TRIM(X1194))=0,"",HYPERLINK("https://www.google.com/maps/@?api=1&amp;map_action=pano&amp;viewpoint="&amp;SUBSTITUTE(X1194," ",""),"Abrir Street View"))</f>
        <v/>
      </c>
    </row>
    <row r="1195">
      <c r="H1195" s="6" t="n"/>
      <c r="I1195" s="6" t="n"/>
      <c r="M1195" s="7" t="n"/>
      <c r="N1195" s="7" t="n"/>
      <c r="O1195" s="7" t="n"/>
      <c r="P1195" s="8">
        <f>IF(NOT(ISNUMBER(M1195)),"",IF(G1195="Terreno",IF(AND(ISNUMBER(I1195),I1195&gt;0),M1195/I1195,""),IF(AND(ISNUMBER(H1195),H1195&gt;0),M1195/H1195,"")))</f>
        <v/>
      </c>
      <c r="Q1195" s="9">
        <f>IF(AND(ISNUMBER(M1195),ISNUMBER(O1195)),IF(M1195&lt;=O1195,"Valor ≤ venal IPTU",""),"")</f>
        <v/>
      </c>
      <c r="R1195" s="10" t="n"/>
      <c r="S1195" s="10" t="n"/>
      <c r="AA1195" s="10" t="n"/>
      <c r="AB1195" s="11">
        <f>IF(LEN(TRIM(X1195))=0,"",HYPERLINK("https://www.google.com/maps/@?api=1&amp;map_action=pano&amp;viewpoint="&amp;SUBSTITUTE(X1195," ",""),"Abrir Street View"))</f>
        <v/>
      </c>
    </row>
    <row r="1196">
      <c r="H1196" s="6" t="n"/>
      <c r="I1196" s="6" t="n"/>
      <c r="M1196" s="7" t="n"/>
      <c r="N1196" s="7" t="n"/>
      <c r="O1196" s="7" t="n"/>
      <c r="P1196" s="8">
        <f>IF(NOT(ISNUMBER(M1196)),"",IF(G1196="Terreno",IF(AND(ISNUMBER(I1196),I1196&gt;0),M1196/I1196,""),IF(AND(ISNUMBER(H1196),H1196&gt;0),M1196/H1196,"")))</f>
        <v/>
      </c>
      <c r="Q1196" s="9">
        <f>IF(AND(ISNUMBER(M1196),ISNUMBER(O1196)),IF(M1196&lt;=O1196,"Valor ≤ venal IPTU",""),"")</f>
        <v/>
      </c>
      <c r="R1196" s="10" t="n"/>
      <c r="S1196" s="10" t="n"/>
      <c r="AA1196" s="10" t="n"/>
      <c r="AB1196" s="11">
        <f>IF(LEN(TRIM(X1196))=0,"",HYPERLINK("https://www.google.com/maps/@?api=1&amp;map_action=pano&amp;viewpoint="&amp;SUBSTITUTE(X1196," ",""),"Abrir Street View"))</f>
        <v/>
      </c>
    </row>
    <row r="1197">
      <c r="H1197" s="6" t="n"/>
      <c r="I1197" s="6" t="n"/>
      <c r="M1197" s="7" t="n"/>
      <c r="N1197" s="7" t="n"/>
      <c r="O1197" s="7" t="n"/>
      <c r="P1197" s="8">
        <f>IF(NOT(ISNUMBER(M1197)),"",IF(G1197="Terreno",IF(AND(ISNUMBER(I1197),I1197&gt;0),M1197/I1197,""),IF(AND(ISNUMBER(H1197),H1197&gt;0),M1197/H1197,"")))</f>
        <v/>
      </c>
      <c r="Q1197" s="9">
        <f>IF(AND(ISNUMBER(M1197),ISNUMBER(O1197)),IF(M1197&lt;=O1197,"Valor ≤ venal IPTU",""),"")</f>
        <v/>
      </c>
      <c r="R1197" s="10" t="n"/>
      <c r="S1197" s="10" t="n"/>
      <c r="AA1197" s="10" t="n"/>
      <c r="AB1197" s="11">
        <f>IF(LEN(TRIM(X1197))=0,"",HYPERLINK("https://www.google.com/maps/@?api=1&amp;map_action=pano&amp;viewpoint="&amp;SUBSTITUTE(X1197," ",""),"Abrir Street View"))</f>
        <v/>
      </c>
    </row>
    <row r="1198">
      <c r="H1198" s="6" t="n"/>
      <c r="I1198" s="6" t="n"/>
      <c r="M1198" s="7" t="n"/>
      <c r="N1198" s="7" t="n"/>
      <c r="O1198" s="7" t="n"/>
      <c r="P1198" s="8">
        <f>IF(NOT(ISNUMBER(M1198)),"",IF(G1198="Terreno",IF(AND(ISNUMBER(I1198),I1198&gt;0),M1198/I1198,""),IF(AND(ISNUMBER(H1198),H1198&gt;0),M1198/H1198,"")))</f>
        <v/>
      </c>
      <c r="Q1198" s="9">
        <f>IF(AND(ISNUMBER(M1198),ISNUMBER(O1198)),IF(M1198&lt;=O1198,"Valor ≤ venal IPTU",""),"")</f>
        <v/>
      </c>
      <c r="R1198" s="10" t="n"/>
      <c r="S1198" s="10" t="n"/>
      <c r="AA1198" s="10" t="n"/>
      <c r="AB1198" s="11">
        <f>IF(LEN(TRIM(X1198))=0,"",HYPERLINK("https://www.google.com/maps/@?api=1&amp;map_action=pano&amp;viewpoint="&amp;SUBSTITUTE(X1198," ",""),"Abrir Street View"))</f>
        <v/>
      </c>
    </row>
    <row r="1199">
      <c r="H1199" s="6" t="n"/>
      <c r="I1199" s="6" t="n"/>
      <c r="M1199" s="7" t="n"/>
      <c r="N1199" s="7" t="n"/>
      <c r="O1199" s="7" t="n"/>
      <c r="P1199" s="8">
        <f>IF(NOT(ISNUMBER(M1199)),"",IF(G1199="Terreno",IF(AND(ISNUMBER(I1199),I1199&gt;0),M1199/I1199,""),IF(AND(ISNUMBER(H1199),H1199&gt;0),M1199/H1199,"")))</f>
        <v/>
      </c>
      <c r="Q1199" s="9">
        <f>IF(AND(ISNUMBER(M1199),ISNUMBER(O1199)),IF(M1199&lt;=O1199,"Valor ≤ venal IPTU",""),"")</f>
        <v/>
      </c>
      <c r="R1199" s="10" t="n"/>
      <c r="S1199" s="10" t="n"/>
      <c r="AA1199" s="10" t="n"/>
      <c r="AB1199" s="11">
        <f>IF(LEN(TRIM(X1199))=0,"",HYPERLINK("https://www.google.com/maps/@?api=1&amp;map_action=pano&amp;viewpoint="&amp;SUBSTITUTE(X1199," ",""),"Abrir Street View"))</f>
        <v/>
      </c>
    </row>
    <row r="1200">
      <c r="H1200" s="6" t="n"/>
      <c r="I1200" s="6" t="n"/>
      <c r="M1200" s="7" t="n"/>
      <c r="N1200" s="7" t="n"/>
      <c r="O1200" s="7" t="n"/>
      <c r="P1200" s="8">
        <f>IF(NOT(ISNUMBER(M1200)),"",IF(G1200="Terreno",IF(AND(ISNUMBER(I1200),I1200&gt;0),M1200/I1200,""),IF(AND(ISNUMBER(H1200),H1200&gt;0),M1200/H1200,"")))</f>
        <v/>
      </c>
      <c r="Q1200" s="9">
        <f>IF(AND(ISNUMBER(M1200),ISNUMBER(O1200)),IF(M1200&lt;=O1200,"Valor ≤ venal IPTU",""),"")</f>
        <v/>
      </c>
      <c r="R1200" s="10" t="n"/>
      <c r="S1200" s="10" t="n"/>
      <c r="AA1200" s="10" t="n"/>
      <c r="AB1200" s="11">
        <f>IF(LEN(TRIM(X1200))=0,"",HYPERLINK("https://www.google.com/maps/@?api=1&amp;map_action=pano&amp;viewpoint="&amp;SUBSTITUTE(X1200," ",""),"Abrir Street View"))</f>
        <v/>
      </c>
    </row>
    <row r="1201">
      <c r="H1201" s="6" t="n"/>
      <c r="I1201" s="6" t="n"/>
      <c r="M1201" s="7" t="n"/>
      <c r="N1201" s="7" t="n"/>
      <c r="O1201" s="7" t="n"/>
      <c r="P1201" s="8">
        <f>IF(NOT(ISNUMBER(M1201)),"",IF(G1201="Terreno",IF(AND(ISNUMBER(I1201),I1201&gt;0),M1201/I1201,""),IF(AND(ISNUMBER(H1201),H1201&gt;0),M1201/H1201,"")))</f>
        <v/>
      </c>
      <c r="Q1201" s="9">
        <f>IF(AND(ISNUMBER(M1201),ISNUMBER(O1201)),IF(M1201&lt;=O1201,"Valor ≤ venal IPTU",""),"")</f>
        <v/>
      </c>
      <c r="R1201" s="10" t="n"/>
      <c r="S1201" s="10" t="n"/>
      <c r="AA1201" s="10" t="n"/>
      <c r="AB1201" s="11">
        <f>IF(LEN(TRIM(X1201))=0,"",HYPERLINK("https://www.google.com/maps/@?api=1&amp;map_action=pano&amp;viewpoint="&amp;SUBSTITUTE(X1201," ",""),"Abrir Street View"))</f>
        <v/>
      </c>
    </row>
    <row r="1202">
      <c r="H1202" s="6" t="n"/>
      <c r="I1202" s="6" t="n"/>
      <c r="M1202" s="7" t="n"/>
      <c r="N1202" s="7" t="n"/>
      <c r="O1202" s="7" t="n"/>
      <c r="P1202" s="8">
        <f>IF(NOT(ISNUMBER(M1202)),"",IF(G1202="Terreno",IF(AND(ISNUMBER(I1202),I1202&gt;0),M1202/I1202,""),IF(AND(ISNUMBER(H1202),H1202&gt;0),M1202/H1202,"")))</f>
        <v/>
      </c>
      <c r="Q1202" s="9">
        <f>IF(AND(ISNUMBER(M1202),ISNUMBER(O1202)),IF(M1202&lt;=O1202,"Valor ≤ venal IPTU",""),"")</f>
        <v/>
      </c>
      <c r="R1202" s="10" t="n"/>
      <c r="S1202" s="10" t="n"/>
      <c r="AA1202" s="10" t="n"/>
      <c r="AB1202" s="11">
        <f>IF(LEN(TRIM(X1202))=0,"",HYPERLINK("https://www.google.com/maps/@?api=1&amp;map_action=pano&amp;viewpoint="&amp;SUBSTITUTE(X1202," ",""),"Abrir Street View"))</f>
        <v/>
      </c>
    </row>
    <row r="1203">
      <c r="H1203" s="6" t="n"/>
      <c r="I1203" s="6" t="n"/>
      <c r="M1203" s="7" t="n"/>
      <c r="N1203" s="7" t="n"/>
      <c r="O1203" s="7" t="n"/>
      <c r="P1203" s="8">
        <f>IF(NOT(ISNUMBER(M1203)),"",IF(G1203="Terreno",IF(AND(ISNUMBER(I1203),I1203&gt;0),M1203/I1203,""),IF(AND(ISNUMBER(H1203),H1203&gt;0),M1203/H1203,"")))</f>
        <v/>
      </c>
      <c r="Q1203" s="9">
        <f>IF(AND(ISNUMBER(M1203),ISNUMBER(O1203)),IF(M1203&lt;=O1203,"Valor ≤ venal IPTU",""),"")</f>
        <v/>
      </c>
      <c r="R1203" s="10" t="n"/>
      <c r="S1203" s="10" t="n"/>
      <c r="AA1203" s="10" t="n"/>
      <c r="AB1203" s="11">
        <f>IF(LEN(TRIM(X1203))=0,"",HYPERLINK("https://www.google.com/maps/@?api=1&amp;map_action=pano&amp;viewpoint="&amp;SUBSTITUTE(X1203," ",""),"Abrir Street View"))</f>
        <v/>
      </c>
    </row>
    <row r="1204">
      <c r="H1204" s="6" t="n"/>
      <c r="I1204" s="6" t="n"/>
      <c r="M1204" s="7" t="n"/>
      <c r="N1204" s="7" t="n"/>
      <c r="O1204" s="7" t="n"/>
      <c r="P1204" s="8">
        <f>IF(NOT(ISNUMBER(M1204)),"",IF(G1204="Terreno",IF(AND(ISNUMBER(I1204),I1204&gt;0),M1204/I1204,""),IF(AND(ISNUMBER(H1204),H1204&gt;0),M1204/H1204,"")))</f>
        <v/>
      </c>
      <c r="Q1204" s="9">
        <f>IF(AND(ISNUMBER(M1204),ISNUMBER(O1204)),IF(M1204&lt;=O1204,"Valor ≤ venal IPTU",""),"")</f>
        <v/>
      </c>
      <c r="R1204" s="10" t="n"/>
      <c r="S1204" s="10" t="n"/>
      <c r="AA1204" s="10" t="n"/>
      <c r="AB1204" s="11">
        <f>IF(LEN(TRIM(X1204))=0,"",HYPERLINK("https://www.google.com/maps/@?api=1&amp;map_action=pano&amp;viewpoint="&amp;SUBSTITUTE(X1204," ",""),"Abrir Street View"))</f>
        <v/>
      </c>
    </row>
    <row r="1205">
      <c r="H1205" s="6" t="n"/>
      <c r="I1205" s="6" t="n"/>
      <c r="M1205" s="7" t="n"/>
      <c r="N1205" s="7" t="n"/>
      <c r="O1205" s="7" t="n"/>
      <c r="P1205" s="8">
        <f>IF(NOT(ISNUMBER(M1205)),"",IF(G1205="Terreno",IF(AND(ISNUMBER(I1205),I1205&gt;0),M1205/I1205,""),IF(AND(ISNUMBER(H1205),H1205&gt;0),M1205/H1205,"")))</f>
        <v/>
      </c>
      <c r="Q1205" s="9">
        <f>IF(AND(ISNUMBER(M1205),ISNUMBER(O1205)),IF(M1205&lt;=O1205,"Valor ≤ venal IPTU",""),"")</f>
        <v/>
      </c>
      <c r="R1205" s="10" t="n"/>
      <c r="S1205" s="10" t="n"/>
      <c r="AA1205" s="10" t="n"/>
      <c r="AB1205" s="11">
        <f>IF(LEN(TRIM(X1205))=0,"",HYPERLINK("https://www.google.com/maps/@?api=1&amp;map_action=pano&amp;viewpoint="&amp;SUBSTITUTE(X1205," ",""),"Abrir Street View"))</f>
        <v/>
      </c>
    </row>
    <row r="1206">
      <c r="H1206" s="6" t="n"/>
      <c r="I1206" s="6" t="n"/>
      <c r="M1206" s="7" t="n"/>
      <c r="N1206" s="7" t="n"/>
      <c r="O1206" s="7" t="n"/>
      <c r="P1206" s="8">
        <f>IF(NOT(ISNUMBER(M1206)),"",IF(G1206="Terreno",IF(AND(ISNUMBER(I1206),I1206&gt;0),M1206/I1206,""),IF(AND(ISNUMBER(H1206),H1206&gt;0),M1206/H1206,"")))</f>
        <v/>
      </c>
      <c r="Q1206" s="9">
        <f>IF(AND(ISNUMBER(M1206),ISNUMBER(O1206)),IF(M1206&lt;=O1206,"Valor ≤ venal IPTU",""),"")</f>
        <v/>
      </c>
      <c r="R1206" s="10" t="n"/>
      <c r="S1206" s="10" t="n"/>
      <c r="AA1206" s="10" t="n"/>
      <c r="AB1206" s="11">
        <f>IF(LEN(TRIM(X1206))=0,"",HYPERLINK("https://www.google.com/maps/@?api=1&amp;map_action=pano&amp;viewpoint="&amp;SUBSTITUTE(X1206," ",""),"Abrir Street View"))</f>
        <v/>
      </c>
    </row>
    <row r="1207">
      <c r="H1207" s="6" t="n"/>
      <c r="I1207" s="6" t="n"/>
      <c r="M1207" s="7" t="n"/>
      <c r="N1207" s="7" t="n"/>
      <c r="O1207" s="7" t="n"/>
      <c r="P1207" s="8">
        <f>IF(NOT(ISNUMBER(M1207)),"",IF(G1207="Terreno",IF(AND(ISNUMBER(I1207),I1207&gt;0),M1207/I1207,""),IF(AND(ISNUMBER(H1207),H1207&gt;0),M1207/H1207,"")))</f>
        <v/>
      </c>
      <c r="Q1207" s="9">
        <f>IF(AND(ISNUMBER(M1207),ISNUMBER(O1207)),IF(M1207&lt;=O1207,"Valor ≤ venal IPTU",""),"")</f>
        <v/>
      </c>
      <c r="R1207" s="10" t="n"/>
      <c r="S1207" s="10" t="n"/>
      <c r="AA1207" s="10" t="n"/>
      <c r="AB1207" s="11">
        <f>IF(LEN(TRIM(X1207))=0,"",HYPERLINK("https://www.google.com/maps/@?api=1&amp;map_action=pano&amp;viewpoint="&amp;SUBSTITUTE(X1207," ",""),"Abrir Street View"))</f>
        <v/>
      </c>
    </row>
    <row r="1208">
      <c r="H1208" s="6" t="n"/>
      <c r="I1208" s="6" t="n"/>
      <c r="M1208" s="7" t="n"/>
      <c r="N1208" s="7" t="n"/>
      <c r="O1208" s="7" t="n"/>
      <c r="P1208" s="8">
        <f>IF(NOT(ISNUMBER(M1208)),"",IF(G1208="Terreno",IF(AND(ISNUMBER(I1208),I1208&gt;0),M1208/I1208,""),IF(AND(ISNUMBER(H1208),H1208&gt;0),M1208/H1208,"")))</f>
        <v/>
      </c>
      <c r="Q1208" s="9">
        <f>IF(AND(ISNUMBER(M1208),ISNUMBER(O1208)),IF(M1208&lt;=O1208,"Valor ≤ venal IPTU",""),"")</f>
        <v/>
      </c>
      <c r="R1208" s="10" t="n"/>
      <c r="S1208" s="10" t="n"/>
      <c r="AA1208" s="10" t="n"/>
      <c r="AB1208" s="11">
        <f>IF(LEN(TRIM(X1208))=0,"",HYPERLINK("https://www.google.com/maps/@?api=1&amp;map_action=pano&amp;viewpoint="&amp;SUBSTITUTE(X1208," ",""),"Abrir Street View"))</f>
        <v/>
      </c>
    </row>
    <row r="1209">
      <c r="H1209" s="6" t="n"/>
      <c r="I1209" s="6" t="n"/>
      <c r="M1209" s="7" t="n"/>
      <c r="N1209" s="7" t="n"/>
      <c r="O1209" s="7" t="n"/>
      <c r="P1209" s="8">
        <f>IF(NOT(ISNUMBER(M1209)),"",IF(G1209="Terreno",IF(AND(ISNUMBER(I1209),I1209&gt;0),M1209/I1209,""),IF(AND(ISNUMBER(H1209),H1209&gt;0),M1209/H1209,"")))</f>
        <v/>
      </c>
      <c r="Q1209" s="9">
        <f>IF(AND(ISNUMBER(M1209),ISNUMBER(O1209)),IF(M1209&lt;=O1209,"Valor ≤ venal IPTU",""),"")</f>
        <v/>
      </c>
      <c r="R1209" s="10" t="n"/>
      <c r="S1209" s="10" t="n"/>
      <c r="AA1209" s="10" t="n"/>
      <c r="AB1209" s="11">
        <f>IF(LEN(TRIM(X1209))=0,"",HYPERLINK("https://www.google.com/maps/@?api=1&amp;map_action=pano&amp;viewpoint="&amp;SUBSTITUTE(X1209," ",""),"Abrir Street View"))</f>
        <v/>
      </c>
    </row>
    <row r="1210">
      <c r="H1210" s="6" t="n"/>
      <c r="I1210" s="6" t="n"/>
      <c r="M1210" s="7" t="n"/>
      <c r="N1210" s="7" t="n"/>
      <c r="O1210" s="7" t="n"/>
      <c r="P1210" s="8">
        <f>IF(NOT(ISNUMBER(M1210)),"",IF(G1210="Terreno",IF(AND(ISNUMBER(I1210),I1210&gt;0),M1210/I1210,""),IF(AND(ISNUMBER(H1210),H1210&gt;0),M1210/H1210,"")))</f>
        <v/>
      </c>
      <c r="Q1210" s="9">
        <f>IF(AND(ISNUMBER(M1210),ISNUMBER(O1210)),IF(M1210&lt;=O1210,"Valor ≤ venal IPTU",""),"")</f>
        <v/>
      </c>
      <c r="R1210" s="10" t="n"/>
      <c r="S1210" s="10" t="n"/>
      <c r="AA1210" s="10" t="n"/>
      <c r="AB1210" s="11">
        <f>IF(LEN(TRIM(X1210))=0,"",HYPERLINK("https://www.google.com/maps/@?api=1&amp;map_action=pano&amp;viewpoint="&amp;SUBSTITUTE(X1210," ",""),"Abrir Street View"))</f>
        <v/>
      </c>
    </row>
    <row r="1211">
      <c r="H1211" s="6" t="n"/>
      <c r="I1211" s="6" t="n"/>
      <c r="M1211" s="7" t="n"/>
      <c r="N1211" s="7" t="n"/>
      <c r="O1211" s="7" t="n"/>
      <c r="P1211" s="8">
        <f>IF(NOT(ISNUMBER(M1211)),"",IF(G1211="Terreno",IF(AND(ISNUMBER(I1211),I1211&gt;0),M1211/I1211,""),IF(AND(ISNUMBER(H1211),H1211&gt;0),M1211/H1211,"")))</f>
        <v/>
      </c>
      <c r="Q1211" s="9">
        <f>IF(AND(ISNUMBER(M1211),ISNUMBER(O1211)),IF(M1211&lt;=O1211,"Valor ≤ venal IPTU",""),"")</f>
        <v/>
      </c>
      <c r="R1211" s="10" t="n"/>
      <c r="S1211" s="10" t="n"/>
      <c r="AA1211" s="10" t="n"/>
      <c r="AB1211" s="11">
        <f>IF(LEN(TRIM(X1211))=0,"",HYPERLINK("https://www.google.com/maps/@?api=1&amp;map_action=pano&amp;viewpoint="&amp;SUBSTITUTE(X1211," ",""),"Abrir Street View"))</f>
        <v/>
      </c>
    </row>
    <row r="1212">
      <c r="H1212" s="6" t="n"/>
      <c r="I1212" s="6" t="n"/>
      <c r="M1212" s="7" t="n"/>
      <c r="N1212" s="7" t="n"/>
      <c r="O1212" s="7" t="n"/>
      <c r="P1212" s="8">
        <f>IF(NOT(ISNUMBER(M1212)),"",IF(G1212="Terreno",IF(AND(ISNUMBER(I1212),I1212&gt;0),M1212/I1212,""),IF(AND(ISNUMBER(H1212),H1212&gt;0),M1212/H1212,"")))</f>
        <v/>
      </c>
      <c r="Q1212" s="9">
        <f>IF(AND(ISNUMBER(M1212),ISNUMBER(O1212)),IF(M1212&lt;=O1212,"Valor ≤ venal IPTU",""),"")</f>
        <v/>
      </c>
      <c r="R1212" s="10" t="n"/>
      <c r="S1212" s="10" t="n"/>
      <c r="AA1212" s="10" t="n"/>
      <c r="AB1212" s="11">
        <f>IF(LEN(TRIM(X1212))=0,"",HYPERLINK("https://www.google.com/maps/@?api=1&amp;map_action=pano&amp;viewpoint="&amp;SUBSTITUTE(X1212," ",""),"Abrir Street View"))</f>
        <v/>
      </c>
    </row>
    <row r="1213">
      <c r="H1213" s="6" t="n"/>
      <c r="I1213" s="6" t="n"/>
      <c r="M1213" s="7" t="n"/>
      <c r="N1213" s="7" t="n"/>
      <c r="O1213" s="7" t="n"/>
      <c r="P1213" s="8">
        <f>IF(NOT(ISNUMBER(M1213)),"",IF(G1213="Terreno",IF(AND(ISNUMBER(I1213),I1213&gt;0),M1213/I1213,""),IF(AND(ISNUMBER(H1213),H1213&gt;0),M1213/H1213,"")))</f>
        <v/>
      </c>
      <c r="Q1213" s="9">
        <f>IF(AND(ISNUMBER(M1213),ISNUMBER(O1213)),IF(M1213&lt;=O1213,"Valor ≤ venal IPTU",""),"")</f>
        <v/>
      </c>
      <c r="R1213" s="10" t="n"/>
      <c r="S1213" s="10" t="n"/>
      <c r="AA1213" s="10" t="n"/>
      <c r="AB1213" s="11">
        <f>IF(LEN(TRIM(X1213))=0,"",HYPERLINK("https://www.google.com/maps/@?api=1&amp;map_action=pano&amp;viewpoint="&amp;SUBSTITUTE(X1213," ",""),"Abrir Street View"))</f>
        <v/>
      </c>
    </row>
    <row r="1214">
      <c r="H1214" s="6" t="n"/>
      <c r="I1214" s="6" t="n"/>
      <c r="M1214" s="7" t="n"/>
      <c r="N1214" s="7" t="n"/>
      <c r="O1214" s="7" t="n"/>
      <c r="P1214" s="8">
        <f>IF(NOT(ISNUMBER(M1214)),"",IF(G1214="Terreno",IF(AND(ISNUMBER(I1214),I1214&gt;0),M1214/I1214,""),IF(AND(ISNUMBER(H1214),H1214&gt;0),M1214/H1214,"")))</f>
        <v/>
      </c>
      <c r="Q1214" s="9">
        <f>IF(AND(ISNUMBER(M1214),ISNUMBER(O1214)),IF(M1214&lt;=O1214,"Valor ≤ venal IPTU",""),"")</f>
        <v/>
      </c>
      <c r="R1214" s="10" t="n"/>
      <c r="S1214" s="10" t="n"/>
      <c r="AA1214" s="10" t="n"/>
      <c r="AB1214" s="11">
        <f>IF(LEN(TRIM(X1214))=0,"",HYPERLINK("https://www.google.com/maps/@?api=1&amp;map_action=pano&amp;viewpoint="&amp;SUBSTITUTE(X1214," ",""),"Abrir Street View"))</f>
        <v/>
      </c>
    </row>
    <row r="1215">
      <c r="H1215" s="6" t="n"/>
      <c r="I1215" s="6" t="n"/>
      <c r="M1215" s="7" t="n"/>
      <c r="N1215" s="7" t="n"/>
      <c r="O1215" s="7" t="n"/>
      <c r="P1215" s="8">
        <f>IF(NOT(ISNUMBER(M1215)),"",IF(G1215="Terreno",IF(AND(ISNUMBER(I1215),I1215&gt;0),M1215/I1215,""),IF(AND(ISNUMBER(H1215),H1215&gt;0),M1215/H1215,"")))</f>
        <v/>
      </c>
      <c r="Q1215" s="9">
        <f>IF(AND(ISNUMBER(M1215),ISNUMBER(O1215)),IF(M1215&lt;=O1215,"Valor ≤ venal IPTU",""),"")</f>
        <v/>
      </c>
      <c r="R1215" s="10" t="n"/>
      <c r="S1215" s="10" t="n"/>
      <c r="AA1215" s="10" t="n"/>
      <c r="AB1215" s="11">
        <f>IF(LEN(TRIM(X1215))=0,"",HYPERLINK("https://www.google.com/maps/@?api=1&amp;map_action=pano&amp;viewpoint="&amp;SUBSTITUTE(X1215," ",""),"Abrir Street View"))</f>
        <v/>
      </c>
    </row>
    <row r="1216">
      <c r="H1216" s="6" t="n"/>
      <c r="I1216" s="6" t="n"/>
      <c r="M1216" s="7" t="n"/>
      <c r="N1216" s="7" t="n"/>
      <c r="O1216" s="7" t="n"/>
      <c r="P1216" s="8">
        <f>IF(NOT(ISNUMBER(M1216)),"",IF(G1216="Terreno",IF(AND(ISNUMBER(I1216),I1216&gt;0),M1216/I1216,""),IF(AND(ISNUMBER(H1216),H1216&gt;0),M1216/H1216,"")))</f>
        <v/>
      </c>
      <c r="Q1216" s="9">
        <f>IF(AND(ISNUMBER(M1216),ISNUMBER(O1216)),IF(M1216&lt;=O1216,"Valor ≤ venal IPTU",""),"")</f>
        <v/>
      </c>
      <c r="R1216" s="10" t="n"/>
      <c r="S1216" s="10" t="n"/>
      <c r="AA1216" s="10" t="n"/>
      <c r="AB1216" s="11">
        <f>IF(LEN(TRIM(X1216))=0,"",HYPERLINK("https://www.google.com/maps/@?api=1&amp;map_action=pano&amp;viewpoint="&amp;SUBSTITUTE(X1216," ",""),"Abrir Street View"))</f>
        <v/>
      </c>
    </row>
    <row r="1217">
      <c r="H1217" s="6" t="n"/>
      <c r="I1217" s="6" t="n"/>
      <c r="M1217" s="7" t="n"/>
      <c r="N1217" s="7" t="n"/>
      <c r="O1217" s="7" t="n"/>
      <c r="P1217" s="8">
        <f>IF(NOT(ISNUMBER(M1217)),"",IF(G1217="Terreno",IF(AND(ISNUMBER(I1217),I1217&gt;0),M1217/I1217,""),IF(AND(ISNUMBER(H1217),H1217&gt;0),M1217/H1217,"")))</f>
        <v/>
      </c>
      <c r="Q1217" s="9">
        <f>IF(AND(ISNUMBER(M1217),ISNUMBER(O1217)),IF(M1217&lt;=O1217,"Valor ≤ venal IPTU",""),"")</f>
        <v/>
      </c>
      <c r="R1217" s="10" t="n"/>
      <c r="S1217" s="10" t="n"/>
      <c r="AA1217" s="10" t="n"/>
      <c r="AB1217" s="11">
        <f>IF(LEN(TRIM(X1217))=0,"",HYPERLINK("https://www.google.com/maps/@?api=1&amp;map_action=pano&amp;viewpoint="&amp;SUBSTITUTE(X1217," ",""),"Abrir Street View"))</f>
        <v/>
      </c>
    </row>
    <row r="1218">
      <c r="H1218" s="6" t="n"/>
      <c r="I1218" s="6" t="n"/>
      <c r="M1218" s="7" t="n"/>
      <c r="N1218" s="7" t="n"/>
      <c r="O1218" s="7" t="n"/>
      <c r="P1218" s="8">
        <f>IF(NOT(ISNUMBER(M1218)),"",IF(G1218="Terreno",IF(AND(ISNUMBER(I1218),I1218&gt;0),M1218/I1218,""),IF(AND(ISNUMBER(H1218),H1218&gt;0),M1218/H1218,"")))</f>
        <v/>
      </c>
      <c r="Q1218" s="9">
        <f>IF(AND(ISNUMBER(M1218),ISNUMBER(O1218)),IF(M1218&lt;=O1218,"Valor ≤ venal IPTU",""),"")</f>
        <v/>
      </c>
      <c r="R1218" s="10" t="n"/>
      <c r="S1218" s="10" t="n"/>
      <c r="AA1218" s="10" t="n"/>
      <c r="AB1218" s="11">
        <f>IF(LEN(TRIM(X1218))=0,"",HYPERLINK("https://www.google.com/maps/@?api=1&amp;map_action=pano&amp;viewpoint="&amp;SUBSTITUTE(X1218," ",""),"Abrir Street View"))</f>
        <v/>
      </c>
    </row>
    <row r="1219">
      <c r="H1219" s="6" t="n"/>
      <c r="I1219" s="6" t="n"/>
      <c r="M1219" s="7" t="n"/>
      <c r="N1219" s="7" t="n"/>
      <c r="O1219" s="7" t="n"/>
      <c r="P1219" s="8">
        <f>IF(NOT(ISNUMBER(M1219)),"",IF(G1219="Terreno",IF(AND(ISNUMBER(I1219),I1219&gt;0),M1219/I1219,""),IF(AND(ISNUMBER(H1219),H1219&gt;0),M1219/H1219,"")))</f>
        <v/>
      </c>
      <c r="Q1219" s="9">
        <f>IF(AND(ISNUMBER(M1219),ISNUMBER(O1219)),IF(M1219&lt;=O1219,"Valor ≤ venal IPTU",""),"")</f>
        <v/>
      </c>
      <c r="R1219" s="10" t="n"/>
      <c r="S1219" s="10" t="n"/>
      <c r="AA1219" s="10" t="n"/>
      <c r="AB1219" s="11">
        <f>IF(LEN(TRIM(X1219))=0,"",HYPERLINK("https://www.google.com/maps/@?api=1&amp;map_action=pano&amp;viewpoint="&amp;SUBSTITUTE(X1219," ",""),"Abrir Street View"))</f>
        <v/>
      </c>
    </row>
    <row r="1220">
      <c r="H1220" s="6" t="n"/>
      <c r="I1220" s="6" t="n"/>
      <c r="M1220" s="7" t="n"/>
      <c r="N1220" s="7" t="n"/>
      <c r="O1220" s="7" t="n"/>
      <c r="P1220" s="8">
        <f>IF(NOT(ISNUMBER(M1220)),"",IF(G1220="Terreno",IF(AND(ISNUMBER(I1220),I1220&gt;0),M1220/I1220,""),IF(AND(ISNUMBER(H1220),H1220&gt;0),M1220/H1220,"")))</f>
        <v/>
      </c>
      <c r="Q1220" s="9">
        <f>IF(AND(ISNUMBER(M1220),ISNUMBER(O1220)),IF(M1220&lt;=O1220,"Valor ≤ venal IPTU",""),"")</f>
        <v/>
      </c>
      <c r="R1220" s="10" t="n"/>
      <c r="S1220" s="10" t="n"/>
      <c r="AA1220" s="10" t="n"/>
      <c r="AB1220" s="11">
        <f>IF(LEN(TRIM(X1220))=0,"",HYPERLINK("https://www.google.com/maps/@?api=1&amp;map_action=pano&amp;viewpoint="&amp;SUBSTITUTE(X1220," ",""),"Abrir Street View"))</f>
        <v/>
      </c>
    </row>
    <row r="1221">
      <c r="H1221" s="6" t="n"/>
      <c r="I1221" s="6" t="n"/>
      <c r="M1221" s="7" t="n"/>
      <c r="N1221" s="7" t="n"/>
      <c r="O1221" s="7" t="n"/>
      <c r="P1221" s="8">
        <f>IF(NOT(ISNUMBER(M1221)),"",IF(G1221="Terreno",IF(AND(ISNUMBER(I1221),I1221&gt;0),M1221/I1221,""),IF(AND(ISNUMBER(H1221),H1221&gt;0),M1221/H1221,"")))</f>
        <v/>
      </c>
      <c r="Q1221" s="9">
        <f>IF(AND(ISNUMBER(M1221),ISNUMBER(O1221)),IF(M1221&lt;=O1221,"Valor ≤ venal IPTU",""),"")</f>
        <v/>
      </c>
      <c r="R1221" s="10" t="n"/>
      <c r="S1221" s="10" t="n"/>
      <c r="AA1221" s="10" t="n"/>
      <c r="AB1221" s="11">
        <f>IF(LEN(TRIM(X1221))=0,"",HYPERLINK("https://www.google.com/maps/@?api=1&amp;map_action=pano&amp;viewpoint="&amp;SUBSTITUTE(X1221," ",""),"Abrir Street View"))</f>
        <v/>
      </c>
    </row>
    <row r="1222">
      <c r="H1222" s="6" t="n"/>
      <c r="I1222" s="6" t="n"/>
      <c r="M1222" s="7" t="n"/>
      <c r="N1222" s="7" t="n"/>
      <c r="O1222" s="7" t="n"/>
      <c r="P1222" s="8">
        <f>IF(NOT(ISNUMBER(M1222)),"",IF(G1222="Terreno",IF(AND(ISNUMBER(I1222),I1222&gt;0),M1222/I1222,""),IF(AND(ISNUMBER(H1222),H1222&gt;0),M1222/H1222,"")))</f>
        <v/>
      </c>
      <c r="Q1222" s="9">
        <f>IF(AND(ISNUMBER(M1222),ISNUMBER(O1222)),IF(M1222&lt;=O1222,"Valor ≤ venal IPTU",""),"")</f>
        <v/>
      </c>
      <c r="R1222" s="10" t="n"/>
      <c r="S1222" s="10" t="n"/>
      <c r="AA1222" s="10" t="n"/>
      <c r="AB1222" s="11">
        <f>IF(LEN(TRIM(X1222))=0,"",HYPERLINK("https://www.google.com/maps/@?api=1&amp;map_action=pano&amp;viewpoint="&amp;SUBSTITUTE(X1222," ",""),"Abrir Street View"))</f>
        <v/>
      </c>
    </row>
    <row r="1223">
      <c r="H1223" s="6" t="n"/>
      <c r="I1223" s="6" t="n"/>
      <c r="M1223" s="7" t="n"/>
      <c r="N1223" s="7" t="n"/>
      <c r="O1223" s="7" t="n"/>
      <c r="P1223" s="8">
        <f>IF(NOT(ISNUMBER(M1223)),"",IF(G1223="Terreno",IF(AND(ISNUMBER(I1223),I1223&gt;0),M1223/I1223,""),IF(AND(ISNUMBER(H1223),H1223&gt;0),M1223/H1223,"")))</f>
        <v/>
      </c>
      <c r="Q1223" s="9">
        <f>IF(AND(ISNUMBER(M1223),ISNUMBER(O1223)),IF(M1223&lt;=O1223,"Valor ≤ venal IPTU",""),"")</f>
        <v/>
      </c>
      <c r="R1223" s="10" t="n"/>
      <c r="S1223" s="10" t="n"/>
      <c r="AA1223" s="10" t="n"/>
      <c r="AB1223" s="11">
        <f>IF(LEN(TRIM(X1223))=0,"",HYPERLINK("https://www.google.com/maps/@?api=1&amp;map_action=pano&amp;viewpoint="&amp;SUBSTITUTE(X1223," ",""),"Abrir Street View"))</f>
        <v/>
      </c>
    </row>
    <row r="1224">
      <c r="H1224" s="6" t="n"/>
      <c r="I1224" s="6" t="n"/>
      <c r="M1224" s="7" t="n"/>
      <c r="N1224" s="7" t="n"/>
      <c r="O1224" s="7" t="n"/>
      <c r="P1224" s="8">
        <f>IF(NOT(ISNUMBER(M1224)),"",IF(G1224="Terreno",IF(AND(ISNUMBER(I1224),I1224&gt;0),M1224/I1224,""),IF(AND(ISNUMBER(H1224),H1224&gt;0),M1224/H1224,"")))</f>
        <v/>
      </c>
      <c r="Q1224" s="9">
        <f>IF(AND(ISNUMBER(M1224),ISNUMBER(O1224)),IF(M1224&lt;=O1224,"Valor ≤ venal IPTU",""),"")</f>
        <v/>
      </c>
      <c r="R1224" s="10" t="n"/>
      <c r="S1224" s="10" t="n"/>
      <c r="AA1224" s="10" t="n"/>
      <c r="AB1224" s="11">
        <f>IF(LEN(TRIM(X1224))=0,"",HYPERLINK("https://www.google.com/maps/@?api=1&amp;map_action=pano&amp;viewpoint="&amp;SUBSTITUTE(X1224," ",""),"Abrir Street View"))</f>
        <v/>
      </c>
    </row>
    <row r="1225">
      <c r="H1225" s="6" t="n"/>
      <c r="I1225" s="6" t="n"/>
      <c r="M1225" s="7" t="n"/>
      <c r="N1225" s="7" t="n"/>
      <c r="O1225" s="7" t="n"/>
      <c r="P1225" s="8">
        <f>IF(NOT(ISNUMBER(M1225)),"",IF(G1225="Terreno",IF(AND(ISNUMBER(I1225),I1225&gt;0),M1225/I1225,""),IF(AND(ISNUMBER(H1225),H1225&gt;0),M1225/H1225,"")))</f>
        <v/>
      </c>
      <c r="Q1225" s="9">
        <f>IF(AND(ISNUMBER(M1225),ISNUMBER(O1225)),IF(M1225&lt;=O1225,"Valor ≤ venal IPTU",""),"")</f>
        <v/>
      </c>
      <c r="R1225" s="10" t="n"/>
      <c r="S1225" s="10" t="n"/>
      <c r="AA1225" s="10" t="n"/>
      <c r="AB1225" s="11">
        <f>IF(LEN(TRIM(X1225))=0,"",HYPERLINK("https://www.google.com/maps/@?api=1&amp;map_action=pano&amp;viewpoint="&amp;SUBSTITUTE(X1225," ",""),"Abrir Street View"))</f>
        <v/>
      </c>
    </row>
    <row r="1226">
      <c r="H1226" s="6" t="n"/>
      <c r="I1226" s="6" t="n"/>
      <c r="M1226" s="7" t="n"/>
      <c r="N1226" s="7" t="n"/>
      <c r="O1226" s="7" t="n"/>
      <c r="P1226" s="8">
        <f>IF(NOT(ISNUMBER(M1226)),"",IF(G1226="Terreno",IF(AND(ISNUMBER(I1226),I1226&gt;0),M1226/I1226,""),IF(AND(ISNUMBER(H1226),H1226&gt;0),M1226/H1226,"")))</f>
        <v/>
      </c>
      <c r="Q1226" s="9">
        <f>IF(AND(ISNUMBER(M1226),ISNUMBER(O1226)),IF(M1226&lt;=O1226,"Valor ≤ venal IPTU",""),"")</f>
        <v/>
      </c>
      <c r="R1226" s="10" t="n"/>
      <c r="S1226" s="10" t="n"/>
      <c r="AA1226" s="10" t="n"/>
      <c r="AB1226" s="11">
        <f>IF(LEN(TRIM(X1226))=0,"",HYPERLINK("https://www.google.com/maps/@?api=1&amp;map_action=pano&amp;viewpoint="&amp;SUBSTITUTE(X1226," ",""),"Abrir Street View"))</f>
        <v/>
      </c>
    </row>
    <row r="1227">
      <c r="H1227" s="6" t="n"/>
      <c r="I1227" s="6" t="n"/>
      <c r="M1227" s="7" t="n"/>
      <c r="N1227" s="7" t="n"/>
      <c r="O1227" s="7" t="n"/>
      <c r="P1227" s="8">
        <f>IF(NOT(ISNUMBER(M1227)),"",IF(G1227="Terreno",IF(AND(ISNUMBER(I1227),I1227&gt;0),M1227/I1227,""),IF(AND(ISNUMBER(H1227),H1227&gt;0),M1227/H1227,"")))</f>
        <v/>
      </c>
      <c r="Q1227" s="9">
        <f>IF(AND(ISNUMBER(M1227),ISNUMBER(O1227)),IF(M1227&lt;=O1227,"Valor ≤ venal IPTU",""),"")</f>
        <v/>
      </c>
      <c r="R1227" s="10" t="n"/>
      <c r="S1227" s="10" t="n"/>
      <c r="AA1227" s="10" t="n"/>
      <c r="AB1227" s="11">
        <f>IF(LEN(TRIM(X1227))=0,"",HYPERLINK("https://www.google.com/maps/@?api=1&amp;map_action=pano&amp;viewpoint="&amp;SUBSTITUTE(X1227," ",""),"Abrir Street View"))</f>
        <v/>
      </c>
    </row>
    <row r="1228">
      <c r="H1228" s="6" t="n"/>
      <c r="I1228" s="6" t="n"/>
      <c r="M1228" s="7" t="n"/>
      <c r="N1228" s="7" t="n"/>
      <c r="O1228" s="7" t="n"/>
      <c r="P1228" s="8">
        <f>IF(NOT(ISNUMBER(M1228)),"",IF(G1228="Terreno",IF(AND(ISNUMBER(I1228),I1228&gt;0),M1228/I1228,""),IF(AND(ISNUMBER(H1228),H1228&gt;0),M1228/H1228,"")))</f>
        <v/>
      </c>
      <c r="Q1228" s="9">
        <f>IF(AND(ISNUMBER(M1228),ISNUMBER(O1228)),IF(M1228&lt;=O1228,"Valor ≤ venal IPTU",""),"")</f>
        <v/>
      </c>
      <c r="R1228" s="10" t="n"/>
      <c r="S1228" s="10" t="n"/>
      <c r="AA1228" s="10" t="n"/>
      <c r="AB1228" s="11">
        <f>IF(LEN(TRIM(X1228))=0,"",HYPERLINK("https://www.google.com/maps/@?api=1&amp;map_action=pano&amp;viewpoint="&amp;SUBSTITUTE(X1228," ",""),"Abrir Street View"))</f>
        <v/>
      </c>
    </row>
    <row r="1229">
      <c r="H1229" s="6" t="n"/>
      <c r="I1229" s="6" t="n"/>
      <c r="M1229" s="7" t="n"/>
      <c r="N1229" s="7" t="n"/>
      <c r="O1229" s="7" t="n"/>
      <c r="P1229" s="8">
        <f>IF(NOT(ISNUMBER(M1229)),"",IF(G1229="Terreno",IF(AND(ISNUMBER(I1229),I1229&gt;0),M1229/I1229,""),IF(AND(ISNUMBER(H1229),H1229&gt;0),M1229/H1229,"")))</f>
        <v/>
      </c>
      <c r="Q1229" s="9">
        <f>IF(AND(ISNUMBER(M1229),ISNUMBER(O1229)),IF(M1229&lt;=O1229,"Valor ≤ venal IPTU",""),"")</f>
        <v/>
      </c>
      <c r="R1229" s="10" t="n"/>
      <c r="S1229" s="10" t="n"/>
      <c r="AA1229" s="10" t="n"/>
      <c r="AB1229" s="11">
        <f>IF(LEN(TRIM(X1229))=0,"",HYPERLINK("https://www.google.com/maps/@?api=1&amp;map_action=pano&amp;viewpoint="&amp;SUBSTITUTE(X1229," ",""),"Abrir Street View"))</f>
        <v/>
      </c>
    </row>
    <row r="1230">
      <c r="H1230" s="6" t="n"/>
      <c r="I1230" s="6" t="n"/>
      <c r="M1230" s="7" t="n"/>
      <c r="N1230" s="7" t="n"/>
      <c r="O1230" s="7" t="n"/>
      <c r="P1230" s="8">
        <f>IF(NOT(ISNUMBER(M1230)),"",IF(G1230="Terreno",IF(AND(ISNUMBER(I1230),I1230&gt;0),M1230/I1230,""),IF(AND(ISNUMBER(H1230),H1230&gt;0),M1230/H1230,"")))</f>
        <v/>
      </c>
      <c r="Q1230" s="9">
        <f>IF(AND(ISNUMBER(M1230),ISNUMBER(O1230)),IF(M1230&lt;=O1230,"Valor ≤ venal IPTU",""),"")</f>
        <v/>
      </c>
      <c r="R1230" s="10" t="n"/>
      <c r="S1230" s="10" t="n"/>
      <c r="AA1230" s="10" t="n"/>
      <c r="AB1230" s="11">
        <f>IF(LEN(TRIM(X1230))=0,"",HYPERLINK("https://www.google.com/maps/@?api=1&amp;map_action=pano&amp;viewpoint="&amp;SUBSTITUTE(X1230," ",""),"Abrir Street View"))</f>
        <v/>
      </c>
    </row>
    <row r="1231">
      <c r="H1231" s="6" t="n"/>
      <c r="I1231" s="6" t="n"/>
      <c r="M1231" s="7" t="n"/>
      <c r="N1231" s="7" t="n"/>
      <c r="O1231" s="7" t="n"/>
      <c r="P1231" s="8">
        <f>IF(NOT(ISNUMBER(M1231)),"",IF(G1231="Terreno",IF(AND(ISNUMBER(I1231),I1231&gt;0),M1231/I1231,""),IF(AND(ISNUMBER(H1231),H1231&gt;0),M1231/H1231,"")))</f>
        <v/>
      </c>
      <c r="Q1231" s="9">
        <f>IF(AND(ISNUMBER(M1231),ISNUMBER(O1231)),IF(M1231&lt;=O1231,"Valor ≤ venal IPTU",""),"")</f>
        <v/>
      </c>
      <c r="R1231" s="10" t="n"/>
      <c r="S1231" s="10" t="n"/>
      <c r="AA1231" s="10" t="n"/>
      <c r="AB1231" s="11">
        <f>IF(LEN(TRIM(X1231))=0,"",HYPERLINK("https://www.google.com/maps/@?api=1&amp;map_action=pano&amp;viewpoint="&amp;SUBSTITUTE(X1231," ",""),"Abrir Street View"))</f>
        <v/>
      </c>
    </row>
    <row r="1232">
      <c r="H1232" s="6" t="n"/>
      <c r="I1232" s="6" t="n"/>
      <c r="M1232" s="7" t="n"/>
      <c r="N1232" s="7" t="n"/>
      <c r="O1232" s="7" t="n"/>
      <c r="P1232" s="8">
        <f>IF(NOT(ISNUMBER(M1232)),"",IF(G1232="Terreno",IF(AND(ISNUMBER(I1232),I1232&gt;0),M1232/I1232,""),IF(AND(ISNUMBER(H1232),H1232&gt;0),M1232/H1232,"")))</f>
        <v/>
      </c>
      <c r="Q1232" s="9">
        <f>IF(AND(ISNUMBER(M1232),ISNUMBER(O1232)),IF(M1232&lt;=O1232,"Valor ≤ venal IPTU",""),"")</f>
        <v/>
      </c>
      <c r="R1232" s="10" t="n"/>
      <c r="S1232" s="10" t="n"/>
      <c r="AA1232" s="10" t="n"/>
      <c r="AB1232" s="11">
        <f>IF(LEN(TRIM(X1232))=0,"",HYPERLINK("https://www.google.com/maps/@?api=1&amp;map_action=pano&amp;viewpoint="&amp;SUBSTITUTE(X1232," ",""),"Abrir Street View"))</f>
        <v/>
      </c>
    </row>
    <row r="1233">
      <c r="H1233" s="6" t="n"/>
      <c r="I1233" s="6" t="n"/>
      <c r="M1233" s="7" t="n"/>
      <c r="N1233" s="7" t="n"/>
      <c r="O1233" s="7" t="n"/>
      <c r="P1233" s="8">
        <f>IF(NOT(ISNUMBER(M1233)),"",IF(G1233="Terreno",IF(AND(ISNUMBER(I1233),I1233&gt;0),M1233/I1233,""),IF(AND(ISNUMBER(H1233),H1233&gt;0),M1233/H1233,"")))</f>
        <v/>
      </c>
      <c r="Q1233" s="9">
        <f>IF(AND(ISNUMBER(M1233),ISNUMBER(O1233)),IF(M1233&lt;=O1233,"Valor ≤ venal IPTU",""),"")</f>
        <v/>
      </c>
      <c r="R1233" s="10" t="n"/>
      <c r="S1233" s="10" t="n"/>
      <c r="AA1233" s="10" t="n"/>
      <c r="AB1233" s="11">
        <f>IF(LEN(TRIM(X1233))=0,"",HYPERLINK("https://www.google.com/maps/@?api=1&amp;map_action=pano&amp;viewpoint="&amp;SUBSTITUTE(X1233," ",""),"Abrir Street View"))</f>
        <v/>
      </c>
    </row>
    <row r="1234">
      <c r="H1234" s="6" t="n"/>
      <c r="I1234" s="6" t="n"/>
      <c r="M1234" s="7" t="n"/>
      <c r="N1234" s="7" t="n"/>
      <c r="O1234" s="7" t="n"/>
      <c r="P1234" s="8">
        <f>IF(NOT(ISNUMBER(M1234)),"",IF(G1234="Terreno",IF(AND(ISNUMBER(I1234),I1234&gt;0),M1234/I1234,""),IF(AND(ISNUMBER(H1234),H1234&gt;0),M1234/H1234,"")))</f>
        <v/>
      </c>
      <c r="Q1234" s="9">
        <f>IF(AND(ISNUMBER(M1234),ISNUMBER(O1234)),IF(M1234&lt;=O1234,"Valor ≤ venal IPTU",""),"")</f>
        <v/>
      </c>
      <c r="R1234" s="10" t="n"/>
      <c r="S1234" s="10" t="n"/>
      <c r="AA1234" s="10" t="n"/>
      <c r="AB1234" s="11">
        <f>IF(LEN(TRIM(X1234))=0,"",HYPERLINK("https://www.google.com/maps/@?api=1&amp;map_action=pano&amp;viewpoint="&amp;SUBSTITUTE(X1234," ",""),"Abrir Street View"))</f>
        <v/>
      </c>
    </row>
    <row r="1235">
      <c r="H1235" s="6" t="n"/>
      <c r="I1235" s="6" t="n"/>
      <c r="M1235" s="7" t="n"/>
      <c r="N1235" s="7" t="n"/>
      <c r="O1235" s="7" t="n"/>
      <c r="P1235" s="8">
        <f>IF(NOT(ISNUMBER(M1235)),"",IF(G1235="Terreno",IF(AND(ISNUMBER(I1235),I1235&gt;0),M1235/I1235,""),IF(AND(ISNUMBER(H1235),H1235&gt;0),M1235/H1235,"")))</f>
        <v/>
      </c>
      <c r="Q1235" s="9">
        <f>IF(AND(ISNUMBER(M1235),ISNUMBER(O1235)),IF(M1235&lt;=O1235,"Valor ≤ venal IPTU",""),"")</f>
        <v/>
      </c>
      <c r="R1235" s="10" t="n"/>
      <c r="S1235" s="10" t="n"/>
      <c r="AA1235" s="10" t="n"/>
      <c r="AB1235" s="11">
        <f>IF(LEN(TRIM(X1235))=0,"",HYPERLINK("https://www.google.com/maps/@?api=1&amp;map_action=pano&amp;viewpoint="&amp;SUBSTITUTE(X1235," ",""),"Abrir Street View"))</f>
        <v/>
      </c>
    </row>
    <row r="1236">
      <c r="H1236" s="6" t="n"/>
      <c r="I1236" s="6" t="n"/>
      <c r="M1236" s="7" t="n"/>
      <c r="N1236" s="7" t="n"/>
      <c r="O1236" s="7" t="n"/>
      <c r="P1236" s="8">
        <f>IF(NOT(ISNUMBER(M1236)),"",IF(G1236="Terreno",IF(AND(ISNUMBER(I1236),I1236&gt;0),M1236/I1236,""),IF(AND(ISNUMBER(H1236),H1236&gt;0),M1236/H1236,"")))</f>
        <v/>
      </c>
      <c r="Q1236" s="9">
        <f>IF(AND(ISNUMBER(M1236),ISNUMBER(O1236)),IF(M1236&lt;=O1236,"Valor ≤ venal IPTU",""),"")</f>
        <v/>
      </c>
      <c r="R1236" s="10" t="n"/>
      <c r="S1236" s="10" t="n"/>
      <c r="AA1236" s="10" t="n"/>
      <c r="AB1236" s="11">
        <f>IF(LEN(TRIM(X1236))=0,"",HYPERLINK("https://www.google.com/maps/@?api=1&amp;map_action=pano&amp;viewpoint="&amp;SUBSTITUTE(X1236," ",""),"Abrir Street View"))</f>
        <v/>
      </c>
    </row>
    <row r="1237">
      <c r="H1237" s="6" t="n"/>
      <c r="I1237" s="6" t="n"/>
      <c r="M1237" s="7" t="n"/>
      <c r="N1237" s="7" t="n"/>
      <c r="O1237" s="7" t="n"/>
      <c r="P1237" s="8">
        <f>IF(NOT(ISNUMBER(M1237)),"",IF(G1237="Terreno",IF(AND(ISNUMBER(I1237),I1237&gt;0),M1237/I1237,""),IF(AND(ISNUMBER(H1237),H1237&gt;0),M1237/H1237,"")))</f>
        <v/>
      </c>
      <c r="Q1237" s="9">
        <f>IF(AND(ISNUMBER(M1237),ISNUMBER(O1237)),IF(M1237&lt;=O1237,"Valor ≤ venal IPTU",""),"")</f>
        <v/>
      </c>
      <c r="R1237" s="10" t="n"/>
      <c r="S1237" s="10" t="n"/>
      <c r="AA1237" s="10" t="n"/>
      <c r="AB1237" s="11">
        <f>IF(LEN(TRIM(X1237))=0,"",HYPERLINK("https://www.google.com/maps/@?api=1&amp;map_action=pano&amp;viewpoint="&amp;SUBSTITUTE(X1237," ",""),"Abrir Street View"))</f>
        <v/>
      </c>
    </row>
    <row r="1238">
      <c r="H1238" s="6" t="n"/>
      <c r="I1238" s="6" t="n"/>
      <c r="M1238" s="7" t="n"/>
      <c r="N1238" s="7" t="n"/>
      <c r="O1238" s="7" t="n"/>
      <c r="P1238" s="8">
        <f>IF(NOT(ISNUMBER(M1238)),"",IF(G1238="Terreno",IF(AND(ISNUMBER(I1238),I1238&gt;0),M1238/I1238,""),IF(AND(ISNUMBER(H1238),H1238&gt;0),M1238/H1238,"")))</f>
        <v/>
      </c>
      <c r="Q1238" s="9">
        <f>IF(AND(ISNUMBER(M1238),ISNUMBER(O1238)),IF(M1238&lt;=O1238,"Valor ≤ venal IPTU",""),"")</f>
        <v/>
      </c>
      <c r="R1238" s="10" t="n"/>
      <c r="S1238" s="10" t="n"/>
      <c r="AA1238" s="10" t="n"/>
      <c r="AB1238" s="11">
        <f>IF(LEN(TRIM(X1238))=0,"",HYPERLINK("https://www.google.com/maps/@?api=1&amp;map_action=pano&amp;viewpoint="&amp;SUBSTITUTE(X1238," ",""),"Abrir Street View"))</f>
        <v/>
      </c>
    </row>
    <row r="1239">
      <c r="H1239" s="6" t="n"/>
      <c r="I1239" s="6" t="n"/>
      <c r="M1239" s="7" t="n"/>
      <c r="N1239" s="7" t="n"/>
      <c r="O1239" s="7" t="n"/>
      <c r="P1239" s="8">
        <f>IF(NOT(ISNUMBER(M1239)),"",IF(G1239="Terreno",IF(AND(ISNUMBER(I1239),I1239&gt;0),M1239/I1239,""),IF(AND(ISNUMBER(H1239),H1239&gt;0),M1239/H1239,"")))</f>
        <v/>
      </c>
      <c r="Q1239" s="9">
        <f>IF(AND(ISNUMBER(M1239),ISNUMBER(O1239)),IF(M1239&lt;=O1239,"Valor ≤ venal IPTU",""),"")</f>
        <v/>
      </c>
      <c r="R1239" s="10" t="n"/>
      <c r="S1239" s="10" t="n"/>
      <c r="AA1239" s="10" t="n"/>
      <c r="AB1239" s="11">
        <f>IF(LEN(TRIM(X1239))=0,"",HYPERLINK("https://www.google.com/maps/@?api=1&amp;map_action=pano&amp;viewpoint="&amp;SUBSTITUTE(X1239," ",""),"Abrir Street View"))</f>
        <v/>
      </c>
    </row>
    <row r="1240">
      <c r="H1240" s="6" t="n"/>
      <c r="I1240" s="6" t="n"/>
      <c r="M1240" s="7" t="n"/>
      <c r="N1240" s="7" t="n"/>
      <c r="O1240" s="7" t="n"/>
      <c r="P1240" s="8">
        <f>IF(NOT(ISNUMBER(M1240)),"",IF(G1240="Terreno",IF(AND(ISNUMBER(I1240),I1240&gt;0),M1240/I1240,""),IF(AND(ISNUMBER(H1240),H1240&gt;0),M1240/H1240,"")))</f>
        <v/>
      </c>
      <c r="Q1240" s="9">
        <f>IF(AND(ISNUMBER(M1240),ISNUMBER(O1240)),IF(M1240&lt;=O1240,"Valor ≤ venal IPTU",""),"")</f>
        <v/>
      </c>
      <c r="R1240" s="10" t="n"/>
      <c r="S1240" s="10" t="n"/>
      <c r="AA1240" s="10" t="n"/>
      <c r="AB1240" s="11">
        <f>IF(LEN(TRIM(X1240))=0,"",HYPERLINK("https://www.google.com/maps/@?api=1&amp;map_action=pano&amp;viewpoint="&amp;SUBSTITUTE(X1240," ",""),"Abrir Street View"))</f>
        <v/>
      </c>
    </row>
    <row r="1241">
      <c r="H1241" s="6" t="n"/>
      <c r="I1241" s="6" t="n"/>
      <c r="M1241" s="7" t="n"/>
      <c r="N1241" s="7" t="n"/>
      <c r="O1241" s="7" t="n"/>
      <c r="P1241" s="8">
        <f>IF(NOT(ISNUMBER(M1241)),"",IF(G1241="Terreno",IF(AND(ISNUMBER(I1241),I1241&gt;0),M1241/I1241,""),IF(AND(ISNUMBER(H1241),H1241&gt;0),M1241/H1241,"")))</f>
        <v/>
      </c>
      <c r="Q1241" s="9">
        <f>IF(AND(ISNUMBER(M1241),ISNUMBER(O1241)),IF(M1241&lt;=O1241,"Valor ≤ venal IPTU",""),"")</f>
        <v/>
      </c>
      <c r="R1241" s="10" t="n"/>
      <c r="S1241" s="10" t="n"/>
      <c r="AA1241" s="10" t="n"/>
      <c r="AB1241" s="11">
        <f>IF(LEN(TRIM(X1241))=0,"",HYPERLINK("https://www.google.com/maps/@?api=1&amp;map_action=pano&amp;viewpoint="&amp;SUBSTITUTE(X1241," ",""),"Abrir Street View"))</f>
        <v/>
      </c>
    </row>
    <row r="1242">
      <c r="H1242" s="6" t="n"/>
      <c r="I1242" s="6" t="n"/>
      <c r="M1242" s="7" t="n"/>
      <c r="N1242" s="7" t="n"/>
      <c r="O1242" s="7" t="n"/>
      <c r="P1242" s="8">
        <f>IF(NOT(ISNUMBER(M1242)),"",IF(G1242="Terreno",IF(AND(ISNUMBER(I1242),I1242&gt;0),M1242/I1242,""),IF(AND(ISNUMBER(H1242),H1242&gt;0),M1242/H1242,"")))</f>
        <v/>
      </c>
      <c r="Q1242" s="9">
        <f>IF(AND(ISNUMBER(M1242),ISNUMBER(O1242)),IF(M1242&lt;=O1242,"Valor ≤ venal IPTU",""),"")</f>
        <v/>
      </c>
      <c r="R1242" s="10" t="n"/>
      <c r="S1242" s="10" t="n"/>
      <c r="AA1242" s="10" t="n"/>
      <c r="AB1242" s="11">
        <f>IF(LEN(TRIM(X1242))=0,"",HYPERLINK("https://www.google.com/maps/@?api=1&amp;map_action=pano&amp;viewpoint="&amp;SUBSTITUTE(X1242," ",""),"Abrir Street View"))</f>
        <v/>
      </c>
    </row>
    <row r="1243">
      <c r="H1243" s="6" t="n"/>
      <c r="I1243" s="6" t="n"/>
      <c r="M1243" s="7" t="n"/>
      <c r="N1243" s="7" t="n"/>
      <c r="O1243" s="7" t="n"/>
      <c r="P1243" s="8">
        <f>IF(NOT(ISNUMBER(M1243)),"",IF(G1243="Terreno",IF(AND(ISNUMBER(I1243),I1243&gt;0),M1243/I1243,""),IF(AND(ISNUMBER(H1243),H1243&gt;0),M1243/H1243,"")))</f>
        <v/>
      </c>
      <c r="Q1243" s="9">
        <f>IF(AND(ISNUMBER(M1243),ISNUMBER(O1243)),IF(M1243&lt;=O1243,"Valor ≤ venal IPTU",""),"")</f>
        <v/>
      </c>
      <c r="R1243" s="10" t="n"/>
      <c r="S1243" s="10" t="n"/>
      <c r="AA1243" s="10" t="n"/>
      <c r="AB1243" s="11">
        <f>IF(LEN(TRIM(X1243))=0,"",HYPERLINK("https://www.google.com/maps/@?api=1&amp;map_action=pano&amp;viewpoint="&amp;SUBSTITUTE(X1243," ",""),"Abrir Street View"))</f>
        <v/>
      </c>
    </row>
    <row r="1244">
      <c r="H1244" s="6" t="n"/>
      <c r="I1244" s="6" t="n"/>
      <c r="M1244" s="7" t="n"/>
      <c r="N1244" s="7" t="n"/>
      <c r="O1244" s="7" t="n"/>
      <c r="P1244" s="8">
        <f>IF(NOT(ISNUMBER(M1244)),"",IF(G1244="Terreno",IF(AND(ISNUMBER(I1244),I1244&gt;0),M1244/I1244,""),IF(AND(ISNUMBER(H1244),H1244&gt;0),M1244/H1244,"")))</f>
        <v/>
      </c>
      <c r="Q1244" s="9">
        <f>IF(AND(ISNUMBER(M1244),ISNUMBER(O1244)),IF(M1244&lt;=O1244,"Valor ≤ venal IPTU",""),"")</f>
        <v/>
      </c>
      <c r="R1244" s="10" t="n"/>
      <c r="S1244" s="10" t="n"/>
      <c r="AA1244" s="10" t="n"/>
      <c r="AB1244" s="11">
        <f>IF(LEN(TRIM(X1244))=0,"",HYPERLINK("https://www.google.com/maps/@?api=1&amp;map_action=pano&amp;viewpoint="&amp;SUBSTITUTE(X1244," ",""),"Abrir Street View"))</f>
        <v/>
      </c>
    </row>
    <row r="1245">
      <c r="H1245" s="6" t="n"/>
      <c r="I1245" s="6" t="n"/>
      <c r="M1245" s="7" t="n"/>
      <c r="N1245" s="7" t="n"/>
      <c r="O1245" s="7" t="n"/>
      <c r="P1245" s="8">
        <f>IF(NOT(ISNUMBER(M1245)),"",IF(G1245="Terreno",IF(AND(ISNUMBER(I1245),I1245&gt;0),M1245/I1245,""),IF(AND(ISNUMBER(H1245),H1245&gt;0),M1245/H1245,"")))</f>
        <v/>
      </c>
      <c r="Q1245" s="9">
        <f>IF(AND(ISNUMBER(M1245),ISNUMBER(O1245)),IF(M1245&lt;=O1245,"Valor ≤ venal IPTU",""),"")</f>
        <v/>
      </c>
      <c r="R1245" s="10" t="n"/>
      <c r="S1245" s="10" t="n"/>
      <c r="AA1245" s="10" t="n"/>
      <c r="AB1245" s="11">
        <f>IF(LEN(TRIM(X1245))=0,"",HYPERLINK("https://www.google.com/maps/@?api=1&amp;map_action=pano&amp;viewpoint="&amp;SUBSTITUTE(X1245," ",""),"Abrir Street View"))</f>
        <v/>
      </c>
    </row>
    <row r="1246">
      <c r="H1246" s="6" t="n"/>
      <c r="I1246" s="6" t="n"/>
      <c r="M1246" s="7" t="n"/>
      <c r="N1246" s="7" t="n"/>
      <c r="O1246" s="7" t="n"/>
      <c r="P1246" s="8">
        <f>IF(NOT(ISNUMBER(M1246)),"",IF(G1246="Terreno",IF(AND(ISNUMBER(I1246),I1246&gt;0),M1246/I1246,""),IF(AND(ISNUMBER(H1246),H1246&gt;0),M1246/H1246,"")))</f>
        <v/>
      </c>
      <c r="Q1246" s="9">
        <f>IF(AND(ISNUMBER(M1246),ISNUMBER(O1246)),IF(M1246&lt;=O1246,"Valor ≤ venal IPTU",""),"")</f>
        <v/>
      </c>
      <c r="R1246" s="10" t="n"/>
      <c r="S1246" s="10" t="n"/>
      <c r="AA1246" s="10" t="n"/>
      <c r="AB1246" s="11">
        <f>IF(LEN(TRIM(X1246))=0,"",HYPERLINK("https://www.google.com/maps/@?api=1&amp;map_action=pano&amp;viewpoint="&amp;SUBSTITUTE(X1246," ",""),"Abrir Street View"))</f>
        <v/>
      </c>
    </row>
    <row r="1247">
      <c r="H1247" s="6" t="n"/>
      <c r="I1247" s="6" t="n"/>
      <c r="M1247" s="7" t="n"/>
      <c r="N1247" s="7" t="n"/>
      <c r="O1247" s="7" t="n"/>
      <c r="P1247" s="8">
        <f>IF(NOT(ISNUMBER(M1247)),"",IF(G1247="Terreno",IF(AND(ISNUMBER(I1247),I1247&gt;0),M1247/I1247,""),IF(AND(ISNUMBER(H1247),H1247&gt;0),M1247/H1247,"")))</f>
        <v/>
      </c>
      <c r="Q1247" s="9">
        <f>IF(AND(ISNUMBER(M1247),ISNUMBER(O1247)),IF(M1247&lt;=O1247,"Valor ≤ venal IPTU",""),"")</f>
        <v/>
      </c>
      <c r="R1247" s="10" t="n"/>
      <c r="S1247" s="10" t="n"/>
      <c r="AA1247" s="10" t="n"/>
      <c r="AB1247" s="11">
        <f>IF(LEN(TRIM(X1247))=0,"",HYPERLINK("https://www.google.com/maps/@?api=1&amp;map_action=pano&amp;viewpoint="&amp;SUBSTITUTE(X1247," ",""),"Abrir Street View"))</f>
        <v/>
      </c>
    </row>
    <row r="1248">
      <c r="H1248" s="6" t="n"/>
      <c r="I1248" s="6" t="n"/>
      <c r="M1248" s="7" t="n"/>
      <c r="N1248" s="7" t="n"/>
      <c r="O1248" s="7" t="n"/>
      <c r="P1248" s="8">
        <f>IF(NOT(ISNUMBER(M1248)),"",IF(G1248="Terreno",IF(AND(ISNUMBER(I1248),I1248&gt;0),M1248/I1248,""),IF(AND(ISNUMBER(H1248),H1248&gt;0),M1248/H1248,"")))</f>
        <v/>
      </c>
      <c r="Q1248" s="9">
        <f>IF(AND(ISNUMBER(M1248),ISNUMBER(O1248)),IF(M1248&lt;=O1248,"Valor ≤ venal IPTU",""),"")</f>
        <v/>
      </c>
      <c r="R1248" s="10" t="n"/>
      <c r="S1248" s="10" t="n"/>
      <c r="AA1248" s="10" t="n"/>
      <c r="AB1248" s="11">
        <f>IF(LEN(TRIM(X1248))=0,"",HYPERLINK("https://www.google.com/maps/@?api=1&amp;map_action=pano&amp;viewpoint="&amp;SUBSTITUTE(X1248," ",""),"Abrir Street View"))</f>
        <v/>
      </c>
    </row>
    <row r="1249">
      <c r="H1249" s="6" t="n"/>
      <c r="I1249" s="6" t="n"/>
      <c r="M1249" s="7" t="n"/>
      <c r="N1249" s="7" t="n"/>
      <c r="O1249" s="7" t="n"/>
      <c r="P1249" s="8">
        <f>IF(NOT(ISNUMBER(M1249)),"",IF(G1249="Terreno",IF(AND(ISNUMBER(I1249),I1249&gt;0),M1249/I1249,""),IF(AND(ISNUMBER(H1249),H1249&gt;0),M1249/H1249,"")))</f>
        <v/>
      </c>
      <c r="Q1249" s="9">
        <f>IF(AND(ISNUMBER(M1249),ISNUMBER(O1249)),IF(M1249&lt;=O1249,"Valor ≤ venal IPTU",""),"")</f>
        <v/>
      </c>
      <c r="R1249" s="10" t="n"/>
      <c r="S1249" s="10" t="n"/>
      <c r="AA1249" s="10" t="n"/>
      <c r="AB1249" s="11">
        <f>IF(LEN(TRIM(X1249))=0,"",HYPERLINK("https://www.google.com/maps/@?api=1&amp;map_action=pano&amp;viewpoint="&amp;SUBSTITUTE(X1249," ",""),"Abrir Street View"))</f>
        <v/>
      </c>
    </row>
    <row r="1250">
      <c r="H1250" s="6" t="n"/>
      <c r="I1250" s="6" t="n"/>
      <c r="M1250" s="7" t="n"/>
      <c r="N1250" s="7" t="n"/>
      <c r="O1250" s="7" t="n"/>
      <c r="P1250" s="8">
        <f>IF(NOT(ISNUMBER(M1250)),"",IF(G1250="Terreno",IF(AND(ISNUMBER(I1250),I1250&gt;0),M1250/I1250,""),IF(AND(ISNUMBER(H1250),H1250&gt;0),M1250/H1250,"")))</f>
        <v/>
      </c>
      <c r="Q1250" s="9">
        <f>IF(AND(ISNUMBER(M1250),ISNUMBER(O1250)),IF(M1250&lt;=O1250,"Valor ≤ venal IPTU",""),"")</f>
        <v/>
      </c>
      <c r="R1250" s="10" t="n"/>
      <c r="S1250" s="10" t="n"/>
      <c r="AA1250" s="10" t="n"/>
      <c r="AB1250" s="11">
        <f>IF(LEN(TRIM(X1250))=0,"",HYPERLINK("https://www.google.com/maps/@?api=1&amp;map_action=pano&amp;viewpoint="&amp;SUBSTITUTE(X1250," ",""),"Abrir Street View"))</f>
        <v/>
      </c>
    </row>
    <row r="1251">
      <c r="H1251" s="6" t="n"/>
      <c r="I1251" s="6" t="n"/>
      <c r="M1251" s="7" t="n"/>
      <c r="N1251" s="7" t="n"/>
      <c r="O1251" s="7" t="n"/>
      <c r="P1251" s="8">
        <f>IF(NOT(ISNUMBER(M1251)),"",IF(G1251="Terreno",IF(AND(ISNUMBER(I1251),I1251&gt;0),M1251/I1251,""),IF(AND(ISNUMBER(H1251),H1251&gt;0),M1251/H1251,"")))</f>
        <v/>
      </c>
      <c r="Q1251" s="9">
        <f>IF(AND(ISNUMBER(M1251),ISNUMBER(O1251)),IF(M1251&lt;=O1251,"Valor ≤ venal IPTU",""),"")</f>
        <v/>
      </c>
      <c r="R1251" s="10" t="n"/>
      <c r="S1251" s="10" t="n"/>
      <c r="AA1251" s="10" t="n"/>
      <c r="AB1251" s="11">
        <f>IF(LEN(TRIM(X1251))=0,"",HYPERLINK("https://www.google.com/maps/@?api=1&amp;map_action=pano&amp;viewpoint="&amp;SUBSTITUTE(X1251," ",""),"Abrir Street View"))</f>
        <v/>
      </c>
    </row>
    <row r="1252">
      <c r="H1252" s="6" t="n"/>
      <c r="I1252" s="6" t="n"/>
      <c r="M1252" s="7" t="n"/>
      <c r="N1252" s="7" t="n"/>
      <c r="O1252" s="7" t="n"/>
      <c r="P1252" s="8">
        <f>IF(NOT(ISNUMBER(M1252)),"",IF(G1252="Terreno",IF(AND(ISNUMBER(I1252),I1252&gt;0),M1252/I1252,""),IF(AND(ISNUMBER(H1252),H1252&gt;0),M1252/H1252,"")))</f>
        <v/>
      </c>
      <c r="Q1252" s="9">
        <f>IF(AND(ISNUMBER(M1252),ISNUMBER(O1252)),IF(M1252&lt;=O1252,"Valor ≤ venal IPTU",""),"")</f>
        <v/>
      </c>
      <c r="R1252" s="10" t="n"/>
      <c r="S1252" s="10" t="n"/>
      <c r="AA1252" s="10" t="n"/>
      <c r="AB1252" s="11">
        <f>IF(LEN(TRIM(X1252))=0,"",HYPERLINK("https://www.google.com/maps/@?api=1&amp;map_action=pano&amp;viewpoint="&amp;SUBSTITUTE(X1252," ",""),"Abrir Street View"))</f>
        <v/>
      </c>
    </row>
    <row r="1253">
      <c r="H1253" s="6" t="n"/>
      <c r="I1253" s="6" t="n"/>
      <c r="M1253" s="7" t="n"/>
      <c r="N1253" s="7" t="n"/>
      <c r="O1253" s="7" t="n"/>
      <c r="P1253" s="8">
        <f>IF(NOT(ISNUMBER(M1253)),"",IF(G1253="Terreno",IF(AND(ISNUMBER(I1253),I1253&gt;0),M1253/I1253,""),IF(AND(ISNUMBER(H1253),H1253&gt;0),M1253/H1253,"")))</f>
        <v/>
      </c>
      <c r="Q1253" s="9">
        <f>IF(AND(ISNUMBER(M1253),ISNUMBER(O1253)),IF(M1253&lt;=O1253,"Valor ≤ venal IPTU",""),"")</f>
        <v/>
      </c>
      <c r="R1253" s="10" t="n"/>
      <c r="S1253" s="10" t="n"/>
      <c r="AA1253" s="10" t="n"/>
      <c r="AB1253" s="11">
        <f>IF(LEN(TRIM(X1253))=0,"",HYPERLINK("https://www.google.com/maps/@?api=1&amp;map_action=pano&amp;viewpoint="&amp;SUBSTITUTE(X1253," ",""),"Abrir Street View"))</f>
        <v/>
      </c>
    </row>
    <row r="1254">
      <c r="H1254" s="6" t="n"/>
      <c r="I1254" s="6" t="n"/>
      <c r="M1254" s="7" t="n"/>
      <c r="N1254" s="7" t="n"/>
      <c r="O1254" s="7" t="n"/>
      <c r="P1254" s="8">
        <f>IF(NOT(ISNUMBER(M1254)),"",IF(G1254="Terreno",IF(AND(ISNUMBER(I1254),I1254&gt;0),M1254/I1254,""),IF(AND(ISNUMBER(H1254),H1254&gt;0),M1254/H1254,"")))</f>
        <v/>
      </c>
      <c r="Q1254" s="9">
        <f>IF(AND(ISNUMBER(M1254),ISNUMBER(O1254)),IF(M1254&lt;=O1254,"Valor ≤ venal IPTU",""),"")</f>
        <v/>
      </c>
      <c r="R1254" s="10" t="n"/>
      <c r="S1254" s="10" t="n"/>
      <c r="AA1254" s="10" t="n"/>
      <c r="AB1254" s="11">
        <f>IF(LEN(TRIM(X1254))=0,"",HYPERLINK("https://www.google.com/maps/@?api=1&amp;map_action=pano&amp;viewpoint="&amp;SUBSTITUTE(X1254," ",""),"Abrir Street View"))</f>
        <v/>
      </c>
    </row>
    <row r="1255">
      <c r="H1255" s="6" t="n"/>
      <c r="I1255" s="6" t="n"/>
      <c r="M1255" s="7" t="n"/>
      <c r="N1255" s="7" t="n"/>
      <c r="O1255" s="7" t="n"/>
      <c r="P1255" s="8">
        <f>IF(NOT(ISNUMBER(M1255)),"",IF(G1255="Terreno",IF(AND(ISNUMBER(I1255),I1255&gt;0),M1255/I1255,""),IF(AND(ISNUMBER(H1255),H1255&gt;0),M1255/H1255,"")))</f>
        <v/>
      </c>
      <c r="Q1255" s="9">
        <f>IF(AND(ISNUMBER(M1255),ISNUMBER(O1255)),IF(M1255&lt;=O1255,"Valor ≤ venal IPTU",""),"")</f>
        <v/>
      </c>
      <c r="R1255" s="10" t="n"/>
      <c r="S1255" s="10" t="n"/>
      <c r="AA1255" s="10" t="n"/>
      <c r="AB1255" s="11">
        <f>IF(LEN(TRIM(X1255))=0,"",HYPERLINK("https://www.google.com/maps/@?api=1&amp;map_action=pano&amp;viewpoint="&amp;SUBSTITUTE(X1255," ",""),"Abrir Street View"))</f>
        <v/>
      </c>
    </row>
    <row r="1256">
      <c r="H1256" s="6" t="n"/>
      <c r="I1256" s="6" t="n"/>
      <c r="M1256" s="7" t="n"/>
      <c r="N1256" s="7" t="n"/>
      <c r="O1256" s="7" t="n"/>
      <c r="P1256" s="8">
        <f>IF(NOT(ISNUMBER(M1256)),"",IF(G1256="Terreno",IF(AND(ISNUMBER(I1256),I1256&gt;0),M1256/I1256,""),IF(AND(ISNUMBER(H1256),H1256&gt;0),M1256/H1256,"")))</f>
        <v/>
      </c>
      <c r="Q1256" s="9">
        <f>IF(AND(ISNUMBER(M1256),ISNUMBER(O1256)),IF(M1256&lt;=O1256,"Valor ≤ venal IPTU",""),"")</f>
        <v/>
      </c>
      <c r="R1256" s="10" t="n"/>
      <c r="S1256" s="10" t="n"/>
      <c r="AA1256" s="10" t="n"/>
      <c r="AB1256" s="11">
        <f>IF(LEN(TRIM(X1256))=0,"",HYPERLINK("https://www.google.com/maps/@?api=1&amp;map_action=pano&amp;viewpoint="&amp;SUBSTITUTE(X1256," ",""),"Abrir Street View"))</f>
        <v/>
      </c>
    </row>
    <row r="1257">
      <c r="H1257" s="6" t="n"/>
      <c r="I1257" s="6" t="n"/>
      <c r="M1257" s="7" t="n"/>
      <c r="N1257" s="7" t="n"/>
      <c r="O1257" s="7" t="n"/>
      <c r="P1257" s="8">
        <f>IF(NOT(ISNUMBER(M1257)),"",IF(G1257="Terreno",IF(AND(ISNUMBER(I1257),I1257&gt;0),M1257/I1257,""),IF(AND(ISNUMBER(H1257),H1257&gt;0),M1257/H1257,"")))</f>
        <v/>
      </c>
      <c r="Q1257" s="9">
        <f>IF(AND(ISNUMBER(M1257),ISNUMBER(O1257)),IF(M1257&lt;=O1257,"Valor ≤ venal IPTU",""),"")</f>
        <v/>
      </c>
      <c r="R1257" s="10" t="n"/>
      <c r="S1257" s="10" t="n"/>
      <c r="AA1257" s="10" t="n"/>
      <c r="AB1257" s="11">
        <f>IF(LEN(TRIM(X1257))=0,"",HYPERLINK("https://www.google.com/maps/@?api=1&amp;map_action=pano&amp;viewpoint="&amp;SUBSTITUTE(X1257," ",""),"Abrir Street View"))</f>
        <v/>
      </c>
    </row>
    <row r="1258">
      <c r="H1258" s="6" t="n"/>
      <c r="I1258" s="6" t="n"/>
      <c r="M1258" s="7" t="n"/>
      <c r="N1258" s="7" t="n"/>
      <c r="O1258" s="7" t="n"/>
      <c r="P1258" s="8">
        <f>IF(NOT(ISNUMBER(M1258)),"",IF(G1258="Terreno",IF(AND(ISNUMBER(I1258),I1258&gt;0),M1258/I1258,""),IF(AND(ISNUMBER(H1258),H1258&gt;0),M1258/H1258,"")))</f>
        <v/>
      </c>
      <c r="Q1258" s="9">
        <f>IF(AND(ISNUMBER(M1258),ISNUMBER(O1258)),IF(M1258&lt;=O1258,"Valor ≤ venal IPTU",""),"")</f>
        <v/>
      </c>
      <c r="R1258" s="10" t="n"/>
      <c r="S1258" s="10" t="n"/>
      <c r="AA1258" s="10" t="n"/>
      <c r="AB1258" s="11">
        <f>IF(LEN(TRIM(X1258))=0,"",HYPERLINK("https://www.google.com/maps/@?api=1&amp;map_action=pano&amp;viewpoint="&amp;SUBSTITUTE(X1258," ",""),"Abrir Street View"))</f>
        <v/>
      </c>
    </row>
    <row r="1259">
      <c r="H1259" s="6" t="n"/>
      <c r="I1259" s="6" t="n"/>
      <c r="M1259" s="7" t="n"/>
      <c r="N1259" s="7" t="n"/>
      <c r="O1259" s="7" t="n"/>
      <c r="P1259" s="8">
        <f>IF(NOT(ISNUMBER(M1259)),"",IF(G1259="Terreno",IF(AND(ISNUMBER(I1259),I1259&gt;0),M1259/I1259,""),IF(AND(ISNUMBER(H1259),H1259&gt;0),M1259/H1259,"")))</f>
        <v/>
      </c>
      <c r="Q1259" s="9">
        <f>IF(AND(ISNUMBER(M1259),ISNUMBER(O1259)),IF(M1259&lt;=O1259,"Valor ≤ venal IPTU",""),"")</f>
        <v/>
      </c>
      <c r="R1259" s="10" t="n"/>
      <c r="S1259" s="10" t="n"/>
      <c r="AA1259" s="10" t="n"/>
      <c r="AB1259" s="11">
        <f>IF(LEN(TRIM(X1259))=0,"",HYPERLINK("https://www.google.com/maps/@?api=1&amp;map_action=pano&amp;viewpoint="&amp;SUBSTITUTE(X1259," ",""),"Abrir Street View"))</f>
        <v/>
      </c>
    </row>
    <row r="1260">
      <c r="H1260" s="6" t="n"/>
      <c r="I1260" s="6" t="n"/>
      <c r="M1260" s="7" t="n"/>
      <c r="N1260" s="7" t="n"/>
      <c r="O1260" s="7" t="n"/>
      <c r="P1260" s="8">
        <f>IF(NOT(ISNUMBER(M1260)),"",IF(G1260="Terreno",IF(AND(ISNUMBER(I1260),I1260&gt;0),M1260/I1260,""),IF(AND(ISNUMBER(H1260),H1260&gt;0),M1260/H1260,"")))</f>
        <v/>
      </c>
      <c r="Q1260" s="9">
        <f>IF(AND(ISNUMBER(M1260),ISNUMBER(O1260)),IF(M1260&lt;=O1260,"Valor ≤ venal IPTU",""),"")</f>
        <v/>
      </c>
      <c r="R1260" s="10" t="n"/>
      <c r="S1260" s="10" t="n"/>
      <c r="AA1260" s="10" t="n"/>
      <c r="AB1260" s="11">
        <f>IF(LEN(TRIM(X1260))=0,"",HYPERLINK("https://www.google.com/maps/@?api=1&amp;map_action=pano&amp;viewpoint="&amp;SUBSTITUTE(X1260," ",""),"Abrir Street View"))</f>
        <v/>
      </c>
    </row>
    <row r="1261">
      <c r="H1261" s="6" t="n"/>
      <c r="I1261" s="6" t="n"/>
      <c r="M1261" s="7" t="n"/>
      <c r="N1261" s="7" t="n"/>
      <c r="O1261" s="7" t="n"/>
      <c r="P1261" s="8">
        <f>IF(NOT(ISNUMBER(M1261)),"",IF(G1261="Terreno",IF(AND(ISNUMBER(I1261),I1261&gt;0),M1261/I1261,""),IF(AND(ISNUMBER(H1261),H1261&gt;0),M1261/H1261,"")))</f>
        <v/>
      </c>
      <c r="Q1261" s="9">
        <f>IF(AND(ISNUMBER(M1261),ISNUMBER(O1261)),IF(M1261&lt;=O1261,"Valor ≤ venal IPTU",""),"")</f>
        <v/>
      </c>
      <c r="R1261" s="10" t="n"/>
      <c r="S1261" s="10" t="n"/>
      <c r="AA1261" s="10" t="n"/>
      <c r="AB1261" s="11">
        <f>IF(LEN(TRIM(X1261))=0,"",HYPERLINK("https://www.google.com/maps/@?api=1&amp;map_action=pano&amp;viewpoint="&amp;SUBSTITUTE(X1261," ",""),"Abrir Street View"))</f>
        <v/>
      </c>
    </row>
    <row r="1262">
      <c r="H1262" s="6" t="n"/>
      <c r="I1262" s="6" t="n"/>
      <c r="M1262" s="7" t="n"/>
      <c r="N1262" s="7" t="n"/>
      <c r="O1262" s="7" t="n"/>
      <c r="P1262" s="8">
        <f>IF(NOT(ISNUMBER(M1262)),"",IF(G1262="Terreno",IF(AND(ISNUMBER(I1262),I1262&gt;0),M1262/I1262,""),IF(AND(ISNUMBER(H1262),H1262&gt;0),M1262/H1262,"")))</f>
        <v/>
      </c>
      <c r="Q1262" s="9">
        <f>IF(AND(ISNUMBER(M1262),ISNUMBER(O1262)),IF(M1262&lt;=O1262,"Valor ≤ venal IPTU",""),"")</f>
        <v/>
      </c>
      <c r="R1262" s="10" t="n"/>
      <c r="S1262" s="10" t="n"/>
      <c r="AA1262" s="10" t="n"/>
      <c r="AB1262" s="11">
        <f>IF(LEN(TRIM(X1262))=0,"",HYPERLINK("https://www.google.com/maps/@?api=1&amp;map_action=pano&amp;viewpoint="&amp;SUBSTITUTE(X1262," ",""),"Abrir Street View"))</f>
        <v/>
      </c>
    </row>
    <row r="1263">
      <c r="H1263" s="6" t="n"/>
      <c r="I1263" s="6" t="n"/>
      <c r="M1263" s="7" t="n"/>
      <c r="N1263" s="7" t="n"/>
      <c r="O1263" s="7" t="n"/>
      <c r="P1263" s="8">
        <f>IF(NOT(ISNUMBER(M1263)),"",IF(G1263="Terreno",IF(AND(ISNUMBER(I1263),I1263&gt;0),M1263/I1263,""),IF(AND(ISNUMBER(H1263),H1263&gt;0),M1263/H1263,"")))</f>
        <v/>
      </c>
      <c r="Q1263" s="9">
        <f>IF(AND(ISNUMBER(M1263),ISNUMBER(O1263)),IF(M1263&lt;=O1263,"Valor ≤ venal IPTU",""),"")</f>
        <v/>
      </c>
      <c r="R1263" s="10" t="n"/>
      <c r="S1263" s="10" t="n"/>
      <c r="AA1263" s="10" t="n"/>
      <c r="AB1263" s="11">
        <f>IF(LEN(TRIM(X1263))=0,"",HYPERLINK("https://www.google.com/maps/@?api=1&amp;map_action=pano&amp;viewpoint="&amp;SUBSTITUTE(X1263," ",""),"Abrir Street View"))</f>
        <v/>
      </c>
    </row>
    <row r="1264">
      <c r="H1264" s="6" t="n"/>
      <c r="I1264" s="6" t="n"/>
      <c r="M1264" s="7" t="n"/>
      <c r="N1264" s="7" t="n"/>
      <c r="O1264" s="7" t="n"/>
      <c r="P1264" s="8">
        <f>IF(NOT(ISNUMBER(M1264)),"",IF(G1264="Terreno",IF(AND(ISNUMBER(I1264),I1264&gt;0),M1264/I1264,""),IF(AND(ISNUMBER(H1264),H1264&gt;0),M1264/H1264,"")))</f>
        <v/>
      </c>
      <c r="Q1264" s="9">
        <f>IF(AND(ISNUMBER(M1264),ISNUMBER(O1264)),IF(M1264&lt;=O1264,"Valor ≤ venal IPTU",""),"")</f>
        <v/>
      </c>
      <c r="R1264" s="10" t="n"/>
      <c r="S1264" s="10" t="n"/>
      <c r="AA1264" s="10" t="n"/>
      <c r="AB1264" s="11">
        <f>IF(LEN(TRIM(X1264))=0,"",HYPERLINK("https://www.google.com/maps/@?api=1&amp;map_action=pano&amp;viewpoint="&amp;SUBSTITUTE(X1264," ",""),"Abrir Street View"))</f>
        <v/>
      </c>
    </row>
    <row r="1265">
      <c r="H1265" s="6" t="n"/>
      <c r="I1265" s="6" t="n"/>
      <c r="M1265" s="7" t="n"/>
      <c r="N1265" s="7" t="n"/>
      <c r="O1265" s="7" t="n"/>
      <c r="P1265" s="8">
        <f>IF(NOT(ISNUMBER(M1265)),"",IF(G1265="Terreno",IF(AND(ISNUMBER(I1265),I1265&gt;0),M1265/I1265,""),IF(AND(ISNUMBER(H1265),H1265&gt;0),M1265/H1265,"")))</f>
        <v/>
      </c>
      <c r="Q1265" s="9">
        <f>IF(AND(ISNUMBER(M1265),ISNUMBER(O1265)),IF(M1265&lt;=O1265,"Valor ≤ venal IPTU",""),"")</f>
        <v/>
      </c>
      <c r="R1265" s="10" t="n"/>
      <c r="S1265" s="10" t="n"/>
      <c r="AA1265" s="10" t="n"/>
      <c r="AB1265" s="11">
        <f>IF(LEN(TRIM(X1265))=0,"",HYPERLINK("https://www.google.com/maps/@?api=1&amp;map_action=pano&amp;viewpoint="&amp;SUBSTITUTE(X1265," ",""),"Abrir Street View"))</f>
        <v/>
      </c>
    </row>
    <row r="1266">
      <c r="H1266" s="6" t="n"/>
      <c r="I1266" s="6" t="n"/>
      <c r="M1266" s="7" t="n"/>
      <c r="N1266" s="7" t="n"/>
      <c r="O1266" s="7" t="n"/>
      <c r="P1266" s="8">
        <f>IF(NOT(ISNUMBER(M1266)),"",IF(G1266="Terreno",IF(AND(ISNUMBER(I1266),I1266&gt;0),M1266/I1266,""),IF(AND(ISNUMBER(H1266),H1266&gt;0),M1266/H1266,"")))</f>
        <v/>
      </c>
      <c r="Q1266" s="9">
        <f>IF(AND(ISNUMBER(M1266),ISNUMBER(O1266)),IF(M1266&lt;=O1266,"Valor ≤ venal IPTU",""),"")</f>
        <v/>
      </c>
      <c r="R1266" s="10" t="n"/>
      <c r="S1266" s="10" t="n"/>
      <c r="AA1266" s="10" t="n"/>
      <c r="AB1266" s="11">
        <f>IF(LEN(TRIM(X1266))=0,"",HYPERLINK("https://www.google.com/maps/@?api=1&amp;map_action=pano&amp;viewpoint="&amp;SUBSTITUTE(X1266," ",""),"Abrir Street View"))</f>
        <v/>
      </c>
    </row>
    <row r="1267">
      <c r="H1267" s="6" t="n"/>
      <c r="I1267" s="6" t="n"/>
      <c r="M1267" s="7" t="n"/>
      <c r="N1267" s="7" t="n"/>
      <c r="O1267" s="7" t="n"/>
      <c r="P1267" s="8">
        <f>IF(NOT(ISNUMBER(M1267)),"",IF(G1267="Terreno",IF(AND(ISNUMBER(I1267),I1267&gt;0),M1267/I1267,""),IF(AND(ISNUMBER(H1267),H1267&gt;0),M1267/H1267,"")))</f>
        <v/>
      </c>
      <c r="Q1267" s="9">
        <f>IF(AND(ISNUMBER(M1267),ISNUMBER(O1267)),IF(M1267&lt;=O1267,"Valor ≤ venal IPTU",""),"")</f>
        <v/>
      </c>
      <c r="R1267" s="10" t="n"/>
      <c r="S1267" s="10" t="n"/>
      <c r="AA1267" s="10" t="n"/>
      <c r="AB1267" s="11">
        <f>IF(LEN(TRIM(X1267))=0,"",HYPERLINK("https://www.google.com/maps/@?api=1&amp;map_action=pano&amp;viewpoint="&amp;SUBSTITUTE(X1267," ",""),"Abrir Street View"))</f>
        <v/>
      </c>
    </row>
    <row r="1268">
      <c r="H1268" s="6" t="n"/>
      <c r="I1268" s="6" t="n"/>
      <c r="M1268" s="7" t="n"/>
      <c r="N1268" s="7" t="n"/>
      <c r="O1268" s="7" t="n"/>
      <c r="P1268" s="8">
        <f>IF(NOT(ISNUMBER(M1268)),"",IF(G1268="Terreno",IF(AND(ISNUMBER(I1268),I1268&gt;0),M1268/I1268,""),IF(AND(ISNUMBER(H1268),H1268&gt;0),M1268/H1268,"")))</f>
        <v/>
      </c>
      <c r="Q1268" s="9">
        <f>IF(AND(ISNUMBER(M1268),ISNUMBER(O1268)),IF(M1268&lt;=O1268,"Valor ≤ venal IPTU",""),"")</f>
        <v/>
      </c>
      <c r="R1268" s="10" t="n"/>
      <c r="S1268" s="10" t="n"/>
      <c r="AA1268" s="10" t="n"/>
      <c r="AB1268" s="11">
        <f>IF(LEN(TRIM(X1268))=0,"",HYPERLINK("https://www.google.com/maps/@?api=1&amp;map_action=pano&amp;viewpoint="&amp;SUBSTITUTE(X1268," ",""),"Abrir Street View"))</f>
        <v/>
      </c>
    </row>
    <row r="1269">
      <c r="H1269" s="6" t="n"/>
      <c r="I1269" s="6" t="n"/>
      <c r="M1269" s="7" t="n"/>
      <c r="N1269" s="7" t="n"/>
      <c r="O1269" s="7" t="n"/>
      <c r="P1269" s="8">
        <f>IF(NOT(ISNUMBER(M1269)),"",IF(G1269="Terreno",IF(AND(ISNUMBER(I1269),I1269&gt;0),M1269/I1269,""),IF(AND(ISNUMBER(H1269),H1269&gt;0),M1269/H1269,"")))</f>
        <v/>
      </c>
      <c r="Q1269" s="9">
        <f>IF(AND(ISNUMBER(M1269),ISNUMBER(O1269)),IF(M1269&lt;=O1269,"Valor ≤ venal IPTU",""),"")</f>
        <v/>
      </c>
      <c r="R1269" s="10" t="n"/>
      <c r="S1269" s="10" t="n"/>
      <c r="AA1269" s="10" t="n"/>
      <c r="AB1269" s="11">
        <f>IF(LEN(TRIM(X1269))=0,"",HYPERLINK("https://www.google.com/maps/@?api=1&amp;map_action=pano&amp;viewpoint="&amp;SUBSTITUTE(X1269," ",""),"Abrir Street View"))</f>
        <v/>
      </c>
    </row>
    <row r="1270">
      <c r="H1270" s="6" t="n"/>
      <c r="I1270" s="6" t="n"/>
      <c r="M1270" s="7" t="n"/>
      <c r="N1270" s="7" t="n"/>
      <c r="O1270" s="7" t="n"/>
      <c r="P1270" s="8">
        <f>IF(NOT(ISNUMBER(M1270)),"",IF(G1270="Terreno",IF(AND(ISNUMBER(I1270),I1270&gt;0),M1270/I1270,""),IF(AND(ISNUMBER(H1270),H1270&gt;0),M1270/H1270,"")))</f>
        <v/>
      </c>
      <c r="Q1270" s="9">
        <f>IF(AND(ISNUMBER(M1270),ISNUMBER(O1270)),IF(M1270&lt;=O1270,"Valor ≤ venal IPTU",""),"")</f>
        <v/>
      </c>
      <c r="R1270" s="10" t="n"/>
      <c r="S1270" s="10" t="n"/>
      <c r="AA1270" s="10" t="n"/>
      <c r="AB1270" s="11">
        <f>IF(LEN(TRIM(X1270))=0,"",HYPERLINK("https://www.google.com/maps/@?api=1&amp;map_action=pano&amp;viewpoint="&amp;SUBSTITUTE(X1270," ",""),"Abrir Street View"))</f>
        <v/>
      </c>
    </row>
    <row r="1271">
      <c r="H1271" s="6" t="n"/>
      <c r="I1271" s="6" t="n"/>
      <c r="M1271" s="7" t="n"/>
      <c r="N1271" s="7" t="n"/>
      <c r="O1271" s="7" t="n"/>
      <c r="P1271" s="8">
        <f>IF(NOT(ISNUMBER(M1271)),"",IF(G1271="Terreno",IF(AND(ISNUMBER(I1271),I1271&gt;0),M1271/I1271,""),IF(AND(ISNUMBER(H1271),H1271&gt;0),M1271/H1271,"")))</f>
        <v/>
      </c>
      <c r="Q1271" s="9">
        <f>IF(AND(ISNUMBER(M1271),ISNUMBER(O1271)),IF(M1271&lt;=O1271,"Valor ≤ venal IPTU",""),"")</f>
        <v/>
      </c>
      <c r="R1271" s="10" t="n"/>
      <c r="S1271" s="10" t="n"/>
      <c r="AA1271" s="10" t="n"/>
      <c r="AB1271" s="11">
        <f>IF(LEN(TRIM(X1271))=0,"",HYPERLINK("https://www.google.com/maps/@?api=1&amp;map_action=pano&amp;viewpoint="&amp;SUBSTITUTE(X1271," ",""),"Abrir Street View"))</f>
        <v/>
      </c>
    </row>
    <row r="1272">
      <c r="H1272" s="6" t="n"/>
      <c r="I1272" s="6" t="n"/>
      <c r="M1272" s="7" t="n"/>
      <c r="N1272" s="7" t="n"/>
      <c r="O1272" s="7" t="n"/>
      <c r="P1272" s="8">
        <f>IF(NOT(ISNUMBER(M1272)),"",IF(G1272="Terreno",IF(AND(ISNUMBER(I1272),I1272&gt;0),M1272/I1272,""),IF(AND(ISNUMBER(H1272),H1272&gt;0),M1272/H1272,"")))</f>
        <v/>
      </c>
      <c r="Q1272" s="9">
        <f>IF(AND(ISNUMBER(M1272),ISNUMBER(O1272)),IF(M1272&lt;=O1272,"Valor ≤ venal IPTU",""),"")</f>
        <v/>
      </c>
      <c r="R1272" s="10" t="n"/>
      <c r="S1272" s="10" t="n"/>
      <c r="AA1272" s="10" t="n"/>
      <c r="AB1272" s="11">
        <f>IF(LEN(TRIM(X1272))=0,"",HYPERLINK("https://www.google.com/maps/@?api=1&amp;map_action=pano&amp;viewpoint="&amp;SUBSTITUTE(X1272," ",""),"Abrir Street View"))</f>
        <v/>
      </c>
    </row>
    <row r="1273">
      <c r="H1273" s="6" t="n"/>
      <c r="I1273" s="6" t="n"/>
      <c r="M1273" s="7" t="n"/>
      <c r="N1273" s="7" t="n"/>
      <c r="O1273" s="7" t="n"/>
      <c r="P1273" s="8">
        <f>IF(NOT(ISNUMBER(M1273)),"",IF(G1273="Terreno",IF(AND(ISNUMBER(I1273),I1273&gt;0),M1273/I1273,""),IF(AND(ISNUMBER(H1273),H1273&gt;0),M1273/H1273,"")))</f>
        <v/>
      </c>
      <c r="Q1273" s="9">
        <f>IF(AND(ISNUMBER(M1273),ISNUMBER(O1273)),IF(M1273&lt;=O1273,"Valor ≤ venal IPTU",""),"")</f>
        <v/>
      </c>
      <c r="R1273" s="10" t="n"/>
      <c r="S1273" s="10" t="n"/>
      <c r="AA1273" s="10" t="n"/>
      <c r="AB1273" s="11">
        <f>IF(LEN(TRIM(X1273))=0,"",HYPERLINK("https://www.google.com/maps/@?api=1&amp;map_action=pano&amp;viewpoint="&amp;SUBSTITUTE(X1273," ",""),"Abrir Street View"))</f>
        <v/>
      </c>
    </row>
    <row r="1274">
      <c r="H1274" s="6" t="n"/>
      <c r="I1274" s="6" t="n"/>
      <c r="M1274" s="7" t="n"/>
      <c r="N1274" s="7" t="n"/>
      <c r="O1274" s="7" t="n"/>
      <c r="P1274" s="8">
        <f>IF(NOT(ISNUMBER(M1274)),"",IF(G1274="Terreno",IF(AND(ISNUMBER(I1274),I1274&gt;0),M1274/I1274,""),IF(AND(ISNUMBER(H1274),H1274&gt;0),M1274/H1274,"")))</f>
        <v/>
      </c>
      <c r="Q1274" s="9">
        <f>IF(AND(ISNUMBER(M1274),ISNUMBER(O1274)),IF(M1274&lt;=O1274,"Valor ≤ venal IPTU",""),"")</f>
        <v/>
      </c>
      <c r="R1274" s="10" t="n"/>
      <c r="S1274" s="10" t="n"/>
      <c r="AA1274" s="10" t="n"/>
      <c r="AB1274" s="11">
        <f>IF(LEN(TRIM(X1274))=0,"",HYPERLINK("https://www.google.com/maps/@?api=1&amp;map_action=pano&amp;viewpoint="&amp;SUBSTITUTE(X1274," ",""),"Abrir Street View"))</f>
        <v/>
      </c>
    </row>
    <row r="1275">
      <c r="H1275" s="6" t="n"/>
      <c r="I1275" s="6" t="n"/>
      <c r="M1275" s="7" t="n"/>
      <c r="N1275" s="7" t="n"/>
      <c r="O1275" s="7" t="n"/>
      <c r="P1275" s="8">
        <f>IF(NOT(ISNUMBER(M1275)),"",IF(G1275="Terreno",IF(AND(ISNUMBER(I1275),I1275&gt;0),M1275/I1275,""),IF(AND(ISNUMBER(H1275),H1275&gt;0),M1275/H1275,"")))</f>
        <v/>
      </c>
      <c r="Q1275" s="9">
        <f>IF(AND(ISNUMBER(M1275),ISNUMBER(O1275)),IF(M1275&lt;=O1275,"Valor ≤ venal IPTU",""),"")</f>
        <v/>
      </c>
      <c r="R1275" s="10" t="n"/>
      <c r="S1275" s="10" t="n"/>
      <c r="AA1275" s="10" t="n"/>
      <c r="AB1275" s="11">
        <f>IF(LEN(TRIM(X1275))=0,"",HYPERLINK("https://www.google.com/maps/@?api=1&amp;map_action=pano&amp;viewpoint="&amp;SUBSTITUTE(X1275," ",""),"Abrir Street View"))</f>
        <v/>
      </c>
    </row>
    <row r="1276">
      <c r="H1276" s="6" t="n"/>
      <c r="I1276" s="6" t="n"/>
      <c r="M1276" s="7" t="n"/>
      <c r="N1276" s="7" t="n"/>
      <c r="O1276" s="7" t="n"/>
      <c r="P1276" s="8">
        <f>IF(NOT(ISNUMBER(M1276)),"",IF(G1276="Terreno",IF(AND(ISNUMBER(I1276),I1276&gt;0),M1276/I1276,""),IF(AND(ISNUMBER(H1276),H1276&gt;0),M1276/H1276,"")))</f>
        <v/>
      </c>
      <c r="Q1276" s="9">
        <f>IF(AND(ISNUMBER(M1276),ISNUMBER(O1276)),IF(M1276&lt;=O1276,"Valor ≤ venal IPTU",""),"")</f>
        <v/>
      </c>
      <c r="R1276" s="10" t="n"/>
      <c r="S1276" s="10" t="n"/>
      <c r="AA1276" s="10" t="n"/>
      <c r="AB1276" s="11">
        <f>IF(LEN(TRIM(X1276))=0,"",HYPERLINK("https://www.google.com/maps/@?api=1&amp;map_action=pano&amp;viewpoint="&amp;SUBSTITUTE(X1276," ",""),"Abrir Street View"))</f>
        <v/>
      </c>
    </row>
    <row r="1277">
      <c r="H1277" s="6" t="n"/>
      <c r="I1277" s="6" t="n"/>
      <c r="M1277" s="7" t="n"/>
      <c r="N1277" s="7" t="n"/>
      <c r="O1277" s="7" t="n"/>
      <c r="P1277" s="8">
        <f>IF(NOT(ISNUMBER(M1277)),"",IF(G1277="Terreno",IF(AND(ISNUMBER(I1277),I1277&gt;0),M1277/I1277,""),IF(AND(ISNUMBER(H1277),H1277&gt;0),M1277/H1277,"")))</f>
        <v/>
      </c>
      <c r="Q1277" s="9">
        <f>IF(AND(ISNUMBER(M1277),ISNUMBER(O1277)),IF(M1277&lt;=O1277,"Valor ≤ venal IPTU",""),"")</f>
        <v/>
      </c>
      <c r="R1277" s="10" t="n"/>
      <c r="S1277" s="10" t="n"/>
      <c r="AA1277" s="10" t="n"/>
      <c r="AB1277" s="11">
        <f>IF(LEN(TRIM(X1277))=0,"",HYPERLINK("https://www.google.com/maps/@?api=1&amp;map_action=pano&amp;viewpoint="&amp;SUBSTITUTE(X1277," ",""),"Abrir Street View"))</f>
        <v/>
      </c>
    </row>
    <row r="1278">
      <c r="H1278" s="6" t="n"/>
      <c r="I1278" s="6" t="n"/>
      <c r="M1278" s="7" t="n"/>
      <c r="N1278" s="7" t="n"/>
      <c r="O1278" s="7" t="n"/>
      <c r="P1278" s="8">
        <f>IF(NOT(ISNUMBER(M1278)),"",IF(G1278="Terreno",IF(AND(ISNUMBER(I1278),I1278&gt;0),M1278/I1278,""),IF(AND(ISNUMBER(H1278),H1278&gt;0),M1278/H1278,"")))</f>
        <v/>
      </c>
      <c r="Q1278" s="9">
        <f>IF(AND(ISNUMBER(M1278),ISNUMBER(O1278)),IF(M1278&lt;=O1278,"Valor ≤ venal IPTU",""),"")</f>
        <v/>
      </c>
      <c r="R1278" s="10" t="n"/>
      <c r="S1278" s="10" t="n"/>
      <c r="AA1278" s="10" t="n"/>
      <c r="AB1278" s="11">
        <f>IF(LEN(TRIM(X1278))=0,"",HYPERLINK("https://www.google.com/maps/@?api=1&amp;map_action=pano&amp;viewpoint="&amp;SUBSTITUTE(X1278," ",""),"Abrir Street View"))</f>
        <v/>
      </c>
    </row>
    <row r="1279">
      <c r="H1279" s="6" t="n"/>
      <c r="I1279" s="6" t="n"/>
      <c r="M1279" s="7" t="n"/>
      <c r="N1279" s="7" t="n"/>
      <c r="O1279" s="7" t="n"/>
      <c r="P1279" s="8">
        <f>IF(NOT(ISNUMBER(M1279)),"",IF(G1279="Terreno",IF(AND(ISNUMBER(I1279),I1279&gt;0),M1279/I1279,""),IF(AND(ISNUMBER(H1279),H1279&gt;0),M1279/H1279,"")))</f>
        <v/>
      </c>
      <c r="Q1279" s="9">
        <f>IF(AND(ISNUMBER(M1279),ISNUMBER(O1279)),IF(M1279&lt;=O1279,"Valor ≤ venal IPTU",""),"")</f>
        <v/>
      </c>
      <c r="R1279" s="10" t="n"/>
      <c r="S1279" s="10" t="n"/>
      <c r="AA1279" s="10" t="n"/>
      <c r="AB1279" s="11">
        <f>IF(LEN(TRIM(X1279))=0,"",HYPERLINK("https://www.google.com/maps/@?api=1&amp;map_action=pano&amp;viewpoint="&amp;SUBSTITUTE(X1279," ",""),"Abrir Street View"))</f>
        <v/>
      </c>
    </row>
    <row r="1280">
      <c r="H1280" s="6" t="n"/>
      <c r="I1280" s="6" t="n"/>
      <c r="M1280" s="7" t="n"/>
      <c r="N1280" s="7" t="n"/>
      <c r="O1280" s="7" t="n"/>
      <c r="P1280" s="8">
        <f>IF(NOT(ISNUMBER(M1280)),"",IF(G1280="Terreno",IF(AND(ISNUMBER(I1280),I1280&gt;0),M1280/I1280,""),IF(AND(ISNUMBER(H1280),H1280&gt;0),M1280/H1280,"")))</f>
        <v/>
      </c>
      <c r="Q1280" s="9">
        <f>IF(AND(ISNUMBER(M1280),ISNUMBER(O1280)),IF(M1280&lt;=O1280,"Valor ≤ venal IPTU",""),"")</f>
        <v/>
      </c>
      <c r="R1280" s="10" t="n"/>
      <c r="S1280" s="10" t="n"/>
      <c r="AA1280" s="10" t="n"/>
      <c r="AB1280" s="11">
        <f>IF(LEN(TRIM(X1280))=0,"",HYPERLINK("https://www.google.com/maps/@?api=1&amp;map_action=pano&amp;viewpoint="&amp;SUBSTITUTE(X1280," ",""),"Abrir Street View"))</f>
        <v/>
      </c>
    </row>
    <row r="1281">
      <c r="H1281" s="6" t="n"/>
      <c r="I1281" s="6" t="n"/>
      <c r="M1281" s="7" t="n"/>
      <c r="N1281" s="7" t="n"/>
      <c r="O1281" s="7" t="n"/>
      <c r="P1281" s="8">
        <f>IF(NOT(ISNUMBER(M1281)),"",IF(G1281="Terreno",IF(AND(ISNUMBER(I1281),I1281&gt;0),M1281/I1281,""),IF(AND(ISNUMBER(H1281),H1281&gt;0),M1281/H1281,"")))</f>
        <v/>
      </c>
      <c r="Q1281" s="9">
        <f>IF(AND(ISNUMBER(M1281),ISNUMBER(O1281)),IF(M1281&lt;=O1281,"Valor ≤ venal IPTU",""),"")</f>
        <v/>
      </c>
      <c r="R1281" s="10" t="n"/>
      <c r="S1281" s="10" t="n"/>
      <c r="AA1281" s="10" t="n"/>
      <c r="AB1281" s="11">
        <f>IF(LEN(TRIM(X1281))=0,"",HYPERLINK("https://www.google.com/maps/@?api=1&amp;map_action=pano&amp;viewpoint="&amp;SUBSTITUTE(X1281," ",""),"Abrir Street View"))</f>
        <v/>
      </c>
    </row>
    <row r="1282">
      <c r="H1282" s="6" t="n"/>
      <c r="I1282" s="6" t="n"/>
      <c r="M1282" s="7" t="n"/>
      <c r="N1282" s="7" t="n"/>
      <c r="O1282" s="7" t="n"/>
      <c r="P1282" s="8">
        <f>IF(NOT(ISNUMBER(M1282)),"",IF(G1282="Terreno",IF(AND(ISNUMBER(I1282),I1282&gt;0),M1282/I1282,""),IF(AND(ISNUMBER(H1282),H1282&gt;0),M1282/H1282,"")))</f>
        <v/>
      </c>
      <c r="Q1282" s="9">
        <f>IF(AND(ISNUMBER(M1282),ISNUMBER(O1282)),IF(M1282&lt;=O1282,"Valor ≤ venal IPTU",""),"")</f>
        <v/>
      </c>
      <c r="R1282" s="10" t="n"/>
      <c r="S1282" s="10" t="n"/>
      <c r="AA1282" s="10" t="n"/>
      <c r="AB1282" s="11">
        <f>IF(LEN(TRIM(X1282))=0,"",HYPERLINK("https://www.google.com/maps/@?api=1&amp;map_action=pano&amp;viewpoint="&amp;SUBSTITUTE(X1282," ",""),"Abrir Street View"))</f>
        <v/>
      </c>
    </row>
    <row r="1283">
      <c r="H1283" s="6" t="n"/>
      <c r="I1283" s="6" t="n"/>
      <c r="M1283" s="7" t="n"/>
      <c r="N1283" s="7" t="n"/>
      <c r="O1283" s="7" t="n"/>
      <c r="P1283" s="8">
        <f>IF(NOT(ISNUMBER(M1283)),"",IF(G1283="Terreno",IF(AND(ISNUMBER(I1283),I1283&gt;0),M1283/I1283,""),IF(AND(ISNUMBER(H1283),H1283&gt;0),M1283/H1283,"")))</f>
        <v/>
      </c>
      <c r="Q1283" s="9">
        <f>IF(AND(ISNUMBER(M1283),ISNUMBER(O1283)),IF(M1283&lt;=O1283,"Valor ≤ venal IPTU",""),"")</f>
        <v/>
      </c>
      <c r="R1283" s="10" t="n"/>
      <c r="S1283" s="10" t="n"/>
      <c r="AA1283" s="10" t="n"/>
      <c r="AB1283" s="11">
        <f>IF(LEN(TRIM(X1283))=0,"",HYPERLINK("https://www.google.com/maps/@?api=1&amp;map_action=pano&amp;viewpoint="&amp;SUBSTITUTE(X1283," ",""),"Abrir Street View"))</f>
        <v/>
      </c>
    </row>
    <row r="1284">
      <c r="H1284" s="6" t="n"/>
      <c r="I1284" s="6" t="n"/>
      <c r="M1284" s="7" t="n"/>
      <c r="N1284" s="7" t="n"/>
      <c r="O1284" s="7" t="n"/>
      <c r="P1284" s="8">
        <f>IF(NOT(ISNUMBER(M1284)),"",IF(G1284="Terreno",IF(AND(ISNUMBER(I1284),I1284&gt;0),M1284/I1284,""),IF(AND(ISNUMBER(H1284),H1284&gt;0),M1284/H1284,"")))</f>
        <v/>
      </c>
      <c r="Q1284" s="9">
        <f>IF(AND(ISNUMBER(M1284),ISNUMBER(O1284)),IF(M1284&lt;=O1284,"Valor ≤ venal IPTU",""),"")</f>
        <v/>
      </c>
      <c r="R1284" s="10" t="n"/>
      <c r="S1284" s="10" t="n"/>
      <c r="AA1284" s="10" t="n"/>
      <c r="AB1284" s="11">
        <f>IF(LEN(TRIM(X1284))=0,"",HYPERLINK("https://www.google.com/maps/@?api=1&amp;map_action=pano&amp;viewpoint="&amp;SUBSTITUTE(X1284," ",""),"Abrir Street View"))</f>
        <v/>
      </c>
    </row>
    <row r="1285">
      <c r="H1285" s="6" t="n"/>
      <c r="I1285" s="6" t="n"/>
      <c r="M1285" s="7" t="n"/>
      <c r="N1285" s="7" t="n"/>
      <c r="O1285" s="7" t="n"/>
      <c r="P1285" s="8">
        <f>IF(NOT(ISNUMBER(M1285)),"",IF(G1285="Terreno",IF(AND(ISNUMBER(I1285),I1285&gt;0),M1285/I1285,""),IF(AND(ISNUMBER(H1285),H1285&gt;0),M1285/H1285,"")))</f>
        <v/>
      </c>
      <c r="Q1285" s="9">
        <f>IF(AND(ISNUMBER(M1285),ISNUMBER(O1285)),IF(M1285&lt;=O1285,"Valor ≤ venal IPTU",""),"")</f>
        <v/>
      </c>
      <c r="R1285" s="10" t="n"/>
      <c r="S1285" s="10" t="n"/>
      <c r="AA1285" s="10" t="n"/>
      <c r="AB1285" s="11">
        <f>IF(LEN(TRIM(X1285))=0,"",HYPERLINK("https://www.google.com/maps/@?api=1&amp;map_action=pano&amp;viewpoint="&amp;SUBSTITUTE(X1285," ",""),"Abrir Street View"))</f>
        <v/>
      </c>
    </row>
    <row r="1286">
      <c r="H1286" s="6" t="n"/>
      <c r="I1286" s="6" t="n"/>
      <c r="M1286" s="7" t="n"/>
      <c r="N1286" s="7" t="n"/>
      <c r="O1286" s="7" t="n"/>
      <c r="P1286" s="8">
        <f>IF(NOT(ISNUMBER(M1286)),"",IF(G1286="Terreno",IF(AND(ISNUMBER(I1286),I1286&gt;0),M1286/I1286,""),IF(AND(ISNUMBER(H1286),H1286&gt;0),M1286/H1286,"")))</f>
        <v/>
      </c>
      <c r="Q1286" s="9">
        <f>IF(AND(ISNUMBER(M1286),ISNUMBER(O1286)),IF(M1286&lt;=O1286,"Valor ≤ venal IPTU",""),"")</f>
        <v/>
      </c>
      <c r="R1286" s="10" t="n"/>
      <c r="S1286" s="10" t="n"/>
      <c r="AA1286" s="10" t="n"/>
      <c r="AB1286" s="11">
        <f>IF(LEN(TRIM(X1286))=0,"",HYPERLINK("https://www.google.com/maps/@?api=1&amp;map_action=pano&amp;viewpoint="&amp;SUBSTITUTE(X1286," ",""),"Abrir Street View"))</f>
        <v/>
      </c>
    </row>
    <row r="1287">
      <c r="H1287" s="6" t="n"/>
      <c r="I1287" s="6" t="n"/>
      <c r="M1287" s="7" t="n"/>
      <c r="N1287" s="7" t="n"/>
      <c r="O1287" s="7" t="n"/>
      <c r="P1287" s="8">
        <f>IF(NOT(ISNUMBER(M1287)),"",IF(G1287="Terreno",IF(AND(ISNUMBER(I1287),I1287&gt;0),M1287/I1287,""),IF(AND(ISNUMBER(H1287),H1287&gt;0),M1287/H1287,"")))</f>
        <v/>
      </c>
      <c r="Q1287" s="9">
        <f>IF(AND(ISNUMBER(M1287),ISNUMBER(O1287)),IF(M1287&lt;=O1287,"Valor ≤ venal IPTU",""),"")</f>
        <v/>
      </c>
      <c r="R1287" s="10" t="n"/>
      <c r="S1287" s="10" t="n"/>
      <c r="AA1287" s="10" t="n"/>
      <c r="AB1287" s="11">
        <f>IF(LEN(TRIM(X1287))=0,"",HYPERLINK("https://www.google.com/maps/@?api=1&amp;map_action=pano&amp;viewpoint="&amp;SUBSTITUTE(X1287," ",""),"Abrir Street View"))</f>
        <v/>
      </c>
    </row>
    <row r="1288">
      <c r="H1288" s="6" t="n"/>
      <c r="I1288" s="6" t="n"/>
      <c r="M1288" s="7" t="n"/>
      <c r="N1288" s="7" t="n"/>
      <c r="O1288" s="7" t="n"/>
      <c r="P1288" s="8">
        <f>IF(NOT(ISNUMBER(M1288)),"",IF(G1288="Terreno",IF(AND(ISNUMBER(I1288),I1288&gt;0),M1288/I1288,""),IF(AND(ISNUMBER(H1288),H1288&gt;0),M1288/H1288,"")))</f>
        <v/>
      </c>
      <c r="Q1288" s="9">
        <f>IF(AND(ISNUMBER(M1288),ISNUMBER(O1288)),IF(M1288&lt;=O1288,"Valor ≤ venal IPTU",""),"")</f>
        <v/>
      </c>
      <c r="R1288" s="10" t="n"/>
      <c r="S1288" s="10" t="n"/>
      <c r="AA1288" s="10" t="n"/>
      <c r="AB1288" s="11">
        <f>IF(LEN(TRIM(X1288))=0,"",HYPERLINK("https://www.google.com/maps/@?api=1&amp;map_action=pano&amp;viewpoint="&amp;SUBSTITUTE(X1288," ",""),"Abrir Street View"))</f>
        <v/>
      </c>
    </row>
    <row r="1289">
      <c r="H1289" s="6" t="n"/>
      <c r="I1289" s="6" t="n"/>
      <c r="M1289" s="7" t="n"/>
      <c r="N1289" s="7" t="n"/>
      <c r="O1289" s="7" t="n"/>
      <c r="P1289" s="8">
        <f>IF(NOT(ISNUMBER(M1289)),"",IF(G1289="Terreno",IF(AND(ISNUMBER(I1289),I1289&gt;0),M1289/I1289,""),IF(AND(ISNUMBER(H1289),H1289&gt;0),M1289/H1289,"")))</f>
        <v/>
      </c>
      <c r="Q1289" s="9">
        <f>IF(AND(ISNUMBER(M1289),ISNUMBER(O1289)),IF(M1289&lt;=O1289,"Valor ≤ venal IPTU",""),"")</f>
        <v/>
      </c>
      <c r="R1289" s="10" t="n"/>
      <c r="S1289" s="10" t="n"/>
      <c r="AA1289" s="10" t="n"/>
      <c r="AB1289" s="11">
        <f>IF(LEN(TRIM(X1289))=0,"",HYPERLINK("https://www.google.com/maps/@?api=1&amp;map_action=pano&amp;viewpoint="&amp;SUBSTITUTE(X1289," ",""),"Abrir Street View"))</f>
        <v/>
      </c>
    </row>
    <row r="1290">
      <c r="H1290" s="6" t="n"/>
      <c r="I1290" s="6" t="n"/>
      <c r="M1290" s="7" t="n"/>
      <c r="N1290" s="7" t="n"/>
      <c r="O1290" s="7" t="n"/>
      <c r="P1290" s="8">
        <f>IF(NOT(ISNUMBER(M1290)),"",IF(G1290="Terreno",IF(AND(ISNUMBER(I1290),I1290&gt;0),M1290/I1290,""),IF(AND(ISNUMBER(H1290),H1290&gt;0),M1290/H1290,"")))</f>
        <v/>
      </c>
      <c r="Q1290" s="9">
        <f>IF(AND(ISNUMBER(M1290),ISNUMBER(O1290)),IF(M1290&lt;=O1290,"Valor ≤ venal IPTU",""),"")</f>
        <v/>
      </c>
      <c r="R1290" s="10" t="n"/>
      <c r="S1290" s="10" t="n"/>
      <c r="AA1290" s="10" t="n"/>
      <c r="AB1290" s="11">
        <f>IF(LEN(TRIM(X1290))=0,"",HYPERLINK("https://www.google.com/maps/@?api=1&amp;map_action=pano&amp;viewpoint="&amp;SUBSTITUTE(X1290," ",""),"Abrir Street View"))</f>
        <v/>
      </c>
    </row>
    <row r="1291">
      <c r="H1291" s="6" t="n"/>
      <c r="I1291" s="6" t="n"/>
      <c r="M1291" s="7" t="n"/>
      <c r="N1291" s="7" t="n"/>
      <c r="O1291" s="7" t="n"/>
      <c r="P1291" s="8">
        <f>IF(NOT(ISNUMBER(M1291)),"",IF(G1291="Terreno",IF(AND(ISNUMBER(I1291),I1291&gt;0),M1291/I1291,""),IF(AND(ISNUMBER(H1291),H1291&gt;0),M1291/H1291,"")))</f>
        <v/>
      </c>
      <c r="Q1291" s="9">
        <f>IF(AND(ISNUMBER(M1291),ISNUMBER(O1291)),IF(M1291&lt;=O1291,"Valor ≤ venal IPTU",""),"")</f>
        <v/>
      </c>
      <c r="R1291" s="10" t="n"/>
      <c r="S1291" s="10" t="n"/>
      <c r="AA1291" s="10" t="n"/>
      <c r="AB1291" s="11">
        <f>IF(LEN(TRIM(X1291))=0,"",HYPERLINK("https://www.google.com/maps/@?api=1&amp;map_action=pano&amp;viewpoint="&amp;SUBSTITUTE(X1291," ",""),"Abrir Street View"))</f>
        <v/>
      </c>
    </row>
    <row r="1292">
      <c r="H1292" s="6" t="n"/>
      <c r="I1292" s="6" t="n"/>
      <c r="M1292" s="7" t="n"/>
      <c r="N1292" s="7" t="n"/>
      <c r="O1292" s="7" t="n"/>
      <c r="P1292" s="8">
        <f>IF(NOT(ISNUMBER(M1292)),"",IF(G1292="Terreno",IF(AND(ISNUMBER(I1292),I1292&gt;0),M1292/I1292,""),IF(AND(ISNUMBER(H1292),H1292&gt;0),M1292/H1292,"")))</f>
        <v/>
      </c>
      <c r="Q1292" s="9">
        <f>IF(AND(ISNUMBER(M1292),ISNUMBER(O1292)),IF(M1292&lt;=O1292,"Valor ≤ venal IPTU",""),"")</f>
        <v/>
      </c>
      <c r="R1292" s="10" t="n"/>
      <c r="S1292" s="10" t="n"/>
      <c r="AA1292" s="10" t="n"/>
      <c r="AB1292" s="11">
        <f>IF(LEN(TRIM(X1292))=0,"",HYPERLINK("https://www.google.com/maps/@?api=1&amp;map_action=pano&amp;viewpoint="&amp;SUBSTITUTE(X1292," ",""),"Abrir Street View"))</f>
        <v/>
      </c>
    </row>
    <row r="1293">
      <c r="H1293" s="6" t="n"/>
      <c r="I1293" s="6" t="n"/>
      <c r="M1293" s="7" t="n"/>
      <c r="N1293" s="7" t="n"/>
      <c r="O1293" s="7" t="n"/>
      <c r="P1293" s="8">
        <f>IF(NOT(ISNUMBER(M1293)),"",IF(G1293="Terreno",IF(AND(ISNUMBER(I1293),I1293&gt;0),M1293/I1293,""),IF(AND(ISNUMBER(H1293),H1293&gt;0),M1293/H1293,"")))</f>
        <v/>
      </c>
      <c r="Q1293" s="9">
        <f>IF(AND(ISNUMBER(M1293),ISNUMBER(O1293)),IF(M1293&lt;=O1293,"Valor ≤ venal IPTU",""),"")</f>
        <v/>
      </c>
      <c r="R1293" s="10" t="n"/>
      <c r="S1293" s="10" t="n"/>
      <c r="AA1293" s="10" t="n"/>
      <c r="AB1293" s="11">
        <f>IF(LEN(TRIM(X1293))=0,"",HYPERLINK("https://www.google.com/maps/@?api=1&amp;map_action=pano&amp;viewpoint="&amp;SUBSTITUTE(X1293," ",""),"Abrir Street View"))</f>
        <v/>
      </c>
    </row>
    <row r="1294">
      <c r="H1294" s="6" t="n"/>
      <c r="I1294" s="6" t="n"/>
      <c r="M1294" s="7" t="n"/>
      <c r="N1294" s="7" t="n"/>
      <c r="O1294" s="7" t="n"/>
      <c r="P1294" s="8">
        <f>IF(NOT(ISNUMBER(M1294)),"",IF(G1294="Terreno",IF(AND(ISNUMBER(I1294),I1294&gt;0),M1294/I1294,""),IF(AND(ISNUMBER(H1294),H1294&gt;0),M1294/H1294,"")))</f>
        <v/>
      </c>
      <c r="Q1294" s="9">
        <f>IF(AND(ISNUMBER(M1294),ISNUMBER(O1294)),IF(M1294&lt;=O1294,"Valor ≤ venal IPTU",""),"")</f>
        <v/>
      </c>
      <c r="R1294" s="10" t="n"/>
      <c r="S1294" s="10" t="n"/>
      <c r="AA1294" s="10" t="n"/>
      <c r="AB1294" s="11">
        <f>IF(LEN(TRIM(X1294))=0,"",HYPERLINK("https://www.google.com/maps/@?api=1&amp;map_action=pano&amp;viewpoint="&amp;SUBSTITUTE(X1294," ",""),"Abrir Street View"))</f>
        <v/>
      </c>
    </row>
    <row r="1295">
      <c r="H1295" s="6" t="n"/>
      <c r="I1295" s="6" t="n"/>
      <c r="M1295" s="7" t="n"/>
      <c r="N1295" s="7" t="n"/>
      <c r="O1295" s="7" t="n"/>
      <c r="P1295" s="8">
        <f>IF(NOT(ISNUMBER(M1295)),"",IF(G1295="Terreno",IF(AND(ISNUMBER(I1295),I1295&gt;0),M1295/I1295,""),IF(AND(ISNUMBER(H1295),H1295&gt;0),M1295/H1295,"")))</f>
        <v/>
      </c>
      <c r="Q1295" s="9">
        <f>IF(AND(ISNUMBER(M1295),ISNUMBER(O1295)),IF(M1295&lt;=O1295,"Valor ≤ venal IPTU",""),"")</f>
        <v/>
      </c>
      <c r="R1295" s="10" t="n"/>
      <c r="S1295" s="10" t="n"/>
      <c r="AA1295" s="10" t="n"/>
      <c r="AB1295" s="11">
        <f>IF(LEN(TRIM(X1295))=0,"",HYPERLINK("https://www.google.com/maps/@?api=1&amp;map_action=pano&amp;viewpoint="&amp;SUBSTITUTE(X1295," ",""),"Abrir Street View"))</f>
        <v/>
      </c>
    </row>
    <row r="1296">
      <c r="H1296" s="6" t="n"/>
      <c r="I1296" s="6" t="n"/>
      <c r="M1296" s="7" t="n"/>
      <c r="N1296" s="7" t="n"/>
      <c r="O1296" s="7" t="n"/>
      <c r="P1296" s="8">
        <f>IF(NOT(ISNUMBER(M1296)),"",IF(G1296="Terreno",IF(AND(ISNUMBER(I1296),I1296&gt;0),M1296/I1296,""),IF(AND(ISNUMBER(H1296),H1296&gt;0),M1296/H1296,"")))</f>
        <v/>
      </c>
      <c r="Q1296" s="9">
        <f>IF(AND(ISNUMBER(M1296),ISNUMBER(O1296)),IF(M1296&lt;=O1296,"Valor ≤ venal IPTU",""),"")</f>
        <v/>
      </c>
      <c r="R1296" s="10" t="n"/>
      <c r="S1296" s="10" t="n"/>
      <c r="AA1296" s="10" t="n"/>
      <c r="AB1296" s="11">
        <f>IF(LEN(TRIM(X1296))=0,"",HYPERLINK("https://www.google.com/maps/@?api=1&amp;map_action=pano&amp;viewpoint="&amp;SUBSTITUTE(X1296," ",""),"Abrir Street View"))</f>
        <v/>
      </c>
    </row>
    <row r="1297">
      <c r="H1297" s="6" t="n"/>
      <c r="I1297" s="6" t="n"/>
      <c r="M1297" s="7" t="n"/>
      <c r="N1297" s="7" t="n"/>
      <c r="O1297" s="7" t="n"/>
      <c r="P1297" s="8">
        <f>IF(NOT(ISNUMBER(M1297)),"",IF(G1297="Terreno",IF(AND(ISNUMBER(I1297),I1297&gt;0),M1297/I1297,""),IF(AND(ISNUMBER(H1297),H1297&gt;0),M1297/H1297,"")))</f>
        <v/>
      </c>
      <c r="Q1297" s="9">
        <f>IF(AND(ISNUMBER(M1297),ISNUMBER(O1297)),IF(M1297&lt;=O1297,"Valor ≤ venal IPTU",""),"")</f>
        <v/>
      </c>
      <c r="R1297" s="10" t="n"/>
      <c r="S1297" s="10" t="n"/>
      <c r="AA1297" s="10" t="n"/>
      <c r="AB1297" s="11">
        <f>IF(LEN(TRIM(X1297))=0,"",HYPERLINK("https://www.google.com/maps/@?api=1&amp;map_action=pano&amp;viewpoint="&amp;SUBSTITUTE(X1297," ",""),"Abrir Street View"))</f>
        <v/>
      </c>
    </row>
    <row r="1298">
      <c r="H1298" s="6" t="n"/>
      <c r="I1298" s="6" t="n"/>
      <c r="M1298" s="7" t="n"/>
      <c r="N1298" s="7" t="n"/>
      <c r="O1298" s="7" t="n"/>
      <c r="P1298" s="8">
        <f>IF(NOT(ISNUMBER(M1298)),"",IF(G1298="Terreno",IF(AND(ISNUMBER(I1298),I1298&gt;0),M1298/I1298,""),IF(AND(ISNUMBER(H1298),H1298&gt;0),M1298/H1298,"")))</f>
        <v/>
      </c>
      <c r="Q1298" s="9">
        <f>IF(AND(ISNUMBER(M1298),ISNUMBER(O1298)),IF(M1298&lt;=O1298,"Valor ≤ venal IPTU",""),"")</f>
        <v/>
      </c>
      <c r="R1298" s="10" t="n"/>
      <c r="S1298" s="10" t="n"/>
      <c r="AA1298" s="10" t="n"/>
      <c r="AB1298" s="11">
        <f>IF(LEN(TRIM(X1298))=0,"",HYPERLINK("https://www.google.com/maps/@?api=1&amp;map_action=pano&amp;viewpoint="&amp;SUBSTITUTE(X1298," ",""),"Abrir Street View"))</f>
        <v/>
      </c>
    </row>
    <row r="1299">
      <c r="H1299" s="6" t="n"/>
      <c r="I1299" s="6" t="n"/>
      <c r="M1299" s="7" t="n"/>
      <c r="N1299" s="7" t="n"/>
      <c r="O1299" s="7" t="n"/>
      <c r="P1299" s="8">
        <f>IF(NOT(ISNUMBER(M1299)),"",IF(G1299="Terreno",IF(AND(ISNUMBER(I1299),I1299&gt;0),M1299/I1299,""),IF(AND(ISNUMBER(H1299),H1299&gt;0),M1299/H1299,"")))</f>
        <v/>
      </c>
      <c r="Q1299" s="9">
        <f>IF(AND(ISNUMBER(M1299),ISNUMBER(O1299)),IF(M1299&lt;=O1299,"Valor ≤ venal IPTU",""),"")</f>
        <v/>
      </c>
      <c r="R1299" s="10" t="n"/>
      <c r="S1299" s="10" t="n"/>
      <c r="AA1299" s="10" t="n"/>
      <c r="AB1299" s="11">
        <f>IF(LEN(TRIM(X1299))=0,"",HYPERLINK("https://www.google.com/maps/@?api=1&amp;map_action=pano&amp;viewpoint="&amp;SUBSTITUTE(X1299," ",""),"Abrir Street View"))</f>
        <v/>
      </c>
    </row>
    <row r="1300">
      <c r="H1300" s="6" t="n"/>
      <c r="I1300" s="6" t="n"/>
      <c r="M1300" s="7" t="n"/>
      <c r="N1300" s="7" t="n"/>
      <c r="O1300" s="7" t="n"/>
      <c r="P1300" s="8">
        <f>IF(NOT(ISNUMBER(M1300)),"",IF(G1300="Terreno",IF(AND(ISNUMBER(I1300),I1300&gt;0),M1300/I1300,""),IF(AND(ISNUMBER(H1300),H1300&gt;0),M1300/H1300,"")))</f>
        <v/>
      </c>
      <c r="Q1300" s="9">
        <f>IF(AND(ISNUMBER(M1300),ISNUMBER(O1300)),IF(M1300&lt;=O1300,"Valor ≤ venal IPTU",""),"")</f>
        <v/>
      </c>
      <c r="R1300" s="10" t="n"/>
      <c r="S1300" s="10" t="n"/>
      <c r="AA1300" s="10" t="n"/>
      <c r="AB1300" s="11">
        <f>IF(LEN(TRIM(X1300))=0,"",HYPERLINK("https://www.google.com/maps/@?api=1&amp;map_action=pano&amp;viewpoint="&amp;SUBSTITUTE(X1300," ",""),"Abrir Street View"))</f>
        <v/>
      </c>
    </row>
    <row r="1301">
      <c r="H1301" s="6" t="n"/>
      <c r="I1301" s="6" t="n"/>
      <c r="M1301" s="7" t="n"/>
      <c r="N1301" s="7" t="n"/>
      <c r="O1301" s="7" t="n"/>
      <c r="P1301" s="8">
        <f>IF(NOT(ISNUMBER(M1301)),"",IF(G1301="Terreno",IF(AND(ISNUMBER(I1301),I1301&gt;0),M1301/I1301,""),IF(AND(ISNUMBER(H1301),H1301&gt;0),M1301/H1301,"")))</f>
        <v/>
      </c>
      <c r="Q1301" s="9">
        <f>IF(AND(ISNUMBER(M1301),ISNUMBER(O1301)),IF(M1301&lt;=O1301,"Valor ≤ venal IPTU",""),"")</f>
        <v/>
      </c>
      <c r="R1301" s="10" t="n"/>
      <c r="S1301" s="10" t="n"/>
      <c r="AA1301" s="10" t="n"/>
      <c r="AB1301" s="11">
        <f>IF(LEN(TRIM(X1301))=0,"",HYPERLINK("https://www.google.com/maps/@?api=1&amp;map_action=pano&amp;viewpoint="&amp;SUBSTITUTE(X1301," ",""),"Abrir Street View"))</f>
        <v/>
      </c>
    </row>
    <row r="1302">
      <c r="H1302" s="6" t="n"/>
      <c r="I1302" s="6" t="n"/>
      <c r="M1302" s="7" t="n"/>
      <c r="N1302" s="7" t="n"/>
      <c r="O1302" s="7" t="n"/>
      <c r="P1302" s="8">
        <f>IF(NOT(ISNUMBER(M1302)),"",IF(G1302="Terreno",IF(AND(ISNUMBER(I1302),I1302&gt;0),M1302/I1302,""),IF(AND(ISNUMBER(H1302),H1302&gt;0),M1302/H1302,"")))</f>
        <v/>
      </c>
      <c r="Q1302" s="9">
        <f>IF(AND(ISNUMBER(M1302),ISNUMBER(O1302)),IF(M1302&lt;=O1302,"Valor ≤ venal IPTU",""),"")</f>
        <v/>
      </c>
      <c r="R1302" s="10" t="n"/>
      <c r="S1302" s="10" t="n"/>
      <c r="AA1302" s="10" t="n"/>
      <c r="AB1302" s="11">
        <f>IF(LEN(TRIM(X1302))=0,"",HYPERLINK("https://www.google.com/maps/@?api=1&amp;map_action=pano&amp;viewpoint="&amp;SUBSTITUTE(X1302," ",""),"Abrir Street View"))</f>
        <v/>
      </c>
    </row>
    <row r="1303">
      <c r="H1303" s="6" t="n"/>
      <c r="I1303" s="6" t="n"/>
      <c r="M1303" s="7" t="n"/>
      <c r="N1303" s="7" t="n"/>
      <c r="O1303" s="7" t="n"/>
      <c r="P1303" s="8">
        <f>IF(NOT(ISNUMBER(M1303)),"",IF(G1303="Terreno",IF(AND(ISNUMBER(I1303),I1303&gt;0),M1303/I1303,""),IF(AND(ISNUMBER(H1303),H1303&gt;0),M1303/H1303,"")))</f>
        <v/>
      </c>
      <c r="Q1303" s="9">
        <f>IF(AND(ISNUMBER(M1303),ISNUMBER(O1303)),IF(M1303&lt;=O1303,"Valor ≤ venal IPTU",""),"")</f>
        <v/>
      </c>
      <c r="R1303" s="10" t="n"/>
      <c r="S1303" s="10" t="n"/>
      <c r="AA1303" s="10" t="n"/>
      <c r="AB1303" s="11">
        <f>IF(LEN(TRIM(X1303))=0,"",HYPERLINK("https://www.google.com/maps/@?api=1&amp;map_action=pano&amp;viewpoint="&amp;SUBSTITUTE(X1303," ",""),"Abrir Street View"))</f>
        <v/>
      </c>
    </row>
    <row r="1304">
      <c r="H1304" s="6" t="n"/>
      <c r="I1304" s="6" t="n"/>
      <c r="M1304" s="7" t="n"/>
      <c r="N1304" s="7" t="n"/>
      <c r="O1304" s="7" t="n"/>
      <c r="P1304" s="8">
        <f>IF(NOT(ISNUMBER(M1304)),"",IF(G1304="Terreno",IF(AND(ISNUMBER(I1304),I1304&gt;0),M1304/I1304,""),IF(AND(ISNUMBER(H1304),H1304&gt;0),M1304/H1304,"")))</f>
        <v/>
      </c>
      <c r="Q1304" s="9">
        <f>IF(AND(ISNUMBER(M1304),ISNUMBER(O1304)),IF(M1304&lt;=O1304,"Valor ≤ venal IPTU",""),"")</f>
        <v/>
      </c>
      <c r="R1304" s="10" t="n"/>
      <c r="S1304" s="10" t="n"/>
      <c r="AA1304" s="10" t="n"/>
      <c r="AB1304" s="11">
        <f>IF(LEN(TRIM(X1304))=0,"",HYPERLINK("https://www.google.com/maps/@?api=1&amp;map_action=pano&amp;viewpoint="&amp;SUBSTITUTE(X1304," ",""),"Abrir Street View"))</f>
        <v/>
      </c>
    </row>
    <row r="1305">
      <c r="H1305" s="6" t="n"/>
      <c r="I1305" s="6" t="n"/>
      <c r="M1305" s="7" t="n"/>
      <c r="N1305" s="7" t="n"/>
      <c r="O1305" s="7" t="n"/>
      <c r="P1305" s="8">
        <f>IF(NOT(ISNUMBER(M1305)),"",IF(G1305="Terreno",IF(AND(ISNUMBER(I1305),I1305&gt;0),M1305/I1305,""),IF(AND(ISNUMBER(H1305),H1305&gt;0),M1305/H1305,"")))</f>
        <v/>
      </c>
      <c r="Q1305" s="9">
        <f>IF(AND(ISNUMBER(M1305),ISNUMBER(O1305)),IF(M1305&lt;=O1305,"Valor ≤ venal IPTU",""),"")</f>
        <v/>
      </c>
      <c r="R1305" s="10" t="n"/>
      <c r="S1305" s="10" t="n"/>
      <c r="AA1305" s="10" t="n"/>
      <c r="AB1305" s="11">
        <f>IF(LEN(TRIM(X1305))=0,"",HYPERLINK("https://www.google.com/maps/@?api=1&amp;map_action=pano&amp;viewpoint="&amp;SUBSTITUTE(X1305," ",""),"Abrir Street View"))</f>
        <v/>
      </c>
    </row>
    <row r="1306">
      <c r="H1306" s="6" t="n"/>
      <c r="I1306" s="6" t="n"/>
      <c r="M1306" s="7" t="n"/>
      <c r="N1306" s="7" t="n"/>
      <c r="O1306" s="7" t="n"/>
      <c r="P1306" s="8">
        <f>IF(NOT(ISNUMBER(M1306)),"",IF(G1306="Terreno",IF(AND(ISNUMBER(I1306),I1306&gt;0),M1306/I1306,""),IF(AND(ISNUMBER(H1306),H1306&gt;0),M1306/H1306,"")))</f>
        <v/>
      </c>
      <c r="Q1306" s="9">
        <f>IF(AND(ISNUMBER(M1306),ISNUMBER(O1306)),IF(M1306&lt;=O1306,"Valor ≤ venal IPTU",""),"")</f>
        <v/>
      </c>
      <c r="R1306" s="10" t="n"/>
      <c r="S1306" s="10" t="n"/>
      <c r="AA1306" s="10" t="n"/>
      <c r="AB1306" s="11">
        <f>IF(LEN(TRIM(X1306))=0,"",HYPERLINK("https://www.google.com/maps/@?api=1&amp;map_action=pano&amp;viewpoint="&amp;SUBSTITUTE(X1306," ",""),"Abrir Street View"))</f>
        <v/>
      </c>
    </row>
    <row r="1307">
      <c r="H1307" s="6" t="n"/>
      <c r="I1307" s="6" t="n"/>
      <c r="M1307" s="7" t="n"/>
      <c r="N1307" s="7" t="n"/>
      <c r="O1307" s="7" t="n"/>
      <c r="P1307" s="8">
        <f>IF(NOT(ISNUMBER(M1307)),"",IF(G1307="Terreno",IF(AND(ISNUMBER(I1307),I1307&gt;0),M1307/I1307,""),IF(AND(ISNUMBER(H1307),H1307&gt;0),M1307/H1307,"")))</f>
        <v/>
      </c>
      <c r="Q1307" s="9">
        <f>IF(AND(ISNUMBER(M1307),ISNUMBER(O1307)),IF(M1307&lt;=O1307,"Valor ≤ venal IPTU",""),"")</f>
        <v/>
      </c>
      <c r="R1307" s="10" t="n"/>
      <c r="S1307" s="10" t="n"/>
      <c r="AA1307" s="10" t="n"/>
      <c r="AB1307" s="11">
        <f>IF(LEN(TRIM(X1307))=0,"",HYPERLINK("https://www.google.com/maps/@?api=1&amp;map_action=pano&amp;viewpoint="&amp;SUBSTITUTE(X1307," ",""),"Abrir Street View"))</f>
        <v/>
      </c>
    </row>
    <row r="1308">
      <c r="H1308" s="6" t="n"/>
      <c r="I1308" s="6" t="n"/>
      <c r="M1308" s="7" t="n"/>
      <c r="N1308" s="7" t="n"/>
      <c r="O1308" s="7" t="n"/>
      <c r="P1308" s="8">
        <f>IF(NOT(ISNUMBER(M1308)),"",IF(G1308="Terreno",IF(AND(ISNUMBER(I1308),I1308&gt;0),M1308/I1308,""),IF(AND(ISNUMBER(H1308),H1308&gt;0),M1308/H1308,"")))</f>
        <v/>
      </c>
      <c r="Q1308" s="9">
        <f>IF(AND(ISNUMBER(M1308),ISNUMBER(O1308)),IF(M1308&lt;=O1308,"Valor ≤ venal IPTU",""),"")</f>
        <v/>
      </c>
      <c r="R1308" s="10" t="n"/>
      <c r="S1308" s="10" t="n"/>
      <c r="AA1308" s="10" t="n"/>
      <c r="AB1308" s="11">
        <f>IF(LEN(TRIM(X1308))=0,"",HYPERLINK("https://www.google.com/maps/@?api=1&amp;map_action=pano&amp;viewpoint="&amp;SUBSTITUTE(X1308," ",""),"Abrir Street View"))</f>
        <v/>
      </c>
    </row>
    <row r="1309">
      <c r="H1309" s="6" t="n"/>
      <c r="I1309" s="6" t="n"/>
      <c r="M1309" s="7" t="n"/>
      <c r="N1309" s="7" t="n"/>
      <c r="O1309" s="7" t="n"/>
      <c r="P1309" s="8">
        <f>IF(NOT(ISNUMBER(M1309)),"",IF(G1309="Terreno",IF(AND(ISNUMBER(I1309),I1309&gt;0),M1309/I1309,""),IF(AND(ISNUMBER(H1309),H1309&gt;0),M1309/H1309,"")))</f>
        <v/>
      </c>
      <c r="Q1309" s="9">
        <f>IF(AND(ISNUMBER(M1309),ISNUMBER(O1309)),IF(M1309&lt;=O1309,"Valor ≤ venal IPTU",""),"")</f>
        <v/>
      </c>
      <c r="R1309" s="10" t="n"/>
      <c r="S1309" s="10" t="n"/>
      <c r="AA1309" s="10" t="n"/>
      <c r="AB1309" s="11">
        <f>IF(LEN(TRIM(X1309))=0,"",HYPERLINK("https://www.google.com/maps/@?api=1&amp;map_action=pano&amp;viewpoint="&amp;SUBSTITUTE(X1309," ",""),"Abrir Street View"))</f>
        <v/>
      </c>
    </row>
    <row r="1310">
      <c r="H1310" s="6" t="n"/>
      <c r="I1310" s="6" t="n"/>
      <c r="M1310" s="7" t="n"/>
      <c r="N1310" s="7" t="n"/>
      <c r="O1310" s="7" t="n"/>
      <c r="P1310" s="8">
        <f>IF(NOT(ISNUMBER(M1310)),"",IF(G1310="Terreno",IF(AND(ISNUMBER(I1310),I1310&gt;0),M1310/I1310,""),IF(AND(ISNUMBER(H1310),H1310&gt;0),M1310/H1310,"")))</f>
        <v/>
      </c>
      <c r="Q1310" s="9">
        <f>IF(AND(ISNUMBER(M1310),ISNUMBER(O1310)),IF(M1310&lt;=O1310,"Valor ≤ venal IPTU",""),"")</f>
        <v/>
      </c>
      <c r="R1310" s="10" t="n"/>
      <c r="S1310" s="10" t="n"/>
      <c r="AA1310" s="10" t="n"/>
      <c r="AB1310" s="11">
        <f>IF(LEN(TRIM(X1310))=0,"",HYPERLINK("https://www.google.com/maps/@?api=1&amp;map_action=pano&amp;viewpoint="&amp;SUBSTITUTE(X1310," ",""),"Abrir Street View"))</f>
        <v/>
      </c>
    </row>
    <row r="1311">
      <c r="H1311" s="6" t="n"/>
      <c r="I1311" s="6" t="n"/>
      <c r="M1311" s="7" t="n"/>
      <c r="N1311" s="7" t="n"/>
      <c r="O1311" s="7" t="n"/>
      <c r="P1311" s="8">
        <f>IF(NOT(ISNUMBER(M1311)),"",IF(G1311="Terreno",IF(AND(ISNUMBER(I1311),I1311&gt;0),M1311/I1311,""),IF(AND(ISNUMBER(H1311),H1311&gt;0),M1311/H1311,"")))</f>
        <v/>
      </c>
      <c r="Q1311" s="9">
        <f>IF(AND(ISNUMBER(M1311),ISNUMBER(O1311)),IF(M1311&lt;=O1311,"Valor ≤ venal IPTU",""),"")</f>
        <v/>
      </c>
      <c r="R1311" s="10" t="n"/>
      <c r="S1311" s="10" t="n"/>
      <c r="AA1311" s="10" t="n"/>
      <c r="AB1311" s="11">
        <f>IF(LEN(TRIM(X1311))=0,"",HYPERLINK("https://www.google.com/maps/@?api=1&amp;map_action=pano&amp;viewpoint="&amp;SUBSTITUTE(X1311," ",""),"Abrir Street View"))</f>
        <v/>
      </c>
    </row>
    <row r="1312">
      <c r="H1312" s="6" t="n"/>
      <c r="I1312" s="6" t="n"/>
      <c r="M1312" s="7" t="n"/>
      <c r="N1312" s="7" t="n"/>
      <c r="O1312" s="7" t="n"/>
      <c r="P1312" s="8">
        <f>IF(NOT(ISNUMBER(M1312)),"",IF(G1312="Terreno",IF(AND(ISNUMBER(I1312),I1312&gt;0),M1312/I1312,""),IF(AND(ISNUMBER(H1312),H1312&gt;0),M1312/H1312,"")))</f>
        <v/>
      </c>
      <c r="Q1312" s="9">
        <f>IF(AND(ISNUMBER(M1312),ISNUMBER(O1312)),IF(M1312&lt;=O1312,"Valor ≤ venal IPTU",""),"")</f>
        <v/>
      </c>
      <c r="R1312" s="10" t="n"/>
      <c r="S1312" s="10" t="n"/>
      <c r="AA1312" s="10" t="n"/>
      <c r="AB1312" s="11">
        <f>IF(LEN(TRIM(X1312))=0,"",HYPERLINK("https://www.google.com/maps/@?api=1&amp;map_action=pano&amp;viewpoint="&amp;SUBSTITUTE(X1312," ",""),"Abrir Street View"))</f>
        <v/>
      </c>
    </row>
    <row r="1313">
      <c r="H1313" s="6" t="n"/>
      <c r="I1313" s="6" t="n"/>
      <c r="M1313" s="7" t="n"/>
      <c r="N1313" s="7" t="n"/>
      <c r="O1313" s="7" t="n"/>
      <c r="P1313" s="8">
        <f>IF(NOT(ISNUMBER(M1313)),"",IF(G1313="Terreno",IF(AND(ISNUMBER(I1313),I1313&gt;0),M1313/I1313,""),IF(AND(ISNUMBER(H1313),H1313&gt;0),M1313/H1313,"")))</f>
        <v/>
      </c>
      <c r="Q1313" s="9">
        <f>IF(AND(ISNUMBER(M1313),ISNUMBER(O1313)),IF(M1313&lt;=O1313,"Valor ≤ venal IPTU",""),"")</f>
        <v/>
      </c>
      <c r="R1313" s="10" t="n"/>
      <c r="S1313" s="10" t="n"/>
      <c r="AA1313" s="10" t="n"/>
      <c r="AB1313" s="11">
        <f>IF(LEN(TRIM(X1313))=0,"",HYPERLINK("https://www.google.com/maps/@?api=1&amp;map_action=pano&amp;viewpoint="&amp;SUBSTITUTE(X1313," ",""),"Abrir Street View"))</f>
        <v/>
      </c>
    </row>
    <row r="1314">
      <c r="H1314" s="6" t="n"/>
      <c r="I1314" s="6" t="n"/>
      <c r="M1314" s="7" t="n"/>
      <c r="N1314" s="7" t="n"/>
      <c r="O1314" s="7" t="n"/>
      <c r="P1314" s="8">
        <f>IF(NOT(ISNUMBER(M1314)),"",IF(G1314="Terreno",IF(AND(ISNUMBER(I1314),I1314&gt;0),M1314/I1314,""),IF(AND(ISNUMBER(H1314),H1314&gt;0),M1314/H1314,"")))</f>
        <v/>
      </c>
      <c r="Q1314" s="9">
        <f>IF(AND(ISNUMBER(M1314),ISNUMBER(O1314)),IF(M1314&lt;=O1314,"Valor ≤ venal IPTU",""),"")</f>
        <v/>
      </c>
      <c r="R1314" s="10" t="n"/>
      <c r="S1314" s="10" t="n"/>
      <c r="AA1314" s="10" t="n"/>
      <c r="AB1314" s="11">
        <f>IF(LEN(TRIM(X1314))=0,"",HYPERLINK("https://www.google.com/maps/@?api=1&amp;map_action=pano&amp;viewpoint="&amp;SUBSTITUTE(X1314," ",""),"Abrir Street View"))</f>
        <v/>
      </c>
    </row>
    <row r="1315">
      <c r="H1315" s="6" t="n"/>
      <c r="I1315" s="6" t="n"/>
      <c r="M1315" s="7" t="n"/>
      <c r="N1315" s="7" t="n"/>
      <c r="O1315" s="7" t="n"/>
      <c r="P1315" s="8">
        <f>IF(NOT(ISNUMBER(M1315)),"",IF(G1315="Terreno",IF(AND(ISNUMBER(I1315),I1315&gt;0),M1315/I1315,""),IF(AND(ISNUMBER(H1315),H1315&gt;0),M1315/H1315,"")))</f>
        <v/>
      </c>
      <c r="Q1315" s="9">
        <f>IF(AND(ISNUMBER(M1315),ISNUMBER(O1315)),IF(M1315&lt;=O1315,"Valor ≤ venal IPTU",""),"")</f>
        <v/>
      </c>
      <c r="R1315" s="10" t="n"/>
      <c r="S1315" s="10" t="n"/>
      <c r="AA1315" s="10" t="n"/>
      <c r="AB1315" s="11">
        <f>IF(LEN(TRIM(X1315))=0,"",HYPERLINK("https://www.google.com/maps/@?api=1&amp;map_action=pano&amp;viewpoint="&amp;SUBSTITUTE(X1315," ",""),"Abrir Street View"))</f>
        <v/>
      </c>
    </row>
    <row r="1316">
      <c r="H1316" s="6" t="n"/>
      <c r="I1316" s="6" t="n"/>
      <c r="M1316" s="7" t="n"/>
      <c r="N1316" s="7" t="n"/>
      <c r="O1316" s="7" t="n"/>
      <c r="P1316" s="8">
        <f>IF(NOT(ISNUMBER(M1316)),"",IF(G1316="Terreno",IF(AND(ISNUMBER(I1316),I1316&gt;0),M1316/I1316,""),IF(AND(ISNUMBER(H1316),H1316&gt;0),M1316/H1316,"")))</f>
        <v/>
      </c>
      <c r="Q1316" s="9">
        <f>IF(AND(ISNUMBER(M1316),ISNUMBER(O1316)),IF(M1316&lt;=O1316,"Valor ≤ venal IPTU",""),"")</f>
        <v/>
      </c>
      <c r="R1316" s="10" t="n"/>
      <c r="S1316" s="10" t="n"/>
      <c r="AA1316" s="10" t="n"/>
      <c r="AB1316" s="11">
        <f>IF(LEN(TRIM(X1316))=0,"",HYPERLINK("https://www.google.com/maps/@?api=1&amp;map_action=pano&amp;viewpoint="&amp;SUBSTITUTE(X1316," ",""),"Abrir Street View"))</f>
        <v/>
      </c>
    </row>
    <row r="1317">
      <c r="H1317" s="6" t="n"/>
      <c r="I1317" s="6" t="n"/>
      <c r="M1317" s="7" t="n"/>
      <c r="N1317" s="7" t="n"/>
      <c r="O1317" s="7" t="n"/>
      <c r="P1317" s="8">
        <f>IF(NOT(ISNUMBER(M1317)),"",IF(G1317="Terreno",IF(AND(ISNUMBER(I1317),I1317&gt;0),M1317/I1317,""),IF(AND(ISNUMBER(H1317),H1317&gt;0),M1317/H1317,"")))</f>
        <v/>
      </c>
      <c r="Q1317" s="9">
        <f>IF(AND(ISNUMBER(M1317),ISNUMBER(O1317)),IF(M1317&lt;=O1317,"Valor ≤ venal IPTU",""),"")</f>
        <v/>
      </c>
      <c r="R1317" s="10" t="n"/>
      <c r="S1317" s="10" t="n"/>
      <c r="AA1317" s="10" t="n"/>
      <c r="AB1317" s="11">
        <f>IF(LEN(TRIM(X1317))=0,"",HYPERLINK("https://www.google.com/maps/@?api=1&amp;map_action=pano&amp;viewpoint="&amp;SUBSTITUTE(X1317," ",""),"Abrir Street View"))</f>
        <v/>
      </c>
    </row>
    <row r="1318">
      <c r="H1318" s="6" t="n"/>
      <c r="I1318" s="6" t="n"/>
      <c r="M1318" s="7" t="n"/>
      <c r="N1318" s="7" t="n"/>
      <c r="O1318" s="7" t="n"/>
      <c r="P1318" s="8">
        <f>IF(NOT(ISNUMBER(M1318)),"",IF(G1318="Terreno",IF(AND(ISNUMBER(I1318),I1318&gt;0),M1318/I1318,""),IF(AND(ISNUMBER(H1318),H1318&gt;0),M1318/H1318,"")))</f>
        <v/>
      </c>
      <c r="Q1318" s="9">
        <f>IF(AND(ISNUMBER(M1318),ISNUMBER(O1318)),IF(M1318&lt;=O1318,"Valor ≤ venal IPTU",""),"")</f>
        <v/>
      </c>
      <c r="R1318" s="10" t="n"/>
      <c r="S1318" s="10" t="n"/>
      <c r="AA1318" s="10" t="n"/>
      <c r="AB1318" s="11">
        <f>IF(LEN(TRIM(X1318))=0,"",HYPERLINK("https://www.google.com/maps/@?api=1&amp;map_action=pano&amp;viewpoint="&amp;SUBSTITUTE(X1318," ",""),"Abrir Street View"))</f>
        <v/>
      </c>
    </row>
    <row r="1319">
      <c r="H1319" s="6" t="n"/>
      <c r="I1319" s="6" t="n"/>
      <c r="M1319" s="7" t="n"/>
      <c r="N1319" s="7" t="n"/>
      <c r="O1319" s="7" t="n"/>
      <c r="P1319" s="8">
        <f>IF(NOT(ISNUMBER(M1319)),"",IF(G1319="Terreno",IF(AND(ISNUMBER(I1319),I1319&gt;0),M1319/I1319,""),IF(AND(ISNUMBER(H1319),H1319&gt;0),M1319/H1319,"")))</f>
        <v/>
      </c>
      <c r="Q1319" s="9">
        <f>IF(AND(ISNUMBER(M1319),ISNUMBER(O1319)),IF(M1319&lt;=O1319,"Valor ≤ venal IPTU",""),"")</f>
        <v/>
      </c>
      <c r="R1319" s="10" t="n"/>
      <c r="S1319" s="10" t="n"/>
      <c r="AA1319" s="10" t="n"/>
      <c r="AB1319" s="11">
        <f>IF(LEN(TRIM(X1319))=0,"",HYPERLINK("https://www.google.com/maps/@?api=1&amp;map_action=pano&amp;viewpoint="&amp;SUBSTITUTE(X1319," ",""),"Abrir Street View"))</f>
        <v/>
      </c>
    </row>
    <row r="1320">
      <c r="H1320" s="6" t="n"/>
      <c r="I1320" s="6" t="n"/>
      <c r="M1320" s="7" t="n"/>
      <c r="N1320" s="7" t="n"/>
      <c r="O1320" s="7" t="n"/>
      <c r="P1320" s="8">
        <f>IF(NOT(ISNUMBER(M1320)),"",IF(G1320="Terreno",IF(AND(ISNUMBER(I1320),I1320&gt;0),M1320/I1320,""),IF(AND(ISNUMBER(H1320),H1320&gt;0),M1320/H1320,"")))</f>
        <v/>
      </c>
      <c r="Q1320" s="9">
        <f>IF(AND(ISNUMBER(M1320),ISNUMBER(O1320)),IF(M1320&lt;=O1320,"Valor ≤ venal IPTU",""),"")</f>
        <v/>
      </c>
      <c r="R1320" s="10" t="n"/>
      <c r="S1320" s="10" t="n"/>
      <c r="AA1320" s="10" t="n"/>
      <c r="AB1320" s="11">
        <f>IF(LEN(TRIM(X1320))=0,"",HYPERLINK("https://www.google.com/maps/@?api=1&amp;map_action=pano&amp;viewpoint="&amp;SUBSTITUTE(X1320," ",""),"Abrir Street View"))</f>
        <v/>
      </c>
    </row>
    <row r="1321">
      <c r="H1321" s="6" t="n"/>
      <c r="I1321" s="6" t="n"/>
      <c r="M1321" s="7" t="n"/>
      <c r="N1321" s="7" t="n"/>
      <c r="O1321" s="7" t="n"/>
      <c r="P1321" s="8">
        <f>IF(NOT(ISNUMBER(M1321)),"",IF(G1321="Terreno",IF(AND(ISNUMBER(I1321),I1321&gt;0),M1321/I1321,""),IF(AND(ISNUMBER(H1321),H1321&gt;0),M1321/H1321,"")))</f>
        <v/>
      </c>
      <c r="Q1321" s="9">
        <f>IF(AND(ISNUMBER(M1321),ISNUMBER(O1321)),IF(M1321&lt;=O1321,"Valor ≤ venal IPTU",""),"")</f>
        <v/>
      </c>
      <c r="R1321" s="10" t="n"/>
      <c r="S1321" s="10" t="n"/>
      <c r="AA1321" s="10" t="n"/>
      <c r="AB1321" s="11">
        <f>IF(LEN(TRIM(X1321))=0,"",HYPERLINK("https://www.google.com/maps/@?api=1&amp;map_action=pano&amp;viewpoint="&amp;SUBSTITUTE(X1321," ",""),"Abrir Street View"))</f>
        <v/>
      </c>
    </row>
    <row r="1322">
      <c r="H1322" s="6" t="n"/>
      <c r="I1322" s="6" t="n"/>
      <c r="M1322" s="7" t="n"/>
      <c r="N1322" s="7" t="n"/>
      <c r="O1322" s="7" t="n"/>
      <c r="P1322" s="8">
        <f>IF(NOT(ISNUMBER(M1322)),"",IF(G1322="Terreno",IF(AND(ISNUMBER(I1322),I1322&gt;0),M1322/I1322,""),IF(AND(ISNUMBER(H1322),H1322&gt;0),M1322/H1322,"")))</f>
        <v/>
      </c>
      <c r="Q1322" s="9">
        <f>IF(AND(ISNUMBER(M1322),ISNUMBER(O1322)),IF(M1322&lt;=O1322,"Valor ≤ venal IPTU",""),"")</f>
        <v/>
      </c>
      <c r="R1322" s="10" t="n"/>
      <c r="S1322" s="10" t="n"/>
      <c r="AA1322" s="10" t="n"/>
      <c r="AB1322" s="11">
        <f>IF(LEN(TRIM(X1322))=0,"",HYPERLINK("https://www.google.com/maps/@?api=1&amp;map_action=pano&amp;viewpoint="&amp;SUBSTITUTE(X1322," ",""),"Abrir Street View"))</f>
        <v/>
      </c>
    </row>
    <row r="1323">
      <c r="H1323" s="6" t="n"/>
      <c r="I1323" s="6" t="n"/>
      <c r="M1323" s="7" t="n"/>
      <c r="N1323" s="7" t="n"/>
      <c r="O1323" s="7" t="n"/>
      <c r="P1323" s="8">
        <f>IF(NOT(ISNUMBER(M1323)),"",IF(G1323="Terreno",IF(AND(ISNUMBER(I1323),I1323&gt;0),M1323/I1323,""),IF(AND(ISNUMBER(H1323),H1323&gt;0),M1323/H1323,"")))</f>
        <v/>
      </c>
      <c r="Q1323" s="9">
        <f>IF(AND(ISNUMBER(M1323),ISNUMBER(O1323)),IF(M1323&lt;=O1323,"Valor ≤ venal IPTU",""),"")</f>
        <v/>
      </c>
      <c r="R1323" s="10" t="n"/>
      <c r="S1323" s="10" t="n"/>
      <c r="AA1323" s="10" t="n"/>
      <c r="AB1323" s="11">
        <f>IF(LEN(TRIM(X1323))=0,"",HYPERLINK("https://www.google.com/maps/@?api=1&amp;map_action=pano&amp;viewpoint="&amp;SUBSTITUTE(X1323," ",""),"Abrir Street View"))</f>
        <v/>
      </c>
    </row>
    <row r="1324">
      <c r="H1324" s="6" t="n"/>
      <c r="I1324" s="6" t="n"/>
      <c r="M1324" s="7" t="n"/>
      <c r="N1324" s="7" t="n"/>
      <c r="O1324" s="7" t="n"/>
      <c r="P1324" s="8">
        <f>IF(NOT(ISNUMBER(M1324)),"",IF(G1324="Terreno",IF(AND(ISNUMBER(I1324),I1324&gt;0),M1324/I1324,""),IF(AND(ISNUMBER(H1324),H1324&gt;0),M1324/H1324,"")))</f>
        <v/>
      </c>
      <c r="Q1324" s="9">
        <f>IF(AND(ISNUMBER(M1324),ISNUMBER(O1324)),IF(M1324&lt;=O1324,"Valor ≤ venal IPTU",""),"")</f>
        <v/>
      </c>
      <c r="R1324" s="10" t="n"/>
      <c r="S1324" s="10" t="n"/>
      <c r="AA1324" s="10" t="n"/>
      <c r="AB1324" s="11">
        <f>IF(LEN(TRIM(X1324))=0,"",HYPERLINK("https://www.google.com/maps/@?api=1&amp;map_action=pano&amp;viewpoint="&amp;SUBSTITUTE(X1324," ",""),"Abrir Street View"))</f>
        <v/>
      </c>
    </row>
    <row r="1325">
      <c r="H1325" s="6" t="n"/>
      <c r="I1325" s="6" t="n"/>
      <c r="M1325" s="7" t="n"/>
      <c r="N1325" s="7" t="n"/>
      <c r="O1325" s="7" t="n"/>
      <c r="P1325" s="8">
        <f>IF(NOT(ISNUMBER(M1325)),"",IF(G1325="Terreno",IF(AND(ISNUMBER(I1325),I1325&gt;0),M1325/I1325,""),IF(AND(ISNUMBER(H1325),H1325&gt;0),M1325/H1325,"")))</f>
        <v/>
      </c>
      <c r="Q1325" s="9">
        <f>IF(AND(ISNUMBER(M1325),ISNUMBER(O1325)),IF(M1325&lt;=O1325,"Valor ≤ venal IPTU",""),"")</f>
        <v/>
      </c>
      <c r="R1325" s="10" t="n"/>
      <c r="S1325" s="10" t="n"/>
      <c r="AA1325" s="10" t="n"/>
      <c r="AB1325" s="11">
        <f>IF(LEN(TRIM(X1325))=0,"",HYPERLINK("https://www.google.com/maps/@?api=1&amp;map_action=pano&amp;viewpoint="&amp;SUBSTITUTE(X1325," ",""),"Abrir Street View"))</f>
        <v/>
      </c>
    </row>
    <row r="1326">
      <c r="H1326" s="6" t="n"/>
      <c r="I1326" s="6" t="n"/>
      <c r="M1326" s="7" t="n"/>
      <c r="N1326" s="7" t="n"/>
      <c r="O1326" s="7" t="n"/>
      <c r="P1326" s="8">
        <f>IF(NOT(ISNUMBER(M1326)),"",IF(G1326="Terreno",IF(AND(ISNUMBER(I1326),I1326&gt;0),M1326/I1326,""),IF(AND(ISNUMBER(H1326),H1326&gt;0),M1326/H1326,"")))</f>
        <v/>
      </c>
      <c r="Q1326" s="9">
        <f>IF(AND(ISNUMBER(M1326),ISNUMBER(O1326)),IF(M1326&lt;=O1326,"Valor ≤ venal IPTU",""),"")</f>
        <v/>
      </c>
      <c r="R1326" s="10" t="n"/>
      <c r="S1326" s="10" t="n"/>
      <c r="AA1326" s="10" t="n"/>
      <c r="AB1326" s="11">
        <f>IF(LEN(TRIM(X1326))=0,"",HYPERLINK("https://www.google.com/maps/@?api=1&amp;map_action=pano&amp;viewpoint="&amp;SUBSTITUTE(X1326," ",""),"Abrir Street View"))</f>
        <v/>
      </c>
    </row>
    <row r="1327">
      <c r="H1327" s="6" t="n"/>
      <c r="I1327" s="6" t="n"/>
      <c r="M1327" s="7" t="n"/>
      <c r="N1327" s="7" t="n"/>
      <c r="O1327" s="7" t="n"/>
      <c r="P1327" s="8">
        <f>IF(NOT(ISNUMBER(M1327)),"",IF(G1327="Terreno",IF(AND(ISNUMBER(I1327),I1327&gt;0),M1327/I1327,""),IF(AND(ISNUMBER(H1327),H1327&gt;0),M1327/H1327,"")))</f>
        <v/>
      </c>
      <c r="Q1327" s="9">
        <f>IF(AND(ISNUMBER(M1327),ISNUMBER(O1327)),IF(M1327&lt;=O1327,"Valor ≤ venal IPTU",""),"")</f>
        <v/>
      </c>
      <c r="R1327" s="10" t="n"/>
      <c r="S1327" s="10" t="n"/>
      <c r="AA1327" s="10" t="n"/>
      <c r="AB1327" s="11">
        <f>IF(LEN(TRIM(X1327))=0,"",HYPERLINK("https://www.google.com/maps/@?api=1&amp;map_action=pano&amp;viewpoint="&amp;SUBSTITUTE(X1327," ",""),"Abrir Street View"))</f>
        <v/>
      </c>
    </row>
    <row r="1328">
      <c r="H1328" s="6" t="n"/>
      <c r="I1328" s="6" t="n"/>
      <c r="M1328" s="7" t="n"/>
      <c r="N1328" s="7" t="n"/>
      <c r="O1328" s="7" t="n"/>
      <c r="P1328" s="8">
        <f>IF(NOT(ISNUMBER(M1328)),"",IF(G1328="Terreno",IF(AND(ISNUMBER(I1328),I1328&gt;0),M1328/I1328,""),IF(AND(ISNUMBER(H1328),H1328&gt;0),M1328/H1328,"")))</f>
        <v/>
      </c>
      <c r="Q1328" s="9">
        <f>IF(AND(ISNUMBER(M1328),ISNUMBER(O1328)),IF(M1328&lt;=O1328,"Valor ≤ venal IPTU",""),"")</f>
        <v/>
      </c>
      <c r="R1328" s="10" t="n"/>
      <c r="S1328" s="10" t="n"/>
      <c r="AA1328" s="10" t="n"/>
      <c r="AB1328" s="11">
        <f>IF(LEN(TRIM(X1328))=0,"",HYPERLINK("https://www.google.com/maps/@?api=1&amp;map_action=pano&amp;viewpoint="&amp;SUBSTITUTE(X1328," ",""),"Abrir Street View"))</f>
        <v/>
      </c>
    </row>
    <row r="1329">
      <c r="H1329" s="6" t="n"/>
      <c r="I1329" s="6" t="n"/>
      <c r="M1329" s="7" t="n"/>
      <c r="N1329" s="7" t="n"/>
      <c r="O1329" s="7" t="n"/>
      <c r="P1329" s="8">
        <f>IF(NOT(ISNUMBER(M1329)),"",IF(G1329="Terreno",IF(AND(ISNUMBER(I1329),I1329&gt;0),M1329/I1329,""),IF(AND(ISNUMBER(H1329),H1329&gt;0),M1329/H1329,"")))</f>
        <v/>
      </c>
      <c r="Q1329" s="9">
        <f>IF(AND(ISNUMBER(M1329),ISNUMBER(O1329)),IF(M1329&lt;=O1329,"Valor ≤ venal IPTU",""),"")</f>
        <v/>
      </c>
      <c r="R1329" s="10" t="n"/>
      <c r="S1329" s="10" t="n"/>
      <c r="AA1329" s="10" t="n"/>
      <c r="AB1329" s="11">
        <f>IF(LEN(TRIM(X1329))=0,"",HYPERLINK("https://www.google.com/maps/@?api=1&amp;map_action=pano&amp;viewpoint="&amp;SUBSTITUTE(X1329," ",""),"Abrir Street View"))</f>
        <v/>
      </c>
    </row>
    <row r="1330">
      <c r="H1330" s="6" t="n"/>
      <c r="I1330" s="6" t="n"/>
      <c r="M1330" s="7" t="n"/>
      <c r="N1330" s="7" t="n"/>
      <c r="O1330" s="7" t="n"/>
      <c r="P1330" s="8">
        <f>IF(NOT(ISNUMBER(M1330)),"",IF(G1330="Terreno",IF(AND(ISNUMBER(I1330),I1330&gt;0),M1330/I1330,""),IF(AND(ISNUMBER(H1330),H1330&gt;0),M1330/H1330,"")))</f>
        <v/>
      </c>
      <c r="Q1330" s="9">
        <f>IF(AND(ISNUMBER(M1330),ISNUMBER(O1330)),IF(M1330&lt;=O1330,"Valor ≤ venal IPTU",""),"")</f>
        <v/>
      </c>
      <c r="R1330" s="10" t="n"/>
      <c r="S1330" s="10" t="n"/>
      <c r="AA1330" s="10" t="n"/>
      <c r="AB1330" s="11">
        <f>IF(LEN(TRIM(X1330))=0,"",HYPERLINK("https://www.google.com/maps/@?api=1&amp;map_action=pano&amp;viewpoint="&amp;SUBSTITUTE(X1330," ",""),"Abrir Street View"))</f>
        <v/>
      </c>
    </row>
    <row r="1331">
      <c r="H1331" s="6" t="n"/>
      <c r="I1331" s="6" t="n"/>
      <c r="M1331" s="7" t="n"/>
      <c r="N1331" s="7" t="n"/>
      <c r="O1331" s="7" t="n"/>
      <c r="P1331" s="8">
        <f>IF(NOT(ISNUMBER(M1331)),"",IF(G1331="Terreno",IF(AND(ISNUMBER(I1331),I1331&gt;0),M1331/I1331,""),IF(AND(ISNUMBER(H1331),H1331&gt;0),M1331/H1331,"")))</f>
        <v/>
      </c>
      <c r="Q1331" s="9">
        <f>IF(AND(ISNUMBER(M1331),ISNUMBER(O1331)),IF(M1331&lt;=O1331,"Valor ≤ venal IPTU",""),"")</f>
        <v/>
      </c>
      <c r="R1331" s="10" t="n"/>
      <c r="S1331" s="10" t="n"/>
      <c r="AA1331" s="10" t="n"/>
      <c r="AB1331" s="11">
        <f>IF(LEN(TRIM(X1331))=0,"",HYPERLINK("https://www.google.com/maps/@?api=1&amp;map_action=pano&amp;viewpoint="&amp;SUBSTITUTE(X1331," ",""),"Abrir Street View"))</f>
        <v/>
      </c>
    </row>
    <row r="1332">
      <c r="H1332" s="6" t="n"/>
      <c r="I1332" s="6" t="n"/>
      <c r="M1332" s="7" t="n"/>
      <c r="N1332" s="7" t="n"/>
      <c r="O1332" s="7" t="n"/>
      <c r="P1332" s="8">
        <f>IF(NOT(ISNUMBER(M1332)),"",IF(G1332="Terreno",IF(AND(ISNUMBER(I1332),I1332&gt;0),M1332/I1332,""),IF(AND(ISNUMBER(H1332),H1332&gt;0),M1332/H1332,"")))</f>
        <v/>
      </c>
      <c r="Q1332" s="9">
        <f>IF(AND(ISNUMBER(M1332),ISNUMBER(O1332)),IF(M1332&lt;=O1332,"Valor ≤ venal IPTU",""),"")</f>
        <v/>
      </c>
      <c r="R1332" s="10" t="n"/>
      <c r="S1332" s="10" t="n"/>
      <c r="AA1332" s="10" t="n"/>
      <c r="AB1332" s="11">
        <f>IF(LEN(TRIM(X1332))=0,"",HYPERLINK("https://www.google.com/maps/@?api=1&amp;map_action=pano&amp;viewpoint="&amp;SUBSTITUTE(X1332," ",""),"Abrir Street View"))</f>
        <v/>
      </c>
    </row>
    <row r="1333">
      <c r="H1333" s="6" t="n"/>
      <c r="I1333" s="6" t="n"/>
      <c r="M1333" s="7" t="n"/>
      <c r="N1333" s="7" t="n"/>
      <c r="O1333" s="7" t="n"/>
      <c r="P1333" s="8">
        <f>IF(NOT(ISNUMBER(M1333)),"",IF(G1333="Terreno",IF(AND(ISNUMBER(I1333),I1333&gt;0),M1333/I1333,""),IF(AND(ISNUMBER(H1333),H1333&gt;0),M1333/H1333,"")))</f>
        <v/>
      </c>
      <c r="Q1333" s="9">
        <f>IF(AND(ISNUMBER(M1333),ISNUMBER(O1333)),IF(M1333&lt;=O1333,"Valor ≤ venal IPTU",""),"")</f>
        <v/>
      </c>
      <c r="R1333" s="10" t="n"/>
      <c r="S1333" s="10" t="n"/>
      <c r="AA1333" s="10" t="n"/>
      <c r="AB1333" s="11">
        <f>IF(LEN(TRIM(X1333))=0,"",HYPERLINK("https://www.google.com/maps/@?api=1&amp;map_action=pano&amp;viewpoint="&amp;SUBSTITUTE(X1333," ",""),"Abrir Street View"))</f>
        <v/>
      </c>
    </row>
    <row r="1334">
      <c r="H1334" s="6" t="n"/>
      <c r="I1334" s="6" t="n"/>
      <c r="M1334" s="7" t="n"/>
      <c r="N1334" s="7" t="n"/>
      <c r="O1334" s="7" t="n"/>
      <c r="P1334" s="8">
        <f>IF(NOT(ISNUMBER(M1334)),"",IF(G1334="Terreno",IF(AND(ISNUMBER(I1334),I1334&gt;0),M1334/I1334,""),IF(AND(ISNUMBER(H1334),H1334&gt;0),M1334/H1334,"")))</f>
        <v/>
      </c>
      <c r="Q1334" s="9">
        <f>IF(AND(ISNUMBER(M1334),ISNUMBER(O1334)),IF(M1334&lt;=O1334,"Valor ≤ venal IPTU",""),"")</f>
        <v/>
      </c>
      <c r="R1334" s="10" t="n"/>
      <c r="S1334" s="10" t="n"/>
      <c r="AA1334" s="10" t="n"/>
      <c r="AB1334" s="11">
        <f>IF(LEN(TRIM(X1334))=0,"",HYPERLINK("https://www.google.com/maps/@?api=1&amp;map_action=pano&amp;viewpoint="&amp;SUBSTITUTE(X1334," ",""),"Abrir Street View"))</f>
        <v/>
      </c>
    </row>
    <row r="1335">
      <c r="H1335" s="6" t="n"/>
      <c r="I1335" s="6" t="n"/>
      <c r="M1335" s="7" t="n"/>
      <c r="N1335" s="7" t="n"/>
      <c r="O1335" s="7" t="n"/>
      <c r="P1335" s="8">
        <f>IF(NOT(ISNUMBER(M1335)),"",IF(G1335="Terreno",IF(AND(ISNUMBER(I1335),I1335&gt;0),M1335/I1335,""),IF(AND(ISNUMBER(H1335),H1335&gt;0),M1335/H1335,"")))</f>
        <v/>
      </c>
      <c r="Q1335" s="9">
        <f>IF(AND(ISNUMBER(M1335),ISNUMBER(O1335)),IF(M1335&lt;=O1335,"Valor ≤ venal IPTU",""),"")</f>
        <v/>
      </c>
      <c r="R1335" s="10" t="n"/>
      <c r="S1335" s="10" t="n"/>
      <c r="AA1335" s="10" t="n"/>
      <c r="AB1335" s="11">
        <f>IF(LEN(TRIM(X1335))=0,"",HYPERLINK("https://www.google.com/maps/@?api=1&amp;map_action=pano&amp;viewpoint="&amp;SUBSTITUTE(X1335," ",""),"Abrir Street View"))</f>
        <v/>
      </c>
    </row>
    <row r="1336">
      <c r="H1336" s="6" t="n"/>
      <c r="I1336" s="6" t="n"/>
      <c r="M1336" s="7" t="n"/>
      <c r="N1336" s="7" t="n"/>
      <c r="O1336" s="7" t="n"/>
      <c r="P1336" s="8">
        <f>IF(NOT(ISNUMBER(M1336)),"",IF(G1336="Terreno",IF(AND(ISNUMBER(I1336),I1336&gt;0),M1336/I1336,""),IF(AND(ISNUMBER(H1336),H1336&gt;0),M1336/H1336,"")))</f>
        <v/>
      </c>
      <c r="Q1336" s="9">
        <f>IF(AND(ISNUMBER(M1336),ISNUMBER(O1336)),IF(M1336&lt;=O1336,"Valor ≤ venal IPTU",""),"")</f>
        <v/>
      </c>
      <c r="R1336" s="10" t="n"/>
      <c r="S1336" s="10" t="n"/>
      <c r="AA1336" s="10" t="n"/>
      <c r="AB1336" s="11">
        <f>IF(LEN(TRIM(X1336))=0,"",HYPERLINK("https://www.google.com/maps/@?api=1&amp;map_action=pano&amp;viewpoint="&amp;SUBSTITUTE(X1336," ",""),"Abrir Street View"))</f>
        <v/>
      </c>
    </row>
    <row r="1337">
      <c r="H1337" s="6" t="n"/>
      <c r="I1337" s="6" t="n"/>
      <c r="M1337" s="7" t="n"/>
      <c r="N1337" s="7" t="n"/>
      <c r="O1337" s="7" t="n"/>
      <c r="P1337" s="8">
        <f>IF(NOT(ISNUMBER(M1337)),"",IF(G1337="Terreno",IF(AND(ISNUMBER(I1337),I1337&gt;0),M1337/I1337,""),IF(AND(ISNUMBER(H1337),H1337&gt;0),M1337/H1337,"")))</f>
        <v/>
      </c>
      <c r="Q1337" s="9">
        <f>IF(AND(ISNUMBER(M1337),ISNUMBER(O1337)),IF(M1337&lt;=O1337,"Valor ≤ venal IPTU",""),"")</f>
        <v/>
      </c>
      <c r="R1337" s="10" t="n"/>
      <c r="S1337" s="10" t="n"/>
      <c r="AA1337" s="10" t="n"/>
      <c r="AB1337" s="11">
        <f>IF(LEN(TRIM(X1337))=0,"",HYPERLINK("https://www.google.com/maps/@?api=1&amp;map_action=pano&amp;viewpoint="&amp;SUBSTITUTE(X1337," ",""),"Abrir Street View"))</f>
        <v/>
      </c>
    </row>
    <row r="1338">
      <c r="H1338" s="6" t="n"/>
      <c r="I1338" s="6" t="n"/>
      <c r="M1338" s="7" t="n"/>
      <c r="N1338" s="7" t="n"/>
      <c r="O1338" s="7" t="n"/>
      <c r="P1338" s="8">
        <f>IF(NOT(ISNUMBER(M1338)),"",IF(G1338="Terreno",IF(AND(ISNUMBER(I1338),I1338&gt;0),M1338/I1338,""),IF(AND(ISNUMBER(H1338),H1338&gt;0),M1338/H1338,"")))</f>
        <v/>
      </c>
      <c r="Q1338" s="9">
        <f>IF(AND(ISNUMBER(M1338),ISNUMBER(O1338)),IF(M1338&lt;=O1338,"Valor ≤ venal IPTU",""),"")</f>
        <v/>
      </c>
      <c r="R1338" s="10" t="n"/>
      <c r="S1338" s="10" t="n"/>
      <c r="AA1338" s="10" t="n"/>
      <c r="AB1338" s="11">
        <f>IF(LEN(TRIM(X1338))=0,"",HYPERLINK("https://www.google.com/maps/@?api=1&amp;map_action=pano&amp;viewpoint="&amp;SUBSTITUTE(X1338," ",""),"Abrir Street View"))</f>
        <v/>
      </c>
    </row>
    <row r="1339">
      <c r="H1339" s="6" t="n"/>
      <c r="I1339" s="6" t="n"/>
      <c r="M1339" s="7" t="n"/>
      <c r="N1339" s="7" t="n"/>
      <c r="O1339" s="7" t="n"/>
      <c r="P1339" s="8">
        <f>IF(NOT(ISNUMBER(M1339)),"",IF(G1339="Terreno",IF(AND(ISNUMBER(I1339),I1339&gt;0),M1339/I1339,""),IF(AND(ISNUMBER(H1339),H1339&gt;0),M1339/H1339,"")))</f>
        <v/>
      </c>
      <c r="Q1339" s="9">
        <f>IF(AND(ISNUMBER(M1339),ISNUMBER(O1339)),IF(M1339&lt;=O1339,"Valor ≤ venal IPTU",""),"")</f>
        <v/>
      </c>
      <c r="R1339" s="10" t="n"/>
      <c r="S1339" s="10" t="n"/>
      <c r="AA1339" s="10" t="n"/>
      <c r="AB1339" s="11">
        <f>IF(LEN(TRIM(X1339))=0,"",HYPERLINK("https://www.google.com/maps/@?api=1&amp;map_action=pano&amp;viewpoint="&amp;SUBSTITUTE(X1339," ",""),"Abrir Street View"))</f>
        <v/>
      </c>
    </row>
    <row r="1340">
      <c r="H1340" s="6" t="n"/>
      <c r="I1340" s="6" t="n"/>
      <c r="M1340" s="7" t="n"/>
      <c r="N1340" s="7" t="n"/>
      <c r="O1340" s="7" t="n"/>
      <c r="P1340" s="8">
        <f>IF(NOT(ISNUMBER(M1340)),"",IF(G1340="Terreno",IF(AND(ISNUMBER(I1340),I1340&gt;0),M1340/I1340,""),IF(AND(ISNUMBER(H1340),H1340&gt;0),M1340/H1340,"")))</f>
        <v/>
      </c>
      <c r="Q1340" s="9">
        <f>IF(AND(ISNUMBER(M1340),ISNUMBER(O1340)),IF(M1340&lt;=O1340,"Valor ≤ venal IPTU",""),"")</f>
        <v/>
      </c>
      <c r="R1340" s="10" t="n"/>
      <c r="S1340" s="10" t="n"/>
      <c r="AA1340" s="10" t="n"/>
      <c r="AB1340" s="11">
        <f>IF(LEN(TRIM(X1340))=0,"",HYPERLINK("https://www.google.com/maps/@?api=1&amp;map_action=pano&amp;viewpoint="&amp;SUBSTITUTE(X1340," ",""),"Abrir Street View"))</f>
        <v/>
      </c>
    </row>
    <row r="1341">
      <c r="H1341" s="6" t="n"/>
      <c r="I1341" s="6" t="n"/>
      <c r="M1341" s="7" t="n"/>
      <c r="N1341" s="7" t="n"/>
      <c r="O1341" s="7" t="n"/>
      <c r="P1341" s="8">
        <f>IF(NOT(ISNUMBER(M1341)),"",IF(G1341="Terreno",IF(AND(ISNUMBER(I1341),I1341&gt;0),M1341/I1341,""),IF(AND(ISNUMBER(H1341),H1341&gt;0),M1341/H1341,"")))</f>
        <v/>
      </c>
      <c r="Q1341" s="9">
        <f>IF(AND(ISNUMBER(M1341),ISNUMBER(O1341)),IF(M1341&lt;=O1341,"Valor ≤ venal IPTU",""),"")</f>
        <v/>
      </c>
      <c r="R1341" s="10" t="n"/>
      <c r="S1341" s="10" t="n"/>
      <c r="AA1341" s="10" t="n"/>
      <c r="AB1341" s="11">
        <f>IF(LEN(TRIM(X1341))=0,"",HYPERLINK("https://www.google.com/maps/@?api=1&amp;map_action=pano&amp;viewpoint="&amp;SUBSTITUTE(X1341," ",""),"Abrir Street View"))</f>
        <v/>
      </c>
    </row>
    <row r="1342">
      <c r="H1342" s="6" t="n"/>
      <c r="I1342" s="6" t="n"/>
      <c r="M1342" s="7" t="n"/>
      <c r="N1342" s="7" t="n"/>
      <c r="O1342" s="7" t="n"/>
      <c r="P1342" s="8">
        <f>IF(NOT(ISNUMBER(M1342)),"",IF(G1342="Terreno",IF(AND(ISNUMBER(I1342),I1342&gt;0),M1342/I1342,""),IF(AND(ISNUMBER(H1342),H1342&gt;0),M1342/H1342,"")))</f>
        <v/>
      </c>
      <c r="Q1342" s="9">
        <f>IF(AND(ISNUMBER(M1342),ISNUMBER(O1342)),IF(M1342&lt;=O1342,"Valor ≤ venal IPTU",""),"")</f>
        <v/>
      </c>
      <c r="R1342" s="10" t="n"/>
      <c r="S1342" s="10" t="n"/>
      <c r="AA1342" s="10" t="n"/>
      <c r="AB1342" s="11">
        <f>IF(LEN(TRIM(X1342))=0,"",HYPERLINK("https://www.google.com/maps/@?api=1&amp;map_action=pano&amp;viewpoint="&amp;SUBSTITUTE(X1342," ",""),"Abrir Street View"))</f>
        <v/>
      </c>
    </row>
    <row r="1343">
      <c r="H1343" s="6" t="n"/>
      <c r="I1343" s="6" t="n"/>
      <c r="M1343" s="7" t="n"/>
      <c r="N1343" s="7" t="n"/>
      <c r="O1343" s="7" t="n"/>
      <c r="P1343" s="8">
        <f>IF(NOT(ISNUMBER(M1343)),"",IF(G1343="Terreno",IF(AND(ISNUMBER(I1343),I1343&gt;0),M1343/I1343,""),IF(AND(ISNUMBER(H1343),H1343&gt;0),M1343/H1343,"")))</f>
        <v/>
      </c>
      <c r="Q1343" s="9">
        <f>IF(AND(ISNUMBER(M1343),ISNUMBER(O1343)),IF(M1343&lt;=O1343,"Valor ≤ venal IPTU",""),"")</f>
        <v/>
      </c>
      <c r="R1343" s="10" t="n"/>
      <c r="S1343" s="10" t="n"/>
      <c r="AA1343" s="10" t="n"/>
      <c r="AB1343" s="11">
        <f>IF(LEN(TRIM(X1343))=0,"",HYPERLINK("https://www.google.com/maps/@?api=1&amp;map_action=pano&amp;viewpoint="&amp;SUBSTITUTE(X1343," ",""),"Abrir Street View"))</f>
        <v/>
      </c>
    </row>
    <row r="1344">
      <c r="H1344" s="6" t="n"/>
      <c r="I1344" s="6" t="n"/>
      <c r="M1344" s="7" t="n"/>
      <c r="N1344" s="7" t="n"/>
      <c r="O1344" s="7" t="n"/>
      <c r="P1344" s="8">
        <f>IF(NOT(ISNUMBER(M1344)),"",IF(G1344="Terreno",IF(AND(ISNUMBER(I1344),I1344&gt;0),M1344/I1344,""),IF(AND(ISNUMBER(H1344),H1344&gt;0),M1344/H1344,"")))</f>
        <v/>
      </c>
      <c r="Q1344" s="9">
        <f>IF(AND(ISNUMBER(M1344),ISNUMBER(O1344)),IF(M1344&lt;=O1344,"Valor ≤ venal IPTU",""),"")</f>
        <v/>
      </c>
      <c r="R1344" s="10" t="n"/>
      <c r="S1344" s="10" t="n"/>
      <c r="AA1344" s="10" t="n"/>
      <c r="AB1344" s="11">
        <f>IF(LEN(TRIM(X1344))=0,"",HYPERLINK("https://www.google.com/maps/@?api=1&amp;map_action=pano&amp;viewpoint="&amp;SUBSTITUTE(X1344," ",""),"Abrir Street View"))</f>
        <v/>
      </c>
    </row>
    <row r="1345">
      <c r="H1345" s="6" t="n"/>
      <c r="I1345" s="6" t="n"/>
      <c r="M1345" s="7" t="n"/>
      <c r="N1345" s="7" t="n"/>
      <c r="O1345" s="7" t="n"/>
      <c r="P1345" s="8">
        <f>IF(NOT(ISNUMBER(M1345)),"",IF(G1345="Terreno",IF(AND(ISNUMBER(I1345),I1345&gt;0),M1345/I1345,""),IF(AND(ISNUMBER(H1345),H1345&gt;0),M1345/H1345,"")))</f>
        <v/>
      </c>
      <c r="Q1345" s="9">
        <f>IF(AND(ISNUMBER(M1345),ISNUMBER(O1345)),IF(M1345&lt;=O1345,"Valor ≤ venal IPTU",""),"")</f>
        <v/>
      </c>
      <c r="R1345" s="10" t="n"/>
      <c r="S1345" s="10" t="n"/>
      <c r="AA1345" s="10" t="n"/>
      <c r="AB1345" s="11">
        <f>IF(LEN(TRIM(X1345))=0,"",HYPERLINK("https://www.google.com/maps/@?api=1&amp;map_action=pano&amp;viewpoint="&amp;SUBSTITUTE(X1345," ",""),"Abrir Street View"))</f>
        <v/>
      </c>
    </row>
    <row r="1346">
      <c r="H1346" s="6" t="n"/>
      <c r="I1346" s="6" t="n"/>
      <c r="M1346" s="7" t="n"/>
      <c r="N1346" s="7" t="n"/>
      <c r="O1346" s="7" t="n"/>
      <c r="P1346" s="8">
        <f>IF(NOT(ISNUMBER(M1346)),"",IF(G1346="Terreno",IF(AND(ISNUMBER(I1346),I1346&gt;0),M1346/I1346,""),IF(AND(ISNUMBER(H1346),H1346&gt;0),M1346/H1346,"")))</f>
        <v/>
      </c>
      <c r="Q1346" s="9">
        <f>IF(AND(ISNUMBER(M1346),ISNUMBER(O1346)),IF(M1346&lt;=O1346,"Valor ≤ venal IPTU",""),"")</f>
        <v/>
      </c>
      <c r="R1346" s="10" t="n"/>
      <c r="S1346" s="10" t="n"/>
      <c r="AA1346" s="10" t="n"/>
      <c r="AB1346" s="11">
        <f>IF(LEN(TRIM(X1346))=0,"",HYPERLINK("https://www.google.com/maps/@?api=1&amp;map_action=pano&amp;viewpoint="&amp;SUBSTITUTE(X1346," ",""),"Abrir Street View"))</f>
        <v/>
      </c>
    </row>
    <row r="1347">
      <c r="H1347" s="6" t="n"/>
      <c r="I1347" s="6" t="n"/>
      <c r="M1347" s="7" t="n"/>
      <c r="N1347" s="7" t="n"/>
      <c r="O1347" s="7" t="n"/>
      <c r="P1347" s="8">
        <f>IF(NOT(ISNUMBER(M1347)),"",IF(G1347="Terreno",IF(AND(ISNUMBER(I1347),I1347&gt;0),M1347/I1347,""),IF(AND(ISNUMBER(H1347),H1347&gt;0),M1347/H1347,"")))</f>
        <v/>
      </c>
      <c r="Q1347" s="9">
        <f>IF(AND(ISNUMBER(M1347),ISNUMBER(O1347)),IF(M1347&lt;=O1347,"Valor ≤ venal IPTU",""),"")</f>
        <v/>
      </c>
      <c r="R1347" s="10" t="n"/>
      <c r="S1347" s="10" t="n"/>
      <c r="AA1347" s="10" t="n"/>
      <c r="AB1347" s="11">
        <f>IF(LEN(TRIM(X1347))=0,"",HYPERLINK("https://www.google.com/maps/@?api=1&amp;map_action=pano&amp;viewpoint="&amp;SUBSTITUTE(X1347," ",""),"Abrir Street View"))</f>
        <v/>
      </c>
    </row>
    <row r="1348">
      <c r="H1348" s="6" t="n"/>
      <c r="I1348" s="6" t="n"/>
      <c r="M1348" s="7" t="n"/>
      <c r="N1348" s="7" t="n"/>
      <c r="O1348" s="7" t="n"/>
      <c r="P1348" s="8">
        <f>IF(NOT(ISNUMBER(M1348)),"",IF(G1348="Terreno",IF(AND(ISNUMBER(I1348),I1348&gt;0),M1348/I1348,""),IF(AND(ISNUMBER(H1348),H1348&gt;0),M1348/H1348,"")))</f>
        <v/>
      </c>
      <c r="Q1348" s="9">
        <f>IF(AND(ISNUMBER(M1348),ISNUMBER(O1348)),IF(M1348&lt;=O1348,"Valor ≤ venal IPTU",""),"")</f>
        <v/>
      </c>
      <c r="R1348" s="10" t="n"/>
      <c r="S1348" s="10" t="n"/>
      <c r="AA1348" s="10" t="n"/>
      <c r="AB1348" s="11">
        <f>IF(LEN(TRIM(X1348))=0,"",HYPERLINK("https://www.google.com/maps/@?api=1&amp;map_action=pano&amp;viewpoint="&amp;SUBSTITUTE(X1348," ",""),"Abrir Street View"))</f>
        <v/>
      </c>
    </row>
    <row r="1349">
      <c r="H1349" s="6" t="n"/>
      <c r="I1349" s="6" t="n"/>
      <c r="M1349" s="7" t="n"/>
      <c r="N1349" s="7" t="n"/>
      <c r="O1349" s="7" t="n"/>
      <c r="P1349" s="8">
        <f>IF(NOT(ISNUMBER(M1349)),"",IF(G1349="Terreno",IF(AND(ISNUMBER(I1349),I1349&gt;0),M1349/I1349,""),IF(AND(ISNUMBER(H1349),H1349&gt;0),M1349/H1349,"")))</f>
        <v/>
      </c>
      <c r="Q1349" s="9">
        <f>IF(AND(ISNUMBER(M1349),ISNUMBER(O1349)),IF(M1349&lt;=O1349,"Valor ≤ venal IPTU",""),"")</f>
        <v/>
      </c>
      <c r="R1349" s="10" t="n"/>
      <c r="S1349" s="10" t="n"/>
      <c r="AA1349" s="10" t="n"/>
      <c r="AB1349" s="11">
        <f>IF(LEN(TRIM(X1349))=0,"",HYPERLINK("https://www.google.com/maps/@?api=1&amp;map_action=pano&amp;viewpoint="&amp;SUBSTITUTE(X1349," ",""),"Abrir Street View"))</f>
        <v/>
      </c>
    </row>
    <row r="1350">
      <c r="H1350" s="6" t="n"/>
      <c r="I1350" s="6" t="n"/>
      <c r="M1350" s="7" t="n"/>
      <c r="N1350" s="7" t="n"/>
      <c r="O1350" s="7" t="n"/>
      <c r="P1350" s="8">
        <f>IF(NOT(ISNUMBER(M1350)),"",IF(G1350="Terreno",IF(AND(ISNUMBER(I1350),I1350&gt;0),M1350/I1350,""),IF(AND(ISNUMBER(H1350),H1350&gt;0),M1350/H1350,"")))</f>
        <v/>
      </c>
      <c r="Q1350" s="9">
        <f>IF(AND(ISNUMBER(M1350),ISNUMBER(O1350)),IF(M1350&lt;=O1350,"Valor ≤ venal IPTU",""),"")</f>
        <v/>
      </c>
      <c r="R1350" s="10" t="n"/>
      <c r="S1350" s="10" t="n"/>
      <c r="AA1350" s="10" t="n"/>
      <c r="AB1350" s="11">
        <f>IF(LEN(TRIM(X1350))=0,"",HYPERLINK("https://www.google.com/maps/@?api=1&amp;map_action=pano&amp;viewpoint="&amp;SUBSTITUTE(X1350," ",""),"Abrir Street View"))</f>
        <v/>
      </c>
    </row>
    <row r="1351">
      <c r="H1351" s="6" t="n"/>
      <c r="I1351" s="6" t="n"/>
      <c r="M1351" s="7" t="n"/>
      <c r="N1351" s="7" t="n"/>
      <c r="O1351" s="7" t="n"/>
      <c r="P1351" s="8">
        <f>IF(NOT(ISNUMBER(M1351)),"",IF(G1351="Terreno",IF(AND(ISNUMBER(I1351),I1351&gt;0),M1351/I1351,""),IF(AND(ISNUMBER(H1351),H1351&gt;0),M1351/H1351,"")))</f>
        <v/>
      </c>
      <c r="Q1351" s="9">
        <f>IF(AND(ISNUMBER(M1351),ISNUMBER(O1351)),IF(M1351&lt;=O1351,"Valor ≤ venal IPTU",""),"")</f>
        <v/>
      </c>
      <c r="R1351" s="10" t="n"/>
      <c r="S1351" s="10" t="n"/>
      <c r="AA1351" s="10" t="n"/>
      <c r="AB1351" s="11">
        <f>IF(LEN(TRIM(X1351))=0,"",HYPERLINK("https://www.google.com/maps/@?api=1&amp;map_action=pano&amp;viewpoint="&amp;SUBSTITUTE(X1351," ",""),"Abrir Street View"))</f>
        <v/>
      </c>
    </row>
    <row r="1352">
      <c r="H1352" s="6" t="n"/>
      <c r="I1352" s="6" t="n"/>
      <c r="M1352" s="7" t="n"/>
      <c r="N1352" s="7" t="n"/>
      <c r="O1352" s="7" t="n"/>
      <c r="P1352" s="8">
        <f>IF(NOT(ISNUMBER(M1352)),"",IF(G1352="Terreno",IF(AND(ISNUMBER(I1352),I1352&gt;0),M1352/I1352,""),IF(AND(ISNUMBER(H1352),H1352&gt;0),M1352/H1352,"")))</f>
        <v/>
      </c>
      <c r="Q1352" s="9">
        <f>IF(AND(ISNUMBER(M1352),ISNUMBER(O1352)),IF(M1352&lt;=O1352,"Valor ≤ venal IPTU",""),"")</f>
        <v/>
      </c>
      <c r="R1352" s="10" t="n"/>
      <c r="S1352" s="10" t="n"/>
      <c r="AA1352" s="10" t="n"/>
      <c r="AB1352" s="11">
        <f>IF(LEN(TRIM(X1352))=0,"",HYPERLINK("https://www.google.com/maps/@?api=1&amp;map_action=pano&amp;viewpoint="&amp;SUBSTITUTE(X1352," ",""),"Abrir Street View"))</f>
        <v/>
      </c>
    </row>
    <row r="1353">
      <c r="H1353" s="6" t="n"/>
      <c r="I1353" s="6" t="n"/>
      <c r="M1353" s="7" t="n"/>
      <c r="N1353" s="7" t="n"/>
      <c r="O1353" s="7" t="n"/>
      <c r="P1353" s="8">
        <f>IF(NOT(ISNUMBER(M1353)),"",IF(G1353="Terreno",IF(AND(ISNUMBER(I1353),I1353&gt;0),M1353/I1353,""),IF(AND(ISNUMBER(H1353),H1353&gt;0),M1353/H1353,"")))</f>
        <v/>
      </c>
      <c r="Q1353" s="9">
        <f>IF(AND(ISNUMBER(M1353),ISNUMBER(O1353)),IF(M1353&lt;=O1353,"Valor ≤ venal IPTU",""),"")</f>
        <v/>
      </c>
      <c r="R1353" s="10" t="n"/>
      <c r="S1353" s="10" t="n"/>
      <c r="AA1353" s="10" t="n"/>
      <c r="AB1353" s="11">
        <f>IF(LEN(TRIM(X1353))=0,"",HYPERLINK("https://www.google.com/maps/@?api=1&amp;map_action=pano&amp;viewpoint="&amp;SUBSTITUTE(X1353," ",""),"Abrir Street View"))</f>
        <v/>
      </c>
    </row>
    <row r="1354">
      <c r="H1354" s="6" t="n"/>
      <c r="I1354" s="6" t="n"/>
      <c r="M1354" s="7" t="n"/>
      <c r="N1354" s="7" t="n"/>
      <c r="O1354" s="7" t="n"/>
      <c r="P1354" s="8">
        <f>IF(NOT(ISNUMBER(M1354)),"",IF(G1354="Terreno",IF(AND(ISNUMBER(I1354),I1354&gt;0),M1354/I1354,""),IF(AND(ISNUMBER(H1354),H1354&gt;0),M1354/H1354,"")))</f>
        <v/>
      </c>
      <c r="Q1354" s="9">
        <f>IF(AND(ISNUMBER(M1354),ISNUMBER(O1354)),IF(M1354&lt;=O1354,"Valor ≤ venal IPTU",""),"")</f>
        <v/>
      </c>
      <c r="R1354" s="10" t="n"/>
      <c r="S1354" s="10" t="n"/>
      <c r="AA1354" s="10" t="n"/>
      <c r="AB1354" s="11">
        <f>IF(LEN(TRIM(X1354))=0,"",HYPERLINK("https://www.google.com/maps/@?api=1&amp;map_action=pano&amp;viewpoint="&amp;SUBSTITUTE(X1354," ",""),"Abrir Street View"))</f>
        <v/>
      </c>
    </row>
    <row r="1355">
      <c r="H1355" s="6" t="n"/>
      <c r="I1355" s="6" t="n"/>
      <c r="M1355" s="7" t="n"/>
      <c r="N1355" s="7" t="n"/>
      <c r="O1355" s="7" t="n"/>
      <c r="P1355" s="8">
        <f>IF(NOT(ISNUMBER(M1355)),"",IF(G1355="Terreno",IF(AND(ISNUMBER(I1355),I1355&gt;0),M1355/I1355,""),IF(AND(ISNUMBER(H1355),H1355&gt;0),M1355/H1355,"")))</f>
        <v/>
      </c>
      <c r="Q1355" s="9">
        <f>IF(AND(ISNUMBER(M1355),ISNUMBER(O1355)),IF(M1355&lt;=O1355,"Valor ≤ venal IPTU",""),"")</f>
        <v/>
      </c>
      <c r="R1355" s="10" t="n"/>
      <c r="S1355" s="10" t="n"/>
      <c r="AA1355" s="10" t="n"/>
      <c r="AB1355" s="11">
        <f>IF(LEN(TRIM(X1355))=0,"",HYPERLINK("https://www.google.com/maps/@?api=1&amp;map_action=pano&amp;viewpoint="&amp;SUBSTITUTE(X1355," ",""),"Abrir Street View"))</f>
        <v/>
      </c>
    </row>
    <row r="1356">
      <c r="H1356" s="6" t="n"/>
      <c r="I1356" s="6" t="n"/>
      <c r="M1356" s="7" t="n"/>
      <c r="N1356" s="7" t="n"/>
      <c r="O1356" s="7" t="n"/>
      <c r="P1356" s="8">
        <f>IF(NOT(ISNUMBER(M1356)),"",IF(G1356="Terreno",IF(AND(ISNUMBER(I1356),I1356&gt;0),M1356/I1356,""),IF(AND(ISNUMBER(H1356),H1356&gt;0),M1356/H1356,"")))</f>
        <v/>
      </c>
      <c r="Q1356" s="9">
        <f>IF(AND(ISNUMBER(M1356),ISNUMBER(O1356)),IF(M1356&lt;=O1356,"Valor ≤ venal IPTU",""),"")</f>
        <v/>
      </c>
      <c r="R1356" s="10" t="n"/>
      <c r="S1356" s="10" t="n"/>
      <c r="AA1356" s="10" t="n"/>
      <c r="AB1356" s="11">
        <f>IF(LEN(TRIM(X1356))=0,"",HYPERLINK("https://www.google.com/maps/@?api=1&amp;map_action=pano&amp;viewpoint="&amp;SUBSTITUTE(X1356," ",""),"Abrir Street View"))</f>
        <v/>
      </c>
    </row>
    <row r="1357">
      <c r="H1357" s="6" t="n"/>
      <c r="I1357" s="6" t="n"/>
      <c r="M1357" s="7" t="n"/>
      <c r="N1357" s="7" t="n"/>
      <c r="O1357" s="7" t="n"/>
      <c r="P1357" s="8">
        <f>IF(NOT(ISNUMBER(M1357)),"",IF(G1357="Terreno",IF(AND(ISNUMBER(I1357),I1357&gt;0),M1357/I1357,""),IF(AND(ISNUMBER(H1357),H1357&gt;0),M1357/H1357,"")))</f>
        <v/>
      </c>
      <c r="Q1357" s="9">
        <f>IF(AND(ISNUMBER(M1357),ISNUMBER(O1357)),IF(M1357&lt;=O1357,"Valor ≤ venal IPTU",""),"")</f>
        <v/>
      </c>
      <c r="R1357" s="10" t="n"/>
      <c r="S1357" s="10" t="n"/>
      <c r="AA1357" s="10" t="n"/>
      <c r="AB1357" s="11">
        <f>IF(LEN(TRIM(X1357))=0,"",HYPERLINK("https://www.google.com/maps/@?api=1&amp;map_action=pano&amp;viewpoint="&amp;SUBSTITUTE(X1357," ",""),"Abrir Street View"))</f>
        <v/>
      </c>
    </row>
    <row r="1358">
      <c r="H1358" s="6" t="n"/>
      <c r="I1358" s="6" t="n"/>
      <c r="M1358" s="7" t="n"/>
      <c r="N1358" s="7" t="n"/>
      <c r="O1358" s="7" t="n"/>
      <c r="P1358" s="8">
        <f>IF(NOT(ISNUMBER(M1358)),"",IF(G1358="Terreno",IF(AND(ISNUMBER(I1358),I1358&gt;0),M1358/I1358,""),IF(AND(ISNUMBER(H1358),H1358&gt;0),M1358/H1358,"")))</f>
        <v/>
      </c>
      <c r="Q1358" s="9">
        <f>IF(AND(ISNUMBER(M1358),ISNUMBER(O1358)),IF(M1358&lt;=O1358,"Valor ≤ venal IPTU",""),"")</f>
        <v/>
      </c>
      <c r="R1358" s="10" t="n"/>
      <c r="S1358" s="10" t="n"/>
      <c r="AA1358" s="10" t="n"/>
      <c r="AB1358" s="11">
        <f>IF(LEN(TRIM(X1358))=0,"",HYPERLINK("https://www.google.com/maps/@?api=1&amp;map_action=pano&amp;viewpoint="&amp;SUBSTITUTE(X1358," ",""),"Abrir Street View"))</f>
        <v/>
      </c>
    </row>
    <row r="1359">
      <c r="H1359" s="6" t="n"/>
      <c r="I1359" s="6" t="n"/>
      <c r="M1359" s="7" t="n"/>
      <c r="N1359" s="7" t="n"/>
      <c r="O1359" s="7" t="n"/>
      <c r="P1359" s="8">
        <f>IF(NOT(ISNUMBER(M1359)),"",IF(G1359="Terreno",IF(AND(ISNUMBER(I1359),I1359&gt;0),M1359/I1359,""),IF(AND(ISNUMBER(H1359),H1359&gt;0),M1359/H1359,"")))</f>
        <v/>
      </c>
      <c r="Q1359" s="9">
        <f>IF(AND(ISNUMBER(M1359),ISNUMBER(O1359)),IF(M1359&lt;=O1359,"Valor ≤ venal IPTU",""),"")</f>
        <v/>
      </c>
      <c r="R1359" s="10" t="n"/>
      <c r="S1359" s="10" t="n"/>
      <c r="AA1359" s="10" t="n"/>
      <c r="AB1359" s="11">
        <f>IF(LEN(TRIM(X1359))=0,"",HYPERLINK("https://www.google.com/maps/@?api=1&amp;map_action=pano&amp;viewpoint="&amp;SUBSTITUTE(X1359," ",""),"Abrir Street View"))</f>
        <v/>
      </c>
    </row>
    <row r="1360">
      <c r="H1360" s="6" t="n"/>
      <c r="I1360" s="6" t="n"/>
      <c r="M1360" s="7" t="n"/>
      <c r="N1360" s="7" t="n"/>
      <c r="O1360" s="7" t="n"/>
      <c r="P1360" s="8">
        <f>IF(NOT(ISNUMBER(M1360)),"",IF(G1360="Terreno",IF(AND(ISNUMBER(I1360),I1360&gt;0),M1360/I1360,""),IF(AND(ISNUMBER(H1360),H1360&gt;0),M1360/H1360,"")))</f>
        <v/>
      </c>
      <c r="Q1360" s="9">
        <f>IF(AND(ISNUMBER(M1360),ISNUMBER(O1360)),IF(M1360&lt;=O1360,"Valor ≤ venal IPTU",""),"")</f>
        <v/>
      </c>
      <c r="R1360" s="10" t="n"/>
      <c r="S1360" s="10" t="n"/>
      <c r="AA1360" s="10" t="n"/>
      <c r="AB1360" s="11">
        <f>IF(LEN(TRIM(X1360))=0,"",HYPERLINK("https://www.google.com/maps/@?api=1&amp;map_action=pano&amp;viewpoint="&amp;SUBSTITUTE(X1360," ",""),"Abrir Street View"))</f>
        <v/>
      </c>
    </row>
    <row r="1361">
      <c r="H1361" s="6" t="n"/>
      <c r="I1361" s="6" t="n"/>
      <c r="M1361" s="7" t="n"/>
      <c r="N1361" s="7" t="n"/>
      <c r="O1361" s="7" t="n"/>
      <c r="P1361" s="8">
        <f>IF(NOT(ISNUMBER(M1361)),"",IF(G1361="Terreno",IF(AND(ISNUMBER(I1361),I1361&gt;0),M1361/I1361,""),IF(AND(ISNUMBER(H1361),H1361&gt;0),M1361/H1361,"")))</f>
        <v/>
      </c>
      <c r="Q1361" s="9">
        <f>IF(AND(ISNUMBER(M1361),ISNUMBER(O1361)),IF(M1361&lt;=O1361,"Valor ≤ venal IPTU",""),"")</f>
        <v/>
      </c>
      <c r="R1361" s="10" t="n"/>
      <c r="S1361" s="10" t="n"/>
      <c r="AA1361" s="10" t="n"/>
      <c r="AB1361" s="11">
        <f>IF(LEN(TRIM(X1361))=0,"",HYPERLINK("https://www.google.com/maps/@?api=1&amp;map_action=pano&amp;viewpoint="&amp;SUBSTITUTE(X1361," ",""),"Abrir Street View"))</f>
        <v/>
      </c>
    </row>
    <row r="1362">
      <c r="H1362" s="6" t="n"/>
      <c r="I1362" s="6" t="n"/>
      <c r="M1362" s="7" t="n"/>
      <c r="N1362" s="7" t="n"/>
      <c r="O1362" s="7" t="n"/>
      <c r="P1362" s="8">
        <f>IF(NOT(ISNUMBER(M1362)),"",IF(G1362="Terreno",IF(AND(ISNUMBER(I1362),I1362&gt;0),M1362/I1362,""),IF(AND(ISNUMBER(H1362),H1362&gt;0),M1362/H1362,"")))</f>
        <v/>
      </c>
      <c r="Q1362" s="9">
        <f>IF(AND(ISNUMBER(M1362),ISNUMBER(O1362)),IF(M1362&lt;=O1362,"Valor ≤ venal IPTU",""),"")</f>
        <v/>
      </c>
      <c r="R1362" s="10" t="n"/>
      <c r="S1362" s="10" t="n"/>
      <c r="AA1362" s="10" t="n"/>
      <c r="AB1362" s="11">
        <f>IF(LEN(TRIM(X1362))=0,"",HYPERLINK("https://www.google.com/maps/@?api=1&amp;map_action=pano&amp;viewpoint="&amp;SUBSTITUTE(X1362," ",""),"Abrir Street View"))</f>
        <v/>
      </c>
    </row>
    <row r="1363">
      <c r="H1363" s="6" t="n"/>
      <c r="I1363" s="6" t="n"/>
      <c r="M1363" s="7" t="n"/>
      <c r="N1363" s="7" t="n"/>
      <c r="O1363" s="7" t="n"/>
      <c r="P1363" s="8">
        <f>IF(NOT(ISNUMBER(M1363)),"",IF(G1363="Terreno",IF(AND(ISNUMBER(I1363),I1363&gt;0),M1363/I1363,""),IF(AND(ISNUMBER(H1363),H1363&gt;0),M1363/H1363,"")))</f>
        <v/>
      </c>
      <c r="Q1363" s="9">
        <f>IF(AND(ISNUMBER(M1363),ISNUMBER(O1363)),IF(M1363&lt;=O1363,"Valor ≤ venal IPTU",""),"")</f>
        <v/>
      </c>
      <c r="R1363" s="10" t="n"/>
      <c r="S1363" s="10" t="n"/>
      <c r="AA1363" s="10" t="n"/>
      <c r="AB1363" s="11">
        <f>IF(LEN(TRIM(X1363))=0,"",HYPERLINK("https://www.google.com/maps/@?api=1&amp;map_action=pano&amp;viewpoint="&amp;SUBSTITUTE(X1363," ",""),"Abrir Street View"))</f>
        <v/>
      </c>
    </row>
    <row r="1364">
      <c r="H1364" s="6" t="n"/>
      <c r="I1364" s="6" t="n"/>
      <c r="M1364" s="7" t="n"/>
      <c r="N1364" s="7" t="n"/>
      <c r="O1364" s="7" t="n"/>
      <c r="P1364" s="8">
        <f>IF(NOT(ISNUMBER(M1364)),"",IF(G1364="Terreno",IF(AND(ISNUMBER(I1364),I1364&gt;0),M1364/I1364,""),IF(AND(ISNUMBER(H1364),H1364&gt;0),M1364/H1364,"")))</f>
        <v/>
      </c>
      <c r="Q1364" s="9">
        <f>IF(AND(ISNUMBER(M1364),ISNUMBER(O1364)),IF(M1364&lt;=O1364,"Valor ≤ venal IPTU",""),"")</f>
        <v/>
      </c>
      <c r="R1364" s="10" t="n"/>
      <c r="S1364" s="10" t="n"/>
      <c r="AA1364" s="10" t="n"/>
      <c r="AB1364" s="11">
        <f>IF(LEN(TRIM(X1364))=0,"",HYPERLINK("https://www.google.com/maps/@?api=1&amp;map_action=pano&amp;viewpoint="&amp;SUBSTITUTE(X1364," ",""),"Abrir Street View"))</f>
        <v/>
      </c>
    </row>
    <row r="1365">
      <c r="H1365" s="6" t="n"/>
      <c r="I1365" s="6" t="n"/>
      <c r="M1365" s="7" t="n"/>
      <c r="N1365" s="7" t="n"/>
      <c r="O1365" s="7" t="n"/>
      <c r="P1365" s="8">
        <f>IF(NOT(ISNUMBER(M1365)),"",IF(G1365="Terreno",IF(AND(ISNUMBER(I1365),I1365&gt;0),M1365/I1365,""),IF(AND(ISNUMBER(H1365),H1365&gt;0),M1365/H1365,"")))</f>
        <v/>
      </c>
      <c r="Q1365" s="9">
        <f>IF(AND(ISNUMBER(M1365),ISNUMBER(O1365)),IF(M1365&lt;=O1365,"Valor ≤ venal IPTU",""),"")</f>
        <v/>
      </c>
      <c r="R1365" s="10" t="n"/>
      <c r="S1365" s="10" t="n"/>
      <c r="AA1365" s="10" t="n"/>
      <c r="AB1365" s="11">
        <f>IF(LEN(TRIM(X1365))=0,"",HYPERLINK("https://www.google.com/maps/@?api=1&amp;map_action=pano&amp;viewpoint="&amp;SUBSTITUTE(X1365," ",""),"Abrir Street View"))</f>
        <v/>
      </c>
    </row>
    <row r="1366">
      <c r="H1366" s="6" t="n"/>
      <c r="I1366" s="6" t="n"/>
      <c r="M1366" s="7" t="n"/>
      <c r="N1366" s="7" t="n"/>
      <c r="O1366" s="7" t="n"/>
      <c r="P1366" s="8">
        <f>IF(NOT(ISNUMBER(M1366)),"",IF(G1366="Terreno",IF(AND(ISNUMBER(I1366),I1366&gt;0),M1366/I1366,""),IF(AND(ISNUMBER(H1366),H1366&gt;0),M1366/H1366,"")))</f>
        <v/>
      </c>
      <c r="Q1366" s="9">
        <f>IF(AND(ISNUMBER(M1366),ISNUMBER(O1366)),IF(M1366&lt;=O1366,"Valor ≤ venal IPTU",""),"")</f>
        <v/>
      </c>
      <c r="R1366" s="10" t="n"/>
      <c r="S1366" s="10" t="n"/>
      <c r="AA1366" s="10" t="n"/>
      <c r="AB1366" s="11">
        <f>IF(LEN(TRIM(X1366))=0,"",HYPERLINK("https://www.google.com/maps/@?api=1&amp;map_action=pano&amp;viewpoint="&amp;SUBSTITUTE(X1366," ",""),"Abrir Street View"))</f>
        <v/>
      </c>
    </row>
    <row r="1367">
      <c r="H1367" s="6" t="n"/>
      <c r="I1367" s="6" t="n"/>
      <c r="M1367" s="7" t="n"/>
      <c r="N1367" s="7" t="n"/>
      <c r="O1367" s="7" t="n"/>
      <c r="P1367" s="8">
        <f>IF(NOT(ISNUMBER(M1367)),"",IF(G1367="Terreno",IF(AND(ISNUMBER(I1367),I1367&gt;0),M1367/I1367,""),IF(AND(ISNUMBER(H1367),H1367&gt;0),M1367/H1367,"")))</f>
        <v/>
      </c>
      <c r="Q1367" s="9">
        <f>IF(AND(ISNUMBER(M1367),ISNUMBER(O1367)),IF(M1367&lt;=O1367,"Valor ≤ venal IPTU",""),"")</f>
        <v/>
      </c>
      <c r="R1367" s="10" t="n"/>
      <c r="S1367" s="10" t="n"/>
      <c r="AA1367" s="10" t="n"/>
      <c r="AB1367" s="11">
        <f>IF(LEN(TRIM(X1367))=0,"",HYPERLINK("https://www.google.com/maps/@?api=1&amp;map_action=pano&amp;viewpoint="&amp;SUBSTITUTE(X1367," ",""),"Abrir Street View"))</f>
        <v/>
      </c>
    </row>
    <row r="1368">
      <c r="H1368" s="6" t="n"/>
      <c r="I1368" s="6" t="n"/>
      <c r="M1368" s="7" t="n"/>
      <c r="N1368" s="7" t="n"/>
      <c r="O1368" s="7" t="n"/>
      <c r="P1368" s="8">
        <f>IF(NOT(ISNUMBER(M1368)),"",IF(G1368="Terreno",IF(AND(ISNUMBER(I1368),I1368&gt;0),M1368/I1368,""),IF(AND(ISNUMBER(H1368),H1368&gt;0),M1368/H1368,"")))</f>
        <v/>
      </c>
      <c r="Q1368" s="9">
        <f>IF(AND(ISNUMBER(M1368),ISNUMBER(O1368)),IF(M1368&lt;=O1368,"Valor ≤ venal IPTU",""),"")</f>
        <v/>
      </c>
      <c r="R1368" s="10" t="n"/>
      <c r="S1368" s="10" t="n"/>
      <c r="AA1368" s="10" t="n"/>
      <c r="AB1368" s="11">
        <f>IF(LEN(TRIM(X1368))=0,"",HYPERLINK("https://www.google.com/maps/@?api=1&amp;map_action=pano&amp;viewpoint="&amp;SUBSTITUTE(X1368," ",""),"Abrir Street View"))</f>
        <v/>
      </c>
    </row>
    <row r="1369">
      <c r="H1369" s="6" t="n"/>
      <c r="I1369" s="6" t="n"/>
      <c r="M1369" s="7" t="n"/>
      <c r="N1369" s="7" t="n"/>
      <c r="O1369" s="7" t="n"/>
      <c r="P1369" s="8">
        <f>IF(NOT(ISNUMBER(M1369)),"",IF(G1369="Terreno",IF(AND(ISNUMBER(I1369),I1369&gt;0),M1369/I1369,""),IF(AND(ISNUMBER(H1369),H1369&gt;0),M1369/H1369,"")))</f>
        <v/>
      </c>
      <c r="Q1369" s="9">
        <f>IF(AND(ISNUMBER(M1369),ISNUMBER(O1369)),IF(M1369&lt;=O1369,"Valor ≤ venal IPTU",""),"")</f>
        <v/>
      </c>
      <c r="R1369" s="10" t="n"/>
      <c r="S1369" s="10" t="n"/>
      <c r="AA1369" s="10" t="n"/>
      <c r="AB1369" s="11">
        <f>IF(LEN(TRIM(X1369))=0,"",HYPERLINK("https://www.google.com/maps/@?api=1&amp;map_action=pano&amp;viewpoint="&amp;SUBSTITUTE(X1369," ",""),"Abrir Street View"))</f>
        <v/>
      </c>
    </row>
    <row r="1370">
      <c r="H1370" s="6" t="n"/>
      <c r="I1370" s="6" t="n"/>
      <c r="M1370" s="7" t="n"/>
      <c r="N1370" s="7" t="n"/>
      <c r="O1370" s="7" t="n"/>
      <c r="P1370" s="8">
        <f>IF(NOT(ISNUMBER(M1370)),"",IF(G1370="Terreno",IF(AND(ISNUMBER(I1370),I1370&gt;0),M1370/I1370,""),IF(AND(ISNUMBER(H1370),H1370&gt;0),M1370/H1370,"")))</f>
        <v/>
      </c>
      <c r="Q1370" s="9">
        <f>IF(AND(ISNUMBER(M1370),ISNUMBER(O1370)),IF(M1370&lt;=O1370,"Valor ≤ venal IPTU",""),"")</f>
        <v/>
      </c>
      <c r="R1370" s="10" t="n"/>
      <c r="S1370" s="10" t="n"/>
      <c r="AA1370" s="10" t="n"/>
      <c r="AB1370" s="11">
        <f>IF(LEN(TRIM(X1370))=0,"",HYPERLINK("https://www.google.com/maps/@?api=1&amp;map_action=pano&amp;viewpoint="&amp;SUBSTITUTE(X1370," ",""),"Abrir Street View"))</f>
        <v/>
      </c>
    </row>
    <row r="1371">
      <c r="H1371" s="6" t="n"/>
      <c r="I1371" s="6" t="n"/>
      <c r="M1371" s="7" t="n"/>
      <c r="N1371" s="7" t="n"/>
      <c r="O1371" s="7" t="n"/>
      <c r="P1371" s="8">
        <f>IF(NOT(ISNUMBER(M1371)),"",IF(G1371="Terreno",IF(AND(ISNUMBER(I1371),I1371&gt;0),M1371/I1371,""),IF(AND(ISNUMBER(H1371),H1371&gt;0),M1371/H1371,"")))</f>
        <v/>
      </c>
      <c r="Q1371" s="9">
        <f>IF(AND(ISNUMBER(M1371),ISNUMBER(O1371)),IF(M1371&lt;=O1371,"Valor ≤ venal IPTU",""),"")</f>
        <v/>
      </c>
      <c r="R1371" s="10" t="n"/>
      <c r="S1371" s="10" t="n"/>
      <c r="AA1371" s="10" t="n"/>
      <c r="AB1371" s="11">
        <f>IF(LEN(TRIM(X1371))=0,"",HYPERLINK("https://www.google.com/maps/@?api=1&amp;map_action=pano&amp;viewpoint="&amp;SUBSTITUTE(X1371," ",""),"Abrir Street View"))</f>
        <v/>
      </c>
    </row>
    <row r="1372">
      <c r="H1372" s="6" t="n"/>
      <c r="I1372" s="6" t="n"/>
      <c r="M1372" s="7" t="n"/>
      <c r="N1372" s="7" t="n"/>
      <c r="O1372" s="7" t="n"/>
      <c r="P1372" s="8">
        <f>IF(NOT(ISNUMBER(M1372)),"",IF(G1372="Terreno",IF(AND(ISNUMBER(I1372),I1372&gt;0),M1372/I1372,""),IF(AND(ISNUMBER(H1372),H1372&gt;0),M1372/H1372,"")))</f>
        <v/>
      </c>
      <c r="Q1372" s="9">
        <f>IF(AND(ISNUMBER(M1372),ISNUMBER(O1372)),IF(M1372&lt;=O1372,"Valor ≤ venal IPTU",""),"")</f>
        <v/>
      </c>
      <c r="R1372" s="10" t="n"/>
      <c r="S1372" s="10" t="n"/>
      <c r="AA1372" s="10" t="n"/>
      <c r="AB1372" s="11">
        <f>IF(LEN(TRIM(X1372))=0,"",HYPERLINK("https://www.google.com/maps/@?api=1&amp;map_action=pano&amp;viewpoint="&amp;SUBSTITUTE(X1372," ",""),"Abrir Street View"))</f>
        <v/>
      </c>
    </row>
    <row r="1373">
      <c r="H1373" s="6" t="n"/>
      <c r="I1373" s="6" t="n"/>
      <c r="M1373" s="7" t="n"/>
      <c r="N1373" s="7" t="n"/>
      <c r="O1373" s="7" t="n"/>
      <c r="P1373" s="8">
        <f>IF(NOT(ISNUMBER(M1373)),"",IF(G1373="Terreno",IF(AND(ISNUMBER(I1373),I1373&gt;0),M1373/I1373,""),IF(AND(ISNUMBER(H1373),H1373&gt;0),M1373/H1373,"")))</f>
        <v/>
      </c>
      <c r="Q1373" s="9">
        <f>IF(AND(ISNUMBER(M1373),ISNUMBER(O1373)),IF(M1373&lt;=O1373,"Valor ≤ venal IPTU",""),"")</f>
        <v/>
      </c>
      <c r="R1373" s="10" t="n"/>
      <c r="S1373" s="10" t="n"/>
      <c r="AA1373" s="10" t="n"/>
      <c r="AB1373" s="11">
        <f>IF(LEN(TRIM(X1373))=0,"",HYPERLINK("https://www.google.com/maps/@?api=1&amp;map_action=pano&amp;viewpoint="&amp;SUBSTITUTE(X1373," ",""),"Abrir Street View"))</f>
        <v/>
      </c>
    </row>
    <row r="1374">
      <c r="H1374" s="6" t="n"/>
      <c r="I1374" s="6" t="n"/>
      <c r="M1374" s="7" t="n"/>
      <c r="N1374" s="7" t="n"/>
      <c r="O1374" s="7" t="n"/>
      <c r="P1374" s="8">
        <f>IF(NOT(ISNUMBER(M1374)),"",IF(G1374="Terreno",IF(AND(ISNUMBER(I1374),I1374&gt;0),M1374/I1374,""),IF(AND(ISNUMBER(H1374),H1374&gt;0),M1374/H1374,"")))</f>
        <v/>
      </c>
      <c r="Q1374" s="9">
        <f>IF(AND(ISNUMBER(M1374),ISNUMBER(O1374)),IF(M1374&lt;=O1374,"Valor ≤ venal IPTU",""),"")</f>
        <v/>
      </c>
      <c r="R1374" s="10" t="n"/>
      <c r="S1374" s="10" t="n"/>
      <c r="AA1374" s="10" t="n"/>
      <c r="AB1374" s="11">
        <f>IF(LEN(TRIM(X1374))=0,"",HYPERLINK("https://www.google.com/maps/@?api=1&amp;map_action=pano&amp;viewpoint="&amp;SUBSTITUTE(X1374," ",""),"Abrir Street View"))</f>
        <v/>
      </c>
    </row>
    <row r="1375">
      <c r="H1375" s="6" t="n"/>
      <c r="I1375" s="6" t="n"/>
      <c r="M1375" s="7" t="n"/>
      <c r="N1375" s="7" t="n"/>
      <c r="O1375" s="7" t="n"/>
      <c r="P1375" s="8">
        <f>IF(NOT(ISNUMBER(M1375)),"",IF(G1375="Terreno",IF(AND(ISNUMBER(I1375),I1375&gt;0),M1375/I1375,""),IF(AND(ISNUMBER(H1375),H1375&gt;0),M1375/H1375,"")))</f>
        <v/>
      </c>
      <c r="Q1375" s="9">
        <f>IF(AND(ISNUMBER(M1375),ISNUMBER(O1375)),IF(M1375&lt;=O1375,"Valor ≤ venal IPTU",""),"")</f>
        <v/>
      </c>
      <c r="R1375" s="10" t="n"/>
      <c r="S1375" s="10" t="n"/>
      <c r="AA1375" s="10" t="n"/>
      <c r="AB1375" s="11">
        <f>IF(LEN(TRIM(X1375))=0,"",HYPERLINK("https://www.google.com/maps/@?api=1&amp;map_action=pano&amp;viewpoint="&amp;SUBSTITUTE(X1375," ",""),"Abrir Street View"))</f>
        <v/>
      </c>
    </row>
    <row r="1376">
      <c r="H1376" s="6" t="n"/>
      <c r="I1376" s="6" t="n"/>
      <c r="M1376" s="7" t="n"/>
      <c r="N1376" s="7" t="n"/>
      <c r="O1376" s="7" t="n"/>
      <c r="P1376" s="8">
        <f>IF(NOT(ISNUMBER(M1376)),"",IF(G1376="Terreno",IF(AND(ISNUMBER(I1376),I1376&gt;0),M1376/I1376,""),IF(AND(ISNUMBER(H1376),H1376&gt;0),M1376/H1376,"")))</f>
        <v/>
      </c>
      <c r="Q1376" s="9">
        <f>IF(AND(ISNUMBER(M1376),ISNUMBER(O1376)),IF(M1376&lt;=O1376,"Valor ≤ venal IPTU",""),"")</f>
        <v/>
      </c>
      <c r="R1376" s="10" t="n"/>
      <c r="S1376" s="10" t="n"/>
      <c r="AA1376" s="10" t="n"/>
      <c r="AB1376" s="11">
        <f>IF(LEN(TRIM(X1376))=0,"",HYPERLINK("https://www.google.com/maps/@?api=1&amp;map_action=pano&amp;viewpoint="&amp;SUBSTITUTE(X1376," ",""),"Abrir Street View"))</f>
        <v/>
      </c>
    </row>
    <row r="1377">
      <c r="H1377" s="6" t="n"/>
      <c r="I1377" s="6" t="n"/>
      <c r="M1377" s="7" t="n"/>
      <c r="N1377" s="7" t="n"/>
      <c r="O1377" s="7" t="n"/>
      <c r="P1377" s="8">
        <f>IF(NOT(ISNUMBER(M1377)),"",IF(G1377="Terreno",IF(AND(ISNUMBER(I1377),I1377&gt;0),M1377/I1377,""),IF(AND(ISNUMBER(H1377),H1377&gt;0),M1377/H1377,"")))</f>
        <v/>
      </c>
      <c r="Q1377" s="9">
        <f>IF(AND(ISNUMBER(M1377),ISNUMBER(O1377)),IF(M1377&lt;=O1377,"Valor ≤ venal IPTU",""),"")</f>
        <v/>
      </c>
      <c r="R1377" s="10" t="n"/>
      <c r="S1377" s="10" t="n"/>
      <c r="AA1377" s="10" t="n"/>
      <c r="AB1377" s="11">
        <f>IF(LEN(TRIM(X1377))=0,"",HYPERLINK("https://www.google.com/maps/@?api=1&amp;map_action=pano&amp;viewpoint="&amp;SUBSTITUTE(X1377," ",""),"Abrir Street View"))</f>
        <v/>
      </c>
    </row>
    <row r="1378">
      <c r="H1378" s="6" t="n"/>
      <c r="I1378" s="6" t="n"/>
      <c r="M1378" s="7" t="n"/>
      <c r="N1378" s="7" t="n"/>
      <c r="O1378" s="7" t="n"/>
      <c r="P1378" s="8">
        <f>IF(NOT(ISNUMBER(M1378)),"",IF(G1378="Terreno",IF(AND(ISNUMBER(I1378),I1378&gt;0),M1378/I1378,""),IF(AND(ISNUMBER(H1378),H1378&gt;0),M1378/H1378,"")))</f>
        <v/>
      </c>
      <c r="Q1378" s="9">
        <f>IF(AND(ISNUMBER(M1378),ISNUMBER(O1378)),IF(M1378&lt;=O1378,"Valor ≤ venal IPTU",""),"")</f>
        <v/>
      </c>
      <c r="R1378" s="10" t="n"/>
      <c r="S1378" s="10" t="n"/>
      <c r="AA1378" s="10" t="n"/>
      <c r="AB1378" s="11">
        <f>IF(LEN(TRIM(X1378))=0,"",HYPERLINK("https://www.google.com/maps/@?api=1&amp;map_action=pano&amp;viewpoint="&amp;SUBSTITUTE(X1378," ",""),"Abrir Street View"))</f>
        <v/>
      </c>
    </row>
    <row r="1379">
      <c r="H1379" s="6" t="n"/>
      <c r="I1379" s="6" t="n"/>
      <c r="M1379" s="7" t="n"/>
      <c r="N1379" s="7" t="n"/>
      <c r="O1379" s="7" t="n"/>
      <c r="P1379" s="8">
        <f>IF(NOT(ISNUMBER(M1379)),"",IF(G1379="Terreno",IF(AND(ISNUMBER(I1379),I1379&gt;0),M1379/I1379,""),IF(AND(ISNUMBER(H1379),H1379&gt;0),M1379/H1379,"")))</f>
        <v/>
      </c>
      <c r="Q1379" s="9">
        <f>IF(AND(ISNUMBER(M1379),ISNUMBER(O1379)),IF(M1379&lt;=O1379,"Valor ≤ venal IPTU",""),"")</f>
        <v/>
      </c>
      <c r="R1379" s="10" t="n"/>
      <c r="S1379" s="10" t="n"/>
      <c r="AA1379" s="10" t="n"/>
      <c r="AB1379" s="11">
        <f>IF(LEN(TRIM(X1379))=0,"",HYPERLINK("https://www.google.com/maps/@?api=1&amp;map_action=pano&amp;viewpoint="&amp;SUBSTITUTE(X1379," ",""),"Abrir Street View"))</f>
        <v/>
      </c>
    </row>
    <row r="1380">
      <c r="H1380" s="6" t="n"/>
      <c r="I1380" s="6" t="n"/>
      <c r="M1380" s="7" t="n"/>
      <c r="N1380" s="7" t="n"/>
      <c r="O1380" s="7" t="n"/>
      <c r="P1380" s="8">
        <f>IF(NOT(ISNUMBER(M1380)),"",IF(G1380="Terreno",IF(AND(ISNUMBER(I1380),I1380&gt;0),M1380/I1380,""),IF(AND(ISNUMBER(H1380),H1380&gt;0),M1380/H1380,"")))</f>
        <v/>
      </c>
      <c r="Q1380" s="9">
        <f>IF(AND(ISNUMBER(M1380),ISNUMBER(O1380)),IF(M1380&lt;=O1380,"Valor ≤ venal IPTU",""),"")</f>
        <v/>
      </c>
      <c r="R1380" s="10" t="n"/>
      <c r="S1380" s="10" t="n"/>
      <c r="AA1380" s="10" t="n"/>
      <c r="AB1380" s="11">
        <f>IF(LEN(TRIM(X1380))=0,"",HYPERLINK("https://www.google.com/maps/@?api=1&amp;map_action=pano&amp;viewpoint="&amp;SUBSTITUTE(X1380," ",""),"Abrir Street View"))</f>
        <v/>
      </c>
    </row>
    <row r="1381">
      <c r="H1381" s="6" t="n"/>
      <c r="I1381" s="6" t="n"/>
      <c r="M1381" s="7" t="n"/>
      <c r="N1381" s="7" t="n"/>
      <c r="O1381" s="7" t="n"/>
      <c r="P1381" s="8">
        <f>IF(NOT(ISNUMBER(M1381)),"",IF(G1381="Terreno",IF(AND(ISNUMBER(I1381),I1381&gt;0),M1381/I1381,""),IF(AND(ISNUMBER(H1381),H1381&gt;0),M1381/H1381,"")))</f>
        <v/>
      </c>
      <c r="Q1381" s="9">
        <f>IF(AND(ISNUMBER(M1381),ISNUMBER(O1381)),IF(M1381&lt;=O1381,"Valor ≤ venal IPTU",""),"")</f>
        <v/>
      </c>
      <c r="R1381" s="10" t="n"/>
      <c r="S1381" s="10" t="n"/>
      <c r="AA1381" s="10" t="n"/>
      <c r="AB1381" s="11">
        <f>IF(LEN(TRIM(X1381))=0,"",HYPERLINK("https://www.google.com/maps/@?api=1&amp;map_action=pano&amp;viewpoint="&amp;SUBSTITUTE(X1381," ",""),"Abrir Street View"))</f>
        <v/>
      </c>
    </row>
    <row r="1382">
      <c r="H1382" s="6" t="n"/>
      <c r="I1382" s="6" t="n"/>
      <c r="M1382" s="7" t="n"/>
      <c r="N1382" s="7" t="n"/>
      <c r="O1382" s="7" t="n"/>
      <c r="P1382" s="8">
        <f>IF(NOT(ISNUMBER(M1382)),"",IF(G1382="Terreno",IF(AND(ISNUMBER(I1382),I1382&gt;0),M1382/I1382,""),IF(AND(ISNUMBER(H1382),H1382&gt;0),M1382/H1382,"")))</f>
        <v/>
      </c>
      <c r="Q1382" s="9">
        <f>IF(AND(ISNUMBER(M1382),ISNUMBER(O1382)),IF(M1382&lt;=O1382,"Valor ≤ venal IPTU",""),"")</f>
        <v/>
      </c>
      <c r="R1382" s="10" t="n"/>
      <c r="S1382" s="10" t="n"/>
      <c r="AA1382" s="10" t="n"/>
      <c r="AB1382" s="11">
        <f>IF(LEN(TRIM(X1382))=0,"",HYPERLINK("https://www.google.com/maps/@?api=1&amp;map_action=pano&amp;viewpoint="&amp;SUBSTITUTE(X1382," ",""),"Abrir Street View"))</f>
        <v/>
      </c>
    </row>
    <row r="1383">
      <c r="H1383" s="6" t="n"/>
      <c r="I1383" s="6" t="n"/>
      <c r="M1383" s="7" t="n"/>
      <c r="N1383" s="7" t="n"/>
      <c r="O1383" s="7" t="n"/>
      <c r="P1383" s="8">
        <f>IF(NOT(ISNUMBER(M1383)),"",IF(G1383="Terreno",IF(AND(ISNUMBER(I1383),I1383&gt;0),M1383/I1383,""),IF(AND(ISNUMBER(H1383),H1383&gt;0),M1383/H1383,"")))</f>
        <v/>
      </c>
      <c r="Q1383" s="9">
        <f>IF(AND(ISNUMBER(M1383),ISNUMBER(O1383)),IF(M1383&lt;=O1383,"Valor ≤ venal IPTU",""),"")</f>
        <v/>
      </c>
      <c r="R1383" s="10" t="n"/>
      <c r="S1383" s="10" t="n"/>
      <c r="AA1383" s="10" t="n"/>
      <c r="AB1383" s="11">
        <f>IF(LEN(TRIM(X1383))=0,"",HYPERLINK("https://www.google.com/maps/@?api=1&amp;map_action=pano&amp;viewpoint="&amp;SUBSTITUTE(X1383," ",""),"Abrir Street View"))</f>
        <v/>
      </c>
    </row>
    <row r="1384">
      <c r="H1384" s="6" t="n"/>
      <c r="I1384" s="6" t="n"/>
      <c r="M1384" s="7" t="n"/>
      <c r="N1384" s="7" t="n"/>
      <c r="O1384" s="7" t="n"/>
      <c r="P1384" s="8">
        <f>IF(NOT(ISNUMBER(M1384)),"",IF(G1384="Terreno",IF(AND(ISNUMBER(I1384),I1384&gt;0),M1384/I1384,""),IF(AND(ISNUMBER(H1384),H1384&gt;0),M1384/H1384,"")))</f>
        <v/>
      </c>
      <c r="Q1384" s="9">
        <f>IF(AND(ISNUMBER(M1384),ISNUMBER(O1384)),IF(M1384&lt;=O1384,"Valor ≤ venal IPTU",""),"")</f>
        <v/>
      </c>
      <c r="R1384" s="10" t="n"/>
      <c r="S1384" s="10" t="n"/>
      <c r="AA1384" s="10" t="n"/>
      <c r="AB1384" s="11">
        <f>IF(LEN(TRIM(X1384))=0,"",HYPERLINK("https://www.google.com/maps/@?api=1&amp;map_action=pano&amp;viewpoint="&amp;SUBSTITUTE(X1384," ",""),"Abrir Street View"))</f>
        <v/>
      </c>
    </row>
    <row r="1385">
      <c r="H1385" s="6" t="n"/>
      <c r="I1385" s="6" t="n"/>
      <c r="M1385" s="7" t="n"/>
      <c r="N1385" s="7" t="n"/>
      <c r="O1385" s="7" t="n"/>
      <c r="P1385" s="8">
        <f>IF(NOT(ISNUMBER(M1385)),"",IF(G1385="Terreno",IF(AND(ISNUMBER(I1385),I1385&gt;0),M1385/I1385,""),IF(AND(ISNUMBER(H1385),H1385&gt;0),M1385/H1385,"")))</f>
        <v/>
      </c>
      <c r="Q1385" s="9">
        <f>IF(AND(ISNUMBER(M1385),ISNUMBER(O1385)),IF(M1385&lt;=O1385,"Valor ≤ venal IPTU",""),"")</f>
        <v/>
      </c>
      <c r="R1385" s="10" t="n"/>
      <c r="S1385" s="10" t="n"/>
      <c r="AA1385" s="10" t="n"/>
      <c r="AB1385" s="11">
        <f>IF(LEN(TRIM(X1385))=0,"",HYPERLINK("https://www.google.com/maps/@?api=1&amp;map_action=pano&amp;viewpoint="&amp;SUBSTITUTE(X1385," ",""),"Abrir Street View"))</f>
        <v/>
      </c>
    </row>
    <row r="1386">
      <c r="H1386" s="6" t="n"/>
      <c r="I1386" s="6" t="n"/>
      <c r="M1386" s="7" t="n"/>
      <c r="N1386" s="7" t="n"/>
      <c r="O1386" s="7" t="n"/>
      <c r="P1386" s="8">
        <f>IF(NOT(ISNUMBER(M1386)),"",IF(G1386="Terreno",IF(AND(ISNUMBER(I1386),I1386&gt;0),M1386/I1386,""),IF(AND(ISNUMBER(H1386),H1386&gt;0),M1386/H1386,"")))</f>
        <v/>
      </c>
      <c r="Q1386" s="9">
        <f>IF(AND(ISNUMBER(M1386),ISNUMBER(O1386)),IF(M1386&lt;=O1386,"Valor ≤ venal IPTU",""),"")</f>
        <v/>
      </c>
      <c r="R1386" s="10" t="n"/>
      <c r="S1386" s="10" t="n"/>
      <c r="AA1386" s="10" t="n"/>
      <c r="AB1386" s="11">
        <f>IF(LEN(TRIM(X1386))=0,"",HYPERLINK("https://www.google.com/maps/@?api=1&amp;map_action=pano&amp;viewpoint="&amp;SUBSTITUTE(X1386," ",""),"Abrir Street View"))</f>
        <v/>
      </c>
    </row>
    <row r="1387">
      <c r="H1387" s="6" t="n"/>
      <c r="I1387" s="6" t="n"/>
      <c r="M1387" s="7" t="n"/>
      <c r="N1387" s="7" t="n"/>
      <c r="O1387" s="7" t="n"/>
      <c r="P1387" s="8">
        <f>IF(NOT(ISNUMBER(M1387)),"",IF(G1387="Terreno",IF(AND(ISNUMBER(I1387),I1387&gt;0),M1387/I1387,""),IF(AND(ISNUMBER(H1387),H1387&gt;0),M1387/H1387,"")))</f>
        <v/>
      </c>
      <c r="Q1387" s="9">
        <f>IF(AND(ISNUMBER(M1387),ISNUMBER(O1387)),IF(M1387&lt;=O1387,"Valor ≤ venal IPTU",""),"")</f>
        <v/>
      </c>
      <c r="R1387" s="10" t="n"/>
      <c r="S1387" s="10" t="n"/>
      <c r="AA1387" s="10" t="n"/>
      <c r="AB1387" s="11">
        <f>IF(LEN(TRIM(X1387))=0,"",HYPERLINK("https://www.google.com/maps/@?api=1&amp;map_action=pano&amp;viewpoint="&amp;SUBSTITUTE(X1387," ",""),"Abrir Street View"))</f>
        <v/>
      </c>
    </row>
    <row r="1388">
      <c r="H1388" s="6" t="n"/>
      <c r="I1388" s="6" t="n"/>
      <c r="M1388" s="7" t="n"/>
      <c r="N1388" s="7" t="n"/>
      <c r="O1388" s="7" t="n"/>
      <c r="P1388" s="8">
        <f>IF(NOT(ISNUMBER(M1388)),"",IF(G1388="Terreno",IF(AND(ISNUMBER(I1388),I1388&gt;0),M1388/I1388,""),IF(AND(ISNUMBER(H1388),H1388&gt;0),M1388/H1388,"")))</f>
        <v/>
      </c>
      <c r="Q1388" s="9">
        <f>IF(AND(ISNUMBER(M1388),ISNUMBER(O1388)),IF(M1388&lt;=O1388,"Valor ≤ venal IPTU",""),"")</f>
        <v/>
      </c>
      <c r="R1388" s="10" t="n"/>
      <c r="S1388" s="10" t="n"/>
      <c r="AA1388" s="10" t="n"/>
      <c r="AB1388" s="11">
        <f>IF(LEN(TRIM(X1388))=0,"",HYPERLINK("https://www.google.com/maps/@?api=1&amp;map_action=pano&amp;viewpoint="&amp;SUBSTITUTE(X1388," ",""),"Abrir Street View"))</f>
        <v/>
      </c>
    </row>
    <row r="1389">
      <c r="H1389" s="6" t="n"/>
      <c r="I1389" s="6" t="n"/>
      <c r="M1389" s="7" t="n"/>
      <c r="N1389" s="7" t="n"/>
      <c r="O1389" s="7" t="n"/>
      <c r="P1389" s="8">
        <f>IF(NOT(ISNUMBER(M1389)),"",IF(G1389="Terreno",IF(AND(ISNUMBER(I1389),I1389&gt;0),M1389/I1389,""),IF(AND(ISNUMBER(H1389),H1389&gt;0),M1389/H1389,"")))</f>
        <v/>
      </c>
      <c r="Q1389" s="9">
        <f>IF(AND(ISNUMBER(M1389),ISNUMBER(O1389)),IF(M1389&lt;=O1389,"Valor ≤ venal IPTU",""),"")</f>
        <v/>
      </c>
      <c r="R1389" s="10" t="n"/>
      <c r="S1389" s="10" t="n"/>
      <c r="AA1389" s="10" t="n"/>
      <c r="AB1389" s="11">
        <f>IF(LEN(TRIM(X1389))=0,"",HYPERLINK("https://www.google.com/maps/@?api=1&amp;map_action=pano&amp;viewpoint="&amp;SUBSTITUTE(X1389," ",""),"Abrir Street View"))</f>
        <v/>
      </c>
    </row>
    <row r="1390">
      <c r="H1390" s="6" t="n"/>
      <c r="I1390" s="6" t="n"/>
      <c r="M1390" s="7" t="n"/>
      <c r="N1390" s="7" t="n"/>
      <c r="O1390" s="7" t="n"/>
      <c r="P1390" s="8">
        <f>IF(NOT(ISNUMBER(M1390)),"",IF(G1390="Terreno",IF(AND(ISNUMBER(I1390),I1390&gt;0),M1390/I1390,""),IF(AND(ISNUMBER(H1390),H1390&gt;0),M1390/H1390,"")))</f>
        <v/>
      </c>
      <c r="Q1390" s="9">
        <f>IF(AND(ISNUMBER(M1390),ISNUMBER(O1390)),IF(M1390&lt;=O1390,"Valor ≤ venal IPTU",""),"")</f>
        <v/>
      </c>
      <c r="R1390" s="10" t="n"/>
      <c r="S1390" s="10" t="n"/>
      <c r="AA1390" s="10" t="n"/>
      <c r="AB1390" s="11">
        <f>IF(LEN(TRIM(X1390))=0,"",HYPERLINK("https://www.google.com/maps/@?api=1&amp;map_action=pano&amp;viewpoint="&amp;SUBSTITUTE(X1390," ",""),"Abrir Street View"))</f>
        <v/>
      </c>
    </row>
    <row r="1391">
      <c r="H1391" s="6" t="n"/>
      <c r="I1391" s="6" t="n"/>
      <c r="M1391" s="7" t="n"/>
      <c r="N1391" s="7" t="n"/>
      <c r="O1391" s="7" t="n"/>
      <c r="P1391" s="8">
        <f>IF(NOT(ISNUMBER(M1391)),"",IF(G1391="Terreno",IF(AND(ISNUMBER(I1391),I1391&gt;0),M1391/I1391,""),IF(AND(ISNUMBER(H1391),H1391&gt;0),M1391/H1391,"")))</f>
        <v/>
      </c>
      <c r="Q1391" s="9">
        <f>IF(AND(ISNUMBER(M1391),ISNUMBER(O1391)),IF(M1391&lt;=O1391,"Valor ≤ venal IPTU",""),"")</f>
        <v/>
      </c>
      <c r="R1391" s="10" t="n"/>
      <c r="S1391" s="10" t="n"/>
      <c r="AA1391" s="10" t="n"/>
      <c r="AB1391" s="11">
        <f>IF(LEN(TRIM(X1391))=0,"",HYPERLINK("https://www.google.com/maps/@?api=1&amp;map_action=pano&amp;viewpoint="&amp;SUBSTITUTE(X1391," ",""),"Abrir Street View"))</f>
        <v/>
      </c>
    </row>
    <row r="1392">
      <c r="H1392" s="6" t="n"/>
      <c r="I1392" s="6" t="n"/>
      <c r="M1392" s="7" t="n"/>
      <c r="N1392" s="7" t="n"/>
      <c r="O1392" s="7" t="n"/>
      <c r="P1392" s="8">
        <f>IF(NOT(ISNUMBER(M1392)),"",IF(G1392="Terreno",IF(AND(ISNUMBER(I1392),I1392&gt;0),M1392/I1392,""),IF(AND(ISNUMBER(H1392),H1392&gt;0),M1392/H1392,"")))</f>
        <v/>
      </c>
      <c r="Q1392" s="9">
        <f>IF(AND(ISNUMBER(M1392),ISNUMBER(O1392)),IF(M1392&lt;=O1392,"Valor ≤ venal IPTU",""),"")</f>
        <v/>
      </c>
      <c r="R1392" s="10" t="n"/>
      <c r="S1392" s="10" t="n"/>
      <c r="AA1392" s="10" t="n"/>
      <c r="AB1392" s="11">
        <f>IF(LEN(TRIM(X1392))=0,"",HYPERLINK("https://www.google.com/maps/@?api=1&amp;map_action=pano&amp;viewpoint="&amp;SUBSTITUTE(X1392," ",""),"Abrir Street View"))</f>
        <v/>
      </c>
    </row>
    <row r="1393">
      <c r="H1393" s="6" t="n"/>
      <c r="I1393" s="6" t="n"/>
      <c r="M1393" s="7" t="n"/>
      <c r="N1393" s="7" t="n"/>
      <c r="O1393" s="7" t="n"/>
      <c r="P1393" s="8">
        <f>IF(NOT(ISNUMBER(M1393)),"",IF(G1393="Terreno",IF(AND(ISNUMBER(I1393),I1393&gt;0),M1393/I1393,""),IF(AND(ISNUMBER(H1393),H1393&gt;0),M1393/H1393,"")))</f>
        <v/>
      </c>
      <c r="Q1393" s="9">
        <f>IF(AND(ISNUMBER(M1393),ISNUMBER(O1393)),IF(M1393&lt;=O1393,"Valor ≤ venal IPTU",""),"")</f>
        <v/>
      </c>
      <c r="R1393" s="10" t="n"/>
      <c r="S1393" s="10" t="n"/>
      <c r="AA1393" s="10" t="n"/>
      <c r="AB1393" s="11">
        <f>IF(LEN(TRIM(X1393))=0,"",HYPERLINK("https://www.google.com/maps/@?api=1&amp;map_action=pano&amp;viewpoint="&amp;SUBSTITUTE(X1393," ",""),"Abrir Street View"))</f>
        <v/>
      </c>
    </row>
    <row r="1394">
      <c r="H1394" s="6" t="n"/>
      <c r="I1394" s="6" t="n"/>
      <c r="M1394" s="7" t="n"/>
      <c r="N1394" s="7" t="n"/>
      <c r="O1394" s="7" t="n"/>
      <c r="P1394" s="8">
        <f>IF(NOT(ISNUMBER(M1394)),"",IF(G1394="Terreno",IF(AND(ISNUMBER(I1394),I1394&gt;0),M1394/I1394,""),IF(AND(ISNUMBER(H1394),H1394&gt;0),M1394/H1394,"")))</f>
        <v/>
      </c>
      <c r="Q1394" s="9">
        <f>IF(AND(ISNUMBER(M1394),ISNUMBER(O1394)),IF(M1394&lt;=O1394,"Valor ≤ venal IPTU",""),"")</f>
        <v/>
      </c>
      <c r="R1394" s="10" t="n"/>
      <c r="S1394" s="10" t="n"/>
      <c r="AA1394" s="10" t="n"/>
      <c r="AB1394" s="11">
        <f>IF(LEN(TRIM(X1394))=0,"",HYPERLINK("https://www.google.com/maps/@?api=1&amp;map_action=pano&amp;viewpoint="&amp;SUBSTITUTE(X1394," ",""),"Abrir Street View"))</f>
        <v/>
      </c>
    </row>
    <row r="1395">
      <c r="H1395" s="6" t="n"/>
      <c r="I1395" s="6" t="n"/>
      <c r="M1395" s="7" t="n"/>
      <c r="N1395" s="7" t="n"/>
      <c r="O1395" s="7" t="n"/>
      <c r="P1395" s="8">
        <f>IF(NOT(ISNUMBER(M1395)),"",IF(G1395="Terreno",IF(AND(ISNUMBER(I1395),I1395&gt;0),M1395/I1395,""),IF(AND(ISNUMBER(H1395),H1395&gt;0),M1395/H1395,"")))</f>
        <v/>
      </c>
      <c r="Q1395" s="9">
        <f>IF(AND(ISNUMBER(M1395),ISNUMBER(O1395)),IF(M1395&lt;=O1395,"Valor ≤ venal IPTU",""),"")</f>
        <v/>
      </c>
      <c r="R1395" s="10" t="n"/>
      <c r="S1395" s="10" t="n"/>
      <c r="AA1395" s="10" t="n"/>
      <c r="AB1395" s="11">
        <f>IF(LEN(TRIM(X1395))=0,"",HYPERLINK("https://www.google.com/maps/@?api=1&amp;map_action=pano&amp;viewpoint="&amp;SUBSTITUTE(X1395," ",""),"Abrir Street View"))</f>
        <v/>
      </c>
    </row>
    <row r="1396">
      <c r="H1396" s="6" t="n"/>
      <c r="I1396" s="6" t="n"/>
      <c r="M1396" s="7" t="n"/>
      <c r="N1396" s="7" t="n"/>
      <c r="O1396" s="7" t="n"/>
      <c r="P1396" s="8">
        <f>IF(NOT(ISNUMBER(M1396)),"",IF(G1396="Terreno",IF(AND(ISNUMBER(I1396),I1396&gt;0),M1396/I1396,""),IF(AND(ISNUMBER(H1396),H1396&gt;0),M1396/H1396,"")))</f>
        <v/>
      </c>
      <c r="Q1396" s="9">
        <f>IF(AND(ISNUMBER(M1396),ISNUMBER(O1396)),IF(M1396&lt;=O1396,"Valor ≤ venal IPTU",""),"")</f>
        <v/>
      </c>
      <c r="R1396" s="10" t="n"/>
      <c r="S1396" s="10" t="n"/>
      <c r="AA1396" s="10" t="n"/>
      <c r="AB1396" s="11">
        <f>IF(LEN(TRIM(X1396))=0,"",HYPERLINK("https://www.google.com/maps/@?api=1&amp;map_action=pano&amp;viewpoint="&amp;SUBSTITUTE(X1396," ",""),"Abrir Street View"))</f>
        <v/>
      </c>
    </row>
    <row r="1397">
      <c r="H1397" s="6" t="n"/>
      <c r="I1397" s="6" t="n"/>
      <c r="M1397" s="7" t="n"/>
      <c r="N1397" s="7" t="n"/>
      <c r="O1397" s="7" t="n"/>
      <c r="P1397" s="8">
        <f>IF(NOT(ISNUMBER(M1397)),"",IF(G1397="Terreno",IF(AND(ISNUMBER(I1397),I1397&gt;0),M1397/I1397,""),IF(AND(ISNUMBER(H1397),H1397&gt;0),M1397/H1397,"")))</f>
        <v/>
      </c>
      <c r="Q1397" s="9">
        <f>IF(AND(ISNUMBER(M1397),ISNUMBER(O1397)),IF(M1397&lt;=O1397,"Valor ≤ venal IPTU",""),"")</f>
        <v/>
      </c>
      <c r="R1397" s="10" t="n"/>
      <c r="S1397" s="10" t="n"/>
      <c r="AA1397" s="10" t="n"/>
      <c r="AB1397" s="11">
        <f>IF(LEN(TRIM(X1397))=0,"",HYPERLINK("https://www.google.com/maps/@?api=1&amp;map_action=pano&amp;viewpoint="&amp;SUBSTITUTE(X1397," ",""),"Abrir Street View"))</f>
        <v/>
      </c>
    </row>
    <row r="1398">
      <c r="H1398" s="6" t="n"/>
      <c r="I1398" s="6" t="n"/>
      <c r="M1398" s="7" t="n"/>
      <c r="N1398" s="7" t="n"/>
      <c r="O1398" s="7" t="n"/>
      <c r="P1398" s="8">
        <f>IF(NOT(ISNUMBER(M1398)),"",IF(G1398="Terreno",IF(AND(ISNUMBER(I1398),I1398&gt;0),M1398/I1398,""),IF(AND(ISNUMBER(H1398),H1398&gt;0),M1398/H1398,"")))</f>
        <v/>
      </c>
      <c r="Q1398" s="9">
        <f>IF(AND(ISNUMBER(M1398),ISNUMBER(O1398)),IF(M1398&lt;=O1398,"Valor ≤ venal IPTU",""),"")</f>
        <v/>
      </c>
      <c r="R1398" s="10" t="n"/>
      <c r="S1398" s="10" t="n"/>
      <c r="AA1398" s="10" t="n"/>
      <c r="AB1398" s="11">
        <f>IF(LEN(TRIM(X1398))=0,"",HYPERLINK("https://www.google.com/maps/@?api=1&amp;map_action=pano&amp;viewpoint="&amp;SUBSTITUTE(X1398," ",""),"Abrir Street View"))</f>
        <v/>
      </c>
    </row>
    <row r="1399">
      <c r="H1399" s="6" t="n"/>
      <c r="I1399" s="6" t="n"/>
      <c r="M1399" s="7" t="n"/>
      <c r="N1399" s="7" t="n"/>
      <c r="O1399" s="7" t="n"/>
      <c r="P1399" s="8">
        <f>IF(NOT(ISNUMBER(M1399)),"",IF(G1399="Terreno",IF(AND(ISNUMBER(I1399),I1399&gt;0),M1399/I1399,""),IF(AND(ISNUMBER(H1399),H1399&gt;0),M1399/H1399,"")))</f>
        <v/>
      </c>
      <c r="Q1399" s="9">
        <f>IF(AND(ISNUMBER(M1399),ISNUMBER(O1399)),IF(M1399&lt;=O1399,"Valor ≤ venal IPTU",""),"")</f>
        <v/>
      </c>
      <c r="R1399" s="10" t="n"/>
      <c r="S1399" s="10" t="n"/>
      <c r="AA1399" s="10" t="n"/>
      <c r="AB1399" s="11">
        <f>IF(LEN(TRIM(X1399))=0,"",HYPERLINK("https://www.google.com/maps/@?api=1&amp;map_action=pano&amp;viewpoint="&amp;SUBSTITUTE(X1399," ",""),"Abrir Street View"))</f>
        <v/>
      </c>
    </row>
    <row r="1400">
      <c r="H1400" s="6" t="n"/>
      <c r="I1400" s="6" t="n"/>
      <c r="M1400" s="7" t="n"/>
      <c r="N1400" s="7" t="n"/>
      <c r="O1400" s="7" t="n"/>
      <c r="P1400" s="8">
        <f>IF(NOT(ISNUMBER(M1400)),"",IF(G1400="Terreno",IF(AND(ISNUMBER(I1400),I1400&gt;0),M1400/I1400,""),IF(AND(ISNUMBER(H1400),H1400&gt;0),M1400/H1400,"")))</f>
        <v/>
      </c>
      <c r="Q1400" s="9">
        <f>IF(AND(ISNUMBER(M1400),ISNUMBER(O1400)),IF(M1400&lt;=O1400,"Valor ≤ venal IPTU",""),"")</f>
        <v/>
      </c>
      <c r="R1400" s="10" t="n"/>
      <c r="S1400" s="10" t="n"/>
      <c r="AA1400" s="10" t="n"/>
      <c r="AB1400" s="11">
        <f>IF(LEN(TRIM(X1400))=0,"",HYPERLINK("https://www.google.com/maps/@?api=1&amp;map_action=pano&amp;viewpoint="&amp;SUBSTITUTE(X1400," ",""),"Abrir Street View"))</f>
        <v/>
      </c>
    </row>
    <row r="1401">
      <c r="H1401" s="6" t="n"/>
      <c r="I1401" s="6" t="n"/>
      <c r="M1401" s="7" t="n"/>
      <c r="N1401" s="7" t="n"/>
      <c r="O1401" s="7" t="n"/>
      <c r="P1401" s="8">
        <f>IF(NOT(ISNUMBER(M1401)),"",IF(G1401="Terreno",IF(AND(ISNUMBER(I1401),I1401&gt;0),M1401/I1401,""),IF(AND(ISNUMBER(H1401),H1401&gt;0),M1401/H1401,"")))</f>
        <v/>
      </c>
      <c r="Q1401" s="9">
        <f>IF(AND(ISNUMBER(M1401),ISNUMBER(O1401)),IF(M1401&lt;=O1401,"Valor ≤ venal IPTU",""),"")</f>
        <v/>
      </c>
      <c r="R1401" s="10" t="n"/>
      <c r="S1401" s="10" t="n"/>
      <c r="AA1401" s="10" t="n"/>
      <c r="AB1401" s="11">
        <f>IF(LEN(TRIM(X1401))=0,"",HYPERLINK("https://www.google.com/maps/@?api=1&amp;map_action=pano&amp;viewpoint="&amp;SUBSTITUTE(X1401," ",""),"Abrir Street View"))</f>
        <v/>
      </c>
    </row>
    <row r="1402">
      <c r="H1402" s="6" t="n"/>
      <c r="I1402" s="6" t="n"/>
      <c r="M1402" s="7" t="n"/>
      <c r="N1402" s="7" t="n"/>
      <c r="O1402" s="7" t="n"/>
      <c r="P1402" s="8">
        <f>IF(NOT(ISNUMBER(M1402)),"",IF(G1402="Terreno",IF(AND(ISNUMBER(I1402),I1402&gt;0),M1402/I1402,""),IF(AND(ISNUMBER(H1402),H1402&gt;0),M1402/H1402,"")))</f>
        <v/>
      </c>
      <c r="Q1402" s="9">
        <f>IF(AND(ISNUMBER(M1402),ISNUMBER(O1402)),IF(M1402&lt;=O1402,"Valor ≤ venal IPTU",""),"")</f>
        <v/>
      </c>
      <c r="R1402" s="10" t="n"/>
      <c r="S1402" s="10" t="n"/>
      <c r="AA1402" s="10" t="n"/>
      <c r="AB1402" s="11">
        <f>IF(LEN(TRIM(X1402))=0,"",HYPERLINK("https://www.google.com/maps/@?api=1&amp;map_action=pano&amp;viewpoint="&amp;SUBSTITUTE(X1402," ",""),"Abrir Street View"))</f>
        <v/>
      </c>
    </row>
    <row r="1403">
      <c r="H1403" s="6" t="n"/>
      <c r="I1403" s="6" t="n"/>
      <c r="M1403" s="7" t="n"/>
      <c r="N1403" s="7" t="n"/>
      <c r="O1403" s="7" t="n"/>
      <c r="P1403" s="8">
        <f>IF(NOT(ISNUMBER(M1403)),"",IF(G1403="Terreno",IF(AND(ISNUMBER(I1403),I1403&gt;0),M1403/I1403,""),IF(AND(ISNUMBER(H1403),H1403&gt;0),M1403/H1403,"")))</f>
        <v/>
      </c>
      <c r="Q1403" s="9">
        <f>IF(AND(ISNUMBER(M1403),ISNUMBER(O1403)),IF(M1403&lt;=O1403,"Valor ≤ venal IPTU",""),"")</f>
        <v/>
      </c>
      <c r="R1403" s="10" t="n"/>
      <c r="S1403" s="10" t="n"/>
      <c r="AA1403" s="10" t="n"/>
      <c r="AB1403" s="11">
        <f>IF(LEN(TRIM(X1403))=0,"",HYPERLINK("https://www.google.com/maps/@?api=1&amp;map_action=pano&amp;viewpoint="&amp;SUBSTITUTE(X1403," ",""),"Abrir Street View"))</f>
        <v/>
      </c>
    </row>
    <row r="1404">
      <c r="H1404" s="6" t="n"/>
      <c r="I1404" s="6" t="n"/>
      <c r="M1404" s="7" t="n"/>
      <c r="N1404" s="7" t="n"/>
      <c r="O1404" s="7" t="n"/>
      <c r="P1404" s="8">
        <f>IF(NOT(ISNUMBER(M1404)),"",IF(G1404="Terreno",IF(AND(ISNUMBER(I1404),I1404&gt;0),M1404/I1404,""),IF(AND(ISNUMBER(H1404),H1404&gt;0),M1404/H1404,"")))</f>
        <v/>
      </c>
      <c r="Q1404" s="9">
        <f>IF(AND(ISNUMBER(M1404),ISNUMBER(O1404)),IF(M1404&lt;=O1404,"Valor ≤ venal IPTU",""),"")</f>
        <v/>
      </c>
      <c r="R1404" s="10" t="n"/>
      <c r="S1404" s="10" t="n"/>
      <c r="AA1404" s="10" t="n"/>
      <c r="AB1404" s="11">
        <f>IF(LEN(TRIM(X1404))=0,"",HYPERLINK("https://www.google.com/maps/@?api=1&amp;map_action=pano&amp;viewpoint="&amp;SUBSTITUTE(X1404," ",""),"Abrir Street View"))</f>
        <v/>
      </c>
    </row>
    <row r="1405">
      <c r="H1405" s="6" t="n"/>
      <c r="I1405" s="6" t="n"/>
      <c r="M1405" s="7" t="n"/>
      <c r="N1405" s="7" t="n"/>
      <c r="O1405" s="7" t="n"/>
      <c r="P1405" s="8">
        <f>IF(NOT(ISNUMBER(M1405)),"",IF(G1405="Terreno",IF(AND(ISNUMBER(I1405),I1405&gt;0),M1405/I1405,""),IF(AND(ISNUMBER(H1405),H1405&gt;0),M1405/H1405,"")))</f>
        <v/>
      </c>
      <c r="Q1405" s="9">
        <f>IF(AND(ISNUMBER(M1405),ISNUMBER(O1405)),IF(M1405&lt;=O1405,"Valor ≤ venal IPTU",""),"")</f>
        <v/>
      </c>
      <c r="R1405" s="10" t="n"/>
      <c r="S1405" s="10" t="n"/>
      <c r="AA1405" s="10" t="n"/>
      <c r="AB1405" s="11">
        <f>IF(LEN(TRIM(X1405))=0,"",HYPERLINK("https://www.google.com/maps/@?api=1&amp;map_action=pano&amp;viewpoint="&amp;SUBSTITUTE(X1405," ",""),"Abrir Street View"))</f>
        <v/>
      </c>
    </row>
    <row r="1406">
      <c r="H1406" s="6" t="n"/>
      <c r="I1406" s="6" t="n"/>
      <c r="M1406" s="7" t="n"/>
      <c r="N1406" s="7" t="n"/>
      <c r="O1406" s="7" t="n"/>
      <c r="P1406" s="8">
        <f>IF(NOT(ISNUMBER(M1406)),"",IF(G1406="Terreno",IF(AND(ISNUMBER(I1406),I1406&gt;0),M1406/I1406,""),IF(AND(ISNUMBER(H1406),H1406&gt;0),M1406/H1406,"")))</f>
        <v/>
      </c>
      <c r="Q1406" s="9">
        <f>IF(AND(ISNUMBER(M1406),ISNUMBER(O1406)),IF(M1406&lt;=O1406,"Valor ≤ venal IPTU",""),"")</f>
        <v/>
      </c>
      <c r="R1406" s="10" t="n"/>
      <c r="S1406" s="10" t="n"/>
      <c r="AA1406" s="10" t="n"/>
      <c r="AB1406" s="11">
        <f>IF(LEN(TRIM(X1406))=0,"",HYPERLINK("https://www.google.com/maps/@?api=1&amp;map_action=pano&amp;viewpoint="&amp;SUBSTITUTE(X1406," ",""),"Abrir Street View"))</f>
        <v/>
      </c>
    </row>
    <row r="1407">
      <c r="H1407" s="6" t="n"/>
      <c r="I1407" s="6" t="n"/>
      <c r="M1407" s="7" t="n"/>
      <c r="N1407" s="7" t="n"/>
      <c r="O1407" s="7" t="n"/>
      <c r="P1407" s="8">
        <f>IF(NOT(ISNUMBER(M1407)),"",IF(G1407="Terreno",IF(AND(ISNUMBER(I1407),I1407&gt;0),M1407/I1407,""),IF(AND(ISNUMBER(H1407),H1407&gt;0),M1407/H1407,"")))</f>
        <v/>
      </c>
      <c r="Q1407" s="9">
        <f>IF(AND(ISNUMBER(M1407),ISNUMBER(O1407)),IF(M1407&lt;=O1407,"Valor ≤ venal IPTU",""),"")</f>
        <v/>
      </c>
      <c r="R1407" s="10" t="n"/>
      <c r="S1407" s="10" t="n"/>
      <c r="AA1407" s="10" t="n"/>
      <c r="AB1407" s="11">
        <f>IF(LEN(TRIM(X1407))=0,"",HYPERLINK("https://www.google.com/maps/@?api=1&amp;map_action=pano&amp;viewpoint="&amp;SUBSTITUTE(X1407," ",""),"Abrir Street View"))</f>
        <v/>
      </c>
    </row>
    <row r="1408">
      <c r="H1408" s="6" t="n"/>
      <c r="I1408" s="6" t="n"/>
      <c r="M1408" s="7" t="n"/>
      <c r="N1408" s="7" t="n"/>
      <c r="O1408" s="7" t="n"/>
      <c r="P1408" s="8">
        <f>IF(NOT(ISNUMBER(M1408)),"",IF(G1408="Terreno",IF(AND(ISNUMBER(I1408),I1408&gt;0),M1408/I1408,""),IF(AND(ISNUMBER(H1408),H1408&gt;0),M1408/H1408,"")))</f>
        <v/>
      </c>
      <c r="Q1408" s="9">
        <f>IF(AND(ISNUMBER(M1408),ISNUMBER(O1408)),IF(M1408&lt;=O1408,"Valor ≤ venal IPTU",""),"")</f>
        <v/>
      </c>
      <c r="R1408" s="10" t="n"/>
      <c r="S1408" s="10" t="n"/>
      <c r="AA1408" s="10" t="n"/>
      <c r="AB1408" s="11">
        <f>IF(LEN(TRIM(X1408))=0,"",HYPERLINK("https://www.google.com/maps/@?api=1&amp;map_action=pano&amp;viewpoint="&amp;SUBSTITUTE(X1408," ",""),"Abrir Street View"))</f>
        <v/>
      </c>
    </row>
    <row r="1409">
      <c r="H1409" s="6" t="n"/>
      <c r="I1409" s="6" t="n"/>
      <c r="M1409" s="7" t="n"/>
      <c r="N1409" s="7" t="n"/>
      <c r="O1409" s="7" t="n"/>
      <c r="P1409" s="8">
        <f>IF(NOT(ISNUMBER(M1409)),"",IF(G1409="Terreno",IF(AND(ISNUMBER(I1409),I1409&gt;0),M1409/I1409,""),IF(AND(ISNUMBER(H1409),H1409&gt;0),M1409/H1409,"")))</f>
        <v/>
      </c>
      <c r="Q1409" s="9">
        <f>IF(AND(ISNUMBER(M1409),ISNUMBER(O1409)),IF(M1409&lt;=O1409,"Valor ≤ venal IPTU",""),"")</f>
        <v/>
      </c>
      <c r="R1409" s="10" t="n"/>
      <c r="S1409" s="10" t="n"/>
      <c r="AA1409" s="10" t="n"/>
      <c r="AB1409" s="11">
        <f>IF(LEN(TRIM(X1409))=0,"",HYPERLINK("https://www.google.com/maps/@?api=1&amp;map_action=pano&amp;viewpoint="&amp;SUBSTITUTE(X1409," ",""),"Abrir Street View"))</f>
        <v/>
      </c>
    </row>
    <row r="1410">
      <c r="H1410" s="6" t="n"/>
      <c r="I1410" s="6" t="n"/>
      <c r="M1410" s="7" t="n"/>
      <c r="N1410" s="7" t="n"/>
      <c r="O1410" s="7" t="n"/>
      <c r="P1410" s="8">
        <f>IF(NOT(ISNUMBER(M1410)),"",IF(G1410="Terreno",IF(AND(ISNUMBER(I1410),I1410&gt;0),M1410/I1410,""),IF(AND(ISNUMBER(H1410),H1410&gt;0),M1410/H1410,"")))</f>
        <v/>
      </c>
      <c r="Q1410" s="9">
        <f>IF(AND(ISNUMBER(M1410),ISNUMBER(O1410)),IF(M1410&lt;=O1410,"Valor ≤ venal IPTU",""),"")</f>
        <v/>
      </c>
      <c r="R1410" s="10" t="n"/>
      <c r="S1410" s="10" t="n"/>
      <c r="AA1410" s="10" t="n"/>
      <c r="AB1410" s="11">
        <f>IF(LEN(TRIM(X1410))=0,"",HYPERLINK("https://www.google.com/maps/@?api=1&amp;map_action=pano&amp;viewpoint="&amp;SUBSTITUTE(X1410," ",""),"Abrir Street View"))</f>
        <v/>
      </c>
    </row>
    <row r="1411">
      <c r="H1411" s="6" t="n"/>
      <c r="I1411" s="6" t="n"/>
      <c r="M1411" s="7" t="n"/>
      <c r="N1411" s="7" t="n"/>
      <c r="O1411" s="7" t="n"/>
      <c r="P1411" s="8">
        <f>IF(NOT(ISNUMBER(M1411)),"",IF(G1411="Terreno",IF(AND(ISNUMBER(I1411),I1411&gt;0),M1411/I1411,""),IF(AND(ISNUMBER(H1411),H1411&gt;0),M1411/H1411,"")))</f>
        <v/>
      </c>
      <c r="Q1411" s="9">
        <f>IF(AND(ISNUMBER(M1411),ISNUMBER(O1411)),IF(M1411&lt;=O1411,"Valor ≤ venal IPTU",""),"")</f>
        <v/>
      </c>
      <c r="R1411" s="10" t="n"/>
      <c r="S1411" s="10" t="n"/>
      <c r="AA1411" s="10" t="n"/>
      <c r="AB1411" s="11">
        <f>IF(LEN(TRIM(X1411))=0,"",HYPERLINK("https://www.google.com/maps/@?api=1&amp;map_action=pano&amp;viewpoint="&amp;SUBSTITUTE(X1411," ",""),"Abrir Street View"))</f>
        <v/>
      </c>
    </row>
    <row r="1412">
      <c r="H1412" s="6" t="n"/>
      <c r="I1412" s="6" t="n"/>
      <c r="M1412" s="7" t="n"/>
      <c r="N1412" s="7" t="n"/>
      <c r="O1412" s="7" t="n"/>
      <c r="P1412" s="8">
        <f>IF(NOT(ISNUMBER(M1412)),"",IF(G1412="Terreno",IF(AND(ISNUMBER(I1412),I1412&gt;0),M1412/I1412,""),IF(AND(ISNUMBER(H1412),H1412&gt;0),M1412/H1412,"")))</f>
        <v/>
      </c>
      <c r="Q1412" s="9">
        <f>IF(AND(ISNUMBER(M1412),ISNUMBER(O1412)),IF(M1412&lt;=O1412,"Valor ≤ venal IPTU",""),"")</f>
        <v/>
      </c>
      <c r="R1412" s="10" t="n"/>
      <c r="S1412" s="10" t="n"/>
      <c r="AA1412" s="10" t="n"/>
      <c r="AB1412" s="11">
        <f>IF(LEN(TRIM(X1412))=0,"",HYPERLINK("https://www.google.com/maps/@?api=1&amp;map_action=pano&amp;viewpoint="&amp;SUBSTITUTE(X1412," ",""),"Abrir Street View"))</f>
        <v/>
      </c>
    </row>
    <row r="1413">
      <c r="H1413" s="6" t="n"/>
      <c r="I1413" s="6" t="n"/>
      <c r="M1413" s="7" t="n"/>
      <c r="N1413" s="7" t="n"/>
      <c r="O1413" s="7" t="n"/>
      <c r="P1413" s="8">
        <f>IF(NOT(ISNUMBER(M1413)),"",IF(G1413="Terreno",IF(AND(ISNUMBER(I1413),I1413&gt;0),M1413/I1413,""),IF(AND(ISNUMBER(H1413),H1413&gt;0),M1413/H1413,"")))</f>
        <v/>
      </c>
      <c r="Q1413" s="9">
        <f>IF(AND(ISNUMBER(M1413),ISNUMBER(O1413)),IF(M1413&lt;=O1413,"Valor ≤ venal IPTU",""),"")</f>
        <v/>
      </c>
      <c r="R1413" s="10" t="n"/>
      <c r="S1413" s="10" t="n"/>
      <c r="AA1413" s="10" t="n"/>
      <c r="AB1413" s="11">
        <f>IF(LEN(TRIM(X1413))=0,"",HYPERLINK("https://www.google.com/maps/@?api=1&amp;map_action=pano&amp;viewpoint="&amp;SUBSTITUTE(X1413," ",""),"Abrir Street View"))</f>
        <v/>
      </c>
    </row>
    <row r="1414">
      <c r="H1414" s="6" t="n"/>
      <c r="I1414" s="6" t="n"/>
      <c r="M1414" s="7" t="n"/>
      <c r="N1414" s="7" t="n"/>
      <c r="O1414" s="7" t="n"/>
      <c r="P1414" s="8">
        <f>IF(NOT(ISNUMBER(M1414)),"",IF(G1414="Terreno",IF(AND(ISNUMBER(I1414),I1414&gt;0),M1414/I1414,""),IF(AND(ISNUMBER(H1414),H1414&gt;0),M1414/H1414,"")))</f>
        <v/>
      </c>
      <c r="Q1414" s="9">
        <f>IF(AND(ISNUMBER(M1414),ISNUMBER(O1414)),IF(M1414&lt;=O1414,"Valor ≤ venal IPTU",""),"")</f>
        <v/>
      </c>
      <c r="R1414" s="10" t="n"/>
      <c r="S1414" s="10" t="n"/>
      <c r="AA1414" s="10" t="n"/>
      <c r="AB1414" s="11">
        <f>IF(LEN(TRIM(X1414))=0,"",HYPERLINK("https://www.google.com/maps/@?api=1&amp;map_action=pano&amp;viewpoint="&amp;SUBSTITUTE(X1414," ",""),"Abrir Street View"))</f>
        <v/>
      </c>
    </row>
    <row r="1415">
      <c r="H1415" s="6" t="n"/>
      <c r="I1415" s="6" t="n"/>
      <c r="M1415" s="7" t="n"/>
      <c r="N1415" s="7" t="n"/>
      <c r="O1415" s="7" t="n"/>
      <c r="P1415" s="8">
        <f>IF(NOT(ISNUMBER(M1415)),"",IF(G1415="Terreno",IF(AND(ISNUMBER(I1415),I1415&gt;0),M1415/I1415,""),IF(AND(ISNUMBER(H1415),H1415&gt;0),M1415/H1415,"")))</f>
        <v/>
      </c>
      <c r="Q1415" s="9">
        <f>IF(AND(ISNUMBER(M1415),ISNUMBER(O1415)),IF(M1415&lt;=O1415,"Valor ≤ venal IPTU",""),"")</f>
        <v/>
      </c>
      <c r="R1415" s="10" t="n"/>
      <c r="S1415" s="10" t="n"/>
      <c r="AA1415" s="10" t="n"/>
      <c r="AB1415" s="11">
        <f>IF(LEN(TRIM(X1415))=0,"",HYPERLINK("https://www.google.com/maps/@?api=1&amp;map_action=pano&amp;viewpoint="&amp;SUBSTITUTE(X1415," ",""),"Abrir Street View"))</f>
        <v/>
      </c>
    </row>
    <row r="1416">
      <c r="H1416" s="6" t="n"/>
      <c r="I1416" s="6" t="n"/>
      <c r="M1416" s="7" t="n"/>
      <c r="N1416" s="7" t="n"/>
      <c r="O1416" s="7" t="n"/>
      <c r="P1416" s="8">
        <f>IF(NOT(ISNUMBER(M1416)),"",IF(G1416="Terreno",IF(AND(ISNUMBER(I1416),I1416&gt;0),M1416/I1416,""),IF(AND(ISNUMBER(H1416),H1416&gt;0),M1416/H1416,"")))</f>
        <v/>
      </c>
      <c r="Q1416" s="9">
        <f>IF(AND(ISNUMBER(M1416),ISNUMBER(O1416)),IF(M1416&lt;=O1416,"Valor ≤ venal IPTU",""),"")</f>
        <v/>
      </c>
      <c r="R1416" s="10" t="n"/>
      <c r="S1416" s="10" t="n"/>
      <c r="AA1416" s="10" t="n"/>
      <c r="AB1416" s="11">
        <f>IF(LEN(TRIM(X1416))=0,"",HYPERLINK("https://www.google.com/maps/@?api=1&amp;map_action=pano&amp;viewpoint="&amp;SUBSTITUTE(X1416," ",""),"Abrir Street View"))</f>
        <v/>
      </c>
    </row>
    <row r="1417">
      <c r="H1417" s="6" t="n"/>
      <c r="I1417" s="6" t="n"/>
      <c r="M1417" s="7" t="n"/>
      <c r="N1417" s="7" t="n"/>
      <c r="O1417" s="7" t="n"/>
      <c r="P1417" s="8">
        <f>IF(NOT(ISNUMBER(M1417)),"",IF(G1417="Terreno",IF(AND(ISNUMBER(I1417),I1417&gt;0),M1417/I1417,""),IF(AND(ISNUMBER(H1417),H1417&gt;0),M1417/H1417,"")))</f>
        <v/>
      </c>
      <c r="Q1417" s="9">
        <f>IF(AND(ISNUMBER(M1417),ISNUMBER(O1417)),IF(M1417&lt;=O1417,"Valor ≤ venal IPTU",""),"")</f>
        <v/>
      </c>
      <c r="R1417" s="10" t="n"/>
      <c r="S1417" s="10" t="n"/>
      <c r="AA1417" s="10" t="n"/>
      <c r="AB1417" s="11">
        <f>IF(LEN(TRIM(X1417))=0,"",HYPERLINK("https://www.google.com/maps/@?api=1&amp;map_action=pano&amp;viewpoint="&amp;SUBSTITUTE(X1417," ",""),"Abrir Street View"))</f>
        <v/>
      </c>
    </row>
    <row r="1418">
      <c r="H1418" s="6" t="n"/>
      <c r="I1418" s="6" t="n"/>
      <c r="M1418" s="7" t="n"/>
      <c r="N1418" s="7" t="n"/>
      <c r="O1418" s="7" t="n"/>
      <c r="P1418" s="8">
        <f>IF(NOT(ISNUMBER(M1418)),"",IF(G1418="Terreno",IF(AND(ISNUMBER(I1418),I1418&gt;0),M1418/I1418,""),IF(AND(ISNUMBER(H1418),H1418&gt;0),M1418/H1418,"")))</f>
        <v/>
      </c>
      <c r="Q1418" s="9">
        <f>IF(AND(ISNUMBER(M1418),ISNUMBER(O1418)),IF(M1418&lt;=O1418,"Valor ≤ venal IPTU",""),"")</f>
        <v/>
      </c>
      <c r="R1418" s="10" t="n"/>
      <c r="S1418" s="10" t="n"/>
      <c r="AA1418" s="10" t="n"/>
      <c r="AB1418" s="11">
        <f>IF(LEN(TRIM(X1418))=0,"",HYPERLINK("https://www.google.com/maps/@?api=1&amp;map_action=pano&amp;viewpoint="&amp;SUBSTITUTE(X1418," ",""),"Abrir Street View"))</f>
        <v/>
      </c>
    </row>
    <row r="1419">
      <c r="H1419" s="6" t="n"/>
      <c r="I1419" s="6" t="n"/>
      <c r="M1419" s="7" t="n"/>
      <c r="N1419" s="7" t="n"/>
      <c r="O1419" s="7" t="n"/>
      <c r="P1419" s="8">
        <f>IF(NOT(ISNUMBER(M1419)),"",IF(G1419="Terreno",IF(AND(ISNUMBER(I1419),I1419&gt;0),M1419/I1419,""),IF(AND(ISNUMBER(H1419),H1419&gt;0),M1419/H1419,"")))</f>
        <v/>
      </c>
      <c r="Q1419" s="9">
        <f>IF(AND(ISNUMBER(M1419),ISNUMBER(O1419)),IF(M1419&lt;=O1419,"Valor ≤ venal IPTU",""),"")</f>
        <v/>
      </c>
      <c r="R1419" s="10" t="n"/>
      <c r="S1419" s="10" t="n"/>
      <c r="AA1419" s="10" t="n"/>
      <c r="AB1419" s="11">
        <f>IF(LEN(TRIM(X1419))=0,"",HYPERLINK("https://www.google.com/maps/@?api=1&amp;map_action=pano&amp;viewpoint="&amp;SUBSTITUTE(X1419," ",""),"Abrir Street View"))</f>
        <v/>
      </c>
    </row>
    <row r="1420">
      <c r="H1420" s="6" t="n"/>
      <c r="I1420" s="6" t="n"/>
      <c r="M1420" s="7" t="n"/>
      <c r="N1420" s="7" t="n"/>
      <c r="O1420" s="7" t="n"/>
      <c r="P1420" s="8">
        <f>IF(NOT(ISNUMBER(M1420)),"",IF(G1420="Terreno",IF(AND(ISNUMBER(I1420),I1420&gt;0),M1420/I1420,""),IF(AND(ISNUMBER(H1420),H1420&gt;0),M1420/H1420,"")))</f>
        <v/>
      </c>
      <c r="Q1420" s="9">
        <f>IF(AND(ISNUMBER(M1420),ISNUMBER(O1420)),IF(M1420&lt;=O1420,"Valor ≤ venal IPTU",""),"")</f>
        <v/>
      </c>
      <c r="R1420" s="10" t="n"/>
      <c r="S1420" s="10" t="n"/>
      <c r="AA1420" s="10" t="n"/>
      <c r="AB1420" s="11">
        <f>IF(LEN(TRIM(X1420))=0,"",HYPERLINK("https://www.google.com/maps/@?api=1&amp;map_action=pano&amp;viewpoint="&amp;SUBSTITUTE(X1420," ",""),"Abrir Street View"))</f>
        <v/>
      </c>
    </row>
    <row r="1421">
      <c r="H1421" s="6" t="n"/>
      <c r="I1421" s="6" t="n"/>
      <c r="M1421" s="7" t="n"/>
      <c r="N1421" s="7" t="n"/>
      <c r="O1421" s="7" t="n"/>
      <c r="P1421" s="8">
        <f>IF(NOT(ISNUMBER(M1421)),"",IF(G1421="Terreno",IF(AND(ISNUMBER(I1421),I1421&gt;0),M1421/I1421,""),IF(AND(ISNUMBER(H1421),H1421&gt;0),M1421/H1421,"")))</f>
        <v/>
      </c>
      <c r="Q1421" s="9">
        <f>IF(AND(ISNUMBER(M1421),ISNUMBER(O1421)),IF(M1421&lt;=O1421,"Valor ≤ venal IPTU",""),"")</f>
        <v/>
      </c>
      <c r="R1421" s="10" t="n"/>
      <c r="S1421" s="10" t="n"/>
      <c r="AA1421" s="10" t="n"/>
      <c r="AB1421" s="11">
        <f>IF(LEN(TRIM(X1421))=0,"",HYPERLINK("https://www.google.com/maps/@?api=1&amp;map_action=pano&amp;viewpoint="&amp;SUBSTITUTE(X1421," ",""),"Abrir Street View"))</f>
        <v/>
      </c>
    </row>
    <row r="1422">
      <c r="H1422" s="6" t="n"/>
      <c r="I1422" s="6" t="n"/>
      <c r="M1422" s="7" t="n"/>
      <c r="N1422" s="7" t="n"/>
      <c r="O1422" s="7" t="n"/>
      <c r="P1422" s="8">
        <f>IF(NOT(ISNUMBER(M1422)),"",IF(G1422="Terreno",IF(AND(ISNUMBER(I1422),I1422&gt;0),M1422/I1422,""),IF(AND(ISNUMBER(H1422),H1422&gt;0),M1422/H1422,"")))</f>
        <v/>
      </c>
      <c r="Q1422" s="9">
        <f>IF(AND(ISNUMBER(M1422),ISNUMBER(O1422)),IF(M1422&lt;=O1422,"Valor ≤ venal IPTU",""),"")</f>
        <v/>
      </c>
      <c r="R1422" s="10" t="n"/>
      <c r="S1422" s="10" t="n"/>
      <c r="AA1422" s="10" t="n"/>
      <c r="AB1422" s="11">
        <f>IF(LEN(TRIM(X1422))=0,"",HYPERLINK("https://www.google.com/maps/@?api=1&amp;map_action=pano&amp;viewpoint="&amp;SUBSTITUTE(X1422," ",""),"Abrir Street View"))</f>
        <v/>
      </c>
    </row>
    <row r="1423">
      <c r="H1423" s="6" t="n"/>
      <c r="I1423" s="6" t="n"/>
      <c r="M1423" s="7" t="n"/>
      <c r="N1423" s="7" t="n"/>
      <c r="O1423" s="7" t="n"/>
      <c r="P1423" s="8">
        <f>IF(NOT(ISNUMBER(M1423)),"",IF(G1423="Terreno",IF(AND(ISNUMBER(I1423),I1423&gt;0),M1423/I1423,""),IF(AND(ISNUMBER(H1423),H1423&gt;0),M1423/H1423,"")))</f>
        <v/>
      </c>
      <c r="Q1423" s="9">
        <f>IF(AND(ISNUMBER(M1423),ISNUMBER(O1423)),IF(M1423&lt;=O1423,"Valor ≤ venal IPTU",""),"")</f>
        <v/>
      </c>
      <c r="R1423" s="10" t="n"/>
      <c r="S1423" s="10" t="n"/>
      <c r="AA1423" s="10" t="n"/>
      <c r="AB1423" s="11">
        <f>IF(LEN(TRIM(X1423))=0,"",HYPERLINK("https://www.google.com/maps/@?api=1&amp;map_action=pano&amp;viewpoint="&amp;SUBSTITUTE(X1423," ",""),"Abrir Street View"))</f>
        <v/>
      </c>
    </row>
    <row r="1424">
      <c r="H1424" s="6" t="n"/>
      <c r="I1424" s="6" t="n"/>
      <c r="M1424" s="7" t="n"/>
      <c r="N1424" s="7" t="n"/>
      <c r="O1424" s="7" t="n"/>
      <c r="P1424" s="8">
        <f>IF(NOT(ISNUMBER(M1424)),"",IF(G1424="Terreno",IF(AND(ISNUMBER(I1424),I1424&gt;0),M1424/I1424,""),IF(AND(ISNUMBER(H1424),H1424&gt;0),M1424/H1424,"")))</f>
        <v/>
      </c>
      <c r="Q1424" s="9">
        <f>IF(AND(ISNUMBER(M1424),ISNUMBER(O1424)),IF(M1424&lt;=O1424,"Valor ≤ venal IPTU",""),"")</f>
        <v/>
      </c>
      <c r="R1424" s="10" t="n"/>
      <c r="S1424" s="10" t="n"/>
      <c r="AA1424" s="10" t="n"/>
      <c r="AB1424" s="11">
        <f>IF(LEN(TRIM(X1424))=0,"",HYPERLINK("https://www.google.com/maps/@?api=1&amp;map_action=pano&amp;viewpoint="&amp;SUBSTITUTE(X1424," ",""),"Abrir Street View"))</f>
        <v/>
      </c>
    </row>
    <row r="1425">
      <c r="H1425" s="6" t="n"/>
      <c r="I1425" s="6" t="n"/>
      <c r="M1425" s="7" t="n"/>
      <c r="N1425" s="7" t="n"/>
      <c r="O1425" s="7" t="n"/>
      <c r="P1425" s="8">
        <f>IF(NOT(ISNUMBER(M1425)),"",IF(G1425="Terreno",IF(AND(ISNUMBER(I1425),I1425&gt;0),M1425/I1425,""),IF(AND(ISNUMBER(H1425),H1425&gt;0),M1425/H1425,"")))</f>
        <v/>
      </c>
      <c r="Q1425" s="9">
        <f>IF(AND(ISNUMBER(M1425),ISNUMBER(O1425)),IF(M1425&lt;=O1425,"Valor ≤ venal IPTU",""),"")</f>
        <v/>
      </c>
      <c r="R1425" s="10" t="n"/>
      <c r="S1425" s="10" t="n"/>
      <c r="AA1425" s="10" t="n"/>
      <c r="AB1425" s="11">
        <f>IF(LEN(TRIM(X1425))=0,"",HYPERLINK("https://www.google.com/maps/@?api=1&amp;map_action=pano&amp;viewpoint="&amp;SUBSTITUTE(X1425," ",""),"Abrir Street View"))</f>
        <v/>
      </c>
    </row>
    <row r="1426">
      <c r="H1426" s="6" t="n"/>
      <c r="I1426" s="6" t="n"/>
      <c r="M1426" s="7" t="n"/>
      <c r="N1426" s="7" t="n"/>
      <c r="O1426" s="7" t="n"/>
      <c r="P1426" s="8">
        <f>IF(NOT(ISNUMBER(M1426)),"",IF(G1426="Terreno",IF(AND(ISNUMBER(I1426),I1426&gt;0),M1426/I1426,""),IF(AND(ISNUMBER(H1426),H1426&gt;0),M1426/H1426,"")))</f>
        <v/>
      </c>
      <c r="Q1426" s="9">
        <f>IF(AND(ISNUMBER(M1426),ISNUMBER(O1426)),IF(M1426&lt;=O1426,"Valor ≤ venal IPTU",""),"")</f>
        <v/>
      </c>
      <c r="R1426" s="10" t="n"/>
      <c r="S1426" s="10" t="n"/>
      <c r="AA1426" s="10" t="n"/>
      <c r="AB1426" s="11">
        <f>IF(LEN(TRIM(X1426))=0,"",HYPERLINK("https://www.google.com/maps/@?api=1&amp;map_action=pano&amp;viewpoint="&amp;SUBSTITUTE(X1426," ",""),"Abrir Street View"))</f>
        <v/>
      </c>
    </row>
    <row r="1427">
      <c r="H1427" s="6" t="n"/>
      <c r="I1427" s="6" t="n"/>
      <c r="M1427" s="7" t="n"/>
      <c r="N1427" s="7" t="n"/>
      <c r="O1427" s="7" t="n"/>
      <c r="P1427" s="8">
        <f>IF(NOT(ISNUMBER(M1427)),"",IF(G1427="Terreno",IF(AND(ISNUMBER(I1427),I1427&gt;0),M1427/I1427,""),IF(AND(ISNUMBER(H1427),H1427&gt;0),M1427/H1427,"")))</f>
        <v/>
      </c>
      <c r="Q1427" s="9">
        <f>IF(AND(ISNUMBER(M1427),ISNUMBER(O1427)),IF(M1427&lt;=O1427,"Valor ≤ venal IPTU",""),"")</f>
        <v/>
      </c>
      <c r="R1427" s="10" t="n"/>
      <c r="S1427" s="10" t="n"/>
      <c r="AA1427" s="10" t="n"/>
      <c r="AB1427" s="11">
        <f>IF(LEN(TRIM(X1427))=0,"",HYPERLINK("https://www.google.com/maps/@?api=1&amp;map_action=pano&amp;viewpoint="&amp;SUBSTITUTE(X1427," ",""),"Abrir Street View"))</f>
        <v/>
      </c>
    </row>
    <row r="1428">
      <c r="H1428" s="6" t="n"/>
      <c r="I1428" s="6" t="n"/>
      <c r="M1428" s="7" t="n"/>
      <c r="N1428" s="7" t="n"/>
      <c r="O1428" s="7" t="n"/>
      <c r="P1428" s="8">
        <f>IF(NOT(ISNUMBER(M1428)),"",IF(G1428="Terreno",IF(AND(ISNUMBER(I1428),I1428&gt;0),M1428/I1428,""),IF(AND(ISNUMBER(H1428),H1428&gt;0),M1428/H1428,"")))</f>
        <v/>
      </c>
      <c r="Q1428" s="9">
        <f>IF(AND(ISNUMBER(M1428),ISNUMBER(O1428)),IF(M1428&lt;=O1428,"Valor ≤ venal IPTU",""),"")</f>
        <v/>
      </c>
      <c r="R1428" s="10" t="n"/>
      <c r="S1428" s="10" t="n"/>
      <c r="AA1428" s="10" t="n"/>
      <c r="AB1428" s="11">
        <f>IF(LEN(TRIM(X1428))=0,"",HYPERLINK("https://www.google.com/maps/@?api=1&amp;map_action=pano&amp;viewpoint="&amp;SUBSTITUTE(X1428," ",""),"Abrir Street View"))</f>
        <v/>
      </c>
    </row>
    <row r="1429">
      <c r="H1429" s="6" t="n"/>
      <c r="I1429" s="6" t="n"/>
      <c r="M1429" s="7" t="n"/>
      <c r="N1429" s="7" t="n"/>
      <c r="O1429" s="7" t="n"/>
      <c r="P1429" s="8">
        <f>IF(NOT(ISNUMBER(M1429)),"",IF(G1429="Terreno",IF(AND(ISNUMBER(I1429),I1429&gt;0),M1429/I1429,""),IF(AND(ISNUMBER(H1429),H1429&gt;0),M1429/H1429,"")))</f>
        <v/>
      </c>
      <c r="Q1429" s="9">
        <f>IF(AND(ISNUMBER(M1429),ISNUMBER(O1429)),IF(M1429&lt;=O1429,"Valor ≤ venal IPTU",""),"")</f>
        <v/>
      </c>
      <c r="R1429" s="10" t="n"/>
      <c r="S1429" s="10" t="n"/>
      <c r="AA1429" s="10" t="n"/>
      <c r="AB1429" s="11">
        <f>IF(LEN(TRIM(X1429))=0,"",HYPERLINK("https://www.google.com/maps/@?api=1&amp;map_action=pano&amp;viewpoint="&amp;SUBSTITUTE(X1429," ",""),"Abrir Street View"))</f>
        <v/>
      </c>
    </row>
    <row r="1430">
      <c r="H1430" s="6" t="n"/>
      <c r="I1430" s="6" t="n"/>
      <c r="M1430" s="7" t="n"/>
      <c r="N1430" s="7" t="n"/>
      <c r="O1430" s="7" t="n"/>
      <c r="P1430" s="8">
        <f>IF(NOT(ISNUMBER(M1430)),"",IF(G1430="Terreno",IF(AND(ISNUMBER(I1430),I1430&gt;0),M1430/I1430,""),IF(AND(ISNUMBER(H1430),H1430&gt;0),M1430/H1430,"")))</f>
        <v/>
      </c>
      <c r="Q1430" s="9">
        <f>IF(AND(ISNUMBER(M1430),ISNUMBER(O1430)),IF(M1430&lt;=O1430,"Valor ≤ venal IPTU",""),"")</f>
        <v/>
      </c>
      <c r="R1430" s="10" t="n"/>
      <c r="S1430" s="10" t="n"/>
      <c r="AA1430" s="10" t="n"/>
      <c r="AB1430" s="11">
        <f>IF(LEN(TRIM(X1430))=0,"",HYPERLINK("https://www.google.com/maps/@?api=1&amp;map_action=pano&amp;viewpoint="&amp;SUBSTITUTE(X1430," ",""),"Abrir Street View"))</f>
        <v/>
      </c>
    </row>
    <row r="1431">
      <c r="H1431" s="6" t="n"/>
      <c r="I1431" s="6" t="n"/>
      <c r="M1431" s="7" t="n"/>
      <c r="N1431" s="7" t="n"/>
      <c r="O1431" s="7" t="n"/>
      <c r="P1431" s="8">
        <f>IF(NOT(ISNUMBER(M1431)),"",IF(G1431="Terreno",IF(AND(ISNUMBER(I1431),I1431&gt;0),M1431/I1431,""),IF(AND(ISNUMBER(H1431),H1431&gt;0),M1431/H1431,"")))</f>
        <v/>
      </c>
      <c r="Q1431" s="9">
        <f>IF(AND(ISNUMBER(M1431),ISNUMBER(O1431)),IF(M1431&lt;=O1431,"Valor ≤ venal IPTU",""),"")</f>
        <v/>
      </c>
      <c r="R1431" s="10" t="n"/>
      <c r="S1431" s="10" t="n"/>
      <c r="AA1431" s="10" t="n"/>
      <c r="AB1431" s="11">
        <f>IF(LEN(TRIM(X1431))=0,"",HYPERLINK("https://www.google.com/maps/@?api=1&amp;map_action=pano&amp;viewpoint="&amp;SUBSTITUTE(X1431," ",""),"Abrir Street View"))</f>
        <v/>
      </c>
    </row>
    <row r="1432">
      <c r="H1432" s="6" t="n"/>
      <c r="I1432" s="6" t="n"/>
      <c r="M1432" s="7" t="n"/>
      <c r="N1432" s="7" t="n"/>
      <c r="O1432" s="7" t="n"/>
      <c r="P1432" s="8">
        <f>IF(NOT(ISNUMBER(M1432)),"",IF(G1432="Terreno",IF(AND(ISNUMBER(I1432),I1432&gt;0),M1432/I1432,""),IF(AND(ISNUMBER(H1432),H1432&gt;0),M1432/H1432,"")))</f>
        <v/>
      </c>
      <c r="Q1432" s="9">
        <f>IF(AND(ISNUMBER(M1432),ISNUMBER(O1432)),IF(M1432&lt;=O1432,"Valor ≤ venal IPTU",""),"")</f>
        <v/>
      </c>
      <c r="R1432" s="10" t="n"/>
      <c r="S1432" s="10" t="n"/>
      <c r="AA1432" s="10" t="n"/>
      <c r="AB1432" s="11">
        <f>IF(LEN(TRIM(X1432))=0,"",HYPERLINK("https://www.google.com/maps/@?api=1&amp;map_action=pano&amp;viewpoint="&amp;SUBSTITUTE(X1432," ",""),"Abrir Street View"))</f>
        <v/>
      </c>
    </row>
    <row r="1433">
      <c r="H1433" s="6" t="n"/>
      <c r="I1433" s="6" t="n"/>
      <c r="M1433" s="7" t="n"/>
      <c r="N1433" s="7" t="n"/>
      <c r="O1433" s="7" t="n"/>
      <c r="P1433" s="8">
        <f>IF(NOT(ISNUMBER(M1433)),"",IF(G1433="Terreno",IF(AND(ISNUMBER(I1433),I1433&gt;0),M1433/I1433,""),IF(AND(ISNUMBER(H1433),H1433&gt;0),M1433/H1433,"")))</f>
        <v/>
      </c>
      <c r="Q1433" s="9">
        <f>IF(AND(ISNUMBER(M1433),ISNUMBER(O1433)),IF(M1433&lt;=O1433,"Valor ≤ venal IPTU",""),"")</f>
        <v/>
      </c>
      <c r="R1433" s="10" t="n"/>
      <c r="S1433" s="10" t="n"/>
      <c r="AA1433" s="10" t="n"/>
      <c r="AB1433" s="11">
        <f>IF(LEN(TRIM(X1433))=0,"",HYPERLINK("https://www.google.com/maps/@?api=1&amp;map_action=pano&amp;viewpoint="&amp;SUBSTITUTE(X1433," ",""),"Abrir Street View"))</f>
        <v/>
      </c>
    </row>
    <row r="1434">
      <c r="H1434" s="6" t="n"/>
      <c r="I1434" s="6" t="n"/>
      <c r="M1434" s="7" t="n"/>
      <c r="N1434" s="7" t="n"/>
      <c r="O1434" s="7" t="n"/>
      <c r="P1434" s="8">
        <f>IF(NOT(ISNUMBER(M1434)),"",IF(G1434="Terreno",IF(AND(ISNUMBER(I1434),I1434&gt;0),M1434/I1434,""),IF(AND(ISNUMBER(H1434),H1434&gt;0),M1434/H1434,"")))</f>
        <v/>
      </c>
      <c r="Q1434" s="9">
        <f>IF(AND(ISNUMBER(M1434),ISNUMBER(O1434)),IF(M1434&lt;=O1434,"Valor ≤ venal IPTU",""),"")</f>
        <v/>
      </c>
      <c r="R1434" s="10" t="n"/>
      <c r="S1434" s="10" t="n"/>
      <c r="AA1434" s="10" t="n"/>
      <c r="AB1434" s="11">
        <f>IF(LEN(TRIM(X1434))=0,"",HYPERLINK("https://www.google.com/maps/@?api=1&amp;map_action=pano&amp;viewpoint="&amp;SUBSTITUTE(X1434," ",""),"Abrir Street View"))</f>
        <v/>
      </c>
    </row>
    <row r="1435">
      <c r="H1435" s="6" t="n"/>
      <c r="I1435" s="6" t="n"/>
      <c r="M1435" s="7" t="n"/>
      <c r="N1435" s="7" t="n"/>
      <c r="O1435" s="7" t="n"/>
      <c r="P1435" s="8">
        <f>IF(NOT(ISNUMBER(M1435)),"",IF(G1435="Terreno",IF(AND(ISNUMBER(I1435),I1435&gt;0),M1435/I1435,""),IF(AND(ISNUMBER(H1435),H1435&gt;0),M1435/H1435,"")))</f>
        <v/>
      </c>
      <c r="Q1435" s="9">
        <f>IF(AND(ISNUMBER(M1435),ISNUMBER(O1435)),IF(M1435&lt;=O1435,"Valor ≤ venal IPTU",""),"")</f>
        <v/>
      </c>
      <c r="R1435" s="10" t="n"/>
      <c r="S1435" s="10" t="n"/>
      <c r="AA1435" s="10" t="n"/>
      <c r="AB1435" s="11">
        <f>IF(LEN(TRIM(X1435))=0,"",HYPERLINK("https://www.google.com/maps/@?api=1&amp;map_action=pano&amp;viewpoint="&amp;SUBSTITUTE(X1435," ",""),"Abrir Street View"))</f>
        <v/>
      </c>
    </row>
    <row r="1436">
      <c r="H1436" s="6" t="n"/>
      <c r="I1436" s="6" t="n"/>
      <c r="M1436" s="7" t="n"/>
      <c r="N1436" s="7" t="n"/>
      <c r="O1436" s="7" t="n"/>
      <c r="P1436" s="8">
        <f>IF(NOT(ISNUMBER(M1436)),"",IF(G1436="Terreno",IF(AND(ISNUMBER(I1436),I1436&gt;0),M1436/I1436,""),IF(AND(ISNUMBER(H1436),H1436&gt;0),M1436/H1436,"")))</f>
        <v/>
      </c>
      <c r="Q1436" s="9">
        <f>IF(AND(ISNUMBER(M1436),ISNUMBER(O1436)),IF(M1436&lt;=O1436,"Valor ≤ venal IPTU",""),"")</f>
        <v/>
      </c>
      <c r="R1436" s="10" t="n"/>
      <c r="S1436" s="10" t="n"/>
      <c r="AA1436" s="10" t="n"/>
      <c r="AB1436" s="11">
        <f>IF(LEN(TRIM(X1436))=0,"",HYPERLINK("https://www.google.com/maps/@?api=1&amp;map_action=pano&amp;viewpoint="&amp;SUBSTITUTE(X1436," ",""),"Abrir Street View"))</f>
        <v/>
      </c>
    </row>
    <row r="1437">
      <c r="H1437" s="6" t="n"/>
      <c r="I1437" s="6" t="n"/>
      <c r="M1437" s="7" t="n"/>
      <c r="N1437" s="7" t="n"/>
      <c r="O1437" s="7" t="n"/>
      <c r="P1437" s="8">
        <f>IF(NOT(ISNUMBER(M1437)),"",IF(G1437="Terreno",IF(AND(ISNUMBER(I1437),I1437&gt;0),M1437/I1437,""),IF(AND(ISNUMBER(H1437),H1437&gt;0),M1437/H1437,"")))</f>
        <v/>
      </c>
      <c r="Q1437" s="9">
        <f>IF(AND(ISNUMBER(M1437),ISNUMBER(O1437)),IF(M1437&lt;=O1437,"Valor ≤ venal IPTU",""),"")</f>
        <v/>
      </c>
      <c r="R1437" s="10" t="n"/>
      <c r="S1437" s="10" t="n"/>
      <c r="AA1437" s="10" t="n"/>
      <c r="AB1437" s="11">
        <f>IF(LEN(TRIM(X1437))=0,"",HYPERLINK("https://www.google.com/maps/@?api=1&amp;map_action=pano&amp;viewpoint="&amp;SUBSTITUTE(X1437," ",""),"Abrir Street View"))</f>
        <v/>
      </c>
    </row>
    <row r="1438">
      <c r="H1438" s="6" t="n"/>
      <c r="I1438" s="6" t="n"/>
      <c r="M1438" s="7" t="n"/>
      <c r="N1438" s="7" t="n"/>
      <c r="O1438" s="7" t="n"/>
      <c r="P1438" s="8">
        <f>IF(NOT(ISNUMBER(M1438)),"",IF(G1438="Terreno",IF(AND(ISNUMBER(I1438),I1438&gt;0),M1438/I1438,""),IF(AND(ISNUMBER(H1438),H1438&gt;0),M1438/H1438,"")))</f>
        <v/>
      </c>
      <c r="Q1438" s="9">
        <f>IF(AND(ISNUMBER(M1438),ISNUMBER(O1438)),IF(M1438&lt;=O1438,"Valor ≤ venal IPTU",""),"")</f>
        <v/>
      </c>
      <c r="R1438" s="10" t="n"/>
      <c r="S1438" s="10" t="n"/>
      <c r="AA1438" s="10" t="n"/>
      <c r="AB1438" s="11">
        <f>IF(LEN(TRIM(X1438))=0,"",HYPERLINK("https://www.google.com/maps/@?api=1&amp;map_action=pano&amp;viewpoint="&amp;SUBSTITUTE(X1438," ",""),"Abrir Street View"))</f>
        <v/>
      </c>
    </row>
    <row r="1439">
      <c r="H1439" s="6" t="n"/>
      <c r="I1439" s="6" t="n"/>
      <c r="M1439" s="7" t="n"/>
      <c r="N1439" s="7" t="n"/>
      <c r="O1439" s="7" t="n"/>
      <c r="P1439" s="8">
        <f>IF(NOT(ISNUMBER(M1439)),"",IF(G1439="Terreno",IF(AND(ISNUMBER(I1439),I1439&gt;0),M1439/I1439,""),IF(AND(ISNUMBER(H1439),H1439&gt;0),M1439/H1439,"")))</f>
        <v/>
      </c>
      <c r="Q1439" s="9">
        <f>IF(AND(ISNUMBER(M1439),ISNUMBER(O1439)),IF(M1439&lt;=O1439,"Valor ≤ venal IPTU",""),"")</f>
        <v/>
      </c>
      <c r="R1439" s="10" t="n"/>
      <c r="S1439" s="10" t="n"/>
      <c r="AA1439" s="10" t="n"/>
      <c r="AB1439" s="11">
        <f>IF(LEN(TRIM(X1439))=0,"",HYPERLINK("https://www.google.com/maps/@?api=1&amp;map_action=pano&amp;viewpoint="&amp;SUBSTITUTE(X1439," ",""),"Abrir Street View"))</f>
        <v/>
      </c>
    </row>
    <row r="1440">
      <c r="H1440" s="6" t="n"/>
      <c r="I1440" s="6" t="n"/>
      <c r="M1440" s="7" t="n"/>
      <c r="N1440" s="7" t="n"/>
      <c r="O1440" s="7" t="n"/>
      <c r="P1440" s="8">
        <f>IF(NOT(ISNUMBER(M1440)),"",IF(G1440="Terreno",IF(AND(ISNUMBER(I1440),I1440&gt;0),M1440/I1440,""),IF(AND(ISNUMBER(H1440),H1440&gt;0),M1440/H1440,"")))</f>
        <v/>
      </c>
      <c r="Q1440" s="9">
        <f>IF(AND(ISNUMBER(M1440),ISNUMBER(O1440)),IF(M1440&lt;=O1440,"Valor ≤ venal IPTU",""),"")</f>
        <v/>
      </c>
      <c r="R1440" s="10" t="n"/>
      <c r="S1440" s="10" t="n"/>
      <c r="AA1440" s="10" t="n"/>
      <c r="AB1440" s="11">
        <f>IF(LEN(TRIM(X1440))=0,"",HYPERLINK("https://www.google.com/maps/@?api=1&amp;map_action=pano&amp;viewpoint="&amp;SUBSTITUTE(X1440," ",""),"Abrir Street View"))</f>
        <v/>
      </c>
    </row>
    <row r="1441">
      <c r="H1441" s="6" t="n"/>
      <c r="I1441" s="6" t="n"/>
      <c r="M1441" s="7" t="n"/>
      <c r="N1441" s="7" t="n"/>
      <c r="O1441" s="7" t="n"/>
      <c r="P1441" s="8">
        <f>IF(NOT(ISNUMBER(M1441)),"",IF(G1441="Terreno",IF(AND(ISNUMBER(I1441),I1441&gt;0),M1441/I1441,""),IF(AND(ISNUMBER(H1441),H1441&gt;0),M1441/H1441,"")))</f>
        <v/>
      </c>
      <c r="Q1441" s="9">
        <f>IF(AND(ISNUMBER(M1441),ISNUMBER(O1441)),IF(M1441&lt;=O1441,"Valor ≤ venal IPTU",""),"")</f>
        <v/>
      </c>
      <c r="R1441" s="10" t="n"/>
      <c r="S1441" s="10" t="n"/>
      <c r="AA1441" s="10" t="n"/>
      <c r="AB1441" s="11">
        <f>IF(LEN(TRIM(X1441))=0,"",HYPERLINK("https://www.google.com/maps/@?api=1&amp;map_action=pano&amp;viewpoint="&amp;SUBSTITUTE(X1441," ",""),"Abrir Street View"))</f>
        <v/>
      </c>
    </row>
    <row r="1442">
      <c r="H1442" s="6" t="n"/>
      <c r="I1442" s="6" t="n"/>
      <c r="M1442" s="7" t="n"/>
      <c r="N1442" s="7" t="n"/>
      <c r="O1442" s="7" t="n"/>
      <c r="P1442" s="8">
        <f>IF(NOT(ISNUMBER(M1442)),"",IF(G1442="Terreno",IF(AND(ISNUMBER(I1442),I1442&gt;0),M1442/I1442,""),IF(AND(ISNUMBER(H1442),H1442&gt;0),M1442/H1442,"")))</f>
        <v/>
      </c>
      <c r="Q1442" s="9">
        <f>IF(AND(ISNUMBER(M1442),ISNUMBER(O1442)),IF(M1442&lt;=O1442,"Valor ≤ venal IPTU",""),"")</f>
        <v/>
      </c>
      <c r="R1442" s="10" t="n"/>
      <c r="S1442" s="10" t="n"/>
      <c r="AA1442" s="10" t="n"/>
      <c r="AB1442" s="11">
        <f>IF(LEN(TRIM(X1442))=0,"",HYPERLINK("https://www.google.com/maps/@?api=1&amp;map_action=pano&amp;viewpoint="&amp;SUBSTITUTE(X1442," ",""),"Abrir Street View"))</f>
        <v/>
      </c>
    </row>
    <row r="1443">
      <c r="H1443" s="6" t="n"/>
      <c r="I1443" s="6" t="n"/>
      <c r="M1443" s="7" t="n"/>
      <c r="N1443" s="7" t="n"/>
      <c r="O1443" s="7" t="n"/>
      <c r="P1443" s="8">
        <f>IF(NOT(ISNUMBER(M1443)),"",IF(G1443="Terreno",IF(AND(ISNUMBER(I1443),I1443&gt;0),M1443/I1443,""),IF(AND(ISNUMBER(H1443),H1443&gt;0),M1443/H1443,"")))</f>
        <v/>
      </c>
      <c r="Q1443" s="9">
        <f>IF(AND(ISNUMBER(M1443),ISNUMBER(O1443)),IF(M1443&lt;=O1443,"Valor ≤ venal IPTU",""),"")</f>
        <v/>
      </c>
      <c r="R1443" s="10" t="n"/>
      <c r="S1443" s="10" t="n"/>
      <c r="AA1443" s="10" t="n"/>
      <c r="AB1443" s="11">
        <f>IF(LEN(TRIM(X1443))=0,"",HYPERLINK("https://www.google.com/maps/@?api=1&amp;map_action=pano&amp;viewpoint="&amp;SUBSTITUTE(X1443," ",""),"Abrir Street View"))</f>
        <v/>
      </c>
    </row>
    <row r="1444">
      <c r="H1444" s="6" t="n"/>
      <c r="I1444" s="6" t="n"/>
      <c r="M1444" s="7" t="n"/>
      <c r="N1444" s="7" t="n"/>
      <c r="O1444" s="7" t="n"/>
      <c r="P1444" s="8">
        <f>IF(NOT(ISNUMBER(M1444)),"",IF(G1444="Terreno",IF(AND(ISNUMBER(I1444),I1444&gt;0),M1444/I1444,""),IF(AND(ISNUMBER(H1444),H1444&gt;0),M1444/H1444,"")))</f>
        <v/>
      </c>
      <c r="Q1444" s="9">
        <f>IF(AND(ISNUMBER(M1444),ISNUMBER(O1444)),IF(M1444&lt;=O1444,"Valor ≤ venal IPTU",""),"")</f>
        <v/>
      </c>
      <c r="R1444" s="10" t="n"/>
      <c r="S1444" s="10" t="n"/>
      <c r="AA1444" s="10" t="n"/>
      <c r="AB1444" s="11">
        <f>IF(LEN(TRIM(X1444))=0,"",HYPERLINK("https://www.google.com/maps/@?api=1&amp;map_action=pano&amp;viewpoint="&amp;SUBSTITUTE(X1444," ",""),"Abrir Street View"))</f>
        <v/>
      </c>
    </row>
    <row r="1445">
      <c r="H1445" s="6" t="n"/>
      <c r="I1445" s="6" t="n"/>
      <c r="M1445" s="7" t="n"/>
      <c r="N1445" s="7" t="n"/>
      <c r="O1445" s="7" t="n"/>
      <c r="P1445" s="8">
        <f>IF(NOT(ISNUMBER(M1445)),"",IF(G1445="Terreno",IF(AND(ISNUMBER(I1445),I1445&gt;0),M1445/I1445,""),IF(AND(ISNUMBER(H1445),H1445&gt;0),M1445/H1445,"")))</f>
        <v/>
      </c>
      <c r="Q1445" s="9">
        <f>IF(AND(ISNUMBER(M1445),ISNUMBER(O1445)),IF(M1445&lt;=O1445,"Valor ≤ venal IPTU",""),"")</f>
        <v/>
      </c>
      <c r="R1445" s="10" t="n"/>
      <c r="S1445" s="10" t="n"/>
      <c r="AA1445" s="10" t="n"/>
      <c r="AB1445" s="11">
        <f>IF(LEN(TRIM(X1445))=0,"",HYPERLINK("https://www.google.com/maps/@?api=1&amp;map_action=pano&amp;viewpoint="&amp;SUBSTITUTE(X1445," ",""),"Abrir Street View"))</f>
        <v/>
      </c>
    </row>
    <row r="1446">
      <c r="H1446" s="6" t="n"/>
      <c r="I1446" s="6" t="n"/>
      <c r="M1446" s="7" t="n"/>
      <c r="N1446" s="7" t="n"/>
      <c r="O1446" s="7" t="n"/>
      <c r="P1446" s="8">
        <f>IF(NOT(ISNUMBER(M1446)),"",IF(G1446="Terreno",IF(AND(ISNUMBER(I1446),I1446&gt;0),M1446/I1446,""),IF(AND(ISNUMBER(H1446),H1446&gt;0),M1446/H1446,"")))</f>
        <v/>
      </c>
      <c r="Q1446" s="9">
        <f>IF(AND(ISNUMBER(M1446),ISNUMBER(O1446)),IF(M1446&lt;=O1446,"Valor ≤ venal IPTU",""),"")</f>
        <v/>
      </c>
      <c r="R1446" s="10" t="n"/>
      <c r="S1446" s="10" t="n"/>
      <c r="AA1446" s="10" t="n"/>
      <c r="AB1446" s="11">
        <f>IF(LEN(TRIM(X1446))=0,"",HYPERLINK("https://www.google.com/maps/@?api=1&amp;map_action=pano&amp;viewpoint="&amp;SUBSTITUTE(X1446," ",""),"Abrir Street View"))</f>
        <v/>
      </c>
    </row>
    <row r="1447">
      <c r="H1447" s="6" t="n"/>
      <c r="I1447" s="6" t="n"/>
      <c r="M1447" s="7" t="n"/>
      <c r="N1447" s="7" t="n"/>
      <c r="O1447" s="7" t="n"/>
      <c r="P1447" s="8">
        <f>IF(NOT(ISNUMBER(M1447)),"",IF(G1447="Terreno",IF(AND(ISNUMBER(I1447),I1447&gt;0),M1447/I1447,""),IF(AND(ISNUMBER(H1447),H1447&gt;0),M1447/H1447,"")))</f>
        <v/>
      </c>
      <c r="Q1447" s="9">
        <f>IF(AND(ISNUMBER(M1447),ISNUMBER(O1447)),IF(M1447&lt;=O1447,"Valor ≤ venal IPTU",""),"")</f>
        <v/>
      </c>
      <c r="R1447" s="10" t="n"/>
      <c r="S1447" s="10" t="n"/>
      <c r="AA1447" s="10" t="n"/>
      <c r="AB1447" s="11">
        <f>IF(LEN(TRIM(X1447))=0,"",HYPERLINK("https://www.google.com/maps/@?api=1&amp;map_action=pano&amp;viewpoint="&amp;SUBSTITUTE(X1447," ",""),"Abrir Street View"))</f>
        <v/>
      </c>
    </row>
    <row r="1448">
      <c r="H1448" s="6" t="n"/>
      <c r="I1448" s="6" t="n"/>
      <c r="M1448" s="7" t="n"/>
      <c r="N1448" s="7" t="n"/>
      <c r="O1448" s="7" t="n"/>
      <c r="P1448" s="8">
        <f>IF(NOT(ISNUMBER(M1448)),"",IF(G1448="Terreno",IF(AND(ISNUMBER(I1448),I1448&gt;0),M1448/I1448,""),IF(AND(ISNUMBER(H1448),H1448&gt;0),M1448/H1448,"")))</f>
        <v/>
      </c>
      <c r="Q1448" s="9">
        <f>IF(AND(ISNUMBER(M1448),ISNUMBER(O1448)),IF(M1448&lt;=O1448,"Valor ≤ venal IPTU",""),"")</f>
        <v/>
      </c>
      <c r="R1448" s="10" t="n"/>
      <c r="S1448" s="10" t="n"/>
      <c r="AA1448" s="10" t="n"/>
      <c r="AB1448" s="11">
        <f>IF(LEN(TRIM(X1448))=0,"",HYPERLINK("https://www.google.com/maps/@?api=1&amp;map_action=pano&amp;viewpoint="&amp;SUBSTITUTE(X1448," ",""),"Abrir Street View"))</f>
        <v/>
      </c>
    </row>
    <row r="1449">
      <c r="H1449" s="6" t="n"/>
      <c r="I1449" s="6" t="n"/>
      <c r="M1449" s="7" t="n"/>
      <c r="N1449" s="7" t="n"/>
      <c r="O1449" s="7" t="n"/>
      <c r="P1449" s="8">
        <f>IF(NOT(ISNUMBER(M1449)),"",IF(G1449="Terreno",IF(AND(ISNUMBER(I1449),I1449&gt;0),M1449/I1449,""),IF(AND(ISNUMBER(H1449),H1449&gt;0),M1449/H1449,"")))</f>
        <v/>
      </c>
      <c r="Q1449" s="9">
        <f>IF(AND(ISNUMBER(M1449),ISNUMBER(O1449)),IF(M1449&lt;=O1449,"Valor ≤ venal IPTU",""),"")</f>
        <v/>
      </c>
      <c r="R1449" s="10" t="n"/>
      <c r="S1449" s="10" t="n"/>
      <c r="AA1449" s="10" t="n"/>
      <c r="AB1449" s="11">
        <f>IF(LEN(TRIM(X1449))=0,"",HYPERLINK("https://www.google.com/maps/@?api=1&amp;map_action=pano&amp;viewpoint="&amp;SUBSTITUTE(X1449," ",""),"Abrir Street View"))</f>
        <v/>
      </c>
    </row>
    <row r="1450">
      <c r="H1450" s="6" t="n"/>
      <c r="I1450" s="6" t="n"/>
      <c r="M1450" s="7" t="n"/>
      <c r="N1450" s="7" t="n"/>
      <c r="O1450" s="7" t="n"/>
      <c r="P1450" s="8">
        <f>IF(NOT(ISNUMBER(M1450)),"",IF(G1450="Terreno",IF(AND(ISNUMBER(I1450),I1450&gt;0),M1450/I1450,""),IF(AND(ISNUMBER(H1450),H1450&gt;0),M1450/H1450,"")))</f>
        <v/>
      </c>
      <c r="Q1450" s="9">
        <f>IF(AND(ISNUMBER(M1450),ISNUMBER(O1450)),IF(M1450&lt;=O1450,"Valor ≤ venal IPTU",""),"")</f>
        <v/>
      </c>
      <c r="R1450" s="10" t="n"/>
      <c r="S1450" s="10" t="n"/>
      <c r="AA1450" s="10" t="n"/>
      <c r="AB1450" s="11">
        <f>IF(LEN(TRIM(X1450))=0,"",HYPERLINK("https://www.google.com/maps/@?api=1&amp;map_action=pano&amp;viewpoint="&amp;SUBSTITUTE(X1450," ",""),"Abrir Street View"))</f>
        <v/>
      </c>
    </row>
    <row r="1451">
      <c r="H1451" s="6" t="n"/>
      <c r="I1451" s="6" t="n"/>
      <c r="M1451" s="7" t="n"/>
      <c r="N1451" s="7" t="n"/>
      <c r="O1451" s="7" t="n"/>
      <c r="P1451" s="8">
        <f>IF(NOT(ISNUMBER(M1451)),"",IF(G1451="Terreno",IF(AND(ISNUMBER(I1451),I1451&gt;0),M1451/I1451,""),IF(AND(ISNUMBER(H1451),H1451&gt;0),M1451/H1451,"")))</f>
        <v/>
      </c>
      <c r="Q1451" s="9">
        <f>IF(AND(ISNUMBER(M1451),ISNUMBER(O1451)),IF(M1451&lt;=O1451,"Valor ≤ venal IPTU",""),"")</f>
        <v/>
      </c>
      <c r="R1451" s="10" t="n"/>
      <c r="S1451" s="10" t="n"/>
      <c r="AA1451" s="10" t="n"/>
      <c r="AB1451" s="11">
        <f>IF(LEN(TRIM(X1451))=0,"",HYPERLINK("https://www.google.com/maps/@?api=1&amp;map_action=pano&amp;viewpoint="&amp;SUBSTITUTE(X1451," ",""),"Abrir Street View"))</f>
        <v/>
      </c>
    </row>
    <row r="1452">
      <c r="H1452" s="6" t="n"/>
      <c r="I1452" s="6" t="n"/>
      <c r="M1452" s="7" t="n"/>
      <c r="N1452" s="7" t="n"/>
      <c r="O1452" s="7" t="n"/>
      <c r="P1452" s="8">
        <f>IF(NOT(ISNUMBER(M1452)),"",IF(G1452="Terreno",IF(AND(ISNUMBER(I1452),I1452&gt;0),M1452/I1452,""),IF(AND(ISNUMBER(H1452),H1452&gt;0),M1452/H1452,"")))</f>
        <v/>
      </c>
      <c r="Q1452" s="9">
        <f>IF(AND(ISNUMBER(M1452),ISNUMBER(O1452)),IF(M1452&lt;=O1452,"Valor ≤ venal IPTU",""),"")</f>
        <v/>
      </c>
      <c r="R1452" s="10" t="n"/>
      <c r="S1452" s="10" t="n"/>
      <c r="AA1452" s="10" t="n"/>
      <c r="AB1452" s="11">
        <f>IF(LEN(TRIM(X1452))=0,"",HYPERLINK("https://www.google.com/maps/@?api=1&amp;map_action=pano&amp;viewpoint="&amp;SUBSTITUTE(X1452," ",""),"Abrir Street View"))</f>
        <v/>
      </c>
    </row>
    <row r="1453">
      <c r="H1453" s="6" t="n"/>
      <c r="I1453" s="6" t="n"/>
      <c r="M1453" s="7" t="n"/>
      <c r="N1453" s="7" t="n"/>
      <c r="O1453" s="7" t="n"/>
      <c r="P1453" s="8">
        <f>IF(NOT(ISNUMBER(M1453)),"",IF(G1453="Terreno",IF(AND(ISNUMBER(I1453),I1453&gt;0),M1453/I1453,""),IF(AND(ISNUMBER(H1453),H1453&gt;0),M1453/H1453,"")))</f>
        <v/>
      </c>
      <c r="Q1453" s="9">
        <f>IF(AND(ISNUMBER(M1453),ISNUMBER(O1453)),IF(M1453&lt;=O1453,"Valor ≤ venal IPTU",""),"")</f>
        <v/>
      </c>
      <c r="R1453" s="10" t="n"/>
      <c r="S1453" s="10" t="n"/>
      <c r="AA1453" s="10" t="n"/>
      <c r="AB1453" s="11">
        <f>IF(LEN(TRIM(X1453))=0,"",HYPERLINK("https://www.google.com/maps/@?api=1&amp;map_action=pano&amp;viewpoint="&amp;SUBSTITUTE(X1453," ",""),"Abrir Street View"))</f>
        <v/>
      </c>
    </row>
    <row r="1454">
      <c r="H1454" s="6" t="n"/>
      <c r="I1454" s="6" t="n"/>
      <c r="M1454" s="7" t="n"/>
      <c r="N1454" s="7" t="n"/>
      <c r="O1454" s="7" t="n"/>
      <c r="P1454" s="8">
        <f>IF(NOT(ISNUMBER(M1454)),"",IF(G1454="Terreno",IF(AND(ISNUMBER(I1454),I1454&gt;0),M1454/I1454,""),IF(AND(ISNUMBER(H1454),H1454&gt;0),M1454/H1454,"")))</f>
        <v/>
      </c>
      <c r="Q1454" s="9">
        <f>IF(AND(ISNUMBER(M1454),ISNUMBER(O1454)),IF(M1454&lt;=O1454,"Valor ≤ venal IPTU",""),"")</f>
        <v/>
      </c>
      <c r="R1454" s="10" t="n"/>
      <c r="S1454" s="10" t="n"/>
      <c r="AA1454" s="10" t="n"/>
      <c r="AB1454" s="11">
        <f>IF(LEN(TRIM(X1454))=0,"",HYPERLINK("https://www.google.com/maps/@?api=1&amp;map_action=pano&amp;viewpoint="&amp;SUBSTITUTE(X1454," ",""),"Abrir Street View"))</f>
        <v/>
      </c>
    </row>
    <row r="1455">
      <c r="H1455" s="6" t="n"/>
      <c r="I1455" s="6" t="n"/>
      <c r="M1455" s="7" t="n"/>
      <c r="N1455" s="7" t="n"/>
      <c r="O1455" s="7" t="n"/>
      <c r="P1455" s="8">
        <f>IF(NOT(ISNUMBER(M1455)),"",IF(G1455="Terreno",IF(AND(ISNUMBER(I1455),I1455&gt;0),M1455/I1455,""),IF(AND(ISNUMBER(H1455),H1455&gt;0),M1455/H1455,"")))</f>
        <v/>
      </c>
      <c r="Q1455" s="9">
        <f>IF(AND(ISNUMBER(M1455),ISNUMBER(O1455)),IF(M1455&lt;=O1455,"Valor ≤ venal IPTU",""),"")</f>
        <v/>
      </c>
      <c r="R1455" s="10" t="n"/>
      <c r="S1455" s="10" t="n"/>
      <c r="AA1455" s="10" t="n"/>
      <c r="AB1455" s="11">
        <f>IF(LEN(TRIM(X1455))=0,"",HYPERLINK("https://www.google.com/maps/@?api=1&amp;map_action=pano&amp;viewpoint="&amp;SUBSTITUTE(X1455," ",""),"Abrir Street View"))</f>
        <v/>
      </c>
    </row>
    <row r="1456">
      <c r="H1456" s="6" t="n"/>
      <c r="I1456" s="6" t="n"/>
      <c r="M1456" s="7" t="n"/>
      <c r="N1456" s="7" t="n"/>
      <c r="O1456" s="7" t="n"/>
      <c r="P1456" s="8">
        <f>IF(NOT(ISNUMBER(M1456)),"",IF(G1456="Terreno",IF(AND(ISNUMBER(I1456),I1456&gt;0),M1456/I1456,""),IF(AND(ISNUMBER(H1456),H1456&gt;0),M1456/H1456,"")))</f>
        <v/>
      </c>
      <c r="Q1456" s="9">
        <f>IF(AND(ISNUMBER(M1456),ISNUMBER(O1456)),IF(M1456&lt;=O1456,"Valor ≤ venal IPTU",""),"")</f>
        <v/>
      </c>
      <c r="R1456" s="10" t="n"/>
      <c r="S1456" s="10" t="n"/>
      <c r="AA1456" s="10" t="n"/>
      <c r="AB1456" s="11">
        <f>IF(LEN(TRIM(X1456))=0,"",HYPERLINK("https://www.google.com/maps/@?api=1&amp;map_action=pano&amp;viewpoint="&amp;SUBSTITUTE(X1456," ",""),"Abrir Street View"))</f>
        <v/>
      </c>
    </row>
    <row r="1457">
      <c r="H1457" s="6" t="n"/>
      <c r="I1457" s="6" t="n"/>
      <c r="M1457" s="7" t="n"/>
      <c r="N1457" s="7" t="n"/>
      <c r="O1457" s="7" t="n"/>
      <c r="P1457" s="8">
        <f>IF(NOT(ISNUMBER(M1457)),"",IF(G1457="Terreno",IF(AND(ISNUMBER(I1457),I1457&gt;0),M1457/I1457,""),IF(AND(ISNUMBER(H1457),H1457&gt;0),M1457/H1457,"")))</f>
        <v/>
      </c>
      <c r="Q1457" s="9">
        <f>IF(AND(ISNUMBER(M1457),ISNUMBER(O1457)),IF(M1457&lt;=O1457,"Valor ≤ venal IPTU",""),"")</f>
        <v/>
      </c>
      <c r="R1457" s="10" t="n"/>
      <c r="S1457" s="10" t="n"/>
      <c r="AA1457" s="10" t="n"/>
      <c r="AB1457" s="11">
        <f>IF(LEN(TRIM(X1457))=0,"",HYPERLINK("https://www.google.com/maps/@?api=1&amp;map_action=pano&amp;viewpoint="&amp;SUBSTITUTE(X1457," ",""),"Abrir Street View"))</f>
        <v/>
      </c>
    </row>
    <row r="1458">
      <c r="H1458" s="6" t="n"/>
      <c r="I1458" s="6" t="n"/>
      <c r="M1458" s="7" t="n"/>
      <c r="N1458" s="7" t="n"/>
      <c r="O1458" s="7" t="n"/>
      <c r="P1458" s="8">
        <f>IF(NOT(ISNUMBER(M1458)),"",IF(G1458="Terreno",IF(AND(ISNUMBER(I1458),I1458&gt;0),M1458/I1458,""),IF(AND(ISNUMBER(H1458),H1458&gt;0),M1458/H1458,"")))</f>
        <v/>
      </c>
      <c r="Q1458" s="9">
        <f>IF(AND(ISNUMBER(M1458),ISNUMBER(O1458)),IF(M1458&lt;=O1458,"Valor ≤ venal IPTU",""),"")</f>
        <v/>
      </c>
      <c r="R1458" s="10" t="n"/>
      <c r="S1458" s="10" t="n"/>
      <c r="AA1458" s="10" t="n"/>
      <c r="AB1458" s="11">
        <f>IF(LEN(TRIM(X1458))=0,"",HYPERLINK("https://www.google.com/maps/@?api=1&amp;map_action=pano&amp;viewpoint="&amp;SUBSTITUTE(X1458," ",""),"Abrir Street View"))</f>
        <v/>
      </c>
    </row>
    <row r="1459">
      <c r="H1459" s="6" t="n"/>
      <c r="I1459" s="6" t="n"/>
      <c r="M1459" s="7" t="n"/>
      <c r="N1459" s="7" t="n"/>
      <c r="O1459" s="7" t="n"/>
      <c r="P1459" s="8">
        <f>IF(NOT(ISNUMBER(M1459)),"",IF(G1459="Terreno",IF(AND(ISNUMBER(I1459),I1459&gt;0),M1459/I1459,""),IF(AND(ISNUMBER(H1459),H1459&gt;0),M1459/H1459,"")))</f>
        <v/>
      </c>
      <c r="Q1459" s="9">
        <f>IF(AND(ISNUMBER(M1459),ISNUMBER(O1459)),IF(M1459&lt;=O1459,"Valor ≤ venal IPTU",""),"")</f>
        <v/>
      </c>
      <c r="R1459" s="10" t="n"/>
      <c r="S1459" s="10" t="n"/>
      <c r="AA1459" s="10" t="n"/>
      <c r="AB1459" s="11">
        <f>IF(LEN(TRIM(X1459))=0,"",HYPERLINK("https://www.google.com/maps/@?api=1&amp;map_action=pano&amp;viewpoint="&amp;SUBSTITUTE(X1459," ",""),"Abrir Street View"))</f>
        <v/>
      </c>
    </row>
    <row r="1460">
      <c r="H1460" s="6" t="n"/>
      <c r="I1460" s="6" t="n"/>
      <c r="M1460" s="7" t="n"/>
      <c r="N1460" s="7" t="n"/>
      <c r="O1460" s="7" t="n"/>
      <c r="P1460" s="8">
        <f>IF(NOT(ISNUMBER(M1460)),"",IF(G1460="Terreno",IF(AND(ISNUMBER(I1460),I1460&gt;0),M1460/I1460,""),IF(AND(ISNUMBER(H1460),H1460&gt;0),M1460/H1460,"")))</f>
        <v/>
      </c>
      <c r="Q1460" s="9">
        <f>IF(AND(ISNUMBER(M1460),ISNUMBER(O1460)),IF(M1460&lt;=O1460,"Valor ≤ venal IPTU",""),"")</f>
        <v/>
      </c>
      <c r="R1460" s="10" t="n"/>
      <c r="S1460" s="10" t="n"/>
      <c r="AA1460" s="10" t="n"/>
      <c r="AB1460" s="11">
        <f>IF(LEN(TRIM(X1460))=0,"",HYPERLINK("https://www.google.com/maps/@?api=1&amp;map_action=pano&amp;viewpoint="&amp;SUBSTITUTE(X1460," ",""),"Abrir Street View"))</f>
        <v/>
      </c>
    </row>
    <row r="1461">
      <c r="H1461" s="6" t="n"/>
      <c r="I1461" s="6" t="n"/>
      <c r="M1461" s="7" t="n"/>
      <c r="N1461" s="7" t="n"/>
      <c r="O1461" s="7" t="n"/>
      <c r="P1461" s="8">
        <f>IF(NOT(ISNUMBER(M1461)),"",IF(G1461="Terreno",IF(AND(ISNUMBER(I1461),I1461&gt;0),M1461/I1461,""),IF(AND(ISNUMBER(H1461),H1461&gt;0),M1461/H1461,"")))</f>
        <v/>
      </c>
      <c r="Q1461" s="9">
        <f>IF(AND(ISNUMBER(M1461),ISNUMBER(O1461)),IF(M1461&lt;=O1461,"Valor ≤ venal IPTU",""),"")</f>
        <v/>
      </c>
      <c r="R1461" s="10" t="n"/>
      <c r="S1461" s="10" t="n"/>
      <c r="AA1461" s="10" t="n"/>
      <c r="AB1461" s="11">
        <f>IF(LEN(TRIM(X1461))=0,"",HYPERLINK("https://www.google.com/maps/@?api=1&amp;map_action=pano&amp;viewpoint="&amp;SUBSTITUTE(X1461," ",""),"Abrir Street View"))</f>
        <v/>
      </c>
    </row>
    <row r="1462">
      <c r="H1462" s="6" t="n"/>
      <c r="I1462" s="6" t="n"/>
      <c r="M1462" s="7" t="n"/>
      <c r="N1462" s="7" t="n"/>
      <c r="O1462" s="7" t="n"/>
      <c r="P1462" s="8">
        <f>IF(NOT(ISNUMBER(M1462)),"",IF(G1462="Terreno",IF(AND(ISNUMBER(I1462),I1462&gt;0),M1462/I1462,""),IF(AND(ISNUMBER(H1462),H1462&gt;0),M1462/H1462,"")))</f>
        <v/>
      </c>
      <c r="Q1462" s="9">
        <f>IF(AND(ISNUMBER(M1462),ISNUMBER(O1462)),IF(M1462&lt;=O1462,"Valor ≤ venal IPTU",""),"")</f>
        <v/>
      </c>
      <c r="R1462" s="10" t="n"/>
      <c r="S1462" s="10" t="n"/>
      <c r="AA1462" s="10" t="n"/>
      <c r="AB1462" s="11">
        <f>IF(LEN(TRIM(X1462))=0,"",HYPERLINK("https://www.google.com/maps/@?api=1&amp;map_action=pano&amp;viewpoint="&amp;SUBSTITUTE(X1462," ",""),"Abrir Street View"))</f>
        <v/>
      </c>
    </row>
    <row r="1463">
      <c r="H1463" s="6" t="n"/>
      <c r="I1463" s="6" t="n"/>
      <c r="M1463" s="7" t="n"/>
      <c r="N1463" s="7" t="n"/>
      <c r="O1463" s="7" t="n"/>
      <c r="P1463" s="8">
        <f>IF(NOT(ISNUMBER(M1463)),"",IF(G1463="Terreno",IF(AND(ISNUMBER(I1463),I1463&gt;0),M1463/I1463,""),IF(AND(ISNUMBER(H1463),H1463&gt;0),M1463/H1463,"")))</f>
        <v/>
      </c>
      <c r="Q1463" s="9">
        <f>IF(AND(ISNUMBER(M1463),ISNUMBER(O1463)),IF(M1463&lt;=O1463,"Valor ≤ venal IPTU",""),"")</f>
        <v/>
      </c>
      <c r="R1463" s="10" t="n"/>
      <c r="S1463" s="10" t="n"/>
      <c r="AA1463" s="10" t="n"/>
      <c r="AB1463" s="11">
        <f>IF(LEN(TRIM(X1463))=0,"",HYPERLINK("https://www.google.com/maps/@?api=1&amp;map_action=pano&amp;viewpoint="&amp;SUBSTITUTE(X1463," ",""),"Abrir Street View"))</f>
        <v/>
      </c>
    </row>
    <row r="1464">
      <c r="H1464" s="6" t="n"/>
      <c r="I1464" s="6" t="n"/>
      <c r="M1464" s="7" t="n"/>
      <c r="N1464" s="7" t="n"/>
      <c r="O1464" s="7" t="n"/>
      <c r="P1464" s="8">
        <f>IF(NOT(ISNUMBER(M1464)),"",IF(G1464="Terreno",IF(AND(ISNUMBER(I1464),I1464&gt;0),M1464/I1464,""),IF(AND(ISNUMBER(H1464),H1464&gt;0),M1464/H1464,"")))</f>
        <v/>
      </c>
      <c r="Q1464" s="9">
        <f>IF(AND(ISNUMBER(M1464),ISNUMBER(O1464)),IF(M1464&lt;=O1464,"Valor ≤ venal IPTU",""),"")</f>
        <v/>
      </c>
      <c r="R1464" s="10" t="n"/>
      <c r="S1464" s="10" t="n"/>
      <c r="AA1464" s="10" t="n"/>
      <c r="AB1464" s="11">
        <f>IF(LEN(TRIM(X1464))=0,"",HYPERLINK("https://www.google.com/maps/@?api=1&amp;map_action=pano&amp;viewpoint="&amp;SUBSTITUTE(X1464," ",""),"Abrir Street View"))</f>
        <v/>
      </c>
    </row>
    <row r="1465">
      <c r="H1465" s="6" t="n"/>
      <c r="I1465" s="6" t="n"/>
      <c r="M1465" s="7" t="n"/>
      <c r="N1465" s="7" t="n"/>
      <c r="O1465" s="7" t="n"/>
      <c r="P1465" s="8">
        <f>IF(NOT(ISNUMBER(M1465)),"",IF(G1465="Terreno",IF(AND(ISNUMBER(I1465),I1465&gt;0),M1465/I1465,""),IF(AND(ISNUMBER(H1465),H1465&gt;0),M1465/H1465,"")))</f>
        <v/>
      </c>
      <c r="Q1465" s="9">
        <f>IF(AND(ISNUMBER(M1465),ISNUMBER(O1465)),IF(M1465&lt;=O1465,"Valor ≤ venal IPTU",""),"")</f>
        <v/>
      </c>
      <c r="R1465" s="10" t="n"/>
      <c r="S1465" s="10" t="n"/>
      <c r="AA1465" s="10" t="n"/>
      <c r="AB1465" s="11">
        <f>IF(LEN(TRIM(X1465))=0,"",HYPERLINK("https://www.google.com/maps/@?api=1&amp;map_action=pano&amp;viewpoint="&amp;SUBSTITUTE(X1465," ",""),"Abrir Street View"))</f>
        <v/>
      </c>
    </row>
    <row r="1466">
      <c r="H1466" s="6" t="n"/>
      <c r="I1466" s="6" t="n"/>
      <c r="M1466" s="7" t="n"/>
      <c r="N1466" s="7" t="n"/>
      <c r="O1466" s="7" t="n"/>
      <c r="P1466" s="8">
        <f>IF(NOT(ISNUMBER(M1466)),"",IF(G1466="Terreno",IF(AND(ISNUMBER(I1466),I1466&gt;0),M1466/I1466,""),IF(AND(ISNUMBER(H1466),H1466&gt;0),M1466/H1466,"")))</f>
        <v/>
      </c>
      <c r="Q1466" s="9">
        <f>IF(AND(ISNUMBER(M1466),ISNUMBER(O1466)),IF(M1466&lt;=O1466,"Valor ≤ venal IPTU",""),"")</f>
        <v/>
      </c>
      <c r="R1466" s="10" t="n"/>
      <c r="S1466" s="10" t="n"/>
      <c r="AA1466" s="10" t="n"/>
      <c r="AB1466" s="11">
        <f>IF(LEN(TRIM(X1466))=0,"",HYPERLINK("https://www.google.com/maps/@?api=1&amp;map_action=pano&amp;viewpoint="&amp;SUBSTITUTE(X1466," ",""),"Abrir Street View"))</f>
        <v/>
      </c>
    </row>
    <row r="1467">
      <c r="H1467" s="6" t="n"/>
      <c r="I1467" s="6" t="n"/>
      <c r="M1467" s="7" t="n"/>
      <c r="N1467" s="7" t="n"/>
      <c r="O1467" s="7" t="n"/>
      <c r="P1467" s="8">
        <f>IF(NOT(ISNUMBER(M1467)),"",IF(G1467="Terreno",IF(AND(ISNUMBER(I1467),I1467&gt;0),M1467/I1467,""),IF(AND(ISNUMBER(H1467),H1467&gt;0),M1467/H1467,"")))</f>
        <v/>
      </c>
      <c r="Q1467" s="9">
        <f>IF(AND(ISNUMBER(M1467),ISNUMBER(O1467)),IF(M1467&lt;=O1467,"Valor ≤ venal IPTU",""),"")</f>
        <v/>
      </c>
      <c r="R1467" s="10" t="n"/>
      <c r="S1467" s="10" t="n"/>
      <c r="AA1467" s="10" t="n"/>
      <c r="AB1467" s="11">
        <f>IF(LEN(TRIM(X1467))=0,"",HYPERLINK("https://www.google.com/maps/@?api=1&amp;map_action=pano&amp;viewpoint="&amp;SUBSTITUTE(X1467," ",""),"Abrir Street View"))</f>
        <v/>
      </c>
    </row>
    <row r="1468">
      <c r="H1468" s="6" t="n"/>
      <c r="I1468" s="6" t="n"/>
      <c r="M1468" s="7" t="n"/>
      <c r="N1468" s="7" t="n"/>
      <c r="O1468" s="7" t="n"/>
      <c r="P1468" s="8">
        <f>IF(NOT(ISNUMBER(M1468)),"",IF(G1468="Terreno",IF(AND(ISNUMBER(I1468),I1468&gt;0),M1468/I1468,""),IF(AND(ISNUMBER(H1468),H1468&gt;0),M1468/H1468,"")))</f>
        <v/>
      </c>
      <c r="Q1468" s="9">
        <f>IF(AND(ISNUMBER(M1468),ISNUMBER(O1468)),IF(M1468&lt;=O1468,"Valor ≤ venal IPTU",""),"")</f>
        <v/>
      </c>
      <c r="R1468" s="10" t="n"/>
      <c r="S1468" s="10" t="n"/>
      <c r="AA1468" s="10" t="n"/>
      <c r="AB1468" s="11">
        <f>IF(LEN(TRIM(X1468))=0,"",HYPERLINK("https://www.google.com/maps/@?api=1&amp;map_action=pano&amp;viewpoint="&amp;SUBSTITUTE(X1468," ",""),"Abrir Street View"))</f>
        <v/>
      </c>
    </row>
    <row r="1469">
      <c r="H1469" s="6" t="n"/>
      <c r="I1469" s="6" t="n"/>
      <c r="M1469" s="7" t="n"/>
      <c r="N1469" s="7" t="n"/>
      <c r="O1469" s="7" t="n"/>
      <c r="P1469" s="8">
        <f>IF(NOT(ISNUMBER(M1469)),"",IF(G1469="Terreno",IF(AND(ISNUMBER(I1469),I1469&gt;0),M1469/I1469,""),IF(AND(ISNUMBER(H1469),H1469&gt;0),M1469/H1469,"")))</f>
        <v/>
      </c>
      <c r="Q1469" s="9">
        <f>IF(AND(ISNUMBER(M1469),ISNUMBER(O1469)),IF(M1469&lt;=O1469,"Valor ≤ venal IPTU",""),"")</f>
        <v/>
      </c>
      <c r="R1469" s="10" t="n"/>
      <c r="S1469" s="10" t="n"/>
      <c r="AA1469" s="10" t="n"/>
      <c r="AB1469" s="11">
        <f>IF(LEN(TRIM(X1469))=0,"",HYPERLINK("https://www.google.com/maps/@?api=1&amp;map_action=pano&amp;viewpoint="&amp;SUBSTITUTE(X1469," ",""),"Abrir Street View"))</f>
        <v/>
      </c>
    </row>
    <row r="1470">
      <c r="H1470" s="6" t="n"/>
      <c r="I1470" s="6" t="n"/>
      <c r="M1470" s="7" t="n"/>
      <c r="N1470" s="7" t="n"/>
      <c r="O1470" s="7" t="n"/>
      <c r="P1470" s="8">
        <f>IF(NOT(ISNUMBER(M1470)),"",IF(G1470="Terreno",IF(AND(ISNUMBER(I1470),I1470&gt;0),M1470/I1470,""),IF(AND(ISNUMBER(H1470),H1470&gt;0),M1470/H1470,"")))</f>
        <v/>
      </c>
      <c r="Q1470" s="9">
        <f>IF(AND(ISNUMBER(M1470),ISNUMBER(O1470)),IF(M1470&lt;=O1470,"Valor ≤ venal IPTU",""),"")</f>
        <v/>
      </c>
      <c r="R1470" s="10" t="n"/>
      <c r="S1470" s="10" t="n"/>
      <c r="AA1470" s="10" t="n"/>
      <c r="AB1470" s="11">
        <f>IF(LEN(TRIM(X1470))=0,"",HYPERLINK("https://www.google.com/maps/@?api=1&amp;map_action=pano&amp;viewpoint="&amp;SUBSTITUTE(X1470," ",""),"Abrir Street View"))</f>
        <v/>
      </c>
    </row>
    <row r="1471">
      <c r="H1471" s="6" t="n"/>
      <c r="I1471" s="6" t="n"/>
      <c r="M1471" s="7" t="n"/>
      <c r="N1471" s="7" t="n"/>
      <c r="O1471" s="7" t="n"/>
      <c r="P1471" s="8">
        <f>IF(NOT(ISNUMBER(M1471)),"",IF(G1471="Terreno",IF(AND(ISNUMBER(I1471),I1471&gt;0),M1471/I1471,""),IF(AND(ISNUMBER(H1471),H1471&gt;0),M1471/H1471,"")))</f>
        <v/>
      </c>
      <c r="Q1471" s="9">
        <f>IF(AND(ISNUMBER(M1471),ISNUMBER(O1471)),IF(M1471&lt;=O1471,"Valor ≤ venal IPTU",""),"")</f>
        <v/>
      </c>
      <c r="R1471" s="10" t="n"/>
      <c r="S1471" s="10" t="n"/>
      <c r="AA1471" s="10" t="n"/>
      <c r="AB1471" s="11">
        <f>IF(LEN(TRIM(X1471))=0,"",HYPERLINK("https://www.google.com/maps/@?api=1&amp;map_action=pano&amp;viewpoint="&amp;SUBSTITUTE(X1471," ",""),"Abrir Street View"))</f>
        <v/>
      </c>
    </row>
    <row r="1472">
      <c r="H1472" s="6" t="n"/>
      <c r="I1472" s="6" t="n"/>
      <c r="M1472" s="7" t="n"/>
      <c r="N1472" s="7" t="n"/>
      <c r="O1472" s="7" t="n"/>
      <c r="P1472" s="8">
        <f>IF(NOT(ISNUMBER(M1472)),"",IF(G1472="Terreno",IF(AND(ISNUMBER(I1472),I1472&gt;0),M1472/I1472,""),IF(AND(ISNUMBER(H1472),H1472&gt;0),M1472/H1472,"")))</f>
        <v/>
      </c>
      <c r="Q1472" s="9">
        <f>IF(AND(ISNUMBER(M1472),ISNUMBER(O1472)),IF(M1472&lt;=O1472,"Valor ≤ venal IPTU",""),"")</f>
        <v/>
      </c>
      <c r="R1472" s="10" t="n"/>
      <c r="S1472" s="10" t="n"/>
      <c r="AA1472" s="10" t="n"/>
      <c r="AB1472" s="11">
        <f>IF(LEN(TRIM(X1472))=0,"",HYPERLINK("https://www.google.com/maps/@?api=1&amp;map_action=pano&amp;viewpoint="&amp;SUBSTITUTE(X1472," ",""),"Abrir Street View"))</f>
        <v/>
      </c>
    </row>
    <row r="1473">
      <c r="H1473" s="6" t="n"/>
      <c r="I1473" s="6" t="n"/>
      <c r="M1473" s="7" t="n"/>
      <c r="N1473" s="7" t="n"/>
      <c r="O1473" s="7" t="n"/>
      <c r="P1473" s="8">
        <f>IF(NOT(ISNUMBER(M1473)),"",IF(G1473="Terreno",IF(AND(ISNUMBER(I1473),I1473&gt;0),M1473/I1473,""),IF(AND(ISNUMBER(H1473),H1473&gt;0),M1473/H1473,"")))</f>
        <v/>
      </c>
      <c r="Q1473" s="9">
        <f>IF(AND(ISNUMBER(M1473),ISNUMBER(O1473)),IF(M1473&lt;=O1473,"Valor ≤ venal IPTU",""),"")</f>
        <v/>
      </c>
      <c r="R1473" s="10" t="n"/>
      <c r="S1473" s="10" t="n"/>
      <c r="AA1473" s="10" t="n"/>
      <c r="AB1473" s="11">
        <f>IF(LEN(TRIM(X1473))=0,"",HYPERLINK("https://www.google.com/maps/@?api=1&amp;map_action=pano&amp;viewpoint="&amp;SUBSTITUTE(X1473," ",""),"Abrir Street View"))</f>
        <v/>
      </c>
    </row>
    <row r="1474">
      <c r="H1474" s="6" t="n"/>
      <c r="I1474" s="6" t="n"/>
      <c r="M1474" s="7" t="n"/>
      <c r="N1474" s="7" t="n"/>
      <c r="O1474" s="7" t="n"/>
      <c r="P1474" s="8">
        <f>IF(NOT(ISNUMBER(M1474)),"",IF(G1474="Terreno",IF(AND(ISNUMBER(I1474),I1474&gt;0),M1474/I1474,""),IF(AND(ISNUMBER(H1474),H1474&gt;0),M1474/H1474,"")))</f>
        <v/>
      </c>
      <c r="Q1474" s="9">
        <f>IF(AND(ISNUMBER(M1474),ISNUMBER(O1474)),IF(M1474&lt;=O1474,"Valor ≤ venal IPTU",""),"")</f>
        <v/>
      </c>
      <c r="R1474" s="10" t="n"/>
      <c r="S1474" s="10" t="n"/>
      <c r="AA1474" s="10" t="n"/>
      <c r="AB1474" s="11">
        <f>IF(LEN(TRIM(X1474))=0,"",HYPERLINK("https://www.google.com/maps/@?api=1&amp;map_action=pano&amp;viewpoint="&amp;SUBSTITUTE(X1474," ",""),"Abrir Street View"))</f>
        <v/>
      </c>
    </row>
    <row r="1475">
      <c r="H1475" s="6" t="n"/>
      <c r="I1475" s="6" t="n"/>
      <c r="M1475" s="7" t="n"/>
      <c r="N1475" s="7" t="n"/>
      <c r="O1475" s="7" t="n"/>
      <c r="P1475" s="8">
        <f>IF(NOT(ISNUMBER(M1475)),"",IF(G1475="Terreno",IF(AND(ISNUMBER(I1475),I1475&gt;0),M1475/I1475,""),IF(AND(ISNUMBER(H1475),H1475&gt;0),M1475/H1475,"")))</f>
        <v/>
      </c>
      <c r="Q1475" s="9">
        <f>IF(AND(ISNUMBER(M1475),ISNUMBER(O1475)),IF(M1475&lt;=O1475,"Valor ≤ venal IPTU",""),"")</f>
        <v/>
      </c>
      <c r="R1475" s="10" t="n"/>
      <c r="S1475" s="10" t="n"/>
      <c r="AA1475" s="10" t="n"/>
      <c r="AB1475" s="11">
        <f>IF(LEN(TRIM(X1475))=0,"",HYPERLINK("https://www.google.com/maps/@?api=1&amp;map_action=pano&amp;viewpoint="&amp;SUBSTITUTE(X1475," ",""),"Abrir Street View"))</f>
        <v/>
      </c>
    </row>
    <row r="1476">
      <c r="H1476" s="6" t="n"/>
      <c r="I1476" s="6" t="n"/>
      <c r="M1476" s="7" t="n"/>
      <c r="N1476" s="7" t="n"/>
      <c r="O1476" s="7" t="n"/>
      <c r="P1476" s="8">
        <f>IF(NOT(ISNUMBER(M1476)),"",IF(G1476="Terreno",IF(AND(ISNUMBER(I1476),I1476&gt;0),M1476/I1476,""),IF(AND(ISNUMBER(H1476),H1476&gt;0),M1476/H1476,"")))</f>
        <v/>
      </c>
      <c r="Q1476" s="9">
        <f>IF(AND(ISNUMBER(M1476),ISNUMBER(O1476)),IF(M1476&lt;=O1476,"Valor ≤ venal IPTU",""),"")</f>
        <v/>
      </c>
      <c r="R1476" s="10" t="n"/>
      <c r="S1476" s="10" t="n"/>
      <c r="AA1476" s="10" t="n"/>
      <c r="AB1476" s="11">
        <f>IF(LEN(TRIM(X1476))=0,"",HYPERLINK("https://www.google.com/maps/@?api=1&amp;map_action=pano&amp;viewpoint="&amp;SUBSTITUTE(X1476," ",""),"Abrir Street View"))</f>
        <v/>
      </c>
    </row>
    <row r="1477">
      <c r="H1477" s="6" t="n"/>
      <c r="I1477" s="6" t="n"/>
      <c r="M1477" s="7" t="n"/>
      <c r="N1477" s="7" t="n"/>
      <c r="O1477" s="7" t="n"/>
      <c r="P1477" s="8">
        <f>IF(NOT(ISNUMBER(M1477)),"",IF(G1477="Terreno",IF(AND(ISNUMBER(I1477),I1477&gt;0),M1477/I1477,""),IF(AND(ISNUMBER(H1477),H1477&gt;0),M1477/H1477,"")))</f>
        <v/>
      </c>
      <c r="Q1477" s="9">
        <f>IF(AND(ISNUMBER(M1477),ISNUMBER(O1477)),IF(M1477&lt;=O1477,"Valor ≤ venal IPTU",""),"")</f>
        <v/>
      </c>
      <c r="R1477" s="10" t="n"/>
      <c r="S1477" s="10" t="n"/>
      <c r="AA1477" s="10" t="n"/>
      <c r="AB1477" s="11">
        <f>IF(LEN(TRIM(X1477))=0,"",HYPERLINK("https://www.google.com/maps/@?api=1&amp;map_action=pano&amp;viewpoint="&amp;SUBSTITUTE(X1477," ",""),"Abrir Street View"))</f>
        <v/>
      </c>
    </row>
    <row r="1478">
      <c r="H1478" s="6" t="n"/>
      <c r="I1478" s="6" t="n"/>
      <c r="M1478" s="7" t="n"/>
      <c r="N1478" s="7" t="n"/>
      <c r="O1478" s="7" t="n"/>
      <c r="P1478" s="8">
        <f>IF(NOT(ISNUMBER(M1478)),"",IF(G1478="Terreno",IF(AND(ISNUMBER(I1478),I1478&gt;0),M1478/I1478,""),IF(AND(ISNUMBER(H1478),H1478&gt;0),M1478/H1478,"")))</f>
        <v/>
      </c>
      <c r="Q1478" s="9">
        <f>IF(AND(ISNUMBER(M1478),ISNUMBER(O1478)),IF(M1478&lt;=O1478,"Valor ≤ venal IPTU",""),"")</f>
        <v/>
      </c>
      <c r="R1478" s="10" t="n"/>
      <c r="S1478" s="10" t="n"/>
      <c r="AA1478" s="10" t="n"/>
      <c r="AB1478" s="11">
        <f>IF(LEN(TRIM(X1478))=0,"",HYPERLINK("https://www.google.com/maps/@?api=1&amp;map_action=pano&amp;viewpoint="&amp;SUBSTITUTE(X1478," ",""),"Abrir Street View"))</f>
        <v/>
      </c>
    </row>
    <row r="1479">
      <c r="H1479" s="6" t="n"/>
      <c r="I1479" s="6" t="n"/>
      <c r="M1479" s="7" t="n"/>
      <c r="N1479" s="7" t="n"/>
      <c r="O1479" s="7" t="n"/>
      <c r="P1479" s="8">
        <f>IF(NOT(ISNUMBER(M1479)),"",IF(G1479="Terreno",IF(AND(ISNUMBER(I1479),I1479&gt;0),M1479/I1479,""),IF(AND(ISNUMBER(H1479),H1479&gt;0),M1479/H1479,"")))</f>
        <v/>
      </c>
      <c r="Q1479" s="9">
        <f>IF(AND(ISNUMBER(M1479),ISNUMBER(O1479)),IF(M1479&lt;=O1479,"Valor ≤ venal IPTU",""),"")</f>
        <v/>
      </c>
      <c r="R1479" s="10" t="n"/>
      <c r="S1479" s="10" t="n"/>
      <c r="AA1479" s="10" t="n"/>
      <c r="AB1479" s="11">
        <f>IF(LEN(TRIM(X1479))=0,"",HYPERLINK("https://www.google.com/maps/@?api=1&amp;map_action=pano&amp;viewpoint="&amp;SUBSTITUTE(X1479," ",""),"Abrir Street View"))</f>
        <v/>
      </c>
    </row>
    <row r="1480">
      <c r="H1480" s="6" t="n"/>
      <c r="I1480" s="6" t="n"/>
      <c r="M1480" s="7" t="n"/>
      <c r="N1480" s="7" t="n"/>
      <c r="O1480" s="7" t="n"/>
      <c r="P1480" s="8">
        <f>IF(NOT(ISNUMBER(M1480)),"",IF(G1480="Terreno",IF(AND(ISNUMBER(I1480),I1480&gt;0),M1480/I1480,""),IF(AND(ISNUMBER(H1480),H1480&gt;0),M1480/H1480,"")))</f>
        <v/>
      </c>
      <c r="Q1480" s="9">
        <f>IF(AND(ISNUMBER(M1480),ISNUMBER(O1480)),IF(M1480&lt;=O1480,"Valor ≤ venal IPTU",""),"")</f>
        <v/>
      </c>
      <c r="R1480" s="10" t="n"/>
      <c r="S1480" s="10" t="n"/>
      <c r="AA1480" s="10" t="n"/>
      <c r="AB1480" s="11">
        <f>IF(LEN(TRIM(X1480))=0,"",HYPERLINK("https://www.google.com/maps/@?api=1&amp;map_action=pano&amp;viewpoint="&amp;SUBSTITUTE(X1480," ",""),"Abrir Street View"))</f>
        <v/>
      </c>
    </row>
    <row r="1481">
      <c r="H1481" s="6" t="n"/>
      <c r="I1481" s="6" t="n"/>
      <c r="M1481" s="7" t="n"/>
      <c r="N1481" s="7" t="n"/>
      <c r="O1481" s="7" t="n"/>
      <c r="P1481" s="8">
        <f>IF(NOT(ISNUMBER(M1481)),"",IF(G1481="Terreno",IF(AND(ISNUMBER(I1481),I1481&gt;0),M1481/I1481,""),IF(AND(ISNUMBER(H1481),H1481&gt;0),M1481/H1481,"")))</f>
        <v/>
      </c>
      <c r="Q1481" s="9">
        <f>IF(AND(ISNUMBER(M1481),ISNUMBER(O1481)),IF(M1481&lt;=O1481,"Valor ≤ venal IPTU",""),"")</f>
        <v/>
      </c>
      <c r="R1481" s="10" t="n"/>
      <c r="S1481" s="10" t="n"/>
      <c r="AA1481" s="10" t="n"/>
      <c r="AB1481" s="11">
        <f>IF(LEN(TRIM(X1481))=0,"",HYPERLINK("https://www.google.com/maps/@?api=1&amp;map_action=pano&amp;viewpoint="&amp;SUBSTITUTE(X1481," ",""),"Abrir Street View"))</f>
        <v/>
      </c>
    </row>
    <row r="1482">
      <c r="H1482" s="6" t="n"/>
      <c r="I1482" s="6" t="n"/>
      <c r="M1482" s="7" t="n"/>
      <c r="N1482" s="7" t="n"/>
      <c r="O1482" s="7" t="n"/>
      <c r="P1482" s="8">
        <f>IF(NOT(ISNUMBER(M1482)),"",IF(G1482="Terreno",IF(AND(ISNUMBER(I1482),I1482&gt;0),M1482/I1482,""),IF(AND(ISNUMBER(H1482),H1482&gt;0),M1482/H1482,"")))</f>
        <v/>
      </c>
      <c r="Q1482" s="9">
        <f>IF(AND(ISNUMBER(M1482),ISNUMBER(O1482)),IF(M1482&lt;=O1482,"Valor ≤ venal IPTU",""),"")</f>
        <v/>
      </c>
      <c r="R1482" s="10" t="n"/>
      <c r="S1482" s="10" t="n"/>
      <c r="AA1482" s="10" t="n"/>
      <c r="AB1482" s="11">
        <f>IF(LEN(TRIM(X1482))=0,"",HYPERLINK("https://www.google.com/maps/@?api=1&amp;map_action=pano&amp;viewpoint="&amp;SUBSTITUTE(X1482," ",""),"Abrir Street View"))</f>
        <v/>
      </c>
    </row>
    <row r="1483">
      <c r="H1483" s="6" t="n"/>
      <c r="I1483" s="6" t="n"/>
      <c r="M1483" s="7" t="n"/>
      <c r="N1483" s="7" t="n"/>
      <c r="O1483" s="7" t="n"/>
      <c r="P1483" s="8">
        <f>IF(NOT(ISNUMBER(M1483)),"",IF(G1483="Terreno",IF(AND(ISNUMBER(I1483),I1483&gt;0),M1483/I1483,""),IF(AND(ISNUMBER(H1483),H1483&gt;0),M1483/H1483,"")))</f>
        <v/>
      </c>
      <c r="Q1483" s="9">
        <f>IF(AND(ISNUMBER(M1483),ISNUMBER(O1483)),IF(M1483&lt;=O1483,"Valor ≤ venal IPTU",""),"")</f>
        <v/>
      </c>
      <c r="R1483" s="10" t="n"/>
      <c r="S1483" s="10" t="n"/>
      <c r="AA1483" s="10" t="n"/>
      <c r="AB1483" s="11">
        <f>IF(LEN(TRIM(X1483))=0,"",HYPERLINK("https://www.google.com/maps/@?api=1&amp;map_action=pano&amp;viewpoint="&amp;SUBSTITUTE(X1483," ",""),"Abrir Street View"))</f>
        <v/>
      </c>
    </row>
    <row r="1484">
      <c r="H1484" s="6" t="n"/>
      <c r="I1484" s="6" t="n"/>
      <c r="M1484" s="7" t="n"/>
      <c r="N1484" s="7" t="n"/>
      <c r="O1484" s="7" t="n"/>
      <c r="P1484" s="8">
        <f>IF(NOT(ISNUMBER(M1484)),"",IF(G1484="Terreno",IF(AND(ISNUMBER(I1484),I1484&gt;0),M1484/I1484,""),IF(AND(ISNUMBER(H1484),H1484&gt;0),M1484/H1484,"")))</f>
        <v/>
      </c>
      <c r="Q1484" s="9">
        <f>IF(AND(ISNUMBER(M1484),ISNUMBER(O1484)),IF(M1484&lt;=O1484,"Valor ≤ venal IPTU",""),"")</f>
        <v/>
      </c>
      <c r="R1484" s="10" t="n"/>
      <c r="S1484" s="10" t="n"/>
      <c r="AA1484" s="10" t="n"/>
      <c r="AB1484" s="11">
        <f>IF(LEN(TRIM(X1484))=0,"",HYPERLINK("https://www.google.com/maps/@?api=1&amp;map_action=pano&amp;viewpoint="&amp;SUBSTITUTE(X1484," ",""),"Abrir Street View"))</f>
        <v/>
      </c>
    </row>
    <row r="1485">
      <c r="H1485" s="6" t="n"/>
      <c r="I1485" s="6" t="n"/>
      <c r="M1485" s="7" t="n"/>
      <c r="N1485" s="7" t="n"/>
      <c r="O1485" s="7" t="n"/>
      <c r="P1485" s="8">
        <f>IF(NOT(ISNUMBER(M1485)),"",IF(G1485="Terreno",IF(AND(ISNUMBER(I1485),I1485&gt;0),M1485/I1485,""),IF(AND(ISNUMBER(H1485),H1485&gt;0),M1485/H1485,"")))</f>
        <v/>
      </c>
      <c r="Q1485" s="9">
        <f>IF(AND(ISNUMBER(M1485),ISNUMBER(O1485)),IF(M1485&lt;=O1485,"Valor ≤ venal IPTU",""),"")</f>
        <v/>
      </c>
      <c r="R1485" s="10" t="n"/>
      <c r="S1485" s="10" t="n"/>
      <c r="AA1485" s="10" t="n"/>
      <c r="AB1485" s="11">
        <f>IF(LEN(TRIM(X1485))=0,"",HYPERLINK("https://www.google.com/maps/@?api=1&amp;map_action=pano&amp;viewpoint="&amp;SUBSTITUTE(X1485," ",""),"Abrir Street View"))</f>
        <v/>
      </c>
    </row>
    <row r="1486">
      <c r="H1486" s="6" t="n"/>
      <c r="I1486" s="6" t="n"/>
      <c r="M1486" s="7" t="n"/>
      <c r="N1486" s="7" t="n"/>
      <c r="O1486" s="7" t="n"/>
      <c r="P1486" s="8">
        <f>IF(NOT(ISNUMBER(M1486)),"",IF(G1486="Terreno",IF(AND(ISNUMBER(I1486),I1486&gt;0),M1486/I1486,""),IF(AND(ISNUMBER(H1486),H1486&gt;0),M1486/H1486,"")))</f>
        <v/>
      </c>
      <c r="Q1486" s="9">
        <f>IF(AND(ISNUMBER(M1486),ISNUMBER(O1486)),IF(M1486&lt;=O1486,"Valor ≤ venal IPTU",""),"")</f>
        <v/>
      </c>
      <c r="R1486" s="10" t="n"/>
      <c r="S1486" s="10" t="n"/>
      <c r="AA1486" s="10" t="n"/>
      <c r="AB1486" s="11">
        <f>IF(LEN(TRIM(X1486))=0,"",HYPERLINK("https://www.google.com/maps/@?api=1&amp;map_action=pano&amp;viewpoint="&amp;SUBSTITUTE(X1486," ",""),"Abrir Street View"))</f>
        <v/>
      </c>
    </row>
    <row r="1487">
      <c r="H1487" s="6" t="n"/>
      <c r="I1487" s="6" t="n"/>
      <c r="M1487" s="7" t="n"/>
      <c r="N1487" s="7" t="n"/>
      <c r="O1487" s="7" t="n"/>
      <c r="P1487" s="8">
        <f>IF(NOT(ISNUMBER(M1487)),"",IF(G1487="Terreno",IF(AND(ISNUMBER(I1487),I1487&gt;0),M1487/I1487,""),IF(AND(ISNUMBER(H1487),H1487&gt;0),M1487/H1487,"")))</f>
        <v/>
      </c>
      <c r="Q1487" s="9">
        <f>IF(AND(ISNUMBER(M1487),ISNUMBER(O1487)),IF(M1487&lt;=O1487,"Valor ≤ venal IPTU",""),"")</f>
        <v/>
      </c>
      <c r="R1487" s="10" t="n"/>
      <c r="S1487" s="10" t="n"/>
      <c r="AA1487" s="10" t="n"/>
      <c r="AB1487" s="11">
        <f>IF(LEN(TRIM(X1487))=0,"",HYPERLINK("https://www.google.com/maps/@?api=1&amp;map_action=pano&amp;viewpoint="&amp;SUBSTITUTE(X1487," ",""),"Abrir Street View"))</f>
        <v/>
      </c>
    </row>
    <row r="1488">
      <c r="H1488" s="6" t="n"/>
      <c r="I1488" s="6" t="n"/>
      <c r="M1488" s="7" t="n"/>
      <c r="N1488" s="7" t="n"/>
      <c r="O1488" s="7" t="n"/>
      <c r="P1488" s="8">
        <f>IF(NOT(ISNUMBER(M1488)),"",IF(G1488="Terreno",IF(AND(ISNUMBER(I1488),I1488&gt;0),M1488/I1488,""),IF(AND(ISNUMBER(H1488),H1488&gt;0),M1488/H1488,"")))</f>
        <v/>
      </c>
      <c r="Q1488" s="9">
        <f>IF(AND(ISNUMBER(M1488),ISNUMBER(O1488)),IF(M1488&lt;=O1488,"Valor ≤ venal IPTU",""),"")</f>
        <v/>
      </c>
      <c r="R1488" s="10" t="n"/>
      <c r="S1488" s="10" t="n"/>
      <c r="AA1488" s="10" t="n"/>
      <c r="AB1488" s="11">
        <f>IF(LEN(TRIM(X1488))=0,"",HYPERLINK("https://www.google.com/maps/@?api=1&amp;map_action=pano&amp;viewpoint="&amp;SUBSTITUTE(X1488," ",""),"Abrir Street View"))</f>
        <v/>
      </c>
    </row>
    <row r="1489">
      <c r="H1489" s="6" t="n"/>
      <c r="I1489" s="6" t="n"/>
      <c r="M1489" s="7" t="n"/>
      <c r="N1489" s="7" t="n"/>
      <c r="O1489" s="7" t="n"/>
      <c r="P1489" s="8">
        <f>IF(NOT(ISNUMBER(M1489)),"",IF(G1489="Terreno",IF(AND(ISNUMBER(I1489),I1489&gt;0),M1489/I1489,""),IF(AND(ISNUMBER(H1489),H1489&gt;0),M1489/H1489,"")))</f>
        <v/>
      </c>
      <c r="Q1489" s="9">
        <f>IF(AND(ISNUMBER(M1489),ISNUMBER(O1489)),IF(M1489&lt;=O1489,"Valor ≤ venal IPTU",""),"")</f>
        <v/>
      </c>
      <c r="R1489" s="10" t="n"/>
      <c r="S1489" s="10" t="n"/>
      <c r="AA1489" s="10" t="n"/>
      <c r="AB1489" s="11">
        <f>IF(LEN(TRIM(X1489))=0,"",HYPERLINK("https://www.google.com/maps/@?api=1&amp;map_action=pano&amp;viewpoint="&amp;SUBSTITUTE(X1489," ",""),"Abrir Street View"))</f>
        <v/>
      </c>
    </row>
    <row r="1490">
      <c r="H1490" s="6" t="n"/>
      <c r="I1490" s="6" t="n"/>
      <c r="M1490" s="7" t="n"/>
      <c r="N1490" s="7" t="n"/>
      <c r="O1490" s="7" t="n"/>
      <c r="P1490" s="8">
        <f>IF(NOT(ISNUMBER(M1490)),"",IF(G1490="Terreno",IF(AND(ISNUMBER(I1490),I1490&gt;0),M1490/I1490,""),IF(AND(ISNUMBER(H1490),H1490&gt;0),M1490/H1490,"")))</f>
        <v/>
      </c>
      <c r="Q1490" s="9">
        <f>IF(AND(ISNUMBER(M1490),ISNUMBER(O1490)),IF(M1490&lt;=O1490,"Valor ≤ venal IPTU",""),"")</f>
        <v/>
      </c>
      <c r="R1490" s="10" t="n"/>
      <c r="S1490" s="10" t="n"/>
      <c r="AA1490" s="10" t="n"/>
      <c r="AB1490" s="11">
        <f>IF(LEN(TRIM(X1490))=0,"",HYPERLINK("https://www.google.com/maps/@?api=1&amp;map_action=pano&amp;viewpoint="&amp;SUBSTITUTE(X1490," ",""),"Abrir Street View"))</f>
        <v/>
      </c>
    </row>
    <row r="1491">
      <c r="H1491" s="6" t="n"/>
      <c r="I1491" s="6" t="n"/>
      <c r="M1491" s="7" t="n"/>
      <c r="N1491" s="7" t="n"/>
      <c r="O1491" s="7" t="n"/>
      <c r="P1491" s="8">
        <f>IF(NOT(ISNUMBER(M1491)),"",IF(G1491="Terreno",IF(AND(ISNUMBER(I1491),I1491&gt;0),M1491/I1491,""),IF(AND(ISNUMBER(H1491),H1491&gt;0),M1491/H1491,"")))</f>
        <v/>
      </c>
      <c r="Q1491" s="9">
        <f>IF(AND(ISNUMBER(M1491),ISNUMBER(O1491)),IF(M1491&lt;=O1491,"Valor ≤ venal IPTU",""),"")</f>
        <v/>
      </c>
      <c r="R1491" s="10" t="n"/>
      <c r="S1491" s="10" t="n"/>
      <c r="AA1491" s="10" t="n"/>
      <c r="AB1491" s="11">
        <f>IF(LEN(TRIM(X1491))=0,"",HYPERLINK("https://www.google.com/maps/@?api=1&amp;map_action=pano&amp;viewpoint="&amp;SUBSTITUTE(X1491," ",""),"Abrir Street View"))</f>
        <v/>
      </c>
    </row>
    <row r="1492">
      <c r="H1492" s="6" t="n"/>
      <c r="I1492" s="6" t="n"/>
      <c r="M1492" s="7" t="n"/>
      <c r="N1492" s="7" t="n"/>
      <c r="O1492" s="7" t="n"/>
      <c r="P1492" s="8">
        <f>IF(NOT(ISNUMBER(M1492)),"",IF(G1492="Terreno",IF(AND(ISNUMBER(I1492),I1492&gt;0),M1492/I1492,""),IF(AND(ISNUMBER(H1492),H1492&gt;0),M1492/H1492,"")))</f>
        <v/>
      </c>
      <c r="Q1492" s="9">
        <f>IF(AND(ISNUMBER(M1492),ISNUMBER(O1492)),IF(M1492&lt;=O1492,"Valor ≤ venal IPTU",""),"")</f>
        <v/>
      </c>
      <c r="R1492" s="10" t="n"/>
      <c r="S1492" s="10" t="n"/>
      <c r="AA1492" s="10" t="n"/>
      <c r="AB1492" s="11">
        <f>IF(LEN(TRIM(X1492))=0,"",HYPERLINK("https://www.google.com/maps/@?api=1&amp;map_action=pano&amp;viewpoint="&amp;SUBSTITUTE(X1492," ",""),"Abrir Street View"))</f>
        <v/>
      </c>
    </row>
    <row r="1493">
      <c r="H1493" s="6" t="n"/>
      <c r="I1493" s="6" t="n"/>
      <c r="M1493" s="7" t="n"/>
      <c r="N1493" s="7" t="n"/>
      <c r="O1493" s="7" t="n"/>
      <c r="P1493" s="8">
        <f>IF(NOT(ISNUMBER(M1493)),"",IF(G1493="Terreno",IF(AND(ISNUMBER(I1493),I1493&gt;0),M1493/I1493,""),IF(AND(ISNUMBER(H1493),H1493&gt;0),M1493/H1493,"")))</f>
        <v/>
      </c>
      <c r="Q1493" s="9">
        <f>IF(AND(ISNUMBER(M1493),ISNUMBER(O1493)),IF(M1493&lt;=O1493,"Valor ≤ venal IPTU",""),"")</f>
        <v/>
      </c>
      <c r="R1493" s="10" t="n"/>
      <c r="S1493" s="10" t="n"/>
      <c r="AA1493" s="10" t="n"/>
      <c r="AB1493" s="11">
        <f>IF(LEN(TRIM(X1493))=0,"",HYPERLINK("https://www.google.com/maps/@?api=1&amp;map_action=pano&amp;viewpoint="&amp;SUBSTITUTE(X1493," ",""),"Abrir Street View"))</f>
        <v/>
      </c>
    </row>
    <row r="1494">
      <c r="H1494" s="6" t="n"/>
      <c r="I1494" s="6" t="n"/>
      <c r="M1494" s="7" t="n"/>
      <c r="N1494" s="7" t="n"/>
      <c r="O1494" s="7" t="n"/>
      <c r="P1494" s="8">
        <f>IF(NOT(ISNUMBER(M1494)),"",IF(G1494="Terreno",IF(AND(ISNUMBER(I1494),I1494&gt;0),M1494/I1494,""),IF(AND(ISNUMBER(H1494),H1494&gt;0),M1494/H1494,"")))</f>
        <v/>
      </c>
      <c r="Q1494" s="9">
        <f>IF(AND(ISNUMBER(M1494),ISNUMBER(O1494)),IF(M1494&lt;=O1494,"Valor ≤ venal IPTU",""),"")</f>
        <v/>
      </c>
      <c r="R1494" s="10" t="n"/>
      <c r="S1494" s="10" t="n"/>
      <c r="AA1494" s="10" t="n"/>
      <c r="AB1494" s="11">
        <f>IF(LEN(TRIM(X1494))=0,"",HYPERLINK("https://www.google.com/maps/@?api=1&amp;map_action=pano&amp;viewpoint="&amp;SUBSTITUTE(X1494," ",""),"Abrir Street View"))</f>
        <v/>
      </c>
    </row>
    <row r="1495">
      <c r="H1495" s="6" t="n"/>
      <c r="I1495" s="6" t="n"/>
      <c r="M1495" s="7" t="n"/>
      <c r="N1495" s="7" t="n"/>
      <c r="O1495" s="7" t="n"/>
      <c r="P1495" s="8">
        <f>IF(NOT(ISNUMBER(M1495)),"",IF(G1495="Terreno",IF(AND(ISNUMBER(I1495),I1495&gt;0),M1495/I1495,""),IF(AND(ISNUMBER(H1495),H1495&gt;0),M1495/H1495,"")))</f>
        <v/>
      </c>
      <c r="Q1495" s="9">
        <f>IF(AND(ISNUMBER(M1495),ISNUMBER(O1495)),IF(M1495&lt;=O1495,"Valor ≤ venal IPTU",""),"")</f>
        <v/>
      </c>
      <c r="R1495" s="10" t="n"/>
      <c r="S1495" s="10" t="n"/>
      <c r="AA1495" s="10" t="n"/>
      <c r="AB1495" s="11">
        <f>IF(LEN(TRIM(X1495))=0,"",HYPERLINK("https://www.google.com/maps/@?api=1&amp;map_action=pano&amp;viewpoint="&amp;SUBSTITUTE(X1495," ",""),"Abrir Street View"))</f>
        <v/>
      </c>
    </row>
    <row r="1496">
      <c r="H1496" s="6" t="n"/>
      <c r="I1496" s="6" t="n"/>
      <c r="M1496" s="7" t="n"/>
      <c r="N1496" s="7" t="n"/>
      <c r="O1496" s="7" t="n"/>
      <c r="P1496" s="8">
        <f>IF(NOT(ISNUMBER(M1496)),"",IF(G1496="Terreno",IF(AND(ISNUMBER(I1496),I1496&gt;0),M1496/I1496,""),IF(AND(ISNUMBER(H1496),H1496&gt;0),M1496/H1496,"")))</f>
        <v/>
      </c>
      <c r="Q1496" s="9">
        <f>IF(AND(ISNUMBER(M1496),ISNUMBER(O1496)),IF(M1496&lt;=O1496,"Valor ≤ venal IPTU",""),"")</f>
        <v/>
      </c>
      <c r="R1496" s="10" t="n"/>
      <c r="S1496" s="10" t="n"/>
      <c r="AA1496" s="10" t="n"/>
      <c r="AB1496" s="11">
        <f>IF(LEN(TRIM(X1496))=0,"",HYPERLINK("https://www.google.com/maps/@?api=1&amp;map_action=pano&amp;viewpoint="&amp;SUBSTITUTE(X1496," ",""),"Abrir Street View"))</f>
        <v/>
      </c>
    </row>
    <row r="1497">
      <c r="H1497" s="6" t="n"/>
      <c r="I1497" s="6" t="n"/>
      <c r="M1497" s="7" t="n"/>
      <c r="N1497" s="7" t="n"/>
      <c r="O1497" s="7" t="n"/>
      <c r="P1497" s="8">
        <f>IF(NOT(ISNUMBER(M1497)),"",IF(G1497="Terreno",IF(AND(ISNUMBER(I1497),I1497&gt;0),M1497/I1497,""),IF(AND(ISNUMBER(H1497),H1497&gt;0),M1497/H1497,"")))</f>
        <v/>
      </c>
      <c r="Q1497" s="9">
        <f>IF(AND(ISNUMBER(M1497),ISNUMBER(O1497)),IF(M1497&lt;=O1497,"Valor ≤ venal IPTU",""),"")</f>
        <v/>
      </c>
      <c r="R1497" s="10" t="n"/>
      <c r="S1497" s="10" t="n"/>
      <c r="AA1497" s="10" t="n"/>
      <c r="AB1497" s="11">
        <f>IF(LEN(TRIM(X1497))=0,"",HYPERLINK("https://www.google.com/maps/@?api=1&amp;map_action=pano&amp;viewpoint="&amp;SUBSTITUTE(X1497," ",""),"Abrir Street View"))</f>
        <v/>
      </c>
    </row>
    <row r="1498">
      <c r="H1498" s="6" t="n"/>
      <c r="I1498" s="6" t="n"/>
      <c r="M1498" s="7" t="n"/>
      <c r="N1498" s="7" t="n"/>
      <c r="O1498" s="7" t="n"/>
      <c r="P1498" s="8">
        <f>IF(NOT(ISNUMBER(M1498)),"",IF(G1498="Terreno",IF(AND(ISNUMBER(I1498),I1498&gt;0),M1498/I1498,""),IF(AND(ISNUMBER(H1498),H1498&gt;0),M1498/H1498,"")))</f>
        <v/>
      </c>
      <c r="Q1498" s="9">
        <f>IF(AND(ISNUMBER(M1498),ISNUMBER(O1498)),IF(M1498&lt;=O1498,"Valor ≤ venal IPTU",""),"")</f>
        <v/>
      </c>
      <c r="R1498" s="10" t="n"/>
      <c r="S1498" s="10" t="n"/>
      <c r="AA1498" s="10" t="n"/>
      <c r="AB1498" s="11">
        <f>IF(LEN(TRIM(X1498))=0,"",HYPERLINK("https://www.google.com/maps/@?api=1&amp;map_action=pano&amp;viewpoint="&amp;SUBSTITUTE(X1498," ",""),"Abrir Street View"))</f>
        <v/>
      </c>
    </row>
    <row r="1499">
      <c r="H1499" s="6" t="n"/>
      <c r="I1499" s="6" t="n"/>
      <c r="M1499" s="7" t="n"/>
      <c r="N1499" s="7" t="n"/>
      <c r="O1499" s="7" t="n"/>
      <c r="P1499" s="8">
        <f>IF(NOT(ISNUMBER(M1499)),"",IF(G1499="Terreno",IF(AND(ISNUMBER(I1499),I1499&gt;0),M1499/I1499,""),IF(AND(ISNUMBER(H1499),H1499&gt;0),M1499/H1499,"")))</f>
        <v/>
      </c>
      <c r="Q1499" s="9">
        <f>IF(AND(ISNUMBER(M1499),ISNUMBER(O1499)),IF(M1499&lt;=O1499,"Valor ≤ venal IPTU",""),"")</f>
        <v/>
      </c>
      <c r="R1499" s="10" t="n"/>
      <c r="S1499" s="10" t="n"/>
      <c r="AA1499" s="10" t="n"/>
      <c r="AB1499" s="11">
        <f>IF(LEN(TRIM(X1499))=0,"",HYPERLINK("https://www.google.com/maps/@?api=1&amp;map_action=pano&amp;viewpoint="&amp;SUBSTITUTE(X1499," ",""),"Abrir Street View"))</f>
        <v/>
      </c>
    </row>
    <row r="1500">
      <c r="H1500" s="6" t="n"/>
      <c r="I1500" s="6" t="n"/>
      <c r="M1500" s="7" t="n"/>
      <c r="N1500" s="7" t="n"/>
      <c r="O1500" s="7" t="n"/>
      <c r="P1500" s="8">
        <f>IF(NOT(ISNUMBER(M1500)),"",IF(G1500="Terreno",IF(AND(ISNUMBER(I1500),I1500&gt;0),M1500/I1500,""),IF(AND(ISNUMBER(H1500),H1500&gt;0),M1500/H1500,"")))</f>
        <v/>
      </c>
      <c r="Q1500" s="9">
        <f>IF(AND(ISNUMBER(M1500),ISNUMBER(O1500)),IF(M1500&lt;=O1500,"Valor ≤ venal IPTU",""),"")</f>
        <v/>
      </c>
      <c r="R1500" s="10" t="n"/>
      <c r="S1500" s="10" t="n"/>
      <c r="AA1500" s="10" t="n"/>
      <c r="AB1500" s="11">
        <f>IF(LEN(TRIM(X1500))=0,"",HYPERLINK("https://www.google.com/maps/@?api=1&amp;map_action=pano&amp;viewpoint="&amp;SUBSTITUTE(X1500," ",""),"Abrir Street View"))</f>
        <v/>
      </c>
    </row>
    <row r="1501">
      <c r="H1501" s="6" t="n"/>
      <c r="I1501" s="6" t="n"/>
      <c r="M1501" s="7" t="n"/>
      <c r="N1501" s="7" t="n"/>
      <c r="O1501" s="7" t="n"/>
      <c r="P1501" s="8">
        <f>IF(NOT(ISNUMBER(M1501)),"",IF(G1501="Terreno",IF(AND(ISNUMBER(I1501),I1501&gt;0),M1501/I1501,""),IF(AND(ISNUMBER(H1501),H1501&gt;0),M1501/H1501,"")))</f>
        <v/>
      </c>
      <c r="Q1501" s="9">
        <f>IF(AND(ISNUMBER(M1501),ISNUMBER(O1501)),IF(M1501&lt;=O1501,"Valor ≤ venal IPTU",""),"")</f>
        <v/>
      </c>
      <c r="R1501" s="10" t="n"/>
      <c r="S1501" s="10" t="n"/>
      <c r="AA1501" s="10" t="n"/>
      <c r="AB1501" s="11">
        <f>IF(LEN(TRIM(X1501))=0,"",HYPERLINK("https://www.google.com/maps/@?api=1&amp;map_action=pano&amp;viewpoint="&amp;SUBSTITUTE(X1501," ",""),"Abrir Street View"))</f>
        <v/>
      </c>
    </row>
    <row r="1502">
      <c r="H1502" s="6" t="n"/>
      <c r="I1502" s="6" t="n"/>
      <c r="M1502" s="7" t="n"/>
      <c r="N1502" s="7" t="n"/>
      <c r="O1502" s="7" t="n"/>
      <c r="P1502" s="8">
        <f>IF(NOT(ISNUMBER(M1502)),"",IF(G1502="Terreno",IF(AND(ISNUMBER(I1502),I1502&gt;0),M1502/I1502,""),IF(AND(ISNUMBER(H1502),H1502&gt;0),M1502/H1502,"")))</f>
        <v/>
      </c>
      <c r="Q1502" s="9">
        <f>IF(AND(ISNUMBER(M1502),ISNUMBER(O1502)),IF(M1502&lt;=O1502,"Valor ≤ venal IPTU",""),"")</f>
        <v/>
      </c>
      <c r="R1502" s="10" t="n"/>
      <c r="S1502" s="10" t="n"/>
      <c r="AA1502" s="10" t="n"/>
      <c r="AB1502" s="11">
        <f>IF(LEN(TRIM(X1502))=0,"",HYPERLINK("https://www.google.com/maps/@?api=1&amp;map_action=pano&amp;viewpoint="&amp;SUBSTITUTE(X1502," ",""),"Abrir Street View"))</f>
        <v/>
      </c>
    </row>
    <row r="1503">
      <c r="H1503" s="6" t="n"/>
      <c r="I1503" s="6" t="n"/>
      <c r="M1503" s="7" t="n"/>
      <c r="N1503" s="7" t="n"/>
      <c r="O1503" s="7" t="n"/>
      <c r="P1503" s="8">
        <f>IF(NOT(ISNUMBER(M1503)),"",IF(G1503="Terreno",IF(AND(ISNUMBER(I1503),I1503&gt;0),M1503/I1503,""),IF(AND(ISNUMBER(H1503),H1503&gt;0),M1503/H1503,"")))</f>
        <v/>
      </c>
      <c r="Q1503" s="9">
        <f>IF(AND(ISNUMBER(M1503),ISNUMBER(O1503)),IF(M1503&lt;=O1503,"Valor ≤ venal IPTU",""),"")</f>
        <v/>
      </c>
      <c r="R1503" s="10" t="n"/>
      <c r="S1503" s="10" t="n"/>
      <c r="AA1503" s="10" t="n"/>
      <c r="AB1503" s="11">
        <f>IF(LEN(TRIM(X1503))=0,"",HYPERLINK("https://www.google.com/maps/@?api=1&amp;map_action=pano&amp;viewpoint="&amp;SUBSTITUTE(X1503," ",""),"Abrir Street View"))</f>
        <v/>
      </c>
    </row>
    <row r="1504">
      <c r="H1504" s="6" t="n"/>
      <c r="I1504" s="6" t="n"/>
      <c r="M1504" s="7" t="n"/>
      <c r="N1504" s="7" t="n"/>
      <c r="O1504" s="7" t="n"/>
      <c r="P1504" s="8">
        <f>IF(NOT(ISNUMBER(M1504)),"",IF(G1504="Terreno",IF(AND(ISNUMBER(I1504),I1504&gt;0),M1504/I1504,""),IF(AND(ISNUMBER(H1504),H1504&gt;0),M1504/H1504,"")))</f>
        <v/>
      </c>
      <c r="Q1504" s="9">
        <f>IF(AND(ISNUMBER(M1504),ISNUMBER(O1504)),IF(M1504&lt;=O1504,"Valor ≤ venal IPTU",""),"")</f>
        <v/>
      </c>
      <c r="R1504" s="10" t="n"/>
      <c r="S1504" s="10" t="n"/>
      <c r="AA1504" s="10" t="n"/>
      <c r="AB1504" s="11">
        <f>IF(LEN(TRIM(X1504))=0,"",HYPERLINK("https://www.google.com/maps/@?api=1&amp;map_action=pano&amp;viewpoint="&amp;SUBSTITUTE(X1504," ",""),"Abrir Street View"))</f>
        <v/>
      </c>
    </row>
    <row r="1505">
      <c r="H1505" s="6" t="n"/>
      <c r="I1505" s="6" t="n"/>
      <c r="M1505" s="7" t="n"/>
      <c r="N1505" s="7" t="n"/>
      <c r="O1505" s="7" t="n"/>
      <c r="P1505" s="8">
        <f>IF(NOT(ISNUMBER(M1505)),"",IF(G1505="Terreno",IF(AND(ISNUMBER(I1505),I1505&gt;0),M1505/I1505,""),IF(AND(ISNUMBER(H1505),H1505&gt;0),M1505/H1505,"")))</f>
        <v/>
      </c>
      <c r="Q1505" s="9">
        <f>IF(AND(ISNUMBER(M1505),ISNUMBER(O1505)),IF(M1505&lt;=O1505,"Valor ≤ venal IPTU",""),"")</f>
        <v/>
      </c>
      <c r="R1505" s="10" t="n"/>
      <c r="S1505" s="10" t="n"/>
      <c r="AA1505" s="10" t="n"/>
      <c r="AB1505" s="11">
        <f>IF(LEN(TRIM(X1505))=0,"",HYPERLINK("https://www.google.com/maps/@?api=1&amp;map_action=pano&amp;viewpoint="&amp;SUBSTITUTE(X1505," ",""),"Abrir Street View"))</f>
        <v/>
      </c>
    </row>
    <row r="1506">
      <c r="H1506" s="6" t="n"/>
      <c r="I1506" s="6" t="n"/>
      <c r="M1506" s="7" t="n"/>
      <c r="N1506" s="7" t="n"/>
      <c r="O1506" s="7" t="n"/>
      <c r="P1506" s="8">
        <f>IF(NOT(ISNUMBER(M1506)),"",IF(G1506="Terreno",IF(AND(ISNUMBER(I1506),I1506&gt;0),M1506/I1506,""),IF(AND(ISNUMBER(H1506),H1506&gt;0),M1506/H1506,"")))</f>
        <v/>
      </c>
      <c r="Q1506" s="9">
        <f>IF(AND(ISNUMBER(M1506),ISNUMBER(O1506)),IF(M1506&lt;=O1506,"Valor ≤ venal IPTU",""),"")</f>
        <v/>
      </c>
      <c r="R1506" s="10" t="n"/>
      <c r="S1506" s="10" t="n"/>
      <c r="AA1506" s="10" t="n"/>
      <c r="AB1506" s="11">
        <f>IF(LEN(TRIM(X1506))=0,"",HYPERLINK("https://www.google.com/maps/@?api=1&amp;map_action=pano&amp;viewpoint="&amp;SUBSTITUTE(X1506," ",""),"Abrir Street View"))</f>
        <v/>
      </c>
    </row>
    <row r="1507">
      <c r="H1507" s="6" t="n"/>
      <c r="I1507" s="6" t="n"/>
      <c r="M1507" s="7" t="n"/>
      <c r="N1507" s="7" t="n"/>
      <c r="O1507" s="7" t="n"/>
      <c r="P1507" s="8">
        <f>IF(NOT(ISNUMBER(M1507)),"",IF(G1507="Terreno",IF(AND(ISNUMBER(I1507),I1507&gt;0),M1507/I1507,""),IF(AND(ISNUMBER(H1507),H1507&gt;0),M1507/H1507,"")))</f>
        <v/>
      </c>
      <c r="Q1507" s="9">
        <f>IF(AND(ISNUMBER(M1507),ISNUMBER(O1507)),IF(M1507&lt;=O1507,"Valor ≤ venal IPTU",""),"")</f>
        <v/>
      </c>
      <c r="R1507" s="10" t="n"/>
      <c r="S1507" s="10" t="n"/>
      <c r="AA1507" s="10" t="n"/>
      <c r="AB1507" s="11">
        <f>IF(LEN(TRIM(X1507))=0,"",HYPERLINK("https://www.google.com/maps/@?api=1&amp;map_action=pano&amp;viewpoint="&amp;SUBSTITUTE(X1507," ",""),"Abrir Street View"))</f>
        <v/>
      </c>
    </row>
    <row r="1508">
      <c r="H1508" s="6" t="n"/>
      <c r="I1508" s="6" t="n"/>
      <c r="M1508" s="7" t="n"/>
      <c r="N1508" s="7" t="n"/>
      <c r="O1508" s="7" t="n"/>
      <c r="P1508" s="8">
        <f>IF(NOT(ISNUMBER(M1508)),"",IF(G1508="Terreno",IF(AND(ISNUMBER(I1508),I1508&gt;0),M1508/I1508,""),IF(AND(ISNUMBER(H1508),H1508&gt;0),M1508/H1508,"")))</f>
        <v/>
      </c>
      <c r="Q1508" s="9">
        <f>IF(AND(ISNUMBER(M1508),ISNUMBER(O1508)),IF(M1508&lt;=O1508,"Valor ≤ venal IPTU",""),"")</f>
        <v/>
      </c>
      <c r="R1508" s="10" t="n"/>
      <c r="S1508" s="10" t="n"/>
      <c r="AA1508" s="10" t="n"/>
      <c r="AB1508" s="11">
        <f>IF(LEN(TRIM(X1508))=0,"",HYPERLINK("https://www.google.com/maps/@?api=1&amp;map_action=pano&amp;viewpoint="&amp;SUBSTITUTE(X1508," ",""),"Abrir Street View"))</f>
        <v/>
      </c>
    </row>
    <row r="1509">
      <c r="H1509" s="6" t="n"/>
      <c r="I1509" s="6" t="n"/>
      <c r="M1509" s="7" t="n"/>
      <c r="N1509" s="7" t="n"/>
      <c r="O1509" s="7" t="n"/>
      <c r="P1509" s="8">
        <f>IF(NOT(ISNUMBER(M1509)),"",IF(G1509="Terreno",IF(AND(ISNUMBER(I1509),I1509&gt;0),M1509/I1509,""),IF(AND(ISNUMBER(H1509),H1509&gt;0),M1509/H1509,"")))</f>
        <v/>
      </c>
      <c r="Q1509" s="9">
        <f>IF(AND(ISNUMBER(M1509),ISNUMBER(O1509)),IF(M1509&lt;=O1509,"Valor ≤ venal IPTU",""),"")</f>
        <v/>
      </c>
      <c r="R1509" s="10" t="n"/>
      <c r="S1509" s="10" t="n"/>
      <c r="AA1509" s="10" t="n"/>
      <c r="AB1509" s="11">
        <f>IF(LEN(TRIM(X1509))=0,"",HYPERLINK("https://www.google.com/maps/@?api=1&amp;map_action=pano&amp;viewpoint="&amp;SUBSTITUTE(X1509," ",""),"Abrir Street View"))</f>
        <v/>
      </c>
    </row>
    <row r="1510">
      <c r="H1510" s="6" t="n"/>
      <c r="I1510" s="6" t="n"/>
      <c r="M1510" s="7" t="n"/>
      <c r="N1510" s="7" t="n"/>
      <c r="O1510" s="7" t="n"/>
      <c r="P1510" s="8">
        <f>IF(NOT(ISNUMBER(M1510)),"",IF(G1510="Terreno",IF(AND(ISNUMBER(I1510),I1510&gt;0),M1510/I1510,""),IF(AND(ISNUMBER(H1510),H1510&gt;0),M1510/H1510,"")))</f>
        <v/>
      </c>
      <c r="Q1510" s="9">
        <f>IF(AND(ISNUMBER(M1510),ISNUMBER(O1510)),IF(M1510&lt;=O1510,"Valor ≤ venal IPTU",""),"")</f>
        <v/>
      </c>
      <c r="R1510" s="10" t="n"/>
      <c r="S1510" s="10" t="n"/>
      <c r="AA1510" s="10" t="n"/>
      <c r="AB1510" s="11">
        <f>IF(LEN(TRIM(X1510))=0,"",HYPERLINK("https://www.google.com/maps/@?api=1&amp;map_action=pano&amp;viewpoint="&amp;SUBSTITUTE(X1510," ",""),"Abrir Street View"))</f>
        <v/>
      </c>
    </row>
    <row r="1511">
      <c r="H1511" s="6" t="n"/>
      <c r="I1511" s="6" t="n"/>
      <c r="M1511" s="7" t="n"/>
      <c r="N1511" s="7" t="n"/>
      <c r="O1511" s="7" t="n"/>
      <c r="P1511" s="8">
        <f>IF(NOT(ISNUMBER(M1511)),"",IF(G1511="Terreno",IF(AND(ISNUMBER(I1511),I1511&gt;0),M1511/I1511,""),IF(AND(ISNUMBER(H1511),H1511&gt;0),M1511/H1511,"")))</f>
        <v/>
      </c>
      <c r="Q1511" s="9">
        <f>IF(AND(ISNUMBER(M1511),ISNUMBER(O1511)),IF(M1511&lt;=O1511,"Valor ≤ venal IPTU",""),"")</f>
        <v/>
      </c>
      <c r="R1511" s="10" t="n"/>
      <c r="S1511" s="10" t="n"/>
      <c r="AA1511" s="10" t="n"/>
      <c r="AB1511" s="11">
        <f>IF(LEN(TRIM(X1511))=0,"",HYPERLINK("https://www.google.com/maps/@?api=1&amp;map_action=pano&amp;viewpoint="&amp;SUBSTITUTE(X1511," ",""),"Abrir Street View"))</f>
        <v/>
      </c>
    </row>
    <row r="1512">
      <c r="H1512" s="6" t="n"/>
      <c r="I1512" s="6" t="n"/>
      <c r="M1512" s="7" t="n"/>
      <c r="N1512" s="7" t="n"/>
      <c r="O1512" s="7" t="n"/>
      <c r="P1512" s="8">
        <f>IF(NOT(ISNUMBER(M1512)),"",IF(G1512="Terreno",IF(AND(ISNUMBER(I1512),I1512&gt;0),M1512/I1512,""),IF(AND(ISNUMBER(H1512),H1512&gt;0),M1512/H1512,"")))</f>
        <v/>
      </c>
      <c r="Q1512" s="9">
        <f>IF(AND(ISNUMBER(M1512),ISNUMBER(O1512)),IF(M1512&lt;=O1512,"Valor ≤ venal IPTU",""),"")</f>
        <v/>
      </c>
      <c r="R1512" s="10" t="n"/>
      <c r="S1512" s="10" t="n"/>
      <c r="AA1512" s="10" t="n"/>
      <c r="AB1512" s="11">
        <f>IF(LEN(TRIM(X1512))=0,"",HYPERLINK("https://www.google.com/maps/@?api=1&amp;map_action=pano&amp;viewpoint="&amp;SUBSTITUTE(X1512," ",""),"Abrir Street View"))</f>
        <v/>
      </c>
    </row>
    <row r="1513">
      <c r="H1513" s="6" t="n"/>
      <c r="I1513" s="6" t="n"/>
      <c r="M1513" s="7" t="n"/>
      <c r="N1513" s="7" t="n"/>
      <c r="O1513" s="7" t="n"/>
      <c r="P1513" s="8">
        <f>IF(NOT(ISNUMBER(M1513)),"",IF(G1513="Terreno",IF(AND(ISNUMBER(I1513),I1513&gt;0),M1513/I1513,""),IF(AND(ISNUMBER(H1513),H1513&gt;0),M1513/H1513,"")))</f>
        <v/>
      </c>
      <c r="Q1513" s="9">
        <f>IF(AND(ISNUMBER(M1513),ISNUMBER(O1513)),IF(M1513&lt;=O1513,"Valor ≤ venal IPTU",""),"")</f>
        <v/>
      </c>
      <c r="R1513" s="10" t="n"/>
      <c r="S1513" s="10" t="n"/>
      <c r="AA1513" s="10" t="n"/>
      <c r="AB1513" s="11">
        <f>IF(LEN(TRIM(X1513))=0,"",HYPERLINK("https://www.google.com/maps/@?api=1&amp;map_action=pano&amp;viewpoint="&amp;SUBSTITUTE(X1513," ",""),"Abrir Street View"))</f>
        <v/>
      </c>
    </row>
    <row r="1514">
      <c r="H1514" s="6" t="n"/>
      <c r="I1514" s="6" t="n"/>
      <c r="M1514" s="7" t="n"/>
      <c r="N1514" s="7" t="n"/>
      <c r="O1514" s="7" t="n"/>
      <c r="P1514" s="8">
        <f>IF(NOT(ISNUMBER(M1514)),"",IF(G1514="Terreno",IF(AND(ISNUMBER(I1514),I1514&gt;0),M1514/I1514,""),IF(AND(ISNUMBER(H1514),H1514&gt;0),M1514/H1514,"")))</f>
        <v/>
      </c>
      <c r="Q1514" s="9">
        <f>IF(AND(ISNUMBER(M1514),ISNUMBER(O1514)),IF(M1514&lt;=O1514,"Valor ≤ venal IPTU",""),"")</f>
        <v/>
      </c>
      <c r="R1514" s="10" t="n"/>
      <c r="S1514" s="10" t="n"/>
      <c r="AA1514" s="10" t="n"/>
      <c r="AB1514" s="11">
        <f>IF(LEN(TRIM(X1514))=0,"",HYPERLINK("https://www.google.com/maps/@?api=1&amp;map_action=pano&amp;viewpoint="&amp;SUBSTITUTE(X1514," ",""),"Abrir Street View"))</f>
        <v/>
      </c>
    </row>
    <row r="1515">
      <c r="H1515" s="6" t="n"/>
      <c r="I1515" s="6" t="n"/>
      <c r="M1515" s="7" t="n"/>
      <c r="N1515" s="7" t="n"/>
      <c r="O1515" s="7" t="n"/>
      <c r="P1515" s="8">
        <f>IF(NOT(ISNUMBER(M1515)),"",IF(G1515="Terreno",IF(AND(ISNUMBER(I1515),I1515&gt;0),M1515/I1515,""),IF(AND(ISNUMBER(H1515),H1515&gt;0),M1515/H1515,"")))</f>
        <v/>
      </c>
      <c r="Q1515" s="9">
        <f>IF(AND(ISNUMBER(M1515),ISNUMBER(O1515)),IF(M1515&lt;=O1515,"Valor ≤ venal IPTU",""),"")</f>
        <v/>
      </c>
      <c r="R1515" s="10" t="n"/>
      <c r="S1515" s="10" t="n"/>
      <c r="AA1515" s="10" t="n"/>
      <c r="AB1515" s="11">
        <f>IF(LEN(TRIM(X1515))=0,"",HYPERLINK("https://www.google.com/maps/@?api=1&amp;map_action=pano&amp;viewpoint="&amp;SUBSTITUTE(X1515," ",""),"Abrir Street View"))</f>
        <v/>
      </c>
    </row>
    <row r="1516">
      <c r="H1516" s="6" t="n"/>
      <c r="I1516" s="6" t="n"/>
      <c r="M1516" s="7" t="n"/>
      <c r="N1516" s="7" t="n"/>
      <c r="O1516" s="7" t="n"/>
      <c r="P1516" s="8">
        <f>IF(NOT(ISNUMBER(M1516)),"",IF(G1516="Terreno",IF(AND(ISNUMBER(I1516),I1516&gt;0),M1516/I1516,""),IF(AND(ISNUMBER(H1516),H1516&gt;0),M1516/H1516,"")))</f>
        <v/>
      </c>
      <c r="Q1516" s="9">
        <f>IF(AND(ISNUMBER(M1516),ISNUMBER(O1516)),IF(M1516&lt;=O1516,"Valor ≤ venal IPTU",""),"")</f>
        <v/>
      </c>
      <c r="R1516" s="10" t="n"/>
      <c r="S1516" s="10" t="n"/>
      <c r="AA1516" s="10" t="n"/>
      <c r="AB1516" s="11">
        <f>IF(LEN(TRIM(X1516))=0,"",HYPERLINK("https://www.google.com/maps/@?api=1&amp;map_action=pano&amp;viewpoint="&amp;SUBSTITUTE(X1516," ",""),"Abrir Street View"))</f>
        <v/>
      </c>
    </row>
    <row r="1517">
      <c r="H1517" s="6" t="n"/>
      <c r="I1517" s="6" t="n"/>
      <c r="M1517" s="7" t="n"/>
      <c r="N1517" s="7" t="n"/>
      <c r="O1517" s="7" t="n"/>
      <c r="P1517" s="8">
        <f>IF(NOT(ISNUMBER(M1517)),"",IF(G1517="Terreno",IF(AND(ISNUMBER(I1517),I1517&gt;0),M1517/I1517,""),IF(AND(ISNUMBER(H1517),H1517&gt;0),M1517/H1517,"")))</f>
        <v/>
      </c>
      <c r="Q1517" s="9">
        <f>IF(AND(ISNUMBER(M1517),ISNUMBER(O1517)),IF(M1517&lt;=O1517,"Valor ≤ venal IPTU",""),"")</f>
        <v/>
      </c>
      <c r="R1517" s="10" t="n"/>
      <c r="S1517" s="10" t="n"/>
      <c r="AA1517" s="10" t="n"/>
      <c r="AB1517" s="11">
        <f>IF(LEN(TRIM(X1517))=0,"",HYPERLINK("https://www.google.com/maps/@?api=1&amp;map_action=pano&amp;viewpoint="&amp;SUBSTITUTE(X1517," ",""),"Abrir Street View"))</f>
        <v/>
      </c>
    </row>
    <row r="1518">
      <c r="H1518" s="6" t="n"/>
      <c r="I1518" s="6" t="n"/>
      <c r="M1518" s="7" t="n"/>
      <c r="N1518" s="7" t="n"/>
      <c r="O1518" s="7" t="n"/>
      <c r="P1518" s="8">
        <f>IF(NOT(ISNUMBER(M1518)),"",IF(G1518="Terreno",IF(AND(ISNUMBER(I1518),I1518&gt;0),M1518/I1518,""),IF(AND(ISNUMBER(H1518),H1518&gt;0),M1518/H1518,"")))</f>
        <v/>
      </c>
      <c r="Q1518" s="9">
        <f>IF(AND(ISNUMBER(M1518),ISNUMBER(O1518)),IF(M1518&lt;=O1518,"Valor ≤ venal IPTU",""),"")</f>
        <v/>
      </c>
      <c r="R1518" s="10" t="n"/>
      <c r="S1518" s="10" t="n"/>
      <c r="AA1518" s="10" t="n"/>
      <c r="AB1518" s="11">
        <f>IF(LEN(TRIM(X1518))=0,"",HYPERLINK("https://www.google.com/maps/@?api=1&amp;map_action=pano&amp;viewpoint="&amp;SUBSTITUTE(X1518," ",""),"Abrir Street View"))</f>
        <v/>
      </c>
    </row>
    <row r="1519">
      <c r="H1519" s="6" t="n"/>
      <c r="I1519" s="6" t="n"/>
      <c r="M1519" s="7" t="n"/>
      <c r="N1519" s="7" t="n"/>
      <c r="O1519" s="7" t="n"/>
      <c r="P1519" s="8">
        <f>IF(NOT(ISNUMBER(M1519)),"",IF(G1519="Terreno",IF(AND(ISNUMBER(I1519),I1519&gt;0),M1519/I1519,""),IF(AND(ISNUMBER(H1519),H1519&gt;0),M1519/H1519,"")))</f>
        <v/>
      </c>
      <c r="Q1519" s="9">
        <f>IF(AND(ISNUMBER(M1519),ISNUMBER(O1519)),IF(M1519&lt;=O1519,"Valor ≤ venal IPTU",""),"")</f>
        <v/>
      </c>
      <c r="R1519" s="10" t="n"/>
      <c r="S1519" s="10" t="n"/>
      <c r="AA1519" s="10" t="n"/>
      <c r="AB1519" s="11">
        <f>IF(LEN(TRIM(X1519))=0,"",HYPERLINK("https://www.google.com/maps/@?api=1&amp;map_action=pano&amp;viewpoint="&amp;SUBSTITUTE(X1519," ",""),"Abrir Street View"))</f>
        <v/>
      </c>
    </row>
    <row r="1520">
      <c r="H1520" s="6" t="n"/>
      <c r="I1520" s="6" t="n"/>
      <c r="M1520" s="7" t="n"/>
      <c r="N1520" s="7" t="n"/>
      <c r="O1520" s="7" t="n"/>
      <c r="P1520" s="8">
        <f>IF(NOT(ISNUMBER(M1520)),"",IF(G1520="Terreno",IF(AND(ISNUMBER(I1520),I1520&gt;0),M1520/I1520,""),IF(AND(ISNUMBER(H1520),H1520&gt;0),M1520/H1520,"")))</f>
        <v/>
      </c>
      <c r="Q1520" s="9">
        <f>IF(AND(ISNUMBER(M1520),ISNUMBER(O1520)),IF(M1520&lt;=O1520,"Valor ≤ venal IPTU",""),"")</f>
        <v/>
      </c>
      <c r="R1520" s="10" t="n"/>
      <c r="S1520" s="10" t="n"/>
      <c r="AA1520" s="10" t="n"/>
      <c r="AB1520" s="11">
        <f>IF(LEN(TRIM(X1520))=0,"",HYPERLINK("https://www.google.com/maps/@?api=1&amp;map_action=pano&amp;viewpoint="&amp;SUBSTITUTE(X1520," ",""),"Abrir Street View"))</f>
        <v/>
      </c>
    </row>
    <row r="1521">
      <c r="H1521" s="6" t="n"/>
      <c r="I1521" s="6" t="n"/>
      <c r="M1521" s="7" t="n"/>
      <c r="N1521" s="7" t="n"/>
      <c r="O1521" s="7" t="n"/>
      <c r="P1521" s="8">
        <f>IF(NOT(ISNUMBER(M1521)),"",IF(G1521="Terreno",IF(AND(ISNUMBER(I1521),I1521&gt;0),M1521/I1521,""),IF(AND(ISNUMBER(H1521),H1521&gt;0),M1521/H1521,"")))</f>
        <v/>
      </c>
      <c r="Q1521" s="9">
        <f>IF(AND(ISNUMBER(M1521),ISNUMBER(O1521)),IF(M1521&lt;=O1521,"Valor ≤ venal IPTU",""),"")</f>
        <v/>
      </c>
      <c r="R1521" s="10" t="n"/>
      <c r="S1521" s="10" t="n"/>
      <c r="AA1521" s="10" t="n"/>
      <c r="AB1521" s="11">
        <f>IF(LEN(TRIM(X1521))=0,"",HYPERLINK("https://www.google.com/maps/@?api=1&amp;map_action=pano&amp;viewpoint="&amp;SUBSTITUTE(X1521," ",""),"Abrir Street View"))</f>
        <v/>
      </c>
    </row>
    <row r="1522">
      <c r="H1522" s="6" t="n"/>
      <c r="I1522" s="6" t="n"/>
      <c r="M1522" s="7" t="n"/>
      <c r="N1522" s="7" t="n"/>
      <c r="O1522" s="7" t="n"/>
      <c r="P1522" s="8">
        <f>IF(NOT(ISNUMBER(M1522)),"",IF(G1522="Terreno",IF(AND(ISNUMBER(I1522),I1522&gt;0),M1522/I1522,""),IF(AND(ISNUMBER(H1522),H1522&gt;0),M1522/H1522,"")))</f>
        <v/>
      </c>
      <c r="Q1522" s="9">
        <f>IF(AND(ISNUMBER(M1522),ISNUMBER(O1522)),IF(M1522&lt;=O1522,"Valor ≤ venal IPTU",""),"")</f>
        <v/>
      </c>
      <c r="R1522" s="10" t="n"/>
      <c r="S1522" s="10" t="n"/>
      <c r="AA1522" s="10" t="n"/>
      <c r="AB1522" s="11">
        <f>IF(LEN(TRIM(X1522))=0,"",HYPERLINK("https://www.google.com/maps/@?api=1&amp;map_action=pano&amp;viewpoint="&amp;SUBSTITUTE(X1522," ",""),"Abrir Street View"))</f>
        <v/>
      </c>
    </row>
    <row r="1523">
      <c r="H1523" s="6" t="n"/>
      <c r="I1523" s="6" t="n"/>
      <c r="M1523" s="7" t="n"/>
      <c r="N1523" s="7" t="n"/>
      <c r="O1523" s="7" t="n"/>
      <c r="P1523" s="8">
        <f>IF(NOT(ISNUMBER(M1523)),"",IF(G1523="Terreno",IF(AND(ISNUMBER(I1523),I1523&gt;0),M1523/I1523,""),IF(AND(ISNUMBER(H1523),H1523&gt;0),M1523/H1523,"")))</f>
        <v/>
      </c>
      <c r="Q1523" s="9">
        <f>IF(AND(ISNUMBER(M1523),ISNUMBER(O1523)),IF(M1523&lt;=O1523,"Valor ≤ venal IPTU",""),"")</f>
        <v/>
      </c>
      <c r="R1523" s="10" t="n"/>
      <c r="S1523" s="10" t="n"/>
      <c r="AA1523" s="10" t="n"/>
      <c r="AB1523" s="11">
        <f>IF(LEN(TRIM(X1523))=0,"",HYPERLINK("https://www.google.com/maps/@?api=1&amp;map_action=pano&amp;viewpoint="&amp;SUBSTITUTE(X1523," ",""),"Abrir Street View"))</f>
        <v/>
      </c>
    </row>
    <row r="1524">
      <c r="H1524" s="6" t="n"/>
      <c r="I1524" s="6" t="n"/>
      <c r="M1524" s="7" t="n"/>
      <c r="N1524" s="7" t="n"/>
      <c r="O1524" s="7" t="n"/>
      <c r="P1524" s="8">
        <f>IF(NOT(ISNUMBER(M1524)),"",IF(G1524="Terreno",IF(AND(ISNUMBER(I1524),I1524&gt;0),M1524/I1524,""),IF(AND(ISNUMBER(H1524),H1524&gt;0),M1524/H1524,"")))</f>
        <v/>
      </c>
      <c r="Q1524" s="9">
        <f>IF(AND(ISNUMBER(M1524),ISNUMBER(O1524)),IF(M1524&lt;=O1524,"Valor ≤ venal IPTU",""),"")</f>
        <v/>
      </c>
      <c r="R1524" s="10" t="n"/>
      <c r="S1524" s="10" t="n"/>
      <c r="AA1524" s="10" t="n"/>
      <c r="AB1524" s="11">
        <f>IF(LEN(TRIM(X1524))=0,"",HYPERLINK("https://www.google.com/maps/@?api=1&amp;map_action=pano&amp;viewpoint="&amp;SUBSTITUTE(X1524," ",""),"Abrir Street View"))</f>
        <v/>
      </c>
    </row>
    <row r="1525">
      <c r="H1525" s="6" t="n"/>
      <c r="I1525" s="6" t="n"/>
      <c r="M1525" s="7" t="n"/>
      <c r="N1525" s="7" t="n"/>
      <c r="O1525" s="7" t="n"/>
      <c r="P1525" s="8">
        <f>IF(NOT(ISNUMBER(M1525)),"",IF(G1525="Terreno",IF(AND(ISNUMBER(I1525),I1525&gt;0),M1525/I1525,""),IF(AND(ISNUMBER(H1525),H1525&gt;0),M1525/H1525,"")))</f>
        <v/>
      </c>
      <c r="Q1525" s="9">
        <f>IF(AND(ISNUMBER(M1525),ISNUMBER(O1525)),IF(M1525&lt;=O1525,"Valor ≤ venal IPTU",""),"")</f>
        <v/>
      </c>
      <c r="R1525" s="10" t="n"/>
      <c r="S1525" s="10" t="n"/>
      <c r="AA1525" s="10" t="n"/>
      <c r="AB1525" s="11">
        <f>IF(LEN(TRIM(X1525))=0,"",HYPERLINK("https://www.google.com/maps/@?api=1&amp;map_action=pano&amp;viewpoint="&amp;SUBSTITUTE(X1525," ",""),"Abrir Street View"))</f>
        <v/>
      </c>
    </row>
    <row r="1526">
      <c r="H1526" s="6" t="n"/>
      <c r="I1526" s="6" t="n"/>
      <c r="M1526" s="7" t="n"/>
      <c r="N1526" s="7" t="n"/>
      <c r="O1526" s="7" t="n"/>
      <c r="P1526" s="8">
        <f>IF(NOT(ISNUMBER(M1526)),"",IF(G1526="Terreno",IF(AND(ISNUMBER(I1526),I1526&gt;0),M1526/I1526,""),IF(AND(ISNUMBER(H1526),H1526&gt;0),M1526/H1526,"")))</f>
        <v/>
      </c>
      <c r="Q1526" s="9">
        <f>IF(AND(ISNUMBER(M1526),ISNUMBER(O1526)),IF(M1526&lt;=O1526,"Valor ≤ venal IPTU",""),"")</f>
        <v/>
      </c>
      <c r="R1526" s="10" t="n"/>
      <c r="S1526" s="10" t="n"/>
      <c r="AA1526" s="10" t="n"/>
      <c r="AB1526" s="11">
        <f>IF(LEN(TRIM(X1526))=0,"",HYPERLINK("https://www.google.com/maps/@?api=1&amp;map_action=pano&amp;viewpoint="&amp;SUBSTITUTE(X1526," ",""),"Abrir Street View"))</f>
        <v/>
      </c>
    </row>
    <row r="1527">
      <c r="H1527" s="6" t="n"/>
      <c r="I1527" s="6" t="n"/>
      <c r="M1527" s="7" t="n"/>
      <c r="N1527" s="7" t="n"/>
      <c r="O1527" s="7" t="n"/>
      <c r="P1527" s="8">
        <f>IF(NOT(ISNUMBER(M1527)),"",IF(G1527="Terreno",IF(AND(ISNUMBER(I1527),I1527&gt;0),M1527/I1527,""),IF(AND(ISNUMBER(H1527),H1527&gt;0),M1527/H1527,"")))</f>
        <v/>
      </c>
      <c r="Q1527" s="9">
        <f>IF(AND(ISNUMBER(M1527),ISNUMBER(O1527)),IF(M1527&lt;=O1527,"Valor ≤ venal IPTU",""),"")</f>
        <v/>
      </c>
      <c r="R1527" s="10" t="n"/>
      <c r="S1527" s="10" t="n"/>
      <c r="AA1527" s="10" t="n"/>
      <c r="AB1527" s="11">
        <f>IF(LEN(TRIM(X1527))=0,"",HYPERLINK("https://www.google.com/maps/@?api=1&amp;map_action=pano&amp;viewpoint="&amp;SUBSTITUTE(X1527," ",""),"Abrir Street View"))</f>
        <v/>
      </c>
    </row>
    <row r="1528">
      <c r="H1528" s="6" t="n"/>
      <c r="I1528" s="6" t="n"/>
      <c r="M1528" s="7" t="n"/>
      <c r="N1528" s="7" t="n"/>
      <c r="O1528" s="7" t="n"/>
      <c r="P1528" s="8">
        <f>IF(NOT(ISNUMBER(M1528)),"",IF(G1528="Terreno",IF(AND(ISNUMBER(I1528),I1528&gt;0),M1528/I1528,""),IF(AND(ISNUMBER(H1528),H1528&gt;0),M1528/H1528,"")))</f>
        <v/>
      </c>
      <c r="Q1528" s="9">
        <f>IF(AND(ISNUMBER(M1528),ISNUMBER(O1528)),IF(M1528&lt;=O1528,"Valor ≤ venal IPTU",""),"")</f>
        <v/>
      </c>
      <c r="R1528" s="10" t="n"/>
      <c r="S1528" s="10" t="n"/>
      <c r="AA1528" s="10" t="n"/>
      <c r="AB1528" s="11">
        <f>IF(LEN(TRIM(X1528))=0,"",HYPERLINK("https://www.google.com/maps/@?api=1&amp;map_action=pano&amp;viewpoint="&amp;SUBSTITUTE(X1528," ",""),"Abrir Street View"))</f>
        <v/>
      </c>
    </row>
    <row r="1529">
      <c r="H1529" s="6" t="n"/>
      <c r="I1529" s="6" t="n"/>
      <c r="M1529" s="7" t="n"/>
      <c r="N1529" s="7" t="n"/>
      <c r="O1529" s="7" t="n"/>
      <c r="P1529" s="8">
        <f>IF(NOT(ISNUMBER(M1529)),"",IF(G1529="Terreno",IF(AND(ISNUMBER(I1529),I1529&gt;0),M1529/I1529,""),IF(AND(ISNUMBER(H1529),H1529&gt;0),M1529/H1529,"")))</f>
        <v/>
      </c>
      <c r="Q1529" s="9">
        <f>IF(AND(ISNUMBER(M1529),ISNUMBER(O1529)),IF(M1529&lt;=O1529,"Valor ≤ venal IPTU",""),"")</f>
        <v/>
      </c>
      <c r="R1529" s="10" t="n"/>
      <c r="S1529" s="10" t="n"/>
      <c r="AA1529" s="10" t="n"/>
      <c r="AB1529" s="11">
        <f>IF(LEN(TRIM(X1529))=0,"",HYPERLINK("https://www.google.com/maps/@?api=1&amp;map_action=pano&amp;viewpoint="&amp;SUBSTITUTE(X1529," ",""),"Abrir Street View"))</f>
        <v/>
      </c>
    </row>
    <row r="1530">
      <c r="H1530" s="6" t="n"/>
      <c r="I1530" s="6" t="n"/>
      <c r="M1530" s="7" t="n"/>
      <c r="N1530" s="7" t="n"/>
      <c r="O1530" s="7" t="n"/>
      <c r="P1530" s="8">
        <f>IF(NOT(ISNUMBER(M1530)),"",IF(G1530="Terreno",IF(AND(ISNUMBER(I1530),I1530&gt;0),M1530/I1530,""),IF(AND(ISNUMBER(H1530),H1530&gt;0),M1530/H1530,"")))</f>
        <v/>
      </c>
      <c r="Q1530" s="9">
        <f>IF(AND(ISNUMBER(M1530),ISNUMBER(O1530)),IF(M1530&lt;=O1530,"Valor ≤ venal IPTU",""),"")</f>
        <v/>
      </c>
      <c r="R1530" s="10" t="n"/>
      <c r="S1530" s="10" t="n"/>
      <c r="AA1530" s="10" t="n"/>
      <c r="AB1530" s="11">
        <f>IF(LEN(TRIM(X1530))=0,"",HYPERLINK("https://www.google.com/maps/@?api=1&amp;map_action=pano&amp;viewpoint="&amp;SUBSTITUTE(X1530," ",""),"Abrir Street View"))</f>
        <v/>
      </c>
    </row>
    <row r="1531">
      <c r="H1531" s="6" t="n"/>
      <c r="I1531" s="6" t="n"/>
      <c r="M1531" s="7" t="n"/>
      <c r="N1531" s="7" t="n"/>
      <c r="O1531" s="7" t="n"/>
      <c r="P1531" s="8">
        <f>IF(NOT(ISNUMBER(M1531)),"",IF(G1531="Terreno",IF(AND(ISNUMBER(I1531),I1531&gt;0),M1531/I1531,""),IF(AND(ISNUMBER(H1531),H1531&gt;0),M1531/H1531,"")))</f>
        <v/>
      </c>
      <c r="Q1531" s="9">
        <f>IF(AND(ISNUMBER(M1531),ISNUMBER(O1531)),IF(M1531&lt;=O1531,"Valor ≤ venal IPTU",""),"")</f>
        <v/>
      </c>
      <c r="R1531" s="10" t="n"/>
      <c r="S1531" s="10" t="n"/>
      <c r="AA1531" s="10" t="n"/>
      <c r="AB1531" s="11">
        <f>IF(LEN(TRIM(X1531))=0,"",HYPERLINK("https://www.google.com/maps/@?api=1&amp;map_action=pano&amp;viewpoint="&amp;SUBSTITUTE(X1531," ",""),"Abrir Street View"))</f>
        <v/>
      </c>
    </row>
    <row r="1532">
      <c r="H1532" s="6" t="n"/>
      <c r="I1532" s="6" t="n"/>
      <c r="M1532" s="7" t="n"/>
      <c r="N1532" s="7" t="n"/>
      <c r="O1532" s="7" t="n"/>
      <c r="P1532" s="8">
        <f>IF(NOT(ISNUMBER(M1532)),"",IF(G1532="Terreno",IF(AND(ISNUMBER(I1532),I1532&gt;0),M1532/I1532,""),IF(AND(ISNUMBER(H1532),H1532&gt;0),M1532/H1532,"")))</f>
        <v/>
      </c>
      <c r="Q1532" s="9">
        <f>IF(AND(ISNUMBER(M1532),ISNUMBER(O1532)),IF(M1532&lt;=O1532,"Valor ≤ venal IPTU",""),"")</f>
        <v/>
      </c>
      <c r="R1532" s="10" t="n"/>
      <c r="S1532" s="10" t="n"/>
      <c r="AA1532" s="10" t="n"/>
      <c r="AB1532" s="11">
        <f>IF(LEN(TRIM(X1532))=0,"",HYPERLINK("https://www.google.com/maps/@?api=1&amp;map_action=pano&amp;viewpoint="&amp;SUBSTITUTE(X1532," ",""),"Abrir Street View"))</f>
        <v/>
      </c>
    </row>
    <row r="1533">
      <c r="H1533" s="6" t="n"/>
      <c r="I1533" s="6" t="n"/>
      <c r="M1533" s="7" t="n"/>
      <c r="N1533" s="7" t="n"/>
      <c r="O1533" s="7" t="n"/>
      <c r="P1533" s="8">
        <f>IF(NOT(ISNUMBER(M1533)),"",IF(G1533="Terreno",IF(AND(ISNUMBER(I1533),I1533&gt;0),M1533/I1533,""),IF(AND(ISNUMBER(H1533),H1533&gt;0),M1533/H1533,"")))</f>
        <v/>
      </c>
      <c r="Q1533" s="9">
        <f>IF(AND(ISNUMBER(M1533),ISNUMBER(O1533)),IF(M1533&lt;=O1533,"Valor ≤ venal IPTU",""),"")</f>
        <v/>
      </c>
      <c r="R1533" s="10" t="n"/>
      <c r="S1533" s="10" t="n"/>
      <c r="AA1533" s="10" t="n"/>
      <c r="AB1533" s="11">
        <f>IF(LEN(TRIM(X1533))=0,"",HYPERLINK("https://www.google.com/maps/@?api=1&amp;map_action=pano&amp;viewpoint="&amp;SUBSTITUTE(X1533," ",""),"Abrir Street View"))</f>
        <v/>
      </c>
    </row>
    <row r="1534">
      <c r="H1534" s="6" t="n"/>
      <c r="I1534" s="6" t="n"/>
      <c r="M1534" s="7" t="n"/>
      <c r="N1534" s="7" t="n"/>
      <c r="O1534" s="7" t="n"/>
      <c r="P1534" s="8">
        <f>IF(NOT(ISNUMBER(M1534)),"",IF(G1534="Terreno",IF(AND(ISNUMBER(I1534),I1534&gt;0),M1534/I1534,""),IF(AND(ISNUMBER(H1534),H1534&gt;0),M1534/H1534,"")))</f>
        <v/>
      </c>
      <c r="Q1534" s="9">
        <f>IF(AND(ISNUMBER(M1534),ISNUMBER(O1534)),IF(M1534&lt;=O1534,"Valor ≤ venal IPTU",""),"")</f>
        <v/>
      </c>
      <c r="R1534" s="10" t="n"/>
      <c r="S1534" s="10" t="n"/>
      <c r="AA1534" s="10" t="n"/>
      <c r="AB1534" s="11">
        <f>IF(LEN(TRIM(X1534))=0,"",HYPERLINK("https://www.google.com/maps/@?api=1&amp;map_action=pano&amp;viewpoint="&amp;SUBSTITUTE(X1534," ",""),"Abrir Street View"))</f>
        <v/>
      </c>
    </row>
    <row r="1535">
      <c r="H1535" s="6" t="n"/>
      <c r="I1535" s="6" t="n"/>
      <c r="M1535" s="7" t="n"/>
      <c r="N1535" s="7" t="n"/>
      <c r="O1535" s="7" t="n"/>
      <c r="P1535" s="8">
        <f>IF(NOT(ISNUMBER(M1535)),"",IF(G1535="Terreno",IF(AND(ISNUMBER(I1535),I1535&gt;0),M1535/I1535,""),IF(AND(ISNUMBER(H1535),H1535&gt;0),M1535/H1535,"")))</f>
        <v/>
      </c>
      <c r="Q1535" s="9">
        <f>IF(AND(ISNUMBER(M1535),ISNUMBER(O1535)),IF(M1535&lt;=O1535,"Valor ≤ venal IPTU",""),"")</f>
        <v/>
      </c>
      <c r="R1535" s="10" t="n"/>
      <c r="S1535" s="10" t="n"/>
      <c r="AA1535" s="10" t="n"/>
      <c r="AB1535" s="11">
        <f>IF(LEN(TRIM(X1535))=0,"",HYPERLINK("https://www.google.com/maps/@?api=1&amp;map_action=pano&amp;viewpoint="&amp;SUBSTITUTE(X1535," ",""),"Abrir Street View"))</f>
        <v/>
      </c>
    </row>
    <row r="1536">
      <c r="H1536" s="6" t="n"/>
      <c r="I1536" s="6" t="n"/>
      <c r="M1536" s="7" t="n"/>
      <c r="N1536" s="7" t="n"/>
      <c r="O1536" s="7" t="n"/>
      <c r="P1536" s="8">
        <f>IF(NOT(ISNUMBER(M1536)),"",IF(G1536="Terreno",IF(AND(ISNUMBER(I1536),I1536&gt;0),M1536/I1536,""),IF(AND(ISNUMBER(H1536),H1536&gt;0),M1536/H1536,"")))</f>
        <v/>
      </c>
      <c r="Q1536" s="9">
        <f>IF(AND(ISNUMBER(M1536),ISNUMBER(O1536)),IF(M1536&lt;=O1536,"Valor ≤ venal IPTU",""),"")</f>
        <v/>
      </c>
      <c r="R1536" s="10" t="n"/>
      <c r="S1536" s="10" t="n"/>
      <c r="AA1536" s="10" t="n"/>
      <c r="AB1536" s="11">
        <f>IF(LEN(TRIM(X1536))=0,"",HYPERLINK("https://www.google.com/maps/@?api=1&amp;map_action=pano&amp;viewpoint="&amp;SUBSTITUTE(X1536," ",""),"Abrir Street View"))</f>
        <v/>
      </c>
    </row>
    <row r="1537">
      <c r="H1537" s="6" t="n"/>
      <c r="I1537" s="6" t="n"/>
      <c r="M1537" s="7" t="n"/>
      <c r="N1537" s="7" t="n"/>
      <c r="O1537" s="7" t="n"/>
      <c r="P1537" s="8">
        <f>IF(NOT(ISNUMBER(M1537)),"",IF(G1537="Terreno",IF(AND(ISNUMBER(I1537),I1537&gt;0),M1537/I1537,""),IF(AND(ISNUMBER(H1537),H1537&gt;0),M1537/H1537,"")))</f>
        <v/>
      </c>
      <c r="Q1537" s="9">
        <f>IF(AND(ISNUMBER(M1537),ISNUMBER(O1537)),IF(M1537&lt;=O1537,"Valor ≤ venal IPTU",""),"")</f>
        <v/>
      </c>
      <c r="R1537" s="10" t="n"/>
      <c r="S1537" s="10" t="n"/>
      <c r="AA1537" s="10" t="n"/>
      <c r="AB1537" s="11">
        <f>IF(LEN(TRIM(X1537))=0,"",HYPERLINK("https://www.google.com/maps/@?api=1&amp;map_action=pano&amp;viewpoint="&amp;SUBSTITUTE(X1537," ",""),"Abrir Street View"))</f>
        <v/>
      </c>
    </row>
    <row r="1538">
      <c r="H1538" s="6" t="n"/>
      <c r="I1538" s="6" t="n"/>
      <c r="M1538" s="7" t="n"/>
      <c r="N1538" s="7" t="n"/>
      <c r="O1538" s="7" t="n"/>
      <c r="P1538" s="8">
        <f>IF(NOT(ISNUMBER(M1538)),"",IF(G1538="Terreno",IF(AND(ISNUMBER(I1538),I1538&gt;0),M1538/I1538,""),IF(AND(ISNUMBER(H1538),H1538&gt;0),M1538/H1538,"")))</f>
        <v/>
      </c>
      <c r="Q1538" s="9">
        <f>IF(AND(ISNUMBER(M1538),ISNUMBER(O1538)),IF(M1538&lt;=O1538,"Valor ≤ venal IPTU",""),"")</f>
        <v/>
      </c>
      <c r="R1538" s="10" t="n"/>
      <c r="S1538" s="10" t="n"/>
      <c r="AA1538" s="10" t="n"/>
      <c r="AB1538" s="11">
        <f>IF(LEN(TRIM(X1538))=0,"",HYPERLINK("https://www.google.com/maps/@?api=1&amp;map_action=pano&amp;viewpoint="&amp;SUBSTITUTE(X1538," ",""),"Abrir Street View"))</f>
        <v/>
      </c>
    </row>
    <row r="1539">
      <c r="H1539" s="6" t="n"/>
      <c r="I1539" s="6" t="n"/>
      <c r="M1539" s="7" t="n"/>
      <c r="N1539" s="7" t="n"/>
      <c r="O1539" s="7" t="n"/>
      <c r="P1539" s="8">
        <f>IF(NOT(ISNUMBER(M1539)),"",IF(G1539="Terreno",IF(AND(ISNUMBER(I1539),I1539&gt;0),M1539/I1539,""),IF(AND(ISNUMBER(H1539),H1539&gt;0),M1539/H1539,"")))</f>
        <v/>
      </c>
      <c r="Q1539" s="9">
        <f>IF(AND(ISNUMBER(M1539),ISNUMBER(O1539)),IF(M1539&lt;=O1539,"Valor ≤ venal IPTU",""),"")</f>
        <v/>
      </c>
      <c r="R1539" s="10" t="n"/>
      <c r="S1539" s="10" t="n"/>
      <c r="AA1539" s="10" t="n"/>
      <c r="AB1539" s="11">
        <f>IF(LEN(TRIM(X1539))=0,"",HYPERLINK("https://www.google.com/maps/@?api=1&amp;map_action=pano&amp;viewpoint="&amp;SUBSTITUTE(X1539," ",""),"Abrir Street View"))</f>
        <v/>
      </c>
    </row>
    <row r="1540">
      <c r="H1540" s="6" t="n"/>
      <c r="I1540" s="6" t="n"/>
      <c r="M1540" s="7" t="n"/>
      <c r="N1540" s="7" t="n"/>
      <c r="O1540" s="7" t="n"/>
      <c r="P1540" s="8">
        <f>IF(NOT(ISNUMBER(M1540)),"",IF(G1540="Terreno",IF(AND(ISNUMBER(I1540),I1540&gt;0),M1540/I1540,""),IF(AND(ISNUMBER(H1540),H1540&gt;0),M1540/H1540,"")))</f>
        <v/>
      </c>
      <c r="Q1540" s="9">
        <f>IF(AND(ISNUMBER(M1540),ISNUMBER(O1540)),IF(M1540&lt;=O1540,"Valor ≤ venal IPTU",""),"")</f>
        <v/>
      </c>
      <c r="R1540" s="10" t="n"/>
      <c r="S1540" s="10" t="n"/>
      <c r="AA1540" s="10" t="n"/>
      <c r="AB1540" s="11">
        <f>IF(LEN(TRIM(X1540))=0,"",HYPERLINK("https://www.google.com/maps/@?api=1&amp;map_action=pano&amp;viewpoint="&amp;SUBSTITUTE(X1540," ",""),"Abrir Street View"))</f>
        <v/>
      </c>
    </row>
    <row r="1541">
      <c r="H1541" s="6" t="n"/>
      <c r="I1541" s="6" t="n"/>
      <c r="M1541" s="7" t="n"/>
      <c r="N1541" s="7" t="n"/>
      <c r="O1541" s="7" t="n"/>
      <c r="P1541" s="8">
        <f>IF(NOT(ISNUMBER(M1541)),"",IF(G1541="Terreno",IF(AND(ISNUMBER(I1541),I1541&gt;0),M1541/I1541,""),IF(AND(ISNUMBER(H1541),H1541&gt;0),M1541/H1541,"")))</f>
        <v/>
      </c>
      <c r="Q1541" s="9">
        <f>IF(AND(ISNUMBER(M1541),ISNUMBER(O1541)),IF(M1541&lt;=O1541,"Valor ≤ venal IPTU",""),"")</f>
        <v/>
      </c>
      <c r="R1541" s="10" t="n"/>
      <c r="S1541" s="10" t="n"/>
      <c r="AA1541" s="10" t="n"/>
      <c r="AB1541" s="11">
        <f>IF(LEN(TRIM(X1541))=0,"",HYPERLINK("https://www.google.com/maps/@?api=1&amp;map_action=pano&amp;viewpoint="&amp;SUBSTITUTE(X1541," ",""),"Abrir Street View"))</f>
        <v/>
      </c>
    </row>
    <row r="1542">
      <c r="H1542" s="6" t="n"/>
      <c r="I1542" s="6" t="n"/>
      <c r="M1542" s="7" t="n"/>
      <c r="N1542" s="7" t="n"/>
      <c r="O1542" s="7" t="n"/>
      <c r="P1542" s="8">
        <f>IF(NOT(ISNUMBER(M1542)),"",IF(G1542="Terreno",IF(AND(ISNUMBER(I1542),I1542&gt;0),M1542/I1542,""),IF(AND(ISNUMBER(H1542),H1542&gt;0),M1542/H1542,"")))</f>
        <v/>
      </c>
      <c r="Q1542" s="9">
        <f>IF(AND(ISNUMBER(M1542),ISNUMBER(O1542)),IF(M1542&lt;=O1542,"Valor ≤ venal IPTU",""),"")</f>
        <v/>
      </c>
      <c r="R1542" s="10" t="n"/>
      <c r="S1542" s="10" t="n"/>
      <c r="AA1542" s="10" t="n"/>
      <c r="AB1542" s="11">
        <f>IF(LEN(TRIM(X1542))=0,"",HYPERLINK("https://www.google.com/maps/@?api=1&amp;map_action=pano&amp;viewpoint="&amp;SUBSTITUTE(X1542," ",""),"Abrir Street View"))</f>
        <v/>
      </c>
    </row>
    <row r="1543">
      <c r="H1543" s="6" t="n"/>
      <c r="I1543" s="6" t="n"/>
      <c r="M1543" s="7" t="n"/>
      <c r="N1543" s="7" t="n"/>
      <c r="O1543" s="7" t="n"/>
      <c r="P1543" s="8">
        <f>IF(NOT(ISNUMBER(M1543)),"",IF(G1543="Terreno",IF(AND(ISNUMBER(I1543),I1543&gt;0),M1543/I1543,""),IF(AND(ISNUMBER(H1543),H1543&gt;0),M1543/H1543,"")))</f>
        <v/>
      </c>
      <c r="Q1543" s="9">
        <f>IF(AND(ISNUMBER(M1543),ISNUMBER(O1543)),IF(M1543&lt;=O1543,"Valor ≤ venal IPTU",""),"")</f>
        <v/>
      </c>
      <c r="R1543" s="10" t="n"/>
      <c r="S1543" s="10" t="n"/>
      <c r="AA1543" s="10" t="n"/>
      <c r="AB1543" s="11">
        <f>IF(LEN(TRIM(X1543))=0,"",HYPERLINK("https://www.google.com/maps/@?api=1&amp;map_action=pano&amp;viewpoint="&amp;SUBSTITUTE(X1543," ",""),"Abrir Street View"))</f>
        <v/>
      </c>
    </row>
    <row r="1544">
      <c r="H1544" s="6" t="n"/>
      <c r="I1544" s="6" t="n"/>
      <c r="M1544" s="7" t="n"/>
      <c r="N1544" s="7" t="n"/>
      <c r="O1544" s="7" t="n"/>
      <c r="P1544" s="8">
        <f>IF(NOT(ISNUMBER(M1544)),"",IF(G1544="Terreno",IF(AND(ISNUMBER(I1544),I1544&gt;0),M1544/I1544,""),IF(AND(ISNUMBER(H1544),H1544&gt;0),M1544/H1544,"")))</f>
        <v/>
      </c>
      <c r="Q1544" s="9">
        <f>IF(AND(ISNUMBER(M1544),ISNUMBER(O1544)),IF(M1544&lt;=O1544,"Valor ≤ venal IPTU",""),"")</f>
        <v/>
      </c>
      <c r="R1544" s="10" t="n"/>
      <c r="S1544" s="10" t="n"/>
      <c r="AA1544" s="10" t="n"/>
      <c r="AB1544" s="11">
        <f>IF(LEN(TRIM(X1544))=0,"",HYPERLINK("https://www.google.com/maps/@?api=1&amp;map_action=pano&amp;viewpoint="&amp;SUBSTITUTE(X1544," ",""),"Abrir Street View"))</f>
        <v/>
      </c>
    </row>
    <row r="1545">
      <c r="H1545" s="6" t="n"/>
      <c r="I1545" s="6" t="n"/>
      <c r="M1545" s="7" t="n"/>
      <c r="N1545" s="7" t="n"/>
      <c r="O1545" s="7" t="n"/>
      <c r="P1545" s="8">
        <f>IF(NOT(ISNUMBER(M1545)),"",IF(G1545="Terreno",IF(AND(ISNUMBER(I1545),I1545&gt;0),M1545/I1545,""),IF(AND(ISNUMBER(H1545),H1545&gt;0),M1545/H1545,"")))</f>
        <v/>
      </c>
      <c r="Q1545" s="9">
        <f>IF(AND(ISNUMBER(M1545),ISNUMBER(O1545)),IF(M1545&lt;=O1545,"Valor ≤ venal IPTU",""),"")</f>
        <v/>
      </c>
      <c r="R1545" s="10" t="n"/>
      <c r="S1545" s="10" t="n"/>
      <c r="AA1545" s="10" t="n"/>
      <c r="AB1545" s="11">
        <f>IF(LEN(TRIM(X1545))=0,"",HYPERLINK("https://www.google.com/maps/@?api=1&amp;map_action=pano&amp;viewpoint="&amp;SUBSTITUTE(X1545," ",""),"Abrir Street View"))</f>
        <v/>
      </c>
    </row>
    <row r="1546">
      <c r="H1546" s="6" t="n"/>
      <c r="I1546" s="6" t="n"/>
      <c r="M1546" s="7" t="n"/>
      <c r="N1546" s="7" t="n"/>
      <c r="O1546" s="7" t="n"/>
      <c r="P1546" s="8">
        <f>IF(NOT(ISNUMBER(M1546)),"",IF(G1546="Terreno",IF(AND(ISNUMBER(I1546),I1546&gt;0),M1546/I1546,""),IF(AND(ISNUMBER(H1546),H1546&gt;0),M1546/H1546,"")))</f>
        <v/>
      </c>
      <c r="Q1546" s="9">
        <f>IF(AND(ISNUMBER(M1546),ISNUMBER(O1546)),IF(M1546&lt;=O1546,"Valor ≤ venal IPTU",""),"")</f>
        <v/>
      </c>
      <c r="R1546" s="10" t="n"/>
      <c r="S1546" s="10" t="n"/>
      <c r="AA1546" s="10" t="n"/>
      <c r="AB1546" s="11">
        <f>IF(LEN(TRIM(X1546))=0,"",HYPERLINK("https://www.google.com/maps/@?api=1&amp;map_action=pano&amp;viewpoint="&amp;SUBSTITUTE(X1546," ",""),"Abrir Street View"))</f>
        <v/>
      </c>
    </row>
    <row r="1547">
      <c r="H1547" s="6" t="n"/>
      <c r="I1547" s="6" t="n"/>
      <c r="M1547" s="7" t="n"/>
      <c r="N1547" s="7" t="n"/>
      <c r="O1547" s="7" t="n"/>
      <c r="P1547" s="8">
        <f>IF(NOT(ISNUMBER(M1547)),"",IF(G1547="Terreno",IF(AND(ISNUMBER(I1547),I1547&gt;0),M1547/I1547,""),IF(AND(ISNUMBER(H1547),H1547&gt;0),M1547/H1547,"")))</f>
        <v/>
      </c>
      <c r="Q1547" s="9">
        <f>IF(AND(ISNUMBER(M1547),ISNUMBER(O1547)),IF(M1547&lt;=O1547,"Valor ≤ venal IPTU",""),"")</f>
        <v/>
      </c>
      <c r="R1547" s="10" t="n"/>
      <c r="S1547" s="10" t="n"/>
      <c r="AA1547" s="10" t="n"/>
      <c r="AB1547" s="11">
        <f>IF(LEN(TRIM(X1547))=0,"",HYPERLINK("https://www.google.com/maps/@?api=1&amp;map_action=pano&amp;viewpoint="&amp;SUBSTITUTE(X1547," ",""),"Abrir Street View"))</f>
        <v/>
      </c>
    </row>
    <row r="1548">
      <c r="H1548" s="6" t="n"/>
      <c r="I1548" s="6" t="n"/>
      <c r="M1548" s="7" t="n"/>
      <c r="N1548" s="7" t="n"/>
      <c r="O1548" s="7" t="n"/>
      <c r="P1548" s="8">
        <f>IF(NOT(ISNUMBER(M1548)),"",IF(G1548="Terreno",IF(AND(ISNUMBER(I1548),I1548&gt;0),M1548/I1548,""),IF(AND(ISNUMBER(H1548),H1548&gt;0),M1548/H1548,"")))</f>
        <v/>
      </c>
      <c r="Q1548" s="9">
        <f>IF(AND(ISNUMBER(M1548),ISNUMBER(O1548)),IF(M1548&lt;=O1548,"Valor ≤ venal IPTU",""),"")</f>
        <v/>
      </c>
      <c r="R1548" s="10" t="n"/>
      <c r="S1548" s="10" t="n"/>
      <c r="AA1548" s="10" t="n"/>
      <c r="AB1548" s="11">
        <f>IF(LEN(TRIM(X1548))=0,"",HYPERLINK("https://www.google.com/maps/@?api=1&amp;map_action=pano&amp;viewpoint="&amp;SUBSTITUTE(X1548," ",""),"Abrir Street View"))</f>
        <v/>
      </c>
    </row>
    <row r="1549">
      <c r="H1549" s="6" t="n"/>
      <c r="I1549" s="6" t="n"/>
      <c r="M1549" s="7" t="n"/>
      <c r="N1549" s="7" t="n"/>
      <c r="O1549" s="7" t="n"/>
      <c r="P1549" s="8">
        <f>IF(NOT(ISNUMBER(M1549)),"",IF(G1549="Terreno",IF(AND(ISNUMBER(I1549),I1549&gt;0),M1549/I1549,""),IF(AND(ISNUMBER(H1549),H1549&gt;0),M1549/H1549,"")))</f>
        <v/>
      </c>
      <c r="Q1549" s="9">
        <f>IF(AND(ISNUMBER(M1549),ISNUMBER(O1549)),IF(M1549&lt;=O1549,"Valor ≤ venal IPTU",""),"")</f>
        <v/>
      </c>
      <c r="R1549" s="10" t="n"/>
      <c r="S1549" s="10" t="n"/>
      <c r="AA1549" s="10" t="n"/>
      <c r="AB1549" s="11">
        <f>IF(LEN(TRIM(X1549))=0,"",HYPERLINK("https://www.google.com/maps/@?api=1&amp;map_action=pano&amp;viewpoint="&amp;SUBSTITUTE(X1549," ",""),"Abrir Street View"))</f>
        <v/>
      </c>
    </row>
    <row r="1550">
      <c r="H1550" s="6" t="n"/>
      <c r="I1550" s="6" t="n"/>
      <c r="M1550" s="7" t="n"/>
      <c r="N1550" s="7" t="n"/>
      <c r="O1550" s="7" t="n"/>
      <c r="P1550" s="8">
        <f>IF(NOT(ISNUMBER(M1550)),"",IF(G1550="Terreno",IF(AND(ISNUMBER(I1550),I1550&gt;0),M1550/I1550,""),IF(AND(ISNUMBER(H1550),H1550&gt;0),M1550/H1550,"")))</f>
        <v/>
      </c>
      <c r="Q1550" s="9">
        <f>IF(AND(ISNUMBER(M1550),ISNUMBER(O1550)),IF(M1550&lt;=O1550,"Valor ≤ venal IPTU",""),"")</f>
        <v/>
      </c>
      <c r="R1550" s="10" t="n"/>
      <c r="S1550" s="10" t="n"/>
      <c r="AA1550" s="10" t="n"/>
      <c r="AB1550" s="11">
        <f>IF(LEN(TRIM(X1550))=0,"",HYPERLINK("https://www.google.com/maps/@?api=1&amp;map_action=pano&amp;viewpoint="&amp;SUBSTITUTE(X1550," ",""),"Abrir Street View"))</f>
        <v/>
      </c>
    </row>
    <row r="1551">
      <c r="H1551" s="6" t="n"/>
      <c r="I1551" s="6" t="n"/>
      <c r="M1551" s="7" t="n"/>
      <c r="N1551" s="7" t="n"/>
      <c r="O1551" s="7" t="n"/>
      <c r="P1551" s="8">
        <f>IF(NOT(ISNUMBER(M1551)),"",IF(G1551="Terreno",IF(AND(ISNUMBER(I1551),I1551&gt;0),M1551/I1551,""),IF(AND(ISNUMBER(H1551),H1551&gt;0),M1551/H1551,"")))</f>
        <v/>
      </c>
      <c r="Q1551" s="9">
        <f>IF(AND(ISNUMBER(M1551),ISNUMBER(O1551)),IF(M1551&lt;=O1551,"Valor ≤ venal IPTU",""),"")</f>
        <v/>
      </c>
      <c r="R1551" s="10" t="n"/>
      <c r="S1551" s="10" t="n"/>
      <c r="AA1551" s="10" t="n"/>
      <c r="AB1551" s="11">
        <f>IF(LEN(TRIM(X1551))=0,"",HYPERLINK("https://www.google.com/maps/@?api=1&amp;map_action=pano&amp;viewpoint="&amp;SUBSTITUTE(X1551," ",""),"Abrir Street View"))</f>
        <v/>
      </c>
    </row>
    <row r="1552">
      <c r="H1552" s="6" t="n"/>
      <c r="I1552" s="6" t="n"/>
      <c r="M1552" s="7" t="n"/>
      <c r="N1552" s="7" t="n"/>
      <c r="O1552" s="7" t="n"/>
      <c r="P1552" s="8">
        <f>IF(NOT(ISNUMBER(M1552)),"",IF(G1552="Terreno",IF(AND(ISNUMBER(I1552),I1552&gt;0),M1552/I1552,""),IF(AND(ISNUMBER(H1552),H1552&gt;0),M1552/H1552,"")))</f>
        <v/>
      </c>
      <c r="Q1552" s="9">
        <f>IF(AND(ISNUMBER(M1552),ISNUMBER(O1552)),IF(M1552&lt;=O1552,"Valor ≤ venal IPTU",""),"")</f>
        <v/>
      </c>
      <c r="R1552" s="10" t="n"/>
      <c r="S1552" s="10" t="n"/>
      <c r="AA1552" s="10" t="n"/>
      <c r="AB1552" s="11">
        <f>IF(LEN(TRIM(X1552))=0,"",HYPERLINK("https://www.google.com/maps/@?api=1&amp;map_action=pano&amp;viewpoint="&amp;SUBSTITUTE(X1552," ",""),"Abrir Street View"))</f>
        <v/>
      </c>
    </row>
    <row r="1553">
      <c r="H1553" s="6" t="n"/>
      <c r="I1553" s="6" t="n"/>
      <c r="M1553" s="7" t="n"/>
      <c r="N1553" s="7" t="n"/>
      <c r="O1553" s="7" t="n"/>
      <c r="P1553" s="8">
        <f>IF(NOT(ISNUMBER(M1553)),"",IF(G1553="Terreno",IF(AND(ISNUMBER(I1553),I1553&gt;0),M1553/I1553,""),IF(AND(ISNUMBER(H1553),H1553&gt;0),M1553/H1553,"")))</f>
        <v/>
      </c>
      <c r="Q1553" s="9">
        <f>IF(AND(ISNUMBER(M1553),ISNUMBER(O1553)),IF(M1553&lt;=O1553,"Valor ≤ venal IPTU",""),"")</f>
        <v/>
      </c>
      <c r="R1553" s="10" t="n"/>
      <c r="S1553" s="10" t="n"/>
      <c r="AA1553" s="10" t="n"/>
      <c r="AB1553" s="11">
        <f>IF(LEN(TRIM(X1553))=0,"",HYPERLINK("https://www.google.com/maps/@?api=1&amp;map_action=pano&amp;viewpoint="&amp;SUBSTITUTE(X1553," ",""),"Abrir Street View"))</f>
        <v/>
      </c>
    </row>
    <row r="1554">
      <c r="H1554" s="6" t="n"/>
      <c r="I1554" s="6" t="n"/>
      <c r="M1554" s="7" t="n"/>
      <c r="N1554" s="7" t="n"/>
      <c r="O1554" s="7" t="n"/>
      <c r="P1554" s="8">
        <f>IF(NOT(ISNUMBER(M1554)),"",IF(G1554="Terreno",IF(AND(ISNUMBER(I1554),I1554&gt;0),M1554/I1554,""),IF(AND(ISNUMBER(H1554),H1554&gt;0),M1554/H1554,"")))</f>
        <v/>
      </c>
      <c r="Q1554" s="9">
        <f>IF(AND(ISNUMBER(M1554),ISNUMBER(O1554)),IF(M1554&lt;=O1554,"Valor ≤ venal IPTU",""),"")</f>
        <v/>
      </c>
      <c r="R1554" s="10" t="n"/>
      <c r="S1554" s="10" t="n"/>
      <c r="AA1554" s="10" t="n"/>
      <c r="AB1554" s="11">
        <f>IF(LEN(TRIM(X1554))=0,"",HYPERLINK("https://www.google.com/maps/@?api=1&amp;map_action=pano&amp;viewpoint="&amp;SUBSTITUTE(X1554," ",""),"Abrir Street View"))</f>
        <v/>
      </c>
    </row>
    <row r="1555">
      <c r="H1555" s="6" t="n"/>
      <c r="I1555" s="6" t="n"/>
      <c r="M1555" s="7" t="n"/>
      <c r="N1555" s="7" t="n"/>
      <c r="O1555" s="7" t="n"/>
      <c r="P1555" s="8">
        <f>IF(NOT(ISNUMBER(M1555)),"",IF(G1555="Terreno",IF(AND(ISNUMBER(I1555),I1555&gt;0),M1555/I1555,""),IF(AND(ISNUMBER(H1555),H1555&gt;0),M1555/H1555,"")))</f>
        <v/>
      </c>
      <c r="Q1555" s="9">
        <f>IF(AND(ISNUMBER(M1555),ISNUMBER(O1555)),IF(M1555&lt;=O1555,"Valor ≤ venal IPTU",""),"")</f>
        <v/>
      </c>
      <c r="R1555" s="10" t="n"/>
      <c r="S1555" s="10" t="n"/>
      <c r="AA1555" s="10" t="n"/>
      <c r="AB1555" s="11">
        <f>IF(LEN(TRIM(X1555))=0,"",HYPERLINK("https://www.google.com/maps/@?api=1&amp;map_action=pano&amp;viewpoint="&amp;SUBSTITUTE(X1555," ",""),"Abrir Street View"))</f>
        <v/>
      </c>
    </row>
    <row r="1556">
      <c r="H1556" s="6" t="n"/>
      <c r="I1556" s="6" t="n"/>
      <c r="M1556" s="7" t="n"/>
      <c r="N1556" s="7" t="n"/>
      <c r="O1556" s="7" t="n"/>
      <c r="P1556" s="8">
        <f>IF(NOT(ISNUMBER(M1556)),"",IF(G1556="Terreno",IF(AND(ISNUMBER(I1556),I1556&gt;0),M1556/I1556,""),IF(AND(ISNUMBER(H1556),H1556&gt;0),M1556/H1556,"")))</f>
        <v/>
      </c>
      <c r="Q1556" s="9">
        <f>IF(AND(ISNUMBER(M1556),ISNUMBER(O1556)),IF(M1556&lt;=O1556,"Valor ≤ venal IPTU",""),"")</f>
        <v/>
      </c>
      <c r="R1556" s="10" t="n"/>
      <c r="S1556" s="10" t="n"/>
      <c r="AA1556" s="10" t="n"/>
      <c r="AB1556" s="11">
        <f>IF(LEN(TRIM(X1556))=0,"",HYPERLINK("https://www.google.com/maps/@?api=1&amp;map_action=pano&amp;viewpoint="&amp;SUBSTITUTE(X1556," ",""),"Abrir Street View"))</f>
        <v/>
      </c>
    </row>
    <row r="1557">
      <c r="H1557" s="6" t="n"/>
      <c r="I1557" s="6" t="n"/>
      <c r="M1557" s="7" t="n"/>
      <c r="N1557" s="7" t="n"/>
      <c r="O1557" s="7" t="n"/>
      <c r="P1557" s="8">
        <f>IF(NOT(ISNUMBER(M1557)),"",IF(G1557="Terreno",IF(AND(ISNUMBER(I1557),I1557&gt;0),M1557/I1557,""),IF(AND(ISNUMBER(H1557),H1557&gt;0),M1557/H1557,"")))</f>
        <v/>
      </c>
      <c r="Q1557" s="9">
        <f>IF(AND(ISNUMBER(M1557),ISNUMBER(O1557)),IF(M1557&lt;=O1557,"Valor ≤ venal IPTU",""),"")</f>
        <v/>
      </c>
      <c r="R1557" s="10" t="n"/>
      <c r="S1557" s="10" t="n"/>
      <c r="AA1557" s="10" t="n"/>
      <c r="AB1557" s="11">
        <f>IF(LEN(TRIM(X1557))=0,"",HYPERLINK("https://www.google.com/maps/@?api=1&amp;map_action=pano&amp;viewpoint="&amp;SUBSTITUTE(X1557," ",""),"Abrir Street View"))</f>
        <v/>
      </c>
    </row>
    <row r="1558">
      <c r="H1558" s="6" t="n"/>
      <c r="I1558" s="6" t="n"/>
      <c r="M1558" s="7" t="n"/>
      <c r="N1558" s="7" t="n"/>
      <c r="O1558" s="7" t="n"/>
      <c r="P1558" s="8">
        <f>IF(NOT(ISNUMBER(M1558)),"",IF(G1558="Terreno",IF(AND(ISNUMBER(I1558),I1558&gt;0),M1558/I1558,""),IF(AND(ISNUMBER(H1558),H1558&gt;0),M1558/H1558,"")))</f>
        <v/>
      </c>
      <c r="Q1558" s="9">
        <f>IF(AND(ISNUMBER(M1558),ISNUMBER(O1558)),IF(M1558&lt;=O1558,"Valor ≤ venal IPTU",""),"")</f>
        <v/>
      </c>
      <c r="R1558" s="10" t="n"/>
      <c r="S1558" s="10" t="n"/>
      <c r="AA1558" s="10" t="n"/>
      <c r="AB1558" s="11">
        <f>IF(LEN(TRIM(X1558))=0,"",HYPERLINK("https://www.google.com/maps/@?api=1&amp;map_action=pano&amp;viewpoint="&amp;SUBSTITUTE(X1558," ",""),"Abrir Street View"))</f>
        <v/>
      </c>
    </row>
    <row r="1559">
      <c r="H1559" s="6" t="n"/>
      <c r="I1559" s="6" t="n"/>
      <c r="M1559" s="7" t="n"/>
      <c r="N1559" s="7" t="n"/>
      <c r="O1559" s="7" t="n"/>
      <c r="P1559" s="8">
        <f>IF(NOT(ISNUMBER(M1559)),"",IF(G1559="Terreno",IF(AND(ISNUMBER(I1559),I1559&gt;0),M1559/I1559,""),IF(AND(ISNUMBER(H1559),H1559&gt;0),M1559/H1559,"")))</f>
        <v/>
      </c>
      <c r="Q1559" s="9">
        <f>IF(AND(ISNUMBER(M1559),ISNUMBER(O1559)),IF(M1559&lt;=O1559,"Valor ≤ venal IPTU",""),"")</f>
        <v/>
      </c>
      <c r="R1559" s="10" t="n"/>
      <c r="S1559" s="10" t="n"/>
      <c r="AA1559" s="10" t="n"/>
      <c r="AB1559" s="11">
        <f>IF(LEN(TRIM(X1559))=0,"",HYPERLINK("https://www.google.com/maps/@?api=1&amp;map_action=pano&amp;viewpoint="&amp;SUBSTITUTE(X1559," ",""),"Abrir Street View"))</f>
        <v/>
      </c>
    </row>
    <row r="1560">
      <c r="H1560" s="6" t="n"/>
      <c r="I1560" s="6" t="n"/>
      <c r="M1560" s="7" t="n"/>
      <c r="N1560" s="7" t="n"/>
      <c r="O1560" s="7" t="n"/>
      <c r="P1560" s="8">
        <f>IF(NOT(ISNUMBER(M1560)),"",IF(G1560="Terreno",IF(AND(ISNUMBER(I1560),I1560&gt;0),M1560/I1560,""),IF(AND(ISNUMBER(H1560),H1560&gt;0),M1560/H1560,"")))</f>
        <v/>
      </c>
      <c r="Q1560" s="9">
        <f>IF(AND(ISNUMBER(M1560),ISNUMBER(O1560)),IF(M1560&lt;=O1560,"Valor ≤ venal IPTU",""),"")</f>
        <v/>
      </c>
      <c r="R1560" s="10" t="n"/>
      <c r="S1560" s="10" t="n"/>
      <c r="AA1560" s="10" t="n"/>
      <c r="AB1560" s="11">
        <f>IF(LEN(TRIM(X1560))=0,"",HYPERLINK("https://www.google.com/maps/@?api=1&amp;map_action=pano&amp;viewpoint="&amp;SUBSTITUTE(X1560," ",""),"Abrir Street View"))</f>
        <v/>
      </c>
    </row>
    <row r="1561">
      <c r="H1561" s="6" t="n"/>
      <c r="I1561" s="6" t="n"/>
      <c r="M1561" s="7" t="n"/>
      <c r="N1561" s="7" t="n"/>
      <c r="O1561" s="7" t="n"/>
      <c r="P1561" s="8">
        <f>IF(NOT(ISNUMBER(M1561)),"",IF(G1561="Terreno",IF(AND(ISNUMBER(I1561),I1561&gt;0),M1561/I1561,""),IF(AND(ISNUMBER(H1561),H1561&gt;0),M1561/H1561,"")))</f>
        <v/>
      </c>
      <c r="Q1561" s="9">
        <f>IF(AND(ISNUMBER(M1561),ISNUMBER(O1561)),IF(M1561&lt;=O1561,"Valor ≤ venal IPTU",""),"")</f>
        <v/>
      </c>
      <c r="R1561" s="10" t="n"/>
      <c r="S1561" s="10" t="n"/>
      <c r="AA1561" s="10" t="n"/>
      <c r="AB1561" s="11">
        <f>IF(LEN(TRIM(X1561))=0,"",HYPERLINK("https://www.google.com/maps/@?api=1&amp;map_action=pano&amp;viewpoint="&amp;SUBSTITUTE(X1561," ",""),"Abrir Street View"))</f>
        <v/>
      </c>
    </row>
    <row r="1562">
      <c r="H1562" s="6" t="n"/>
      <c r="I1562" s="6" t="n"/>
      <c r="M1562" s="7" t="n"/>
      <c r="N1562" s="7" t="n"/>
      <c r="O1562" s="7" t="n"/>
      <c r="P1562" s="8">
        <f>IF(NOT(ISNUMBER(M1562)),"",IF(G1562="Terreno",IF(AND(ISNUMBER(I1562),I1562&gt;0),M1562/I1562,""),IF(AND(ISNUMBER(H1562),H1562&gt;0),M1562/H1562,"")))</f>
        <v/>
      </c>
      <c r="Q1562" s="9">
        <f>IF(AND(ISNUMBER(M1562),ISNUMBER(O1562)),IF(M1562&lt;=O1562,"Valor ≤ venal IPTU",""),"")</f>
        <v/>
      </c>
      <c r="R1562" s="10" t="n"/>
      <c r="S1562" s="10" t="n"/>
      <c r="AA1562" s="10" t="n"/>
      <c r="AB1562" s="11">
        <f>IF(LEN(TRIM(X1562))=0,"",HYPERLINK("https://www.google.com/maps/@?api=1&amp;map_action=pano&amp;viewpoint="&amp;SUBSTITUTE(X1562," ",""),"Abrir Street View"))</f>
        <v/>
      </c>
    </row>
    <row r="1563">
      <c r="H1563" s="6" t="n"/>
      <c r="I1563" s="6" t="n"/>
      <c r="M1563" s="7" t="n"/>
      <c r="N1563" s="7" t="n"/>
      <c r="O1563" s="7" t="n"/>
      <c r="P1563" s="8">
        <f>IF(NOT(ISNUMBER(M1563)),"",IF(G1563="Terreno",IF(AND(ISNUMBER(I1563),I1563&gt;0),M1563/I1563,""),IF(AND(ISNUMBER(H1563),H1563&gt;0),M1563/H1563,"")))</f>
        <v/>
      </c>
      <c r="Q1563" s="9">
        <f>IF(AND(ISNUMBER(M1563),ISNUMBER(O1563)),IF(M1563&lt;=O1563,"Valor ≤ venal IPTU",""),"")</f>
        <v/>
      </c>
      <c r="R1563" s="10" t="n"/>
      <c r="S1563" s="10" t="n"/>
      <c r="AA1563" s="10" t="n"/>
      <c r="AB1563" s="11">
        <f>IF(LEN(TRIM(X1563))=0,"",HYPERLINK("https://www.google.com/maps/@?api=1&amp;map_action=pano&amp;viewpoint="&amp;SUBSTITUTE(X1563," ",""),"Abrir Street View"))</f>
        <v/>
      </c>
    </row>
    <row r="1564">
      <c r="H1564" s="6" t="n"/>
      <c r="I1564" s="6" t="n"/>
      <c r="M1564" s="7" t="n"/>
      <c r="N1564" s="7" t="n"/>
      <c r="O1564" s="7" t="n"/>
      <c r="P1564" s="8">
        <f>IF(NOT(ISNUMBER(M1564)),"",IF(G1564="Terreno",IF(AND(ISNUMBER(I1564),I1564&gt;0),M1564/I1564,""),IF(AND(ISNUMBER(H1564),H1564&gt;0),M1564/H1564,"")))</f>
        <v/>
      </c>
      <c r="Q1564" s="9">
        <f>IF(AND(ISNUMBER(M1564),ISNUMBER(O1564)),IF(M1564&lt;=O1564,"Valor ≤ venal IPTU",""),"")</f>
        <v/>
      </c>
      <c r="R1564" s="10" t="n"/>
      <c r="S1564" s="10" t="n"/>
      <c r="AA1564" s="10" t="n"/>
      <c r="AB1564" s="11">
        <f>IF(LEN(TRIM(X1564))=0,"",HYPERLINK("https://www.google.com/maps/@?api=1&amp;map_action=pano&amp;viewpoint="&amp;SUBSTITUTE(X1564," ",""),"Abrir Street View"))</f>
        <v/>
      </c>
    </row>
    <row r="1565">
      <c r="H1565" s="6" t="n"/>
      <c r="I1565" s="6" t="n"/>
      <c r="M1565" s="7" t="n"/>
      <c r="N1565" s="7" t="n"/>
      <c r="O1565" s="7" t="n"/>
      <c r="P1565" s="8">
        <f>IF(NOT(ISNUMBER(M1565)),"",IF(G1565="Terreno",IF(AND(ISNUMBER(I1565),I1565&gt;0),M1565/I1565,""),IF(AND(ISNUMBER(H1565),H1565&gt;0),M1565/H1565,"")))</f>
        <v/>
      </c>
      <c r="Q1565" s="9">
        <f>IF(AND(ISNUMBER(M1565),ISNUMBER(O1565)),IF(M1565&lt;=O1565,"Valor ≤ venal IPTU",""),"")</f>
        <v/>
      </c>
      <c r="R1565" s="10" t="n"/>
      <c r="S1565" s="10" t="n"/>
      <c r="AA1565" s="10" t="n"/>
      <c r="AB1565" s="11">
        <f>IF(LEN(TRIM(X1565))=0,"",HYPERLINK("https://www.google.com/maps/@?api=1&amp;map_action=pano&amp;viewpoint="&amp;SUBSTITUTE(X1565," ",""),"Abrir Street View"))</f>
        <v/>
      </c>
    </row>
    <row r="1566">
      <c r="H1566" s="6" t="n"/>
      <c r="I1566" s="6" t="n"/>
      <c r="M1566" s="7" t="n"/>
      <c r="N1566" s="7" t="n"/>
      <c r="O1566" s="7" t="n"/>
      <c r="P1566" s="8">
        <f>IF(NOT(ISNUMBER(M1566)),"",IF(G1566="Terreno",IF(AND(ISNUMBER(I1566),I1566&gt;0),M1566/I1566,""),IF(AND(ISNUMBER(H1566),H1566&gt;0),M1566/H1566,"")))</f>
        <v/>
      </c>
      <c r="Q1566" s="9">
        <f>IF(AND(ISNUMBER(M1566),ISNUMBER(O1566)),IF(M1566&lt;=O1566,"Valor ≤ venal IPTU",""),"")</f>
        <v/>
      </c>
      <c r="R1566" s="10" t="n"/>
      <c r="S1566" s="10" t="n"/>
      <c r="AA1566" s="10" t="n"/>
      <c r="AB1566" s="11">
        <f>IF(LEN(TRIM(X1566))=0,"",HYPERLINK("https://www.google.com/maps/@?api=1&amp;map_action=pano&amp;viewpoint="&amp;SUBSTITUTE(X1566," ",""),"Abrir Street View"))</f>
        <v/>
      </c>
    </row>
    <row r="1567">
      <c r="H1567" s="6" t="n"/>
      <c r="I1567" s="6" t="n"/>
      <c r="M1567" s="7" t="n"/>
      <c r="N1567" s="7" t="n"/>
      <c r="O1567" s="7" t="n"/>
      <c r="P1567" s="8">
        <f>IF(NOT(ISNUMBER(M1567)),"",IF(G1567="Terreno",IF(AND(ISNUMBER(I1567),I1567&gt;0),M1567/I1567,""),IF(AND(ISNUMBER(H1567),H1567&gt;0),M1567/H1567,"")))</f>
        <v/>
      </c>
      <c r="Q1567" s="9">
        <f>IF(AND(ISNUMBER(M1567),ISNUMBER(O1567)),IF(M1567&lt;=O1567,"Valor ≤ venal IPTU",""),"")</f>
        <v/>
      </c>
      <c r="R1567" s="10" t="n"/>
      <c r="S1567" s="10" t="n"/>
      <c r="AA1567" s="10" t="n"/>
      <c r="AB1567" s="11">
        <f>IF(LEN(TRIM(X1567))=0,"",HYPERLINK("https://www.google.com/maps/@?api=1&amp;map_action=pano&amp;viewpoint="&amp;SUBSTITUTE(X1567," ",""),"Abrir Street View"))</f>
        <v/>
      </c>
    </row>
    <row r="1568">
      <c r="H1568" s="6" t="n"/>
      <c r="I1568" s="6" t="n"/>
      <c r="M1568" s="7" t="n"/>
      <c r="N1568" s="7" t="n"/>
      <c r="O1568" s="7" t="n"/>
      <c r="P1568" s="8">
        <f>IF(NOT(ISNUMBER(M1568)),"",IF(G1568="Terreno",IF(AND(ISNUMBER(I1568),I1568&gt;0),M1568/I1568,""),IF(AND(ISNUMBER(H1568),H1568&gt;0),M1568/H1568,"")))</f>
        <v/>
      </c>
      <c r="Q1568" s="9">
        <f>IF(AND(ISNUMBER(M1568),ISNUMBER(O1568)),IF(M1568&lt;=O1568,"Valor ≤ venal IPTU",""),"")</f>
        <v/>
      </c>
      <c r="R1568" s="10" t="n"/>
      <c r="S1568" s="10" t="n"/>
      <c r="AA1568" s="10" t="n"/>
      <c r="AB1568" s="11">
        <f>IF(LEN(TRIM(X1568))=0,"",HYPERLINK("https://www.google.com/maps/@?api=1&amp;map_action=pano&amp;viewpoint="&amp;SUBSTITUTE(X1568," ",""),"Abrir Street View"))</f>
        <v/>
      </c>
    </row>
    <row r="1569">
      <c r="H1569" s="6" t="n"/>
      <c r="I1569" s="6" t="n"/>
      <c r="M1569" s="7" t="n"/>
      <c r="N1569" s="7" t="n"/>
      <c r="O1569" s="7" t="n"/>
      <c r="P1569" s="8">
        <f>IF(NOT(ISNUMBER(M1569)),"",IF(G1569="Terreno",IF(AND(ISNUMBER(I1569),I1569&gt;0),M1569/I1569,""),IF(AND(ISNUMBER(H1569),H1569&gt;0),M1569/H1569,"")))</f>
        <v/>
      </c>
      <c r="Q1569" s="9">
        <f>IF(AND(ISNUMBER(M1569),ISNUMBER(O1569)),IF(M1569&lt;=O1569,"Valor ≤ venal IPTU",""),"")</f>
        <v/>
      </c>
      <c r="R1569" s="10" t="n"/>
      <c r="S1569" s="10" t="n"/>
      <c r="AA1569" s="10" t="n"/>
      <c r="AB1569" s="11">
        <f>IF(LEN(TRIM(X1569))=0,"",HYPERLINK("https://www.google.com/maps/@?api=1&amp;map_action=pano&amp;viewpoint="&amp;SUBSTITUTE(X1569," ",""),"Abrir Street View"))</f>
        <v/>
      </c>
    </row>
    <row r="1570">
      <c r="H1570" s="6" t="n"/>
      <c r="I1570" s="6" t="n"/>
      <c r="M1570" s="7" t="n"/>
      <c r="N1570" s="7" t="n"/>
      <c r="O1570" s="7" t="n"/>
      <c r="P1570" s="8">
        <f>IF(NOT(ISNUMBER(M1570)),"",IF(G1570="Terreno",IF(AND(ISNUMBER(I1570),I1570&gt;0),M1570/I1570,""),IF(AND(ISNUMBER(H1570),H1570&gt;0),M1570/H1570,"")))</f>
        <v/>
      </c>
      <c r="Q1570" s="9">
        <f>IF(AND(ISNUMBER(M1570),ISNUMBER(O1570)),IF(M1570&lt;=O1570,"Valor ≤ venal IPTU",""),"")</f>
        <v/>
      </c>
      <c r="R1570" s="10" t="n"/>
      <c r="S1570" s="10" t="n"/>
      <c r="AA1570" s="10" t="n"/>
      <c r="AB1570" s="11">
        <f>IF(LEN(TRIM(X1570))=0,"",HYPERLINK("https://www.google.com/maps/@?api=1&amp;map_action=pano&amp;viewpoint="&amp;SUBSTITUTE(X1570," ",""),"Abrir Street View"))</f>
        <v/>
      </c>
    </row>
    <row r="1571">
      <c r="H1571" s="6" t="n"/>
      <c r="I1571" s="6" t="n"/>
      <c r="M1571" s="7" t="n"/>
      <c r="N1571" s="7" t="n"/>
      <c r="O1571" s="7" t="n"/>
      <c r="P1571" s="8">
        <f>IF(NOT(ISNUMBER(M1571)),"",IF(G1571="Terreno",IF(AND(ISNUMBER(I1571),I1571&gt;0),M1571/I1571,""),IF(AND(ISNUMBER(H1571),H1571&gt;0),M1571/H1571,"")))</f>
        <v/>
      </c>
      <c r="Q1571" s="9">
        <f>IF(AND(ISNUMBER(M1571),ISNUMBER(O1571)),IF(M1571&lt;=O1571,"Valor ≤ venal IPTU",""),"")</f>
        <v/>
      </c>
      <c r="R1571" s="10" t="n"/>
      <c r="S1571" s="10" t="n"/>
      <c r="AA1571" s="10" t="n"/>
      <c r="AB1571" s="11">
        <f>IF(LEN(TRIM(X1571))=0,"",HYPERLINK("https://www.google.com/maps/@?api=1&amp;map_action=pano&amp;viewpoint="&amp;SUBSTITUTE(X1571," ",""),"Abrir Street View"))</f>
        <v/>
      </c>
    </row>
    <row r="1572">
      <c r="H1572" s="6" t="n"/>
      <c r="I1572" s="6" t="n"/>
      <c r="M1572" s="7" t="n"/>
      <c r="N1572" s="7" t="n"/>
      <c r="O1572" s="7" t="n"/>
      <c r="P1572" s="8">
        <f>IF(NOT(ISNUMBER(M1572)),"",IF(G1572="Terreno",IF(AND(ISNUMBER(I1572),I1572&gt;0),M1572/I1572,""),IF(AND(ISNUMBER(H1572),H1572&gt;0),M1572/H1572,"")))</f>
        <v/>
      </c>
      <c r="Q1572" s="9">
        <f>IF(AND(ISNUMBER(M1572),ISNUMBER(O1572)),IF(M1572&lt;=O1572,"Valor ≤ venal IPTU",""),"")</f>
        <v/>
      </c>
      <c r="R1572" s="10" t="n"/>
      <c r="S1572" s="10" t="n"/>
      <c r="AA1572" s="10" t="n"/>
      <c r="AB1572" s="11">
        <f>IF(LEN(TRIM(X1572))=0,"",HYPERLINK("https://www.google.com/maps/@?api=1&amp;map_action=pano&amp;viewpoint="&amp;SUBSTITUTE(X1572," ",""),"Abrir Street View"))</f>
        <v/>
      </c>
    </row>
    <row r="1573">
      <c r="H1573" s="6" t="n"/>
      <c r="I1573" s="6" t="n"/>
      <c r="M1573" s="7" t="n"/>
      <c r="N1573" s="7" t="n"/>
      <c r="O1573" s="7" t="n"/>
      <c r="P1573" s="8">
        <f>IF(NOT(ISNUMBER(M1573)),"",IF(G1573="Terreno",IF(AND(ISNUMBER(I1573),I1573&gt;0),M1573/I1573,""),IF(AND(ISNUMBER(H1573),H1573&gt;0),M1573/H1573,"")))</f>
        <v/>
      </c>
      <c r="Q1573" s="9">
        <f>IF(AND(ISNUMBER(M1573),ISNUMBER(O1573)),IF(M1573&lt;=O1573,"Valor ≤ venal IPTU",""),"")</f>
        <v/>
      </c>
      <c r="R1573" s="10" t="n"/>
      <c r="S1573" s="10" t="n"/>
      <c r="AA1573" s="10" t="n"/>
      <c r="AB1573" s="11">
        <f>IF(LEN(TRIM(X1573))=0,"",HYPERLINK("https://www.google.com/maps/@?api=1&amp;map_action=pano&amp;viewpoint="&amp;SUBSTITUTE(X1573," ",""),"Abrir Street View"))</f>
        <v/>
      </c>
    </row>
    <row r="1574">
      <c r="H1574" s="6" t="n"/>
      <c r="I1574" s="6" t="n"/>
      <c r="M1574" s="7" t="n"/>
      <c r="N1574" s="7" t="n"/>
      <c r="O1574" s="7" t="n"/>
      <c r="P1574" s="8">
        <f>IF(NOT(ISNUMBER(M1574)),"",IF(G1574="Terreno",IF(AND(ISNUMBER(I1574),I1574&gt;0),M1574/I1574,""),IF(AND(ISNUMBER(H1574),H1574&gt;0),M1574/H1574,"")))</f>
        <v/>
      </c>
      <c r="Q1574" s="9">
        <f>IF(AND(ISNUMBER(M1574),ISNUMBER(O1574)),IF(M1574&lt;=O1574,"Valor ≤ venal IPTU",""),"")</f>
        <v/>
      </c>
      <c r="R1574" s="10" t="n"/>
      <c r="S1574" s="10" t="n"/>
      <c r="AA1574" s="10" t="n"/>
      <c r="AB1574" s="11">
        <f>IF(LEN(TRIM(X1574))=0,"",HYPERLINK("https://www.google.com/maps/@?api=1&amp;map_action=pano&amp;viewpoint="&amp;SUBSTITUTE(X1574," ",""),"Abrir Street View"))</f>
        <v/>
      </c>
    </row>
    <row r="1575">
      <c r="H1575" s="6" t="n"/>
      <c r="I1575" s="6" t="n"/>
      <c r="M1575" s="7" t="n"/>
      <c r="N1575" s="7" t="n"/>
      <c r="O1575" s="7" t="n"/>
      <c r="P1575" s="8">
        <f>IF(NOT(ISNUMBER(M1575)),"",IF(G1575="Terreno",IF(AND(ISNUMBER(I1575),I1575&gt;0),M1575/I1575,""),IF(AND(ISNUMBER(H1575),H1575&gt;0),M1575/H1575,"")))</f>
        <v/>
      </c>
      <c r="Q1575" s="9">
        <f>IF(AND(ISNUMBER(M1575),ISNUMBER(O1575)),IF(M1575&lt;=O1575,"Valor ≤ venal IPTU",""),"")</f>
        <v/>
      </c>
      <c r="R1575" s="10" t="n"/>
      <c r="S1575" s="10" t="n"/>
      <c r="AA1575" s="10" t="n"/>
      <c r="AB1575" s="11">
        <f>IF(LEN(TRIM(X1575))=0,"",HYPERLINK("https://www.google.com/maps/@?api=1&amp;map_action=pano&amp;viewpoint="&amp;SUBSTITUTE(X1575," ",""),"Abrir Street View"))</f>
        <v/>
      </c>
    </row>
    <row r="1576">
      <c r="H1576" s="6" t="n"/>
      <c r="I1576" s="6" t="n"/>
      <c r="M1576" s="7" t="n"/>
      <c r="N1576" s="7" t="n"/>
      <c r="O1576" s="7" t="n"/>
      <c r="P1576" s="8">
        <f>IF(NOT(ISNUMBER(M1576)),"",IF(G1576="Terreno",IF(AND(ISNUMBER(I1576),I1576&gt;0),M1576/I1576,""),IF(AND(ISNUMBER(H1576),H1576&gt;0),M1576/H1576,"")))</f>
        <v/>
      </c>
      <c r="Q1576" s="9">
        <f>IF(AND(ISNUMBER(M1576),ISNUMBER(O1576)),IF(M1576&lt;=O1576,"Valor ≤ venal IPTU",""),"")</f>
        <v/>
      </c>
      <c r="R1576" s="10" t="n"/>
      <c r="S1576" s="10" t="n"/>
      <c r="AA1576" s="10" t="n"/>
      <c r="AB1576" s="11">
        <f>IF(LEN(TRIM(X1576))=0,"",HYPERLINK("https://www.google.com/maps/@?api=1&amp;map_action=pano&amp;viewpoint="&amp;SUBSTITUTE(X1576," ",""),"Abrir Street View"))</f>
        <v/>
      </c>
    </row>
    <row r="1577">
      <c r="H1577" s="6" t="n"/>
      <c r="I1577" s="6" t="n"/>
      <c r="M1577" s="7" t="n"/>
      <c r="N1577" s="7" t="n"/>
      <c r="O1577" s="7" t="n"/>
      <c r="P1577" s="8">
        <f>IF(NOT(ISNUMBER(M1577)),"",IF(G1577="Terreno",IF(AND(ISNUMBER(I1577),I1577&gt;0),M1577/I1577,""),IF(AND(ISNUMBER(H1577),H1577&gt;0),M1577/H1577,"")))</f>
        <v/>
      </c>
      <c r="Q1577" s="9">
        <f>IF(AND(ISNUMBER(M1577),ISNUMBER(O1577)),IF(M1577&lt;=O1577,"Valor ≤ venal IPTU",""),"")</f>
        <v/>
      </c>
      <c r="R1577" s="10" t="n"/>
      <c r="S1577" s="10" t="n"/>
      <c r="AA1577" s="10" t="n"/>
      <c r="AB1577" s="11">
        <f>IF(LEN(TRIM(X1577))=0,"",HYPERLINK("https://www.google.com/maps/@?api=1&amp;map_action=pano&amp;viewpoint="&amp;SUBSTITUTE(X1577," ",""),"Abrir Street View"))</f>
        <v/>
      </c>
    </row>
    <row r="1578">
      <c r="H1578" s="6" t="n"/>
      <c r="I1578" s="6" t="n"/>
      <c r="M1578" s="7" t="n"/>
      <c r="N1578" s="7" t="n"/>
      <c r="O1578" s="7" t="n"/>
      <c r="P1578" s="8">
        <f>IF(NOT(ISNUMBER(M1578)),"",IF(G1578="Terreno",IF(AND(ISNUMBER(I1578),I1578&gt;0),M1578/I1578,""),IF(AND(ISNUMBER(H1578),H1578&gt;0),M1578/H1578,"")))</f>
        <v/>
      </c>
      <c r="Q1578" s="9">
        <f>IF(AND(ISNUMBER(M1578),ISNUMBER(O1578)),IF(M1578&lt;=O1578,"Valor ≤ venal IPTU",""),"")</f>
        <v/>
      </c>
      <c r="R1578" s="10" t="n"/>
      <c r="S1578" s="10" t="n"/>
      <c r="AA1578" s="10" t="n"/>
      <c r="AB1578" s="11">
        <f>IF(LEN(TRIM(X1578))=0,"",HYPERLINK("https://www.google.com/maps/@?api=1&amp;map_action=pano&amp;viewpoint="&amp;SUBSTITUTE(X1578," ",""),"Abrir Street View"))</f>
        <v/>
      </c>
    </row>
    <row r="1579">
      <c r="H1579" s="6" t="n"/>
      <c r="I1579" s="6" t="n"/>
      <c r="M1579" s="7" t="n"/>
      <c r="N1579" s="7" t="n"/>
      <c r="O1579" s="7" t="n"/>
      <c r="P1579" s="8">
        <f>IF(NOT(ISNUMBER(M1579)),"",IF(G1579="Terreno",IF(AND(ISNUMBER(I1579),I1579&gt;0),M1579/I1579,""),IF(AND(ISNUMBER(H1579),H1579&gt;0),M1579/H1579,"")))</f>
        <v/>
      </c>
      <c r="Q1579" s="9">
        <f>IF(AND(ISNUMBER(M1579),ISNUMBER(O1579)),IF(M1579&lt;=O1579,"Valor ≤ venal IPTU",""),"")</f>
        <v/>
      </c>
      <c r="R1579" s="10" t="n"/>
      <c r="S1579" s="10" t="n"/>
      <c r="AA1579" s="10" t="n"/>
      <c r="AB1579" s="11">
        <f>IF(LEN(TRIM(X1579))=0,"",HYPERLINK("https://www.google.com/maps/@?api=1&amp;map_action=pano&amp;viewpoint="&amp;SUBSTITUTE(X1579," ",""),"Abrir Street View"))</f>
        <v/>
      </c>
    </row>
    <row r="1580">
      <c r="H1580" s="6" t="n"/>
      <c r="I1580" s="6" t="n"/>
      <c r="M1580" s="7" t="n"/>
      <c r="N1580" s="7" t="n"/>
      <c r="O1580" s="7" t="n"/>
      <c r="P1580" s="8">
        <f>IF(NOT(ISNUMBER(M1580)),"",IF(G1580="Terreno",IF(AND(ISNUMBER(I1580),I1580&gt;0),M1580/I1580,""),IF(AND(ISNUMBER(H1580),H1580&gt;0),M1580/H1580,"")))</f>
        <v/>
      </c>
      <c r="Q1580" s="9">
        <f>IF(AND(ISNUMBER(M1580),ISNUMBER(O1580)),IF(M1580&lt;=O1580,"Valor ≤ venal IPTU",""),"")</f>
        <v/>
      </c>
      <c r="R1580" s="10" t="n"/>
      <c r="S1580" s="10" t="n"/>
      <c r="AA1580" s="10" t="n"/>
      <c r="AB1580" s="11">
        <f>IF(LEN(TRIM(X1580))=0,"",HYPERLINK("https://www.google.com/maps/@?api=1&amp;map_action=pano&amp;viewpoint="&amp;SUBSTITUTE(X1580," ",""),"Abrir Street View"))</f>
        <v/>
      </c>
    </row>
    <row r="1581">
      <c r="H1581" s="6" t="n"/>
      <c r="I1581" s="6" t="n"/>
      <c r="M1581" s="7" t="n"/>
      <c r="N1581" s="7" t="n"/>
      <c r="O1581" s="7" t="n"/>
      <c r="P1581" s="8">
        <f>IF(NOT(ISNUMBER(M1581)),"",IF(G1581="Terreno",IF(AND(ISNUMBER(I1581),I1581&gt;0),M1581/I1581,""),IF(AND(ISNUMBER(H1581),H1581&gt;0),M1581/H1581,"")))</f>
        <v/>
      </c>
      <c r="Q1581" s="9">
        <f>IF(AND(ISNUMBER(M1581),ISNUMBER(O1581)),IF(M1581&lt;=O1581,"Valor ≤ venal IPTU",""),"")</f>
        <v/>
      </c>
      <c r="R1581" s="10" t="n"/>
      <c r="S1581" s="10" t="n"/>
      <c r="AA1581" s="10" t="n"/>
      <c r="AB1581" s="11">
        <f>IF(LEN(TRIM(X1581))=0,"",HYPERLINK("https://www.google.com/maps/@?api=1&amp;map_action=pano&amp;viewpoint="&amp;SUBSTITUTE(X1581," ",""),"Abrir Street View"))</f>
        <v/>
      </c>
    </row>
    <row r="1582">
      <c r="H1582" s="6" t="n"/>
      <c r="I1582" s="6" t="n"/>
      <c r="M1582" s="7" t="n"/>
      <c r="N1582" s="7" t="n"/>
      <c r="O1582" s="7" t="n"/>
      <c r="P1582" s="8">
        <f>IF(NOT(ISNUMBER(M1582)),"",IF(G1582="Terreno",IF(AND(ISNUMBER(I1582),I1582&gt;0),M1582/I1582,""),IF(AND(ISNUMBER(H1582),H1582&gt;0),M1582/H1582,"")))</f>
        <v/>
      </c>
      <c r="Q1582" s="9">
        <f>IF(AND(ISNUMBER(M1582),ISNUMBER(O1582)),IF(M1582&lt;=O1582,"Valor ≤ venal IPTU",""),"")</f>
        <v/>
      </c>
      <c r="R1582" s="10" t="n"/>
      <c r="S1582" s="10" t="n"/>
      <c r="AA1582" s="10" t="n"/>
      <c r="AB1582" s="11">
        <f>IF(LEN(TRIM(X1582))=0,"",HYPERLINK("https://www.google.com/maps/@?api=1&amp;map_action=pano&amp;viewpoint="&amp;SUBSTITUTE(X1582," ",""),"Abrir Street View"))</f>
        <v/>
      </c>
    </row>
    <row r="1583">
      <c r="H1583" s="6" t="n"/>
      <c r="I1583" s="6" t="n"/>
      <c r="M1583" s="7" t="n"/>
      <c r="N1583" s="7" t="n"/>
      <c r="O1583" s="7" t="n"/>
      <c r="P1583" s="8">
        <f>IF(NOT(ISNUMBER(M1583)),"",IF(G1583="Terreno",IF(AND(ISNUMBER(I1583),I1583&gt;0),M1583/I1583,""),IF(AND(ISNUMBER(H1583),H1583&gt;0),M1583/H1583,"")))</f>
        <v/>
      </c>
      <c r="Q1583" s="9">
        <f>IF(AND(ISNUMBER(M1583),ISNUMBER(O1583)),IF(M1583&lt;=O1583,"Valor ≤ venal IPTU",""),"")</f>
        <v/>
      </c>
      <c r="R1583" s="10" t="n"/>
      <c r="S1583" s="10" t="n"/>
      <c r="AA1583" s="10" t="n"/>
      <c r="AB1583" s="11">
        <f>IF(LEN(TRIM(X1583))=0,"",HYPERLINK("https://www.google.com/maps/@?api=1&amp;map_action=pano&amp;viewpoint="&amp;SUBSTITUTE(X1583," ",""),"Abrir Street View"))</f>
        <v/>
      </c>
    </row>
    <row r="1584">
      <c r="H1584" s="6" t="n"/>
      <c r="I1584" s="6" t="n"/>
      <c r="M1584" s="7" t="n"/>
      <c r="N1584" s="7" t="n"/>
      <c r="O1584" s="7" t="n"/>
      <c r="P1584" s="8">
        <f>IF(NOT(ISNUMBER(M1584)),"",IF(G1584="Terreno",IF(AND(ISNUMBER(I1584),I1584&gt;0),M1584/I1584,""),IF(AND(ISNUMBER(H1584),H1584&gt;0),M1584/H1584,"")))</f>
        <v/>
      </c>
      <c r="Q1584" s="9">
        <f>IF(AND(ISNUMBER(M1584),ISNUMBER(O1584)),IF(M1584&lt;=O1584,"Valor ≤ venal IPTU",""),"")</f>
        <v/>
      </c>
      <c r="R1584" s="10" t="n"/>
      <c r="S1584" s="10" t="n"/>
      <c r="AA1584" s="10" t="n"/>
      <c r="AB1584" s="11">
        <f>IF(LEN(TRIM(X1584))=0,"",HYPERLINK("https://www.google.com/maps/@?api=1&amp;map_action=pano&amp;viewpoint="&amp;SUBSTITUTE(X1584," ",""),"Abrir Street View"))</f>
        <v/>
      </c>
    </row>
    <row r="1585">
      <c r="H1585" s="6" t="n"/>
      <c r="I1585" s="6" t="n"/>
      <c r="M1585" s="7" t="n"/>
      <c r="N1585" s="7" t="n"/>
      <c r="O1585" s="7" t="n"/>
      <c r="P1585" s="8">
        <f>IF(NOT(ISNUMBER(M1585)),"",IF(G1585="Terreno",IF(AND(ISNUMBER(I1585),I1585&gt;0),M1585/I1585,""),IF(AND(ISNUMBER(H1585),H1585&gt;0),M1585/H1585,"")))</f>
        <v/>
      </c>
      <c r="Q1585" s="9">
        <f>IF(AND(ISNUMBER(M1585),ISNUMBER(O1585)),IF(M1585&lt;=O1585,"Valor ≤ venal IPTU",""),"")</f>
        <v/>
      </c>
      <c r="R1585" s="10" t="n"/>
      <c r="S1585" s="10" t="n"/>
      <c r="AA1585" s="10" t="n"/>
      <c r="AB1585" s="11">
        <f>IF(LEN(TRIM(X1585))=0,"",HYPERLINK("https://www.google.com/maps/@?api=1&amp;map_action=pano&amp;viewpoint="&amp;SUBSTITUTE(X1585," ",""),"Abrir Street View"))</f>
        <v/>
      </c>
    </row>
    <row r="1586">
      <c r="H1586" s="6" t="n"/>
      <c r="I1586" s="6" t="n"/>
      <c r="M1586" s="7" t="n"/>
      <c r="N1586" s="7" t="n"/>
      <c r="O1586" s="7" t="n"/>
      <c r="P1586" s="8">
        <f>IF(NOT(ISNUMBER(M1586)),"",IF(G1586="Terreno",IF(AND(ISNUMBER(I1586),I1586&gt;0),M1586/I1586,""),IF(AND(ISNUMBER(H1586),H1586&gt;0),M1586/H1586,"")))</f>
        <v/>
      </c>
      <c r="Q1586" s="9">
        <f>IF(AND(ISNUMBER(M1586),ISNUMBER(O1586)),IF(M1586&lt;=O1586,"Valor ≤ venal IPTU",""),"")</f>
        <v/>
      </c>
      <c r="R1586" s="10" t="n"/>
      <c r="S1586" s="10" t="n"/>
      <c r="AA1586" s="10" t="n"/>
      <c r="AB1586" s="11">
        <f>IF(LEN(TRIM(X1586))=0,"",HYPERLINK("https://www.google.com/maps/@?api=1&amp;map_action=pano&amp;viewpoint="&amp;SUBSTITUTE(X1586," ",""),"Abrir Street View"))</f>
        <v/>
      </c>
    </row>
    <row r="1587">
      <c r="H1587" s="6" t="n"/>
      <c r="I1587" s="6" t="n"/>
      <c r="M1587" s="7" t="n"/>
      <c r="N1587" s="7" t="n"/>
      <c r="O1587" s="7" t="n"/>
      <c r="P1587" s="8">
        <f>IF(NOT(ISNUMBER(M1587)),"",IF(G1587="Terreno",IF(AND(ISNUMBER(I1587),I1587&gt;0),M1587/I1587,""),IF(AND(ISNUMBER(H1587),H1587&gt;0),M1587/H1587,"")))</f>
        <v/>
      </c>
      <c r="Q1587" s="9">
        <f>IF(AND(ISNUMBER(M1587),ISNUMBER(O1587)),IF(M1587&lt;=O1587,"Valor ≤ venal IPTU",""),"")</f>
        <v/>
      </c>
      <c r="R1587" s="10" t="n"/>
      <c r="S1587" s="10" t="n"/>
      <c r="AA1587" s="10" t="n"/>
      <c r="AB1587" s="11">
        <f>IF(LEN(TRIM(X1587))=0,"",HYPERLINK("https://www.google.com/maps/@?api=1&amp;map_action=pano&amp;viewpoint="&amp;SUBSTITUTE(X1587," ",""),"Abrir Street View"))</f>
        <v/>
      </c>
    </row>
    <row r="1588">
      <c r="H1588" s="6" t="n"/>
      <c r="I1588" s="6" t="n"/>
      <c r="M1588" s="7" t="n"/>
      <c r="N1588" s="7" t="n"/>
      <c r="O1588" s="7" t="n"/>
      <c r="P1588" s="8">
        <f>IF(NOT(ISNUMBER(M1588)),"",IF(G1588="Terreno",IF(AND(ISNUMBER(I1588),I1588&gt;0),M1588/I1588,""),IF(AND(ISNUMBER(H1588),H1588&gt;0),M1588/H1588,"")))</f>
        <v/>
      </c>
      <c r="Q1588" s="9">
        <f>IF(AND(ISNUMBER(M1588),ISNUMBER(O1588)),IF(M1588&lt;=O1588,"Valor ≤ venal IPTU",""),"")</f>
        <v/>
      </c>
      <c r="R1588" s="10" t="n"/>
      <c r="S1588" s="10" t="n"/>
      <c r="AA1588" s="10" t="n"/>
      <c r="AB1588" s="11">
        <f>IF(LEN(TRIM(X1588))=0,"",HYPERLINK("https://www.google.com/maps/@?api=1&amp;map_action=pano&amp;viewpoint="&amp;SUBSTITUTE(X1588," ",""),"Abrir Street View"))</f>
        <v/>
      </c>
    </row>
    <row r="1589">
      <c r="H1589" s="6" t="n"/>
      <c r="I1589" s="6" t="n"/>
      <c r="M1589" s="7" t="n"/>
      <c r="N1589" s="7" t="n"/>
      <c r="O1589" s="7" t="n"/>
      <c r="P1589" s="8">
        <f>IF(NOT(ISNUMBER(M1589)),"",IF(G1589="Terreno",IF(AND(ISNUMBER(I1589),I1589&gt;0),M1589/I1589,""),IF(AND(ISNUMBER(H1589),H1589&gt;0),M1589/H1589,"")))</f>
        <v/>
      </c>
      <c r="Q1589" s="9">
        <f>IF(AND(ISNUMBER(M1589),ISNUMBER(O1589)),IF(M1589&lt;=O1589,"Valor ≤ venal IPTU",""),"")</f>
        <v/>
      </c>
      <c r="R1589" s="10" t="n"/>
      <c r="S1589" s="10" t="n"/>
      <c r="AA1589" s="10" t="n"/>
      <c r="AB1589" s="11">
        <f>IF(LEN(TRIM(X1589))=0,"",HYPERLINK("https://www.google.com/maps/@?api=1&amp;map_action=pano&amp;viewpoint="&amp;SUBSTITUTE(X1589," ",""),"Abrir Street View"))</f>
        <v/>
      </c>
    </row>
    <row r="1590">
      <c r="H1590" s="6" t="n"/>
      <c r="I1590" s="6" t="n"/>
      <c r="M1590" s="7" t="n"/>
      <c r="N1590" s="7" t="n"/>
      <c r="O1590" s="7" t="n"/>
      <c r="P1590" s="8">
        <f>IF(NOT(ISNUMBER(M1590)),"",IF(G1590="Terreno",IF(AND(ISNUMBER(I1590),I1590&gt;0),M1590/I1590,""),IF(AND(ISNUMBER(H1590),H1590&gt;0),M1590/H1590,"")))</f>
        <v/>
      </c>
      <c r="Q1590" s="9">
        <f>IF(AND(ISNUMBER(M1590),ISNUMBER(O1590)),IF(M1590&lt;=O1590,"Valor ≤ venal IPTU",""),"")</f>
        <v/>
      </c>
      <c r="R1590" s="10" t="n"/>
      <c r="S1590" s="10" t="n"/>
      <c r="AA1590" s="10" t="n"/>
      <c r="AB1590" s="11">
        <f>IF(LEN(TRIM(X1590))=0,"",HYPERLINK("https://www.google.com/maps/@?api=1&amp;map_action=pano&amp;viewpoint="&amp;SUBSTITUTE(X1590," ",""),"Abrir Street View"))</f>
        <v/>
      </c>
    </row>
    <row r="1591">
      <c r="H1591" s="6" t="n"/>
      <c r="I1591" s="6" t="n"/>
      <c r="M1591" s="7" t="n"/>
      <c r="N1591" s="7" t="n"/>
      <c r="O1591" s="7" t="n"/>
      <c r="P1591" s="8">
        <f>IF(NOT(ISNUMBER(M1591)),"",IF(G1591="Terreno",IF(AND(ISNUMBER(I1591),I1591&gt;0),M1591/I1591,""),IF(AND(ISNUMBER(H1591),H1591&gt;0),M1591/H1591,"")))</f>
        <v/>
      </c>
      <c r="Q1591" s="9">
        <f>IF(AND(ISNUMBER(M1591),ISNUMBER(O1591)),IF(M1591&lt;=O1591,"Valor ≤ venal IPTU",""),"")</f>
        <v/>
      </c>
      <c r="R1591" s="10" t="n"/>
      <c r="S1591" s="10" t="n"/>
      <c r="AA1591" s="10" t="n"/>
      <c r="AB1591" s="11">
        <f>IF(LEN(TRIM(X1591))=0,"",HYPERLINK("https://www.google.com/maps/@?api=1&amp;map_action=pano&amp;viewpoint="&amp;SUBSTITUTE(X1591," ",""),"Abrir Street View"))</f>
        <v/>
      </c>
    </row>
    <row r="1592">
      <c r="H1592" s="6" t="n"/>
      <c r="I1592" s="6" t="n"/>
      <c r="M1592" s="7" t="n"/>
      <c r="N1592" s="7" t="n"/>
      <c r="O1592" s="7" t="n"/>
      <c r="P1592" s="8">
        <f>IF(NOT(ISNUMBER(M1592)),"",IF(G1592="Terreno",IF(AND(ISNUMBER(I1592),I1592&gt;0),M1592/I1592,""),IF(AND(ISNUMBER(H1592),H1592&gt;0),M1592/H1592,"")))</f>
        <v/>
      </c>
      <c r="Q1592" s="9">
        <f>IF(AND(ISNUMBER(M1592),ISNUMBER(O1592)),IF(M1592&lt;=O1592,"Valor ≤ venal IPTU",""),"")</f>
        <v/>
      </c>
      <c r="R1592" s="10" t="n"/>
      <c r="S1592" s="10" t="n"/>
      <c r="AA1592" s="10" t="n"/>
      <c r="AB1592" s="11">
        <f>IF(LEN(TRIM(X1592))=0,"",HYPERLINK("https://www.google.com/maps/@?api=1&amp;map_action=pano&amp;viewpoint="&amp;SUBSTITUTE(X1592," ",""),"Abrir Street View"))</f>
        <v/>
      </c>
    </row>
    <row r="1593">
      <c r="H1593" s="6" t="n"/>
      <c r="I1593" s="6" t="n"/>
      <c r="M1593" s="7" t="n"/>
      <c r="N1593" s="7" t="n"/>
      <c r="O1593" s="7" t="n"/>
      <c r="P1593" s="8">
        <f>IF(NOT(ISNUMBER(M1593)),"",IF(G1593="Terreno",IF(AND(ISNUMBER(I1593),I1593&gt;0),M1593/I1593,""),IF(AND(ISNUMBER(H1593),H1593&gt;0),M1593/H1593,"")))</f>
        <v/>
      </c>
      <c r="Q1593" s="9">
        <f>IF(AND(ISNUMBER(M1593),ISNUMBER(O1593)),IF(M1593&lt;=O1593,"Valor ≤ venal IPTU",""),"")</f>
        <v/>
      </c>
      <c r="R1593" s="10" t="n"/>
      <c r="S1593" s="10" t="n"/>
      <c r="AA1593" s="10" t="n"/>
      <c r="AB1593" s="11">
        <f>IF(LEN(TRIM(X1593))=0,"",HYPERLINK("https://www.google.com/maps/@?api=1&amp;map_action=pano&amp;viewpoint="&amp;SUBSTITUTE(X1593," ",""),"Abrir Street View"))</f>
        <v/>
      </c>
    </row>
    <row r="1594">
      <c r="H1594" s="6" t="n"/>
      <c r="I1594" s="6" t="n"/>
      <c r="M1594" s="7" t="n"/>
      <c r="N1594" s="7" t="n"/>
      <c r="O1594" s="7" t="n"/>
      <c r="P1594" s="8">
        <f>IF(NOT(ISNUMBER(M1594)),"",IF(G1594="Terreno",IF(AND(ISNUMBER(I1594),I1594&gt;0),M1594/I1594,""),IF(AND(ISNUMBER(H1594),H1594&gt;0),M1594/H1594,"")))</f>
        <v/>
      </c>
      <c r="Q1594" s="9">
        <f>IF(AND(ISNUMBER(M1594),ISNUMBER(O1594)),IF(M1594&lt;=O1594,"Valor ≤ venal IPTU",""),"")</f>
        <v/>
      </c>
      <c r="R1594" s="10" t="n"/>
      <c r="S1594" s="10" t="n"/>
      <c r="AA1594" s="10" t="n"/>
      <c r="AB1594" s="11">
        <f>IF(LEN(TRIM(X1594))=0,"",HYPERLINK("https://www.google.com/maps/@?api=1&amp;map_action=pano&amp;viewpoint="&amp;SUBSTITUTE(X1594," ",""),"Abrir Street View"))</f>
        <v/>
      </c>
    </row>
    <row r="1595">
      <c r="H1595" s="6" t="n"/>
      <c r="I1595" s="6" t="n"/>
      <c r="M1595" s="7" t="n"/>
      <c r="N1595" s="7" t="n"/>
      <c r="O1595" s="7" t="n"/>
      <c r="P1595" s="8">
        <f>IF(NOT(ISNUMBER(M1595)),"",IF(G1595="Terreno",IF(AND(ISNUMBER(I1595),I1595&gt;0),M1595/I1595,""),IF(AND(ISNUMBER(H1595),H1595&gt;0),M1595/H1595,"")))</f>
        <v/>
      </c>
      <c r="Q1595" s="9">
        <f>IF(AND(ISNUMBER(M1595),ISNUMBER(O1595)),IF(M1595&lt;=O1595,"Valor ≤ venal IPTU",""),"")</f>
        <v/>
      </c>
      <c r="R1595" s="10" t="n"/>
      <c r="S1595" s="10" t="n"/>
      <c r="AA1595" s="10" t="n"/>
      <c r="AB1595" s="11">
        <f>IF(LEN(TRIM(X1595))=0,"",HYPERLINK("https://www.google.com/maps/@?api=1&amp;map_action=pano&amp;viewpoint="&amp;SUBSTITUTE(X1595," ",""),"Abrir Street View"))</f>
        <v/>
      </c>
    </row>
    <row r="1596">
      <c r="H1596" s="6" t="n"/>
      <c r="I1596" s="6" t="n"/>
      <c r="M1596" s="7" t="n"/>
      <c r="N1596" s="7" t="n"/>
      <c r="O1596" s="7" t="n"/>
      <c r="P1596" s="8">
        <f>IF(NOT(ISNUMBER(M1596)),"",IF(G1596="Terreno",IF(AND(ISNUMBER(I1596),I1596&gt;0),M1596/I1596,""),IF(AND(ISNUMBER(H1596),H1596&gt;0),M1596/H1596,"")))</f>
        <v/>
      </c>
      <c r="Q1596" s="9">
        <f>IF(AND(ISNUMBER(M1596),ISNUMBER(O1596)),IF(M1596&lt;=O1596,"Valor ≤ venal IPTU",""),"")</f>
        <v/>
      </c>
      <c r="R1596" s="10" t="n"/>
      <c r="S1596" s="10" t="n"/>
      <c r="AA1596" s="10" t="n"/>
      <c r="AB1596" s="11">
        <f>IF(LEN(TRIM(X1596))=0,"",HYPERLINK("https://www.google.com/maps/@?api=1&amp;map_action=pano&amp;viewpoint="&amp;SUBSTITUTE(X1596," ",""),"Abrir Street View"))</f>
        <v/>
      </c>
    </row>
    <row r="1597">
      <c r="H1597" s="6" t="n"/>
      <c r="I1597" s="6" t="n"/>
      <c r="M1597" s="7" t="n"/>
      <c r="N1597" s="7" t="n"/>
      <c r="O1597" s="7" t="n"/>
      <c r="P1597" s="8">
        <f>IF(NOT(ISNUMBER(M1597)),"",IF(G1597="Terreno",IF(AND(ISNUMBER(I1597),I1597&gt;0),M1597/I1597,""),IF(AND(ISNUMBER(H1597),H1597&gt;0),M1597/H1597,"")))</f>
        <v/>
      </c>
      <c r="Q1597" s="9">
        <f>IF(AND(ISNUMBER(M1597),ISNUMBER(O1597)),IF(M1597&lt;=O1597,"Valor ≤ venal IPTU",""),"")</f>
        <v/>
      </c>
      <c r="R1597" s="10" t="n"/>
      <c r="S1597" s="10" t="n"/>
      <c r="AA1597" s="10" t="n"/>
      <c r="AB1597" s="11">
        <f>IF(LEN(TRIM(X1597))=0,"",HYPERLINK("https://www.google.com/maps/@?api=1&amp;map_action=pano&amp;viewpoint="&amp;SUBSTITUTE(X1597," ",""),"Abrir Street View"))</f>
        <v/>
      </c>
    </row>
    <row r="1598">
      <c r="H1598" s="6" t="n"/>
      <c r="I1598" s="6" t="n"/>
      <c r="M1598" s="7" t="n"/>
      <c r="N1598" s="7" t="n"/>
      <c r="O1598" s="7" t="n"/>
      <c r="P1598" s="8">
        <f>IF(NOT(ISNUMBER(M1598)),"",IF(G1598="Terreno",IF(AND(ISNUMBER(I1598),I1598&gt;0),M1598/I1598,""),IF(AND(ISNUMBER(H1598),H1598&gt;0),M1598/H1598,"")))</f>
        <v/>
      </c>
      <c r="Q1598" s="9">
        <f>IF(AND(ISNUMBER(M1598),ISNUMBER(O1598)),IF(M1598&lt;=O1598,"Valor ≤ venal IPTU",""),"")</f>
        <v/>
      </c>
      <c r="R1598" s="10" t="n"/>
      <c r="S1598" s="10" t="n"/>
      <c r="AA1598" s="10" t="n"/>
      <c r="AB1598" s="11">
        <f>IF(LEN(TRIM(X1598))=0,"",HYPERLINK("https://www.google.com/maps/@?api=1&amp;map_action=pano&amp;viewpoint="&amp;SUBSTITUTE(X1598," ",""),"Abrir Street View"))</f>
        <v/>
      </c>
    </row>
    <row r="1599">
      <c r="H1599" s="6" t="n"/>
      <c r="I1599" s="6" t="n"/>
      <c r="M1599" s="7" t="n"/>
      <c r="N1599" s="7" t="n"/>
      <c r="O1599" s="7" t="n"/>
      <c r="P1599" s="8">
        <f>IF(NOT(ISNUMBER(M1599)),"",IF(G1599="Terreno",IF(AND(ISNUMBER(I1599),I1599&gt;0),M1599/I1599,""),IF(AND(ISNUMBER(H1599),H1599&gt;0),M1599/H1599,"")))</f>
        <v/>
      </c>
      <c r="Q1599" s="9">
        <f>IF(AND(ISNUMBER(M1599),ISNUMBER(O1599)),IF(M1599&lt;=O1599,"Valor ≤ venal IPTU",""),"")</f>
        <v/>
      </c>
      <c r="R1599" s="10" t="n"/>
      <c r="S1599" s="10" t="n"/>
      <c r="AA1599" s="10" t="n"/>
      <c r="AB1599" s="11">
        <f>IF(LEN(TRIM(X1599))=0,"",HYPERLINK("https://www.google.com/maps/@?api=1&amp;map_action=pano&amp;viewpoint="&amp;SUBSTITUTE(X1599," ",""),"Abrir Street View"))</f>
        <v/>
      </c>
    </row>
    <row r="1600">
      <c r="H1600" s="6" t="n"/>
      <c r="I1600" s="6" t="n"/>
      <c r="M1600" s="7" t="n"/>
      <c r="N1600" s="7" t="n"/>
      <c r="O1600" s="7" t="n"/>
      <c r="P1600" s="8">
        <f>IF(NOT(ISNUMBER(M1600)),"",IF(G1600="Terreno",IF(AND(ISNUMBER(I1600),I1600&gt;0),M1600/I1600,""),IF(AND(ISNUMBER(H1600),H1600&gt;0),M1600/H1600,"")))</f>
        <v/>
      </c>
      <c r="Q1600" s="9">
        <f>IF(AND(ISNUMBER(M1600),ISNUMBER(O1600)),IF(M1600&lt;=O1600,"Valor ≤ venal IPTU",""),"")</f>
        <v/>
      </c>
      <c r="R1600" s="10" t="n"/>
      <c r="S1600" s="10" t="n"/>
      <c r="AA1600" s="10" t="n"/>
      <c r="AB1600" s="11">
        <f>IF(LEN(TRIM(X1600))=0,"",HYPERLINK("https://www.google.com/maps/@?api=1&amp;map_action=pano&amp;viewpoint="&amp;SUBSTITUTE(X1600," ",""),"Abrir Street View"))</f>
        <v/>
      </c>
    </row>
    <row r="1601">
      <c r="H1601" s="6" t="n"/>
      <c r="I1601" s="6" t="n"/>
      <c r="M1601" s="7" t="n"/>
      <c r="N1601" s="7" t="n"/>
      <c r="O1601" s="7" t="n"/>
      <c r="P1601" s="8">
        <f>IF(NOT(ISNUMBER(M1601)),"",IF(G1601="Terreno",IF(AND(ISNUMBER(I1601),I1601&gt;0),M1601/I1601,""),IF(AND(ISNUMBER(H1601),H1601&gt;0),M1601/H1601,"")))</f>
        <v/>
      </c>
      <c r="Q1601" s="9">
        <f>IF(AND(ISNUMBER(M1601),ISNUMBER(O1601)),IF(M1601&lt;=O1601,"Valor ≤ venal IPTU",""),"")</f>
        <v/>
      </c>
      <c r="R1601" s="10" t="n"/>
      <c r="S1601" s="10" t="n"/>
      <c r="AA1601" s="10" t="n"/>
      <c r="AB1601" s="11">
        <f>IF(LEN(TRIM(X1601))=0,"",HYPERLINK("https://www.google.com/maps/@?api=1&amp;map_action=pano&amp;viewpoint="&amp;SUBSTITUTE(X1601," ",""),"Abrir Street View"))</f>
        <v/>
      </c>
    </row>
    <row r="1602">
      <c r="H1602" s="6" t="n"/>
      <c r="I1602" s="6" t="n"/>
      <c r="M1602" s="7" t="n"/>
      <c r="N1602" s="7" t="n"/>
      <c r="O1602" s="7" t="n"/>
      <c r="P1602" s="8">
        <f>IF(NOT(ISNUMBER(M1602)),"",IF(G1602="Terreno",IF(AND(ISNUMBER(I1602),I1602&gt;0),M1602/I1602,""),IF(AND(ISNUMBER(H1602),H1602&gt;0),M1602/H1602,"")))</f>
        <v/>
      </c>
      <c r="Q1602" s="9">
        <f>IF(AND(ISNUMBER(M1602),ISNUMBER(O1602)),IF(M1602&lt;=O1602,"Valor ≤ venal IPTU",""),"")</f>
        <v/>
      </c>
      <c r="R1602" s="10" t="n"/>
      <c r="S1602" s="10" t="n"/>
      <c r="AA1602" s="10" t="n"/>
      <c r="AB1602" s="11">
        <f>IF(LEN(TRIM(X1602))=0,"",HYPERLINK("https://www.google.com/maps/@?api=1&amp;map_action=pano&amp;viewpoint="&amp;SUBSTITUTE(X1602," ",""),"Abrir Street View"))</f>
        <v/>
      </c>
    </row>
    <row r="1603">
      <c r="H1603" s="6" t="n"/>
      <c r="I1603" s="6" t="n"/>
      <c r="M1603" s="7" t="n"/>
      <c r="N1603" s="7" t="n"/>
      <c r="O1603" s="7" t="n"/>
      <c r="P1603" s="8">
        <f>IF(NOT(ISNUMBER(M1603)),"",IF(G1603="Terreno",IF(AND(ISNUMBER(I1603),I1603&gt;0),M1603/I1603,""),IF(AND(ISNUMBER(H1603),H1603&gt;0),M1603/H1603,"")))</f>
        <v/>
      </c>
      <c r="Q1603" s="9">
        <f>IF(AND(ISNUMBER(M1603),ISNUMBER(O1603)),IF(M1603&lt;=O1603,"Valor ≤ venal IPTU",""),"")</f>
        <v/>
      </c>
      <c r="R1603" s="10" t="n"/>
      <c r="S1603" s="10" t="n"/>
      <c r="AA1603" s="10" t="n"/>
      <c r="AB1603" s="11">
        <f>IF(LEN(TRIM(X1603))=0,"",HYPERLINK("https://www.google.com/maps/@?api=1&amp;map_action=pano&amp;viewpoint="&amp;SUBSTITUTE(X1603," ",""),"Abrir Street View"))</f>
        <v/>
      </c>
    </row>
    <row r="1604">
      <c r="H1604" s="6" t="n"/>
      <c r="I1604" s="6" t="n"/>
      <c r="M1604" s="7" t="n"/>
      <c r="N1604" s="7" t="n"/>
      <c r="O1604" s="7" t="n"/>
      <c r="P1604" s="8">
        <f>IF(NOT(ISNUMBER(M1604)),"",IF(G1604="Terreno",IF(AND(ISNUMBER(I1604),I1604&gt;0),M1604/I1604,""),IF(AND(ISNUMBER(H1604),H1604&gt;0),M1604/H1604,"")))</f>
        <v/>
      </c>
      <c r="Q1604" s="9">
        <f>IF(AND(ISNUMBER(M1604),ISNUMBER(O1604)),IF(M1604&lt;=O1604,"Valor ≤ venal IPTU",""),"")</f>
        <v/>
      </c>
      <c r="R1604" s="10" t="n"/>
      <c r="S1604" s="10" t="n"/>
      <c r="AA1604" s="10" t="n"/>
      <c r="AB1604" s="11">
        <f>IF(LEN(TRIM(X1604))=0,"",HYPERLINK("https://www.google.com/maps/@?api=1&amp;map_action=pano&amp;viewpoint="&amp;SUBSTITUTE(X1604," ",""),"Abrir Street View"))</f>
        <v/>
      </c>
    </row>
    <row r="1605">
      <c r="H1605" s="6" t="n"/>
      <c r="I1605" s="6" t="n"/>
      <c r="M1605" s="7" t="n"/>
      <c r="N1605" s="7" t="n"/>
      <c r="O1605" s="7" t="n"/>
      <c r="P1605" s="8">
        <f>IF(NOT(ISNUMBER(M1605)),"",IF(G1605="Terreno",IF(AND(ISNUMBER(I1605),I1605&gt;0),M1605/I1605,""),IF(AND(ISNUMBER(H1605),H1605&gt;0),M1605/H1605,"")))</f>
        <v/>
      </c>
      <c r="Q1605" s="9">
        <f>IF(AND(ISNUMBER(M1605),ISNUMBER(O1605)),IF(M1605&lt;=O1605,"Valor ≤ venal IPTU",""),"")</f>
        <v/>
      </c>
      <c r="R1605" s="10" t="n"/>
      <c r="S1605" s="10" t="n"/>
      <c r="AA1605" s="10" t="n"/>
      <c r="AB1605" s="11">
        <f>IF(LEN(TRIM(X1605))=0,"",HYPERLINK("https://www.google.com/maps/@?api=1&amp;map_action=pano&amp;viewpoint="&amp;SUBSTITUTE(X1605," ",""),"Abrir Street View"))</f>
        <v/>
      </c>
    </row>
    <row r="1606">
      <c r="H1606" s="6" t="n"/>
      <c r="I1606" s="6" t="n"/>
      <c r="M1606" s="7" t="n"/>
      <c r="N1606" s="7" t="n"/>
      <c r="O1606" s="7" t="n"/>
      <c r="P1606" s="8">
        <f>IF(NOT(ISNUMBER(M1606)),"",IF(G1606="Terreno",IF(AND(ISNUMBER(I1606),I1606&gt;0),M1606/I1606,""),IF(AND(ISNUMBER(H1606),H1606&gt;0),M1606/H1606,"")))</f>
        <v/>
      </c>
      <c r="Q1606" s="9">
        <f>IF(AND(ISNUMBER(M1606),ISNUMBER(O1606)),IF(M1606&lt;=O1606,"Valor ≤ venal IPTU",""),"")</f>
        <v/>
      </c>
      <c r="R1606" s="10" t="n"/>
      <c r="S1606" s="10" t="n"/>
      <c r="AA1606" s="10" t="n"/>
      <c r="AB1606" s="11">
        <f>IF(LEN(TRIM(X1606))=0,"",HYPERLINK("https://www.google.com/maps/@?api=1&amp;map_action=pano&amp;viewpoint="&amp;SUBSTITUTE(X1606," ",""),"Abrir Street View"))</f>
        <v/>
      </c>
    </row>
    <row r="1607">
      <c r="H1607" s="6" t="n"/>
      <c r="I1607" s="6" t="n"/>
      <c r="M1607" s="7" t="n"/>
      <c r="N1607" s="7" t="n"/>
      <c r="O1607" s="7" t="n"/>
      <c r="P1607" s="8">
        <f>IF(NOT(ISNUMBER(M1607)),"",IF(G1607="Terreno",IF(AND(ISNUMBER(I1607),I1607&gt;0),M1607/I1607,""),IF(AND(ISNUMBER(H1607),H1607&gt;0),M1607/H1607,"")))</f>
        <v/>
      </c>
      <c r="Q1607" s="9">
        <f>IF(AND(ISNUMBER(M1607),ISNUMBER(O1607)),IF(M1607&lt;=O1607,"Valor ≤ venal IPTU",""),"")</f>
        <v/>
      </c>
      <c r="R1607" s="10" t="n"/>
      <c r="S1607" s="10" t="n"/>
      <c r="AA1607" s="10" t="n"/>
      <c r="AB1607" s="11">
        <f>IF(LEN(TRIM(X1607))=0,"",HYPERLINK("https://www.google.com/maps/@?api=1&amp;map_action=pano&amp;viewpoint="&amp;SUBSTITUTE(X1607," ",""),"Abrir Street View"))</f>
        <v/>
      </c>
    </row>
    <row r="1608">
      <c r="H1608" s="6" t="n"/>
      <c r="I1608" s="6" t="n"/>
      <c r="M1608" s="7" t="n"/>
      <c r="N1608" s="7" t="n"/>
      <c r="O1608" s="7" t="n"/>
      <c r="P1608" s="8">
        <f>IF(NOT(ISNUMBER(M1608)),"",IF(G1608="Terreno",IF(AND(ISNUMBER(I1608),I1608&gt;0),M1608/I1608,""),IF(AND(ISNUMBER(H1608),H1608&gt;0),M1608/H1608,"")))</f>
        <v/>
      </c>
      <c r="Q1608" s="9">
        <f>IF(AND(ISNUMBER(M1608),ISNUMBER(O1608)),IF(M1608&lt;=O1608,"Valor ≤ venal IPTU",""),"")</f>
        <v/>
      </c>
      <c r="R1608" s="10" t="n"/>
      <c r="S1608" s="10" t="n"/>
      <c r="AA1608" s="10" t="n"/>
      <c r="AB1608" s="11">
        <f>IF(LEN(TRIM(X1608))=0,"",HYPERLINK("https://www.google.com/maps/@?api=1&amp;map_action=pano&amp;viewpoint="&amp;SUBSTITUTE(X1608," ",""),"Abrir Street View"))</f>
        <v/>
      </c>
    </row>
    <row r="1609">
      <c r="H1609" s="6" t="n"/>
      <c r="I1609" s="6" t="n"/>
      <c r="M1609" s="7" t="n"/>
      <c r="N1609" s="7" t="n"/>
      <c r="O1609" s="7" t="n"/>
      <c r="P1609" s="8">
        <f>IF(NOT(ISNUMBER(M1609)),"",IF(G1609="Terreno",IF(AND(ISNUMBER(I1609),I1609&gt;0),M1609/I1609,""),IF(AND(ISNUMBER(H1609),H1609&gt;0),M1609/H1609,"")))</f>
        <v/>
      </c>
      <c r="Q1609" s="9">
        <f>IF(AND(ISNUMBER(M1609),ISNUMBER(O1609)),IF(M1609&lt;=O1609,"Valor ≤ venal IPTU",""),"")</f>
        <v/>
      </c>
      <c r="R1609" s="10" t="n"/>
      <c r="S1609" s="10" t="n"/>
      <c r="AA1609" s="10" t="n"/>
      <c r="AB1609" s="11">
        <f>IF(LEN(TRIM(X1609))=0,"",HYPERLINK("https://www.google.com/maps/@?api=1&amp;map_action=pano&amp;viewpoint="&amp;SUBSTITUTE(X1609," ",""),"Abrir Street View"))</f>
        <v/>
      </c>
    </row>
    <row r="1610">
      <c r="H1610" s="6" t="n"/>
      <c r="I1610" s="6" t="n"/>
      <c r="M1610" s="7" t="n"/>
      <c r="N1610" s="7" t="n"/>
      <c r="O1610" s="7" t="n"/>
      <c r="P1610" s="8">
        <f>IF(NOT(ISNUMBER(M1610)),"",IF(G1610="Terreno",IF(AND(ISNUMBER(I1610),I1610&gt;0),M1610/I1610,""),IF(AND(ISNUMBER(H1610),H1610&gt;0),M1610/H1610,"")))</f>
        <v/>
      </c>
      <c r="Q1610" s="9">
        <f>IF(AND(ISNUMBER(M1610),ISNUMBER(O1610)),IF(M1610&lt;=O1610,"Valor ≤ venal IPTU",""),"")</f>
        <v/>
      </c>
      <c r="R1610" s="10" t="n"/>
      <c r="S1610" s="10" t="n"/>
      <c r="AA1610" s="10" t="n"/>
      <c r="AB1610" s="11">
        <f>IF(LEN(TRIM(X1610))=0,"",HYPERLINK("https://www.google.com/maps/@?api=1&amp;map_action=pano&amp;viewpoint="&amp;SUBSTITUTE(X1610," ",""),"Abrir Street View"))</f>
        <v/>
      </c>
    </row>
    <row r="1611">
      <c r="H1611" s="6" t="n"/>
      <c r="I1611" s="6" t="n"/>
      <c r="M1611" s="7" t="n"/>
      <c r="N1611" s="7" t="n"/>
      <c r="O1611" s="7" t="n"/>
      <c r="P1611" s="8">
        <f>IF(NOT(ISNUMBER(M1611)),"",IF(G1611="Terreno",IF(AND(ISNUMBER(I1611),I1611&gt;0),M1611/I1611,""),IF(AND(ISNUMBER(H1611),H1611&gt;0),M1611/H1611,"")))</f>
        <v/>
      </c>
      <c r="Q1611" s="9">
        <f>IF(AND(ISNUMBER(M1611),ISNUMBER(O1611)),IF(M1611&lt;=O1611,"Valor ≤ venal IPTU",""),"")</f>
        <v/>
      </c>
      <c r="R1611" s="10" t="n"/>
      <c r="S1611" s="10" t="n"/>
      <c r="AA1611" s="10" t="n"/>
      <c r="AB1611" s="11">
        <f>IF(LEN(TRIM(X1611))=0,"",HYPERLINK("https://www.google.com/maps/@?api=1&amp;map_action=pano&amp;viewpoint="&amp;SUBSTITUTE(X1611," ",""),"Abrir Street View"))</f>
        <v/>
      </c>
    </row>
    <row r="1612">
      <c r="H1612" s="6" t="n"/>
      <c r="I1612" s="6" t="n"/>
      <c r="M1612" s="7" t="n"/>
      <c r="N1612" s="7" t="n"/>
      <c r="O1612" s="7" t="n"/>
      <c r="P1612" s="8">
        <f>IF(NOT(ISNUMBER(M1612)),"",IF(G1612="Terreno",IF(AND(ISNUMBER(I1612),I1612&gt;0),M1612/I1612,""),IF(AND(ISNUMBER(H1612),H1612&gt;0),M1612/H1612,"")))</f>
        <v/>
      </c>
      <c r="Q1612" s="9">
        <f>IF(AND(ISNUMBER(M1612),ISNUMBER(O1612)),IF(M1612&lt;=O1612,"Valor ≤ venal IPTU",""),"")</f>
        <v/>
      </c>
      <c r="R1612" s="10" t="n"/>
      <c r="S1612" s="10" t="n"/>
      <c r="AA1612" s="10" t="n"/>
      <c r="AB1612" s="11">
        <f>IF(LEN(TRIM(X1612))=0,"",HYPERLINK("https://www.google.com/maps/@?api=1&amp;map_action=pano&amp;viewpoint="&amp;SUBSTITUTE(X1612," ",""),"Abrir Street View"))</f>
        <v/>
      </c>
    </row>
    <row r="1613">
      <c r="H1613" s="6" t="n"/>
      <c r="I1613" s="6" t="n"/>
      <c r="M1613" s="7" t="n"/>
      <c r="N1613" s="7" t="n"/>
      <c r="O1613" s="7" t="n"/>
      <c r="P1613" s="8">
        <f>IF(NOT(ISNUMBER(M1613)),"",IF(G1613="Terreno",IF(AND(ISNUMBER(I1613),I1613&gt;0),M1613/I1613,""),IF(AND(ISNUMBER(H1613),H1613&gt;0),M1613/H1613,"")))</f>
        <v/>
      </c>
      <c r="Q1613" s="9">
        <f>IF(AND(ISNUMBER(M1613),ISNUMBER(O1613)),IF(M1613&lt;=O1613,"Valor ≤ venal IPTU",""),"")</f>
        <v/>
      </c>
      <c r="R1613" s="10" t="n"/>
      <c r="S1613" s="10" t="n"/>
      <c r="AA1613" s="10" t="n"/>
      <c r="AB1613" s="11">
        <f>IF(LEN(TRIM(X1613))=0,"",HYPERLINK("https://www.google.com/maps/@?api=1&amp;map_action=pano&amp;viewpoint="&amp;SUBSTITUTE(X1613," ",""),"Abrir Street View"))</f>
        <v/>
      </c>
    </row>
    <row r="1614">
      <c r="H1614" s="6" t="n"/>
      <c r="I1614" s="6" t="n"/>
      <c r="M1614" s="7" t="n"/>
      <c r="N1614" s="7" t="n"/>
      <c r="O1614" s="7" t="n"/>
      <c r="P1614" s="8">
        <f>IF(NOT(ISNUMBER(M1614)),"",IF(G1614="Terreno",IF(AND(ISNUMBER(I1614),I1614&gt;0),M1614/I1614,""),IF(AND(ISNUMBER(H1614),H1614&gt;0),M1614/H1614,"")))</f>
        <v/>
      </c>
      <c r="Q1614" s="9">
        <f>IF(AND(ISNUMBER(M1614),ISNUMBER(O1614)),IF(M1614&lt;=O1614,"Valor ≤ venal IPTU",""),"")</f>
        <v/>
      </c>
      <c r="R1614" s="10" t="n"/>
      <c r="S1614" s="10" t="n"/>
      <c r="AA1614" s="10" t="n"/>
      <c r="AB1614" s="11">
        <f>IF(LEN(TRIM(X1614))=0,"",HYPERLINK("https://www.google.com/maps/@?api=1&amp;map_action=pano&amp;viewpoint="&amp;SUBSTITUTE(X1614," ",""),"Abrir Street View"))</f>
        <v/>
      </c>
    </row>
    <row r="1615">
      <c r="H1615" s="6" t="n"/>
      <c r="I1615" s="6" t="n"/>
      <c r="M1615" s="7" t="n"/>
      <c r="N1615" s="7" t="n"/>
      <c r="O1615" s="7" t="n"/>
      <c r="P1615" s="8">
        <f>IF(NOT(ISNUMBER(M1615)),"",IF(G1615="Terreno",IF(AND(ISNUMBER(I1615),I1615&gt;0),M1615/I1615,""),IF(AND(ISNUMBER(H1615),H1615&gt;0),M1615/H1615,"")))</f>
        <v/>
      </c>
      <c r="Q1615" s="9">
        <f>IF(AND(ISNUMBER(M1615),ISNUMBER(O1615)),IF(M1615&lt;=O1615,"Valor ≤ venal IPTU",""),"")</f>
        <v/>
      </c>
      <c r="R1615" s="10" t="n"/>
      <c r="S1615" s="10" t="n"/>
      <c r="AA1615" s="10" t="n"/>
      <c r="AB1615" s="11">
        <f>IF(LEN(TRIM(X1615))=0,"",HYPERLINK("https://www.google.com/maps/@?api=1&amp;map_action=pano&amp;viewpoint="&amp;SUBSTITUTE(X1615," ",""),"Abrir Street View"))</f>
        <v/>
      </c>
    </row>
    <row r="1616">
      <c r="H1616" s="6" t="n"/>
      <c r="I1616" s="6" t="n"/>
      <c r="M1616" s="7" t="n"/>
      <c r="N1616" s="7" t="n"/>
      <c r="O1616" s="7" t="n"/>
      <c r="P1616" s="8">
        <f>IF(NOT(ISNUMBER(M1616)),"",IF(G1616="Terreno",IF(AND(ISNUMBER(I1616),I1616&gt;0),M1616/I1616,""),IF(AND(ISNUMBER(H1616),H1616&gt;0),M1616/H1616,"")))</f>
        <v/>
      </c>
      <c r="Q1616" s="9">
        <f>IF(AND(ISNUMBER(M1616),ISNUMBER(O1616)),IF(M1616&lt;=O1616,"Valor ≤ venal IPTU",""),"")</f>
        <v/>
      </c>
      <c r="R1616" s="10" t="n"/>
      <c r="S1616" s="10" t="n"/>
      <c r="AA1616" s="10" t="n"/>
      <c r="AB1616" s="11">
        <f>IF(LEN(TRIM(X1616))=0,"",HYPERLINK("https://www.google.com/maps/@?api=1&amp;map_action=pano&amp;viewpoint="&amp;SUBSTITUTE(X1616," ",""),"Abrir Street View"))</f>
        <v/>
      </c>
    </row>
    <row r="1617">
      <c r="H1617" s="6" t="n"/>
      <c r="I1617" s="6" t="n"/>
      <c r="M1617" s="7" t="n"/>
      <c r="N1617" s="7" t="n"/>
      <c r="O1617" s="7" t="n"/>
      <c r="P1617" s="8">
        <f>IF(NOT(ISNUMBER(M1617)),"",IF(G1617="Terreno",IF(AND(ISNUMBER(I1617),I1617&gt;0),M1617/I1617,""),IF(AND(ISNUMBER(H1617),H1617&gt;0),M1617/H1617,"")))</f>
        <v/>
      </c>
      <c r="Q1617" s="9">
        <f>IF(AND(ISNUMBER(M1617),ISNUMBER(O1617)),IF(M1617&lt;=O1617,"Valor ≤ venal IPTU",""),"")</f>
        <v/>
      </c>
      <c r="R1617" s="10" t="n"/>
      <c r="S1617" s="10" t="n"/>
      <c r="AA1617" s="10" t="n"/>
      <c r="AB1617" s="11">
        <f>IF(LEN(TRIM(X1617))=0,"",HYPERLINK("https://www.google.com/maps/@?api=1&amp;map_action=pano&amp;viewpoint="&amp;SUBSTITUTE(X1617," ",""),"Abrir Street View"))</f>
        <v/>
      </c>
    </row>
    <row r="1618">
      <c r="H1618" s="6" t="n"/>
      <c r="I1618" s="6" t="n"/>
      <c r="M1618" s="7" t="n"/>
      <c r="N1618" s="7" t="n"/>
      <c r="O1618" s="7" t="n"/>
      <c r="P1618" s="8">
        <f>IF(NOT(ISNUMBER(M1618)),"",IF(G1618="Terreno",IF(AND(ISNUMBER(I1618),I1618&gt;0),M1618/I1618,""),IF(AND(ISNUMBER(H1618),H1618&gt;0),M1618/H1618,"")))</f>
        <v/>
      </c>
      <c r="Q1618" s="9">
        <f>IF(AND(ISNUMBER(M1618),ISNUMBER(O1618)),IF(M1618&lt;=O1618,"Valor ≤ venal IPTU",""),"")</f>
        <v/>
      </c>
      <c r="R1618" s="10" t="n"/>
      <c r="S1618" s="10" t="n"/>
      <c r="AA1618" s="10" t="n"/>
      <c r="AB1618" s="11">
        <f>IF(LEN(TRIM(X1618))=0,"",HYPERLINK("https://www.google.com/maps/@?api=1&amp;map_action=pano&amp;viewpoint="&amp;SUBSTITUTE(X1618," ",""),"Abrir Street View"))</f>
        <v/>
      </c>
    </row>
    <row r="1619">
      <c r="H1619" s="6" t="n"/>
      <c r="I1619" s="6" t="n"/>
      <c r="M1619" s="7" t="n"/>
      <c r="N1619" s="7" t="n"/>
      <c r="O1619" s="7" t="n"/>
      <c r="P1619" s="8">
        <f>IF(NOT(ISNUMBER(M1619)),"",IF(G1619="Terreno",IF(AND(ISNUMBER(I1619),I1619&gt;0),M1619/I1619,""),IF(AND(ISNUMBER(H1619),H1619&gt;0),M1619/H1619,"")))</f>
        <v/>
      </c>
      <c r="Q1619" s="9">
        <f>IF(AND(ISNUMBER(M1619),ISNUMBER(O1619)),IF(M1619&lt;=O1619,"Valor ≤ venal IPTU",""),"")</f>
        <v/>
      </c>
      <c r="R1619" s="10" t="n"/>
      <c r="S1619" s="10" t="n"/>
      <c r="AA1619" s="10" t="n"/>
      <c r="AB1619" s="11">
        <f>IF(LEN(TRIM(X1619))=0,"",HYPERLINK("https://www.google.com/maps/@?api=1&amp;map_action=pano&amp;viewpoint="&amp;SUBSTITUTE(X1619," ",""),"Abrir Street View"))</f>
        <v/>
      </c>
    </row>
    <row r="1620">
      <c r="H1620" s="6" t="n"/>
      <c r="I1620" s="6" t="n"/>
      <c r="M1620" s="7" t="n"/>
      <c r="N1620" s="7" t="n"/>
      <c r="O1620" s="7" t="n"/>
      <c r="P1620" s="8">
        <f>IF(NOT(ISNUMBER(M1620)),"",IF(G1620="Terreno",IF(AND(ISNUMBER(I1620),I1620&gt;0),M1620/I1620,""),IF(AND(ISNUMBER(H1620),H1620&gt;0),M1620/H1620,"")))</f>
        <v/>
      </c>
      <c r="Q1620" s="9">
        <f>IF(AND(ISNUMBER(M1620),ISNUMBER(O1620)),IF(M1620&lt;=O1620,"Valor ≤ venal IPTU",""),"")</f>
        <v/>
      </c>
      <c r="R1620" s="10" t="n"/>
      <c r="S1620" s="10" t="n"/>
      <c r="AA1620" s="10" t="n"/>
      <c r="AB1620" s="11">
        <f>IF(LEN(TRIM(X1620))=0,"",HYPERLINK("https://www.google.com/maps/@?api=1&amp;map_action=pano&amp;viewpoint="&amp;SUBSTITUTE(X1620," ",""),"Abrir Street View"))</f>
        <v/>
      </c>
    </row>
    <row r="1621">
      <c r="H1621" s="6" t="n"/>
      <c r="I1621" s="6" t="n"/>
      <c r="M1621" s="7" t="n"/>
      <c r="N1621" s="7" t="n"/>
      <c r="O1621" s="7" t="n"/>
      <c r="P1621" s="8">
        <f>IF(NOT(ISNUMBER(M1621)),"",IF(G1621="Terreno",IF(AND(ISNUMBER(I1621),I1621&gt;0),M1621/I1621,""),IF(AND(ISNUMBER(H1621),H1621&gt;0),M1621/H1621,"")))</f>
        <v/>
      </c>
      <c r="Q1621" s="9">
        <f>IF(AND(ISNUMBER(M1621),ISNUMBER(O1621)),IF(M1621&lt;=O1621,"Valor ≤ venal IPTU",""),"")</f>
        <v/>
      </c>
      <c r="R1621" s="10" t="n"/>
      <c r="S1621" s="10" t="n"/>
      <c r="AA1621" s="10" t="n"/>
      <c r="AB1621" s="11">
        <f>IF(LEN(TRIM(X1621))=0,"",HYPERLINK("https://www.google.com/maps/@?api=1&amp;map_action=pano&amp;viewpoint="&amp;SUBSTITUTE(X1621," ",""),"Abrir Street View"))</f>
        <v/>
      </c>
    </row>
    <row r="1622">
      <c r="H1622" s="6" t="n"/>
      <c r="I1622" s="6" t="n"/>
      <c r="M1622" s="7" t="n"/>
      <c r="N1622" s="7" t="n"/>
      <c r="O1622" s="7" t="n"/>
      <c r="P1622" s="8">
        <f>IF(NOT(ISNUMBER(M1622)),"",IF(G1622="Terreno",IF(AND(ISNUMBER(I1622),I1622&gt;0),M1622/I1622,""),IF(AND(ISNUMBER(H1622),H1622&gt;0),M1622/H1622,"")))</f>
        <v/>
      </c>
      <c r="Q1622" s="9">
        <f>IF(AND(ISNUMBER(M1622),ISNUMBER(O1622)),IF(M1622&lt;=O1622,"Valor ≤ venal IPTU",""),"")</f>
        <v/>
      </c>
      <c r="R1622" s="10" t="n"/>
      <c r="S1622" s="10" t="n"/>
      <c r="AA1622" s="10" t="n"/>
      <c r="AB1622" s="11">
        <f>IF(LEN(TRIM(X1622))=0,"",HYPERLINK("https://www.google.com/maps/@?api=1&amp;map_action=pano&amp;viewpoint="&amp;SUBSTITUTE(X1622," ",""),"Abrir Street View"))</f>
        <v/>
      </c>
    </row>
    <row r="1623">
      <c r="H1623" s="6" t="n"/>
      <c r="I1623" s="6" t="n"/>
      <c r="M1623" s="7" t="n"/>
      <c r="N1623" s="7" t="n"/>
      <c r="O1623" s="7" t="n"/>
      <c r="P1623" s="8">
        <f>IF(NOT(ISNUMBER(M1623)),"",IF(G1623="Terreno",IF(AND(ISNUMBER(I1623),I1623&gt;0),M1623/I1623,""),IF(AND(ISNUMBER(H1623),H1623&gt;0),M1623/H1623,"")))</f>
        <v/>
      </c>
      <c r="Q1623" s="9">
        <f>IF(AND(ISNUMBER(M1623),ISNUMBER(O1623)),IF(M1623&lt;=O1623,"Valor ≤ venal IPTU",""),"")</f>
        <v/>
      </c>
      <c r="R1623" s="10" t="n"/>
      <c r="S1623" s="10" t="n"/>
      <c r="AA1623" s="10" t="n"/>
      <c r="AB1623" s="11">
        <f>IF(LEN(TRIM(X1623))=0,"",HYPERLINK("https://www.google.com/maps/@?api=1&amp;map_action=pano&amp;viewpoint="&amp;SUBSTITUTE(X1623," ",""),"Abrir Street View"))</f>
        <v/>
      </c>
    </row>
    <row r="1624">
      <c r="H1624" s="6" t="n"/>
      <c r="I1624" s="6" t="n"/>
      <c r="M1624" s="7" t="n"/>
      <c r="N1624" s="7" t="n"/>
      <c r="O1624" s="7" t="n"/>
      <c r="P1624" s="8">
        <f>IF(NOT(ISNUMBER(M1624)),"",IF(G1624="Terreno",IF(AND(ISNUMBER(I1624),I1624&gt;0),M1624/I1624,""),IF(AND(ISNUMBER(H1624),H1624&gt;0),M1624/H1624,"")))</f>
        <v/>
      </c>
      <c r="Q1624" s="9">
        <f>IF(AND(ISNUMBER(M1624),ISNUMBER(O1624)),IF(M1624&lt;=O1624,"Valor ≤ venal IPTU",""),"")</f>
        <v/>
      </c>
      <c r="R1624" s="10" t="n"/>
      <c r="S1624" s="10" t="n"/>
      <c r="AA1624" s="10" t="n"/>
      <c r="AB1624" s="11">
        <f>IF(LEN(TRIM(X1624))=0,"",HYPERLINK("https://www.google.com/maps/@?api=1&amp;map_action=pano&amp;viewpoint="&amp;SUBSTITUTE(X1624," ",""),"Abrir Street View"))</f>
        <v/>
      </c>
    </row>
    <row r="1625">
      <c r="H1625" s="6" t="n"/>
      <c r="I1625" s="6" t="n"/>
      <c r="M1625" s="7" t="n"/>
      <c r="N1625" s="7" t="n"/>
      <c r="O1625" s="7" t="n"/>
      <c r="P1625" s="8">
        <f>IF(NOT(ISNUMBER(M1625)),"",IF(G1625="Terreno",IF(AND(ISNUMBER(I1625),I1625&gt;0),M1625/I1625,""),IF(AND(ISNUMBER(H1625),H1625&gt;0),M1625/H1625,"")))</f>
        <v/>
      </c>
      <c r="Q1625" s="9">
        <f>IF(AND(ISNUMBER(M1625),ISNUMBER(O1625)),IF(M1625&lt;=O1625,"Valor ≤ venal IPTU",""),"")</f>
        <v/>
      </c>
      <c r="R1625" s="10" t="n"/>
      <c r="S1625" s="10" t="n"/>
      <c r="AA1625" s="10" t="n"/>
      <c r="AB1625" s="11">
        <f>IF(LEN(TRIM(X1625))=0,"",HYPERLINK("https://www.google.com/maps/@?api=1&amp;map_action=pano&amp;viewpoint="&amp;SUBSTITUTE(X1625," ",""),"Abrir Street View"))</f>
        <v/>
      </c>
    </row>
    <row r="1626">
      <c r="H1626" s="6" t="n"/>
      <c r="I1626" s="6" t="n"/>
      <c r="M1626" s="7" t="n"/>
      <c r="N1626" s="7" t="n"/>
      <c r="O1626" s="7" t="n"/>
      <c r="P1626" s="8">
        <f>IF(NOT(ISNUMBER(M1626)),"",IF(G1626="Terreno",IF(AND(ISNUMBER(I1626),I1626&gt;0),M1626/I1626,""),IF(AND(ISNUMBER(H1626),H1626&gt;0),M1626/H1626,"")))</f>
        <v/>
      </c>
      <c r="Q1626" s="9">
        <f>IF(AND(ISNUMBER(M1626),ISNUMBER(O1626)),IF(M1626&lt;=O1626,"Valor ≤ venal IPTU",""),"")</f>
        <v/>
      </c>
      <c r="R1626" s="10" t="n"/>
      <c r="S1626" s="10" t="n"/>
      <c r="AA1626" s="10" t="n"/>
      <c r="AB1626" s="11">
        <f>IF(LEN(TRIM(X1626))=0,"",HYPERLINK("https://www.google.com/maps/@?api=1&amp;map_action=pano&amp;viewpoint="&amp;SUBSTITUTE(X1626," ",""),"Abrir Street View"))</f>
        <v/>
      </c>
    </row>
    <row r="1627">
      <c r="H1627" s="6" t="n"/>
      <c r="I1627" s="6" t="n"/>
      <c r="M1627" s="7" t="n"/>
      <c r="N1627" s="7" t="n"/>
      <c r="O1627" s="7" t="n"/>
      <c r="P1627" s="8">
        <f>IF(NOT(ISNUMBER(M1627)),"",IF(G1627="Terreno",IF(AND(ISNUMBER(I1627),I1627&gt;0),M1627/I1627,""),IF(AND(ISNUMBER(H1627),H1627&gt;0),M1627/H1627,"")))</f>
        <v/>
      </c>
      <c r="Q1627" s="9">
        <f>IF(AND(ISNUMBER(M1627),ISNUMBER(O1627)),IF(M1627&lt;=O1627,"Valor ≤ venal IPTU",""),"")</f>
        <v/>
      </c>
      <c r="R1627" s="10" t="n"/>
      <c r="S1627" s="10" t="n"/>
      <c r="AA1627" s="10" t="n"/>
      <c r="AB1627" s="11">
        <f>IF(LEN(TRIM(X1627))=0,"",HYPERLINK("https://www.google.com/maps/@?api=1&amp;map_action=pano&amp;viewpoint="&amp;SUBSTITUTE(X1627," ",""),"Abrir Street View"))</f>
        <v/>
      </c>
    </row>
    <row r="1628">
      <c r="H1628" s="6" t="n"/>
      <c r="I1628" s="6" t="n"/>
      <c r="M1628" s="7" t="n"/>
      <c r="N1628" s="7" t="n"/>
      <c r="O1628" s="7" t="n"/>
      <c r="P1628" s="8">
        <f>IF(NOT(ISNUMBER(M1628)),"",IF(G1628="Terreno",IF(AND(ISNUMBER(I1628),I1628&gt;0),M1628/I1628,""),IF(AND(ISNUMBER(H1628),H1628&gt;0),M1628/H1628,"")))</f>
        <v/>
      </c>
      <c r="Q1628" s="9">
        <f>IF(AND(ISNUMBER(M1628),ISNUMBER(O1628)),IF(M1628&lt;=O1628,"Valor ≤ venal IPTU",""),"")</f>
        <v/>
      </c>
      <c r="R1628" s="10" t="n"/>
      <c r="S1628" s="10" t="n"/>
      <c r="AA1628" s="10" t="n"/>
      <c r="AB1628" s="11">
        <f>IF(LEN(TRIM(X1628))=0,"",HYPERLINK("https://www.google.com/maps/@?api=1&amp;map_action=pano&amp;viewpoint="&amp;SUBSTITUTE(X1628," ",""),"Abrir Street View"))</f>
        <v/>
      </c>
    </row>
    <row r="1629">
      <c r="H1629" s="6" t="n"/>
      <c r="I1629" s="6" t="n"/>
      <c r="M1629" s="7" t="n"/>
      <c r="N1629" s="7" t="n"/>
      <c r="O1629" s="7" t="n"/>
      <c r="P1629" s="8">
        <f>IF(NOT(ISNUMBER(M1629)),"",IF(G1629="Terreno",IF(AND(ISNUMBER(I1629),I1629&gt;0),M1629/I1629,""),IF(AND(ISNUMBER(H1629),H1629&gt;0),M1629/H1629,"")))</f>
        <v/>
      </c>
      <c r="Q1629" s="9">
        <f>IF(AND(ISNUMBER(M1629),ISNUMBER(O1629)),IF(M1629&lt;=O1629,"Valor ≤ venal IPTU",""),"")</f>
        <v/>
      </c>
      <c r="R1629" s="10" t="n"/>
      <c r="S1629" s="10" t="n"/>
      <c r="AA1629" s="10" t="n"/>
      <c r="AB1629" s="11">
        <f>IF(LEN(TRIM(X1629))=0,"",HYPERLINK("https://www.google.com/maps/@?api=1&amp;map_action=pano&amp;viewpoint="&amp;SUBSTITUTE(X1629," ",""),"Abrir Street View"))</f>
        <v/>
      </c>
    </row>
    <row r="1630">
      <c r="H1630" s="6" t="n"/>
      <c r="I1630" s="6" t="n"/>
      <c r="M1630" s="7" t="n"/>
      <c r="N1630" s="7" t="n"/>
      <c r="O1630" s="7" t="n"/>
      <c r="P1630" s="8">
        <f>IF(NOT(ISNUMBER(M1630)),"",IF(G1630="Terreno",IF(AND(ISNUMBER(I1630),I1630&gt;0),M1630/I1630,""),IF(AND(ISNUMBER(H1630),H1630&gt;0),M1630/H1630,"")))</f>
        <v/>
      </c>
      <c r="Q1630" s="9">
        <f>IF(AND(ISNUMBER(M1630),ISNUMBER(O1630)),IF(M1630&lt;=O1630,"Valor ≤ venal IPTU",""),"")</f>
        <v/>
      </c>
      <c r="R1630" s="10" t="n"/>
      <c r="S1630" s="10" t="n"/>
      <c r="AA1630" s="10" t="n"/>
      <c r="AB1630" s="11">
        <f>IF(LEN(TRIM(X1630))=0,"",HYPERLINK("https://www.google.com/maps/@?api=1&amp;map_action=pano&amp;viewpoint="&amp;SUBSTITUTE(X1630," ",""),"Abrir Street View"))</f>
        <v/>
      </c>
    </row>
    <row r="1631">
      <c r="H1631" s="6" t="n"/>
      <c r="I1631" s="6" t="n"/>
      <c r="M1631" s="7" t="n"/>
      <c r="N1631" s="7" t="n"/>
      <c r="O1631" s="7" t="n"/>
      <c r="P1631" s="8">
        <f>IF(NOT(ISNUMBER(M1631)),"",IF(G1631="Terreno",IF(AND(ISNUMBER(I1631),I1631&gt;0),M1631/I1631,""),IF(AND(ISNUMBER(H1631),H1631&gt;0),M1631/H1631,"")))</f>
        <v/>
      </c>
      <c r="Q1631" s="9">
        <f>IF(AND(ISNUMBER(M1631),ISNUMBER(O1631)),IF(M1631&lt;=O1631,"Valor ≤ venal IPTU",""),"")</f>
        <v/>
      </c>
      <c r="R1631" s="10" t="n"/>
      <c r="S1631" s="10" t="n"/>
      <c r="AA1631" s="10" t="n"/>
      <c r="AB1631" s="11">
        <f>IF(LEN(TRIM(X1631))=0,"",HYPERLINK("https://www.google.com/maps/@?api=1&amp;map_action=pano&amp;viewpoint="&amp;SUBSTITUTE(X1631," ",""),"Abrir Street View"))</f>
        <v/>
      </c>
    </row>
    <row r="1632">
      <c r="H1632" s="6" t="n"/>
      <c r="I1632" s="6" t="n"/>
      <c r="M1632" s="7" t="n"/>
      <c r="N1632" s="7" t="n"/>
      <c r="O1632" s="7" t="n"/>
      <c r="P1632" s="8">
        <f>IF(NOT(ISNUMBER(M1632)),"",IF(G1632="Terreno",IF(AND(ISNUMBER(I1632),I1632&gt;0),M1632/I1632,""),IF(AND(ISNUMBER(H1632),H1632&gt;0),M1632/H1632,"")))</f>
        <v/>
      </c>
      <c r="Q1632" s="9">
        <f>IF(AND(ISNUMBER(M1632),ISNUMBER(O1632)),IF(M1632&lt;=O1632,"Valor ≤ venal IPTU",""),"")</f>
        <v/>
      </c>
      <c r="R1632" s="10" t="n"/>
      <c r="S1632" s="10" t="n"/>
      <c r="AA1632" s="10" t="n"/>
      <c r="AB1632" s="11">
        <f>IF(LEN(TRIM(X1632))=0,"",HYPERLINK("https://www.google.com/maps/@?api=1&amp;map_action=pano&amp;viewpoint="&amp;SUBSTITUTE(X1632," ",""),"Abrir Street View"))</f>
        <v/>
      </c>
    </row>
    <row r="1633">
      <c r="H1633" s="6" t="n"/>
      <c r="I1633" s="6" t="n"/>
      <c r="M1633" s="7" t="n"/>
      <c r="N1633" s="7" t="n"/>
      <c r="O1633" s="7" t="n"/>
      <c r="P1633" s="8">
        <f>IF(NOT(ISNUMBER(M1633)),"",IF(G1633="Terreno",IF(AND(ISNUMBER(I1633),I1633&gt;0),M1633/I1633,""),IF(AND(ISNUMBER(H1633),H1633&gt;0),M1633/H1633,"")))</f>
        <v/>
      </c>
      <c r="Q1633" s="9">
        <f>IF(AND(ISNUMBER(M1633),ISNUMBER(O1633)),IF(M1633&lt;=O1633,"Valor ≤ venal IPTU",""),"")</f>
        <v/>
      </c>
      <c r="R1633" s="10" t="n"/>
      <c r="S1633" s="10" t="n"/>
      <c r="AA1633" s="10" t="n"/>
      <c r="AB1633" s="11">
        <f>IF(LEN(TRIM(X1633))=0,"",HYPERLINK("https://www.google.com/maps/@?api=1&amp;map_action=pano&amp;viewpoint="&amp;SUBSTITUTE(X1633," ",""),"Abrir Street View"))</f>
        <v/>
      </c>
    </row>
    <row r="1634">
      <c r="H1634" s="6" t="n"/>
      <c r="I1634" s="6" t="n"/>
      <c r="M1634" s="7" t="n"/>
      <c r="N1634" s="7" t="n"/>
      <c r="O1634" s="7" t="n"/>
      <c r="P1634" s="8">
        <f>IF(NOT(ISNUMBER(M1634)),"",IF(G1634="Terreno",IF(AND(ISNUMBER(I1634),I1634&gt;0),M1634/I1634,""),IF(AND(ISNUMBER(H1634),H1634&gt;0),M1634/H1634,"")))</f>
        <v/>
      </c>
      <c r="Q1634" s="9">
        <f>IF(AND(ISNUMBER(M1634),ISNUMBER(O1634)),IF(M1634&lt;=O1634,"Valor ≤ venal IPTU",""),"")</f>
        <v/>
      </c>
      <c r="R1634" s="10" t="n"/>
      <c r="S1634" s="10" t="n"/>
      <c r="AA1634" s="10" t="n"/>
      <c r="AB1634" s="11">
        <f>IF(LEN(TRIM(X1634))=0,"",HYPERLINK("https://www.google.com/maps/@?api=1&amp;map_action=pano&amp;viewpoint="&amp;SUBSTITUTE(X1634," ",""),"Abrir Street View"))</f>
        <v/>
      </c>
    </row>
    <row r="1635">
      <c r="H1635" s="6" t="n"/>
      <c r="I1635" s="6" t="n"/>
      <c r="M1635" s="7" t="n"/>
      <c r="N1635" s="7" t="n"/>
      <c r="O1635" s="7" t="n"/>
      <c r="P1635" s="8">
        <f>IF(NOT(ISNUMBER(M1635)),"",IF(G1635="Terreno",IF(AND(ISNUMBER(I1635),I1635&gt;0),M1635/I1635,""),IF(AND(ISNUMBER(H1635),H1635&gt;0),M1635/H1635,"")))</f>
        <v/>
      </c>
      <c r="Q1635" s="9">
        <f>IF(AND(ISNUMBER(M1635),ISNUMBER(O1635)),IF(M1635&lt;=O1635,"Valor ≤ venal IPTU",""),"")</f>
        <v/>
      </c>
      <c r="R1635" s="10" t="n"/>
      <c r="S1635" s="10" t="n"/>
      <c r="AA1635" s="10" t="n"/>
      <c r="AB1635" s="11">
        <f>IF(LEN(TRIM(X1635))=0,"",HYPERLINK("https://www.google.com/maps/@?api=1&amp;map_action=pano&amp;viewpoint="&amp;SUBSTITUTE(X1635," ",""),"Abrir Street View"))</f>
        <v/>
      </c>
    </row>
    <row r="1636">
      <c r="H1636" s="6" t="n"/>
      <c r="I1636" s="6" t="n"/>
      <c r="M1636" s="7" t="n"/>
      <c r="N1636" s="7" t="n"/>
      <c r="O1636" s="7" t="n"/>
      <c r="P1636" s="8">
        <f>IF(NOT(ISNUMBER(M1636)),"",IF(G1636="Terreno",IF(AND(ISNUMBER(I1636),I1636&gt;0),M1636/I1636,""),IF(AND(ISNUMBER(H1636),H1636&gt;0),M1636/H1636,"")))</f>
        <v/>
      </c>
      <c r="Q1636" s="9">
        <f>IF(AND(ISNUMBER(M1636),ISNUMBER(O1636)),IF(M1636&lt;=O1636,"Valor ≤ venal IPTU",""),"")</f>
        <v/>
      </c>
      <c r="R1636" s="10" t="n"/>
      <c r="S1636" s="10" t="n"/>
      <c r="AA1636" s="10" t="n"/>
      <c r="AB1636" s="11">
        <f>IF(LEN(TRIM(X1636))=0,"",HYPERLINK("https://www.google.com/maps/@?api=1&amp;map_action=pano&amp;viewpoint="&amp;SUBSTITUTE(X1636," ",""),"Abrir Street View"))</f>
        <v/>
      </c>
    </row>
    <row r="1637">
      <c r="H1637" s="6" t="n"/>
      <c r="I1637" s="6" t="n"/>
      <c r="M1637" s="7" t="n"/>
      <c r="N1637" s="7" t="n"/>
      <c r="O1637" s="7" t="n"/>
      <c r="P1637" s="8">
        <f>IF(NOT(ISNUMBER(M1637)),"",IF(G1637="Terreno",IF(AND(ISNUMBER(I1637),I1637&gt;0),M1637/I1637,""),IF(AND(ISNUMBER(H1637),H1637&gt;0),M1637/H1637,"")))</f>
        <v/>
      </c>
      <c r="Q1637" s="9">
        <f>IF(AND(ISNUMBER(M1637),ISNUMBER(O1637)),IF(M1637&lt;=O1637,"Valor ≤ venal IPTU",""),"")</f>
        <v/>
      </c>
      <c r="R1637" s="10" t="n"/>
      <c r="S1637" s="10" t="n"/>
      <c r="AA1637" s="10" t="n"/>
      <c r="AB1637" s="11">
        <f>IF(LEN(TRIM(X1637))=0,"",HYPERLINK("https://www.google.com/maps/@?api=1&amp;map_action=pano&amp;viewpoint="&amp;SUBSTITUTE(X1637," ",""),"Abrir Street View"))</f>
        <v/>
      </c>
    </row>
    <row r="1638">
      <c r="H1638" s="6" t="n"/>
      <c r="I1638" s="6" t="n"/>
      <c r="M1638" s="7" t="n"/>
      <c r="N1638" s="7" t="n"/>
      <c r="O1638" s="7" t="n"/>
      <c r="P1638" s="8">
        <f>IF(NOT(ISNUMBER(M1638)),"",IF(G1638="Terreno",IF(AND(ISNUMBER(I1638),I1638&gt;0),M1638/I1638,""),IF(AND(ISNUMBER(H1638),H1638&gt;0),M1638/H1638,"")))</f>
        <v/>
      </c>
      <c r="Q1638" s="9">
        <f>IF(AND(ISNUMBER(M1638),ISNUMBER(O1638)),IF(M1638&lt;=O1638,"Valor ≤ venal IPTU",""),"")</f>
        <v/>
      </c>
      <c r="R1638" s="10" t="n"/>
      <c r="S1638" s="10" t="n"/>
      <c r="AA1638" s="10" t="n"/>
      <c r="AB1638" s="11">
        <f>IF(LEN(TRIM(X1638))=0,"",HYPERLINK("https://www.google.com/maps/@?api=1&amp;map_action=pano&amp;viewpoint="&amp;SUBSTITUTE(X1638," ",""),"Abrir Street View"))</f>
        <v/>
      </c>
    </row>
    <row r="1639">
      <c r="H1639" s="6" t="n"/>
      <c r="I1639" s="6" t="n"/>
      <c r="M1639" s="7" t="n"/>
      <c r="N1639" s="7" t="n"/>
      <c r="O1639" s="7" t="n"/>
      <c r="P1639" s="8">
        <f>IF(NOT(ISNUMBER(M1639)),"",IF(G1639="Terreno",IF(AND(ISNUMBER(I1639),I1639&gt;0),M1639/I1639,""),IF(AND(ISNUMBER(H1639),H1639&gt;0),M1639/H1639,"")))</f>
        <v/>
      </c>
      <c r="Q1639" s="9">
        <f>IF(AND(ISNUMBER(M1639),ISNUMBER(O1639)),IF(M1639&lt;=O1639,"Valor ≤ venal IPTU",""),"")</f>
        <v/>
      </c>
      <c r="R1639" s="10" t="n"/>
      <c r="S1639" s="10" t="n"/>
      <c r="AA1639" s="10" t="n"/>
      <c r="AB1639" s="11">
        <f>IF(LEN(TRIM(X1639))=0,"",HYPERLINK("https://www.google.com/maps/@?api=1&amp;map_action=pano&amp;viewpoint="&amp;SUBSTITUTE(X1639," ",""),"Abrir Street View"))</f>
        <v/>
      </c>
    </row>
    <row r="1640">
      <c r="H1640" s="6" t="n"/>
      <c r="I1640" s="6" t="n"/>
      <c r="M1640" s="7" t="n"/>
      <c r="N1640" s="7" t="n"/>
      <c r="O1640" s="7" t="n"/>
      <c r="P1640" s="8">
        <f>IF(NOT(ISNUMBER(M1640)),"",IF(G1640="Terreno",IF(AND(ISNUMBER(I1640),I1640&gt;0),M1640/I1640,""),IF(AND(ISNUMBER(H1640),H1640&gt;0),M1640/H1640,"")))</f>
        <v/>
      </c>
      <c r="Q1640" s="9">
        <f>IF(AND(ISNUMBER(M1640),ISNUMBER(O1640)),IF(M1640&lt;=O1640,"Valor ≤ venal IPTU",""),"")</f>
        <v/>
      </c>
      <c r="R1640" s="10" t="n"/>
      <c r="S1640" s="10" t="n"/>
      <c r="AA1640" s="10" t="n"/>
      <c r="AB1640" s="11">
        <f>IF(LEN(TRIM(X1640))=0,"",HYPERLINK("https://www.google.com/maps/@?api=1&amp;map_action=pano&amp;viewpoint="&amp;SUBSTITUTE(X1640," ",""),"Abrir Street View"))</f>
        <v/>
      </c>
    </row>
    <row r="1641">
      <c r="H1641" s="6" t="n"/>
      <c r="I1641" s="6" t="n"/>
      <c r="M1641" s="7" t="n"/>
      <c r="N1641" s="7" t="n"/>
      <c r="O1641" s="7" t="n"/>
      <c r="P1641" s="8">
        <f>IF(NOT(ISNUMBER(M1641)),"",IF(G1641="Terreno",IF(AND(ISNUMBER(I1641),I1641&gt;0),M1641/I1641,""),IF(AND(ISNUMBER(H1641),H1641&gt;0),M1641/H1641,"")))</f>
        <v/>
      </c>
      <c r="Q1641" s="9">
        <f>IF(AND(ISNUMBER(M1641),ISNUMBER(O1641)),IF(M1641&lt;=O1641,"Valor ≤ venal IPTU",""),"")</f>
        <v/>
      </c>
      <c r="R1641" s="10" t="n"/>
      <c r="S1641" s="10" t="n"/>
      <c r="AA1641" s="10" t="n"/>
      <c r="AB1641" s="11">
        <f>IF(LEN(TRIM(X1641))=0,"",HYPERLINK("https://www.google.com/maps/@?api=1&amp;map_action=pano&amp;viewpoint="&amp;SUBSTITUTE(X1641," ",""),"Abrir Street View"))</f>
        <v/>
      </c>
    </row>
    <row r="1642">
      <c r="H1642" s="6" t="n"/>
      <c r="I1642" s="6" t="n"/>
      <c r="M1642" s="7" t="n"/>
      <c r="N1642" s="7" t="n"/>
      <c r="O1642" s="7" t="n"/>
      <c r="P1642" s="8">
        <f>IF(NOT(ISNUMBER(M1642)),"",IF(G1642="Terreno",IF(AND(ISNUMBER(I1642),I1642&gt;0),M1642/I1642,""),IF(AND(ISNUMBER(H1642),H1642&gt;0),M1642/H1642,"")))</f>
        <v/>
      </c>
      <c r="Q1642" s="9">
        <f>IF(AND(ISNUMBER(M1642),ISNUMBER(O1642)),IF(M1642&lt;=O1642,"Valor ≤ venal IPTU",""),"")</f>
        <v/>
      </c>
      <c r="R1642" s="10" t="n"/>
      <c r="S1642" s="10" t="n"/>
      <c r="AA1642" s="10" t="n"/>
      <c r="AB1642" s="11">
        <f>IF(LEN(TRIM(X1642))=0,"",HYPERLINK("https://www.google.com/maps/@?api=1&amp;map_action=pano&amp;viewpoint="&amp;SUBSTITUTE(X1642," ",""),"Abrir Street View"))</f>
        <v/>
      </c>
    </row>
    <row r="1643">
      <c r="H1643" s="6" t="n"/>
      <c r="I1643" s="6" t="n"/>
      <c r="M1643" s="7" t="n"/>
      <c r="N1643" s="7" t="n"/>
      <c r="O1643" s="7" t="n"/>
      <c r="P1643" s="8">
        <f>IF(NOT(ISNUMBER(M1643)),"",IF(G1643="Terreno",IF(AND(ISNUMBER(I1643),I1643&gt;0),M1643/I1643,""),IF(AND(ISNUMBER(H1643),H1643&gt;0),M1643/H1643,"")))</f>
        <v/>
      </c>
      <c r="Q1643" s="9">
        <f>IF(AND(ISNUMBER(M1643),ISNUMBER(O1643)),IF(M1643&lt;=O1643,"Valor ≤ venal IPTU",""),"")</f>
        <v/>
      </c>
      <c r="R1643" s="10" t="n"/>
      <c r="S1643" s="10" t="n"/>
      <c r="AA1643" s="10" t="n"/>
      <c r="AB1643" s="11">
        <f>IF(LEN(TRIM(X1643))=0,"",HYPERLINK("https://www.google.com/maps/@?api=1&amp;map_action=pano&amp;viewpoint="&amp;SUBSTITUTE(X1643," ",""),"Abrir Street View"))</f>
        <v/>
      </c>
    </row>
    <row r="1644">
      <c r="H1644" s="6" t="n"/>
      <c r="I1644" s="6" t="n"/>
      <c r="M1644" s="7" t="n"/>
      <c r="N1644" s="7" t="n"/>
      <c r="O1644" s="7" t="n"/>
      <c r="P1644" s="8">
        <f>IF(NOT(ISNUMBER(M1644)),"",IF(G1644="Terreno",IF(AND(ISNUMBER(I1644),I1644&gt;0),M1644/I1644,""),IF(AND(ISNUMBER(H1644),H1644&gt;0),M1644/H1644,"")))</f>
        <v/>
      </c>
      <c r="Q1644" s="9">
        <f>IF(AND(ISNUMBER(M1644),ISNUMBER(O1644)),IF(M1644&lt;=O1644,"Valor ≤ venal IPTU",""),"")</f>
        <v/>
      </c>
      <c r="R1644" s="10" t="n"/>
      <c r="S1644" s="10" t="n"/>
      <c r="AA1644" s="10" t="n"/>
      <c r="AB1644" s="11">
        <f>IF(LEN(TRIM(X1644))=0,"",HYPERLINK("https://www.google.com/maps/@?api=1&amp;map_action=pano&amp;viewpoint="&amp;SUBSTITUTE(X1644," ",""),"Abrir Street View"))</f>
        <v/>
      </c>
    </row>
    <row r="1645">
      <c r="H1645" s="6" t="n"/>
      <c r="I1645" s="6" t="n"/>
      <c r="M1645" s="7" t="n"/>
      <c r="N1645" s="7" t="n"/>
      <c r="O1645" s="7" t="n"/>
      <c r="P1645" s="8">
        <f>IF(NOT(ISNUMBER(M1645)),"",IF(G1645="Terreno",IF(AND(ISNUMBER(I1645),I1645&gt;0),M1645/I1645,""),IF(AND(ISNUMBER(H1645),H1645&gt;0),M1645/H1645,"")))</f>
        <v/>
      </c>
      <c r="Q1645" s="9">
        <f>IF(AND(ISNUMBER(M1645),ISNUMBER(O1645)),IF(M1645&lt;=O1645,"Valor ≤ venal IPTU",""),"")</f>
        <v/>
      </c>
      <c r="R1645" s="10" t="n"/>
      <c r="S1645" s="10" t="n"/>
      <c r="AA1645" s="10" t="n"/>
      <c r="AB1645" s="11">
        <f>IF(LEN(TRIM(X1645))=0,"",HYPERLINK("https://www.google.com/maps/@?api=1&amp;map_action=pano&amp;viewpoint="&amp;SUBSTITUTE(X1645," ",""),"Abrir Street View"))</f>
        <v/>
      </c>
    </row>
    <row r="1646">
      <c r="H1646" s="6" t="n"/>
      <c r="I1646" s="6" t="n"/>
      <c r="M1646" s="7" t="n"/>
      <c r="N1646" s="7" t="n"/>
      <c r="O1646" s="7" t="n"/>
      <c r="P1646" s="8">
        <f>IF(NOT(ISNUMBER(M1646)),"",IF(G1646="Terreno",IF(AND(ISNUMBER(I1646),I1646&gt;0),M1646/I1646,""),IF(AND(ISNUMBER(H1646),H1646&gt;0),M1646/H1646,"")))</f>
        <v/>
      </c>
      <c r="Q1646" s="9">
        <f>IF(AND(ISNUMBER(M1646),ISNUMBER(O1646)),IF(M1646&lt;=O1646,"Valor ≤ venal IPTU",""),"")</f>
        <v/>
      </c>
      <c r="R1646" s="10" t="n"/>
      <c r="S1646" s="10" t="n"/>
      <c r="AA1646" s="10" t="n"/>
      <c r="AB1646" s="11">
        <f>IF(LEN(TRIM(X1646))=0,"",HYPERLINK("https://www.google.com/maps/@?api=1&amp;map_action=pano&amp;viewpoint="&amp;SUBSTITUTE(X1646," ",""),"Abrir Street View"))</f>
        <v/>
      </c>
    </row>
    <row r="1647">
      <c r="H1647" s="6" t="n"/>
      <c r="I1647" s="6" t="n"/>
      <c r="M1647" s="7" t="n"/>
      <c r="N1647" s="7" t="n"/>
      <c r="O1647" s="7" t="n"/>
      <c r="P1647" s="8">
        <f>IF(NOT(ISNUMBER(M1647)),"",IF(G1647="Terreno",IF(AND(ISNUMBER(I1647),I1647&gt;0),M1647/I1647,""),IF(AND(ISNUMBER(H1647),H1647&gt;0),M1647/H1647,"")))</f>
        <v/>
      </c>
      <c r="Q1647" s="9">
        <f>IF(AND(ISNUMBER(M1647),ISNUMBER(O1647)),IF(M1647&lt;=O1647,"Valor ≤ venal IPTU",""),"")</f>
        <v/>
      </c>
      <c r="R1647" s="10" t="n"/>
      <c r="S1647" s="10" t="n"/>
      <c r="AA1647" s="10" t="n"/>
      <c r="AB1647" s="11">
        <f>IF(LEN(TRIM(X1647))=0,"",HYPERLINK("https://www.google.com/maps/@?api=1&amp;map_action=pano&amp;viewpoint="&amp;SUBSTITUTE(X1647," ",""),"Abrir Street View"))</f>
        <v/>
      </c>
    </row>
    <row r="1648">
      <c r="H1648" s="6" t="n"/>
      <c r="I1648" s="6" t="n"/>
      <c r="M1648" s="7" t="n"/>
      <c r="N1648" s="7" t="n"/>
      <c r="O1648" s="7" t="n"/>
      <c r="P1648" s="8">
        <f>IF(NOT(ISNUMBER(M1648)),"",IF(G1648="Terreno",IF(AND(ISNUMBER(I1648),I1648&gt;0),M1648/I1648,""),IF(AND(ISNUMBER(H1648),H1648&gt;0),M1648/H1648,"")))</f>
        <v/>
      </c>
      <c r="Q1648" s="9">
        <f>IF(AND(ISNUMBER(M1648),ISNUMBER(O1648)),IF(M1648&lt;=O1648,"Valor ≤ venal IPTU",""),"")</f>
        <v/>
      </c>
      <c r="R1648" s="10" t="n"/>
      <c r="S1648" s="10" t="n"/>
      <c r="AA1648" s="10" t="n"/>
      <c r="AB1648" s="11">
        <f>IF(LEN(TRIM(X1648))=0,"",HYPERLINK("https://www.google.com/maps/@?api=1&amp;map_action=pano&amp;viewpoint="&amp;SUBSTITUTE(X1648," ",""),"Abrir Street View"))</f>
        <v/>
      </c>
    </row>
    <row r="1649">
      <c r="H1649" s="6" t="n"/>
      <c r="I1649" s="6" t="n"/>
      <c r="M1649" s="7" t="n"/>
      <c r="N1649" s="7" t="n"/>
      <c r="O1649" s="7" t="n"/>
      <c r="P1649" s="8">
        <f>IF(NOT(ISNUMBER(M1649)),"",IF(G1649="Terreno",IF(AND(ISNUMBER(I1649),I1649&gt;0),M1649/I1649,""),IF(AND(ISNUMBER(H1649),H1649&gt;0),M1649/H1649,"")))</f>
        <v/>
      </c>
      <c r="Q1649" s="9">
        <f>IF(AND(ISNUMBER(M1649),ISNUMBER(O1649)),IF(M1649&lt;=O1649,"Valor ≤ venal IPTU",""),"")</f>
        <v/>
      </c>
      <c r="R1649" s="10" t="n"/>
      <c r="S1649" s="10" t="n"/>
      <c r="AA1649" s="10" t="n"/>
      <c r="AB1649" s="11">
        <f>IF(LEN(TRIM(X1649))=0,"",HYPERLINK("https://www.google.com/maps/@?api=1&amp;map_action=pano&amp;viewpoint="&amp;SUBSTITUTE(X1649," ",""),"Abrir Street View"))</f>
        <v/>
      </c>
    </row>
    <row r="1650">
      <c r="H1650" s="6" t="n"/>
      <c r="I1650" s="6" t="n"/>
      <c r="M1650" s="7" t="n"/>
      <c r="N1650" s="7" t="n"/>
      <c r="O1650" s="7" t="n"/>
      <c r="P1650" s="8">
        <f>IF(NOT(ISNUMBER(M1650)),"",IF(G1650="Terreno",IF(AND(ISNUMBER(I1650),I1650&gt;0),M1650/I1650,""),IF(AND(ISNUMBER(H1650),H1650&gt;0),M1650/H1650,"")))</f>
        <v/>
      </c>
      <c r="Q1650" s="9">
        <f>IF(AND(ISNUMBER(M1650),ISNUMBER(O1650)),IF(M1650&lt;=O1650,"Valor ≤ venal IPTU",""),"")</f>
        <v/>
      </c>
      <c r="R1650" s="10" t="n"/>
      <c r="S1650" s="10" t="n"/>
      <c r="AA1650" s="10" t="n"/>
      <c r="AB1650" s="11">
        <f>IF(LEN(TRIM(X1650))=0,"",HYPERLINK("https://www.google.com/maps/@?api=1&amp;map_action=pano&amp;viewpoint="&amp;SUBSTITUTE(X1650," ",""),"Abrir Street View"))</f>
        <v/>
      </c>
    </row>
    <row r="1651">
      <c r="H1651" s="6" t="n"/>
      <c r="I1651" s="6" t="n"/>
      <c r="M1651" s="7" t="n"/>
      <c r="N1651" s="7" t="n"/>
      <c r="O1651" s="7" t="n"/>
      <c r="P1651" s="8">
        <f>IF(NOT(ISNUMBER(M1651)),"",IF(G1651="Terreno",IF(AND(ISNUMBER(I1651),I1651&gt;0),M1651/I1651,""),IF(AND(ISNUMBER(H1651),H1651&gt;0),M1651/H1651,"")))</f>
        <v/>
      </c>
      <c r="Q1651" s="9">
        <f>IF(AND(ISNUMBER(M1651),ISNUMBER(O1651)),IF(M1651&lt;=O1651,"Valor ≤ venal IPTU",""),"")</f>
        <v/>
      </c>
      <c r="R1651" s="10" t="n"/>
      <c r="S1651" s="10" t="n"/>
      <c r="AA1651" s="10" t="n"/>
      <c r="AB1651" s="11">
        <f>IF(LEN(TRIM(X1651))=0,"",HYPERLINK("https://www.google.com/maps/@?api=1&amp;map_action=pano&amp;viewpoint="&amp;SUBSTITUTE(X1651," ",""),"Abrir Street View"))</f>
        <v/>
      </c>
    </row>
    <row r="1652">
      <c r="H1652" s="6" t="n"/>
      <c r="I1652" s="6" t="n"/>
      <c r="M1652" s="7" t="n"/>
      <c r="N1652" s="7" t="n"/>
      <c r="O1652" s="7" t="n"/>
      <c r="P1652" s="8">
        <f>IF(NOT(ISNUMBER(M1652)),"",IF(G1652="Terreno",IF(AND(ISNUMBER(I1652),I1652&gt;0),M1652/I1652,""),IF(AND(ISNUMBER(H1652),H1652&gt;0),M1652/H1652,"")))</f>
        <v/>
      </c>
      <c r="Q1652" s="9">
        <f>IF(AND(ISNUMBER(M1652),ISNUMBER(O1652)),IF(M1652&lt;=O1652,"Valor ≤ venal IPTU",""),"")</f>
        <v/>
      </c>
      <c r="R1652" s="10" t="n"/>
      <c r="S1652" s="10" t="n"/>
      <c r="AA1652" s="10" t="n"/>
      <c r="AB1652" s="11">
        <f>IF(LEN(TRIM(X1652))=0,"",HYPERLINK("https://www.google.com/maps/@?api=1&amp;map_action=pano&amp;viewpoint="&amp;SUBSTITUTE(X1652," ",""),"Abrir Street View"))</f>
        <v/>
      </c>
    </row>
    <row r="1653">
      <c r="H1653" s="6" t="n"/>
      <c r="I1653" s="6" t="n"/>
      <c r="M1653" s="7" t="n"/>
      <c r="N1653" s="7" t="n"/>
      <c r="O1653" s="7" t="n"/>
      <c r="P1653" s="8">
        <f>IF(NOT(ISNUMBER(M1653)),"",IF(G1653="Terreno",IF(AND(ISNUMBER(I1653),I1653&gt;0),M1653/I1653,""),IF(AND(ISNUMBER(H1653),H1653&gt;0),M1653/H1653,"")))</f>
        <v/>
      </c>
      <c r="Q1653" s="9">
        <f>IF(AND(ISNUMBER(M1653),ISNUMBER(O1653)),IF(M1653&lt;=O1653,"Valor ≤ venal IPTU",""),"")</f>
        <v/>
      </c>
      <c r="R1653" s="10" t="n"/>
      <c r="S1653" s="10" t="n"/>
      <c r="AA1653" s="10" t="n"/>
      <c r="AB1653" s="11">
        <f>IF(LEN(TRIM(X1653))=0,"",HYPERLINK("https://www.google.com/maps/@?api=1&amp;map_action=pano&amp;viewpoint="&amp;SUBSTITUTE(X1653," ",""),"Abrir Street View"))</f>
        <v/>
      </c>
    </row>
    <row r="1654">
      <c r="H1654" s="6" t="n"/>
      <c r="I1654" s="6" t="n"/>
      <c r="M1654" s="7" t="n"/>
      <c r="N1654" s="7" t="n"/>
      <c r="O1654" s="7" t="n"/>
      <c r="P1654" s="8">
        <f>IF(NOT(ISNUMBER(M1654)),"",IF(G1654="Terreno",IF(AND(ISNUMBER(I1654),I1654&gt;0),M1654/I1654,""),IF(AND(ISNUMBER(H1654),H1654&gt;0),M1654/H1654,"")))</f>
        <v/>
      </c>
      <c r="Q1654" s="9">
        <f>IF(AND(ISNUMBER(M1654),ISNUMBER(O1654)),IF(M1654&lt;=O1654,"Valor ≤ venal IPTU",""),"")</f>
        <v/>
      </c>
      <c r="R1654" s="10" t="n"/>
      <c r="S1654" s="10" t="n"/>
      <c r="AA1654" s="10" t="n"/>
      <c r="AB1654" s="11">
        <f>IF(LEN(TRIM(X1654))=0,"",HYPERLINK("https://www.google.com/maps/@?api=1&amp;map_action=pano&amp;viewpoint="&amp;SUBSTITUTE(X1654," ",""),"Abrir Street View"))</f>
        <v/>
      </c>
    </row>
    <row r="1655">
      <c r="H1655" s="6" t="n"/>
      <c r="I1655" s="6" t="n"/>
      <c r="M1655" s="7" t="n"/>
      <c r="N1655" s="7" t="n"/>
      <c r="O1655" s="7" t="n"/>
      <c r="P1655" s="8">
        <f>IF(NOT(ISNUMBER(M1655)),"",IF(G1655="Terreno",IF(AND(ISNUMBER(I1655),I1655&gt;0),M1655/I1655,""),IF(AND(ISNUMBER(H1655),H1655&gt;0),M1655/H1655,"")))</f>
        <v/>
      </c>
      <c r="Q1655" s="9">
        <f>IF(AND(ISNUMBER(M1655),ISNUMBER(O1655)),IF(M1655&lt;=O1655,"Valor ≤ venal IPTU",""),"")</f>
        <v/>
      </c>
      <c r="R1655" s="10" t="n"/>
      <c r="S1655" s="10" t="n"/>
      <c r="AA1655" s="10" t="n"/>
      <c r="AB1655" s="11">
        <f>IF(LEN(TRIM(X1655))=0,"",HYPERLINK("https://www.google.com/maps/@?api=1&amp;map_action=pano&amp;viewpoint="&amp;SUBSTITUTE(X1655," ",""),"Abrir Street View"))</f>
        <v/>
      </c>
    </row>
    <row r="1656">
      <c r="H1656" s="6" t="n"/>
      <c r="I1656" s="6" t="n"/>
      <c r="M1656" s="7" t="n"/>
      <c r="N1656" s="7" t="n"/>
      <c r="O1656" s="7" t="n"/>
      <c r="P1656" s="8">
        <f>IF(NOT(ISNUMBER(M1656)),"",IF(G1656="Terreno",IF(AND(ISNUMBER(I1656),I1656&gt;0),M1656/I1656,""),IF(AND(ISNUMBER(H1656),H1656&gt;0),M1656/H1656,"")))</f>
        <v/>
      </c>
      <c r="Q1656" s="9">
        <f>IF(AND(ISNUMBER(M1656),ISNUMBER(O1656)),IF(M1656&lt;=O1656,"Valor ≤ venal IPTU",""),"")</f>
        <v/>
      </c>
      <c r="R1656" s="10" t="n"/>
      <c r="S1656" s="10" t="n"/>
      <c r="AA1656" s="10" t="n"/>
      <c r="AB1656" s="11">
        <f>IF(LEN(TRIM(X1656))=0,"",HYPERLINK("https://www.google.com/maps/@?api=1&amp;map_action=pano&amp;viewpoint="&amp;SUBSTITUTE(X1656," ",""),"Abrir Street View"))</f>
        <v/>
      </c>
    </row>
    <row r="1657">
      <c r="H1657" s="6" t="n"/>
      <c r="I1657" s="6" t="n"/>
      <c r="M1657" s="7" t="n"/>
      <c r="N1657" s="7" t="n"/>
      <c r="O1657" s="7" t="n"/>
      <c r="P1657" s="8">
        <f>IF(NOT(ISNUMBER(M1657)),"",IF(G1657="Terreno",IF(AND(ISNUMBER(I1657),I1657&gt;0),M1657/I1657,""),IF(AND(ISNUMBER(H1657),H1657&gt;0),M1657/H1657,"")))</f>
        <v/>
      </c>
      <c r="Q1657" s="9">
        <f>IF(AND(ISNUMBER(M1657),ISNUMBER(O1657)),IF(M1657&lt;=O1657,"Valor ≤ venal IPTU",""),"")</f>
        <v/>
      </c>
      <c r="R1657" s="10" t="n"/>
      <c r="S1657" s="10" t="n"/>
      <c r="AA1657" s="10" t="n"/>
      <c r="AB1657" s="11">
        <f>IF(LEN(TRIM(X1657))=0,"",HYPERLINK("https://www.google.com/maps/@?api=1&amp;map_action=pano&amp;viewpoint="&amp;SUBSTITUTE(X1657," ",""),"Abrir Street View"))</f>
        <v/>
      </c>
    </row>
    <row r="1658">
      <c r="H1658" s="6" t="n"/>
      <c r="I1658" s="6" t="n"/>
      <c r="M1658" s="7" t="n"/>
      <c r="N1658" s="7" t="n"/>
      <c r="O1658" s="7" t="n"/>
      <c r="P1658" s="8">
        <f>IF(NOT(ISNUMBER(M1658)),"",IF(G1658="Terreno",IF(AND(ISNUMBER(I1658),I1658&gt;0),M1658/I1658,""),IF(AND(ISNUMBER(H1658),H1658&gt;0),M1658/H1658,"")))</f>
        <v/>
      </c>
      <c r="Q1658" s="9">
        <f>IF(AND(ISNUMBER(M1658),ISNUMBER(O1658)),IF(M1658&lt;=O1658,"Valor ≤ venal IPTU",""),"")</f>
        <v/>
      </c>
      <c r="R1658" s="10" t="n"/>
      <c r="S1658" s="10" t="n"/>
      <c r="AA1658" s="10" t="n"/>
      <c r="AB1658" s="11">
        <f>IF(LEN(TRIM(X1658))=0,"",HYPERLINK("https://www.google.com/maps/@?api=1&amp;map_action=pano&amp;viewpoint="&amp;SUBSTITUTE(X1658," ",""),"Abrir Street View"))</f>
        <v/>
      </c>
    </row>
    <row r="1659">
      <c r="H1659" s="6" t="n"/>
      <c r="I1659" s="6" t="n"/>
      <c r="M1659" s="7" t="n"/>
      <c r="N1659" s="7" t="n"/>
      <c r="O1659" s="7" t="n"/>
      <c r="P1659" s="8">
        <f>IF(NOT(ISNUMBER(M1659)),"",IF(G1659="Terreno",IF(AND(ISNUMBER(I1659),I1659&gt;0),M1659/I1659,""),IF(AND(ISNUMBER(H1659),H1659&gt;0),M1659/H1659,"")))</f>
        <v/>
      </c>
      <c r="Q1659" s="9">
        <f>IF(AND(ISNUMBER(M1659),ISNUMBER(O1659)),IF(M1659&lt;=O1659,"Valor ≤ venal IPTU",""),"")</f>
        <v/>
      </c>
      <c r="R1659" s="10" t="n"/>
      <c r="S1659" s="10" t="n"/>
      <c r="AA1659" s="10" t="n"/>
      <c r="AB1659" s="11">
        <f>IF(LEN(TRIM(X1659))=0,"",HYPERLINK("https://www.google.com/maps/@?api=1&amp;map_action=pano&amp;viewpoint="&amp;SUBSTITUTE(X1659," ",""),"Abrir Street View"))</f>
        <v/>
      </c>
    </row>
    <row r="1660">
      <c r="H1660" s="6" t="n"/>
      <c r="I1660" s="6" t="n"/>
      <c r="M1660" s="7" t="n"/>
      <c r="N1660" s="7" t="n"/>
      <c r="O1660" s="7" t="n"/>
      <c r="P1660" s="8">
        <f>IF(NOT(ISNUMBER(M1660)),"",IF(G1660="Terreno",IF(AND(ISNUMBER(I1660),I1660&gt;0),M1660/I1660,""),IF(AND(ISNUMBER(H1660),H1660&gt;0),M1660/H1660,"")))</f>
        <v/>
      </c>
      <c r="Q1660" s="9">
        <f>IF(AND(ISNUMBER(M1660),ISNUMBER(O1660)),IF(M1660&lt;=O1660,"Valor ≤ venal IPTU",""),"")</f>
        <v/>
      </c>
      <c r="R1660" s="10" t="n"/>
      <c r="S1660" s="10" t="n"/>
      <c r="AA1660" s="10" t="n"/>
      <c r="AB1660" s="11">
        <f>IF(LEN(TRIM(X1660))=0,"",HYPERLINK("https://www.google.com/maps/@?api=1&amp;map_action=pano&amp;viewpoint="&amp;SUBSTITUTE(X1660," ",""),"Abrir Street View"))</f>
        <v/>
      </c>
    </row>
    <row r="1661">
      <c r="H1661" s="6" t="n"/>
      <c r="I1661" s="6" t="n"/>
      <c r="M1661" s="7" t="n"/>
      <c r="N1661" s="7" t="n"/>
      <c r="O1661" s="7" t="n"/>
      <c r="P1661" s="8">
        <f>IF(NOT(ISNUMBER(M1661)),"",IF(G1661="Terreno",IF(AND(ISNUMBER(I1661),I1661&gt;0),M1661/I1661,""),IF(AND(ISNUMBER(H1661),H1661&gt;0),M1661/H1661,"")))</f>
        <v/>
      </c>
      <c r="Q1661" s="9">
        <f>IF(AND(ISNUMBER(M1661),ISNUMBER(O1661)),IF(M1661&lt;=O1661,"Valor ≤ venal IPTU",""),"")</f>
        <v/>
      </c>
      <c r="R1661" s="10" t="n"/>
      <c r="S1661" s="10" t="n"/>
      <c r="AA1661" s="10" t="n"/>
      <c r="AB1661" s="11">
        <f>IF(LEN(TRIM(X1661))=0,"",HYPERLINK("https://www.google.com/maps/@?api=1&amp;map_action=pano&amp;viewpoint="&amp;SUBSTITUTE(X1661," ",""),"Abrir Street View"))</f>
        <v/>
      </c>
    </row>
    <row r="1662">
      <c r="H1662" s="6" t="n"/>
      <c r="I1662" s="6" t="n"/>
      <c r="M1662" s="7" t="n"/>
      <c r="N1662" s="7" t="n"/>
      <c r="O1662" s="7" t="n"/>
      <c r="P1662" s="8">
        <f>IF(NOT(ISNUMBER(M1662)),"",IF(G1662="Terreno",IF(AND(ISNUMBER(I1662),I1662&gt;0),M1662/I1662,""),IF(AND(ISNUMBER(H1662),H1662&gt;0),M1662/H1662,"")))</f>
        <v/>
      </c>
      <c r="Q1662" s="9">
        <f>IF(AND(ISNUMBER(M1662),ISNUMBER(O1662)),IF(M1662&lt;=O1662,"Valor ≤ venal IPTU",""),"")</f>
        <v/>
      </c>
      <c r="R1662" s="10" t="n"/>
      <c r="S1662" s="10" t="n"/>
      <c r="AA1662" s="10" t="n"/>
      <c r="AB1662" s="11">
        <f>IF(LEN(TRIM(X1662))=0,"",HYPERLINK("https://www.google.com/maps/@?api=1&amp;map_action=pano&amp;viewpoint="&amp;SUBSTITUTE(X1662," ",""),"Abrir Street View"))</f>
        <v/>
      </c>
    </row>
    <row r="1663">
      <c r="H1663" s="6" t="n"/>
      <c r="I1663" s="6" t="n"/>
      <c r="M1663" s="7" t="n"/>
      <c r="N1663" s="7" t="n"/>
      <c r="O1663" s="7" t="n"/>
      <c r="P1663" s="8">
        <f>IF(NOT(ISNUMBER(M1663)),"",IF(G1663="Terreno",IF(AND(ISNUMBER(I1663),I1663&gt;0),M1663/I1663,""),IF(AND(ISNUMBER(H1663),H1663&gt;0),M1663/H1663,"")))</f>
        <v/>
      </c>
      <c r="Q1663" s="9">
        <f>IF(AND(ISNUMBER(M1663),ISNUMBER(O1663)),IF(M1663&lt;=O1663,"Valor ≤ venal IPTU",""),"")</f>
        <v/>
      </c>
      <c r="R1663" s="10" t="n"/>
      <c r="S1663" s="10" t="n"/>
      <c r="AA1663" s="10" t="n"/>
      <c r="AB1663" s="11">
        <f>IF(LEN(TRIM(X1663))=0,"",HYPERLINK("https://www.google.com/maps/@?api=1&amp;map_action=pano&amp;viewpoint="&amp;SUBSTITUTE(X1663," ",""),"Abrir Street View"))</f>
        <v/>
      </c>
    </row>
    <row r="1664">
      <c r="H1664" s="6" t="n"/>
      <c r="I1664" s="6" t="n"/>
      <c r="M1664" s="7" t="n"/>
      <c r="N1664" s="7" t="n"/>
      <c r="O1664" s="7" t="n"/>
      <c r="P1664" s="8">
        <f>IF(NOT(ISNUMBER(M1664)),"",IF(G1664="Terreno",IF(AND(ISNUMBER(I1664),I1664&gt;0),M1664/I1664,""),IF(AND(ISNUMBER(H1664),H1664&gt;0),M1664/H1664,"")))</f>
        <v/>
      </c>
      <c r="Q1664" s="9">
        <f>IF(AND(ISNUMBER(M1664),ISNUMBER(O1664)),IF(M1664&lt;=O1664,"Valor ≤ venal IPTU",""),"")</f>
        <v/>
      </c>
      <c r="R1664" s="10" t="n"/>
      <c r="S1664" s="10" t="n"/>
      <c r="AA1664" s="10" t="n"/>
      <c r="AB1664" s="11">
        <f>IF(LEN(TRIM(X1664))=0,"",HYPERLINK("https://www.google.com/maps/@?api=1&amp;map_action=pano&amp;viewpoint="&amp;SUBSTITUTE(X1664," ",""),"Abrir Street View"))</f>
        <v/>
      </c>
    </row>
    <row r="1665">
      <c r="H1665" s="6" t="n"/>
      <c r="I1665" s="6" t="n"/>
      <c r="M1665" s="7" t="n"/>
      <c r="N1665" s="7" t="n"/>
      <c r="O1665" s="7" t="n"/>
      <c r="P1665" s="8">
        <f>IF(NOT(ISNUMBER(M1665)),"",IF(G1665="Terreno",IF(AND(ISNUMBER(I1665),I1665&gt;0),M1665/I1665,""),IF(AND(ISNUMBER(H1665),H1665&gt;0),M1665/H1665,"")))</f>
        <v/>
      </c>
      <c r="Q1665" s="9">
        <f>IF(AND(ISNUMBER(M1665),ISNUMBER(O1665)),IF(M1665&lt;=O1665,"Valor ≤ venal IPTU",""),"")</f>
        <v/>
      </c>
      <c r="R1665" s="10" t="n"/>
      <c r="S1665" s="10" t="n"/>
      <c r="AA1665" s="10" t="n"/>
      <c r="AB1665" s="11">
        <f>IF(LEN(TRIM(X1665))=0,"",HYPERLINK("https://www.google.com/maps/@?api=1&amp;map_action=pano&amp;viewpoint="&amp;SUBSTITUTE(X1665," ",""),"Abrir Street View"))</f>
        <v/>
      </c>
    </row>
    <row r="1666">
      <c r="H1666" s="6" t="n"/>
      <c r="I1666" s="6" t="n"/>
      <c r="M1666" s="7" t="n"/>
      <c r="N1666" s="7" t="n"/>
      <c r="O1666" s="7" t="n"/>
      <c r="P1666" s="8">
        <f>IF(NOT(ISNUMBER(M1666)),"",IF(G1666="Terreno",IF(AND(ISNUMBER(I1666),I1666&gt;0),M1666/I1666,""),IF(AND(ISNUMBER(H1666),H1666&gt;0),M1666/H1666,"")))</f>
        <v/>
      </c>
      <c r="Q1666" s="9">
        <f>IF(AND(ISNUMBER(M1666),ISNUMBER(O1666)),IF(M1666&lt;=O1666,"Valor ≤ venal IPTU",""),"")</f>
        <v/>
      </c>
      <c r="R1666" s="10" t="n"/>
      <c r="S1666" s="10" t="n"/>
      <c r="AA1666" s="10" t="n"/>
      <c r="AB1666" s="11">
        <f>IF(LEN(TRIM(X1666))=0,"",HYPERLINK("https://www.google.com/maps/@?api=1&amp;map_action=pano&amp;viewpoint="&amp;SUBSTITUTE(X1666," ",""),"Abrir Street View"))</f>
        <v/>
      </c>
    </row>
    <row r="1667">
      <c r="H1667" s="6" t="n"/>
      <c r="I1667" s="6" t="n"/>
      <c r="M1667" s="7" t="n"/>
      <c r="N1667" s="7" t="n"/>
      <c r="O1667" s="7" t="n"/>
      <c r="P1667" s="8">
        <f>IF(NOT(ISNUMBER(M1667)),"",IF(G1667="Terreno",IF(AND(ISNUMBER(I1667),I1667&gt;0),M1667/I1667,""),IF(AND(ISNUMBER(H1667),H1667&gt;0),M1667/H1667,"")))</f>
        <v/>
      </c>
      <c r="Q1667" s="9">
        <f>IF(AND(ISNUMBER(M1667),ISNUMBER(O1667)),IF(M1667&lt;=O1667,"Valor ≤ venal IPTU",""),"")</f>
        <v/>
      </c>
      <c r="R1667" s="10" t="n"/>
      <c r="S1667" s="10" t="n"/>
      <c r="AA1667" s="10" t="n"/>
      <c r="AB1667" s="11">
        <f>IF(LEN(TRIM(X1667))=0,"",HYPERLINK("https://www.google.com/maps/@?api=1&amp;map_action=pano&amp;viewpoint="&amp;SUBSTITUTE(X1667," ",""),"Abrir Street View"))</f>
        <v/>
      </c>
    </row>
    <row r="1668">
      <c r="H1668" s="6" t="n"/>
      <c r="I1668" s="6" t="n"/>
      <c r="M1668" s="7" t="n"/>
      <c r="N1668" s="7" t="n"/>
      <c r="O1668" s="7" t="n"/>
      <c r="P1668" s="8">
        <f>IF(NOT(ISNUMBER(M1668)),"",IF(G1668="Terreno",IF(AND(ISNUMBER(I1668),I1668&gt;0),M1668/I1668,""),IF(AND(ISNUMBER(H1668),H1668&gt;0),M1668/H1668,"")))</f>
        <v/>
      </c>
      <c r="Q1668" s="9">
        <f>IF(AND(ISNUMBER(M1668),ISNUMBER(O1668)),IF(M1668&lt;=O1668,"Valor ≤ venal IPTU",""),"")</f>
        <v/>
      </c>
      <c r="R1668" s="10" t="n"/>
      <c r="S1668" s="10" t="n"/>
      <c r="AA1668" s="10" t="n"/>
      <c r="AB1668" s="11">
        <f>IF(LEN(TRIM(X1668))=0,"",HYPERLINK("https://www.google.com/maps/@?api=1&amp;map_action=pano&amp;viewpoint="&amp;SUBSTITUTE(X1668," ",""),"Abrir Street View"))</f>
        <v/>
      </c>
    </row>
    <row r="1669">
      <c r="H1669" s="6" t="n"/>
      <c r="I1669" s="6" t="n"/>
      <c r="M1669" s="7" t="n"/>
      <c r="N1669" s="7" t="n"/>
      <c r="O1669" s="7" t="n"/>
      <c r="P1669" s="8">
        <f>IF(NOT(ISNUMBER(M1669)),"",IF(G1669="Terreno",IF(AND(ISNUMBER(I1669),I1669&gt;0),M1669/I1669,""),IF(AND(ISNUMBER(H1669),H1669&gt;0),M1669/H1669,"")))</f>
        <v/>
      </c>
      <c r="Q1669" s="9">
        <f>IF(AND(ISNUMBER(M1669),ISNUMBER(O1669)),IF(M1669&lt;=O1669,"Valor ≤ venal IPTU",""),"")</f>
        <v/>
      </c>
      <c r="R1669" s="10" t="n"/>
      <c r="S1669" s="10" t="n"/>
      <c r="AA1669" s="10" t="n"/>
      <c r="AB1669" s="11">
        <f>IF(LEN(TRIM(X1669))=0,"",HYPERLINK("https://www.google.com/maps/@?api=1&amp;map_action=pano&amp;viewpoint="&amp;SUBSTITUTE(X1669," ",""),"Abrir Street View"))</f>
        <v/>
      </c>
    </row>
    <row r="1670">
      <c r="H1670" s="6" t="n"/>
      <c r="I1670" s="6" t="n"/>
      <c r="M1670" s="7" t="n"/>
      <c r="N1670" s="7" t="n"/>
      <c r="O1670" s="7" t="n"/>
      <c r="P1670" s="8">
        <f>IF(NOT(ISNUMBER(M1670)),"",IF(G1670="Terreno",IF(AND(ISNUMBER(I1670),I1670&gt;0),M1670/I1670,""),IF(AND(ISNUMBER(H1670),H1670&gt;0),M1670/H1670,"")))</f>
        <v/>
      </c>
      <c r="Q1670" s="9">
        <f>IF(AND(ISNUMBER(M1670),ISNUMBER(O1670)),IF(M1670&lt;=O1670,"Valor ≤ venal IPTU",""),"")</f>
        <v/>
      </c>
      <c r="R1670" s="10" t="n"/>
      <c r="S1670" s="10" t="n"/>
      <c r="AA1670" s="10" t="n"/>
      <c r="AB1670" s="11">
        <f>IF(LEN(TRIM(X1670))=0,"",HYPERLINK("https://www.google.com/maps/@?api=1&amp;map_action=pano&amp;viewpoint="&amp;SUBSTITUTE(X1670," ",""),"Abrir Street View"))</f>
        <v/>
      </c>
    </row>
    <row r="1671">
      <c r="H1671" s="6" t="n"/>
      <c r="I1671" s="6" t="n"/>
      <c r="M1671" s="7" t="n"/>
      <c r="N1671" s="7" t="n"/>
      <c r="O1671" s="7" t="n"/>
      <c r="P1671" s="8">
        <f>IF(NOT(ISNUMBER(M1671)),"",IF(G1671="Terreno",IF(AND(ISNUMBER(I1671),I1671&gt;0),M1671/I1671,""),IF(AND(ISNUMBER(H1671),H1671&gt;0),M1671/H1671,"")))</f>
        <v/>
      </c>
      <c r="Q1671" s="9">
        <f>IF(AND(ISNUMBER(M1671),ISNUMBER(O1671)),IF(M1671&lt;=O1671,"Valor ≤ venal IPTU",""),"")</f>
        <v/>
      </c>
      <c r="R1671" s="10" t="n"/>
      <c r="S1671" s="10" t="n"/>
      <c r="AA1671" s="10" t="n"/>
      <c r="AB1671" s="11">
        <f>IF(LEN(TRIM(X1671))=0,"",HYPERLINK("https://www.google.com/maps/@?api=1&amp;map_action=pano&amp;viewpoint="&amp;SUBSTITUTE(X1671," ",""),"Abrir Street View"))</f>
        <v/>
      </c>
    </row>
    <row r="1672">
      <c r="H1672" s="6" t="n"/>
      <c r="I1672" s="6" t="n"/>
      <c r="M1672" s="7" t="n"/>
      <c r="N1672" s="7" t="n"/>
      <c r="O1672" s="7" t="n"/>
      <c r="P1672" s="8">
        <f>IF(NOT(ISNUMBER(M1672)),"",IF(G1672="Terreno",IF(AND(ISNUMBER(I1672),I1672&gt;0),M1672/I1672,""),IF(AND(ISNUMBER(H1672),H1672&gt;0),M1672/H1672,"")))</f>
        <v/>
      </c>
      <c r="Q1672" s="9">
        <f>IF(AND(ISNUMBER(M1672),ISNUMBER(O1672)),IF(M1672&lt;=O1672,"Valor ≤ venal IPTU",""),"")</f>
        <v/>
      </c>
      <c r="R1672" s="10" t="n"/>
      <c r="S1672" s="10" t="n"/>
      <c r="AA1672" s="10" t="n"/>
      <c r="AB1672" s="11">
        <f>IF(LEN(TRIM(X1672))=0,"",HYPERLINK("https://www.google.com/maps/@?api=1&amp;map_action=pano&amp;viewpoint="&amp;SUBSTITUTE(X1672," ",""),"Abrir Street View"))</f>
        <v/>
      </c>
    </row>
    <row r="1673">
      <c r="H1673" s="6" t="n"/>
      <c r="I1673" s="6" t="n"/>
      <c r="M1673" s="7" t="n"/>
      <c r="N1673" s="7" t="n"/>
      <c r="O1673" s="7" t="n"/>
      <c r="P1673" s="8">
        <f>IF(NOT(ISNUMBER(M1673)),"",IF(G1673="Terreno",IF(AND(ISNUMBER(I1673),I1673&gt;0),M1673/I1673,""),IF(AND(ISNUMBER(H1673),H1673&gt;0),M1673/H1673,"")))</f>
        <v/>
      </c>
      <c r="Q1673" s="9">
        <f>IF(AND(ISNUMBER(M1673),ISNUMBER(O1673)),IF(M1673&lt;=O1673,"Valor ≤ venal IPTU",""),"")</f>
        <v/>
      </c>
      <c r="R1673" s="10" t="n"/>
      <c r="S1673" s="10" t="n"/>
      <c r="AA1673" s="10" t="n"/>
      <c r="AB1673" s="11">
        <f>IF(LEN(TRIM(X1673))=0,"",HYPERLINK("https://www.google.com/maps/@?api=1&amp;map_action=pano&amp;viewpoint="&amp;SUBSTITUTE(X1673," ",""),"Abrir Street View"))</f>
        <v/>
      </c>
    </row>
    <row r="1674">
      <c r="H1674" s="6" t="n"/>
      <c r="I1674" s="6" t="n"/>
      <c r="M1674" s="7" t="n"/>
      <c r="N1674" s="7" t="n"/>
      <c r="O1674" s="7" t="n"/>
      <c r="P1674" s="8">
        <f>IF(NOT(ISNUMBER(M1674)),"",IF(G1674="Terreno",IF(AND(ISNUMBER(I1674),I1674&gt;0),M1674/I1674,""),IF(AND(ISNUMBER(H1674),H1674&gt;0),M1674/H1674,"")))</f>
        <v/>
      </c>
      <c r="Q1674" s="9">
        <f>IF(AND(ISNUMBER(M1674),ISNUMBER(O1674)),IF(M1674&lt;=O1674,"Valor ≤ venal IPTU",""),"")</f>
        <v/>
      </c>
      <c r="R1674" s="10" t="n"/>
      <c r="S1674" s="10" t="n"/>
      <c r="AA1674" s="10" t="n"/>
      <c r="AB1674" s="11">
        <f>IF(LEN(TRIM(X1674))=0,"",HYPERLINK("https://www.google.com/maps/@?api=1&amp;map_action=pano&amp;viewpoint="&amp;SUBSTITUTE(X1674," ",""),"Abrir Street View"))</f>
        <v/>
      </c>
    </row>
    <row r="1675">
      <c r="H1675" s="6" t="n"/>
      <c r="I1675" s="6" t="n"/>
      <c r="M1675" s="7" t="n"/>
      <c r="N1675" s="7" t="n"/>
      <c r="O1675" s="7" t="n"/>
      <c r="P1675" s="8">
        <f>IF(NOT(ISNUMBER(M1675)),"",IF(G1675="Terreno",IF(AND(ISNUMBER(I1675),I1675&gt;0),M1675/I1675,""),IF(AND(ISNUMBER(H1675),H1675&gt;0),M1675/H1675,"")))</f>
        <v/>
      </c>
      <c r="Q1675" s="9">
        <f>IF(AND(ISNUMBER(M1675),ISNUMBER(O1675)),IF(M1675&lt;=O1675,"Valor ≤ venal IPTU",""),"")</f>
        <v/>
      </c>
      <c r="R1675" s="10" t="n"/>
      <c r="S1675" s="10" t="n"/>
      <c r="AA1675" s="10" t="n"/>
      <c r="AB1675" s="11">
        <f>IF(LEN(TRIM(X1675))=0,"",HYPERLINK("https://www.google.com/maps/@?api=1&amp;map_action=pano&amp;viewpoint="&amp;SUBSTITUTE(X1675," ",""),"Abrir Street View"))</f>
        <v/>
      </c>
    </row>
    <row r="1676">
      <c r="H1676" s="6" t="n"/>
      <c r="I1676" s="6" t="n"/>
      <c r="M1676" s="7" t="n"/>
      <c r="N1676" s="7" t="n"/>
      <c r="O1676" s="7" t="n"/>
      <c r="P1676" s="8">
        <f>IF(NOT(ISNUMBER(M1676)),"",IF(G1676="Terreno",IF(AND(ISNUMBER(I1676),I1676&gt;0),M1676/I1676,""),IF(AND(ISNUMBER(H1676),H1676&gt;0),M1676/H1676,"")))</f>
        <v/>
      </c>
      <c r="Q1676" s="9">
        <f>IF(AND(ISNUMBER(M1676),ISNUMBER(O1676)),IF(M1676&lt;=O1676,"Valor ≤ venal IPTU",""),"")</f>
        <v/>
      </c>
      <c r="R1676" s="10" t="n"/>
      <c r="S1676" s="10" t="n"/>
      <c r="AA1676" s="10" t="n"/>
      <c r="AB1676" s="11">
        <f>IF(LEN(TRIM(X1676))=0,"",HYPERLINK("https://www.google.com/maps/@?api=1&amp;map_action=pano&amp;viewpoint="&amp;SUBSTITUTE(X1676," ",""),"Abrir Street View"))</f>
        <v/>
      </c>
    </row>
    <row r="1677">
      <c r="H1677" s="6" t="n"/>
      <c r="I1677" s="6" t="n"/>
      <c r="M1677" s="7" t="n"/>
      <c r="N1677" s="7" t="n"/>
      <c r="O1677" s="7" t="n"/>
      <c r="P1677" s="8">
        <f>IF(NOT(ISNUMBER(M1677)),"",IF(G1677="Terreno",IF(AND(ISNUMBER(I1677),I1677&gt;0),M1677/I1677,""),IF(AND(ISNUMBER(H1677),H1677&gt;0),M1677/H1677,"")))</f>
        <v/>
      </c>
      <c r="Q1677" s="9">
        <f>IF(AND(ISNUMBER(M1677),ISNUMBER(O1677)),IF(M1677&lt;=O1677,"Valor ≤ venal IPTU",""),"")</f>
        <v/>
      </c>
      <c r="R1677" s="10" t="n"/>
      <c r="S1677" s="10" t="n"/>
      <c r="AA1677" s="10" t="n"/>
      <c r="AB1677" s="11">
        <f>IF(LEN(TRIM(X1677))=0,"",HYPERLINK("https://www.google.com/maps/@?api=1&amp;map_action=pano&amp;viewpoint="&amp;SUBSTITUTE(X1677," ",""),"Abrir Street View"))</f>
        <v/>
      </c>
    </row>
    <row r="1678">
      <c r="H1678" s="6" t="n"/>
      <c r="I1678" s="6" t="n"/>
      <c r="M1678" s="7" t="n"/>
      <c r="N1678" s="7" t="n"/>
      <c r="O1678" s="7" t="n"/>
      <c r="P1678" s="8">
        <f>IF(NOT(ISNUMBER(M1678)),"",IF(G1678="Terreno",IF(AND(ISNUMBER(I1678),I1678&gt;0),M1678/I1678,""),IF(AND(ISNUMBER(H1678),H1678&gt;0),M1678/H1678,"")))</f>
        <v/>
      </c>
      <c r="Q1678" s="9">
        <f>IF(AND(ISNUMBER(M1678),ISNUMBER(O1678)),IF(M1678&lt;=O1678,"Valor ≤ venal IPTU",""),"")</f>
        <v/>
      </c>
      <c r="R1678" s="10" t="n"/>
      <c r="S1678" s="10" t="n"/>
      <c r="AA1678" s="10" t="n"/>
      <c r="AB1678" s="11">
        <f>IF(LEN(TRIM(X1678))=0,"",HYPERLINK("https://www.google.com/maps/@?api=1&amp;map_action=pano&amp;viewpoint="&amp;SUBSTITUTE(X1678," ",""),"Abrir Street View"))</f>
        <v/>
      </c>
    </row>
    <row r="1679">
      <c r="H1679" s="6" t="n"/>
      <c r="I1679" s="6" t="n"/>
      <c r="M1679" s="7" t="n"/>
      <c r="N1679" s="7" t="n"/>
      <c r="O1679" s="7" t="n"/>
      <c r="P1679" s="8">
        <f>IF(NOT(ISNUMBER(M1679)),"",IF(G1679="Terreno",IF(AND(ISNUMBER(I1679),I1679&gt;0),M1679/I1679,""),IF(AND(ISNUMBER(H1679),H1679&gt;0),M1679/H1679,"")))</f>
        <v/>
      </c>
      <c r="Q1679" s="9">
        <f>IF(AND(ISNUMBER(M1679),ISNUMBER(O1679)),IF(M1679&lt;=O1679,"Valor ≤ venal IPTU",""),"")</f>
        <v/>
      </c>
      <c r="R1679" s="10" t="n"/>
      <c r="S1679" s="10" t="n"/>
      <c r="AA1679" s="10" t="n"/>
      <c r="AB1679" s="11">
        <f>IF(LEN(TRIM(X1679))=0,"",HYPERLINK("https://www.google.com/maps/@?api=1&amp;map_action=pano&amp;viewpoint="&amp;SUBSTITUTE(X1679," ",""),"Abrir Street View"))</f>
        <v/>
      </c>
    </row>
    <row r="1680">
      <c r="H1680" s="6" t="n"/>
      <c r="I1680" s="6" t="n"/>
      <c r="M1680" s="7" t="n"/>
      <c r="N1680" s="7" t="n"/>
      <c r="O1680" s="7" t="n"/>
      <c r="P1680" s="8">
        <f>IF(NOT(ISNUMBER(M1680)),"",IF(G1680="Terreno",IF(AND(ISNUMBER(I1680),I1680&gt;0),M1680/I1680,""),IF(AND(ISNUMBER(H1680),H1680&gt;0),M1680/H1680,"")))</f>
        <v/>
      </c>
      <c r="Q1680" s="9">
        <f>IF(AND(ISNUMBER(M1680),ISNUMBER(O1680)),IF(M1680&lt;=O1680,"Valor ≤ venal IPTU",""),"")</f>
        <v/>
      </c>
      <c r="R1680" s="10" t="n"/>
      <c r="S1680" s="10" t="n"/>
      <c r="AA1680" s="10" t="n"/>
      <c r="AB1680" s="11">
        <f>IF(LEN(TRIM(X1680))=0,"",HYPERLINK("https://www.google.com/maps/@?api=1&amp;map_action=pano&amp;viewpoint="&amp;SUBSTITUTE(X1680," ",""),"Abrir Street View"))</f>
        <v/>
      </c>
    </row>
    <row r="1681">
      <c r="H1681" s="6" t="n"/>
      <c r="I1681" s="6" t="n"/>
      <c r="M1681" s="7" t="n"/>
      <c r="N1681" s="7" t="n"/>
      <c r="O1681" s="7" t="n"/>
      <c r="P1681" s="8">
        <f>IF(NOT(ISNUMBER(M1681)),"",IF(G1681="Terreno",IF(AND(ISNUMBER(I1681),I1681&gt;0),M1681/I1681,""),IF(AND(ISNUMBER(H1681),H1681&gt;0),M1681/H1681,"")))</f>
        <v/>
      </c>
      <c r="Q1681" s="9">
        <f>IF(AND(ISNUMBER(M1681),ISNUMBER(O1681)),IF(M1681&lt;=O1681,"Valor ≤ venal IPTU",""),"")</f>
        <v/>
      </c>
      <c r="R1681" s="10" t="n"/>
      <c r="S1681" s="10" t="n"/>
      <c r="AA1681" s="10" t="n"/>
      <c r="AB1681" s="11">
        <f>IF(LEN(TRIM(X1681))=0,"",HYPERLINK("https://www.google.com/maps/@?api=1&amp;map_action=pano&amp;viewpoint="&amp;SUBSTITUTE(X1681," ",""),"Abrir Street View"))</f>
        <v/>
      </c>
    </row>
    <row r="1682">
      <c r="H1682" s="6" t="n"/>
      <c r="I1682" s="6" t="n"/>
      <c r="M1682" s="7" t="n"/>
      <c r="N1682" s="7" t="n"/>
      <c r="O1682" s="7" t="n"/>
      <c r="P1682" s="8">
        <f>IF(NOT(ISNUMBER(M1682)),"",IF(G1682="Terreno",IF(AND(ISNUMBER(I1682),I1682&gt;0),M1682/I1682,""),IF(AND(ISNUMBER(H1682),H1682&gt;0),M1682/H1682,"")))</f>
        <v/>
      </c>
      <c r="Q1682" s="9">
        <f>IF(AND(ISNUMBER(M1682),ISNUMBER(O1682)),IF(M1682&lt;=O1682,"Valor ≤ venal IPTU",""),"")</f>
        <v/>
      </c>
      <c r="R1682" s="10" t="n"/>
      <c r="S1682" s="10" t="n"/>
      <c r="AA1682" s="10" t="n"/>
      <c r="AB1682" s="11">
        <f>IF(LEN(TRIM(X1682))=0,"",HYPERLINK("https://www.google.com/maps/@?api=1&amp;map_action=pano&amp;viewpoint="&amp;SUBSTITUTE(X1682," ",""),"Abrir Street View"))</f>
        <v/>
      </c>
    </row>
    <row r="1683">
      <c r="H1683" s="6" t="n"/>
      <c r="I1683" s="6" t="n"/>
      <c r="M1683" s="7" t="n"/>
      <c r="N1683" s="7" t="n"/>
      <c r="O1683" s="7" t="n"/>
      <c r="P1683" s="8">
        <f>IF(NOT(ISNUMBER(M1683)),"",IF(G1683="Terreno",IF(AND(ISNUMBER(I1683),I1683&gt;0),M1683/I1683,""),IF(AND(ISNUMBER(H1683),H1683&gt;0),M1683/H1683,"")))</f>
        <v/>
      </c>
      <c r="Q1683" s="9">
        <f>IF(AND(ISNUMBER(M1683),ISNUMBER(O1683)),IF(M1683&lt;=O1683,"Valor ≤ venal IPTU",""),"")</f>
        <v/>
      </c>
      <c r="R1683" s="10" t="n"/>
      <c r="S1683" s="10" t="n"/>
      <c r="AA1683" s="10" t="n"/>
      <c r="AB1683" s="11">
        <f>IF(LEN(TRIM(X1683))=0,"",HYPERLINK("https://www.google.com/maps/@?api=1&amp;map_action=pano&amp;viewpoint="&amp;SUBSTITUTE(X1683," ",""),"Abrir Street View"))</f>
        <v/>
      </c>
    </row>
    <row r="1684">
      <c r="H1684" s="6" t="n"/>
      <c r="I1684" s="6" t="n"/>
      <c r="M1684" s="7" t="n"/>
      <c r="N1684" s="7" t="n"/>
      <c r="O1684" s="7" t="n"/>
      <c r="P1684" s="8">
        <f>IF(NOT(ISNUMBER(M1684)),"",IF(G1684="Terreno",IF(AND(ISNUMBER(I1684),I1684&gt;0),M1684/I1684,""),IF(AND(ISNUMBER(H1684),H1684&gt;0),M1684/H1684,"")))</f>
        <v/>
      </c>
      <c r="Q1684" s="9">
        <f>IF(AND(ISNUMBER(M1684),ISNUMBER(O1684)),IF(M1684&lt;=O1684,"Valor ≤ venal IPTU",""),"")</f>
        <v/>
      </c>
      <c r="R1684" s="10" t="n"/>
      <c r="S1684" s="10" t="n"/>
      <c r="AA1684" s="10" t="n"/>
      <c r="AB1684" s="11">
        <f>IF(LEN(TRIM(X1684))=0,"",HYPERLINK("https://www.google.com/maps/@?api=1&amp;map_action=pano&amp;viewpoint="&amp;SUBSTITUTE(X1684," ",""),"Abrir Street View"))</f>
        <v/>
      </c>
    </row>
    <row r="1685">
      <c r="H1685" s="6" t="n"/>
      <c r="I1685" s="6" t="n"/>
      <c r="M1685" s="7" t="n"/>
      <c r="N1685" s="7" t="n"/>
      <c r="O1685" s="7" t="n"/>
      <c r="P1685" s="8">
        <f>IF(NOT(ISNUMBER(M1685)),"",IF(G1685="Terreno",IF(AND(ISNUMBER(I1685),I1685&gt;0),M1685/I1685,""),IF(AND(ISNUMBER(H1685),H1685&gt;0),M1685/H1685,"")))</f>
        <v/>
      </c>
      <c r="Q1685" s="9">
        <f>IF(AND(ISNUMBER(M1685),ISNUMBER(O1685)),IF(M1685&lt;=O1685,"Valor ≤ venal IPTU",""),"")</f>
        <v/>
      </c>
      <c r="R1685" s="10" t="n"/>
      <c r="S1685" s="10" t="n"/>
      <c r="AA1685" s="10" t="n"/>
      <c r="AB1685" s="11">
        <f>IF(LEN(TRIM(X1685))=0,"",HYPERLINK("https://www.google.com/maps/@?api=1&amp;map_action=pano&amp;viewpoint="&amp;SUBSTITUTE(X1685," ",""),"Abrir Street View"))</f>
        <v/>
      </c>
    </row>
    <row r="1686">
      <c r="H1686" s="6" t="n"/>
      <c r="I1686" s="6" t="n"/>
      <c r="M1686" s="7" t="n"/>
      <c r="N1686" s="7" t="n"/>
      <c r="O1686" s="7" t="n"/>
      <c r="P1686" s="8">
        <f>IF(NOT(ISNUMBER(M1686)),"",IF(G1686="Terreno",IF(AND(ISNUMBER(I1686),I1686&gt;0),M1686/I1686,""),IF(AND(ISNUMBER(H1686),H1686&gt;0),M1686/H1686,"")))</f>
        <v/>
      </c>
      <c r="Q1686" s="9">
        <f>IF(AND(ISNUMBER(M1686),ISNUMBER(O1686)),IF(M1686&lt;=O1686,"Valor ≤ venal IPTU",""),"")</f>
        <v/>
      </c>
      <c r="R1686" s="10" t="n"/>
      <c r="S1686" s="10" t="n"/>
      <c r="AA1686" s="10" t="n"/>
      <c r="AB1686" s="11">
        <f>IF(LEN(TRIM(X1686))=0,"",HYPERLINK("https://www.google.com/maps/@?api=1&amp;map_action=pano&amp;viewpoint="&amp;SUBSTITUTE(X1686," ",""),"Abrir Street View"))</f>
        <v/>
      </c>
    </row>
    <row r="1687">
      <c r="H1687" s="6" t="n"/>
      <c r="I1687" s="6" t="n"/>
      <c r="M1687" s="7" t="n"/>
      <c r="N1687" s="7" t="n"/>
      <c r="O1687" s="7" t="n"/>
      <c r="P1687" s="8">
        <f>IF(NOT(ISNUMBER(M1687)),"",IF(G1687="Terreno",IF(AND(ISNUMBER(I1687),I1687&gt;0),M1687/I1687,""),IF(AND(ISNUMBER(H1687),H1687&gt;0),M1687/H1687,"")))</f>
        <v/>
      </c>
      <c r="Q1687" s="9">
        <f>IF(AND(ISNUMBER(M1687),ISNUMBER(O1687)),IF(M1687&lt;=O1687,"Valor ≤ venal IPTU",""),"")</f>
        <v/>
      </c>
      <c r="R1687" s="10" t="n"/>
      <c r="S1687" s="10" t="n"/>
      <c r="AA1687" s="10" t="n"/>
      <c r="AB1687" s="11">
        <f>IF(LEN(TRIM(X1687))=0,"",HYPERLINK("https://www.google.com/maps/@?api=1&amp;map_action=pano&amp;viewpoint="&amp;SUBSTITUTE(X1687," ",""),"Abrir Street View"))</f>
        <v/>
      </c>
    </row>
    <row r="1688">
      <c r="H1688" s="6" t="n"/>
      <c r="I1688" s="6" t="n"/>
      <c r="M1688" s="7" t="n"/>
      <c r="N1688" s="7" t="n"/>
      <c r="O1688" s="7" t="n"/>
      <c r="P1688" s="8">
        <f>IF(NOT(ISNUMBER(M1688)),"",IF(G1688="Terreno",IF(AND(ISNUMBER(I1688),I1688&gt;0),M1688/I1688,""),IF(AND(ISNUMBER(H1688),H1688&gt;0),M1688/H1688,"")))</f>
        <v/>
      </c>
      <c r="Q1688" s="9">
        <f>IF(AND(ISNUMBER(M1688),ISNUMBER(O1688)),IF(M1688&lt;=O1688,"Valor ≤ venal IPTU",""),"")</f>
        <v/>
      </c>
      <c r="R1688" s="10" t="n"/>
      <c r="S1688" s="10" t="n"/>
      <c r="AA1688" s="10" t="n"/>
      <c r="AB1688" s="11">
        <f>IF(LEN(TRIM(X1688))=0,"",HYPERLINK("https://www.google.com/maps/@?api=1&amp;map_action=pano&amp;viewpoint="&amp;SUBSTITUTE(X1688," ",""),"Abrir Street View"))</f>
        <v/>
      </c>
    </row>
    <row r="1689">
      <c r="H1689" s="6" t="n"/>
      <c r="I1689" s="6" t="n"/>
      <c r="M1689" s="7" t="n"/>
      <c r="N1689" s="7" t="n"/>
      <c r="O1689" s="7" t="n"/>
      <c r="P1689" s="8">
        <f>IF(NOT(ISNUMBER(M1689)),"",IF(G1689="Terreno",IF(AND(ISNUMBER(I1689),I1689&gt;0),M1689/I1689,""),IF(AND(ISNUMBER(H1689),H1689&gt;0),M1689/H1689,"")))</f>
        <v/>
      </c>
      <c r="Q1689" s="9">
        <f>IF(AND(ISNUMBER(M1689),ISNUMBER(O1689)),IF(M1689&lt;=O1689,"Valor ≤ venal IPTU",""),"")</f>
        <v/>
      </c>
      <c r="R1689" s="10" t="n"/>
      <c r="S1689" s="10" t="n"/>
      <c r="AA1689" s="10" t="n"/>
      <c r="AB1689" s="11">
        <f>IF(LEN(TRIM(X1689))=0,"",HYPERLINK("https://www.google.com/maps/@?api=1&amp;map_action=pano&amp;viewpoint="&amp;SUBSTITUTE(X1689," ",""),"Abrir Street View"))</f>
        <v/>
      </c>
    </row>
    <row r="1690">
      <c r="H1690" s="6" t="n"/>
      <c r="I1690" s="6" t="n"/>
      <c r="M1690" s="7" t="n"/>
      <c r="N1690" s="7" t="n"/>
      <c r="O1690" s="7" t="n"/>
      <c r="P1690" s="8">
        <f>IF(NOT(ISNUMBER(M1690)),"",IF(G1690="Terreno",IF(AND(ISNUMBER(I1690),I1690&gt;0),M1690/I1690,""),IF(AND(ISNUMBER(H1690),H1690&gt;0),M1690/H1690,"")))</f>
        <v/>
      </c>
      <c r="Q1690" s="9">
        <f>IF(AND(ISNUMBER(M1690),ISNUMBER(O1690)),IF(M1690&lt;=O1690,"Valor ≤ venal IPTU",""),"")</f>
        <v/>
      </c>
      <c r="R1690" s="10" t="n"/>
      <c r="S1690" s="10" t="n"/>
      <c r="AA1690" s="10" t="n"/>
      <c r="AB1690" s="11">
        <f>IF(LEN(TRIM(X1690))=0,"",HYPERLINK("https://www.google.com/maps/@?api=1&amp;map_action=pano&amp;viewpoint="&amp;SUBSTITUTE(X1690," ",""),"Abrir Street View"))</f>
        <v/>
      </c>
    </row>
    <row r="1691">
      <c r="H1691" s="6" t="n"/>
      <c r="I1691" s="6" t="n"/>
      <c r="M1691" s="7" t="n"/>
      <c r="N1691" s="7" t="n"/>
      <c r="O1691" s="7" t="n"/>
      <c r="P1691" s="8">
        <f>IF(NOT(ISNUMBER(M1691)),"",IF(G1691="Terreno",IF(AND(ISNUMBER(I1691),I1691&gt;0),M1691/I1691,""),IF(AND(ISNUMBER(H1691),H1691&gt;0),M1691/H1691,"")))</f>
        <v/>
      </c>
      <c r="Q1691" s="9">
        <f>IF(AND(ISNUMBER(M1691),ISNUMBER(O1691)),IF(M1691&lt;=O1691,"Valor ≤ venal IPTU",""),"")</f>
        <v/>
      </c>
      <c r="R1691" s="10" t="n"/>
      <c r="S1691" s="10" t="n"/>
      <c r="AA1691" s="10" t="n"/>
      <c r="AB1691" s="11">
        <f>IF(LEN(TRIM(X1691))=0,"",HYPERLINK("https://www.google.com/maps/@?api=1&amp;map_action=pano&amp;viewpoint="&amp;SUBSTITUTE(X1691," ",""),"Abrir Street View"))</f>
        <v/>
      </c>
    </row>
    <row r="1692">
      <c r="H1692" s="6" t="n"/>
      <c r="I1692" s="6" t="n"/>
      <c r="M1692" s="7" t="n"/>
      <c r="N1692" s="7" t="n"/>
      <c r="O1692" s="7" t="n"/>
      <c r="P1692" s="8">
        <f>IF(NOT(ISNUMBER(M1692)),"",IF(G1692="Terreno",IF(AND(ISNUMBER(I1692),I1692&gt;0),M1692/I1692,""),IF(AND(ISNUMBER(H1692),H1692&gt;0),M1692/H1692,"")))</f>
        <v/>
      </c>
      <c r="Q1692" s="9">
        <f>IF(AND(ISNUMBER(M1692),ISNUMBER(O1692)),IF(M1692&lt;=O1692,"Valor ≤ venal IPTU",""),"")</f>
        <v/>
      </c>
      <c r="R1692" s="10" t="n"/>
      <c r="S1692" s="10" t="n"/>
      <c r="AA1692" s="10" t="n"/>
      <c r="AB1692" s="11">
        <f>IF(LEN(TRIM(X1692))=0,"",HYPERLINK("https://www.google.com/maps/@?api=1&amp;map_action=pano&amp;viewpoint="&amp;SUBSTITUTE(X1692," ",""),"Abrir Street View"))</f>
        <v/>
      </c>
    </row>
    <row r="1693">
      <c r="H1693" s="6" t="n"/>
      <c r="I1693" s="6" t="n"/>
      <c r="M1693" s="7" t="n"/>
      <c r="N1693" s="7" t="n"/>
      <c r="O1693" s="7" t="n"/>
      <c r="P1693" s="8">
        <f>IF(NOT(ISNUMBER(M1693)),"",IF(G1693="Terreno",IF(AND(ISNUMBER(I1693),I1693&gt;0),M1693/I1693,""),IF(AND(ISNUMBER(H1693),H1693&gt;0),M1693/H1693,"")))</f>
        <v/>
      </c>
      <c r="Q1693" s="9">
        <f>IF(AND(ISNUMBER(M1693),ISNUMBER(O1693)),IF(M1693&lt;=O1693,"Valor ≤ venal IPTU",""),"")</f>
        <v/>
      </c>
      <c r="R1693" s="10" t="n"/>
      <c r="S1693" s="10" t="n"/>
      <c r="AA1693" s="10" t="n"/>
      <c r="AB1693" s="11">
        <f>IF(LEN(TRIM(X1693))=0,"",HYPERLINK("https://www.google.com/maps/@?api=1&amp;map_action=pano&amp;viewpoint="&amp;SUBSTITUTE(X1693," ",""),"Abrir Street View"))</f>
        <v/>
      </c>
    </row>
    <row r="1694">
      <c r="H1694" s="6" t="n"/>
      <c r="I1694" s="6" t="n"/>
      <c r="M1694" s="7" t="n"/>
      <c r="N1694" s="7" t="n"/>
      <c r="O1694" s="7" t="n"/>
      <c r="P1694" s="8">
        <f>IF(NOT(ISNUMBER(M1694)),"",IF(G1694="Terreno",IF(AND(ISNUMBER(I1694),I1694&gt;0),M1694/I1694,""),IF(AND(ISNUMBER(H1694),H1694&gt;0),M1694/H1694,"")))</f>
        <v/>
      </c>
      <c r="Q1694" s="9">
        <f>IF(AND(ISNUMBER(M1694),ISNUMBER(O1694)),IF(M1694&lt;=O1694,"Valor ≤ venal IPTU",""),"")</f>
        <v/>
      </c>
      <c r="R1694" s="10" t="n"/>
      <c r="S1694" s="10" t="n"/>
      <c r="AA1694" s="10" t="n"/>
      <c r="AB1694" s="11">
        <f>IF(LEN(TRIM(X1694))=0,"",HYPERLINK("https://www.google.com/maps/@?api=1&amp;map_action=pano&amp;viewpoint="&amp;SUBSTITUTE(X1694," ",""),"Abrir Street View"))</f>
        <v/>
      </c>
    </row>
    <row r="1695">
      <c r="H1695" s="6" t="n"/>
      <c r="I1695" s="6" t="n"/>
      <c r="M1695" s="7" t="n"/>
      <c r="N1695" s="7" t="n"/>
      <c r="O1695" s="7" t="n"/>
      <c r="P1695" s="8">
        <f>IF(NOT(ISNUMBER(M1695)),"",IF(G1695="Terreno",IF(AND(ISNUMBER(I1695),I1695&gt;0),M1695/I1695,""),IF(AND(ISNUMBER(H1695),H1695&gt;0),M1695/H1695,"")))</f>
        <v/>
      </c>
      <c r="Q1695" s="9">
        <f>IF(AND(ISNUMBER(M1695),ISNUMBER(O1695)),IF(M1695&lt;=O1695,"Valor ≤ venal IPTU",""),"")</f>
        <v/>
      </c>
      <c r="R1695" s="10" t="n"/>
      <c r="S1695" s="10" t="n"/>
      <c r="AA1695" s="10" t="n"/>
      <c r="AB1695" s="11">
        <f>IF(LEN(TRIM(X1695))=0,"",HYPERLINK("https://www.google.com/maps/@?api=1&amp;map_action=pano&amp;viewpoint="&amp;SUBSTITUTE(X1695," ",""),"Abrir Street View"))</f>
        <v/>
      </c>
    </row>
    <row r="1696">
      <c r="H1696" s="6" t="n"/>
      <c r="I1696" s="6" t="n"/>
      <c r="M1696" s="7" t="n"/>
      <c r="N1696" s="7" t="n"/>
      <c r="O1696" s="7" t="n"/>
      <c r="P1696" s="8">
        <f>IF(NOT(ISNUMBER(M1696)),"",IF(G1696="Terreno",IF(AND(ISNUMBER(I1696),I1696&gt;0),M1696/I1696,""),IF(AND(ISNUMBER(H1696),H1696&gt;0),M1696/H1696,"")))</f>
        <v/>
      </c>
      <c r="Q1696" s="9">
        <f>IF(AND(ISNUMBER(M1696),ISNUMBER(O1696)),IF(M1696&lt;=O1696,"Valor ≤ venal IPTU",""),"")</f>
        <v/>
      </c>
      <c r="R1696" s="10" t="n"/>
      <c r="S1696" s="10" t="n"/>
      <c r="AA1696" s="10" t="n"/>
      <c r="AB1696" s="11">
        <f>IF(LEN(TRIM(X1696))=0,"",HYPERLINK("https://www.google.com/maps/@?api=1&amp;map_action=pano&amp;viewpoint="&amp;SUBSTITUTE(X1696," ",""),"Abrir Street View"))</f>
        <v/>
      </c>
    </row>
    <row r="1697">
      <c r="H1697" s="6" t="n"/>
      <c r="I1697" s="6" t="n"/>
      <c r="M1697" s="7" t="n"/>
      <c r="N1697" s="7" t="n"/>
      <c r="O1697" s="7" t="n"/>
      <c r="P1697" s="8">
        <f>IF(NOT(ISNUMBER(M1697)),"",IF(G1697="Terreno",IF(AND(ISNUMBER(I1697),I1697&gt;0),M1697/I1697,""),IF(AND(ISNUMBER(H1697),H1697&gt;0),M1697/H1697,"")))</f>
        <v/>
      </c>
      <c r="Q1697" s="9">
        <f>IF(AND(ISNUMBER(M1697),ISNUMBER(O1697)),IF(M1697&lt;=O1697,"Valor ≤ venal IPTU",""),"")</f>
        <v/>
      </c>
      <c r="R1697" s="10" t="n"/>
      <c r="S1697" s="10" t="n"/>
      <c r="AA1697" s="10" t="n"/>
      <c r="AB1697" s="11">
        <f>IF(LEN(TRIM(X1697))=0,"",HYPERLINK("https://www.google.com/maps/@?api=1&amp;map_action=pano&amp;viewpoint="&amp;SUBSTITUTE(X1697," ",""),"Abrir Street View"))</f>
        <v/>
      </c>
    </row>
    <row r="1698">
      <c r="H1698" s="6" t="n"/>
      <c r="I1698" s="6" t="n"/>
      <c r="M1698" s="7" t="n"/>
      <c r="N1698" s="7" t="n"/>
      <c r="O1698" s="7" t="n"/>
      <c r="P1698" s="8">
        <f>IF(NOT(ISNUMBER(M1698)),"",IF(G1698="Terreno",IF(AND(ISNUMBER(I1698),I1698&gt;0),M1698/I1698,""),IF(AND(ISNUMBER(H1698),H1698&gt;0),M1698/H1698,"")))</f>
        <v/>
      </c>
      <c r="Q1698" s="9">
        <f>IF(AND(ISNUMBER(M1698),ISNUMBER(O1698)),IF(M1698&lt;=O1698,"Valor ≤ venal IPTU",""),"")</f>
        <v/>
      </c>
      <c r="R1698" s="10" t="n"/>
      <c r="S1698" s="10" t="n"/>
      <c r="AA1698" s="10" t="n"/>
      <c r="AB1698" s="11">
        <f>IF(LEN(TRIM(X1698))=0,"",HYPERLINK("https://www.google.com/maps/@?api=1&amp;map_action=pano&amp;viewpoint="&amp;SUBSTITUTE(X1698," ",""),"Abrir Street View"))</f>
        <v/>
      </c>
    </row>
    <row r="1699">
      <c r="H1699" s="6" t="n"/>
      <c r="I1699" s="6" t="n"/>
      <c r="M1699" s="7" t="n"/>
      <c r="N1699" s="7" t="n"/>
      <c r="O1699" s="7" t="n"/>
      <c r="P1699" s="8">
        <f>IF(NOT(ISNUMBER(M1699)),"",IF(G1699="Terreno",IF(AND(ISNUMBER(I1699),I1699&gt;0),M1699/I1699,""),IF(AND(ISNUMBER(H1699),H1699&gt;0),M1699/H1699,"")))</f>
        <v/>
      </c>
      <c r="Q1699" s="9">
        <f>IF(AND(ISNUMBER(M1699),ISNUMBER(O1699)),IF(M1699&lt;=O1699,"Valor ≤ venal IPTU",""),"")</f>
        <v/>
      </c>
      <c r="R1699" s="10" t="n"/>
      <c r="S1699" s="10" t="n"/>
      <c r="AA1699" s="10" t="n"/>
      <c r="AB1699" s="11">
        <f>IF(LEN(TRIM(X1699))=0,"",HYPERLINK("https://www.google.com/maps/@?api=1&amp;map_action=pano&amp;viewpoint="&amp;SUBSTITUTE(X1699," ",""),"Abrir Street View"))</f>
        <v/>
      </c>
    </row>
    <row r="1700">
      <c r="H1700" s="6" t="n"/>
      <c r="I1700" s="6" t="n"/>
      <c r="M1700" s="7" t="n"/>
      <c r="N1700" s="7" t="n"/>
      <c r="O1700" s="7" t="n"/>
      <c r="P1700" s="8">
        <f>IF(NOT(ISNUMBER(M1700)),"",IF(G1700="Terreno",IF(AND(ISNUMBER(I1700),I1700&gt;0),M1700/I1700,""),IF(AND(ISNUMBER(H1700),H1700&gt;0),M1700/H1700,"")))</f>
        <v/>
      </c>
      <c r="Q1700" s="9">
        <f>IF(AND(ISNUMBER(M1700),ISNUMBER(O1700)),IF(M1700&lt;=O1700,"Valor ≤ venal IPTU",""),"")</f>
        <v/>
      </c>
      <c r="R1700" s="10" t="n"/>
      <c r="S1700" s="10" t="n"/>
      <c r="AA1700" s="10" t="n"/>
      <c r="AB1700" s="11">
        <f>IF(LEN(TRIM(X1700))=0,"",HYPERLINK("https://www.google.com/maps/@?api=1&amp;map_action=pano&amp;viewpoint="&amp;SUBSTITUTE(X1700," ",""),"Abrir Street View"))</f>
        <v/>
      </c>
    </row>
    <row r="1701">
      <c r="H1701" s="6" t="n"/>
      <c r="I1701" s="6" t="n"/>
      <c r="M1701" s="7" t="n"/>
      <c r="N1701" s="7" t="n"/>
      <c r="O1701" s="7" t="n"/>
      <c r="P1701" s="8">
        <f>IF(NOT(ISNUMBER(M1701)),"",IF(G1701="Terreno",IF(AND(ISNUMBER(I1701),I1701&gt;0),M1701/I1701,""),IF(AND(ISNUMBER(H1701),H1701&gt;0),M1701/H1701,"")))</f>
        <v/>
      </c>
      <c r="Q1701" s="9">
        <f>IF(AND(ISNUMBER(M1701),ISNUMBER(O1701)),IF(M1701&lt;=O1701,"Valor ≤ venal IPTU",""),"")</f>
        <v/>
      </c>
      <c r="R1701" s="10" t="n"/>
      <c r="S1701" s="10" t="n"/>
      <c r="AA1701" s="10" t="n"/>
      <c r="AB1701" s="11">
        <f>IF(LEN(TRIM(X1701))=0,"",HYPERLINK("https://www.google.com/maps/@?api=1&amp;map_action=pano&amp;viewpoint="&amp;SUBSTITUTE(X1701," ",""),"Abrir Street View"))</f>
        <v/>
      </c>
    </row>
    <row r="1702">
      <c r="H1702" s="6" t="n"/>
      <c r="I1702" s="6" t="n"/>
      <c r="M1702" s="7" t="n"/>
      <c r="N1702" s="7" t="n"/>
      <c r="O1702" s="7" t="n"/>
      <c r="P1702" s="8">
        <f>IF(NOT(ISNUMBER(M1702)),"",IF(G1702="Terreno",IF(AND(ISNUMBER(I1702),I1702&gt;0),M1702/I1702,""),IF(AND(ISNUMBER(H1702),H1702&gt;0),M1702/H1702,"")))</f>
        <v/>
      </c>
      <c r="Q1702" s="9">
        <f>IF(AND(ISNUMBER(M1702),ISNUMBER(O1702)),IF(M1702&lt;=O1702,"Valor ≤ venal IPTU",""),"")</f>
        <v/>
      </c>
      <c r="R1702" s="10" t="n"/>
      <c r="S1702" s="10" t="n"/>
      <c r="AA1702" s="10" t="n"/>
      <c r="AB1702" s="11">
        <f>IF(LEN(TRIM(X1702))=0,"",HYPERLINK("https://www.google.com/maps/@?api=1&amp;map_action=pano&amp;viewpoint="&amp;SUBSTITUTE(X1702," ",""),"Abrir Street View"))</f>
        <v/>
      </c>
    </row>
    <row r="1703">
      <c r="H1703" s="6" t="n"/>
      <c r="I1703" s="6" t="n"/>
      <c r="M1703" s="7" t="n"/>
      <c r="N1703" s="7" t="n"/>
      <c r="O1703" s="7" t="n"/>
      <c r="P1703" s="8">
        <f>IF(NOT(ISNUMBER(M1703)),"",IF(G1703="Terreno",IF(AND(ISNUMBER(I1703),I1703&gt;0),M1703/I1703,""),IF(AND(ISNUMBER(H1703),H1703&gt;0),M1703/H1703,"")))</f>
        <v/>
      </c>
      <c r="Q1703" s="9">
        <f>IF(AND(ISNUMBER(M1703),ISNUMBER(O1703)),IF(M1703&lt;=O1703,"Valor ≤ venal IPTU",""),"")</f>
        <v/>
      </c>
      <c r="R1703" s="10" t="n"/>
      <c r="S1703" s="10" t="n"/>
      <c r="AA1703" s="10" t="n"/>
      <c r="AB1703" s="11">
        <f>IF(LEN(TRIM(X1703))=0,"",HYPERLINK("https://www.google.com/maps/@?api=1&amp;map_action=pano&amp;viewpoint="&amp;SUBSTITUTE(X1703," ",""),"Abrir Street View"))</f>
        <v/>
      </c>
    </row>
    <row r="1704">
      <c r="H1704" s="6" t="n"/>
      <c r="I1704" s="6" t="n"/>
      <c r="M1704" s="7" t="n"/>
      <c r="N1704" s="7" t="n"/>
      <c r="O1704" s="7" t="n"/>
      <c r="P1704" s="8">
        <f>IF(NOT(ISNUMBER(M1704)),"",IF(G1704="Terreno",IF(AND(ISNUMBER(I1704),I1704&gt;0),M1704/I1704,""),IF(AND(ISNUMBER(H1704),H1704&gt;0),M1704/H1704,"")))</f>
        <v/>
      </c>
      <c r="Q1704" s="9">
        <f>IF(AND(ISNUMBER(M1704),ISNUMBER(O1704)),IF(M1704&lt;=O1704,"Valor ≤ venal IPTU",""),"")</f>
        <v/>
      </c>
      <c r="R1704" s="10" t="n"/>
      <c r="S1704" s="10" t="n"/>
      <c r="AA1704" s="10" t="n"/>
      <c r="AB1704" s="11">
        <f>IF(LEN(TRIM(X1704))=0,"",HYPERLINK("https://www.google.com/maps/@?api=1&amp;map_action=pano&amp;viewpoint="&amp;SUBSTITUTE(X1704," ",""),"Abrir Street View"))</f>
        <v/>
      </c>
    </row>
    <row r="1705">
      <c r="H1705" s="6" t="n"/>
      <c r="I1705" s="6" t="n"/>
      <c r="M1705" s="7" t="n"/>
      <c r="N1705" s="7" t="n"/>
      <c r="O1705" s="7" t="n"/>
      <c r="P1705" s="8">
        <f>IF(NOT(ISNUMBER(M1705)),"",IF(G1705="Terreno",IF(AND(ISNUMBER(I1705),I1705&gt;0),M1705/I1705,""),IF(AND(ISNUMBER(H1705),H1705&gt;0),M1705/H1705,"")))</f>
        <v/>
      </c>
      <c r="Q1705" s="9">
        <f>IF(AND(ISNUMBER(M1705),ISNUMBER(O1705)),IF(M1705&lt;=O1705,"Valor ≤ venal IPTU",""),"")</f>
        <v/>
      </c>
      <c r="R1705" s="10" t="n"/>
      <c r="S1705" s="10" t="n"/>
      <c r="AA1705" s="10" t="n"/>
      <c r="AB1705" s="11">
        <f>IF(LEN(TRIM(X1705))=0,"",HYPERLINK("https://www.google.com/maps/@?api=1&amp;map_action=pano&amp;viewpoint="&amp;SUBSTITUTE(X1705," ",""),"Abrir Street View"))</f>
        <v/>
      </c>
    </row>
    <row r="1706">
      <c r="H1706" s="6" t="n"/>
      <c r="I1706" s="6" t="n"/>
      <c r="M1706" s="7" t="n"/>
      <c r="N1706" s="7" t="n"/>
      <c r="O1706" s="7" t="n"/>
      <c r="P1706" s="8">
        <f>IF(NOT(ISNUMBER(M1706)),"",IF(G1706="Terreno",IF(AND(ISNUMBER(I1706),I1706&gt;0),M1706/I1706,""),IF(AND(ISNUMBER(H1706),H1706&gt;0),M1706/H1706,"")))</f>
        <v/>
      </c>
      <c r="Q1706" s="9">
        <f>IF(AND(ISNUMBER(M1706),ISNUMBER(O1706)),IF(M1706&lt;=O1706,"Valor ≤ venal IPTU",""),"")</f>
        <v/>
      </c>
      <c r="R1706" s="10" t="n"/>
      <c r="S1706" s="10" t="n"/>
      <c r="AA1706" s="10" t="n"/>
      <c r="AB1706" s="11">
        <f>IF(LEN(TRIM(X1706))=0,"",HYPERLINK("https://www.google.com/maps/@?api=1&amp;map_action=pano&amp;viewpoint="&amp;SUBSTITUTE(X1706," ",""),"Abrir Street View"))</f>
        <v/>
      </c>
    </row>
    <row r="1707">
      <c r="H1707" s="6" t="n"/>
      <c r="I1707" s="6" t="n"/>
      <c r="M1707" s="7" t="n"/>
      <c r="N1707" s="7" t="n"/>
      <c r="O1707" s="7" t="n"/>
      <c r="P1707" s="8">
        <f>IF(NOT(ISNUMBER(M1707)),"",IF(G1707="Terreno",IF(AND(ISNUMBER(I1707),I1707&gt;0),M1707/I1707,""),IF(AND(ISNUMBER(H1707),H1707&gt;0),M1707/H1707,"")))</f>
        <v/>
      </c>
      <c r="Q1707" s="9">
        <f>IF(AND(ISNUMBER(M1707),ISNUMBER(O1707)),IF(M1707&lt;=O1707,"Valor ≤ venal IPTU",""),"")</f>
        <v/>
      </c>
      <c r="R1707" s="10" t="n"/>
      <c r="S1707" s="10" t="n"/>
      <c r="AA1707" s="10" t="n"/>
      <c r="AB1707" s="11">
        <f>IF(LEN(TRIM(X1707))=0,"",HYPERLINK("https://www.google.com/maps/@?api=1&amp;map_action=pano&amp;viewpoint="&amp;SUBSTITUTE(X1707," ",""),"Abrir Street View"))</f>
        <v/>
      </c>
    </row>
    <row r="1708">
      <c r="H1708" s="6" t="n"/>
      <c r="I1708" s="6" t="n"/>
      <c r="M1708" s="7" t="n"/>
      <c r="N1708" s="7" t="n"/>
      <c r="O1708" s="7" t="n"/>
      <c r="P1708" s="8">
        <f>IF(NOT(ISNUMBER(M1708)),"",IF(G1708="Terreno",IF(AND(ISNUMBER(I1708),I1708&gt;0),M1708/I1708,""),IF(AND(ISNUMBER(H1708),H1708&gt;0),M1708/H1708,"")))</f>
        <v/>
      </c>
      <c r="Q1708" s="9">
        <f>IF(AND(ISNUMBER(M1708),ISNUMBER(O1708)),IF(M1708&lt;=O1708,"Valor ≤ venal IPTU",""),"")</f>
        <v/>
      </c>
      <c r="R1708" s="10" t="n"/>
      <c r="S1708" s="10" t="n"/>
      <c r="AA1708" s="10" t="n"/>
      <c r="AB1708" s="11">
        <f>IF(LEN(TRIM(X1708))=0,"",HYPERLINK("https://www.google.com/maps/@?api=1&amp;map_action=pano&amp;viewpoint="&amp;SUBSTITUTE(X1708," ",""),"Abrir Street View"))</f>
        <v/>
      </c>
    </row>
    <row r="1709">
      <c r="H1709" s="6" t="n"/>
      <c r="I1709" s="6" t="n"/>
      <c r="M1709" s="7" t="n"/>
      <c r="N1709" s="7" t="n"/>
      <c r="O1709" s="7" t="n"/>
      <c r="P1709" s="8">
        <f>IF(NOT(ISNUMBER(M1709)),"",IF(G1709="Terreno",IF(AND(ISNUMBER(I1709),I1709&gt;0),M1709/I1709,""),IF(AND(ISNUMBER(H1709),H1709&gt;0),M1709/H1709,"")))</f>
        <v/>
      </c>
      <c r="Q1709" s="9">
        <f>IF(AND(ISNUMBER(M1709),ISNUMBER(O1709)),IF(M1709&lt;=O1709,"Valor ≤ venal IPTU",""),"")</f>
        <v/>
      </c>
      <c r="R1709" s="10" t="n"/>
      <c r="S1709" s="10" t="n"/>
      <c r="AA1709" s="10" t="n"/>
      <c r="AB1709" s="11">
        <f>IF(LEN(TRIM(X1709))=0,"",HYPERLINK("https://www.google.com/maps/@?api=1&amp;map_action=pano&amp;viewpoint="&amp;SUBSTITUTE(X1709," ",""),"Abrir Street View"))</f>
        <v/>
      </c>
    </row>
    <row r="1710">
      <c r="H1710" s="6" t="n"/>
      <c r="I1710" s="6" t="n"/>
      <c r="M1710" s="7" t="n"/>
      <c r="N1710" s="7" t="n"/>
      <c r="O1710" s="7" t="n"/>
      <c r="P1710" s="8">
        <f>IF(NOT(ISNUMBER(M1710)),"",IF(G1710="Terreno",IF(AND(ISNUMBER(I1710),I1710&gt;0),M1710/I1710,""),IF(AND(ISNUMBER(H1710),H1710&gt;0),M1710/H1710,"")))</f>
        <v/>
      </c>
      <c r="Q1710" s="9">
        <f>IF(AND(ISNUMBER(M1710),ISNUMBER(O1710)),IF(M1710&lt;=O1710,"Valor ≤ venal IPTU",""),"")</f>
        <v/>
      </c>
      <c r="R1710" s="10" t="n"/>
      <c r="S1710" s="10" t="n"/>
      <c r="AA1710" s="10" t="n"/>
      <c r="AB1710" s="11">
        <f>IF(LEN(TRIM(X1710))=0,"",HYPERLINK("https://www.google.com/maps/@?api=1&amp;map_action=pano&amp;viewpoint="&amp;SUBSTITUTE(X1710," ",""),"Abrir Street View"))</f>
        <v/>
      </c>
    </row>
    <row r="1711">
      <c r="H1711" s="6" t="n"/>
      <c r="I1711" s="6" t="n"/>
      <c r="M1711" s="7" t="n"/>
      <c r="N1711" s="7" t="n"/>
      <c r="O1711" s="7" t="n"/>
      <c r="P1711" s="8">
        <f>IF(NOT(ISNUMBER(M1711)),"",IF(G1711="Terreno",IF(AND(ISNUMBER(I1711),I1711&gt;0),M1711/I1711,""),IF(AND(ISNUMBER(H1711),H1711&gt;0),M1711/H1711,"")))</f>
        <v/>
      </c>
      <c r="Q1711" s="9">
        <f>IF(AND(ISNUMBER(M1711),ISNUMBER(O1711)),IF(M1711&lt;=O1711,"Valor ≤ venal IPTU",""),"")</f>
        <v/>
      </c>
      <c r="R1711" s="10" t="n"/>
      <c r="S1711" s="10" t="n"/>
      <c r="AA1711" s="10" t="n"/>
      <c r="AB1711" s="11">
        <f>IF(LEN(TRIM(X1711))=0,"",HYPERLINK("https://www.google.com/maps/@?api=1&amp;map_action=pano&amp;viewpoint="&amp;SUBSTITUTE(X1711," ",""),"Abrir Street View"))</f>
        <v/>
      </c>
    </row>
    <row r="1712">
      <c r="H1712" s="6" t="n"/>
      <c r="I1712" s="6" t="n"/>
      <c r="M1712" s="7" t="n"/>
      <c r="N1712" s="7" t="n"/>
      <c r="O1712" s="7" t="n"/>
      <c r="P1712" s="8">
        <f>IF(NOT(ISNUMBER(M1712)),"",IF(G1712="Terreno",IF(AND(ISNUMBER(I1712),I1712&gt;0),M1712/I1712,""),IF(AND(ISNUMBER(H1712),H1712&gt;0),M1712/H1712,"")))</f>
        <v/>
      </c>
      <c r="Q1712" s="9">
        <f>IF(AND(ISNUMBER(M1712),ISNUMBER(O1712)),IF(M1712&lt;=O1712,"Valor ≤ venal IPTU",""),"")</f>
        <v/>
      </c>
      <c r="R1712" s="10" t="n"/>
      <c r="S1712" s="10" t="n"/>
      <c r="AA1712" s="10" t="n"/>
      <c r="AB1712" s="11">
        <f>IF(LEN(TRIM(X1712))=0,"",HYPERLINK("https://www.google.com/maps/@?api=1&amp;map_action=pano&amp;viewpoint="&amp;SUBSTITUTE(X1712," ",""),"Abrir Street View"))</f>
        <v/>
      </c>
    </row>
    <row r="1713">
      <c r="H1713" s="6" t="n"/>
      <c r="I1713" s="6" t="n"/>
      <c r="M1713" s="7" t="n"/>
      <c r="N1713" s="7" t="n"/>
      <c r="O1713" s="7" t="n"/>
      <c r="P1713" s="8">
        <f>IF(NOT(ISNUMBER(M1713)),"",IF(G1713="Terreno",IF(AND(ISNUMBER(I1713),I1713&gt;0),M1713/I1713,""),IF(AND(ISNUMBER(H1713),H1713&gt;0),M1713/H1713,"")))</f>
        <v/>
      </c>
      <c r="Q1713" s="9">
        <f>IF(AND(ISNUMBER(M1713),ISNUMBER(O1713)),IF(M1713&lt;=O1713,"Valor ≤ venal IPTU",""),"")</f>
        <v/>
      </c>
      <c r="R1713" s="10" t="n"/>
      <c r="S1713" s="10" t="n"/>
      <c r="AA1713" s="10" t="n"/>
      <c r="AB1713" s="11">
        <f>IF(LEN(TRIM(X1713))=0,"",HYPERLINK("https://www.google.com/maps/@?api=1&amp;map_action=pano&amp;viewpoint="&amp;SUBSTITUTE(X1713," ",""),"Abrir Street View"))</f>
        <v/>
      </c>
    </row>
    <row r="1714">
      <c r="H1714" s="6" t="n"/>
      <c r="I1714" s="6" t="n"/>
      <c r="M1714" s="7" t="n"/>
      <c r="N1714" s="7" t="n"/>
      <c r="O1714" s="7" t="n"/>
      <c r="P1714" s="8">
        <f>IF(NOT(ISNUMBER(M1714)),"",IF(G1714="Terreno",IF(AND(ISNUMBER(I1714),I1714&gt;0),M1714/I1714,""),IF(AND(ISNUMBER(H1714),H1714&gt;0),M1714/H1714,"")))</f>
        <v/>
      </c>
      <c r="Q1714" s="9">
        <f>IF(AND(ISNUMBER(M1714),ISNUMBER(O1714)),IF(M1714&lt;=O1714,"Valor ≤ venal IPTU",""),"")</f>
        <v/>
      </c>
      <c r="R1714" s="10" t="n"/>
      <c r="S1714" s="10" t="n"/>
      <c r="AA1714" s="10" t="n"/>
      <c r="AB1714" s="11">
        <f>IF(LEN(TRIM(X1714))=0,"",HYPERLINK("https://www.google.com/maps/@?api=1&amp;map_action=pano&amp;viewpoint="&amp;SUBSTITUTE(X1714," ",""),"Abrir Street View"))</f>
        <v/>
      </c>
    </row>
    <row r="1715">
      <c r="H1715" s="6" t="n"/>
      <c r="I1715" s="6" t="n"/>
      <c r="M1715" s="7" t="n"/>
      <c r="N1715" s="7" t="n"/>
      <c r="O1715" s="7" t="n"/>
      <c r="P1715" s="8">
        <f>IF(NOT(ISNUMBER(M1715)),"",IF(G1715="Terreno",IF(AND(ISNUMBER(I1715),I1715&gt;0),M1715/I1715,""),IF(AND(ISNUMBER(H1715),H1715&gt;0),M1715/H1715,"")))</f>
        <v/>
      </c>
      <c r="Q1715" s="9">
        <f>IF(AND(ISNUMBER(M1715),ISNUMBER(O1715)),IF(M1715&lt;=O1715,"Valor ≤ venal IPTU",""),"")</f>
        <v/>
      </c>
      <c r="R1715" s="10" t="n"/>
      <c r="S1715" s="10" t="n"/>
      <c r="AA1715" s="10" t="n"/>
      <c r="AB1715" s="11">
        <f>IF(LEN(TRIM(X1715))=0,"",HYPERLINK("https://www.google.com/maps/@?api=1&amp;map_action=pano&amp;viewpoint="&amp;SUBSTITUTE(X1715," ",""),"Abrir Street View"))</f>
        <v/>
      </c>
    </row>
    <row r="1716">
      <c r="H1716" s="6" t="n"/>
      <c r="I1716" s="6" t="n"/>
      <c r="M1716" s="7" t="n"/>
      <c r="N1716" s="7" t="n"/>
      <c r="O1716" s="7" t="n"/>
      <c r="P1716" s="8">
        <f>IF(NOT(ISNUMBER(M1716)),"",IF(G1716="Terreno",IF(AND(ISNUMBER(I1716),I1716&gt;0),M1716/I1716,""),IF(AND(ISNUMBER(H1716),H1716&gt;0),M1716/H1716,"")))</f>
        <v/>
      </c>
      <c r="Q1716" s="9">
        <f>IF(AND(ISNUMBER(M1716),ISNUMBER(O1716)),IF(M1716&lt;=O1716,"Valor ≤ venal IPTU",""),"")</f>
        <v/>
      </c>
      <c r="R1716" s="10" t="n"/>
      <c r="S1716" s="10" t="n"/>
      <c r="AA1716" s="10" t="n"/>
      <c r="AB1716" s="11">
        <f>IF(LEN(TRIM(X1716))=0,"",HYPERLINK("https://www.google.com/maps/@?api=1&amp;map_action=pano&amp;viewpoint="&amp;SUBSTITUTE(X1716," ",""),"Abrir Street View"))</f>
        <v/>
      </c>
    </row>
    <row r="1717">
      <c r="H1717" s="6" t="n"/>
      <c r="I1717" s="6" t="n"/>
      <c r="M1717" s="7" t="n"/>
      <c r="N1717" s="7" t="n"/>
      <c r="O1717" s="7" t="n"/>
      <c r="P1717" s="8">
        <f>IF(NOT(ISNUMBER(M1717)),"",IF(G1717="Terreno",IF(AND(ISNUMBER(I1717),I1717&gt;0),M1717/I1717,""),IF(AND(ISNUMBER(H1717),H1717&gt;0),M1717/H1717,"")))</f>
        <v/>
      </c>
      <c r="Q1717" s="9">
        <f>IF(AND(ISNUMBER(M1717),ISNUMBER(O1717)),IF(M1717&lt;=O1717,"Valor ≤ venal IPTU",""),"")</f>
        <v/>
      </c>
      <c r="R1717" s="10" t="n"/>
      <c r="S1717" s="10" t="n"/>
      <c r="AA1717" s="10" t="n"/>
      <c r="AB1717" s="11">
        <f>IF(LEN(TRIM(X1717))=0,"",HYPERLINK("https://www.google.com/maps/@?api=1&amp;map_action=pano&amp;viewpoint="&amp;SUBSTITUTE(X1717," ",""),"Abrir Street View"))</f>
        <v/>
      </c>
    </row>
    <row r="1718">
      <c r="H1718" s="6" t="n"/>
      <c r="I1718" s="6" t="n"/>
      <c r="M1718" s="7" t="n"/>
      <c r="N1718" s="7" t="n"/>
      <c r="O1718" s="7" t="n"/>
      <c r="P1718" s="8">
        <f>IF(NOT(ISNUMBER(M1718)),"",IF(G1718="Terreno",IF(AND(ISNUMBER(I1718),I1718&gt;0),M1718/I1718,""),IF(AND(ISNUMBER(H1718),H1718&gt;0),M1718/H1718,"")))</f>
        <v/>
      </c>
      <c r="Q1718" s="9">
        <f>IF(AND(ISNUMBER(M1718),ISNUMBER(O1718)),IF(M1718&lt;=O1718,"Valor ≤ venal IPTU",""),"")</f>
        <v/>
      </c>
      <c r="R1718" s="10" t="n"/>
      <c r="S1718" s="10" t="n"/>
      <c r="AA1718" s="10" t="n"/>
      <c r="AB1718" s="11">
        <f>IF(LEN(TRIM(X1718))=0,"",HYPERLINK("https://www.google.com/maps/@?api=1&amp;map_action=pano&amp;viewpoint="&amp;SUBSTITUTE(X1718," ",""),"Abrir Street View"))</f>
        <v/>
      </c>
    </row>
    <row r="1719">
      <c r="H1719" s="6" t="n"/>
      <c r="I1719" s="6" t="n"/>
      <c r="M1719" s="7" t="n"/>
      <c r="N1719" s="7" t="n"/>
      <c r="O1719" s="7" t="n"/>
      <c r="P1719" s="8">
        <f>IF(NOT(ISNUMBER(M1719)),"",IF(G1719="Terreno",IF(AND(ISNUMBER(I1719),I1719&gt;0),M1719/I1719,""),IF(AND(ISNUMBER(H1719),H1719&gt;0),M1719/H1719,"")))</f>
        <v/>
      </c>
      <c r="Q1719" s="9">
        <f>IF(AND(ISNUMBER(M1719),ISNUMBER(O1719)),IF(M1719&lt;=O1719,"Valor ≤ venal IPTU",""),"")</f>
        <v/>
      </c>
      <c r="R1719" s="10" t="n"/>
      <c r="S1719" s="10" t="n"/>
      <c r="AA1719" s="10" t="n"/>
      <c r="AB1719" s="11">
        <f>IF(LEN(TRIM(X1719))=0,"",HYPERLINK("https://www.google.com/maps/@?api=1&amp;map_action=pano&amp;viewpoint="&amp;SUBSTITUTE(X1719," ",""),"Abrir Street View"))</f>
        <v/>
      </c>
    </row>
    <row r="1720">
      <c r="H1720" s="6" t="n"/>
      <c r="I1720" s="6" t="n"/>
      <c r="M1720" s="7" t="n"/>
      <c r="N1720" s="7" t="n"/>
      <c r="O1720" s="7" t="n"/>
      <c r="P1720" s="8">
        <f>IF(NOT(ISNUMBER(M1720)),"",IF(G1720="Terreno",IF(AND(ISNUMBER(I1720),I1720&gt;0),M1720/I1720,""),IF(AND(ISNUMBER(H1720),H1720&gt;0),M1720/H1720,"")))</f>
        <v/>
      </c>
      <c r="Q1720" s="9">
        <f>IF(AND(ISNUMBER(M1720),ISNUMBER(O1720)),IF(M1720&lt;=O1720,"Valor ≤ venal IPTU",""),"")</f>
        <v/>
      </c>
      <c r="R1720" s="10" t="n"/>
      <c r="S1720" s="10" t="n"/>
      <c r="AA1720" s="10" t="n"/>
      <c r="AB1720" s="11">
        <f>IF(LEN(TRIM(X1720))=0,"",HYPERLINK("https://www.google.com/maps/@?api=1&amp;map_action=pano&amp;viewpoint="&amp;SUBSTITUTE(X1720," ",""),"Abrir Street View"))</f>
        <v/>
      </c>
    </row>
    <row r="1721">
      <c r="H1721" s="6" t="n"/>
      <c r="I1721" s="6" t="n"/>
      <c r="M1721" s="7" t="n"/>
      <c r="N1721" s="7" t="n"/>
      <c r="O1721" s="7" t="n"/>
      <c r="P1721" s="8">
        <f>IF(NOT(ISNUMBER(M1721)),"",IF(G1721="Terreno",IF(AND(ISNUMBER(I1721),I1721&gt;0),M1721/I1721,""),IF(AND(ISNUMBER(H1721),H1721&gt;0),M1721/H1721,"")))</f>
        <v/>
      </c>
      <c r="Q1721" s="9">
        <f>IF(AND(ISNUMBER(M1721),ISNUMBER(O1721)),IF(M1721&lt;=O1721,"Valor ≤ venal IPTU",""),"")</f>
        <v/>
      </c>
      <c r="R1721" s="10" t="n"/>
      <c r="S1721" s="10" t="n"/>
      <c r="AA1721" s="10" t="n"/>
      <c r="AB1721" s="11">
        <f>IF(LEN(TRIM(X1721))=0,"",HYPERLINK("https://www.google.com/maps/@?api=1&amp;map_action=pano&amp;viewpoint="&amp;SUBSTITUTE(X1721," ",""),"Abrir Street View"))</f>
        <v/>
      </c>
    </row>
    <row r="1722">
      <c r="H1722" s="6" t="n"/>
      <c r="I1722" s="6" t="n"/>
      <c r="M1722" s="7" t="n"/>
      <c r="N1722" s="7" t="n"/>
      <c r="O1722" s="7" t="n"/>
      <c r="P1722" s="8">
        <f>IF(NOT(ISNUMBER(M1722)),"",IF(G1722="Terreno",IF(AND(ISNUMBER(I1722),I1722&gt;0),M1722/I1722,""),IF(AND(ISNUMBER(H1722),H1722&gt;0),M1722/H1722,"")))</f>
        <v/>
      </c>
      <c r="Q1722" s="9">
        <f>IF(AND(ISNUMBER(M1722),ISNUMBER(O1722)),IF(M1722&lt;=O1722,"Valor ≤ venal IPTU",""),"")</f>
        <v/>
      </c>
      <c r="R1722" s="10" t="n"/>
      <c r="S1722" s="10" t="n"/>
      <c r="AA1722" s="10" t="n"/>
      <c r="AB1722" s="11">
        <f>IF(LEN(TRIM(X1722))=0,"",HYPERLINK("https://www.google.com/maps/@?api=1&amp;map_action=pano&amp;viewpoint="&amp;SUBSTITUTE(X1722," ",""),"Abrir Street View"))</f>
        <v/>
      </c>
    </row>
    <row r="1723">
      <c r="H1723" s="6" t="n"/>
      <c r="I1723" s="6" t="n"/>
      <c r="M1723" s="7" t="n"/>
      <c r="N1723" s="7" t="n"/>
      <c r="O1723" s="7" t="n"/>
      <c r="P1723" s="8">
        <f>IF(NOT(ISNUMBER(M1723)),"",IF(G1723="Terreno",IF(AND(ISNUMBER(I1723),I1723&gt;0),M1723/I1723,""),IF(AND(ISNUMBER(H1723),H1723&gt;0),M1723/H1723,"")))</f>
        <v/>
      </c>
      <c r="Q1723" s="9">
        <f>IF(AND(ISNUMBER(M1723),ISNUMBER(O1723)),IF(M1723&lt;=O1723,"Valor ≤ venal IPTU",""),"")</f>
        <v/>
      </c>
      <c r="R1723" s="10" t="n"/>
      <c r="S1723" s="10" t="n"/>
      <c r="AA1723" s="10" t="n"/>
      <c r="AB1723" s="11">
        <f>IF(LEN(TRIM(X1723))=0,"",HYPERLINK("https://www.google.com/maps/@?api=1&amp;map_action=pano&amp;viewpoint="&amp;SUBSTITUTE(X1723," ",""),"Abrir Street View"))</f>
        <v/>
      </c>
    </row>
    <row r="1724">
      <c r="H1724" s="6" t="n"/>
      <c r="I1724" s="6" t="n"/>
      <c r="M1724" s="7" t="n"/>
      <c r="N1724" s="7" t="n"/>
      <c r="O1724" s="7" t="n"/>
      <c r="P1724" s="8">
        <f>IF(NOT(ISNUMBER(M1724)),"",IF(G1724="Terreno",IF(AND(ISNUMBER(I1724),I1724&gt;0),M1724/I1724,""),IF(AND(ISNUMBER(H1724),H1724&gt;0),M1724/H1724,"")))</f>
        <v/>
      </c>
      <c r="Q1724" s="9">
        <f>IF(AND(ISNUMBER(M1724),ISNUMBER(O1724)),IF(M1724&lt;=O1724,"Valor ≤ venal IPTU",""),"")</f>
        <v/>
      </c>
      <c r="R1724" s="10" t="n"/>
      <c r="S1724" s="10" t="n"/>
      <c r="AA1724" s="10" t="n"/>
      <c r="AB1724" s="11">
        <f>IF(LEN(TRIM(X1724))=0,"",HYPERLINK("https://www.google.com/maps/@?api=1&amp;map_action=pano&amp;viewpoint="&amp;SUBSTITUTE(X1724," ",""),"Abrir Street View"))</f>
        <v/>
      </c>
    </row>
    <row r="1725">
      <c r="H1725" s="6" t="n"/>
      <c r="I1725" s="6" t="n"/>
      <c r="M1725" s="7" t="n"/>
      <c r="N1725" s="7" t="n"/>
      <c r="O1725" s="7" t="n"/>
      <c r="P1725" s="8">
        <f>IF(NOT(ISNUMBER(M1725)),"",IF(G1725="Terreno",IF(AND(ISNUMBER(I1725),I1725&gt;0),M1725/I1725,""),IF(AND(ISNUMBER(H1725),H1725&gt;0),M1725/H1725,"")))</f>
        <v/>
      </c>
      <c r="Q1725" s="9">
        <f>IF(AND(ISNUMBER(M1725),ISNUMBER(O1725)),IF(M1725&lt;=O1725,"Valor ≤ venal IPTU",""),"")</f>
        <v/>
      </c>
      <c r="R1725" s="10" t="n"/>
      <c r="S1725" s="10" t="n"/>
      <c r="AA1725" s="10" t="n"/>
      <c r="AB1725" s="11">
        <f>IF(LEN(TRIM(X1725))=0,"",HYPERLINK("https://www.google.com/maps/@?api=1&amp;map_action=pano&amp;viewpoint="&amp;SUBSTITUTE(X1725," ",""),"Abrir Street View"))</f>
        <v/>
      </c>
    </row>
    <row r="1726">
      <c r="H1726" s="6" t="n"/>
      <c r="I1726" s="6" t="n"/>
      <c r="M1726" s="7" t="n"/>
      <c r="N1726" s="7" t="n"/>
      <c r="O1726" s="7" t="n"/>
      <c r="P1726" s="8">
        <f>IF(NOT(ISNUMBER(M1726)),"",IF(G1726="Terreno",IF(AND(ISNUMBER(I1726),I1726&gt;0),M1726/I1726,""),IF(AND(ISNUMBER(H1726),H1726&gt;0),M1726/H1726,"")))</f>
        <v/>
      </c>
      <c r="Q1726" s="9">
        <f>IF(AND(ISNUMBER(M1726),ISNUMBER(O1726)),IF(M1726&lt;=O1726,"Valor ≤ venal IPTU",""),"")</f>
        <v/>
      </c>
      <c r="R1726" s="10" t="n"/>
      <c r="S1726" s="10" t="n"/>
      <c r="AA1726" s="10" t="n"/>
      <c r="AB1726" s="11">
        <f>IF(LEN(TRIM(X1726))=0,"",HYPERLINK("https://www.google.com/maps/@?api=1&amp;map_action=pano&amp;viewpoint="&amp;SUBSTITUTE(X1726," ",""),"Abrir Street View"))</f>
        <v/>
      </c>
    </row>
    <row r="1727">
      <c r="H1727" s="6" t="n"/>
      <c r="I1727" s="6" t="n"/>
      <c r="M1727" s="7" t="n"/>
      <c r="N1727" s="7" t="n"/>
      <c r="O1727" s="7" t="n"/>
      <c r="P1727" s="8">
        <f>IF(NOT(ISNUMBER(M1727)),"",IF(G1727="Terreno",IF(AND(ISNUMBER(I1727),I1727&gt;0),M1727/I1727,""),IF(AND(ISNUMBER(H1727),H1727&gt;0),M1727/H1727,"")))</f>
        <v/>
      </c>
      <c r="Q1727" s="9">
        <f>IF(AND(ISNUMBER(M1727),ISNUMBER(O1727)),IF(M1727&lt;=O1727,"Valor ≤ venal IPTU",""),"")</f>
        <v/>
      </c>
      <c r="R1727" s="10" t="n"/>
      <c r="S1727" s="10" t="n"/>
      <c r="AA1727" s="10" t="n"/>
      <c r="AB1727" s="11">
        <f>IF(LEN(TRIM(X1727))=0,"",HYPERLINK("https://www.google.com/maps/@?api=1&amp;map_action=pano&amp;viewpoint="&amp;SUBSTITUTE(X1727," ",""),"Abrir Street View"))</f>
        <v/>
      </c>
    </row>
    <row r="1728">
      <c r="H1728" s="6" t="n"/>
      <c r="I1728" s="6" t="n"/>
      <c r="M1728" s="7" t="n"/>
      <c r="N1728" s="7" t="n"/>
      <c r="O1728" s="7" t="n"/>
      <c r="P1728" s="8">
        <f>IF(NOT(ISNUMBER(M1728)),"",IF(G1728="Terreno",IF(AND(ISNUMBER(I1728),I1728&gt;0),M1728/I1728,""),IF(AND(ISNUMBER(H1728),H1728&gt;0),M1728/H1728,"")))</f>
        <v/>
      </c>
      <c r="Q1728" s="9">
        <f>IF(AND(ISNUMBER(M1728),ISNUMBER(O1728)),IF(M1728&lt;=O1728,"Valor ≤ venal IPTU",""),"")</f>
        <v/>
      </c>
      <c r="R1728" s="10" t="n"/>
      <c r="S1728" s="10" t="n"/>
      <c r="AA1728" s="10" t="n"/>
      <c r="AB1728" s="11">
        <f>IF(LEN(TRIM(X1728))=0,"",HYPERLINK("https://www.google.com/maps/@?api=1&amp;map_action=pano&amp;viewpoint="&amp;SUBSTITUTE(X1728," ",""),"Abrir Street View"))</f>
        <v/>
      </c>
    </row>
    <row r="1729">
      <c r="H1729" s="6" t="n"/>
      <c r="I1729" s="6" t="n"/>
      <c r="M1729" s="7" t="n"/>
      <c r="N1729" s="7" t="n"/>
      <c r="O1729" s="7" t="n"/>
      <c r="P1729" s="8">
        <f>IF(NOT(ISNUMBER(M1729)),"",IF(G1729="Terreno",IF(AND(ISNUMBER(I1729),I1729&gt;0),M1729/I1729,""),IF(AND(ISNUMBER(H1729),H1729&gt;0),M1729/H1729,"")))</f>
        <v/>
      </c>
      <c r="Q1729" s="9">
        <f>IF(AND(ISNUMBER(M1729),ISNUMBER(O1729)),IF(M1729&lt;=O1729,"Valor ≤ venal IPTU",""),"")</f>
        <v/>
      </c>
      <c r="R1729" s="10" t="n"/>
      <c r="S1729" s="10" t="n"/>
      <c r="AA1729" s="10" t="n"/>
      <c r="AB1729" s="11">
        <f>IF(LEN(TRIM(X1729))=0,"",HYPERLINK("https://www.google.com/maps/@?api=1&amp;map_action=pano&amp;viewpoint="&amp;SUBSTITUTE(X1729," ",""),"Abrir Street View"))</f>
        <v/>
      </c>
    </row>
    <row r="1730">
      <c r="H1730" s="6" t="n"/>
      <c r="I1730" s="6" t="n"/>
      <c r="M1730" s="7" t="n"/>
      <c r="N1730" s="7" t="n"/>
      <c r="O1730" s="7" t="n"/>
      <c r="P1730" s="8">
        <f>IF(NOT(ISNUMBER(M1730)),"",IF(G1730="Terreno",IF(AND(ISNUMBER(I1730),I1730&gt;0),M1730/I1730,""),IF(AND(ISNUMBER(H1730),H1730&gt;0),M1730/H1730,"")))</f>
        <v/>
      </c>
      <c r="Q1730" s="9">
        <f>IF(AND(ISNUMBER(M1730),ISNUMBER(O1730)),IF(M1730&lt;=O1730,"Valor ≤ venal IPTU",""),"")</f>
        <v/>
      </c>
      <c r="R1730" s="10" t="n"/>
      <c r="S1730" s="10" t="n"/>
      <c r="AA1730" s="10" t="n"/>
      <c r="AB1730" s="11">
        <f>IF(LEN(TRIM(X1730))=0,"",HYPERLINK("https://www.google.com/maps/@?api=1&amp;map_action=pano&amp;viewpoint="&amp;SUBSTITUTE(X1730," ",""),"Abrir Street View"))</f>
        <v/>
      </c>
    </row>
    <row r="1731">
      <c r="H1731" s="6" t="n"/>
      <c r="I1731" s="6" t="n"/>
      <c r="M1731" s="7" t="n"/>
      <c r="N1731" s="7" t="n"/>
      <c r="O1731" s="7" t="n"/>
      <c r="P1731" s="8">
        <f>IF(NOT(ISNUMBER(M1731)),"",IF(G1731="Terreno",IF(AND(ISNUMBER(I1731),I1731&gt;0),M1731/I1731,""),IF(AND(ISNUMBER(H1731),H1731&gt;0),M1731/H1731,"")))</f>
        <v/>
      </c>
      <c r="Q1731" s="9">
        <f>IF(AND(ISNUMBER(M1731),ISNUMBER(O1731)),IF(M1731&lt;=O1731,"Valor ≤ venal IPTU",""),"")</f>
        <v/>
      </c>
      <c r="R1731" s="10" t="n"/>
      <c r="S1731" s="10" t="n"/>
      <c r="AA1731" s="10" t="n"/>
      <c r="AB1731" s="11">
        <f>IF(LEN(TRIM(X1731))=0,"",HYPERLINK("https://www.google.com/maps/@?api=1&amp;map_action=pano&amp;viewpoint="&amp;SUBSTITUTE(X1731," ",""),"Abrir Street View"))</f>
        <v/>
      </c>
    </row>
    <row r="1732">
      <c r="H1732" s="6" t="n"/>
      <c r="I1732" s="6" t="n"/>
      <c r="M1732" s="7" t="n"/>
      <c r="N1732" s="7" t="n"/>
      <c r="O1732" s="7" t="n"/>
      <c r="P1732" s="8">
        <f>IF(NOT(ISNUMBER(M1732)),"",IF(G1732="Terreno",IF(AND(ISNUMBER(I1732),I1732&gt;0),M1732/I1732,""),IF(AND(ISNUMBER(H1732),H1732&gt;0),M1732/H1732,"")))</f>
        <v/>
      </c>
      <c r="Q1732" s="9">
        <f>IF(AND(ISNUMBER(M1732),ISNUMBER(O1732)),IF(M1732&lt;=O1732,"Valor ≤ venal IPTU",""),"")</f>
        <v/>
      </c>
      <c r="R1732" s="10" t="n"/>
      <c r="S1732" s="10" t="n"/>
      <c r="AA1732" s="10" t="n"/>
      <c r="AB1732" s="11">
        <f>IF(LEN(TRIM(X1732))=0,"",HYPERLINK("https://www.google.com/maps/@?api=1&amp;map_action=pano&amp;viewpoint="&amp;SUBSTITUTE(X1732," ",""),"Abrir Street View"))</f>
        <v/>
      </c>
    </row>
    <row r="1733">
      <c r="H1733" s="6" t="n"/>
      <c r="I1733" s="6" t="n"/>
      <c r="M1733" s="7" t="n"/>
      <c r="N1733" s="7" t="n"/>
      <c r="O1733" s="7" t="n"/>
      <c r="P1733" s="8">
        <f>IF(NOT(ISNUMBER(M1733)),"",IF(G1733="Terreno",IF(AND(ISNUMBER(I1733),I1733&gt;0),M1733/I1733,""),IF(AND(ISNUMBER(H1733),H1733&gt;0),M1733/H1733,"")))</f>
        <v/>
      </c>
      <c r="Q1733" s="9">
        <f>IF(AND(ISNUMBER(M1733),ISNUMBER(O1733)),IF(M1733&lt;=O1733,"Valor ≤ venal IPTU",""),"")</f>
        <v/>
      </c>
      <c r="R1733" s="10" t="n"/>
      <c r="S1733" s="10" t="n"/>
      <c r="AA1733" s="10" t="n"/>
      <c r="AB1733" s="11">
        <f>IF(LEN(TRIM(X1733))=0,"",HYPERLINK("https://www.google.com/maps/@?api=1&amp;map_action=pano&amp;viewpoint="&amp;SUBSTITUTE(X1733," ",""),"Abrir Street View"))</f>
        <v/>
      </c>
    </row>
    <row r="1734">
      <c r="H1734" s="6" t="n"/>
      <c r="I1734" s="6" t="n"/>
      <c r="M1734" s="7" t="n"/>
      <c r="N1734" s="7" t="n"/>
      <c r="O1734" s="7" t="n"/>
      <c r="P1734" s="8">
        <f>IF(NOT(ISNUMBER(M1734)),"",IF(G1734="Terreno",IF(AND(ISNUMBER(I1734),I1734&gt;0),M1734/I1734,""),IF(AND(ISNUMBER(H1734),H1734&gt;0),M1734/H1734,"")))</f>
        <v/>
      </c>
      <c r="Q1734" s="9">
        <f>IF(AND(ISNUMBER(M1734),ISNUMBER(O1734)),IF(M1734&lt;=O1734,"Valor ≤ venal IPTU",""),"")</f>
        <v/>
      </c>
      <c r="R1734" s="10" t="n"/>
      <c r="S1734" s="10" t="n"/>
      <c r="AA1734" s="10" t="n"/>
      <c r="AB1734" s="11">
        <f>IF(LEN(TRIM(X1734))=0,"",HYPERLINK("https://www.google.com/maps/@?api=1&amp;map_action=pano&amp;viewpoint="&amp;SUBSTITUTE(X1734," ",""),"Abrir Street View"))</f>
        <v/>
      </c>
    </row>
    <row r="1735">
      <c r="H1735" s="6" t="n"/>
      <c r="I1735" s="6" t="n"/>
      <c r="M1735" s="7" t="n"/>
      <c r="N1735" s="7" t="n"/>
      <c r="O1735" s="7" t="n"/>
      <c r="P1735" s="8">
        <f>IF(NOT(ISNUMBER(M1735)),"",IF(G1735="Terreno",IF(AND(ISNUMBER(I1735),I1735&gt;0),M1735/I1735,""),IF(AND(ISNUMBER(H1735),H1735&gt;0),M1735/H1735,"")))</f>
        <v/>
      </c>
      <c r="Q1735" s="9">
        <f>IF(AND(ISNUMBER(M1735),ISNUMBER(O1735)),IF(M1735&lt;=O1735,"Valor ≤ venal IPTU",""),"")</f>
        <v/>
      </c>
      <c r="R1735" s="10" t="n"/>
      <c r="S1735" s="10" t="n"/>
      <c r="AA1735" s="10" t="n"/>
      <c r="AB1735" s="11">
        <f>IF(LEN(TRIM(X1735))=0,"",HYPERLINK("https://www.google.com/maps/@?api=1&amp;map_action=pano&amp;viewpoint="&amp;SUBSTITUTE(X1735," ",""),"Abrir Street View"))</f>
        <v/>
      </c>
    </row>
    <row r="1736">
      <c r="H1736" s="6" t="n"/>
      <c r="I1736" s="6" t="n"/>
      <c r="M1736" s="7" t="n"/>
      <c r="N1736" s="7" t="n"/>
      <c r="O1736" s="7" t="n"/>
      <c r="P1736" s="8">
        <f>IF(NOT(ISNUMBER(M1736)),"",IF(G1736="Terreno",IF(AND(ISNUMBER(I1736),I1736&gt;0),M1736/I1736,""),IF(AND(ISNUMBER(H1736),H1736&gt;0),M1736/H1736,"")))</f>
        <v/>
      </c>
      <c r="Q1736" s="9">
        <f>IF(AND(ISNUMBER(M1736),ISNUMBER(O1736)),IF(M1736&lt;=O1736,"Valor ≤ venal IPTU",""),"")</f>
        <v/>
      </c>
      <c r="R1736" s="10" t="n"/>
      <c r="S1736" s="10" t="n"/>
      <c r="AA1736" s="10" t="n"/>
      <c r="AB1736" s="11">
        <f>IF(LEN(TRIM(X1736))=0,"",HYPERLINK("https://www.google.com/maps/@?api=1&amp;map_action=pano&amp;viewpoint="&amp;SUBSTITUTE(X1736," ",""),"Abrir Street View"))</f>
        <v/>
      </c>
    </row>
    <row r="1737">
      <c r="H1737" s="6" t="n"/>
      <c r="I1737" s="6" t="n"/>
      <c r="M1737" s="7" t="n"/>
      <c r="N1737" s="7" t="n"/>
      <c r="O1737" s="7" t="n"/>
      <c r="P1737" s="8">
        <f>IF(NOT(ISNUMBER(M1737)),"",IF(G1737="Terreno",IF(AND(ISNUMBER(I1737),I1737&gt;0),M1737/I1737,""),IF(AND(ISNUMBER(H1737),H1737&gt;0),M1737/H1737,"")))</f>
        <v/>
      </c>
      <c r="Q1737" s="9">
        <f>IF(AND(ISNUMBER(M1737),ISNUMBER(O1737)),IF(M1737&lt;=O1737,"Valor ≤ venal IPTU",""),"")</f>
        <v/>
      </c>
      <c r="R1737" s="10" t="n"/>
      <c r="S1737" s="10" t="n"/>
      <c r="AA1737" s="10" t="n"/>
      <c r="AB1737" s="11">
        <f>IF(LEN(TRIM(X1737))=0,"",HYPERLINK("https://www.google.com/maps/@?api=1&amp;map_action=pano&amp;viewpoint="&amp;SUBSTITUTE(X1737," ",""),"Abrir Street View"))</f>
        <v/>
      </c>
    </row>
    <row r="1738">
      <c r="H1738" s="6" t="n"/>
      <c r="I1738" s="6" t="n"/>
      <c r="M1738" s="7" t="n"/>
      <c r="N1738" s="7" t="n"/>
      <c r="O1738" s="7" t="n"/>
      <c r="P1738" s="8">
        <f>IF(NOT(ISNUMBER(M1738)),"",IF(G1738="Terreno",IF(AND(ISNUMBER(I1738),I1738&gt;0),M1738/I1738,""),IF(AND(ISNUMBER(H1738),H1738&gt;0),M1738/H1738,"")))</f>
        <v/>
      </c>
      <c r="Q1738" s="9">
        <f>IF(AND(ISNUMBER(M1738),ISNUMBER(O1738)),IF(M1738&lt;=O1738,"Valor ≤ venal IPTU",""),"")</f>
        <v/>
      </c>
      <c r="R1738" s="10" t="n"/>
      <c r="S1738" s="10" t="n"/>
      <c r="AA1738" s="10" t="n"/>
      <c r="AB1738" s="11">
        <f>IF(LEN(TRIM(X1738))=0,"",HYPERLINK("https://www.google.com/maps/@?api=1&amp;map_action=pano&amp;viewpoint="&amp;SUBSTITUTE(X1738," ",""),"Abrir Street View"))</f>
        <v/>
      </c>
    </row>
    <row r="1739">
      <c r="H1739" s="6" t="n"/>
      <c r="I1739" s="6" t="n"/>
      <c r="M1739" s="7" t="n"/>
      <c r="N1739" s="7" t="n"/>
      <c r="O1739" s="7" t="n"/>
      <c r="P1739" s="8">
        <f>IF(NOT(ISNUMBER(M1739)),"",IF(G1739="Terreno",IF(AND(ISNUMBER(I1739),I1739&gt;0),M1739/I1739,""),IF(AND(ISNUMBER(H1739),H1739&gt;0),M1739/H1739,"")))</f>
        <v/>
      </c>
      <c r="Q1739" s="9">
        <f>IF(AND(ISNUMBER(M1739),ISNUMBER(O1739)),IF(M1739&lt;=O1739,"Valor ≤ venal IPTU",""),"")</f>
        <v/>
      </c>
      <c r="R1739" s="10" t="n"/>
      <c r="S1739" s="10" t="n"/>
      <c r="AA1739" s="10" t="n"/>
      <c r="AB1739" s="11">
        <f>IF(LEN(TRIM(X1739))=0,"",HYPERLINK("https://www.google.com/maps/@?api=1&amp;map_action=pano&amp;viewpoint="&amp;SUBSTITUTE(X1739," ",""),"Abrir Street View"))</f>
        <v/>
      </c>
    </row>
    <row r="1740">
      <c r="H1740" s="6" t="n"/>
      <c r="I1740" s="6" t="n"/>
      <c r="M1740" s="7" t="n"/>
      <c r="N1740" s="7" t="n"/>
      <c r="O1740" s="7" t="n"/>
      <c r="P1740" s="8">
        <f>IF(NOT(ISNUMBER(M1740)),"",IF(G1740="Terreno",IF(AND(ISNUMBER(I1740),I1740&gt;0),M1740/I1740,""),IF(AND(ISNUMBER(H1740),H1740&gt;0),M1740/H1740,"")))</f>
        <v/>
      </c>
      <c r="Q1740" s="9">
        <f>IF(AND(ISNUMBER(M1740),ISNUMBER(O1740)),IF(M1740&lt;=O1740,"Valor ≤ venal IPTU",""),"")</f>
        <v/>
      </c>
      <c r="R1740" s="10" t="n"/>
      <c r="S1740" s="10" t="n"/>
      <c r="AA1740" s="10" t="n"/>
      <c r="AB1740" s="11">
        <f>IF(LEN(TRIM(X1740))=0,"",HYPERLINK("https://www.google.com/maps/@?api=1&amp;map_action=pano&amp;viewpoint="&amp;SUBSTITUTE(X1740," ",""),"Abrir Street View"))</f>
        <v/>
      </c>
    </row>
    <row r="1741">
      <c r="H1741" s="6" t="n"/>
      <c r="I1741" s="6" t="n"/>
      <c r="M1741" s="7" t="n"/>
      <c r="N1741" s="7" t="n"/>
      <c r="O1741" s="7" t="n"/>
      <c r="P1741" s="8">
        <f>IF(NOT(ISNUMBER(M1741)),"",IF(G1741="Terreno",IF(AND(ISNUMBER(I1741),I1741&gt;0),M1741/I1741,""),IF(AND(ISNUMBER(H1741),H1741&gt;0),M1741/H1741,"")))</f>
        <v/>
      </c>
      <c r="Q1741" s="9">
        <f>IF(AND(ISNUMBER(M1741),ISNUMBER(O1741)),IF(M1741&lt;=O1741,"Valor ≤ venal IPTU",""),"")</f>
        <v/>
      </c>
      <c r="R1741" s="10" t="n"/>
      <c r="S1741" s="10" t="n"/>
      <c r="AA1741" s="10" t="n"/>
      <c r="AB1741" s="11">
        <f>IF(LEN(TRIM(X1741))=0,"",HYPERLINK("https://www.google.com/maps/@?api=1&amp;map_action=pano&amp;viewpoint="&amp;SUBSTITUTE(X1741," ",""),"Abrir Street View"))</f>
        <v/>
      </c>
    </row>
    <row r="1742">
      <c r="H1742" s="6" t="n"/>
      <c r="I1742" s="6" t="n"/>
      <c r="M1742" s="7" t="n"/>
      <c r="N1742" s="7" t="n"/>
      <c r="O1742" s="7" t="n"/>
      <c r="P1742" s="8">
        <f>IF(NOT(ISNUMBER(M1742)),"",IF(G1742="Terreno",IF(AND(ISNUMBER(I1742),I1742&gt;0),M1742/I1742,""),IF(AND(ISNUMBER(H1742),H1742&gt;0),M1742/H1742,"")))</f>
        <v/>
      </c>
      <c r="Q1742" s="9">
        <f>IF(AND(ISNUMBER(M1742),ISNUMBER(O1742)),IF(M1742&lt;=O1742,"Valor ≤ venal IPTU",""),"")</f>
        <v/>
      </c>
      <c r="R1742" s="10" t="n"/>
      <c r="S1742" s="10" t="n"/>
      <c r="AA1742" s="10" t="n"/>
      <c r="AB1742" s="11">
        <f>IF(LEN(TRIM(X1742))=0,"",HYPERLINK("https://www.google.com/maps/@?api=1&amp;map_action=pano&amp;viewpoint="&amp;SUBSTITUTE(X1742," ",""),"Abrir Street View"))</f>
        <v/>
      </c>
    </row>
    <row r="1743">
      <c r="H1743" s="6" t="n"/>
      <c r="I1743" s="6" t="n"/>
      <c r="M1743" s="7" t="n"/>
      <c r="N1743" s="7" t="n"/>
      <c r="O1743" s="7" t="n"/>
      <c r="P1743" s="8">
        <f>IF(NOT(ISNUMBER(M1743)),"",IF(G1743="Terreno",IF(AND(ISNUMBER(I1743),I1743&gt;0),M1743/I1743,""),IF(AND(ISNUMBER(H1743),H1743&gt;0),M1743/H1743,"")))</f>
        <v/>
      </c>
      <c r="Q1743" s="9">
        <f>IF(AND(ISNUMBER(M1743),ISNUMBER(O1743)),IF(M1743&lt;=O1743,"Valor ≤ venal IPTU",""),"")</f>
        <v/>
      </c>
      <c r="R1743" s="10" t="n"/>
      <c r="S1743" s="10" t="n"/>
      <c r="AA1743" s="10" t="n"/>
      <c r="AB1743" s="11">
        <f>IF(LEN(TRIM(X1743))=0,"",HYPERLINK("https://www.google.com/maps/@?api=1&amp;map_action=pano&amp;viewpoint="&amp;SUBSTITUTE(X1743," ",""),"Abrir Street View"))</f>
        <v/>
      </c>
    </row>
    <row r="1744">
      <c r="H1744" s="6" t="n"/>
      <c r="I1744" s="6" t="n"/>
      <c r="M1744" s="7" t="n"/>
      <c r="N1744" s="7" t="n"/>
      <c r="O1744" s="7" t="n"/>
      <c r="P1744" s="8">
        <f>IF(NOT(ISNUMBER(M1744)),"",IF(G1744="Terreno",IF(AND(ISNUMBER(I1744),I1744&gt;0),M1744/I1744,""),IF(AND(ISNUMBER(H1744),H1744&gt;0),M1744/H1744,"")))</f>
        <v/>
      </c>
      <c r="Q1744" s="9">
        <f>IF(AND(ISNUMBER(M1744),ISNUMBER(O1744)),IF(M1744&lt;=O1744,"Valor ≤ venal IPTU",""),"")</f>
        <v/>
      </c>
      <c r="R1744" s="10" t="n"/>
      <c r="S1744" s="10" t="n"/>
      <c r="AA1744" s="10" t="n"/>
      <c r="AB1744" s="11">
        <f>IF(LEN(TRIM(X1744))=0,"",HYPERLINK("https://www.google.com/maps/@?api=1&amp;map_action=pano&amp;viewpoint="&amp;SUBSTITUTE(X1744," ",""),"Abrir Street View"))</f>
        <v/>
      </c>
    </row>
    <row r="1745">
      <c r="H1745" s="6" t="n"/>
      <c r="I1745" s="6" t="n"/>
      <c r="M1745" s="7" t="n"/>
      <c r="N1745" s="7" t="n"/>
      <c r="O1745" s="7" t="n"/>
      <c r="P1745" s="8">
        <f>IF(NOT(ISNUMBER(M1745)),"",IF(G1745="Terreno",IF(AND(ISNUMBER(I1745),I1745&gt;0),M1745/I1745,""),IF(AND(ISNUMBER(H1745),H1745&gt;0),M1745/H1745,"")))</f>
        <v/>
      </c>
      <c r="Q1745" s="9">
        <f>IF(AND(ISNUMBER(M1745),ISNUMBER(O1745)),IF(M1745&lt;=O1745,"Valor ≤ venal IPTU",""),"")</f>
        <v/>
      </c>
      <c r="R1745" s="10" t="n"/>
      <c r="S1745" s="10" t="n"/>
      <c r="AA1745" s="10" t="n"/>
      <c r="AB1745" s="11">
        <f>IF(LEN(TRIM(X1745))=0,"",HYPERLINK("https://www.google.com/maps/@?api=1&amp;map_action=pano&amp;viewpoint="&amp;SUBSTITUTE(X1745," ",""),"Abrir Street View"))</f>
        <v/>
      </c>
    </row>
    <row r="1746">
      <c r="H1746" s="6" t="n"/>
      <c r="I1746" s="6" t="n"/>
      <c r="M1746" s="7" t="n"/>
      <c r="N1746" s="7" t="n"/>
      <c r="O1746" s="7" t="n"/>
      <c r="P1746" s="8">
        <f>IF(NOT(ISNUMBER(M1746)),"",IF(G1746="Terreno",IF(AND(ISNUMBER(I1746),I1746&gt;0),M1746/I1746,""),IF(AND(ISNUMBER(H1746),H1746&gt;0),M1746/H1746,"")))</f>
        <v/>
      </c>
      <c r="Q1746" s="9">
        <f>IF(AND(ISNUMBER(M1746),ISNUMBER(O1746)),IF(M1746&lt;=O1746,"Valor ≤ venal IPTU",""),"")</f>
        <v/>
      </c>
      <c r="R1746" s="10" t="n"/>
      <c r="S1746" s="10" t="n"/>
      <c r="AA1746" s="10" t="n"/>
      <c r="AB1746" s="11">
        <f>IF(LEN(TRIM(X1746))=0,"",HYPERLINK("https://www.google.com/maps/@?api=1&amp;map_action=pano&amp;viewpoint="&amp;SUBSTITUTE(X1746," ",""),"Abrir Street View"))</f>
        <v/>
      </c>
    </row>
    <row r="1747">
      <c r="H1747" s="6" t="n"/>
      <c r="I1747" s="6" t="n"/>
      <c r="M1747" s="7" t="n"/>
      <c r="N1747" s="7" t="n"/>
      <c r="O1747" s="7" t="n"/>
      <c r="P1747" s="8">
        <f>IF(NOT(ISNUMBER(M1747)),"",IF(G1747="Terreno",IF(AND(ISNUMBER(I1747),I1747&gt;0),M1747/I1747,""),IF(AND(ISNUMBER(H1747),H1747&gt;0),M1747/H1747,"")))</f>
        <v/>
      </c>
      <c r="Q1747" s="9">
        <f>IF(AND(ISNUMBER(M1747),ISNUMBER(O1747)),IF(M1747&lt;=O1747,"Valor ≤ venal IPTU",""),"")</f>
        <v/>
      </c>
      <c r="R1747" s="10" t="n"/>
      <c r="S1747" s="10" t="n"/>
      <c r="AA1747" s="10" t="n"/>
      <c r="AB1747" s="11">
        <f>IF(LEN(TRIM(X1747))=0,"",HYPERLINK("https://www.google.com/maps/@?api=1&amp;map_action=pano&amp;viewpoint="&amp;SUBSTITUTE(X1747," ",""),"Abrir Street View"))</f>
        <v/>
      </c>
    </row>
    <row r="1748">
      <c r="H1748" s="6" t="n"/>
      <c r="I1748" s="6" t="n"/>
      <c r="M1748" s="7" t="n"/>
      <c r="N1748" s="7" t="n"/>
      <c r="O1748" s="7" t="n"/>
      <c r="P1748" s="8">
        <f>IF(NOT(ISNUMBER(M1748)),"",IF(G1748="Terreno",IF(AND(ISNUMBER(I1748),I1748&gt;0),M1748/I1748,""),IF(AND(ISNUMBER(H1748),H1748&gt;0),M1748/H1748,"")))</f>
        <v/>
      </c>
      <c r="Q1748" s="9">
        <f>IF(AND(ISNUMBER(M1748),ISNUMBER(O1748)),IF(M1748&lt;=O1748,"Valor ≤ venal IPTU",""),"")</f>
        <v/>
      </c>
      <c r="R1748" s="10" t="n"/>
      <c r="S1748" s="10" t="n"/>
      <c r="AA1748" s="10" t="n"/>
      <c r="AB1748" s="11">
        <f>IF(LEN(TRIM(X1748))=0,"",HYPERLINK("https://www.google.com/maps/@?api=1&amp;map_action=pano&amp;viewpoint="&amp;SUBSTITUTE(X1748," ",""),"Abrir Street View"))</f>
        <v/>
      </c>
    </row>
    <row r="1749">
      <c r="H1749" s="6" t="n"/>
      <c r="I1749" s="6" t="n"/>
      <c r="M1749" s="7" t="n"/>
      <c r="N1749" s="7" t="n"/>
      <c r="O1749" s="7" t="n"/>
      <c r="P1749" s="8">
        <f>IF(NOT(ISNUMBER(M1749)),"",IF(G1749="Terreno",IF(AND(ISNUMBER(I1749),I1749&gt;0),M1749/I1749,""),IF(AND(ISNUMBER(H1749),H1749&gt;0),M1749/H1749,"")))</f>
        <v/>
      </c>
      <c r="Q1749" s="9">
        <f>IF(AND(ISNUMBER(M1749),ISNUMBER(O1749)),IF(M1749&lt;=O1749,"Valor ≤ venal IPTU",""),"")</f>
        <v/>
      </c>
      <c r="R1749" s="10" t="n"/>
      <c r="S1749" s="10" t="n"/>
      <c r="AA1749" s="10" t="n"/>
      <c r="AB1749" s="11">
        <f>IF(LEN(TRIM(X1749))=0,"",HYPERLINK("https://www.google.com/maps/@?api=1&amp;map_action=pano&amp;viewpoint="&amp;SUBSTITUTE(X1749," ",""),"Abrir Street View"))</f>
        <v/>
      </c>
    </row>
    <row r="1750">
      <c r="H1750" s="6" t="n"/>
      <c r="I1750" s="6" t="n"/>
      <c r="M1750" s="7" t="n"/>
      <c r="N1750" s="7" t="n"/>
      <c r="O1750" s="7" t="n"/>
      <c r="P1750" s="8">
        <f>IF(NOT(ISNUMBER(M1750)),"",IF(G1750="Terreno",IF(AND(ISNUMBER(I1750),I1750&gt;0),M1750/I1750,""),IF(AND(ISNUMBER(H1750),H1750&gt;0),M1750/H1750,"")))</f>
        <v/>
      </c>
      <c r="Q1750" s="9">
        <f>IF(AND(ISNUMBER(M1750),ISNUMBER(O1750)),IF(M1750&lt;=O1750,"Valor ≤ venal IPTU",""),"")</f>
        <v/>
      </c>
      <c r="R1750" s="10" t="n"/>
      <c r="S1750" s="10" t="n"/>
      <c r="AA1750" s="10" t="n"/>
      <c r="AB1750" s="11">
        <f>IF(LEN(TRIM(X1750))=0,"",HYPERLINK("https://www.google.com/maps/@?api=1&amp;map_action=pano&amp;viewpoint="&amp;SUBSTITUTE(X1750," ",""),"Abrir Street View"))</f>
        <v/>
      </c>
    </row>
    <row r="1751">
      <c r="H1751" s="6" t="n"/>
      <c r="I1751" s="6" t="n"/>
      <c r="M1751" s="7" t="n"/>
      <c r="N1751" s="7" t="n"/>
      <c r="O1751" s="7" t="n"/>
      <c r="P1751" s="8">
        <f>IF(NOT(ISNUMBER(M1751)),"",IF(G1751="Terreno",IF(AND(ISNUMBER(I1751),I1751&gt;0),M1751/I1751,""),IF(AND(ISNUMBER(H1751),H1751&gt;0),M1751/H1751,"")))</f>
        <v/>
      </c>
      <c r="Q1751" s="9">
        <f>IF(AND(ISNUMBER(M1751),ISNUMBER(O1751)),IF(M1751&lt;=O1751,"Valor ≤ venal IPTU",""),"")</f>
        <v/>
      </c>
      <c r="R1751" s="10" t="n"/>
      <c r="S1751" s="10" t="n"/>
      <c r="AA1751" s="10" t="n"/>
      <c r="AB1751" s="11">
        <f>IF(LEN(TRIM(X1751))=0,"",HYPERLINK("https://www.google.com/maps/@?api=1&amp;map_action=pano&amp;viewpoint="&amp;SUBSTITUTE(X1751," ",""),"Abrir Street View"))</f>
        <v/>
      </c>
    </row>
    <row r="1752">
      <c r="H1752" s="6" t="n"/>
      <c r="I1752" s="6" t="n"/>
      <c r="M1752" s="7" t="n"/>
      <c r="N1752" s="7" t="n"/>
      <c r="O1752" s="7" t="n"/>
      <c r="P1752" s="8">
        <f>IF(NOT(ISNUMBER(M1752)),"",IF(G1752="Terreno",IF(AND(ISNUMBER(I1752),I1752&gt;0),M1752/I1752,""),IF(AND(ISNUMBER(H1752),H1752&gt;0),M1752/H1752,"")))</f>
        <v/>
      </c>
      <c r="Q1752" s="9">
        <f>IF(AND(ISNUMBER(M1752),ISNUMBER(O1752)),IF(M1752&lt;=O1752,"Valor ≤ venal IPTU",""),"")</f>
        <v/>
      </c>
      <c r="R1752" s="10" t="n"/>
      <c r="S1752" s="10" t="n"/>
      <c r="AA1752" s="10" t="n"/>
      <c r="AB1752" s="11">
        <f>IF(LEN(TRIM(X1752))=0,"",HYPERLINK("https://www.google.com/maps/@?api=1&amp;map_action=pano&amp;viewpoint="&amp;SUBSTITUTE(X1752," ",""),"Abrir Street View"))</f>
        <v/>
      </c>
    </row>
    <row r="1753">
      <c r="H1753" s="6" t="n"/>
      <c r="I1753" s="6" t="n"/>
      <c r="M1753" s="7" t="n"/>
      <c r="N1753" s="7" t="n"/>
      <c r="O1753" s="7" t="n"/>
      <c r="P1753" s="8">
        <f>IF(NOT(ISNUMBER(M1753)),"",IF(G1753="Terreno",IF(AND(ISNUMBER(I1753),I1753&gt;0),M1753/I1753,""),IF(AND(ISNUMBER(H1753),H1753&gt;0),M1753/H1753,"")))</f>
        <v/>
      </c>
      <c r="Q1753" s="9">
        <f>IF(AND(ISNUMBER(M1753),ISNUMBER(O1753)),IF(M1753&lt;=O1753,"Valor ≤ venal IPTU",""),"")</f>
        <v/>
      </c>
      <c r="R1753" s="10" t="n"/>
      <c r="S1753" s="10" t="n"/>
      <c r="AA1753" s="10" t="n"/>
      <c r="AB1753" s="11">
        <f>IF(LEN(TRIM(X1753))=0,"",HYPERLINK("https://www.google.com/maps/@?api=1&amp;map_action=pano&amp;viewpoint="&amp;SUBSTITUTE(X1753," ",""),"Abrir Street View"))</f>
        <v/>
      </c>
    </row>
    <row r="1754">
      <c r="H1754" s="6" t="n"/>
      <c r="I1754" s="6" t="n"/>
      <c r="M1754" s="7" t="n"/>
      <c r="N1754" s="7" t="n"/>
      <c r="O1754" s="7" t="n"/>
      <c r="P1754" s="8">
        <f>IF(NOT(ISNUMBER(M1754)),"",IF(G1754="Terreno",IF(AND(ISNUMBER(I1754),I1754&gt;0),M1754/I1754,""),IF(AND(ISNUMBER(H1754),H1754&gt;0),M1754/H1754,"")))</f>
        <v/>
      </c>
      <c r="Q1754" s="9">
        <f>IF(AND(ISNUMBER(M1754),ISNUMBER(O1754)),IF(M1754&lt;=O1754,"Valor ≤ venal IPTU",""),"")</f>
        <v/>
      </c>
      <c r="R1754" s="10" t="n"/>
      <c r="S1754" s="10" t="n"/>
      <c r="AA1754" s="10" t="n"/>
      <c r="AB1754" s="11">
        <f>IF(LEN(TRIM(X1754))=0,"",HYPERLINK("https://www.google.com/maps/@?api=1&amp;map_action=pano&amp;viewpoint="&amp;SUBSTITUTE(X1754," ",""),"Abrir Street View"))</f>
        <v/>
      </c>
    </row>
    <row r="1755">
      <c r="H1755" s="6" t="n"/>
      <c r="I1755" s="6" t="n"/>
      <c r="M1755" s="7" t="n"/>
      <c r="N1755" s="7" t="n"/>
      <c r="O1755" s="7" t="n"/>
      <c r="P1755" s="8">
        <f>IF(NOT(ISNUMBER(M1755)),"",IF(G1755="Terreno",IF(AND(ISNUMBER(I1755),I1755&gt;0),M1755/I1755,""),IF(AND(ISNUMBER(H1755),H1755&gt;0),M1755/H1755,"")))</f>
        <v/>
      </c>
      <c r="Q1755" s="9">
        <f>IF(AND(ISNUMBER(M1755),ISNUMBER(O1755)),IF(M1755&lt;=O1755,"Valor ≤ venal IPTU",""),"")</f>
        <v/>
      </c>
      <c r="R1755" s="10" t="n"/>
      <c r="S1755" s="10" t="n"/>
      <c r="AA1755" s="10" t="n"/>
      <c r="AB1755" s="11">
        <f>IF(LEN(TRIM(X1755))=0,"",HYPERLINK("https://www.google.com/maps/@?api=1&amp;map_action=pano&amp;viewpoint="&amp;SUBSTITUTE(X1755," ",""),"Abrir Street View"))</f>
        <v/>
      </c>
    </row>
    <row r="1756">
      <c r="H1756" s="6" t="n"/>
      <c r="I1756" s="6" t="n"/>
      <c r="M1756" s="7" t="n"/>
      <c r="N1756" s="7" t="n"/>
      <c r="O1756" s="7" t="n"/>
      <c r="P1756" s="8">
        <f>IF(NOT(ISNUMBER(M1756)),"",IF(G1756="Terreno",IF(AND(ISNUMBER(I1756),I1756&gt;0),M1756/I1756,""),IF(AND(ISNUMBER(H1756),H1756&gt;0),M1756/H1756,"")))</f>
        <v/>
      </c>
      <c r="Q1756" s="9">
        <f>IF(AND(ISNUMBER(M1756),ISNUMBER(O1756)),IF(M1756&lt;=O1756,"Valor ≤ venal IPTU",""),"")</f>
        <v/>
      </c>
      <c r="R1756" s="10" t="n"/>
      <c r="S1756" s="10" t="n"/>
      <c r="AA1756" s="10" t="n"/>
      <c r="AB1756" s="11">
        <f>IF(LEN(TRIM(X1756))=0,"",HYPERLINK("https://www.google.com/maps/@?api=1&amp;map_action=pano&amp;viewpoint="&amp;SUBSTITUTE(X1756," ",""),"Abrir Street View"))</f>
        <v/>
      </c>
    </row>
    <row r="1757">
      <c r="H1757" s="6" t="n"/>
      <c r="I1757" s="6" t="n"/>
      <c r="M1757" s="7" t="n"/>
      <c r="N1757" s="7" t="n"/>
      <c r="O1757" s="7" t="n"/>
      <c r="P1757" s="8">
        <f>IF(NOT(ISNUMBER(M1757)),"",IF(G1757="Terreno",IF(AND(ISNUMBER(I1757),I1757&gt;0),M1757/I1757,""),IF(AND(ISNUMBER(H1757),H1757&gt;0),M1757/H1757,"")))</f>
        <v/>
      </c>
      <c r="Q1757" s="9">
        <f>IF(AND(ISNUMBER(M1757),ISNUMBER(O1757)),IF(M1757&lt;=O1757,"Valor ≤ venal IPTU",""),"")</f>
        <v/>
      </c>
      <c r="R1757" s="10" t="n"/>
      <c r="S1757" s="10" t="n"/>
      <c r="AA1757" s="10" t="n"/>
      <c r="AB1757" s="11">
        <f>IF(LEN(TRIM(X1757))=0,"",HYPERLINK("https://www.google.com/maps/@?api=1&amp;map_action=pano&amp;viewpoint="&amp;SUBSTITUTE(X1757," ",""),"Abrir Street View"))</f>
        <v/>
      </c>
    </row>
    <row r="1758">
      <c r="H1758" s="6" t="n"/>
      <c r="I1758" s="6" t="n"/>
      <c r="M1758" s="7" t="n"/>
      <c r="N1758" s="7" t="n"/>
      <c r="O1758" s="7" t="n"/>
      <c r="P1758" s="8">
        <f>IF(NOT(ISNUMBER(M1758)),"",IF(G1758="Terreno",IF(AND(ISNUMBER(I1758),I1758&gt;0),M1758/I1758,""),IF(AND(ISNUMBER(H1758),H1758&gt;0),M1758/H1758,"")))</f>
        <v/>
      </c>
      <c r="Q1758" s="9">
        <f>IF(AND(ISNUMBER(M1758),ISNUMBER(O1758)),IF(M1758&lt;=O1758,"Valor ≤ venal IPTU",""),"")</f>
        <v/>
      </c>
      <c r="R1758" s="10" t="n"/>
      <c r="S1758" s="10" t="n"/>
      <c r="AA1758" s="10" t="n"/>
      <c r="AB1758" s="11">
        <f>IF(LEN(TRIM(X1758))=0,"",HYPERLINK("https://www.google.com/maps/@?api=1&amp;map_action=pano&amp;viewpoint="&amp;SUBSTITUTE(X1758," ",""),"Abrir Street View"))</f>
        <v/>
      </c>
    </row>
    <row r="1759">
      <c r="H1759" s="6" t="n"/>
      <c r="I1759" s="6" t="n"/>
      <c r="M1759" s="7" t="n"/>
      <c r="N1759" s="7" t="n"/>
      <c r="O1759" s="7" t="n"/>
      <c r="P1759" s="8">
        <f>IF(NOT(ISNUMBER(M1759)),"",IF(G1759="Terreno",IF(AND(ISNUMBER(I1759),I1759&gt;0),M1759/I1759,""),IF(AND(ISNUMBER(H1759),H1759&gt;0),M1759/H1759,"")))</f>
        <v/>
      </c>
      <c r="Q1759" s="9">
        <f>IF(AND(ISNUMBER(M1759),ISNUMBER(O1759)),IF(M1759&lt;=O1759,"Valor ≤ venal IPTU",""),"")</f>
        <v/>
      </c>
      <c r="R1759" s="10" t="n"/>
      <c r="S1759" s="10" t="n"/>
      <c r="AA1759" s="10" t="n"/>
      <c r="AB1759" s="11">
        <f>IF(LEN(TRIM(X1759))=0,"",HYPERLINK("https://www.google.com/maps/@?api=1&amp;map_action=pano&amp;viewpoint="&amp;SUBSTITUTE(X1759," ",""),"Abrir Street View"))</f>
        <v/>
      </c>
    </row>
    <row r="1760">
      <c r="H1760" s="6" t="n"/>
      <c r="I1760" s="6" t="n"/>
      <c r="M1760" s="7" t="n"/>
      <c r="N1760" s="7" t="n"/>
      <c r="O1760" s="7" t="n"/>
      <c r="P1760" s="8">
        <f>IF(NOT(ISNUMBER(M1760)),"",IF(G1760="Terreno",IF(AND(ISNUMBER(I1760),I1760&gt;0),M1760/I1760,""),IF(AND(ISNUMBER(H1760),H1760&gt;0),M1760/H1760,"")))</f>
        <v/>
      </c>
      <c r="Q1760" s="9">
        <f>IF(AND(ISNUMBER(M1760),ISNUMBER(O1760)),IF(M1760&lt;=O1760,"Valor ≤ venal IPTU",""),"")</f>
        <v/>
      </c>
      <c r="R1760" s="10" t="n"/>
      <c r="S1760" s="10" t="n"/>
      <c r="AA1760" s="10" t="n"/>
      <c r="AB1760" s="11">
        <f>IF(LEN(TRIM(X1760))=0,"",HYPERLINK("https://www.google.com/maps/@?api=1&amp;map_action=pano&amp;viewpoint="&amp;SUBSTITUTE(X1760," ",""),"Abrir Street View"))</f>
        <v/>
      </c>
    </row>
    <row r="1761">
      <c r="H1761" s="6" t="n"/>
      <c r="I1761" s="6" t="n"/>
      <c r="M1761" s="7" t="n"/>
      <c r="N1761" s="7" t="n"/>
      <c r="O1761" s="7" t="n"/>
      <c r="P1761" s="8">
        <f>IF(NOT(ISNUMBER(M1761)),"",IF(G1761="Terreno",IF(AND(ISNUMBER(I1761),I1761&gt;0),M1761/I1761,""),IF(AND(ISNUMBER(H1761),H1761&gt;0),M1761/H1761,"")))</f>
        <v/>
      </c>
      <c r="Q1761" s="9">
        <f>IF(AND(ISNUMBER(M1761),ISNUMBER(O1761)),IF(M1761&lt;=O1761,"Valor ≤ venal IPTU",""),"")</f>
        <v/>
      </c>
      <c r="R1761" s="10" t="n"/>
      <c r="S1761" s="10" t="n"/>
      <c r="AA1761" s="10" t="n"/>
      <c r="AB1761" s="11">
        <f>IF(LEN(TRIM(X1761))=0,"",HYPERLINK("https://www.google.com/maps/@?api=1&amp;map_action=pano&amp;viewpoint="&amp;SUBSTITUTE(X1761," ",""),"Abrir Street View"))</f>
        <v/>
      </c>
    </row>
    <row r="1762">
      <c r="H1762" s="6" t="n"/>
      <c r="I1762" s="6" t="n"/>
      <c r="M1762" s="7" t="n"/>
      <c r="N1762" s="7" t="n"/>
      <c r="O1762" s="7" t="n"/>
      <c r="P1762" s="8">
        <f>IF(NOT(ISNUMBER(M1762)),"",IF(G1762="Terreno",IF(AND(ISNUMBER(I1762),I1762&gt;0),M1762/I1762,""),IF(AND(ISNUMBER(H1762),H1762&gt;0),M1762/H1762,"")))</f>
        <v/>
      </c>
      <c r="Q1762" s="9">
        <f>IF(AND(ISNUMBER(M1762),ISNUMBER(O1762)),IF(M1762&lt;=O1762,"Valor ≤ venal IPTU",""),"")</f>
        <v/>
      </c>
      <c r="R1762" s="10" t="n"/>
      <c r="S1762" s="10" t="n"/>
      <c r="AA1762" s="10" t="n"/>
      <c r="AB1762" s="11">
        <f>IF(LEN(TRIM(X1762))=0,"",HYPERLINK("https://www.google.com/maps/@?api=1&amp;map_action=pano&amp;viewpoint="&amp;SUBSTITUTE(X1762," ",""),"Abrir Street View"))</f>
        <v/>
      </c>
    </row>
    <row r="1763">
      <c r="H1763" s="6" t="n"/>
      <c r="I1763" s="6" t="n"/>
      <c r="M1763" s="7" t="n"/>
      <c r="N1763" s="7" t="n"/>
      <c r="O1763" s="7" t="n"/>
      <c r="P1763" s="8">
        <f>IF(NOT(ISNUMBER(M1763)),"",IF(G1763="Terreno",IF(AND(ISNUMBER(I1763),I1763&gt;0),M1763/I1763,""),IF(AND(ISNUMBER(H1763),H1763&gt;0),M1763/H1763,"")))</f>
        <v/>
      </c>
      <c r="Q1763" s="9">
        <f>IF(AND(ISNUMBER(M1763),ISNUMBER(O1763)),IF(M1763&lt;=O1763,"Valor ≤ venal IPTU",""),"")</f>
        <v/>
      </c>
      <c r="R1763" s="10" t="n"/>
      <c r="S1763" s="10" t="n"/>
      <c r="AA1763" s="10" t="n"/>
      <c r="AB1763" s="11">
        <f>IF(LEN(TRIM(X1763))=0,"",HYPERLINK("https://www.google.com/maps/@?api=1&amp;map_action=pano&amp;viewpoint="&amp;SUBSTITUTE(X1763," ",""),"Abrir Street View"))</f>
        <v/>
      </c>
    </row>
    <row r="1764">
      <c r="H1764" s="6" t="n"/>
      <c r="I1764" s="6" t="n"/>
      <c r="M1764" s="7" t="n"/>
      <c r="N1764" s="7" t="n"/>
      <c r="O1764" s="7" t="n"/>
      <c r="P1764" s="8">
        <f>IF(NOT(ISNUMBER(M1764)),"",IF(G1764="Terreno",IF(AND(ISNUMBER(I1764),I1764&gt;0),M1764/I1764,""),IF(AND(ISNUMBER(H1764),H1764&gt;0),M1764/H1764,"")))</f>
        <v/>
      </c>
      <c r="Q1764" s="9">
        <f>IF(AND(ISNUMBER(M1764),ISNUMBER(O1764)),IF(M1764&lt;=O1764,"Valor ≤ venal IPTU",""),"")</f>
        <v/>
      </c>
      <c r="R1764" s="10" t="n"/>
      <c r="S1764" s="10" t="n"/>
      <c r="AA1764" s="10" t="n"/>
      <c r="AB1764" s="11">
        <f>IF(LEN(TRIM(X1764))=0,"",HYPERLINK("https://www.google.com/maps/@?api=1&amp;map_action=pano&amp;viewpoint="&amp;SUBSTITUTE(X1764," ",""),"Abrir Street View"))</f>
        <v/>
      </c>
    </row>
    <row r="1765">
      <c r="H1765" s="6" t="n"/>
      <c r="I1765" s="6" t="n"/>
      <c r="M1765" s="7" t="n"/>
      <c r="N1765" s="7" t="n"/>
      <c r="O1765" s="7" t="n"/>
      <c r="P1765" s="8">
        <f>IF(NOT(ISNUMBER(M1765)),"",IF(G1765="Terreno",IF(AND(ISNUMBER(I1765),I1765&gt;0),M1765/I1765,""),IF(AND(ISNUMBER(H1765),H1765&gt;0),M1765/H1765,"")))</f>
        <v/>
      </c>
      <c r="Q1765" s="9">
        <f>IF(AND(ISNUMBER(M1765),ISNUMBER(O1765)),IF(M1765&lt;=O1765,"Valor ≤ venal IPTU",""),"")</f>
        <v/>
      </c>
      <c r="R1765" s="10" t="n"/>
      <c r="S1765" s="10" t="n"/>
      <c r="AA1765" s="10" t="n"/>
      <c r="AB1765" s="11">
        <f>IF(LEN(TRIM(X1765))=0,"",HYPERLINK("https://www.google.com/maps/@?api=1&amp;map_action=pano&amp;viewpoint="&amp;SUBSTITUTE(X1765," ",""),"Abrir Street View"))</f>
        <v/>
      </c>
    </row>
    <row r="1766">
      <c r="H1766" s="6" t="n"/>
      <c r="I1766" s="6" t="n"/>
      <c r="M1766" s="7" t="n"/>
      <c r="N1766" s="7" t="n"/>
      <c r="O1766" s="7" t="n"/>
      <c r="P1766" s="8">
        <f>IF(NOT(ISNUMBER(M1766)),"",IF(G1766="Terreno",IF(AND(ISNUMBER(I1766),I1766&gt;0),M1766/I1766,""),IF(AND(ISNUMBER(H1766),H1766&gt;0),M1766/H1766,"")))</f>
        <v/>
      </c>
      <c r="Q1766" s="9">
        <f>IF(AND(ISNUMBER(M1766),ISNUMBER(O1766)),IF(M1766&lt;=O1766,"Valor ≤ venal IPTU",""),"")</f>
        <v/>
      </c>
      <c r="R1766" s="10" t="n"/>
      <c r="S1766" s="10" t="n"/>
      <c r="AA1766" s="10" t="n"/>
      <c r="AB1766" s="11">
        <f>IF(LEN(TRIM(X1766))=0,"",HYPERLINK("https://www.google.com/maps/@?api=1&amp;map_action=pano&amp;viewpoint="&amp;SUBSTITUTE(X1766," ",""),"Abrir Street View"))</f>
        <v/>
      </c>
    </row>
    <row r="1767">
      <c r="H1767" s="6" t="n"/>
      <c r="I1767" s="6" t="n"/>
      <c r="M1767" s="7" t="n"/>
      <c r="N1767" s="7" t="n"/>
      <c r="O1767" s="7" t="n"/>
      <c r="P1767" s="8">
        <f>IF(NOT(ISNUMBER(M1767)),"",IF(G1767="Terreno",IF(AND(ISNUMBER(I1767),I1767&gt;0),M1767/I1767,""),IF(AND(ISNUMBER(H1767),H1767&gt;0),M1767/H1767,"")))</f>
        <v/>
      </c>
      <c r="Q1767" s="9">
        <f>IF(AND(ISNUMBER(M1767),ISNUMBER(O1767)),IF(M1767&lt;=O1767,"Valor ≤ venal IPTU",""),"")</f>
        <v/>
      </c>
      <c r="R1767" s="10" t="n"/>
      <c r="S1767" s="10" t="n"/>
      <c r="AA1767" s="10" t="n"/>
      <c r="AB1767" s="11">
        <f>IF(LEN(TRIM(X1767))=0,"",HYPERLINK("https://www.google.com/maps/@?api=1&amp;map_action=pano&amp;viewpoint="&amp;SUBSTITUTE(X1767," ",""),"Abrir Street View"))</f>
        <v/>
      </c>
    </row>
    <row r="1768">
      <c r="H1768" s="6" t="n"/>
      <c r="I1768" s="6" t="n"/>
      <c r="M1768" s="7" t="n"/>
      <c r="N1768" s="7" t="n"/>
      <c r="O1768" s="7" t="n"/>
      <c r="P1768" s="8">
        <f>IF(NOT(ISNUMBER(M1768)),"",IF(G1768="Terreno",IF(AND(ISNUMBER(I1768),I1768&gt;0),M1768/I1768,""),IF(AND(ISNUMBER(H1768),H1768&gt;0),M1768/H1768,"")))</f>
        <v/>
      </c>
      <c r="Q1768" s="9">
        <f>IF(AND(ISNUMBER(M1768),ISNUMBER(O1768)),IF(M1768&lt;=O1768,"Valor ≤ venal IPTU",""),"")</f>
        <v/>
      </c>
      <c r="R1768" s="10" t="n"/>
      <c r="S1768" s="10" t="n"/>
      <c r="AA1768" s="10" t="n"/>
      <c r="AB1768" s="11">
        <f>IF(LEN(TRIM(X1768))=0,"",HYPERLINK("https://www.google.com/maps/@?api=1&amp;map_action=pano&amp;viewpoint="&amp;SUBSTITUTE(X1768," ",""),"Abrir Street View"))</f>
        <v/>
      </c>
    </row>
    <row r="1769">
      <c r="H1769" s="6" t="n"/>
      <c r="I1769" s="6" t="n"/>
      <c r="M1769" s="7" t="n"/>
      <c r="N1769" s="7" t="n"/>
      <c r="O1769" s="7" t="n"/>
      <c r="P1769" s="8">
        <f>IF(NOT(ISNUMBER(M1769)),"",IF(G1769="Terreno",IF(AND(ISNUMBER(I1769),I1769&gt;0),M1769/I1769,""),IF(AND(ISNUMBER(H1769),H1769&gt;0),M1769/H1769,"")))</f>
        <v/>
      </c>
      <c r="Q1769" s="9">
        <f>IF(AND(ISNUMBER(M1769),ISNUMBER(O1769)),IF(M1769&lt;=O1769,"Valor ≤ venal IPTU",""),"")</f>
        <v/>
      </c>
      <c r="R1769" s="10" t="n"/>
      <c r="S1769" s="10" t="n"/>
      <c r="AA1769" s="10" t="n"/>
      <c r="AB1769" s="11">
        <f>IF(LEN(TRIM(X1769))=0,"",HYPERLINK("https://www.google.com/maps/@?api=1&amp;map_action=pano&amp;viewpoint="&amp;SUBSTITUTE(X1769," ",""),"Abrir Street View"))</f>
        <v/>
      </c>
    </row>
    <row r="1770">
      <c r="H1770" s="6" t="n"/>
      <c r="I1770" s="6" t="n"/>
      <c r="M1770" s="7" t="n"/>
      <c r="N1770" s="7" t="n"/>
      <c r="O1770" s="7" t="n"/>
      <c r="P1770" s="8">
        <f>IF(NOT(ISNUMBER(M1770)),"",IF(G1770="Terreno",IF(AND(ISNUMBER(I1770),I1770&gt;0),M1770/I1770,""),IF(AND(ISNUMBER(H1770),H1770&gt;0),M1770/H1770,"")))</f>
        <v/>
      </c>
      <c r="Q1770" s="9">
        <f>IF(AND(ISNUMBER(M1770),ISNUMBER(O1770)),IF(M1770&lt;=O1770,"Valor ≤ venal IPTU",""),"")</f>
        <v/>
      </c>
      <c r="R1770" s="10" t="n"/>
      <c r="S1770" s="10" t="n"/>
      <c r="AA1770" s="10" t="n"/>
      <c r="AB1770" s="11">
        <f>IF(LEN(TRIM(X1770))=0,"",HYPERLINK("https://www.google.com/maps/@?api=1&amp;map_action=pano&amp;viewpoint="&amp;SUBSTITUTE(X1770," ",""),"Abrir Street View"))</f>
        <v/>
      </c>
    </row>
    <row r="1771">
      <c r="H1771" s="6" t="n"/>
      <c r="I1771" s="6" t="n"/>
      <c r="M1771" s="7" t="n"/>
      <c r="N1771" s="7" t="n"/>
      <c r="O1771" s="7" t="n"/>
      <c r="P1771" s="8">
        <f>IF(NOT(ISNUMBER(M1771)),"",IF(G1771="Terreno",IF(AND(ISNUMBER(I1771),I1771&gt;0),M1771/I1771,""),IF(AND(ISNUMBER(H1771),H1771&gt;0),M1771/H1771,"")))</f>
        <v/>
      </c>
      <c r="Q1771" s="9">
        <f>IF(AND(ISNUMBER(M1771),ISNUMBER(O1771)),IF(M1771&lt;=O1771,"Valor ≤ venal IPTU",""),"")</f>
        <v/>
      </c>
      <c r="R1771" s="10" t="n"/>
      <c r="S1771" s="10" t="n"/>
      <c r="AA1771" s="10" t="n"/>
      <c r="AB1771" s="11">
        <f>IF(LEN(TRIM(X1771))=0,"",HYPERLINK("https://www.google.com/maps/@?api=1&amp;map_action=pano&amp;viewpoint="&amp;SUBSTITUTE(X1771," ",""),"Abrir Street View"))</f>
        <v/>
      </c>
    </row>
    <row r="1772">
      <c r="H1772" s="6" t="n"/>
      <c r="I1772" s="6" t="n"/>
      <c r="M1772" s="7" t="n"/>
      <c r="N1772" s="7" t="n"/>
      <c r="O1772" s="7" t="n"/>
      <c r="P1772" s="8">
        <f>IF(NOT(ISNUMBER(M1772)),"",IF(G1772="Terreno",IF(AND(ISNUMBER(I1772),I1772&gt;0),M1772/I1772,""),IF(AND(ISNUMBER(H1772),H1772&gt;0),M1772/H1772,"")))</f>
        <v/>
      </c>
      <c r="Q1772" s="9">
        <f>IF(AND(ISNUMBER(M1772),ISNUMBER(O1772)),IF(M1772&lt;=O1772,"Valor ≤ venal IPTU",""),"")</f>
        <v/>
      </c>
      <c r="R1772" s="10" t="n"/>
      <c r="S1772" s="10" t="n"/>
      <c r="AA1772" s="10" t="n"/>
      <c r="AB1772" s="11">
        <f>IF(LEN(TRIM(X1772))=0,"",HYPERLINK("https://www.google.com/maps/@?api=1&amp;map_action=pano&amp;viewpoint="&amp;SUBSTITUTE(X1772," ",""),"Abrir Street View"))</f>
        <v/>
      </c>
    </row>
    <row r="1773">
      <c r="H1773" s="6" t="n"/>
      <c r="I1773" s="6" t="n"/>
      <c r="M1773" s="7" t="n"/>
      <c r="N1773" s="7" t="n"/>
      <c r="O1773" s="7" t="n"/>
      <c r="P1773" s="8">
        <f>IF(NOT(ISNUMBER(M1773)),"",IF(G1773="Terreno",IF(AND(ISNUMBER(I1773),I1773&gt;0),M1773/I1773,""),IF(AND(ISNUMBER(H1773),H1773&gt;0),M1773/H1773,"")))</f>
        <v/>
      </c>
      <c r="Q1773" s="9">
        <f>IF(AND(ISNUMBER(M1773),ISNUMBER(O1773)),IF(M1773&lt;=O1773,"Valor ≤ venal IPTU",""),"")</f>
        <v/>
      </c>
      <c r="R1773" s="10" t="n"/>
      <c r="S1773" s="10" t="n"/>
      <c r="AA1773" s="10" t="n"/>
      <c r="AB1773" s="11">
        <f>IF(LEN(TRIM(X1773))=0,"",HYPERLINK("https://www.google.com/maps/@?api=1&amp;map_action=pano&amp;viewpoint="&amp;SUBSTITUTE(X1773," ",""),"Abrir Street View"))</f>
        <v/>
      </c>
    </row>
    <row r="1774">
      <c r="H1774" s="6" t="n"/>
      <c r="I1774" s="6" t="n"/>
      <c r="M1774" s="7" t="n"/>
      <c r="N1774" s="7" t="n"/>
      <c r="O1774" s="7" t="n"/>
      <c r="P1774" s="8">
        <f>IF(NOT(ISNUMBER(M1774)),"",IF(G1774="Terreno",IF(AND(ISNUMBER(I1774),I1774&gt;0),M1774/I1774,""),IF(AND(ISNUMBER(H1774),H1774&gt;0),M1774/H1774,"")))</f>
        <v/>
      </c>
      <c r="Q1774" s="9">
        <f>IF(AND(ISNUMBER(M1774),ISNUMBER(O1774)),IF(M1774&lt;=O1774,"Valor ≤ venal IPTU",""),"")</f>
        <v/>
      </c>
      <c r="R1774" s="10" t="n"/>
      <c r="S1774" s="10" t="n"/>
      <c r="AA1774" s="10" t="n"/>
      <c r="AB1774" s="11">
        <f>IF(LEN(TRIM(X1774))=0,"",HYPERLINK("https://www.google.com/maps/@?api=1&amp;map_action=pano&amp;viewpoint="&amp;SUBSTITUTE(X1774," ",""),"Abrir Street View"))</f>
        <v/>
      </c>
    </row>
    <row r="1775">
      <c r="H1775" s="6" t="n"/>
      <c r="I1775" s="6" t="n"/>
      <c r="M1775" s="7" t="n"/>
      <c r="N1775" s="7" t="n"/>
      <c r="O1775" s="7" t="n"/>
      <c r="P1775" s="8">
        <f>IF(NOT(ISNUMBER(M1775)),"",IF(G1775="Terreno",IF(AND(ISNUMBER(I1775),I1775&gt;0),M1775/I1775,""),IF(AND(ISNUMBER(H1775),H1775&gt;0),M1775/H1775,"")))</f>
        <v/>
      </c>
      <c r="Q1775" s="9">
        <f>IF(AND(ISNUMBER(M1775),ISNUMBER(O1775)),IF(M1775&lt;=O1775,"Valor ≤ venal IPTU",""),"")</f>
        <v/>
      </c>
      <c r="R1775" s="10" t="n"/>
      <c r="S1775" s="10" t="n"/>
      <c r="AA1775" s="10" t="n"/>
      <c r="AB1775" s="11">
        <f>IF(LEN(TRIM(X1775))=0,"",HYPERLINK("https://www.google.com/maps/@?api=1&amp;map_action=pano&amp;viewpoint="&amp;SUBSTITUTE(X1775," ",""),"Abrir Street View"))</f>
        <v/>
      </c>
    </row>
    <row r="1776">
      <c r="H1776" s="6" t="n"/>
      <c r="I1776" s="6" t="n"/>
      <c r="M1776" s="7" t="n"/>
      <c r="N1776" s="7" t="n"/>
      <c r="O1776" s="7" t="n"/>
      <c r="P1776" s="8">
        <f>IF(NOT(ISNUMBER(M1776)),"",IF(G1776="Terreno",IF(AND(ISNUMBER(I1776),I1776&gt;0),M1776/I1776,""),IF(AND(ISNUMBER(H1776),H1776&gt;0),M1776/H1776,"")))</f>
        <v/>
      </c>
      <c r="Q1776" s="9">
        <f>IF(AND(ISNUMBER(M1776),ISNUMBER(O1776)),IF(M1776&lt;=O1776,"Valor ≤ venal IPTU",""),"")</f>
        <v/>
      </c>
      <c r="R1776" s="10" t="n"/>
      <c r="S1776" s="10" t="n"/>
      <c r="AA1776" s="10" t="n"/>
      <c r="AB1776" s="11">
        <f>IF(LEN(TRIM(X1776))=0,"",HYPERLINK("https://www.google.com/maps/@?api=1&amp;map_action=pano&amp;viewpoint="&amp;SUBSTITUTE(X1776," ",""),"Abrir Street View"))</f>
        <v/>
      </c>
    </row>
    <row r="1777">
      <c r="H1777" s="6" t="n"/>
      <c r="I1777" s="6" t="n"/>
      <c r="M1777" s="7" t="n"/>
      <c r="N1777" s="7" t="n"/>
      <c r="O1777" s="7" t="n"/>
      <c r="P1777" s="8">
        <f>IF(NOT(ISNUMBER(M1777)),"",IF(G1777="Terreno",IF(AND(ISNUMBER(I1777),I1777&gt;0),M1777/I1777,""),IF(AND(ISNUMBER(H1777),H1777&gt;0),M1777/H1777,"")))</f>
        <v/>
      </c>
      <c r="Q1777" s="9">
        <f>IF(AND(ISNUMBER(M1777),ISNUMBER(O1777)),IF(M1777&lt;=O1777,"Valor ≤ venal IPTU",""),"")</f>
        <v/>
      </c>
      <c r="R1777" s="10" t="n"/>
      <c r="S1777" s="10" t="n"/>
      <c r="AA1777" s="10" t="n"/>
      <c r="AB1777" s="11">
        <f>IF(LEN(TRIM(X1777))=0,"",HYPERLINK("https://www.google.com/maps/@?api=1&amp;map_action=pano&amp;viewpoint="&amp;SUBSTITUTE(X1777," ",""),"Abrir Street View"))</f>
        <v/>
      </c>
    </row>
    <row r="1778">
      <c r="H1778" s="6" t="n"/>
      <c r="I1778" s="6" t="n"/>
      <c r="M1778" s="7" t="n"/>
      <c r="N1778" s="7" t="n"/>
      <c r="O1778" s="7" t="n"/>
      <c r="P1778" s="8">
        <f>IF(NOT(ISNUMBER(M1778)),"",IF(G1778="Terreno",IF(AND(ISNUMBER(I1778),I1778&gt;0),M1778/I1778,""),IF(AND(ISNUMBER(H1778),H1778&gt;0),M1778/H1778,"")))</f>
        <v/>
      </c>
      <c r="Q1778" s="9">
        <f>IF(AND(ISNUMBER(M1778),ISNUMBER(O1778)),IF(M1778&lt;=O1778,"Valor ≤ venal IPTU",""),"")</f>
        <v/>
      </c>
      <c r="R1778" s="10" t="n"/>
      <c r="S1778" s="10" t="n"/>
      <c r="AA1778" s="10" t="n"/>
      <c r="AB1778" s="11">
        <f>IF(LEN(TRIM(X1778))=0,"",HYPERLINK("https://www.google.com/maps/@?api=1&amp;map_action=pano&amp;viewpoint="&amp;SUBSTITUTE(X1778," ",""),"Abrir Street View"))</f>
        <v/>
      </c>
    </row>
    <row r="1779">
      <c r="H1779" s="6" t="n"/>
      <c r="I1779" s="6" t="n"/>
      <c r="M1779" s="7" t="n"/>
      <c r="N1779" s="7" t="n"/>
      <c r="O1779" s="7" t="n"/>
      <c r="P1779" s="8">
        <f>IF(NOT(ISNUMBER(M1779)),"",IF(G1779="Terreno",IF(AND(ISNUMBER(I1779),I1779&gt;0),M1779/I1779,""),IF(AND(ISNUMBER(H1779),H1779&gt;0),M1779/H1779,"")))</f>
        <v/>
      </c>
      <c r="Q1779" s="9">
        <f>IF(AND(ISNUMBER(M1779),ISNUMBER(O1779)),IF(M1779&lt;=O1779,"Valor ≤ venal IPTU",""),"")</f>
        <v/>
      </c>
      <c r="R1779" s="10" t="n"/>
      <c r="S1779" s="10" t="n"/>
      <c r="AA1779" s="10" t="n"/>
      <c r="AB1779" s="11">
        <f>IF(LEN(TRIM(X1779))=0,"",HYPERLINK("https://www.google.com/maps/@?api=1&amp;map_action=pano&amp;viewpoint="&amp;SUBSTITUTE(X1779," ",""),"Abrir Street View"))</f>
        <v/>
      </c>
    </row>
    <row r="1780">
      <c r="H1780" s="6" t="n"/>
      <c r="I1780" s="6" t="n"/>
      <c r="M1780" s="7" t="n"/>
      <c r="N1780" s="7" t="n"/>
      <c r="O1780" s="7" t="n"/>
      <c r="P1780" s="8">
        <f>IF(NOT(ISNUMBER(M1780)),"",IF(G1780="Terreno",IF(AND(ISNUMBER(I1780),I1780&gt;0),M1780/I1780,""),IF(AND(ISNUMBER(H1780),H1780&gt;0),M1780/H1780,"")))</f>
        <v/>
      </c>
      <c r="Q1780" s="9">
        <f>IF(AND(ISNUMBER(M1780),ISNUMBER(O1780)),IF(M1780&lt;=O1780,"Valor ≤ venal IPTU",""),"")</f>
        <v/>
      </c>
      <c r="R1780" s="10" t="n"/>
      <c r="S1780" s="10" t="n"/>
      <c r="AA1780" s="10" t="n"/>
      <c r="AB1780" s="11">
        <f>IF(LEN(TRIM(X1780))=0,"",HYPERLINK("https://www.google.com/maps/@?api=1&amp;map_action=pano&amp;viewpoint="&amp;SUBSTITUTE(X1780," ",""),"Abrir Street View"))</f>
        <v/>
      </c>
    </row>
    <row r="1781">
      <c r="H1781" s="6" t="n"/>
      <c r="I1781" s="6" t="n"/>
      <c r="M1781" s="7" t="n"/>
      <c r="N1781" s="7" t="n"/>
      <c r="O1781" s="7" t="n"/>
      <c r="P1781" s="8">
        <f>IF(NOT(ISNUMBER(M1781)),"",IF(G1781="Terreno",IF(AND(ISNUMBER(I1781),I1781&gt;0),M1781/I1781,""),IF(AND(ISNUMBER(H1781),H1781&gt;0),M1781/H1781,"")))</f>
        <v/>
      </c>
      <c r="Q1781" s="9">
        <f>IF(AND(ISNUMBER(M1781),ISNUMBER(O1781)),IF(M1781&lt;=O1781,"Valor ≤ venal IPTU",""),"")</f>
        <v/>
      </c>
      <c r="R1781" s="10" t="n"/>
      <c r="S1781" s="10" t="n"/>
      <c r="AA1781" s="10" t="n"/>
      <c r="AB1781" s="11">
        <f>IF(LEN(TRIM(X1781))=0,"",HYPERLINK("https://www.google.com/maps/@?api=1&amp;map_action=pano&amp;viewpoint="&amp;SUBSTITUTE(X1781," ",""),"Abrir Street View"))</f>
        <v/>
      </c>
    </row>
    <row r="1782">
      <c r="H1782" s="6" t="n"/>
      <c r="I1782" s="6" t="n"/>
      <c r="M1782" s="7" t="n"/>
      <c r="N1782" s="7" t="n"/>
      <c r="O1782" s="7" t="n"/>
      <c r="P1782" s="8">
        <f>IF(NOT(ISNUMBER(M1782)),"",IF(G1782="Terreno",IF(AND(ISNUMBER(I1782),I1782&gt;0),M1782/I1782,""),IF(AND(ISNUMBER(H1782),H1782&gt;0),M1782/H1782,"")))</f>
        <v/>
      </c>
      <c r="Q1782" s="9">
        <f>IF(AND(ISNUMBER(M1782),ISNUMBER(O1782)),IF(M1782&lt;=O1782,"Valor ≤ venal IPTU",""),"")</f>
        <v/>
      </c>
      <c r="R1782" s="10" t="n"/>
      <c r="S1782" s="10" t="n"/>
      <c r="AA1782" s="10" t="n"/>
      <c r="AB1782" s="11">
        <f>IF(LEN(TRIM(X1782))=0,"",HYPERLINK("https://www.google.com/maps/@?api=1&amp;map_action=pano&amp;viewpoint="&amp;SUBSTITUTE(X1782," ",""),"Abrir Street View"))</f>
        <v/>
      </c>
    </row>
    <row r="1783">
      <c r="H1783" s="6" t="n"/>
      <c r="I1783" s="6" t="n"/>
      <c r="M1783" s="7" t="n"/>
      <c r="N1783" s="7" t="n"/>
      <c r="O1783" s="7" t="n"/>
      <c r="P1783" s="8">
        <f>IF(NOT(ISNUMBER(M1783)),"",IF(G1783="Terreno",IF(AND(ISNUMBER(I1783),I1783&gt;0),M1783/I1783,""),IF(AND(ISNUMBER(H1783),H1783&gt;0),M1783/H1783,"")))</f>
        <v/>
      </c>
      <c r="Q1783" s="9">
        <f>IF(AND(ISNUMBER(M1783),ISNUMBER(O1783)),IF(M1783&lt;=O1783,"Valor ≤ venal IPTU",""),"")</f>
        <v/>
      </c>
      <c r="R1783" s="10" t="n"/>
      <c r="S1783" s="10" t="n"/>
      <c r="AA1783" s="10" t="n"/>
      <c r="AB1783" s="11">
        <f>IF(LEN(TRIM(X1783))=0,"",HYPERLINK("https://www.google.com/maps/@?api=1&amp;map_action=pano&amp;viewpoint="&amp;SUBSTITUTE(X1783," ",""),"Abrir Street View"))</f>
        <v/>
      </c>
    </row>
    <row r="1784">
      <c r="H1784" s="6" t="n"/>
      <c r="I1784" s="6" t="n"/>
      <c r="M1784" s="7" t="n"/>
      <c r="N1784" s="7" t="n"/>
      <c r="O1784" s="7" t="n"/>
      <c r="P1784" s="8">
        <f>IF(NOT(ISNUMBER(M1784)),"",IF(G1784="Terreno",IF(AND(ISNUMBER(I1784),I1784&gt;0),M1784/I1784,""),IF(AND(ISNUMBER(H1784),H1784&gt;0),M1784/H1784,"")))</f>
        <v/>
      </c>
      <c r="Q1784" s="9">
        <f>IF(AND(ISNUMBER(M1784),ISNUMBER(O1784)),IF(M1784&lt;=O1784,"Valor ≤ venal IPTU",""),"")</f>
        <v/>
      </c>
      <c r="R1784" s="10" t="n"/>
      <c r="S1784" s="10" t="n"/>
      <c r="AA1784" s="10" t="n"/>
      <c r="AB1784" s="11">
        <f>IF(LEN(TRIM(X1784))=0,"",HYPERLINK("https://www.google.com/maps/@?api=1&amp;map_action=pano&amp;viewpoint="&amp;SUBSTITUTE(X1784," ",""),"Abrir Street View"))</f>
        <v/>
      </c>
    </row>
    <row r="1785">
      <c r="H1785" s="6" t="n"/>
      <c r="I1785" s="6" t="n"/>
      <c r="M1785" s="7" t="n"/>
      <c r="N1785" s="7" t="n"/>
      <c r="O1785" s="7" t="n"/>
      <c r="P1785" s="8">
        <f>IF(NOT(ISNUMBER(M1785)),"",IF(G1785="Terreno",IF(AND(ISNUMBER(I1785),I1785&gt;0),M1785/I1785,""),IF(AND(ISNUMBER(H1785),H1785&gt;0),M1785/H1785,"")))</f>
        <v/>
      </c>
      <c r="Q1785" s="9">
        <f>IF(AND(ISNUMBER(M1785),ISNUMBER(O1785)),IF(M1785&lt;=O1785,"Valor ≤ venal IPTU",""),"")</f>
        <v/>
      </c>
      <c r="R1785" s="10" t="n"/>
      <c r="S1785" s="10" t="n"/>
      <c r="AA1785" s="10" t="n"/>
      <c r="AB1785" s="11">
        <f>IF(LEN(TRIM(X1785))=0,"",HYPERLINK("https://www.google.com/maps/@?api=1&amp;map_action=pano&amp;viewpoint="&amp;SUBSTITUTE(X1785," ",""),"Abrir Street View"))</f>
        <v/>
      </c>
    </row>
    <row r="1786">
      <c r="H1786" s="6" t="n"/>
      <c r="I1786" s="6" t="n"/>
      <c r="M1786" s="7" t="n"/>
      <c r="N1786" s="7" t="n"/>
      <c r="O1786" s="7" t="n"/>
      <c r="P1786" s="8">
        <f>IF(NOT(ISNUMBER(M1786)),"",IF(G1786="Terreno",IF(AND(ISNUMBER(I1786),I1786&gt;0),M1786/I1786,""),IF(AND(ISNUMBER(H1786),H1786&gt;0),M1786/H1786,"")))</f>
        <v/>
      </c>
      <c r="Q1786" s="9">
        <f>IF(AND(ISNUMBER(M1786),ISNUMBER(O1786)),IF(M1786&lt;=O1786,"Valor ≤ venal IPTU",""),"")</f>
        <v/>
      </c>
      <c r="R1786" s="10" t="n"/>
      <c r="S1786" s="10" t="n"/>
      <c r="AA1786" s="10" t="n"/>
      <c r="AB1786" s="11">
        <f>IF(LEN(TRIM(X1786))=0,"",HYPERLINK("https://www.google.com/maps/@?api=1&amp;map_action=pano&amp;viewpoint="&amp;SUBSTITUTE(X1786," ",""),"Abrir Street View"))</f>
        <v/>
      </c>
    </row>
    <row r="1787">
      <c r="H1787" s="6" t="n"/>
      <c r="I1787" s="6" t="n"/>
      <c r="M1787" s="7" t="n"/>
      <c r="N1787" s="7" t="n"/>
      <c r="O1787" s="7" t="n"/>
      <c r="P1787" s="8">
        <f>IF(NOT(ISNUMBER(M1787)),"",IF(G1787="Terreno",IF(AND(ISNUMBER(I1787),I1787&gt;0),M1787/I1787,""),IF(AND(ISNUMBER(H1787),H1787&gt;0),M1787/H1787,"")))</f>
        <v/>
      </c>
      <c r="Q1787" s="9">
        <f>IF(AND(ISNUMBER(M1787),ISNUMBER(O1787)),IF(M1787&lt;=O1787,"Valor ≤ venal IPTU",""),"")</f>
        <v/>
      </c>
      <c r="R1787" s="10" t="n"/>
      <c r="S1787" s="10" t="n"/>
      <c r="AA1787" s="10" t="n"/>
      <c r="AB1787" s="11">
        <f>IF(LEN(TRIM(X1787))=0,"",HYPERLINK("https://www.google.com/maps/@?api=1&amp;map_action=pano&amp;viewpoint="&amp;SUBSTITUTE(X1787," ",""),"Abrir Street View"))</f>
        <v/>
      </c>
    </row>
    <row r="1788">
      <c r="H1788" s="6" t="n"/>
      <c r="I1788" s="6" t="n"/>
      <c r="M1788" s="7" t="n"/>
      <c r="N1788" s="7" t="n"/>
      <c r="O1788" s="7" t="n"/>
      <c r="P1788" s="8">
        <f>IF(NOT(ISNUMBER(M1788)),"",IF(G1788="Terreno",IF(AND(ISNUMBER(I1788),I1788&gt;0),M1788/I1788,""),IF(AND(ISNUMBER(H1788),H1788&gt;0),M1788/H1788,"")))</f>
        <v/>
      </c>
      <c r="Q1788" s="9">
        <f>IF(AND(ISNUMBER(M1788),ISNUMBER(O1788)),IF(M1788&lt;=O1788,"Valor ≤ venal IPTU",""),"")</f>
        <v/>
      </c>
      <c r="R1788" s="10" t="n"/>
      <c r="S1788" s="10" t="n"/>
      <c r="AA1788" s="10" t="n"/>
      <c r="AB1788" s="11">
        <f>IF(LEN(TRIM(X1788))=0,"",HYPERLINK("https://www.google.com/maps/@?api=1&amp;map_action=pano&amp;viewpoint="&amp;SUBSTITUTE(X1788," ",""),"Abrir Street View"))</f>
        <v/>
      </c>
    </row>
    <row r="1789">
      <c r="H1789" s="6" t="n"/>
      <c r="I1789" s="6" t="n"/>
      <c r="M1789" s="7" t="n"/>
      <c r="N1789" s="7" t="n"/>
      <c r="O1789" s="7" t="n"/>
      <c r="P1789" s="8">
        <f>IF(NOT(ISNUMBER(M1789)),"",IF(G1789="Terreno",IF(AND(ISNUMBER(I1789),I1789&gt;0),M1789/I1789,""),IF(AND(ISNUMBER(H1789),H1789&gt;0),M1789/H1789,"")))</f>
        <v/>
      </c>
      <c r="Q1789" s="9">
        <f>IF(AND(ISNUMBER(M1789),ISNUMBER(O1789)),IF(M1789&lt;=O1789,"Valor ≤ venal IPTU",""),"")</f>
        <v/>
      </c>
      <c r="R1789" s="10" t="n"/>
      <c r="S1789" s="10" t="n"/>
      <c r="AA1789" s="10" t="n"/>
      <c r="AB1789" s="11">
        <f>IF(LEN(TRIM(X1789))=0,"",HYPERLINK("https://www.google.com/maps/@?api=1&amp;map_action=pano&amp;viewpoint="&amp;SUBSTITUTE(X1789," ",""),"Abrir Street View"))</f>
        <v/>
      </c>
    </row>
    <row r="1790">
      <c r="H1790" s="6" t="n"/>
      <c r="I1790" s="6" t="n"/>
      <c r="M1790" s="7" t="n"/>
      <c r="N1790" s="7" t="n"/>
      <c r="O1790" s="7" t="n"/>
      <c r="P1790" s="8">
        <f>IF(NOT(ISNUMBER(M1790)),"",IF(G1790="Terreno",IF(AND(ISNUMBER(I1790),I1790&gt;0),M1790/I1790,""),IF(AND(ISNUMBER(H1790),H1790&gt;0),M1790/H1790,"")))</f>
        <v/>
      </c>
      <c r="Q1790" s="9">
        <f>IF(AND(ISNUMBER(M1790),ISNUMBER(O1790)),IF(M1790&lt;=O1790,"Valor ≤ venal IPTU",""),"")</f>
        <v/>
      </c>
      <c r="R1790" s="10" t="n"/>
      <c r="S1790" s="10" t="n"/>
      <c r="AA1790" s="10" t="n"/>
      <c r="AB1790" s="11">
        <f>IF(LEN(TRIM(X1790))=0,"",HYPERLINK("https://www.google.com/maps/@?api=1&amp;map_action=pano&amp;viewpoint="&amp;SUBSTITUTE(X1790," ",""),"Abrir Street View"))</f>
        <v/>
      </c>
    </row>
    <row r="1791">
      <c r="H1791" s="6" t="n"/>
      <c r="I1791" s="6" t="n"/>
      <c r="M1791" s="7" t="n"/>
      <c r="N1791" s="7" t="n"/>
      <c r="O1791" s="7" t="n"/>
      <c r="P1791" s="8">
        <f>IF(NOT(ISNUMBER(M1791)),"",IF(G1791="Terreno",IF(AND(ISNUMBER(I1791),I1791&gt;0),M1791/I1791,""),IF(AND(ISNUMBER(H1791),H1791&gt;0),M1791/H1791,"")))</f>
        <v/>
      </c>
      <c r="Q1791" s="9">
        <f>IF(AND(ISNUMBER(M1791),ISNUMBER(O1791)),IF(M1791&lt;=O1791,"Valor ≤ venal IPTU",""),"")</f>
        <v/>
      </c>
      <c r="R1791" s="10" t="n"/>
      <c r="S1791" s="10" t="n"/>
      <c r="AA1791" s="10" t="n"/>
      <c r="AB1791" s="11">
        <f>IF(LEN(TRIM(X1791))=0,"",HYPERLINK("https://www.google.com/maps/@?api=1&amp;map_action=pano&amp;viewpoint="&amp;SUBSTITUTE(X1791," ",""),"Abrir Street View"))</f>
        <v/>
      </c>
    </row>
    <row r="1792">
      <c r="H1792" s="6" t="n"/>
      <c r="I1792" s="6" t="n"/>
      <c r="M1792" s="7" t="n"/>
      <c r="N1792" s="7" t="n"/>
      <c r="O1792" s="7" t="n"/>
      <c r="P1792" s="8">
        <f>IF(NOT(ISNUMBER(M1792)),"",IF(G1792="Terreno",IF(AND(ISNUMBER(I1792),I1792&gt;0),M1792/I1792,""),IF(AND(ISNUMBER(H1792),H1792&gt;0),M1792/H1792,"")))</f>
        <v/>
      </c>
      <c r="Q1792" s="9">
        <f>IF(AND(ISNUMBER(M1792),ISNUMBER(O1792)),IF(M1792&lt;=O1792,"Valor ≤ venal IPTU",""),"")</f>
        <v/>
      </c>
      <c r="R1792" s="10" t="n"/>
      <c r="S1792" s="10" t="n"/>
      <c r="AA1792" s="10" t="n"/>
      <c r="AB1792" s="11">
        <f>IF(LEN(TRIM(X1792))=0,"",HYPERLINK("https://www.google.com/maps/@?api=1&amp;map_action=pano&amp;viewpoint="&amp;SUBSTITUTE(X1792," ",""),"Abrir Street View"))</f>
        <v/>
      </c>
    </row>
    <row r="1793">
      <c r="H1793" s="6" t="n"/>
      <c r="I1793" s="6" t="n"/>
      <c r="M1793" s="7" t="n"/>
      <c r="N1793" s="7" t="n"/>
      <c r="O1793" s="7" t="n"/>
      <c r="P1793" s="8">
        <f>IF(NOT(ISNUMBER(M1793)),"",IF(G1793="Terreno",IF(AND(ISNUMBER(I1793),I1793&gt;0),M1793/I1793,""),IF(AND(ISNUMBER(H1793),H1793&gt;0),M1793/H1793,"")))</f>
        <v/>
      </c>
      <c r="Q1793" s="9">
        <f>IF(AND(ISNUMBER(M1793),ISNUMBER(O1793)),IF(M1793&lt;=O1793,"Valor ≤ venal IPTU",""),"")</f>
        <v/>
      </c>
      <c r="R1793" s="10" t="n"/>
      <c r="S1793" s="10" t="n"/>
      <c r="AA1793" s="10" t="n"/>
      <c r="AB1793" s="11">
        <f>IF(LEN(TRIM(X1793))=0,"",HYPERLINK("https://www.google.com/maps/@?api=1&amp;map_action=pano&amp;viewpoint="&amp;SUBSTITUTE(X1793," ",""),"Abrir Street View"))</f>
        <v/>
      </c>
    </row>
    <row r="1794">
      <c r="H1794" s="6" t="n"/>
      <c r="I1794" s="6" t="n"/>
      <c r="M1794" s="7" t="n"/>
      <c r="N1794" s="7" t="n"/>
      <c r="O1794" s="7" t="n"/>
      <c r="P1794" s="8">
        <f>IF(NOT(ISNUMBER(M1794)),"",IF(G1794="Terreno",IF(AND(ISNUMBER(I1794),I1794&gt;0),M1794/I1794,""),IF(AND(ISNUMBER(H1794),H1794&gt;0),M1794/H1794,"")))</f>
        <v/>
      </c>
      <c r="Q1794" s="9">
        <f>IF(AND(ISNUMBER(M1794),ISNUMBER(O1794)),IF(M1794&lt;=O1794,"Valor ≤ venal IPTU",""),"")</f>
        <v/>
      </c>
      <c r="R1794" s="10" t="n"/>
      <c r="S1794" s="10" t="n"/>
      <c r="AA1794" s="10" t="n"/>
      <c r="AB1794" s="11">
        <f>IF(LEN(TRIM(X1794))=0,"",HYPERLINK("https://www.google.com/maps/@?api=1&amp;map_action=pano&amp;viewpoint="&amp;SUBSTITUTE(X1794," ",""),"Abrir Street View"))</f>
        <v/>
      </c>
    </row>
    <row r="1795">
      <c r="H1795" s="6" t="n"/>
      <c r="I1795" s="6" t="n"/>
      <c r="M1795" s="7" t="n"/>
      <c r="N1795" s="7" t="n"/>
      <c r="O1795" s="7" t="n"/>
      <c r="P1795" s="8">
        <f>IF(NOT(ISNUMBER(M1795)),"",IF(G1795="Terreno",IF(AND(ISNUMBER(I1795),I1795&gt;0),M1795/I1795,""),IF(AND(ISNUMBER(H1795),H1795&gt;0),M1795/H1795,"")))</f>
        <v/>
      </c>
      <c r="Q1795" s="9">
        <f>IF(AND(ISNUMBER(M1795),ISNUMBER(O1795)),IF(M1795&lt;=O1795,"Valor ≤ venal IPTU",""),"")</f>
        <v/>
      </c>
      <c r="R1795" s="10" t="n"/>
      <c r="S1795" s="10" t="n"/>
      <c r="AA1795" s="10" t="n"/>
      <c r="AB1795" s="11">
        <f>IF(LEN(TRIM(X1795))=0,"",HYPERLINK("https://www.google.com/maps/@?api=1&amp;map_action=pano&amp;viewpoint="&amp;SUBSTITUTE(X1795," ",""),"Abrir Street View"))</f>
        <v/>
      </c>
    </row>
    <row r="1796">
      <c r="H1796" s="6" t="n"/>
      <c r="I1796" s="6" t="n"/>
      <c r="M1796" s="7" t="n"/>
      <c r="N1796" s="7" t="n"/>
      <c r="O1796" s="7" t="n"/>
      <c r="P1796" s="8">
        <f>IF(NOT(ISNUMBER(M1796)),"",IF(G1796="Terreno",IF(AND(ISNUMBER(I1796),I1796&gt;0),M1796/I1796,""),IF(AND(ISNUMBER(H1796),H1796&gt;0),M1796/H1796,"")))</f>
        <v/>
      </c>
      <c r="Q1796" s="9">
        <f>IF(AND(ISNUMBER(M1796),ISNUMBER(O1796)),IF(M1796&lt;=O1796,"Valor ≤ venal IPTU",""),"")</f>
        <v/>
      </c>
      <c r="R1796" s="10" t="n"/>
      <c r="S1796" s="10" t="n"/>
      <c r="AA1796" s="10" t="n"/>
      <c r="AB1796" s="11">
        <f>IF(LEN(TRIM(X1796))=0,"",HYPERLINK("https://www.google.com/maps/@?api=1&amp;map_action=pano&amp;viewpoint="&amp;SUBSTITUTE(X1796," ",""),"Abrir Street View"))</f>
        <v/>
      </c>
    </row>
    <row r="1797">
      <c r="H1797" s="6" t="n"/>
      <c r="I1797" s="6" t="n"/>
      <c r="M1797" s="7" t="n"/>
      <c r="N1797" s="7" t="n"/>
      <c r="O1797" s="7" t="n"/>
      <c r="P1797" s="8">
        <f>IF(NOT(ISNUMBER(M1797)),"",IF(G1797="Terreno",IF(AND(ISNUMBER(I1797),I1797&gt;0),M1797/I1797,""),IF(AND(ISNUMBER(H1797),H1797&gt;0),M1797/H1797,"")))</f>
        <v/>
      </c>
      <c r="Q1797" s="9">
        <f>IF(AND(ISNUMBER(M1797),ISNUMBER(O1797)),IF(M1797&lt;=O1797,"Valor ≤ venal IPTU",""),"")</f>
        <v/>
      </c>
      <c r="R1797" s="10" t="n"/>
      <c r="S1797" s="10" t="n"/>
      <c r="AA1797" s="10" t="n"/>
      <c r="AB1797" s="11">
        <f>IF(LEN(TRIM(X1797))=0,"",HYPERLINK("https://www.google.com/maps/@?api=1&amp;map_action=pano&amp;viewpoint="&amp;SUBSTITUTE(X1797," ",""),"Abrir Street View"))</f>
        <v/>
      </c>
    </row>
    <row r="1798">
      <c r="H1798" s="6" t="n"/>
      <c r="I1798" s="6" t="n"/>
      <c r="M1798" s="7" t="n"/>
      <c r="N1798" s="7" t="n"/>
      <c r="O1798" s="7" t="n"/>
      <c r="P1798" s="8">
        <f>IF(NOT(ISNUMBER(M1798)),"",IF(G1798="Terreno",IF(AND(ISNUMBER(I1798),I1798&gt;0),M1798/I1798,""),IF(AND(ISNUMBER(H1798),H1798&gt;0),M1798/H1798,"")))</f>
        <v/>
      </c>
      <c r="Q1798" s="9">
        <f>IF(AND(ISNUMBER(M1798),ISNUMBER(O1798)),IF(M1798&lt;=O1798,"Valor ≤ venal IPTU",""),"")</f>
        <v/>
      </c>
      <c r="R1798" s="10" t="n"/>
      <c r="S1798" s="10" t="n"/>
      <c r="AA1798" s="10" t="n"/>
      <c r="AB1798" s="11">
        <f>IF(LEN(TRIM(X1798))=0,"",HYPERLINK("https://www.google.com/maps/@?api=1&amp;map_action=pano&amp;viewpoint="&amp;SUBSTITUTE(X1798," ",""),"Abrir Street View"))</f>
        <v/>
      </c>
    </row>
    <row r="1799">
      <c r="H1799" s="6" t="n"/>
      <c r="I1799" s="6" t="n"/>
      <c r="M1799" s="7" t="n"/>
      <c r="N1799" s="7" t="n"/>
      <c r="O1799" s="7" t="n"/>
      <c r="P1799" s="8">
        <f>IF(NOT(ISNUMBER(M1799)),"",IF(G1799="Terreno",IF(AND(ISNUMBER(I1799),I1799&gt;0),M1799/I1799,""),IF(AND(ISNUMBER(H1799),H1799&gt;0),M1799/H1799,"")))</f>
        <v/>
      </c>
      <c r="Q1799" s="9">
        <f>IF(AND(ISNUMBER(M1799),ISNUMBER(O1799)),IF(M1799&lt;=O1799,"Valor ≤ venal IPTU",""),"")</f>
        <v/>
      </c>
      <c r="R1799" s="10" t="n"/>
      <c r="S1799" s="10" t="n"/>
      <c r="AA1799" s="10" t="n"/>
      <c r="AB1799" s="11">
        <f>IF(LEN(TRIM(X1799))=0,"",HYPERLINK("https://www.google.com/maps/@?api=1&amp;map_action=pano&amp;viewpoint="&amp;SUBSTITUTE(X1799," ",""),"Abrir Street View"))</f>
        <v/>
      </c>
    </row>
    <row r="1800">
      <c r="H1800" s="6" t="n"/>
      <c r="I1800" s="6" t="n"/>
      <c r="M1800" s="7" t="n"/>
      <c r="N1800" s="7" t="n"/>
      <c r="O1800" s="7" t="n"/>
      <c r="P1800" s="8">
        <f>IF(NOT(ISNUMBER(M1800)),"",IF(G1800="Terreno",IF(AND(ISNUMBER(I1800),I1800&gt;0),M1800/I1800,""),IF(AND(ISNUMBER(H1800),H1800&gt;0),M1800/H1800,"")))</f>
        <v/>
      </c>
      <c r="Q1800" s="9">
        <f>IF(AND(ISNUMBER(M1800),ISNUMBER(O1800)),IF(M1800&lt;=O1800,"Valor ≤ venal IPTU",""),"")</f>
        <v/>
      </c>
      <c r="R1800" s="10" t="n"/>
      <c r="S1800" s="10" t="n"/>
      <c r="AA1800" s="10" t="n"/>
      <c r="AB1800" s="11">
        <f>IF(LEN(TRIM(X1800))=0,"",HYPERLINK("https://www.google.com/maps/@?api=1&amp;map_action=pano&amp;viewpoint="&amp;SUBSTITUTE(X1800," ",""),"Abrir Street View"))</f>
        <v/>
      </c>
    </row>
    <row r="1801">
      <c r="H1801" s="6" t="n"/>
      <c r="I1801" s="6" t="n"/>
      <c r="M1801" s="7" t="n"/>
      <c r="N1801" s="7" t="n"/>
      <c r="O1801" s="7" t="n"/>
      <c r="P1801" s="8">
        <f>IF(NOT(ISNUMBER(M1801)),"",IF(G1801="Terreno",IF(AND(ISNUMBER(I1801),I1801&gt;0),M1801/I1801,""),IF(AND(ISNUMBER(H1801),H1801&gt;0),M1801/H1801,"")))</f>
        <v/>
      </c>
      <c r="Q1801" s="9">
        <f>IF(AND(ISNUMBER(M1801),ISNUMBER(O1801)),IF(M1801&lt;=O1801,"Valor ≤ venal IPTU",""),"")</f>
        <v/>
      </c>
      <c r="R1801" s="10" t="n"/>
      <c r="S1801" s="10" t="n"/>
      <c r="AA1801" s="10" t="n"/>
      <c r="AB1801" s="11">
        <f>IF(LEN(TRIM(X1801))=0,"",HYPERLINK("https://www.google.com/maps/@?api=1&amp;map_action=pano&amp;viewpoint="&amp;SUBSTITUTE(X1801," ",""),"Abrir Street View"))</f>
        <v/>
      </c>
    </row>
    <row r="1802">
      <c r="H1802" s="6" t="n"/>
      <c r="I1802" s="6" t="n"/>
      <c r="M1802" s="7" t="n"/>
      <c r="N1802" s="7" t="n"/>
      <c r="O1802" s="7" t="n"/>
      <c r="P1802" s="8">
        <f>IF(NOT(ISNUMBER(M1802)),"",IF(G1802="Terreno",IF(AND(ISNUMBER(I1802),I1802&gt;0),M1802/I1802,""),IF(AND(ISNUMBER(H1802),H1802&gt;0),M1802/H1802,"")))</f>
        <v/>
      </c>
      <c r="Q1802" s="9">
        <f>IF(AND(ISNUMBER(M1802),ISNUMBER(O1802)),IF(M1802&lt;=O1802,"Valor ≤ venal IPTU",""),"")</f>
        <v/>
      </c>
      <c r="R1802" s="10" t="n"/>
      <c r="S1802" s="10" t="n"/>
      <c r="AA1802" s="10" t="n"/>
      <c r="AB1802" s="11">
        <f>IF(LEN(TRIM(X1802))=0,"",HYPERLINK("https://www.google.com/maps/@?api=1&amp;map_action=pano&amp;viewpoint="&amp;SUBSTITUTE(X1802," ",""),"Abrir Street View"))</f>
        <v/>
      </c>
    </row>
    <row r="1803">
      <c r="H1803" s="6" t="n"/>
      <c r="I1803" s="6" t="n"/>
      <c r="M1803" s="7" t="n"/>
      <c r="N1803" s="7" t="n"/>
      <c r="O1803" s="7" t="n"/>
      <c r="P1803" s="8">
        <f>IF(NOT(ISNUMBER(M1803)),"",IF(G1803="Terreno",IF(AND(ISNUMBER(I1803),I1803&gt;0),M1803/I1803,""),IF(AND(ISNUMBER(H1803),H1803&gt;0),M1803/H1803,"")))</f>
        <v/>
      </c>
      <c r="Q1803" s="9">
        <f>IF(AND(ISNUMBER(M1803),ISNUMBER(O1803)),IF(M1803&lt;=O1803,"Valor ≤ venal IPTU",""),"")</f>
        <v/>
      </c>
      <c r="R1803" s="10" t="n"/>
      <c r="S1803" s="10" t="n"/>
      <c r="AA1803" s="10" t="n"/>
      <c r="AB1803" s="11">
        <f>IF(LEN(TRIM(X1803))=0,"",HYPERLINK("https://www.google.com/maps/@?api=1&amp;map_action=pano&amp;viewpoint="&amp;SUBSTITUTE(X1803," ",""),"Abrir Street View"))</f>
        <v/>
      </c>
    </row>
    <row r="1804">
      <c r="H1804" s="6" t="n"/>
      <c r="I1804" s="6" t="n"/>
      <c r="M1804" s="7" t="n"/>
      <c r="N1804" s="7" t="n"/>
      <c r="O1804" s="7" t="n"/>
      <c r="P1804" s="8">
        <f>IF(NOT(ISNUMBER(M1804)),"",IF(G1804="Terreno",IF(AND(ISNUMBER(I1804),I1804&gt;0),M1804/I1804,""),IF(AND(ISNUMBER(H1804),H1804&gt;0),M1804/H1804,"")))</f>
        <v/>
      </c>
      <c r="Q1804" s="9">
        <f>IF(AND(ISNUMBER(M1804),ISNUMBER(O1804)),IF(M1804&lt;=O1804,"Valor ≤ venal IPTU",""),"")</f>
        <v/>
      </c>
      <c r="R1804" s="10" t="n"/>
      <c r="S1804" s="10" t="n"/>
      <c r="AA1804" s="10" t="n"/>
      <c r="AB1804" s="11">
        <f>IF(LEN(TRIM(X1804))=0,"",HYPERLINK("https://www.google.com/maps/@?api=1&amp;map_action=pano&amp;viewpoint="&amp;SUBSTITUTE(X1804," ",""),"Abrir Street View"))</f>
        <v/>
      </c>
    </row>
    <row r="1805">
      <c r="H1805" s="6" t="n"/>
      <c r="I1805" s="6" t="n"/>
      <c r="M1805" s="7" t="n"/>
      <c r="N1805" s="7" t="n"/>
      <c r="O1805" s="7" t="n"/>
      <c r="P1805" s="8">
        <f>IF(NOT(ISNUMBER(M1805)),"",IF(G1805="Terreno",IF(AND(ISNUMBER(I1805),I1805&gt;0),M1805/I1805,""),IF(AND(ISNUMBER(H1805),H1805&gt;0),M1805/H1805,"")))</f>
        <v/>
      </c>
      <c r="Q1805" s="9">
        <f>IF(AND(ISNUMBER(M1805),ISNUMBER(O1805)),IF(M1805&lt;=O1805,"Valor ≤ venal IPTU",""),"")</f>
        <v/>
      </c>
      <c r="R1805" s="10" t="n"/>
      <c r="S1805" s="10" t="n"/>
      <c r="AA1805" s="10" t="n"/>
      <c r="AB1805" s="11">
        <f>IF(LEN(TRIM(X1805))=0,"",HYPERLINK("https://www.google.com/maps/@?api=1&amp;map_action=pano&amp;viewpoint="&amp;SUBSTITUTE(X1805," ",""),"Abrir Street View"))</f>
        <v/>
      </c>
    </row>
    <row r="1806">
      <c r="H1806" s="6" t="n"/>
      <c r="I1806" s="6" t="n"/>
      <c r="M1806" s="7" t="n"/>
      <c r="N1806" s="7" t="n"/>
      <c r="O1806" s="7" t="n"/>
      <c r="P1806" s="8">
        <f>IF(NOT(ISNUMBER(M1806)),"",IF(G1806="Terreno",IF(AND(ISNUMBER(I1806),I1806&gt;0),M1806/I1806,""),IF(AND(ISNUMBER(H1806),H1806&gt;0),M1806/H1806,"")))</f>
        <v/>
      </c>
      <c r="Q1806" s="9">
        <f>IF(AND(ISNUMBER(M1806),ISNUMBER(O1806)),IF(M1806&lt;=O1806,"Valor ≤ venal IPTU",""),"")</f>
        <v/>
      </c>
      <c r="R1806" s="10" t="n"/>
      <c r="S1806" s="10" t="n"/>
      <c r="AA1806" s="10" t="n"/>
      <c r="AB1806" s="11">
        <f>IF(LEN(TRIM(X1806))=0,"",HYPERLINK("https://www.google.com/maps/@?api=1&amp;map_action=pano&amp;viewpoint="&amp;SUBSTITUTE(X1806," ",""),"Abrir Street View"))</f>
        <v/>
      </c>
    </row>
    <row r="1807">
      <c r="H1807" s="6" t="n"/>
      <c r="I1807" s="6" t="n"/>
      <c r="M1807" s="7" t="n"/>
      <c r="N1807" s="7" t="n"/>
      <c r="O1807" s="7" t="n"/>
      <c r="P1807" s="8">
        <f>IF(NOT(ISNUMBER(M1807)),"",IF(G1807="Terreno",IF(AND(ISNUMBER(I1807),I1807&gt;0),M1807/I1807,""),IF(AND(ISNUMBER(H1807),H1807&gt;0),M1807/H1807,"")))</f>
        <v/>
      </c>
      <c r="Q1807" s="9">
        <f>IF(AND(ISNUMBER(M1807),ISNUMBER(O1807)),IF(M1807&lt;=O1807,"Valor ≤ venal IPTU",""),"")</f>
        <v/>
      </c>
      <c r="R1807" s="10" t="n"/>
      <c r="S1807" s="10" t="n"/>
      <c r="AA1807" s="10" t="n"/>
      <c r="AB1807" s="11">
        <f>IF(LEN(TRIM(X1807))=0,"",HYPERLINK("https://www.google.com/maps/@?api=1&amp;map_action=pano&amp;viewpoint="&amp;SUBSTITUTE(X1807," ",""),"Abrir Street View"))</f>
        <v/>
      </c>
    </row>
    <row r="1808">
      <c r="H1808" s="6" t="n"/>
      <c r="I1808" s="6" t="n"/>
      <c r="M1808" s="7" t="n"/>
      <c r="N1808" s="7" t="n"/>
      <c r="O1808" s="7" t="n"/>
      <c r="P1808" s="8">
        <f>IF(NOT(ISNUMBER(M1808)),"",IF(G1808="Terreno",IF(AND(ISNUMBER(I1808),I1808&gt;0),M1808/I1808,""),IF(AND(ISNUMBER(H1808),H1808&gt;0),M1808/H1808,"")))</f>
        <v/>
      </c>
      <c r="Q1808" s="9">
        <f>IF(AND(ISNUMBER(M1808),ISNUMBER(O1808)),IF(M1808&lt;=O1808,"Valor ≤ venal IPTU",""),"")</f>
        <v/>
      </c>
      <c r="R1808" s="10" t="n"/>
      <c r="S1808" s="10" t="n"/>
      <c r="AA1808" s="10" t="n"/>
      <c r="AB1808" s="11">
        <f>IF(LEN(TRIM(X1808))=0,"",HYPERLINK("https://www.google.com/maps/@?api=1&amp;map_action=pano&amp;viewpoint="&amp;SUBSTITUTE(X1808," ",""),"Abrir Street View"))</f>
        <v/>
      </c>
    </row>
    <row r="1809">
      <c r="H1809" s="6" t="n"/>
      <c r="I1809" s="6" t="n"/>
      <c r="M1809" s="7" t="n"/>
      <c r="N1809" s="7" t="n"/>
      <c r="O1809" s="7" t="n"/>
      <c r="P1809" s="8">
        <f>IF(NOT(ISNUMBER(M1809)),"",IF(G1809="Terreno",IF(AND(ISNUMBER(I1809),I1809&gt;0),M1809/I1809,""),IF(AND(ISNUMBER(H1809),H1809&gt;0),M1809/H1809,"")))</f>
        <v/>
      </c>
      <c r="Q1809" s="9">
        <f>IF(AND(ISNUMBER(M1809),ISNUMBER(O1809)),IF(M1809&lt;=O1809,"Valor ≤ venal IPTU",""),"")</f>
        <v/>
      </c>
      <c r="R1809" s="10" t="n"/>
      <c r="S1809" s="10" t="n"/>
      <c r="AA1809" s="10" t="n"/>
      <c r="AB1809" s="11">
        <f>IF(LEN(TRIM(X1809))=0,"",HYPERLINK("https://www.google.com/maps/@?api=1&amp;map_action=pano&amp;viewpoint="&amp;SUBSTITUTE(X1809," ",""),"Abrir Street View"))</f>
        <v/>
      </c>
    </row>
    <row r="1810">
      <c r="H1810" s="6" t="n"/>
      <c r="I1810" s="6" t="n"/>
      <c r="M1810" s="7" t="n"/>
      <c r="N1810" s="7" t="n"/>
      <c r="O1810" s="7" t="n"/>
      <c r="P1810" s="8">
        <f>IF(NOT(ISNUMBER(M1810)),"",IF(G1810="Terreno",IF(AND(ISNUMBER(I1810),I1810&gt;0),M1810/I1810,""),IF(AND(ISNUMBER(H1810),H1810&gt;0),M1810/H1810,"")))</f>
        <v/>
      </c>
      <c r="Q1810" s="9">
        <f>IF(AND(ISNUMBER(M1810),ISNUMBER(O1810)),IF(M1810&lt;=O1810,"Valor ≤ venal IPTU",""),"")</f>
        <v/>
      </c>
      <c r="R1810" s="10" t="n"/>
      <c r="S1810" s="10" t="n"/>
      <c r="AA1810" s="10" t="n"/>
      <c r="AB1810" s="11">
        <f>IF(LEN(TRIM(X1810))=0,"",HYPERLINK("https://www.google.com/maps/@?api=1&amp;map_action=pano&amp;viewpoint="&amp;SUBSTITUTE(X1810," ",""),"Abrir Street View"))</f>
        <v/>
      </c>
    </row>
    <row r="1811">
      <c r="H1811" s="6" t="n"/>
      <c r="I1811" s="6" t="n"/>
      <c r="M1811" s="7" t="n"/>
      <c r="N1811" s="7" t="n"/>
      <c r="O1811" s="7" t="n"/>
      <c r="P1811" s="8">
        <f>IF(NOT(ISNUMBER(M1811)),"",IF(G1811="Terreno",IF(AND(ISNUMBER(I1811),I1811&gt;0),M1811/I1811,""),IF(AND(ISNUMBER(H1811),H1811&gt;0),M1811/H1811,"")))</f>
        <v/>
      </c>
      <c r="Q1811" s="9">
        <f>IF(AND(ISNUMBER(M1811),ISNUMBER(O1811)),IF(M1811&lt;=O1811,"Valor ≤ venal IPTU",""),"")</f>
        <v/>
      </c>
      <c r="R1811" s="10" t="n"/>
      <c r="S1811" s="10" t="n"/>
      <c r="AA1811" s="10" t="n"/>
      <c r="AB1811" s="11">
        <f>IF(LEN(TRIM(X1811))=0,"",HYPERLINK("https://www.google.com/maps/@?api=1&amp;map_action=pano&amp;viewpoint="&amp;SUBSTITUTE(X1811," ",""),"Abrir Street View"))</f>
        <v/>
      </c>
    </row>
    <row r="1812">
      <c r="H1812" s="6" t="n"/>
      <c r="I1812" s="6" t="n"/>
      <c r="M1812" s="7" t="n"/>
      <c r="N1812" s="7" t="n"/>
      <c r="O1812" s="7" t="n"/>
      <c r="P1812" s="8">
        <f>IF(NOT(ISNUMBER(M1812)),"",IF(G1812="Terreno",IF(AND(ISNUMBER(I1812),I1812&gt;0),M1812/I1812,""),IF(AND(ISNUMBER(H1812),H1812&gt;0),M1812/H1812,"")))</f>
        <v/>
      </c>
      <c r="Q1812" s="9">
        <f>IF(AND(ISNUMBER(M1812),ISNUMBER(O1812)),IF(M1812&lt;=O1812,"Valor ≤ venal IPTU",""),"")</f>
        <v/>
      </c>
      <c r="R1812" s="10" t="n"/>
      <c r="S1812" s="10" t="n"/>
      <c r="AA1812" s="10" t="n"/>
      <c r="AB1812" s="11">
        <f>IF(LEN(TRIM(X1812))=0,"",HYPERLINK("https://www.google.com/maps/@?api=1&amp;map_action=pano&amp;viewpoint="&amp;SUBSTITUTE(X1812," ",""),"Abrir Street View"))</f>
        <v/>
      </c>
    </row>
    <row r="1813">
      <c r="H1813" s="6" t="n"/>
      <c r="I1813" s="6" t="n"/>
      <c r="M1813" s="7" t="n"/>
      <c r="N1813" s="7" t="n"/>
      <c r="O1813" s="7" t="n"/>
      <c r="P1813" s="8">
        <f>IF(NOT(ISNUMBER(M1813)),"",IF(G1813="Terreno",IF(AND(ISNUMBER(I1813),I1813&gt;0),M1813/I1813,""),IF(AND(ISNUMBER(H1813),H1813&gt;0),M1813/H1813,"")))</f>
        <v/>
      </c>
      <c r="Q1813" s="9">
        <f>IF(AND(ISNUMBER(M1813),ISNUMBER(O1813)),IF(M1813&lt;=O1813,"Valor ≤ venal IPTU",""),"")</f>
        <v/>
      </c>
      <c r="R1813" s="10" t="n"/>
      <c r="S1813" s="10" t="n"/>
      <c r="AA1813" s="10" t="n"/>
      <c r="AB1813" s="11">
        <f>IF(LEN(TRIM(X1813))=0,"",HYPERLINK("https://www.google.com/maps/@?api=1&amp;map_action=pano&amp;viewpoint="&amp;SUBSTITUTE(X1813," ",""),"Abrir Street View"))</f>
        <v/>
      </c>
    </row>
    <row r="1814">
      <c r="H1814" s="6" t="n"/>
      <c r="I1814" s="6" t="n"/>
      <c r="M1814" s="7" t="n"/>
      <c r="N1814" s="7" t="n"/>
      <c r="O1814" s="7" t="n"/>
      <c r="P1814" s="8">
        <f>IF(NOT(ISNUMBER(M1814)),"",IF(G1814="Terreno",IF(AND(ISNUMBER(I1814),I1814&gt;0),M1814/I1814,""),IF(AND(ISNUMBER(H1814),H1814&gt;0),M1814/H1814,"")))</f>
        <v/>
      </c>
      <c r="Q1814" s="9">
        <f>IF(AND(ISNUMBER(M1814),ISNUMBER(O1814)),IF(M1814&lt;=O1814,"Valor ≤ venal IPTU",""),"")</f>
        <v/>
      </c>
      <c r="R1814" s="10" t="n"/>
      <c r="S1814" s="10" t="n"/>
      <c r="AA1814" s="10" t="n"/>
      <c r="AB1814" s="11">
        <f>IF(LEN(TRIM(X1814))=0,"",HYPERLINK("https://www.google.com/maps/@?api=1&amp;map_action=pano&amp;viewpoint="&amp;SUBSTITUTE(X1814," ",""),"Abrir Street View"))</f>
        <v/>
      </c>
    </row>
    <row r="1815">
      <c r="H1815" s="6" t="n"/>
      <c r="I1815" s="6" t="n"/>
      <c r="M1815" s="7" t="n"/>
      <c r="N1815" s="7" t="n"/>
      <c r="O1815" s="7" t="n"/>
      <c r="P1815" s="8">
        <f>IF(NOT(ISNUMBER(M1815)),"",IF(G1815="Terreno",IF(AND(ISNUMBER(I1815),I1815&gt;0),M1815/I1815,""),IF(AND(ISNUMBER(H1815),H1815&gt;0),M1815/H1815,"")))</f>
        <v/>
      </c>
      <c r="Q1815" s="9">
        <f>IF(AND(ISNUMBER(M1815),ISNUMBER(O1815)),IF(M1815&lt;=O1815,"Valor ≤ venal IPTU",""),"")</f>
        <v/>
      </c>
      <c r="R1815" s="10" t="n"/>
      <c r="S1815" s="10" t="n"/>
      <c r="AA1815" s="10" t="n"/>
      <c r="AB1815" s="11">
        <f>IF(LEN(TRIM(X1815))=0,"",HYPERLINK("https://www.google.com/maps/@?api=1&amp;map_action=pano&amp;viewpoint="&amp;SUBSTITUTE(X1815," ",""),"Abrir Street View"))</f>
        <v/>
      </c>
    </row>
    <row r="1816">
      <c r="H1816" s="6" t="n"/>
      <c r="I1816" s="6" t="n"/>
      <c r="M1816" s="7" t="n"/>
      <c r="N1816" s="7" t="n"/>
      <c r="O1816" s="7" t="n"/>
      <c r="P1816" s="8">
        <f>IF(NOT(ISNUMBER(M1816)),"",IF(G1816="Terreno",IF(AND(ISNUMBER(I1816),I1816&gt;0),M1816/I1816,""),IF(AND(ISNUMBER(H1816),H1816&gt;0),M1816/H1816,"")))</f>
        <v/>
      </c>
      <c r="Q1816" s="9">
        <f>IF(AND(ISNUMBER(M1816),ISNUMBER(O1816)),IF(M1816&lt;=O1816,"Valor ≤ venal IPTU",""),"")</f>
        <v/>
      </c>
      <c r="R1816" s="10" t="n"/>
      <c r="S1816" s="10" t="n"/>
      <c r="AA1816" s="10" t="n"/>
      <c r="AB1816" s="11">
        <f>IF(LEN(TRIM(X1816))=0,"",HYPERLINK("https://www.google.com/maps/@?api=1&amp;map_action=pano&amp;viewpoint="&amp;SUBSTITUTE(X1816," ",""),"Abrir Street View"))</f>
        <v/>
      </c>
    </row>
    <row r="1817">
      <c r="H1817" s="6" t="n"/>
      <c r="I1817" s="6" t="n"/>
      <c r="M1817" s="7" t="n"/>
      <c r="N1817" s="7" t="n"/>
      <c r="O1817" s="7" t="n"/>
      <c r="P1817" s="8">
        <f>IF(NOT(ISNUMBER(M1817)),"",IF(G1817="Terreno",IF(AND(ISNUMBER(I1817),I1817&gt;0),M1817/I1817,""),IF(AND(ISNUMBER(H1817),H1817&gt;0),M1817/H1817,"")))</f>
        <v/>
      </c>
      <c r="Q1817" s="9">
        <f>IF(AND(ISNUMBER(M1817),ISNUMBER(O1817)),IF(M1817&lt;=O1817,"Valor ≤ venal IPTU",""),"")</f>
        <v/>
      </c>
      <c r="R1817" s="10" t="n"/>
      <c r="S1817" s="10" t="n"/>
      <c r="AA1817" s="10" t="n"/>
      <c r="AB1817" s="11">
        <f>IF(LEN(TRIM(X1817))=0,"",HYPERLINK("https://www.google.com/maps/@?api=1&amp;map_action=pano&amp;viewpoint="&amp;SUBSTITUTE(X1817," ",""),"Abrir Street View"))</f>
        <v/>
      </c>
    </row>
    <row r="1818">
      <c r="H1818" s="6" t="n"/>
      <c r="I1818" s="6" t="n"/>
      <c r="M1818" s="7" t="n"/>
      <c r="N1818" s="7" t="n"/>
      <c r="O1818" s="7" t="n"/>
      <c r="P1818" s="8">
        <f>IF(NOT(ISNUMBER(M1818)),"",IF(G1818="Terreno",IF(AND(ISNUMBER(I1818),I1818&gt;0),M1818/I1818,""),IF(AND(ISNUMBER(H1818),H1818&gt;0),M1818/H1818,"")))</f>
        <v/>
      </c>
      <c r="Q1818" s="9">
        <f>IF(AND(ISNUMBER(M1818),ISNUMBER(O1818)),IF(M1818&lt;=O1818,"Valor ≤ venal IPTU",""),"")</f>
        <v/>
      </c>
      <c r="R1818" s="10" t="n"/>
      <c r="S1818" s="10" t="n"/>
      <c r="AA1818" s="10" t="n"/>
      <c r="AB1818" s="11">
        <f>IF(LEN(TRIM(X1818))=0,"",HYPERLINK("https://www.google.com/maps/@?api=1&amp;map_action=pano&amp;viewpoint="&amp;SUBSTITUTE(X1818," ",""),"Abrir Street View"))</f>
        <v/>
      </c>
    </row>
    <row r="1819">
      <c r="H1819" s="6" t="n"/>
      <c r="I1819" s="6" t="n"/>
      <c r="M1819" s="7" t="n"/>
      <c r="N1819" s="7" t="n"/>
      <c r="O1819" s="7" t="n"/>
      <c r="P1819" s="8">
        <f>IF(NOT(ISNUMBER(M1819)),"",IF(G1819="Terreno",IF(AND(ISNUMBER(I1819),I1819&gt;0),M1819/I1819,""),IF(AND(ISNUMBER(H1819),H1819&gt;0),M1819/H1819,"")))</f>
        <v/>
      </c>
      <c r="Q1819" s="9">
        <f>IF(AND(ISNUMBER(M1819),ISNUMBER(O1819)),IF(M1819&lt;=O1819,"Valor ≤ venal IPTU",""),"")</f>
        <v/>
      </c>
      <c r="R1819" s="10" t="n"/>
      <c r="S1819" s="10" t="n"/>
      <c r="AA1819" s="10" t="n"/>
      <c r="AB1819" s="11">
        <f>IF(LEN(TRIM(X1819))=0,"",HYPERLINK("https://www.google.com/maps/@?api=1&amp;map_action=pano&amp;viewpoint="&amp;SUBSTITUTE(X1819," ",""),"Abrir Street View"))</f>
        <v/>
      </c>
    </row>
    <row r="1820">
      <c r="H1820" s="6" t="n"/>
      <c r="I1820" s="6" t="n"/>
      <c r="M1820" s="7" t="n"/>
      <c r="N1820" s="7" t="n"/>
      <c r="O1820" s="7" t="n"/>
      <c r="P1820" s="8">
        <f>IF(NOT(ISNUMBER(M1820)),"",IF(G1820="Terreno",IF(AND(ISNUMBER(I1820),I1820&gt;0),M1820/I1820,""),IF(AND(ISNUMBER(H1820),H1820&gt;0),M1820/H1820,"")))</f>
        <v/>
      </c>
      <c r="Q1820" s="9">
        <f>IF(AND(ISNUMBER(M1820),ISNUMBER(O1820)),IF(M1820&lt;=O1820,"Valor ≤ venal IPTU",""),"")</f>
        <v/>
      </c>
      <c r="R1820" s="10" t="n"/>
      <c r="S1820" s="10" t="n"/>
      <c r="AA1820" s="10" t="n"/>
      <c r="AB1820" s="11">
        <f>IF(LEN(TRIM(X1820))=0,"",HYPERLINK("https://www.google.com/maps/@?api=1&amp;map_action=pano&amp;viewpoint="&amp;SUBSTITUTE(X1820," ",""),"Abrir Street View"))</f>
        <v/>
      </c>
    </row>
    <row r="1821">
      <c r="H1821" s="6" t="n"/>
      <c r="I1821" s="6" t="n"/>
      <c r="M1821" s="7" t="n"/>
      <c r="N1821" s="7" t="n"/>
      <c r="O1821" s="7" t="n"/>
      <c r="P1821" s="8">
        <f>IF(NOT(ISNUMBER(M1821)),"",IF(G1821="Terreno",IF(AND(ISNUMBER(I1821),I1821&gt;0),M1821/I1821,""),IF(AND(ISNUMBER(H1821),H1821&gt;0),M1821/H1821,"")))</f>
        <v/>
      </c>
      <c r="Q1821" s="9">
        <f>IF(AND(ISNUMBER(M1821),ISNUMBER(O1821)),IF(M1821&lt;=O1821,"Valor ≤ venal IPTU",""),"")</f>
        <v/>
      </c>
      <c r="R1821" s="10" t="n"/>
      <c r="S1821" s="10" t="n"/>
      <c r="AA1821" s="10" t="n"/>
      <c r="AB1821" s="11">
        <f>IF(LEN(TRIM(X1821))=0,"",HYPERLINK("https://www.google.com/maps/@?api=1&amp;map_action=pano&amp;viewpoint="&amp;SUBSTITUTE(X1821," ",""),"Abrir Street View"))</f>
        <v/>
      </c>
    </row>
    <row r="1822">
      <c r="H1822" s="6" t="n"/>
      <c r="I1822" s="6" t="n"/>
      <c r="M1822" s="7" t="n"/>
      <c r="N1822" s="7" t="n"/>
      <c r="O1822" s="7" t="n"/>
      <c r="P1822" s="8">
        <f>IF(NOT(ISNUMBER(M1822)),"",IF(G1822="Terreno",IF(AND(ISNUMBER(I1822),I1822&gt;0),M1822/I1822,""),IF(AND(ISNUMBER(H1822),H1822&gt;0),M1822/H1822,"")))</f>
        <v/>
      </c>
      <c r="Q1822" s="9">
        <f>IF(AND(ISNUMBER(M1822),ISNUMBER(O1822)),IF(M1822&lt;=O1822,"Valor ≤ venal IPTU",""),"")</f>
        <v/>
      </c>
      <c r="R1822" s="10" t="n"/>
      <c r="S1822" s="10" t="n"/>
      <c r="AA1822" s="10" t="n"/>
      <c r="AB1822" s="11">
        <f>IF(LEN(TRIM(X1822))=0,"",HYPERLINK("https://www.google.com/maps/@?api=1&amp;map_action=pano&amp;viewpoint="&amp;SUBSTITUTE(X1822," ",""),"Abrir Street View"))</f>
        <v/>
      </c>
    </row>
    <row r="1823">
      <c r="H1823" s="6" t="n"/>
      <c r="I1823" s="6" t="n"/>
      <c r="M1823" s="7" t="n"/>
      <c r="N1823" s="7" t="n"/>
      <c r="O1823" s="7" t="n"/>
      <c r="P1823" s="8">
        <f>IF(NOT(ISNUMBER(M1823)),"",IF(G1823="Terreno",IF(AND(ISNUMBER(I1823),I1823&gt;0),M1823/I1823,""),IF(AND(ISNUMBER(H1823),H1823&gt;0),M1823/H1823,"")))</f>
        <v/>
      </c>
      <c r="Q1823" s="9">
        <f>IF(AND(ISNUMBER(M1823),ISNUMBER(O1823)),IF(M1823&lt;=O1823,"Valor ≤ venal IPTU",""),"")</f>
        <v/>
      </c>
      <c r="R1823" s="10" t="n"/>
      <c r="S1823" s="10" t="n"/>
      <c r="AA1823" s="10" t="n"/>
      <c r="AB1823" s="11">
        <f>IF(LEN(TRIM(X1823))=0,"",HYPERLINK("https://www.google.com/maps/@?api=1&amp;map_action=pano&amp;viewpoint="&amp;SUBSTITUTE(X1823," ",""),"Abrir Street View"))</f>
        <v/>
      </c>
    </row>
    <row r="1824">
      <c r="H1824" s="6" t="n"/>
      <c r="I1824" s="6" t="n"/>
      <c r="M1824" s="7" t="n"/>
      <c r="N1824" s="7" t="n"/>
      <c r="O1824" s="7" t="n"/>
      <c r="P1824" s="8">
        <f>IF(NOT(ISNUMBER(M1824)),"",IF(G1824="Terreno",IF(AND(ISNUMBER(I1824),I1824&gt;0),M1824/I1824,""),IF(AND(ISNUMBER(H1824),H1824&gt;0),M1824/H1824,"")))</f>
        <v/>
      </c>
      <c r="Q1824" s="9">
        <f>IF(AND(ISNUMBER(M1824),ISNUMBER(O1824)),IF(M1824&lt;=O1824,"Valor ≤ venal IPTU",""),"")</f>
        <v/>
      </c>
      <c r="R1824" s="10" t="n"/>
      <c r="S1824" s="10" t="n"/>
      <c r="AA1824" s="10" t="n"/>
      <c r="AB1824" s="11">
        <f>IF(LEN(TRIM(X1824))=0,"",HYPERLINK("https://www.google.com/maps/@?api=1&amp;map_action=pano&amp;viewpoint="&amp;SUBSTITUTE(X1824," ",""),"Abrir Street View"))</f>
        <v/>
      </c>
    </row>
    <row r="1825">
      <c r="H1825" s="6" t="n"/>
      <c r="I1825" s="6" t="n"/>
      <c r="M1825" s="7" t="n"/>
      <c r="N1825" s="7" t="n"/>
      <c r="O1825" s="7" t="n"/>
      <c r="P1825" s="8">
        <f>IF(NOT(ISNUMBER(M1825)),"",IF(G1825="Terreno",IF(AND(ISNUMBER(I1825),I1825&gt;0),M1825/I1825,""),IF(AND(ISNUMBER(H1825),H1825&gt;0),M1825/H1825,"")))</f>
        <v/>
      </c>
      <c r="Q1825" s="9">
        <f>IF(AND(ISNUMBER(M1825),ISNUMBER(O1825)),IF(M1825&lt;=O1825,"Valor ≤ venal IPTU",""),"")</f>
        <v/>
      </c>
      <c r="R1825" s="10" t="n"/>
      <c r="S1825" s="10" t="n"/>
      <c r="AA1825" s="10" t="n"/>
      <c r="AB1825" s="11">
        <f>IF(LEN(TRIM(X1825))=0,"",HYPERLINK("https://www.google.com/maps/@?api=1&amp;map_action=pano&amp;viewpoint="&amp;SUBSTITUTE(X1825," ",""),"Abrir Street View"))</f>
        <v/>
      </c>
    </row>
    <row r="1826">
      <c r="H1826" s="6" t="n"/>
      <c r="I1826" s="6" t="n"/>
      <c r="M1826" s="7" t="n"/>
      <c r="N1826" s="7" t="n"/>
      <c r="O1826" s="7" t="n"/>
      <c r="P1826" s="8">
        <f>IF(NOT(ISNUMBER(M1826)),"",IF(G1826="Terreno",IF(AND(ISNUMBER(I1826),I1826&gt;0),M1826/I1826,""),IF(AND(ISNUMBER(H1826),H1826&gt;0),M1826/H1826,"")))</f>
        <v/>
      </c>
      <c r="Q1826" s="9">
        <f>IF(AND(ISNUMBER(M1826),ISNUMBER(O1826)),IF(M1826&lt;=O1826,"Valor ≤ venal IPTU",""),"")</f>
        <v/>
      </c>
      <c r="R1826" s="10" t="n"/>
      <c r="S1826" s="10" t="n"/>
      <c r="AA1826" s="10" t="n"/>
      <c r="AB1826" s="11">
        <f>IF(LEN(TRIM(X1826))=0,"",HYPERLINK("https://www.google.com/maps/@?api=1&amp;map_action=pano&amp;viewpoint="&amp;SUBSTITUTE(X1826," ",""),"Abrir Street View"))</f>
        <v/>
      </c>
    </row>
    <row r="1827">
      <c r="H1827" s="6" t="n"/>
      <c r="I1827" s="6" t="n"/>
      <c r="M1827" s="7" t="n"/>
      <c r="N1827" s="7" t="n"/>
      <c r="O1827" s="7" t="n"/>
      <c r="P1827" s="8">
        <f>IF(NOT(ISNUMBER(M1827)),"",IF(G1827="Terreno",IF(AND(ISNUMBER(I1827),I1827&gt;0),M1827/I1827,""),IF(AND(ISNUMBER(H1827),H1827&gt;0),M1827/H1827,"")))</f>
        <v/>
      </c>
      <c r="Q1827" s="9">
        <f>IF(AND(ISNUMBER(M1827),ISNUMBER(O1827)),IF(M1827&lt;=O1827,"Valor ≤ venal IPTU",""),"")</f>
        <v/>
      </c>
      <c r="R1827" s="10" t="n"/>
      <c r="S1827" s="10" t="n"/>
      <c r="AA1827" s="10" t="n"/>
      <c r="AB1827" s="11">
        <f>IF(LEN(TRIM(X1827))=0,"",HYPERLINK("https://www.google.com/maps/@?api=1&amp;map_action=pano&amp;viewpoint="&amp;SUBSTITUTE(X1827," ",""),"Abrir Street View"))</f>
        <v/>
      </c>
    </row>
    <row r="1828">
      <c r="H1828" s="6" t="n"/>
      <c r="I1828" s="6" t="n"/>
      <c r="M1828" s="7" t="n"/>
      <c r="N1828" s="7" t="n"/>
      <c r="O1828" s="7" t="n"/>
      <c r="P1828" s="8">
        <f>IF(NOT(ISNUMBER(M1828)),"",IF(G1828="Terreno",IF(AND(ISNUMBER(I1828),I1828&gt;0),M1828/I1828,""),IF(AND(ISNUMBER(H1828),H1828&gt;0),M1828/H1828,"")))</f>
        <v/>
      </c>
      <c r="Q1828" s="9">
        <f>IF(AND(ISNUMBER(M1828),ISNUMBER(O1828)),IF(M1828&lt;=O1828,"Valor ≤ venal IPTU",""),"")</f>
        <v/>
      </c>
      <c r="R1828" s="10" t="n"/>
      <c r="S1828" s="10" t="n"/>
      <c r="AA1828" s="10" t="n"/>
      <c r="AB1828" s="11">
        <f>IF(LEN(TRIM(X1828))=0,"",HYPERLINK("https://www.google.com/maps/@?api=1&amp;map_action=pano&amp;viewpoint="&amp;SUBSTITUTE(X1828," ",""),"Abrir Street View"))</f>
        <v/>
      </c>
    </row>
    <row r="1829">
      <c r="H1829" s="6" t="n"/>
      <c r="I1829" s="6" t="n"/>
      <c r="M1829" s="7" t="n"/>
      <c r="N1829" s="7" t="n"/>
      <c r="O1829" s="7" t="n"/>
      <c r="P1829" s="8">
        <f>IF(NOT(ISNUMBER(M1829)),"",IF(G1829="Terreno",IF(AND(ISNUMBER(I1829),I1829&gt;0),M1829/I1829,""),IF(AND(ISNUMBER(H1829),H1829&gt;0),M1829/H1829,"")))</f>
        <v/>
      </c>
      <c r="Q1829" s="9">
        <f>IF(AND(ISNUMBER(M1829),ISNUMBER(O1829)),IF(M1829&lt;=O1829,"Valor ≤ venal IPTU",""),"")</f>
        <v/>
      </c>
      <c r="R1829" s="10" t="n"/>
      <c r="S1829" s="10" t="n"/>
      <c r="AA1829" s="10" t="n"/>
      <c r="AB1829" s="11">
        <f>IF(LEN(TRIM(X1829))=0,"",HYPERLINK("https://www.google.com/maps/@?api=1&amp;map_action=pano&amp;viewpoint="&amp;SUBSTITUTE(X1829," ",""),"Abrir Street View"))</f>
        <v/>
      </c>
    </row>
    <row r="1830">
      <c r="H1830" s="6" t="n"/>
      <c r="I1830" s="6" t="n"/>
      <c r="M1830" s="7" t="n"/>
      <c r="N1830" s="7" t="n"/>
      <c r="O1830" s="7" t="n"/>
      <c r="P1830" s="8">
        <f>IF(NOT(ISNUMBER(M1830)),"",IF(G1830="Terreno",IF(AND(ISNUMBER(I1830),I1830&gt;0),M1830/I1830,""),IF(AND(ISNUMBER(H1830),H1830&gt;0),M1830/H1830,"")))</f>
        <v/>
      </c>
      <c r="Q1830" s="9">
        <f>IF(AND(ISNUMBER(M1830),ISNUMBER(O1830)),IF(M1830&lt;=O1830,"Valor ≤ venal IPTU",""),"")</f>
        <v/>
      </c>
      <c r="R1830" s="10" t="n"/>
      <c r="S1830" s="10" t="n"/>
      <c r="AA1830" s="10" t="n"/>
      <c r="AB1830" s="11">
        <f>IF(LEN(TRIM(X1830))=0,"",HYPERLINK("https://www.google.com/maps/@?api=1&amp;map_action=pano&amp;viewpoint="&amp;SUBSTITUTE(X1830," ",""),"Abrir Street View"))</f>
        <v/>
      </c>
    </row>
    <row r="1831">
      <c r="H1831" s="6" t="n"/>
      <c r="I1831" s="6" t="n"/>
      <c r="M1831" s="7" t="n"/>
      <c r="N1831" s="7" t="n"/>
      <c r="O1831" s="7" t="n"/>
      <c r="P1831" s="8">
        <f>IF(NOT(ISNUMBER(M1831)),"",IF(G1831="Terreno",IF(AND(ISNUMBER(I1831),I1831&gt;0),M1831/I1831,""),IF(AND(ISNUMBER(H1831),H1831&gt;0),M1831/H1831,"")))</f>
        <v/>
      </c>
      <c r="Q1831" s="9">
        <f>IF(AND(ISNUMBER(M1831),ISNUMBER(O1831)),IF(M1831&lt;=O1831,"Valor ≤ venal IPTU",""),"")</f>
        <v/>
      </c>
      <c r="R1831" s="10" t="n"/>
      <c r="S1831" s="10" t="n"/>
      <c r="AA1831" s="10" t="n"/>
      <c r="AB1831" s="11">
        <f>IF(LEN(TRIM(X1831))=0,"",HYPERLINK("https://www.google.com/maps/@?api=1&amp;map_action=pano&amp;viewpoint="&amp;SUBSTITUTE(X1831," ",""),"Abrir Street View"))</f>
        <v/>
      </c>
    </row>
    <row r="1832">
      <c r="H1832" s="6" t="n"/>
      <c r="I1832" s="6" t="n"/>
      <c r="M1832" s="7" t="n"/>
      <c r="N1832" s="7" t="n"/>
      <c r="O1832" s="7" t="n"/>
      <c r="P1832" s="8">
        <f>IF(NOT(ISNUMBER(M1832)),"",IF(G1832="Terreno",IF(AND(ISNUMBER(I1832),I1832&gt;0),M1832/I1832,""),IF(AND(ISNUMBER(H1832),H1832&gt;0),M1832/H1832,"")))</f>
        <v/>
      </c>
      <c r="Q1832" s="9">
        <f>IF(AND(ISNUMBER(M1832),ISNUMBER(O1832)),IF(M1832&lt;=O1832,"Valor ≤ venal IPTU",""),"")</f>
        <v/>
      </c>
      <c r="R1832" s="10" t="n"/>
      <c r="S1832" s="10" t="n"/>
      <c r="AA1832" s="10" t="n"/>
      <c r="AB1832" s="11">
        <f>IF(LEN(TRIM(X1832))=0,"",HYPERLINK("https://www.google.com/maps/@?api=1&amp;map_action=pano&amp;viewpoint="&amp;SUBSTITUTE(X1832," ",""),"Abrir Street View"))</f>
        <v/>
      </c>
    </row>
    <row r="1833">
      <c r="H1833" s="6" t="n"/>
      <c r="I1833" s="6" t="n"/>
      <c r="M1833" s="7" t="n"/>
      <c r="N1833" s="7" t="n"/>
      <c r="O1833" s="7" t="n"/>
      <c r="P1833" s="8">
        <f>IF(NOT(ISNUMBER(M1833)),"",IF(G1833="Terreno",IF(AND(ISNUMBER(I1833),I1833&gt;0),M1833/I1833,""),IF(AND(ISNUMBER(H1833),H1833&gt;0),M1833/H1833,"")))</f>
        <v/>
      </c>
      <c r="Q1833" s="9">
        <f>IF(AND(ISNUMBER(M1833),ISNUMBER(O1833)),IF(M1833&lt;=O1833,"Valor ≤ venal IPTU",""),"")</f>
        <v/>
      </c>
      <c r="R1833" s="10" t="n"/>
      <c r="S1833" s="10" t="n"/>
      <c r="AA1833" s="10" t="n"/>
      <c r="AB1833" s="11">
        <f>IF(LEN(TRIM(X1833))=0,"",HYPERLINK("https://www.google.com/maps/@?api=1&amp;map_action=pano&amp;viewpoint="&amp;SUBSTITUTE(X1833," ",""),"Abrir Street View"))</f>
        <v/>
      </c>
    </row>
    <row r="1834">
      <c r="H1834" s="6" t="n"/>
      <c r="I1834" s="6" t="n"/>
      <c r="M1834" s="7" t="n"/>
      <c r="N1834" s="7" t="n"/>
      <c r="O1834" s="7" t="n"/>
      <c r="P1834" s="8">
        <f>IF(NOT(ISNUMBER(M1834)),"",IF(G1834="Terreno",IF(AND(ISNUMBER(I1834),I1834&gt;0),M1834/I1834,""),IF(AND(ISNUMBER(H1834),H1834&gt;0),M1834/H1834,"")))</f>
        <v/>
      </c>
      <c r="Q1834" s="9">
        <f>IF(AND(ISNUMBER(M1834),ISNUMBER(O1834)),IF(M1834&lt;=O1834,"Valor ≤ venal IPTU",""),"")</f>
        <v/>
      </c>
      <c r="R1834" s="10" t="n"/>
      <c r="S1834" s="10" t="n"/>
      <c r="AA1834" s="10" t="n"/>
      <c r="AB1834" s="11">
        <f>IF(LEN(TRIM(X1834))=0,"",HYPERLINK("https://www.google.com/maps/@?api=1&amp;map_action=pano&amp;viewpoint="&amp;SUBSTITUTE(X1834," ",""),"Abrir Street View"))</f>
        <v/>
      </c>
    </row>
    <row r="1835">
      <c r="H1835" s="6" t="n"/>
      <c r="I1835" s="6" t="n"/>
      <c r="M1835" s="7" t="n"/>
      <c r="N1835" s="7" t="n"/>
      <c r="O1835" s="7" t="n"/>
      <c r="P1835" s="8">
        <f>IF(NOT(ISNUMBER(M1835)),"",IF(G1835="Terreno",IF(AND(ISNUMBER(I1835),I1835&gt;0),M1835/I1835,""),IF(AND(ISNUMBER(H1835),H1835&gt;0),M1835/H1835,"")))</f>
        <v/>
      </c>
      <c r="Q1835" s="9">
        <f>IF(AND(ISNUMBER(M1835),ISNUMBER(O1835)),IF(M1835&lt;=O1835,"Valor ≤ venal IPTU",""),"")</f>
        <v/>
      </c>
      <c r="R1835" s="10" t="n"/>
      <c r="S1835" s="10" t="n"/>
      <c r="AA1835" s="10" t="n"/>
      <c r="AB1835" s="11">
        <f>IF(LEN(TRIM(X1835))=0,"",HYPERLINK("https://www.google.com/maps/@?api=1&amp;map_action=pano&amp;viewpoint="&amp;SUBSTITUTE(X1835," ",""),"Abrir Street View"))</f>
        <v/>
      </c>
    </row>
    <row r="1836">
      <c r="H1836" s="6" t="n"/>
      <c r="I1836" s="6" t="n"/>
      <c r="M1836" s="7" t="n"/>
      <c r="N1836" s="7" t="n"/>
      <c r="O1836" s="7" t="n"/>
      <c r="P1836" s="8">
        <f>IF(NOT(ISNUMBER(M1836)),"",IF(G1836="Terreno",IF(AND(ISNUMBER(I1836),I1836&gt;0),M1836/I1836,""),IF(AND(ISNUMBER(H1836),H1836&gt;0),M1836/H1836,"")))</f>
        <v/>
      </c>
      <c r="Q1836" s="9">
        <f>IF(AND(ISNUMBER(M1836),ISNUMBER(O1836)),IF(M1836&lt;=O1836,"Valor ≤ venal IPTU",""),"")</f>
        <v/>
      </c>
      <c r="R1836" s="10" t="n"/>
      <c r="S1836" s="10" t="n"/>
      <c r="AA1836" s="10" t="n"/>
      <c r="AB1836" s="11">
        <f>IF(LEN(TRIM(X1836))=0,"",HYPERLINK("https://www.google.com/maps/@?api=1&amp;map_action=pano&amp;viewpoint="&amp;SUBSTITUTE(X1836," ",""),"Abrir Street View"))</f>
        <v/>
      </c>
    </row>
    <row r="1837">
      <c r="H1837" s="6" t="n"/>
      <c r="I1837" s="6" t="n"/>
      <c r="M1837" s="7" t="n"/>
      <c r="N1837" s="7" t="n"/>
      <c r="O1837" s="7" t="n"/>
      <c r="P1837" s="8">
        <f>IF(NOT(ISNUMBER(M1837)),"",IF(G1837="Terreno",IF(AND(ISNUMBER(I1837),I1837&gt;0),M1837/I1837,""),IF(AND(ISNUMBER(H1837),H1837&gt;0),M1837/H1837,"")))</f>
        <v/>
      </c>
      <c r="Q1837" s="9">
        <f>IF(AND(ISNUMBER(M1837),ISNUMBER(O1837)),IF(M1837&lt;=O1837,"Valor ≤ venal IPTU",""),"")</f>
        <v/>
      </c>
      <c r="R1837" s="10" t="n"/>
      <c r="S1837" s="10" t="n"/>
      <c r="AA1837" s="10" t="n"/>
      <c r="AB1837" s="11">
        <f>IF(LEN(TRIM(X1837))=0,"",HYPERLINK("https://www.google.com/maps/@?api=1&amp;map_action=pano&amp;viewpoint="&amp;SUBSTITUTE(X1837," ",""),"Abrir Street View"))</f>
        <v/>
      </c>
    </row>
    <row r="1838">
      <c r="H1838" s="6" t="n"/>
      <c r="I1838" s="6" t="n"/>
      <c r="M1838" s="7" t="n"/>
      <c r="N1838" s="7" t="n"/>
      <c r="O1838" s="7" t="n"/>
      <c r="P1838" s="8">
        <f>IF(NOT(ISNUMBER(M1838)),"",IF(G1838="Terreno",IF(AND(ISNUMBER(I1838),I1838&gt;0),M1838/I1838,""),IF(AND(ISNUMBER(H1838),H1838&gt;0),M1838/H1838,"")))</f>
        <v/>
      </c>
      <c r="Q1838" s="9">
        <f>IF(AND(ISNUMBER(M1838),ISNUMBER(O1838)),IF(M1838&lt;=O1838,"Valor ≤ venal IPTU",""),"")</f>
        <v/>
      </c>
      <c r="R1838" s="10" t="n"/>
      <c r="S1838" s="10" t="n"/>
      <c r="AA1838" s="10" t="n"/>
      <c r="AB1838" s="11">
        <f>IF(LEN(TRIM(X1838))=0,"",HYPERLINK("https://www.google.com/maps/@?api=1&amp;map_action=pano&amp;viewpoint="&amp;SUBSTITUTE(X1838," ",""),"Abrir Street View"))</f>
        <v/>
      </c>
    </row>
    <row r="1839">
      <c r="H1839" s="6" t="n"/>
      <c r="I1839" s="6" t="n"/>
      <c r="M1839" s="7" t="n"/>
      <c r="N1839" s="7" t="n"/>
      <c r="O1839" s="7" t="n"/>
      <c r="P1839" s="8">
        <f>IF(NOT(ISNUMBER(M1839)),"",IF(G1839="Terreno",IF(AND(ISNUMBER(I1839),I1839&gt;0),M1839/I1839,""),IF(AND(ISNUMBER(H1839),H1839&gt;0),M1839/H1839,"")))</f>
        <v/>
      </c>
      <c r="Q1839" s="9">
        <f>IF(AND(ISNUMBER(M1839),ISNUMBER(O1839)),IF(M1839&lt;=O1839,"Valor ≤ venal IPTU",""),"")</f>
        <v/>
      </c>
      <c r="R1839" s="10" t="n"/>
      <c r="S1839" s="10" t="n"/>
      <c r="AA1839" s="10" t="n"/>
      <c r="AB1839" s="11">
        <f>IF(LEN(TRIM(X1839))=0,"",HYPERLINK("https://www.google.com/maps/@?api=1&amp;map_action=pano&amp;viewpoint="&amp;SUBSTITUTE(X1839," ",""),"Abrir Street View"))</f>
        <v/>
      </c>
    </row>
    <row r="1840">
      <c r="H1840" s="6" t="n"/>
      <c r="I1840" s="6" t="n"/>
      <c r="M1840" s="7" t="n"/>
      <c r="N1840" s="7" t="n"/>
      <c r="O1840" s="7" t="n"/>
      <c r="P1840" s="8">
        <f>IF(NOT(ISNUMBER(M1840)),"",IF(G1840="Terreno",IF(AND(ISNUMBER(I1840),I1840&gt;0),M1840/I1840,""),IF(AND(ISNUMBER(H1840),H1840&gt;0),M1840/H1840,"")))</f>
        <v/>
      </c>
      <c r="Q1840" s="9">
        <f>IF(AND(ISNUMBER(M1840),ISNUMBER(O1840)),IF(M1840&lt;=O1840,"Valor ≤ venal IPTU",""),"")</f>
        <v/>
      </c>
      <c r="R1840" s="10" t="n"/>
      <c r="S1840" s="10" t="n"/>
      <c r="AA1840" s="10" t="n"/>
      <c r="AB1840" s="11">
        <f>IF(LEN(TRIM(X1840))=0,"",HYPERLINK("https://www.google.com/maps/@?api=1&amp;map_action=pano&amp;viewpoint="&amp;SUBSTITUTE(X1840," ",""),"Abrir Street View"))</f>
        <v/>
      </c>
    </row>
    <row r="1841">
      <c r="H1841" s="6" t="n"/>
      <c r="I1841" s="6" t="n"/>
      <c r="M1841" s="7" t="n"/>
      <c r="N1841" s="7" t="n"/>
      <c r="O1841" s="7" t="n"/>
      <c r="P1841" s="8">
        <f>IF(NOT(ISNUMBER(M1841)),"",IF(G1841="Terreno",IF(AND(ISNUMBER(I1841),I1841&gt;0),M1841/I1841,""),IF(AND(ISNUMBER(H1841),H1841&gt;0),M1841/H1841,"")))</f>
        <v/>
      </c>
      <c r="Q1841" s="9">
        <f>IF(AND(ISNUMBER(M1841),ISNUMBER(O1841)),IF(M1841&lt;=O1841,"Valor ≤ venal IPTU",""),"")</f>
        <v/>
      </c>
      <c r="R1841" s="10" t="n"/>
      <c r="S1841" s="10" t="n"/>
      <c r="AA1841" s="10" t="n"/>
      <c r="AB1841" s="11">
        <f>IF(LEN(TRIM(X1841))=0,"",HYPERLINK("https://www.google.com/maps/@?api=1&amp;map_action=pano&amp;viewpoint="&amp;SUBSTITUTE(X1841," ",""),"Abrir Street View"))</f>
        <v/>
      </c>
    </row>
    <row r="1842">
      <c r="H1842" s="6" t="n"/>
      <c r="I1842" s="6" t="n"/>
      <c r="M1842" s="7" t="n"/>
      <c r="N1842" s="7" t="n"/>
      <c r="O1842" s="7" t="n"/>
      <c r="P1842" s="8">
        <f>IF(NOT(ISNUMBER(M1842)),"",IF(G1842="Terreno",IF(AND(ISNUMBER(I1842),I1842&gt;0),M1842/I1842,""),IF(AND(ISNUMBER(H1842),H1842&gt;0),M1842/H1842,"")))</f>
        <v/>
      </c>
      <c r="Q1842" s="9">
        <f>IF(AND(ISNUMBER(M1842),ISNUMBER(O1842)),IF(M1842&lt;=O1842,"Valor ≤ venal IPTU",""),"")</f>
        <v/>
      </c>
      <c r="R1842" s="10" t="n"/>
      <c r="S1842" s="10" t="n"/>
      <c r="AA1842" s="10" t="n"/>
      <c r="AB1842" s="11">
        <f>IF(LEN(TRIM(X1842))=0,"",HYPERLINK("https://www.google.com/maps/@?api=1&amp;map_action=pano&amp;viewpoint="&amp;SUBSTITUTE(X1842," ",""),"Abrir Street View"))</f>
        <v/>
      </c>
    </row>
    <row r="1843">
      <c r="H1843" s="6" t="n"/>
      <c r="I1843" s="6" t="n"/>
      <c r="M1843" s="7" t="n"/>
      <c r="N1843" s="7" t="n"/>
      <c r="O1843" s="7" t="n"/>
      <c r="P1843" s="8">
        <f>IF(NOT(ISNUMBER(M1843)),"",IF(G1843="Terreno",IF(AND(ISNUMBER(I1843),I1843&gt;0),M1843/I1843,""),IF(AND(ISNUMBER(H1843),H1843&gt;0),M1843/H1843,"")))</f>
        <v/>
      </c>
      <c r="Q1843" s="9">
        <f>IF(AND(ISNUMBER(M1843),ISNUMBER(O1843)),IF(M1843&lt;=O1843,"Valor ≤ venal IPTU",""),"")</f>
        <v/>
      </c>
      <c r="R1843" s="10" t="n"/>
      <c r="S1843" s="10" t="n"/>
      <c r="AA1843" s="10" t="n"/>
      <c r="AB1843" s="11">
        <f>IF(LEN(TRIM(X1843))=0,"",HYPERLINK("https://www.google.com/maps/@?api=1&amp;map_action=pano&amp;viewpoint="&amp;SUBSTITUTE(X1843," ",""),"Abrir Street View"))</f>
        <v/>
      </c>
    </row>
    <row r="1844">
      <c r="H1844" s="6" t="n"/>
      <c r="I1844" s="6" t="n"/>
      <c r="M1844" s="7" t="n"/>
      <c r="N1844" s="7" t="n"/>
      <c r="O1844" s="7" t="n"/>
      <c r="P1844" s="8">
        <f>IF(NOT(ISNUMBER(M1844)),"",IF(G1844="Terreno",IF(AND(ISNUMBER(I1844),I1844&gt;0),M1844/I1844,""),IF(AND(ISNUMBER(H1844),H1844&gt;0),M1844/H1844,"")))</f>
        <v/>
      </c>
      <c r="Q1844" s="9">
        <f>IF(AND(ISNUMBER(M1844),ISNUMBER(O1844)),IF(M1844&lt;=O1844,"Valor ≤ venal IPTU",""),"")</f>
        <v/>
      </c>
      <c r="R1844" s="10" t="n"/>
      <c r="S1844" s="10" t="n"/>
      <c r="AA1844" s="10" t="n"/>
      <c r="AB1844" s="11">
        <f>IF(LEN(TRIM(X1844))=0,"",HYPERLINK("https://www.google.com/maps/@?api=1&amp;map_action=pano&amp;viewpoint="&amp;SUBSTITUTE(X1844," ",""),"Abrir Street View"))</f>
        <v/>
      </c>
    </row>
    <row r="1845">
      <c r="H1845" s="6" t="n"/>
      <c r="I1845" s="6" t="n"/>
      <c r="M1845" s="7" t="n"/>
      <c r="N1845" s="7" t="n"/>
      <c r="O1845" s="7" t="n"/>
      <c r="P1845" s="8">
        <f>IF(NOT(ISNUMBER(M1845)),"",IF(G1845="Terreno",IF(AND(ISNUMBER(I1845),I1845&gt;0),M1845/I1845,""),IF(AND(ISNUMBER(H1845),H1845&gt;0),M1845/H1845,"")))</f>
        <v/>
      </c>
      <c r="Q1845" s="9">
        <f>IF(AND(ISNUMBER(M1845),ISNUMBER(O1845)),IF(M1845&lt;=O1845,"Valor ≤ venal IPTU",""),"")</f>
        <v/>
      </c>
      <c r="R1845" s="10" t="n"/>
      <c r="S1845" s="10" t="n"/>
      <c r="AA1845" s="10" t="n"/>
      <c r="AB1845" s="11">
        <f>IF(LEN(TRIM(X1845))=0,"",HYPERLINK("https://www.google.com/maps/@?api=1&amp;map_action=pano&amp;viewpoint="&amp;SUBSTITUTE(X1845," ",""),"Abrir Street View"))</f>
        <v/>
      </c>
    </row>
    <row r="1846">
      <c r="H1846" s="6" t="n"/>
      <c r="I1846" s="6" t="n"/>
      <c r="M1846" s="7" t="n"/>
      <c r="N1846" s="7" t="n"/>
      <c r="O1846" s="7" t="n"/>
      <c r="P1846" s="8">
        <f>IF(NOT(ISNUMBER(M1846)),"",IF(G1846="Terreno",IF(AND(ISNUMBER(I1846),I1846&gt;0),M1846/I1846,""),IF(AND(ISNUMBER(H1846),H1846&gt;0),M1846/H1846,"")))</f>
        <v/>
      </c>
      <c r="Q1846" s="9">
        <f>IF(AND(ISNUMBER(M1846),ISNUMBER(O1846)),IF(M1846&lt;=O1846,"Valor ≤ venal IPTU",""),"")</f>
        <v/>
      </c>
      <c r="R1846" s="10" t="n"/>
      <c r="S1846" s="10" t="n"/>
      <c r="AA1846" s="10" t="n"/>
      <c r="AB1846" s="11">
        <f>IF(LEN(TRIM(X1846))=0,"",HYPERLINK("https://www.google.com/maps/@?api=1&amp;map_action=pano&amp;viewpoint="&amp;SUBSTITUTE(X1846," ",""),"Abrir Street View"))</f>
        <v/>
      </c>
    </row>
    <row r="1847">
      <c r="H1847" s="6" t="n"/>
      <c r="I1847" s="6" t="n"/>
      <c r="M1847" s="7" t="n"/>
      <c r="N1847" s="7" t="n"/>
      <c r="O1847" s="7" t="n"/>
      <c r="P1847" s="8">
        <f>IF(NOT(ISNUMBER(M1847)),"",IF(G1847="Terreno",IF(AND(ISNUMBER(I1847),I1847&gt;0),M1847/I1847,""),IF(AND(ISNUMBER(H1847),H1847&gt;0),M1847/H1847,"")))</f>
        <v/>
      </c>
      <c r="Q1847" s="9">
        <f>IF(AND(ISNUMBER(M1847),ISNUMBER(O1847)),IF(M1847&lt;=O1847,"Valor ≤ venal IPTU",""),"")</f>
        <v/>
      </c>
      <c r="R1847" s="10" t="n"/>
      <c r="S1847" s="10" t="n"/>
      <c r="AA1847" s="10" t="n"/>
      <c r="AB1847" s="11">
        <f>IF(LEN(TRIM(X1847))=0,"",HYPERLINK("https://www.google.com/maps/@?api=1&amp;map_action=pano&amp;viewpoint="&amp;SUBSTITUTE(X1847," ",""),"Abrir Street View"))</f>
        <v/>
      </c>
    </row>
    <row r="1848">
      <c r="H1848" s="6" t="n"/>
      <c r="I1848" s="6" t="n"/>
      <c r="M1848" s="7" t="n"/>
      <c r="N1848" s="7" t="n"/>
      <c r="O1848" s="7" t="n"/>
      <c r="P1848" s="8">
        <f>IF(NOT(ISNUMBER(M1848)),"",IF(G1848="Terreno",IF(AND(ISNUMBER(I1848),I1848&gt;0),M1848/I1848,""),IF(AND(ISNUMBER(H1848),H1848&gt;0),M1848/H1848,"")))</f>
        <v/>
      </c>
      <c r="Q1848" s="9">
        <f>IF(AND(ISNUMBER(M1848),ISNUMBER(O1848)),IF(M1848&lt;=O1848,"Valor ≤ venal IPTU",""),"")</f>
        <v/>
      </c>
      <c r="R1848" s="10" t="n"/>
      <c r="S1848" s="10" t="n"/>
      <c r="AA1848" s="10" t="n"/>
      <c r="AB1848" s="11">
        <f>IF(LEN(TRIM(X1848))=0,"",HYPERLINK("https://www.google.com/maps/@?api=1&amp;map_action=pano&amp;viewpoint="&amp;SUBSTITUTE(X1848," ",""),"Abrir Street View"))</f>
        <v/>
      </c>
    </row>
    <row r="1849">
      <c r="H1849" s="6" t="n"/>
      <c r="I1849" s="6" t="n"/>
      <c r="M1849" s="7" t="n"/>
      <c r="N1849" s="7" t="n"/>
      <c r="O1849" s="7" t="n"/>
      <c r="P1849" s="8">
        <f>IF(NOT(ISNUMBER(M1849)),"",IF(G1849="Terreno",IF(AND(ISNUMBER(I1849),I1849&gt;0),M1849/I1849,""),IF(AND(ISNUMBER(H1849),H1849&gt;0),M1849/H1849,"")))</f>
        <v/>
      </c>
      <c r="Q1849" s="9">
        <f>IF(AND(ISNUMBER(M1849),ISNUMBER(O1849)),IF(M1849&lt;=O1849,"Valor ≤ venal IPTU",""),"")</f>
        <v/>
      </c>
      <c r="R1849" s="10" t="n"/>
      <c r="S1849" s="10" t="n"/>
      <c r="AA1849" s="10" t="n"/>
      <c r="AB1849" s="11">
        <f>IF(LEN(TRIM(X1849))=0,"",HYPERLINK("https://www.google.com/maps/@?api=1&amp;map_action=pano&amp;viewpoint="&amp;SUBSTITUTE(X1849," ",""),"Abrir Street View"))</f>
        <v/>
      </c>
    </row>
    <row r="1850">
      <c r="H1850" s="6" t="n"/>
      <c r="I1850" s="6" t="n"/>
      <c r="M1850" s="7" t="n"/>
      <c r="N1850" s="7" t="n"/>
      <c r="O1850" s="7" t="n"/>
      <c r="P1850" s="8">
        <f>IF(NOT(ISNUMBER(M1850)),"",IF(G1850="Terreno",IF(AND(ISNUMBER(I1850),I1850&gt;0),M1850/I1850,""),IF(AND(ISNUMBER(H1850),H1850&gt;0),M1850/H1850,"")))</f>
        <v/>
      </c>
      <c r="Q1850" s="9">
        <f>IF(AND(ISNUMBER(M1850),ISNUMBER(O1850)),IF(M1850&lt;=O1850,"Valor ≤ venal IPTU",""),"")</f>
        <v/>
      </c>
      <c r="R1850" s="10" t="n"/>
      <c r="S1850" s="10" t="n"/>
      <c r="AA1850" s="10" t="n"/>
      <c r="AB1850" s="11">
        <f>IF(LEN(TRIM(X1850))=0,"",HYPERLINK("https://www.google.com/maps/@?api=1&amp;map_action=pano&amp;viewpoint="&amp;SUBSTITUTE(X1850," ",""),"Abrir Street View"))</f>
        <v/>
      </c>
    </row>
    <row r="1851">
      <c r="H1851" s="6" t="n"/>
      <c r="I1851" s="6" t="n"/>
      <c r="M1851" s="7" t="n"/>
      <c r="N1851" s="7" t="n"/>
      <c r="O1851" s="7" t="n"/>
      <c r="P1851" s="8">
        <f>IF(NOT(ISNUMBER(M1851)),"",IF(G1851="Terreno",IF(AND(ISNUMBER(I1851),I1851&gt;0),M1851/I1851,""),IF(AND(ISNUMBER(H1851),H1851&gt;0),M1851/H1851,"")))</f>
        <v/>
      </c>
      <c r="Q1851" s="9">
        <f>IF(AND(ISNUMBER(M1851),ISNUMBER(O1851)),IF(M1851&lt;=O1851,"Valor ≤ venal IPTU",""),"")</f>
        <v/>
      </c>
      <c r="R1851" s="10" t="n"/>
      <c r="S1851" s="10" t="n"/>
      <c r="AA1851" s="10" t="n"/>
      <c r="AB1851" s="11">
        <f>IF(LEN(TRIM(X1851))=0,"",HYPERLINK("https://www.google.com/maps/@?api=1&amp;map_action=pano&amp;viewpoint="&amp;SUBSTITUTE(X1851," ",""),"Abrir Street View"))</f>
        <v/>
      </c>
    </row>
    <row r="1852">
      <c r="H1852" s="6" t="n"/>
      <c r="I1852" s="6" t="n"/>
      <c r="M1852" s="7" t="n"/>
      <c r="N1852" s="7" t="n"/>
      <c r="O1852" s="7" t="n"/>
      <c r="P1852" s="8">
        <f>IF(NOT(ISNUMBER(M1852)),"",IF(G1852="Terreno",IF(AND(ISNUMBER(I1852),I1852&gt;0),M1852/I1852,""),IF(AND(ISNUMBER(H1852),H1852&gt;0),M1852/H1852,"")))</f>
        <v/>
      </c>
      <c r="Q1852" s="9">
        <f>IF(AND(ISNUMBER(M1852),ISNUMBER(O1852)),IF(M1852&lt;=O1852,"Valor ≤ venal IPTU",""),"")</f>
        <v/>
      </c>
      <c r="R1852" s="10" t="n"/>
      <c r="S1852" s="10" t="n"/>
      <c r="AA1852" s="10" t="n"/>
      <c r="AB1852" s="11">
        <f>IF(LEN(TRIM(X1852))=0,"",HYPERLINK("https://www.google.com/maps/@?api=1&amp;map_action=pano&amp;viewpoint="&amp;SUBSTITUTE(X1852," ",""),"Abrir Street View"))</f>
        <v/>
      </c>
    </row>
    <row r="1853">
      <c r="H1853" s="6" t="n"/>
      <c r="I1853" s="6" t="n"/>
      <c r="M1853" s="7" t="n"/>
      <c r="N1853" s="7" t="n"/>
      <c r="O1853" s="7" t="n"/>
      <c r="P1853" s="8">
        <f>IF(NOT(ISNUMBER(M1853)),"",IF(G1853="Terreno",IF(AND(ISNUMBER(I1853),I1853&gt;0),M1853/I1853,""),IF(AND(ISNUMBER(H1853),H1853&gt;0),M1853/H1853,"")))</f>
        <v/>
      </c>
      <c r="Q1853" s="9">
        <f>IF(AND(ISNUMBER(M1853),ISNUMBER(O1853)),IF(M1853&lt;=O1853,"Valor ≤ venal IPTU",""),"")</f>
        <v/>
      </c>
      <c r="R1853" s="10" t="n"/>
      <c r="S1853" s="10" t="n"/>
      <c r="AA1853" s="10" t="n"/>
      <c r="AB1853" s="11">
        <f>IF(LEN(TRIM(X1853))=0,"",HYPERLINK("https://www.google.com/maps/@?api=1&amp;map_action=pano&amp;viewpoint="&amp;SUBSTITUTE(X1853," ",""),"Abrir Street View"))</f>
        <v/>
      </c>
    </row>
    <row r="1854">
      <c r="H1854" s="6" t="n"/>
      <c r="I1854" s="6" t="n"/>
      <c r="M1854" s="7" t="n"/>
      <c r="N1854" s="7" t="n"/>
      <c r="O1854" s="7" t="n"/>
      <c r="P1854" s="8">
        <f>IF(NOT(ISNUMBER(M1854)),"",IF(G1854="Terreno",IF(AND(ISNUMBER(I1854),I1854&gt;0),M1854/I1854,""),IF(AND(ISNUMBER(H1854),H1854&gt;0),M1854/H1854,"")))</f>
        <v/>
      </c>
      <c r="Q1854" s="9">
        <f>IF(AND(ISNUMBER(M1854),ISNUMBER(O1854)),IF(M1854&lt;=O1854,"Valor ≤ venal IPTU",""),"")</f>
        <v/>
      </c>
      <c r="R1854" s="10" t="n"/>
      <c r="S1854" s="10" t="n"/>
      <c r="AA1854" s="10" t="n"/>
      <c r="AB1854" s="11">
        <f>IF(LEN(TRIM(X1854))=0,"",HYPERLINK("https://www.google.com/maps/@?api=1&amp;map_action=pano&amp;viewpoint="&amp;SUBSTITUTE(X1854," ",""),"Abrir Street View"))</f>
        <v/>
      </c>
    </row>
    <row r="1855">
      <c r="H1855" s="6" t="n"/>
      <c r="I1855" s="6" t="n"/>
      <c r="M1855" s="7" t="n"/>
      <c r="N1855" s="7" t="n"/>
      <c r="O1855" s="7" t="n"/>
      <c r="P1855" s="8">
        <f>IF(NOT(ISNUMBER(M1855)),"",IF(G1855="Terreno",IF(AND(ISNUMBER(I1855),I1855&gt;0),M1855/I1855,""),IF(AND(ISNUMBER(H1855),H1855&gt;0),M1855/H1855,"")))</f>
        <v/>
      </c>
      <c r="Q1855" s="9">
        <f>IF(AND(ISNUMBER(M1855),ISNUMBER(O1855)),IF(M1855&lt;=O1855,"Valor ≤ venal IPTU",""),"")</f>
        <v/>
      </c>
      <c r="R1855" s="10" t="n"/>
      <c r="S1855" s="10" t="n"/>
      <c r="AA1855" s="10" t="n"/>
      <c r="AB1855" s="11">
        <f>IF(LEN(TRIM(X1855))=0,"",HYPERLINK("https://www.google.com/maps/@?api=1&amp;map_action=pano&amp;viewpoint="&amp;SUBSTITUTE(X1855," ",""),"Abrir Street View"))</f>
        <v/>
      </c>
    </row>
    <row r="1856">
      <c r="H1856" s="6" t="n"/>
      <c r="I1856" s="6" t="n"/>
      <c r="M1856" s="7" t="n"/>
      <c r="N1856" s="7" t="n"/>
      <c r="O1856" s="7" t="n"/>
      <c r="P1856" s="8">
        <f>IF(NOT(ISNUMBER(M1856)),"",IF(G1856="Terreno",IF(AND(ISNUMBER(I1856),I1856&gt;0),M1856/I1856,""),IF(AND(ISNUMBER(H1856),H1856&gt;0),M1856/H1856,"")))</f>
        <v/>
      </c>
      <c r="Q1856" s="9">
        <f>IF(AND(ISNUMBER(M1856),ISNUMBER(O1856)),IF(M1856&lt;=O1856,"Valor ≤ venal IPTU",""),"")</f>
        <v/>
      </c>
      <c r="R1856" s="10" t="n"/>
      <c r="S1856" s="10" t="n"/>
      <c r="AA1856" s="10" t="n"/>
      <c r="AB1856" s="11">
        <f>IF(LEN(TRIM(X1856))=0,"",HYPERLINK("https://www.google.com/maps/@?api=1&amp;map_action=pano&amp;viewpoint="&amp;SUBSTITUTE(X1856," ",""),"Abrir Street View"))</f>
        <v/>
      </c>
    </row>
    <row r="1857">
      <c r="H1857" s="6" t="n"/>
      <c r="I1857" s="6" t="n"/>
      <c r="M1857" s="7" t="n"/>
      <c r="N1857" s="7" t="n"/>
      <c r="O1857" s="7" t="n"/>
      <c r="P1857" s="8">
        <f>IF(NOT(ISNUMBER(M1857)),"",IF(G1857="Terreno",IF(AND(ISNUMBER(I1857),I1857&gt;0),M1857/I1857,""),IF(AND(ISNUMBER(H1857),H1857&gt;0),M1857/H1857,"")))</f>
        <v/>
      </c>
      <c r="Q1857" s="9">
        <f>IF(AND(ISNUMBER(M1857),ISNUMBER(O1857)),IF(M1857&lt;=O1857,"Valor ≤ venal IPTU",""),"")</f>
        <v/>
      </c>
      <c r="R1857" s="10" t="n"/>
      <c r="S1857" s="10" t="n"/>
      <c r="AA1857" s="10" t="n"/>
      <c r="AB1857" s="11">
        <f>IF(LEN(TRIM(X1857))=0,"",HYPERLINK("https://www.google.com/maps/@?api=1&amp;map_action=pano&amp;viewpoint="&amp;SUBSTITUTE(X1857," ",""),"Abrir Street View"))</f>
        <v/>
      </c>
    </row>
    <row r="1858">
      <c r="H1858" s="6" t="n"/>
      <c r="I1858" s="6" t="n"/>
      <c r="M1858" s="7" t="n"/>
      <c r="N1858" s="7" t="n"/>
      <c r="O1858" s="7" t="n"/>
      <c r="P1858" s="8">
        <f>IF(NOT(ISNUMBER(M1858)),"",IF(G1858="Terreno",IF(AND(ISNUMBER(I1858),I1858&gt;0),M1858/I1858,""),IF(AND(ISNUMBER(H1858),H1858&gt;0),M1858/H1858,"")))</f>
        <v/>
      </c>
      <c r="Q1858" s="9">
        <f>IF(AND(ISNUMBER(M1858),ISNUMBER(O1858)),IF(M1858&lt;=O1858,"Valor ≤ venal IPTU",""),"")</f>
        <v/>
      </c>
      <c r="R1858" s="10" t="n"/>
      <c r="S1858" s="10" t="n"/>
      <c r="AA1858" s="10" t="n"/>
      <c r="AB1858" s="11">
        <f>IF(LEN(TRIM(X1858))=0,"",HYPERLINK("https://www.google.com/maps/@?api=1&amp;map_action=pano&amp;viewpoint="&amp;SUBSTITUTE(X1858," ",""),"Abrir Street View"))</f>
        <v/>
      </c>
    </row>
    <row r="1859">
      <c r="H1859" s="6" t="n"/>
      <c r="I1859" s="6" t="n"/>
      <c r="M1859" s="7" t="n"/>
      <c r="N1859" s="7" t="n"/>
      <c r="O1859" s="7" t="n"/>
      <c r="P1859" s="8">
        <f>IF(NOT(ISNUMBER(M1859)),"",IF(G1859="Terreno",IF(AND(ISNUMBER(I1859),I1859&gt;0),M1859/I1859,""),IF(AND(ISNUMBER(H1859),H1859&gt;0),M1859/H1859,"")))</f>
        <v/>
      </c>
      <c r="Q1859" s="9">
        <f>IF(AND(ISNUMBER(M1859),ISNUMBER(O1859)),IF(M1859&lt;=O1859,"Valor ≤ venal IPTU",""),"")</f>
        <v/>
      </c>
      <c r="R1859" s="10" t="n"/>
      <c r="S1859" s="10" t="n"/>
      <c r="AA1859" s="10" t="n"/>
      <c r="AB1859" s="11">
        <f>IF(LEN(TRIM(X1859))=0,"",HYPERLINK("https://www.google.com/maps/@?api=1&amp;map_action=pano&amp;viewpoint="&amp;SUBSTITUTE(X1859," ",""),"Abrir Street View"))</f>
        <v/>
      </c>
    </row>
    <row r="1860">
      <c r="H1860" s="6" t="n"/>
      <c r="I1860" s="6" t="n"/>
      <c r="M1860" s="7" t="n"/>
      <c r="N1860" s="7" t="n"/>
      <c r="O1860" s="7" t="n"/>
      <c r="P1860" s="8">
        <f>IF(NOT(ISNUMBER(M1860)),"",IF(G1860="Terreno",IF(AND(ISNUMBER(I1860),I1860&gt;0),M1860/I1860,""),IF(AND(ISNUMBER(H1860),H1860&gt;0),M1860/H1860,"")))</f>
        <v/>
      </c>
      <c r="Q1860" s="9">
        <f>IF(AND(ISNUMBER(M1860),ISNUMBER(O1860)),IF(M1860&lt;=O1860,"Valor ≤ venal IPTU",""),"")</f>
        <v/>
      </c>
      <c r="R1860" s="10" t="n"/>
      <c r="S1860" s="10" t="n"/>
      <c r="AA1860" s="10" t="n"/>
      <c r="AB1860" s="11">
        <f>IF(LEN(TRIM(X1860))=0,"",HYPERLINK("https://www.google.com/maps/@?api=1&amp;map_action=pano&amp;viewpoint="&amp;SUBSTITUTE(X1860," ",""),"Abrir Street View"))</f>
        <v/>
      </c>
    </row>
    <row r="1861">
      <c r="H1861" s="6" t="n"/>
      <c r="I1861" s="6" t="n"/>
      <c r="M1861" s="7" t="n"/>
      <c r="N1861" s="7" t="n"/>
      <c r="O1861" s="7" t="n"/>
      <c r="P1861" s="8">
        <f>IF(NOT(ISNUMBER(M1861)),"",IF(G1861="Terreno",IF(AND(ISNUMBER(I1861),I1861&gt;0),M1861/I1861,""),IF(AND(ISNUMBER(H1861),H1861&gt;0),M1861/H1861,"")))</f>
        <v/>
      </c>
      <c r="Q1861" s="9">
        <f>IF(AND(ISNUMBER(M1861),ISNUMBER(O1861)),IF(M1861&lt;=O1861,"Valor ≤ venal IPTU",""),"")</f>
        <v/>
      </c>
      <c r="R1861" s="10" t="n"/>
      <c r="S1861" s="10" t="n"/>
      <c r="AA1861" s="10" t="n"/>
      <c r="AB1861" s="11">
        <f>IF(LEN(TRIM(X1861))=0,"",HYPERLINK("https://www.google.com/maps/@?api=1&amp;map_action=pano&amp;viewpoint="&amp;SUBSTITUTE(X1861," ",""),"Abrir Street View"))</f>
        <v/>
      </c>
    </row>
    <row r="1862">
      <c r="H1862" s="6" t="n"/>
      <c r="I1862" s="6" t="n"/>
      <c r="M1862" s="7" t="n"/>
      <c r="N1862" s="7" t="n"/>
      <c r="O1862" s="7" t="n"/>
      <c r="P1862" s="8">
        <f>IF(NOT(ISNUMBER(M1862)),"",IF(G1862="Terreno",IF(AND(ISNUMBER(I1862),I1862&gt;0),M1862/I1862,""),IF(AND(ISNUMBER(H1862),H1862&gt;0),M1862/H1862,"")))</f>
        <v/>
      </c>
      <c r="Q1862" s="9">
        <f>IF(AND(ISNUMBER(M1862),ISNUMBER(O1862)),IF(M1862&lt;=O1862,"Valor ≤ venal IPTU",""),"")</f>
        <v/>
      </c>
      <c r="R1862" s="10" t="n"/>
      <c r="S1862" s="10" t="n"/>
      <c r="AA1862" s="10" t="n"/>
      <c r="AB1862" s="11">
        <f>IF(LEN(TRIM(X1862))=0,"",HYPERLINK("https://www.google.com/maps/@?api=1&amp;map_action=pano&amp;viewpoint="&amp;SUBSTITUTE(X1862," ",""),"Abrir Street View"))</f>
        <v/>
      </c>
    </row>
    <row r="1863">
      <c r="H1863" s="6" t="n"/>
      <c r="I1863" s="6" t="n"/>
      <c r="M1863" s="7" t="n"/>
      <c r="N1863" s="7" t="n"/>
      <c r="O1863" s="7" t="n"/>
      <c r="P1863" s="8">
        <f>IF(NOT(ISNUMBER(M1863)),"",IF(G1863="Terreno",IF(AND(ISNUMBER(I1863),I1863&gt;0),M1863/I1863,""),IF(AND(ISNUMBER(H1863),H1863&gt;0),M1863/H1863,"")))</f>
        <v/>
      </c>
      <c r="Q1863" s="9">
        <f>IF(AND(ISNUMBER(M1863),ISNUMBER(O1863)),IF(M1863&lt;=O1863,"Valor ≤ venal IPTU",""),"")</f>
        <v/>
      </c>
      <c r="R1863" s="10" t="n"/>
      <c r="S1863" s="10" t="n"/>
      <c r="AA1863" s="10" t="n"/>
      <c r="AB1863" s="11">
        <f>IF(LEN(TRIM(X1863))=0,"",HYPERLINK("https://www.google.com/maps/@?api=1&amp;map_action=pano&amp;viewpoint="&amp;SUBSTITUTE(X1863," ",""),"Abrir Street View"))</f>
        <v/>
      </c>
    </row>
    <row r="1864">
      <c r="H1864" s="6" t="n"/>
      <c r="I1864" s="6" t="n"/>
      <c r="M1864" s="7" t="n"/>
      <c r="N1864" s="7" t="n"/>
      <c r="O1864" s="7" t="n"/>
      <c r="P1864" s="8">
        <f>IF(NOT(ISNUMBER(M1864)),"",IF(G1864="Terreno",IF(AND(ISNUMBER(I1864),I1864&gt;0),M1864/I1864,""),IF(AND(ISNUMBER(H1864),H1864&gt;0),M1864/H1864,"")))</f>
        <v/>
      </c>
      <c r="Q1864" s="9">
        <f>IF(AND(ISNUMBER(M1864),ISNUMBER(O1864)),IF(M1864&lt;=O1864,"Valor ≤ venal IPTU",""),"")</f>
        <v/>
      </c>
      <c r="R1864" s="10" t="n"/>
      <c r="S1864" s="10" t="n"/>
      <c r="AA1864" s="10" t="n"/>
      <c r="AB1864" s="11">
        <f>IF(LEN(TRIM(X1864))=0,"",HYPERLINK("https://www.google.com/maps/@?api=1&amp;map_action=pano&amp;viewpoint="&amp;SUBSTITUTE(X1864," ",""),"Abrir Street View"))</f>
        <v/>
      </c>
    </row>
    <row r="1865">
      <c r="H1865" s="6" t="n"/>
      <c r="I1865" s="6" t="n"/>
      <c r="M1865" s="7" t="n"/>
      <c r="N1865" s="7" t="n"/>
      <c r="O1865" s="7" t="n"/>
      <c r="P1865" s="8">
        <f>IF(NOT(ISNUMBER(M1865)),"",IF(G1865="Terreno",IF(AND(ISNUMBER(I1865),I1865&gt;0),M1865/I1865,""),IF(AND(ISNUMBER(H1865),H1865&gt;0),M1865/H1865,"")))</f>
        <v/>
      </c>
      <c r="Q1865" s="9">
        <f>IF(AND(ISNUMBER(M1865),ISNUMBER(O1865)),IF(M1865&lt;=O1865,"Valor ≤ venal IPTU",""),"")</f>
        <v/>
      </c>
      <c r="R1865" s="10" t="n"/>
      <c r="S1865" s="10" t="n"/>
      <c r="AA1865" s="10" t="n"/>
      <c r="AB1865" s="11">
        <f>IF(LEN(TRIM(X1865))=0,"",HYPERLINK("https://www.google.com/maps/@?api=1&amp;map_action=pano&amp;viewpoint="&amp;SUBSTITUTE(X1865," ",""),"Abrir Street View"))</f>
        <v/>
      </c>
    </row>
    <row r="1866">
      <c r="H1866" s="6" t="n"/>
      <c r="I1866" s="6" t="n"/>
      <c r="M1866" s="7" t="n"/>
      <c r="N1866" s="7" t="n"/>
      <c r="O1866" s="7" t="n"/>
      <c r="P1866" s="8">
        <f>IF(NOT(ISNUMBER(M1866)),"",IF(G1866="Terreno",IF(AND(ISNUMBER(I1866),I1866&gt;0),M1866/I1866,""),IF(AND(ISNUMBER(H1866),H1866&gt;0),M1866/H1866,"")))</f>
        <v/>
      </c>
      <c r="Q1866" s="9">
        <f>IF(AND(ISNUMBER(M1866),ISNUMBER(O1866)),IF(M1866&lt;=O1866,"Valor ≤ venal IPTU",""),"")</f>
        <v/>
      </c>
      <c r="R1866" s="10" t="n"/>
      <c r="S1866" s="10" t="n"/>
      <c r="AA1866" s="10" t="n"/>
      <c r="AB1866" s="11">
        <f>IF(LEN(TRIM(X1866))=0,"",HYPERLINK("https://www.google.com/maps/@?api=1&amp;map_action=pano&amp;viewpoint="&amp;SUBSTITUTE(X1866," ",""),"Abrir Street View"))</f>
        <v/>
      </c>
    </row>
    <row r="1867">
      <c r="H1867" s="6" t="n"/>
      <c r="I1867" s="6" t="n"/>
      <c r="M1867" s="7" t="n"/>
      <c r="N1867" s="7" t="n"/>
      <c r="O1867" s="7" t="n"/>
      <c r="P1867" s="8">
        <f>IF(NOT(ISNUMBER(M1867)),"",IF(G1867="Terreno",IF(AND(ISNUMBER(I1867),I1867&gt;0),M1867/I1867,""),IF(AND(ISNUMBER(H1867),H1867&gt;0),M1867/H1867,"")))</f>
        <v/>
      </c>
      <c r="Q1867" s="9">
        <f>IF(AND(ISNUMBER(M1867),ISNUMBER(O1867)),IF(M1867&lt;=O1867,"Valor ≤ venal IPTU",""),"")</f>
        <v/>
      </c>
      <c r="R1867" s="10" t="n"/>
      <c r="S1867" s="10" t="n"/>
      <c r="AA1867" s="10" t="n"/>
      <c r="AB1867" s="11">
        <f>IF(LEN(TRIM(X1867))=0,"",HYPERLINK("https://www.google.com/maps/@?api=1&amp;map_action=pano&amp;viewpoint="&amp;SUBSTITUTE(X1867," ",""),"Abrir Street View"))</f>
        <v/>
      </c>
    </row>
    <row r="1868">
      <c r="H1868" s="6" t="n"/>
      <c r="I1868" s="6" t="n"/>
      <c r="M1868" s="7" t="n"/>
      <c r="N1868" s="7" t="n"/>
      <c r="O1868" s="7" t="n"/>
      <c r="P1868" s="8">
        <f>IF(NOT(ISNUMBER(M1868)),"",IF(G1868="Terreno",IF(AND(ISNUMBER(I1868),I1868&gt;0),M1868/I1868,""),IF(AND(ISNUMBER(H1868),H1868&gt;0),M1868/H1868,"")))</f>
        <v/>
      </c>
      <c r="Q1868" s="9">
        <f>IF(AND(ISNUMBER(M1868),ISNUMBER(O1868)),IF(M1868&lt;=O1868,"Valor ≤ venal IPTU",""),"")</f>
        <v/>
      </c>
      <c r="R1868" s="10" t="n"/>
      <c r="S1868" s="10" t="n"/>
      <c r="AA1868" s="10" t="n"/>
      <c r="AB1868" s="11">
        <f>IF(LEN(TRIM(X1868))=0,"",HYPERLINK("https://www.google.com/maps/@?api=1&amp;map_action=pano&amp;viewpoint="&amp;SUBSTITUTE(X1868," ",""),"Abrir Street View"))</f>
        <v/>
      </c>
    </row>
    <row r="1869">
      <c r="H1869" s="6" t="n"/>
      <c r="I1869" s="6" t="n"/>
      <c r="M1869" s="7" t="n"/>
      <c r="N1869" s="7" t="n"/>
      <c r="O1869" s="7" t="n"/>
      <c r="P1869" s="8">
        <f>IF(NOT(ISNUMBER(M1869)),"",IF(G1869="Terreno",IF(AND(ISNUMBER(I1869),I1869&gt;0),M1869/I1869,""),IF(AND(ISNUMBER(H1869),H1869&gt;0),M1869/H1869,"")))</f>
        <v/>
      </c>
      <c r="Q1869" s="9">
        <f>IF(AND(ISNUMBER(M1869),ISNUMBER(O1869)),IF(M1869&lt;=O1869,"Valor ≤ venal IPTU",""),"")</f>
        <v/>
      </c>
      <c r="R1869" s="10" t="n"/>
      <c r="S1869" s="10" t="n"/>
      <c r="AA1869" s="10" t="n"/>
      <c r="AB1869" s="11">
        <f>IF(LEN(TRIM(X1869))=0,"",HYPERLINK("https://www.google.com/maps/@?api=1&amp;map_action=pano&amp;viewpoint="&amp;SUBSTITUTE(X1869," ",""),"Abrir Street View"))</f>
        <v/>
      </c>
    </row>
    <row r="1870">
      <c r="H1870" s="6" t="n"/>
      <c r="I1870" s="6" t="n"/>
      <c r="M1870" s="7" t="n"/>
      <c r="N1870" s="7" t="n"/>
      <c r="O1870" s="7" t="n"/>
      <c r="P1870" s="8">
        <f>IF(NOT(ISNUMBER(M1870)),"",IF(G1870="Terreno",IF(AND(ISNUMBER(I1870),I1870&gt;0),M1870/I1870,""),IF(AND(ISNUMBER(H1870),H1870&gt;0),M1870/H1870,"")))</f>
        <v/>
      </c>
      <c r="Q1870" s="9">
        <f>IF(AND(ISNUMBER(M1870),ISNUMBER(O1870)),IF(M1870&lt;=O1870,"Valor ≤ venal IPTU",""),"")</f>
        <v/>
      </c>
      <c r="R1870" s="10" t="n"/>
      <c r="S1870" s="10" t="n"/>
      <c r="AA1870" s="10" t="n"/>
      <c r="AB1870" s="11">
        <f>IF(LEN(TRIM(X1870))=0,"",HYPERLINK("https://www.google.com/maps/@?api=1&amp;map_action=pano&amp;viewpoint="&amp;SUBSTITUTE(X1870," ",""),"Abrir Street View"))</f>
        <v/>
      </c>
    </row>
    <row r="1871">
      <c r="H1871" s="6" t="n"/>
      <c r="I1871" s="6" t="n"/>
      <c r="M1871" s="7" t="n"/>
      <c r="N1871" s="7" t="n"/>
      <c r="O1871" s="7" t="n"/>
      <c r="P1871" s="8">
        <f>IF(NOT(ISNUMBER(M1871)),"",IF(G1871="Terreno",IF(AND(ISNUMBER(I1871),I1871&gt;0),M1871/I1871,""),IF(AND(ISNUMBER(H1871),H1871&gt;0),M1871/H1871,"")))</f>
        <v/>
      </c>
      <c r="Q1871" s="9">
        <f>IF(AND(ISNUMBER(M1871),ISNUMBER(O1871)),IF(M1871&lt;=O1871,"Valor ≤ venal IPTU",""),"")</f>
        <v/>
      </c>
      <c r="R1871" s="10" t="n"/>
      <c r="S1871" s="10" t="n"/>
      <c r="AA1871" s="10" t="n"/>
      <c r="AB1871" s="11">
        <f>IF(LEN(TRIM(X1871))=0,"",HYPERLINK("https://www.google.com/maps/@?api=1&amp;map_action=pano&amp;viewpoint="&amp;SUBSTITUTE(X1871," ",""),"Abrir Street View"))</f>
        <v/>
      </c>
    </row>
    <row r="1872">
      <c r="H1872" s="6" t="n"/>
      <c r="I1872" s="6" t="n"/>
      <c r="M1872" s="7" t="n"/>
      <c r="N1872" s="7" t="n"/>
      <c r="O1872" s="7" t="n"/>
      <c r="P1872" s="8">
        <f>IF(NOT(ISNUMBER(M1872)),"",IF(G1872="Terreno",IF(AND(ISNUMBER(I1872),I1872&gt;0),M1872/I1872,""),IF(AND(ISNUMBER(H1872),H1872&gt;0),M1872/H1872,"")))</f>
        <v/>
      </c>
      <c r="Q1872" s="9">
        <f>IF(AND(ISNUMBER(M1872),ISNUMBER(O1872)),IF(M1872&lt;=O1872,"Valor ≤ venal IPTU",""),"")</f>
        <v/>
      </c>
      <c r="R1872" s="10" t="n"/>
      <c r="S1872" s="10" t="n"/>
      <c r="AA1872" s="10" t="n"/>
      <c r="AB1872" s="11">
        <f>IF(LEN(TRIM(X1872))=0,"",HYPERLINK("https://www.google.com/maps/@?api=1&amp;map_action=pano&amp;viewpoint="&amp;SUBSTITUTE(X1872," ",""),"Abrir Street View"))</f>
        <v/>
      </c>
    </row>
    <row r="1873">
      <c r="H1873" s="6" t="n"/>
      <c r="I1873" s="6" t="n"/>
      <c r="M1873" s="7" t="n"/>
      <c r="N1873" s="7" t="n"/>
      <c r="O1873" s="7" t="n"/>
      <c r="P1873" s="8">
        <f>IF(NOT(ISNUMBER(M1873)),"",IF(G1873="Terreno",IF(AND(ISNUMBER(I1873),I1873&gt;0),M1873/I1873,""),IF(AND(ISNUMBER(H1873),H1873&gt;0),M1873/H1873,"")))</f>
        <v/>
      </c>
      <c r="Q1873" s="9">
        <f>IF(AND(ISNUMBER(M1873),ISNUMBER(O1873)),IF(M1873&lt;=O1873,"Valor ≤ venal IPTU",""),"")</f>
        <v/>
      </c>
      <c r="R1873" s="10" t="n"/>
      <c r="S1873" s="10" t="n"/>
      <c r="AA1873" s="10" t="n"/>
      <c r="AB1873" s="11">
        <f>IF(LEN(TRIM(X1873))=0,"",HYPERLINK("https://www.google.com/maps/@?api=1&amp;map_action=pano&amp;viewpoint="&amp;SUBSTITUTE(X1873," ",""),"Abrir Street View"))</f>
        <v/>
      </c>
    </row>
    <row r="1874">
      <c r="H1874" s="6" t="n"/>
      <c r="I1874" s="6" t="n"/>
      <c r="M1874" s="7" t="n"/>
      <c r="N1874" s="7" t="n"/>
      <c r="O1874" s="7" t="n"/>
      <c r="P1874" s="8">
        <f>IF(NOT(ISNUMBER(M1874)),"",IF(G1874="Terreno",IF(AND(ISNUMBER(I1874),I1874&gt;0),M1874/I1874,""),IF(AND(ISNUMBER(H1874),H1874&gt;0),M1874/H1874,"")))</f>
        <v/>
      </c>
      <c r="Q1874" s="9">
        <f>IF(AND(ISNUMBER(M1874),ISNUMBER(O1874)),IF(M1874&lt;=O1874,"Valor ≤ venal IPTU",""),"")</f>
        <v/>
      </c>
      <c r="R1874" s="10" t="n"/>
      <c r="S1874" s="10" t="n"/>
      <c r="AA1874" s="10" t="n"/>
      <c r="AB1874" s="11">
        <f>IF(LEN(TRIM(X1874))=0,"",HYPERLINK("https://www.google.com/maps/@?api=1&amp;map_action=pano&amp;viewpoint="&amp;SUBSTITUTE(X1874," ",""),"Abrir Street View"))</f>
        <v/>
      </c>
    </row>
    <row r="1875">
      <c r="H1875" s="6" t="n"/>
      <c r="I1875" s="6" t="n"/>
      <c r="M1875" s="7" t="n"/>
      <c r="N1875" s="7" t="n"/>
      <c r="O1875" s="7" t="n"/>
      <c r="P1875" s="8">
        <f>IF(NOT(ISNUMBER(M1875)),"",IF(G1875="Terreno",IF(AND(ISNUMBER(I1875),I1875&gt;0),M1875/I1875,""),IF(AND(ISNUMBER(H1875),H1875&gt;0),M1875/H1875,"")))</f>
        <v/>
      </c>
      <c r="Q1875" s="9">
        <f>IF(AND(ISNUMBER(M1875),ISNUMBER(O1875)),IF(M1875&lt;=O1875,"Valor ≤ venal IPTU",""),"")</f>
        <v/>
      </c>
      <c r="R1875" s="10" t="n"/>
      <c r="S1875" s="10" t="n"/>
      <c r="AA1875" s="10" t="n"/>
      <c r="AB1875" s="11">
        <f>IF(LEN(TRIM(X1875))=0,"",HYPERLINK("https://www.google.com/maps/@?api=1&amp;map_action=pano&amp;viewpoint="&amp;SUBSTITUTE(X1875," ",""),"Abrir Street View"))</f>
        <v/>
      </c>
    </row>
    <row r="1876">
      <c r="H1876" s="6" t="n"/>
      <c r="I1876" s="6" t="n"/>
      <c r="M1876" s="7" t="n"/>
      <c r="N1876" s="7" t="n"/>
      <c r="O1876" s="7" t="n"/>
      <c r="P1876" s="8">
        <f>IF(NOT(ISNUMBER(M1876)),"",IF(G1876="Terreno",IF(AND(ISNUMBER(I1876),I1876&gt;0),M1876/I1876,""),IF(AND(ISNUMBER(H1876),H1876&gt;0),M1876/H1876,"")))</f>
        <v/>
      </c>
      <c r="Q1876" s="9">
        <f>IF(AND(ISNUMBER(M1876),ISNUMBER(O1876)),IF(M1876&lt;=O1876,"Valor ≤ venal IPTU",""),"")</f>
        <v/>
      </c>
      <c r="R1876" s="10" t="n"/>
      <c r="S1876" s="10" t="n"/>
      <c r="AA1876" s="10" t="n"/>
      <c r="AB1876" s="11">
        <f>IF(LEN(TRIM(X1876))=0,"",HYPERLINK("https://www.google.com/maps/@?api=1&amp;map_action=pano&amp;viewpoint="&amp;SUBSTITUTE(X1876," ",""),"Abrir Street View"))</f>
        <v/>
      </c>
    </row>
    <row r="1877">
      <c r="H1877" s="6" t="n"/>
      <c r="I1877" s="6" t="n"/>
      <c r="M1877" s="7" t="n"/>
      <c r="N1877" s="7" t="n"/>
      <c r="O1877" s="7" t="n"/>
      <c r="P1877" s="8">
        <f>IF(NOT(ISNUMBER(M1877)),"",IF(G1877="Terreno",IF(AND(ISNUMBER(I1877),I1877&gt;0),M1877/I1877,""),IF(AND(ISNUMBER(H1877),H1877&gt;0),M1877/H1877,"")))</f>
        <v/>
      </c>
      <c r="Q1877" s="9">
        <f>IF(AND(ISNUMBER(M1877),ISNUMBER(O1877)),IF(M1877&lt;=O1877,"Valor ≤ venal IPTU",""),"")</f>
        <v/>
      </c>
      <c r="R1877" s="10" t="n"/>
      <c r="S1877" s="10" t="n"/>
      <c r="AA1877" s="10" t="n"/>
      <c r="AB1877" s="11">
        <f>IF(LEN(TRIM(X1877))=0,"",HYPERLINK("https://www.google.com/maps/@?api=1&amp;map_action=pano&amp;viewpoint="&amp;SUBSTITUTE(X1877," ",""),"Abrir Street View"))</f>
        <v/>
      </c>
    </row>
    <row r="1878">
      <c r="H1878" s="6" t="n"/>
      <c r="I1878" s="6" t="n"/>
      <c r="M1878" s="7" t="n"/>
      <c r="N1878" s="7" t="n"/>
      <c r="O1878" s="7" t="n"/>
      <c r="P1878" s="8">
        <f>IF(NOT(ISNUMBER(M1878)),"",IF(G1878="Terreno",IF(AND(ISNUMBER(I1878),I1878&gt;0),M1878/I1878,""),IF(AND(ISNUMBER(H1878),H1878&gt;0),M1878/H1878,"")))</f>
        <v/>
      </c>
      <c r="Q1878" s="9">
        <f>IF(AND(ISNUMBER(M1878),ISNUMBER(O1878)),IF(M1878&lt;=O1878,"Valor ≤ venal IPTU",""),"")</f>
        <v/>
      </c>
      <c r="R1878" s="10" t="n"/>
      <c r="S1878" s="10" t="n"/>
      <c r="AA1878" s="10" t="n"/>
      <c r="AB1878" s="11">
        <f>IF(LEN(TRIM(X1878))=0,"",HYPERLINK("https://www.google.com/maps/@?api=1&amp;map_action=pano&amp;viewpoint="&amp;SUBSTITUTE(X1878," ",""),"Abrir Street View"))</f>
        <v/>
      </c>
    </row>
    <row r="1879">
      <c r="H1879" s="6" t="n"/>
      <c r="I1879" s="6" t="n"/>
      <c r="M1879" s="7" t="n"/>
      <c r="N1879" s="7" t="n"/>
      <c r="O1879" s="7" t="n"/>
      <c r="P1879" s="8">
        <f>IF(NOT(ISNUMBER(M1879)),"",IF(G1879="Terreno",IF(AND(ISNUMBER(I1879),I1879&gt;0),M1879/I1879,""),IF(AND(ISNUMBER(H1879),H1879&gt;0),M1879/H1879,"")))</f>
        <v/>
      </c>
      <c r="Q1879" s="9">
        <f>IF(AND(ISNUMBER(M1879),ISNUMBER(O1879)),IF(M1879&lt;=O1879,"Valor ≤ venal IPTU",""),"")</f>
        <v/>
      </c>
      <c r="R1879" s="10" t="n"/>
      <c r="S1879" s="10" t="n"/>
      <c r="AA1879" s="10" t="n"/>
      <c r="AB1879" s="11">
        <f>IF(LEN(TRIM(X1879))=0,"",HYPERLINK("https://www.google.com/maps/@?api=1&amp;map_action=pano&amp;viewpoint="&amp;SUBSTITUTE(X1879," ",""),"Abrir Street View"))</f>
        <v/>
      </c>
    </row>
    <row r="1880">
      <c r="H1880" s="6" t="n"/>
      <c r="I1880" s="6" t="n"/>
      <c r="M1880" s="7" t="n"/>
      <c r="N1880" s="7" t="n"/>
      <c r="O1880" s="7" t="n"/>
      <c r="P1880" s="8">
        <f>IF(NOT(ISNUMBER(M1880)),"",IF(G1880="Terreno",IF(AND(ISNUMBER(I1880),I1880&gt;0),M1880/I1880,""),IF(AND(ISNUMBER(H1880),H1880&gt;0),M1880/H1880,"")))</f>
        <v/>
      </c>
      <c r="Q1880" s="9">
        <f>IF(AND(ISNUMBER(M1880),ISNUMBER(O1880)),IF(M1880&lt;=O1880,"Valor ≤ venal IPTU",""),"")</f>
        <v/>
      </c>
      <c r="R1880" s="10" t="n"/>
      <c r="S1880" s="10" t="n"/>
      <c r="AA1880" s="10" t="n"/>
      <c r="AB1880" s="11">
        <f>IF(LEN(TRIM(X1880))=0,"",HYPERLINK("https://www.google.com/maps/@?api=1&amp;map_action=pano&amp;viewpoint="&amp;SUBSTITUTE(X1880," ",""),"Abrir Street View"))</f>
        <v/>
      </c>
    </row>
    <row r="1881">
      <c r="H1881" s="6" t="n"/>
      <c r="I1881" s="6" t="n"/>
      <c r="M1881" s="7" t="n"/>
      <c r="N1881" s="7" t="n"/>
      <c r="O1881" s="7" t="n"/>
      <c r="P1881" s="8">
        <f>IF(NOT(ISNUMBER(M1881)),"",IF(G1881="Terreno",IF(AND(ISNUMBER(I1881),I1881&gt;0),M1881/I1881,""),IF(AND(ISNUMBER(H1881),H1881&gt;0),M1881/H1881,"")))</f>
        <v/>
      </c>
      <c r="Q1881" s="9">
        <f>IF(AND(ISNUMBER(M1881),ISNUMBER(O1881)),IF(M1881&lt;=O1881,"Valor ≤ venal IPTU",""),"")</f>
        <v/>
      </c>
      <c r="R1881" s="10" t="n"/>
      <c r="S1881" s="10" t="n"/>
      <c r="AA1881" s="10" t="n"/>
      <c r="AB1881" s="11">
        <f>IF(LEN(TRIM(X1881))=0,"",HYPERLINK("https://www.google.com/maps/@?api=1&amp;map_action=pano&amp;viewpoint="&amp;SUBSTITUTE(X1881," ",""),"Abrir Street View"))</f>
        <v/>
      </c>
    </row>
    <row r="1882">
      <c r="H1882" s="6" t="n"/>
      <c r="I1882" s="6" t="n"/>
      <c r="M1882" s="7" t="n"/>
      <c r="N1882" s="7" t="n"/>
      <c r="O1882" s="7" t="n"/>
      <c r="P1882" s="8">
        <f>IF(NOT(ISNUMBER(M1882)),"",IF(G1882="Terreno",IF(AND(ISNUMBER(I1882),I1882&gt;0),M1882/I1882,""),IF(AND(ISNUMBER(H1882),H1882&gt;0),M1882/H1882,"")))</f>
        <v/>
      </c>
      <c r="Q1882" s="9">
        <f>IF(AND(ISNUMBER(M1882),ISNUMBER(O1882)),IF(M1882&lt;=O1882,"Valor ≤ venal IPTU",""),"")</f>
        <v/>
      </c>
      <c r="R1882" s="10" t="n"/>
      <c r="S1882" s="10" t="n"/>
      <c r="AA1882" s="10" t="n"/>
      <c r="AB1882" s="11">
        <f>IF(LEN(TRIM(X1882))=0,"",HYPERLINK("https://www.google.com/maps/@?api=1&amp;map_action=pano&amp;viewpoint="&amp;SUBSTITUTE(X1882," ",""),"Abrir Street View"))</f>
        <v/>
      </c>
    </row>
    <row r="1883">
      <c r="H1883" s="6" t="n"/>
      <c r="I1883" s="6" t="n"/>
      <c r="M1883" s="7" t="n"/>
      <c r="N1883" s="7" t="n"/>
      <c r="O1883" s="7" t="n"/>
      <c r="P1883" s="8">
        <f>IF(NOT(ISNUMBER(M1883)),"",IF(G1883="Terreno",IF(AND(ISNUMBER(I1883),I1883&gt;0),M1883/I1883,""),IF(AND(ISNUMBER(H1883),H1883&gt;0),M1883/H1883,"")))</f>
        <v/>
      </c>
      <c r="Q1883" s="9">
        <f>IF(AND(ISNUMBER(M1883),ISNUMBER(O1883)),IF(M1883&lt;=O1883,"Valor ≤ venal IPTU",""),"")</f>
        <v/>
      </c>
      <c r="R1883" s="10" t="n"/>
      <c r="S1883" s="10" t="n"/>
      <c r="AA1883" s="10" t="n"/>
      <c r="AB1883" s="11">
        <f>IF(LEN(TRIM(X1883))=0,"",HYPERLINK("https://www.google.com/maps/@?api=1&amp;map_action=pano&amp;viewpoint="&amp;SUBSTITUTE(X1883," ",""),"Abrir Street View"))</f>
        <v/>
      </c>
    </row>
    <row r="1884">
      <c r="H1884" s="6" t="n"/>
      <c r="I1884" s="6" t="n"/>
      <c r="M1884" s="7" t="n"/>
      <c r="N1884" s="7" t="n"/>
      <c r="O1884" s="7" t="n"/>
      <c r="P1884" s="8">
        <f>IF(NOT(ISNUMBER(M1884)),"",IF(G1884="Terreno",IF(AND(ISNUMBER(I1884),I1884&gt;0),M1884/I1884,""),IF(AND(ISNUMBER(H1884),H1884&gt;0),M1884/H1884,"")))</f>
        <v/>
      </c>
      <c r="Q1884" s="9">
        <f>IF(AND(ISNUMBER(M1884),ISNUMBER(O1884)),IF(M1884&lt;=O1884,"Valor ≤ venal IPTU",""),"")</f>
        <v/>
      </c>
      <c r="R1884" s="10" t="n"/>
      <c r="S1884" s="10" t="n"/>
      <c r="AA1884" s="10" t="n"/>
      <c r="AB1884" s="11">
        <f>IF(LEN(TRIM(X1884))=0,"",HYPERLINK("https://www.google.com/maps/@?api=1&amp;map_action=pano&amp;viewpoint="&amp;SUBSTITUTE(X1884," ",""),"Abrir Street View"))</f>
        <v/>
      </c>
    </row>
    <row r="1885">
      <c r="H1885" s="6" t="n"/>
      <c r="I1885" s="6" t="n"/>
      <c r="M1885" s="7" t="n"/>
      <c r="N1885" s="7" t="n"/>
      <c r="O1885" s="7" t="n"/>
      <c r="P1885" s="8">
        <f>IF(NOT(ISNUMBER(M1885)),"",IF(G1885="Terreno",IF(AND(ISNUMBER(I1885),I1885&gt;0),M1885/I1885,""),IF(AND(ISNUMBER(H1885),H1885&gt;0),M1885/H1885,"")))</f>
        <v/>
      </c>
      <c r="Q1885" s="9">
        <f>IF(AND(ISNUMBER(M1885),ISNUMBER(O1885)),IF(M1885&lt;=O1885,"Valor ≤ venal IPTU",""),"")</f>
        <v/>
      </c>
      <c r="R1885" s="10" t="n"/>
      <c r="S1885" s="10" t="n"/>
      <c r="AA1885" s="10" t="n"/>
      <c r="AB1885" s="11">
        <f>IF(LEN(TRIM(X1885))=0,"",HYPERLINK("https://www.google.com/maps/@?api=1&amp;map_action=pano&amp;viewpoint="&amp;SUBSTITUTE(X1885," ",""),"Abrir Street View"))</f>
        <v/>
      </c>
    </row>
    <row r="1886">
      <c r="H1886" s="6" t="n"/>
      <c r="I1886" s="6" t="n"/>
      <c r="M1886" s="7" t="n"/>
      <c r="N1886" s="7" t="n"/>
      <c r="O1886" s="7" t="n"/>
      <c r="P1886" s="8">
        <f>IF(NOT(ISNUMBER(M1886)),"",IF(G1886="Terreno",IF(AND(ISNUMBER(I1886),I1886&gt;0),M1886/I1886,""),IF(AND(ISNUMBER(H1886),H1886&gt;0),M1886/H1886,"")))</f>
        <v/>
      </c>
      <c r="Q1886" s="9">
        <f>IF(AND(ISNUMBER(M1886),ISNUMBER(O1886)),IF(M1886&lt;=O1886,"Valor ≤ venal IPTU",""),"")</f>
        <v/>
      </c>
      <c r="R1886" s="10" t="n"/>
      <c r="S1886" s="10" t="n"/>
      <c r="AA1886" s="10" t="n"/>
      <c r="AB1886" s="11">
        <f>IF(LEN(TRIM(X1886))=0,"",HYPERLINK("https://www.google.com/maps/@?api=1&amp;map_action=pano&amp;viewpoint="&amp;SUBSTITUTE(X1886," ",""),"Abrir Street View"))</f>
        <v/>
      </c>
    </row>
    <row r="1887">
      <c r="H1887" s="6" t="n"/>
      <c r="I1887" s="6" t="n"/>
      <c r="M1887" s="7" t="n"/>
      <c r="N1887" s="7" t="n"/>
      <c r="O1887" s="7" t="n"/>
      <c r="P1887" s="8">
        <f>IF(NOT(ISNUMBER(M1887)),"",IF(G1887="Terreno",IF(AND(ISNUMBER(I1887),I1887&gt;0),M1887/I1887,""),IF(AND(ISNUMBER(H1887),H1887&gt;0),M1887/H1887,"")))</f>
        <v/>
      </c>
      <c r="Q1887" s="9">
        <f>IF(AND(ISNUMBER(M1887),ISNUMBER(O1887)),IF(M1887&lt;=O1887,"Valor ≤ venal IPTU",""),"")</f>
        <v/>
      </c>
      <c r="R1887" s="10" t="n"/>
      <c r="S1887" s="10" t="n"/>
      <c r="AA1887" s="10" t="n"/>
      <c r="AB1887" s="11">
        <f>IF(LEN(TRIM(X1887))=0,"",HYPERLINK("https://www.google.com/maps/@?api=1&amp;map_action=pano&amp;viewpoint="&amp;SUBSTITUTE(X1887," ",""),"Abrir Street View"))</f>
        <v/>
      </c>
    </row>
    <row r="1888">
      <c r="H1888" s="6" t="n"/>
      <c r="I1888" s="6" t="n"/>
      <c r="M1888" s="7" t="n"/>
      <c r="N1888" s="7" t="n"/>
      <c r="O1888" s="7" t="n"/>
      <c r="P1888" s="8">
        <f>IF(NOT(ISNUMBER(M1888)),"",IF(G1888="Terreno",IF(AND(ISNUMBER(I1888),I1888&gt;0),M1888/I1888,""),IF(AND(ISNUMBER(H1888),H1888&gt;0),M1888/H1888,"")))</f>
        <v/>
      </c>
      <c r="Q1888" s="9">
        <f>IF(AND(ISNUMBER(M1888),ISNUMBER(O1888)),IF(M1888&lt;=O1888,"Valor ≤ venal IPTU",""),"")</f>
        <v/>
      </c>
      <c r="R1888" s="10" t="n"/>
      <c r="S1888" s="10" t="n"/>
      <c r="AA1888" s="10" t="n"/>
      <c r="AB1888" s="11">
        <f>IF(LEN(TRIM(X1888))=0,"",HYPERLINK("https://www.google.com/maps/@?api=1&amp;map_action=pano&amp;viewpoint="&amp;SUBSTITUTE(X1888," ",""),"Abrir Street View"))</f>
        <v/>
      </c>
    </row>
    <row r="1889">
      <c r="H1889" s="6" t="n"/>
      <c r="I1889" s="6" t="n"/>
      <c r="M1889" s="7" t="n"/>
      <c r="N1889" s="7" t="n"/>
      <c r="O1889" s="7" t="n"/>
      <c r="P1889" s="8">
        <f>IF(NOT(ISNUMBER(M1889)),"",IF(G1889="Terreno",IF(AND(ISNUMBER(I1889),I1889&gt;0),M1889/I1889,""),IF(AND(ISNUMBER(H1889),H1889&gt;0),M1889/H1889,"")))</f>
        <v/>
      </c>
      <c r="Q1889" s="9">
        <f>IF(AND(ISNUMBER(M1889),ISNUMBER(O1889)),IF(M1889&lt;=O1889,"Valor ≤ venal IPTU",""),"")</f>
        <v/>
      </c>
      <c r="R1889" s="10" t="n"/>
      <c r="S1889" s="10" t="n"/>
      <c r="AA1889" s="10" t="n"/>
      <c r="AB1889" s="11">
        <f>IF(LEN(TRIM(X1889))=0,"",HYPERLINK("https://www.google.com/maps/@?api=1&amp;map_action=pano&amp;viewpoint="&amp;SUBSTITUTE(X1889," ",""),"Abrir Street View"))</f>
        <v/>
      </c>
    </row>
    <row r="1890">
      <c r="H1890" s="6" t="n"/>
      <c r="I1890" s="6" t="n"/>
      <c r="M1890" s="7" t="n"/>
      <c r="N1890" s="7" t="n"/>
      <c r="O1890" s="7" t="n"/>
      <c r="P1890" s="8">
        <f>IF(NOT(ISNUMBER(M1890)),"",IF(G1890="Terreno",IF(AND(ISNUMBER(I1890),I1890&gt;0),M1890/I1890,""),IF(AND(ISNUMBER(H1890),H1890&gt;0),M1890/H1890,"")))</f>
        <v/>
      </c>
      <c r="Q1890" s="9">
        <f>IF(AND(ISNUMBER(M1890),ISNUMBER(O1890)),IF(M1890&lt;=O1890,"Valor ≤ venal IPTU",""),"")</f>
        <v/>
      </c>
      <c r="R1890" s="10" t="n"/>
      <c r="S1890" s="10" t="n"/>
      <c r="AA1890" s="10" t="n"/>
      <c r="AB1890" s="11">
        <f>IF(LEN(TRIM(X1890))=0,"",HYPERLINK("https://www.google.com/maps/@?api=1&amp;map_action=pano&amp;viewpoint="&amp;SUBSTITUTE(X1890," ",""),"Abrir Street View"))</f>
        <v/>
      </c>
    </row>
    <row r="1891">
      <c r="H1891" s="6" t="n"/>
      <c r="I1891" s="6" t="n"/>
      <c r="M1891" s="7" t="n"/>
      <c r="N1891" s="7" t="n"/>
      <c r="O1891" s="7" t="n"/>
      <c r="P1891" s="8">
        <f>IF(NOT(ISNUMBER(M1891)),"",IF(G1891="Terreno",IF(AND(ISNUMBER(I1891),I1891&gt;0),M1891/I1891,""),IF(AND(ISNUMBER(H1891),H1891&gt;0),M1891/H1891,"")))</f>
        <v/>
      </c>
      <c r="Q1891" s="9">
        <f>IF(AND(ISNUMBER(M1891),ISNUMBER(O1891)),IF(M1891&lt;=O1891,"Valor ≤ venal IPTU",""),"")</f>
        <v/>
      </c>
      <c r="R1891" s="10" t="n"/>
      <c r="S1891" s="10" t="n"/>
      <c r="AA1891" s="10" t="n"/>
      <c r="AB1891" s="11">
        <f>IF(LEN(TRIM(X1891))=0,"",HYPERLINK("https://www.google.com/maps/@?api=1&amp;map_action=pano&amp;viewpoint="&amp;SUBSTITUTE(X1891," ",""),"Abrir Street View"))</f>
        <v/>
      </c>
    </row>
    <row r="1892">
      <c r="H1892" s="6" t="n"/>
      <c r="I1892" s="6" t="n"/>
      <c r="M1892" s="7" t="n"/>
      <c r="N1892" s="7" t="n"/>
      <c r="O1892" s="7" t="n"/>
      <c r="P1892" s="8">
        <f>IF(NOT(ISNUMBER(M1892)),"",IF(G1892="Terreno",IF(AND(ISNUMBER(I1892),I1892&gt;0),M1892/I1892,""),IF(AND(ISNUMBER(H1892),H1892&gt;0),M1892/H1892,"")))</f>
        <v/>
      </c>
      <c r="Q1892" s="9">
        <f>IF(AND(ISNUMBER(M1892),ISNUMBER(O1892)),IF(M1892&lt;=O1892,"Valor ≤ venal IPTU",""),"")</f>
        <v/>
      </c>
      <c r="R1892" s="10" t="n"/>
      <c r="S1892" s="10" t="n"/>
      <c r="AA1892" s="10" t="n"/>
      <c r="AB1892" s="11">
        <f>IF(LEN(TRIM(X1892))=0,"",HYPERLINK("https://www.google.com/maps/@?api=1&amp;map_action=pano&amp;viewpoint="&amp;SUBSTITUTE(X1892," ",""),"Abrir Street View"))</f>
        <v/>
      </c>
    </row>
    <row r="1893">
      <c r="H1893" s="6" t="n"/>
      <c r="I1893" s="6" t="n"/>
      <c r="M1893" s="7" t="n"/>
      <c r="N1893" s="7" t="n"/>
      <c r="O1893" s="7" t="n"/>
      <c r="P1893" s="8">
        <f>IF(NOT(ISNUMBER(M1893)),"",IF(G1893="Terreno",IF(AND(ISNUMBER(I1893),I1893&gt;0),M1893/I1893,""),IF(AND(ISNUMBER(H1893),H1893&gt;0),M1893/H1893,"")))</f>
        <v/>
      </c>
      <c r="Q1893" s="9">
        <f>IF(AND(ISNUMBER(M1893),ISNUMBER(O1893)),IF(M1893&lt;=O1893,"Valor ≤ venal IPTU",""),"")</f>
        <v/>
      </c>
      <c r="R1893" s="10" t="n"/>
      <c r="S1893" s="10" t="n"/>
      <c r="AA1893" s="10" t="n"/>
      <c r="AB1893" s="11">
        <f>IF(LEN(TRIM(X1893))=0,"",HYPERLINK("https://www.google.com/maps/@?api=1&amp;map_action=pano&amp;viewpoint="&amp;SUBSTITUTE(X1893," ",""),"Abrir Street View"))</f>
        <v/>
      </c>
    </row>
    <row r="1894">
      <c r="H1894" s="6" t="n"/>
      <c r="I1894" s="6" t="n"/>
      <c r="M1894" s="7" t="n"/>
      <c r="N1894" s="7" t="n"/>
      <c r="O1894" s="7" t="n"/>
      <c r="P1894" s="8">
        <f>IF(NOT(ISNUMBER(M1894)),"",IF(G1894="Terreno",IF(AND(ISNUMBER(I1894),I1894&gt;0),M1894/I1894,""),IF(AND(ISNUMBER(H1894),H1894&gt;0),M1894/H1894,"")))</f>
        <v/>
      </c>
      <c r="Q1894" s="9">
        <f>IF(AND(ISNUMBER(M1894),ISNUMBER(O1894)),IF(M1894&lt;=O1894,"Valor ≤ venal IPTU",""),"")</f>
        <v/>
      </c>
      <c r="R1894" s="10" t="n"/>
      <c r="S1894" s="10" t="n"/>
      <c r="AA1894" s="10" t="n"/>
      <c r="AB1894" s="11">
        <f>IF(LEN(TRIM(X1894))=0,"",HYPERLINK("https://www.google.com/maps/@?api=1&amp;map_action=pano&amp;viewpoint="&amp;SUBSTITUTE(X1894," ",""),"Abrir Street View"))</f>
        <v/>
      </c>
    </row>
    <row r="1895">
      <c r="H1895" s="6" t="n"/>
      <c r="I1895" s="6" t="n"/>
      <c r="M1895" s="7" t="n"/>
      <c r="N1895" s="7" t="n"/>
      <c r="O1895" s="7" t="n"/>
      <c r="P1895" s="8">
        <f>IF(NOT(ISNUMBER(M1895)),"",IF(G1895="Terreno",IF(AND(ISNUMBER(I1895),I1895&gt;0),M1895/I1895,""),IF(AND(ISNUMBER(H1895),H1895&gt;0),M1895/H1895,"")))</f>
        <v/>
      </c>
      <c r="Q1895" s="9">
        <f>IF(AND(ISNUMBER(M1895),ISNUMBER(O1895)),IF(M1895&lt;=O1895,"Valor ≤ venal IPTU",""),"")</f>
        <v/>
      </c>
      <c r="R1895" s="10" t="n"/>
      <c r="S1895" s="10" t="n"/>
      <c r="AA1895" s="10" t="n"/>
      <c r="AB1895" s="11">
        <f>IF(LEN(TRIM(X1895))=0,"",HYPERLINK("https://www.google.com/maps/@?api=1&amp;map_action=pano&amp;viewpoint="&amp;SUBSTITUTE(X1895," ",""),"Abrir Street View"))</f>
        <v/>
      </c>
    </row>
    <row r="1896">
      <c r="H1896" s="6" t="n"/>
      <c r="I1896" s="6" t="n"/>
      <c r="M1896" s="7" t="n"/>
      <c r="N1896" s="7" t="n"/>
      <c r="O1896" s="7" t="n"/>
      <c r="P1896" s="8">
        <f>IF(NOT(ISNUMBER(M1896)),"",IF(G1896="Terreno",IF(AND(ISNUMBER(I1896),I1896&gt;0),M1896/I1896,""),IF(AND(ISNUMBER(H1896),H1896&gt;0),M1896/H1896,"")))</f>
        <v/>
      </c>
      <c r="Q1896" s="9">
        <f>IF(AND(ISNUMBER(M1896),ISNUMBER(O1896)),IF(M1896&lt;=O1896,"Valor ≤ venal IPTU",""),"")</f>
        <v/>
      </c>
      <c r="R1896" s="10" t="n"/>
      <c r="S1896" s="10" t="n"/>
      <c r="AA1896" s="10" t="n"/>
      <c r="AB1896" s="11">
        <f>IF(LEN(TRIM(X1896))=0,"",HYPERLINK("https://www.google.com/maps/@?api=1&amp;map_action=pano&amp;viewpoint="&amp;SUBSTITUTE(X1896," ",""),"Abrir Street View"))</f>
        <v/>
      </c>
    </row>
    <row r="1897">
      <c r="H1897" s="6" t="n"/>
      <c r="I1897" s="6" t="n"/>
      <c r="M1897" s="7" t="n"/>
      <c r="N1897" s="7" t="n"/>
      <c r="O1897" s="7" t="n"/>
      <c r="P1897" s="8">
        <f>IF(NOT(ISNUMBER(M1897)),"",IF(G1897="Terreno",IF(AND(ISNUMBER(I1897),I1897&gt;0),M1897/I1897,""),IF(AND(ISNUMBER(H1897),H1897&gt;0),M1897/H1897,"")))</f>
        <v/>
      </c>
      <c r="Q1897" s="9">
        <f>IF(AND(ISNUMBER(M1897),ISNUMBER(O1897)),IF(M1897&lt;=O1897,"Valor ≤ venal IPTU",""),"")</f>
        <v/>
      </c>
      <c r="R1897" s="10" t="n"/>
      <c r="S1897" s="10" t="n"/>
      <c r="AA1897" s="10" t="n"/>
      <c r="AB1897" s="11">
        <f>IF(LEN(TRIM(X1897))=0,"",HYPERLINK("https://www.google.com/maps/@?api=1&amp;map_action=pano&amp;viewpoint="&amp;SUBSTITUTE(X1897," ",""),"Abrir Street View"))</f>
        <v/>
      </c>
    </row>
    <row r="1898">
      <c r="H1898" s="6" t="n"/>
      <c r="I1898" s="6" t="n"/>
      <c r="M1898" s="7" t="n"/>
      <c r="N1898" s="7" t="n"/>
      <c r="O1898" s="7" t="n"/>
      <c r="P1898" s="8">
        <f>IF(NOT(ISNUMBER(M1898)),"",IF(G1898="Terreno",IF(AND(ISNUMBER(I1898),I1898&gt;0),M1898/I1898,""),IF(AND(ISNUMBER(H1898),H1898&gt;0),M1898/H1898,"")))</f>
        <v/>
      </c>
      <c r="Q1898" s="9">
        <f>IF(AND(ISNUMBER(M1898),ISNUMBER(O1898)),IF(M1898&lt;=O1898,"Valor ≤ venal IPTU",""),"")</f>
        <v/>
      </c>
      <c r="R1898" s="10" t="n"/>
      <c r="S1898" s="10" t="n"/>
      <c r="AA1898" s="10" t="n"/>
      <c r="AB1898" s="11">
        <f>IF(LEN(TRIM(X1898))=0,"",HYPERLINK("https://www.google.com/maps/@?api=1&amp;map_action=pano&amp;viewpoint="&amp;SUBSTITUTE(X1898," ",""),"Abrir Street View"))</f>
        <v/>
      </c>
    </row>
    <row r="1899">
      <c r="H1899" s="6" t="n"/>
      <c r="I1899" s="6" t="n"/>
      <c r="M1899" s="7" t="n"/>
      <c r="N1899" s="7" t="n"/>
      <c r="O1899" s="7" t="n"/>
      <c r="P1899" s="8">
        <f>IF(NOT(ISNUMBER(M1899)),"",IF(G1899="Terreno",IF(AND(ISNUMBER(I1899),I1899&gt;0),M1899/I1899,""),IF(AND(ISNUMBER(H1899),H1899&gt;0),M1899/H1899,"")))</f>
        <v/>
      </c>
      <c r="Q1899" s="9">
        <f>IF(AND(ISNUMBER(M1899),ISNUMBER(O1899)),IF(M1899&lt;=O1899,"Valor ≤ venal IPTU",""),"")</f>
        <v/>
      </c>
      <c r="R1899" s="10" t="n"/>
      <c r="S1899" s="10" t="n"/>
      <c r="AA1899" s="10" t="n"/>
      <c r="AB1899" s="11">
        <f>IF(LEN(TRIM(X1899))=0,"",HYPERLINK("https://www.google.com/maps/@?api=1&amp;map_action=pano&amp;viewpoint="&amp;SUBSTITUTE(X1899," ",""),"Abrir Street View"))</f>
        <v/>
      </c>
    </row>
    <row r="1900">
      <c r="H1900" s="6" t="n"/>
      <c r="I1900" s="6" t="n"/>
      <c r="M1900" s="7" t="n"/>
      <c r="N1900" s="7" t="n"/>
      <c r="O1900" s="7" t="n"/>
      <c r="P1900" s="8">
        <f>IF(NOT(ISNUMBER(M1900)),"",IF(G1900="Terreno",IF(AND(ISNUMBER(I1900),I1900&gt;0),M1900/I1900,""),IF(AND(ISNUMBER(H1900),H1900&gt;0),M1900/H1900,"")))</f>
        <v/>
      </c>
      <c r="Q1900" s="9">
        <f>IF(AND(ISNUMBER(M1900),ISNUMBER(O1900)),IF(M1900&lt;=O1900,"Valor ≤ venal IPTU",""),"")</f>
        <v/>
      </c>
      <c r="R1900" s="10" t="n"/>
      <c r="S1900" s="10" t="n"/>
      <c r="AA1900" s="10" t="n"/>
      <c r="AB1900" s="11">
        <f>IF(LEN(TRIM(X1900))=0,"",HYPERLINK("https://www.google.com/maps/@?api=1&amp;map_action=pano&amp;viewpoint="&amp;SUBSTITUTE(X1900," ",""),"Abrir Street View"))</f>
        <v/>
      </c>
    </row>
    <row r="1901">
      <c r="H1901" s="6" t="n"/>
      <c r="I1901" s="6" t="n"/>
      <c r="M1901" s="7" t="n"/>
      <c r="N1901" s="7" t="n"/>
      <c r="O1901" s="7" t="n"/>
      <c r="P1901" s="8">
        <f>IF(NOT(ISNUMBER(M1901)),"",IF(G1901="Terreno",IF(AND(ISNUMBER(I1901),I1901&gt;0),M1901/I1901,""),IF(AND(ISNUMBER(H1901),H1901&gt;0),M1901/H1901,"")))</f>
        <v/>
      </c>
      <c r="Q1901" s="9">
        <f>IF(AND(ISNUMBER(M1901),ISNUMBER(O1901)),IF(M1901&lt;=O1901,"Valor ≤ venal IPTU",""),"")</f>
        <v/>
      </c>
      <c r="R1901" s="10" t="n"/>
      <c r="S1901" s="10" t="n"/>
      <c r="AA1901" s="10" t="n"/>
      <c r="AB1901" s="11">
        <f>IF(LEN(TRIM(X1901))=0,"",HYPERLINK("https://www.google.com/maps/@?api=1&amp;map_action=pano&amp;viewpoint="&amp;SUBSTITUTE(X1901," ",""),"Abrir Street View"))</f>
        <v/>
      </c>
    </row>
    <row r="1902">
      <c r="H1902" s="6" t="n"/>
      <c r="I1902" s="6" t="n"/>
      <c r="M1902" s="7" t="n"/>
      <c r="N1902" s="7" t="n"/>
      <c r="O1902" s="7" t="n"/>
      <c r="P1902" s="8">
        <f>IF(NOT(ISNUMBER(M1902)),"",IF(G1902="Terreno",IF(AND(ISNUMBER(I1902),I1902&gt;0),M1902/I1902,""),IF(AND(ISNUMBER(H1902),H1902&gt;0),M1902/H1902,"")))</f>
        <v/>
      </c>
      <c r="Q1902" s="9">
        <f>IF(AND(ISNUMBER(M1902),ISNUMBER(O1902)),IF(M1902&lt;=O1902,"Valor ≤ venal IPTU",""),"")</f>
        <v/>
      </c>
      <c r="R1902" s="10" t="n"/>
      <c r="S1902" s="10" t="n"/>
      <c r="AA1902" s="10" t="n"/>
      <c r="AB1902" s="11">
        <f>IF(LEN(TRIM(X1902))=0,"",HYPERLINK("https://www.google.com/maps/@?api=1&amp;map_action=pano&amp;viewpoint="&amp;SUBSTITUTE(X1902," ",""),"Abrir Street View"))</f>
        <v/>
      </c>
    </row>
    <row r="1903">
      <c r="H1903" s="6" t="n"/>
      <c r="I1903" s="6" t="n"/>
      <c r="M1903" s="7" t="n"/>
      <c r="N1903" s="7" t="n"/>
      <c r="O1903" s="7" t="n"/>
      <c r="P1903" s="8">
        <f>IF(NOT(ISNUMBER(M1903)),"",IF(G1903="Terreno",IF(AND(ISNUMBER(I1903),I1903&gt;0),M1903/I1903,""),IF(AND(ISNUMBER(H1903),H1903&gt;0),M1903/H1903,"")))</f>
        <v/>
      </c>
      <c r="Q1903" s="9">
        <f>IF(AND(ISNUMBER(M1903),ISNUMBER(O1903)),IF(M1903&lt;=O1903,"Valor ≤ venal IPTU",""),"")</f>
        <v/>
      </c>
      <c r="R1903" s="10" t="n"/>
      <c r="S1903" s="10" t="n"/>
      <c r="AA1903" s="10" t="n"/>
      <c r="AB1903" s="11">
        <f>IF(LEN(TRIM(X1903))=0,"",HYPERLINK("https://www.google.com/maps/@?api=1&amp;map_action=pano&amp;viewpoint="&amp;SUBSTITUTE(X1903," ",""),"Abrir Street View"))</f>
        <v/>
      </c>
    </row>
    <row r="1904">
      <c r="H1904" s="6" t="n"/>
      <c r="I1904" s="6" t="n"/>
      <c r="M1904" s="7" t="n"/>
      <c r="N1904" s="7" t="n"/>
      <c r="O1904" s="7" t="n"/>
      <c r="P1904" s="8">
        <f>IF(NOT(ISNUMBER(M1904)),"",IF(G1904="Terreno",IF(AND(ISNUMBER(I1904),I1904&gt;0),M1904/I1904,""),IF(AND(ISNUMBER(H1904),H1904&gt;0),M1904/H1904,"")))</f>
        <v/>
      </c>
      <c r="Q1904" s="9">
        <f>IF(AND(ISNUMBER(M1904),ISNUMBER(O1904)),IF(M1904&lt;=O1904,"Valor ≤ venal IPTU",""),"")</f>
        <v/>
      </c>
      <c r="R1904" s="10" t="n"/>
      <c r="S1904" s="10" t="n"/>
      <c r="AA1904" s="10" t="n"/>
      <c r="AB1904" s="11">
        <f>IF(LEN(TRIM(X1904))=0,"",HYPERLINK("https://www.google.com/maps/@?api=1&amp;map_action=pano&amp;viewpoint="&amp;SUBSTITUTE(X1904," ",""),"Abrir Street View"))</f>
        <v/>
      </c>
    </row>
    <row r="1905">
      <c r="H1905" s="6" t="n"/>
      <c r="I1905" s="6" t="n"/>
      <c r="M1905" s="7" t="n"/>
      <c r="N1905" s="7" t="n"/>
      <c r="O1905" s="7" t="n"/>
      <c r="P1905" s="8">
        <f>IF(NOT(ISNUMBER(M1905)),"",IF(G1905="Terreno",IF(AND(ISNUMBER(I1905),I1905&gt;0),M1905/I1905,""),IF(AND(ISNUMBER(H1905),H1905&gt;0),M1905/H1905,"")))</f>
        <v/>
      </c>
      <c r="Q1905" s="9">
        <f>IF(AND(ISNUMBER(M1905),ISNUMBER(O1905)),IF(M1905&lt;=O1905,"Valor ≤ venal IPTU",""),"")</f>
        <v/>
      </c>
      <c r="R1905" s="10" t="n"/>
      <c r="S1905" s="10" t="n"/>
      <c r="AA1905" s="10" t="n"/>
      <c r="AB1905" s="11">
        <f>IF(LEN(TRIM(X1905))=0,"",HYPERLINK("https://www.google.com/maps/@?api=1&amp;map_action=pano&amp;viewpoint="&amp;SUBSTITUTE(X1905," ",""),"Abrir Street View"))</f>
        <v/>
      </c>
    </row>
    <row r="1906">
      <c r="H1906" s="6" t="n"/>
      <c r="I1906" s="6" t="n"/>
      <c r="M1906" s="7" t="n"/>
      <c r="N1906" s="7" t="n"/>
      <c r="O1906" s="7" t="n"/>
      <c r="P1906" s="8">
        <f>IF(NOT(ISNUMBER(M1906)),"",IF(G1906="Terreno",IF(AND(ISNUMBER(I1906),I1906&gt;0),M1906/I1906,""),IF(AND(ISNUMBER(H1906),H1906&gt;0),M1906/H1906,"")))</f>
        <v/>
      </c>
      <c r="Q1906" s="9">
        <f>IF(AND(ISNUMBER(M1906),ISNUMBER(O1906)),IF(M1906&lt;=O1906,"Valor ≤ venal IPTU",""),"")</f>
        <v/>
      </c>
      <c r="R1906" s="10" t="n"/>
      <c r="S1906" s="10" t="n"/>
      <c r="AA1906" s="10" t="n"/>
      <c r="AB1906" s="11">
        <f>IF(LEN(TRIM(X1906))=0,"",HYPERLINK("https://www.google.com/maps/@?api=1&amp;map_action=pano&amp;viewpoint="&amp;SUBSTITUTE(X1906," ",""),"Abrir Street View"))</f>
        <v/>
      </c>
    </row>
    <row r="1907">
      <c r="H1907" s="6" t="n"/>
      <c r="I1907" s="6" t="n"/>
      <c r="M1907" s="7" t="n"/>
      <c r="N1907" s="7" t="n"/>
      <c r="O1907" s="7" t="n"/>
      <c r="P1907" s="8">
        <f>IF(NOT(ISNUMBER(M1907)),"",IF(G1907="Terreno",IF(AND(ISNUMBER(I1907),I1907&gt;0),M1907/I1907,""),IF(AND(ISNUMBER(H1907),H1907&gt;0),M1907/H1907,"")))</f>
        <v/>
      </c>
      <c r="Q1907" s="9">
        <f>IF(AND(ISNUMBER(M1907),ISNUMBER(O1907)),IF(M1907&lt;=O1907,"Valor ≤ venal IPTU",""),"")</f>
        <v/>
      </c>
      <c r="R1907" s="10" t="n"/>
      <c r="S1907" s="10" t="n"/>
      <c r="AA1907" s="10" t="n"/>
      <c r="AB1907" s="11">
        <f>IF(LEN(TRIM(X1907))=0,"",HYPERLINK("https://www.google.com/maps/@?api=1&amp;map_action=pano&amp;viewpoint="&amp;SUBSTITUTE(X1907," ",""),"Abrir Street View"))</f>
        <v/>
      </c>
    </row>
    <row r="1908">
      <c r="H1908" s="6" t="n"/>
      <c r="I1908" s="6" t="n"/>
      <c r="M1908" s="7" t="n"/>
      <c r="N1908" s="7" t="n"/>
      <c r="O1908" s="7" t="n"/>
      <c r="P1908" s="8">
        <f>IF(NOT(ISNUMBER(M1908)),"",IF(G1908="Terreno",IF(AND(ISNUMBER(I1908),I1908&gt;0),M1908/I1908,""),IF(AND(ISNUMBER(H1908),H1908&gt;0),M1908/H1908,"")))</f>
        <v/>
      </c>
      <c r="Q1908" s="9">
        <f>IF(AND(ISNUMBER(M1908),ISNUMBER(O1908)),IF(M1908&lt;=O1908,"Valor ≤ venal IPTU",""),"")</f>
        <v/>
      </c>
      <c r="R1908" s="10" t="n"/>
      <c r="S1908" s="10" t="n"/>
      <c r="AA1908" s="10" t="n"/>
      <c r="AB1908" s="11">
        <f>IF(LEN(TRIM(X1908))=0,"",HYPERLINK("https://www.google.com/maps/@?api=1&amp;map_action=pano&amp;viewpoint="&amp;SUBSTITUTE(X1908," ",""),"Abrir Street View"))</f>
        <v/>
      </c>
    </row>
    <row r="1909">
      <c r="H1909" s="6" t="n"/>
      <c r="I1909" s="6" t="n"/>
      <c r="M1909" s="7" t="n"/>
      <c r="N1909" s="7" t="n"/>
      <c r="O1909" s="7" t="n"/>
      <c r="P1909" s="8">
        <f>IF(NOT(ISNUMBER(M1909)),"",IF(G1909="Terreno",IF(AND(ISNUMBER(I1909),I1909&gt;0),M1909/I1909,""),IF(AND(ISNUMBER(H1909),H1909&gt;0),M1909/H1909,"")))</f>
        <v/>
      </c>
      <c r="Q1909" s="9">
        <f>IF(AND(ISNUMBER(M1909),ISNUMBER(O1909)),IF(M1909&lt;=O1909,"Valor ≤ venal IPTU",""),"")</f>
        <v/>
      </c>
      <c r="R1909" s="10" t="n"/>
      <c r="S1909" s="10" t="n"/>
      <c r="AA1909" s="10" t="n"/>
      <c r="AB1909" s="11">
        <f>IF(LEN(TRIM(X1909))=0,"",HYPERLINK("https://www.google.com/maps/@?api=1&amp;map_action=pano&amp;viewpoint="&amp;SUBSTITUTE(X1909," ",""),"Abrir Street View"))</f>
        <v/>
      </c>
    </row>
    <row r="1910">
      <c r="H1910" s="6" t="n"/>
      <c r="I1910" s="6" t="n"/>
      <c r="M1910" s="7" t="n"/>
      <c r="N1910" s="7" t="n"/>
      <c r="O1910" s="7" t="n"/>
      <c r="P1910" s="8">
        <f>IF(NOT(ISNUMBER(M1910)),"",IF(G1910="Terreno",IF(AND(ISNUMBER(I1910),I1910&gt;0),M1910/I1910,""),IF(AND(ISNUMBER(H1910),H1910&gt;0),M1910/H1910,"")))</f>
        <v/>
      </c>
      <c r="Q1910" s="9">
        <f>IF(AND(ISNUMBER(M1910),ISNUMBER(O1910)),IF(M1910&lt;=O1910,"Valor ≤ venal IPTU",""),"")</f>
        <v/>
      </c>
      <c r="R1910" s="10" t="n"/>
      <c r="S1910" s="10" t="n"/>
      <c r="AA1910" s="10" t="n"/>
      <c r="AB1910" s="11">
        <f>IF(LEN(TRIM(X1910))=0,"",HYPERLINK("https://www.google.com/maps/@?api=1&amp;map_action=pano&amp;viewpoint="&amp;SUBSTITUTE(X1910," ",""),"Abrir Street View"))</f>
        <v/>
      </c>
    </row>
    <row r="1911">
      <c r="H1911" s="6" t="n"/>
      <c r="I1911" s="6" t="n"/>
      <c r="M1911" s="7" t="n"/>
      <c r="N1911" s="7" t="n"/>
      <c r="O1911" s="7" t="n"/>
      <c r="P1911" s="8">
        <f>IF(NOT(ISNUMBER(M1911)),"",IF(G1911="Terreno",IF(AND(ISNUMBER(I1911),I1911&gt;0),M1911/I1911,""),IF(AND(ISNUMBER(H1911),H1911&gt;0),M1911/H1911,"")))</f>
        <v/>
      </c>
      <c r="Q1911" s="9">
        <f>IF(AND(ISNUMBER(M1911),ISNUMBER(O1911)),IF(M1911&lt;=O1911,"Valor ≤ venal IPTU",""),"")</f>
        <v/>
      </c>
      <c r="R1911" s="10" t="n"/>
      <c r="S1911" s="10" t="n"/>
      <c r="AA1911" s="10" t="n"/>
      <c r="AB1911" s="11">
        <f>IF(LEN(TRIM(X1911))=0,"",HYPERLINK("https://www.google.com/maps/@?api=1&amp;map_action=pano&amp;viewpoint="&amp;SUBSTITUTE(X1911," ",""),"Abrir Street View"))</f>
        <v/>
      </c>
    </row>
    <row r="1912">
      <c r="H1912" s="6" t="n"/>
      <c r="I1912" s="6" t="n"/>
      <c r="M1912" s="7" t="n"/>
      <c r="N1912" s="7" t="n"/>
      <c r="O1912" s="7" t="n"/>
      <c r="P1912" s="8">
        <f>IF(NOT(ISNUMBER(M1912)),"",IF(G1912="Terreno",IF(AND(ISNUMBER(I1912),I1912&gt;0),M1912/I1912,""),IF(AND(ISNUMBER(H1912),H1912&gt;0),M1912/H1912,"")))</f>
        <v/>
      </c>
      <c r="Q1912" s="9">
        <f>IF(AND(ISNUMBER(M1912),ISNUMBER(O1912)),IF(M1912&lt;=O1912,"Valor ≤ venal IPTU",""),"")</f>
        <v/>
      </c>
      <c r="R1912" s="10" t="n"/>
      <c r="S1912" s="10" t="n"/>
      <c r="AA1912" s="10" t="n"/>
      <c r="AB1912" s="11">
        <f>IF(LEN(TRIM(X1912))=0,"",HYPERLINK("https://www.google.com/maps/@?api=1&amp;map_action=pano&amp;viewpoint="&amp;SUBSTITUTE(X1912," ",""),"Abrir Street View"))</f>
        <v/>
      </c>
    </row>
    <row r="1913">
      <c r="H1913" s="6" t="n"/>
      <c r="I1913" s="6" t="n"/>
      <c r="M1913" s="7" t="n"/>
      <c r="N1913" s="7" t="n"/>
      <c r="O1913" s="7" t="n"/>
      <c r="P1913" s="8">
        <f>IF(NOT(ISNUMBER(M1913)),"",IF(G1913="Terreno",IF(AND(ISNUMBER(I1913),I1913&gt;0),M1913/I1913,""),IF(AND(ISNUMBER(H1913),H1913&gt;0),M1913/H1913,"")))</f>
        <v/>
      </c>
      <c r="Q1913" s="9">
        <f>IF(AND(ISNUMBER(M1913),ISNUMBER(O1913)),IF(M1913&lt;=O1913,"Valor ≤ venal IPTU",""),"")</f>
        <v/>
      </c>
      <c r="R1913" s="10" t="n"/>
      <c r="S1913" s="10" t="n"/>
      <c r="AA1913" s="10" t="n"/>
      <c r="AB1913" s="11">
        <f>IF(LEN(TRIM(X1913))=0,"",HYPERLINK("https://www.google.com/maps/@?api=1&amp;map_action=pano&amp;viewpoint="&amp;SUBSTITUTE(X1913," ",""),"Abrir Street View"))</f>
        <v/>
      </c>
    </row>
    <row r="1914">
      <c r="H1914" s="6" t="n"/>
      <c r="I1914" s="6" t="n"/>
      <c r="M1914" s="7" t="n"/>
      <c r="N1914" s="7" t="n"/>
      <c r="O1914" s="7" t="n"/>
      <c r="P1914" s="8">
        <f>IF(NOT(ISNUMBER(M1914)),"",IF(G1914="Terreno",IF(AND(ISNUMBER(I1914),I1914&gt;0),M1914/I1914,""),IF(AND(ISNUMBER(H1914),H1914&gt;0),M1914/H1914,"")))</f>
        <v/>
      </c>
      <c r="Q1914" s="9">
        <f>IF(AND(ISNUMBER(M1914),ISNUMBER(O1914)),IF(M1914&lt;=O1914,"Valor ≤ venal IPTU",""),"")</f>
        <v/>
      </c>
      <c r="R1914" s="10" t="n"/>
      <c r="S1914" s="10" t="n"/>
      <c r="AA1914" s="10" t="n"/>
      <c r="AB1914" s="11">
        <f>IF(LEN(TRIM(X1914))=0,"",HYPERLINK("https://www.google.com/maps/@?api=1&amp;map_action=pano&amp;viewpoint="&amp;SUBSTITUTE(X1914," ",""),"Abrir Street View"))</f>
        <v/>
      </c>
    </row>
    <row r="1915">
      <c r="H1915" s="6" t="n"/>
      <c r="I1915" s="6" t="n"/>
      <c r="M1915" s="7" t="n"/>
      <c r="N1915" s="7" t="n"/>
      <c r="O1915" s="7" t="n"/>
      <c r="P1915" s="8">
        <f>IF(NOT(ISNUMBER(M1915)),"",IF(G1915="Terreno",IF(AND(ISNUMBER(I1915),I1915&gt;0),M1915/I1915,""),IF(AND(ISNUMBER(H1915),H1915&gt;0),M1915/H1915,"")))</f>
        <v/>
      </c>
      <c r="Q1915" s="9">
        <f>IF(AND(ISNUMBER(M1915),ISNUMBER(O1915)),IF(M1915&lt;=O1915,"Valor ≤ venal IPTU",""),"")</f>
        <v/>
      </c>
      <c r="R1915" s="10" t="n"/>
      <c r="S1915" s="10" t="n"/>
      <c r="AA1915" s="10" t="n"/>
      <c r="AB1915" s="11">
        <f>IF(LEN(TRIM(X1915))=0,"",HYPERLINK("https://www.google.com/maps/@?api=1&amp;map_action=pano&amp;viewpoint="&amp;SUBSTITUTE(X1915," ",""),"Abrir Street View"))</f>
        <v/>
      </c>
    </row>
    <row r="1916">
      <c r="H1916" s="6" t="n"/>
      <c r="I1916" s="6" t="n"/>
      <c r="M1916" s="7" t="n"/>
      <c r="N1916" s="7" t="n"/>
      <c r="O1916" s="7" t="n"/>
      <c r="P1916" s="8">
        <f>IF(NOT(ISNUMBER(M1916)),"",IF(G1916="Terreno",IF(AND(ISNUMBER(I1916),I1916&gt;0),M1916/I1916,""),IF(AND(ISNUMBER(H1916),H1916&gt;0),M1916/H1916,"")))</f>
        <v/>
      </c>
      <c r="Q1916" s="9">
        <f>IF(AND(ISNUMBER(M1916),ISNUMBER(O1916)),IF(M1916&lt;=O1916,"Valor ≤ venal IPTU",""),"")</f>
        <v/>
      </c>
      <c r="R1916" s="10" t="n"/>
      <c r="S1916" s="10" t="n"/>
      <c r="AA1916" s="10" t="n"/>
      <c r="AB1916" s="11">
        <f>IF(LEN(TRIM(X1916))=0,"",HYPERLINK("https://www.google.com/maps/@?api=1&amp;map_action=pano&amp;viewpoint="&amp;SUBSTITUTE(X1916," ",""),"Abrir Street View"))</f>
        <v/>
      </c>
    </row>
    <row r="1917">
      <c r="H1917" s="6" t="n"/>
      <c r="I1917" s="6" t="n"/>
      <c r="M1917" s="7" t="n"/>
      <c r="N1917" s="7" t="n"/>
      <c r="O1917" s="7" t="n"/>
      <c r="P1917" s="8">
        <f>IF(NOT(ISNUMBER(M1917)),"",IF(G1917="Terreno",IF(AND(ISNUMBER(I1917),I1917&gt;0),M1917/I1917,""),IF(AND(ISNUMBER(H1917),H1917&gt;0),M1917/H1917,"")))</f>
        <v/>
      </c>
      <c r="Q1917" s="9">
        <f>IF(AND(ISNUMBER(M1917),ISNUMBER(O1917)),IF(M1917&lt;=O1917,"Valor ≤ venal IPTU",""),"")</f>
        <v/>
      </c>
      <c r="R1917" s="10" t="n"/>
      <c r="S1917" s="10" t="n"/>
      <c r="AA1917" s="10" t="n"/>
      <c r="AB1917" s="11">
        <f>IF(LEN(TRIM(X1917))=0,"",HYPERLINK("https://www.google.com/maps/@?api=1&amp;map_action=pano&amp;viewpoint="&amp;SUBSTITUTE(X1917," ",""),"Abrir Street View"))</f>
        <v/>
      </c>
    </row>
    <row r="1918">
      <c r="H1918" s="6" t="n"/>
      <c r="I1918" s="6" t="n"/>
      <c r="M1918" s="7" t="n"/>
      <c r="N1918" s="7" t="n"/>
      <c r="O1918" s="7" t="n"/>
      <c r="P1918" s="8">
        <f>IF(NOT(ISNUMBER(M1918)),"",IF(G1918="Terreno",IF(AND(ISNUMBER(I1918),I1918&gt;0),M1918/I1918,""),IF(AND(ISNUMBER(H1918),H1918&gt;0),M1918/H1918,"")))</f>
        <v/>
      </c>
      <c r="Q1918" s="9">
        <f>IF(AND(ISNUMBER(M1918),ISNUMBER(O1918)),IF(M1918&lt;=O1918,"Valor ≤ venal IPTU",""),"")</f>
        <v/>
      </c>
      <c r="R1918" s="10" t="n"/>
      <c r="S1918" s="10" t="n"/>
      <c r="AA1918" s="10" t="n"/>
      <c r="AB1918" s="11">
        <f>IF(LEN(TRIM(X1918))=0,"",HYPERLINK("https://www.google.com/maps/@?api=1&amp;map_action=pano&amp;viewpoint="&amp;SUBSTITUTE(X1918," ",""),"Abrir Street View"))</f>
        <v/>
      </c>
    </row>
    <row r="1919">
      <c r="H1919" s="6" t="n"/>
      <c r="I1919" s="6" t="n"/>
      <c r="M1919" s="7" t="n"/>
      <c r="N1919" s="7" t="n"/>
      <c r="O1919" s="7" t="n"/>
      <c r="P1919" s="8">
        <f>IF(NOT(ISNUMBER(M1919)),"",IF(G1919="Terreno",IF(AND(ISNUMBER(I1919),I1919&gt;0),M1919/I1919,""),IF(AND(ISNUMBER(H1919),H1919&gt;0),M1919/H1919,"")))</f>
        <v/>
      </c>
      <c r="Q1919" s="9">
        <f>IF(AND(ISNUMBER(M1919),ISNUMBER(O1919)),IF(M1919&lt;=O1919,"Valor ≤ venal IPTU",""),"")</f>
        <v/>
      </c>
      <c r="R1919" s="10" t="n"/>
      <c r="S1919" s="10" t="n"/>
      <c r="AA1919" s="10" t="n"/>
      <c r="AB1919" s="11">
        <f>IF(LEN(TRIM(X1919))=0,"",HYPERLINK("https://www.google.com/maps/@?api=1&amp;map_action=pano&amp;viewpoint="&amp;SUBSTITUTE(X1919," ",""),"Abrir Street View"))</f>
        <v/>
      </c>
    </row>
    <row r="1920">
      <c r="H1920" s="6" t="n"/>
      <c r="I1920" s="6" t="n"/>
      <c r="M1920" s="7" t="n"/>
      <c r="N1920" s="7" t="n"/>
      <c r="O1920" s="7" t="n"/>
      <c r="P1920" s="8">
        <f>IF(NOT(ISNUMBER(M1920)),"",IF(G1920="Terreno",IF(AND(ISNUMBER(I1920),I1920&gt;0),M1920/I1920,""),IF(AND(ISNUMBER(H1920),H1920&gt;0),M1920/H1920,"")))</f>
        <v/>
      </c>
      <c r="Q1920" s="9">
        <f>IF(AND(ISNUMBER(M1920),ISNUMBER(O1920)),IF(M1920&lt;=O1920,"Valor ≤ venal IPTU",""),"")</f>
        <v/>
      </c>
      <c r="R1920" s="10" t="n"/>
      <c r="S1920" s="10" t="n"/>
      <c r="AA1920" s="10" t="n"/>
      <c r="AB1920" s="11">
        <f>IF(LEN(TRIM(X1920))=0,"",HYPERLINK("https://www.google.com/maps/@?api=1&amp;map_action=pano&amp;viewpoint="&amp;SUBSTITUTE(X1920," ",""),"Abrir Street View"))</f>
        <v/>
      </c>
    </row>
    <row r="1921">
      <c r="H1921" s="6" t="n"/>
      <c r="I1921" s="6" t="n"/>
      <c r="M1921" s="7" t="n"/>
      <c r="N1921" s="7" t="n"/>
      <c r="O1921" s="7" t="n"/>
      <c r="P1921" s="8">
        <f>IF(NOT(ISNUMBER(M1921)),"",IF(G1921="Terreno",IF(AND(ISNUMBER(I1921),I1921&gt;0),M1921/I1921,""),IF(AND(ISNUMBER(H1921),H1921&gt;0),M1921/H1921,"")))</f>
        <v/>
      </c>
      <c r="Q1921" s="9">
        <f>IF(AND(ISNUMBER(M1921),ISNUMBER(O1921)),IF(M1921&lt;=O1921,"Valor ≤ venal IPTU",""),"")</f>
        <v/>
      </c>
      <c r="R1921" s="10" t="n"/>
      <c r="S1921" s="10" t="n"/>
      <c r="AA1921" s="10" t="n"/>
      <c r="AB1921" s="11">
        <f>IF(LEN(TRIM(X1921))=0,"",HYPERLINK("https://www.google.com/maps/@?api=1&amp;map_action=pano&amp;viewpoint="&amp;SUBSTITUTE(X1921," ",""),"Abrir Street View"))</f>
        <v/>
      </c>
    </row>
    <row r="1922">
      <c r="H1922" s="6" t="n"/>
      <c r="I1922" s="6" t="n"/>
      <c r="M1922" s="7" t="n"/>
      <c r="N1922" s="7" t="n"/>
      <c r="O1922" s="7" t="n"/>
      <c r="P1922" s="8">
        <f>IF(NOT(ISNUMBER(M1922)),"",IF(G1922="Terreno",IF(AND(ISNUMBER(I1922),I1922&gt;0),M1922/I1922,""),IF(AND(ISNUMBER(H1922),H1922&gt;0),M1922/H1922,"")))</f>
        <v/>
      </c>
      <c r="Q1922" s="9">
        <f>IF(AND(ISNUMBER(M1922),ISNUMBER(O1922)),IF(M1922&lt;=O1922,"Valor ≤ venal IPTU",""),"")</f>
        <v/>
      </c>
      <c r="R1922" s="10" t="n"/>
      <c r="S1922" s="10" t="n"/>
      <c r="AA1922" s="10" t="n"/>
      <c r="AB1922" s="11">
        <f>IF(LEN(TRIM(X1922))=0,"",HYPERLINK("https://www.google.com/maps/@?api=1&amp;map_action=pano&amp;viewpoint="&amp;SUBSTITUTE(X1922," ",""),"Abrir Street View"))</f>
        <v/>
      </c>
    </row>
    <row r="1923">
      <c r="H1923" s="6" t="n"/>
      <c r="I1923" s="6" t="n"/>
      <c r="M1923" s="7" t="n"/>
      <c r="N1923" s="7" t="n"/>
      <c r="O1923" s="7" t="n"/>
      <c r="P1923" s="8">
        <f>IF(NOT(ISNUMBER(M1923)),"",IF(G1923="Terreno",IF(AND(ISNUMBER(I1923),I1923&gt;0),M1923/I1923,""),IF(AND(ISNUMBER(H1923),H1923&gt;0),M1923/H1923,"")))</f>
        <v/>
      </c>
      <c r="Q1923" s="9">
        <f>IF(AND(ISNUMBER(M1923),ISNUMBER(O1923)),IF(M1923&lt;=O1923,"Valor ≤ venal IPTU",""),"")</f>
        <v/>
      </c>
      <c r="R1923" s="10" t="n"/>
      <c r="S1923" s="10" t="n"/>
      <c r="AA1923" s="10" t="n"/>
      <c r="AB1923" s="11">
        <f>IF(LEN(TRIM(X1923))=0,"",HYPERLINK("https://www.google.com/maps/@?api=1&amp;map_action=pano&amp;viewpoint="&amp;SUBSTITUTE(X1923," ",""),"Abrir Street View"))</f>
        <v/>
      </c>
    </row>
    <row r="1924">
      <c r="H1924" s="6" t="n"/>
      <c r="I1924" s="6" t="n"/>
      <c r="M1924" s="7" t="n"/>
      <c r="N1924" s="7" t="n"/>
      <c r="O1924" s="7" t="n"/>
      <c r="P1924" s="8">
        <f>IF(NOT(ISNUMBER(M1924)),"",IF(G1924="Terreno",IF(AND(ISNUMBER(I1924),I1924&gt;0),M1924/I1924,""),IF(AND(ISNUMBER(H1924),H1924&gt;0),M1924/H1924,"")))</f>
        <v/>
      </c>
      <c r="Q1924" s="9">
        <f>IF(AND(ISNUMBER(M1924),ISNUMBER(O1924)),IF(M1924&lt;=O1924,"Valor ≤ venal IPTU",""),"")</f>
        <v/>
      </c>
      <c r="R1924" s="10" t="n"/>
      <c r="S1924" s="10" t="n"/>
      <c r="AA1924" s="10" t="n"/>
      <c r="AB1924" s="11">
        <f>IF(LEN(TRIM(X1924))=0,"",HYPERLINK("https://www.google.com/maps/@?api=1&amp;map_action=pano&amp;viewpoint="&amp;SUBSTITUTE(X1924," ",""),"Abrir Street View"))</f>
        <v/>
      </c>
    </row>
    <row r="1925">
      <c r="H1925" s="6" t="n"/>
      <c r="I1925" s="6" t="n"/>
      <c r="M1925" s="7" t="n"/>
      <c r="N1925" s="7" t="n"/>
      <c r="O1925" s="7" t="n"/>
      <c r="P1925" s="8">
        <f>IF(NOT(ISNUMBER(M1925)),"",IF(G1925="Terreno",IF(AND(ISNUMBER(I1925),I1925&gt;0),M1925/I1925,""),IF(AND(ISNUMBER(H1925),H1925&gt;0),M1925/H1925,"")))</f>
        <v/>
      </c>
      <c r="Q1925" s="9">
        <f>IF(AND(ISNUMBER(M1925),ISNUMBER(O1925)),IF(M1925&lt;=O1925,"Valor ≤ venal IPTU",""),"")</f>
        <v/>
      </c>
      <c r="R1925" s="10" t="n"/>
      <c r="S1925" s="10" t="n"/>
      <c r="AA1925" s="10" t="n"/>
      <c r="AB1925" s="11">
        <f>IF(LEN(TRIM(X1925))=0,"",HYPERLINK("https://www.google.com/maps/@?api=1&amp;map_action=pano&amp;viewpoint="&amp;SUBSTITUTE(X1925," ",""),"Abrir Street View"))</f>
        <v/>
      </c>
    </row>
    <row r="1926">
      <c r="H1926" s="6" t="n"/>
      <c r="I1926" s="6" t="n"/>
      <c r="M1926" s="7" t="n"/>
      <c r="N1926" s="7" t="n"/>
      <c r="O1926" s="7" t="n"/>
      <c r="P1926" s="8">
        <f>IF(NOT(ISNUMBER(M1926)),"",IF(G1926="Terreno",IF(AND(ISNUMBER(I1926),I1926&gt;0),M1926/I1926,""),IF(AND(ISNUMBER(H1926),H1926&gt;0),M1926/H1926,"")))</f>
        <v/>
      </c>
      <c r="Q1926" s="9">
        <f>IF(AND(ISNUMBER(M1926),ISNUMBER(O1926)),IF(M1926&lt;=O1926,"Valor ≤ venal IPTU",""),"")</f>
        <v/>
      </c>
      <c r="R1926" s="10" t="n"/>
      <c r="S1926" s="10" t="n"/>
      <c r="AA1926" s="10" t="n"/>
      <c r="AB1926" s="11">
        <f>IF(LEN(TRIM(X1926))=0,"",HYPERLINK("https://www.google.com/maps/@?api=1&amp;map_action=pano&amp;viewpoint="&amp;SUBSTITUTE(X1926," ",""),"Abrir Street View"))</f>
        <v/>
      </c>
    </row>
    <row r="1927">
      <c r="H1927" s="6" t="n"/>
      <c r="I1927" s="6" t="n"/>
      <c r="M1927" s="7" t="n"/>
      <c r="N1927" s="7" t="n"/>
      <c r="O1927" s="7" t="n"/>
      <c r="P1927" s="8">
        <f>IF(NOT(ISNUMBER(M1927)),"",IF(G1927="Terreno",IF(AND(ISNUMBER(I1927),I1927&gt;0),M1927/I1927,""),IF(AND(ISNUMBER(H1927),H1927&gt;0),M1927/H1927,"")))</f>
        <v/>
      </c>
      <c r="Q1927" s="9">
        <f>IF(AND(ISNUMBER(M1927),ISNUMBER(O1927)),IF(M1927&lt;=O1927,"Valor ≤ venal IPTU",""),"")</f>
        <v/>
      </c>
      <c r="R1927" s="10" t="n"/>
      <c r="S1927" s="10" t="n"/>
      <c r="AA1927" s="10" t="n"/>
      <c r="AB1927" s="11">
        <f>IF(LEN(TRIM(X1927))=0,"",HYPERLINK("https://www.google.com/maps/@?api=1&amp;map_action=pano&amp;viewpoint="&amp;SUBSTITUTE(X1927," ",""),"Abrir Street View"))</f>
        <v/>
      </c>
    </row>
    <row r="1928">
      <c r="H1928" s="6" t="n"/>
      <c r="I1928" s="6" t="n"/>
      <c r="M1928" s="7" t="n"/>
      <c r="N1928" s="7" t="n"/>
      <c r="O1928" s="7" t="n"/>
      <c r="P1928" s="8">
        <f>IF(NOT(ISNUMBER(M1928)),"",IF(G1928="Terreno",IF(AND(ISNUMBER(I1928),I1928&gt;0),M1928/I1928,""),IF(AND(ISNUMBER(H1928),H1928&gt;0),M1928/H1928,"")))</f>
        <v/>
      </c>
      <c r="Q1928" s="9">
        <f>IF(AND(ISNUMBER(M1928),ISNUMBER(O1928)),IF(M1928&lt;=O1928,"Valor ≤ venal IPTU",""),"")</f>
        <v/>
      </c>
      <c r="R1928" s="10" t="n"/>
      <c r="S1928" s="10" t="n"/>
      <c r="AA1928" s="10" t="n"/>
      <c r="AB1928" s="11">
        <f>IF(LEN(TRIM(X1928))=0,"",HYPERLINK("https://www.google.com/maps/@?api=1&amp;map_action=pano&amp;viewpoint="&amp;SUBSTITUTE(X1928," ",""),"Abrir Street View"))</f>
        <v/>
      </c>
    </row>
    <row r="1929">
      <c r="H1929" s="6" t="n"/>
      <c r="I1929" s="6" t="n"/>
      <c r="M1929" s="7" t="n"/>
      <c r="N1929" s="7" t="n"/>
      <c r="O1929" s="7" t="n"/>
      <c r="P1929" s="8">
        <f>IF(NOT(ISNUMBER(M1929)),"",IF(G1929="Terreno",IF(AND(ISNUMBER(I1929),I1929&gt;0),M1929/I1929,""),IF(AND(ISNUMBER(H1929),H1929&gt;0),M1929/H1929,"")))</f>
        <v/>
      </c>
      <c r="Q1929" s="9">
        <f>IF(AND(ISNUMBER(M1929),ISNUMBER(O1929)),IF(M1929&lt;=O1929,"Valor ≤ venal IPTU",""),"")</f>
        <v/>
      </c>
      <c r="R1929" s="10" t="n"/>
      <c r="S1929" s="10" t="n"/>
      <c r="AA1929" s="10" t="n"/>
      <c r="AB1929" s="11">
        <f>IF(LEN(TRIM(X1929))=0,"",HYPERLINK("https://www.google.com/maps/@?api=1&amp;map_action=pano&amp;viewpoint="&amp;SUBSTITUTE(X1929," ",""),"Abrir Street View"))</f>
        <v/>
      </c>
    </row>
    <row r="1930">
      <c r="H1930" s="6" t="n"/>
      <c r="I1930" s="6" t="n"/>
      <c r="M1930" s="7" t="n"/>
      <c r="N1930" s="7" t="n"/>
      <c r="O1930" s="7" t="n"/>
      <c r="P1930" s="8">
        <f>IF(NOT(ISNUMBER(M1930)),"",IF(G1930="Terreno",IF(AND(ISNUMBER(I1930),I1930&gt;0),M1930/I1930,""),IF(AND(ISNUMBER(H1930),H1930&gt;0),M1930/H1930,"")))</f>
        <v/>
      </c>
      <c r="Q1930" s="9">
        <f>IF(AND(ISNUMBER(M1930),ISNUMBER(O1930)),IF(M1930&lt;=O1930,"Valor ≤ venal IPTU",""),"")</f>
        <v/>
      </c>
      <c r="R1930" s="10" t="n"/>
      <c r="S1930" s="10" t="n"/>
      <c r="AA1930" s="10" t="n"/>
      <c r="AB1930" s="11">
        <f>IF(LEN(TRIM(X1930))=0,"",HYPERLINK("https://www.google.com/maps/@?api=1&amp;map_action=pano&amp;viewpoint="&amp;SUBSTITUTE(X1930," ",""),"Abrir Street View"))</f>
        <v/>
      </c>
    </row>
    <row r="1931">
      <c r="H1931" s="6" t="n"/>
      <c r="I1931" s="6" t="n"/>
      <c r="M1931" s="7" t="n"/>
      <c r="N1931" s="7" t="n"/>
      <c r="O1931" s="7" t="n"/>
      <c r="P1931" s="8">
        <f>IF(NOT(ISNUMBER(M1931)),"",IF(G1931="Terreno",IF(AND(ISNUMBER(I1931),I1931&gt;0),M1931/I1931,""),IF(AND(ISNUMBER(H1931),H1931&gt;0),M1931/H1931,"")))</f>
        <v/>
      </c>
      <c r="Q1931" s="9">
        <f>IF(AND(ISNUMBER(M1931),ISNUMBER(O1931)),IF(M1931&lt;=O1931,"Valor ≤ venal IPTU",""),"")</f>
        <v/>
      </c>
      <c r="R1931" s="10" t="n"/>
      <c r="S1931" s="10" t="n"/>
      <c r="AA1931" s="10" t="n"/>
      <c r="AB1931" s="11">
        <f>IF(LEN(TRIM(X1931))=0,"",HYPERLINK("https://www.google.com/maps/@?api=1&amp;map_action=pano&amp;viewpoint="&amp;SUBSTITUTE(X1931," ",""),"Abrir Street View"))</f>
        <v/>
      </c>
    </row>
    <row r="1932">
      <c r="H1932" s="6" t="n"/>
      <c r="I1932" s="6" t="n"/>
      <c r="M1932" s="7" t="n"/>
      <c r="N1932" s="7" t="n"/>
      <c r="O1932" s="7" t="n"/>
      <c r="P1932" s="8">
        <f>IF(NOT(ISNUMBER(M1932)),"",IF(G1932="Terreno",IF(AND(ISNUMBER(I1932),I1932&gt;0),M1932/I1932,""),IF(AND(ISNUMBER(H1932),H1932&gt;0),M1932/H1932,"")))</f>
        <v/>
      </c>
      <c r="Q1932" s="9">
        <f>IF(AND(ISNUMBER(M1932),ISNUMBER(O1932)),IF(M1932&lt;=O1932,"Valor ≤ venal IPTU",""),"")</f>
        <v/>
      </c>
      <c r="R1932" s="10" t="n"/>
      <c r="S1932" s="10" t="n"/>
      <c r="AA1932" s="10" t="n"/>
      <c r="AB1932" s="11">
        <f>IF(LEN(TRIM(X1932))=0,"",HYPERLINK("https://www.google.com/maps/@?api=1&amp;map_action=pano&amp;viewpoint="&amp;SUBSTITUTE(X1932," ",""),"Abrir Street View"))</f>
        <v/>
      </c>
    </row>
    <row r="1933">
      <c r="H1933" s="6" t="n"/>
      <c r="I1933" s="6" t="n"/>
      <c r="M1933" s="7" t="n"/>
      <c r="N1933" s="7" t="n"/>
      <c r="O1933" s="7" t="n"/>
      <c r="P1933" s="8">
        <f>IF(NOT(ISNUMBER(M1933)),"",IF(G1933="Terreno",IF(AND(ISNUMBER(I1933),I1933&gt;0),M1933/I1933,""),IF(AND(ISNUMBER(H1933),H1933&gt;0),M1933/H1933,"")))</f>
        <v/>
      </c>
      <c r="Q1933" s="9">
        <f>IF(AND(ISNUMBER(M1933),ISNUMBER(O1933)),IF(M1933&lt;=O1933,"Valor ≤ venal IPTU",""),"")</f>
        <v/>
      </c>
      <c r="R1933" s="10" t="n"/>
      <c r="S1933" s="10" t="n"/>
      <c r="AA1933" s="10" t="n"/>
      <c r="AB1933" s="11">
        <f>IF(LEN(TRIM(X1933))=0,"",HYPERLINK("https://www.google.com/maps/@?api=1&amp;map_action=pano&amp;viewpoint="&amp;SUBSTITUTE(X1933," ",""),"Abrir Street View"))</f>
        <v/>
      </c>
    </row>
    <row r="1934">
      <c r="H1934" s="6" t="n"/>
      <c r="I1934" s="6" t="n"/>
      <c r="M1934" s="7" t="n"/>
      <c r="N1934" s="7" t="n"/>
      <c r="O1934" s="7" t="n"/>
      <c r="P1934" s="8">
        <f>IF(NOT(ISNUMBER(M1934)),"",IF(G1934="Terreno",IF(AND(ISNUMBER(I1934),I1934&gt;0),M1934/I1934,""),IF(AND(ISNUMBER(H1934),H1934&gt;0),M1934/H1934,"")))</f>
        <v/>
      </c>
      <c r="Q1934" s="9">
        <f>IF(AND(ISNUMBER(M1934),ISNUMBER(O1934)),IF(M1934&lt;=O1934,"Valor ≤ venal IPTU",""),"")</f>
        <v/>
      </c>
      <c r="R1934" s="10" t="n"/>
      <c r="S1934" s="10" t="n"/>
      <c r="AA1934" s="10" t="n"/>
      <c r="AB1934" s="11">
        <f>IF(LEN(TRIM(X1934))=0,"",HYPERLINK("https://www.google.com/maps/@?api=1&amp;map_action=pano&amp;viewpoint="&amp;SUBSTITUTE(X1934," ",""),"Abrir Street View"))</f>
        <v/>
      </c>
    </row>
    <row r="1935">
      <c r="H1935" s="6" t="n"/>
      <c r="I1935" s="6" t="n"/>
      <c r="M1935" s="7" t="n"/>
      <c r="N1935" s="7" t="n"/>
      <c r="O1935" s="7" t="n"/>
      <c r="P1935" s="8">
        <f>IF(NOT(ISNUMBER(M1935)),"",IF(G1935="Terreno",IF(AND(ISNUMBER(I1935),I1935&gt;0),M1935/I1935,""),IF(AND(ISNUMBER(H1935),H1935&gt;0),M1935/H1935,"")))</f>
        <v/>
      </c>
      <c r="Q1935" s="9">
        <f>IF(AND(ISNUMBER(M1935),ISNUMBER(O1935)),IF(M1935&lt;=O1935,"Valor ≤ venal IPTU",""),"")</f>
        <v/>
      </c>
      <c r="R1935" s="10" t="n"/>
      <c r="S1935" s="10" t="n"/>
      <c r="AA1935" s="10" t="n"/>
      <c r="AB1935" s="11">
        <f>IF(LEN(TRIM(X1935))=0,"",HYPERLINK("https://www.google.com/maps/@?api=1&amp;map_action=pano&amp;viewpoint="&amp;SUBSTITUTE(X1935," ",""),"Abrir Street View"))</f>
        <v/>
      </c>
    </row>
    <row r="1936">
      <c r="H1936" s="6" t="n"/>
      <c r="I1936" s="6" t="n"/>
      <c r="M1936" s="7" t="n"/>
      <c r="N1936" s="7" t="n"/>
      <c r="O1936" s="7" t="n"/>
      <c r="P1936" s="8">
        <f>IF(NOT(ISNUMBER(M1936)),"",IF(G1936="Terreno",IF(AND(ISNUMBER(I1936),I1936&gt;0),M1936/I1936,""),IF(AND(ISNUMBER(H1936),H1936&gt;0),M1936/H1936,"")))</f>
        <v/>
      </c>
      <c r="Q1936" s="9">
        <f>IF(AND(ISNUMBER(M1936),ISNUMBER(O1936)),IF(M1936&lt;=O1936,"Valor ≤ venal IPTU",""),"")</f>
        <v/>
      </c>
      <c r="R1936" s="10" t="n"/>
      <c r="S1936" s="10" t="n"/>
      <c r="AA1936" s="10" t="n"/>
      <c r="AB1936" s="11">
        <f>IF(LEN(TRIM(X1936))=0,"",HYPERLINK("https://www.google.com/maps/@?api=1&amp;map_action=pano&amp;viewpoint="&amp;SUBSTITUTE(X1936," ",""),"Abrir Street View"))</f>
        <v/>
      </c>
    </row>
    <row r="1937">
      <c r="H1937" s="6" t="n"/>
      <c r="I1937" s="6" t="n"/>
      <c r="M1937" s="7" t="n"/>
      <c r="N1937" s="7" t="n"/>
      <c r="O1937" s="7" t="n"/>
      <c r="P1937" s="8">
        <f>IF(NOT(ISNUMBER(M1937)),"",IF(G1937="Terreno",IF(AND(ISNUMBER(I1937),I1937&gt;0),M1937/I1937,""),IF(AND(ISNUMBER(H1937),H1937&gt;0),M1937/H1937,"")))</f>
        <v/>
      </c>
      <c r="Q1937" s="9">
        <f>IF(AND(ISNUMBER(M1937),ISNUMBER(O1937)),IF(M1937&lt;=O1937,"Valor ≤ venal IPTU",""),"")</f>
        <v/>
      </c>
      <c r="R1937" s="10" t="n"/>
      <c r="S1937" s="10" t="n"/>
      <c r="AA1937" s="10" t="n"/>
      <c r="AB1937" s="11">
        <f>IF(LEN(TRIM(X1937))=0,"",HYPERLINK("https://www.google.com/maps/@?api=1&amp;map_action=pano&amp;viewpoint="&amp;SUBSTITUTE(X1937," ",""),"Abrir Street View"))</f>
        <v/>
      </c>
    </row>
    <row r="1938">
      <c r="H1938" s="6" t="n"/>
      <c r="I1938" s="6" t="n"/>
      <c r="M1938" s="7" t="n"/>
      <c r="N1938" s="7" t="n"/>
      <c r="O1938" s="7" t="n"/>
      <c r="P1938" s="8">
        <f>IF(NOT(ISNUMBER(M1938)),"",IF(G1938="Terreno",IF(AND(ISNUMBER(I1938),I1938&gt;0),M1938/I1938,""),IF(AND(ISNUMBER(H1938),H1938&gt;0),M1938/H1938,"")))</f>
        <v/>
      </c>
      <c r="Q1938" s="9">
        <f>IF(AND(ISNUMBER(M1938),ISNUMBER(O1938)),IF(M1938&lt;=O1938,"Valor ≤ venal IPTU",""),"")</f>
        <v/>
      </c>
      <c r="R1938" s="10" t="n"/>
      <c r="S1938" s="10" t="n"/>
      <c r="AA1938" s="10" t="n"/>
      <c r="AB1938" s="11">
        <f>IF(LEN(TRIM(X1938))=0,"",HYPERLINK("https://www.google.com/maps/@?api=1&amp;map_action=pano&amp;viewpoint="&amp;SUBSTITUTE(X1938," ",""),"Abrir Street View"))</f>
        <v/>
      </c>
    </row>
    <row r="1939">
      <c r="H1939" s="6" t="n"/>
      <c r="I1939" s="6" t="n"/>
      <c r="M1939" s="7" t="n"/>
      <c r="N1939" s="7" t="n"/>
      <c r="O1939" s="7" t="n"/>
      <c r="P1939" s="8">
        <f>IF(NOT(ISNUMBER(M1939)),"",IF(G1939="Terreno",IF(AND(ISNUMBER(I1939),I1939&gt;0),M1939/I1939,""),IF(AND(ISNUMBER(H1939),H1939&gt;0),M1939/H1939,"")))</f>
        <v/>
      </c>
      <c r="Q1939" s="9">
        <f>IF(AND(ISNUMBER(M1939),ISNUMBER(O1939)),IF(M1939&lt;=O1939,"Valor ≤ venal IPTU",""),"")</f>
        <v/>
      </c>
      <c r="R1939" s="10" t="n"/>
      <c r="S1939" s="10" t="n"/>
      <c r="AA1939" s="10" t="n"/>
      <c r="AB1939" s="11">
        <f>IF(LEN(TRIM(X1939))=0,"",HYPERLINK("https://www.google.com/maps/@?api=1&amp;map_action=pano&amp;viewpoint="&amp;SUBSTITUTE(X1939," ",""),"Abrir Street View"))</f>
        <v/>
      </c>
    </row>
    <row r="1940">
      <c r="H1940" s="6" t="n"/>
      <c r="I1940" s="6" t="n"/>
      <c r="M1940" s="7" t="n"/>
      <c r="N1940" s="7" t="n"/>
      <c r="O1940" s="7" t="n"/>
      <c r="P1940" s="8">
        <f>IF(NOT(ISNUMBER(M1940)),"",IF(G1940="Terreno",IF(AND(ISNUMBER(I1940),I1940&gt;0),M1940/I1940,""),IF(AND(ISNUMBER(H1940),H1940&gt;0),M1940/H1940,"")))</f>
        <v/>
      </c>
      <c r="Q1940" s="9">
        <f>IF(AND(ISNUMBER(M1940),ISNUMBER(O1940)),IF(M1940&lt;=O1940,"Valor ≤ venal IPTU",""),"")</f>
        <v/>
      </c>
      <c r="R1940" s="10" t="n"/>
      <c r="S1940" s="10" t="n"/>
      <c r="AA1940" s="10" t="n"/>
      <c r="AB1940" s="11">
        <f>IF(LEN(TRIM(X1940))=0,"",HYPERLINK("https://www.google.com/maps/@?api=1&amp;map_action=pano&amp;viewpoint="&amp;SUBSTITUTE(X1940," ",""),"Abrir Street View"))</f>
        <v/>
      </c>
    </row>
    <row r="1941">
      <c r="H1941" s="6" t="n"/>
      <c r="I1941" s="6" t="n"/>
      <c r="M1941" s="7" t="n"/>
      <c r="N1941" s="7" t="n"/>
      <c r="O1941" s="7" t="n"/>
      <c r="P1941" s="8">
        <f>IF(NOT(ISNUMBER(M1941)),"",IF(G1941="Terreno",IF(AND(ISNUMBER(I1941),I1941&gt;0),M1941/I1941,""),IF(AND(ISNUMBER(H1941),H1941&gt;0),M1941/H1941,"")))</f>
        <v/>
      </c>
      <c r="Q1941" s="9">
        <f>IF(AND(ISNUMBER(M1941),ISNUMBER(O1941)),IF(M1941&lt;=O1941,"Valor ≤ venal IPTU",""),"")</f>
        <v/>
      </c>
      <c r="R1941" s="10" t="n"/>
      <c r="S1941" s="10" t="n"/>
      <c r="AA1941" s="10" t="n"/>
      <c r="AB1941" s="11">
        <f>IF(LEN(TRIM(X1941))=0,"",HYPERLINK("https://www.google.com/maps/@?api=1&amp;map_action=pano&amp;viewpoint="&amp;SUBSTITUTE(X1941," ",""),"Abrir Street View"))</f>
        <v/>
      </c>
    </row>
    <row r="1942">
      <c r="H1942" s="6" t="n"/>
      <c r="I1942" s="6" t="n"/>
      <c r="M1942" s="7" t="n"/>
      <c r="N1942" s="7" t="n"/>
      <c r="O1942" s="7" t="n"/>
      <c r="P1942" s="8">
        <f>IF(NOT(ISNUMBER(M1942)),"",IF(G1942="Terreno",IF(AND(ISNUMBER(I1942),I1942&gt;0),M1942/I1942,""),IF(AND(ISNUMBER(H1942),H1942&gt;0),M1942/H1942,"")))</f>
        <v/>
      </c>
      <c r="Q1942" s="9">
        <f>IF(AND(ISNUMBER(M1942),ISNUMBER(O1942)),IF(M1942&lt;=O1942,"Valor ≤ venal IPTU",""),"")</f>
        <v/>
      </c>
      <c r="R1942" s="10" t="n"/>
      <c r="S1942" s="10" t="n"/>
      <c r="AA1942" s="10" t="n"/>
      <c r="AB1942" s="11">
        <f>IF(LEN(TRIM(X1942))=0,"",HYPERLINK("https://www.google.com/maps/@?api=1&amp;map_action=pano&amp;viewpoint="&amp;SUBSTITUTE(X1942," ",""),"Abrir Street View"))</f>
        <v/>
      </c>
    </row>
    <row r="1943">
      <c r="H1943" s="6" t="n"/>
      <c r="I1943" s="6" t="n"/>
      <c r="M1943" s="7" t="n"/>
      <c r="N1943" s="7" t="n"/>
      <c r="O1943" s="7" t="n"/>
      <c r="P1943" s="8">
        <f>IF(NOT(ISNUMBER(M1943)),"",IF(G1943="Terreno",IF(AND(ISNUMBER(I1943),I1943&gt;0),M1943/I1943,""),IF(AND(ISNUMBER(H1943),H1943&gt;0),M1943/H1943,"")))</f>
        <v/>
      </c>
      <c r="Q1943" s="9">
        <f>IF(AND(ISNUMBER(M1943),ISNUMBER(O1943)),IF(M1943&lt;=O1943,"Valor ≤ venal IPTU",""),"")</f>
        <v/>
      </c>
      <c r="R1943" s="10" t="n"/>
      <c r="S1943" s="10" t="n"/>
      <c r="AA1943" s="10" t="n"/>
      <c r="AB1943" s="11">
        <f>IF(LEN(TRIM(X1943))=0,"",HYPERLINK("https://www.google.com/maps/@?api=1&amp;map_action=pano&amp;viewpoint="&amp;SUBSTITUTE(X1943," ",""),"Abrir Street View"))</f>
        <v/>
      </c>
    </row>
    <row r="1944">
      <c r="H1944" s="6" t="n"/>
      <c r="I1944" s="6" t="n"/>
      <c r="M1944" s="7" t="n"/>
      <c r="N1944" s="7" t="n"/>
      <c r="O1944" s="7" t="n"/>
      <c r="P1944" s="8">
        <f>IF(NOT(ISNUMBER(M1944)),"",IF(G1944="Terreno",IF(AND(ISNUMBER(I1944),I1944&gt;0),M1944/I1944,""),IF(AND(ISNUMBER(H1944),H1944&gt;0),M1944/H1944,"")))</f>
        <v/>
      </c>
      <c r="Q1944" s="9">
        <f>IF(AND(ISNUMBER(M1944),ISNUMBER(O1944)),IF(M1944&lt;=O1944,"Valor ≤ venal IPTU",""),"")</f>
        <v/>
      </c>
      <c r="R1944" s="10" t="n"/>
      <c r="S1944" s="10" t="n"/>
      <c r="AA1944" s="10" t="n"/>
      <c r="AB1944" s="11">
        <f>IF(LEN(TRIM(X1944))=0,"",HYPERLINK("https://www.google.com/maps/@?api=1&amp;map_action=pano&amp;viewpoint="&amp;SUBSTITUTE(X1944," ",""),"Abrir Street View"))</f>
        <v/>
      </c>
    </row>
    <row r="1945">
      <c r="H1945" s="6" t="n"/>
      <c r="I1945" s="6" t="n"/>
      <c r="M1945" s="7" t="n"/>
      <c r="N1945" s="7" t="n"/>
      <c r="O1945" s="7" t="n"/>
      <c r="P1945" s="8">
        <f>IF(NOT(ISNUMBER(M1945)),"",IF(G1945="Terreno",IF(AND(ISNUMBER(I1945),I1945&gt;0),M1945/I1945,""),IF(AND(ISNUMBER(H1945),H1945&gt;0),M1945/H1945,"")))</f>
        <v/>
      </c>
      <c r="Q1945" s="9">
        <f>IF(AND(ISNUMBER(M1945),ISNUMBER(O1945)),IF(M1945&lt;=O1945,"Valor ≤ venal IPTU",""),"")</f>
        <v/>
      </c>
      <c r="R1945" s="10" t="n"/>
      <c r="S1945" s="10" t="n"/>
      <c r="AA1945" s="10" t="n"/>
      <c r="AB1945" s="11">
        <f>IF(LEN(TRIM(X1945))=0,"",HYPERLINK("https://www.google.com/maps/@?api=1&amp;map_action=pano&amp;viewpoint="&amp;SUBSTITUTE(X1945," ",""),"Abrir Street View"))</f>
        <v/>
      </c>
    </row>
    <row r="1946">
      <c r="H1946" s="6" t="n"/>
      <c r="I1946" s="6" t="n"/>
      <c r="M1946" s="7" t="n"/>
      <c r="N1946" s="7" t="n"/>
      <c r="O1946" s="7" t="n"/>
      <c r="P1946" s="8">
        <f>IF(NOT(ISNUMBER(M1946)),"",IF(G1946="Terreno",IF(AND(ISNUMBER(I1946),I1946&gt;0),M1946/I1946,""),IF(AND(ISNUMBER(H1946),H1946&gt;0),M1946/H1946,"")))</f>
        <v/>
      </c>
      <c r="Q1946" s="9">
        <f>IF(AND(ISNUMBER(M1946),ISNUMBER(O1946)),IF(M1946&lt;=O1946,"Valor ≤ venal IPTU",""),"")</f>
        <v/>
      </c>
      <c r="R1946" s="10" t="n"/>
      <c r="S1946" s="10" t="n"/>
      <c r="AA1946" s="10" t="n"/>
      <c r="AB1946" s="11">
        <f>IF(LEN(TRIM(X1946))=0,"",HYPERLINK("https://www.google.com/maps/@?api=1&amp;map_action=pano&amp;viewpoint="&amp;SUBSTITUTE(X1946," ",""),"Abrir Street View"))</f>
        <v/>
      </c>
    </row>
    <row r="1947">
      <c r="H1947" s="6" t="n"/>
      <c r="I1947" s="6" t="n"/>
      <c r="M1947" s="7" t="n"/>
      <c r="N1947" s="7" t="n"/>
      <c r="O1947" s="7" t="n"/>
      <c r="P1947" s="8">
        <f>IF(NOT(ISNUMBER(M1947)),"",IF(G1947="Terreno",IF(AND(ISNUMBER(I1947),I1947&gt;0),M1947/I1947,""),IF(AND(ISNUMBER(H1947),H1947&gt;0),M1947/H1947,"")))</f>
        <v/>
      </c>
      <c r="Q1947" s="9">
        <f>IF(AND(ISNUMBER(M1947),ISNUMBER(O1947)),IF(M1947&lt;=O1947,"Valor ≤ venal IPTU",""),"")</f>
        <v/>
      </c>
      <c r="R1947" s="10" t="n"/>
      <c r="S1947" s="10" t="n"/>
      <c r="AA1947" s="10" t="n"/>
      <c r="AB1947" s="11">
        <f>IF(LEN(TRIM(X1947))=0,"",HYPERLINK("https://www.google.com/maps/@?api=1&amp;map_action=pano&amp;viewpoint="&amp;SUBSTITUTE(X1947," ",""),"Abrir Street View"))</f>
        <v/>
      </c>
    </row>
    <row r="1948">
      <c r="H1948" s="6" t="n"/>
      <c r="I1948" s="6" t="n"/>
      <c r="M1948" s="7" t="n"/>
      <c r="N1948" s="7" t="n"/>
      <c r="O1948" s="7" t="n"/>
      <c r="P1948" s="8">
        <f>IF(NOT(ISNUMBER(M1948)),"",IF(G1948="Terreno",IF(AND(ISNUMBER(I1948),I1948&gt;0),M1948/I1948,""),IF(AND(ISNUMBER(H1948),H1948&gt;0),M1948/H1948,"")))</f>
        <v/>
      </c>
      <c r="Q1948" s="9">
        <f>IF(AND(ISNUMBER(M1948),ISNUMBER(O1948)),IF(M1948&lt;=O1948,"Valor ≤ venal IPTU",""),"")</f>
        <v/>
      </c>
      <c r="R1948" s="10" t="n"/>
      <c r="S1948" s="10" t="n"/>
      <c r="AA1948" s="10" t="n"/>
      <c r="AB1948" s="11">
        <f>IF(LEN(TRIM(X1948))=0,"",HYPERLINK("https://www.google.com/maps/@?api=1&amp;map_action=pano&amp;viewpoint="&amp;SUBSTITUTE(X1948," ",""),"Abrir Street View"))</f>
        <v/>
      </c>
    </row>
    <row r="1949">
      <c r="H1949" s="6" t="n"/>
      <c r="I1949" s="6" t="n"/>
      <c r="M1949" s="7" t="n"/>
      <c r="N1949" s="7" t="n"/>
      <c r="O1949" s="7" t="n"/>
      <c r="P1949" s="8">
        <f>IF(NOT(ISNUMBER(M1949)),"",IF(G1949="Terreno",IF(AND(ISNUMBER(I1949),I1949&gt;0),M1949/I1949,""),IF(AND(ISNUMBER(H1949),H1949&gt;0),M1949/H1949,"")))</f>
        <v/>
      </c>
      <c r="Q1949" s="9">
        <f>IF(AND(ISNUMBER(M1949),ISNUMBER(O1949)),IF(M1949&lt;=O1949,"Valor ≤ venal IPTU",""),"")</f>
        <v/>
      </c>
      <c r="R1949" s="10" t="n"/>
      <c r="S1949" s="10" t="n"/>
      <c r="AA1949" s="10" t="n"/>
      <c r="AB1949" s="11">
        <f>IF(LEN(TRIM(X1949))=0,"",HYPERLINK("https://www.google.com/maps/@?api=1&amp;map_action=pano&amp;viewpoint="&amp;SUBSTITUTE(X1949," ",""),"Abrir Street View"))</f>
        <v/>
      </c>
    </row>
    <row r="1950">
      <c r="H1950" s="6" t="n"/>
      <c r="I1950" s="6" t="n"/>
      <c r="M1950" s="7" t="n"/>
      <c r="N1950" s="7" t="n"/>
      <c r="O1950" s="7" t="n"/>
      <c r="P1950" s="8">
        <f>IF(NOT(ISNUMBER(M1950)),"",IF(G1950="Terreno",IF(AND(ISNUMBER(I1950),I1950&gt;0),M1950/I1950,""),IF(AND(ISNUMBER(H1950),H1950&gt;0),M1950/H1950,"")))</f>
        <v/>
      </c>
      <c r="Q1950" s="9">
        <f>IF(AND(ISNUMBER(M1950),ISNUMBER(O1950)),IF(M1950&lt;=O1950,"Valor ≤ venal IPTU",""),"")</f>
        <v/>
      </c>
      <c r="R1950" s="10" t="n"/>
      <c r="S1950" s="10" t="n"/>
      <c r="AA1950" s="10" t="n"/>
      <c r="AB1950" s="11">
        <f>IF(LEN(TRIM(X1950))=0,"",HYPERLINK("https://www.google.com/maps/@?api=1&amp;map_action=pano&amp;viewpoint="&amp;SUBSTITUTE(X1950," ",""),"Abrir Street View"))</f>
        <v/>
      </c>
    </row>
    <row r="1951">
      <c r="H1951" s="6" t="n"/>
      <c r="I1951" s="6" t="n"/>
      <c r="M1951" s="7" t="n"/>
      <c r="N1951" s="7" t="n"/>
      <c r="O1951" s="7" t="n"/>
      <c r="P1951" s="8">
        <f>IF(NOT(ISNUMBER(M1951)),"",IF(G1951="Terreno",IF(AND(ISNUMBER(I1951),I1951&gt;0),M1951/I1951,""),IF(AND(ISNUMBER(H1951),H1951&gt;0),M1951/H1951,"")))</f>
        <v/>
      </c>
      <c r="Q1951" s="9">
        <f>IF(AND(ISNUMBER(M1951),ISNUMBER(O1951)),IF(M1951&lt;=O1951,"Valor ≤ venal IPTU",""),"")</f>
        <v/>
      </c>
      <c r="R1951" s="10" t="n"/>
      <c r="S1951" s="10" t="n"/>
      <c r="AA1951" s="10" t="n"/>
      <c r="AB1951" s="11">
        <f>IF(LEN(TRIM(X1951))=0,"",HYPERLINK("https://www.google.com/maps/@?api=1&amp;map_action=pano&amp;viewpoint="&amp;SUBSTITUTE(X1951," ",""),"Abrir Street View"))</f>
        <v/>
      </c>
    </row>
    <row r="1952">
      <c r="H1952" s="6" t="n"/>
      <c r="I1952" s="6" t="n"/>
      <c r="M1952" s="7" t="n"/>
      <c r="N1952" s="7" t="n"/>
      <c r="O1952" s="7" t="n"/>
      <c r="P1952" s="8">
        <f>IF(NOT(ISNUMBER(M1952)),"",IF(G1952="Terreno",IF(AND(ISNUMBER(I1952),I1952&gt;0),M1952/I1952,""),IF(AND(ISNUMBER(H1952),H1952&gt;0),M1952/H1952,"")))</f>
        <v/>
      </c>
      <c r="Q1952" s="9">
        <f>IF(AND(ISNUMBER(M1952),ISNUMBER(O1952)),IF(M1952&lt;=O1952,"Valor ≤ venal IPTU",""),"")</f>
        <v/>
      </c>
      <c r="R1952" s="10" t="n"/>
      <c r="S1952" s="10" t="n"/>
      <c r="AA1952" s="10" t="n"/>
      <c r="AB1952" s="11">
        <f>IF(LEN(TRIM(X1952))=0,"",HYPERLINK("https://www.google.com/maps/@?api=1&amp;map_action=pano&amp;viewpoint="&amp;SUBSTITUTE(X1952," ",""),"Abrir Street View"))</f>
        <v/>
      </c>
    </row>
    <row r="1953">
      <c r="H1953" s="6" t="n"/>
      <c r="I1953" s="6" t="n"/>
      <c r="M1953" s="7" t="n"/>
      <c r="N1953" s="7" t="n"/>
      <c r="O1953" s="7" t="n"/>
      <c r="P1953" s="8">
        <f>IF(NOT(ISNUMBER(M1953)),"",IF(G1953="Terreno",IF(AND(ISNUMBER(I1953),I1953&gt;0),M1953/I1953,""),IF(AND(ISNUMBER(H1953),H1953&gt;0),M1953/H1953,"")))</f>
        <v/>
      </c>
      <c r="Q1953" s="9">
        <f>IF(AND(ISNUMBER(M1953),ISNUMBER(O1953)),IF(M1953&lt;=O1953,"Valor ≤ venal IPTU",""),"")</f>
        <v/>
      </c>
      <c r="R1953" s="10" t="n"/>
      <c r="S1953" s="10" t="n"/>
      <c r="AA1953" s="10" t="n"/>
      <c r="AB1953" s="11">
        <f>IF(LEN(TRIM(X1953))=0,"",HYPERLINK("https://www.google.com/maps/@?api=1&amp;map_action=pano&amp;viewpoint="&amp;SUBSTITUTE(X1953," ",""),"Abrir Street View"))</f>
        <v/>
      </c>
    </row>
    <row r="1954">
      <c r="H1954" s="6" t="n"/>
      <c r="I1954" s="6" t="n"/>
      <c r="M1954" s="7" t="n"/>
      <c r="N1954" s="7" t="n"/>
      <c r="O1954" s="7" t="n"/>
      <c r="P1954" s="8">
        <f>IF(NOT(ISNUMBER(M1954)),"",IF(G1954="Terreno",IF(AND(ISNUMBER(I1954),I1954&gt;0),M1954/I1954,""),IF(AND(ISNUMBER(H1954),H1954&gt;0),M1954/H1954,"")))</f>
        <v/>
      </c>
      <c r="Q1954" s="9">
        <f>IF(AND(ISNUMBER(M1954),ISNUMBER(O1954)),IF(M1954&lt;=O1954,"Valor ≤ venal IPTU",""),"")</f>
        <v/>
      </c>
      <c r="R1954" s="10" t="n"/>
      <c r="S1954" s="10" t="n"/>
      <c r="AA1954" s="10" t="n"/>
      <c r="AB1954" s="11">
        <f>IF(LEN(TRIM(X1954))=0,"",HYPERLINK("https://www.google.com/maps/@?api=1&amp;map_action=pano&amp;viewpoint="&amp;SUBSTITUTE(X1954," ",""),"Abrir Street View"))</f>
        <v/>
      </c>
    </row>
    <row r="1955">
      <c r="H1955" s="6" t="n"/>
      <c r="I1955" s="6" t="n"/>
      <c r="M1955" s="7" t="n"/>
      <c r="N1955" s="7" t="n"/>
      <c r="O1955" s="7" t="n"/>
      <c r="P1955" s="8">
        <f>IF(NOT(ISNUMBER(M1955)),"",IF(G1955="Terreno",IF(AND(ISNUMBER(I1955),I1955&gt;0),M1955/I1955,""),IF(AND(ISNUMBER(H1955),H1955&gt;0),M1955/H1955,"")))</f>
        <v/>
      </c>
      <c r="Q1955" s="9">
        <f>IF(AND(ISNUMBER(M1955),ISNUMBER(O1955)),IF(M1955&lt;=O1955,"Valor ≤ venal IPTU",""),"")</f>
        <v/>
      </c>
      <c r="R1955" s="10" t="n"/>
      <c r="S1955" s="10" t="n"/>
      <c r="AA1955" s="10" t="n"/>
      <c r="AB1955" s="11">
        <f>IF(LEN(TRIM(X1955))=0,"",HYPERLINK("https://www.google.com/maps/@?api=1&amp;map_action=pano&amp;viewpoint="&amp;SUBSTITUTE(X1955," ",""),"Abrir Street View"))</f>
        <v/>
      </c>
    </row>
    <row r="1956">
      <c r="H1956" s="6" t="n"/>
      <c r="I1956" s="6" t="n"/>
      <c r="M1956" s="7" t="n"/>
      <c r="N1956" s="7" t="n"/>
      <c r="O1956" s="7" t="n"/>
      <c r="P1956" s="8">
        <f>IF(NOT(ISNUMBER(M1956)),"",IF(G1956="Terreno",IF(AND(ISNUMBER(I1956),I1956&gt;0),M1956/I1956,""),IF(AND(ISNUMBER(H1956),H1956&gt;0),M1956/H1956,"")))</f>
        <v/>
      </c>
      <c r="Q1956" s="9">
        <f>IF(AND(ISNUMBER(M1956),ISNUMBER(O1956)),IF(M1956&lt;=O1956,"Valor ≤ venal IPTU",""),"")</f>
        <v/>
      </c>
      <c r="R1956" s="10" t="n"/>
      <c r="S1956" s="10" t="n"/>
      <c r="AA1956" s="10" t="n"/>
      <c r="AB1956" s="11">
        <f>IF(LEN(TRIM(X1956))=0,"",HYPERLINK("https://www.google.com/maps/@?api=1&amp;map_action=pano&amp;viewpoint="&amp;SUBSTITUTE(X1956," ",""),"Abrir Street View"))</f>
        <v/>
      </c>
    </row>
    <row r="1957">
      <c r="H1957" s="6" t="n"/>
      <c r="I1957" s="6" t="n"/>
      <c r="M1957" s="7" t="n"/>
      <c r="N1957" s="7" t="n"/>
      <c r="O1957" s="7" t="n"/>
      <c r="P1957" s="8">
        <f>IF(NOT(ISNUMBER(M1957)),"",IF(G1957="Terreno",IF(AND(ISNUMBER(I1957),I1957&gt;0),M1957/I1957,""),IF(AND(ISNUMBER(H1957),H1957&gt;0),M1957/H1957,"")))</f>
        <v/>
      </c>
      <c r="Q1957" s="9">
        <f>IF(AND(ISNUMBER(M1957),ISNUMBER(O1957)),IF(M1957&lt;=O1957,"Valor ≤ venal IPTU",""),"")</f>
        <v/>
      </c>
      <c r="R1957" s="10" t="n"/>
      <c r="S1957" s="10" t="n"/>
      <c r="AA1957" s="10" t="n"/>
      <c r="AB1957" s="11">
        <f>IF(LEN(TRIM(X1957))=0,"",HYPERLINK("https://www.google.com/maps/@?api=1&amp;map_action=pano&amp;viewpoint="&amp;SUBSTITUTE(X1957," ",""),"Abrir Street View"))</f>
        <v/>
      </c>
    </row>
    <row r="1958">
      <c r="H1958" s="6" t="n"/>
      <c r="I1958" s="6" t="n"/>
      <c r="M1958" s="7" t="n"/>
      <c r="N1958" s="7" t="n"/>
      <c r="O1958" s="7" t="n"/>
      <c r="P1958" s="8">
        <f>IF(NOT(ISNUMBER(M1958)),"",IF(G1958="Terreno",IF(AND(ISNUMBER(I1958),I1958&gt;0),M1958/I1958,""),IF(AND(ISNUMBER(H1958),H1958&gt;0),M1958/H1958,"")))</f>
        <v/>
      </c>
      <c r="Q1958" s="9">
        <f>IF(AND(ISNUMBER(M1958),ISNUMBER(O1958)),IF(M1958&lt;=O1958,"Valor ≤ venal IPTU",""),"")</f>
        <v/>
      </c>
      <c r="R1958" s="10" t="n"/>
      <c r="S1958" s="10" t="n"/>
      <c r="AA1958" s="10" t="n"/>
      <c r="AB1958" s="11">
        <f>IF(LEN(TRIM(X1958))=0,"",HYPERLINK("https://www.google.com/maps/@?api=1&amp;map_action=pano&amp;viewpoint="&amp;SUBSTITUTE(X1958," ",""),"Abrir Street View"))</f>
        <v/>
      </c>
    </row>
    <row r="1959">
      <c r="H1959" s="6" t="n"/>
      <c r="I1959" s="6" t="n"/>
      <c r="M1959" s="7" t="n"/>
      <c r="N1959" s="7" t="n"/>
      <c r="O1959" s="7" t="n"/>
      <c r="P1959" s="8">
        <f>IF(NOT(ISNUMBER(M1959)),"",IF(G1959="Terreno",IF(AND(ISNUMBER(I1959),I1959&gt;0),M1959/I1959,""),IF(AND(ISNUMBER(H1959),H1959&gt;0),M1959/H1959,"")))</f>
        <v/>
      </c>
      <c r="Q1959" s="9">
        <f>IF(AND(ISNUMBER(M1959),ISNUMBER(O1959)),IF(M1959&lt;=O1959,"Valor ≤ venal IPTU",""),"")</f>
        <v/>
      </c>
      <c r="R1959" s="10" t="n"/>
      <c r="S1959" s="10" t="n"/>
      <c r="AA1959" s="10" t="n"/>
      <c r="AB1959" s="11">
        <f>IF(LEN(TRIM(X1959))=0,"",HYPERLINK("https://www.google.com/maps/@?api=1&amp;map_action=pano&amp;viewpoint="&amp;SUBSTITUTE(X1959," ",""),"Abrir Street View"))</f>
        <v/>
      </c>
    </row>
    <row r="1960">
      <c r="H1960" s="6" t="n"/>
      <c r="I1960" s="6" t="n"/>
      <c r="M1960" s="7" t="n"/>
      <c r="N1960" s="7" t="n"/>
      <c r="O1960" s="7" t="n"/>
      <c r="P1960" s="8">
        <f>IF(NOT(ISNUMBER(M1960)),"",IF(G1960="Terreno",IF(AND(ISNUMBER(I1960),I1960&gt;0),M1960/I1960,""),IF(AND(ISNUMBER(H1960),H1960&gt;0),M1960/H1960,"")))</f>
        <v/>
      </c>
      <c r="Q1960" s="9">
        <f>IF(AND(ISNUMBER(M1960),ISNUMBER(O1960)),IF(M1960&lt;=O1960,"Valor ≤ venal IPTU",""),"")</f>
        <v/>
      </c>
      <c r="R1960" s="10" t="n"/>
      <c r="S1960" s="10" t="n"/>
      <c r="AA1960" s="10" t="n"/>
      <c r="AB1960" s="11">
        <f>IF(LEN(TRIM(X1960))=0,"",HYPERLINK("https://www.google.com/maps/@?api=1&amp;map_action=pano&amp;viewpoint="&amp;SUBSTITUTE(X1960," ",""),"Abrir Street View"))</f>
        <v/>
      </c>
    </row>
    <row r="1961">
      <c r="H1961" s="6" t="n"/>
      <c r="I1961" s="6" t="n"/>
      <c r="M1961" s="7" t="n"/>
      <c r="N1961" s="7" t="n"/>
      <c r="O1961" s="7" t="n"/>
      <c r="P1961" s="8">
        <f>IF(NOT(ISNUMBER(M1961)),"",IF(G1961="Terreno",IF(AND(ISNUMBER(I1961),I1961&gt;0),M1961/I1961,""),IF(AND(ISNUMBER(H1961),H1961&gt;0),M1961/H1961,"")))</f>
        <v/>
      </c>
      <c r="Q1961" s="9">
        <f>IF(AND(ISNUMBER(M1961),ISNUMBER(O1961)),IF(M1961&lt;=O1961,"Valor ≤ venal IPTU",""),"")</f>
        <v/>
      </c>
      <c r="R1961" s="10" t="n"/>
      <c r="S1961" s="10" t="n"/>
      <c r="AA1961" s="10" t="n"/>
      <c r="AB1961" s="11">
        <f>IF(LEN(TRIM(X1961))=0,"",HYPERLINK("https://www.google.com/maps/@?api=1&amp;map_action=pano&amp;viewpoint="&amp;SUBSTITUTE(X1961," ",""),"Abrir Street View"))</f>
        <v/>
      </c>
    </row>
    <row r="1962">
      <c r="H1962" s="6" t="n"/>
      <c r="I1962" s="6" t="n"/>
      <c r="M1962" s="7" t="n"/>
      <c r="N1962" s="7" t="n"/>
      <c r="O1962" s="7" t="n"/>
      <c r="P1962" s="8">
        <f>IF(NOT(ISNUMBER(M1962)),"",IF(G1962="Terreno",IF(AND(ISNUMBER(I1962),I1962&gt;0),M1962/I1962,""),IF(AND(ISNUMBER(H1962),H1962&gt;0),M1962/H1962,"")))</f>
        <v/>
      </c>
      <c r="Q1962" s="9">
        <f>IF(AND(ISNUMBER(M1962),ISNUMBER(O1962)),IF(M1962&lt;=O1962,"Valor ≤ venal IPTU",""),"")</f>
        <v/>
      </c>
      <c r="R1962" s="10" t="n"/>
      <c r="S1962" s="10" t="n"/>
      <c r="AA1962" s="10" t="n"/>
      <c r="AB1962" s="11">
        <f>IF(LEN(TRIM(X1962))=0,"",HYPERLINK("https://www.google.com/maps/@?api=1&amp;map_action=pano&amp;viewpoint="&amp;SUBSTITUTE(X1962," ",""),"Abrir Street View"))</f>
        <v/>
      </c>
    </row>
    <row r="1963">
      <c r="H1963" s="6" t="n"/>
      <c r="I1963" s="6" t="n"/>
      <c r="M1963" s="7" t="n"/>
      <c r="N1963" s="7" t="n"/>
      <c r="O1963" s="7" t="n"/>
      <c r="P1963" s="8">
        <f>IF(NOT(ISNUMBER(M1963)),"",IF(G1963="Terreno",IF(AND(ISNUMBER(I1963),I1963&gt;0),M1963/I1963,""),IF(AND(ISNUMBER(H1963),H1963&gt;0),M1963/H1963,"")))</f>
        <v/>
      </c>
      <c r="Q1963" s="9">
        <f>IF(AND(ISNUMBER(M1963),ISNUMBER(O1963)),IF(M1963&lt;=O1963,"Valor ≤ venal IPTU",""),"")</f>
        <v/>
      </c>
      <c r="R1963" s="10" t="n"/>
      <c r="S1963" s="10" t="n"/>
      <c r="AA1963" s="10" t="n"/>
      <c r="AB1963" s="11">
        <f>IF(LEN(TRIM(X1963))=0,"",HYPERLINK("https://www.google.com/maps/@?api=1&amp;map_action=pano&amp;viewpoint="&amp;SUBSTITUTE(X1963," ",""),"Abrir Street View"))</f>
        <v/>
      </c>
    </row>
    <row r="1964">
      <c r="H1964" s="6" t="n"/>
      <c r="I1964" s="6" t="n"/>
      <c r="M1964" s="7" t="n"/>
      <c r="N1964" s="7" t="n"/>
      <c r="O1964" s="7" t="n"/>
      <c r="P1964" s="8">
        <f>IF(NOT(ISNUMBER(M1964)),"",IF(G1964="Terreno",IF(AND(ISNUMBER(I1964),I1964&gt;0),M1964/I1964,""),IF(AND(ISNUMBER(H1964),H1964&gt;0),M1964/H1964,"")))</f>
        <v/>
      </c>
      <c r="Q1964" s="9">
        <f>IF(AND(ISNUMBER(M1964),ISNUMBER(O1964)),IF(M1964&lt;=O1964,"Valor ≤ venal IPTU",""),"")</f>
        <v/>
      </c>
      <c r="R1964" s="10" t="n"/>
      <c r="S1964" s="10" t="n"/>
      <c r="AA1964" s="10" t="n"/>
      <c r="AB1964" s="11">
        <f>IF(LEN(TRIM(X1964))=0,"",HYPERLINK("https://www.google.com/maps/@?api=1&amp;map_action=pano&amp;viewpoint="&amp;SUBSTITUTE(X1964," ",""),"Abrir Street View"))</f>
        <v/>
      </c>
    </row>
    <row r="1965">
      <c r="H1965" s="6" t="n"/>
      <c r="I1965" s="6" t="n"/>
      <c r="M1965" s="7" t="n"/>
      <c r="N1965" s="7" t="n"/>
      <c r="O1965" s="7" t="n"/>
      <c r="P1965" s="8">
        <f>IF(NOT(ISNUMBER(M1965)),"",IF(G1965="Terreno",IF(AND(ISNUMBER(I1965),I1965&gt;0),M1965/I1965,""),IF(AND(ISNUMBER(H1965),H1965&gt;0),M1965/H1965,"")))</f>
        <v/>
      </c>
      <c r="Q1965" s="9">
        <f>IF(AND(ISNUMBER(M1965),ISNUMBER(O1965)),IF(M1965&lt;=O1965,"Valor ≤ venal IPTU",""),"")</f>
        <v/>
      </c>
      <c r="R1965" s="10" t="n"/>
      <c r="S1965" s="10" t="n"/>
      <c r="AA1965" s="10" t="n"/>
      <c r="AB1965" s="11">
        <f>IF(LEN(TRIM(X1965))=0,"",HYPERLINK("https://www.google.com/maps/@?api=1&amp;map_action=pano&amp;viewpoint="&amp;SUBSTITUTE(X1965," ",""),"Abrir Street View"))</f>
        <v/>
      </c>
    </row>
    <row r="1966">
      <c r="H1966" s="6" t="n"/>
      <c r="I1966" s="6" t="n"/>
      <c r="M1966" s="7" t="n"/>
      <c r="N1966" s="7" t="n"/>
      <c r="O1966" s="7" t="n"/>
      <c r="P1966" s="8">
        <f>IF(NOT(ISNUMBER(M1966)),"",IF(G1966="Terreno",IF(AND(ISNUMBER(I1966),I1966&gt;0),M1966/I1966,""),IF(AND(ISNUMBER(H1966),H1966&gt;0),M1966/H1966,"")))</f>
        <v/>
      </c>
      <c r="Q1966" s="9">
        <f>IF(AND(ISNUMBER(M1966),ISNUMBER(O1966)),IF(M1966&lt;=O1966,"Valor ≤ venal IPTU",""),"")</f>
        <v/>
      </c>
      <c r="R1966" s="10" t="n"/>
      <c r="S1966" s="10" t="n"/>
      <c r="AA1966" s="10" t="n"/>
      <c r="AB1966" s="11">
        <f>IF(LEN(TRIM(X1966))=0,"",HYPERLINK("https://www.google.com/maps/@?api=1&amp;map_action=pano&amp;viewpoint="&amp;SUBSTITUTE(X1966," ",""),"Abrir Street View"))</f>
        <v/>
      </c>
    </row>
    <row r="1967">
      <c r="H1967" s="6" t="n"/>
      <c r="I1967" s="6" t="n"/>
      <c r="M1967" s="7" t="n"/>
      <c r="N1967" s="7" t="n"/>
      <c r="O1967" s="7" t="n"/>
      <c r="P1967" s="8">
        <f>IF(NOT(ISNUMBER(M1967)),"",IF(G1967="Terreno",IF(AND(ISNUMBER(I1967),I1967&gt;0),M1967/I1967,""),IF(AND(ISNUMBER(H1967),H1967&gt;0),M1967/H1967,"")))</f>
        <v/>
      </c>
      <c r="Q1967" s="9">
        <f>IF(AND(ISNUMBER(M1967),ISNUMBER(O1967)),IF(M1967&lt;=O1967,"Valor ≤ venal IPTU",""),"")</f>
        <v/>
      </c>
      <c r="R1967" s="10" t="n"/>
      <c r="S1967" s="10" t="n"/>
      <c r="AA1967" s="10" t="n"/>
      <c r="AB1967" s="11">
        <f>IF(LEN(TRIM(X1967))=0,"",HYPERLINK("https://www.google.com/maps/@?api=1&amp;map_action=pano&amp;viewpoint="&amp;SUBSTITUTE(X1967," ",""),"Abrir Street View"))</f>
        <v/>
      </c>
    </row>
    <row r="1968">
      <c r="H1968" s="6" t="n"/>
      <c r="I1968" s="6" t="n"/>
      <c r="M1968" s="7" t="n"/>
      <c r="N1968" s="7" t="n"/>
      <c r="O1968" s="7" t="n"/>
      <c r="P1968" s="8">
        <f>IF(NOT(ISNUMBER(M1968)),"",IF(G1968="Terreno",IF(AND(ISNUMBER(I1968),I1968&gt;0),M1968/I1968,""),IF(AND(ISNUMBER(H1968),H1968&gt;0),M1968/H1968,"")))</f>
        <v/>
      </c>
      <c r="Q1968" s="9">
        <f>IF(AND(ISNUMBER(M1968),ISNUMBER(O1968)),IF(M1968&lt;=O1968,"Valor ≤ venal IPTU",""),"")</f>
        <v/>
      </c>
      <c r="R1968" s="10" t="n"/>
      <c r="S1968" s="10" t="n"/>
      <c r="AA1968" s="10" t="n"/>
      <c r="AB1968" s="11">
        <f>IF(LEN(TRIM(X1968))=0,"",HYPERLINK("https://www.google.com/maps/@?api=1&amp;map_action=pano&amp;viewpoint="&amp;SUBSTITUTE(X1968," ",""),"Abrir Street View"))</f>
        <v/>
      </c>
    </row>
    <row r="1969">
      <c r="H1969" s="6" t="n"/>
      <c r="I1969" s="6" t="n"/>
      <c r="M1969" s="7" t="n"/>
      <c r="N1969" s="7" t="n"/>
      <c r="O1969" s="7" t="n"/>
      <c r="P1969" s="8">
        <f>IF(NOT(ISNUMBER(M1969)),"",IF(G1969="Terreno",IF(AND(ISNUMBER(I1969),I1969&gt;0),M1969/I1969,""),IF(AND(ISNUMBER(H1969),H1969&gt;0),M1969/H1969,"")))</f>
        <v/>
      </c>
      <c r="Q1969" s="9">
        <f>IF(AND(ISNUMBER(M1969),ISNUMBER(O1969)),IF(M1969&lt;=O1969,"Valor ≤ venal IPTU",""),"")</f>
        <v/>
      </c>
      <c r="R1969" s="10" t="n"/>
      <c r="S1969" s="10" t="n"/>
      <c r="AA1969" s="10" t="n"/>
      <c r="AB1969" s="11">
        <f>IF(LEN(TRIM(X1969))=0,"",HYPERLINK("https://www.google.com/maps/@?api=1&amp;map_action=pano&amp;viewpoint="&amp;SUBSTITUTE(X1969," ",""),"Abrir Street View"))</f>
        <v/>
      </c>
    </row>
    <row r="1970">
      <c r="H1970" s="6" t="n"/>
      <c r="I1970" s="6" t="n"/>
      <c r="M1970" s="7" t="n"/>
      <c r="N1970" s="7" t="n"/>
      <c r="O1970" s="7" t="n"/>
      <c r="P1970" s="8">
        <f>IF(NOT(ISNUMBER(M1970)),"",IF(G1970="Terreno",IF(AND(ISNUMBER(I1970),I1970&gt;0),M1970/I1970,""),IF(AND(ISNUMBER(H1970),H1970&gt;0),M1970/H1970,"")))</f>
        <v/>
      </c>
      <c r="Q1970" s="9">
        <f>IF(AND(ISNUMBER(M1970),ISNUMBER(O1970)),IF(M1970&lt;=O1970,"Valor ≤ venal IPTU",""),"")</f>
        <v/>
      </c>
      <c r="R1970" s="10" t="n"/>
      <c r="S1970" s="10" t="n"/>
      <c r="AA1970" s="10" t="n"/>
      <c r="AB1970" s="11">
        <f>IF(LEN(TRIM(X1970))=0,"",HYPERLINK("https://www.google.com/maps/@?api=1&amp;map_action=pano&amp;viewpoint="&amp;SUBSTITUTE(X1970," ",""),"Abrir Street View"))</f>
        <v/>
      </c>
    </row>
    <row r="1971">
      <c r="H1971" s="6" t="n"/>
      <c r="I1971" s="6" t="n"/>
      <c r="M1971" s="7" t="n"/>
      <c r="N1971" s="7" t="n"/>
      <c r="O1971" s="7" t="n"/>
      <c r="P1971" s="8">
        <f>IF(NOT(ISNUMBER(M1971)),"",IF(G1971="Terreno",IF(AND(ISNUMBER(I1971),I1971&gt;0),M1971/I1971,""),IF(AND(ISNUMBER(H1971),H1971&gt;0),M1971/H1971,"")))</f>
        <v/>
      </c>
      <c r="Q1971" s="9">
        <f>IF(AND(ISNUMBER(M1971),ISNUMBER(O1971)),IF(M1971&lt;=O1971,"Valor ≤ venal IPTU",""),"")</f>
        <v/>
      </c>
      <c r="R1971" s="10" t="n"/>
      <c r="S1971" s="10" t="n"/>
      <c r="AA1971" s="10" t="n"/>
      <c r="AB1971" s="11">
        <f>IF(LEN(TRIM(X1971))=0,"",HYPERLINK("https://www.google.com/maps/@?api=1&amp;map_action=pano&amp;viewpoint="&amp;SUBSTITUTE(X1971," ",""),"Abrir Street View"))</f>
        <v/>
      </c>
    </row>
    <row r="1972">
      <c r="H1972" s="6" t="n"/>
      <c r="I1972" s="6" t="n"/>
      <c r="M1972" s="7" t="n"/>
      <c r="N1972" s="7" t="n"/>
      <c r="O1972" s="7" t="n"/>
      <c r="P1972" s="8">
        <f>IF(NOT(ISNUMBER(M1972)),"",IF(G1972="Terreno",IF(AND(ISNUMBER(I1972),I1972&gt;0),M1972/I1972,""),IF(AND(ISNUMBER(H1972),H1972&gt;0),M1972/H1972,"")))</f>
        <v/>
      </c>
      <c r="Q1972" s="9">
        <f>IF(AND(ISNUMBER(M1972),ISNUMBER(O1972)),IF(M1972&lt;=O1972,"Valor ≤ venal IPTU",""),"")</f>
        <v/>
      </c>
      <c r="R1972" s="10" t="n"/>
      <c r="S1972" s="10" t="n"/>
      <c r="AA1972" s="10" t="n"/>
      <c r="AB1972" s="11">
        <f>IF(LEN(TRIM(X1972))=0,"",HYPERLINK("https://www.google.com/maps/@?api=1&amp;map_action=pano&amp;viewpoint="&amp;SUBSTITUTE(X1972," ",""),"Abrir Street View"))</f>
        <v/>
      </c>
    </row>
    <row r="1973">
      <c r="H1973" s="6" t="n"/>
      <c r="I1973" s="6" t="n"/>
      <c r="M1973" s="7" t="n"/>
      <c r="N1973" s="7" t="n"/>
      <c r="O1973" s="7" t="n"/>
      <c r="P1973" s="8">
        <f>IF(NOT(ISNUMBER(M1973)),"",IF(G1973="Terreno",IF(AND(ISNUMBER(I1973),I1973&gt;0),M1973/I1973,""),IF(AND(ISNUMBER(H1973),H1973&gt;0),M1973/H1973,"")))</f>
        <v/>
      </c>
      <c r="Q1973" s="9">
        <f>IF(AND(ISNUMBER(M1973),ISNUMBER(O1973)),IF(M1973&lt;=O1973,"Valor ≤ venal IPTU",""),"")</f>
        <v/>
      </c>
      <c r="R1973" s="10" t="n"/>
      <c r="S1973" s="10" t="n"/>
      <c r="AA1973" s="10" t="n"/>
      <c r="AB1973" s="11">
        <f>IF(LEN(TRIM(X1973))=0,"",HYPERLINK("https://www.google.com/maps/@?api=1&amp;map_action=pano&amp;viewpoint="&amp;SUBSTITUTE(X1973," ",""),"Abrir Street View"))</f>
        <v/>
      </c>
    </row>
    <row r="1974">
      <c r="H1974" s="6" t="n"/>
      <c r="I1974" s="6" t="n"/>
      <c r="M1974" s="7" t="n"/>
      <c r="N1974" s="7" t="n"/>
      <c r="O1974" s="7" t="n"/>
      <c r="P1974" s="8">
        <f>IF(NOT(ISNUMBER(M1974)),"",IF(G1974="Terreno",IF(AND(ISNUMBER(I1974),I1974&gt;0),M1974/I1974,""),IF(AND(ISNUMBER(H1974),H1974&gt;0),M1974/H1974,"")))</f>
        <v/>
      </c>
      <c r="Q1974" s="9">
        <f>IF(AND(ISNUMBER(M1974),ISNUMBER(O1974)),IF(M1974&lt;=O1974,"Valor ≤ venal IPTU",""),"")</f>
        <v/>
      </c>
      <c r="R1974" s="10" t="n"/>
      <c r="S1974" s="10" t="n"/>
      <c r="AA1974" s="10" t="n"/>
      <c r="AB1974" s="11">
        <f>IF(LEN(TRIM(X1974))=0,"",HYPERLINK("https://www.google.com/maps/@?api=1&amp;map_action=pano&amp;viewpoint="&amp;SUBSTITUTE(X1974," ",""),"Abrir Street View"))</f>
        <v/>
      </c>
    </row>
    <row r="1975">
      <c r="H1975" s="6" t="n"/>
      <c r="I1975" s="6" t="n"/>
      <c r="M1975" s="7" t="n"/>
      <c r="N1975" s="7" t="n"/>
      <c r="O1975" s="7" t="n"/>
      <c r="P1975" s="8">
        <f>IF(NOT(ISNUMBER(M1975)),"",IF(G1975="Terreno",IF(AND(ISNUMBER(I1975),I1975&gt;0),M1975/I1975,""),IF(AND(ISNUMBER(H1975),H1975&gt;0),M1975/H1975,"")))</f>
        <v/>
      </c>
      <c r="Q1975" s="9">
        <f>IF(AND(ISNUMBER(M1975),ISNUMBER(O1975)),IF(M1975&lt;=O1975,"Valor ≤ venal IPTU",""),"")</f>
        <v/>
      </c>
      <c r="R1975" s="10" t="n"/>
      <c r="S1975" s="10" t="n"/>
      <c r="AA1975" s="10" t="n"/>
      <c r="AB1975" s="11">
        <f>IF(LEN(TRIM(X1975))=0,"",HYPERLINK("https://www.google.com/maps/@?api=1&amp;map_action=pano&amp;viewpoint="&amp;SUBSTITUTE(X1975," ",""),"Abrir Street View"))</f>
        <v/>
      </c>
    </row>
    <row r="1976">
      <c r="H1976" s="6" t="n"/>
      <c r="I1976" s="6" t="n"/>
      <c r="M1976" s="7" t="n"/>
      <c r="N1976" s="7" t="n"/>
      <c r="O1976" s="7" t="n"/>
      <c r="P1976" s="8">
        <f>IF(NOT(ISNUMBER(M1976)),"",IF(G1976="Terreno",IF(AND(ISNUMBER(I1976),I1976&gt;0),M1976/I1976,""),IF(AND(ISNUMBER(H1976),H1976&gt;0),M1976/H1976,"")))</f>
        <v/>
      </c>
      <c r="Q1976" s="9">
        <f>IF(AND(ISNUMBER(M1976),ISNUMBER(O1976)),IF(M1976&lt;=O1976,"Valor ≤ venal IPTU",""),"")</f>
        <v/>
      </c>
      <c r="R1976" s="10" t="n"/>
      <c r="S1976" s="10" t="n"/>
      <c r="AA1976" s="10" t="n"/>
      <c r="AB1976" s="11">
        <f>IF(LEN(TRIM(X1976))=0,"",HYPERLINK("https://www.google.com/maps/@?api=1&amp;map_action=pano&amp;viewpoint="&amp;SUBSTITUTE(X1976," ",""),"Abrir Street View"))</f>
        <v/>
      </c>
    </row>
    <row r="1977">
      <c r="H1977" s="6" t="n"/>
      <c r="I1977" s="6" t="n"/>
      <c r="M1977" s="7" t="n"/>
      <c r="N1977" s="7" t="n"/>
      <c r="O1977" s="7" t="n"/>
      <c r="P1977" s="8">
        <f>IF(NOT(ISNUMBER(M1977)),"",IF(G1977="Terreno",IF(AND(ISNUMBER(I1977),I1977&gt;0),M1977/I1977,""),IF(AND(ISNUMBER(H1977),H1977&gt;0),M1977/H1977,"")))</f>
        <v/>
      </c>
      <c r="Q1977" s="9">
        <f>IF(AND(ISNUMBER(M1977),ISNUMBER(O1977)),IF(M1977&lt;=O1977,"Valor ≤ venal IPTU",""),"")</f>
        <v/>
      </c>
      <c r="R1977" s="10" t="n"/>
      <c r="S1977" s="10" t="n"/>
      <c r="AA1977" s="10" t="n"/>
      <c r="AB1977" s="11">
        <f>IF(LEN(TRIM(X1977))=0,"",HYPERLINK("https://www.google.com/maps/@?api=1&amp;map_action=pano&amp;viewpoint="&amp;SUBSTITUTE(X1977," ",""),"Abrir Street View"))</f>
        <v/>
      </c>
    </row>
    <row r="1978">
      <c r="H1978" s="6" t="n"/>
      <c r="I1978" s="6" t="n"/>
      <c r="M1978" s="7" t="n"/>
      <c r="N1978" s="7" t="n"/>
      <c r="O1978" s="7" t="n"/>
      <c r="P1978" s="8">
        <f>IF(NOT(ISNUMBER(M1978)),"",IF(G1978="Terreno",IF(AND(ISNUMBER(I1978),I1978&gt;0),M1978/I1978,""),IF(AND(ISNUMBER(H1978),H1978&gt;0),M1978/H1978,"")))</f>
        <v/>
      </c>
      <c r="Q1978" s="9">
        <f>IF(AND(ISNUMBER(M1978),ISNUMBER(O1978)),IF(M1978&lt;=O1978,"Valor ≤ venal IPTU",""),"")</f>
        <v/>
      </c>
      <c r="R1978" s="10" t="n"/>
      <c r="S1978" s="10" t="n"/>
      <c r="AA1978" s="10" t="n"/>
      <c r="AB1978" s="11">
        <f>IF(LEN(TRIM(X1978))=0,"",HYPERLINK("https://www.google.com/maps/@?api=1&amp;map_action=pano&amp;viewpoint="&amp;SUBSTITUTE(X1978," ",""),"Abrir Street View"))</f>
        <v/>
      </c>
    </row>
    <row r="1979">
      <c r="H1979" s="6" t="n"/>
      <c r="I1979" s="6" t="n"/>
      <c r="M1979" s="7" t="n"/>
      <c r="N1979" s="7" t="n"/>
      <c r="O1979" s="7" t="n"/>
      <c r="P1979" s="8">
        <f>IF(NOT(ISNUMBER(M1979)),"",IF(G1979="Terreno",IF(AND(ISNUMBER(I1979),I1979&gt;0),M1979/I1979,""),IF(AND(ISNUMBER(H1979),H1979&gt;0),M1979/H1979,"")))</f>
        <v/>
      </c>
      <c r="Q1979" s="9">
        <f>IF(AND(ISNUMBER(M1979),ISNUMBER(O1979)),IF(M1979&lt;=O1979,"Valor ≤ venal IPTU",""),"")</f>
        <v/>
      </c>
      <c r="R1979" s="10" t="n"/>
      <c r="S1979" s="10" t="n"/>
      <c r="AA1979" s="10" t="n"/>
      <c r="AB1979" s="11">
        <f>IF(LEN(TRIM(X1979))=0,"",HYPERLINK("https://www.google.com/maps/@?api=1&amp;map_action=pano&amp;viewpoint="&amp;SUBSTITUTE(X1979," ",""),"Abrir Street View"))</f>
        <v/>
      </c>
    </row>
    <row r="1980">
      <c r="H1980" s="6" t="n"/>
      <c r="I1980" s="6" t="n"/>
      <c r="M1980" s="7" t="n"/>
      <c r="N1980" s="7" t="n"/>
      <c r="O1980" s="7" t="n"/>
      <c r="P1980" s="8">
        <f>IF(NOT(ISNUMBER(M1980)),"",IF(G1980="Terreno",IF(AND(ISNUMBER(I1980),I1980&gt;0),M1980/I1980,""),IF(AND(ISNUMBER(H1980),H1980&gt;0),M1980/H1980,"")))</f>
        <v/>
      </c>
      <c r="Q1980" s="9">
        <f>IF(AND(ISNUMBER(M1980),ISNUMBER(O1980)),IF(M1980&lt;=O1980,"Valor ≤ venal IPTU",""),"")</f>
        <v/>
      </c>
      <c r="R1980" s="10" t="n"/>
      <c r="S1980" s="10" t="n"/>
      <c r="AA1980" s="10" t="n"/>
      <c r="AB1980" s="11">
        <f>IF(LEN(TRIM(X1980))=0,"",HYPERLINK("https://www.google.com/maps/@?api=1&amp;map_action=pano&amp;viewpoint="&amp;SUBSTITUTE(X1980," ",""),"Abrir Street View"))</f>
        <v/>
      </c>
    </row>
    <row r="1981">
      <c r="H1981" s="6" t="n"/>
      <c r="I1981" s="6" t="n"/>
      <c r="M1981" s="7" t="n"/>
      <c r="N1981" s="7" t="n"/>
      <c r="O1981" s="7" t="n"/>
      <c r="P1981" s="8">
        <f>IF(NOT(ISNUMBER(M1981)),"",IF(G1981="Terreno",IF(AND(ISNUMBER(I1981),I1981&gt;0),M1981/I1981,""),IF(AND(ISNUMBER(H1981),H1981&gt;0),M1981/H1981,"")))</f>
        <v/>
      </c>
      <c r="Q1981" s="9">
        <f>IF(AND(ISNUMBER(M1981),ISNUMBER(O1981)),IF(M1981&lt;=O1981,"Valor ≤ venal IPTU",""),"")</f>
        <v/>
      </c>
      <c r="R1981" s="10" t="n"/>
      <c r="S1981" s="10" t="n"/>
      <c r="AA1981" s="10" t="n"/>
      <c r="AB1981" s="11">
        <f>IF(LEN(TRIM(X1981))=0,"",HYPERLINK("https://www.google.com/maps/@?api=1&amp;map_action=pano&amp;viewpoint="&amp;SUBSTITUTE(X1981," ",""),"Abrir Street View"))</f>
        <v/>
      </c>
    </row>
    <row r="1982">
      <c r="H1982" s="6" t="n"/>
      <c r="I1982" s="6" t="n"/>
      <c r="M1982" s="7" t="n"/>
      <c r="N1982" s="7" t="n"/>
      <c r="O1982" s="7" t="n"/>
      <c r="P1982" s="8">
        <f>IF(NOT(ISNUMBER(M1982)),"",IF(G1982="Terreno",IF(AND(ISNUMBER(I1982),I1982&gt;0),M1982/I1982,""),IF(AND(ISNUMBER(H1982),H1982&gt;0),M1982/H1982,"")))</f>
        <v/>
      </c>
      <c r="Q1982" s="9">
        <f>IF(AND(ISNUMBER(M1982),ISNUMBER(O1982)),IF(M1982&lt;=O1982,"Valor ≤ venal IPTU",""),"")</f>
        <v/>
      </c>
      <c r="R1982" s="10" t="n"/>
      <c r="S1982" s="10" t="n"/>
      <c r="AA1982" s="10" t="n"/>
      <c r="AB1982" s="11">
        <f>IF(LEN(TRIM(X1982))=0,"",HYPERLINK("https://www.google.com/maps/@?api=1&amp;map_action=pano&amp;viewpoint="&amp;SUBSTITUTE(X1982," ",""),"Abrir Street View"))</f>
        <v/>
      </c>
    </row>
    <row r="1983">
      <c r="H1983" s="6" t="n"/>
      <c r="I1983" s="6" t="n"/>
      <c r="M1983" s="7" t="n"/>
      <c r="N1983" s="7" t="n"/>
      <c r="O1983" s="7" t="n"/>
      <c r="P1983" s="8">
        <f>IF(NOT(ISNUMBER(M1983)),"",IF(G1983="Terreno",IF(AND(ISNUMBER(I1983),I1983&gt;0),M1983/I1983,""),IF(AND(ISNUMBER(H1983),H1983&gt;0),M1983/H1983,"")))</f>
        <v/>
      </c>
      <c r="Q1983" s="9">
        <f>IF(AND(ISNUMBER(M1983),ISNUMBER(O1983)),IF(M1983&lt;=O1983,"Valor ≤ venal IPTU",""),"")</f>
        <v/>
      </c>
      <c r="R1983" s="10" t="n"/>
      <c r="S1983" s="10" t="n"/>
      <c r="AA1983" s="10" t="n"/>
      <c r="AB1983" s="11">
        <f>IF(LEN(TRIM(X1983))=0,"",HYPERLINK("https://www.google.com/maps/@?api=1&amp;map_action=pano&amp;viewpoint="&amp;SUBSTITUTE(X1983," ",""),"Abrir Street View"))</f>
        <v/>
      </c>
    </row>
    <row r="1984">
      <c r="H1984" s="6" t="n"/>
      <c r="I1984" s="6" t="n"/>
      <c r="M1984" s="7" t="n"/>
      <c r="N1984" s="7" t="n"/>
      <c r="O1984" s="7" t="n"/>
      <c r="P1984" s="8">
        <f>IF(NOT(ISNUMBER(M1984)),"",IF(G1984="Terreno",IF(AND(ISNUMBER(I1984),I1984&gt;0),M1984/I1984,""),IF(AND(ISNUMBER(H1984),H1984&gt;0),M1984/H1984,"")))</f>
        <v/>
      </c>
      <c r="Q1984" s="9">
        <f>IF(AND(ISNUMBER(M1984),ISNUMBER(O1984)),IF(M1984&lt;=O1984,"Valor ≤ venal IPTU",""),"")</f>
        <v/>
      </c>
      <c r="R1984" s="10" t="n"/>
      <c r="S1984" s="10" t="n"/>
      <c r="AA1984" s="10" t="n"/>
      <c r="AB1984" s="11">
        <f>IF(LEN(TRIM(X1984))=0,"",HYPERLINK("https://www.google.com/maps/@?api=1&amp;map_action=pano&amp;viewpoint="&amp;SUBSTITUTE(X1984," ",""),"Abrir Street View"))</f>
        <v/>
      </c>
    </row>
    <row r="1985">
      <c r="H1985" s="6" t="n"/>
      <c r="I1985" s="6" t="n"/>
      <c r="M1985" s="7" t="n"/>
      <c r="N1985" s="7" t="n"/>
      <c r="O1985" s="7" t="n"/>
      <c r="P1985" s="8">
        <f>IF(NOT(ISNUMBER(M1985)),"",IF(G1985="Terreno",IF(AND(ISNUMBER(I1985),I1985&gt;0),M1985/I1985,""),IF(AND(ISNUMBER(H1985),H1985&gt;0),M1985/H1985,"")))</f>
        <v/>
      </c>
      <c r="Q1985" s="9">
        <f>IF(AND(ISNUMBER(M1985),ISNUMBER(O1985)),IF(M1985&lt;=O1985,"Valor ≤ venal IPTU",""),"")</f>
        <v/>
      </c>
      <c r="R1985" s="10" t="n"/>
      <c r="S1985" s="10" t="n"/>
      <c r="AA1985" s="10" t="n"/>
      <c r="AB1985" s="11">
        <f>IF(LEN(TRIM(X1985))=0,"",HYPERLINK("https://www.google.com/maps/@?api=1&amp;map_action=pano&amp;viewpoint="&amp;SUBSTITUTE(X1985," ",""),"Abrir Street View"))</f>
        <v/>
      </c>
    </row>
    <row r="1986">
      <c r="H1986" s="6" t="n"/>
      <c r="I1986" s="6" t="n"/>
      <c r="M1986" s="7" t="n"/>
      <c r="N1986" s="7" t="n"/>
      <c r="O1986" s="7" t="n"/>
      <c r="P1986" s="8">
        <f>IF(NOT(ISNUMBER(M1986)),"",IF(G1986="Terreno",IF(AND(ISNUMBER(I1986),I1986&gt;0),M1986/I1986,""),IF(AND(ISNUMBER(H1986),H1986&gt;0),M1986/H1986,"")))</f>
        <v/>
      </c>
      <c r="Q1986" s="9">
        <f>IF(AND(ISNUMBER(M1986),ISNUMBER(O1986)),IF(M1986&lt;=O1986,"Valor ≤ venal IPTU",""),"")</f>
        <v/>
      </c>
      <c r="R1986" s="10" t="n"/>
      <c r="S1986" s="10" t="n"/>
      <c r="AA1986" s="10" t="n"/>
      <c r="AB1986" s="11">
        <f>IF(LEN(TRIM(X1986))=0,"",HYPERLINK("https://www.google.com/maps/@?api=1&amp;map_action=pano&amp;viewpoint="&amp;SUBSTITUTE(X1986," ",""),"Abrir Street View"))</f>
        <v/>
      </c>
    </row>
    <row r="1987">
      <c r="H1987" s="6" t="n"/>
      <c r="I1987" s="6" t="n"/>
      <c r="M1987" s="7" t="n"/>
      <c r="N1987" s="7" t="n"/>
      <c r="O1987" s="7" t="n"/>
      <c r="P1987" s="8">
        <f>IF(NOT(ISNUMBER(M1987)),"",IF(G1987="Terreno",IF(AND(ISNUMBER(I1987),I1987&gt;0),M1987/I1987,""),IF(AND(ISNUMBER(H1987),H1987&gt;0),M1987/H1987,"")))</f>
        <v/>
      </c>
      <c r="Q1987" s="9">
        <f>IF(AND(ISNUMBER(M1987),ISNUMBER(O1987)),IF(M1987&lt;=O1987,"Valor ≤ venal IPTU",""),"")</f>
        <v/>
      </c>
      <c r="R1987" s="10" t="n"/>
      <c r="S1987" s="10" t="n"/>
      <c r="AA1987" s="10" t="n"/>
      <c r="AB1987" s="11">
        <f>IF(LEN(TRIM(X1987))=0,"",HYPERLINK("https://www.google.com/maps/@?api=1&amp;map_action=pano&amp;viewpoint="&amp;SUBSTITUTE(X1987," ",""),"Abrir Street View"))</f>
        <v/>
      </c>
    </row>
    <row r="1988">
      <c r="H1988" s="6" t="n"/>
      <c r="I1988" s="6" t="n"/>
      <c r="M1988" s="7" t="n"/>
      <c r="N1988" s="7" t="n"/>
      <c r="O1988" s="7" t="n"/>
      <c r="P1988" s="8">
        <f>IF(NOT(ISNUMBER(M1988)),"",IF(G1988="Terreno",IF(AND(ISNUMBER(I1988),I1988&gt;0),M1988/I1988,""),IF(AND(ISNUMBER(H1988),H1988&gt;0),M1988/H1988,"")))</f>
        <v/>
      </c>
      <c r="Q1988" s="9">
        <f>IF(AND(ISNUMBER(M1988),ISNUMBER(O1988)),IF(M1988&lt;=O1988,"Valor ≤ venal IPTU",""),"")</f>
        <v/>
      </c>
      <c r="R1988" s="10" t="n"/>
      <c r="S1988" s="10" t="n"/>
      <c r="AA1988" s="10" t="n"/>
      <c r="AB1988" s="11">
        <f>IF(LEN(TRIM(X1988))=0,"",HYPERLINK("https://www.google.com/maps/@?api=1&amp;map_action=pano&amp;viewpoint="&amp;SUBSTITUTE(X1988," ",""),"Abrir Street View"))</f>
        <v/>
      </c>
    </row>
    <row r="1989">
      <c r="H1989" s="6" t="n"/>
      <c r="I1989" s="6" t="n"/>
      <c r="M1989" s="7" t="n"/>
      <c r="N1989" s="7" t="n"/>
      <c r="O1989" s="7" t="n"/>
      <c r="P1989" s="8">
        <f>IF(NOT(ISNUMBER(M1989)),"",IF(G1989="Terreno",IF(AND(ISNUMBER(I1989),I1989&gt;0),M1989/I1989,""),IF(AND(ISNUMBER(H1989),H1989&gt;0),M1989/H1989,"")))</f>
        <v/>
      </c>
      <c r="Q1989" s="9">
        <f>IF(AND(ISNUMBER(M1989),ISNUMBER(O1989)),IF(M1989&lt;=O1989,"Valor ≤ venal IPTU",""),"")</f>
        <v/>
      </c>
      <c r="R1989" s="10" t="n"/>
      <c r="S1989" s="10" t="n"/>
      <c r="AA1989" s="10" t="n"/>
      <c r="AB1989" s="11">
        <f>IF(LEN(TRIM(X1989))=0,"",HYPERLINK("https://www.google.com/maps/@?api=1&amp;map_action=pano&amp;viewpoint="&amp;SUBSTITUTE(X1989," ",""),"Abrir Street View"))</f>
        <v/>
      </c>
    </row>
    <row r="1990">
      <c r="H1990" s="6" t="n"/>
      <c r="I1990" s="6" t="n"/>
      <c r="M1990" s="7" t="n"/>
      <c r="N1990" s="7" t="n"/>
      <c r="O1990" s="7" t="n"/>
      <c r="P1990" s="8">
        <f>IF(NOT(ISNUMBER(M1990)),"",IF(G1990="Terreno",IF(AND(ISNUMBER(I1990),I1990&gt;0),M1990/I1990,""),IF(AND(ISNUMBER(H1990),H1990&gt;0),M1990/H1990,"")))</f>
        <v/>
      </c>
      <c r="Q1990" s="9">
        <f>IF(AND(ISNUMBER(M1990),ISNUMBER(O1990)),IF(M1990&lt;=O1990,"Valor ≤ venal IPTU",""),"")</f>
        <v/>
      </c>
      <c r="R1990" s="10" t="n"/>
      <c r="S1990" s="10" t="n"/>
      <c r="AA1990" s="10" t="n"/>
      <c r="AB1990" s="11">
        <f>IF(LEN(TRIM(X1990))=0,"",HYPERLINK("https://www.google.com/maps/@?api=1&amp;map_action=pano&amp;viewpoint="&amp;SUBSTITUTE(X1990," ",""),"Abrir Street View"))</f>
        <v/>
      </c>
    </row>
    <row r="1991">
      <c r="H1991" s="6" t="n"/>
      <c r="I1991" s="6" t="n"/>
      <c r="M1991" s="7" t="n"/>
      <c r="N1991" s="7" t="n"/>
      <c r="O1991" s="7" t="n"/>
      <c r="P1991" s="8">
        <f>IF(NOT(ISNUMBER(M1991)),"",IF(G1991="Terreno",IF(AND(ISNUMBER(I1991),I1991&gt;0),M1991/I1991,""),IF(AND(ISNUMBER(H1991),H1991&gt;0),M1991/H1991,"")))</f>
        <v/>
      </c>
      <c r="Q1991" s="9">
        <f>IF(AND(ISNUMBER(M1991),ISNUMBER(O1991)),IF(M1991&lt;=O1991,"Valor ≤ venal IPTU",""),"")</f>
        <v/>
      </c>
      <c r="R1991" s="10" t="n"/>
      <c r="S1991" s="10" t="n"/>
      <c r="AA1991" s="10" t="n"/>
      <c r="AB1991" s="11">
        <f>IF(LEN(TRIM(X1991))=0,"",HYPERLINK("https://www.google.com/maps/@?api=1&amp;map_action=pano&amp;viewpoint="&amp;SUBSTITUTE(X1991," ",""),"Abrir Street View"))</f>
        <v/>
      </c>
    </row>
    <row r="1992">
      <c r="H1992" s="6" t="n"/>
      <c r="I1992" s="6" t="n"/>
      <c r="M1992" s="7" t="n"/>
      <c r="N1992" s="7" t="n"/>
      <c r="O1992" s="7" t="n"/>
      <c r="P1992" s="8">
        <f>IF(NOT(ISNUMBER(M1992)),"",IF(G1992="Terreno",IF(AND(ISNUMBER(I1992),I1992&gt;0),M1992/I1992,""),IF(AND(ISNUMBER(H1992),H1992&gt;0),M1992/H1992,"")))</f>
        <v/>
      </c>
      <c r="Q1992" s="9">
        <f>IF(AND(ISNUMBER(M1992),ISNUMBER(O1992)),IF(M1992&lt;=O1992,"Valor ≤ venal IPTU",""),"")</f>
        <v/>
      </c>
      <c r="R1992" s="10" t="n"/>
      <c r="S1992" s="10" t="n"/>
      <c r="AA1992" s="10" t="n"/>
      <c r="AB1992" s="11">
        <f>IF(LEN(TRIM(X1992))=0,"",HYPERLINK("https://www.google.com/maps/@?api=1&amp;map_action=pano&amp;viewpoint="&amp;SUBSTITUTE(X1992," ",""),"Abrir Street View"))</f>
        <v/>
      </c>
    </row>
    <row r="1993">
      <c r="H1993" s="6" t="n"/>
      <c r="I1993" s="6" t="n"/>
      <c r="M1993" s="7" t="n"/>
      <c r="N1993" s="7" t="n"/>
      <c r="O1993" s="7" t="n"/>
      <c r="P1993" s="8">
        <f>IF(NOT(ISNUMBER(M1993)),"",IF(G1993="Terreno",IF(AND(ISNUMBER(I1993),I1993&gt;0),M1993/I1993,""),IF(AND(ISNUMBER(H1993),H1993&gt;0),M1993/H1993,"")))</f>
        <v/>
      </c>
      <c r="Q1993" s="9">
        <f>IF(AND(ISNUMBER(M1993),ISNUMBER(O1993)),IF(M1993&lt;=O1993,"Valor ≤ venal IPTU",""),"")</f>
        <v/>
      </c>
      <c r="R1993" s="10" t="n"/>
      <c r="S1993" s="10" t="n"/>
      <c r="AA1993" s="10" t="n"/>
      <c r="AB1993" s="11">
        <f>IF(LEN(TRIM(X1993))=0,"",HYPERLINK("https://www.google.com/maps/@?api=1&amp;map_action=pano&amp;viewpoint="&amp;SUBSTITUTE(X1993," ",""),"Abrir Street View"))</f>
        <v/>
      </c>
    </row>
    <row r="1994">
      <c r="H1994" s="6" t="n"/>
      <c r="I1994" s="6" t="n"/>
      <c r="M1994" s="7" t="n"/>
      <c r="N1994" s="7" t="n"/>
      <c r="O1994" s="7" t="n"/>
      <c r="P1994" s="8">
        <f>IF(NOT(ISNUMBER(M1994)),"",IF(G1994="Terreno",IF(AND(ISNUMBER(I1994),I1994&gt;0),M1994/I1994,""),IF(AND(ISNUMBER(H1994),H1994&gt;0),M1994/H1994,"")))</f>
        <v/>
      </c>
      <c r="Q1994" s="9">
        <f>IF(AND(ISNUMBER(M1994),ISNUMBER(O1994)),IF(M1994&lt;=O1994,"Valor ≤ venal IPTU",""),"")</f>
        <v/>
      </c>
      <c r="R1994" s="10" t="n"/>
      <c r="S1994" s="10" t="n"/>
      <c r="AA1994" s="10" t="n"/>
      <c r="AB1994" s="11">
        <f>IF(LEN(TRIM(X1994))=0,"",HYPERLINK("https://www.google.com/maps/@?api=1&amp;map_action=pano&amp;viewpoint="&amp;SUBSTITUTE(X1994," ",""),"Abrir Street View"))</f>
        <v/>
      </c>
    </row>
    <row r="1995">
      <c r="H1995" s="6" t="n"/>
      <c r="I1995" s="6" t="n"/>
      <c r="M1995" s="7" t="n"/>
      <c r="N1995" s="7" t="n"/>
      <c r="O1995" s="7" t="n"/>
      <c r="P1995" s="8">
        <f>IF(NOT(ISNUMBER(M1995)),"",IF(G1995="Terreno",IF(AND(ISNUMBER(I1995),I1995&gt;0),M1995/I1995,""),IF(AND(ISNUMBER(H1995),H1995&gt;0),M1995/H1995,"")))</f>
        <v/>
      </c>
      <c r="Q1995" s="9">
        <f>IF(AND(ISNUMBER(M1995),ISNUMBER(O1995)),IF(M1995&lt;=O1995,"Valor ≤ venal IPTU",""),"")</f>
        <v/>
      </c>
      <c r="R1995" s="10" t="n"/>
      <c r="S1995" s="10" t="n"/>
      <c r="AA1995" s="10" t="n"/>
      <c r="AB1995" s="11">
        <f>IF(LEN(TRIM(X1995))=0,"",HYPERLINK("https://www.google.com/maps/@?api=1&amp;map_action=pano&amp;viewpoint="&amp;SUBSTITUTE(X1995," ",""),"Abrir Street View"))</f>
        <v/>
      </c>
    </row>
    <row r="1996">
      <c r="H1996" s="6" t="n"/>
      <c r="I1996" s="6" t="n"/>
      <c r="M1996" s="7" t="n"/>
      <c r="N1996" s="7" t="n"/>
      <c r="O1996" s="7" t="n"/>
      <c r="P1996" s="8">
        <f>IF(NOT(ISNUMBER(M1996)),"",IF(G1996="Terreno",IF(AND(ISNUMBER(I1996),I1996&gt;0),M1996/I1996,""),IF(AND(ISNUMBER(H1996),H1996&gt;0),M1996/H1996,"")))</f>
        <v/>
      </c>
      <c r="Q1996" s="9">
        <f>IF(AND(ISNUMBER(M1996),ISNUMBER(O1996)),IF(M1996&lt;=O1996,"Valor ≤ venal IPTU",""),"")</f>
        <v/>
      </c>
      <c r="R1996" s="10" t="n"/>
      <c r="S1996" s="10" t="n"/>
      <c r="AA1996" s="10" t="n"/>
      <c r="AB1996" s="11">
        <f>IF(LEN(TRIM(X1996))=0,"",HYPERLINK("https://www.google.com/maps/@?api=1&amp;map_action=pano&amp;viewpoint="&amp;SUBSTITUTE(X1996," ",""),"Abrir Street View"))</f>
        <v/>
      </c>
    </row>
    <row r="1997">
      <c r="H1997" s="6" t="n"/>
      <c r="I1997" s="6" t="n"/>
      <c r="M1997" s="7" t="n"/>
      <c r="N1997" s="7" t="n"/>
      <c r="O1997" s="7" t="n"/>
      <c r="P1997" s="8">
        <f>IF(NOT(ISNUMBER(M1997)),"",IF(G1997="Terreno",IF(AND(ISNUMBER(I1997),I1997&gt;0),M1997/I1997,""),IF(AND(ISNUMBER(H1997),H1997&gt;0),M1997/H1997,"")))</f>
        <v/>
      </c>
      <c r="Q1997" s="9">
        <f>IF(AND(ISNUMBER(M1997),ISNUMBER(O1997)),IF(M1997&lt;=O1997,"Valor ≤ venal IPTU",""),"")</f>
        <v/>
      </c>
      <c r="R1997" s="10" t="n"/>
      <c r="S1997" s="10" t="n"/>
      <c r="AA1997" s="10" t="n"/>
      <c r="AB1997" s="11">
        <f>IF(LEN(TRIM(X1997))=0,"",HYPERLINK("https://www.google.com/maps/@?api=1&amp;map_action=pano&amp;viewpoint="&amp;SUBSTITUTE(X1997," ",""),"Abrir Street View"))</f>
        <v/>
      </c>
    </row>
    <row r="1998">
      <c r="H1998" s="6" t="n"/>
      <c r="I1998" s="6" t="n"/>
      <c r="M1998" s="7" t="n"/>
      <c r="N1998" s="7" t="n"/>
      <c r="O1998" s="7" t="n"/>
      <c r="P1998" s="8">
        <f>IF(NOT(ISNUMBER(M1998)),"",IF(G1998="Terreno",IF(AND(ISNUMBER(I1998),I1998&gt;0),M1998/I1998,""),IF(AND(ISNUMBER(H1998),H1998&gt;0),M1998/H1998,"")))</f>
        <v/>
      </c>
      <c r="Q1998" s="9">
        <f>IF(AND(ISNUMBER(M1998),ISNUMBER(O1998)),IF(M1998&lt;=O1998,"Valor ≤ venal IPTU",""),"")</f>
        <v/>
      </c>
      <c r="R1998" s="10" t="n"/>
      <c r="S1998" s="10" t="n"/>
      <c r="AA1998" s="10" t="n"/>
      <c r="AB1998" s="11">
        <f>IF(LEN(TRIM(X1998))=0,"",HYPERLINK("https://www.google.com/maps/@?api=1&amp;map_action=pano&amp;viewpoint="&amp;SUBSTITUTE(X1998," ",""),"Abrir Street View"))</f>
        <v/>
      </c>
    </row>
    <row r="1999">
      <c r="H1999" s="6" t="n"/>
      <c r="I1999" s="6" t="n"/>
      <c r="M1999" s="7" t="n"/>
      <c r="N1999" s="7" t="n"/>
      <c r="O1999" s="7" t="n"/>
      <c r="P1999" s="8">
        <f>IF(NOT(ISNUMBER(M1999)),"",IF(G1999="Terreno",IF(AND(ISNUMBER(I1999),I1999&gt;0),M1999/I1999,""),IF(AND(ISNUMBER(H1999),H1999&gt;0),M1999/H1999,"")))</f>
        <v/>
      </c>
      <c r="Q1999" s="9">
        <f>IF(AND(ISNUMBER(M1999),ISNUMBER(O1999)),IF(M1999&lt;=O1999,"Valor ≤ venal IPTU",""),"")</f>
        <v/>
      </c>
      <c r="R1999" s="10" t="n"/>
      <c r="S1999" s="10" t="n"/>
      <c r="AA1999" s="10" t="n"/>
      <c r="AB1999" s="11">
        <f>IF(LEN(TRIM(X1999))=0,"",HYPERLINK("https://www.google.com/maps/@?api=1&amp;map_action=pano&amp;viewpoint="&amp;SUBSTITUTE(X1999," ",""),"Abrir Street View"))</f>
        <v/>
      </c>
    </row>
    <row r="2000">
      <c r="H2000" s="6" t="n"/>
      <c r="I2000" s="6" t="n"/>
      <c r="M2000" s="7" t="n"/>
      <c r="N2000" s="7" t="n"/>
      <c r="O2000" s="7" t="n"/>
      <c r="P2000" s="8">
        <f>IF(NOT(ISNUMBER(M2000)),"",IF(G2000="Terreno",IF(AND(ISNUMBER(I2000),I2000&gt;0),M2000/I2000,""),IF(AND(ISNUMBER(H2000),H2000&gt;0),M2000/H2000,"")))</f>
        <v/>
      </c>
      <c r="Q2000" s="9">
        <f>IF(AND(ISNUMBER(M2000),ISNUMBER(O2000)),IF(M2000&lt;=O2000,"Valor ≤ venal IPTU",""),"")</f>
        <v/>
      </c>
      <c r="R2000" s="10" t="n"/>
      <c r="S2000" s="10" t="n"/>
      <c r="AA2000" s="10" t="n"/>
      <c r="AB2000" s="11">
        <f>IF(LEN(TRIM(X2000))=0,"",HYPERLINK("https://www.google.com/maps/@?api=1&amp;map_action=pano&amp;viewpoint="&amp;SUBSTITUTE(X2000," ",""),"Abrir Street View"))</f>
        <v/>
      </c>
    </row>
    <row r="2001">
      <c r="H2001" s="6" t="n"/>
      <c r="I2001" s="6" t="n"/>
      <c r="M2001" s="7" t="n"/>
      <c r="N2001" s="7" t="n"/>
      <c r="O2001" s="7" t="n"/>
      <c r="P2001" s="8">
        <f>IF(NOT(ISNUMBER(M2001)),"",IF(G2001="Terreno",IF(AND(ISNUMBER(I2001),I2001&gt;0),M2001/I2001,""),IF(AND(ISNUMBER(H2001),H2001&gt;0),M2001/H2001,"")))</f>
        <v/>
      </c>
      <c r="Q2001" s="9">
        <f>IF(AND(ISNUMBER(M2001),ISNUMBER(O2001)),IF(M2001&lt;=O2001,"Valor ≤ venal IPTU",""),"")</f>
        <v/>
      </c>
      <c r="R2001" s="10" t="n"/>
      <c r="S2001" s="10" t="n"/>
      <c r="AA2001" s="10" t="n"/>
      <c r="AB2001" s="11">
        <f>IF(LEN(TRIM(X2001))=0,"",HYPERLINK("https://www.google.com/maps/@?api=1&amp;map_action=pano&amp;viewpoint="&amp;SUBSTITUTE(X2001," ",""),"Abrir Street View"))</f>
        <v/>
      </c>
    </row>
    <row r="2002">
      <c r="H2002" s="6" t="n"/>
      <c r="I2002" s="6" t="n"/>
      <c r="M2002" s="7" t="n"/>
      <c r="N2002" s="7" t="n"/>
      <c r="O2002" s="7" t="n"/>
      <c r="P2002" s="8">
        <f>IF(NOT(ISNUMBER(M2002)),"",IF(G2002="Terreno",IF(AND(ISNUMBER(I2002),I2002&gt;0),M2002/I2002,""),IF(AND(ISNUMBER(H2002),H2002&gt;0),M2002/H2002,"")))</f>
        <v/>
      </c>
      <c r="Q2002" s="9">
        <f>IF(AND(ISNUMBER(M2002),ISNUMBER(O2002)),IF(M2002&lt;=O2002,"Valor ≤ venal IPTU",""),"")</f>
        <v/>
      </c>
      <c r="R2002" s="10" t="n"/>
      <c r="S2002" s="10" t="n"/>
      <c r="AA2002" s="10" t="n"/>
      <c r="AB2002" s="11">
        <f>IF(LEN(TRIM(X2002))=0,"",HYPERLINK("https://www.google.com/maps/@?api=1&amp;map_action=pano&amp;viewpoint="&amp;SUBSTITUTE(X2002," ",""),"Abrir Street View"))</f>
        <v/>
      </c>
    </row>
    <row r="2003">
      <c r="H2003" s="6" t="n"/>
      <c r="I2003" s="6" t="n"/>
      <c r="M2003" s="7" t="n"/>
      <c r="N2003" s="7" t="n"/>
      <c r="O2003" s="7" t="n"/>
      <c r="P2003" s="8">
        <f>IF(NOT(ISNUMBER(M2003)),"",IF(G2003="Terreno",IF(AND(ISNUMBER(I2003),I2003&gt;0),M2003/I2003,""),IF(AND(ISNUMBER(H2003),H2003&gt;0),M2003/H2003,"")))</f>
        <v/>
      </c>
      <c r="Q2003" s="9">
        <f>IF(AND(ISNUMBER(M2003),ISNUMBER(O2003)),IF(M2003&lt;=O2003,"Valor ≤ venal IPTU",""),"")</f>
        <v/>
      </c>
      <c r="R2003" s="10" t="n"/>
      <c r="S2003" s="10" t="n"/>
      <c r="AA2003" s="10" t="n"/>
      <c r="AB2003" s="11">
        <f>IF(LEN(TRIM(X2003))=0,"",HYPERLINK("https://www.google.com/maps/@?api=1&amp;map_action=pano&amp;viewpoint="&amp;SUBSTITUTE(X2003," ",""),"Abrir Street View"))</f>
        <v/>
      </c>
    </row>
    <row r="2004">
      <c r="H2004" s="6" t="n"/>
      <c r="I2004" s="6" t="n"/>
      <c r="M2004" s="7" t="n"/>
      <c r="N2004" s="7" t="n"/>
      <c r="O2004" s="7" t="n"/>
      <c r="P2004" s="8">
        <f>IF(NOT(ISNUMBER(M2004)),"",IF(G2004="Terreno",IF(AND(ISNUMBER(I2004),I2004&gt;0),M2004/I2004,""),IF(AND(ISNUMBER(H2004),H2004&gt;0),M2004/H2004,"")))</f>
        <v/>
      </c>
      <c r="Q2004" s="9">
        <f>IF(AND(ISNUMBER(M2004),ISNUMBER(O2004)),IF(M2004&lt;=O2004,"Valor ≤ venal IPTU",""),"")</f>
        <v/>
      </c>
      <c r="R2004" s="10" t="n"/>
      <c r="S2004" s="10" t="n"/>
      <c r="AA2004" s="10" t="n"/>
      <c r="AB2004" s="11">
        <f>IF(LEN(TRIM(X2004))=0,"",HYPERLINK("https://www.google.com/maps/@?api=1&amp;map_action=pano&amp;viewpoint="&amp;SUBSTITUTE(X2004," ",""),"Abrir Street View"))</f>
        <v/>
      </c>
    </row>
    <row r="2005">
      <c r="H2005" s="6" t="n"/>
      <c r="I2005" s="6" t="n"/>
      <c r="M2005" s="7" t="n"/>
      <c r="N2005" s="7" t="n"/>
      <c r="O2005" s="7" t="n"/>
      <c r="P2005" s="8">
        <f>IF(NOT(ISNUMBER(M2005)),"",IF(G2005="Terreno",IF(AND(ISNUMBER(I2005),I2005&gt;0),M2005/I2005,""),IF(AND(ISNUMBER(H2005),H2005&gt;0),M2005/H2005,"")))</f>
        <v/>
      </c>
      <c r="Q2005" s="9">
        <f>IF(AND(ISNUMBER(M2005),ISNUMBER(O2005)),IF(M2005&lt;=O2005,"Valor ≤ venal IPTU",""),"")</f>
        <v/>
      </c>
      <c r="R2005" s="10" t="n"/>
      <c r="S2005" s="10" t="n"/>
      <c r="AA2005" s="10" t="n"/>
      <c r="AB2005" s="11">
        <f>IF(LEN(TRIM(X2005))=0,"",HYPERLINK("https://www.google.com/maps/@?api=1&amp;map_action=pano&amp;viewpoint="&amp;SUBSTITUTE(X2005," ",""),"Abrir Street View"))</f>
        <v/>
      </c>
    </row>
    <row r="2006">
      <c r="H2006" s="6" t="n"/>
      <c r="I2006" s="6" t="n"/>
      <c r="M2006" s="7" t="n"/>
      <c r="N2006" s="7" t="n"/>
      <c r="O2006" s="7" t="n"/>
      <c r="P2006" s="8">
        <f>IF(NOT(ISNUMBER(M2006)),"",IF(G2006="Terreno",IF(AND(ISNUMBER(I2006),I2006&gt;0),M2006/I2006,""),IF(AND(ISNUMBER(H2006),H2006&gt;0),M2006/H2006,"")))</f>
        <v/>
      </c>
      <c r="Q2006" s="9">
        <f>IF(AND(ISNUMBER(M2006),ISNUMBER(O2006)),IF(M2006&lt;=O2006,"Valor ≤ venal IPTU",""),"")</f>
        <v/>
      </c>
      <c r="R2006" s="10" t="n"/>
      <c r="S2006" s="10" t="n"/>
      <c r="AA2006" s="10" t="n"/>
      <c r="AB2006" s="11">
        <f>IF(LEN(TRIM(X2006))=0,"",HYPERLINK("https://www.google.com/maps/@?api=1&amp;map_action=pano&amp;viewpoint="&amp;SUBSTITUTE(X2006," ",""),"Abrir Street View"))</f>
        <v/>
      </c>
    </row>
    <row r="2007">
      <c r="H2007" s="6" t="n"/>
      <c r="I2007" s="6" t="n"/>
      <c r="M2007" s="7" t="n"/>
      <c r="N2007" s="7" t="n"/>
      <c r="O2007" s="7" t="n"/>
      <c r="P2007" s="8">
        <f>IF(NOT(ISNUMBER(M2007)),"",IF(G2007="Terreno",IF(AND(ISNUMBER(I2007),I2007&gt;0),M2007/I2007,""),IF(AND(ISNUMBER(H2007),H2007&gt;0),M2007/H2007,"")))</f>
        <v/>
      </c>
      <c r="Q2007" s="9">
        <f>IF(AND(ISNUMBER(M2007),ISNUMBER(O2007)),IF(M2007&lt;=O2007,"Valor ≤ venal IPTU",""),"")</f>
        <v/>
      </c>
      <c r="R2007" s="10" t="n"/>
      <c r="S2007" s="10" t="n"/>
      <c r="AA2007" s="10" t="n"/>
      <c r="AB2007" s="11">
        <f>IF(LEN(TRIM(X2007))=0,"",HYPERLINK("https://www.google.com/maps/@?api=1&amp;map_action=pano&amp;viewpoint="&amp;SUBSTITUTE(X2007," ",""),"Abrir Street View"))</f>
        <v/>
      </c>
    </row>
    <row r="2008">
      <c r="H2008" s="6" t="n"/>
      <c r="I2008" s="6" t="n"/>
      <c r="M2008" s="7" t="n"/>
      <c r="N2008" s="7" t="n"/>
      <c r="O2008" s="7" t="n"/>
      <c r="P2008" s="8">
        <f>IF(NOT(ISNUMBER(M2008)),"",IF(G2008="Terreno",IF(AND(ISNUMBER(I2008),I2008&gt;0),M2008/I2008,""),IF(AND(ISNUMBER(H2008),H2008&gt;0),M2008/H2008,"")))</f>
        <v/>
      </c>
      <c r="Q2008" s="9">
        <f>IF(AND(ISNUMBER(M2008),ISNUMBER(O2008)),IF(M2008&lt;=O2008,"Valor ≤ venal IPTU",""),"")</f>
        <v/>
      </c>
      <c r="R2008" s="10" t="n"/>
      <c r="S2008" s="10" t="n"/>
      <c r="AA2008" s="10" t="n"/>
      <c r="AB2008" s="11">
        <f>IF(LEN(TRIM(X2008))=0,"",HYPERLINK("https://www.google.com/maps/@?api=1&amp;map_action=pano&amp;viewpoint="&amp;SUBSTITUTE(X2008," ",""),"Abrir Street View"))</f>
        <v/>
      </c>
    </row>
    <row r="2009">
      <c r="H2009" s="6" t="n"/>
      <c r="I2009" s="6" t="n"/>
      <c r="M2009" s="7" t="n"/>
      <c r="N2009" s="7" t="n"/>
      <c r="O2009" s="7" t="n"/>
      <c r="P2009" s="8">
        <f>IF(NOT(ISNUMBER(M2009)),"",IF(G2009="Terreno",IF(AND(ISNUMBER(I2009),I2009&gt;0),M2009/I2009,""),IF(AND(ISNUMBER(H2009),H2009&gt;0),M2009/H2009,"")))</f>
        <v/>
      </c>
      <c r="Q2009" s="9">
        <f>IF(AND(ISNUMBER(M2009),ISNUMBER(O2009)),IF(M2009&lt;=O2009,"Valor ≤ venal IPTU",""),"")</f>
        <v/>
      </c>
      <c r="R2009" s="10" t="n"/>
      <c r="S2009" s="10" t="n"/>
      <c r="AA2009" s="10" t="n"/>
      <c r="AB2009" s="11">
        <f>IF(LEN(TRIM(X2009))=0,"",HYPERLINK("https://www.google.com/maps/@?api=1&amp;map_action=pano&amp;viewpoint="&amp;SUBSTITUTE(X2009," ",""),"Abrir Street View"))</f>
        <v/>
      </c>
    </row>
    <row r="2010">
      <c r="H2010" s="6" t="n"/>
      <c r="I2010" s="6" t="n"/>
      <c r="M2010" s="7" t="n"/>
      <c r="N2010" s="7" t="n"/>
      <c r="O2010" s="7" t="n"/>
      <c r="P2010" s="8">
        <f>IF(NOT(ISNUMBER(M2010)),"",IF(G2010="Terreno",IF(AND(ISNUMBER(I2010),I2010&gt;0),M2010/I2010,""),IF(AND(ISNUMBER(H2010),H2010&gt;0),M2010/H2010,"")))</f>
        <v/>
      </c>
      <c r="Q2010" s="9">
        <f>IF(AND(ISNUMBER(M2010),ISNUMBER(O2010)),IF(M2010&lt;=O2010,"Valor ≤ venal IPTU",""),"")</f>
        <v/>
      </c>
      <c r="R2010" s="10" t="n"/>
      <c r="S2010" s="10" t="n"/>
      <c r="AA2010" s="10" t="n"/>
      <c r="AB2010" s="11">
        <f>IF(LEN(TRIM(X2010))=0,"",HYPERLINK("https://www.google.com/maps/@?api=1&amp;map_action=pano&amp;viewpoint="&amp;SUBSTITUTE(X2010," ",""),"Abrir Street View"))</f>
        <v/>
      </c>
    </row>
    <row r="2011">
      <c r="H2011" s="6" t="n"/>
      <c r="I2011" s="6" t="n"/>
      <c r="M2011" s="7" t="n"/>
      <c r="N2011" s="7" t="n"/>
      <c r="O2011" s="7" t="n"/>
      <c r="P2011" s="8">
        <f>IF(NOT(ISNUMBER(M2011)),"",IF(G2011="Terreno",IF(AND(ISNUMBER(I2011),I2011&gt;0),M2011/I2011,""),IF(AND(ISNUMBER(H2011),H2011&gt;0),M2011/H2011,"")))</f>
        <v/>
      </c>
      <c r="Q2011" s="9">
        <f>IF(AND(ISNUMBER(M2011),ISNUMBER(O2011)),IF(M2011&lt;=O2011,"Valor ≤ venal IPTU",""),"")</f>
        <v/>
      </c>
      <c r="R2011" s="10" t="n"/>
      <c r="S2011" s="10" t="n"/>
      <c r="AA2011" s="10" t="n"/>
      <c r="AB2011" s="11">
        <f>IF(LEN(TRIM(X2011))=0,"",HYPERLINK("https://www.google.com/maps/@?api=1&amp;map_action=pano&amp;viewpoint="&amp;SUBSTITUTE(X2011," ",""),"Abrir Street View"))</f>
        <v/>
      </c>
    </row>
    <row r="2012">
      <c r="H2012" s="6" t="n"/>
      <c r="I2012" s="6" t="n"/>
      <c r="M2012" s="7" t="n"/>
      <c r="N2012" s="7" t="n"/>
      <c r="O2012" s="7" t="n"/>
      <c r="P2012" s="8">
        <f>IF(NOT(ISNUMBER(M2012)),"",IF(G2012="Terreno",IF(AND(ISNUMBER(I2012),I2012&gt;0),M2012/I2012,""),IF(AND(ISNUMBER(H2012),H2012&gt;0),M2012/H2012,"")))</f>
        <v/>
      </c>
      <c r="Q2012" s="9">
        <f>IF(AND(ISNUMBER(M2012),ISNUMBER(O2012)),IF(M2012&lt;=O2012,"Valor ≤ venal IPTU",""),"")</f>
        <v/>
      </c>
      <c r="R2012" s="10" t="n"/>
      <c r="S2012" s="10" t="n"/>
      <c r="AA2012" s="10" t="n"/>
      <c r="AB2012" s="11">
        <f>IF(LEN(TRIM(X2012))=0,"",HYPERLINK("https://www.google.com/maps/@?api=1&amp;map_action=pano&amp;viewpoint="&amp;SUBSTITUTE(X2012," ",""),"Abrir Street View"))</f>
        <v/>
      </c>
    </row>
    <row r="2013">
      <c r="H2013" s="6" t="n"/>
      <c r="I2013" s="6" t="n"/>
      <c r="M2013" s="7" t="n"/>
      <c r="N2013" s="7" t="n"/>
      <c r="O2013" s="7" t="n"/>
      <c r="P2013" s="8">
        <f>IF(NOT(ISNUMBER(M2013)),"",IF(G2013="Terreno",IF(AND(ISNUMBER(I2013),I2013&gt;0),M2013/I2013,""),IF(AND(ISNUMBER(H2013),H2013&gt;0),M2013/H2013,"")))</f>
        <v/>
      </c>
      <c r="Q2013" s="9">
        <f>IF(AND(ISNUMBER(M2013),ISNUMBER(O2013)),IF(M2013&lt;=O2013,"Valor ≤ venal IPTU",""),"")</f>
        <v/>
      </c>
      <c r="R2013" s="10" t="n"/>
      <c r="S2013" s="10" t="n"/>
      <c r="AA2013" s="10" t="n"/>
      <c r="AB2013" s="11">
        <f>IF(LEN(TRIM(X2013))=0,"",HYPERLINK("https://www.google.com/maps/@?api=1&amp;map_action=pano&amp;viewpoint="&amp;SUBSTITUTE(X2013," ",""),"Abrir Street View"))</f>
        <v/>
      </c>
    </row>
    <row r="2014">
      <c r="H2014" s="6" t="n"/>
      <c r="I2014" s="6" t="n"/>
      <c r="M2014" s="7" t="n"/>
      <c r="N2014" s="7" t="n"/>
      <c r="O2014" s="7" t="n"/>
      <c r="P2014" s="8">
        <f>IF(NOT(ISNUMBER(M2014)),"",IF(G2014="Terreno",IF(AND(ISNUMBER(I2014),I2014&gt;0),M2014/I2014,""),IF(AND(ISNUMBER(H2014),H2014&gt;0),M2014/H2014,"")))</f>
        <v/>
      </c>
      <c r="Q2014" s="9">
        <f>IF(AND(ISNUMBER(M2014),ISNUMBER(O2014)),IF(M2014&lt;=O2014,"Valor ≤ venal IPTU",""),"")</f>
        <v/>
      </c>
      <c r="R2014" s="10" t="n"/>
      <c r="S2014" s="10" t="n"/>
      <c r="AA2014" s="10" t="n"/>
      <c r="AB2014" s="11">
        <f>IF(LEN(TRIM(X2014))=0,"",HYPERLINK("https://www.google.com/maps/@?api=1&amp;map_action=pano&amp;viewpoint="&amp;SUBSTITUTE(X2014," ",""),"Abrir Street View"))</f>
        <v/>
      </c>
    </row>
    <row r="2015">
      <c r="H2015" s="6" t="n"/>
      <c r="I2015" s="6" t="n"/>
      <c r="M2015" s="7" t="n"/>
      <c r="N2015" s="7" t="n"/>
      <c r="O2015" s="7" t="n"/>
      <c r="P2015" s="8">
        <f>IF(NOT(ISNUMBER(M2015)),"",IF(G2015="Terreno",IF(AND(ISNUMBER(I2015),I2015&gt;0),M2015/I2015,""),IF(AND(ISNUMBER(H2015),H2015&gt;0),M2015/H2015,"")))</f>
        <v/>
      </c>
      <c r="Q2015" s="9">
        <f>IF(AND(ISNUMBER(M2015),ISNUMBER(O2015)),IF(M2015&lt;=O2015,"Valor ≤ venal IPTU",""),"")</f>
        <v/>
      </c>
      <c r="R2015" s="10" t="n"/>
      <c r="S2015" s="10" t="n"/>
      <c r="AA2015" s="10" t="n"/>
      <c r="AB2015" s="11">
        <f>IF(LEN(TRIM(X2015))=0,"",HYPERLINK("https://www.google.com/maps/@?api=1&amp;map_action=pano&amp;viewpoint="&amp;SUBSTITUTE(X2015," ",""),"Abrir Street View"))</f>
        <v/>
      </c>
    </row>
    <row r="2016">
      <c r="H2016" s="6" t="n"/>
      <c r="I2016" s="6" t="n"/>
      <c r="M2016" s="7" t="n"/>
      <c r="N2016" s="7" t="n"/>
      <c r="O2016" s="7" t="n"/>
      <c r="P2016" s="8">
        <f>IF(NOT(ISNUMBER(M2016)),"",IF(G2016="Terreno",IF(AND(ISNUMBER(I2016),I2016&gt;0),M2016/I2016,""),IF(AND(ISNUMBER(H2016),H2016&gt;0),M2016/H2016,"")))</f>
        <v/>
      </c>
      <c r="Q2016" s="9">
        <f>IF(AND(ISNUMBER(M2016),ISNUMBER(O2016)),IF(M2016&lt;=O2016,"Valor ≤ venal IPTU",""),"")</f>
        <v/>
      </c>
      <c r="R2016" s="10" t="n"/>
      <c r="S2016" s="10" t="n"/>
      <c r="AA2016" s="10" t="n"/>
      <c r="AB2016" s="11">
        <f>IF(LEN(TRIM(X2016))=0,"",HYPERLINK("https://www.google.com/maps/@?api=1&amp;map_action=pano&amp;viewpoint="&amp;SUBSTITUTE(X2016," ",""),"Abrir Street View"))</f>
        <v/>
      </c>
    </row>
    <row r="2017">
      <c r="H2017" s="6" t="n"/>
      <c r="I2017" s="6" t="n"/>
      <c r="M2017" s="7" t="n"/>
      <c r="N2017" s="7" t="n"/>
      <c r="O2017" s="7" t="n"/>
      <c r="P2017" s="8">
        <f>IF(NOT(ISNUMBER(M2017)),"",IF(G2017="Terreno",IF(AND(ISNUMBER(I2017),I2017&gt;0),M2017/I2017,""),IF(AND(ISNUMBER(H2017),H2017&gt;0),M2017/H2017,"")))</f>
        <v/>
      </c>
      <c r="Q2017" s="9">
        <f>IF(AND(ISNUMBER(M2017),ISNUMBER(O2017)),IF(M2017&lt;=O2017,"Valor ≤ venal IPTU",""),"")</f>
        <v/>
      </c>
      <c r="R2017" s="10" t="n"/>
      <c r="S2017" s="10" t="n"/>
      <c r="AA2017" s="10" t="n"/>
      <c r="AB2017" s="11">
        <f>IF(LEN(TRIM(X2017))=0,"",HYPERLINK("https://www.google.com/maps/@?api=1&amp;map_action=pano&amp;viewpoint="&amp;SUBSTITUTE(X2017," ",""),"Abrir Street View"))</f>
        <v/>
      </c>
    </row>
    <row r="2018">
      <c r="H2018" s="6" t="n"/>
      <c r="I2018" s="6" t="n"/>
      <c r="M2018" s="7" t="n"/>
      <c r="N2018" s="7" t="n"/>
      <c r="O2018" s="7" t="n"/>
      <c r="P2018" s="8">
        <f>IF(NOT(ISNUMBER(M2018)),"",IF(G2018="Terreno",IF(AND(ISNUMBER(I2018),I2018&gt;0),M2018/I2018,""),IF(AND(ISNUMBER(H2018),H2018&gt;0),M2018/H2018,"")))</f>
        <v/>
      </c>
      <c r="Q2018" s="9">
        <f>IF(AND(ISNUMBER(M2018),ISNUMBER(O2018)),IF(M2018&lt;=O2018,"Valor ≤ venal IPTU",""),"")</f>
        <v/>
      </c>
      <c r="R2018" s="10" t="n"/>
      <c r="S2018" s="10" t="n"/>
      <c r="AA2018" s="10" t="n"/>
      <c r="AB2018" s="11">
        <f>IF(LEN(TRIM(X2018))=0,"",HYPERLINK("https://www.google.com/maps/@?api=1&amp;map_action=pano&amp;viewpoint="&amp;SUBSTITUTE(X2018," ",""),"Abrir Street View"))</f>
        <v/>
      </c>
    </row>
    <row r="2019">
      <c r="H2019" s="6" t="n"/>
      <c r="I2019" s="6" t="n"/>
      <c r="M2019" s="7" t="n"/>
      <c r="N2019" s="7" t="n"/>
      <c r="O2019" s="7" t="n"/>
      <c r="P2019" s="8">
        <f>IF(NOT(ISNUMBER(M2019)),"",IF(G2019="Terreno",IF(AND(ISNUMBER(I2019),I2019&gt;0),M2019/I2019,""),IF(AND(ISNUMBER(H2019),H2019&gt;0),M2019/H2019,"")))</f>
        <v/>
      </c>
      <c r="Q2019" s="9">
        <f>IF(AND(ISNUMBER(M2019),ISNUMBER(O2019)),IF(M2019&lt;=O2019,"Valor ≤ venal IPTU",""),"")</f>
        <v/>
      </c>
      <c r="R2019" s="10" t="n"/>
      <c r="S2019" s="10" t="n"/>
      <c r="AA2019" s="10" t="n"/>
      <c r="AB2019" s="11">
        <f>IF(LEN(TRIM(X2019))=0,"",HYPERLINK("https://www.google.com/maps/@?api=1&amp;map_action=pano&amp;viewpoint="&amp;SUBSTITUTE(X2019," ",""),"Abrir Street View"))</f>
        <v/>
      </c>
    </row>
    <row r="2020">
      <c r="H2020" s="6" t="n"/>
      <c r="I2020" s="6" t="n"/>
      <c r="M2020" s="7" t="n"/>
      <c r="N2020" s="7" t="n"/>
      <c r="O2020" s="7" t="n"/>
      <c r="P2020" s="8">
        <f>IF(NOT(ISNUMBER(M2020)),"",IF(G2020="Terreno",IF(AND(ISNUMBER(I2020),I2020&gt;0),M2020/I2020,""),IF(AND(ISNUMBER(H2020),H2020&gt;0),M2020/H2020,"")))</f>
        <v/>
      </c>
      <c r="Q2020" s="9">
        <f>IF(AND(ISNUMBER(M2020),ISNUMBER(O2020)),IF(M2020&lt;=O2020,"Valor ≤ venal IPTU",""),"")</f>
        <v/>
      </c>
      <c r="R2020" s="10" t="n"/>
      <c r="S2020" s="10" t="n"/>
      <c r="AA2020" s="10" t="n"/>
      <c r="AB2020" s="11">
        <f>IF(LEN(TRIM(X2020))=0,"",HYPERLINK("https://www.google.com/maps/@?api=1&amp;map_action=pano&amp;viewpoint="&amp;SUBSTITUTE(X2020," ",""),"Abrir Street View"))</f>
        <v/>
      </c>
    </row>
    <row r="2021">
      <c r="H2021" s="6" t="n"/>
      <c r="I2021" s="6" t="n"/>
      <c r="M2021" s="7" t="n"/>
      <c r="N2021" s="7" t="n"/>
      <c r="O2021" s="7" t="n"/>
      <c r="P2021" s="8">
        <f>IF(NOT(ISNUMBER(M2021)),"",IF(G2021="Terreno",IF(AND(ISNUMBER(I2021),I2021&gt;0),M2021/I2021,""),IF(AND(ISNUMBER(H2021),H2021&gt;0),M2021/H2021,"")))</f>
        <v/>
      </c>
      <c r="Q2021" s="9">
        <f>IF(AND(ISNUMBER(M2021),ISNUMBER(O2021)),IF(M2021&lt;=O2021,"Valor ≤ venal IPTU",""),"")</f>
        <v/>
      </c>
      <c r="R2021" s="10" t="n"/>
      <c r="S2021" s="10" t="n"/>
      <c r="AA2021" s="10" t="n"/>
      <c r="AB2021" s="11">
        <f>IF(LEN(TRIM(X2021))=0,"",HYPERLINK("https://www.google.com/maps/@?api=1&amp;map_action=pano&amp;viewpoint="&amp;SUBSTITUTE(X2021," ",""),"Abrir Street View"))</f>
        <v/>
      </c>
    </row>
    <row r="2022">
      <c r="H2022" s="6" t="n"/>
      <c r="I2022" s="6" t="n"/>
      <c r="M2022" s="7" t="n"/>
      <c r="N2022" s="7" t="n"/>
      <c r="O2022" s="7" t="n"/>
      <c r="P2022" s="8">
        <f>IF(NOT(ISNUMBER(M2022)),"",IF(G2022="Terreno",IF(AND(ISNUMBER(I2022),I2022&gt;0),M2022/I2022,""),IF(AND(ISNUMBER(H2022),H2022&gt;0),M2022/H2022,"")))</f>
        <v/>
      </c>
      <c r="Q2022" s="9">
        <f>IF(AND(ISNUMBER(M2022),ISNUMBER(O2022)),IF(M2022&lt;=O2022,"Valor ≤ venal IPTU",""),"")</f>
        <v/>
      </c>
      <c r="R2022" s="10" t="n"/>
      <c r="S2022" s="10" t="n"/>
      <c r="AA2022" s="10" t="n"/>
      <c r="AB2022" s="11">
        <f>IF(LEN(TRIM(X2022))=0,"",HYPERLINK("https://www.google.com/maps/@?api=1&amp;map_action=pano&amp;viewpoint="&amp;SUBSTITUTE(X2022," ",""),"Abrir Street View"))</f>
        <v/>
      </c>
    </row>
    <row r="2023">
      <c r="H2023" s="6" t="n"/>
      <c r="I2023" s="6" t="n"/>
      <c r="M2023" s="7" t="n"/>
      <c r="N2023" s="7" t="n"/>
      <c r="O2023" s="7" t="n"/>
      <c r="P2023" s="8">
        <f>IF(NOT(ISNUMBER(M2023)),"",IF(G2023="Terreno",IF(AND(ISNUMBER(I2023),I2023&gt;0),M2023/I2023,""),IF(AND(ISNUMBER(H2023),H2023&gt;0),M2023/H2023,"")))</f>
        <v/>
      </c>
      <c r="Q2023" s="9">
        <f>IF(AND(ISNUMBER(M2023),ISNUMBER(O2023)),IF(M2023&lt;=O2023,"Valor ≤ venal IPTU",""),"")</f>
        <v/>
      </c>
      <c r="R2023" s="10" t="n"/>
      <c r="S2023" s="10" t="n"/>
      <c r="AA2023" s="10" t="n"/>
      <c r="AB2023" s="11">
        <f>IF(LEN(TRIM(X2023))=0,"",HYPERLINK("https://www.google.com/maps/@?api=1&amp;map_action=pano&amp;viewpoint="&amp;SUBSTITUTE(X2023," ",""),"Abrir Street View"))</f>
        <v/>
      </c>
    </row>
    <row r="2024">
      <c r="H2024" s="6" t="n"/>
      <c r="I2024" s="6" t="n"/>
      <c r="M2024" s="7" t="n"/>
      <c r="N2024" s="7" t="n"/>
      <c r="O2024" s="7" t="n"/>
      <c r="P2024" s="8">
        <f>IF(NOT(ISNUMBER(M2024)),"",IF(G2024="Terreno",IF(AND(ISNUMBER(I2024),I2024&gt;0),M2024/I2024,""),IF(AND(ISNUMBER(H2024),H2024&gt;0),M2024/H2024,"")))</f>
        <v/>
      </c>
      <c r="Q2024" s="9">
        <f>IF(AND(ISNUMBER(M2024),ISNUMBER(O2024)),IF(M2024&lt;=O2024,"Valor ≤ venal IPTU",""),"")</f>
        <v/>
      </c>
      <c r="R2024" s="10" t="n"/>
      <c r="S2024" s="10" t="n"/>
      <c r="AA2024" s="10" t="n"/>
      <c r="AB2024" s="11">
        <f>IF(LEN(TRIM(X2024))=0,"",HYPERLINK("https://www.google.com/maps/@?api=1&amp;map_action=pano&amp;viewpoint="&amp;SUBSTITUTE(X2024," ",""),"Abrir Street View"))</f>
        <v/>
      </c>
    </row>
    <row r="2025">
      <c r="H2025" s="6" t="n"/>
      <c r="I2025" s="6" t="n"/>
      <c r="M2025" s="7" t="n"/>
      <c r="N2025" s="7" t="n"/>
      <c r="O2025" s="7" t="n"/>
      <c r="P2025" s="8">
        <f>IF(NOT(ISNUMBER(M2025)),"",IF(G2025="Terreno",IF(AND(ISNUMBER(I2025),I2025&gt;0),M2025/I2025,""),IF(AND(ISNUMBER(H2025),H2025&gt;0),M2025/H2025,"")))</f>
        <v/>
      </c>
      <c r="Q2025" s="9">
        <f>IF(AND(ISNUMBER(M2025),ISNUMBER(O2025)),IF(M2025&lt;=O2025,"Valor ≤ venal IPTU",""),"")</f>
        <v/>
      </c>
      <c r="R2025" s="10" t="n"/>
      <c r="S2025" s="10" t="n"/>
      <c r="AA2025" s="10" t="n"/>
      <c r="AB2025" s="11">
        <f>IF(LEN(TRIM(X2025))=0,"",HYPERLINK("https://www.google.com/maps/@?api=1&amp;map_action=pano&amp;viewpoint="&amp;SUBSTITUTE(X2025," ",""),"Abrir Street View"))</f>
        <v/>
      </c>
    </row>
    <row r="2026">
      <c r="H2026" s="6" t="n"/>
      <c r="I2026" s="6" t="n"/>
      <c r="M2026" s="7" t="n"/>
      <c r="N2026" s="7" t="n"/>
      <c r="O2026" s="7" t="n"/>
      <c r="P2026" s="8">
        <f>IF(NOT(ISNUMBER(M2026)),"",IF(G2026="Terreno",IF(AND(ISNUMBER(I2026),I2026&gt;0),M2026/I2026,""),IF(AND(ISNUMBER(H2026),H2026&gt;0),M2026/H2026,"")))</f>
        <v/>
      </c>
      <c r="Q2026" s="9">
        <f>IF(AND(ISNUMBER(M2026),ISNUMBER(O2026)),IF(M2026&lt;=O2026,"Valor ≤ venal IPTU",""),"")</f>
        <v/>
      </c>
      <c r="R2026" s="10" t="n"/>
      <c r="S2026" s="10" t="n"/>
      <c r="AA2026" s="10" t="n"/>
      <c r="AB2026" s="11">
        <f>IF(LEN(TRIM(X2026))=0,"",HYPERLINK("https://www.google.com/maps/@?api=1&amp;map_action=pano&amp;viewpoint="&amp;SUBSTITUTE(X2026," ",""),"Abrir Street View"))</f>
        <v/>
      </c>
    </row>
    <row r="2027">
      <c r="H2027" s="6" t="n"/>
      <c r="I2027" s="6" t="n"/>
      <c r="M2027" s="7" t="n"/>
      <c r="N2027" s="7" t="n"/>
      <c r="O2027" s="7" t="n"/>
      <c r="P2027" s="8">
        <f>IF(NOT(ISNUMBER(M2027)),"",IF(G2027="Terreno",IF(AND(ISNUMBER(I2027),I2027&gt;0),M2027/I2027,""),IF(AND(ISNUMBER(H2027),H2027&gt;0),M2027/H2027,"")))</f>
        <v/>
      </c>
      <c r="Q2027" s="9">
        <f>IF(AND(ISNUMBER(M2027),ISNUMBER(O2027)),IF(M2027&lt;=O2027,"Valor ≤ venal IPTU",""),"")</f>
        <v/>
      </c>
      <c r="R2027" s="10" t="n"/>
      <c r="S2027" s="10" t="n"/>
      <c r="AA2027" s="10" t="n"/>
      <c r="AB2027" s="11">
        <f>IF(LEN(TRIM(X2027))=0,"",HYPERLINK("https://www.google.com/maps/@?api=1&amp;map_action=pano&amp;viewpoint="&amp;SUBSTITUTE(X2027," ",""),"Abrir Street View"))</f>
        <v/>
      </c>
    </row>
    <row r="2028">
      <c r="H2028" s="6" t="n"/>
      <c r="I2028" s="6" t="n"/>
      <c r="M2028" s="7" t="n"/>
      <c r="N2028" s="7" t="n"/>
      <c r="O2028" s="7" t="n"/>
      <c r="P2028" s="8">
        <f>IF(NOT(ISNUMBER(M2028)),"",IF(G2028="Terreno",IF(AND(ISNUMBER(I2028),I2028&gt;0),M2028/I2028,""),IF(AND(ISNUMBER(H2028),H2028&gt;0),M2028/H2028,"")))</f>
        <v/>
      </c>
      <c r="Q2028" s="9">
        <f>IF(AND(ISNUMBER(M2028),ISNUMBER(O2028)),IF(M2028&lt;=O2028,"Valor ≤ venal IPTU",""),"")</f>
        <v/>
      </c>
      <c r="R2028" s="10" t="n"/>
      <c r="S2028" s="10" t="n"/>
      <c r="AA2028" s="10" t="n"/>
      <c r="AB2028" s="11">
        <f>IF(LEN(TRIM(X2028))=0,"",HYPERLINK("https://www.google.com/maps/@?api=1&amp;map_action=pano&amp;viewpoint="&amp;SUBSTITUTE(X2028," ",""),"Abrir Street View"))</f>
        <v/>
      </c>
    </row>
    <row r="2029">
      <c r="H2029" s="6" t="n"/>
      <c r="I2029" s="6" t="n"/>
      <c r="M2029" s="7" t="n"/>
      <c r="N2029" s="7" t="n"/>
      <c r="O2029" s="7" t="n"/>
      <c r="P2029" s="8">
        <f>IF(NOT(ISNUMBER(M2029)),"",IF(G2029="Terreno",IF(AND(ISNUMBER(I2029),I2029&gt;0),M2029/I2029,""),IF(AND(ISNUMBER(H2029),H2029&gt;0),M2029/H2029,"")))</f>
        <v/>
      </c>
      <c r="Q2029" s="9">
        <f>IF(AND(ISNUMBER(M2029),ISNUMBER(O2029)),IF(M2029&lt;=O2029,"Valor ≤ venal IPTU",""),"")</f>
        <v/>
      </c>
      <c r="R2029" s="10" t="n"/>
      <c r="S2029" s="10" t="n"/>
      <c r="AA2029" s="10" t="n"/>
      <c r="AB2029" s="11">
        <f>IF(LEN(TRIM(X2029))=0,"",HYPERLINK("https://www.google.com/maps/@?api=1&amp;map_action=pano&amp;viewpoint="&amp;SUBSTITUTE(X2029," ",""),"Abrir Street View"))</f>
        <v/>
      </c>
    </row>
    <row r="2030">
      <c r="H2030" s="6" t="n"/>
      <c r="I2030" s="6" t="n"/>
      <c r="M2030" s="7" t="n"/>
      <c r="N2030" s="7" t="n"/>
      <c r="O2030" s="7" t="n"/>
      <c r="P2030" s="8">
        <f>IF(NOT(ISNUMBER(M2030)),"",IF(G2030="Terreno",IF(AND(ISNUMBER(I2030),I2030&gt;0),M2030/I2030,""),IF(AND(ISNUMBER(H2030),H2030&gt;0),M2030/H2030,"")))</f>
        <v/>
      </c>
      <c r="Q2030" s="9">
        <f>IF(AND(ISNUMBER(M2030),ISNUMBER(O2030)),IF(M2030&lt;=O2030,"Valor ≤ venal IPTU",""),"")</f>
        <v/>
      </c>
      <c r="R2030" s="10" t="n"/>
      <c r="S2030" s="10" t="n"/>
      <c r="AA2030" s="10" t="n"/>
      <c r="AB2030" s="11">
        <f>IF(LEN(TRIM(X2030))=0,"",HYPERLINK("https://www.google.com/maps/@?api=1&amp;map_action=pano&amp;viewpoint="&amp;SUBSTITUTE(X2030," ",""),"Abrir Street View"))</f>
        <v/>
      </c>
    </row>
    <row r="2031">
      <c r="H2031" s="6" t="n"/>
      <c r="I2031" s="6" t="n"/>
      <c r="M2031" s="7" t="n"/>
      <c r="N2031" s="7" t="n"/>
      <c r="O2031" s="7" t="n"/>
      <c r="P2031" s="8">
        <f>IF(NOT(ISNUMBER(M2031)),"",IF(G2031="Terreno",IF(AND(ISNUMBER(I2031),I2031&gt;0),M2031/I2031,""),IF(AND(ISNUMBER(H2031),H2031&gt;0),M2031/H2031,"")))</f>
        <v/>
      </c>
      <c r="Q2031" s="9">
        <f>IF(AND(ISNUMBER(M2031),ISNUMBER(O2031)),IF(M2031&lt;=O2031,"Valor ≤ venal IPTU",""),"")</f>
        <v/>
      </c>
      <c r="R2031" s="10" t="n"/>
      <c r="S2031" s="10" t="n"/>
      <c r="AA2031" s="10" t="n"/>
      <c r="AB2031" s="11">
        <f>IF(LEN(TRIM(X2031))=0,"",HYPERLINK("https://www.google.com/maps/@?api=1&amp;map_action=pano&amp;viewpoint="&amp;SUBSTITUTE(X2031," ",""),"Abrir Street View"))</f>
        <v/>
      </c>
    </row>
    <row r="2032">
      <c r="H2032" s="6" t="n"/>
      <c r="I2032" s="6" t="n"/>
      <c r="M2032" s="7" t="n"/>
      <c r="N2032" s="7" t="n"/>
      <c r="O2032" s="7" t="n"/>
      <c r="P2032" s="8">
        <f>IF(NOT(ISNUMBER(M2032)),"",IF(G2032="Terreno",IF(AND(ISNUMBER(I2032),I2032&gt;0),M2032/I2032,""),IF(AND(ISNUMBER(H2032),H2032&gt;0),M2032/H2032,"")))</f>
        <v/>
      </c>
      <c r="Q2032" s="9">
        <f>IF(AND(ISNUMBER(M2032),ISNUMBER(O2032)),IF(M2032&lt;=O2032,"Valor ≤ venal IPTU",""),"")</f>
        <v/>
      </c>
      <c r="R2032" s="10" t="n"/>
      <c r="S2032" s="10" t="n"/>
      <c r="AA2032" s="10" t="n"/>
      <c r="AB2032" s="11">
        <f>IF(LEN(TRIM(X2032))=0,"",HYPERLINK("https://www.google.com/maps/@?api=1&amp;map_action=pano&amp;viewpoint="&amp;SUBSTITUTE(X2032," ",""),"Abrir Street View"))</f>
        <v/>
      </c>
    </row>
    <row r="2033">
      <c r="H2033" s="6" t="n"/>
      <c r="I2033" s="6" t="n"/>
      <c r="M2033" s="7" t="n"/>
      <c r="N2033" s="7" t="n"/>
      <c r="O2033" s="7" t="n"/>
      <c r="P2033" s="8">
        <f>IF(NOT(ISNUMBER(M2033)),"",IF(G2033="Terreno",IF(AND(ISNUMBER(I2033),I2033&gt;0),M2033/I2033,""),IF(AND(ISNUMBER(H2033),H2033&gt;0),M2033/H2033,"")))</f>
        <v/>
      </c>
      <c r="Q2033" s="9">
        <f>IF(AND(ISNUMBER(M2033),ISNUMBER(O2033)),IF(M2033&lt;=O2033,"Valor ≤ venal IPTU",""),"")</f>
        <v/>
      </c>
      <c r="R2033" s="10" t="n"/>
      <c r="S2033" s="10" t="n"/>
      <c r="AA2033" s="10" t="n"/>
      <c r="AB2033" s="11">
        <f>IF(LEN(TRIM(X2033))=0,"",HYPERLINK("https://www.google.com/maps/@?api=1&amp;map_action=pano&amp;viewpoint="&amp;SUBSTITUTE(X2033," ",""),"Abrir Street View"))</f>
        <v/>
      </c>
    </row>
    <row r="2034">
      <c r="H2034" s="6" t="n"/>
      <c r="I2034" s="6" t="n"/>
      <c r="M2034" s="7" t="n"/>
      <c r="N2034" s="7" t="n"/>
      <c r="O2034" s="7" t="n"/>
      <c r="P2034" s="8">
        <f>IF(NOT(ISNUMBER(M2034)),"",IF(G2034="Terreno",IF(AND(ISNUMBER(I2034),I2034&gt;0),M2034/I2034,""),IF(AND(ISNUMBER(H2034),H2034&gt;0),M2034/H2034,"")))</f>
        <v/>
      </c>
      <c r="Q2034" s="9">
        <f>IF(AND(ISNUMBER(M2034),ISNUMBER(O2034)),IF(M2034&lt;=O2034,"Valor ≤ venal IPTU",""),"")</f>
        <v/>
      </c>
      <c r="R2034" s="10" t="n"/>
      <c r="S2034" s="10" t="n"/>
      <c r="AA2034" s="10" t="n"/>
      <c r="AB2034" s="11">
        <f>IF(LEN(TRIM(X2034))=0,"",HYPERLINK("https://www.google.com/maps/@?api=1&amp;map_action=pano&amp;viewpoint="&amp;SUBSTITUTE(X2034," ",""),"Abrir Street View"))</f>
        <v/>
      </c>
    </row>
    <row r="2035">
      <c r="H2035" s="6" t="n"/>
      <c r="I2035" s="6" t="n"/>
      <c r="M2035" s="7" t="n"/>
      <c r="N2035" s="7" t="n"/>
      <c r="O2035" s="7" t="n"/>
      <c r="P2035" s="8">
        <f>IF(NOT(ISNUMBER(M2035)),"",IF(G2035="Terreno",IF(AND(ISNUMBER(I2035),I2035&gt;0),M2035/I2035,""),IF(AND(ISNUMBER(H2035),H2035&gt;0),M2035/H2035,"")))</f>
        <v/>
      </c>
      <c r="Q2035" s="9">
        <f>IF(AND(ISNUMBER(M2035),ISNUMBER(O2035)),IF(M2035&lt;=O2035,"Valor ≤ venal IPTU",""),"")</f>
        <v/>
      </c>
      <c r="R2035" s="10" t="n"/>
      <c r="S2035" s="10" t="n"/>
      <c r="AA2035" s="10" t="n"/>
      <c r="AB2035" s="11">
        <f>IF(LEN(TRIM(X2035))=0,"",HYPERLINK("https://www.google.com/maps/@?api=1&amp;map_action=pano&amp;viewpoint="&amp;SUBSTITUTE(X2035," ",""),"Abrir Street View"))</f>
        <v/>
      </c>
    </row>
    <row r="2036">
      <c r="H2036" s="6" t="n"/>
      <c r="I2036" s="6" t="n"/>
      <c r="M2036" s="7" t="n"/>
      <c r="N2036" s="7" t="n"/>
      <c r="O2036" s="7" t="n"/>
      <c r="P2036" s="8">
        <f>IF(NOT(ISNUMBER(M2036)),"",IF(G2036="Terreno",IF(AND(ISNUMBER(I2036),I2036&gt;0),M2036/I2036,""),IF(AND(ISNUMBER(H2036),H2036&gt;0),M2036/H2036,"")))</f>
        <v/>
      </c>
      <c r="Q2036" s="9">
        <f>IF(AND(ISNUMBER(M2036),ISNUMBER(O2036)),IF(M2036&lt;=O2036,"Valor ≤ venal IPTU",""),"")</f>
        <v/>
      </c>
      <c r="R2036" s="10" t="n"/>
      <c r="S2036" s="10" t="n"/>
      <c r="AA2036" s="10" t="n"/>
      <c r="AB2036" s="11">
        <f>IF(LEN(TRIM(X2036))=0,"",HYPERLINK("https://www.google.com/maps/@?api=1&amp;map_action=pano&amp;viewpoint="&amp;SUBSTITUTE(X2036," ",""),"Abrir Street View"))</f>
        <v/>
      </c>
    </row>
    <row r="2037">
      <c r="H2037" s="6" t="n"/>
      <c r="I2037" s="6" t="n"/>
      <c r="M2037" s="7" t="n"/>
      <c r="N2037" s="7" t="n"/>
      <c r="O2037" s="7" t="n"/>
      <c r="P2037" s="8">
        <f>IF(NOT(ISNUMBER(M2037)),"",IF(G2037="Terreno",IF(AND(ISNUMBER(I2037),I2037&gt;0),M2037/I2037,""),IF(AND(ISNUMBER(H2037),H2037&gt;0),M2037/H2037,"")))</f>
        <v/>
      </c>
      <c r="Q2037" s="9">
        <f>IF(AND(ISNUMBER(M2037),ISNUMBER(O2037)),IF(M2037&lt;=O2037,"Valor ≤ venal IPTU",""),"")</f>
        <v/>
      </c>
      <c r="R2037" s="10" t="n"/>
      <c r="S2037" s="10" t="n"/>
      <c r="AA2037" s="10" t="n"/>
      <c r="AB2037" s="11">
        <f>IF(LEN(TRIM(X2037))=0,"",HYPERLINK("https://www.google.com/maps/@?api=1&amp;map_action=pano&amp;viewpoint="&amp;SUBSTITUTE(X2037," ",""),"Abrir Street View"))</f>
        <v/>
      </c>
    </row>
    <row r="2038">
      <c r="H2038" s="6" t="n"/>
      <c r="I2038" s="6" t="n"/>
      <c r="M2038" s="7" t="n"/>
      <c r="N2038" s="7" t="n"/>
      <c r="O2038" s="7" t="n"/>
      <c r="P2038" s="8">
        <f>IF(NOT(ISNUMBER(M2038)),"",IF(G2038="Terreno",IF(AND(ISNUMBER(I2038),I2038&gt;0),M2038/I2038,""),IF(AND(ISNUMBER(H2038),H2038&gt;0),M2038/H2038,"")))</f>
        <v/>
      </c>
      <c r="Q2038" s="9">
        <f>IF(AND(ISNUMBER(M2038),ISNUMBER(O2038)),IF(M2038&lt;=O2038,"Valor ≤ venal IPTU",""),"")</f>
        <v/>
      </c>
      <c r="R2038" s="10" t="n"/>
      <c r="S2038" s="10" t="n"/>
      <c r="AA2038" s="10" t="n"/>
      <c r="AB2038" s="11">
        <f>IF(LEN(TRIM(X2038))=0,"",HYPERLINK("https://www.google.com/maps/@?api=1&amp;map_action=pano&amp;viewpoint="&amp;SUBSTITUTE(X2038," ",""),"Abrir Street View"))</f>
        <v/>
      </c>
    </row>
    <row r="2039">
      <c r="H2039" s="6" t="n"/>
      <c r="I2039" s="6" t="n"/>
      <c r="M2039" s="7" t="n"/>
      <c r="N2039" s="7" t="n"/>
      <c r="O2039" s="7" t="n"/>
      <c r="P2039" s="8">
        <f>IF(NOT(ISNUMBER(M2039)),"",IF(G2039="Terreno",IF(AND(ISNUMBER(I2039),I2039&gt;0),M2039/I2039,""),IF(AND(ISNUMBER(H2039),H2039&gt;0),M2039/H2039,"")))</f>
        <v/>
      </c>
      <c r="Q2039" s="9">
        <f>IF(AND(ISNUMBER(M2039),ISNUMBER(O2039)),IF(M2039&lt;=O2039,"Valor ≤ venal IPTU",""),"")</f>
        <v/>
      </c>
      <c r="R2039" s="10" t="n"/>
      <c r="S2039" s="10" t="n"/>
      <c r="AA2039" s="10" t="n"/>
      <c r="AB2039" s="11">
        <f>IF(LEN(TRIM(X2039))=0,"",HYPERLINK("https://www.google.com/maps/@?api=1&amp;map_action=pano&amp;viewpoint="&amp;SUBSTITUTE(X2039," ",""),"Abrir Street View"))</f>
        <v/>
      </c>
    </row>
    <row r="2040">
      <c r="H2040" s="6" t="n"/>
      <c r="I2040" s="6" t="n"/>
      <c r="M2040" s="7" t="n"/>
      <c r="N2040" s="7" t="n"/>
      <c r="O2040" s="7" t="n"/>
      <c r="P2040" s="8">
        <f>IF(NOT(ISNUMBER(M2040)),"",IF(G2040="Terreno",IF(AND(ISNUMBER(I2040),I2040&gt;0),M2040/I2040,""),IF(AND(ISNUMBER(H2040),H2040&gt;0),M2040/H2040,"")))</f>
        <v/>
      </c>
      <c r="Q2040" s="9">
        <f>IF(AND(ISNUMBER(M2040),ISNUMBER(O2040)),IF(M2040&lt;=O2040,"Valor ≤ venal IPTU",""),"")</f>
        <v/>
      </c>
      <c r="R2040" s="10" t="n"/>
      <c r="S2040" s="10" t="n"/>
      <c r="AA2040" s="10" t="n"/>
      <c r="AB2040" s="11">
        <f>IF(LEN(TRIM(X2040))=0,"",HYPERLINK("https://www.google.com/maps/@?api=1&amp;map_action=pano&amp;viewpoint="&amp;SUBSTITUTE(X2040," ",""),"Abrir Street View"))</f>
        <v/>
      </c>
    </row>
    <row r="2041">
      <c r="H2041" s="6" t="n"/>
      <c r="I2041" s="6" t="n"/>
      <c r="M2041" s="7" t="n"/>
      <c r="N2041" s="7" t="n"/>
      <c r="O2041" s="7" t="n"/>
      <c r="P2041" s="8">
        <f>IF(NOT(ISNUMBER(M2041)),"",IF(G2041="Terreno",IF(AND(ISNUMBER(I2041),I2041&gt;0),M2041/I2041,""),IF(AND(ISNUMBER(H2041),H2041&gt;0),M2041/H2041,"")))</f>
        <v/>
      </c>
      <c r="Q2041" s="9">
        <f>IF(AND(ISNUMBER(M2041),ISNUMBER(O2041)),IF(M2041&lt;=O2041,"Valor ≤ venal IPTU",""),"")</f>
        <v/>
      </c>
      <c r="R2041" s="10" t="n"/>
      <c r="S2041" s="10" t="n"/>
      <c r="AA2041" s="10" t="n"/>
      <c r="AB2041" s="11">
        <f>IF(LEN(TRIM(X2041))=0,"",HYPERLINK("https://www.google.com/maps/@?api=1&amp;map_action=pano&amp;viewpoint="&amp;SUBSTITUTE(X2041," ",""),"Abrir Street View"))</f>
        <v/>
      </c>
    </row>
    <row r="2042">
      <c r="H2042" s="6" t="n"/>
      <c r="I2042" s="6" t="n"/>
      <c r="M2042" s="7" t="n"/>
      <c r="N2042" s="7" t="n"/>
      <c r="O2042" s="7" t="n"/>
      <c r="P2042" s="8">
        <f>IF(NOT(ISNUMBER(M2042)),"",IF(G2042="Terreno",IF(AND(ISNUMBER(I2042),I2042&gt;0),M2042/I2042,""),IF(AND(ISNUMBER(H2042),H2042&gt;0),M2042/H2042,"")))</f>
        <v/>
      </c>
      <c r="Q2042" s="9">
        <f>IF(AND(ISNUMBER(M2042),ISNUMBER(O2042)),IF(M2042&lt;=O2042,"Valor ≤ venal IPTU",""),"")</f>
        <v/>
      </c>
      <c r="R2042" s="10" t="n"/>
      <c r="S2042" s="10" t="n"/>
      <c r="AA2042" s="10" t="n"/>
      <c r="AB2042" s="11">
        <f>IF(LEN(TRIM(X2042))=0,"",HYPERLINK("https://www.google.com/maps/@?api=1&amp;map_action=pano&amp;viewpoint="&amp;SUBSTITUTE(X2042," ",""),"Abrir Street View"))</f>
        <v/>
      </c>
    </row>
    <row r="2043">
      <c r="H2043" s="6" t="n"/>
      <c r="I2043" s="6" t="n"/>
      <c r="M2043" s="7" t="n"/>
      <c r="N2043" s="7" t="n"/>
      <c r="O2043" s="7" t="n"/>
      <c r="P2043" s="8">
        <f>IF(NOT(ISNUMBER(M2043)),"",IF(G2043="Terreno",IF(AND(ISNUMBER(I2043),I2043&gt;0),M2043/I2043,""),IF(AND(ISNUMBER(H2043),H2043&gt;0),M2043/H2043,"")))</f>
        <v/>
      </c>
      <c r="Q2043" s="9">
        <f>IF(AND(ISNUMBER(M2043),ISNUMBER(O2043)),IF(M2043&lt;=O2043,"Valor ≤ venal IPTU",""),"")</f>
        <v/>
      </c>
      <c r="R2043" s="10" t="n"/>
      <c r="S2043" s="10" t="n"/>
      <c r="AA2043" s="10" t="n"/>
      <c r="AB2043" s="11">
        <f>IF(LEN(TRIM(X2043))=0,"",HYPERLINK("https://www.google.com/maps/@?api=1&amp;map_action=pano&amp;viewpoint="&amp;SUBSTITUTE(X2043," ",""),"Abrir Street View"))</f>
        <v/>
      </c>
    </row>
    <row r="2044">
      <c r="H2044" s="6" t="n"/>
      <c r="I2044" s="6" t="n"/>
      <c r="M2044" s="7" t="n"/>
      <c r="N2044" s="7" t="n"/>
      <c r="O2044" s="7" t="n"/>
      <c r="P2044" s="8">
        <f>IF(NOT(ISNUMBER(M2044)),"",IF(G2044="Terreno",IF(AND(ISNUMBER(I2044),I2044&gt;0),M2044/I2044,""),IF(AND(ISNUMBER(H2044),H2044&gt;0),M2044/H2044,"")))</f>
        <v/>
      </c>
      <c r="Q2044" s="9">
        <f>IF(AND(ISNUMBER(M2044),ISNUMBER(O2044)),IF(M2044&lt;=O2044,"Valor ≤ venal IPTU",""),"")</f>
        <v/>
      </c>
      <c r="R2044" s="10" t="n"/>
      <c r="S2044" s="10" t="n"/>
      <c r="AA2044" s="10" t="n"/>
      <c r="AB2044" s="11">
        <f>IF(LEN(TRIM(X2044))=0,"",HYPERLINK("https://www.google.com/maps/@?api=1&amp;map_action=pano&amp;viewpoint="&amp;SUBSTITUTE(X2044," ",""),"Abrir Street View"))</f>
        <v/>
      </c>
    </row>
    <row r="2045">
      <c r="H2045" s="6" t="n"/>
      <c r="I2045" s="6" t="n"/>
      <c r="M2045" s="7" t="n"/>
      <c r="N2045" s="7" t="n"/>
      <c r="O2045" s="7" t="n"/>
      <c r="P2045" s="8">
        <f>IF(NOT(ISNUMBER(M2045)),"",IF(G2045="Terreno",IF(AND(ISNUMBER(I2045),I2045&gt;0),M2045/I2045,""),IF(AND(ISNUMBER(H2045),H2045&gt;0),M2045/H2045,"")))</f>
        <v/>
      </c>
      <c r="Q2045" s="9">
        <f>IF(AND(ISNUMBER(M2045),ISNUMBER(O2045)),IF(M2045&lt;=O2045,"Valor ≤ venal IPTU",""),"")</f>
        <v/>
      </c>
      <c r="R2045" s="10" t="n"/>
      <c r="S2045" s="10" t="n"/>
      <c r="AA2045" s="10" t="n"/>
      <c r="AB2045" s="11">
        <f>IF(LEN(TRIM(X2045))=0,"",HYPERLINK("https://www.google.com/maps/@?api=1&amp;map_action=pano&amp;viewpoint="&amp;SUBSTITUTE(X2045," ",""),"Abrir Street View"))</f>
        <v/>
      </c>
    </row>
    <row r="2046">
      <c r="H2046" s="6" t="n"/>
      <c r="I2046" s="6" t="n"/>
      <c r="M2046" s="7" t="n"/>
      <c r="N2046" s="7" t="n"/>
      <c r="O2046" s="7" t="n"/>
      <c r="P2046" s="8">
        <f>IF(NOT(ISNUMBER(M2046)),"",IF(G2046="Terreno",IF(AND(ISNUMBER(I2046),I2046&gt;0),M2046/I2046,""),IF(AND(ISNUMBER(H2046),H2046&gt;0),M2046/H2046,"")))</f>
        <v/>
      </c>
      <c r="Q2046" s="9">
        <f>IF(AND(ISNUMBER(M2046),ISNUMBER(O2046)),IF(M2046&lt;=O2046,"Valor ≤ venal IPTU",""),"")</f>
        <v/>
      </c>
      <c r="R2046" s="10" t="n"/>
      <c r="S2046" s="10" t="n"/>
      <c r="AA2046" s="10" t="n"/>
      <c r="AB2046" s="11">
        <f>IF(LEN(TRIM(X2046))=0,"",HYPERLINK("https://www.google.com/maps/@?api=1&amp;map_action=pano&amp;viewpoint="&amp;SUBSTITUTE(X2046," ",""),"Abrir Street View"))</f>
        <v/>
      </c>
    </row>
    <row r="2047">
      <c r="H2047" s="6" t="n"/>
      <c r="I2047" s="6" t="n"/>
      <c r="M2047" s="7" t="n"/>
      <c r="N2047" s="7" t="n"/>
      <c r="O2047" s="7" t="n"/>
      <c r="P2047" s="8">
        <f>IF(NOT(ISNUMBER(M2047)),"",IF(G2047="Terreno",IF(AND(ISNUMBER(I2047),I2047&gt;0),M2047/I2047,""),IF(AND(ISNUMBER(H2047),H2047&gt;0),M2047/H2047,"")))</f>
        <v/>
      </c>
      <c r="Q2047" s="9">
        <f>IF(AND(ISNUMBER(M2047),ISNUMBER(O2047)),IF(M2047&lt;=O2047,"Valor ≤ venal IPTU",""),"")</f>
        <v/>
      </c>
      <c r="R2047" s="10" t="n"/>
      <c r="S2047" s="10" t="n"/>
      <c r="AA2047" s="10" t="n"/>
      <c r="AB2047" s="11">
        <f>IF(LEN(TRIM(X2047))=0,"",HYPERLINK("https://www.google.com/maps/@?api=1&amp;map_action=pano&amp;viewpoint="&amp;SUBSTITUTE(X2047," ",""),"Abrir Street View"))</f>
        <v/>
      </c>
    </row>
    <row r="2048">
      <c r="H2048" s="6" t="n"/>
      <c r="I2048" s="6" t="n"/>
      <c r="M2048" s="7" t="n"/>
      <c r="N2048" s="7" t="n"/>
      <c r="O2048" s="7" t="n"/>
      <c r="P2048" s="8">
        <f>IF(NOT(ISNUMBER(M2048)),"",IF(G2048="Terreno",IF(AND(ISNUMBER(I2048),I2048&gt;0),M2048/I2048,""),IF(AND(ISNUMBER(H2048),H2048&gt;0),M2048/H2048,"")))</f>
        <v/>
      </c>
      <c r="Q2048" s="9">
        <f>IF(AND(ISNUMBER(M2048),ISNUMBER(O2048)),IF(M2048&lt;=O2048,"Valor ≤ venal IPTU",""),"")</f>
        <v/>
      </c>
      <c r="R2048" s="10" t="n"/>
      <c r="S2048" s="10" t="n"/>
      <c r="AA2048" s="10" t="n"/>
      <c r="AB2048" s="11">
        <f>IF(LEN(TRIM(X2048))=0,"",HYPERLINK("https://www.google.com/maps/@?api=1&amp;map_action=pano&amp;viewpoint="&amp;SUBSTITUTE(X2048," ",""),"Abrir Street View"))</f>
        <v/>
      </c>
    </row>
    <row r="2049">
      <c r="H2049" s="6" t="n"/>
      <c r="I2049" s="6" t="n"/>
      <c r="M2049" s="7" t="n"/>
      <c r="N2049" s="7" t="n"/>
      <c r="O2049" s="7" t="n"/>
      <c r="P2049" s="8">
        <f>IF(NOT(ISNUMBER(M2049)),"",IF(G2049="Terreno",IF(AND(ISNUMBER(I2049),I2049&gt;0),M2049/I2049,""),IF(AND(ISNUMBER(H2049),H2049&gt;0),M2049/H2049,"")))</f>
        <v/>
      </c>
      <c r="Q2049" s="9">
        <f>IF(AND(ISNUMBER(M2049),ISNUMBER(O2049)),IF(M2049&lt;=O2049,"Valor ≤ venal IPTU",""),"")</f>
        <v/>
      </c>
      <c r="R2049" s="10" t="n"/>
      <c r="S2049" s="10" t="n"/>
      <c r="AA2049" s="10" t="n"/>
      <c r="AB2049" s="11">
        <f>IF(LEN(TRIM(X2049))=0,"",HYPERLINK("https://www.google.com/maps/@?api=1&amp;map_action=pano&amp;viewpoint="&amp;SUBSTITUTE(X2049," ",""),"Abrir Street View"))</f>
        <v/>
      </c>
    </row>
    <row r="2050">
      <c r="H2050" s="6" t="n"/>
      <c r="I2050" s="6" t="n"/>
      <c r="M2050" s="7" t="n"/>
      <c r="N2050" s="7" t="n"/>
      <c r="O2050" s="7" t="n"/>
      <c r="P2050" s="8">
        <f>IF(NOT(ISNUMBER(M2050)),"",IF(G2050="Terreno",IF(AND(ISNUMBER(I2050),I2050&gt;0),M2050/I2050,""),IF(AND(ISNUMBER(H2050),H2050&gt;0),M2050/H2050,"")))</f>
        <v/>
      </c>
      <c r="Q2050" s="9">
        <f>IF(AND(ISNUMBER(M2050),ISNUMBER(O2050)),IF(M2050&lt;=O2050,"Valor ≤ venal IPTU",""),"")</f>
        <v/>
      </c>
      <c r="R2050" s="10" t="n"/>
      <c r="S2050" s="10" t="n"/>
      <c r="AA2050" s="10" t="n"/>
      <c r="AB2050" s="11">
        <f>IF(LEN(TRIM(X2050))=0,"",HYPERLINK("https://www.google.com/maps/@?api=1&amp;map_action=pano&amp;viewpoint="&amp;SUBSTITUTE(X2050," ",""),"Abrir Street View"))</f>
        <v/>
      </c>
    </row>
    <row r="2051">
      <c r="H2051" s="6" t="n"/>
      <c r="I2051" s="6" t="n"/>
      <c r="M2051" s="7" t="n"/>
      <c r="N2051" s="7" t="n"/>
      <c r="O2051" s="7" t="n"/>
      <c r="P2051" s="8">
        <f>IF(NOT(ISNUMBER(M2051)),"",IF(G2051="Terreno",IF(AND(ISNUMBER(I2051),I2051&gt;0),M2051/I2051,""),IF(AND(ISNUMBER(H2051),H2051&gt;0),M2051/H2051,"")))</f>
        <v/>
      </c>
      <c r="Q2051" s="9">
        <f>IF(AND(ISNUMBER(M2051),ISNUMBER(O2051)),IF(M2051&lt;=O2051,"Valor ≤ venal IPTU",""),"")</f>
        <v/>
      </c>
      <c r="R2051" s="10" t="n"/>
      <c r="S2051" s="10" t="n"/>
      <c r="AA2051" s="10" t="n"/>
      <c r="AB2051" s="11">
        <f>IF(LEN(TRIM(X2051))=0,"",HYPERLINK("https://www.google.com/maps/@?api=1&amp;map_action=pano&amp;viewpoint="&amp;SUBSTITUTE(X2051," ",""),"Abrir Street View"))</f>
        <v/>
      </c>
    </row>
    <row r="2052">
      <c r="H2052" s="6" t="n"/>
      <c r="I2052" s="6" t="n"/>
      <c r="M2052" s="7" t="n"/>
      <c r="N2052" s="7" t="n"/>
      <c r="O2052" s="7" t="n"/>
      <c r="P2052" s="8">
        <f>IF(NOT(ISNUMBER(M2052)),"",IF(G2052="Terreno",IF(AND(ISNUMBER(I2052),I2052&gt;0),M2052/I2052,""),IF(AND(ISNUMBER(H2052),H2052&gt;0),M2052/H2052,"")))</f>
        <v/>
      </c>
      <c r="Q2052" s="9">
        <f>IF(AND(ISNUMBER(M2052),ISNUMBER(O2052)),IF(M2052&lt;=O2052,"Valor ≤ venal IPTU",""),"")</f>
        <v/>
      </c>
      <c r="R2052" s="10" t="n"/>
      <c r="S2052" s="10" t="n"/>
      <c r="AA2052" s="10" t="n"/>
      <c r="AB2052" s="11">
        <f>IF(LEN(TRIM(X2052))=0,"",HYPERLINK("https://www.google.com/maps/@?api=1&amp;map_action=pano&amp;viewpoint="&amp;SUBSTITUTE(X2052," ",""),"Abrir Street View"))</f>
        <v/>
      </c>
    </row>
    <row r="2053">
      <c r="H2053" s="6" t="n"/>
      <c r="I2053" s="6" t="n"/>
      <c r="M2053" s="7" t="n"/>
      <c r="N2053" s="7" t="n"/>
      <c r="O2053" s="7" t="n"/>
      <c r="P2053" s="8">
        <f>IF(NOT(ISNUMBER(M2053)),"",IF(G2053="Terreno",IF(AND(ISNUMBER(I2053),I2053&gt;0),M2053/I2053,""),IF(AND(ISNUMBER(H2053),H2053&gt;0),M2053/H2053,"")))</f>
        <v/>
      </c>
      <c r="Q2053" s="9">
        <f>IF(AND(ISNUMBER(M2053),ISNUMBER(O2053)),IF(M2053&lt;=O2053,"Valor ≤ venal IPTU",""),"")</f>
        <v/>
      </c>
      <c r="R2053" s="10" t="n"/>
      <c r="S2053" s="10" t="n"/>
      <c r="AA2053" s="10" t="n"/>
      <c r="AB2053" s="11">
        <f>IF(LEN(TRIM(X2053))=0,"",HYPERLINK("https://www.google.com/maps/@?api=1&amp;map_action=pano&amp;viewpoint="&amp;SUBSTITUTE(X2053," ",""),"Abrir Street View"))</f>
        <v/>
      </c>
    </row>
    <row r="2054">
      <c r="H2054" s="6" t="n"/>
      <c r="I2054" s="6" t="n"/>
      <c r="M2054" s="7" t="n"/>
      <c r="N2054" s="7" t="n"/>
      <c r="O2054" s="7" t="n"/>
      <c r="P2054" s="8">
        <f>IF(NOT(ISNUMBER(M2054)),"",IF(G2054="Terreno",IF(AND(ISNUMBER(I2054),I2054&gt;0),M2054/I2054,""),IF(AND(ISNUMBER(H2054),H2054&gt;0),M2054/H2054,"")))</f>
        <v/>
      </c>
      <c r="Q2054" s="9">
        <f>IF(AND(ISNUMBER(M2054),ISNUMBER(O2054)),IF(M2054&lt;=O2054,"Valor ≤ venal IPTU",""),"")</f>
        <v/>
      </c>
      <c r="R2054" s="10" t="n"/>
      <c r="S2054" s="10" t="n"/>
      <c r="AA2054" s="10" t="n"/>
      <c r="AB2054" s="11">
        <f>IF(LEN(TRIM(X2054))=0,"",HYPERLINK("https://www.google.com/maps/@?api=1&amp;map_action=pano&amp;viewpoint="&amp;SUBSTITUTE(X2054," ",""),"Abrir Street View"))</f>
        <v/>
      </c>
    </row>
    <row r="2055">
      <c r="H2055" s="6" t="n"/>
      <c r="I2055" s="6" t="n"/>
      <c r="M2055" s="7" t="n"/>
      <c r="N2055" s="7" t="n"/>
      <c r="O2055" s="7" t="n"/>
      <c r="P2055" s="8">
        <f>IF(NOT(ISNUMBER(M2055)),"",IF(G2055="Terreno",IF(AND(ISNUMBER(I2055),I2055&gt;0),M2055/I2055,""),IF(AND(ISNUMBER(H2055),H2055&gt;0),M2055/H2055,"")))</f>
        <v/>
      </c>
      <c r="Q2055" s="9">
        <f>IF(AND(ISNUMBER(M2055),ISNUMBER(O2055)),IF(M2055&lt;=O2055,"Valor ≤ venal IPTU",""),"")</f>
        <v/>
      </c>
      <c r="R2055" s="10" t="n"/>
      <c r="S2055" s="10" t="n"/>
      <c r="AA2055" s="10" t="n"/>
      <c r="AB2055" s="11">
        <f>IF(LEN(TRIM(X2055))=0,"",HYPERLINK("https://www.google.com/maps/@?api=1&amp;map_action=pano&amp;viewpoint="&amp;SUBSTITUTE(X2055," ",""),"Abrir Street View"))</f>
        <v/>
      </c>
    </row>
    <row r="2056">
      <c r="H2056" s="6" t="n"/>
      <c r="I2056" s="6" t="n"/>
      <c r="M2056" s="7" t="n"/>
      <c r="N2056" s="7" t="n"/>
      <c r="O2056" s="7" t="n"/>
      <c r="P2056" s="8">
        <f>IF(NOT(ISNUMBER(M2056)),"",IF(G2056="Terreno",IF(AND(ISNUMBER(I2056),I2056&gt;0),M2056/I2056,""),IF(AND(ISNUMBER(H2056),H2056&gt;0),M2056/H2056,"")))</f>
        <v/>
      </c>
      <c r="Q2056" s="9">
        <f>IF(AND(ISNUMBER(M2056),ISNUMBER(O2056)),IF(M2056&lt;=O2056,"Valor ≤ venal IPTU",""),"")</f>
        <v/>
      </c>
      <c r="R2056" s="10" t="n"/>
      <c r="S2056" s="10" t="n"/>
      <c r="AA2056" s="10" t="n"/>
      <c r="AB2056" s="11">
        <f>IF(LEN(TRIM(X2056))=0,"",HYPERLINK("https://www.google.com/maps/@?api=1&amp;map_action=pano&amp;viewpoint="&amp;SUBSTITUTE(X2056," ",""),"Abrir Street View"))</f>
        <v/>
      </c>
    </row>
    <row r="2057">
      <c r="H2057" s="6" t="n"/>
      <c r="I2057" s="6" t="n"/>
      <c r="M2057" s="7" t="n"/>
      <c r="N2057" s="7" t="n"/>
      <c r="O2057" s="7" t="n"/>
      <c r="P2057" s="8">
        <f>IF(NOT(ISNUMBER(M2057)),"",IF(G2057="Terreno",IF(AND(ISNUMBER(I2057),I2057&gt;0),M2057/I2057,""),IF(AND(ISNUMBER(H2057),H2057&gt;0),M2057/H2057,"")))</f>
        <v/>
      </c>
      <c r="Q2057" s="9">
        <f>IF(AND(ISNUMBER(M2057),ISNUMBER(O2057)),IF(M2057&lt;=O2057,"Valor ≤ venal IPTU",""),"")</f>
        <v/>
      </c>
      <c r="R2057" s="10" t="n"/>
      <c r="S2057" s="10" t="n"/>
      <c r="AA2057" s="10" t="n"/>
      <c r="AB2057" s="11">
        <f>IF(LEN(TRIM(X2057))=0,"",HYPERLINK("https://www.google.com/maps/@?api=1&amp;map_action=pano&amp;viewpoint="&amp;SUBSTITUTE(X2057," ",""),"Abrir Street View"))</f>
        <v/>
      </c>
    </row>
    <row r="2058">
      <c r="H2058" s="6" t="n"/>
      <c r="I2058" s="6" t="n"/>
      <c r="M2058" s="7" t="n"/>
      <c r="N2058" s="7" t="n"/>
      <c r="O2058" s="7" t="n"/>
      <c r="P2058" s="8">
        <f>IF(NOT(ISNUMBER(M2058)),"",IF(G2058="Terreno",IF(AND(ISNUMBER(I2058),I2058&gt;0),M2058/I2058,""),IF(AND(ISNUMBER(H2058),H2058&gt;0),M2058/H2058,"")))</f>
        <v/>
      </c>
      <c r="Q2058" s="9">
        <f>IF(AND(ISNUMBER(M2058),ISNUMBER(O2058)),IF(M2058&lt;=O2058,"Valor ≤ venal IPTU",""),"")</f>
        <v/>
      </c>
      <c r="R2058" s="10" t="n"/>
      <c r="S2058" s="10" t="n"/>
      <c r="AA2058" s="10" t="n"/>
      <c r="AB2058" s="11">
        <f>IF(LEN(TRIM(X2058))=0,"",HYPERLINK("https://www.google.com/maps/@?api=1&amp;map_action=pano&amp;viewpoint="&amp;SUBSTITUTE(X2058," ",""),"Abrir Street View"))</f>
        <v/>
      </c>
    </row>
    <row r="2059">
      <c r="H2059" s="6" t="n"/>
      <c r="I2059" s="6" t="n"/>
      <c r="M2059" s="7" t="n"/>
      <c r="N2059" s="7" t="n"/>
      <c r="O2059" s="7" t="n"/>
      <c r="P2059" s="8">
        <f>IF(NOT(ISNUMBER(M2059)),"",IF(G2059="Terreno",IF(AND(ISNUMBER(I2059),I2059&gt;0),M2059/I2059,""),IF(AND(ISNUMBER(H2059),H2059&gt;0),M2059/H2059,"")))</f>
        <v/>
      </c>
      <c r="Q2059" s="9">
        <f>IF(AND(ISNUMBER(M2059),ISNUMBER(O2059)),IF(M2059&lt;=O2059,"Valor ≤ venal IPTU",""),"")</f>
        <v/>
      </c>
      <c r="R2059" s="10" t="n"/>
      <c r="S2059" s="10" t="n"/>
      <c r="AA2059" s="10" t="n"/>
      <c r="AB2059" s="11">
        <f>IF(LEN(TRIM(X2059))=0,"",HYPERLINK("https://www.google.com/maps/@?api=1&amp;map_action=pano&amp;viewpoint="&amp;SUBSTITUTE(X2059," ",""),"Abrir Street View"))</f>
        <v/>
      </c>
    </row>
    <row r="2060">
      <c r="H2060" s="6" t="n"/>
      <c r="I2060" s="6" t="n"/>
      <c r="M2060" s="7" t="n"/>
      <c r="N2060" s="7" t="n"/>
      <c r="O2060" s="7" t="n"/>
      <c r="P2060" s="8">
        <f>IF(NOT(ISNUMBER(M2060)),"",IF(G2060="Terreno",IF(AND(ISNUMBER(I2060),I2060&gt;0),M2060/I2060,""),IF(AND(ISNUMBER(H2060),H2060&gt;0),M2060/H2060,"")))</f>
        <v/>
      </c>
      <c r="Q2060" s="9">
        <f>IF(AND(ISNUMBER(M2060),ISNUMBER(O2060)),IF(M2060&lt;=O2060,"Valor ≤ venal IPTU",""),"")</f>
        <v/>
      </c>
      <c r="R2060" s="10" t="n"/>
      <c r="S2060" s="10" t="n"/>
      <c r="AA2060" s="10" t="n"/>
      <c r="AB2060" s="11">
        <f>IF(LEN(TRIM(X2060))=0,"",HYPERLINK("https://www.google.com/maps/@?api=1&amp;map_action=pano&amp;viewpoint="&amp;SUBSTITUTE(X2060," ",""),"Abrir Street View"))</f>
        <v/>
      </c>
    </row>
    <row r="2061">
      <c r="H2061" s="6" t="n"/>
      <c r="I2061" s="6" t="n"/>
      <c r="M2061" s="7" t="n"/>
      <c r="N2061" s="7" t="n"/>
      <c r="O2061" s="7" t="n"/>
      <c r="P2061" s="8">
        <f>IF(NOT(ISNUMBER(M2061)),"",IF(G2061="Terreno",IF(AND(ISNUMBER(I2061),I2061&gt;0),M2061/I2061,""),IF(AND(ISNUMBER(H2061),H2061&gt;0),M2061/H2061,"")))</f>
        <v/>
      </c>
      <c r="Q2061" s="9">
        <f>IF(AND(ISNUMBER(M2061),ISNUMBER(O2061)),IF(M2061&lt;=O2061,"Valor ≤ venal IPTU",""),"")</f>
        <v/>
      </c>
      <c r="R2061" s="10" t="n"/>
      <c r="S2061" s="10" t="n"/>
      <c r="AA2061" s="10" t="n"/>
      <c r="AB2061" s="11">
        <f>IF(LEN(TRIM(X2061))=0,"",HYPERLINK("https://www.google.com/maps/@?api=1&amp;map_action=pano&amp;viewpoint="&amp;SUBSTITUTE(X2061," ",""),"Abrir Street View"))</f>
        <v/>
      </c>
    </row>
    <row r="2062">
      <c r="H2062" s="6" t="n"/>
      <c r="I2062" s="6" t="n"/>
      <c r="M2062" s="7" t="n"/>
      <c r="N2062" s="7" t="n"/>
      <c r="O2062" s="7" t="n"/>
      <c r="P2062" s="8">
        <f>IF(NOT(ISNUMBER(M2062)),"",IF(G2062="Terreno",IF(AND(ISNUMBER(I2062),I2062&gt;0),M2062/I2062,""),IF(AND(ISNUMBER(H2062),H2062&gt;0),M2062/H2062,"")))</f>
        <v/>
      </c>
      <c r="Q2062" s="9">
        <f>IF(AND(ISNUMBER(M2062),ISNUMBER(O2062)),IF(M2062&lt;=O2062,"Valor ≤ venal IPTU",""),"")</f>
        <v/>
      </c>
      <c r="R2062" s="10" t="n"/>
      <c r="S2062" s="10" t="n"/>
      <c r="AA2062" s="10" t="n"/>
      <c r="AB2062" s="11">
        <f>IF(LEN(TRIM(X2062))=0,"",HYPERLINK("https://www.google.com/maps/@?api=1&amp;map_action=pano&amp;viewpoint="&amp;SUBSTITUTE(X2062," ",""),"Abrir Street View"))</f>
        <v/>
      </c>
    </row>
    <row r="2063">
      <c r="H2063" s="6" t="n"/>
      <c r="I2063" s="6" t="n"/>
      <c r="M2063" s="7" t="n"/>
      <c r="N2063" s="7" t="n"/>
      <c r="O2063" s="7" t="n"/>
      <c r="P2063" s="8">
        <f>IF(NOT(ISNUMBER(M2063)),"",IF(G2063="Terreno",IF(AND(ISNUMBER(I2063),I2063&gt;0),M2063/I2063,""),IF(AND(ISNUMBER(H2063),H2063&gt;0),M2063/H2063,"")))</f>
        <v/>
      </c>
      <c r="Q2063" s="9">
        <f>IF(AND(ISNUMBER(M2063),ISNUMBER(O2063)),IF(M2063&lt;=O2063,"Valor ≤ venal IPTU",""),"")</f>
        <v/>
      </c>
      <c r="R2063" s="10" t="n"/>
      <c r="S2063" s="10" t="n"/>
      <c r="AA2063" s="10" t="n"/>
      <c r="AB2063" s="11">
        <f>IF(LEN(TRIM(X2063))=0,"",HYPERLINK("https://www.google.com/maps/@?api=1&amp;map_action=pano&amp;viewpoint="&amp;SUBSTITUTE(X2063," ",""),"Abrir Street View"))</f>
        <v/>
      </c>
    </row>
    <row r="2064">
      <c r="H2064" s="6" t="n"/>
      <c r="I2064" s="6" t="n"/>
      <c r="M2064" s="7" t="n"/>
      <c r="N2064" s="7" t="n"/>
      <c r="O2064" s="7" t="n"/>
      <c r="P2064" s="8">
        <f>IF(NOT(ISNUMBER(M2064)),"",IF(G2064="Terreno",IF(AND(ISNUMBER(I2064),I2064&gt;0),M2064/I2064,""),IF(AND(ISNUMBER(H2064),H2064&gt;0),M2064/H2064,"")))</f>
        <v/>
      </c>
      <c r="Q2064" s="9">
        <f>IF(AND(ISNUMBER(M2064),ISNUMBER(O2064)),IF(M2064&lt;=O2064,"Valor ≤ venal IPTU",""),"")</f>
        <v/>
      </c>
      <c r="R2064" s="10" t="n"/>
      <c r="S2064" s="10" t="n"/>
      <c r="AA2064" s="10" t="n"/>
      <c r="AB2064" s="11">
        <f>IF(LEN(TRIM(X2064))=0,"",HYPERLINK("https://www.google.com/maps/@?api=1&amp;map_action=pano&amp;viewpoint="&amp;SUBSTITUTE(X2064," ",""),"Abrir Street View"))</f>
        <v/>
      </c>
    </row>
    <row r="2065">
      <c r="H2065" s="6" t="n"/>
      <c r="I2065" s="6" t="n"/>
      <c r="M2065" s="7" t="n"/>
      <c r="N2065" s="7" t="n"/>
      <c r="O2065" s="7" t="n"/>
      <c r="P2065" s="8">
        <f>IF(NOT(ISNUMBER(M2065)),"",IF(G2065="Terreno",IF(AND(ISNUMBER(I2065),I2065&gt;0),M2065/I2065,""),IF(AND(ISNUMBER(H2065),H2065&gt;0),M2065/H2065,"")))</f>
        <v/>
      </c>
      <c r="Q2065" s="9">
        <f>IF(AND(ISNUMBER(M2065),ISNUMBER(O2065)),IF(M2065&lt;=O2065,"Valor ≤ venal IPTU",""),"")</f>
        <v/>
      </c>
      <c r="R2065" s="10" t="n"/>
      <c r="S2065" s="10" t="n"/>
      <c r="AA2065" s="10" t="n"/>
      <c r="AB2065" s="11">
        <f>IF(LEN(TRIM(X2065))=0,"",HYPERLINK("https://www.google.com/maps/@?api=1&amp;map_action=pano&amp;viewpoint="&amp;SUBSTITUTE(X2065," ",""),"Abrir Street View"))</f>
        <v/>
      </c>
    </row>
    <row r="2066">
      <c r="H2066" s="6" t="n"/>
      <c r="I2066" s="6" t="n"/>
      <c r="M2066" s="7" t="n"/>
      <c r="N2066" s="7" t="n"/>
      <c r="O2066" s="7" t="n"/>
      <c r="P2066" s="8">
        <f>IF(NOT(ISNUMBER(M2066)),"",IF(G2066="Terreno",IF(AND(ISNUMBER(I2066),I2066&gt;0),M2066/I2066,""),IF(AND(ISNUMBER(H2066),H2066&gt;0),M2066/H2066,"")))</f>
        <v/>
      </c>
      <c r="Q2066" s="9">
        <f>IF(AND(ISNUMBER(M2066),ISNUMBER(O2066)),IF(M2066&lt;=O2066,"Valor ≤ venal IPTU",""),"")</f>
        <v/>
      </c>
      <c r="R2066" s="10" t="n"/>
      <c r="S2066" s="10" t="n"/>
      <c r="AA2066" s="10" t="n"/>
      <c r="AB2066" s="11">
        <f>IF(LEN(TRIM(X2066))=0,"",HYPERLINK("https://www.google.com/maps/@?api=1&amp;map_action=pano&amp;viewpoint="&amp;SUBSTITUTE(X2066," ",""),"Abrir Street View"))</f>
        <v/>
      </c>
    </row>
    <row r="2067">
      <c r="H2067" s="6" t="n"/>
      <c r="I2067" s="6" t="n"/>
      <c r="M2067" s="7" t="n"/>
      <c r="N2067" s="7" t="n"/>
      <c r="O2067" s="7" t="n"/>
      <c r="P2067" s="8">
        <f>IF(NOT(ISNUMBER(M2067)),"",IF(G2067="Terreno",IF(AND(ISNUMBER(I2067),I2067&gt;0),M2067/I2067,""),IF(AND(ISNUMBER(H2067),H2067&gt;0),M2067/H2067,"")))</f>
        <v/>
      </c>
      <c r="Q2067" s="9">
        <f>IF(AND(ISNUMBER(M2067),ISNUMBER(O2067)),IF(M2067&lt;=O2067,"Valor ≤ venal IPTU",""),"")</f>
        <v/>
      </c>
      <c r="R2067" s="10" t="n"/>
      <c r="S2067" s="10" t="n"/>
      <c r="AA2067" s="10" t="n"/>
      <c r="AB2067" s="11">
        <f>IF(LEN(TRIM(X2067))=0,"",HYPERLINK("https://www.google.com/maps/@?api=1&amp;map_action=pano&amp;viewpoint="&amp;SUBSTITUTE(X2067," ",""),"Abrir Street View"))</f>
        <v/>
      </c>
    </row>
    <row r="2068">
      <c r="H2068" s="6" t="n"/>
      <c r="I2068" s="6" t="n"/>
      <c r="M2068" s="7" t="n"/>
      <c r="N2068" s="7" t="n"/>
      <c r="O2068" s="7" t="n"/>
      <c r="P2068" s="8">
        <f>IF(NOT(ISNUMBER(M2068)),"",IF(G2068="Terreno",IF(AND(ISNUMBER(I2068),I2068&gt;0),M2068/I2068,""),IF(AND(ISNUMBER(H2068),H2068&gt;0),M2068/H2068,"")))</f>
        <v/>
      </c>
      <c r="Q2068" s="9">
        <f>IF(AND(ISNUMBER(M2068),ISNUMBER(O2068)),IF(M2068&lt;=O2068,"Valor ≤ venal IPTU",""),"")</f>
        <v/>
      </c>
      <c r="R2068" s="10" t="n"/>
      <c r="S2068" s="10" t="n"/>
      <c r="AA2068" s="10" t="n"/>
      <c r="AB2068" s="11">
        <f>IF(LEN(TRIM(X2068))=0,"",HYPERLINK("https://www.google.com/maps/@?api=1&amp;map_action=pano&amp;viewpoint="&amp;SUBSTITUTE(X2068," ",""),"Abrir Street View"))</f>
        <v/>
      </c>
    </row>
    <row r="2069">
      <c r="H2069" s="6" t="n"/>
      <c r="I2069" s="6" t="n"/>
      <c r="M2069" s="7" t="n"/>
      <c r="N2069" s="7" t="n"/>
      <c r="O2069" s="7" t="n"/>
      <c r="P2069" s="8">
        <f>IF(NOT(ISNUMBER(M2069)),"",IF(G2069="Terreno",IF(AND(ISNUMBER(I2069),I2069&gt;0),M2069/I2069,""),IF(AND(ISNUMBER(H2069),H2069&gt;0),M2069/H2069,"")))</f>
        <v/>
      </c>
      <c r="Q2069" s="9">
        <f>IF(AND(ISNUMBER(M2069),ISNUMBER(O2069)),IF(M2069&lt;=O2069,"Valor ≤ venal IPTU",""),"")</f>
        <v/>
      </c>
      <c r="R2069" s="10" t="n"/>
      <c r="S2069" s="10" t="n"/>
      <c r="AA2069" s="10" t="n"/>
      <c r="AB2069" s="11">
        <f>IF(LEN(TRIM(X2069))=0,"",HYPERLINK("https://www.google.com/maps/@?api=1&amp;map_action=pano&amp;viewpoint="&amp;SUBSTITUTE(X2069," ",""),"Abrir Street View"))</f>
        <v/>
      </c>
    </row>
    <row r="2070">
      <c r="H2070" s="6" t="n"/>
      <c r="I2070" s="6" t="n"/>
      <c r="M2070" s="7" t="n"/>
      <c r="N2070" s="7" t="n"/>
      <c r="O2070" s="7" t="n"/>
      <c r="P2070" s="8">
        <f>IF(NOT(ISNUMBER(M2070)),"",IF(G2070="Terreno",IF(AND(ISNUMBER(I2070),I2070&gt;0),M2070/I2070,""),IF(AND(ISNUMBER(H2070),H2070&gt;0),M2070/H2070,"")))</f>
        <v/>
      </c>
      <c r="Q2070" s="9">
        <f>IF(AND(ISNUMBER(M2070),ISNUMBER(O2070)),IF(M2070&lt;=O2070,"Valor ≤ venal IPTU",""),"")</f>
        <v/>
      </c>
      <c r="R2070" s="10" t="n"/>
      <c r="S2070" s="10" t="n"/>
      <c r="AA2070" s="10" t="n"/>
      <c r="AB2070" s="11">
        <f>IF(LEN(TRIM(X2070))=0,"",HYPERLINK("https://www.google.com/maps/@?api=1&amp;map_action=pano&amp;viewpoint="&amp;SUBSTITUTE(X2070," ",""),"Abrir Street View"))</f>
        <v/>
      </c>
    </row>
    <row r="2071">
      <c r="H2071" s="6" t="n"/>
      <c r="I2071" s="6" t="n"/>
      <c r="M2071" s="7" t="n"/>
      <c r="N2071" s="7" t="n"/>
      <c r="O2071" s="7" t="n"/>
      <c r="P2071" s="8">
        <f>IF(NOT(ISNUMBER(M2071)),"",IF(G2071="Terreno",IF(AND(ISNUMBER(I2071),I2071&gt;0),M2071/I2071,""),IF(AND(ISNUMBER(H2071),H2071&gt;0),M2071/H2071,"")))</f>
        <v/>
      </c>
      <c r="Q2071" s="9">
        <f>IF(AND(ISNUMBER(M2071),ISNUMBER(O2071)),IF(M2071&lt;=O2071,"Valor ≤ venal IPTU",""),"")</f>
        <v/>
      </c>
      <c r="R2071" s="10" t="n"/>
      <c r="S2071" s="10" t="n"/>
      <c r="AA2071" s="10" t="n"/>
      <c r="AB2071" s="11">
        <f>IF(LEN(TRIM(X2071))=0,"",HYPERLINK("https://www.google.com/maps/@?api=1&amp;map_action=pano&amp;viewpoint="&amp;SUBSTITUTE(X2071," ",""),"Abrir Street View"))</f>
        <v/>
      </c>
    </row>
    <row r="2072">
      <c r="H2072" s="6" t="n"/>
      <c r="I2072" s="6" t="n"/>
      <c r="M2072" s="7" t="n"/>
      <c r="N2072" s="7" t="n"/>
      <c r="O2072" s="7" t="n"/>
      <c r="P2072" s="8">
        <f>IF(NOT(ISNUMBER(M2072)),"",IF(G2072="Terreno",IF(AND(ISNUMBER(I2072),I2072&gt;0),M2072/I2072,""),IF(AND(ISNUMBER(H2072),H2072&gt;0),M2072/H2072,"")))</f>
        <v/>
      </c>
      <c r="Q2072" s="9">
        <f>IF(AND(ISNUMBER(M2072),ISNUMBER(O2072)),IF(M2072&lt;=O2072,"Valor ≤ venal IPTU",""),"")</f>
        <v/>
      </c>
      <c r="R2072" s="10" t="n"/>
      <c r="S2072" s="10" t="n"/>
      <c r="AA2072" s="10" t="n"/>
      <c r="AB2072" s="11">
        <f>IF(LEN(TRIM(X2072))=0,"",HYPERLINK("https://www.google.com/maps/@?api=1&amp;map_action=pano&amp;viewpoint="&amp;SUBSTITUTE(X2072," ",""),"Abrir Street View"))</f>
        <v/>
      </c>
    </row>
    <row r="2073">
      <c r="H2073" s="6" t="n"/>
      <c r="I2073" s="6" t="n"/>
      <c r="M2073" s="7" t="n"/>
      <c r="N2073" s="7" t="n"/>
      <c r="O2073" s="7" t="n"/>
      <c r="P2073" s="8">
        <f>IF(NOT(ISNUMBER(M2073)),"",IF(G2073="Terreno",IF(AND(ISNUMBER(I2073),I2073&gt;0),M2073/I2073,""),IF(AND(ISNUMBER(H2073),H2073&gt;0),M2073/H2073,"")))</f>
        <v/>
      </c>
      <c r="Q2073" s="9">
        <f>IF(AND(ISNUMBER(M2073),ISNUMBER(O2073)),IF(M2073&lt;=O2073,"Valor ≤ venal IPTU",""),"")</f>
        <v/>
      </c>
      <c r="R2073" s="10" t="n"/>
      <c r="S2073" s="10" t="n"/>
      <c r="AA2073" s="10" t="n"/>
      <c r="AB2073" s="11">
        <f>IF(LEN(TRIM(X2073))=0,"",HYPERLINK("https://www.google.com/maps/@?api=1&amp;map_action=pano&amp;viewpoint="&amp;SUBSTITUTE(X2073," ",""),"Abrir Street View"))</f>
        <v/>
      </c>
    </row>
    <row r="2074">
      <c r="H2074" s="6" t="n"/>
      <c r="I2074" s="6" t="n"/>
      <c r="M2074" s="7" t="n"/>
      <c r="N2074" s="7" t="n"/>
      <c r="O2074" s="7" t="n"/>
      <c r="P2074" s="8">
        <f>IF(NOT(ISNUMBER(M2074)),"",IF(G2074="Terreno",IF(AND(ISNUMBER(I2074),I2074&gt;0),M2074/I2074,""),IF(AND(ISNUMBER(H2074),H2074&gt;0),M2074/H2074,"")))</f>
        <v/>
      </c>
      <c r="Q2074" s="9">
        <f>IF(AND(ISNUMBER(M2074),ISNUMBER(O2074)),IF(M2074&lt;=O2074,"Valor ≤ venal IPTU",""),"")</f>
        <v/>
      </c>
      <c r="R2074" s="10" t="n"/>
      <c r="S2074" s="10" t="n"/>
      <c r="AA2074" s="10" t="n"/>
      <c r="AB2074" s="11">
        <f>IF(LEN(TRIM(X2074))=0,"",HYPERLINK("https://www.google.com/maps/@?api=1&amp;map_action=pano&amp;viewpoint="&amp;SUBSTITUTE(X2074," ",""),"Abrir Street View"))</f>
        <v/>
      </c>
    </row>
    <row r="2075">
      <c r="H2075" s="6" t="n"/>
      <c r="I2075" s="6" t="n"/>
      <c r="M2075" s="7" t="n"/>
      <c r="N2075" s="7" t="n"/>
      <c r="O2075" s="7" t="n"/>
      <c r="P2075" s="8">
        <f>IF(NOT(ISNUMBER(M2075)),"",IF(G2075="Terreno",IF(AND(ISNUMBER(I2075),I2075&gt;0),M2075/I2075,""),IF(AND(ISNUMBER(H2075),H2075&gt;0),M2075/H2075,"")))</f>
        <v/>
      </c>
      <c r="Q2075" s="9">
        <f>IF(AND(ISNUMBER(M2075),ISNUMBER(O2075)),IF(M2075&lt;=O2075,"Valor ≤ venal IPTU",""),"")</f>
        <v/>
      </c>
      <c r="R2075" s="10" t="n"/>
      <c r="S2075" s="10" t="n"/>
      <c r="AA2075" s="10" t="n"/>
      <c r="AB2075" s="11">
        <f>IF(LEN(TRIM(X2075))=0,"",HYPERLINK("https://www.google.com/maps/@?api=1&amp;map_action=pano&amp;viewpoint="&amp;SUBSTITUTE(X2075," ",""),"Abrir Street View"))</f>
        <v/>
      </c>
    </row>
    <row r="2076">
      <c r="H2076" s="6" t="n"/>
      <c r="I2076" s="6" t="n"/>
      <c r="M2076" s="7" t="n"/>
      <c r="N2076" s="7" t="n"/>
      <c r="O2076" s="7" t="n"/>
      <c r="P2076" s="8">
        <f>IF(NOT(ISNUMBER(M2076)),"",IF(G2076="Terreno",IF(AND(ISNUMBER(I2076),I2076&gt;0),M2076/I2076,""),IF(AND(ISNUMBER(H2076),H2076&gt;0),M2076/H2076,"")))</f>
        <v/>
      </c>
      <c r="Q2076" s="9">
        <f>IF(AND(ISNUMBER(M2076),ISNUMBER(O2076)),IF(M2076&lt;=O2076,"Valor ≤ venal IPTU",""),"")</f>
        <v/>
      </c>
      <c r="R2076" s="10" t="n"/>
      <c r="S2076" s="10" t="n"/>
      <c r="AA2076" s="10" t="n"/>
      <c r="AB2076" s="11">
        <f>IF(LEN(TRIM(X2076))=0,"",HYPERLINK("https://www.google.com/maps/@?api=1&amp;map_action=pano&amp;viewpoint="&amp;SUBSTITUTE(X2076," ",""),"Abrir Street View"))</f>
        <v/>
      </c>
    </row>
    <row r="2077">
      <c r="H2077" s="6" t="n"/>
      <c r="I2077" s="6" t="n"/>
      <c r="M2077" s="7" t="n"/>
      <c r="N2077" s="7" t="n"/>
      <c r="O2077" s="7" t="n"/>
      <c r="P2077" s="8">
        <f>IF(NOT(ISNUMBER(M2077)),"",IF(G2077="Terreno",IF(AND(ISNUMBER(I2077),I2077&gt;0),M2077/I2077,""),IF(AND(ISNUMBER(H2077),H2077&gt;0),M2077/H2077,"")))</f>
        <v/>
      </c>
      <c r="Q2077" s="9">
        <f>IF(AND(ISNUMBER(M2077),ISNUMBER(O2077)),IF(M2077&lt;=O2077,"Valor ≤ venal IPTU",""),"")</f>
        <v/>
      </c>
      <c r="R2077" s="10" t="n"/>
      <c r="S2077" s="10" t="n"/>
      <c r="AA2077" s="10" t="n"/>
      <c r="AB2077" s="11">
        <f>IF(LEN(TRIM(X2077))=0,"",HYPERLINK("https://www.google.com/maps/@?api=1&amp;map_action=pano&amp;viewpoint="&amp;SUBSTITUTE(X2077," ",""),"Abrir Street View"))</f>
        <v/>
      </c>
    </row>
    <row r="2078">
      <c r="H2078" s="6" t="n"/>
      <c r="I2078" s="6" t="n"/>
      <c r="M2078" s="7" t="n"/>
      <c r="N2078" s="7" t="n"/>
      <c r="O2078" s="7" t="n"/>
      <c r="P2078" s="8">
        <f>IF(NOT(ISNUMBER(M2078)),"",IF(G2078="Terreno",IF(AND(ISNUMBER(I2078),I2078&gt;0),M2078/I2078,""),IF(AND(ISNUMBER(H2078),H2078&gt;0),M2078/H2078,"")))</f>
        <v/>
      </c>
      <c r="Q2078" s="9">
        <f>IF(AND(ISNUMBER(M2078),ISNUMBER(O2078)),IF(M2078&lt;=O2078,"Valor ≤ venal IPTU",""),"")</f>
        <v/>
      </c>
      <c r="R2078" s="10" t="n"/>
      <c r="S2078" s="10" t="n"/>
      <c r="AA2078" s="10" t="n"/>
      <c r="AB2078" s="11">
        <f>IF(LEN(TRIM(X2078))=0,"",HYPERLINK("https://www.google.com/maps/@?api=1&amp;map_action=pano&amp;viewpoint="&amp;SUBSTITUTE(X2078," ",""),"Abrir Street View"))</f>
        <v/>
      </c>
    </row>
    <row r="2079">
      <c r="H2079" s="6" t="n"/>
      <c r="I2079" s="6" t="n"/>
      <c r="M2079" s="7" t="n"/>
      <c r="N2079" s="7" t="n"/>
      <c r="O2079" s="7" t="n"/>
      <c r="P2079" s="8">
        <f>IF(NOT(ISNUMBER(M2079)),"",IF(G2079="Terreno",IF(AND(ISNUMBER(I2079),I2079&gt;0),M2079/I2079,""),IF(AND(ISNUMBER(H2079),H2079&gt;0),M2079/H2079,"")))</f>
        <v/>
      </c>
      <c r="Q2079" s="9">
        <f>IF(AND(ISNUMBER(M2079),ISNUMBER(O2079)),IF(M2079&lt;=O2079,"Valor ≤ venal IPTU",""),"")</f>
        <v/>
      </c>
      <c r="R2079" s="10" t="n"/>
      <c r="S2079" s="10" t="n"/>
      <c r="AA2079" s="10" t="n"/>
      <c r="AB2079" s="11">
        <f>IF(LEN(TRIM(X2079))=0,"",HYPERLINK("https://www.google.com/maps/@?api=1&amp;map_action=pano&amp;viewpoint="&amp;SUBSTITUTE(X2079," ",""),"Abrir Street View"))</f>
        <v/>
      </c>
    </row>
    <row r="2080">
      <c r="H2080" s="6" t="n"/>
      <c r="I2080" s="6" t="n"/>
      <c r="M2080" s="7" t="n"/>
      <c r="N2080" s="7" t="n"/>
      <c r="O2080" s="7" t="n"/>
      <c r="P2080" s="8">
        <f>IF(NOT(ISNUMBER(M2080)),"",IF(G2080="Terreno",IF(AND(ISNUMBER(I2080),I2080&gt;0),M2080/I2080,""),IF(AND(ISNUMBER(H2080),H2080&gt;0),M2080/H2080,"")))</f>
        <v/>
      </c>
      <c r="Q2080" s="9">
        <f>IF(AND(ISNUMBER(M2080),ISNUMBER(O2080)),IF(M2080&lt;=O2080,"Valor ≤ venal IPTU",""),"")</f>
        <v/>
      </c>
      <c r="R2080" s="10" t="n"/>
      <c r="S2080" s="10" t="n"/>
      <c r="AA2080" s="10" t="n"/>
      <c r="AB2080" s="11">
        <f>IF(LEN(TRIM(X2080))=0,"",HYPERLINK("https://www.google.com/maps/@?api=1&amp;map_action=pano&amp;viewpoint="&amp;SUBSTITUTE(X2080," ",""),"Abrir Street View"))</f>
        <v/>
      </c>
    </row>
    <row r="2081">
      <c r="H2081" s="6" t="n"/>
      <c r="I2081" s="6" t="n"/>
      <c r="M2081" s="7" t="n"/>
      <c r="N2081" s="7" t="n"/>
      <c r="O2081" s="7" t="n"/>
      <c r="P2081" s="8">
        <f>IF(NOT(ISNUMBER(M2081)),"",IF(G2081="Terreno",IF(AND(ISNUMBER(I2081),I2081&gt;0),M2081/I2081,""),IF(AND(ISNUMBER(H2081),H2081&gt;0),M2081/H2081,"")))</f>
        <v/>
      </c>
      <c r="Q2081" s="9">
        <f>IF(AND(ISNUMBER(M2081),ISNUMBER(O2081)),IF(M2081&lt;=O2081,"Valor ≤ venal IPTU",""),"")</f>
        <v/>
      </c>
      <c r="R2081" s="10" t="n"/>
      <c r="S2081" s="10" t="n"/>
      <c r="AA2081" s="10" t="n"/>
      <c r="AB2081" s="11">
        <f>IF(LEN(TRIM(X2081))=0,"",HYPERLINK("https://www.google.com/maps/@?api=1&amp;map_action=pano&amp;viewpoint="&amp;SUBSTITUTE(X2081," ",""),"Abrir Street View"))</f>
        <v/>
      </c>
    </row>
    <row r="2082">
      <c r="H2082" s="6" t="n"/>
      <c r="I2082" s="6" t="n"/>
      <c r="M2082" s="7" t="n"/>
      <c r="N2082" s="7" t="n"/>
      <c r="O2082" s="7" t="n"/>
      <c r="P2082" s="8">
        <f>IF(NOT(ISNUMBER(M2082)),"",IF(G2082="Terreno",IF(AND(ISNUMBER(I2082),I2082&gt;0),M2082/I2082,""),IF(AND(ISNUMBER(H2082),H2082&gt;0),M2082/H2082,"")))</f>
        <v/>
      </c>
      <c r="Q2082" s="9">
        <f>IF(AND(ISNUMBER(M2082),ISNUMBER(O2082)),IF(M2082&lt;=O2082,"Valor ≤ venal IPTU",""),"")</f>
        <v/>
      </c>
      <c r="R2082" s="10" t="n"/>
      <c r="S2082" s="10" t="n"/>
      <c r="AA2082" s="10" t="n"/>
      <c r="AB2082" s="11">
        <f>IF(LEN(TRIM(X2082))=0,"",HYPERLINK("https://www.google.com/maps/@?api=1&amp;map_action=pano&amp;viewpoint="&amp;SUBSTITUTE(X2082," ",""),"Abrir Street View"))</f>
        <v/>
      </c>
    </row>
    <row r="2083">
      <c r="H2083" s="6" t="n"/>
      <c r="I2083" s="6" t="n"/>
      <c r="M2083" s="7" t="n"/>
      <c r="N2083" s="7" t="n"/>
      <c r="O2083" s="7" t="n"/>
      <c r="P2083" s="8">
        <f>IF(NOT(ISNUMBER(M2083)),"",IF(G2083="Terreno",IF(AND(ISNUMBER(I2083),I2083&gt;0),M2083/I2083,""),IF(AND(ISNUMBER(H2083),H2083&gt;0),M2083/H2083,"")))</f>
        <v/>
      </c>
      <c r="Q2083" s="9">
        <f>IF(AND(ISNUMBER(M2083),ISNUMBER(O2083)),IF(M2083&lt;=O2083,"Valor ≤ venal IPTU",""),"")</f>
        <v/>
      </c>
      <c r="R2083" s="10" t="n"/>
      <c r="S2083" s="10" t="n"/>
      <c r="AA2083" s="10" t="n"/>
      <c r="AB2083" s="11">
        <f>IF(LEN(TRIM(X2083))=0,"",HYPERLINK("https://www.google.com/maps/@?api=1&amp;map_action=pano&amp;viewpoint="&amp;SUBSTITUTE(X2083," ",""),"Abrir Street View"))</f>
        <v/>
      </c>
    </row>
    <row r="2084">
      <c r="H2084" s="6" t="n"/>
      <c r="I2084" s="6" t="n"/>
      <c r="M2084" s="7" t="n"/>
      <c r="N2084" s="7" t="n"/>
      <c r="O2084" s="7" t="n"/>
      <c r="P2084" s="8">
        <f>IF(NOT(ISNUMBER(M2084)),"",IF(G2084="Terreno",IF(AND(ISNUMBER(I2084),I2084&gt;0),M2084/I2084,""),IF(AND(ISNUMBER(H2084),H2084&gt;0),M2084/H2084,"")))</f>
        <v/>
      </c>
      <c r="Q2084" s="9">
        <f>IF(AND(ISNUMBER(M2084),ISNUMBER(O2084)),IF(M2084&lt;=O2084,"Valor ≤ venal IPTU",""),"")</f>
        <v/>
      </c>
      <c r="R2084" s="10" t="n"/>
      <c r="S2084" s="10" t="n"/>
      <c r="AA2084" s="10" t="n"/>
      <c r="AB2084" s="11">
        <f>IF(LEN(TRIM(X2084))=0,"",HYPERLINK("https://www.google.com/maps/@?api=1&amp;map_action=pano&amp;viewpoint="&amp;SUBSTITUTE(X2084," ",""),"Abrir Street View"))</f>
        <v/>
      </c>
    </row>
    <row r="2085">
      <c r="H2085" s="6" t="n"/>
      <c r="I2085" s="6" t="n"/>
      <c r="M2085" s="7" t="n"/>
      <c r="N2085" s="7" t="n"/>
      <c r="O2085" s="7" t="n"/>
      <c r="P2085" s="8">
        <f>IF(NOT(ISNUMBER(M2085)),"",IF(G2085="Terreno",IF(AND(ISNUMBER(I2085),I2085&gt;0),M2085/I2085,""),IF(AND(ISNUMBER(H2085),H2085&gt;0),M2085/H2085,"")))</f>
        <v/>
      </c>
      <c r="Q2085" s="9">
        <f>IF(AND(ISNUMBER(M2085),ISNUMBER(O2085)),IF(M2085&lt;=O2085,"Valor ≤ venal IPTU",""),"")</f>
        <v/>
      </c>
      <c r="R2085" s="10" t="n"/>
      <c r="S2085" s="10" t="n"/>
      <c r="AA2085" s="10" t="n"/>
      <c r="AB2085" s="11">
        <f>IF(LEN(TRIM(X2085))=0,"",HYPERLINK("https://www.google.com/maps/@?api=1&amp;map_action=pano&amp;viewpoint="&amp;SUBSTITUTE(X2085," ",""),"Abrir Street View"))</f>
        <v/>
      </c>
    </row>
    <row r="2086">
      <c r="H2086" s="6" t="n"/>
      <c r="I2086" s="6" t="n"/>
      <c r="M2086" s="7" t="n"/>
      <c r="N2086" s="7" t="n"/>
      <c r="O2086" s="7" t="n"/>
      <c r="P2086" s="8">
        <f>IF(NOT(ISNUMBER(M2086)),"",IF(G2086="Terreno",IF(AND(ISNUMBER(I2086),I2086&gt;0),M2086/I2086,""),IF(AND(ISNUMBER(H2086),H2086&gt;0),M2086/H2086,"")))</f>
        <v/>
      </c>
      <c r="Q2086" s="9">
        <f>IF(AND(ISNUMBER(M2086),ISNUMBER(O2086)),IF(M2086&lt;=O2086,"Valor ≤ venal IPTU",""),"")</f>
        <v/>
      </c>
      <c r="R2086" s="10" t="n"/>
      <c r="S2086" s="10" t="n"/>
      <c r="AA2086" s="10" t="n"/>
      <c r="AB2086" s="11">
        <f>IF(LEN(TRIM(X2086))=0,"",HYPERLINK("https://www.google.com/maps/@?api=1&amp;map_action=pano&amp;viewpoint="&amp;SUBSTITUTE(X2086," ",""),"Abrir Street View"))</f>
        <v/>
      </c>
    </row>
    <row r="2087">
      <c r="H2087" s="6" t="n"/>
      <c r="I2087" s="6" t="n"/>
      <c r="M2087" s="7" t="n"/>
      <c r="N2087" s="7" t="n"/>
      <c r="O2087" s="7" t="n"/>
      <c r="P2087" s="8">
        <f>IF(NOT(ISNUMBER(M2087)),"",IF(G2087="Terreno",IF(AND(ISNUMBER(I2087),I2087&gt;0),M2087/I2087,""),IF(AND(ISNUMBER(H2087),H2087&gt;0),M2087/H2087,"")))</f>
        <v/>
      </c>
      <c r="Q2087" s="9">
        <f>IF(AND(ISNUMBER(M2087),ISNUMBER(O2087)),IF(M2087&lt;=O2087,"Valor ≤ venal IPTU",""),"")</f>
        <v/>
      </c>
      <c r="R2087" s="10" t="n"/>
      <c r="S2087" s="10" t="n"/>
      <c r="AA2087" s="10" t="n"/>
      <c r="AB2087" s="11">
        <f>IF(LEN(TRIM(X2087))=0,"",HYPERLINK("https://www.google.com/maps/@?api=1&amp;map_action=pano&amp;viewpoint="&amp;SUBSTITUTE(X2087," ",""),"Abrir Street View"))</f>
        <v/>
      </c>
    </row>
    <row r="2088">
      <c r="H2088" s="6" t="n"/>
      <c r="I2088" s="6" t="n"/>
      <c r="M2088" s="7" t="n"/>
      <c r="N2088" s="7" t="n"/>
      <c r="O2088" s="7" t="n"/>
      <c r="P2088" s="8">
        <f>IF(NOT(ISNUMBER(M2088)),"",IF(G2088="Terreno",IF(AND(ISNUMBER(I2088),I2088&gt;0),M2088/I2088,""),IF(AND(ISNUMBER(H2088),H2088&gt;0),M2088/H2088,"")))</f>
        <v/>
      </c>
      <c r="Q2088" s="9">
        <f>IF(AND(ISNUMBER(M2088),ISNUMBER(O2088)),IF(M2088&lt;=O2088,"Valor ≤ venal IPTU",""),"")</f>
        <v/>
      </c>
      <c r="R2088" s="10" t="n"/>
      <c r="S2088" s="10" t="n"/>
      <c r="AA2088" s="10" t="n"/>
      <c r="AB2088" s="11">
        <f>IF(LEN(TRIM(X2088))=0,"",HYPERLINK("https://www.google.com/maps/@?api=1&amp;map_action=pano&amp;viewpoint="&amp;SUBSTITUTE(X2088," ",""),"Abrir Street View"))</f>
        <v/>
      </c>
    </row>
    <row r="2089">
      <c r="H2089" s="6" t="n"/>
      <c r="I2089" s="6" t="n"/>
      <c r="M2089" s="7" t="n"/>
      <c r="N2089" s="7" t="n"/>
      <c r="O2089" s="7" t="n"/>
      <c r="P2089" s="8">
        <f>IF(NOT(ISNUMBER(M2089)),"",IF(G2089="Terreno",IF(AND(ISNUMBER(I2089),I2089&gt;0),M2089/I2089,""),IF(AND(ISNUMBER(H2089),H2089&gt;0),M2089/H2089,"")))</f>
        <v/>
      </c>
      <c r="Q2089" s="9">
        <f>IF(AND(ISNUMBER(M2089),ISNUMBER(O2089)),IF(M2089&lt;=O2089,"Valor ≤ venal IPTU",""),"")</f>
        <v/>
      </c>
      <c r="R2089" s="10" t="n"/>
      <c r="S2089" s="10" t="n"/>
      <c r="AA2089" s="10" t="n"/>
      <c r="AB2089" s="11">
        <f>IF(LEN(TRIM(X2089))=0,"",HYPERLINK("https://www.google.com/maps/@?api=1&amp;map_action=pano&amp;viewpoint="&amp;SUBSTITUTE(X2089," ",""),"Abrir Street View"))</f>
        <v/>
      </c>
    </row>
    <row r="2090">
      <c r="H2090" s="6" t="n"/>
      <c r="I2090" s="6" t="n"/>
      <c r="M2090" s="7" t="n"/>
      <c r="N2090" s="7" t="n"/>
      <c r="O2090" s="7" t="n"/>
      <c r="P2090" s="8">
        <f>IF(NOT(ISNUMBER(M2090)),"",IF(G2090="Terreno",IF(AND(ISNUMBER(I2090),I2090&gt;0),M2090/I2090,""),IF(AND(ISNUMBER(H2090),H2090&gt;0),M2090/H2090,"")))</f>
        <v/>
      </c>
      <c r="Q2090" s="9">
        <f>IF(AND(ISNUMBER(M2090),ISNUMBER(O2090)),IF(M2090&lt;=O2090,"Valor ≤ venal IPTU",""),"")</f>
        <v/>
      </c>
      <c r="R2090" s="10" t="n"/>
      <c r="S2090" s="10" t="n"/>
      <c r="AA2090" s="10" t="n"/>
      <c r="AB2090" s="11">
        <f>IF(LEN(TRIM(X2090))=0,"",HYPERLINK("https://www.google.com/maps/@?api=1&amp;map_action=pano&amp;viewpoint="&amp;SUBSTITUTE(X2090," ",""),"Abrir Street View"))</f>
        <v/>
      </c>
    </row>
    <row r="2091">
      <c r="H2091" s="6" t="n"/>
      <c r="I2091" s="6" t="n"/>
      <c r="M2091" s="7" t="n"/>
      <c r="N2091" s="7" t="n"/>
      <c r="O2091" s="7" t="n"/>
      <c r="P2091" s="8">
        <f>IF(NOT(ISNUMBER(M2091)),"",IF(G2091="Terreno",IF(AND(ISNUMBER(I2091),I2091&gt;0),M2091/I2091,""),IF(AND(ISNUMBER(H2091),H2091&gt;0),M2091/H2091,"")))</f>
        <v/>
      </c>
      <c r="Q2091" s="9">
        <f>IF(AND(ISNUMBER(M2091),ISNUMBER(O2091)),IF(M2091&lt;=O2091,"Valor ≤ venal IPTU",""),"")</f>
        <v/>
      </c>
      <c r="R2091" s="10" t="n"/>
      <c r="S2091" s="10" t="n"/>
      <c r="AA2091" s="10" t="n"/>
      <c r="AB2091" s="11">
        <f>IF(LEN(TRIM(X2091))=0,"",HYPERLINK("https://www.google.com/maps/@?api=1&amp;map_action=pano&amp;viewpoint="&amp;SUBSTITUTE(X2091," ",""),"Abrir Street View"))</f>
        <v/>
      </c>
    </row>
    <row r="2092">
      <c r="H2092" s="6" t="n"/>
      <c r="I2092" s="6" t="n"/>
      <c r="M2092" s="7" t="n"/>
      <c r="N2092" s="7" t="n"/>
      <c r="O2092" s="7" t="n"/>
      <c r="P2092" s="8">
        <f>IF(NOT(ISNUMBER(M2092)),"",IF(G2092="Terreno",IF(AND(ISNUMBER(I2092),I2092&gt;0),M2092/I2092,""),IF(AND(ISNUMBER(H2092),H2092&gt;0),M2092/H2092,"")))</f>
        <v/>
      </c>
      <c r="Q2092" s="9">
        <f>IF(AND(ISNUMBER(M2092),ISNUMBER(O2092)),IF(M2092&lt;=O2092,"Valor ≤ venal IPTU",""),"")</f>
        <v/>
      </c>
      <c r="R2092" s="10" t="n"/>
      <c r="S2092" s="10" t="n"/>
      <c r="AA2092" s="10" t="n"/>
      <c r="AB2092" s="11">
        <f>IF(LEN(TRIM(X2092))=0,"",HYPERLINK("https://www.google.com/maps/@?api=1&amp;map_action=pano&amp;viewpoint="&amp;SUBSTITUTE(X2092," ",""),"Abrir Street View"))</f>
        <v/>
      </c>
    </row>
    <row r="2093">
      <c r="H2093" s="6" t="n"/>
      <c r="I2093" s="6" t="n"/>
      <c r="M2093" s="7" t="n"/>
      <c r="N2093" s="7" t="n"/>
      <c r="O2093" s="7" t="n"/>
      <c r="P2093" s="8">
        <f>IF(NOT(ISNUMBER(M2093)),"",IF(G2093="Terreno",IF(AND(ISNUMBER(I2093),I2093&gt;0),M2093/I2093,""),IF(AND(ISNUMBER(H2093),H2093&gt;0),M2093/H2093,"")))</f>
        <v/>
      </c>
      <c r="Q2093" s="9">
        <f>IF(AND(ISNUMBER(M2093),ISNUMBER(O2093)),IF(M2093&lt;=O2093,"Valor ≤ venal IPTU",""),"")</f>
        <v/>
      </c>
      <c r="R2093" s="10" t="n"/>
      <c r="S2093" s="10" t="n"/>
      <c r="AA2093" s="10" t="n"/>
      <c r="AB2093" s="11">
        <f>IF(LEN(TRIM(X2093))=0,"",HYPERLINK("https://www.google.com/maps/@?api=1&amp;map_action=pano&amp;viewpoint="&amp;SUBSTITUTE(X2093," ",""),"Abrir Street View"))</f>
        <v/>
      </c>
    </row>
    <row r="2094">
      <c r="H2094" s="6" t="n"/>
      <c r="I2094" s="6" t="n"/>
      <c r="M2094" s="7" t="n"/>
      <c r="N2094" s="7" t="n"/>
      <c r="O2094" s="7" t="n"/>
      <c r="P2094" s="8">
        <f>IF(NOT(ISNUMBER(M2094)),"",IF(G2094="Terreno",IF(AND(ISNUMBER(I2094),I2094&gt;0),M2094/I2094,""),IF(AND(ISNUMBER(H2094),H2094&gt;0),M2094/H2094,"")))</f>
        <v/>
      </c>
      <c r="Q2094" s="9">
        <f>IF(AND(ISNUMBER(M2094),ISNUMBER(O2094)),IF(M2094&lt;=O2094,"Valor ≤ venal IPTU",""),"")</f>
        <v/>
      </c>
      <c r="R2094" s="10" t="n"/>
      <c r="S2094" s="10" t="n"/>
      <c r="AA2094" s="10" t="n"/>
      <c r="AB2094" s="11">
        <f>IF(LEN(TRIM(X2094))=0,"",HYPERLINK("https://www.google.com/maps/@?api=1&amp;map_action=pano&amp;viewpoint="&amp;SUBSTITUTE(X2094," ",""),"Abrir Street View"))</f>
        <v/>
      </c>
    </row>
    <row r="2095">
      <c r="H2095" s="6" t="n"/>
      <c r="I2095" s="6" t="n"/>
      <c r="M2095" s="7" t="n"/>
      <c r="N2095" s="7" t="n"/>
      <c r="O2095" s="7" t="n"/>
      <c r="P2095" s="8">
        <f>IF(NOT(ISNUMBER(M2095)),"",IF(G2095="Terreno",IF(AND(ISNUMBER(I2095),I2095&gt;0),M2095/I2095,""),IF(AND(ISNUMBER(H2095),H2095&gt;0),M2095/H2095,"")))</f>
        <v/>
      </c>
      <c r="Q2095" s="9">
        <f>IF(AND(ISNUMBER(M2095),ISNUMBER(O2095)),IF(M2095&lt;=O2095,"Valor ≤ venal IPTU",""),"")</f>
        <v/>
      </c>
      <c r="R2095" s="10" t="n"/>
      <c r="S2095" s="10" t="n"/>
      <c r="AA2095" s="10" t="n"/>
      <c r="AB2095" s="11">
        <f>IF(LEN(TRIM(X2095))=0,"",HYPERLINK("https://www.google.com/maps/@?api=1&amp;map_action=pano&amp;viewpoint="&amp;SUBSTITUTE(X2095," ",""),"Abrir Street View"))</f>
        <v/>
      </c>
    </row>
    <row r="2096">
      <c r="H2096" s="6" t="n"/>
      <c r="I2096" s="6" t="n"/>
      <c r="M2096" s="7" t="n"/>
      <c r="N2096" s="7" t="n"/>
      <c r="O2096" s="7" t="n"/>
      <c r="P2096" s="8">
        <f>IF(NOT(ISNUMBER(M2096)),"",IF(G2096="Terreno",IF(AND(ISNUMBER(I2096),I2096&gt;0),M2096/I2096,""),IF(AND(ISNUMBER(H2096),H2096&gt;0),M2096/H2096,"")))</f>
        <v/>
      </c>
      <c r="Q2096" s="9">
        <f>IF(AND(ISNUMBER(M2096),ISNUMBER(O2096)),IF(M2096&lt;=O2096,"Valor ≤ venal IPTU",""),"")</f>
        <v/>
      </c>
      <c r="R2096" s="10" t="n"/>
      <c r="S2096" s="10" t="n"/>
      <c r="AA2096" s="10" t="n"/>
      <c r="AB2096" s="11">
        <f>IF(LEN(TRIM(X2096))=0,"",HYPERLINK("https://www.google.com/maps/@?api=1&amp;map_action=pano&amp;viewpoint="&amp;SUBSTITUTE(X2096," ",""),"Abrir Street View"))</f>
        <v/>
      </c>
    </row>
    <row r="2097">
      <c r="H2097" s="6" t="n"/>
      <c r="I2097" s="6" t="n"/>
      <c r="M2097" s="7" t="n"/>
      <c r="N2097" s="7" t="n"/>
      <c r="O2097" s="7" t="n"/>
      <c r="P2097" s="8">
        <f>IF(NOT(ISNUMBER(M2097)),"",IF(G2097="Terreno",IF(AND(ISNUMBER(I2097),I2097&gt;0),M2097/I2097,""),IF(AND(ISNUMBER(H2097),H2097&gt;0),M2097/H2097,"")))</f>
        <v/>
      </c>
      <c r="Q2097" s="9">
        <f>IF(AND(ISNUMBER(M2097),ISNUMBER(O2097)),IF(M2097&lt;=O2097,"Valor ≤ venal IPTU",""),"")</f>
        <v/>
      </c>
      <c r="R2097" s="10" t="n"/>
      <c r="S2097" s="10" t="n"/>
      <c r="AA2097" s="10" t="n"/>
      <c r="AB2097" s="11">
        <f>IF(LEN(TRIM(X2097))=0,"",HYPERLINK("https://www.google.com/maps/@?api=1&amp;map_action=pano&amp;viewpoint="&amp;SUBSTITUTE(X2097," ",""),"Abrir Street View"))</f>
        <v/>
      </c>
    </row>
    <row r="2098">
      <c r="H2098" s="6" t="n"/>
      <c r="I2098" s="6" t="n"/>
      <c r="M2098" s="7" t="n"/>
      <c r="N2098" s="7" t="n"/>
      <c r="O2098" s="7" t="n"/>
      <c r="P2098" s="8">
        <f>IF(NOT(ISNUMBER(M2098)),"",IF(G2098="Terreno",IF(AND(ISNUMBER(I2098),I2098&gt;0),M2098/I2098,""),IF(AND(ISNUMBER(H2098),H2098&gt;0),M2098/H2098,"")))</f>
        <v/>
      </c>
      <c r="Q2098" s="9">
        <f>IF(AND(ISNUMBER(M2098),ISNUMBER(O2098)),IF(M2098&lt;=O2098,"Valor ≤ venal IPTU",""),"")</f>
        <v/>
      </c>
      <c r="R2098" s="10" t="n"/>
      <c r="S2098" s="10" t="n"/>
      <c r="AA2098" s="10" t="n"/>
      <c r="AB2098" s="11">
        <f>IF(LEN(TRIM(X2098))=0,"",HYPERLINK("https://www.google.com/maps/@?api=1&amp;map_action=pano&amp;viewpoint="&amp;SUBSTITUTE(X2098," ",""),"Abrir Street View"))</f>
        <v/>
      </c>
    </row>
    <row r="2099">
      <c r="H2099" s="6" t="n"/>
      <c r="I2099" s="6" t="n"/>
      <c r="M2099" s="7" t="n"/>
      <c r="N2099" s="7" t="n"/>
      <c r="O2099" s="7" t="n"/>
      <c r="P2099" s="8">
        <f>IF(NOT(ISNUMBER(M2099)),"",IF(G2099="Terreno",IF(AND(ISNUMBER(I2099),I2099&gt;0),M2099/I2099,""),IF(AND(ISNUMBER(H2099),H2099&gt;0),M2099/H2099,"")))</f>
        <v/>
      </c>
      <c r="Q2099" s="9">
        <f>IF(AND(ISNUMBER(M2099),ISNUMBER(O2099)),IF(M2099&lt;=O2099,"Valor ≤ venal IPTU",""),"")</f>
        <v/>
      </c>
      <c r="R2099" s="10" t="n"/>
      <c r="S2099" s="10" t="n"/>
      <c r="AA2099" s="10" t="n"/>
      <c r="AB2099" s="11">
        <f>IF(LEN(TRIM(X2099))=0,"",HYPERLINK("https://www.google.com/maps/@?api=1&amp;map_action=pano&amp;viewpoint="&amp;SUBSTITUTE(X2099," ",""),"Abrir Street View"))</f>
        <v/>
      </c>
    </row>
    <row r="2100">
      <c r="H2100" s="6" t="n"/>
      <c r="I2100" s="6" t="n"/>
      <c r="M2100" s="7" t="n"/>
      <c r="N2100" s="7" t="n"/>
      <c r="O2100" s="7" t="n"/>
      <c r="P2100" s="8">
        <f>IF(NOT(ISNUMBER(M2100)),"",IF(G2100="Terreno",IF(AND(ISNUMBER(I2100),I2100&gt;0),M2100/I2100,""),IF(AND(ISNUMBER(H2100),H2100&gt;0),M2100/H2100,"")))</f>
        <v/>
      </c>
      <c r="Q2100" s="9">
        <f>IF(AND(ISNUMBER(M2100),ISNUMBER(O2100)),IF(M2100&lt;=O2100,"Valor ≤ venal IPTU",""),"")</f>
        <v/>
      </c>
      <c r="R2100" s="10" t="n"/>
      <c r="S2100" s="10" t="n"/>
      <c r="AA2100" s="10" t="n"/>
      <c r="AB2100" s="11">
        <f>IF(LEN(TRIM(X2100))=0,"",HYPERLINK("https://www.google.com/maps/@?api=1&amp;map_action=pano&amp;viewpoint="&amp;SUBSTITUTE(X2100," ",""),"Abrir Street View"))</f>
        <v/>
      </c>
    </row>
    <row r="2101">
      <c r="H2101" s="6" t="n"/>
      <c r="I2101" s="6" t="n"/>
      <c r="M2101" s="7" t="n"/>
      <c r="N2101" s="7" t="n"/>
      <c r="O2101" s="7" t="n"/>
      <c r="P2101" s="8">
        <f>IF(NOT(ISNUMBER(M2101)),"",IF(G2101="Terreno",IF(AND(ISNUMBER(I2101),I2101&gt;0),M2101/I2101,""),IF(AND(ISNUMBER(H2101),H2101&gt;0),M2101/H2101,"")))</f>
        <v/>
      </c>
      <c r="Q2101" s="9">
        <f>IF(AND(ISNUMBER(M2101),ISNUMBER(O2101)),IF(M2101&lt;=O2101,"Valor ≤ venal IPTU",""),"")</f>
        <v/>
      </c>
      <c r="R2101" s="10" t="n"/>
      <c r="S2101" s="10" t="n"/>
      <c r="AA2101" s="10" t="n"/>
      <c r="AB2101" s="11">
        <f>IF(LEN(TRIM(X2101))=0,"",HYPERLINK("https://www.google.com/maps/@?api=1&amp;map_action=pano&amp;viewpoint="&amp;SUBSTITUTE(X2101," ",""),"Abrir Street View"))</f>
        <v/>
      </c>
    </row>
    <row r="2102">
      <c r="H2102" s="6" t="n"/>
      <c r="I2102" s="6" t="n"/>
      <c r="M2102" s="7" t="n"/>
      <c r="N2102" s="7" t="n"/>
      <c r="O2102" s="7" t="n"/>
      <c r="P2102" s="8">
        <f>IF(NOT(ISNUMBER(M2102)),"",IF(G2102="Terreno",IF(AND(ISNUMBER(I2102),I2102&gt;0),M2102/I2102,""),IF(AND(ISNUMBER(H2102),H2102&gt;0),M2102/H2102,"")))</f>
        <v/>
      </c>
      <c r="Q2102" s="9">
        <f>IF(AND(ISNUMBER(M2102),ISNUMBER(O2102)),IF(M2102&lt;=O2102,"Valor ≤ venal IPTU",""),"")</f>
        <v/>
      </c>
      <c r="R2102" s="10" t="n"/>
      <c r="S2102" s="10" t="n"/>
      <c r="AA2102" s="10" t="n"/>
      <c r="AB2102" s="11">
        <f>IF(LEN(TRIM(X2102))=0,"",HYPERLINK("https://www.google.com/maps/@?api=1&amp;map_action=pano&amp;viewpoint="&amp;SUBSTITUTE(X2102," ",""),"Abrir Street View"))</f>
        <v/>
      </c>
    </row>
    <row r="2103">
      <c r="H2103" s="6" t="n"/>
      <c r="I2103" s="6" t="n"/>
      <c r="M2103" s="7" t="n"/>
      <c r="N2103" s="7" t="n"/>
      <c r="O2103" s="7" t="n"/>
      <c r="P2103" s="8">
        <f>IF(NOT(ISNUMBER(M2103)),"",IF(G2103="Terreno",IF(AND(ISNUMBER(I2103),I2103&gt;0),M2103/I2103,""),IF(AND(ISNUMBER(H2103),H2103&gt;0),M2103/H2103,"")))</f>
        <v/>
      </c>
      <c r="Q2103" s="9">
        <f>IF(AND(ISNUMBER(M2103),ISNUMBER(O2103)),IF(M2103&lt;=O2103,"Valor ≤ venal IPTU",""),"")</f>
        <v/>
      </c>
      <c r="R2103" s="10" t="n"/>
      <c r="S2103" s="10" t="n"/>
      <c r="AA2103" s="10" t="n"/>
      <c r="AB2103" s="11">
        <f>IF(LEN(TRIM(X2103))=0,"",HYPERLINK("https://www.google.com/maps/@?api=1&amp;map_action=pano&amp;viewpoint="&amp;SUBSTITUTE(X2103," ",""),"Abrir Street View"))</f>
        <v/>
      </c>
    </row>
    <row r="2104">
      <c r="H2104" s="6" t="n"/>
      <c r="I2104" s="6" t="n"/>
      <c r="M2104" s="7" t="n"/>
      <c r="N2104" s="7" t="n"/>
      <c r="O2104" s="7" t="n"/>
      <c r="P2104" s="8">
        <f>IF(NOT(ISNUMBER(M2104)),"",IF(G2104="Terreno",IF(AND(ISNUMBER(I2104),I2104&gt;0),M2104/I2104,""),IF(AND(ISNUMBER(H2104),H2104&gt;0),M2104/H2104,"")))</f>
        <v/>
      </c>
      <c r="Q2104" s="9">
        <f>IF(AND(ISNUMBER(M2104),ISNUMBER(O2104)),IF(M2104&lt;=O2104,"Valor ≤ venal IPTU",""),"")</f>
        <v/>
      </c>
      <c r="R2104" s="10" t="n"/>
      <c r="S2104" s="10" t="n"/>
      <c r="AA2104" s="10" t="n"/>
      <c r="AB2104" s="11">
        <f>IF(LEN(TRIM(X2104))=0,"",HYPERLINK("https://www.google.com/maps/@?api=1&amp;map_action=pano&amp;viewpoint="&amp;SUBSTITUTE(X2104," ",""),"Abrir Street View"))</f>
        <v/>
      </c>
    </row>
    <row r="2105">
      <c r="H2105" s="6" t="n"/>
      <c r="I2105" s="6" t="n"/>
      <c r="M2105" s="7" t="n"/>
      <c r="N2105" s="7" t="n"/>
      <c r="O2105" s="7" t="n"/>
      <c r="P2105" s="8">
        <f>IF(NOT(ISNUMBER(M2105)),"",IF(G2105="Terreno",IF(AND(ISNUMBER(I2105),I2105&gt;0),M2105/I2105,""),IF(AND(ISNUMBER(H2105),H2105&gt;0),M2105/H2105,"")))</f>
        <v/>
      </c>
      <c r="Q2105" s="9">
        <f>IF(AND(ISNUMBER(M2105),ISNUMBER(O2105)),IF(M2105&lt;=O2105,"Valor ≤ venal IPTU",""),"")</f>
        <v/>
      </c>
      <c r="R2105" s="10" t="n"/>
      <c r="S2105" s="10" t="n"/>
      <c r="AA2105" s="10" t="n"/>
      <c r="AB2105" s="11">
        <f>IF(LEN(TRIM(X2105))=0,"",HYPERLINK("https://www.google.com/maps/@?api=1&amp;map_action=pano&amp;viewpoint="&amp;SUBSTITUTE(X2105," ",""),"Abrir Street View"))</f>
        <v/>
      </c>
    </row>
    <row r="2106">
      <c r="H2106" s="6" t="n"/>
      <c r="I2106" s="6" t="n"/>
      <c r="M2106" s="7" t="n"/>
      <c r="N2106" s="7" t="n"/>
      <c r="O2106" s="7" t="n"/>
      <c r="P2106" s="8">
        <f>IF(NOT(ISNUMBER(M2106)),"",IF(G2106="Terreno",IF(AND(ISNUMBER(I2106),I2106&gt;0),M2106/I2106,""),IF(AND(ISNUMBER(H2106),H2106&gt;0),M2106/H2106,"")))</f>
        <v/>
      </c>
      <c r="Q2106" s="9">
        <f>IF(AND(ISNUMBER(M2106),ISNUMBER(O2106)),IF(M2106&lt;=O2106,"Valor ≤ venal IPTU",""),"")</f>
        <v/>
      </c>
      <c r="R2106" s="10" t="n"/>
      <c r="S2106" s="10" t="n"/>
      <c r="AA2106" s="10" t="n"/>
      <c r="AB2106" s="11">
        <f>IF(LEN(TRIM(X2106))=0,"",HYPERLINK("https://www.google.com/maps/@?api=1&amp;map_action=pano&amp;viewpoint="&amp;SUBSTITUTE(X2106," ",""),"Abrir Street View"))</f>
        <v/>
      </c>
    </row>
    <row r="2107">
      <c r="H2107" s="6" t="n"/>
      <c r="I2107" s="6" t="n"/>
      <c r="M2107" s="7" t="n"/>
      <c r="N2107" s="7" t="n"/>
      <c r="O2107" s="7" t="n"/>
      <c r="P2107" s="8">
        <f>IF(NOT(ISNUMBER(M2107)),"",IF(G2107="Terreno",IF(AND(ISNUMBER(I2107),I2107&gt;0),M2107/I2107,""),IF(AND(ISNUMBER(H2107),H2107&gt;0),M2107/H2107,"")))</f>
        <v/>
      </c>
      <c r="Q2107" s="9">
        <f>IF(AND(ISNUMBER(M2107),ISNUMBER(O2107)),IF(M2107&lt;=O2107,"Valor ≤ venal IPTU",""),"")</f>
        <v/>
      </c>
      <c r="R2107" s="10" t="n"/>
      <c r="S2107" s="10" t="n"/>
      <c r="AA2107" s="10" t="n"/>
      <c r="AB2107" s="11">
        <f>IF(LEN(TRIM(X2107))=0,"",HYPERLINK("https://www.google.com/maps/@?api=1&amp;map_action=pano&amp;viewpoint="&amp;SUBSTITUTE(X2107," ",""),"Abrir Street View"))</f>
        <v/>
      </c>
    </row>
    <row r="2108">
      <c r="H2108" s="6" t="n"/>
      <c r="I2108" s="6" t="n"/>
      <c r="M2108" s="7" t="n"/>
      <c r="N2108" s="7" t="n"/>
      <c r="O2108" s="7" t="n"/>
      <c r="P2108" s="8">
        <f>IF(NOT(ISNUMBER(M2108)),"",IF(G2108="Terreno",IF(AND(ISNUMBER(I2108),I2108&gt;0),M2108/I2108,""),IF(AND(ISNUMBER(H2108),H2108&gt;0),M2108/H2108,"")))</f>
        <v/>
      </c>
      <c r="Q2108" s="9">
        <f>IF(AND(ISNUMBER(M2108),ISNUMBER(O2108)),IF(M2108&lt;=O2108,"Valor ≤ venal IPTU",""),"")</f>
        <v/>
      </c>
      <c r="R2108" s="10" t="n"/>
      <c r="S2108" s="10" t="n"/>
      <c r="AA2108" s="10" t="n"/>
      <c r="AB2108" s="11">
        <f>IF(LEN(TRIM(X2108))=0,"",HYPERLINK("https://www.google.com/maps/@?api=1&amp;map_action=pano&amp;viewpoint="&amp;SUBSTITUTE(X2108," ",""),"Abrir Street View"))</f>
        <v/>
      </c>
    </row>
    <row r="2109">
      <c r="H2109" s="6" t="n"/>
      <c r="I2109" s="6" t="n"/>
      <c r="M2109" s="7" t="n"/>
      <c r="N2109" s="7" t="n"/>
      <c r="O2109" s="7" t="n"/>
      <c r="P2109" s="8">
        <f>IF(NOT(ISNUMBER(M2109)),"",IF(G2109="Terreno",IF(AND(ISNUMBER(I2109),I2109&gt;0),M2109/I2109,""),IF(AND(ISNUMBER(H2109),H2109&gt;0),M2109/H2109,"")))</f>
        <v/>
      </c>
      <c r="Q2109" s="9">
        <f>IF(AND(ISNUMBER(M2109),ISNUMBER(O2109)),IF(M2109&lt;=O2109,"Valor ≤ venal IPTU",""),"")</f>
        <v/>
      </c>
      <c r="R2109" s="10" t="n"/>
      <c r="S2109" s="10" t="n"/>
      <c r="AA2109" s="10" t="n"/>
      <c r="AB2109" s="11">
        <f>IF(LEN(TRIM(X2109))=0,"",HYPERLINK("https://www.google.com/maps/@?api=1&amp;map_action=pano&amp;viewpoint="&amp;SUBSTITUTE(X2109," ",""),"Abrir Street View"))</f>
        <v/>
      </c>
    </row>
    <row r="2110">
      <c r="H2110" s="6" t="n"/>
      <c r="I2110" s="6" t="n"/>
      <c r="M2110" s="7" t="n"/>
      <c r="N2110" s="7" t="n"/>
      <c r="O2110" s="7" t="n"/>
      <c r="P2110" s="8">
        <f>IF(NOT(ISNUMBER(M2110)),"",IF(G2110="Terreno",IF(AND(ISNUMBER(I2110),I2110&gt;0),M2110/I2110,""),IF(AND(ISNUMBER(H2110),H2110&gt;0),M2110/H2110,"")))</f>
        <v/>
      </c>
      <c r="Q2110" s="9">
        <f>IF(AND(ISNUMBER(M2110),ISNUMBER(O2110)),IF(M2110&lt;=O2110,"Valor ≤ venal IPTU",""),"")</f>
        <v/>
      </c>
      <c r="R2110" s="10" t="n"/>
      <c r="S2110" s="10" t="n"/>
      <c r="AA2110" s="10" t="n"/>
      <c r="AB2110" s="11">
        <f>IF(LEN(TRIM(X2110))=0,"",HYPERLINK("https://www.google.com/maps/@?api=1&amp;map_action=pano&amp;viewpoint="&amp;SUBSTITUTE(X2110," ",""),"Abrir Street View"))</f>
        <v/>
      </c>
    </row>
    <row r="2111">
      <c r="H2111" s="6" t="n"/>
      <c r="I2111" s="6" t="n"/>
      <c r="M2111" s="7" t="n"/>
      <c r="N2111" s="7" t="n"/>
      <c r="O2111" s="7" t="n"/>
      <c r="P2111" s="8">
        <f>IF(NOT(ISNUMBER(M2111)),"",IF(G2111="Terreno",IF(AND(ISNUMBER(I2111),I2111&gt;0),M2111/I2111,""),IF(AND(ISNUMBER(H2111),H2111&gt;0),M2111/H2111,"")))</f>
        <v/>
      </c>
      <c r="Q2111" s="9">
        <f>IF(AND(ISNUMBER(M2111),ISNUMBER(O2111)),IF(M2111&lt;=O2111,"Valor ≤ venal IPTU",""),"")</f>
        <v/>
      </c>
      <c r="R2111" s="10" t="n"/>
      <c r="S2111" s="10" t="n"/>
      <c r="AA2111" s="10" t="n"/>
      <c r="AB2111" s="11">
        <f>IF(LEN(TRIM(X2111))=0,"",HYPERLINK("https://www.google.com/maps/@?api=1&amp;map_action=pano&amp;viewpoint="&amp;SUBSTITUTE(X2111," ",""),"Abrir Street View"))</f>
        <v/>
      </c>
    </row>
    <row r="2112">
      <c r="H2112" s="6" t="n"/>
      <c r="I2112" s="6" t="n"/>
      <c r="M2112" s="7" t="n"/>
      <c r="N2112" s="7" t="n"/>
      <c r="O2112" s="7" t="n"/>
      <c r="P2112" s="8">
        <f>IF(NOT(ISNUMBER(M2112)),"",IF(G2112="Terreno",IF(AND(ISNUMBER(I2112),I2112&gt;0),M2112/I2112,""),IF(AND(ISNUMBER(H2112),H2112&gt;0),M2112/H2112,"")))</f>
        <v/>
      </c>
      <c r="Q2112" s="9">
        <f>IF(AND(ISNUMBER(M2112),ISNUMBER(O2112)),IF(M2112&lt;=O2112,"Valor ≤ venal IPTU",""),"")</f>
        <v/>
      </c>
      <c r="R2112" s="10" t="n"/>
      <c r="S2112" s="10" t="n"/>
      <c r="AA2112" s="10" t="n"/>
      <c r="AB2112" s="11">
        <f>IF(LEN(TRIM(X2112))=0,"",HYPERLINK("https://www.google.com/maps/@?api=1&amp;map_action=pano&amp;viewpoint="&amp;SUBSTITUTE(X2112," ",""),"Abrir Street View"))</f>
        <v/>
      </c>
    </row>
    <row r="2113">
      <c r="H2113" s="6" t="n"/>
      <c r="I2113" s="6" t="n"/>
      <c r="M2113" s="7" t="n"/>
      <c r="N2113" s="7" t="n"/>
      <c r="O2113" s="7" t="n"/>
      <c r="P2113" s="8">
        <f>IF(NOT(ISNUMBER(M2113)),"",IF(G2113="Terreno",IF(AND(ISNUMBER(I2113),I2113&gt;0),M2113/I2113,""),IF(AND(ISNUMBER(H2113),H2113&gt;0),M2113/H2113,"")))</f>
        <v/>
      </c>
      <c r="Q2113" s="9">
        <f>IF(AND(ISNUMBER(M2113),ISNUMBER(O2113)),IF(M2113&lt;=O2113,"Valor ≤ venal IPTU",""),"")</f>
        <v/>
      </c>
      <c r="R2113" s="10" t="n"/>
      <c r="S2113" s="10" t="n"/>
      <c r="AA2113" s="10" t="n"/>
      <c r="AB2113" s="11">
        <f>IF(LEN(TRIM(X2113))=0,"",HYPERLINK("https://www.google.com/maps/@?api=1&amp;map_action=pano&amp;viewpoint="&amp;SUBSTITUTE(X2113," ",""),"Abrir Street View"))</f>
        <v/>
      </c>
    </row>
    <row r="2114">
      <c r="H2114" s="6" t="n"/>
      <c r="I2114" s="6" t="n"/>
      <c r="M2114" s="7" t="n"/>
      <c r="N2114" s="7" t="n"/>
      <c r="O2114" s="7" t="n"/>
      <c r="P2114" s="8">
        <f>IF(NOT(ISNUMBER(M2114)),"",IF(G2114="Terreno",IF(AND(ISNUMBER(I2114),I2114&gt;0),M2114/I2114,""),IF(AND(ISNUMBER(H2114),H2114&gt;0),M2114/H2114,"")))</f>
        <v/>
      </c>
      <c r="Q2114" s="9">
        <f>IF(AND(ISNUMBER(M2114),ISNUMBER(O2114)),IF(M2114&lt;=O2114,"Valor ≤ venal IPTU",""),"")</f>
        <v/>
      </c>
      <c r="R2114" s="10" t="n"/>
      <c r="S2114" s="10" t="n"/>
      <c r="AA2114" s="10" t="n"/>
      <c r="AB2114" s="11">
        <f>IF(LEN(TRIM(X2114))=0,"",HYPERLINK("https://www.google.com/maps/@?api=1&amp;map_action=pano&amp;viewpoint="&amp;SUBSTITUTE(X2114," ",""),"Abrir Street View"))</f>
        <v/>
      </c>
    </row>
    <row r="2115">
      <c r="H2115" s="6" t="n"/>
      <c r="I2115" s="6" t="n"/>
      <c r="M2115" s="7" t="n"/>
      <c r="N2115" s="7" t="n"/>
      <c r="O2115" s="7" t="n"/>
      <c r="P2115" s="8">
        <f>IF(NOT(ISNUMBER(M2115)),"",IF(G2115="Terreno",IF(AND(ISNUMBER(I2115),I2115&gt;0),M2115/I2115,""),IF(AND(ISNUMBER(H2115),H2115&gt;0),M2115/H2115,"")))</f>
        <v/>
      </c>
      <c r="Q2115" s="9">
        <f>IF(AND(ISNUMBER(M2115),ISNUMBER(O2115)),IF(M2115&lt;=O2115,"Valor ≤ venal IPTU",""),"")</f>
        <v/>
      </c>
      <c r="R2115" s="10" t="n"/>
      <c r="S2115" s="10" t="n"/>
      <c r="AA2115" s="10" t="n"/>
      <c r="AB2115" s="11">
        <f>IF(LEN(TRIM(X2115))=0,"",HYPERLINK("https://www.google.com/maps/@?api=1&amp;map_action=pano&amp;viewpoint="&amp;SUBSTITUTE(X2115," ",""),"Abrir Street View"))</f>
        <v/>
      </c>
    </row>
    <row r="2116">
      <c r="H2116" s="6" t="n"/>
      <c r="I2116" s="6" t="n"/>
      <c r="M2116" s="7" t="n"/>
      <c r="N2116" s="7" t="n"/>
      <c r="O2116" s="7" t="n"/>
      <c r="P2116" s="8">
        <f>IF(NOT(ISNUMBER(M2116)),"",IF(G2116="Terreno",IF(AND(ISNUMBER(I2116),I2116&gt;0),M2116/I2116,""),IF(AND(ISNUMBER(H2116),H2116&gt;0),M2116/H2116,"")))</f>
        <v/>
      </c>
      <c r="Q2116" s="9">
        <f>IF(AND(ISNUMBER(M2116),ISNUMBER(O2116)),IF(M2116&lt;=O2116,"Valor ≤ venal IPTU",""),"")</f>
        <v/>
      </c>
      <c r="R2116" s="10" t="n"/>
      <c r="S2116" s="10" t="n"/>
      <c r="AA2116" s="10" t="n"/>
      <c r="AB2116" s="11">
        <f>IF(LEN(TRIM(X2116))=0,"",HYPERLINK("https://www.google.com/maps/@?api=1&amp;map_action=pano&amp;viewpoint="&amp;SUBSTITUTE(X2116," ",""),"Abrir Street View"))</f>
        <v/>
      </c>
    </row>
    <row r="2117">
      <c r="H2117" s="6" t="n"/>
      <c r="I2117" s="6" t="n"/>
      <c r="M2117" s="7" t="n"/>
      <c r="N2117" s="7" t="n"/>
      <c r="O2117" s="7" t="n"/>
      <c r="P2117" s="8">
        <f>IF(NOT(ISNUMBER(M2117)),"",IF(G2117="Terreno",IF(AND(ISNUMBER(I2117),I2117&gt;0),M2117/I2117,""),IF(AND(ISNUMBER(H2117),H2117&gt;0),M2117/H2117,"")))</f>
        <v/>
      </c>
      <c r="Q2117" s="9">
        <f>IF(AND(ISNUMBER(M2117),ISNUMBER(O2117)),IF(M2117&lt;=O2117,"Valor ≤ venal IPTU",""),"")</f>
        <v/>
      </c>
      <c r="R2117" s="10" t="n"/>
      <c r="S2117" s="10" t="n"/>
      <c r="AA2117" s="10" t="n"/>
      <c r="AB2117" s="11">
        <f>IF(LEN(TRIM(X2117))=0,"",HYPERLINK("https://www.google.com/maps/@?api=1&amp;map_action=pano&amp;viewpoint="&amp;SUBSTITUTE(X2117," ",""),"Abrir Street View"))</f>
        <v/>
      </c>
    </row>
    <row r="2118">
      <c r="H2118" s="6" t="n"/>
      <c r="I2118" s="6" t="n"/>
      <c r="M2118" s="7" t="n"/>
      <c r="N2118" s="7" t="n"/>
      <c r="O2118" s="7" t="n"/>
      <c r="P2118" s="8">
        <f>IF(NOT(ISNUMBER(M2118)),"",IF(G2118="Terreno",IF(AND(ISNUMBER(I2118),I2118&gt;0),M2118/I2118,""),IF(AND(ISNUMBER(H2118),H2118&gt;0),M2118/H2118,"")))</f>
        <v/>
      </c>
      <c r="Q2118" s="9">
        <f>IF(AND(ISNUMBER(M2118),ISNUMBER(O2118)),IF(M2118&lt;=O2118,"Valor ≤ venal IPTU",""),"")</f>
        <v/>
      </c>
      <c r="R2118" s="10" t="n"/>
      <c r="S2118" s="10" t="n"/>
      <c r="AA2118" s="10" t="n"/>
      <c r="AB2118" s="11">
        <f>IF(LEN(TRIM(X2118))=0,"",HYPERLINK("https://www.google.com/maps/@?api=1&amp;map_action=pano&amp;viewpoint="&amp;SUBSTITUTE(X2118," ",""),"Abrir Street View"))</f>
        <v/>
      </c>
    </row>
    <row r="2119">
      <c r="H2119" s="6" t="n"/>
      <c r="I2119" s="6" t="n"/>
      <c r="M2119" s="7" t="n"/>
      <c r="N2119" s="7" t="n"/>
      <c r="O2119" s="7" t="n"/>
      <c r="P2119" s="8">
        <f>IF(NOT(ISNUMBER(M2119)),"",IF(G2119="Terreno",IF(AND(ISNUMBER(I2119),I2119&gt;0),M2119/I2119,""),IF(AND(ISNUMBER(H2119),H2119&gt;0),M2119/H2119,"")))</f>
        <v/>
      </c>
      <c r="Q2119" s="9">
        <f>IF(AND(ISNUMBER(M2119),ISNUMBER(O2119)),IF(M2119&lt;=O2119,"Valor ≤ venal IPTU",""),"")</f>
        <v/>
      </c>
      <c r="R2119" s="10" t="n"/>
      <c r="S2119" s="10" t="n"/>
      <c r="AA2119" s="10" t="n"/>
      <c r="AB2119" s="11">
        <f>IF(LEN(TRIM(X2119))=0,"",HYPERLINK("https://www.google.com/maps/@?api=1&amp;map_action=pano&amp;viewpoint="&amp;SUBSTITUTE(X2119," ",""),"Abrir Street View"))</f>
        <v/>
      </c>
    </row>
    <row r="2120">
      <c r="H2120" s="6" t="n"/>
      <c r="I2120" s="6" t="n"/>
      <c r="M2120" s="7" t="n"/>
      <c r="N2120" s="7" t="n"/>
      <c r="O2120" s="7" t="n"/>
      <c r="P2120" s="8">
        <f>IF(NOT(ISNUMBER(M2120)),"",IF(G2120="Terreno",IF(AND(ISNUMBER(I2120),I2120&gt;0),M2120/I2120,""),IF(AND(ISNUMBER(H2120),H2120&gt;0),M2120/H2120,"")))</f>
        <v/>
      </c>
      <c r="Q2120" s="9">
        <f>IF(AND(ISNUMBER(M2120),ISNUMBER(O2120)),IF(M2120&lt;=O2120,"Valor ≤ venal IPTU",""),"")</f>
        <v/>
      </c>
      <c r="R2120" s="10" t="n"/>
      <c r="S2120" s="10" t="n"/>
      <c r="AA2120" s="10" t="n"/>
      <c r="AB2120" s="11">
        <f>IF(LEN(TRIM(X2120))=0,"",HYPERLINK("https://www.google.com/maps/@?api=1&amp;map_action=pano&amp;viewpoint="&amp;SUBSTITUTE(X2120," ",""),"Abrir Street View"))</f>
        <v/>
      </c>
    </row>
    <row r="2121">
      <c r="H2121" s="6" t="n"/>
      <c r="I2121" s="6" t="n"/>
      <c r="M2121" s="7" t="n"/>
      <c r="N2121" s="7" t="n"/>
      <c r="O2121" s="7" t="n"/>
      <c r="P2121" s="8">
        <f>IF(NOT(ISNUMBER(M2121)),"",IF(G2121="Terreno",IF(AND(ISNUMBER(I2121),I2121&gt;0),M2121/I2121,""),IF(AND(ISNUMBER(H2121),H2121&gt;0),M2121/H2121,"")))</f>
        <v/>
      </c>
      <c r="Q2121" s="9">
        <f>IF(AND(ISNUMBER(M2121),ISNUMBER(O2121)),IF(M2121&lt;=O2121,"Valor ≤ venal IPTU",""),"")</f>
        <v/>
      </c>
      <c r="R2121" s="10" t="n"/>
      <c r="S2121" s="10" t="n"/>
      <c r="AA2121" s="10" t="n"/>
      <c r="AB2121" s="11">
        <f>IF(LEN(TRIM(X2121))=0,"",HYPERLINK("https://www.google.com/maps/@?api=1&amp;map_action=pano&amp;viewpoint="&amp;SUBSTITUTE(X2121," ",""),"Abrir Street View"))</f>
        <v/>
      </c>
    </row>
    <row r="2122">
      <c r="H2122" s="6" t="n"/>
      <c r="I2122" s="6" t="n"/>
      <c r="M2122" s="7" t="n"/>
      <c r="N2122" s="7" t="n"/>
      <c r="O2122" s="7" t="n"/>
      <c r="P2122" s="8">
        <f>IF(NOT(ISNUMBER(M2122)),"",IF(G2122="Terreno",IF(AND(ISNUMBER(I2122),I2122&gt;0),M2122/I2122,""),IF(AND(ISNUMBER(H2122),H2122&gt;0),M2122/H2122,"")))</f>
        <v/>
      </c>
      <c r="Q2122" s="9">
        <f>IF(AND(ISNUMBER(M2122),ISNUMBER(O2122)),IF(M2122&lt;=O2122,"Valor ≤ venal IPTU",""),"")</f>
        <v/>
      </c>
      <c r="R2122" s="10" t="n"/>
      <c r="S2122" s="10" t="n"/>
      <c r="AA2122" s="10" t="n"/>
      <c r="AB2122" s="11">
        <f>IF(LEN(TRIM(X2122))=0,"",HYPERLINK("https://www.google.com/maps/@?api=1&amp;map_action=pano&amp;viewpoint="&amp;SUBSTITUTE(X2122," ",""),"Abrir Street View"))</f>
        <v/>
      </c>
    </row>
    <row r="2123">
      <c r="H2123" s="6" t="n"/>
      <c r="I2123" s="6" t="n"/>
      <c r="M2123" s="7" t="n"/>
      <c r="N2123" s="7" t="n"/>
      <c r="O2123" s="7" t="n"/>
      <c r="P2123" s="8">
        <f>IF(NOT(ISNUMBER(M2123)),"",IF(G2123="Terreno",IF(AND(ISNUMBER(I2123),I2123&gt;0),M2123/I2123,""),IF(AND(ISNUMBER(H2123),H2123&gt;0),M2123/H2123,"")))</f>
        <v/>
      </c>
      <c r="Q2123" s="9">
        <f>IF(AND(ISNUMBER(M2123),ISNUMBER(O2123)),IF(M2123&lt;=O2123,"Valor ≤ venal IPTU",""),"")</f>
        <v/>
      </c>
      <c r="R2123" s="10" t="n"/>
      <c r="S2123" s="10" t="n"/>
      <c r="AA2123" s="10" t="n"/>
      <c r="AB2123" s="11">
        <f>IF(LEN(TRIM(X2123))=0,"",HYPERLINK("https://www.google.com/maps/@?api=1&amp;map_action=pano&amp;viewpoint="&amp;SUBSTITUTE(X2123," ",""),"Abrir Street View"))</f>
        <v/>
      </c>
    </row>
    <row r="2124">
      <c r="H2124" s="6" t="n"/>
      <c r="I2124" s="6" t="n"/>
      <c r="M2124" s="7" t="n"/>
      <c r="N2124" s="7" t="n"/>
      <c r="O2124" s="7" t="n"/>
      <c r="P2124" s="8">
        <f>IF(NOT(ISNUMBER(M2124)),"",IF(G2124="Terreno",IF(AND(ISNUMBER(I2124),I2124&gt;0),M2124/I2124,""),IF(AND(ISNUMBER(H2124),H2124&gt;0),M2124/H2124,"")))</f>
        <v/>
      </c>
      <c r="Q2124" s="9">
        <f>IF(AND(ISNUMBER(M2124),ISNUMBER(O2124)),IF(M2124&lt;=O2124,"Valor ≤ venal IPTU",""),"")</f>
        <v/>
      </c>
      <c r="R2124" s="10" t="n"/>
      <c r="S2124" s="10" t="n"/>
      <c r="AA2124" s="10" t="n"/>
      <c r="AB2124" s="11">
        <f>IF(LEN(TRIM(X2124))=0,"",HYPERLINK("https://www.google.com/maps/@?api=1&amp;map_action=pano&amp;viewpoint="&amp;SUBSTITUTE(X2124," ",""),"Abrir Street View"))</f>
        <v/>
      </c>
    </row>
    <row r="2125">
      <c r="H2125" s="6" t="n"/>
      <c r="I2125" s="6" t="n"/>
      <c r="M2125" s="7" t="n"/>
      <c r="N2125" s="7" t="n"/>
      <c r="O2125" s="7" t="n"/>
      <c r="P2125" s="8">
        <f>IF(NOT(ISNUMBER(M2125)),"",IF(G2125="Terreno",IF(AND(ISNUMBER(I2125),I2125&gt;0),M2125/I2125,""),IF(AND(ISNUMBER(H2125),H2125&gt;0),M2125/H2125,"")))</f>
        <v/>
      </c>
      <c r="Q2125" s="9">
        <f>IF(AND(ISNUMBER(M2125),ISNUMBER(O2125)),IF(M2125&lt;=O2125,"Valor ≤ venal IPTU",""),"")</f>
        <v/>
      </c>
      <c r="R2125" s="10" t="n"/>
      <c r="S2125" s="10" t="n"/>
      <c r="AA2125" s="10" t="n"/>
      <c r="AB2125" s="11">
        <f>IF(LEN(TRIM(X2125))=0,"",HYPERLINK("https://www.google.com/maps/@?api=1&amp;map_action=pano&amp;viewpoint="&amp;SUBSTITUTE(X2125," ",""),"Abrir Street View"))</f>
        <v/>
      </c>
    </row>
    <row r="2126">
      <c r="H2126" s="6" t="n"/>
      <c r="I2126" s="6" t="n"/>
      <c r="M2126" s="7" t="n"/>
      <c r="N2126" s="7" t="n"/>
      <c r="O2126" s="7" t="n"/>
      <c r="P2126" s="8">
        <f>IF(NOT(ISNUMBER(M2126)),"",IF(G2126="Terreno",IF(AND(ISNUMBER(I2126),I2126&gt;0),M2126/I2126,""),IF(AND(ISNUMBER(H2126),H2126&gt;0),M2126/H2126,"")))</f>
        <v/>
      </c>
      <c r="Q2126" s="9">
        <f>IF(AND(ISNUMBER(M2126),ISNUMBER(O2126)),IF(M2126&lt;=O2126,"Valor ≤ venal IPTU",""),"")</f>
        <v/>
      </c>
      <c r="R2126" s="10" t="n"/>
      <c r="S2126" s="10" t="n"/>
      <c r="AA2126" s="10" t="n"/>
      <c r="AB2126" s="11">
        <f>IF(LEN(TRIM(X2126))=0,"",HYPERLINK("https://www.google.com/maps/@?api=1&amp;map_action=pano&amp;viewpoint="&amp;SUBSTITUTE(X2126," ",""),"Abrir Street View"))</f>
        <v/>
      </c>
    </row>
    <row r="2127">
      <c r="H2127" s="6" t="n"/>
      <c r="I2127" s="6" t="n"/>
      <c r="M2127" s="7" t="n"/>
      <c r="N2127" s="7" t="n"/>
      <c r="O2127" s="7" t="n"/>
      <c r="P2127" s="8">
        <f>IF(NOT(ISNUMBER(M2127)),"",IF(G2127="Terreno",IF(AND(ISNUMBER(I2127),I2127&gt;0),M2127/I2127,""),IF(AND(ISNUMBER(H2127),H2127&gt;0),M2127/H2127,"")))</f>
        <v/>
      </c>
      <c r="Q2127" s="9">
        <f>IF(AND(ISNUMBER(M2127),ISNUMBER(O2127)),IF(M2127&lt;=O2127,"Valor ≤ venal IPTU",""),"")</f>
        <v/>
      </c>
      <c r="R2127" s="10" t="n"/>
      <c r="S2127" s="10" t="n"/>
      <c r="AA2127" s="10" t="n"/>
      <c r="AB2127" s="11">
        <f>IF(LEN(TRIM(X2127))=0,"",HYPERLINK("https://www.google.com/maps/@?api=1&amp;map_action=pano&amp;viewpoint="&amp;SUBSTITUTE(X2127," ",""),"Abrir Street View"))</f>
        <v/>
      </c>
    </row>
    <row r="2128">
      <c r="H2128" s="6" t="n"/>
      <c r="I2128" s="6" t="n"/>
      <c r="M2128" s="7" t="n"/>
      <c r="N2128" s="7" t="n"/>
      <c r="O2128" s="7" t="n"/>
      <c r="P2128" s="8">
        <f>IF(NOT(ISNUMBER(M2128)),"",IF(G2128="Terreno",IF(AND(ISNUMBER(I2128),I2128&gt;0),M2128/I2128,""),IF(AND(ISNUMBER(H2128),H2128&gt;0),M2128/H2128,"")))</f>
        <v/>
      </c>
      <c r="Q2128" s="9">
        <f>IF(AND(ISNUMBER(M2128),ISNUMBER(O2128)),IF(M2128&lt;=O2128,"Valor ≤ venal IPTU",""),"")</f>
        <v/>
      </c>
      <c r="R2128" s="10" t="n"/>
      <c r="S2128" s="10" t="n"/>
      <c r="AA2128" s="10" t="n"/>
      <c r="AB2128" s="11">
        <f>IF(LEN(TRIM(X2128))=0,"",HYPERLINK("https://www.google.com/maps/@?api=1&amp;map_action=pano&amp;viewpoint="&amp;SUBSTITUTE(X2128," ",""),"Abrir Street View"))</f>
        <v/>
      </c>
    </row>
    <row r="2129">
      <c r="H2129" s="6" t="n"/>
      <c r="I2129" s="6" t="n"/>
      <c r="M2129" s="7" t="n"/>
      <c r="N2129" s="7" t="n"/>
      <c r="O2129" s="7" t="n"/>
      <c r="P2129" s="8">
        <f>IF(NOT(ISNUMBER(M2129)),"",IF(G2129="Terreno",IF(AND(ISNUMBER(I2129),I2129&gt;0),M2129/I2129,""),IF(AND(ISNUMBER(H2129),H2129&gt;0),M2129/H2129,"")))</f>
        <v/>
      </c>
      <c r="Q2129" s="9">
        <f>IF(AND(ISNUMBER(M2129),ISNUMBER(O2129)),IF(M2129&lt;=O2129,"Valor ≤ venal IPTU",""),"")</f>
        <v/>
      </c>
      <c r="R2129" s="10" t="n"/>
      <c r="S2129" s="10" t="n"/>
      <c r="AA2129" s="10" t="n"/>
      <c r="AB2129" s="11">
        <f>IF(LEN(TRIM(X2129))=0,"",HYPERLINK("https://www.google.com/maps/@?api=1&amp;map_action=pano&amp;viewpoint="&amp;SUBSTITUTE(X2129," ",""),"Abrir Street View"))</f>
        <v/>
      </c>
    </row>
    <row r="2130">
      <c r="H2130" s="6" t="n"/>
      <c r="I2130" s="6" t="n"/>
      <c r="M2130" s="7" t="n"/>
      <c r="N2130" s="7" t="n"/>
      <c r="O2130" s="7" t="n"/>
      <c r="P2130" s="8">
        <f>IF(NOT(ISNUMBER(M2130)),"",IF(G2130="Terreno",IF(AND(ISNUMBER(I2130),I2130&gt;0),M2130/I2130,""),IF(AND(ISNUMBER(H2130),H2130&gt;0),M2130/H2130,"")))</f>
        <v/>
      </c>
      <c r="Q2130" s="9">
        <f>IF(AND(ISNUMBER(M2130),ISNUMBER(O2130)),IF(M2130&lt;=O2130,"Valor ≤ venal IPTU",""),"")</f>
        <v/>
      </c>
      <c r="R2130" s="10" t="n"/>
      <c r="S2130" s="10" t="n"/>
      <c r="AA2130" s="10" t="n"/>
      <c r="AB2130" s="11">
        <f>IF(LEN(TRIM(X2130))=0,"",HYPERLINK("https://www.google.com/maps/@?api=1&amp;map_action=pano&amp;viewpoint="&amp;SUBSTITUTE(X2130," ",""),"Abrir Street View"))</f>
        <v/>
      </c>
    </row>
    <row r="2131">
      <c r="H2131" s="6" t="n"/>
      <c r="I2131" s="6" t="n"/>
      <c r="M2131" s="7" t="n"/>
      <c r="N2131" s="7" t="n"/>
      <c r="O2131" s="7" t="n"/>
      <c r="P2131" s="8">
        <f>IF(NOT(ISNUMBER(M2131)),"",IF(G2131="Terreno",IF(AND(ISNUMBER(I2131),I2131&gt;0),M2131/I2131,""),IF(AND(ISNUMBER(H2131),H2131&gt;0),M2131/H2131,"")))</f>
        <v/>
      </c>
      <c r="Q2131" s="9">
        <f>IF(AND(ISNUMBER(M2131),ISNUMBER(O2131)),IF(M2131&lt;=O2131,"Valor ≤ venal IPTU",""),"")</f>
        <v/>
      </c>
      <c r="R2131" s="10" t="n"/>
      <c r="S2131" s="10" t="n"/>
      <c r="AA2131" s="10" t="n"/>
      <c r="AB2131" s="11">
        <f>IF(LEN(TRIM(X2131))=0,"",HYPERLINK("https://www.google.com/maps/@?api=1&amp;map_action=pano&amp;viewpoint="&amp;SUBSTITUTE(X2131," ",""),"Abrir Street View"))</f>
        <v/>
      </c>
    </row>
    <row r="2132">
      <c r="H2132" s="6" t="n"/>
      <c r="I2132" s="6" t="n"/>
      <c r="M2132" s="7" t="n"/>
      <c r="N2132" s="7" t="n"/>
      <c r="O2132" s="7" t="n"/>
      <c r="P2132" s="8">
        <f>IF(NOT(ISNUMBER(M2132)),"",IF(G2132="Terreno",IF(AND(ISNUMBER(I2132),I2132&gt;0),M2132/I2132,""),IF(AND(ISNUMBER(H2132),H2132&gt;0),M2132/H2132,"")))</f>
        <v/>
      </c>
      <c r="Q2132" s="9">
        <f>IF(AND(ISNUMBER(M2132),ISNUMBER(O2132)),IF(M2132&lt;=O2132,"Valor ≤ venal IPTU",""),"")</f>
        <v/>
      </c>
      <c r="R2132" s="10" t="n"/>
      <c r="S2132" s="10" t="n"/>
      <c r="AA2132" s="10" t="n"/>
      <c r="AB2132" s="11">
        <f>IF(LEN(TRIM(X2132))=0,"",HYPERLINK("https://www.google.com/maps/@?api=1&amp;map_action=pano&amp;viewpoint="&amp;SUBSTITUTE(X2132," ",""),"Abrir Street View"))</f>
        <v/>
      </c>
    </row>
    <row r="2133">
      <c r="H2133" s="6" t="n"/>
      <c r="I2133" s="6" t="n"/>
      <c r="M2133" s="7" t="n"/>
      <c r="N2133" s="7" t="n"/>
      <c r="O2133" s="7" t="n"/>
      <c r="P2133" s="8">
        <f>IF(NOT(ISNUMBER(M2133)),"",IF(G2133="Terreno",IF(AND(ISNUMBER(I2133),I2133&gt;0),M2133/I2133,""),IF(AND(ISNUMBER(H2133),H2133&gt;0),M2133/H2133,"")))</f>
        <v/>
      </c>
      <c r="Q2133" s="9">
        <f>IF(AND(ISNUMBER(M2133),ISNUMBER(O2133)),IF(M2133&lt;=O2133,"Valor ≤ venal IPTU",""),"")</f>
        <v/>
      </c>
      <c r="R2133" s="10" t="n"/>
      <c r="S2133" s="10" t="n"/>
      <c r="AA2133" s="10" t="n"/>
      <c r="AB2133" s="11">
        <f>IF(LEN(TRIM(X2133))=0,"",HYPERLINK("https://www.google.com/maps/@?api=1&amp;map_action=pano&amp;viewpoint="&amp;SUBSTITUTE(X2133," ",""),"Abrir Street View"))</f>
        <v/>
      </c>
    </row>
    <row r="2134">
      <c r="H2134" s="6" t="n"/>
      <c r="I2134" s="6" t="n"/>
      <c r="M2134" s="7" t="n"/>
      <c r="N2134" s="7" t="n"/>
      <c r="O2134" s="7" t="n"/>
      <c r="P2134" s="8">
        <f>IF(NOT(ISNUMBER(M2134)),"",IF(G2134="Terreno",IF(AND(ISNUMBER(I2134),I2134&gt;0),M2134/I2134,""),IF(AND(ISNUMBER(H2134),H2134&gt;0),M2134/H2134,"")))</f>
        <v/>
      </c>
      <c r="Q2134" s="9">
        <f>IF(AND(ISNUMBER(M2134),ISNUMBER(O2134)),IF(M2134&lt;=O2134,"Valor ≤ venal IPTU",""),"")</f>
        <v/>
      </c>
      <c r="R2134" s="10" t="n"/>
      <c r="S2134" s="10" t="n"/>
      <c r="AA2134" s="10" t="n"/>
      <c r="AB2134" s="11">
        <f>IF(LEN(TRIM(X2134))=0,"",HYPERLINK("https://www.google.com/maps/@?api=1&amp;map_action=pano&amp;viewpoint="&amp;SUBSTITUTE(X2134," ",""),"Abrir Street View"))</f>
        <v/>
      </c>
    </row>
    <row r="2135">
      <c r="H2135" s="6" t="n"/>
      <c r="I2135" s="6" t="n"/>
      <c r="M2135" s="7" t="n"/>
      <c r="N2135" s="7" t="n"/>
      <c r="O2135" s="7" t="n"/>
      <c r="P2135" s="8">
        <f>IF(NOT(ISNUMBER(M2135)),"",IF(G2135="Terreno",IF(AND(ISNUMBER(I2135),I2135&gt;0),M2135/I2135,""),IF(AND(ISNUMBER(H2135),H2135&gt;0),M2135/H2135,"")))</f>
        <v/>
      </c>
      <c r="Q2135" s="9">
        <f>IF(AND(ISNUMBER(M2135),ISNUMBER(O2135)),IF(M2135&lt;=O2135,"Valor ≤ venal IPTU",""),"")</f>
        <v/>
      </c>
      <c r="R2135" s="10" t="n"/>
      <c r="S2135" s="10" t="n"/>
      <c r="AA2135" s="10" t="n"/>
      <c r="AB2135" s="11">
        <f>IF(LEN(TRIM(X2135))=0,"",HYPERLINK("https://www.google.com/maps/@?api=1&amp;map_action=pano&amp;viewpoint="&amp;SUBSTITUTE(X2135," ",""),"Abrir Street View"))</f>
        <v/>
      </c>
    </row>
    <row r="2136">
      <c r="H2136" s="6" t="n"/>
      <c r="I2136" s="6" t="n"/>
      <c r="M2136" s="7" t="n"/>
      <c r="N2136" s="7" t="n"/>
      <c r="O2136" s="7" t="n"/>
      <c r="P2136" s="8">
        <f>IF(NOT(ISNUMBER(M2136)),"",IF(G2136="Terreno",IF(AND(ISNUMBER(I2136),I2136&gt;0),M2136/I2136,""),IF(AND(ISNUMBER(H2136),H2136&gt;0),M2136/H2136,"")))</f>
        <v/>
      </c>
      <c r="Q2136" s="9">
        <f>IF(AND(ISNUMBER(M2136),ISNUMBER(O2136)),IF(M2136&lt;=O2136,"Valor ≤ venal IPTU",""),"")</f>
        <v/>
      </c>
      <c r="R2136" s="10" t="n"/>
      <c r="S2136" s="10" t="n"/>
      <c r="AA2136" s="10" t="n"/>
      <c r="AB2136" s="11">
        <f>IF(LEN(TRIM(X2136))=0,"",HYPERLINK("https://www.google.com/maps/@?api=1&amp;map_action=pano&amp;viewpoint="&amp;SUBSTITUTE(X2136," ",""),"Abrir Street View"))</f>
        <v/>
      </c>
    </row>
    <row r="2137">
      <c r="H2137" s="6" t="n"/>
      <c r="I2137" s="6" t="n"/>
      <c r="M2137" s="7" t="n"/>
      <c r="N2137" s="7" t="n"/>
      <c r="O2137" s="7" t="n"/>
      <c r="P2137" s="8">
        <f>IF(NOT(ISNUMBER(M2137)),"",IF(G2137="Terreno",IF(AND(ISNUMBER(I2137),I2137&gt;0),M2137/I2137,""),IF(AND(ISNUMBER(H2137),H2137&gt;0),M2137/H2137,"")))</f>
        <v/>
      </c>
      <c r="Q2137" s="9">
        <f>IF(AND(ISNUMBER(M2137),ISNUMBER(O2137)),IF(M2137&lt;=O2137,"Valor ≤ venal IPTU",""),"")</f>
        <v/>
      </c>
      <c r="R2137" s="10" t="n"/>
      <c r="S2137" s="10" t="n"/>
      <c r="AA2137" s="10" t="n"/>
      <c r="AB2137" s="11">
        <f>IF(LEN(TRIM(X2137))=0,"",HYPERLINK("https://www.google.com/maps/@?api=1&amp;map_action=pano&amp;viewpoint="&amp;SUBSTITUTE(X2137," ",""),"Abrir Street View"))</f>
        <v/>
      </c>
    </row>
    <row r="2138">
      <c r="H2138" s="6" t="n"/>
      <c r="I2138" s="6" t="n"/>
      <c r="M2138" s="7" t="n"/>
      <c r="N2138" s="7" t="n"/>
      <c r="O2138" s="7" t="n"/>
      <c r="P2138" s="8">
        <f>IF(NOT(ISNUMBER(M2138)),"",IF(G2138="Terreno",IF(AND(ISNUMBER(I2138),I2138&gt;0),M2138/I2138,""),IF(AND(ISNUMBER(H2138),H2138&gt;0),M2138/H2138,"")))</f>
        <v/>
      </c>
      <c r="Q2138" s="9">
        <f>IF(AND(ISNUMBER(M2138),ISNUMBER(O2138)),IF(M2138&lt;=O2138,"Valor ≤ venal IPTU",""),"")</f>
        <v/>
      </c>
      <c r="R2138" s="10" t="n"/>
      <c r="S2138" s="10" t="n"/>
      <c r="AA2138" s="10" t="n"/>
      <c r="AB2138" s="11">
        <f>IF(LEN(TRIM(X2138))=0,"",HYPERLINK("https://www.google.com/maps/@?api=1&amp;map_action=pano&amp;viewpoint="&amp;SUBSTITUTE(X2138," ",""),"Abrir Street View"))</f>
        <v/>
      </c>
    </row>
    <row r="2139">
      <c r="H2139" s="6" t="n"/>
      <c r="I2139" s="6" t="n"/>
      <c r="M2139" s="7" t="n"/>
      <c r="N2139" s="7" t="n"/>
      <c r="O2139" s="7" t="n"/>
      <c r="P2139" s="8">
        <f>IF(NOT(ISNUMBER(M2139)),"",IF(G2139="Terreno",IF(AND(ISNUMBER(I2139),I2139&gt;0),M2139/I2139,""),IF(AND(ISNUMBER(H2139),H2139&gt;0),M2139/H2139,"")))</f>
        <v/>
      </c>
      <c r="Q2139" s="9">
        <f>IF(AND(ISNUMBER(M2139),ISNUMBER(O2139)),IF(M2139&lt;=O2139,"Valor ≤ venal IPTU",""),"")</f>
        <v/>
      </c>
      <c r="R2139" s="10" t="n"/>
      <c r="S2139" s="10" t="n"/>
      <c r="AA2139" s="10" t="n"/>
      <c r="AB2139" s="11">
        <f>IF(LEN(TRIM(X2139))=0,"",HYPERLINK("https://www.google.com/maps/@?api=1&amp;map_action=pano&amp;viewpoint="&amp;SUBSTITUTE(X2139," ",""),"Abrir Street View"))</f>
        <v/>
      </c>
    </row>
    <row r="2140">
      <c r="H2140" s="6" t="n"/>
      <c r="I2140" s="6" t="n"/>
      <c r="M2140" s="7" t="n"/>
      <c r="N2140" s="7" t="n"/>
      <c r="O2140" s="7" t="n"/>
      <c r="P2140" s="8">
        <f>IF(NOT(ISNUMBER(M2140)),"",IF(G2140="Terreno",IF(AND(ISNUMBER(I2140),I2140&gt;0),M2140/I2140,""),IF(AND(ISNUMBER(H2140),H2140&gt;0),M2140/H2140,"")))</f>
        <v/>
      </c>
      <c r="Q2140" s="9">
        <f>IF(AND(ISNUMBER(M2140),ISNUMBER(O2140)),IF(M2140&lt;=O2140,"Valor ≤ venal IPTU",""),"")</f>
        <v/>
      </c>
      <c r="R2140" s="10" t="n"/>
      <c r="S2140" s="10" t="n"/>
      <c r="AA2140" s="10" t="n"/>
      <c r="AB2140" s="11">
        <f>IF(LEN(TRIM(X2140))=0,"",HYPERLINK("https://www.google.com/maps/@?api=1&amp;map_action=pano&amp;viewpoint="&amp;SUBSTITUTE(X2140," ",""),"Abrir Street View"))</f>
        <v/>
      </c>
    </row>
    <row r="2141">
      <c r="H2141" s="6" t="n"/>
      <c r="I2141" s="6" t="n"/>
      <c r="M2141" s="7" t="n"/>
      <c r="N2141" s="7" t="n"/>
      <c r="O2141" s="7" t="n"/>
      <c r="P2141" s="8">
        <f>IF(NOT(ISNUMBER(M2141)),"",IF(G2141="Terreno",IF(AND(ISNUMBER(I2141),I2141&gt;0),M2141/I2141,""),IF(AND(ISNUMBER(H2141),H2141&gt;0),M2141/H2141,"")))</f>
        <v/>
      </c>
      <c r="Q2141" s="9">
        <f>IF(AND(ISNUMBER(M2141),ISNUMBER(O2141)),IF(M2141&lt;=O2141,"Valor ≤ venal IPTU",""),"")</f>
        <v/>
      </c>
      <c r="R2141" s="10" t="n"/>
      <c r="S2141" s="10" t="n"/>
      <c r="AA2141" s="10" t="n"/>
      <c r="AB2141" s="11">
        <f>IF(LEN(TRIM(X2141))=0,"",HYPERLINK("https://www.google.com/maps/@?api=1&amp;map_action=pano&amp;viewpoint="&amp;SUBSTITUTE(X2141," ",""),"Abrir Street View"))</f>
        <v/>
      </c>
    </row>
    <row r="2142">
      <c r="H2142" s="6" t="n"/>
      <c r="I2142" s="6" t="n"/>
      <c r="M2142" s="7" t="n"/>
      <c r="N2142" s="7" t="n"/>
      <c r="O2142" s="7" t="n"/>
      <c r="P2142" s="8">
        <f>IF(NOT(ISNUMBER(M2142)),"",IF(G2142="Terreno",IF(AND(ISNUMBER(I2142),I2142&gt;0),M2142/I2142,""),IF(AND(ISNUMBER(H2142),H2142&gt;0),M2142/H2142,"")))</f>
        <v/>
      </c>
      <c r="Q2142" s="9">
        <f>IF(AND(ISNUMBER(M2142),ISNUMBER(O2142)),IF(M2142&lt;=O2142,"Valor ≤ venal IPTU",""),"")</f>
        <v/>
      </c>
      <c r="R2142" s="10" t="n"/>
      <c r="S2142" s="10" t="n"/>
      <c r="AA2142" s="10" t="n"/>
      <c r="AB2142" s="11">
        <f>IF(LEN(TRIM(X2142))=0,"",HYPERLINK("https://www.google.com/maps/@?api=1&amp;map_action=pano&amp;viewpoint="&amp;SUBSTITUTE(X2142," ",""),"Abrir Street View"))</f>
        <v/>
      </c>
    </row>
    <row r="2143">
      <c r="H2143" s="6" t="n"/>
      <c r="I2143" s="6" t="n"/>
      <c r="M2143" s="7" t="n"/>
      <c r="N2143" s="7" t="n"/>
      <c r="O2143" s="7" t="n"/>
      <c r="P2143" s="8">
        <f>IF(NOT(ISNUMBER(M2143)),"",IF(G2143="Terreno",IF(AND(ISNUMBER(I2143),I2143&gt;0),M2143/I2143,""),IF(AND(ISNUMBER(H2143),H2143&gt;0),M2143/H2143,"")))</f>
        <v/>
      </c>
      <c r="Q2143" s="9">
        <f>IF(AND(ISNUMBER(M2143),ISNUMBER(O2143)),IF(M2143&lt;=O2143,"Valor ≤ venal IPTU",""),"")</f>
        <v/>
      </c>
      <c r="R2143" s="10" t="n"/>
      <c r="S2143" s="10" t="n"/>
      <c r="AA2143" s="10" t="n"/>
      <c r="AB2143" s="11">
        <f>IF(LEN(TRIM(X2143))=0,"",HYPERLINK("https://www.google.com/maps/@?api=1&amp;map_action=pano&amp;viewpoint="&amp;SUBSTITUTE(X2143," ",""),"Abrir Street View"))</f>
        <v/>
      </c>
    </row>
    <row r="2144">
      <c r="H2144" s="6" t="n"/>
      <c r="I2144" s="6" t="n"/>
      <c r="M2144" s="7" t="n"/>
      <c r="N2144" s="7" t="n"/>
      <c r="O2144" s="7" t="n"/>
      <c r="P2144" s="8">
        <f>IF(NOT(ISNUMBER(M2144)),"",IF(G2144="Terreno",IF(AND(ISNUMBER(I2144),I2144&gt;0),M2144/I2144,""),IF(AND(ISNUMBER(H2144),H2144&gt;0),M2144/H2144,"")))</f>
        <v/>
      </c>
      <c r="Q2144" s="9">
        <f>IF(AND(ISNUMBER(M2144),ISNUMBER(O2144)),IF(M2144&lt;=O2144,"Valor ≤ venal IPTU",""),"")</f>
        <v/>
      </c>
      <c r="R2144" s="10" t="n"/>
      <c r="S2144" s="10" t="n"/>
      <c r="AA2144" s="10" t="n"/>
      <c r="AB2144" s="11">
        <f>IF(LEN(TRIM(X2144))=0,"",HYPERLINK("https://www.google.com/maps/@?api=1&amp;map_action=pano&amp;viewpoint="&amp;SUBSTITUTE(X2144," ",""),"Abrir Street View"))</f>
        <v/>
      </c>
    </row>
    <row r="2145">
      <c r="H2145" s="6" t="n"/>
      <c r="I2145" s="6" t="n"/>
      <c r="M2145" s="7" t="n"/>
      <c r="N2145" s="7" t="n"/>
      <c r="O2145" s="7" t="n"/>
      <c r="P2145" s="8">
        <f>IF(NOT(ISNUMBER(M2145)),"",IF(G2145="Terreno",IF(AND(ISNUMBER(I2145),I2145&gt;0),M2145/I2145,""),IF(AND(ISNUMBER(H2145),H2145&gt;0),M2145/H2145,"")))</f>
        <v/>
      </c>
      <c r="Q2145" s="9">
        <f>IF(AND(ISNUMBER(M2145),ISNUMBER(O2145)),IF(M2145&lt;=O2145,"Valor ≤ venal IPTU",""),"")</f>
        <v/>
      </c>
      <c r="R2145" s="10" t="n"/>
      <c r="S2145" s="10" t="n"/>
      <c r="AA2145" s="10" t="n"/>
      <c r="AB2145" s="11">
        <f>IF(LEN(TRIM(X2145))=0,"",HYPERLINK("https://www.google.com/maps/@?api=1&amp;map_action=pano&amp;viewpoint="&amp;SUBSTITUTE(X2145," ",""),"Abrir Street View"))</f>
        <v/>
      </c>
    </row>
    <row r="2146">
      <c r="H2146" s="6" t="n"/>
      <c r="I2146" s="6" t="n"/>
      <c r="M2146" s="7" t="n"/>
      <c r="N2146" s="7" t="n"/>
      <c r="O2146" s="7" t="n"/>
      <c r="P2146" s="8">
        <f>IF(NOT(ISNUMBER(M2146)),"",IF(G2146="Terreno",IF(AND(ISNUMBER(I2146),I2146&gt;0),M2146/I2146,""),IF(AND(ISNUMBER(H2146),H2146&gt;0),M2146/H2146,"")))</f>
        <v/>
      </c>
      <c r="Q2146" s="9">
        <f>IF(AND(ISNUMBER(M2146),ISNUMBER(O2146)),IF(M2146&lt;=O2146,"Valor ≤ venal IPTU",""),"")</f>
        <v/>
      </c>
      <c r="R2146" s="10" t="n"/>
      <c r="S2146" s="10" t="n"/>
      <c r="AA2146" s="10" t="n"/>
      <c r="AB2146" s="11">
        <f>IF(LEN(TRIM(X2146))=0,"",HYPERLINK("https://www.google.com/maps/@?api=1&amp;map_action=pano&amp;viewpoint="&amp;SUBSTITUTE(X2146," ",""),"Abrir Street View"))</f>
        <v/>
      </c>
    </row>
    <row r="2147">
      <c r="H2147" s="6" t="n"/>
      <c r="I2147" s="6" t="n"/>
      <c r="M2147" s="7" t="n"/>
      <c r="N2147" s="7" t="n"/>
      <c r="O2147" s="7" t="n"/>
      <c r="P2147" s="8">
        <f>IF(NOT(ISNUMBER(M2147)),"",IF(G2147="Terreno",IF(AND(ISNUMBER(I2147),I2147&gt;0),M2147/I2147,""),IF(AND(ISNUMBER(H2147),H2147&gt;0),M2147/H2147,"")))</f>
        <v/>
      </c>
      <c r="Q2147" s="9">
        <f>IF(AND(ISNUMBER(M2147),ISNUMBER(O2147)),IF(M2147&lt;=O2147,"Valor ≤ venal IPTU",""),"")</f>
        <v/>
      </c>
      <c r="R2147" s="10" t="n"/>
      <c r="S2147" s="10" t="n"/>
      <c r="AA2147" s="10" t="n"/>
      <c r="AB2147" s="11">
        <f>IF(LEN(TRIM(X2147))=0,"",HYPERLINK("https://www.google.com/maps/@?api=1&amp;map_action=pano&amp;viewpoint="&amp;SUBSTITUTE(X2147," ",""),"Abrir Street View"))</f>
        <v/>
      </c>
    </row>
    <row r="2148">
      <c r="H2148" s="6" t="n"/>
      <c r="I2148" s="6" t="n"/>
      <c r="M2148" s="7" t="n"/>
      <c r="N2148" s="7" t="n"/>
      <c r="O2148" s="7" t="n"/>
      <c r="P2148" s="8">
        <f>IF(NOT(ISNUMBER(M2148)),"",IF(G2148="Terreno",IF(AND(ISNUMBER(I2148),I2148&gt;0),M2148/I2148,""),IF(AND(ISNUMBER(H2148),H2148&gt;0),M2148/H2148,"")))</f>
        <v/>
      </c>
      <c r="Q2148" s="9">
        <f>IF(AND(ISNUMBER(M2148),ISNUMBER(O2148)),IF(M2148&lt;=O2148,"Valor ≤ venal IPTU",""),"")</f>
        <v/>
      </c>
      <c r="R2148" s="10" t="n"/>
      <c r="S2148" s="10" t="n"/>
      <c r="AA2148" s="10" t="n"/>
      <c r="AB2148" s="11">
        <f>IF(LEN(TRIM(X2148))=0,"",HYPERLINK("https://www.google.com/maps/@?api=1&amp;map_action=pano&amp;viewpoint="&amp;SUBSTITUTE(X2148," ",""),"Abrir Street View"))</f>
        <v/>
      </c>
    </row>
    <row r="2149">
      <c r="H2149" s="6" t="n"/>
      <c r="I2149" s="6" t="n"/>
      <c r="M2149" s="7" t="n"/>
      <c r="N2149" s="7" t="n"/>
      <c r="O2149" s="7" t="n"/>
      <c r="P2149" s="8">
        <f>IF(NOT(ISNUMBER(M2149)),"",IF(G2149="Terreno",IF(AND(ISNUMBER(I2149),I2149&gt;0),M2149/I2149,""),IF(AND(ISNUMBER(H2149),H2149&gt;0),M2149/H2149,"")))</f>
        <v/>
      </c>
      <c r="Q2149" s="9">
        <f>IF(AND(ISNUMBER(M2149),ISNUMBER(O2149)),IF(M2149&lt;=O2149,"Valor ≤ venal IPTU",""),"")</f>
        <v/>
      </c>
      <c r="R2149" s="10" t="n"/>
      <c r="S2149" s="10" t="n"/>
      <c r="AA2149" s="10" t="n"/>
      <c r="AB2149" s="11">
        <f>IF(LEN(TRIM(X2149))=0,"",HYPERLINK("https://www.google.com/maps/@?api=1&amp;map_action=pano&amp;viewpoint="&amp;SUBSTITUTE(X2149," ",""),"Abrir Street View"))</f>
        <v/>
      </c>
    </row>
    <row r="2150">
      <c r="H2150" s="6" t="n"/>
      <c r="I2150" s="6" t="n"/>
      <c r="M2150" s="7" t="n"/>
      <c r="N2150" s="7" t="n"/>
      <c r="O2150" s="7" t="n"/>
      <c r="P2150" s="8">
        <f>IF(NOT(ISNUMBER(M2150)),"",IF(G2150="Terreno",IF(AND(ISNUMBER(I2150),I2150&gt;0),M2150/I2150,""),IF(AND(ISNUMBER(H2150),H2150&gt;0),M2150/H2150,"")))</f>
        <v/>
      </c>
      <c r="Q2150" s="9">
        <f>IF(AND(ISNUMBER(M2150),ISNUMBER(O2150)),IF(M2150&lt;=O2150,"Valor ≤ venal IPTU",""),"")</f>
        <v/>
      </c>
      <c r="R2150" s="10" t="n"/>
      <c r="S2150" s="10" t="n"/>
      <c r="AA2150" s="10" t="n"/>
      <c r="AB2150" s="11">
        <f>IF(LEN(TRIM(X2150))=0,"",HYPERLINK("https://www.google.com/maps/@?api=1&amp;map_action=pano&amp;viewpoint="&amp;SUBSTITUTE(X2150," ",""),"Abrir Street View"))</f>
        <v/>
      </c>
    </row>
    <row r="2151">
      <c r="H2151" s="6" t="n"/>
      <c r="I2151" s="6" t="n"/>
      <c r="M2151" s="7" t="n"/>
      <c r="N2151" s="7" t="n"/>
      <c r="O2151" s="7" t="n"/>
      <c r="P2151" s="8">
        <f>IF(NOT(ISNUMBER(M2151)),"",IF(G2151="Terreno",IF(AND(ISNUMBER(I2151),I2151&gt;0),M2151/I2151,""),IF(AND(ISNUMBER(H2151),H2151&gt;0),M2151/H2151,"")))</f>
        <v/>
      </c>
      <c r="Q2151" s="9">
        <f>IF(AND(ISNUMBER(M2151),ISNUMBER(O2151)),IF(M2151&lt;=O2151,"Valor ≤ venal IPTU",""),"")</f>
        <v/>
      </c>
      <c r="R2151" s="10" t="n"/>
      <c r="S2151" s="10" t="n"/>
      <c r="AA2151" s="10" t="n"/>
      <c r="AB2151" s="11">
        <f>IF(LEN(TRIM(X2151))=0,"",HYPERLINK("https://www.google.com/maps/@?api=1&amp;map_action=pano&amp;viewpoint="&amp;SUBSTITUTE(X2151," ",""),"Abrir Street View"))</f>
        <v/>
      </c>
    </row>
    <row r="2152">
      <c r="H2152" s="6" t="n"/>
      <c r="I2152" s="6" t="n"/>
      <c r="M2152" s="7" t="n"/>
      <c r="N2152" s="7" t="n"/>
      <c r="O2152" s="7" t="n"/>
      <c r="P2152" s="8">
        <f>IF(NOT(ISNUMBER(M2152)),"",IF(G2152="Terreno",IF(AND(ISNUMBER(I2152),I2152&gt;0),M2152/I2152,""),IF(AND(ISNUMBER(H2152),H2152&gt;0),M2152/H2152,"")))</f>
        <v/>
      </c>
      <c r="Q2152" s="9">
        <f>IF(AND(ISNUMBER(M2152),ISNUMBER(O2152)),IF(M2152&lt;=O2152,"Valor ≤ venal IPTU",""),"")</f>
        <v/>
      </c>
      <c r="R2152" s="10" t="n"/>
      <c r="S2152" s="10" t="n"/>
      <c r="AA2152" s="10" t="n"/>
      <c r="AB2152" s="11">
        <f>IF(LEN(TRIM(X2152))=0,"",HYPERLINK("https://www.google.com/maps/@?api=1&amp;map_action=pano&amp;viewpoint="&amp;SUBSTITUTE(X2152," ",""),"Abrir Street View"))</f>
        <v/>
      </c>
    </row>
    <row r="2153">
      <c r="H2153" s="6" t="n"/>
      <c r="I2153" s="6" t="n"/>
      <c r="M2153" s="7" t="n"/>
      <c r="N2153" s="7" t="n"/>
      <c r="O2153" s="7" t="n"/>
      <c r="P2153" s="8">
        <f>IF(NOT(ISNUMBER(M2153)),"",IF(G2153="Terreno",IF(AND(ISNUMBER(I2153),I2153&gt;0),M2153/I2153,""),IF(AND(ISNUMBER(H2153),H2153&gt;0),M2153/H2153,"")))</f>
        <v/>
      </c>
      <c r="Q2153" s="9">
        <f>IF(AND(ISNUMBER(M2153),ISNUMBER(O2153)),IF(M2153&lt;=O2153,"Valor ≤ venal IPTU",""),"")</f>
        <v/>
      </c>
      <c r="R2153" s="10" t="n"/>
      <c r="S2153" s="10" t="n"/>
      <c r="AA2153" s="10" t="n"/>
      <c r="AB2153" s="11">
        <f>IF(LEN(TRIM(X2153))=0,"",HYPERLINK("https://www.google.com/maps/@?api=1&amp;map_action=pano&amp;viewpoint="&amp;SUBSTITUTE(X2153," ",""),"Abrir Street View"))</f>
        <v/>
      </c>
    </row>
    <row r="2154">
      <c r="H2154" s="6" t="n"/>
      <c r="I2154" s="6" t="n"/>
      <c r="M2154" s="7" t="n"/>
      <c r="N2154" s="7" t="n"/>
      <c r="O2154" s="7" t="n"/>
      <c r="P2154" s="8">
        <f>IF(NOT(ISNUMBER(M2154)),"",IF(G2154="Terreno",IF(AND(ISNUMBER(I2154),I2154&gt;0),M2154/I2154,""),IF(AND(ISNUMBER(H2154),H2154&gt;0),M2154/H2154,"")))</f>
        <v/>
      </c>
      <c r="Q2154" s="9">
        <f>IF(AND(ISNUMBER(M2154),ISNUMBER(O2154)),IF(M2154&lt;=O2154,"Valor ≤ venal IPTU",""),"")</f>
        <v/>
      </c>
      <c r="R2154" s="10" t="n"/>
      <c r="S2154" s="10" t="n"/>
      <c r="AA2154" s="10" t="n"/>
      <c r="AB2154" s="11">
        <f>IF(LEN(TRIM(X2154))=0,"",HYPERLINK("https://www.google.com/maps/@?api=1&amp;map_action=pano&amp;viewpoint="&amp;SUBSTITUTE(X2154," ",""),"Abrir Street View"))</f>
        <v/>
      </c>
    </row>
    <row r="2155">
      <c r="H2155" s="6" t="n"/>
      <c r="I2155" s="6" t="n"/>
      <c r="M2155" s="7" t="n"/>
      <c r="N2155" s="7" t="n"/>
      <c r="O2155" s="7" t="n"/>
      <c r="P2155" s="8">
        <f>IF(NOT(ISNUMBER(M2155)),"",IF(G2155="Terreno",IF(AND(ISNUMBER(I2155),I2155&gt;0),M2155/I2155,""),IF(AND(ISNUMBER(H2155),H2155&gt;0),M2155/H2155,"")))</f>
        <v/>
      </c>
      <c r="Q2155" s="9">
        <f>IF(AND(ISNUMBER(M2155),ISNUMBER(O2155)),IF(M2155&lt;=O2155,"Valor ≤ venal IPTU",""),"")</f>
        <v/>
      </c>
      <c r="R2155" s="10" t="n"/>
      <c r="S2155" s="10" t="n"/>
      <c r="AA2155" s="10" t="n"/>
      <c r="AB2155" s="11">
        <f>IF(LEN(TRIM(X2155))=0,"",HYPERLINK("https://www.google.com/maps/@?api=1&amp;map_action=pano&amp;viewpoint="&amp;SUBSTITUTE(X2155," ",""),"Abrir Street View"))</f>
        <v/>
      </c>
    </row>
    <row r="2156">
      <c r="H2156" s="6" t="n"/>
      <c r="I2156" s="6" t="n"/>
      <c r="M2156" s="7" t="n"/>
      <c r="N2156" s="7" t="n"/>
      <c r="O2156" s="7" t="n"/>
      <c r="P2156" s="8">
        <f>IF(NOT(ISNUMBER(M2156)),"",IF(G2156="Terreno",IF(AND(ISNUMBER(I2156),I2156&gt;0),M2156/I2156,""),IF(AND(ISNUMBER(H2156),H2156&gt;0),M2156/H2156,"")))</f>
        <v/>
      </c>
      <c r="Q2156" s="9">
        <f>IF(AND(ISNUMBER(M2156),ISNUMBER(O2156)),IF(M2156&lt;=O2156,"Valor ≤ venal IPTU",""),"")</f>
        <v/>
      </c>
      <c r="R2156" s="10" t="n"/>
      <c r="S2156" s="10" t="n"/>
      <c r="AA2156" s="10" t="n"/>
      <c r="AB2156" s="11">
        <f>IF(LEN(TRIM(X2156))=0,"",HYPERLINK("https://www.google.com/maps/@?api=1&amp;map_action=pano&amp;viewpoint="&amp;SUBSTITUTE(X2156," ",""),"Abrir Street View"))</f>
        <v/>
      </c>
    </row>
    <row r="2157">
      <c r="H2157" s="6" t="n"/>
      <c r="I2157" s="6" t="n"/>
      <c r="M2157" s="7" t="n"/>
      <c r="N2157" s="7" t="n"/>
      <c r="O2157" s="7" t="n"/>
      <c r="P2157" s="8">
        <f>IF(NOT(ISNUMBER(M2157)),"",IF(G2157="Terreno",IF(AND(ISNUMBER(I2157),I2157&gt;0),M2157/I2157,""),IF(AND(ISNUMBER(H2157),H2157&gt;0),M2157/H2157,"")))</f>
        <v/>
      </c>
      <c r="Q2157" s="9">
        <f>IF(AND(ISNUMBER(M2157),ISNUMBER(O2157)),IF(M2157&lt;=O2157,"Valor ≤ venal IPTU",""),"")</f>
        <v/>
      </c>
      <c r="R2157" s="10" t="n"/>
      <c r="S2157" s="10" t="n"/>
      <c r="AA2157" s="10" t="n"/>
      <c r="AB2157" s="11">
        <f>IF(LEN(TRIM(X2157))=0,"",HYPERLINK("https://www.google.com/maps/@?api=1&amp;map_action=pano&amp;viewpoint="&amp;SUBSTITUTE(X2157," ",""),"Abrir Street View"))</f>
        <v/>
      </c>
    </row>
    <row r="2158">
      <c r="H2158" s="6" t="n"/>
      <c r="I2158" s="6" t="n"/>
      <c r="M2158" s="7" t="n"/>
      <c r="N2158" s="7" t="n"/>
      <c r="O2158" s="7" t="n"/>
      <c r="P2158" s="8">
        <f>IF(NOT(ISNUMBER(M2158)),"",IF(G2158="Terreno",IF(AND(ISNUMBER(I2158),I2158&gt;0),M2158/I2158,""),IF(AND(ISNUMBER(H2158),H2158&gt;0),M2158/H2158,"")))</f>
        <v/>
      </c>
      <c r="Q2158" s="9">
        <f>IF(AND(ISNUMBER(M2158),ISNUMBER(O2158)),IF(M2158&lt;=O2158,"Valor ≤ venal IPTU",""),"")</f>
        <v/>
      </c>
      <c r="R2158" s="10" t="n"/>
      <c r="S2158" s="10" t="n"/>
      <c r="AA2158" s="10" t="n"/>
      <c r="AB2158" s="11">
        <f>IF(LEN(TRIM(X2158))=0,"",HYPERLINK("https://www.google.com/maps/@?api=1&amp;map_action=pano&amp;viewpoint="&amp;SUBSTITUTE(X2158," ",""),"Abrir Street View"))</f>
        <v/>
      </c>
    </row>
    <row r="2159">
      <c r="H2159" s="6" t="n"/>
      <c r="I2159" s="6" t="n"/>
      <c r="M2159" s="7" t="n"/>
      <c r="N2159" s="7" t="n"/>
      <c r="O2159" s="7" t="n"/>
      <c r="P2159" s="8">
        <f>IF(NOT(ISNUMBER(M2159)),"",IF(G2159="Terreno",IF(AND(ISNUMBER(I2159),I2159&gt;0),M2159/I2159,""),IF(AND(ISNUMBER(H2159),H2159&gt;0),M2159/H2159,"")))</f>
        <v/>
      </c>
      <c r="Q2159" s="9">
        <f>IF(AND(ISNUMBER(M2159),ISNUMBER(O2159)),IF(M2159&lt;=O2159,"Valor ≤ venal IPTU",""),"")</f>
        <v/>
      </c>
      <c r="R2159" s="10" t="n"/>
      <c r="S2159" s="10" t="n"/>
      <c r="AA2159" s="10" t="n"/>
      <c r="AB2159" s="11">
        <f>IF(LEN(TRIM(X2159))=0,"",HYPERLINK("https://www.google.com/maps/@?api=1&amp;map_action=pano&amp;viewpoint="&amp;SUBSTITUTE(X2159," ",""),"Abrir Street View"))</f>
        <v/>
      </c>
    </row>
    <row r="2160">
      <c r="H2160" s="6" t="n"/>
      <c r="I2160" s="6" t="n"/>
      <c r="M2160" s="7" t="n"/>
      <c r="N2160" s="7" t="n"/>
      <c r="O2160" s="7" t="n"/>
      <c r="P2160" s="8">
        <f>IF(NOT(ISNUMBER(M2160)),"",IF(G2160="Terreno",IF(AND(ISNUMBER(I2160),I2160&gt;0),M2160/I2160,""),IF(AND(ISNUMBER(H2160),H2160&gt;0),M2160/H2160,"")))</f>
        <v/>
      </c>
      <c r="Q2160" s="9">
        <f>IF(AND(ISNUMBER(M2160),ISNUMBER(O2160)),IF(M2160&lt;=O2160,"Valor ≤ venal IPTU",""),"")</f>
        <v/>
      </c>
      <c r="R2160" s="10" t="n"/>
      <c r="S2160" s="10" t="n"/>
      <c r="AA2160" s="10" t="n"/>
      <c r="AB2160" s="11">
        <f>IF(LEN(TRIM(X2160))=0,"",HYPERLINK("https://www.google.com/maps/@?api=1&amp;map_action=pano&amp;viewpoint="&amp;SUBSTITUTE(X2160," ",""),"Abrir Street View"))</f>
        <v/>
      </c>
    </row>
    <row r="2161">
      <c r="H2161" s="6" t="n"/>
      <c r="I2161" s="6" t="n"/>
      <c r="M2161" s="7" t="n"/>
      <c r="N2161" s="7" t="n"/>
      <c r="O2161" s="7" t="n"/>
      <c r="P2161" s="8">
        <f>IF(NOT(ISNUMBER(M2161)),"",IF(G2161="Terreno",IF(AND(ISNUMBER(I2161),I2161&gt;0),M2161/I2161,""),IF(AND(ISNUMBER(H2161),H2161&gt;0),M2161/H2161,"")))</f>
        <v/>
      </c>
      <c r="Q2161" s="9">
        <f>IF(AND(ISNUMBER(M2161),ISNUMBER(O2161)),IF(M2161&lt;=O2161,"Valor ≤ venal IPTU",""),"")</f>
        <v/>
      </c>
      <c r="R2161" s="10" t="n"/>
      <c r="S2161" s="10" t="n"/>
      <c r="AA2161" s="10" t="n"/>
      <c r="AB2161" s="11">
        <f>IF(LEN(TRIM(X2161))=0,"",HYPERLINK("https://www.google.com/maps/@?api=1&amp;map_action=pano&amp;viewpoint="&amp;SUBSTITUTE(X2161," ",""),"Abrir Street View"))</f>
        <v/>
      </c>
    </row>
    <row r="2162">
      <c r="H2162" s="6" t="n"/>
      <c r="I2162" s="6" t="n"/>
      <c r="M2162" s="7" t="n"/>
      <c r="N2162" s="7" t="n"/>
      <c r="O2162" s="7" t="n"/>
      <c r="P2162" s="8">
        <f>IF(NOT(ISNUMBER(M2162)),"",IF(G2162="Terreno",IF(AND(ISNUMBER(I2162),I2162&gt;0),M2162/I2162,""),IF(AND(ISNUMBER(H2162),H2162&gt;0),M2162/H2162,"")))</f>
        <v/>
      </c>
      <c r="Q2162" s="9">
        <f>IF(AND(ISNUMBER(M2162),ISNUMBER(O2162)),IF(M2162&lt;=O2162,"Valor ≤ venal IPTU",""),"")</f>
        <v/>
      </c>
      <c r="R2162" s="10" t="n"/>
      <c r="S2162" s="10" t="n"/>
      <c r="AA2162" s="10" t="n"/>
      <c r="AB2162" s="11">
        <f>IF(LEN(TRIM(X2162))=0,"",HYPERLINK("https://www.google.com/maps/@?api=1&amp;map_action=pano&amp;viewpoint="&amp;SUBSTITUTE(X2162," ",""),"Abrir Street View"))</f>
        <v/>
      </c>
    </row>
    <row r="2163">
      <c r="H2163" s="6" t="n"/>
      <c r="I2163" s="6" t="n"/>
      <c r="M2163" s="7" t="n"/>
      <c r="N2163" s="7" t="n"/>
      <c r="O2163" s="7" t="n"/>
      <c r="P2163" s="8">
        <f>IF(NOT(ISNUMBER(M2163)),"",IF(G2163="Terreno",IF(AND(ISNUMBER(I2163),I2163&gt;0),M2163/I2163,""),IF(AND(ISNUMBER(H2163),H2163&gt;0),M2163/H2163,"")))</f>
        <v/>
      </c>
      <c r="Q2163" s="9">
        <f>IF(AND(ISNUMBER(M2163),ISNUMBER(O2163)),IF(M2163&lt;=O2163,"Valor ≤ venal IPTU",""),"")</f>
        <v/>
      </c>
      <c r="R2163" s="10" t="n"/>
      <c r="S2163" s="10" t="n"/>
      <c r="AA2163" s="10" t="n"/>
      <c r="AB2163" s="11">
        <f>IF(LEN(TRIM(X2163))=0,"",HYPERLINK("https://www.google.com/maps/@?api=1&amp;map_action=pano&amp;viewpoint="&amp;SUBSTITUTE(X2163," ",""),"Abrir Street View"))</f>
        <v/>
      </c>
    </row>
    <row r="2164">
      <c r="H2164" s="6" t="n"/>
      <c r="I2164" s="6" t="n"/>
      <c r="M2164" s="7" t="n"/>
      <c r="N2164" s="7" t="n"/>
      <c r="O2164" s="7" t="n"/>
      <c r="P2164" s="8">
        <f>IF(NOT(ISNUMBER(M2164)),"",IF(G2164="Terreno",IF(AND(ISNUMBER(I2164),I2164&gt;0),M2164/I2164,""),IF(AND(ISNUMBER(H2164),H2164&gt;0),M2164/H2164,"")))</f>
        <v/>
      </c>
      <c r="Q2164" s="9">
        <f>IF(AND(ISNUMBER(M2164),ISNUMBER(O2164)),IF(M2164&lt;=O2164,"Valor ≤ venal IPTU",""),"")</f>
        <v/>
      </c>
      <c r="R2164" s="10" t="n"/>
      <c r="S2164" s="10" t="n"/>
      <c r="AA2164" s="10" t="n"/>
      <c r="AB2164" s="11">
        <f>IF(LEN(TRIM(X2164))=0,"",HYPERLINK("https://www.google.com/maps/@?api=1&amp;map_action=pano&amp;viewpoint="&amp;SUBSTITUTE(X2164," ",""),"Abrir Street View"))</f>
        <v/>
      </c>
    </row>
    <row r="2165">
      <c r="H2165" s="6" t="n"/>
      <c r="I2165" s="6" t="n"/>
      <c r="M2165" s="7" t="n"/>
      <c r="N2165" s="7" t="n"/>
      <c r="O2165" s="7" t="n"/>
      <c r="P2165" s="8">
        <f>IF(NOT(ISNUMBER(M2165)),"",IF(G2165="Terreno",IF(AND(ISNUMBER(I2165),I2165&gt;0),M2165/I2165,""),IF(AND(ISNUMBER(H2165),H2165&gt;0),M2165/H2165,"")))</f>
        <v/>
      </c>
      <c r="Q2165" s="9">
        <f>IF(AND(ISNUMBER(M2165),ISNUMBER(O2165)),IF(M2165&lt;=O2165,"Valor ≤ venal IPTU",""),"")</f>
        <v/>
      </c>
      <c r="R2165" s="10" t="n"/>
      <c r="S2165" s="10" t="n"/>
      <c r="AA2165" s="10" t="n"/>
      <c r="AB2165" s="11">
        <f>IF(LEN(TRIM(X2165))=0,"",HYPERLINK("https://www.google.com/maps/@?api=1&amp;map_action=pano&amp;viewpoint="&amp;SUBSTITUTE(X2165," ",""),"Abrir Street View"))</f>
        <v/>
      </c>
    </row>
    <row r="2166">
      <c r="H2166" s="6" t="n"/>
      <c r="I2166" s="6" t="n"/>
      <c r="M2166" s="7" t="n"/>
      <c r="N2166" s="7" t="n"/>
      <c r="O2166" s="7" t="n"/>
      <c r="P2166" s="8">
        <f>IF(NOT(ISNUMBER(M2166)),"",IF(G2166="Terreno",IF(AND(ISNUMBER(I2166),I2166&gt;0),M2166/I2166,""),IF(AND(ISNUMBER(H2166),H2166&gt;0),M2166/H2166,"")))</f>
        <v/>
      </c>
      <c r="Q2166" s="9">
        <f>IF(AND(ISNUMBER(M2166),ISNUMBER(O2166)),IF(M2166&lt;=O2166,"Valor ≤ venal IPTU",""),"")</f>
        <v/>
      </c>
      <c r="R2166" s="10" t="n"/>
      <c r="S2166" s="10" t="n"/>
      <c r="AA2166" s="10" t="n"/>
      <c r="AB2166" s="11">
        <f>IF(LEN(TRIM(X2166))=0,"",HYPERLINK("https://www.google.com/maps/@?api=1&amp;map_action=pano&amp;viewpoint="&amp;SUBSTITUTE(X2166," ",""),"Abrir Street View"))</f>
        <v/>
      </c>
    </row>
    <row r="2167">
      <c r="H2167" s="6" t="n"/>
      <c r="I2167" s="6" t="n"/>
      <c r="M2167" s="7" t="n"/>
      <c r="N2167" s="7" t="n"/>
      <c r="O2167" s="7" t="n"/>
      <c r="P2167" s="8">
        <f>IF(NOT(ISNUMBER(M2167)),"",IF(G2167="Terreno",IF(AND(ISNUMBER(I2167),I2167&gt;0),M2167/I2167,""),IF(AND(ISNUMBER(H2167),H2167&gt;0),M2167/H2167,"")))</f>
        <v/>
      </c>
      <c r="Q2167" s="9">
        <f>IF(AND(ISNUMBER(M2167),ISNUMBER(O2167)),IF(M2167&lt;=O2167,"Valor ≤ venal IPTU",""),"")</f>
        <v/>
      </c>
      <c r="R2167" s="10" t="n"/>
      <c r="S2167" s="10" t="n"/>
      <c r="AA2167" s="10" t="n"/>
      <c r="AB2167" s="11">
        <f>IF(LEN(TRIM(X2167))=0,"",HYPERLINK("https://www.google.com/maps/@?api=1&amp;map_action=pano&amp;viewpoint="&amp;SUBSTITUTE(X2167," ",""),"Abrir Street View"))</f>
        <v/>
      </c>
    </row>
    <row r="2168">
      <c r="H2168" s="6" t="n"/>
      <c r="I2168" s="6" t="n"/>
      <c r="M2168" s="7" t="n"/>
      <c r="N2168" s="7" t="n"/>
      <c r="O2168" s="7" t="n"/>
      <c r="P2168" s="8">
        <f>IF(NOT(ISNUMBER(M2168)),"",IF(G2168="Terreno",IF(AND(ISNUMBER(I2168),I2168&gt;0),M2168/I2168,""),IF(AND(ISNUMBER(H2168),H2168&gt;0),M2168/H2168,"")))</f>
        <v/>
      </c>
      <c r="Q2168" s="9">
        <f>IF(AND(ISNUMBER(M2168),ISNUMBER(O2168)),IF(M2168&lt;=O2168,"Valor ≤ venal IPTU",""),"")</f>
        <v/>
      </c>
      <c r="R2168" s="10" t="n"/>
      <c r="S2168" s="10" t="n"/>
      <c r="AA2168" s="10" t="n"/>
      <c r="AB2168" s="11">
        <f>IF(LEN(TRIM(X2168))=0,"",HYPERLINK("https://www.google.com/maps/@?api=1&amp;map_action=pano&amp;viewpoint="&amp;SUBSTITUTE(X2168," ",""),"Abrir Street View"))</f>
        <v/>
      </c>
    </row>
    <row r="2169">
      <c r="H2169" s="6" t="n"/>
      <c r="I2169" s="6" t="n"/>
      <c r="M2169" s="7" t="n"/>
      <c r="N2169" s="7" t="n"/>
      <c r="O2169" s="7" t="n"/>
      <c r="P2169" s="8">
        <f>IF(NOT(ISNUMBER(M2169)),"",IF(G2169="Terreno",IF(AND(ISNUMBER(I2169),I2169&gt;0),M2169/I2169,""),IF(AND(ISNUMBER(H2169),H2169&gt;0),M2169/H2169,"")))</f>
        <v/>
      </c>
      <c r="Q2169" s="9">
        <f>IF(AND(ISNUMBER(M2169),ISNUMBER(O2169)),IF(M2169&lt;=O2169,"Valor ≤ venal IPTU",""),"")</f>
        <v/>
      </c>
      <c r="R2169" s="10" t="n"/>
      <c r="S2169" s="10" t="n"/>
      <c r="AA2169" s="10" t="n"/>
      <c r="AB2169" s="11">
        <f>IF(LEN(TRIM(X2169))=0,"",HYPERLINK("https://www.google.com/maps/@?api=1&amp;map_action=pano&amp;viewpoint="&amp;SUBSTITUTE(X2169," ",""),"Abrir Street View"))</f>
        <v/>
      </c>
    </row>
    <row r="2170">
      <c r="H2170" s="6" t="n"/>
      <c r="I2170" s="6" t="n"/>
      <c r="M2170" s="7" t="n"/>
      <c r="N2170" s="7" t="n"/>
      <c r="O2170" s="7" t="n"/>
      <c r="P2170" s="8">
        <f>IF(NOT(ISNUMBER(M2170)),"",IF(G2170="Terreno",IF(AND(ISNUMBER(I2170),I2170&gt;0),M2170/I2170,""),IF(AND(ISNUMBER(H2170),H2170&gt;0),M2170/H2170,"")))</f>
        <v/>
      </c>
      <c r="Q2170" s="9">
        <f>IF(AND(ISNUMBER(M2170),ISNUMBER(O2170)),IF(M2170&lt;=O2170,"Valor ≤ venal IPTU",""),"")</f>
        <v/>
      </c>
      <c r="R2170" s="10" t="n"/>
      <c r="S2170" s="10" t="n"/>
      <c r="AA2170" s="10" t="n"/>
      <c r="AB2170" s="11">
        <f>IF(LEN(TRIM(X2170))=0,"",HYPERLINK("https://www.google.com/maps/@?api=1&amp;map_action=pano&amp;viewpoint="&amp;SUBSTITUTE(X2170," ",""),"Abrir Street View"))</f>
        <v/>
      </c>
    </row>
    <row r="2171">
      <c r="H2171" s="6" t="n"/>
      <c r="I2171" s="6" t="n"/>
      <c r="M2171" s="7" t="n"/>
      <c r="N2171" s="7" t="n"/>
      <c r="O2171" s="7" t="n"/>
      <c r="P2171" s="8">
        <f>IF(NOT(ISNUMBER(M2171)),"",IF(G2171="Terreno",IF(AND(ISNUMBER(I2171),I2171&gt;0),M2171/I2171,""),IF(AND(ISNUMBER(H2171),H2171&gt;0),M2171/H2171,"")))</f>
        <v/>
      </c>
      <c r="Q2171" s="9">
        <f>IF(AND(ISNUMBER(M2171),ISNUMBER(O2171)),IF(M2171&lt;=O2171,"Valor ≤ venal IPTU",""),"")</f>
        <v/>
      </c>
      <c r="R2171" s="10" t="n"/>
      <c r="S2171" s="10" t="n"/>
      <c r="AA2171" s="10" t="n"/>
      <c r="AB2171" s="11">
        <f>IF(LEN(TRIM(X2171))=0,"",HYPERLINK("https://www.google.com/maps/@?api=1&amp;map_action=pano&amp;viewpoint="&amp;SUBSTITUTE(X2171," ",""),"Abrir Street View"))</f>
        <v/>
      </c>
    </row>
    <row r="2172">
      <c r="H2172" s="6" t="n"/>
      <c r="I2172" s="6" t="n"/>
      <c r="M2172" s="7" t="n"/>
      <c r="N2172" s="7" t="n"/>
      <c r="O2172" s="7" t="n"/>
      <c r="P2172" s="8">
        <f>IF(NOT(ISNUMBER(M2172)),"",IF(G2172="Terreno",IF(AND(ISNUMBER(I2172),I2172&gt;0),M2172/I2172,""),IF(AND(ISNUMBER(H2172),H2172&gt;0),M2172/H2172,"")))</f>
        <v/>
      </c>
      <c r="Q2172" s="9">
        <f>IF(AND(ISNUMBER(M2172),ISNUMBER(O2172)),IF(M2172&lt;=O2172,"Valor ≤ venal IPTU",""),"")</f>
        <v/>
      </c>
      <c r="R2172" s="10" t="n"/>
      <c r="S2172" s="10" t="n"/>
      <c r="AA2172" s="10" t="n"/>
      <c r="AB2172" s="11">
        <f>IF(LEN(TRIM(X2172))=0,"",HYPERLINK("https://www.google.com/maps/@?api=1&amp;map_action=pano&amp;viewpoint="&amp;SUBSTITUTE(X2172," ",""),"Abrir Street View"))</f>
        <v/>
      </c>
    </row>
    <row r="2173">
      <c r="H2173" s="6" t="n"/>
      <c r="I2173" s="6" t="n"/>
      <c r="M2173" s="7" t="n"/>
      <c r="N2173" s="7" t="n"/>
      <c r="O2173" s="7" t="n"/>
      <c r="P2173" s="8">
        <f>IF(NOT(ISNUMBER(M2173)),"",IF(G2173="Terreno",IF(AND(ISNUMBER(I2173),I2173&gt;0),M2173/I2173,""),IF(AND(ISNUMBER(H2173),H2173&gt;0),M2173/H2173,"")))</f>
        <v/>
      </c>
      <c r="Q2173" s="9">
        <f>IF(AND(ISNUMBER(M2173),ISNUMBER(O2173)),IF(M2173&lt;=O2173,"Valor ≤ venal IPTU",""),"")</f>
        <v/>
      </c>
      <c r="R2173" s="10" t="n"/>
      <c r="S2173" s="10" t="n"/>
      <c r="AA2173" s="10" t="n"/>
      <c r="AB2173" s="11">
        <f>IF(LEN(TRIM(X2173))=0,"",HYPERLINK("https://www.google.com/maps/@?api=1&amp;map_action=pano&amp;viewpoint="&amp;SUBSTITUTE(X2173," ",""),"Abrir Street View"))</f>
        <v/>
      </c>
    </row>
    <row r="2174">
      <c r="H2174" s="6" t="n"/>
      <c r="I2174" s="6" t="n"/>
      <c r="M2174" s="7" t="n"/>
      <c r="N2174" s="7" t="n"/>
      <c r="O2174" s="7" t="n"/>
      <c r="P2174" s="8">
        <f>IF(NOT(ISNUMBER(M2174)),"",IF(G2174="Terreno",IF(AND(ISNUMBER(I2174),I2174&gt;0),M2174/I2174,""),IF(AND(ISNUMBER(H2174),H2174&gt;0),M2174/H2174,"")))</f>
        <v/>
      </c>
      <c r="Q2174" s="9">
        <f>IF(AND(ISNUMBER(M2174),ISNUMBER(O2174)),IF(M2174&lt;=O2174,"Valor ≤ venal IPTU",""),"")</f>
        <v/>
      </c>
      <c r="R2174" s="10" t="n"/>
      <c r="S2174" s="10" t="n"/>
      <c r="AA2174" s="10" t="n"/>
      <c r="AB2174" s="11">
        <f>IF(LEN(TRIM(X2174))=0,"",HYPERLINK("https://www.google.com/maps/@?api=1&amp;map_action=pano&amp;viewpoint="&amp;SUBSTITUTE(X2174," ",""),"Abrir Street View"))</f>
        <v/>
      </c>
    </row>
    <row r="2175">
      <c r="H2175" s="6" t="n"/>
      <c r="I2175" s="6" t="n"/>
      <c r="M2175" s="7" t="n"/>
      <c r="N2175" s="7" t="n"/>
      <c r="O2175" s="7" t="n"/>
      <c r="P2175" s="8">
        <f>IF(NOT(ISNUMBER(M2175)),"",IF(G2175="Terreno",IF(AND(ISNUMBER(I2175),I2175&gt;0),M2175/I2175,""),IF(AND(ISNUMBER(H2175),H2175&gt;0),M2175/H2175,"")))</f>
        <v/>
      </c>
      <c r="Q2175" s="9">
        <f>IF(AND(ISNUMBER(M2175),ISNUMBER(O2175)),IF(M2175&lt;=O2175,"Valor ≤ venal IPTU",""),"")</f>
        <v/>
      </c>
      <c r="R2175" s="10" t="n"/>
      <c r="S2175" s="10" t="n"/>
      <c r="AA2175" s="10" t="n"/>
      <c r="AB2175" s="11">
        <f>IF(LEN(TRIM(X2175))=0,"",HYPERLINK("https://www.google.com/maps/@?api=1&amp;map_action=pano&amp;viewpoint="&amp;SUBSTITUTE(X2175," ",""),"Abrir Street View"))</f>
        <v/>
      </c>
    </row>
    <row r="2176">
      <c r="H2176" s="6" t="n"/>
      <c r="I2176" s="6" t="n"/>
      <c r="M2176" s="7" t="n"/>
      <c r="N2176" s="7" t="n"/>
      <c r="O2176" s="7" t="n"/>
      <c r="P2176" s="8">
        <f>IF(NOT(ISNUMBER(M2176)),"",IF(G2176="Terreno",IF(AND(ISNUMBER(I2176),I2176&gt;0),M2176/I2176,""),IF(AND(ISNUMBER(H2176),H2176&gt;0),M2176/H2176,"")))</f>
        <v/>
      </c>
      <c r="Q2176" s="9">
        <f>IF(AND(ISNUMBER(M2176),ISNUMBER(O2176)),IF(M2176&lt;=O2176,"Valor ≤ venal IPTU",""),"")</f>
        <v/>
      </c>
      <c r="R2176" s="10" t="n"/>
      <c r="S2176" s="10" t="n"/>
      <c r="AA2176" s="10" t="n"/>
      <c r="AB2176" s="11">
        <f>IF(LEN(TRIM(X2176))=0,"",HYPERLINK("https://www.google.com/maps/@?api=1&amp;map_action=pano&amp;viewpoint="&amp;SUBSTITUTE(X2176," ",""),"Abrir Street View"))</f>
        <v/>
      </c>
    </row>
    <row r="2177">
      <c r="H2177" s="6" t="n"/>
      <c r="I2177" s="6" t="n"/>
      <c r="M2177" s="7" t="n"/>
      <c r="N2177" s="7" t="n"/>
      <c r="O2177" s="7" t="n"/>
      <c r="P2177" s="8">
        <f>IF(NOT(ISNUMBER(M2177)),"",IF(G2177="Terreno",IF(AND(ISNUMBER(I2177),I2177&gt;0),M2177/I2177,""),IF(AND(ISNUMBER(H2177),H2177&gt;0),M2177/H2177,"")))</f>
        <v/>
      </c>
      <c r="Q2177" s="9">
        <f>IF(AND(ISNUMBER(M2177),ISNUMBER(O2177)),IF(M2177&lt;=O2177,"Valor ≤ venal IPTU",""),"")</f>
        <v/>
      </c>
      <c r="R2177" s="10" t="n"/>
      <c r="S2177" s="10" t="n"/>
      <c r="AA2177" s="10" t="n"/>
      <c r="AB2177" s="11">
        <f>IF(LEN(TRIM(X2177))=0,"",HYPERLINK("https://www.google.com/maps/@?api=1&amp;map_action=pano&amp;viewpoint="&amp;SUBSTITUTE(X2177," ",""),"Abrir Street View"))</f>
        <v/>
      </c>
    </row>
    <row r="2178">
      <c r="H2178" s="6" t="n"/>
      <c r="I2178" s="6" t="n"/>
      <c r="M2178" s="7" t="n"/>
      <c r="N2178" s="7" t="n"/>
      <c r="O2178" s="7" t="n"/>
      <c r="P2178" s="8">
        <f>IF(NOT(ISNUMBER(M2178)),"",IF(G2178="Terreno",IF(AND(ISNUMBER(I2178),I2178&gt;0),M2178/I2178,""),IF(AND(ISNUMBER(H2178),H2178&gt;0),M2178/H2178,"")))</f>
        <v/>
      </c>
      <c r="Q2178" s="9">
        <f>IF(AND(ISNUMBER(M2178),ISNUMBER(O2178)),IF(M2178&lt;=O2178,"Valor ≤ venal IPTU",""),"")</f>
        <v/>
      </c>
      <c r="R2178" s="10" t="n"/>
      <c r="S2178" s="10" t="n"/>
      <c r="AA2178" s="10" t="n"/>
      <c r="AB2178" s="11">
        <f>IF(LEN(TRIM(X2178))=0,"",HYPERLINK("https://www.google.com/maps/@?api=1&amp;map_action=pano&amp;viewpoint="&amp;SUBSTITUTE(X2178," ",""),"Abrir Street View"))</f>
        <v/>
      </c>
    </row>
    <row r="2179">
      <c r="H2179" s="6" t="n"/>
      <c r="I2179" s="6" t="n"/>
      <c r="M2179" s="7" t="n"/>
      <c r="N2179" s="7" t="n"/>
      <c r="O2179" s="7" t="n"/>
      <c r="P2179" s="8">
        <f>IF(NOT(ISNUMBER(M2179)),"",IF(G2179="Terreno",IF(AND(ISNUMBER(I2179),I2179&gt;0),M2179/I2179,""),IF(AND(ISNUMBER(H2179),H2179&gt;0),M2179/H2179,"")))</f>
        <v/>
      </c>
      <c r="Q2179" s="9">
        <f>IF(AND(ISNUMBER(M2179),ISNUMBER(O2179)),IF(M2179&lt;=O2179,"Valor ≤ venal IPTU",""),"")</f>
        <v/>
      </c>
      <c r="R2179" s="10" t="n"/>
      <c r="S2179" s="10" t="n"/>
      <c r="AA2179" s="10" t="n"/>
      <c r="AB2179" s="11">
        <f>IF(LEN(TRIM(X2179))=0,"",HYPERLINK("https://www.google.com/maps/@?api=1&amp;map_action=pano&amp;viewpoint="&amp;SUBSTITUTE(X2179," ",""),"Abrir Street View"))</f>
        <v/>
      </c>
    </row>
    <row r="2180">
      <c r="H2180" s="6" t="n"/>
      <c r="I2180" s="6" t="n"/>
      <c r="M2180" s="7" t="n"/>
      <c r="N2180" s="7" t="n"/>
      <c r="O2180" s="7" t="n"/>
      <c r="P2180" s="8">
        <f>IF(NOT(ISNUMBER(M2180)),"",IF(G2180="Terreno",IF(AND(ISNUMBER(I2180),I2180&gt;0),M2180/I2180,""),IF(AND(ISNUMBER(H2180),H2180&gt;0),M2180/H2180,"")))</f>
        <v/>
      </c>
      <c r="Q2180" s="9">
        <f>IF(AND(ISNUMBER(M2180),ISNUMBER(O2180)),IF(M2180&lt;=O2180,"Valor ≤ venal IPTU",""),"")</f>
        <v/>
      </c>
      <c r="R2180" s="10" t="n"/>
      <c r="S2180" s="10" t="n"/>
      <c r="AA2180" s="10" t="n"/>
      <c r="AB2180" s="11">
        <f>IF(LEN(TRIM(X2180))=0,"",HYPERLINK("https://www.google.com/maps/@?api=1&amp;map_action=pano&amp;viewpoint="&amp;SUBSTITUTE(X2180," ",""),"Abrir Street View"))</f>
        <v/>
      </c>
    </row>
    <row r="2181">
      <c r="H2181" s="6" t="n"/>
      <c r="I2181" s="6" t="n"/>
      <c r="M2181" s="7" t="n"/>
      <c r="N2181" s="7" t="n"/>
      <c r="O2181" s="7" t="n"/>
      <c r="P2181" s="8">
        <f>IF(NOT(ISNUMBER(M2181)),"",IF(G2181="Terreno",IF(AND(ISNUMBER(I2181),I2181&gt;0),M2181/I2181,""),IF(AND(ISNUMBER(H2181),H2181&gt;0),M2181/H2181,"")))</f>
        <v/>
      </c>
      <c r="Q2181" s="9">
        <f>IF(AND(ISNUMBER(M2181),ISNUMBER(O2181)),IF(M2181&lt;=O2181,"Valor ≤ venal IPTU",""),"")</f>
        <v/>
      </c>
      <c r="R2181" s="10" t="n"/>
      <c r="S2181" s="10" t="n"/>
      <c r="AA2181" s="10" t="n"/>
      <c r="AB2181" s="11">
        <f>IF(LEN(TRIM(X2181))=0,"",HYPERLINK("https://www.google.com/maps/@?api=1&amp;map_action=pano&amp;viewpoint="&amp;SUBSTITUTE(X2181," ",""),"Abrir Street View"))</f>
        <v/>
      </c>
    </row>
    <row r="2182">
      <c r="H2182" s="6" t="n"/>
      <c r="I2182" s="6" t="n"/>
      <c r="M2182" s="7" t="n"/>
      <c r="N2182" s="7" t="n"/>
      <c r="O2182" s="7" t="n"/>
      <c r="P2182" s="8">
        <f>IF(NOT(ISNUMBER(M2182)),"",IF(G2182="Terreno",IF(AND(ISNUMBER(I2182),I2182&gt;0),M2182/I2182,""),IF(AND(ISNUMBER(H2182),H2182&gt;0),M2182/H2182,"")))</f>
        <v/>
      </c>
      <c r="Q2182" s="9">
        <f>IF(AND(ISNUMBER(M2182),ISNUMBER(O2182)),IF(M2182&lt;=O2182,"Valor ≤ venal IPTU",""),"")</f>
        <v/>
      </c>
      <c r="R2182" s="10" t="n"/>
      <c r="S2182" s="10" t="n"/>
      <c r="AA2182" s="10" t="n"/>
      <c r="AB2182" s="11">
        <f>IF(LEN(TRIM(X2182))=0,"",HYPERLINK("https://www.google.com/maps/@?api=1&amp;map_action=pano&amp;viewpoint="&amp;SUBSTITUTE(X2182," ",""),"Abrir Street View"))</f>
        <v/>
      </c>
    </row>
    <row r="2183">
      <c r="H2183" s="6" t="n"/>
      <c r="I2183" s="6" t="n"/>
      <c r="M2183" s="7" t="n"/>
      <c r="N2183" s="7" t="n"/>
      <c r="O2183" s="7" t="n"/>
      <c r="P2183" s="8">
        <f>IF(NOT(ISNUMBER(M2183)),"",IF(G2183="Terreno",IF(AND(ISNUMBER(I2183),I2183&gt;0),M2183/I2183,""),IF(AND(ISNUMBER(H2183),H2183&gt;0),M2183/H2183,"")))</f>
        <v/>
      </c>
      <c r="Q2183" s="9">
        <f>IF(AND(ISNUMBER(M2183),ISNUMBER(O2183)),IF(M2183&lt;=O2183,"Valor ≤ venal IPTU",""),"")</f>
        <v/>
      </c>
      <c r="R2183" s="10" t="n"/>
      <c r="S2183" s="10" t="n"/>
      <c r="AA2183" s="10" t="n"/>
      <c r="AB2183" s="11">
        <f>IF(LEN(TRIM(X2183))=0,"",HYPERLINK("https://www.google.com/maps/@?api=1&amp;map_action=pano&amp;viewpoint="&amp;SUBSTITUTE(X2183," ",""),"Abrir Street View"))</f>
        <v/>
      </c>
    </row>
    <row r="2184">
      <c r="H2184" s="6" t="n"/>
      <c r="I2184" s="6" t="n"/>
      <c r="M2184" s="7" t="n"/>
      <c r="N2184" s="7" t="n"/>
      <c r="O2184" s="7" t="n"/>
      <c r="P2184" s="8">
        <f>IF(NOT(ISNUMBER(M2184)),"",IF(G2184="Terreno",IF(AND(ISNUMBER(I2184),I2184&gt;0),M2184/I2184,""),IF(AND(ISNUMBER(H2184),H2184&gt;0),M2184/H2184,"")))</f>
        <v/>
      </c>
      <c r="Q2184" s="9">
        <f>IF(AND(ISNUMBER(M2184),ISNUMBER(O2184)),IF(M2184&lt;=O2184,"Valor ≤ venal IPTU",""),"")</f>
        <v/>
      </c>
      <c r="R2184" s="10" t="n"/>
      <c r="S2184" s="10" t="n"/>
      <c r="AA2184" s="10" t="n"/>
      <c r="AB2184" s="11">
        <f>IF(LEN(TRIM(X2184))=0,"",HYPERLINK("https://www.google.com/maps/@?api=1&amp;map_action=pano&amp;viewpoint="&amp;SUBSTITUTE(X2184," ",""),"Abrir Street View"))</f>
        <v/>
      </c>
    </row>
    <row r="2185">
      <c r="H2185" s="6" t="n"/>
      <c r="I2185" s="6" t="n"/>
      <c r="M2185" s="7" t="n"/>
      <c r="N2185" s="7" t="n"/>
      <c r="O2185" s="7" t="n"/>
      <c r="P2185" s="8">
        <f>IF(NOT(ISNUMBER(M2185)),"",IF(G2185="Terreno",IF(AND(ISNUMBER(I2185),I2185&gt;0),M2185/I2185,""),IF(AND(ISNUMBER(H2185),H2185&gt;0),M2185/H2185,"")))</f>
        <v/>
      </c>
      <c r="Q2185" s="9">
        <f>IF(AND(ISNUMBER(M2185),ISNUMBER(O2185)),IF(M2185&lt;=O2185,"Valor ≤ venal IPTU",""),"")</f>
        <v/>
      </c>
      <c r="R2185" s="10" t="n"/>
      <c r="S2185" s="10" t="n"/>
      <c r="AA2185" s="10" t="n"/>
      <c r="AB2185" s="11">
        <f>IF(LEN(TRIM(X2185))=0,"",HYPERLINK("https://www.google.com/maps/@?api=1&amp;map_action=pano&amp;viewpoint="&amp;SUBSTITUTE(X2185," ",""),"Abrir Street View"))</f>
        <v/>
      </c>
    </row>
    <row r="2186">
      <c r="H2186" s="6" t="n"/>
      <c r="I2186" s="6" t="n"/>
      <c r="M2186" s="7" t="n"/>
      <c r="N2186" s="7" t="n"/>
      <c r="O2186" s="7" t="n"/>
      <c r="P2186" s="8">
        <f>IF(NOT(ISNUMBER(M2186)),"",IF(G2186="Terreno",IF(AND(ISNUMBER(I2186),I2186&gt;0),M2186/I2186,""),IF(AND(ISNUMBER(H2186),H2186&gt;0),M2186/H2186,"")))</f>
        <v/>
      </c>
      <c r="Q2186" s="9">
        <f>IF(AND(ISNUMBER(M2186),ISNUMBER(O2186)),IF(M2186&lt;=O2186,"Valor ≤ venal IPTU",""),"")</f>
        <v/>
      </c>
      <c r="R2186" s="10" t="n"/>
      <c r="S2186" s="10" t="n"/>
      <c r="AA2186" s="10" t="n"/>
      <c r="AB2186" s="11">
        <f>IF(LEN(TRIM(X2186))=0,"",HYPERLINK("https://www.google.com/maps/@?api=1&amp;map_action=pano&amp;viewpoint="&amp;SUBSTITUTE(X2186," ",""),"Abrir Street View"))</f>
        <v/>
      </c>
    </row>
    <row r="2187">
      <c r="H2187" s="6" t="n"/>
      <c r="I2187" s="6" t="n"/>
      <c r="M2187" s="7" t="n"/>
      <c r="N2187" s="7" t="n"/>
      <c r="O2187" s="7" t="n"/>
      <c r="P2187" s="8">
        <f>IF(NOT(ISNUMBER(M2187)),"",IF(G2187="Terreno",IF(AND(ISNUMBER(I2187),I2187&gt;0),M2187/I2187,""),IF(AND(ISNUMBER(H2187),H2187&gt;0),M2187/H2187,"")))</f>
        <v/>
      </c>
      <c r="Q2187" s="9">
        <f>IF(AND(ISNUMBER(M2187),ISNUMBER(O2187)),IF(M2187&lt;=O2187,"Valor ≤ venal IPTU",""),"")</f>
        <v/>
      </c>
      <c r="R2187" s="10" t="n"/>
      <c r="S2187" s="10" t="n"/>
      <c r="AA2187" s="10" t="n"/>
      <c r="AB2187" s="11">
        <f>IF(LEN(TRIM(X2187))=0,"",HYPERLINK("https://www.google.com/maps/@?api=1&amp;map_action=pano&amp;viewpoint="&amp;SUBSTITUTE(X2187," ",""),"Abrir Street View"))</f>
        <v/>
      </c>
    </row>
    <row r="2188">
      <c r="H2188" s="6" t="n"/>
      <c r="I2188" s="6" t="n"/>
      <c r="M2188" s="7" t="n"/>
      <c r="N2188" s="7" t="n"/>
      <c r="O2188" s="7" t="n"/>
      <c r="P2188" s="8">
        <f>IF(NOT(ISNUMBER(M2188)),"",IF(G2188="Terreno",IF(AND(ISNUMBER(I2188),I2188&gt;0),M2188/I2188,""),IF(AND(ISNUMBER(H2188),H2188&gt;0),M2188/H2188,"")))</f>
        <v/>
      </c>
      <c r="Q2188" s="9">
        <f>IF(AND(ISNUMBER(M2188),ISNUMBER(O2188)),IF(M2188&lt;=O2188,"Valor ≤ venal IPTU",""),"")</f>
        <v/>
      </c>
      <c r="R2188" s="10" t="n"/>
      <c r="S2188" s="10" t="n"/>
      <c r="AA2188" s="10" t="n"/>
      <c r="AB2188" s="11">
        <f>IF(LEN(TRIM(X2188))=0,"",HYPERLINK("https://www.google.com/maps/@?api=1&amp;map_action=pano&amp;viewpoint="&amp;SUBSTITUTE(X2188," ",""),"Abrir Street View"))</f>
        <v/>
      </c>
    </row>
    <row r="2189">
      <c r="H2189" s="6" t="n"/>
      <c r="I2189" s="6" t="n"/>
      <c r="M2189" s="7" t="n"/>
      <c r="N2189" s="7" t="n"/>
      <c r="O2189" s="7" t="n"/>
      <c r="P2189" s="8">
        <f>IF(NOT(ISNUMBER(M2189)),"",IF(G2189="Terreno",IF(AND(ISNUMBER(I2189),I2189&gt;0),M2189/I2189,""),IF(AND(ISNUMBER(H2189),H2189&gt;0),M2189/H2189,"")))</f>
        <v/>
      </c>
      <c r="Q2189" s="9">
        <f>IF(AND(ISNUMBER(M2189),ISNUMBER(O2189)),IF(M2189&lt;=O2189,"Valor ≤ venal IPTU",""),"")</f>
        <v/>
      </c>
      <c r="R2189" s="10" t="n"/>
      <c r="S2189" s="10" t="n"/>
      <c r="AA2189" s="10" t="n"/>
      <c r="AB2189" s="11">
        <f>IF(LEN(TRIM(X2189))=0,"",HYPERLINK("https://www.google.com/maps/@?api=1&amp;map_action=pano&amp;viewpoint="&amp;SUBSTITUTE(X2189," ",""),"Abrir Street View"))</f>
        <v/>
      </c>
    </row>
    <row r="2190">
      <c r="H2190" s="6" t="n"/>
      <c r="I2190" s="6" t="n"/>
      <c r="M2190" s="7" t="n"/>
      <c r="N2190" s="7" t="n"/>
      <c r="O2190" s="7" t="n"/>
      <c r="P2190" s="8">
        <f>IF(NOT(ISNUMBER(M2190)),"",IF(G2190="Terreno",IF(AND(ISNUMBER(I2190),I2190&gt;0),M2190/I2190,""),IF(AND(ISNUMBER(H2190),H2190&gt;0),M2190/H2190,"")))</f>
        <v/>
      </c>
      <c r="Q2190" s="9">
        <f>IF(AND(ISNUMBER(M2190),ISNUMBER(O2190)),IF(M2190&lt;=O2190,"Valor ≤ venal IPTU",""),"")</f>
        <v/>
      </c>
      <c r="R2190" s="10" t="n"/>
      <c r="S2190" s="10" t="n"/>
      <c r="AA2190" s="10" t="n"/>
      <c r="AB2190" s="11">
        <f>IF(LEN(TRIM(X2190))=0,"",HYPERLINK("https://www.google.com/maps/@?api=1&amp;map_action=pano&amp;viewpoint="&amp;SUBSTITUTE(X2190," ",""),"Abrir Street View"))</f>
        <v/>
      </c>
    </row>
    <row r="2191">
      <c r="H2191" s="6" t="n"/>
      <c r="I2191" s="6" t="n"/>
      <c r="M2191" s="7" t="n"/>
      <c r="N2191" s="7" t="n"/>
      <c r="O2191" s="7" t="n"/>
      <c r="P2191" s="8">
        <f>IF(NOT(ISNUMBER(M2191)),"",IF(G2191="Terreno",IF(AND(ISNUMBER(I2191),I2191&gt;0),M2191/I2191,""),IF(AND(ISNUMBER(H2191),H2191&gt;0),M2191/H2191,"")))</f>
        <v/>
      </c>
      <c r="Q2191" s="9">
        <f>IF(AND(ISNUMBER(M2191),ISNUMBER(O2191)),IF(M2191&lt;=O2191,"Valor ≤ venal IPTU",""),"")</f>
        <v/>
      </c>
      <c r="R2191" s="10" t="n"/>
      <c r="S2191" s="10" t="n"/>
      <c r="AA2191" s="10" t="n"/>
      <c r="AB2191" s="11">
        <f>IF(LEN(TRIM(X2191))=0,"",HYPERLINK("https://www.google.com/maps/@?api=1&amp;map_action=pano&amp;viewpoint="&amp;SUBSTITUTE(X2191," ",""),"Abrir Street View"))</f>
        <v/>
      </c>
    </row>
    <row r="2192">
      <c r="H2192" s="6" t="n"/>
      <c r="I2192" s="6" t="n"/>
      <c r="M2192" s="7" t="n"/>
      <c r="N2192" s="7" t="n"/>
      <c r="O2192" s="7" t="n"/>
      <c r="P2192" s="8">
        <f>IF(NOT(ISNUMBER(M2192)),"",IF(G2192="Terreno",IF(AND(ISNUMBER(I2192),I2192&gt;0),M2192/I2192,""),IF(AND(ISNUMBER(H2192),H2192&gt;0),M2192/H2192,"")))</f>
        <v/>
      </c>
      <c r="Q2192" s="9">
        <f>IF(AND(ISNUMBER(M2192),ISNUMBER(O2192)),IF(M2192&lt;=O2192,"Valor ≤ venal IPTU",""),"")</f>
        <v/>
      </c>
      <c r="R2192" s="10" t="n"/>
      <c r="S2192" s="10" t="n"/>
      <c r="AA2192" s="10" t="n"/>
      <c r="AB2192" s="11">
        <f>IF(LEN(TRIM(X2192))=0,"",HYPERLINK("https://www.google.com/maps/@?api=1&amp;map_action=pano&amp;viewpoint="&amp;SUBSTITUTE(X2192," ",""),"Abrir Street View"))</f>
        <v/>
      </c>
    </row>
    <row r="2193">
      <c r="H2193" s="6" t="n"/>
      <c r="I2193" s="6" t="n"/>
      <c r="M2193" s="7" t="n"/>
      <c r="N2193" s="7" t="n"/>
      <c r="O2193" s="7" t="n"/>
      <c r="P2193" s="8">
        <f>IF(NOT(ISNUMBER(M2193)),"",IF(G2193="Terreno",IF(AND(ISNUMBER(I2193),I2193&gt;0),M2193/I2193,""),IF(AND(ISNUMBER(H2193),H2193&gt;0),M2193/H2193,"")))</f>
        <v/>
      </c>
      <c r="Q2193" s="9">
        <f>IF(AND(ISNUMBER(M2193),ISNUMBER(O2193)),IF(M2193&lt;=O2193,"Valor ≤ venal IPTU",""),"")</f>
        <v/>
      </c>
      <c r="R2193" s="10" t="n"/>
      <c r="S2193" s="10" t="n"/>
      <c r="AA2193" s="10" t="n"/>
      <c r="AB2193" s="11">
        <f>IF(LEN(TRIM(X2193))=0,"",HYPERLINK("https://www.google.com/maps/@?api=1&amp;map_action=pano&amp;viewpoint="&amp;SUBSTITUTE(X2193," ",""),"Abrir Street View"))</f>
        <v/>
      </c>
    </row>
    <row r="2194">
      <c r="H2194" s="6" t="n"/>
      <c r="I2194" s="6" t="n"/>
      <c r="M2194" s="7" t="n"/>
      <c r="N2194" s="7" t="n"/>
      <c r="O2194" s="7" t="n"/>
      <c r="P2194" s="8">
        <f>IF(NOT(ISNUMBER(M2194)),"",IF(G2194="Terreno",IF(AND(ISNUMBER(I2194),I2194&gt;0),M2194/I2194,""),IF(AND(ISNUMBER(H2194),H2194&gt;0),M2194/H2194,"")))</f>
        <v/>
      </c>
      <c r="Q2194" s="9">
        <f>IF(AND(ISNUMBER(M2194),ISNUMBER(O2194)),IF(M2194&lt;=O2194,"Valor ≤ venal IPTU",""),"")</f>
        <v/>
      </c>
      <c r="R2194" s="10" t="n"/>
      <c r="S2194" s="10" t="n"/>
      <c r="AA2194" s="10" t="n"/>
      <c r="AB2194" s="11">
        <f>IF(LEN(TRIM(X2194))=0,"",HYPERLINK("https://www.google.com/maps/@?api=1&amp;map_action=pano&amp;viewpoint="&amp;SUBSTITUTE(X2194," ",""),"Abrir Street View"))</f>
        <v/>
      </c>
    </row>
    <row r="2195">
      <c r="H2195" s="6" t="n"/>
      <c r="I2195" s="6" t="n"/>
      <c r="M2195" s="7" t="n"/>
      <c r="N2195" s="7" t="n"/>
      <c r="O2195" s="7" t="n"/>
      <c r="P2195" s="8">
        <f>IF(NOT(ISNUMBER(M2195)),"",IF(G2195="Terreno",IF(AND(ISNUMBER(I2195),I2195&gt;0),M2195/I2195,""),IF(AND(ISNUMBER(H2195),H2195&gt;0),M2195/H2195,"")))</f>
        <v/>
      </c>
      <c r="Q2195" s="9">
        <f>IF(AND(ISNUMBER(M2195),ISNUMBER(O2195)),IF(M2195&lt;=O2195,"Valor ≤ venal IPTU",""),"")</f>
        <v/>
      </c>
      <c r="R2195" s="10" t="n"/>
      <c r="S2195" s="10" t="n"/>
      <c r="AA2195" s="10" t="n"/>
      <c r="AB2195" s="11">
        <f>IF(LEN(TRIM(X2195))=0,"",HYPERLINK("https://www.google.com/maps/@?api=1&amp;map_action=pano&amp;viewpoint="&amp;SUBSTITUTE(X2195," ",""),"Abrir Street View"))</f>
        <v/>
      </c>
    </row>
    <row r="2196">
      <c r="H2196" s="6" t="n"/>
      <c r="I2196" s="6" t="n"/>
      <c r="M2196" s="7" t="n"/>
      <c r="N2196" s="7" t="n"/>
      <c r="O2196" s="7" t="n"/>
      <c r="P2196" s="8">
        <f>IF(NOT(ISNUMBER(M2196)),"",IF(G2196="Terreno",IF(AND(ISNUMBER(I2196),I2196&gt;0),M2196/I2196,""),IF(AND(ISNUMBER(H2196),H2196&gt;0),M2196/H2196,"")))</f>
        <v/>
      </c>
      <c r="Q2196" s="9">
        <f>IF(AND(ISNUMBER(M2196),ISNUMBER(O2196)),IF(M2196&lt;=O2196,"Valor ≤ venal IPTU",""),"")</f>
        <v/>
      </c>
      <c r="R2196" s="10" t="n"/>
      <c r="S2196" s="10" t="n"/>
      <c r="AA2196" s="10" t="n"/>
      <c r="AB2196" s="11">
        <f>IF(LEN(TRIM(X2196))=0,"",HYPERLINK("https://www.google.com/maps/@?api=1&amp;map_action=pano&amp;viewpoint="&amp;SUBSTITUTE(X2196," ",""),"Abrir Street View"))</f>
        <v/>
      </c>
    </row>
    <row r="2197">
      <c r="H2197" s="6" t="n"/>
      <c r="I2197" s="6" t="n"/>
      <c r="M2197" s="7" t="n"/>
      <c r="N2197" s="7" t="n"/>
      <c r="O2197" s="7" t="n"/>
      <c r="P2197" s="8">
        <f>IF(NOT(ISNUMBER(M2197)),"",IF(G2197="Terreno",IF(AND(ISNUMBER(I2197),I2197&gt;0),M2197/I2197,""),IF(AND(ISNUMBER(H2197),H2197&gt;0),M2197/H2197,"")))</f>
        <v/>
      </c>
      <c r="Q2197" s="9">
        <f>IF(AND(ISNUMBER(M2197),ISNUMBER(O2197)),IF(M2197&lt;=O2197,"Valor ≤ venal IPTU",""),"")</f>
        <v/>
      </c>
      <c r="R2197" s="10" t="n"/>
      <c r="S2197" s="10" t="n"/>
      <c r="AA2197" s="10" t="n"/>
      <c r="AB2197" s="11">
        <f>IF(LEN(TRIM(X2197))=0,"",HYPERLINK("https://www.google.com/maps/@?api=1&amp;map_action=pano&amp;viewpoint="&amp;SUBSTITUTE(X2197," ",""),"Abrir Street View"))</f>
        <v/>
      </c>
    </row>
    <row r="2198">
      <c r="H2198" s="6" t="n"/>
      <c r="I2198" s="6" t="n"/>
      <c r="M2198" s="7" t="n"/>
      <c r="N2198" s="7" t="n"/>
      <c r="O2198" s="7" t="n"/>
      <c r="P2198" s="8">
        <f>IF(NOT(ISNUMBER(M2198)),"",IF(G2198="Terreno",IF(AND(ISNUMBER(I2198),I2198&gt;0),M2198/I2198,""),IF(AND(ISNUMBER(H2198),H2198&gt;0),M2198/H2198,"")))</f>
        <v/>
      </c>
      <c r="Q2198" s="9">
        <f>IF(AND(ISNUMBER(M2198),ISNUMBER(O2198)),IF(M2198&lt;=O2198,"Valor ≤ venal IPTU",""),"")</f>
        <v/>
      </c>
      <c r="R2198" s="10" t="n"/>
      <c r="S2198" s="10" t="n"/>
      <c r="AA2198" s="10" t="n"/>
      <c r="AB2198" s="11">
        <f>IF(LEN(TRIM(X2198))=0,"",HYPERLINK("https://www.google.com/maps/@?api=1&amp;map_action=pano&amp;viewpoint="&amp;SUBSTITUTE(X2198," ",""),"Abrir Street View"))</f>
        <v/>
      </c>
    </row>
    <row r="2199">
      <c r="H2199" s="6" t="n"/>
      <c r="I2199" s="6" t="n"/>
      <c r="M2199" s="7" t="n"/>
      <c r="N2199" s="7" t="n"/>
      <c r="O2199" s="7" t="n"/>
      <c r="P2199" s="8">
        <f>IF(NOT(ISNUMBER(M2199)),"",IF(G2199="Terreno",IF(AND(ISNUMBER(I2199),I2199&gt;0),M2199/I2199,""),IF(AND(ISNUMBER(H2199),H2199&gt;0),M2199/H2199,"")))</f>
        <v/>
      </c>
      <c r="Q2199" s="9">
        <f>IF(AND(ISNUMBER(M2199),ISNUMBER(O2199)),IF(M2199&lt;=O2199,"Valor ≤ venal IPTU",""),"")</f>
        <v/>
      </c>
      <c r="R2199" s="10" t="n"/>
      <c r="S2199" s="10" t="n"/>
      <c r="AA2199" s="10" t="n"/>
      <c r="AB2199" s="11">
        <f>IF(LEN(TRIM(X2199))=0,"",HYPERLINK("https://www.google.com/maps/@?api=1&amp;map_action=pano&amp;viewpoint="&amp;SUBSTITUTE(X2199," ",""),"Abrir Street View"))</f>
        <v/>
      </c>
    </row>
    <row r="2200">
      <c r="H2200" s="6" t="n"/>
      <c r="I2200" s="6" t="n"/>
      <c r="M2200" s="7" t="n"/>
      <c r="N2200" s="7" t="n"/>
      <c r="O2200" s="7" t="n"/>
      <c r="P2200" s="8">
        <f>IF(NOT(ISNUMBER(M2200)),"",IF(G2200="Terreno",IF(AND(ISNUMBER(I2200),I2200&gt;0),M2200/I2200,""),IF(AND(ISNUMBER(H2200),H2200&gt;0),M2200/H2200,"")))</f>
        <v/>
      </c>
      <c r="Q2200" s="9">
        <f>IF(AND(ISNUMBER(M2200),ISNUMBER(O2200)),IF(M2200&lt;=O2200,"Valor ≤ venal IPTU",""),"")</f>
        <v/>
      </c>
      <c r="R2200" s="10" t="n"/>
      <c r="S2200" s="10" t="n"/>
      <c r="AA2200" s="10" t="n"/>
      <c r="AB2200" s="11">
        <f>IF(LEN(TRIM(X2200))=0,"",HYPERLINK("https://www.google.com/maps/@?api=1&amp;map_action=pano&amp;viewpoint="&amp;SUBSTITUTE(X2200," ",""),"Abrir Street View"))</f>
        <v/>
      </c>
    </row>
    <row r="2201">
      <c r="H2201" s="6" t="n"/>
      <c r="I2201" s="6" t="n"/>
      <c r="M2201" s="7" t="n"/>
      <c r="N2201" s="7" t="n"/>
      <c r="O2201" s="7" t="n"/>
      <c r="P2201" s="8">
        <f>IF(NOT(ISNUMBER(M2201)),"",IF(G2201="Terreno",IF(AND(ISNUMBER(I2201),I2201&gt;0),M2201/I2201,""),IF(AND(ISNUMBER(H2201),H2201&gt;0),M2201/H2201,"")))</f>
        <v/>
      </c>
      <c r="Q2201" s="9">
        <f>IF(AND(ISNUMBER(M2201),ISNUMBER(O2201)),IF(M2201&lt;=O2201,"Valor ≤ venal IPTU",""),"")</f>
        <v/>
      </c>
      <c r="R2201" s="10" t="n"/>
      <c r="S2201" s="10" t="n"/>
      <c r="AA2201" s="10" t="n"/>
      <c r="AB2201" s="11">
        <f>IF(LEN(TRIM(X2201))=0,"",HYPERLINK("https://www.google.com/maps/@?api=1&amp;map_action=pano&amp;viewpoint="&amp;SUBSTITUTE(X2201," ",""),"Abrir Street View"))</f>
        <v/>
      </c>
    </row>
    <row r="2202">
      <c r="H2202" s="6" t="n"/>
      <c r="I2202" s="6" t="n"/>
      <c r="M2202" s="7" t="n"/>
      <c r="N2202" s="7" t="n"/>
      <c r="O2202" s="7" t="n"/>
      <c r="P2202" s="8">
        <f>IF(NOT(ISNUMBER(M2202)),"",IF(G2202="Terreno",IF(AND(ISNUMBER(I2202),I2202&gt;0),M2202/I2202,""),IF(AND(ISNUMBER(H2202),H2202&gt;0),M2202/H2202,"")))</f>
        <v/>
      </c>
      <c r="Q2202" s="9">
        <f>IF(AND(ISNUMBER(M2202),ISNUMBER(O2202)),IF(M2202&lt;=O2202,"Valor ≤ venal IPTU",""),"")</f>
        <v/>
      </c>
      <c r="R2202" s="10" t="n"/>
      <c r="S2202" s="10" t="n"/>
      <c r="AA2202" s="10" t="n"/>
      <c r="AB2202" s="11">
        <f>IF(LEN(TRIM(X2202))=0,"",HYPERLINK("https://www.google.com/maps/@?api=1&amp;map_action=pano&amp;viewpoint="&amp;SUBSTITUTE(X2202," ",""),"Abrir Street View"))</f>
        <v/>
      </c>
    </row>
    <row r="2203">
      <c r="H2203" s="6" t="n"/>
      <c r="I2203" s="6" t="n"/>
      <c r="M2203" s="7" t="n"/>
      <c r="N2203" s="7" t="n"/>
      <c r="O2203" s="7" t="n"/>
      <c r="P2203" s="8">
        <f>IF(NOT(ISNUMBER(M2203)),"",IF(G2203="Terreno",IF(AND(ISNUMBER(I2203),I2203&gt;0),M2203/I2203,""),IF(AND(ISNUMBER(H2203),H2203&gt;0),M2203/H2203,"")))</f>
        <v/>
      </c>
      <c r="Q2203" s="9">
        <f>IF(AND(ISNUMBER(M2203),ISNUMBER(O2203)),IF(M2203&lt;=O2203,"Valor ≤ venal IPTU",""),"")</f>
        <v/>
      </c>
      <c r="R2203" s="10" t="n"/>
      <c r="S2203" s="10" t="n"/>
      <c r="AA2203" s="10" t="n"/>
      <c r="AB2203" s="11">
        <f>IF(LEN(TRIM(X2203))=0,"",HYPERLINK("https://www.google.com/maps/@?api=1&amp;map_action=pano&amp;viewpoint="&amp;SUBSTITUTE(X2203," ",""),"Abrir Street View"))</f>
        <v/>
      </c>
    </row>
    <row r="2204">
      <c r="H2204" s="6" t="n"/>
      <c r="I2204" s="6" t="n"/>
      <c r="M2204" s="7" t="n"/>
      <c r="N2204" s="7" t="n"/>
      <c r="O2204" s="7" t="n"/>
      <c r="P2204" s="8">
        <f>IF(NOT(ISNUMBER(M2204)),"",IF(G2204="Terreno",IF(AND(ISNUMBER(I2204),I2204&gt;0),M2204/I2204,""),IF(AND(ISNUMBER(H2204),H2204&gt;0),M2204/H2204,"")))</f>
        <v/>
      </c>
      <c r="Q2204" s="9">
        <f>IF(AND(ISNUMBER(M2204),ISNUMBER(O2204)),IF(M2204&lt;=O2204,"Valor ≤ venal IPTU",""),"")</f>
        <v/>
      </c>
      <c r="R2204" s="10" t="n"/>
      <c r="S2204" s="10" t="n"/>
      <c r="AA2204" s="10" t="n"/>
      <c r="AB2204" s="11">
        <f>IF(LEN(TRIM(X2204))=0,"",HYPERLINK("https://www.google.com/maps/@?api=1&amp;map_action=pano&amp;viewpoint="&amp;SUBSTITUTE(X2204," ",""),"Abrir Street View"))</f>
        <v/>
      </c>
    </row>
    <row r="2205">
      <c r="H2205" s="6" t="n"/>
      <c r="I2205" s="6" t="n"/>
      <c r="M2205" s="7" t="n"/>
      <c r="N2205" s="7" t="n"/>
      <c r="O2205" s="7" t="n"/>
      <c r="P2205" s="8">
        <f>IF(NOT(ISNUMBER(M2205)),"",IF(G2205="Terreno",IF(AND(ISNUMBER(I2205),I2205&gt;0),M2205/I2205,""),IF(AND(ISNUMBER(H2205),H2205&gt;0),M2205/H2205,"")))</f>
        <v/>
      </c>
      <c r="Q2205" s="9">
        <f>IF(AND(ISNUMBER(M2205),ISNUMBER(O2205)),IF(M2205&lt;=O2205,"Valor ≤ venal IPTU",""),"")</f>
        <v/>
      </c>
      <c r="R2205" s="10" t="n"/>
      <c r="S2205" s="10" t="n"/>
      <c r="AA2205" s="10" t="n"/>
      <c r="AB2205" s="11">
        <f>IF(LEN(TRIM(X2205))=0,"",HYPERLINK("https://www.google.com/maps/@?api=1&amp;map_action=pano&amp;viewpoint="&amp;SUBSTITUTE(X2205," ",""),"Abrir Street View"))</f>
        <v/>
      </c>
    </row>
    <row r="2206">
      <c r="H2206" s="6" t="n"/>
      <c r="I2206" s="6" t="n"/>
      <c r="M2206" s="7" t="n"/>
      <c r="N2206" s="7" t="n"/>
      <c r="O2206" s="7" t="n"/>
      <c r="P2206" s="8">
        <f>IF(NOT(ISNUMBER(M2206)),"",IF(G2206="Terreno",IF(AND(ISNUMBER(I2206),I2206&gt;0),M2206/I2206,""),IF(AND(ISNUMBER(H2206),H2206&gt;0),M2206/H2206,"")))</f>
        <v/>
      </c>
      <c r="Q2206" s="9">
        <f>IF(AND(ISNUMBER(M2206),ISNUMBER(O2206)),IF(M2206&lt;=O2206,"Valor ≤ venal IPTU",""),"")</f>
        <v/>
      </c>
      <c r="R2206" s="10" t="n"/>
      <c r="S2206" s="10" t="n"/>
      <c r="AA2206" s="10" t="n"/>
      <c r="AB2206" s="11">
        <f>IF(LEN(TRIM(X2206))=0,"",HYPERLINK("https://www.google.com/maps/@?api=1&amp;map_action=pano&amp;viewpoint="&amp;SUBSTITUTE(X2206," ",""),"Abrir Street View"))</f>
        <v/>
      </c>
    </row>
    <row r="2207">
      <c r="H2207" s="6" t="n"/>
      <c r="I2207" s="6" t="n"/>
      <c r="M2207" s="7" t="n"/>
      <c r="N2207" s="7" t="n"/>
      <c r="O2207" s="7" t="n"/>
      <c r="P2207" s="8">
        <f>IF(NOT(ISNUMBER(M2207)),"",IF(G2207="Terreno",IF(AND(ISNUMBER(I2207),I2207&gt;0),M2207/I2207,""),IF(AND(ISNUMBER(H2207),H2207&gt;0),M2207/H2207,"")))</f>
        <v/>
      </c>
      <c r="Q2207" s="9">
        <f>IF(AND(ISNUMBER(M2207),ISNUMBER(O2207)),IF(M2207&lt;=O2207,"Valor ≤ venal IPTU",""),"")</f>
        <v/>
      </c>
      <c r="R2207" s="10" t="n"/>
      <c r="S2207" s="10" t="n"/>
      <c r="AA2207" s="10" t="n"/>
      <c r="AB2207" s="11">
        <f>IF(LEN(TRIM(X2207))=0,"",HYPERLINK("https://www.google.com/maps/@?api=1&amp;map_action=pano&amp;viewpoint="&amp;SUBSTITUTE(X2207," ",""),"Abrir Street View"))</f>
        <v/>
      </c>
    </row>
    <row r="2208">
      <c r="H2208" s="6" t="n"/>
      <c r="I2208" s="6" t="n"/>
      <c r="M2208" s="7" t="n"/>
      <c r="N2208" s="7" t="n"/>
      <c r="O2208" s="7" t="n"/>
      <c r="P2208" s="8">
        <f>IF(NOT(ISNUMBER(M2208)),"",IF(G2208="Terreno",IF(AND(ISNUMBER(I2208),I2208&gt;0),M2208/I2208,""),IF(AND(ISNUMBER(H2208),H2208&gt;0),M2208/H2208,"")))</f>
        <v/>
      </c>
      <c r="Q2208" s="9">
        <f>IF(AND(ISNUMBER(M2208),ISNUMBER(O2208)),IF(M2208&lt;=O2208,"Valor ≤ venal IPTU",""),"")</f>
        <v/>
      </c>
      <c r="R2208" s="10" t="n"/>
      <c r="S2208" s="10" t="n"/>
      <c r="AA2208" s="10" t="n"/>
      <c r="AB2208" s="11">
        <f>IF(LEN(TRIM(X2208))=0,"",HYPERLINK("https://www.google.com/maps/@?api=1&amp;map_action=pano&amp;viewpoint="&amp;SUBSTITUTE(X2208," ",""),"Abrir Street View"))</f>
        <v/>
      </c>
    </row>
    <row r="2209">
      <c r="H2209" s="6" t="n"/>
      <c r="I2209" s="6" t="n"/>
      <c r="M2209" s="7" t="n"/>
      <c r="N2209" s="7" t="n"/>
      <c r="O2209" s="7" t="n"/>
      <c r="P2209" s="8">
        <f>IF(NOT(ISNUMBER(M2209)),"",IF(G2209="Terreno",IF(AND(ISNUMBER(I2209),I2209&gt;0),M2209/I2209,""),IF(AND(ISNUMBER(H2209),H2209&gt;0),M2209/H2209,"")))</f>
        <v/>
      </c>
      <c r="Q2209" s="9">
        <f>IF(AND(ISNUMBER(M2209),ISNUMBER(O2209)),IF(M2209&lt;=O2209,"Valor ≤ venal IPTU",""),"")</f>
        <v/>
      </c>
      <c r="R2209" s="10" t="n"/>
      <c r="S2209" s="10" t="n"/>
      <c r="AA2209" s="10" t="n"/>
      <c r="AB2209" s="11">
        <f>IF(LEN(TRIM(X2209))=0,"",HYPERLINK("https://www.google.com/maps/@?api=1&amp;map_action=pano&amp;viewpoint="&amp;SUBSTITUTE(X2209," ",""),"Abrir Street View"))</f>
        <v/>
      </c>
    </row>
    <row r="2210">
      <c r="H2210" s="6" t="n"/>
      <c r="I2210" s="6" t="n"/>
      <c r="M2210" s="7" t="n"/>
      <c r="N2210" s="7" t="n"/>
      <c r="O2210" s="7" t="n"/>
      <c r="P2210" s="8">
        <f>IF(NOT(ISNUMBER(M2210)),"",IF(G2210="Terreno",IF(AND(ISNUMBER(I2210),I2210&gt;0),M2210/I2210,""),IF(AND(ISNUMBER(H2210),H2210&gt;0),M2210/H2210,"")))</f>
        <v/>
      </c>
      <c r="Q2210" s="9">
        <f>IF(AND(ISNUMBER(M2210),ISNUMBER(O2210)),IF(M2210&lt;=O2210,"Valor ≤ venal IPTU",""),"")</f>
        <v/>
      </c>
      <c r="R2210" s="10" t="n"/>
      <c r="S2210" s="10" t="n"/>
      <c r="AA2210" s="10" t="n"/>
      <c r="AB2210" s="11">
        <f>IF(LEN(TRIM(X2210))=0,"",HYPERLINK("https://www.google.com/maps/@?api=1&amp;map_action=pano&amp;viewpoint="&amp;SUBSTITUTE(X2210," ",""),"Abrir Street View"))</f>
        <v/>
      </c>
    </row>
    <row r="2211">
      <c r="H2211" s="6" t="n"/>
      <c r="I2211" s="6" t="n"/>
      <c r="M2211" s="7" t="n"/>
      <c r="N2211" s="7" t="n"/>
      <c r="O2211" s="7" t="n"/>
      <c r="P2211" s="8">
        <f>IF(NOT(ISNUMBER(M2211)),"",IF(G2211="Terreno",IF(AND(ISNUMBER(I2211),I2211&gt;0),M2211/I2211,""),IF(AND(ISNUMBER(H2211),H2211&gt;0),M2211/H2211,"")))</f>
        <v/>
      </c>
      <c r="Q2211" s="9">
        <f>IF(AND(ISNUMBER(M2211),ISNUMBER(O2211)),IF(M2211&lt;=O2211,"Valor ≤ venal IPTU",""),"")</f>
        <v/>
      </c>
      <c r="R2211" s="10" t="n"/>
      <c r="S2211" s="10" t="n"/>
      <c r="AA2211" s="10" t="n"/>
      <c r="AB2211" s="11">
        <f>IF(LEN(TRIM(X2211))=0,"",HYPERLINK("https://www.google.com/maps/@?api=1&amp;map_action=pano&amp;viewpoint="&amp;SUBSTITUTE(X2211," ",""),"Abrir Street View"))</f>
        <v/>
      </c>
    </row>
    <row r="2212">
      <c r="H2212" s="6" t="n"/>
      <c r="I2212" s="6" t="n"/>
      <c r="M2212" s="7" t="n"/>
      <c r="N2212" s="7" t="n"/>
      <c r="O2212" s="7" t="n"/>
      <c r="P2212" s="8">
        <f>IF(NOT(ISNUMBER(M2212)),"",IF(G2212="Terreno",IF(AND(ISNUMBER(I2212),I2212&gt;0),M2212/I2212,""),IF(AND(ISNUMBER(H2212),H2212&gt;0),M2212/H2212,"")))</f>
        <v/>
      </c>
      <c r="Q2212" s="9">
        <f>IF(AND(ISNUMBER(M2212),ISNUMBER(O2212)),IF(M2212&lt;=O2212,"Valor ≤ venal IPTU",""),"")</f>
        <v/>
      </c>
      <c r="R2212" s="10" t="n"/>
      <c r="S2212" s="10" t="n"/>
      <c r="AA2212" s="10" t="n"/>
      <c r="AB2212" s="11">
        <f>IF(LEN(TRIM(X2212))=0,"",HYPERLINK("https://www.google.com/maps/@?api=1&amp;map_action=pano&amp;viewpoint="&amp;SUBSTITUTE(X2212," ",""),"Abrir Street View"))</f>
        <v/>
      </c>
    </row>
    <row r="2213">
      <c r="H2213" s="6" t="n"/>
      <c r="I2213" s="6" t="n"/>
      <c r="M2213" s="7" t="n"/>
      <c r="N2213" s="7" t="n"/>
      <c r="O2213" s="7" t="n"/>
      <c r="P2213" s="8">
        <f>IF(NOT(ISNUMBER(M2213)),"",IF(G2213="Terreno",IF(AND(ISNUMBER(I2213),I2213&gt;0),M2213/I2213,""),IF(AND(ISNUMBER(H2213),H2213&gt;0),M2213/H2213,"")))</f>
        <v/>
      </c>
      <c r="Q2213" s="9">
        <f>IF(AND(ISNUMBER(M2213),ISNUMBER(O2213)),IF(M2213&lt;=O2213,"Valor ≤ venal IPTU",""),"")</f>
        <v/>
      </c>
      <c r="R2213" s="10" t="n"/>
      <c r="S2213" s="10" t="n"/>
      <c r="AA2213" s="10" t="n"/>
      <c r="AB2213" s="11">
        <f>IF(LEN(TRIM(X2213))=0,"",HYPERLINK("https://www.google.com/maps/@?api=1&amp;map_action=pano&amp;viewpoint="&amp;SUBSTITUTE(X2213," ",""),"Abrir Street View"))</f>
        <v/>
      </c>
    </row>
    <row r="2214">
      <c r="H2214" s="6" t="n"/>
      <c r="I2214" s="6" t="n"/>
      <c r="M2214" s="7" t="n"/>
      <c r="N2214" s="7" t="n"/>
      <c r="O2214" s="7" t="n"/>
      <c r="P2214" s="8">
        <f>IF(NOT(ISNUMBER(M2214)),"",IF(G2214="Terreno",IF(AND(ISNUMBER(I2214),I2214&gt;0),M2214/I2214,""),IF(AND(ISNUMBER(H2214),H2214&gt;0),M2214/H2214,"")))</f>
        <v/>
      </c>
      <c r="Q2214" s="9">
        <f>IF(AND(ISNUMBER(M2214),ISNUMBER(O2214)),IF(M2214&lt;=O2214,"Valor ≤ venal IPTU",""),"")</f>
        <v/>
      </c>
      <c r="R2214" s="10" t="n"/>
      <c r="S2214" s="10" t="n"/>
      <c r="AA2214" s="10" t="n"/>
      <c r="AB2214" s="11">
        <f>IF(LEN(TRIM(X2214))=0,"",HYPERLINK("https://www.google.com/maps/@?api=1&amp;map_action=pano&amp;viewpoint="&amp;SUBSTITUTE(X2214," ",""),"Abrir Street View"))</f>
        <v/>
      </c>
    </row>
    <row r="2215">
      <c r="H2215" s="6" t="n"/>
      <c r="I2215" s="6" t="n"/>
      <c r="M2215" s="7" t="n"/>
      <c r="N2215" s="7" t="n"/>
      <c r="O2215" s="7" t="n"/>
      <c r="P2215" s="8">
        <f>IF(NOT(ISNUMBER(M2215)),"",IF(G2215="Terreno",IF(AND(ISNUMBER(I2215),I2215&gt;0),M2215/I2215,""),IF(AND(ISNUMBER(H2215),H2215&gt;0),M2215/H2215,"")))</f>
        <v/>
      </c>
      <c r="Q2215" s="9">
        <f>IF(AND(ISNUMBER(M2215),ISNUMBER(O2215)),IF(M2215&lt;=O2215,"Valor ≤ venal IPTU",""),"")</f>
        <v/>
      </c>
      <c r="R2215" s="10" t="n"/>
      <c r="S2215" s="10" t="n"/>
      <c r="AA2215" s="10" t="n"/>
      <c r="AB2215" s="11">
        <f>IF(LEN(TRIM(X2215))=0,"",HYPERLINK("https://www.google.com/maps/@?api=1&amp;map_action=pano&amp;viewpoint="&amp;SUBSTITUTE(X2215," ",""),"Abrir Street View"))</f>
        <v/>
      </c>
    </row>
    <row r="2216">
      <c r="H2216" s="6" t="n"/>
      <c r="I2216" s="6" t="n"/>
      <c r="M2216" s="7" t="n"/>
      <c r="N2216" s="7" t="n"/>
      <c r="O2216" s="7" t="n"/>
      <c r="P2216" s="8">
        <f>IF(NOT(ISNUMBER(M2216)),"",IF(G2216="Terreno",IF(AND(ISNUMBER(I2216),I2216&gt;0),M2216/I2216,""),IF(AND(ISNUMBER(H2216),H2216&gt;0),M2216/H2216,"")))</f>
        <v/>
      </c>
      <c r="Q2216" s="9">
        <f>IF(AND(ISNUMBER(M2216),ISNUMBER(O2216)),IF(M2216&lt;=O2216,"Valor ≤ venal IPTU",""),"")</f>
        <v/>
      </c>
      <c r="R2216" s="10" t="n"/>
      <c r="S2216" s="10" t="n"/>
      <c r="AA2216" s="10" t="n"/>
      <c r="AB2216" s="11">
        <f>IF(LEN(TRIM(X2216))=0,"",HYPERLINK("https://www.google.com/maps/@?api=1&amp;map_action=pano&amp;viewpoint="&amp;SUBSTITUTE(X2216," ",""),"Abrir Street View"))</f>
        <v/>
      </c>
    </row>
    <row r="2217">
      <c r="H2217" s="6" t="n"/>
      <c r="I2217" s="6" t="n"/>
      <c r="M2217" s="7" t="n"/>
      <c r="N2217" s="7" t="n"/>
      <c r="O2217" s="7" t="n"/>
      <c r="P2217" s="8">
        <f>IF(NOT(ISNUMBER(M2217)),"",IF(G2217="Terreno",IF(AND(ISNUMBER(I2217),I2217&gt;0),M2217/I2217,""),IF(AND(ISNUMBER(H2217),H2217&gt;0),M2217/H2217,"")))</f>
        <v/>
      </c>
      <c r="Q2217" s="9">
        <f>IF(AND(ISNUMBER(M2217),ISNUMBER(O2217)),IF(M2217&lt;=O2217,"Valor ≤ venal IPTU",""),"")</f>
        <v/>
      </c>
      <c r="R2217" s="10" t="n"/>
      <c r="S2217" s="10" t="n"/>
      <c r="AA2217" s="10" t="n"/>
      <c r="AB2217" s="11">
        <f>IF(LEN(TRIM(X2217))=0,"",HYPERLINK("https://www.google.com/maps/@?api=1&amp;map_action=pano&amp;viewpoint="&amp;SUBSTITUTE(X2217," ",""),"Abrir Street View"))</f>
        <v/>
      </c>
    </row>
    <row r="2218">
      <c r="H2218" s="6" t="n"/>
      <c r="I2218" s="6" t="n"/>
      <c r="M2218" s="7" t="n"/>
      <c r="N2218" s="7" t="n"/>
      <c r="O2218" s="7" t="n"/>
      <c r="P2218" s="8">
        <f>IF(NOT(ISNUMBER(M2218)),"",IF(G2218="Terreno",IF(AND(ISNUMBER(I2218),I2218&gt;0),M2218/I2218,""),IF(AND(ISNUMBER(H2218),H2218&gt;0),M2218/H2218,"")))</f>
        <v/>
      </c>
      <c r="Q2218" s="9">
        <f>IF(AND(ISNUMBER(M2218),ISNUMBER(O2218)),IF(M2218&lt;=O2218,"Valor ≤ venal IPTU",""),"")</f>
        <v/>
      </c>
      <c r="R2218" s="10" t="n"/>
      <c r="S2218" s="10" t="n"/>
      <c r="AA2218" s="10" t="n"/>
      <c r="AB2218" s="11">
        <f>IF(LEN(TRIM(X2218))=0,"",HYPERLINK("https://www.google.com/maps/@?api=1&amp;map_action=pano&amp;viewpoint="&amp;SUBSTITUTE(X2218," ",""),"Abrir Street View"))</f>
        <v/>
      </c>
    </row>
    <row r="2219">
      <c r="H2219" s="6" t="n"/>
      <c r="I2219" s="6" t="n"/>
      <c r="M2219" s="7" t="n"/>
      <c r="N2219" s="7" t="n"/>
      <c r="O2219" s="7" t="n"/>
      <c r="P2219" s="8">
        <f>IF(NOT(ISNUMBER(M2219)),"",IF(G2219="Terreno",IF(AND(ISNUMBER(I2219),I2219&gt;0),M2219/I2219,""),IF(AND(ISNUMBER(H2219),H2219&gt;0),M2219/H2219,"")))</f>
        <v/>
      </c>
      <c r="Q2219" s="9">
        <f>IF(AND(ISNUMBER(M2219),ISNUMBER(O2219)),IF(M2219&lt;=O2219,"Valor ≤ venal IPTU",""),"")</f>
        <v/>
      </c>
      <c r="R2219" s="10" t="n"/>
      <c r="S2219" s="10" t="n"/>
      <c r="AA2219" s="10" t="n"/>
      <c r="AB2219" s="11">
        <f>IF(LEN(TRIM(X2219))=0,"",HYPERLINK("https://www.google.com/maps/@?api=1&amp;map_action=pano&amp;viewpoint="&amp;SUBSTITUTE(X2219," ",""),"Abrir Street View"))</f>
        <v/>
      </c>
    </row>
    <row r="2220">
      <c r="H2220" s="6" t="n"/>
      <c r="I2220" s="6" t="n"/>
      <c r="M2220" s="7" t="n"/>
      <c r="N2220" s="7" t="n"/>
      <c r="O2220" s="7" t="n"/>
      <c r="P2220" s="8">
        <f>IF(NOT(ISNUMBER(M2220)),"",IF(G2220="Terreno",IF(AND(ISNUMBER(I2220),I2220&gt;0),M2220/I2220,""),IF(AND(ISNUMBER(H2220),H2220&gt;0),M2220/H2220,"")))</f>
        <v/>
      </c>
      <c r="Q2220" s="9">
        <f>IF(AND(ISNUMBER(M2220),ISNUMBER(O2220)),IF(M2220&lt;=O2220,"Valor ≤ venal IPTU",""),"")</f>
        <v/>
      </c>
      <c r="R2220" s="10" t="n"/>
      <c r="S2220" s="10" t="n"/>
      <c r="AA2220" s="10" t="n"/>
      <c r="AB2220" s="11">
        <f>IF(LEN(TRIM(X2220))=0,"",HYPERLINK("https://www.google.com/maps/@?api=1&amp;map_action=pano&amp;viewpoint="&amp;SUBSTITUTE(X2220," ",""),"Abrir Street View"))</f>
        <v/>
      </c>
    </row>
    <row r="2221">
      <c r="H2221" s="6" t="n"/>
      <c r="I2221" s="6" t="n"/>
      <c r="M2221" s="7" t="n"/>
      <c r="N2221" s="7" t="n"/>
      <c r="O2221" s="7" t="n"/>
      <c r="P2221" s="8">
        <f>IF(NOT(ISNUMBER(M2221)),"",IF(G2221="Terreno",IF(AND(ISNUMBER(I2221),I2221&gt;0),M2221/I2221,""),IF(AND(ISNUMBER(H2221),H2221&gt;0),M2221/H2221,"")))</f>
        <v/>
      </c>
      <c r="Q2221" s="9">
        <f>IF(AND(ISNUMBER(M2221),ISNUMBER(O2221)),IF(M2221&lt;=O2221,"Valor ≤ venal IPTU",""),"")</f>
        <v/>
      </c>
      <c r="R2221" s="10" t="n"/>
      <c r="S2221" s="10" t="n"/>
      <c r="AA2221" s="10" t="n"/>
      <c r="AB2221" s="11">
        <f>IF(LEN(TRIM(X2221))=0,"",HYPERLINK("https://www.google.com/maps/@?api=1&amp;map_action=pano&amp;viewpoint="&amp;SUBSTITUTE(X2221," ",""),"Abrir Street View"))</f>
        <v/>
      </c>
    </row>
    <row r="2222">
      <c r="H2222" s="6" t="n"/>
      <c r="I2222" s="6" t="n"/>
      <c r="M2222" s="7" t="n"/>
      <c r="N2222" s="7" t="n"/>
      <c r="O2222" s="7" t="n"/>
      <c r="P2222" s="8">
        <f>IF(NOT(ISNUMBER(M2222)),"",IF(G2222="Terreno",IF(AND(ISNUMBER(I2222),I2222&gt;0),M2222/I2222,""),IF(AND(ISNUMBER(H2222),H2222&gt;0),M2222/H2222,"")))</f>
        <v/>
      </c>
      <c r="Q2222" s="9">
        <f>IF(AND(ISNUMBER(M2222),ISNUMBER(O2222)),IF(M2222&lt;=O2222,"Valor ≤ venal IPTU",""),"")</f>
        <v/>
      </c>
      <c r="R2222" s="10" t="n"/>
      <c r="S2222" s="10" t="n"/>
      <c r="AA2222" s="10" t="n"/>
      <c r="AB2222" s="11">
        <f>IF(LEN(TRIM(X2222))=0,"",HYPERLINK("https://www.google.com/maps/@?api=1&amp;map_action=pano&amp;viewpoint="&amp;SUBSTITUTE(X2222," ",""),"Abrir Street View"))</f>
        <v/>
      </c>
    </row>
    <row r="2223">
      <c r="H2223" s="6" t="n"/>
      <c r="I2223" s="6" t="n"/>
      <c r="M2223" s="7" t="n"/>
      <c r="N2223" s="7" t="n"/>
      <c r="O2223" s="7" t="n"/>
      <c r="P2223" s="8">
        <f>IF(NOT(ISNUMBER(M2223)),"",IF(G2223="Terreno",IF(AND(ISNUMBER(I2223),I2223&gt;0),M2223/I2223,""),IF(AND(ISNUMBER(H2223),H2223&gt;0),M2223/H2223,"")))</f>
        <v/>
      </c>
      <c r="Q2223" s="9">
        <f>IF(AND(ISNUMBER(M2223),ISNUMBER(O2223)),IF(M2223&lt;=O2223,"Valor ≤ venal IPTU",""),"")</f>
        <v/>
      </c>
      <c r="R2223" s="10" t="n"/>
      <c r="S2223" s="10" t="n"/>
      <c r="AA2223" s="10" t="n"/>
      <c r="AB2223" s="11">
        <f>IF(LEN(TRIM(X2223))=0,"",HYPERLINK("https://www.google.com/maps/@?api=1&amp;map_action=pano&amp;viewpoint="&amp;SUBSTITUTE(X2223," ",""),"Abrir Street View"))</f>
        <v/>
      </c>
    </row>
    <row r="2224">
      <c r="H2224" s="6" t="n"/>
      <c r="I2224" s="6" t="n"/>
      <c r="M2224" s="7" t="n"/>
      <c r="N2224" s="7" t="n"/>
      <c r="O2224" s="7" t="n"/>
      <c r="P2224" s="8">
        <f>IF(NOT(ISNUMBER(M2224)),"",IF(G2224="Terreno",IF(AND(ISNUMBER(I2224),I2224&gt;0),M2224/I2224,""),IF(AND(ISNUMBER(H2224),H2224&gt;0),M2224/H2224,"")))</f>
        <v/>
      </c>
      <c r="Q2224" s="9">
        <f>IF(AND(ISNUMBER(M2224),ISNUMBER(O2224)),IF(M2224&lt;=O2224,"Valor ≤ venal IPTU",""),"")</f>
        <v/>
      </c>
      <c r="R2224" s="10" t="n"/>
      <c r="S2224" s="10" t="n"/>
      <c r="AA2224" s="10" t="n"/>
      <c r="AB2224" s="11">
        <f>IF(LEN(TRIM(X2224))=0,"",HYPERLINK("https://www.google.com/maps/@?api=1&amp;map_action=pano&amp;viewpoint="&amp;SUBSTITUTE(X2224," ",""),"Abrir Street View"))</f>
        <v/>
      </c>
    </row>
    <row r="2225">
      <c r="H2225" s="6" t="n"/>
      <c r="I2225" s="6" t="n"/>
      <c r="M2225" s="7" t="n"/>
      <c r="N2225" s="7" t="n"/>
      <c r="O2225" s="7" t="n"/>
      <c r="P2225" s="8">
        <f>IF(NOT(ISNUMBER(M2225)),"",IF(G2225="Terreno",IF(AND(ISNUMBER(I2225),I2225&gt;0),M2225/I2225,""),IF(AND(ISNUMBER(H2225),H2225&gt;0),M2225/H2225,"")))</f>
        <v/>
      </c>
      <c r="Q2225" s="9">
        <f>IF(AND(ISNUMBER(M2225),ISNUMBER(O2225)),IF(M2225&lt;=O2225,"Valor ≤ venal IPTU",""),"")</f>
        <v/>
      </c>
      <c r="R2225" s="10" t="n"/>
      <c r="S2225" s="10" t="n"/>
      <c r="AA2225" s="10" t="n"/>
      <c r="AB2225" s="11">
        <f>IF(LEN(TRIM(X2225))=0,"",HYPERLINK("https://www.google.com/maps/@?api=1&amp;map_action=pano&amp;viewpoint="&amp;SUBSTITUTE(X2225," ",""),"Abrir Street View"))</f>
        <v/>
      </c>
    </row>
    <row r="2226">
      <c r="H2226" s="6" t="n"/>
      <c r="I2226" s="6" t="n"/>
      <c r="M2226" s="7" t="n"/>
      <c r="N2226" s="7" t="n"/>
      <c r="O2226" s="7" t="n"/>
      <c r="P2226" s="8">
        <f>IF(NOT(ISNUMBER(M2226)),"",IF(G2226="Terreno",IF(AND(ISNUMBER(I2226),I2226&gt;0),M2226/I2226,""),IF(AND(ISNUMBER(H2226),H2226&gt;0),M2226/H2226,"")))</f>
        <v/>
      </c>
      <c r="Q2226" s="9">
        <f>IF(AND(ISNUMBER(M2226),ISNUMBER(O2226)),IF(M2226&lt;=O2226,"Valor ≤ venal IPTU",""),"")</f>
        <v/>
      </c>
      <c r="R2226" s="10" t="n"/>
      <c r="S2226" s="10" t="n"/>
      <c r="AA2226" s="10" t="n"/>
      <c r="AB2226" s="11">
        <f>IF(LEN(TRIM(X2226))=0,"",HYPERLINK("https://www.google.com/maps/@?api=1&amp;map_action=pano&amp;viewpoint="&amp;SUBSTITUTE(X2226," ",""),"Abrir Street View"))</f>
        <v/>
      </c>
    </row>
    <row r="2227">
      <c r="H2227" s="6" t="n"/>
      <c r="I2227" s="6" t="n"/>
      <c r="M2227" s="7" t="n"/>
      <c r="N2227" s="7" t="n"/>
      <c r="O2227" s="7" t="n"/>
      <c r="P2227" s="8">
        <f>IF(NOT(ISNUMBER(M2227)),"",IF(G2227="Terreno",IF(AND(ISNUMBER(I2227),I2227&gt;0),M2227/I2227,""),IF(AND(ISNUMBER(H2227),H2227&gt;0),M2227/H2227,"")))</f>
        <v/>
      </c>
      <c r="Q2227" s="9">
        <f>IF(AND(ISNUMBER(M2227),ISNUMBER(O2227)),IF(M2227&lt;=O2227,"Valor ≤ venal IPTU",""),"")</f>
        <v/>
      </c>
      <c r="R2227" s="10" t="n"/>
      <c r="S2227" s="10" t="n"/>
      <c r="AA2227" s="10" t="n"/>
      <c r="AB2227" s="11">
        <f>IF(LEN(TRIM(X2227))=0,"",HYPERLINK("https://www.google.com/maps/@?api=1&amp;map_action=pano&amp;viewpoint="&amp;SUBSTITUTE(X2227," ",""),"Abrir Street View"))</f>
        <v/>
      </c>
    </row>
    <row r="2228">
      <c r="H2228" s="6" t="n"/>
      <c r="I2228" s="6" t="n"/>
      <c r="M2228" s="7" t="n"/>
      <c r="N2228" s="7" t="n"/>
      <c r="O2228" s="7" t="n"/>
      <c r="P2228" s="8">
        <f>IF(NOT(ISNUMBER(M2228)),"",IF(G2228="Terreno",IF(AND(ISNUMBER(I2228),I2228&gt;0),M2228/I2228,""),IF(AND(ISNUMBER(H2228),H2228&gt;0),M2228/H2228,"")))</f>
        <v/>
      </c>
      <c r="Q2228" s="9">
        <f>IF(AND(ISNUMBER(M2228),ISNUMBER(O2228)),IF(M2228&lt;=O2228,"Valor ≤ venal IPTU",""),"")</f>
        <v/>
      </c>
      <c r="R2228" s="10" t="n"/>
      <c r="S2228" s="10" t="n"/>
      <c r="AA2228" s="10" t="n"/>
      <c r="AB2228" s="11">
        <f>IF(LEN(TRIM(X2228))=0,"",HYPERLINK("https://www.google.com/maps/@?api=1&amp;map_action=pano&amp;viewpoint="&amp;SUBSTITUTE(X2228," ",""),"Abrir Street View"))</f>
        <v/>
      </c>
    </row>
    <row r="2229">
      <c r="H2229" s="6" t="n"/>
      <c r="I2229" s="6" t="n"/>
      <c r="M2229" s="7" t="n"/>
      <c r="N2229" s="7" t="n"/>
      <c r="O2229" s="7" t="n"/>
      <c r="P2229" s="8">
        <f>IF(NOT(ISNUMBER(M2229)),"",IF(G2229="Terreno",IF(AND(ISNUMBER(I2229),I2229&gt;0),M2229/I2229,""),IF(AND(ISNUMBER(H2229),H2229&gt;0),M2229/H2229,"")))</f>
        <v/>
      </c>
      <c r="Q2229" s="9">
        <f>IF(AND(ISNUMBER(M2229),ISNUMBER(O2229)),IF(M2229&lt;=O2229,"Valor ≤ venal IPTU",""),"")</f>
        <v/>
      </c>
      <c r="R2229" s="10" t="n"/>
      <c r="S2229" s="10" t="n"/>
      <c r="AA2229" s="10" t="n"/>
      <c r="AB2229" s="11">
        <f>IF(LEN(TRIM(X2229))=0,"",HYPERLINK("https://www.google.com/maps/@?api=1&amp;map_action=pano&amp;viewpoint="&amp;SUBSTITUTE(X2229," ",""),"Abrir Street View"))</f>
        <v/>
      </c>
    </row>
    <row r="2230">
      <c r="H2230" s="6" t="n"/>
      <c r="I2230" s="6" t="n"/>
      <c r="M2230" s="7" t="n"/>
      <c r="N2230" s="7" t="n"/>
      <c r="O2230" s="7" t="n"/>
      <c r="P2230" s="8">
        <f>IF(NOT(ISNUMBER(M2230)),"",IF(G2230="Terreno",IF(AND(ISNUMBER(I2230),I2230&gt;0),M2230/I2230,""),IF(AND(ISNUMBER(H2230),H2230&gt;0),M2230/H2230,"")))</f>
        <v/>
      </c>
      <c r="Q2230" s="9">
        <f>IF(AND(ISNUMBER(M2230),ISNUMBER(O2230)),IF(M2230&lt;=O2230,"Valor ≤ venal IPTU",""),"")</f>
        <v/>
      </c>
      <c r="R2230" s="10" t="n"/>
      <c r="S2230" s="10" t="n"/>
      <c r="AA2230" s="10" t="n"/>
      <c r="AB2230" s="11">
        <f>IF(LEN(TRIM(X2230))=0,"",HYPERLINK("https://www.google.com/maps/@?api=1&amp;map_action=pano&amp;viewpoint="&amp;SUBSTITUTE(X2230," ",""),"Abrir Street View"))</f>
        <v/>
      </c>
    </row>
    <row r="2231">
      <c r="H2231" s="6" t="n"/>
      <c r="I2231" s="6" t="n"/>
      <c r="M2231" s="7" t="n"/>
      <c r="N2231" s="7" t="n"/>
      <c r="O2231" s="7" t="n"/>
      <c r="P2231" s="8">
        <f>IF(NOT(ISNUMBER(M2231)),"",IF(G2231="Terreno",IF(AND(ISNUMBER(I2231),I2231&gt;0),M2231/I2231,""),IF(AND(ISNUMBER(H2231),H2231&gt;0),M2231/H2231,"")))</f>
        <v/>
      </c>
      <c r="Q2231" s="9">
        <f>IF(AND(ISNUMBER(M2231),ISNUMBER(O2231)),IF(M2231&lt;=O2231,"Valor ≤ venal IPTU",""),"")</f>
        <v/>
      </c>
      <c r="R2231" s="10" t="n"/>
      <c r="S2231" s="10" t="n"/>
      <c r="AA2231" s="10" t="n"/>
      <c r="AB2231" s="11">
        <f>IF(LEN(TRIM(X2231))=0,"",HYPERLINK("https://www.google.com/maps/@?api=1&amp;map_action=pano&amp;viewpoint="&amp;SUBSTITUTE(X2231," ",""),"Abrir Street View"))</f>
        <v/>
      </c>
    </row>
    <row r="2232">
      <c r="H2232" s="6" t="n"/>
      <c r="I2232" s="6" t="n"/>
      <c r="M2232" s="7" t="n"/>
      <c r="N2232" s="7" t="n"/>
      <c r="O2232" s="7" t="n"/>
      <c r="P2232" s="8">
        <f>IF(NOT(ISNUMBER(M2232)),"",IF(G2232="Terreno",IF(AND(ISNUMBER(I2232),I2232&gt;0),M2232/I2232,""),IF(AND(ISNUMBER(H2232),H2232&gt;0),M2232/H2232,"")))</f>
        <v/>
      </c>
      <c r="Q2232" s="9">
        <f>IF(AND(ISNUMBER(M2232),ISNUMBER(O2232)),IF(M2232&lt;=O2232,"Valor ≤ venal IPTU",""),"")</f>
        <v/>
      </c>
      <c r="R2232" s="10" t="n"/>
      <c r="S2232" s="10" t="n"/>
      <c r="AA2232" s="10" t="n"/>
      <c r="AB2232" s="11">
        <f>IF(LEN(TRIM(X2232))=0,"",HYPERLINK("https://www.google.com/maps/@?api=1&amp;map_action=pano&amp;viewpoint="&amp;SUBSTITUTE(X2232," ",""),"Abrir Street View"))</f>
        <v/>
      </c>
    </row>
    <row r="2233">
      <c r="H2233" s="6" t="n"/>
      <c r="I2233" s="6" t="n"/>
      <c r="M2233" s="7" t="n"/>
      <c r="N2233" s="7" t="n"/>
      <c r="O2233" s="7" t="n"/>
      <c r="P2233" s="8">
        <f>IF(NOT(ISNUMBER(M2233)),"",IF(G2233="Terreno",IF(AND(ISNUMBER(I2233),I2233&gt;0),M2233/I2233,""),IF(AND(ISNUMBER(H2233),H2233&gt;0),M2233/H2233,"")))</f>
        <v/>
      </c>
      <c r="Q2233" s="9">
        <f>IF(AND(ISNUMBER(M2233),ISNUMBER(O2233)),IF(M2233&lt;=O2233,"Valor ≤ venal IPTU",""),"")</f>
        <v/>
      </c>
      <c r="R2233" s="10" t="n"/>
      <c r="S2233" s="10" t="n"/>
      <c r="AA2233" s="10" t="n"/>
      <c r="AB2233" s="11">
        <f>IF(LEN(TRIM(X2233))=0,"",HYPERLINK("https://www.google.com/maps/@?api=1&amp;map_action=pano&amp;viewpoint="&amp;SUBSTITUTE(X2233," ",""),"Abrir Street View"))</f>
        <v/>
      </c>
    </row>
    <row r="2234">
      <c r="H2234" s="6" t="n"/>
      <c r="I2234" s="6" t="n"/>
      <c r="M2234" s="7" t="n"/>
      <c r="N2234" s="7" t="n"/>
      <c r="O2234" s="7" t="n"/>
      <c r="P2234" s="8">
        <f>IF(NOT(ISNUMBER(M2234)),"",IF(G2234="Terreno",IF(AND(ISNUMBER(I2234),I2234&gt;0),M2234/I2234,""),IF(AND(ISNUMBER(H2234),H2234&gt;0),M2234/H2234,"")))</f>
        <v/>
      </c>
      <c r="Q2234" s="9">
        <f>IF(AND(ISNUMBER(M2234),ISNUMBER(O2234)),IF(M2234&lt;=O2234,"Valor ≤ venal IPTU",""),"")</f>
        <v/>
      </c>
      <c r="R2234" s="10" t="n"/>
      <c r="S2234" s="10" t="n"/>
      <c r="AA2234" s="10" t="n"/>
      <c r="AB2234" s="11">
        <f>IF(LEN(TRIM(X2234))=0,"",HYPERLINK("https://www.google.com/maps/@?api=1&amp;map_action=pano&amp;viewpoint="&amp;SUBSTITUTE(X2234," ",""),"Abrir Street View"))</f>
        <v/>
      </c>
    </row>
    <row r="2235">
      <c r="H2235" s="6" t="n"/>
      <c r="I2235" s="6" t="n"/>
      <c r="M2235" s="7" t="n"/>
      <c r="N2235" s="7" t="n"/>
      <c r="O2235" s="7" t="n"/>
      <c r="P2235" s="8">
        <f>IF(NOT(ISNUMBER(M2235)),"",IF(G2235="Terreno",IF(AND(ISNUMBER(I2235),I2235&gt;0),M2235/I2235,""),IF(AND(ISNUMBER(H2235),H2235&gt;0),M2235/H2235,"")))</f>
        <v/>
      </c>
      <c r="Q2235" s="9">
        <f>IF(AND(ISNUMBER(M2235),ISNUMBER(O2235)),IF(M2235&lt;=O2235,"Valor ≤ venal IPTU",""),"")</f>
        <v/>
      </c>
      <c r="R2235" s="10" t="n"/>
      <c r="S2235" s="10" t="n"/>
      <c r="AA2235" s="10" t="n"/>
      <c r="AB2235" s="11">
        <f>IF(LEN(TRIM(X2235))=0,"",HYPERLINK("https://www.google.com/maps/@?api=1&amp;map_action=pano&amp;viewpoint="&amp;SUBSTITUTE(X2235," ",""),"Abrir Street View"))</f>
        <v/>
      </c>
    </row>
    <row r="2236">
      <c r="H2236" s="6" t="n"/>
      <c r="I2236" s="6" t="n"/>
      <c r="M2236" s="7" t="n"/>
      <c r="N2236" s="7" t="n"/>
      <c r="O2236" s="7" t="n"/>
      <c r="P2236" s="8">
        <f>IF(NOT(ISNUMBER(M2236)),"",IF(G2236="Terreno",IF(AND(ISNUMBER(I2236),I2236&gt;0),M2236/I2236,""),IF(AND(ISNUMBER(H2236),H2236&gt;0),M2236/H2236,"")))</f>
        <v/>
      </c>
      <c r="Q2236" s="9">
        <f>IF(AND(ISNUMBER(M2236),ISNUMBER(O2236)),IF(M2236&lt;=O2236,"Valor ≤ venal IPTU",""),"")</f>
        <v/>
      </c>
      <c r="R2236" s="10" t="n"/>
      <c r="S2236" s="10" t="n"/>
      <c r="AA2236" s="10" t="n"/>
      <c r="AB2236" s="11">
        <f>IF(LEN(TRIM(X2236))=0,"",HYPERLINK("https://www.google.com/maps/@?api=1&amp;map_action=pano&amp;viewpoint="&amp;SUBSTITUTE(X2236," ",""),"Abrir Street View"))</f>
        <v/>
      </c>
    </row>
    <row r="2237">
      <c r="H2237" s="6" t="n"/>
      <c r="I2237" s="6" t="n"/>
      <c r="M2237" s="7" t="n"/>
      <c r="N2237" s="7" t="n"/>
      <c r="O2237" s="7" t="n"/>
      <c r="P2237" s="8">
        <f>IF(NOT(ISNUMBER(M2237)),"",IF(G2237="Terreno",IF(AND(ISNUMBER(I2237),I2237&gt;0),M2237/I2237,""),IF(AND(ISNUMBER(H2237),H2237&gt;0),M2237/H2237,"")))</f>
        <v/>
      </c>
      <c r="Q2237" s="9">
        <f>IF(AND(ISNUMBER(M2237),ISNUMBER(O2237)),IF(M2237&lt;=O2237,"Valor ≤ venal IPTU",""),"")</f>
        <v/>
      </c>
      <c r="R2237" s="10" t="n"/>
      <c r="S2237" s="10" t="n"/>
      <c r="AA2237" s="10" t="n"/>
      <c r="AB2237" s="11">
        <f>IF(LEN(TRIM(X2237))=0,"",HYPERLINK("https://www.google.com/maps/@?api=1&amp;map_action=pano&amp;viewpoint="&amp;SUBSTITUTE(X2237," ",""),"Abrir Street View"))</f>
        <v/>
      </c>
    </row>
    <row r="2238">
      <c r="H2238" s="6" t="n"/>
      <c r="I2238" s="6" t="n"/>
      <c r="M2238" s="7" t="n"/>
      <c r="N2238" s="7" t="n"/>
      <c r="O2238" s="7" t="n"/>
      <c r="P2238" s="8">
        <f>IF(NOT(ISNUMBER(M2238)),"",IF(G2238="Terreno",IF(AND(ISNUMBER(I2238),I2238&gt;0),M2238/I2238,""),IF(AND(ISNUMBER(H2238),H2238&gt;0),M2238/H2238,"")))</f>
        <v/>
      </c>
      <c r="Q2238" s="9">
        <f>IF(AND(ISNUMBER(M2238),ISNUMBER(O2238)),IF(M2238&lt;=O2238,"Valor ≤ venal IPTU",""),"")</f>
        <v/>
      </c>
      <c r="R2238" s="10" t="n"/>
      <c r="S2238" s="10" t="n"/>
      <c r="AA2238" s="10" t="n"/>
      <c r="AB2238" s="11">
        <f>IF(LEN(TRIM(X2238))=0,"",HYPERLINK("https://www.google.com/maps/@?api=1&amp;map_action=pano&amp;viewpoint="&amp;SUBSTITUTE(X2238," ",""),"Abrir Street View"))</f>
        <v/>
      </c>
    </row>
    <row r="2239">
      <c r="H2239" s="6" t="n"/>
      <c r="I2239" s="6" t="n"/>
      <c r="M2239" s="7" t="n"/>
      <c r="N2239" s="7" t="n"/>
      <c r="O2239" s="7" t="n"/>
      <c r="P2239" s="8">
        <f>IF(NOT(ISNUMBER(M2239)),"",IF(G2239="Terreno",IF(AND(ISNUMBER(I2239),I2239&gt;0),M2239/I2239,""),IF(AND(ISNUMBER(H2239),H2239&gt;0),M2239/H2239,"")))</f>
        <v/>
      </c>
      <c r="Q2239" s="9">
        <f>IF(AND(ISNUMBER(M2239),ISNUMBER(O2239)),IF(M2239&lt;=O2239,"Valor ≤ venal IPTU",""),"")</f>
        <v/>
      </c>
      <c r="R2239" s="10" t="n"/>
      <c r="S2239" s="10" t="n"/>
      <c r="AA2239" s="10" t="n"/>
      <c r="AB2239" s="11">
        <f>IF(LEN(TRIM(X2239))=0,"",HYPERLINK("https://www.google.com/maps/@?api=1&amp;map_action=pano&amp;viewpoint="&amp;SUBSTITUTE(X2239," ",""),"Abrir Street View"))</f>
        <v/>
      </c>
    </row>
    <row r="2240">
      <c r="H2240" s="6" t="n"/>
      <c r="I2240" s="6" t="n"/>
      <c r="M2240" s="7" t="n"/>
      <c r="N2240" s="7" t="n"/>
      <c r="O2240" s="7" t="n"/>
      <c r="P2240" s="8">
        <f>IF(NOT(ISNUMBER(M2240)),"",IF(G2240="Terreno",IF(AND(ISNUMBER(I2240),I2240&gt;0),M2240/I2240,""),IF(AND(ISNUMBER(H2240),H2240&gt;0),M2240/H2240,"")))</f>
        <v/>
      </c>
      <c r="Q2240" s="9">
        <f>IF(AND(ISNUMBER(M2240),ISNUMBER(O2240)),IF(M2240&lt;=O2240,"Valor ≤ venal IPTU",""),"")</f>
        <v/>
      </c>
      <c r="R2240" s="10" t="n"/>
      <c r="S2240" s="10" t="n"/>
      <c r="AA2240" s="10" t="n"/>
      <c r="AB2240" s="11">
        <f>IF(LEN(TRIM(X2240))=0,"",HYPERLINK("https://www.google.com/maps/@?api=1&amp;map_action=pano&amp;viewpoint="&amp;SUBSTITUTE(X2240," ",""),"Abrir Street View"))</f>
        <v/>
      </c>
    </row>
    <row r="2241">
      <c r="H2241" s="6" t="n"/>
      <c r="I2241" s="6" t="n"/>
      <c r="M2241" s="7" t="n"/>
      <c r="N2241" s="7" t="n"/>
      <c r="O2241" s="7" t="n"/>
      <c r="P2241" s="8">
        <f>IF(NOT(ISNUMBER(M2241)),"",IF(G2241="Terreno",IF(AND(ISNUMBER(I2241),I2241&gt;0),M2241/I2241,""),IF(AND(ISNUMBER(H2241),H2241&gt;0),M2241/H2241,"")))</f>
        <v/>
      </c>
      <c r="Q2241" s="9">
        <f>IF(AND(ISNUMBER(M2241),ISNUMBER(O2241)),IF(M2241&lt;=O2241,"Valor ≤ venal IPTU",""),"")</f>
        <v/>
      </c>
      <c r="R2241" s="10" t="n"/>
      <c r="S2241" s="10" t="n"/>
      <c r="AA2241" s="10" t="n"/>
      <c r="AB2241" s="11">
        <f>IF(LEN(TRIM(X2241))=0,"",HYPERLINK("https://www.google.com/maps/@?api=1&amp;map_action=pano&amp;viewpoint="&amp;SUBSTITUTE(X2241," ",""),"Abrir Street View"))</f>
        <v/>
      </c>
    </row>
    <row r="2242">
      <c r="H2242" s="6" t="n"/>
      <c r="I2242" s="6" t="n"/>
      <c r="M2242" s="7" t="n"/>
      <c r="N2242" s="7" t="n"/>
      <c r="O2242" s="7" t="n"/>
      <c r="P2242" s="8">
        <f>IF(NOT(ISNUMBER(M2242)),"",IF(G2242="Terreno",IF(AND(ISNUMBER(I2242),I2242&gt;0),M2242/I2242,""),IF(AND(ISNUMBER(H2242),H2242&gt;0),M2242/H2242,"")))</f>
        <v/>
      </c>
      <c r="Q2242" s="9">
        <f>IF(AND(ISNUMBER(M2242),ISNUMBER(O2242)),IF(M2242&lt;=O2242,"Valor ≤ venal IPTU",""),"")</f>
        <v/>
      </c>
      <c r="R2242" s="10" t="n"/>
      <c r="S2242" s="10" t="n"/>
      <c r="AA2242" s="10" t="n"/>
      <c r="AB2242" s="11">
        <f>IF(LEN(TRIM(X2242))=0,"",HYPERLINK("https://www.google.com/maps/@?api=1&amp;map_action=pano&amp;viewpoint="&amp;SUBSTITUTE(X2242," ",""),"Abrir Street View"))</f>
        <v/>
      </c>
    </row>
    <row r="2243">
      <c r="H2243" s="6" t="n"/>
      <c r="I2243" s="6" t="n"/>
      <c r="M2243" s="7" t="n"/>
      <c r="N2243" s="7" t="n"/>
      <c r="O2243" s="7" t="n"/>
      <c r="P2243" s="8">
        <f>IF(NOT(ISNUMBER(M2243)),"",IF(G2243="Terreno",IF(AND(ISNUMBER(I2243),I2243&gt;0),M2243/I2243,""),IF(AND(ISNUMBER(H2243),H2243&gt;0),M2243/H2243,"")))</f>
        <v/>
      </c>
      <c r="Q2243" s="9">
        <f>IF(AND(ISNUMBER(M2243),ISNUMBER(O2243)),IF(M2243&lt;=O2243,"Valor ≤ venal IPTU",""),"")</f>
        <v/>
      </c>
      <c r="R2243" s="10" t="n"/>
      <c r="S2243" s="10" t="n"/>
      <c r="AA2243" s="10" t="n"/>
      <c r="AB2243" s="11">
        <f>IF(LEN(TRIM(X2243))=0,"",HYPERLINK("https://www.google.com/maps/@?api=1&amp;map_action=pano&amp;viewpoint="&amp;SUBSTITUTE(X2243," ",""),"Abrir Street View"))</f>
        <v/>
      </c>
    </row>
    <row r="2244">
      <c r="H2244" s="6" t="n"/>
      <c r="I2244" s="6" t="n"/>
      <c r="M2244" s="7" t="n"/>
      <c r="N2244" s="7" t="n"/>
      <c r="O2244" s="7" t="n"/>
      <c r="P2244" s="8">
        <f>IF(NOT(ISNUMBER(M2244)),"",IF(G2244="Terreno",IF(AND(ISNUMBER(I2244),I2244&gt;0),M2244/I2244,""),IF(AND(ISNUMBER(H2244),H2244&gt;0),M2244/H2244,"")))</f>
        <v/>
      </c>
      <c r="Q2244" s="9">
        <f>IF(AND(ISNUMBER(M2244),ISNUMBER(O2244)),IF(M2244&lt;=O2244,"Valor ≤ venal IPTU",""),"")</f>
        <v/>
      </c>
      <c r="R2244" s="10" t="n"/>
      <c r="S2244" s="10" t="n"/>
      <c r="AA2244" s="10" t="n"/>
      <c r="AB2244" s="11">
        <f>IF(LEN(TRIM(X2244))=0,"",HYPERLINK("https://www.google.com/maps/@?api=1&amp;map_action=pano&amp;viewpoint="&amp;SUBSTITUTE(X2244," ",""),"Abrir Street View"))</f>
        <v/>
      </c>
    </row>
    <row r="2245">
      <c r="H2245" s="6" t="n"/>
      <c r="I2245" s="6" t="n"/>
      <c r="M2245" s="7" t="n"/>
      <c r="N2245" s="7" t="n"/>
      <c r="O2245" s="7" t="n"/>
      <c r="P2245" s="8">
        <f>IF(NOT(ISNUMBER(M2245)),"",IF(G2245="Terreno",IF(AND(ISNUMBER(I2245),I2245&gt;0),M2245/I2245,""),IF(AND(ISNUMBER(H2245),H2245&gt;0),M2245/H2245,"")))</f>
        <v/>
      </c>
      <c r="Q2245" s="9">
        <f>IF(AND(ISNUMBER(M2245),ISNUMBER(O2245)),IF(M2245&lt;=O2245,"Valor ≤ venal IPTU",""),"")</f>
        <v/>
      </c>
      <c r="R2245" s="10" t="n"/>
      <c r="S2245" s="10" t="n"/>
      <c r="AA2245" s="10" t="n"/>
      <c r="AB2245" s="11">
        <f>IF(LEN(TRIM(X2245))=0,"",HYPERLINK("https://www.google.com/maps/@?api=1&amp;map_action=pano&amp;viewpoint="&amp;SUBSTITUTE(X2245," ",""),"Abrir Street View"))</f>
        <v/>
      </c>
    </row>
    <row r="2246">
      <c r="H2246" s="6" t="n"/>
      <c r="I2246" s="6" t="n"/>
      <c r="M2246" s="7" t="n"/>
      <c r="N2246" s="7" t="n"/>
      <c r="O2246" s="7" t="n"/>
      <c r="P2246" s="8">
        <f>IF(NOT(ISNUMBER(M2246)),"",IF(G2246="Terreno",IF(AND(ISNUMBER(I2246),I2246&gt;0),M2246/I2246,""),IF(AND(ISNUMBER(H2246),H2246&gt;0),M2246/H2246,"")))</f>
        <v/>
      </c>
      <c r="Q2246" s="9">
        <f>IF(AND(ISNUMBER(M2246),ISNUMBER(O2246)),IF(M2246&lt;=O2246,"Valor ≤ venal IPTU",""),"")</f>
        <v/>
      </c>
      <c r="R2246" s="10" t="n"/>
      <c r="S2246" s="10" t="n"/>
      <c r="AA2246" s="10" t="n"/>
      <c r="AB2246" s="11">
        <f>IF(LEN(TRIM(X2246))=0,"",HYPERLINK("https://www.google.com/maps/@?api=1&amp;map_action=pano&amp;viewpoint="&amp;SUBSTITUTE(X2246," ",""),"Abrir Street View"))</f>
        <v/>
      </c>
    </row>
    <row r="2247">
      <c r="H2247" s="6" t="n"/>
      <c r="I2247" s="6" t="n"/>
      <c r="M2247" s="7" t="n"/>
      <c r="N2247" s="7" t="n"/>
      <c r="O2247" s="7" t="n"/>
      <c r="P2247" s="8">
        <f>IF(NOT(ISNUMBER(M2247)),"",IF(G2247="Terreno",IF(AND(ISNUMBER(I2247),I2247&gt;0),M2247/I2247,""),IF(AND(ISNUMBER(H2247),H2247&gt;0),M2247/H2247,"")))</f>
        <v/>
      </c>
      <c r="Q2247" s="9">
        <f>IF(AND(ISNUMBER(M2247),ISNUMBER(O2247)),IF(M2247&lt;=O2247,"Valor ≤ venal IPTU",""),"")</f>
        <v/>
      </c>
      <c r="R2247" s="10" t="n"/>
      <c r="S2247" s="10" t="n"/>
      <c r="AA2247" s="10" t="n"/>
      <c r="AB2247" s="11">
        <f>IF(LEN(TRIM(X2247))=0,"",HYPERLINK("https://www.google.com/maps/@?api=1&amp;map_action=pano&amp;viewpoint="&amp;SUBSTITUTE(X2247," ",""),"Abrir Street View"))</f>
        <v/>
      </c>
    </row>
    <row r="2248">
      <c r="H2248" s="6" t="n"/>
      <c r="I2248" s="6" t="n"/>
      <c r="M2248" s="7" t="n"/>
      <c r="N2248" s="7" t="n"/>
      <c r="O2248" s="7" t="n"/>
      <c r="P2248" s="8">
        <f>IF(NOT(ISNUMBER(M2248)),"",IF(G2248="Terreno",IF(AND(ISNUMBER(I2248),I2248&gt;0),M2248/I2248,""),IF(AND(ISNUMBER(H2248),H2248&gt;0),M2248/H2248,"")))</f>
        <v/>
      </c>
      <c r="Q2248" s="9">
        <f>IF(AND(ISNUMBER(M2248),ISNUMBER(O2248)),IF(M2248&lt;=O2248,"Valor ≤ venal IPTU",""),"")</f>
        <v/>
      </c>
      <c r="R2248" s="10" t="n"/>
      <c r="S2248" s="10" t="n"/>
      <c r="AA2248" s="10" t="n"/>
      <c r="AB2248" s="11">
        <f>IF(LEN(TRIM(X2248))=0,"",HYPERLINK("https://www.google.com/maps/@?api=1&amp;map_action=pano&amp;viewpoint="&amp;SUBSTITUTE(X2248," ",""),"Abrir Street View"))</f>
        <v/>
      </c>
    </row>
    <row r="2249">
      <c r="H2249" s="6" t="n"/>
      <c r="I2249" s="6" t="n"/>
      <c r="M2249" s="7" t="n"/>
      <c r="N2249" s="7" t="n"/>
      <c r="O2249" s="7" t="n"/>
      <c r="P2249" s="8">
        <f>IF(NOT(ISNUMBER(M2249)),"",IF(G2249="Terreno",IF(AND(ISNUMBER(I2249),I2249&gt;0),M2249/I2249,""),IF(AND(ISNUMBER(H2249),H2249&gt;0),M2249/H2249,"")))</f>
        <v/>
      </c>
      <c r="Q2249" s="9">
        <f>IF(AND(ISNUMBER(M2249),ISNUMBER(O2249)),IF(M2249&lt;=O2249,"Valor ≤ venal IPTU",""),"")</f>
        <v/>
      </c>
      <c r="R2249" s="10" t="n"/>
      <c r="S2249" s="10" t="n"/>
      <c r="AA2249" s="10" t="n"/>
      <c r="AB2249" s="11">
        <f>IF(LEN(TRIM(X2249))=0,"",HYPERLINK("https://www.google.com/maps/@?api=1&amp;map_action=pano&amp;viewpoint="&amp;SUBSTITUTE(X2249," ",""),"Abrir Street View"))</f>
        <v/>
      </c>
    </row>
    <row r="2250">
      <c r="H2250" s="6" t="n"/>
      <c r="I2250" s="6" t="n"/>
      <c r="M2250" s="7" t="n"/>
      <c r="N2250" s="7" t="n"/>
      <c r="O2250" s="7" t="n"/>
      <c r="P2250" s="8">
        <f>IF(NOT(ISNUMBER(M2250)),"",IF(G2250="Terreno",IF(AND(ISNUMBER(I2250),I2250&gt;0),M2250/I2250,""),IF(AND(ISNUMBER(H2250),H2250&gt;0),M2250/H2250,"")))</f>
        <v/>
      </c>
      <c r="Q2250" s="9">
        <f>IF(AND(ISNUMBER(M2250),ISNUMBER(O2250)),IF(M2250&lt;=O2250,"Valor ≤ venal IPTU",""),"")</f>
        <v/>
      </c>
      <c r="R2250" s="10" t="n"/>
      <c r="S2250" s="10" t="n"/>
      <c r="AA2250" s="10" t="n"/>
      <c r="AB2250" s="11">
        <f>IF(LEN(TRIM(X2250))=0,"",HYPERLINK("https://www.google.com/maps/@?api=1&amp;map_action=pano&amp;viewpoint="&amp;SUBSTITUTE(X2250," ",""),"Abrir Street View"))</f>
        <v/>
      </c>
    </row>
    <row r="2251">
      <c r="H2251" s="6" t="n"/>
      <c r="I2251" s="6" t="n"/>
      <c r="M2251" s="7" t="n"/>
      <c r="N2251" s="7" t="n"/>
      <c r="O2251" s="7" t="n"/>
      <c r="P2251" s="8">
        <f>IF(NOT(ISNUMBER(M2251)),"",IF(G2251="Terreno",IF(AND(ISNUMBER(I2251),I2251&gt;0),M2251/I2251,""),IF(AND(ISNUMBER(H2251),H2251&gt;0),M2251/H2251,"")))</f>
        <v/>
      </c>
      <c r="Q2251" s="9">
        <f>IF(AND(ISNUMBER(M2251),ISNUMBER(O2251)),IF(M2251&lt;=O2251,"Valor ≤ venal IPTU",""),"")</f>
        <v/>
      </c>
      <c r="R2251" s="10" t="n"/>
      <c r="S2251" s="10" t="n"/>
      <c r="AA2251" s="10" t="n"/>
      <c r="AB2251" s="11">
        <f>IF(LEN(TRIM(X2251))=0,"",HYPERLINK("https://www.google.com/maps/@?api=1&amp;map_action=pano&amp;viewpoint="&amp;SUBSTITUTE(X2251," ",""),"Abrir Street View"))</f>
        <v/>
      </c>
    </row>
    <row r="2252">
      <c r="H2252" s="6" t="n"/>
      <c r="I2252" s="6" t="n"/>
      <c r="M2252" s="7" t="n"/>
      <c r="N2252" s="7" t="n"/>
      <c r="O2252" s="7" t="n"/>
      <c r="P2252" s="8">
        <f>IF(NOT(ISNUMBER(M2252)),"",IF(G2252="Terreno",IF(AND(ISNUMBER(I2252),I2252&gt;0),M2252/I2252,""),IF(AND(ISNUMBER(H2252),H2252&gt;0),M2252/H2252,"")))</f>
        <v/>
      </c>
      <c r="Q2252" s="9">
        <f>IF(AND(ISNUMBER(M2252),ISNUMBER(O2252)),IF(M2252&lt;=O2252,"Valor ≤ venal IPTU",""),"")</f>
        <v/>
      </c>
      <c r="R2252" s="10" t="n"/>
      <c r="S2252" s="10" t="n"/>
      <c r="AA2252" s="10" t="n"/>
      <c r="AB2252" s="11">
        <f>IF(LEN(TRIM(X2252))=0,"",HYPERLINK("https://www.google.com/maps/@?api=1&amp;map_action=pano&amp;viewpoint="&amp;SUBSTITUTE(X2252," ",""),"Abrir Street View"))</f>
        <v/>
      </c>
    </row>
    <row r="2253">
      <c r="H2253" s="6" t="n"/>
      <c r="I2253" s="6" t="n"/>
      <c r="M2253" s="7" t="n"/>
      <c r="N2253" s="7" t="n"/>
      <c r="O2253" s="7" t="n"/>
      <c r="P2253" s="8">
        <f>IF(NOT(ISNUMBER(M2253)),"",IF(G2253="Terreno",IF(AND(ISNUMBER(I2253),I2253&gt;0),M2253/I2253,""),IF(AND(ISNUMBER(H2253),H2253&gt;0),M2253/H2253,"")))</f>
        <v/>
      </c>
      <c r="Q2253" s="9">
        <f>IF(AND(ISNUMBER(M2253),ISNUMBER(O2253)),IF(M2253&lt;=O2253,"Valor ≤ venal IPTU",""),"")</f>
        <v/>
      </c>
      <c r="R2253" s="10" t="n"/>
      <c r="S2253" s="10" t="n"/>
      <c r="AA2253" s="10" t="n"/>
      <c r="AB2253" s="11">
        <f>IF(LEN(TRIM(X2253))=0,"",HYPERLINK("https://www.google.com/maps/@?api=1&amp;map_action=pano&amp;viewpoint="&amp;SUBSTITUTE(X2253," ",""),"Abrir Street View"))</f>
        <v/>
      </c>
    </row>
    <row r="2254">
      <c r="H2254" s="6" t="n"/>
      <c r="I2254" s="6" t="n"/>
      <c r="M2254" s="7" t="n"/>
      <c r="N2254" s="7" t="n"/>
      <c r="O2254" s="7" t="n"/>
      <c r="P2254" s="8">
        <f>IF(NOT(ISNUMBER(M2254)),"",IF(G2254="Terreno",IF(AND(ISNUMBER(I2254),I2254&gt;0),M2254/I2254,""),IF(AND(ISNUMBER(H2254),H2254&gt;0),M2254/H2254,"")))</f>
        <v/>
      </c>
      <c r="Q2254" s="9">
        <f>IF(AND(ISNUMBER(M2254),ISNUMBER(O2254)),IF(M2254&lt;=O2254,"Valor ≤ venal IPTU",""),"")</f>
        <v/>
      </c>
      <c r="R2254" s="10" t="n"/>
      <c r="S2254" s="10" t="n"/>
      <c r="AA2254" s="10" t="n"/>
      <c r="AB2254" s="11">
        <f>IF(LEN(TRIM(X2254))=0,"",HYPERLINK("https://www.google.com/maps/@?api=1&amp;map_action=pano&amp;viewpoint="&amp;SUBSTITUTE(X2254," ",""),"Abrir Street View"))</f>
        <v/>
      </c>
    </row>
    <row r="2255">
      <c r="H2255" s="6" t="n"/>
      <c r="I2255" s="6" t="n"/>
      <c r="M2255" s="7" t="n"/>
      <c r="N2255" s="7" t="n"/>
      <c r="O2255" s="7" t="n"/>
      <c r="P2255" s="8">
        <f>IF(NOT(ISNUMBER(M2255)),"",IF(G2255="Terreno",IF(AND(ISNUMBER(I2255),I2255&gt;0),M2255/I2255,""),IF(AND(ISNUMBER(H2255),H2255&gt;0),M2255/H2255,"")))</f>
        <v/>
      </c>
      <c r="Q2255" s="9">
        <f>IF(AND(ISNUMBER(M2255),ISNUMBER(O2255)),IF(M2255&lt;=O2255,"Valor ≤ venal IPTU",""),"")</f>
        <v/>
      </c>
      <c r="R2255" s="10" t="n"/>
      <c r="S2255" s="10" t="n"/>
      <c r="AA2255" s="10" t="n"/>
      <c r="AB2255" s="11">
        <f>IF(LEN(TRIM(X2255))=0,"",HYPERLINK("https://www.google.com/maps/@?api=1&amp;map_action=pano&amp;viewpoint="&amp;SUBSTITUTE(X2255," ",""),"Abrir Street View"))</f>
        <v/>
      </c>
    </row>
    <row r="2256">
      <c r="H2256" s="6" t="n"/>
      <c r="I2256" s="6" t="n"/>
      <c r="M2256" s="7" t="n"/>
      <c r="N2256" s="7" t="n"/>
      <c r="O2256" s="7" t="n"/>
      <c r="P2256" s="8">
        <f>IF(NOT(ISNUMBER(M2256)),"",IF(G2256="Terreno",IF(AND(ISNUMBER(I2256),I2256&gt;0),M2256/I2256,""),IF(AND(ISNUMBER(H2256),H2256&gt;0),M2256/H2256,"")))</f>
        <v/>
      </c>
      <c r="Q2256" s="9">
        <f>IF(AND(ISNUMBER(M2256),ISNUMBER(O2256)),IF(M2256&lt;=O2256,"Valor ≤ venal IPTU",""),"")</f>
        <v/>
      </c>
      <c r="R2256" s="10" t="n"/>
      <c r="S2256" s="10" t="n"/>
      <c r="AA2256" s="10" t="n"/>
      <c r="AB2256" s="11">
        <f>IF(LEN(TRIM(X2256))=0,"",HYPERLINK("https://www.google.com/maps/@?api=1&amp;map_action=pano&amp;viewpoint="&amp;SUBSTITUTE(X2256," ",""),"Abrir Street View"))</f>
        <v/>
      </c>
    </row>
    <row r="2257">
      <c r="H2257" s="6" t="n"/>
      <c r="I2257" s="6" t="n"/>
      <c r="M2257" s="7" t="n"/>
      <c r="N2257" s="7" t="n"/>
      <c r="O2257" s="7" t="n"/>
      <c r="P2257" s="8">
        <f>IF(NOT(ISNUMBER(M2257)),"",IF(G2257="Terreno",IF(AND(ISNUMBER(I2257),I2257&gt;0),M2257/I2257,""),IF(AND(ISNUMBER(H2257),H2257&gt;0),M2257/H2257,"")))</f>
        <v/>
      </c>
      <c r="Q2257" s="9">
        <f>IF(AND(ISNUMBER(M2257),ISNUMBER(O2257)),IF(M2257&lt;=O2257,"Valor ≤ venal IPTU",""),"")</f>
        <v/>
      </c>
      <c r="R2257" s="10" t="n"/>
      <c r="S2257" s="10" t="n"/>
      <c r="AA2257" s="10" t="n"/>
      <c r="AB2257" s="11">
        <f>IF(LEN(TRIM(X2257))=0,"",HYPERLINK("https://www.google.com/maps/@?api=1&amp;map_action=pano&amp;viewpoint="&amp;SUBSTITUTE(X2257," ",""),"Abrir Street View"))</f>
        <v/>
      </c>
    </row>
    <row r="2258">
      <c r="H2258" s="6" t="n"/>
      <c r="I2258" s="6" t="n"/>
      <c r="M2258" s="7" t="n"/>
      <c r="N2258" s="7" t="n"/>
      <c r="O2258" s="7" t="n"/>
      <c r="P2258" s="8">
        <f>IF(NOT(ISNUMBER(M2258)),"",IF(G2258="Terreno",IF(AND(ISNUMBER(I2258),I2258&gt;0),M2258/I2258,""),IF(AND(ISNUMBER(H2258),H2258&gt;0),M2258/H2258,"")))</f>
        <v/>
      </c>
      <c r="Q2258" s="9">
        <f>IF(AND(ISNUMBER(M2258),ISNUMBER(O2258)),IF(M2258&lt;=O2258,"Valor ≤ venal IPTU",""),"")</f>
        <v/>
      </c>
      <c r="R2258" s="10" t="n"/>
      <c r="S2258" s="10" t="n"/>
      <c r="AA2258" s="10" t="n"/>
      <c r="AB2258" s="11">
        <f>IF(LEN(TRIM(X2258))=0,"",HYPERLINK("https://www.google.com/maps/@?api=1&amp;map_action=pano&amp;viewpoint="&amp;SUBSTITUTE(X2258," ",""),"Abrir Street View"))</f>
        <v/>
      </c>
    </row>
    <row r="2259">
      <c r="H2259" s="6" t="n"/>
      <c r="I2259" s="6" t="n"/>
      <c r="M2259" s="7" t="n"/>
      <c r="N2259" s="7" t="n"/>
      <c r="O2259" s="7" t="n"/>
      <c r="P2259" s="8">
        <f>IF(NOT(ISNUMBER(M2259)),"",IF(G2259="Terreno",IF(AND(ISNUMBER(I2259),I2259&gt;0),M2259/I2259,""),IF(AND(ISNUMBER(H2259),H2259&gt;0),M2259/H2259,"")))</f>
        <v/>
      </c>
      <c r="Q2259" s="9">
        <f>IF(AND(ISNUMBER(M2259),ISNUMBER(O2259)),IF(M2259&lt;=O2259,"Valor ≤ venal IPTU",""),"")</f>
        <v/>
      </c>
      <c r="R2259" s="10" t="n"/>
      <c r="S2259" s="10" t="n"/>
      <c r="AA2259" s="10" t="n"/>
      <c r="AB2259" s="11">
        <f>IF(LEN(TRIM(X2259))=0,"",HYPERLINK("https://www.google.com/maps/@?api=1&amp;map_action=pano&amp;viewpoint="&amp;SUBSTITUTE(X2259," ",""),"Abrir Street View"))</f>
        <v/>
      </c>
    </row>
    <row r="2260">
      <c r="H2260" s="6" t="n"/>
      <c r="I2260" s="6" t="n"/>
      <c r="M2260" s="7" t="n"/>
      <c r="N2260" s="7" t="n"/>
      <c r="O2260" s="7" t="n"/>
      <c r="P2260" s="8">
        <f>IF(NOT(ISNUMBER(M2260)),"",IF(G2260="Terreno",IF(AND(ISNUMBER(I2260),I2260&gt;0),M2260/I2260,""),IF(AND(ISNUMBER(H2260),H2260&gt;0),M2260/H2260,"")))</f>
        <v/>
      </c>
      <c r="Q2260" s="9">
        <f>IF(AND(ISNUMBER(M2260),ISNUMBER(O2260)),IF(M2260&lt;=O2260,"Valor ≤ venal IPTU",""),"")</f>
        <v/>
      </c>
      <c r="R2260" s="10" t="n"/>
      <c r="S2260" s="10" t="n"/>
      <c r="AA2260" s="10" t="n"/>
      <c r="AB2260" s="11">
        <f>IF(LEN(TRIM(X2260))=0,"",HYPERLINK("https://www.google.com/maps/@?api=1&amp;map_action=pano&amp;viewpoint="&amp;SUBSTITUTE(X2260," ",""),"Abrir Street View"))</f>
        <v/>
      </c>
    </row>
    <row r="2261">
      <c r="H2261" s="6" t="n"/>
      <c r="I2261" s="6" t="n"/>
      <c r="M2261" s="7" t="n"/>
      <c r="N2261" s="7" t="n"/>
      <c r="O2261" s="7" t="n"/>
      <c r="P2261" s="8">
        <f>IF(NOT(ISNUMBER(M2261)),"",IF(G2261="Terreno",IF(AND(ISNUMBER(I2261),I2261&gt;0),M2261/I2261,""),IF(AND(ISNUMBER(H2261),H2261&gt;0),M2261/H2261,"")))</f>
        <v/>
      </c>
      <c r="Q2261" s="9">
        <f>IF(AND(ISNUMBER(M2261),ISNUMBER(O2261)),IF(M2261&lt;=O2261,"Valor ≤ venal IPTU",""),"")</f>
        <v/>
      </c>
      <c r="R2261" s="10" t="n"/>
      <c r="S2261" s="10" t="n"/>
      <c r="AA2261" s="10" t="n"/>
      <c r="AB2261" s="11">
        <f>IF(LEN(TRIM(X2261))=0,"",HYPERLINK("https://www.google.com/maps/@?api=1&amp;map_action=pano&amp;viewpoint="&amp;SUBSTITUTE(X2261," ",""),"Abrir Street View"))</f>
        <v/>
      </c>
    </row>
    <row r="2262">
      <c r="H2262" s="6" t="n"/>
      <c r="I2262" s="6" t="n"/>
      <c r="M2262" s="7" t="n"/>
      <c r="N2262" s="7" t="n"/>
      <c r="O2262" s="7" t="n"/>
      <c r="P2262" s="8">
        <f>IF(NOT(ISNUMBER(M2262)),"",IF(G2262="Terreno",IF(AND(ISNUMBER(I2262),I2262&gt;0),M2262/I2262,""),IF(AND(ISNUMBER(H2262),H2262&gt;0),M2262/H2262,"")))</f>
        <v/>
      </c>
      <c r="Q2262" s="9">
        <f>IF(AND(ISNUMBER(M2262),ISNUMBER(O2262)),IF(M2262&lt;=O2262,"Valor ≤ venal IPTU",""),"")</f>
        <v/>
      </c>
      <c r="R2262" s="10" t="n"/>
      <c r="S2262" s="10" t="n"/>
      <c r="AA2262" s="10" t="n"/>
      <c r="AB2262" s="11">
        <f>IF(LEN(TRIM(X2262))=0,"",HYPERLINK("https://www.google.com/maps/@?api=1&amp;map_action=pano&amp;viewpoint="&amp;SUBSTITUTE(X2262," ",""),"Abrir Street View"))</f>
        <v/>
      </c>
    </row>
    <row r="2263">
      <c r="H2263" s="6" t="n"/>
      <c r="I2263" s="6" t="n"/>
      <c r="M2263" s="7" t="n"/>
      <c r="N2263" s="7" t="n"/>
      <c r="O2263" s="7" t="n"/>
      <c r="P2263" s="8">
        <f>IF(NOT(ISNUMBER(M2263)),"",IF(G2263="Terreno",IF(AND(ISNUMBER(I2263),I2263&gt;0),M2263/I2263,""),IF(AND(ISNUMBER(H2263),H2263&gt;0),M2263/H2263,"")))</f>
        <v/>
      </c>
      <c r="Q2263" s="9">
        <f>IF(AND(ISNUMBER(M2263),ISNUMBER(O2263)),IF(M2263&lt;=O2263,"Valor ≤ venal IPTU",""),"")</f>
        <v/>
      </c>
      <c r="R2263" s="10" t="n"/>
      <c r="S2263" s="10" t="n"/>
      <c r="AA2263" s="10" t="n"/>
      <c r="AB2263" s="11">
        <f>IF(LEN(TRIM(X2263))=0,"",HYPERLINK("https://www.google.com/maps/@?api=1&amp;map_action=pano&amp;viewpoint="&amp;SUBSTITUTE(X2263," ",""),"Abrir Street View"))</f>
        <v/>
      </c>
    </row>
    <row r="2264">
      <c r="H2264" s="6" t="n"/>
      <c r="I2264" s="6" t="n"/>
      <c r="M2264" s="7" t="n"/>
      <c r="N2264" s="7" t="n"/>
      <c r="O2264" s="7" t="n"/>
      <c r="P2264" s="8">
        <f>IF(NOT(ISNUMBER(M2264)),"",IF(G2264="Terreno",IF(AND(ISNUMBER(I2264),I2264&gt;0),M2264/I2264,""),IF(AND(ISNUMBER(H2264),H2264&gt;0),M2264/H2264,"")))</f>
        <v/>
      </c>
      <c r="Q2264" s="9">
        <f>IF(AND(ISNUMBER(M2264),ISNUMBER(O2264)),IF(M2264&lt;=O2264,"Valor ≤ venal IPTU",""),"")</f>
        <v/>
      </c>
      <c r="R2264" s="10" t="n"/>
      <c r="S2264" s="10" t="n"/>
      <c r="AA2264" s="10" t="n"/>
      <c r="AB2264" s="11">
        <f>IF(LEN(TRIM(X2264))=0,"",HYPERLINK("https://www.google.com/maps/@?api=1&amp;map_action=pano&amp;viewpoint="&amp;SUBSTITUTE(X2264," ",""),"Abrir Street View"))</f>
        <v/>
      </c>
    </row>
    <row r="2265">
      <c r="H2265" s="6" t="n"/>
      <c r="I2265" s="6" t="n"/>
      <c r="M2265" s="7" t="n"/>
      <c r="N2265" s="7" t="n"/>
      <c r="O2265" s="7" t="n"/>
      <c r="P2265" s="8">
        <f>IF(NOT(ISNUMBER(M2265)),"",IF(G2265="Terreno",IF(AND(ISNUMBER(I2265),I2265&gt;0),M2265/I2265,""),IF(AND(ISNUMBER(H2265),H2265&gt;0),M2265/H2265,"")))</f>
        <v/>
      </c>
      <c r="Q2265" s="9">
        <f>IF(AND(ISNUMBER(M2265),ISNUMBER(O2265)),IF(M2265&lt;=O2265,"Valor ≤ venal IPTU",""),"")</f>
        <v/>
      </c>
      <c r="R2265" s="10" t="n"/>
      <c r="S2265" s="10" t="n"/>
      <c r="AA2265" s="10" t="n"/>
      <c r="AB2265" s="11">
        <f>IF(LEN(TRIM(X2265))=0,"",HYPERLINK("https://www.google.com/maps/@?api=1&amp;map_action=pano&amp;viewpoint="&amp;SUBSTITUTE(X2265," ",""),"Abrir Street View"))</f>
        <v/>
      </c>
    </row>
    <row r="2266">
      <c r="H2266" s="6" t="n"/>
      <c r="I2266" s="6" t="n"/>
      <c r="M2266" s="7" t="n"/>
      <c r="N2266" s="7" t="n"/>
      <c r="O2266" s="7" t="n"/>
      <c r="P2266" s="8">
        <f>IF(NOT(ISNUMBER(M2266)),"",IF(G2266="Terreno",IF(AND(ISNUMBER(I2266),I2266&gt;0),M2266/I2266,""),IF(AND(ISNUMBER(H2266),H2266&gt;0),M2266/H2266,"")))</f>
        <v/>
      </c>
      <c r="Q2266" s="9">
        <f>IF(AND(ISNUMBER(M2266),ISNUMBER(O2266)),IF(M2266&lt;=O2266,"Valor ≤ venal IPTU",""),"")</f>
        <v/>
      </c>
      <c r="R2266" s="10" t="n"/>
      <c r="S2266" s="10" t="n"/>
      <c r="AA2266" s="10" t="n"/>
      <c r="AB2266" s="11">
        <f>IF(LEN(TRIM(X2266))=0,"",HYPERLINK("https://www.google.com/maps/@?api=1&amp;map_action=pano&amp;viewpoint="&amp;SUBSTITUTE(X2266," ",""),"Abrir Street View"))</f>
        <v/>
      </c>
    </row>
    <row r="2267">
      <c r="H2267" s="6" t="n"/>
      <c r="I2267" s="6" t="n"/>
      <c r="M2267" s="7" t="n"/>
      <c r="N2267" s="7" t="n"/>
      <c r="O2267" s="7" t="n"/>
      <c r="P2267" s="8">
        <f>IF(NOT(ISNUMBER(M2267)),"",IF(G2267="Terreno",IF(AND(ISNUMBER(I2267),I2267&gt;0),M2267/I2267,""),IF(AND(ISNUMBER(H2267),H2267&gt;0),M2267/H2267,"")))</f>
        <v/>
      </c>
      <c r="Q2267" s="9">
        <f>IF(AND(ISNUMBER(M2267),ISNUMBER(O2267)),IF(M2267&lt;=O2267,"Valor ≤ venal IPTU",""),"")</f>
        <v/>
      </c>
      <c r="R2267" s="10" t="n"/>
      <c r="S2267" s="10" t="n"/>
      <c r="AA2267" s="10" t="n"/>
      <c r="AB2267" s="11">
        <f>IF(LEN(TRIM(X2267))=0,"",HYPERLINK("https://www.google.com/maps/@?api=1&amp;map_action=pano&amp;viewpoint="&amp;SUBSTITUTE(X2267," ",""),"Abrir Street View"))</f>
        <v/>
      </c>
    </row>
    <row r="2268">
      <c r="H2268" s="6" t="n"/>
      <c r="I2268" s="6" t="n"/>
      <c r="M2268" s="7" t="n"/>
      <c r="N2268" s="7" t="n"/>
      <c r="O2268" s="7" t="n"/>
      <c r="P2268" s="8">
        <f>IF(NOT(ISNUMBER(M2268)),"",IF(G2268="Terreno",IF(AND(ISNUMBER(I2268),I2268&gt;0),M2268/I2268,""),IF(AND(ISNUMBER(H2268),H2268&gt;0),M2268/H2268,"")))</f>
        <v/>
      </c>
      <c r="Q2268" s="9">
        <f>IF(AND(ISNUMBER(M2268),ISNUMBER(O2268)),IF(M2268&lt;=O2268,"Valor ≤ venal IPTU",""),"")</f>
        <v/>
      </c>
      <c r="R2268" s="10" t="n"/>
      <c r="S2268" s="10" t="n"/>
      <c r="AA2268" s="10" t="n"/>
      <c r="AB2268" s="11">
        <f>IF(LEN(TRIM(X2268))=0,"",HYPERLINK("https://www.google.com/maps/@?api=1&amp;map_action=pano&amp;viewpoint="&amp;SUBSTITUTE(X2268," ",""),"Abrir Street View"))</f>
        <v/>
      </c>
    </row>
    <row r="2269">
      <c r="H2269" s="6" t="n"/>
      <c r="I2269" s="6" t="n"/>
      <c r="M2269" s="7" t="n"/>
      <c r="N2269" s="7" t="n"/>
      <c r="O2269" s="7" t="n"/>
      <c r="P2269" s="8">
        <f>IF(NOT(ISNUMBER(M2269)),"",IF(G2269="Terreno",IF(AND(ISNUMBER(I2269),I2269&gt;0),M2269/I2269,""),IF(AND(ISNUMBER(H2269),H2269&gt;0),M2269/H2269,"")))</f>
        <v/>
      </c>
      <c r="Q2269" s="9">
        <f>IF(AND(ISNUMBER(M2269),ISNUMBER(O2269)),IF(M2269&lt;=O2269,"Valor ≤ venal IPTU",""),"")</f>
        <v/>
      </c>
      <c r="R2269" s="10" t="n"/>
      <c r="S2269" s="10" t="n"/>
      <c r="AA2269" s="10" t="n"/>
      <c r="AB2269" s="11">
        <f>IF(LEN(TRIM(X2269))=0,"",HYPERLINK("https://www.google.com/maps/@?api=1&amp;map_action=pano&amp;viewpoint="&amp;SUBSTITUTE(X2269," ",""),"Abrir Street View"))</f>
        <v/>
      </c>
    </row>
    <row r="2270">
      <c r="H2270" s="6" t="n"/>
      <c r="I2270" s="6" t="n"/>
      <c r="M2270" s="7" t="n"/>
      <c r="N2270" s="7" t="n"/>
      <c r="O2270" s="7" t="n"/>
      <c r="P2270" s="8">
        <f>IF(NOT(ISNUMBER(M2270)),"",IF(G2270="Terreno",IF(AND(ISNUMBER(I2270),I2270&gt;0),M2270/I2270,""),IF(AND(ISNUMBER(H2270),H2270&gt;0),M2270/H2270,"")))</f>
        <v/>
      </c>
      <c r="Q2270" s="9">
        <f>IF(AND(ISNUMBER(M2270),ISNUMBER(O2270)),IF(M2270&lt;=O2270,"Valor ≤ venal IPTU",""),"")</f>
        <v/>
      </c>
      <c r="R2270" s="10" t="n"/>
      <c r="S2270" s="10" t="n"/>
      <c r="AA2270" s="10" t="n"/>
      <c r="AB2270" s="11">
        <f>IF(LEN(TRIM(X2270))=0,"",HYPERLINK("https://www.google.com/maps/@?api=1&amp;map_action=pano&amp;viewpoint="&amp;SUBSTITUTE(X2270," ",""),"Abrir Street View"))</f>
        <v/>
      </c>
    </row>
    <row r="2271">
      <c r="H2271" s="6" t="n"/>
      <c r="I2271" s="6" t="n"/>
      <c r="M2271" s="7" t="n"/>
      <c r="N2271" s="7" t="n"/>
      <c r="O2271" s="7" t="n"/>
      <c r="P2271" s="8">
        <f>IF(NOT(ISNUMBER(M2271)),"",IF(G2271="Terreno",IF(AND(ISNUMBER(I2271),I2271&gt;0),M2271/I2271,""),IF(AND(ISNUMBER(H2271),H2271&gt;0),M2271/H2271,"")))</f>
        <v/>
      </c>
      <c r="Q2271" s="9">
        <f>IF(AND(ISNUMBER(M2271),ISNUMBER(O2271)),IF(M2271&lt;=O2271,"Valor ≤ venal IPTU",""),"")</f>
        <v/>
      </c>
      <c r="R2271" s="10" t="n"/>
      <c r="S2271" s="10" t="n"/>
      <c r="AA2271" s="10" t="n"/>
      <c r="AB2271" s="11">
        <f>IF(LEN(TRIM(X2271))=0,"",HYPERLINK("https://www.google.com/maps/@?api=1&amp;map_action=pano&amp;viewpoint="&amp;SUBSTITUTE(X2271," ",""),"Abrir Street View"))</f>
        <v/>
      </c>
    </row>
    <row r="2272">
      <c r="H2272" s="6" t="n"/>
      <c r="I2272" s="6" t="n"/>
      <c r="M2272" s="7" t="n"/>
      <c r="N2272" s="7" t="n"/>
      <c r="O2272" s="7" t="n"/>
      <c r="P2272" s="8">
        <f>IF(NOT(ISNUMBER(M2272)),"",IF(G2272="Terreno",IF(AND(ISNUMBER(I2272),I2272&gt;0),M2272/I2272,""),IF(AND(ISNUMBER(H2272),H2272&gt;0),M2272/H2272,"")))</f>
        <v/>
      </c>
      <c r="Q2272" s="9">
        <f>IF(AND(ISNUMBER(M2272),ISNUMBER(O2272)),IF(M2272&lt;=O2272,"Valor ≤ venal IPTU",""),"")</f>
        <v/>
      </c>
      <c r="R2272" s="10" t="n"/>
      <c r="S2272" s="10" t="n"/>
      <c r="AA2272" s="10" t="n"/>
      <c r="AB2272" s="11">
        <f>IF(LEN(TRIM(X2272))=0,"",HYPERLINK("https://www.google.com/maps/@?api=1&amp;map_action=pano&amp;viewpoint="&amp;SUBSTITUTE(X2272," ",""),"Abrir Street View"))</f>
        <v/>
      </c>
    </row>
    <row r="2273">
      <c r="H2273" s="6" t="n"/>
      <c r="I2273" s="6" t="n"/>
      <c r="M2273" s="7" t="n"/>
      <c r="N2273" s="7" t="n"/>
      <c r="O2273" s="7" t="n"/>
      <c r="P2273" s="8">
        <f>IF(NOT(ISNUMBER(M2273)),"",IF(G2273="Terreno",IF(AND(ISNUMBER(I2273),I2273&gt;0),M2273/I2273,""),IF(AND(ISNUMBER(H2273),H2273&gt;0),M2273/H2273,"")))</f>
        <v/>
      </c>
      <c r="Q2273" s="9">
        <f>IF(AND(ISNUMBER(M2273),ISNUMBER(O2273)),IF(M2273&lt;=O2273,"Valor ≤ venal IPTU",""),"")</f>
        <v/>
      </c>
      <c r="R2273" s="10" t="n"/>
      <c r="S2273" s="10" t="n"/>
      <c r="AA2273" s="10" t="n"/>
      <c r="AB2273" s="11">
        <f>IF(LEN(TRIM(X2273))=0,"",HYPERLINK("https://www.google.com/maps/@?api=1&amp;map_action=pano&amp;viewpoint="&amp;SUBSTITUTE(X2273," ",""),"Abrir Street View"))</f>
        <v/>
      </c>
    </row>
    <row r="2274">
      <c r="H2274" s="6" t="n"/>
      <c r="I2274" s="6" t="n"/>
      <c r="M2274" s="7" t="n"/>
      <c r="N2274" s="7" t="n"/>
      <c r="O2274" s="7" t="n"/>
      <c r="P2274" s="8">
        <f>IF(NOT(ISNUMBER(M2274)),"",IF(G2274="Terreno",IF(AND(ISNUMBER(I2274),I2274&gt;0),M2274/I2274,""),IF(AND(ISNUMBER(H2274),H2274&gt;0),M2274/H2274,"")))</f>
        <v/>
      </c>
      <c r="Q2274" s="9">
        <f>IF(AND(ISNUMBER(M2274),ISNUMBER(O2274)),IF(M2274&lt;=O2274,"Valor ≤ venal IPTU",""),"")</f>
        <v/>
      </c>
      <c r="R2274" s="10" t="n"/>
      <c r="S2274" s="10" t="n"/>
      <c r="AA2274" s="10" t="n"/>
      <c r="AB2274" s="11">
        <f>IF(LEN(TRIM(X2274))=0,"",HYPERLINK("https://www.google.com/maps/@?api=1&amp;map_action=pano&amp;viewpoint="&amp;SUBSTITUTE(X2274," ",""),"Abrir Street View"))</f>
        <v/>
      </c>
    </row>
    <row r="2275">
      <c r="H2275" s="6" t="n"/>
      <c r="I2275" s="6" t="n"/>
      <c r="M2275" s="7" t="n"/>
      <c r="N2275" s="7" t="n"/>
      <c r="O2275" s="7" t="n"/>
      <c r="P2275" s="8">
        <f>IF(NOT(ISNUMBER(M2275)),"",IF(G2275="Terreno",IF(AND(ISNUMBER(I2275),I2275&gt;0),M2275/I2275,""),IF(AND(ISNUMBER(H2275),H2275&gt;0),M2275/H2275,"")))</f>
        <v/>
      </c>
      <c r="Q2275" s="9">
        <f>IF(AND(ISNUMBER(M2275),ISNUMBER(O2275)),IF(M2275&lt;=O2275,"Valor ≤ venal IPTU",""),"")</f>
        <v/>
      </c>
      <c r="R2275" s="10" t="n"/>
      <c r="S2275" s="10" t="n"/>
      <c r="AA2275" s="10" t="n"/>
      <c r="AB2275" s="11">
        <f>IF(LEN(TRIM(X2275))=0,"",HYPERLINK("https://www.google.com/maps/@?api=1&amp;map_action=pano&amp;viewpoint="&amp;SUBSTITUTE(X2275," ",""),"Abrir Street View"))</f>
        <v/>
      </c>
    </row>
    <row r="2276">
      <c r="H2276" s="6" t="n"/>
      <c r="I2276" s="6" t="n"/>
      <c r="M2276" s="7" t="n"/>
      <c r="N2276" s="7" t="n"/>
      <c r="O2276" s="7" t="n"/>
      <c r="P2276" s="8">
        <f>IF(NOT(ISNUMBER(M2276)),"",IF(G2276="Terreno",IF(AND(ISNUMBER(I2276),I2276&gt;0),M2276/I2276,""),IF(AND(ISNUMBER(H2276),H2276&gt;0),M2276/H2276,"")))</f>
        <v/>
      </c>
      <c r="Q2276" s="9">
        <f>IF(AND(ISNUMBER(M2276),ISNUMBER(O2276)),IF(M2276&lt;=O2276,"Valor ≤ venal IPTU",""),"")</f>
        <v/>
      </c>
      <c r="R2276" s="10" t="n"/>
      <c r="S2276" s="10" t="n"/>
      <c r="AA2276" s="10" t="n"/>
      <c r="AB2276" s="11">
        <f>IF(LEN(TRIM(X2276))=0,"",HYPERLINK("https://www.google.com/maps/@?api=1&amp;map_action=pano&amp;viewpoint="&amp;SUBSTITUTE(X2276," ",""),"Abrir Street View"))</f>
        <v/>
      </c>
    </row>
    <row r="2277">
      <c r="H2277" s="6" t="n"/>
      <c r="I2277" s="6" t="n"/>
      <c r="M2277" s="7" t="n"/>
      <c r="N2277" s="7" t="n"/>
      <c r="O2277" s="7" t="n"/>
      <c r="P2277" s="8">
        <f>IF(NOT(ISNUMBER(M2277)),"",IF(G2277="Terreno",IF(AND(ISNUMBER(I2277),I2277&gt;0),M2277/I2277,""),IF(AND(ISNUMBER(H2277),H2277&gt;0),M2277/H2277,"")))</f>
        <v/>
      </c>
      <c r="Q2277" s="9">
        <f>IF(AND(ISNUMBER(M2277),ISNUMBER(O2277)),IF(M2277&lt;=O2277,"Valor ≤ venal IPTU",""),"")</f>
        <v/>
      </c>
      <c r="R2277" s="10" t="n"/>
      <c r="S2277" s="10" t="n"/>
      <c r="AA2277" s="10" t="n"/>
      <c r="AB2277" s="11">
        <f>IF(LEN(TRIM(X2277))=0,"",HYPERLINK("https://www.google.com/maps/@?api=1&amp;map_action=pano&amp;viewpoint="&amp;SUBSTITUTE(X2277," ",""),"Abrir Street View"))</f>
        <v/>
      </c>
    </row>
    <row r="2278">
      <c r="H2278" s="6" t="n"/>
      <c r="I2278" s="6" t="n"/>
      <c r="M2278" s="7" t="n"/>
      <c r="N2278" s="7" t="n"/>
      <c r="O2278" s="7" t="n"/>
      <c r="P2278" s="8">
        <f>IF(NOT(ISNUMBER(M2278)),"",IF(G2278="Terreno",IF(AND(ISNUMBER(I2278),I2278&gt;0),M2278/I2278,""),IF(AND(ISNUMBER(H2278),H2278&gt;0),M2278/H2278,"")))</f>
        <v/>
      </c>
      <c r="Q2278" s="9">
        <f>IF(AND(ISNUMBER(M2278),ISNUMBER(O2278)),IF(M2278&lt;=O2278,"Valor ≤ venal IPTU",""),"")</f>
        <v/>
      </c>
      <c r="R2278" s="10" t="n"/>
      <c r="S2278" s="10" t="n"/>
      <c r="AA2278" s="10" t="n"/>
      <c r="AB2278" s="11">
        <f>IF(LEN(TRIM(X2278))=0,"",HYPERLINK("https://www.google.com/maps/@?api=1&amp;map_action=pano&amp;viewpoint="&amp;SUBSTITUTE(X2278," ",""),"Abrir Street View"))</f>
        <v/>
      </c>
    </row>
    <row r="2279">
      <c r="H2279" s="6" t="n"/>
      <c r="I2279" s="6" t="n"/>
      <c r="M2279" s="7" t="n"/>
      <c r="N2279" s="7" t="n"/>
      <c r="O2279" s="7" t="n"/>
      <c r="P2279" s="8">
        <f>IF(NOT(ISNUMBER(M2279)),"",IF(G2279="Terreno",IF(AND(ISNUMBER(I2279),I2279&gt;0),M2279/I2279,""),IF(AND(ISNUMBER(H2279),H2279&gt;0),M2279/H2279,"")))</f>
        <v/>
      </c>
      <c r="Q2279" s="9">
        <f>IF(AND(ISNUMBER(M2279),ISNUMBER(O2279)),IF(M2279&lt;=O2279,"Valor ≤ venal IPTU",""),"")</f>
        <v/>
      </c>
      <c r="R2279" s="10" t="n"/>
      <c r="S2279" s="10" t="n"/>
      <c r="AA2279" s="10" t="n"/>
      <c r="AB2279" s="11">
        <f>IF(LEN(TRIM(X2279))=0,"",HYPERLINK("https://www.google.com/maps/@?api=1&amp;map_action=pano&amp;viewpoint="&amp;SUBSTITUTE(X2279," ",""),"Abrir Street View"))</f>
        <v/>
      </c>
    </row>
    <row r="2280">
      <c r="H2280" s="6" t="n"/>
      <c r="I2280" s="6" t="n"/>
      <c r="M2280" s="7" t="n"/>
      <c r="N2280" s="7" t="n"/>
      <c r="O2280" s="7" t="n"/>
      <c r="P2280" s="8">
        <f>IF(NOT(ISNUMBER(M2280)),"",IF(G2280="Terreno",IF(AND(ISNUMBER(I2280),I2280&gt;0),M2280/I2280,""),IF(AND(ISNUMBER(H2280),H2280&gt;0),M2280/H2280,"")))</f>
        <v/>
      </c>
      <c r="Q2280" s="9">
        <f>IF(AND(ISNUMBER(M2280),ISNUMBER(O2280)),IF(M2280&lt;=O2280,"Valor ≤ venal IPTU",""),"")</f>
        <v/>
      </c>
      <c r="R2280" s="10" t="n"/>
      <c r="S2280" s="10" t="n"/>
      <c r="AA2280" s="10" t="n"/>
      <c r="AB2280" s="11">
        <f>IF(LEN(TRIM(X2280))=0,"",HYPERLINK("https://www.google.com/maps/@?api=1&amp;map_action=pano&amp;viewpoint="&amp;SUBSTITUTE(X2280," ",""),"Abrir Street View"))</f>
        <v/>
      </c>
    </row>
    <row r="2281">
      <c r="H2281" s="6" t="n"/>
      <c r="I2281" s="6" t="n"/>
      <c r="M2281" s="7" t="n"/>
      <c r="N2281" s="7" t="n"/>
      <c r="O2281" s="7" t="n"/>
      <c r="P2281" s="8">
        <f>IF(NOT(ISNUMBER(M2281)),"",IF(G2281="Terreno",IF(AND(ISNUMBER(I2281),I2281&gt;0),M2281/I2281,""),IF(AND(ISNUMBER(H2281),H2281&gt;0),M2281/H2281,"")))</f>
        <v/>
      </c>
      <c r="Q2281" s="9">
        <f>IF(AND(ISNUMBER(M2281),ISNUMBER(O2281)),IF(M2281&lt;=O2281,"Valor ≤ venal IPTU",""),"")</f>
        <v/>
      </c>
      <c r="R2281" s="10" t="n"/>
      <c r="S2281" s="10" t="n"/>
      <c r="AA2281" s="10" t="n"/>
      <c r="AB2281" s="11">
        <f>IF(LEN(TRIM(X2281))=0,"",HYPERLINK("https://www.google.com/maps/@?api=1&amp;map_action=pano&amp;viewpoint="&amp;SUBSTITUTE(X2281," ",""),"Abrir Street View"))</f>
        <v/>
      </c>
    </row>
    <row r="2282">
      <c r="H2282" s="6" t="n"/>
      <c r="I2282" s="6" t="n"/>
      <c r="M2282" s="7" t="n"/>
      <c r="N2282" s="7" t="n"/>
      <c r="O2282" s="7" t="n"/>
      <c r="P2282" s="8">
        <f>IF(NOT(ISNUMBER(M2282)),"",IF(G2282="Terreno",IF(AND(ISNUMBER(I2282),I2282&gt;0),M2282/I2282,""),IF(AND(ISNUMBER(H2282),H2282&gt;0),M2282/H2282,"")))</f>
        <v/>
      </c>
      <c r="Q2282" s="9">
        <f>IF(AND(ISNUMBER(M2282),ISNUMBER(O2282)),IF(M2282&lt;=O2282,"Valor ≤ venal IPTU",""),"")</f>
        <v/>
      </c>
      <c r="R2282" s="10" t="n"/>
      <c r="S2282" s="10" t="n"/>
      <c r="AA2282" s="10" t="n"/>
      <c r="AB2282" s="11">
        <f>IF(LEN(TRIM(X2282))=0,"",HYPERLINK("https://www.google.com/maps/@?api=1&amp;map_action=pano&amp;viewpoint="&amp;SUBSTITUTE(X2282," ",""),"Abrir Street View"))</f>
        <v/>
      </c>
    </row>
    <row r="2283">
      <c r="H2283" s="6" t="n"/>
      <c r="I2283" s="6" t="n"/>
      <c r="M2283" s="7" t="n"/>
      <c r="N2283" s="7" t="n"/>
      <c r="O2283" s="7" t="n"/>
      <c r="P2283" s="8">
        <f>IF(NOT(ISNUMBER(M2283)),"",IF(G2283="Terreno",IF(AND(ISNUMBER(I2283),I2283&gt;0),M2283/I2283,""),IF(AND(ISNUMBER(H2283),H2283&gt;0),M2283/H2283,"")))</f>
        <v/>
      </c>
      <c r="Q2283" s="9">
        <f>IF(AND(ISNUMBER(M2283),ISNUMBER(O2283)),IF(M2283&lt;=O2283,"Valor ≤ venal IPTU",""),"")</f>
        <v/>
      </c>
      <c r="R2283" s="10" t="n"/>
      <c r="S2283" s="10" t="n"/>
      <c r="AA2283" s="10" t="n"/>
      <c r="AB2283" s="11">
        <f>IF(LEN(TRIM(X2283))=0,"",HYPERLINK("https://www.google.com/maps/@?api=1&amp;map_action=pano&amp;viewpoint="&amp;SUBSTITUTE(X2283," ",""),"Abrir Street View"))</f>
        <v/>
      </c>
    </row>
    <row r="2284">
      <c r="H2284" s="6" t="n"/>
      <c r="I2284" s="6" t="n"/>
      <c r="M2284" s="7" t="n"/>
      <c r="N2284" s="7" t="n"/>
      <c r="O2284" s="7" t="n"/>
      <c r="P2284" s="8">
        <f>IF(NOT(ISNUMBER(M2284)),"",IF(G2284="Terreno",IF(AND(ISNUMBER(I2284),I2284&gt;0),M2284/I2284,""),IF(AND(ISNUMBER(H2284),H2284&gt;0),M2284/H2284,"")))</f>
        <v/>
      </c>
      <c r="Q2284" s="9">
        <f>IF(AND(ISNUMBER(M2284),ISNUMBER(O2284)),IF(M2284&lt;=O2284,"Valor ≤ venal IPTU",""),"")</f>
        <v/>
      </c>
      <c r="R2284" s="10" t="n"/>
      <c r="S2284" s="10" t="n"/>
      <c r="AA2284" s="10" t="n"/>
      <c r="AB2284" s="11">
        <f>IF(LEN(TRIM(X2284))=0,"",HYPERLINK("https://www.google.com/maps/@?api=1&amp;map_action=pano&amp;viewpoint="&amp;SUBSTITUTE(X2284," ",""),"Abrir Street View"))</f>
        <v/>
      </c>
    </row>
    <row r="2285">
      <c r="H2285" s="6" t="n"/>
      <c r="I2285" s="6" t="n"/>
      <c r="M2285" s="7" t="n"/>
      <c r="N2285" s="7" t="n"/>
      <c r="O2285" s="7" t="n"/>
      <c r="P2285" s="8">
        <f>IF(NOT(ISNUMBER(M2285)),"",IF(G2285="Terreno",IF(AND(ISNUMBER(I2285),I2285&gt;0),M2285/I2285,""),IF(AND(ISNUMBER(H2285),H2285&gt;0),M2285/H2285,"")))</f>
        <v/>
      </c>
      <c r="Q2285" s="9">
        <f>IF(AND(ISNUMBER(M2285),ISNUMBER(O2285)),IF(M2285&lt;=O2285,"Valor ≤ venal IPTU",""),"")</f>
        <v/>
      </c>
      <c r="R2285" s="10" t="n"/>
      <c r="S2285" s="10" t="n"/>
      <c r="AA2285" s="10" t="n"/>
      <c r="AB2285" s="11">
        <f>IF(LEN(TRIM(X2285))=0,"",HYPERLINK("https://www.google.com/maps/@?api=1&amp;map_action=pano&amp;viewpoint="&amp;SUBSTITUTE(X2285," ",""),"Abrir Street View"))</f>
        <v/>
      </c>
    </row>
    <row r="2286">
      <c r="H2286" s="6" t="n"/>
      <c r="I2286" s="6" t="n"/>
      <c r="M2286" s="7" t="n"/>
      <c r="N2286" s="7" t="n"/>
      <c r="O2286" s="7" t="n"/>
      <c r="P2286" s="8">
        <f>IF(NOT(ISNUMBER(M2286)),"",IF(G2286="Terreno",IF(AND(ISNUMBER(I2286),I2286&gt;0),M2286/I2286,""),IF(AND(ISNUMBER(H2286),H2286&gt;0),M2286/H2286,"")))</f>
        <v/>
      </c>
      <c r="Q2286" s="9">
        <f>IF(AND(ISNUMBER(M2286),ISNUMBER(O2286)),IF(M2286&lt;=O2286,"Valor ≤ venal IPTU",""),"")</f>
        <v/>
      </c>
      <c r="R2286" s="10" t="n"/>
      <c r="S2286" s="10" t="n"/>
      <c r="AA2286" s="10" t="n"/>
      <c r="AB2286" s="11">
        <f>IF(LEN(TRIM(X2286))=0,"",HYPERLINK("https://www.google.com/maps/@?api=1&amp;map_action=pano&amp;viewpoint="&amp;SUBSTITUTE(X2286," ",""),"Abrir Street View"))</f>
        <v/>
      </c>
    </row>
    <row r="2287">
      <c r="H2287" s="6" t="n"/>
      <c r="I2287" s="6" t="n"/>
      <c r="M2287" s="7" t="n"/>
      <c r="N2287" s="7" t="n"/>
      <c r="O2287" s="7" t="n"/>
      <c r="P2287" s="8">
        <f>IF(NOT(ISNUMBER(M2287)),"",IF(G2287="Terreno",IF(AND(ISNUMBER(I2287),I2287&gt;0),M2287/I2287,""),IF(AND(ISNUMBER(H2287),H2287&gt;0),M2287/H2287,"")))</f>
        <v/>
      </c>
      <c r="Q2287" s="9">
        <f>IF(AND(ISNUMBER(M2287),ISNUMBER(O2287)),IF(M2287&lt;=O2287,"Valor ≤ venal IPTU",""),"")</f>
        <v/>
      </c>
      <c r="R2287" s="10" t="n"/>
      <c r="S2287" s="10" t="n"/>
      <c r="AA2287" s="10" t="n"/>
      <c r="AB2287" s="11">
        <f>IF(LEN(TRIM(X2287))=0,"",HYPERLINK("https://www.google.com/maps/@?api=1&amp;map_action=pano&amp;viewpoint="&amp;SUBSTITUTE(X2287," ",""),"Abrir Street View"))</f>
        <v/>
      </c>
    </row>
    <row r="2288">
      <c r="H2288" s="6" t="n"/>
      <c r="I2288" s="6" t="n"/>
      <c r="M2288" s="7" t="n"/>
      <c r="N2288" s="7" t="n"/>
      <c r="O2288" s="7" t="n"/>
      <c r="P2288" s="8">
        <f>IF(NOT(ISNUMBER(M2288)),"",IF(G2288="Terreno",IF(AND(ISNUMBER(I2288),I2288&gt;0),M2288/I2288,""),IF(AND(ISNUMBER(H2288),H2288&gt;0),M2288/H2288,"")))</f>
        <v/>
      </c>
      <c r="Q2288" s="9">
        <f>IF(AND(ISNUMBER(M2288),ISNUMBER(O2288)),IF(M2288&lt;=O2288,"Valor ≤ venal IPTU",""),"")</f>
        <v/>
      </c>
      <c r="R2288" s="10" t="n"/>
      <c r="S2288" s="10" t="n"/>
      <c r="AA2288" s="10" t="n"/>
      <c r="AB2288" s="11">
        <f>IF(LEN(TRIM(X2288))=0,"",HYPERLINK("https://www.google.com/maps/@?api=1&amp;map_action=pano&amp;viewpoint="&amp;SUBSTITUTE(X2288," ",""),"Abrir Street View"))</f>
        <v/>
      </c>
    </row>
    <row r="2289">
      <c r="H2289" s="6" t="n"/>
      <c r="I2289" s="6" t="n"/>
      <c r="M2289" s="7" t="n"/>
      <c r="N2289" s="7" t="n"/>
      <c r="O2289" s="7" t="n"/>
      <c r="P2289" s="8">
        <f>IF(NOT(ISNUMBER(M2289)),"",IF(G2289="Terreno",IF(AND(ISNUMBER(I2289),I2289&gt;0),M2289/I2289,""),IF(AND(ISNUMBER(H2289),H2289&gt;0),M2289/H2289,"")))</f>
        <v/>
      </c>
      <c r="Q2289" s="9">
        <f>IF(AND(ISNUMBER(M2289),ISNUMBER(O2289)),IF(M2289&lt;=O2289,"Valor ≤ venal IPTU",""),"")</f>
        <v/>
      </c>
      <c r="R2289" s="10" t="n"/>
      <c r="S2289" s="10" t="n"/>
      <c r="AA2289" s="10" t="n"/>
      <c r="AB2289" s="11">
        <f>IF(LEN(TRIM(X2289))=0,"",HYPERLINK("https://www.google.com/maps/@?api=1&amp;map_action=pano&amp;viewpoint="&amp;SUBSTITUTE(X2289," ",""),"Abrir Street View"))</f>
        <v/>
      </c>
    </row>
    <row r="2290">
      <c r="H2290" s="6" t="n"/>
      <c r="I2290" s="6" t="n"/>
      <c r="M2290" s="7" t="n"/>
      <c r="N2290" s="7" t="n"/>
      <c r="O2290" s="7" t="n"/>
      <c r="P2290" s="8">
        <f>IF(NOT(ISNUMBER(M2290)),"",IF(G2290="Terreno",IF(AND(ISNUMBER(I2290),I2290&gt;0),M2290/I2290,""),IF(AND(ISNUMBER(H2290),H2290&gt;0),M2290/H2290,"")))</f>
        <v/>
      </c>
      <c r="Q2290" s="9">
        <f>IF(AND(ISNUMBER(M2290),ISNUMBER(O2290)),IF(M2290&lt;=O2290,"Valor ≤ venal IPTU",""),"")</f>
        <v/>
      </c>
      <c r="R2290" s="10" t="n"/>
      <c r="S2290" s="10" t="n"/>
      <c r="AA2290" s="10" t="n"/>
      <c r="AB2290" s="11">
        <f>IF(LEN(TRIM(X2290))=0,"",HYPERLINK("https://www.google.com/maps/@?api=1&amp;map_action=pano&amp;viewpoint="&amp;SUBSTITUTE(X2290," ",""),"Abrir Street View"))</f>
        <v/>
      </c>
    </row>
    <row r="2291">
      <c r="H2291" s="6" t="n"/>
      <c r="I2291" s="6" t="n"/>
      <c r="M2291" s="7" t="n"/>
      <c r="N2291" s="7" t="n"/>
      <c r="O2291" s="7" t="n"/>
      <c r="P2291" s="8">
        <f>IF(NOT(ISNUMBER(M2291)),"",IF(G2291="Terreno",IF(AND(ISNUMBER(I2291),I2291&gt;0),M2291/I2291,""),IF(AND(ISNUMBER(H2291),H2291&gt;0),M2291/H2291,"")))</f>
        <v/>
      </c>
      <c r="Q2291" s="9">
        <f>IF(AND(ISNUMBER(M2291),ISNUMBER(O2291)),IF(M2291&lt;=O2291,"Valor ≤ venal IPTU",""),"")</f>
        <v/>
      </c>
      <c r="R2291" s="10" t="n"/>
      <c r="S2291" s="10" t="n"/>
      <c r="AA2291" s="10" t="n"/>
      <c r="AB2291" s="11">
        <f>IF(LEN(TRIM(X2291))=0,"",HYPERLINK("https://www.google.com/maps/@?api=1&amp;map_action=pano&amp;viewpoint="&amp;SUBSTITUTE(X2291," ",""),"Abrir Street View"))</f>
        <v/>
      </c>
    </row>
    <row r="2292">
      <c r="H2292" s="6" t="n"/>
      <c r="I2292" s="6" t="n"/>
      <c r="M2292" s="7" t="n"/>
      <c r="N2292" s="7" t="n"/>
      <c r="O2292" s="7" t="n"/>
      <c r="P2292" s="8">
        <f>IF(NOT(ISNUMBER(M2292)),"",IF(G2292="Terreno",IF(AND(ISNUMBER(I2292),I2292&gt;0),M2292/I2292,""),IF(AND(ISNUMBER(H2292),H2292&gt;0),M2292/H2292,"")))</f>
        <v/>
      </c>
      <c r="Q2292" s="9">
        <f>IF(AND(ISNUMBER(M2292),ISNUMBER(O2292)),IF(M2292&lt;=O2292,"Valor ≤ venal IPTU",""),"")</f>
        <v/>
      </c>
      <c r="R2292" s="10" t="n"/>
      <c r="S2292" s="10" t="n"/>
      <c r="AA2292" s="10" t="n"/>
      <c r="AB2292" s="11">
        <f>IF(LEN(TRIM(X2292))=0,"",HYPERLINK("https://www.google.com/maps/@?api=1&amp;map_action=pano&amp;viewpoint="&amp;SUBSTITUTE(X2292," ",""),"Abrir Street View"))</f>
        <v/>
      </c>
    </row>
    <row r="2293">
      <c r="H2293" s="6" t="n"/>
      <c r="I2293" s="6" t="n"/>
      <c r="M2293" s="7" t="n"/>
      <c r="N2293" s="7" t="n"/>
      <c r="O2293" s="7" t="n"/>
      <c r="P2293" s="8">
        <f>IF(NOT(ISNUMBER(M2293)),"",IF(G2293="Terreno",IF(AND(ISNUMBER(I2293),I2293&gt;0),M2293/I2293,""),IF(AND(ISNUMBER(H2293),H2293&gt;0),M2293/H2293,"")))</f>
        <v/>
      </c>
      <c r="Q2293" s="9">
        <f>IF(AND(ISNUMBER(M2293),ISNUMBER(O2293)),IF(M2293&lt;=O2293,"Valor ≤ venal IPTU",""),"")</f>
        <v/>
      </c>
      <c r="R2293" s="10" t="n"/>
      <c r="S2293" s="10" t="n"/>
      <c r="AA2293" s="10" t="n"/>
      <c r="AB2293" s="11">
        <f>IF(LEN(TRIM(X2293))=0,"",HYPERLINK("https://www.google.com/maps/@?api=1&amp;map_action=pano&amp;viewpoint="&amp;SUBSTITUTE(X2293," ",""),"Abrir Street View"))</f>
        <v/>
      </c>
    </row>
    <row r="2294">
      <c r="H2294" s="6" t="n"/>
      <c r="I2294" s="6" t="n"/>
      <c r="M2294" s="7" t="n"/>
      <c r="N2294" s="7" t="n"/>
      <c r="O2294" s="7" t="n"/>
      <c r="P2294" s="8">
        <f>IF(NOT(ISNUMBER(M2294)),"",IF(G2294="Terreno",IF(AND(ISNUMBER(I2294),I2294&gt;0),M2294/I2294,""),IF(AND(ISNUMBER(H2294),H2294&gt;0),M2294/H2294,"")))</f>
        <v/>
      </c>
      <c r="Q2294" s="9">
        <f>IF(AND(ISNUMBER(M2294),ISNUMBER(O2294)),IF(M2294&lt;=O2294,"Valor ≤ venal IPTU",""),"")</f>
        <v/>
      </c>
      <c r="R2294" s="10" t="n"/>
      <c r="S2294" s="10" t="n"/>
      <c r="AA2294" s="10" t="n"/>
      <c r="AB2294" s="11">
        <f>IF(LEN(TRIM(X2294))=0,"",HYPERLINK("https://www.google.com/maps/@?api=1&amp;map_action=pano&amp;viewpoint="&amp;SUBSTITUTE(X2294," ",""),"Abrir Street View"))</f>
        <v/>
      </c>
    </row>
    <row r="2295">
      <c r="H2295" s="6" t="n"/>
      <c r="I2295" s="6" t="n"/>
      <c r="M2295" s="7" t="n"/>
      <c r="N2295" s="7" t="n"/>
      <c r="O2295" s="7" t="n"/>
      <c r="P2295" s="8">
        <f>IF(NOT(ISNUMBER(M2295)),"",IF(G2295="Terreno",IF(AND(ISNUMBER(I2295),I2295&gt;0),M2295/I2295,""),IF(AND(ISNUMBER(H2295),H2295&gt;0),M2295/H2295,"")))</f>
        <v/>
      </c>
      <c r="Q2295" s="9">
        <f>IF(AND(ISNUMBER(M2295),ISNUMBER(O2295)),IF(M2295&lt;=O2295,"Valor ≤ venal IPTU",""),"")</f>
        <v/>
      </c>
      <c r="R2295" s="10" t="n"/>
      <c r="S2295" s="10" t="n"/>
      <c r="AA2295" s="10" t="n"/>
      <c r="AB2295" s="11">
        <f>IF(LEN(TRIM(X2295))=0,"",HYPERLINK("https://www.google.com/maps/@?api=1&amp;map_action=pano&amp;viewpoint="&amp;SUBSTITUTE(X2295," ",""),"Abrir Street View"))</f>
        <v/>
      </c>
    </row>
    <row r="2296">
      <c r="H2296" s="6" t="n"/>
      <c r="I2296" s="6" t="n"/>
      <c r="M2296" s="7" t="n"/>
      <c r="N2296" s="7" t="n"/>
      <c r="O2296" s="7" t="n"/>
      <c r="P2296" s="8">
        <f>IF(NOT(ISNUMBER(M2296)),"",IF(G2296="Terreno",IF(AND(ISNUMBER(I2296),I2296&gt;0),M2296/I2296,""),IF(AND(ISNUMBER(H2296),H2296&gt;0),M2296/H2296,"")))</f>
        <v/>
      </c>
      <c r="Q2296" s="9">
        <f>IF(AND(ISNUMBER(M2296),ISNUMBER(O2296)),IF(M2296&lt;=O2296,"Valor ≤ venal IPTU",""),"")</f>
        <v/>
      </c>
      <c r="R2296" s="10" t="n"/>
      <c r="S2296" s="10" t="n"/>
      <c r="AA2296" s="10" t="n"/>
      <c r="AB2296" s="11">
        <f>IF(LEN(TRIM(X2296))=0,"",HYPERLINK("https://www.google.com/maps/@?api=1&amp;map_action=pano&amp;viewpoint="&amp;SUBSTITUTE(X2296," ",""),"Abrir Street View"))</f>
        <v/>
      </c>
    </row>
    <row r="2297">
      <c r="H2297" s="6" t="n"/>
      <c r="I2297" s="6" t="n"/>
      <c r="M2297" s="7" t="n"/>
      <c r="N2297" s="7" t="n"/>
      <c r="O2297" s="7" t="n"/>
      <c r="P2297" s="8">
        <f>IF(NOT(ISNUMBER(M2297)),"",IF(G2297="Terreno",IF(AND(ISNUMBER(I2297),I2297&gt;0),M2297/I2297,""),IF(AND(ISNUMBER(H2297),H2297&gt;0),M2297/H2297,"")))</f>
        <v/>
      </c>
      <c r="Q2297" s="9">
        <f>IF(AND(ISNUMBER(M2297),ISNUMBER(O2297)),IF(M2297&lt;=O2297,"Valor ≤ venal IPTU",""),"")</f>
        <v/>
      </c>
      <c r="R2297" s="10" t="n"/>
      <c r="S2297" s="10" t="n"/>
      <c r="AA2297" s="10" t="n"/>
      <c r="AB2297" s="11">
        <f>IF(LEN(TRIM(X2297))=0,"",HYPERLINK("https://www.google.com/maps/@?api=1&amp;map_action=pano&amp;viewpoint="&amp;SUBSTITUTE(X2297," ",""),"Abrir Street View"))</f>
        <v/>
      </c>
    </row>
    <row r="2298">
      <c r="H2298" s="6" t="n"/>
      <c r="I2298" s="6" t="n"/>
      <c r="M2298" s="7" t="n"/>
      <c r="N2298" s="7" t="n"/>
      <c r="O2298" s="7" t="n"/>
      <c r="P2298" s="8">
        <f>IF(NOT(ISNUMBER(M2298)),"",IF(G2298="Terreno",IF(AND(ISNUMBER(I2298),I2298&gt;0),M2298/I2298,""),IF(AND(ISNUMBER(H2298),H2298&gt;0),M2298/H2298,"")))</f>
        <v/>
      </c>
      <c r="Q2298" s="9">
        <f>IF(AND(ISNUMBER(M2298),ISNUMBER(O2298)),IF(M2298&lt;=O2298,"Valor ≤ venal IPTU",""),"")</f>
        <v/>
      </c>
      <c r="R2298" s="10" t="n"/>
      <c r="S2298" s="10" t="n"/>
      <c r="AA2298" s="10" t="n"/>
      <c r="AB2298" s="11">
        <f>IF(LEN(TRIM(X2298))=0,"",HYPERLINK("https://www.google.com/maps/@?api=1&amp;map_action=pano&amp;viewpoint="&amp;SUBSTITUTE(X2298," ",""),"Abrir Street View"))</f>
        <v/>
      </c>
    </row>
    <row r="2299">
      <c r="H2299" s="6" t="n"/>
      <c r="I2299" s="6" t="n"/>
      <c r="M2299" s="7" t="n"/>
      <c r="N2299" s="7" t="n"/>
      <c r="O2299" s="7" t="n"/>
      <c r="P2299" s="8">
        <f>IF(NOT(ISNUMBER(M2299)),"",IF(G2299="Terreno",IF(AND(ISNUMBER(I2299),I2299&gt;0),M2299/I2299,""),IF(AND(ISNUMBER(H2299),H2299&gt;0),M2299/H2299,"")))</f>
        <v/>
      </c>
      <c r="Q2299" s="9">
        <f>IF(AND(ISNUMBER(M2299),ISNUMBER(O2299)),IF(M2299&lt;=O2299,"Valor ≤ venal IPTU",""),"")</f>
        <v/>
      </c>
      <c r="R2299" s="10" t="n"/>
      <c r="S2299" s="10" t="n"/>
      <c r="AA2299" s="10" t="n"/>
      <c r="AB2299" s="11">
        <f>IF(LEN(TRIM(X2299))=0,"",HYPERLINK("https://www.google.com/maps/@?api=1&amp;map_action=pano&amp;viewpoint="&amp;SUBSTITUTE(X2299," ",""),"Abrir Street View"))</f>
        <v/>
      </c>
    </row>
    <row r="2300">
      <c r="H2300" s="6" t="n"/>
      <c r="I2300" s="6" t="n"/>
      <c r="M2300" s="7" t="n"/>
      <c r="N2300" s="7" t="n"/>
      <c r="O2300" s="7" t="n"/>
      <c r="P2300" s="8">
        <f>IF(NOT(ISNUMBER(M2300)),"",IF(G2300="Terreno",IF(AND(ISNUMBER(I2300),I2300&gt;0),M2300/I2300,""),IF(AND(ISNUMBER(H2300),H2300&gt;0),M2300/H2300,"")))</f>
        <v/>
      </c>
      <c r="Q2300" s="9">
        <f>IF(AND(ISNUMBER(M2300),ISNUMBER(O2300)),IF(M2300&lt;=O2300,"Valor ≤ venal IPTU",""),"")</f>
        <v/>
      </c>
      <c r="R2300" s="10" t="n"/>
      <c r="S2300" s="10" t="n"/>
      <c r="AA2300" s="10" t="n"/>
      <c r="AB2300" s="11">
        <f>IF(LEN(TRIM(X2300))=0,"",HYPERLINK("https://www.google.com/maps/@?api=1&amp;map_action=pano&amp;viewpoint="&amp;SUBSTITUTE(X2300," ",""),"Abrir Street View"))</f>
        <v/>
      </c>
    </row>
    <row r="2301">
      <c r="H2301" s="6" t="n"/>
      <c r="I2301" s="6" t="n"/>
      <c r="M2301" s="7" t="n"/>
      <c r="N2301" s="7" t="n"/>
      <c r="O2301" s="7" t="n"/>
      <c r="P2301" s="8">
        <f>IF(NOT(ISNUMBER(M2301)),"",IF(G2301="Terreno",IF(AND(ISNUMBER(I2301),I2301&gt;0),M2301/I2301,""),IF(AND(ISNUMBER(H2301),H2301&gt;0),M2301/H2301,"")))</f>
        <v/>
      </c>
      <c r="Q2301" s="9">
        <f>IF(AND(ISNUMBER(M2301),ISNUMBER(O2301)),IF(M2301&lt;=O2301,"Valor ≤ venal IPTU",""),"")</f>
        <v/>
      </c>
      <c r="R2301" s="10" t="n"/>
      <c r="S2301" s="10" t="n"/>
      <c r="AA2301" s="10" t="n"/>
      <c r="AB2301" s="11">
        <f>IF(LEN(TRIM(X2301))=0,"",HYPERLINK("https://www.google.com/maps/@?api=1&amp;map_action=pano&amp;viewpoint="&amp;SUBSTITUTE(X2301," ",""),"Abrir Street View"))</f>
        <v/>
      </c>
    </row>
    <row r="2302">
      <c r="H2302" s="6" t="n"/>
      <c r="I2302" s="6" t="n"/>
      <c r="M2302" s="7" t="n"/>
      <c r="N2302" s="7" t="n"/>
      <c r="O2302" s="7" t="n"/>
      <c r="P2302" s="8">
        <f>IF(NOT(ISNUMBER(M2302)),"",IF(G2302="Terreno",IF(AND(ISNUMBER(I2302),I2302&gt;0),M2302/I2302,""),IF(AND(ISNUMBER(H2302),H2302&gt;0),M2302/H2302,"")))</f>
        <v/>
      </c>
      <c r="Q2302" s="9">
        <f>IF(AND(ISNUMBER(M2302),ISNUMBER(O2302)),IF(M2302&lt;=O2302,"Valor ≤ venal IPTU",""),"")</f>
        <v/>
      </c>
      <c r="R2302" s="10" t="n"/>
      <c r="S2302" s="10" t="n"/>
      <c r="AA2302" s="10" t="n"/>
      <c r="AB2302" s="11">
        <f>IF(LEN(TRIM(X2302))=0,"",HYPERLINK("https://www.google.com/maps/@?api=1&amp;map_action=pano&amp;viewpoint="&amp;SUBSTITUTE(X2302," ",""),"Abrir Street View"))</f>
        <v/>
      </c>
    </row>
    <row r="2303">
      <c r="H2303" s="6" t="n"/>
      <c r="I2303" s="6" t="n"/>
      <c r="M2303" s="7" t="n"/>
      <c r="N2303" s="7" t="n"/>
      <c r="O2303" s="7" t="n"/>
      <c r="P2303" s="8">
        <f>IF(NOT(ISNUMBER(M2303)),"",IF(G2303="Terreno",IF(AND(ISNUMBER(I2303),I2303&gt;0),M2303/I2303,""),IF(AND(ISNUMBER(H2303),H2303&gt;0),M2303/H2303,"")))</f>
        <v/>
      </c>
      <c r="Q2303" s="9">
        <f>IF(AND(ISNUMBER(M2303),ISNUMBER(O2303)),IF(M2303&lt;=O2303,"Valor ≤ venal IPTU",""),"")</f>
        <v/>
      </c>
      <c r="R2303" s="10" t="n"/>
      <c r="S2303" s="10" t="n"/>
      <c r="AA2303" s="10" t="n"/>
      <c r="AB2303" s="11">
        <f>IF(LEN(TRIM(X2303))=0,"",HYPERLINK("https://www.google.com/maps/@?api=1&amp;map_action=pano&amp;viewpoint="&amp;SUBSTITUTE(X2303," ",""),"Abrir Street View"))</f>
        <v/>
      </c>
    </row>
    <row r="2304">
      <c r="H2304" s="6" t="n"/>
      <c r="I2304" s="6" t="n"/>
      <c r="M2304" s="7" t="n"/>
      <c r="N2304" s="7" t="n"/>
      <c r="O2304" s="7" t="n"/>
      <c r="P2304" s="8">
        <f>IF(NOT(ISNUMBER(M2304)),"",IF(G2304="Terreno",IF(AND(ISNUMBER(I2304),I2304&gt;0),M2304/I2304,""),IF(AND(ISNUMBER(H2304),H2304&gt;0),M2304/H2304,"")))</f>
        <v/>
      </c>
      <c r="Q2304" s="9">
        <f>IF(AND(ISNUMBER(M2304),ISNUMBER(O2304)),IF(M2304&lt;=O2304,"Valor ≤ venal IPTU",""),"")</f>
        <v/>
      </c>
      <c r="R2304" s="10" t="n"/>
      <c r="S2304" s="10" t="n"/>
      <c r="AA2304" s="10" t="n"/>
      <c r="AB2304" s="11">
        <f>IF(LEN(TRIM(X2304))=0,"",HYPERLINK("https://www.google.com/maps/@?api=1&amp;map_action=pano&amp;viewpoint="&amp;SUBSTITUTE(X2304," ",""),"Abrir Street View"))</f>
        <v/>
      </c>
    </row>
    <row r="2305">
      <c r="H2305" s="6" t="n"/>
      <c r="I2305" s="6" t="n"/>
      <c r="M2305" s="7" t="n"/>
      <c r="N2305" s="7" t="n"/>
      <c r="O2305" s="7" t="n"/>
      <c r="P2305" s="8">
        <f>IF(NOT(ISNUMBER(M2305)),"",IF(G2305="Terreno",IF(AND(ISNUMBER(I2305),I2305&gt;0),M2305/I2305,""),IF(AND(ISNUMBER(H2305),H2305&gt;0),M2305/H2305,"")))</f>
        <v/>
      </c>
      <c r="Q2305" s="9">
        <f>IF(AND(ISNUMBER(M2305),ISNUMBER(O2305)),IF(M2305&lt;=O2305,"Valor ≤ venal IPTU",""),"")</f>
        <v/>
      </c>
      <c r="R2305" s="10" t="n"/>
      <c r="S2305" s="10" t="n"/>
      <c r="AA2305" s="10" t="n"/>
      <c r="AB2305" s="11">
        <f>IF(LEN(TRIM(X2305))=0,"",HYPERLINK("https://www.google.com/maps/@?api=1&amp;map_action=pano&amp;viewpoint="&amp;SUBSTITUTE(X2305," ",""),"Abrir Street View"))</f>
        <v/>
      </c>
    </row>
    <row r="2306">
      <c r="H2306" s="6" t="n"/>
      <c r="I2306" s="6" t="n"/>
      <c r="M2306" s="7" t="n"/>
      <c r="N2306" s="7" t="n"/>
      <c r="O2306" s="7" t="n"/>
      <c r="P2306" s="8">
        <f>IF(NOT(ISNUMBER(M2306)),"",IF(G2306="Terreno",IF(AND(ISNUMBER(I2306),I2306&gt;0),M2306/I2306,""),IF(AND(ISNUMBER(H2306),H2306&gt;0),M2306/H2306,"")))</f>
        <v/>
      </c>
      <c r="Q2306" s="9">
        <f>IF(AND(ISNUMBER(M2306),ISNUMBER(O2306)),IF(M2306&lt;=O2306,"Valor ≤ venal IPTU",""),"")</f>
        <v/>
      </c>
      <c r="R2306" s="10" t="n"/>
      <c r="S2306" s="10" t="n"/>
      <c r="AA2306" s="10" t="n"/>
      <c r="AB2306" s="11">
        <f>IF(LEN(TRIM(X2306))=0,"",HYPERLINK("https://www.google.com/maps/@?api=1&amp;map_action=pano&amp;viewpoint="&amp;SUBSTITUTE(X2306," ",""),"Abrir Street View"))</f>
        <v/>
      </c>
    </row>
    <row r="2307">
      <c r="H2307" s="6" t="n"/>
      <c r="I2307" s="6" t="n"/>
      <c r="M2307" s="7" t="n"/>
      <c r="N2307" s="7" t="n"/>
      <c r="O2307" s="7" t="n"/>
      <c r="P2307" s="8">
        <f>IF(NOT(ISNUMBER(M2307)),"",IF(G2307="Terreno",IF(AND(ISNUMBER(I2307),I2307&gt;0),M2307/I2307,""),IF(AND(ISNUMBER(H2307),H2307&gt;0),M2307/H2307,"")))</f>
        <v/>
      </c>
      <c r="Q2307" s="9">
        <f>IF(AND(ISNUMBER(M2307),ISNUMBER(O2307)),IF(M2307&lt;=O2307,"Valor ≤ venal IPTU",""),"")</f>
        <v/>
      </c>
      <c r="R2307" s="10" t="n"/>
      <c r="S2307" s="10" t="n"/>
      <c r="AA2307" s="10" t="n"/>
      <c r="AB2307" s="11">
        <f>IF(LEN(TRIM(X2307))=0,"",HYPERLINK("https://www.google.com/maps/@?api=1&amp;map_action=pano&amp;viewpoint="&amp;SUBSTITUTE(X2307," ",""),"Abrir Street View"))</f>
        <v/>
      </c>
    </row>
    <row r="2308">
      <c r="H2308" s="6" t="n"/>
      <c r="I2308" s="6" t="n"/>
      <c r="M2308" s="7" t="n"/>
      <c r="N2308" s="7" t="n"/>
      <c r="O2308" s="7" t="n"/>
      <c r="P2308" s="8">
        <f>IF(NOT(ISNUMBER(M2308)),"",IF(G2308="Terreno",IF(AND(ISNUMBER(I2308),I2308&gt;0),M2308/I2308,""),IF(AND(ISNUMBER(H2308),H2308&gt;0),M2308/H2308,"")))</f>
        <v/>
      </c>
      <c r="Q2308" s="9">
        <f>IF(AND(ISNUMBER(M2308),ISNUMBER(O2308)),IF(M2308&lt;=O2308,"Valor ≤ venal IPTU",""),"")</f>
        <v/>
      </c>
      <c r="R2308" s="10" t="n"/>
      <c r="S2308" s="10" t="n"/>
      <c r="AA2308" s="10" t="n"/>
      <c r="AB2308" s="11">
        <f>IF(LEN(TRIM(X2308))=0,"",HYPERLINK("https://www.google.com/maps/@?api=1&amp;map_action=pano&amp;viewpoint="&amp;SUBSTITUTE(X2308," ",""),"Abrir Street View"))</f>
        <v/>
      </c>
    </row>
    <row r="2309">
      <c r="H2309" s="6" t="n"/>
      <c r="I2309" s="6" t="n"/>
      <c r="M2309" s="7" t="n"/>
      <c r="N2309" s="7" t="n"/>
      <c r="O2309" s="7" t="n"/>
      <c r="P2309" s="8">
        <f>IF(NOT(ISNUMBER(M2309)),"",IF(G2309="Terreno",IF(AND(ISNUMBER(I2309),I2309&gt;0),M2309/I2309,""),IF(AND(ISNUMBER(H2309),H2309&gt;0),M2309/H2309,"")))</f>
        <v/>
      </c>
      <c r="Q2309" s="9">
        <f>IF(AND(ISNUMBER(M2309),ISNUMBER(O2309)),IF(M2309&lt;=O2309,"Valor ≤ venal IPTU",""),"")</f>
        <v/>
      </c>
      <c r="R2309" s="10" t="n"/>
      <c r="S2309" s="10" t="n"/>
      <c r="AA2309" s="10" t="n"/>
      <c r="AB2309" s="11">
        <f>IF(LEN(TRIM(X2309))=0,"",HYPERLINK("https://www.google.com/maps/@?api=1&amp;map_action=pano&amp;viewpoint="&amp;SUBSTITUTE(X2309," ",""),"Abrir Street View"))</f>
        <v/>
      </c>
    </row>
    <row r="2310">
      <c r="H2310" s="6" t="n"/>
      <c r="I2310" s="6" t="n"/>
      <c r="M2310" s="7" t="n"/>
      <c r="N2310" s="7" t="n"/>
      <c r="O2310" s="7" t="n"/>
      <c r="P2310" s="8">
        <f>IF(NOT(ISNUMBER(M2310)),"",IF(G2310="Terreno",IF(AND(ISNUMBER(I2310),I2310&gt;0),M2310/I2310,""),IF(AND(ISNUMBER(H2310),H2310&gt;0),M2310/H2310,"")))</f>
        <v/>
      </c>
      <c r="Q2310" s="9">
        <f>IF(AND(ISNUMBER(M2310),ISNUMBER(O2310)),IF(M2310&lt;=O2310,"Valor ≤ venal IPTU",""),"")</f>
        <v/>
      </c>
      <c r="R2310" s="10" t="n"/>
      <c r="S2310" s="10" t="n"/>
      <c r="AA2310" s="10" t="n"/>
      <c r="AB2310" s="11">
        <f>IF(LEN(TRIM(X2310))=0,"",HYPERLINK("https://www.google.com/maps/@?api=1&amp;map_action=pano&amp;viewpoint="&amp;SUBSTITUTE(X2310," ",""),"Abrir Street View"))</f>
        <v/>
      </c>
    </row>
    <row r="2311">
      <c r="H2311" s="6" t="n"/>
      <c r="I2311" s="6" t="n"/>
      <c r="M2311" s="7" t="n"/>
      <c r="N2311" s="7" t="n"/>
      <c r="O2311" s="7" t="n"/>
      <c r="P2311" s="8">
        <f>IF(NOT(ISNUMBER(M2311)),"",IF(G2311="Terreno",IF(AND(ISNUMBER(I2311),I2311&gt;0),M2311/I2311,""),IF(AND(ISNUMBER(H2311),H2311&gt;0),M2311/H2311,"")))</f>
        <v/>
      </c>
      <c r="Q2311" s="9">
        <f>IF(AND(ISNUMBER(M2311),ISNUMBER(O2311)),IF(M2311&lt;=O2311,"Valor ≤ venal IPTU",""),"")</f>
        <v/>
      </c>
      <c r="R2311" s="10" t="n"/>
      <c r="S2311" s="10" t="n"/>
      <c r="AA2311" s="10" t="n"/>
      <c r="AB2311" s="11">
        <f>IF(LEN(TRIM(X2311))=0,"",HYPERLINK("https://www.google.com/maps/@?api=1&amp;map_action=pano&amp;viewpoint="&amp;SUBSTITUTE(X2311," ",""),"Abrir Street View"))</f>
        <v/>
      </c>
    </row>
    <row r="2312">
      <c r="H2312" s="6" t="n"/>
      <c r="I2312" s="6" t="n"/>
      <c r="M2312" s="7" t="n"/>
      <c r="N2312" s="7" t="n"/>
      <c r="O2312" s="7" t="n"/>
      <c r="P2312" s="8">
        <f>IF(NOT(ISNUMBER(M2312)),"",IF(G2312="Terreno",IF(AND(ISNUMBER(I2312),I2312&gt;0),M2312/I2312,""),IF(AND(ISNUMBER(H2312),H2312&gt;0),M2312/H2312,"")))</f>
        <v/>
      </c>
      <c r="Q2312" s="9">
        <f>IF(AND(ISNUMBER(M2312),ISNUMBER(O2312)),IF(M2312&lt;=O2312,"Valor ≤ venal IPTU",""),"")</f>
        <v/>
      </c>
      <c r="R2312" s="10" t="n"/>
      <c r="S2312" s="10" t="n"/>
      <c r="AA2312" s="10" t="n"/>
      <c r="AB2312" s="11">
        <f>IF(LEN(TRIM(X2312))=0,"",HYPERLINK("https://www.google.com/maps/@?api=1&amp;map_action=pano&amp;viewpoint="&amp;SUBSTITUTE(X2312," ",""),"Abrir Street View"))</f>
        <v/>
      </c>
    </row>
    <row r="2313">
      <c r="H2313" s="6" t="n"/>
      <c r="I2313" s="6" t="n"/>
      <c r="M2313" s="7" t="n"/>
      <c r="N2313" s="7" t="n"/>
      <c r="O2313" s="7" t="n"/>
      <c r="P2313" s="8">
        <f>IF(NOT(ISNUMBER(M2313)),"",IF(G2313="Terreno",IF(AND(ISNUMBER(I2313),I2313&gt;0),M2313/I2313,""),IF(AND(ISNUMBER(H2313),H2313&gt;0),M2313/H2313,"")))</f>
        <v/>
      </c>
      <c r="Q2313" s="9">
        <f>IF(AND(ISNUMBER(M2313),ISNUMBER(O2313)),IF(M2313&lt;=O2313,"Valor ≤ venal IPTU",""),"")</f>
        <v/>
      </c>
      <c r="R2313" s="10" t="n"/>
      <c r="S2313" s="10" t="n"/>
      <c r="AA2313" s="10" t="n"/>
      <c r="AB2313" s="11">
        <f>IF(LEN(TRIM(X2313))=0,"",HYPERLINK("https://www.google.com/maps/@?api=1&amp;map_action=pano&amp;viewpoint="&amp;SUBSTITUTE(X2313," ",""),"Abrir Street View"))</f>
        <v/>
      </c>
    </row>
    <row r="2314">
      <c r="H2314" s="6" t="n"/>
      <c r="I2314" s="6" t="n"/>
      <c r="M2314" s="7" t="n"/>
      <c r="N2314" s="7" t="n"/>
      <c r="O2314" s="7" t="n"/>
      <c r="P2314" s="8">
        <f>IF(NOT(ISNUMBER(M2314)),"",IF(G2314="Terreno",IF(AND(ISNUMBER(I2314),I2314&gt;0),M2314/I2314,""),IF(AND(ISNUMBER(H2314),H2314&gt;0),M2314/H2314,"")))</f>
        <v/>
      </c>
      <c r="Q2314" s="9">
        <f>IF(AND(ISNUMBER(M2314),ISNUMBER(O2314)),IF(M2314&lt;=O2314,"Valor ≤ venal IPTU",""),"")</f>
        <v/>
      </c>
      <c r="R2314" s="10" t="n"/>
      <c r="S2314" s="10" t="n"/>
      <c r="AA2314" s="10" t="n"/>
      <c r="AB2314" s="11">
        <f>IF(LEN(TRIM(X2314))=0,"",HYPERLINK("https://www.google.com/maps/@?api=1&amp;map_action=pano&amp;viewpoint="&amp;SUBSTITUTE(X2314," ",""),"Abrir Street View"))</f>
        <v/>
      </c>
    </row>
    <row r="2315">
      <c r="H2315" s="6" t="n"/>
      <c r="I2315" s="6" t="n"/>
      <c r="M2315" s="7" t="n"/>
      <c r="N2315" s="7" t="n"/>
      <c r="O2315" s="7" t="n"/>
      <c r="P2315" s="8">
        <f>IF(NOT(ISNUMBER(M2315)),"",IF(G2315="Terreno",IF(AND(ISNUMBER(I2315),I2315&gt;0),M2315/I2315,""),IF(AND(ISNUMBER(H2315),H2315&gt;0),M2315/H2315,"")))</f>
        <v/>
      </c>
      <c r="Q2315" s="9">
        <f>IF(AND(ISNUMBER(M2315),ISNUMBER(O2315)),IF(M2315&lt;=O2315,"Valor ≤ venal IPTU",""),"")</f>
        <v/>
      </c>
      <c r="R2315" s="10" t="n"/>
      <c r="S2315" s="10" t="n"/>
      <c r="AA2315" s="10" t="n"/>
      <c r="AB2315" s="11">
        <f>IF(LEN(TRIM(X2315))=0,"",HYPERLINK("https://www.google.com/maps/@?api=1&amp;map_action=pano&amp;viewpoint="&amp;SUBSTITUTE(X2315," ",""),"Abrir Street View"))</f>
        <v/>
      </c>
    </row>
    <row r="2316">
      <c r="H2316" s="6" t="n"/>
      <c r="I2316" s="6" t="n"/>
      <c r="M2316" s="7" t="n"/>
      <c r="N2316" s="7" t="n"/>
      <c r="O2316" s="7" t="n"/>
      <c r="P2316" s="8">
        <f>IF(NOT(ISNUMBER(M2316)),"",IF(G2316="Terreno",IF(AND(ISNUMBER(I2316),I2316&gt;0),M2316/I2316,""),IF(AND(ISNUMBER(H2316),H2316&gt;0),M2316/H2316,"")))</f>
        <v/>
      </c>
      <c r="Q2316" s="9">
        <f>IF(AND(ISNUMBER(M2316),ISNUMBER(O2316)),IF(M2316&lt;=O2316,"Valor ≤ venal IPTU",""),"")</f>
        <v/>
      </c>
      <c r="R2316" s="10" t="n"/>
      <c r="S2316" s="10" t="n"/>
      <c r="AA2316" s="10" t="n"/>
      <c r="AB2316" s="11">
        <f>IF(LEN(TRIM(X2316))=0,"",HYPERLINK("https://www.google.com/maps/@?api=1&amp;map_action=pano&amp;viewpoint="&amp;SUBSTITUTE(X2316," ",""),"Abrir Street View"))</f>
        <v/>
      </c>
    </row>
    <row r="2317">
      <c r="H2317" s="6" t="n"/>
      <c r="I2317" s="6" t="n"/>
      <c r="M2317" s="7" t="n"/>
      <c r="N2317" s="7" t="n"/>
      <c r="O2317" s="7" t="n"/>
      <c r="P2317" s="8">
        <f>IF(NOT(ISNUMBER(M2317)),"",IF(G2317="Terreno",IF(AND(ISNUMBER(I2317),I2317&gt;0),M2317/I2317,""),IF(AND(ISNUMBER(H2317),H2317&gt;0),M2317/H2317,"")))</f>
        <v/>
      </c>
      <c r="Q2317" s="9">
        <f>IF(AND(ISNUMBER(M2317),ISNUMBER(O2317)),IF(M2317&lt;=O2317,"Valor ≤ venal IPTU",""),"")</f>
        <v/>
      </c>
      <c r="R2317" s="10" t="n"/>
      <c r="S2317" s="10" t="n"/>
      <c r="AA2317" s="10" t="n"/>
      <c r="AB2317" s="11">
        <f>IF(LEN(TRIM(X2317))=0,"",HYPERLINK("https://www.google.com/maps/@?api=1&amp;map_action=pano&amp;viewpoint="&amp;SUBSTITUTE(X2317," ",""),"Abrir Street View"))</f>
        <v/>
      </c>
    </row>
    <row r="2318">
      <c r="H2318" s="6" t="n"/>
      <c r="I2318" s="6" t="n"/>
      <c r="M2318" s="7" t="n"/>
      <c r="N2318" s="7" t="n"/>
      <c r="O2318" s="7" t="n"/>
      <c r="P2318" s="8">
        <f>IF(NOT(ISNUMBER(M2318)),"",IF(G2318="Terreno",IF(AND(ISNUMBER(I2318),I2318&gt;0),M2318/I2318,""),IF(AND(ISNUMBER(H2318),H2318&gt;0),M2318/H2318,"")))</f>
        <v/>
      </c>
      <c r="Q2318" s="9">
        <f>IF(AND(ISNUMBER(M2318),ISNUMBER(O2318)),IF(M2318&lt;=O2318,"Valor ≤ venal IPTU",""),"")</f>
        <v/>
      </c>
      <c r="R2318" s="10" t="n"/>
      <c r="S2318" s="10" t="n"/>
      <c r="AA2318" s="10" t="n"/>
      <c r="AB2318" s="11">
        <f>IF(LEN(TRIM(X2318))=0,"",HYPERLINK("https://www.google.com/maps/@?api=1&amp;map_action=pano&amp;viewpoint="&amp;SUBSTITUTE(X2318," ",""),"Abrir Street View"))</f>
        <v/>
      </c>
    </row>
    <row r="2319">
      <c r="H2319" s="6" t="n"/>
      <c r="I2319" s="6" t="n"/>
      <c r="M2319" s="7" t="n"/>
      <c r="N2319" s="7" t="n"/>
      <c r="O2319" s="7" t="n"/>
      <c r="P2319" s="8">
        <f>IF(NOT(ISNUMBER(M2319)),"",IF(G2319="Terreno",IF(AND(ISNUMBER(I2319),I2319&gt;0),M2319/I2319,""),IF(AND(ISNUMBER(H2319),H2319&gt;0),M2319/H2319,"")))</f>
        <v/>
      </c>
      <c r="Q2319" s="9">
        <f>IF(AND(ISNUMBER(M2319),ISNUMBER(O2319)),IF(M2319&lt;=O2319,"Valor ≤ venal IPTU",""),"")</f>
        <v/>
      </c>
      <c r="R2319" s="10" t="n"/>
      <c r="S2319" s="10" t="n"/>
      <c r="AA2319" s="10" t="n"/>
      <c r="AB2319" s="11">
        <f>IF(LEN(TRIM(X2319))=0,"",HYPERLINK("https://www.google.com/maps/@?api=1&amp;map_action=pano&amp;viewpoint="&amp;SUBSTITUTE(X2319," ",""),"Abrir Street View"))</f>
        <v/>
      </c>
    </row>
    <row r="2320">
      <c r="H2320" s="6" t="n"/>
      <c r="I2320" s="6" t="n"/>
      <c r="M2320" s="7" t="n"/>
      <c r="N2320" s="7" t="n"/>
      <c r="O2320" s="7" t="n"/>
      <c r="P2320" s="8">
        <f>IF(NOT(ISNUMBER(M2320)),"",IF(G2320="Terreno",IF(AND(ISNUMBER(I2320),I2320&gt;0),M2320/I2320,""),IF(AND(ISNUMBER(H2320),H2320&gt;0),M2320/H2320,"")))</f>
        <v/>
      </c>
      <c r="Q2320" s="9">
        <f>IF(AND(ISNUMBER(M2320),ISNUMBER(O2320)),IF(M2320&lt;=O2320,"Valor ≤ venal IPTU",""),"")</f>
        <v/>
      </c>
      <c r="R2320" s="10" t="n"/>
      <c r="S2320" s="10" t="n"/>
      <c r="AA2320" s="10" t="n"/>
      <c r="AB2320" s="11">
        <f>IF(LEN(TRIM(X2320))=0,"",HYPERLINK("https://www.google.com/maps/@?api=1&amp;map_action=pano&amp;viewpoint="&amp;SUBSTITUTE(X2320," ",""),"Abrir Street View"))</f>
        <v/>
      </c>
    </row>
    <row r="2321">
      <c r="H2321" s="6" t="n"/>
      <c r="I2321" s="6" t="n"/>
      <c r="M2321" s="7" t="n"/>
      <c r="N2321" s="7" t="n"/>
      <c r="O2321" s="7" t="n"/>
      <c r="P2321" s="8">
        <f>IF(NOT(ISNUMBER(M2321)),"",IF(G2321="Terreno",IF(AND(ISNUMBER(I2321),I2321&gt;0),M2321/I2321,""),IF(AND(ISNUMBER(H2321),H2321&gt;0),M2321/H2321,"")))</f>
        <v/>
      </c>
      <c r="Q2321" s="9">
        <f>IF(AND(ISNUMBER(M2321),ISNUMBER(O2321)),IF(M2321&lt;=O2321,"Valor ≤ venal IPTU",""),"")</f>
        <v/>
      </c>
      <c r="R2321" s="10" t="n"/>
      <c r="S2321" s="10" t="n"/>
      <c r="AA2321" s="10" t="n"/>
      <c r="AB2321" s="11">
        <f>IF(LEN(TRIM(X2321))=0,"",HYPERLINK("https://www.google.com/maps/@?api=1&amp;map_action=pano&amp;viewpoint="&amp;SUBSTITUTE(X2321," ",""),"Abrir Street View"))</f>
        <v/>
      </c>
    </row>
    <row r="2322">
      <c r="H2322" s="6" t="n"/>
      <c r="I2322" s="6" t="n"/>
      <c r="M2322" s="7" t="n"/>
      <c r="N2322" s="7" t="n"/>
      <c r="O2322" s="7" t="n"/>
      <c r="P2322" s="8">
        <f>IF(NOT(ISNUMBER(M2322)),"",IF(G2322="Terreno",IF(AND(ISNUMBER(I2322),I2322&gt;0),M2322/I2322,""),IF(AND(ISNUMBER(H2322),H2322&gt;0),M2322/H2322,"")))</f>
        <v/>
      </c>
      <c r="Q2322" s="9">
        <f>IF(AND(ISNUMBER(M2322),ISNUMBER(O2322)),IF(M2322&lt;=O2322,"Valor ≤ venal IPTU",""),"")</f>
        <v/>
      </c>
      <c r="R2322" s="10" t="n"/>
      <c r="S2322" s="10" t="n"/>
      <c r="AA2322" s="10" t="n"/>
      <c r="AB2322" s="11">
        <f>IF(LEN(TRIM(X2322))=0,"",HYPERLINK("https://www.google.com/maps/@?api=1&amp;map_action=pano&amp;viewpoint="&amp;SUBSTITUTE(X2322," ",""),"Abrir Street View"))</f>
        <v/>
      </c>
    </row>
    <row r="2323">
      <c r="H2323" s="6" t="n"/>
      <c r="I2323" s="6" t="n"/>
      <c r="M2323" s="7" t="n"/>
      <c r="N2323" s="7" t="n"/>
      <c r="O2323" s="7" t="n"/>
      <c r="P2323" s="8">
        <f>IF(NOT(ISNUMBER(M2323)),"",IF(G2323="Terreno",IF(AND(ISNUMBER(I2323),I2323&gt;0),M2323/I2323,""),IF(AND(ISNUMBER(H2323),H2323&gt;0),M2323/H2323,"")))</f>
        <v/>
      </c>
      <c r="Q2323" s="9">
        <f>IF(AND(ISNUMBER(M2323),ISNUMBER(O2323)),IF(M2323&lt;=O2323,"Valor ≤ venal IPTU",""),"")</f>
        <v/>
      </c>
      <c r="R2323" s="10" t="n"/>
      <c r="S2323" s="10" t="n"/>
      <c r="AA2323" s="10" t="n"/>
      <c r="AB2323" s="11">
        <f>IF(LEN(TRIM(X2323))=0,"",HYPERLINK("https://www.google.com/maps/@?api=1&amp;map_action=pano&amp;viewpoint="&amp;SUBSTITUTE(X2323," ",""),"Abrir Street View"))</f>
        <v/>
      </c>
    </row>
    <row r="2324">
      <c r="H2324" s="6" t="n"/>
      <c r="I2324" s="6" t="n"/>
      <c r="M2324" s="7" t="n"/>
      <c r="N2324" s="7" t="n"/>
      <c r="O2324" s="7" t="n"/>
      <c r="P2324" s="8">
        <f>IF(NOT(ISNUMBER(M2324)),"",IF(G2324="Terreno",IF(AND(ISNUMBER(I2324),I2324&gt;0),M2324/I2324,""),IF(AND(ISNUMBER(H2324),H2324&gt;0),M2324/H2324,"")))</f>
        <v/>
      </c>
      <c r="Q2324" s="9">
        <f>IF(AND(ISNUMBER(M2324),ISNUMBER(O2324)),IF(M2324&lt;=O2324,"Valor ≤ venal IPTU",""),"")</f>
        <v/>
      </c>
      <c r="R2324" s="10" t="n"/>
      <c r="S2324" s="10" t="n"/>
      <c r="AA2324" s="10" t="n"/>
      <c r="AB2324" s="11">
        <f>IF(LEN(TRIM(X2324))=0,"",HYPERLINK("https://www.google.com/maps/@?api=1&amp;map_action=pano&amp;viewpoint="&amp;SUBSTITUTE(X2324," ",""),"Abrir Street View"))</f>
        <v/>
      </c>
    </row>
    <row r="2325">
      <c r="H2325" s="6" t="n"/>
      <c r="I2325" s="6" t="n"/>
      <c r="M2325" s="7" t="n"/>
      <c r="N2325" s="7" t="n"/>
      <c r="O2325" s="7" t="n"/>
      <c r="P2325" s="8">
        <f>IF(NOT(ISNUMBER(M2325)),"",IF(G2325="Terreno",IF(AND(ISNUMBER(I2325),I2325&gt;0),M2325/I2325,""),IF(AND(ISNUMBER(H2325),H2325&gt;0),M2325/H2325,"")))</f>
        <v/>
      </c>
      <c r="Q2325" s="9">
        <f>IF(AND(ISNUMBER(M2325),ISNUMBER(O2325)),IF(M2325&lt;=O2325,"Valor ≤ venal IPTU",""),"")</f>
        <v/>
      </c>
      <c r="R2325" s="10" t="n"/>
      <c r="S2325" s="10" t="n"/>
      <c r="AA2325" s="10" t="n"/>
      <c r="AB2325" s="11">
        <f>IF(LEN(TRIM(X2325))=0,"",HYPERLINK("https://www.google.com/maps/@?api=1&amp;map_action=pano&amp;viewpoint="&amp;SUBSTITUTE(X2325," ",""),"Abrir Street View"))</f>
        <v/>
      </c>
    </row>
    <row r="2326">
      <c r="H2326" s="6" t="n"/>
      <c r="I2326" s="6" t="n"/>
      <c r="M2326" s="7" t="n"/>
      <c r="N2326" s="7" t="n"/>
      <c r="O2326" s="7" t="n"/>
      <c r="P2326" s="8">
        <f>IF(NOT(ISNUMBER(M2326)),"",IF(G2326="Terreno",IF(AND(ISNUMBER(I2326),I2326&gt;0),M2326/I2326,""),IF(AND(ISNUMBER(H2326),H2326&gt;0),M2326/H2326,"")))</f>
        <v/>
      </c>
      <c r="Q2326" s="9">
        <f>IF(AND(ISNUMBER(M2326),ISNUMBER(O2326)),IF(M2326&lt;=O2326,"Valor ≤ venal IPTU",""),"")</f>
        <v/>
      </c>
      <c r="R2326" s="10" t="n"/>
      <c r="S2326" s="10" t="n"/>
      <c r="AA2326" s="10" t="n"/>
      <c r="AB2326" s="11">
        <f>IF(LEN(TRIM(X2326))=0,"",HYPERLINK("https://www.google.com/maps/@?api=1&amp;map_action=pano&amp;viewpoint="&amp;SUBSTITUTE(X2326," ",""),"Abrir Street View"))</f>
        <v/>
      </c>
    </row>
    <row r="2327">
      <c r="H2327" s="6" t="n"/>
      <c r="I2327" s="6" t="n"/>
      <c r="M2327" s="7" t="n"/>
      <c r="N2327" s="7" t="n"/>
      <c r="O2327" s="7" t="n"/>
      <c r="P2327" s="8">
        <f>IF(NOT(ISNUMBER(M2327)),"",IF(G2327="Terreno",IF(AND(ISNUMBER(I2327),I2327&gt;0),M2327/I2327,""),IF(AND(ISNUMBER(H2327),H2327&gt;0),M2327/H2327,"")))</f>
        <v/>
      </c>
      <c r="Q2327" s="9">
        <f>IF(AND(ISNUMBER(M2327),ISNUMBER(O2327)),IF(M2327&lt;=O2327,"Valor ≤ venal IPTU",""),"")</f>
        <v/>
      </c>
      <c r="R2327" s="10" t="n"/>
      <c r="S2327" s="10" t="n"/>
      <c r="AA2327" s="10" t="n"/>
      <c r="AB2327" s="11">
        <f>IF(LEN(TRIM(X2327))=0,"",HYPERLINK("https://www.google.com/maps/@?api=1&amp;map_action=pano&amp;viewpoint="&amp;SUBSTITUTE(X2327," ",""),"Abrir Street View"))</f>
        <v/>
      </c>
    </row>
    <row r="2328">
      <c r="H2328" s="6" t="n"/>
      <c r="I2328" s="6" t="n"/>
      <c r="M2328" s="7" t="n"/>
      <c r="N2328" s="7" t="n"/>
      <c r="O2328" s="7" t="n"/>
      <c r="P2328" s="8">
        <f>IF(NOT(ISNUMBER(M2328)),"",IF(G2328="Terreno",IF(AND(ISNUMBER(I2328),I2328&gt;0),M2328/I2328,""),IF(AND(ISNUMBER(H2328),H2328&gt;0),M2328/H2328,"")))</f>
        <v/>
      </c>
      <c r="Q2328" s="9">
        <f>IF(AND(ISNUMBER(M2328),ISNUMBER(O2328)),IF(M2328&lt;=O2328,"Valor ≤ venal IPTU",""),"")</f>
        <v/>
      </c>
      <c r="R2328" s="10" t="n"/>
      <c r="S2328" s="10" t="n"/>
      <c r="AA2328" s="10" t="n"/>
      <c r="AB2328" s="11">
        <f>IF(LEN(TRIM(X2328))=0,"",HYPERLINK("https://www.google.com/maps/@?api=1&amp;map_action=pano&amp;viewpoint="&amp;SUBSTITUTE(X2328," ",""),"Abrir Street View"))</f>
        <v/>
      </c>
    </row>
    <row r="2329">
      <c r="H2329" s="6" t="n"/>
      <c r="I2329" s="6" t="n"/>
      <c r="M2329" s="7" t="n"/>
      <c r="N2329" s="7" t="n"/>
      <c r="O2329" s="7" t="n"/>
      <c r="P2329" s="8">
        <f>IF(NOT(ISNUMBER(M2329)),"",IF(G2329="Terreno",IF(AND(ISNUMBER(I2329),I2329&gt;0),M2329/I2329,""),IF(AND(ISNUMBER(H2329),H2329&gt;0),M2329/H2329,"")))</f>
        <v/>
      </c>
      <c r="Q2329" s="9">
        <f>IF(AND(ISNUMBER(M2329),ISNUMBER(O2329)),IF(M2329&lt;=O2329,"Valor ≤ venal IPTU",""),"")</f>
        <v/>
      </c>
      <c r="R2329" s="10" t="n"/>
      <c r="S2329" s="10" t="n"/>
      <c r="AA2329" s="10" t="n"/>
      <c r="AB2329" s="11">
        <f>IF(LEN(TRIM(X2329))=0,"",HYPERLINK("https://www.google.com/maps/@?api=1&amp;map_action=pano&amp;viewpoint="&amp;SUBSTITUTE(X2329," ",""),"Abrir Street View"))</f>
        <v/>
      </c>
    </row>
    <row r="2330">
      <c r="H2330" s="6" t="n"/>
      <c r="I2330" s="6" t="n"/>
      <c r="M2330" s="7" t="n"/>
      <c r="N2330" s="7" t="n"/>
      <c r="O2330" s="7" t="n"/>
      <c r="P2330" s="8">
        <f>IF(NOT(ISNUMBER(M2330)),"",IF(G2330="Terreno",IF(AND(ISNUMBER(I2330),I2330&gt;0),M2330/I2330,""),IF(AND(ISNUMBER(H2330),H2330&gt;0),M2330/H2330,"")))</f>
        <v/>
      </c>
      <c r="Q2330" s="9">
        <f>IF(AND(ISNUMBER(M2330),ISNUMBER(O2330)),IF(M2330&lt;=O2330,"Valor ≤ venal IPTU",""),"")</f>
        <v/>
      </c>
      <c r="R2330" s="10" t="n"/>
      <c r="S2330" s="10" t="n"/>
      <c r="AA2330" s="10" t="n"/>
      <c r="AB2330" s="11">
        <f>IF(LEN(TRIM(X2330))=0,"",HYPERLINK("https://www.google.com/maps/@?api=1&amp;map_action=pano&amp;viewpoint="&amp;SUBSTITUTE(X2330," ",""),"Abrir Street View"))</f>
        <v/>
      </c>
    </row>
    <row r="2331">
      <c r="H2331" s="6" t="n"/>
      <c r="I2331" s="6" t="n"/>
      <c r="M2331" s="7" t="n"/>
      <c r="N2331" s="7" t="n"/>
      <c r="O2331" s="7" t="n"/>
      <c r="P2331" s="8">
        <f>IF(NOT(ISNUMBER(M2331)),"",IF(G2331="Terreno",IF(AND(ISNUMBER(I2331),I2331&gt;0),M2331/I2331,""),IF(AND(ISNUMBER(H2331),H2331&gt;0),M2331/H2331,"")))</f>
        <v/>
      </c>
      <c r="Q2331" s="9">
        <f>IF(AND(ISNUMBER(M2331),ISNUMBER(O2331)),IF(M2331&lt;=O2331,"Valor ≤ venal IPTU",""),"")</f>
        <v/>
      </c>
      <c r="R2331" s="10" t="n"/>
      <c r="S2331" s="10" t="n"/>
      <c r="AA2331" s="10" t="n"/>
      <c r="AB2331" s="11">
        <f>IF(LEN(TRIM(X2331))=0,"",HYPERLINK("https://www.google.com/maps/@?api=1&amp;map_action=pano&amp;viewpoint="&amp;SUBSTITUTE(X2331," ",""),"Abrir Street View"))</f>
        <v/>
      </c>
    </row>
    <row r="2332">
      <c r="H2332" s="6" t="n"/>
      <c r="I2332" s="6" t="n"/>
      <c r="M2332" s="7" t="n"/>
      <c r="N2332" s="7" t="n"/>
      <c r="O2332" s="7" t="n"/>
      <c r="P2332" s="8">
        <f>IF(NOT(ISNUMBER(M2332)),"",IF(G2332="Terreno",IF(AND(ISNUMBER(I2332),I2332&gt;0),M2332/I2332,""),IF(AND(ISNUMBER(H2332),H2332&gt;0),M2332/H2332,"")))</f>
        <v/>
      </c>
      <c r="Q2332" s="9">
        <f>IF(AND(ISNUMBER(M2332),ISNUMBER(O2332)),IF(M2332&lt;=O2332,"Valor ≤ venal IPTU",""),"")</f>
        <v/>
      </c>
      <c r="R2332" s="10" t="n"/>
      <c r="S2332" s="10" t="n"/>
      <c r="AA2332" s="10" t="n"/>
      <c r="AB2332" s="11">
        <f>IF(LEN(TRIM(X2332))=0,"",HYPERLINK("https://www.google.com/maps/@?api=1&amp;map_action=pano&amp;viewpoint="&amp;SUBSTITUTE(X2332," ",""),"Abrir Street View"))</f>
        <v/>
      </c>
    </row>
    <row r="2333">
      <c r="H2333" s="6" t="n"/>
      <c r="I2333" s="6" t="n"/>
      <c r="M2333" s="7" t="n"/>
      <c r="N2333" s="7" t="n"/>
      <c r="O2333" s="7" t="n"/>
      <c r="P2333" s="8">
        <f>IF(NOT(ISNUMBER(M2333)),"",IF(G2333="Terreno",IF(AND(ISNUMBER(I2333),I2333&gt;0),M2333/I2333,""),IF(AND(ISNUMBER(H2333),H2333&gt;0),M2333/H2333,"")))</f>
        <v/>
      </c>
      <c r="Q2333" s="9">
        <f>IF(AND(ISNUMBER(M2333),ISNUMBER(O2333)),IF(M2333&lt;=O2333,"Valor ≤ venal IPTU",""),"")</f>
        <v/>
      </c>
      <c r="R2333" s="10" t="n"/>
      <c r="S2333" s="10" t="n"/>
      <c r="AA2333" s="10" t="n"/>
      <c r="AB2333" s="11">
        <f>IF(LEN(TRIM(X2333))=0,"",HYPERLINK("https://www.google.com/maps/@?api=1&amp;map_action=pano&amp;viewpoint="&amp;SUBSTITUTE(X2333," ",""),"Abrir Street View"))</f>
        <v/>
      </c>
    </row>
    <row r="2334">
      <c r="H2334" s="6" t="n"/>
      <c r="I2334" s="6" t="n"/>
      <c r="M2334" s="7" t="n"/>
      <c r="N2334" s="7" t="n"/>
      <c r="O2334" s="7" t="n"/>
      <c r="P2334" s="8">
        <f>IF(NOT(ISNUMBER(M2334)),"",IF(G2334="Terreno",IF(AND(ISNUMBER(I2334),I2334&gt;0),M2334/I2334,""),IF(AND(ISNUMBER(H2334),H2334&gt;0),M2334/H2334,"")))</f>
        <v/>
      </c>
      <c r="Q2334" s="9">
        <f>IF(AND(ISNUMBER(M2334),ISNUMBER(O2334)),IF(M2334&lt;=O2334,"Valor ≤ venal IPTU",""),"")</f>
        <v/>
      </c>
      <c r="R2334" s="10" t="n"/>
      <c r="S2334" s="10" t="n"/>
      <c r="AA2334" s="10" t="n"/>
      <c r="AB2334" s="11">
        <f>IF(LEN(TRIM(X2334))=0,"",HYPERLINK("https://www.google.com/maps/@?api=1&amp;map_action=pano&amp;viewpoint="&amp;SUBSTITUTE(X2334," ",""),"Abrir Street View"))</f>
        <v/>
      </c>
    </row>
    <row r="2335">
      <c r="H2335" s="6" t="n"/>
      <c r="I2335" s="6" t="n"/>
      <c r="M2335" s="7" t="n"/>
      <c r="N2335" s="7" t="n"/>
      <c r="O2335" s="7" t="n"/>
      <c r="P2335" s="8">
        <f>IF(NOT(ISNUMBER(M2335)),"",IF(G2335="Terreno",IF(AND(ISNUMBER(I2335),I2335&gt;0),M2335/I2335,""),IF(AND(ISNUMBER(H2335),H2335&gt;0),M2335/H2335,"")))</f>
        <v/>
      </c>
      <c r="Q2335" s="9">
        <f>IF(AND(ISNUMBER(M2335),ISNUMBER(O2335)),IF(M2335&lt;=O2335,"Valor ≤ venal IPTU",""),"")</f>
        <v/>
      </c>
      <c r="R2335" s="10" t="n"/>
      <c r="S2335" s="10" t="n"/>
      <c r="AA2335" s="10" t="n"/>
      <c r="AB2335" s="11">
        <f>IF(LEN(TRIM(X2335))=0,"",HYPERLINK("https://www.google.com/maps/@?api=1&amp;map_action=pano&amp;viewpoint="&amp;SUBSTITUTE(X2335," ",""),"Abrir Street View"))</f>
        <v/>
      </c>
    </row>
    <row r="2336">
      <c r="H2336" s="6" t="n"/>
      <c r="I2336" s="6" t="n"/>
      <c r="M2336" s="7" t="n"/>
      <c r="N2336" s="7" t="n"/>
      <c r="O2336" s="7" t="n"/>
      <c r="P2336" s="8">
        <f>IF(NOT(ISNUMBER(M2336)),"",IF(G2336="Terreno",IF(AND(ISNUMBER(I2336),I2336&gt;0),M2336/I2336,""),IF(AND(ISNUMBER(H2336),H2336&gt;0),M2336/H2336,"")))</f>
        <v/>
      </c>
      <c r="Q2336" s="9">
        <f>IF(AND(ISNUMBER(M2336),ISNUMBER(O2336)),IF(M2336&lt;=O2336,"Valor ≤ venal IPTU",""),"")</f>
        <v/>
      </c>
      <c r="R2336" s="10" t="n"/>
      <c r="S2336" s="10" t="n"/>
      <c r="AA2336" s="10" t="n"/>
      <c r="AB2336" s="11">
        <f>IF(LEN(TRIM(X2336))=0,"",HYPERLINK("https://www.google.com/maps/@?api=1&amp;map_action=pano&amp;viewpoint="&amp;SUBSTITUTE(X2336," ",""),"Abrir Street View"))</f>
        <v/>
      </c>
    </row>
    <row r="2337">
      <c r="H2337" s="6" t="n"/>
      <c r="I2337" s="6" t="n"/>
      <c r="M2337" s="7" t="n"/>
      <c r="N2337" s="7" t="n"/>
      <c r="O2337" s="7" t="n"/>
      <c r="P2337" s="8">
        <f>IF(NOT(ISNUMBER(M2337)),"",IF(G2337="Terreno",IF(AND(ISNUMBER(I2337),I2337&gt;0),M2337/I2337,""),IF(AND(ISNUMBER(H2337),H2337&gt;0),M2337/H2337,"")))</f>
        <v/>
      </c>
      <c r="Q2337" s="9">
        <f>IF(AND(ISNUMBER(M2337),ISNUMBER(O2337)),IF(M2337&lt;=O2337,"Valor ≤ venal IPTU",""),"")</f>
        <v/>
      </c>
      <c r="R2337" s="10" t="n"/>
      <c r="S2337" s="10" t="n"/>
      <c r="AA2337" s="10" t="n"/>
      <c r="AB2337" s="11">
        <f>IF(LEN(TRIM(X2337))=0,"",HYPERLINK("https://www.google.com/maps/@?api=1&amp;map_action=pano&amp;viewpoint="&amp;SUBSTITUTE(X2337," ",""),"Abrir Street View"))</f>
        <v/>
      </c>
    </row>
    <row r="2338">
      <c r="H2338" s="6" t="n"/>
      <c r="I2338" s="6" t="n"/>
      <c r="M2338" s="7" t="n"/>
      <c r="N2338" s="7" t="n"/>
      <c r="O2338" s="7" t="n"/>
      <c r="P2338" s="8">
        <f>IF(NOT(ISNUMBER(M2338)),"",IF(G2338="Terreno",IF(AND(ISNUMBER(I2338),I2338&gt;0),M2338/I2338,""),IF(AND(ISNUMBER(H2338),H2338&gt;0),M2338/H2338,"")))</f>
        <v/>
      </c>
      <c r="Q2338" s="9">
        <f>IF(AND(ISNUMBER(M2338),ISNUMBER(O2338)),IF(M2338&lt;=O2338,"Valor ≤ venal IPTU",""),"")</f>
        <v/>
      </c>
      <c r="R2338" s="10" t="n"/>
      <c r="S2338" s="10" t="n"/>
      <c r="AA2338" s="10" t="n"/>
      <c r="AB2338" s="11">
        <f>IF(LEN(TRIM(X2338))=0,"",HYPERLINK("https://www.google.com/maps/@?api=1&amp;map_action=pano&amp;viewpoint="&amp;SUBSTITUTE(X2338," ",""),"Abrir Street View"))</f>
        <v/>
      </c>
    </row>
    <row r="2339">
      <c r="H2339" s="6" t="n"/>
      <c r="I2339" s="6" t="n"/>
      <c r="M2339" s="7" t="n"/>
      <c r="N2339" s="7" t="n"/>
      <c r="O2339" s="7" t="n"/>
      <c r="P2339" s="8">
        <f>IF(NOT(ISNUMBER(M2339)),"",IF(G2339="Terreno",IF(AND(ISNUMBER(I2339),I2339&gt;0),M2339/I2339,""),IF(AND(ISNUMBER(H2339),H2339&gt;0),M2339/H2339,"")))</f>
        <v/>
      </c>
      <c r="Q2339" s="9">
        <f>IF(AND(ISNUMBER(M2339),ISNUMBER(O2339)),IF(M2339&lt;=O2339,"Valor ≤ venal IPTU",""),"")</f>
        <v/>
      </c>
      <c r="R2339" s="10" t="n"/>
      <c r="S2339" s="10" t="n"/>
      <c r="AA2339" s="10" t="n"/>
      <c r="AB2339" s="11">
        <f>IF(LEN(TRIM(X2339))=0,"",HYPERLINK("https://www.google.com/maps/@?api=1&amp;map_action=pano&amp;viewpoint="&amp;SUBSTITUTE(X2339," ",""),"Abrir Street View"))</f>
        <v/>
      </c>
    </row>
    <row r="2340">
      <c r="H2340" s="6" t="n"/>
      <c r="I2340" s="6" t="n"/>
      <c r="M2340" s="7" t="n"/>
      <c r="N2340" s="7" t="n"/>
      <c r="O2340" s="7" t="n"/>
      <c r="P2340" s="8">
        <f>IF(NOT(ISNUMBER(M2340)),"",IF(G2340="Terreno",IF(AND(ISNUMBER(I2340),I2340&gt;0),M2340/I2340,""),IF(AND(ISNUMBER(H2340),H2340&gt;0),M2340/H2340,"")))</f>
        <v/>
      </c>
      <c r="Q2340" s="9">
        <f>IF(AND(ISNUMBER(M2340),ISNUMBER(O2340)),IF(M2340&lt;=O2340,"Valor ≤ venal IPTU",""),"")</f>
        <v/>
      </c>
      <c r="R2340" s="10" t="n"/>
      <c r="S2340" s="10" t="n"/>
      <c r="AA2340" s="10" t="n"/>
      <c r="AB2340" s="11">
        <f>IF(LEN(TRIM(X2340))=0,"",HYPERLINK("https://www.google.com/maps/@?api=1&amp;map_action=pano&amp;viewpoint="&amp;SUBSTITUTE(X2340," ",""),"Abrir Street View"))</f>
        <v/>
      </c>
    </row>
    <row r="2341">
      <c r="H2341" s="6" t="n"/>
      <c r="I2341" s="6" t="n"/>
      <c r="M2341" s="7" t="n"/>
      <c r="N2341" s="7" t="n"/>
      <c r="O2341" s="7" t="n"/>
      <c r="P2341" s="8">
        <f>IF(NOT(ISNUMBER(M2341)),"",IF(G2341="Terreno",IF(AND(ISNUMBER(I2341),I2341&gt;0),M2341/I2341,""),IF(AND(ISNUMBER(H2341),H2341&gt;0),M2341/H2341,"")))</f>
        <v/>
      </c>
      <c r="Q2341" s="9">
        <f>IF(AND(ISNUMBER(M2341),ISNUMBER(O2341)),IF(M2341&lt;=O2341,"Valor ≤ venal IPTU",""),"")</f>
        <v/>
      </c>
      <c r="R2341" s="10" t="n"/>
      <c r="S2341" s="10" t="n"/>
      <c r="AA2341" s="10" t="n"/>
      <c r="AB2341" s="11">
        <f>IF(LEN(TRIM(X2341))=0,"",HYPERLINK("https://www.google.com/maps/@?api=1&amp;map_action=pano&amp;viewpoint="&amp;SUBSTITUTE(X2341," ",""),"Abrir Street View"))</f>
        <v/>
      </c>
    </row>
    <row r="2342">
      <c r="H2342" s="6" t="n"/>
      <c r="I2342" s="6" t="n"/>
      <c r="M2342" s="7" t="n"/>
      <c r="N2342" s="7" t="n"/>
      <c r="O2342" s="7" t="n"/>
      <c r="P2342" s="8">
        <f>IF(NOT(ISNUMBER(M2342)),"",IF(G2342="Terreno",IF(AND(ISNUMBER(I2342),I2342&gt;0),M2342/I2342,""),IF(AND(ISNUMBER(H2342),H2342&gt;0),M2342/H2342,"")))</f>
        <v/>
      </c>
      <c r="Q2342" s="9">
        <f>IF(AND(ISNUMBER(M2342),ISNUMBER(O2342)),IF(M2342&lt;=O2342,"Valor ≤ venal IPTU",""),"")</f>
        <v/>
      </c>
      <c r="R2342" s="10" t="n"/>
      <c r="S2342" s="10" t="n"/>
      <c r="AA2342" s="10" t="n"/>
      <c r="AB2342" s="11">
        <f>IF(LEN(TRIM(X2342))=0,"",HYPERLINK("https://www.google.com/maps/@?api=1&amp;map_action=pano&amp;viewpoint="&amp;SUBSTITUTE(X2342," ",""),"Abrir Street View"))</f>
        <v/>
      </c>
    </row>
    <row r="2343">
      <c r="H2343" s="6" t="n"/>
      <c r="I2343" s="6" t="n"/>
      <c r="M2343" s="7" t="n"/>
      <c r="N2343" s="7" t="n"/>
      <c r="O2343" s="7" t="n"/>
      <c r="P2343" s="8">
        <f>IF(NOT(ISNUMBER(M2343)),"",IF(G2343="Terreno",IF(AND(ISNUMBER(I2343),I2343&gt;0),M2343/I2343,""),IF(AND(ISNUMBER(H2343),H2343&gt;0),M2343/H2343,"")))</f>
        <v/>
      </c>
      <c r="Q2343" s="9">
        <f>IF(AND(ISNUMBER(M2343),ISNUMBER(O2343)),IF(M2343&lt;=O2343,"Valor ≤ venal IPTU",""),"")</f>
        <v/>
      </c>
      <c r="R2343" s="10" t="n"/>
      <c r="S2343" s="10" t="n"/>
      <c r="AA2343" s="10" t="n"/>
      <c r="AB2343" s="11">
        <f>IF(LEN(TRIM(X2343))=0,"",HYPERLINK("https://www.google.com/maps/@?api=1&amp;map_action=pano&amp;viewpoint="&amp;SUBSTITUTE(X2343," ",""),"Abrir Street View"))</f>
        <v/>
      </c>
    </row>
    <row r="2344">
      <c r="H2344" s="6" t="n"/>
      <c r="I2344" s="6" t="n"/>
      <c r="M2344" s="7" t="n"/>
      <c r="N2344" s="7" t="n"/>
      <c r="O2344" s="7" t="n"/>
      <c r="P2344" s="8">
        <f>IF(NOT(ISNUMBER(M2344)),"",IF(G2344="Terreno",IF(AND(ISNUMBER(I2344),I2344&gt;0),M2344/I2344,""),IF(AND(ISNUMBER(H2344),H2344&gt;0),M2344/H2344,"")))</f>
        <v/>
      </c>
      <c r="Q2344" s="9">
        <f>IF(AND(ISNUMBER(M2344),ISNUMBER(O2344)),IF(M2344&lt;=O2344,"Valor ≤ venal IPTU",""),"")</f>
        <v/>
      </c>
      <c r="R2344" s="10" t="n"/>
      <c r="S2344" s="10" t="n"/>
      <c r="AA2344" s="10" t="n"/>
      <c r="AB2344" s="11">
        <f>IF(LEN(TRIM(X2344))=0,"",HYPERLINK("https://www.google.com/maps/@?api=1&amp;map_action=pano&amp;viewpoint="&amp;SUBSTITUTE(X2344," ",""),"Abrir Street View"))</f>
        <v/>
      </c>
    </row>
    <row r="2345">
      <c r="H2345" s="6" t="n"/>
      <c r="I2345" s="6" t="n"/>
      <c r="M2345" s="7" t="n"/>
      <c r="N2345" s="7" t="n"/>
      <c r="O2345" s="7" t="n"/>
      <c r="P2345" s="8">
        <f>IF(NOT(ISNUMBER(M2345)),"",IF(G2345="Terreno",IF(AND(ISNUMBER(I2345),I2345&gt;0),M2345/I2345,""),IF(AND(ISNUMBER(H2345),H2345&gt;0),M2345/H2345,"")))</f>
        <v/>
      </c>
      <c r="Q2345" s="9">
        <f>IF(AND(ISNUMBER(M2345),ISNUMBER(O2345)),IF(M2345&lt;=O2345,"Valor ≤ venal IPTU",""),"")</f>
        <v/>
      </c>
      <c r="R2345" s="10" t="n"/>
      <c r="S2345" s="10" t="n"/>
      <c r="AA2345" s="10" t="n"/>
      <c r="AB2345" s="11">
        <f>IF(LEN(TRIM(X2345))=0,"",HYPERLINK("https://www.google.com/maps/@?api=1&amp;map_action=pano&amp;viewpoint="&amp;SUBSTITUTE(X2345," ",""),"Abrir Street View"))</f>
        <v/>
      </c>
    </row>
    <row r="2346">
      <c r="H2346" s="6" t="n"/>
      <c r="I2346" s="6" t="n"/>
      <c r="M2346" s="7" t="n"/>
      <c r="N2346" s="7" t="n"/>
      <c r="O2346" s="7" t="n"/>
      <c r="P2346" s="8">
        <f>IF(NOT(ISNUMBER(M2346)),"",IF(G2346="Terreno",IF(AND(ISNUMBER(I2346),I2346&gt;0),M2346/I2346,""),IF(AND(ISNUMBER(H2346),H2346&gt;0),M2346/H2346,"")))</f>
        <v/>
      </c>
      <c r="Q2346" s="9">
        <f>IF(AND(ISNUMBER(M2346),ISNUMBER(O2346)),IF(M2346&lt;=O2346,"Valor ≤ venal IPTU",""),"")</f>
        <v/>
      </c>
      <c r="R2346" s="10" t="n"/>
      <c r="S2346" s="10" t="n"/>
      <c r="AA2346" s="10" t="n"/>
      <c r="AB2346" s="11">
        <f>IF(LEN(TRIM(X2346))=0,"",HYPERLINK("https://www.google.com/maps/@?api=1&amp;map_action=pano&amp;viewpoint="&amp;SUBSTITUTE(X2346," ",""),"Abrir Street View"))</f>
        <v/>
      </c>
    </row>
    <row r="2347">
      <c r="H2347" s="6" t="n"/>
      <c r="I2347" s="6" t="n"/>
      <c r="M2347" s="7" t="n"/>
      <c r="N2347" s="7" t="n"/>
      <c r="O2347" s="7" t="n"/>
      <c r="P2347" s="8">
        <f>IF(NOT(ISNUMBER(M2347)),"",IF(G2347="Terreno",IF(AND(ISNUMBER(I2347),I2347&gt;0),M2347/I2347,""),IF(AND(ISNUMBER(H2347),H2347&gt;0),M2347/H2347,"")))</f>
        <v/>
      </c>
      <c r="Q2347" s="9">
        <f>IF(AND(ISNUMBER(M2347),ISNUMBER(O2347)),IF(M2347&lt;=O2347,"Valor ≤ venal IPTU",""),"")</f>
        <v/>
      </c>
      <c r="R2347" s="10" t="n"/>
      <c r="S2347" s="10" t="n"/>
      <c r="AA2347" s="10" t="n"/>
      <c r="AB2347" s="11">
        <f>IF(LEN(TRIM(X2347))=0,"",HYPERLINK("https://www.google.com/maps/@?api=1&amp;map_action=pano&amp;viewpoint="&amp;SUBSTITUTE(X2347," ",""),"Abrir Street View"))</f>
        <v/>
      </c>
    </row>
    <row r="2348">
      <c r="H2348" s="6" t="n"/>
      <c r="I2348" s="6" t="n"/>
      <c r="M2348" s="7" t="n"/>
      <c r="N2348" s="7" t="n"/>
      <c r="O2348" s="7" t="n"/>
      <c r="P2348" s="8">
        <f>IF(NOT(ISNUMBER(M2348)),"",IF(G2348="Terreno",IF(AND(ISNUMBER(I2348),I2348&gt;0),M2348/I2348,""),IF(AND(ISNUMBER(H2348),H2348&gt;0),M2348/H2348,"")))</f>
        <v/>
      </c>
      <c r="Q2348" s="9">
        <f>IF(AND(ISNUMBER(M2348),ISNUMBER(O2348)),IF(M2348&lt;=O2348,"Valor ≤ venal IPTU",""),"")</f>
        <v/>
      </c>
      <c r="R2348" s="10" t="n"/>
      <c r="S2348" s="10" t="n"/>
      <c r="AA2348" s="10" t="n"/>
      <c r="AB2348" s="11">
        <f>IF(LEN(TRIM(X2348))=0,"",HYPERLINK("https://www.google.com/maps/@?api=1&amp;map_action=pano&amp;viewpoint="&amp;SUBSTITUTE(X2348," ",""),"Abrir Street View"))</f>
        <v/>
      </c>
    </row>
    <row r="2349">
      <c r="H2349" s="6" t="n"/>
      <c r="I2349" s="6" t="n"/>
      <c r="M2349" s="7" t="n"/>
      <c r="N2349" s="7" t="n"/>
      <c r="O2349" s="7" t="n"/>
      <c r="P2349" s="8">
        <f>IF(NOT(ISNUMBER(M2349)),"",IF(G2349="Terreno",IF(AND(ISNUMBER(I2349),I2349&gt;0),M2349/I2349,""),IF(AND(ISNUMBER(H2349),H2349&gt;0),M2349/H2349,"")))</f>
        <v/>
      </c>
      <c r="Q2349" s="9">
        <f>IF(AND(ISNUMBER(M2349),ISNUMBER(O2349)),IF(M2349&lt;=O2349,"Valor ≤ venal IPTU",""),"")</f>
        <v/>
      </c>
      <c r="R2349" s="10" t="n"/>
      <c r="S2349" s="10" t="n"/>
      <c r="AA2349" s="10" t="n"/>
      <c r="AB2349" s="11">
        <f>IF(LEN(TRIM(X2349))=0,"",HYPERLINK("https://www.google.com/maps/@?api=1&amp;map_action=pano&amp;viewpoint="&amp;SUBSTITUTE(X2349," ",""),"Abrir Street View"))</f>
        <v/>
      </c>
    </row>
    <row r="2350">
      <c r="H2350" s="6" t="n"/>
      <c r="I2350" s="6" t="n"/>
      <c r="M2350" s="7" t="n"/>
      <c r="N2350" s="7" t="n"/>
      <c r="O2350" s="7" t="n"/>
      <c r="P2350" s="8">
        <f>IF(NOT(ISNUMBER(M2350)),"",IF(G2350="Terreno",IF(AND(ISNUMBER(I2350),I2350&gt;0),M2350/I2350,""),IF(AND(ISNUMBER(H2350),H2350&gt;0),M2350/H2350,"")))</f>
        <v/>
      </c>
      <c r="Q2350" s="9">
        <f>IF(AND(ISNUMBER(M2350),ISNUMBER(O2350)),IF(M2350&lt;=O2350,"Valor ≤ venal IPTU",""),"")</f>
        <v/>
      </c>
      <c r="R2350" s="10" t="n"/>
      <c r="S2350" s="10" t="n"/>
      <c r="AA2350" s="10" t="n"/>
      <c r="AB2350" s="11">
        <f>IF(LEN(TRIM(X2350))=0,"",HYPERLINK("https://www.google.com/maps/@?api=1&amp;map_action=pano&amp;viewpoint="&amp;SUBSTITUTE(X2350," ",""),"Abrir Street View"))</f>
        <v/>
      </c>
    </row>
    <row r="2351">
      <c r="H2351" s="6" t="n"/>
      <c r="I2351" s="6" t="n"/>
      <c r="M2351" s="7" t="n"/>
      <c r="N2351" s="7" t="n"/>
      <c r="O2351" s="7" t="n"/>
      <c r="P2351" s="8">
        <f>IF(NOT(ISNUMBER(M2351)),"",IF(G2351="Terreno",IF(AND(ISNUMBER(I2351),I2351&gt;0),M2351/I2351,""),IF(AND(ISNUMBER(H2351),H2351&gt;0),M2351/H2351,"")))</f>
        <v/>
      </c>
      <c r="Q2351" s="9">
        <f>IF(AND(ISNUMBER(M2351),ISNUMBER(O2351)),IF(M2351&lt;=O2351,"Valor ≤ venal IPTU",""),"")</f>
        <v/>
      </c>
      <c r="R2351" s="10" t="n"/>
      <c r="S2351" s="10" t="n"/>
      <c r="AA2351" s="10" t="n"/>
      <c r="AB2351" s="11">
        <f>IF(LEN(TRIM(X2351))=0,"",HYPERLINK("https://www.google.com/maps/@?api=1&amp;map_action=pano&amp;viewpoint="&amp;SUBSTITUTE(X2351," ",""),"Abrir Street View"))</f>
        <v/>
      </c>
    </row>
    <row r="2352">
      <c r="H2352" s="6" t="n"/>
      <c r="I2352" s="6" t="n"/>
      <c r="M2352" s="7" t="n"/>
      <c r="N2352" s="7" t="n"/>
      <c r="O2352" s="7" t="n"/>
      <c r="P2352" s="8">
        <f>IF(NOT(ISNUMBER(M2352)),"",IF(G2352="Terreno",IF(AND(ISNUMBER(I2352),I2352&gt;0),M2352/I2352,""),IF(AND(ISNUMBER(H2352),H2352&gt;0),M2352/H2352,"")))</f>
        <v/>
      </c>
      <c r="Q2352" s="9">
        <f>IF(AND(ISNUMBER(M2352),ISNUMBER(O2352)),IF(M2352&lt;=O2352,"Valor ≤ venal IPTU",""),"")</f>
        <v/>
      </c>
      <c r="R2352" s="10" t="n"/>
      <c r="S2352" s="10" t="n"/>
      <c r="AA2352" s="10" t="n"/>
      <c r="AB2352" s="11">
        <f>IF(LEN(TRIM(X2352))=0,"",HYPERLINK("https://www.google.com/maps/@?api=1&amp;map_action=pano&amp;viewpoint="&amp;SUBSTITUTE(X2352," ",""),"Abrir Street View"))</f>
        <v/>
      </c>
    </row>
    <row r="2353">
      <c r="H2353" s="6" t="n"/>
      <c r="I2353" s="6" t="n"/>
      <c r="M2353" s="7" t="n"/>
      <c r="N2353" s="7" t="n"/>
      <c r="O2353" s="7" t="n"/>
      <c r="P2353" s="8">
        <f>IF(NOT(ISNUMBER(M2353)),"",IF(G2353="Terreno",IF(AND(ISNUMBER(I2353),I2353&gt;0),M2353/I2353,""),IF(AND(ISNUMBER(H2353),H2353&gt;0),M2353/H2353,"")))</f>
        <v/>
      </c>
      <c r="Q2353" s="9">
        <f>IF(AND(ISNUMBER(M2353),ISNUMBER(O2353)),IF(M2353&lt;=O2353,"Valor ≤ venal IPTU",""),"")</f>
        <v/>
      </c>
      <c r="R2353" s="10" t="n"/>
      <c r="S2353" s="10" t="n"/>
      <c r="AA2353" s="10" t="n"/>
      <c r="AB2353" s="11">
        <f>IF(LEN(TRIM(X2353))=0,"",HYPERLINK("https://www.google.com/maps/@?api=1&amp;map_action=pano&amp;viewpoint="&amp;SUBSTITUTE(X2353," ",""),"Abrir Street View"))</f>
        <v/>
      </c>
    </row>
    <row r="2354">
      <c r="H2354" s="6" t="n"/>
      <c r="I2354" s="6" t="n"/>
      <c r="M2354" s="7" t="n"/>
      <c r="N2354" s="7" t="n"/>
      <c r="O2354" s="7" t="n"/>
      <c r="P2354" s="8">
        <f>IF(NOT(ISNUMBER(M2354)),"",IF(G2354="Terreno",IF(AND(ISNUMBER(I2354),I2354&gt;0),M2354/I2354,""),IF(AND(ISNUMBER(H2354),H2354&gt;0),M2354/H2354,"")))</f>
        <v/>
      </c>
      <c r="Q2354" s="9">
        <f>IF(AND(ISNUMBER(M2354),ISNUMBER(O2354)),IF(M2354&lt;=O2354,"Valor ≤ venal IPTU",""),"")</f>
        <v/>
      </c>
      <c r="R2354" s="10" t="n"/>
      <c r="S2354" s="10" t="n"/>
      <c r="AA2354" s="10" t="n"/>
      <c r="AB2354" s="11">
        <f>IF(LEN(TRIM(X2354))=0,"",HYPERLINK("https://www.google.com/maps/@?api=1&amp;map_action=pano&amp;viewpoint="&amp;SUBSTITUTE(X2354," ",""),"Abrir Street View"))</f>
        <v/>
      </c>
    </row>
    <row r="2355">
      <c r="H2355" s="6" t="n"/>
      <c r="I2355" s="6" t="n"/>
      <c r="M2355" s="7" t="n"/>
      <c r="N2355" s="7" t="n"/>
      <c r="O2355" s="7" t="n"/>
      <c r="P2355" s="8">
        <f>IF(NOT(ISNUMBER(M2355)),"",IF(G2355="Terreno",IF(AND(ISNUMBER(I2355),I2355&gt;0),M2355/I2355,""),IF(AND(ISNUMBER(H2355),H2355&gt;0),M2355/H2355,"")))</f>
        <v/>
      </c>
      <c r="Q2355" s="9">
        <f>IF(AND(ISNUMBER(M2355),ISNUMBER(O2355)),IF(M2355&lt;=O2355,"Valor ≤ venal IPTU",""),"")</f>
        <v/>
      </c>
      <c r="R2355" s="10" t="n"/>
      <c r="S2355" s="10" t="n"/>
      <c r="AA2355" s="10" t="n"/>
      <c r="AB2355" s="11">
        <f>IF(LEN(TRIM(X2355))=0,"",HYPERLINK("https://www.google.com/maps/@?api=1&amp;map_action=pano&amp;viewpoint="&amp;SUBSTITUTE(X2355," ",""),"Abrir Street View"))</f>
        <v/>
      </c>
    </row>
    <row r="2356">
      <c r="H2356" s="6" t="n"/>
      <c r="I2356" s="6" t="n"/>
      <c r="M2356" s="7" t="n"/>
      <c r="N2356" s="7" t="n"/>
      <c r="O2356" s="7" t="n"/>
      <c r="P2356" s="8">
        <f>IF(NOT(ISNUMBER(M2356)),"",IF(G2356="Terreno",IF(AND(ISNUMBER(I2356),I2356&gt;0),M2356/I2356,""),IF(AND(ISNUMBER(H2356),H2356&gt;0),M2356/H2356,"")))</f>
        <v/>
      </c>
      <c r="Q2356" s="9">
        <f>IF(AND(ISNUMBER(M2356),ISNUMBER(O2356)),IF(M2356&lt;=O2356,"Valor ≤ venal IPTU",""),"")</f>
        <v/>
      </c>
      <c r="R2356" s="10" t="n"/>
      <c r="S2356" s="10" t="n"/>
      <c r="AA2356" s="10" t="n"/>
      <c r="AB2356" s="11">
        <f>IF(LEN(TRIM(X2356))=0,"",HYPERLINK("https://www.google.com/maps/@?api=1&amp;map_action=pano&amp;viewpoint="&amp;SUBSTITUTE(X2356," ",""),"Abrir Street View"))</f>
        <v/>
      </c>
    </row>
    <row r="2357">
      <c r="H2357" s="6" t="n"/>
      <c r="I2357" s="6" t="n"/>
      <c r="M2357" s="7" t="n"/>
      <c r="N2357" s="7" t="n"/>
      <c r="O2357" s="7" t="n"/>
      <c r="P2357" s="8">
        <f>IF(NOT(ISNUMBER(M2357)),"",IF(G2357="Terreno",IF(AND(ISNUMBER(I2357),I2357&gt;0),M2357/I2357,""),IF(AND(ISNUMBER(H2357),H2357&gt;0),M2357/H2357,"")))</f>
        <v/>
      </c>
      <c r="Q2357" s="9">
        <f>IF(AND(ISNUMBER(M2357),ISNUMBER(O2357)),IF(M2357&lt;=O2357,"Valor ≤ venal IPTU",""),"")</f>
        <v/>
      </c>
      <c r="R2357" s="10" t="n"/>
      <c r="S2357" s="10" t="n"/>
      <c r="AA2357" s="10" t="n"/>
      <c r="AB2357" s="11">
        <f>IF(LEN(TRIM(X2357))=0,"",HYPERLINK("https://www.google.com/maps/@?api=1&amp;map_action=pano&amp;viewpoint="&amp;SUBSTITUTE(X2357," ",""),"Abrir Street View"))</f>
        <v/>
      </c>
    </row>
    <row r="2358">
      <c r="H2358" s="6" t="n"/>
      <c r="I2358" s="6" t="n"/>
      <c r="M2358" s="7" t="n"/>
      <c r="N2358" s="7" t="n"/>
      <c r="O2358" s="7" t="n"/>
      <c r="P2358" s="8">
        <f>IF(NOT(ISNUMBER(M2358)),"",IF(G2358="Terreno",IF(AND(ISNUMBER(I2358),I2358&gt;0),M2358/I2358,""),IF(AND(ISNUMBER(H2358),H2358&gt;0),M2358/H2358,"")))</f>
        <v/>
      </c>
      <c r="Q2358" s="9">
        <f>IF(AND(ISNUMBER(M2358),ISNUMBER(O2358)),IF(M2358&lt;=O2358,"Valor ≤ venal IPTU",""),"")</f>
        <v/>
      </c>
      <c r="R2358" s="10" t="n"/>
      <c r="S2358" s="10" t="n"/>
      <c r="AA2358" s="10" t="n"/>
      <c r="AB2358" s="11">
        <f>IF(LEN(TRIM(X2358))=0,"",HYPERLINK("https://www.google.com/maps/@?api=1&amp;map_action=pano&amp;viewpoint="&amp;SUBSTITUTE(X2358," ",""),"Abrir Street View"))</f>
        <v/>
      </c>
    </row>
    <row r="2359">
      <c r="H2359" s="6" t="n"/>
      <c r="I2359" s="6" t="n"/>
      <c r="M2359" s="7" t="n"/>
      <c r="N2359" s="7" t="n"/>
      <c r="O2359" s="7" t="n"/>
      <c r="P2359" s="8">
        <f>IF(NOT(ISNUMBER(M2359)),"",IF(G2359="Terreno",IF(AND(ISNUMBER(I2359),I2359&gt;0),M2359/I2359,""),IF(AND(ISNUMBER(H2359),H2359&gt;0),M2359/H2359,"")))</f>
        <v/>
      </c>
      <c r="Q2359" s="9">
        <f>IF(AND(ISNUMBER(M2359),ISNUMBER(O2359)),IF(M2359&lt;=O2359,"Valor ≤ venal IPTU",""),"")</f>
        <v/>
      </c>
      <c r="R2359" s="10" t="n"/>
      <c r="S2359" s="10" t="n"/>
      <c r="AA2359" s="10" t="n"/>
      <c r="AB2359" s="11">
        <f>IF(LEN(TRIM(X2359))=0,"",HYPERLINK("https://www.google.com/maps/@?api=1&amp;map_action=pano&amp;viewpoint="&amp;SUBSTITUTE(X2359," ",""),"Abrir Street View"))</f>
        <v/>
      </c>
    </row>
    <row r="2360">
      <c r="H2360" s="6" t="n"/>
      <c r="I2360" s="6" t="n"/>
      <c r="M2360" s="7" t="n"/>
      <c r="N2360" s="7" t="n"/>
      <c r="O2360" s="7" t="n"/>
      <c r="P2360" s="8">
        <f>IF(NOT(ISNUMBER(M2360)),"",IF(G2360="Terreno",IF(AND(ISNUMBER(I2360),I2360&gt;0),M2360/I2360,""),IF(AND(ISNUMBER(H2360),H2360&gt;0),M2360/H2360,"")))</f>
        <v/>
      </c>
      <c r="Q2360" s="9">
        <f>IF(AND(ISNUMBER(M2360),ISNUMBER(O2360)),IF(M2360&lt;=O2360,"Valor ≤ venal IPTU",""),"")</f>
        <v/>
      </c>
      <c r="R2360" s="10" t="n"/>
      <c r="S2360" s="10" t="n"/>
      <c r="AA2360" s="10" t="n"/>
      <c r="AB2360" s="11">
        <f>IF(LEN(TRIM(X2360))=0,"",HYPERLINK("https://www.google.com/maps/@?api=1&amp;map_action=pano&amp;viewpoint="&amp;SUBSTITUTE(X2360," ",""),"Abrir Street View"))</f>
        <v/>
      </c>
    </row>
    <row r="2361">
      <c r="H2361" s="6" t="n"/>
      <c r="I2361" s="6" t="n"/>
      <c r="M2361" s="7" t="n"/>
      <c r="N2361" s="7" t="n"/>
      <c r="O2361" s="7" t="n"/>
      <c r="P2361" s="8">
        <f>IF(NOT(ISNUMBER(M2361)),"",IF(G2361="Terreno",IF(AND(ISNUMBER(I2361),I2361&gt;0),M2361/I2361,""),IF(AND(ISNUMBER(H2361),H2361&gt;0),M2361/H2361,"")))</f>
        <v/>
      </c>
      <c r="Q2361" s="9">
        <f>IF(AND(ISNUMBER(M2361),ISNUMBER(O2361)),IF(M2361&lt;=O2361,"Valor ≤ venal IPTU",""),"")</f>
        <v/>
      </c>
      <c r="R2361" s="10" t="n"/>
      <c r="S2361" s="10" t="n"/>
      <c r="AA2361" s="10" t="n"/>
      <c r="AB2361" s="11">
        <f>IF(LEN(TRIM(X2361))=0,"",HYPERLINK("https://www.google.com/maps/@?api=1&amp;map_action=pano&amp;viewpoint="&amp;SUBSTITUTE(X2361," ",""),"Abrir Street View"))</f>
        <v/>
      </c>
    </row>
    <row r="2362">
      <c r="H2362" s="6" t="n"/>
      <c r="I2362" s="6" t="n"/>
      <c r="M2362" s="7" t="n"/>
      <c r="N2362" s="7" t="n"/>
      <c r="O2362" s="7" t="n"/>
      <c r="P2362" s="8">
        <f>IF(NOT(ISNUMBER(M2362)),"",IF(G2362="Terreno",IF(AND(ISNUMBER(I2362),I2362&gt;0),M2362/I2362,""),IF(AND(ISNUMBER(H2362),H2362&gt;0),M2362/H2362,"")))</f>
        <v/>
      </c>
      <c r="Q2362" s="9">
        <f>IF(AND(ISNUMBER(M2362),ISNUMBER(O2362)),IF(M2362&lt;=O2362,"Valor ≤ venal IPTU",""),"")</f>
        <v/>
      </c>
      <c r="R2362" s="10" t="n"/>
      <c r="S2362" s="10" t="n"/>
      <c r="AA2362" s="10" t="n"/>
      <c r="AB2362" s="11">
        <f>IF(LEN(TRIM(X2362))=0,"",HYPERLINK("https://www.google.com/maps/@?api=1&amp;map_action=pano&amp;viewpoint="&amp;SUBSTITUTE(X2362," ",""),"Abrir Street View"))</f>
        <v/>
      </c>
    </row>
    <row r="2363">
      <c r="H2363" s="6" t="n"/>
      <c r="I2363" s="6" t="n"/>
      <c r="M2363" s="7" t="n"/>
      <c r="N2363" s="7" t="n"/>
      <c r="O2363" s="7" t="n"/>
      <c r="P2363" s="8">
        <f>IF(NOT(ISNUMBER(M2363)),"",IF(G2363="Terreno",IF(AND(ISNUMBER(I2363),I2363&gt;0),M2363/I2363,""),IF(AND(ISNUMBER(H2363),H2363&gt;0),M2363/H2363,"")))</f>
        <v/>
      </c>
      <c r="Q2363" s="9">
        <f>IF(AND(ISNUMBER(M2363),ISNUMBER(O2363)),IF(M2363&lt;=O2363,"Valor ≤ venal IPTU",""),"")</f>
        <v/>
      </c>
      <c r="R2363" s="10" t="n"/>
      <c r="S2363" s="10" t="n"/>
      <c r="AA2363" s="10" t="n"/>
      <c r="AB2363" s="11">
        <f>IF(LEN(TRIM(X2363))=0,"",HYPERLINK("https://www.google.com/maps/@?api=1&amp;map_action=pano&amp;viewpoint="&amp;SUBSTITUTE(X2363," ",""),"Abrir Street View"))</f>
        <v/>
      </c>
    </row>
    <row r="2364">
      <c r="H2364" s="6" t="n"/>
      <c r="I2364" s="6" t="n"/>
      <c r="M2364" s="7" t="n"/>
      <c r="N2364" s="7" t="n"/>
      <c r="O2364" s="7" t="n"/>
      <c r="P2364" s="8">
        <f>IF(NOT(ISNUMBER(M2364)),"",IF(G2364="Terreno",IF(AND(ISNUMBER(I2364),I2364&gt;0),M2364/I2364,""),IF(AND(ISNUMBER(H2364),H2364&gt;0),M2364/H2364,"")))</f>
        <v/>
      </c>
      <c r="Q2364" s="9">
        <f>IF(AND(ISNUMBER(M2364),ISNUMBER(O2364)),IF(M2364&lt;=O2364,"Valor ≤ venal IPTU",""),"")</f>
        <v/>
      </c>
      <c r="R2364" s="10" t="n"/>
      <c r="S2364" s="10" t="n"/>
      <c r="AA2364" s="10" t="n"/>
      <c r="AB2364" s="11">
        <f>IF(LEN(TRIM(X2364))=0,"",HYPERLINK("https://www.google.com/maps/@?api=1&amp;map_action=pano&amp;viewpoint="&amp;SUBSTITUTE(X2364," ",""),"Abrir Street View"))</f>
        <v/>
      </c>
    </row>
    <row r="2365">
      <c r="H2365" s="6" t="n"/>
      <c r="I2365" s="6" t="n"/>
      <c r="M2365" s="7" t="n"/>
      <c r="N2365" s="7" t="n"/>
      <c r="O2365" s="7" t="n"/>
      <c r="P2365" s="8">
        <f>IF(NOT(ISNUMBER(M2365)),"",IF(G2365="Terreno",IF(AND(ISNUMBER(I2365),I2365&gt;0),M2365/I2365,""),IF(AND(ISNUMBER(H2365),H2365&gt;0),M2365/H2365,"")))</f>
        <v/>
      </c>
      <c r="Q2365" s="9">
        <f>IF(AND(ISNUMBER(M2365),ISNUMBER(O2365)),IF(M2365&lt;=O2365,"Valor ≤ venal IPTU",""),"")</f>
        <v/>
      </c>
      <c r="R2365" s="10" t="n"/>
      <c r="S2365" s="10" t="n"/>
      <c r="AA2365" s="10" t="n"/>
      <c r="AB2365" s="11">
        <f>IF(LEN(TRIM(X2365))=0,"",HYPERLINK("https://www.google.com/maps/@?api=1&amp;map_action=pano&amp;viewpoint="&amp;SUBSTITUTE(X2365," ",""),"Abrir Street View"))</f>
        <v/>
      </c>
    </row>
    <row r="2366">
      <c r="H2366" s="6" t="n"/>
      <c r="I2366" s="6" t="n"/>
      <c r="M2366" s="7" t="n"/>
      <c r="N2366" s="7" t="n"/>
      <c r="O2366" s="7" t="n"/>
      <c r="P2366" s="8">
        <f>IF(NOT(ISNUMBER(M2366)),"",IF(G2366="Terreno",IF(AND(ISNUMBER(I2366),I2366&gt;0),M2366/I2366,""),IF(AND(ISNUMBER(H2366),H2366&gt;0),M2366/H2366,"")))</f>
        <v/>
      </c>
      <c r="Q2366" s="9">
        <f>IF(AND(ISNUMBER(M2366),ISNUMBER(O2366)),IF(M2366&lt;=O2366,"Valor ≤ venal IPTU",""),"")</f>
        <v/>
      </c>
      <c r="R2366" s="10" t="n"/>
      <c r="S2366" s="10" t="n"/>
      <c r="AA2366" s="10" t="n"/>
      <c r="AB2366" s="11">
        <f>IF(LEN(TRIM(X2366))=0,"",HYPERLINK("https://www.google.com/maps/@?api=1&amp;map_action=pano&amp;viewpoint="&amp;SUBSTITUTE(X2366," ",""),"Abrir Street View"))</f>
        <v/>
      </c>
    </row>
    <row r="2367">
      <c r="H2367" s="6" t="n"/>
      <c r="I2367" s="6" t="n"/>
      <c r="M2367" s="7" t="n"/>
      <c r="N2367" s="7" t="n"/>
      <c r="O2367" s="7" t="n"/>
      <c r="P2367" s="8">
        <f>IF(NOT(ISNUMBER(M2367)),"",IF(G2367="Terreno",IF(AND(ISNUMBER(I2367),I2367&gt;0),M2367/I2367,""),IF(AND(ISNUMBER(H2367),H2367&gt;0),M2367/H2367,"")))</f>
        <v/>
      </c>
      <c r="Q2367" s="9">
        <f>IF(AND(ISNUMBER(M2367),ISNUMBER(O2367)),IF(M2367&lt;=O2367,"Valor ≤ venal IPTU",""),"")</f>
        <v/>
      </c>
      <c r="R2367" s="10" t="n"/>
      <c r="S2367" s="10" t="n"/>
      <c r="AA2367" s="10" t="n"/>
      <c r="AB2367" s="11">
        <f>IF(LEN(TRIM(X2367))=0,"",HYPERLINK("https://www.google.com/maps/@?api=1&amp;map_action=pano&amp;viewpoint="&amp;SUBSTITUTE(X2367," ",""),"Abrir Street View"))</f>
        <v/>
      </c>
    </row>
    <row r="2368">
      <c r="H2368" s="6" t="n"/>
      <c r="I2368" s="6" t="n"/>
      <c r="M2368" s="7" t="n"/>
      <c r="N2368" s="7" t="n"/>
      <c r="O2368" s="7" t="n"/>
      <c r="P2368" s="8">
        <f>IF(NOT(ISNUMBER(M2368)),"",IF(G2368="Terreno",IF(AND(ISNUMBER(I2368),I2368&gt;0),M2368/I2368,""),IF(AND(ISNUMBER(H2368),H2368&gt;0),M2368/H2368,"")))</f>
        <v/>
      </c>
      <c r="Q2368" s="9">
        <f>IF(AND(ISNUMBER(M2368),ISNUMBER(O2368)),IF(M2368&lt;=O2368,"Valor ≤ venal IPTU",""),"")</f>
        <v/>
      </c>
      <c r="R2368" s="10" t="n"/>
      <c r="S2368" s="10" t="n"/>
      <c r="AA2368" s="10" t="n"/>
      <c r="AB2368" s="11">
        <f>IF(LEN(TRIM(X2368))=0,"",HYPERLINK("https://www.google.com/maps/@?api=1&amp;map_action=pano&amp;viewpoint="&amp;SUBSTITUTE(X2368," ",""),"Abrir Street View"))</f>
        <v/>
      </c>
    </row>
    <row r="2369">
      <c r="H2369" s="6" t="n"/>
      <c r="I2369" s="6" t="n"/>
      <c r="M2369" s="7" t="n"/>
      <c r="N2369" s="7" t="n"/>
      <c r="O2369" s="7" t="n"/>
      <c r="P2369" s="8">
        <f>IF(NOT(ISNUMBER(M2369)),"",IF(G2369="Terreno",IF(AND(ISNUMBER(I2369),I2369&gt;0),M2369/I2369,""),IF(AND(ISNUMBER(H2369),H2369&gt;0),M2369/H2369,"")))</f>
        <v/>
      </c>
      <c r="Q2369" s="9">
        <f>IF(AND(ISNUMBER(M2369),ISNUMBER(O2369)),IF(M2369&lt;=O2369,"Valor ≤ venal IPTU",""),"")</f>
        <v/>
      </c>
      <c r="R2369" s="10" t="n"/>
      <c r="S2369" s="10" t="n"/>
      <c r="AA2369" s="10" t="n"/>
      <c r="AB2369" s="11">
        <f>IF(LEN(TRIM(X2369))=0,"",HYPERLINK("https://www.google.com/maps/@?api=1&amp;map_action=pano&amp;viewpoint="&amp;SUBSTITUTE(X2369," ",""),"Abrir Street View"))</f>
        <v/>
      </c>
    </row>
    <row r="2370">
      <c r="H2370" s="6" t="n"/>
      <c r="I2370" s="6" t="n"/>
      <c r="M2370" s="7" t="n"/>
      <c r="N2370" s="7" t="n"/>
      <c r="O2370" s="7" t="n"/>
      <c r="P2370" s="8">
        <f>IF(NOT(ISNUMBER(M2370)),"",IF(G2370="Terreno",IF(AND(ISNUMBER(I2370),I2370&gt;0),M2370/I2370,""),IF(AND(ISNUMBER(H2370),H2370&gt;0),M2370/H2370,"")))</f>
        <v/>
      </c>
      <c r="Q2370" s="9">
        <f>IF(AND(ISNUMBER(M2370),ISNUMBER(O2370)),IF(M2370&lt;=O2370,"Valor ≤ venal IPTU",""),"")</f>
        <v/>
      </c>
      <c r="R2370" s="10" t="n"/>
      <c r="S2370" s="10" t="n"/>
      <c r="AA2370" s="10" t="n"/>
      <c r="AB2370" s="11">
        <f>IF(LEN(TRIM(X2370))=0,"",HYPERLINK("https://www.google.com/maps/@?api=1&amp;map_action=pano&amp;viewpoint="&amp;SUBSTITUTE(X2370," ",""),"Abrir Street View"))</f>
        <v/>
      </c>
    </row>
    <row r="2371">
      <c r="H2371" s="6" t="n"/>
      <c r="I2371" s="6" t="n"/>
      <c r="M2371" s="7" t="n"/>
      <c r="N2371" s="7" t="n"/>
      <c r="O2371" s="7" t="n"/>
      <c r="P2371" s="8">
        <f>IF(NOT(ISNUMBER(M2371)),"",IF(G2371="Terreno",IF(AND(ISNUMBER(I2371),I2371&gt;0),M2371/I2371,""),IF(AND(ISNUMBER(H2371),H2371&gt;0),M2371/H2371,"")))</f>
        <v/>
      </c>
      <c r="Q2371" s="9">
        <f>IF(AND(ISNUMBER(M2371),ISNUMBER(O2371)),IF(M2371&lt;=O2371,"Valor ≤ venal IPTU",""),"")</f>
        <v/>
      </c>
      <c r="R2371" s="10" t="n"/>
      <c r="S2371" s="10" t="n"/>
      <c r="AA2371" s="10" t="n"/>
      <c r="AB2371" s="11">
        <f>IF(LEN(TRIM(X2371))=0,"",HYPERLINK("https://www.google.com/maps/@?api=1&amp;map_action=pano&amp;viewpoint="&amp;SUBSTITUTE(X2371," ",""),"Abrir Street View"))</f>
        <v/>
      </c>
    </row>
    <row r="2372">
      <c r="H2372" s="6" t="n"/>
      <c r="I2372" s="6" t="n"/>
      <c r="M2372" s="7" t="n"/>
      <c r="N2372" s="7" t="n"/>
      <c r="O2372" s="7" t="n"/>
      <c r="P2372" s="8">
        <f>IF(NOT(ISNUMBER(M2372)),"",IF(G2372="Terreno",IF(AND(ISNUMBER(I2372),I2372&gt;0),M2372/I2372,""),IF(AND(ISNUMBER(H2372),H2372&gt;0),M2372/H2372,"")))</f>
        <v/>
      </c>
      <c r="Q2372" s="9">
        <f>IF(AND(ISNUMBER(M2372),ISNUMBER(O2372)),IF(M2372&lt;=O2372,"Valor ≤ venal IPTU",""),"")</f>
        <v/>
      </c>
      <c r="R2372" s="10" t="n"/>
      <c r="S2372" s="10" t="n"/>
      <c r="AA2372" s="10" t="n"/>
      <c r="AB2372" s="11">
        <f>IF(LEN(TRIM(X2372))=0,"",HYPERLINK("https://www.google.com/maps/@?api=1&amp;map_action=pano&amp;viewpoint="&amp;SUBSTITUTE(X2372," ",""),"Abrir Street View"))</f>
        <v/>
      </c>
    </row>
    <row r="2373">
      <c r="H2373" s="6" t="n"/>
      <c r="I2373" s="6" t="n"/>
      <c r="M2373" s="7" t="n"/>
      <c r="N2373" s="7" t="n"/>
      <c r="O2373" s="7" t="n"/>
      <c r="P2373" s="8">
        <f>IF(NOT(ISNUMBER(M2373)),"",IF(G2373="Terreno",IF(AND(ISNUMBER(I2373),I2373&gt;0),M2373/I2373,""),IF(AND(ISNUMBER(H2373),H2373&gt;0),M2373/H2373,"")))</f>
        <v/>
      </c>
      <c r="Q2373" s="9">
        <f>IF(AND(ISNUMBER(M2373),ISNUMBER(O2373)),IF(M2373&lt;=O2373,"Valor ≤ venal IPTU",""),"")</f>
        <v/>
      </c>
      <c r="R2373" s="10" t="n"/>
      <c r="S2373" s="10" t="n"/>
      <c r="AA2373" s="10" t="n"/>
      <c r="AB2373" s="11">
        <f>IF(LEN(TRIM(X2373))=0,"",HYPERLINK("https://www.google.com/maps/@?api=1&amp;map_action=pano&amp;viewpoint="&amp;SUBSTITUTE(X2373," ",""),"Abrir Street View"))</f>
        <v/>
      </c>
    </row>
    <row r="2374">
      <c r="H2374" s="6" t="n"/>
      <c r="I2374" s="6" t="n"/>
      <c r="M2374" s="7" t="n"/>
      <c r="N2374" s="7" t="n"/>
      <c r="O2374" s="7" t="n"/>
      <c r="P2374" s="8">
        <f>IF(NOT(ISNUMBER(M2374)),"",IF(G2374="Terreno",IF(AND(ISNUMBER(I2374),I2374&gt;0),M2374/I2374,""),IF(AND(ISNUMBER(H2374),H2374&gt;0),M2374/H2374,"")))</f>
        <v/>
      </c>
      <c r="Q2374" s="9">
        <f>IF(AND(ISNUMBER(M2374),ISNUMBER(O2374)),IF(M2374&lt;=O2374,"Valor ≤ venal IPTU",""),"")</f>
        <v/>
      </c>
      <c r="R2374" s="10" t="n"/>
      <c r="S2374" s="10" t="n"/>
      <c r="AA2374" s="10" t="n"/>
      <c r="AB2374" s="11">
        <f>IF(LEN(TRIM(X2374))=0,"",HYPERLINK("https://www.google.com/maps/@?api=1&amp;map_action=pano&amp;viewpoint="&amp;SUBSTITUTE(X2374," ",""),"Abrir Street View"))</f>
        <v/>
      </c>
    </row>
    <row r="2375">
      <c r="H2375" s="6" t="n"/>
      <c r="I2375" s="6" t="n"/>
      <c r="M2375" s="7" t="n"/>
      <c r="N2375" s="7" t="n"/>
      <c r="O2375" s="7" t="n"/>
      <c r="P2375" s="8">
        <f>IF(NOT(ISNUMBER(M2375)),"",IF(G2375="Terreno",IF(AND(ISNUMBER(I2375),I2375&gt;0),M2375/I2375,""),IF(AND(ISNUMBER(H2375),H2375&gt;0),M2375/H2375,"")))</f>
        <v/>
      </c>
      <c r="Q2375" s="9">
        <f>IF(AND(ISNUMBER(M2375),ISNUMBER(O2375)),IF(M2375&lt;=O2375,"Valor ≤ venal IPTU",""),"")</f>
        <v/>
      </c>
      <c r="R2375" s="10" t="n"/>
      <c r="S2375" s="10" t="n"/>
      <c r="AA2375" s="10" t="n"/>
      <c r="AB2375" s="11">
        <f>IF(LEN(TRIM(X2375))=0,"",HYPERLINK("https://www.google.com/maps/@?api=1&amp;map_action=pano&amp;viewpoint="&amp;SUBSTITUTE(X2375," ",""),"Abrir Street View"))</f>
        <v/>
      </c>
    </row>
    <row r="2376">
      <c r="H2376" s="6" t="n"/>
      <c r="I2376" s="6" t="n"/>
      <c r="M2376" s="7" t="n"/>
      <c r="N2376" s="7" t="n"/>
      <c r="O2376" s="7" t="n"/>
      <c r="P2376" s="8">
        <f>IF(NOT(ISNUMBER(M2376)),"",IF(G2376="Terreno",IF(AND(ISNUMBER(I2376),I2376&gt;0),M2376/I2376,""),IF(AND(ISNUMBER(H2376),H2376&gt;0),M2376/H2376,"")))</f>
        <v/>
      </c>
      <c r="Q2376" s="9">
        <f>IF(AND(ISNUMBER(M2376),ISNUMBER(O2376)),IF(M2376&lt;=O2376,"Valor ≤ venal IPTU",""),"")</f>
        <v/>
      </c>
      <c r="R2376" s="10" t="n"/>
      <c r="S2376" s="10" t="n"/>
      <c r="AA2376" s="10" t="n"/>
      <c r="AB2376" s="11">
        <f>IF(LEN(TRIM(X2376))=0,"",HYPERLINK("https://www.google.com/maps/@?api=1&amp;map_action=pano&amp;viewpoint="&amp;SUBSTITUTE(X2376," ",""),"Abrir Street View"))</f>
        <v/>
      </c>
    </row>
    <row r="2377">
      <c r="H2377" s="6" t="n"/>
      <c r="I2377" s="6" t="n"/>
      <c r="M2377" s="7" t="n"/>
      <c r="N2377" s="7" t="n"/>
      <c r="O2377" s="7" t="n"/>
      <c r="P2377" s="8">
        <f>IF(NOT(ISNUMBER(M2377)),"",IF(G2377="Terreno",IF(AND(ISNUMBER(I2377),I2377&gt;0),M2377/I2377,""),IF(AND(ISNUMBER(H2377),H2377&gt;0),M2377/H2377,"")))</f>
        <v/>
      </c>
      <c r="Q2377" s="9">
        <f>IF(AND(ISNUMBER(M2377),ISNUMBER(O2377)),IF(M2377&lt;=O2377,"Valor ≤ venal IPTU",""),"")</f>
        <v/>
      </c>
      <c r="R2377" s="10" t="n"/>
      <c r="S2377" s="10" t="n"/>
      <c r="AA2377" s="10" t="n"/>
      <c r="AB2377" s="11">
        <f>IF(LEN(TRIM(X2377))=0,"",HYPERLINK("https://www.google.com/maps/@?api=1&amp;map_action=pano&amp;viewpoint="&amp;SUBSTITUTE(X2377," ",""),"Abrir Street View"))</f>
        <v/>
      </c>
    </row>
    <row r="2378">
      <c r="H2378" s="6" t="n"/>
      <c r="I2378" s="6" t="n"/>
      <c r="M2378" s="7" t="n"/>
      <c r="N2378" s="7" t="n"/>
      <c r="O2378" s="7" t="n"/>
      <c r="P2378" s="8">
        <f>IF(NOT(ISNUMBER(M2378)),"",IF(G2378="Terreno",IF(AND(ISNUMBER(I2378),I2378&gt;0),M2378/I2378,""),IF(AND(ISNUMBER(H2378),H2378&gt;0),M2378/H2378,"")))</f>
        <v/>
      </c>
      <c r="Q2378" s="9">
        <f>IF(AND(ISNUMBER(M2378),ISNUMBER(O2378)),IF(M2378&lt;=O2378,"Valor ≤ venal IPTU",""),"")</f>
        <v/>
      </c>
      <c r="R2378" s="10" t="n"/>
      <c r="S2378" s="10" t="n"/>
      <c r="AA2378" s="10" t="n"/>
      <c r="AB2378" s="11">
        <f>IF(LEN(TRIM(X2378))=0,"",HYPERLINK("https://www.google.com/maps/@?api=1&amp;map_action=pano&amp;viewpoint="&amp;SUBSTITUTE(X2378," ",""),"Abrir Street View"))</f>
        <v/>
      </c>
    </row>
    <row r="2379">
      <c r="H2379" s="6" t="n"/>
      <c r="I2379" s="6" t="n"/>
      <c r="M2379" s="7" t="n"/>
      <c r="N2379" s="7" t="n"/>
      <c r="O2379" s="7" t="n"/>
      <c r="P2379" s="8">
        <f>IF(NOT(ISNUMBER(M2379)),"",IF(G2379="Terreno",IF(AND(ISNUMBER(I2379),I2379&gt;0),M2379/I2379,""),IF(AND(ISNUMBER(H2379),H2379&gt;0),M2379/H2379,"")))</f>
        <v/>
      </c>
      <c r="Q2379" s="9">
        <f>IF(AND(ISNUMBER(M2379),ISNUMBER(O2379)),IF(M2379&lt;=O2379,"Valor ≤ venal IPTU",""),"")</f>
        <v/>
      </c>
      <c r="R2379" s="10" t="n"/>
      <c r="S2379" s="10" t="n"/>
      <c r="AA2379" s="10" t="n"/>
      <c r="AB2379" s="11">
        <f>IF(LEN(TRIM(X2379))=0,"",HYPERLINK("https://www.google.com/maps/@?api=1&amp;map_action=pano&amp;viewpoint="&amp;SUBSTITUTE(X2379," ",""),"Abrir Street View"))</f>
        <v/>
      </c>
    </row>
    <row r="2380">
      <c r="H2380" s="6" t="n"/>
      <c r="I2380" s="6" t="n"/>
      <c r="M2380" s="7" t="n"/>
      <c r="N2380" s="7" t="n"/>
      <c r="O2380" s="7" t="n"/>
      <c r="P2380" s="8">
        <f>IF(NOT(ISNUMBER(M2380)),"",IF(G2380="Terreno",IF(AND(ISNUMBER(I2380),I2380&gt;0),M2380/I2380,""),IF(AND(ISNUMBER(H2380),H2380&gt;0),M2380/H2380,"")))</f>
        <v/>
      </c>
      <c r="Q2380" s="9">
        <f>IF(AND(ISNUMBER(M2380),ISNUMBER(O2380)),IF(M2380&lt;=O2380,"Valor ≤ venal IPTU",""),"")</f>
        <v/>
      </c>
      <c r="R2380" s="10" t="n"/>
      <c r="S2380" s="10" t="n"/>
      <c r="AA2380" s="10" t="n"/>
      <c r="AB2380" s="11">
        <f>IF(LEN(TRIM(X2380))=0,"",HYPERLINK("https://www.google.com/maps/@?api=1&amp;map_action=pano&amp;viewpoint="&amp;SUBSTITUTE(X2380," ",""),"Abrir Street View"))</f>
        <v/>
      </c>
    </row>
    <row r="2381">
      <c r="H2381" s="6" t="n"/>
      <c r="I2381" s="6" t="n"/>
      <c r="M2381" s="7" t="n"/>
      <c r="N2381" s="7" t="n"/>
      <c r="O2381" s="7" t="n"/>
      <c r="P2381" s="8">
        <f>IF(NOT(ISNUMBER(M2381)),"",IF(G2381="Terreno",IF(AND(ISNUMBER(I2381),I2381&gt;0),M2381/I2381,""),IF(AND(ISNUMBER(H2381),H2381&gt;0),M2381/H2381,"")))</f>
        <v/>
      </c>
      <c r="Q2381" s="9">
        <f>IF(AND(ISNUMBER(M2381),ISNUMBER(O2381)),IF(M2381&lt;=O2381,"Valor ≤ venal IPTU",""),"")</f>
        <v/>
      </c>
      <c r="R2381" s="10" t="n"/>
      <c r="S2381" s="10" t="n"/>
      <c r="AA2381" s="10" t="n"/>
      <c r="AB2381" s="11">
        <f>IF(LEN(TRIM(X2381))=0,"",HYPERLINK("https://www.google.com/maps/@?api=1&amp;map_action=pano&amp;viewpoint="&amp;SUBSTITUTE(X2381," ",""),"Abrir Street View"))</f>
        <v/>
      </c>
    </row>
    <row r="2382">
      <c r="H2382" s="6" t="n"/>
      <c r="I2382" s="6" t="n"/>
      <c r="M2382" s="7" t="n"/>
      <c r="N2382" s="7" t="n"/>
      <c r="O2382" s="7" t="n"/>
      <c r="P2382" s="8">
        <f>IF(NOT(ISNUMBER(M2382)),"",IF(G2382="Terreno",IF(AND(ISNUMBER(I2382),I2382&gt;0),M2382/I2382,""),IF(AND(ISNUMBER(H2382),H2382&gt;0),M2382/H2382,"")))</f>
        <v/>
      </c>
      <c r="Q2382" s="9">
        <f>IF(AND(ISNUMBER(M2382),ISNUMBER(O2382)),IF(M2382&lt;=O2382,"Valor ≤ venal IPTU",""),"")</f>
        <v/>
      </c>
      <c r="R2382" s="10" t="n"/>
      <c r="S2382" s="10" t="n"/>
      <c r="AA2382" s="10" t="n"/>
      <c r="AB2382" s="11">
        <f>IF(LEN(TRIM(X2382))=0,"",HYPERLINK("https://www.google.com/maps/@?api=1&amp;map_action=pano&amp;viewpoint="&amp;SUBSTITUTE(X2382," ",""),"Abrir Street View"))</f>
        <v/>
      </c>
    </row>
    <row r="2383">
      <c r="H2383" s="6" t="n"/>
      <c r="I2383" s="6" t="n"/>
      <c r="M2383" s="7" t="n"/>
      <c r="N2383" s="7" t="n"/>
      <c r="O2383" s="7" t="n"/>
      <c r="P2383" s="8">
        <f>IF(NOT(ISNUMBER(M2383)),"",IF(G2383="Terreno",IF(AND(ISNUMBER(I2383),I2383&gt;0),M2383/I2383,""),IF(AND(ISNUMBER(H2383),H2383&gt;0),M2383/H2383,"")))</f>
        <v/>
      </c>
      <c r="Q2383" s="9">
        <f>IF(AND(ISNUMBER(M2383),ISNUMBER(O2383)),IF(M2383&lt;=O2383,"Valor ≤ venal IPTU",""),"")</f>
        <v/>
      </c>
      <c r="R2383" s="10" t="n"/>
      <c r="S2383" s="10" t="n"/>
      <c r="AA2383" s="10" t="n"/>
      <c r="AB2383" s="11">
        <f>IF(LEN(TRIM(X2383))=0,"",HYPERLINK("https://www.google.com/maps/@?api=1&amp;map_action=pano&amp;viewpoint="&amp;SUBSTITUTE(X2383," ",""),"Abrir Street View"))</f>
        <v/>
      </c>
    </row>
    <row r="2384">
      <c r="H2384" s="6" t="n"/>
      <c r="I2384" s="6" t="n"/>
      <c r="M2384" s="7" t="n"/>
      <c r="N2384" s="7" t="n"/>
      <c r="O2384" s="7" t="n"/>
      <c r="P2384" s="8">
        <f>IF(NOT(ISNUMBER(M2384)),"",IF(G2384="Terreno",IF(AND(ISNUMBER(I2384),I2384&gt;0),M2384/I2384,""),IF(AND(ISNUMBER(H2384),H2384&gt;0),M2384/H2384,"")))</f>
        <v/>
      </c>
      <c r="Q2384" s="9">
        <f>IF(AND(ISNUMBER(M2384),ISNUMBER(O2384)),IF(M2384&lt;=O2384,"Valor ≤ venal IPTU",""),"")</f>
        <v/>
      </c>
      <c r="R2384" s="10" t="n"/>
      <c r="S2384" s="10" t="n"/>
      <c r="AA2384" s="10" t="n"/>
      <c r="AB2384" s="11">
        <f>IF(LEN(TRIM(X2384))=0,"",HYPERLINK("https://www.google.com/maps/@?api=1&amp;map_action=pano&amp;viewpoint="&amp;SUBSTITUTE(X2384," ",""),"Abrir Street View"))</f>
        <v/>
      </c>
    </row>
    <row r="2385">
      <c r="H2385" s="6" t="n"/>
      <c r="I2385" s="6" t="n"/>
      <c r="M2385" s="7" t="n"/>
      <c r="N2385" s="7" t="n"/>
      <c r="O2385" s="7" t="n"/>
      <c r="P2385" s="8">
        <f>IF(NOT(ISNUMBER(M2385)),"",IF(G2385="Terreno",IF(AND(ISNUMBER(I2385),I2385&gt;0),M2385/I2385,""),IF(AND(ISNUMBER(H2385),H2385&gt;0),M2385/H2385,"")))</f>
        <v/>
      </c>
      <c r="Q2385" s="9">
        <f>IF(AND(ISNUMBER(M2385),ISNUMBER(O2385)),IF(M2385&lt;=O2385,"Valor ≤ venal IPTU",""),"")</f>
        <v/>
      </c>
      <c r="R2385" s="10" t="n"/>
      <c r="S2385" s="10" t="n"/>
      <c r="AA2385" s="10" t="n"/>
      <c r="AB2385" s="11">
        <f>IF(LEN(TRIM(X2385))=0,"",HYPERLINK("https://www.google.com/maps/@?api=1&amp;map_action=pano&amp;viewpoint="&amp;SUBSTITUTE(X2385," ",""),"Abrir Street View"))</f>
        <v/>
      </c>
    </row>
    <row r="2386">
      <c r="H2386" s="6" t="n"/>
      <c r="I2386" s="6" t="n"/>
      <c r="M2386" s="7" t="n"/>
      <c r="N2386" s="7" t="n"/>
      <c r="O2386" s="7" t="n"/>
      <c r="P2386" s="8">
        <f>IF(NOT(ISNUMBER(M2386)),"",IF(G2386="Terreno",IF(AND(ISNUMBER(I2386),I2386&gt;0),M2386/I2386,""),IF(AND(ISNUMBER(H2386),H2386&gt;0),M2386/H2386,"")))</f>
        <v/>
      </c>
      <c r="Q2386" s="9">
        <f>IF(AND(ISNUMBER(M2386),ISNUMBER(O2386)),IF(M2386&lt;=O2386,"Valor ≤ venal IPTU",""),"")</f>
        <v/>
      </c>
      <c r="R2386" s="10" t="n"/>
      <c r="S2386" s="10" t="n"/>
      <c r="AA2386" s="10" t="n"/>
      <c r="AB2386" s="11">
        <f>IF(LEN(TRIM(X2386))=0,"",HYPERLINK("https://www.google.com/maps/@?api=1&amp;map_action=pano&amp;viewpoint="&amp;SUBSTITUTE(X2386," ",""),"Abrir Street View"))</f>
        <v/>
      </c>
    </row>
    <row r="2387">
      <c r="H2387" s="6" t="n"/>
      <c r="I2387" s="6" t="n"/>
      <c r="M2387" s="7" t="n"/>
      <c r="N2387" s="7" t="n"/>
      <c r="O2387" s="7" t="n"/>
      <c r="P2387" s="8">
        <f>IF(NOT(ISNUMBER(M2387)),"",IF(G2387="Terreno",IF(AND(ISNUMBER(I2387),I2387&gt;0),M2387/I2387,""),IF(AND(ISNUMBER(H2387),H2387&gt;0),M2387/H2387,"")))</f>
        <v/>
      </c>
      <c r="Q2387" s="9">
        <f>IF(AND(ISNUMBER(M2387),ISNUMBER(O2387)),IF(M2387&lt;=O2387,"Valor ≤ venal IPTU",""),"")</f>
        <v/>
      </c>
      <c r="R2387" s="10" t="n"/>
      <c r="S2387" s="10" t="n"/>
      <c r="AA2387" s="10" t="n"/>
      <c r="AB2387" s="11">
        <f>IF(LEN(TRIM(X2387))=0,"",HYPERLINK("https://www.google.com/maps/@?api=1&amp;map_action=pano&amp;viewpoint="&amp;SUBSTITUTE(X2387," ",""),"Abrir Street View"))</f>
        <v/>
      </c>
    </row>
    <row r="2388">
      <c r="H2388" s="6" t="n"/>
      <c r="I2388" s="6" t="n"/>
      <c r="M2388" s="7" t="n"/>
      <c r="N2388" s="7" t="n"/>
      <c r="O2388" s="7" t="n"/>
      <c r="P2388" s="8">
        <f>IF(NOT(ISNUMBER(M2388)),"",IF(G2388="Terreno",IF(AND(ISNUMBER(I2388),I2388&gt;0),M2388/I2388,""),IF(AND(ISNUMBER(H2388),H2388&gt;0),M2388/H2388,"")))</f>
        <v/>
      </c>
      <c r="Q2388" s="9">
        <f>IF(AND(ISNUMBER(M2388),ISNUMBER(O2388)),IF(M2388&lt;=O2388,"Valor ≤ venal IPTU",""),"")</f>
        <v/>
      </c>
      <c r="R2388" s="10" t="n"/>
      <c r="S2388" s="10" t="n"/>
      <c r="AA2388" s="10" t="n"/>
      <c r="AB2388" s="11">
        <f>IF(LEN(TRIM(X2388))=0,"",HYPERLINK("https://www.google.com/maps/@?api=1&amp;map_action=pano&amp;viewpoint="&amp;SUBSTITUTE(X2388," ",""),"Abrir Street View"))</f>
        <v/>
      </c>
    </row>
    <row r="2389">
      <c r="H2389" s="6" t="n"/>
      <c r="I2389" s="6" t="n"/>
      <c r="M2389" s="7" t="n"/>
      <c r="N2389" s="7" t="n"/>
      <c r="O2389" s="7" t="n"/>
      <c r="P2389" s="8">
        <f>IF(NOT(ISNUMBER(M2389)),"",IF(G2389="Terreno",IF(AND(ISNUMBER(I2389),I2389&gt;0),M2389/I2389,""),IF(AND(ISNUMBER(H2389),H2389&gt;0),M2389/H2389,"")))</f>
        <v/>
      </c>
      <c r="Q2389" s="9">
        <f>IF(AND(ISNUMBER(M2389),ISNUMBER(O2389)),IF(M2389&lt;=O2389,"Valor ≤ venal IPTU",""),"")</f>
        <v/>
      </c>
      <c r="R2389" s="10" t="n"/>
      <c r="S2389" s="10" t="n"/>
      <c r="AA2389" s="10" t="n"/>
      <c r="AB2389" s="11">
        <f>IF(LEN(TRIM(X2389))=0,"",HYPERLINK("https://www.google.com/maps/@?api=1&amp;map_action=pano&amp;viewpoint="&amp;SUBSTITUTE(X2389," ",""),"Abrir Street View"))</f>
        <v/>
      </c>
    </row>
    <row r="2390">
      <c r="H2390" s="6" t="n"/>
      <c r="I2390" s="6" t="n"/>
      <c r="M2390" s="7" t="n"/>
      <c r="N2390" s="7" t="n"/>
      <c r="O2390" s="7" t="n"/>
      <c r="P2390" s="8">
        <f>IF(NOT(ISNUMBER(M2390)),"",IF(G2390="Terreno",IF(AND(ISNUMBER(I2390),I2390&gt;0),M2390/I2390,""),IF(AND(ISNUMBER(H2390),H2390&gt;0),M2390/H2390,"")))</f>
        <v/>
      </c>
      <c r="Q2390" s="9">
        <f>IF(AND(ISNUMBER(M2390),ISNUMBER(O2390)),IF(M2390&lt;=O2390,"Valor ≤ venal IPTU",""),"")</f>
        <v/>
      </c>
      <c r="R2390" s="10" t="n"/>
      <c r="S2390" s="10" t="n"/>
      <c r="AA2390" s="10" t="n"/>
      <c r="AB2390" s="11">
        <f>IF(LEN(TRIM(X2390))=0,"",HYPERLINK("https://www.google.com/maps/@?api=1&amp;map_action=pano&amp;viewpoint="&amp;SUBSTITUTE(X2390," ",""),"Abrir Street View"))</f>
        <v/>
      </c>
    </row>
    <row r="2391">
      <c r="H2391" s="6" t="n"/>
      <c r="I2391" s="6" t="n"/>
      <c r="M2391" s="7" t="n"/>
      <c r="N2391" s="7" t="n"/>
      <c r="O2391" s="7" t="n"/>
      <c r="P2391" s="8">
        <f>IF(NOT(ISNUMBER(M2391)),"",IF(G2391="Terreno",IF(AND(ISNUMBER(I2391),I2391&gt;0),M2391/I2391,""),IF(AND(ISNUMBER(H2391),H2391&gt;0),M2391/H2391,"")))</f>
        <v/>
      </c>
      <c r="Q2391" s="9">
        <f>IF(AND(ISNUMBER(M2391),ISNUMBER(O2391)),IF(M2391&lt;=O2391,"Valor ≤ venal IPTU",""),"")</f>
        <v/>
      </c>
      <c r="R2391" s="10" t="n"/>
      <c r="S2391" s="10" t="n"/>
      <c r="AA2391" s="10" t="n"/>
      <c r="AB2391" s="11">
        <f>IF(LEN(TRIM(X2391))=0,"",HYPERLINK("https://www.google.com/maps/@?api=1&amp;map_action=pano&amp;viewpoint="&amp;SUBSTITUTE(X2391," ",""),"Abrir Street View"))</f>
        <v/>
      </c>
    </row>
    <row r="2392">
      <c r="H2392" s="6" t="n"/>
      <c r="I2392" s="6" t="n"/>
      <c r="M2392" s="7" t="n"/>
      <c r="N2392" s="7" t="n"/>
      <c r="O2392" s="7" t="n"/>
      <c r="P2392" s="8">
        <f>IF(NOT(ISNUMBER(M2392)),"",IF(G2392="Terreno",IF(AND(ISNUMBER(I2392),I2392&gt;0),M2392/I2392,""),IF(AND(ISNUMBER(H2392),H2392&gt;0),M2392/H2392,"")))</f>
        <v/>
      </c>
      <c r="Q2392" s="9">
        <f>IF(AND(ISNUMBER(M2392),ISNUMBER(O2392)),IF(M2392&lt;=O2392,"Valor ≤ venal IPTU",""),"")</f>
        <v/>
      </c>
      <c r="R2392" s="10" t="n"/>
      <c r="S2392" s="10" t="n"/>
      <c r="AA2392" s="10" t="n"/>
      <c r="AB2392" s="11">
        <f>IF(LEN(TRIM(X2392))=0,"",HYPERLINK("https://www.google.com/maps/@?api=1&amp;map_action=pano&amp;viewpoint="&amp;SUBSTITUTE(X2392," ",""),"Abrir Street View"))</f>
        <v/>
      </c>
    </row>
    <row r="2393">
      <c r="H2393" s="6" t="n"/>
      <c r="I2393" s="6" t="n"/>
      <c r="M2393" s="7" t="n"/>
      <c r="N2393" s="7" t="n"/>
      <c r="O2393" s="7" t="n"/>
      <c r="P2393" s="8">
        <f>IF(NOT(ISNUMBER(M2393)),"",IF(G2393="Terreno",IF(AND(ISNUMBER(I2393),I2393&gt;0),M2393/I2393,""),IF(AND(ISNUMBER(H2393),H2393&gt;0),M2393/H2393,"")))</f>
        <v/>
      </c>
      <c r="Q2393" s="9">
        <f>IF(AND(ISNUMBER(M2393),ISNUMBER(O2393)),IF(M2393&lt;=O2393,"Valor ≤ venal IPTU",""),"")</f>
        <v/>
      </c>
      <c r="R2393" s="10" t="n"/>
      <c r="S2393" s="10" t="n"/>
      <c r="AA2393" s="10" t="n"/>
      <c r="AB2393" s="11">
        <f>IF(LEN(TRIM(X2393))=0,"",HYPERLINK("https://www.google.com/maps/@?api=1&amp;map_action=pano&amp;viewpoint="&amp;SUBSTITUTE(X2393," ",""),"Abrir Street View"))</f>
        <v/>
      </c>
    </row>
    <row r="2394">
      <c r="H2394" s="6" t="n"/>
      <c r="I2394" s="6" t="n"/>
      <c r="M2394" s="7" t="n"/>
      <c r="N2394" s="7" t="n"/>
      <c r="O2394" s="7" t="n"/>
      <c r="P2394" s="8">
        <f>IF(NOT(ISNUMBER(M2394)),"",IF(G2394="Terreno",IF(AND(ISNUMBER(I2394),I2394&gt;0),M2394/I2394,""),IF(AND(ISNUMBER(H2394),H2394&gt;0),M2394/H2394,"")))</f>
        <v/>
      </c>
      <c r="Q2394" s="9">
        <f>IF(AND(ISNUMBER(M2394),ISNUMBER(O2394)),IF(M2394&lt;=O2394,"Valor ≤ venal IPTU",""),"")</f>
        <v/>
      </c>
      <c r="R2394" s="10" t="n"/>
      <c r="S2394" s="10" t="n"/>
      <c r="AA2394" s="10" t="n"/>
      <c r="AB2394" s="11">
        <f>IF(LEN(TRIM(X2394))=0,"",HYPERLINK("https://www.google.com/maps/@?api=1&amp;map_action=pano&amp;viewpoint="&amp;SUBSTITUTE(X2394," ",""),"Abrir Street View"))</f>
        <v/>
      </c>
    </row>
    <row r="2395">
      <c r="H2395" s="6" t="n"/>
      <c r="I2395" s="6" t="n"/>
      <c r="M2395" s="7" t="n"/>
      <c r="N2395" s="7" t="n"/>
      <c r="O2395" s="7" t="n"/>
      <c r="P2395" s="8">
        <f>IF(NOT(ISNUMBER(M2395)),"",IF(G2395="Terreno",IF(AND(ISNUMBER(I2395),I2395&gt;0),M2395/I2395,""),IF(AND(ISNUMBER(H2395),H2395&gt;0),M2395/H2395,"")))</f>
        <v/>
      </c>
      <c r="Q2395" s="9">
        <f>IF(AND(ISNUMBER(M2395),ISNUMBER(O2395)),IF(M2395&lt;=O2395,"Valor ≤ venal IPTU",""),"")</f>
        <v/>
      </c>
      <c r="R2395" s="10" t="n"/>
      <c r="S2395" s="10" t="n"/>
      <c r="AA2395" s="10" t="n"/>
      <c r="AB2395" s="11">
        <f>IF(LEN(TRIM(X2395))=0,"",HYPERLINK("https://www.google.com/maps/@?api=1&amp;map_action=pano&amp;viewpoint="&amp;SUBSTITUTE(X2395," ",""),"Abrir Street View"))</f>
        <v/>
      </c>
    </row>
    <row r="2396">
      <c r="H2396" s="6" t="n"/>
      <c r="I2396" s="6" t="n"/>
      <c r="M2396" s="7" t="n"/>
      <c r="N2396" s="7" t="n"/>
      <c r="O2396" s="7" t="n"/>
      <c r="P2396" s="8">
        <f>IF(NOT(ISNUMBER(M2396)),"",IF(G2396="Terreno",IF(AND(ISNUMBER(I2396),I2396&gt;0),M2396/I2396,""),IF(AND(ISNUMBER(H2396),H2396&gt;0),M2396/H2396,"")))</f>
        <v/>
      </c>
      <c r="Q2396" s="9">
        <f>IF(AND(ISNUMBER(M2396),ISNUMBER(O2396)),IF(M2396&lt;=O2396,"Valor ≤ venal IPTU",""),"")</f>
        <v/>
      </c>
      <c r="R2396" s="10" t="n"/>
      <c r="S2396" s="10" t="n"/>
      <c r="AA2396" s="10" t="n"/>
      <c r="AB2396" s="11">
        <f>IF(LEN(TRIM(X2396))=0,"",HYPERLINK("https://www.google.com/maps/@?api=1&amp;map_action=pano&amp;viewpoint="&amp;SUBSTITUTE(X2396," ",""),"Abrir Street View"))</f>
        <v/>
      </c>
    </row>
    <row r="2397">
      <c r="H2397" s="6" t="n"/>
      <c r="I2397" s="6" t="n"/>
      <c r="M2397" s="7" t="n"/>
      <c r="N2397" s="7" t="n"/>
      <c r="O2397" s="7" t="n"/>
      <c r="P2397" s="8">
        <f>IF(NOT(ISNUMBER(M2397)),"",IF(G2397="Terreno",IF(AND(ISNUMBER(I2397),I2397&gt;0),M2397/I2397,""),IF(AND(ISNUMBER(H2397),H2397&gt;0),M2397/H2397,"")))</f>
        <v/>
      </c>
      <c r="Q2397" s="9">
        <f>IF(AND(ISNUMBER(M2397),ISNUMBER(O2397)),IF(M2397&lt;=O2397,"Valor ≤ venal IPTU",""),"")</f>
        <v/>
      </c>
      <c r="R2397" s="10" t="n"/>
      <c r="S2397" s="10" t="n"/>
      <c r="AA2397" s="10" t="n"/>
      <c r="AB2397" s="11">
        <f>IF(LEN(TRIM(X2397))=0,"",HYPERLINK("https://www.google.com/maps/@?api=1&amp;map_action=pano&amp;viewpoint="&amp;SUBSTITUTE(X2397," ",""),"Abrir Street View"))</f>
        <v/>
      </c>
    </row>
    <row r="2398">
      <c r="H2398" s="6" t="n"/>
      <c r="I2398" s="6" t="n"/>
      <c r="M2398" s="7" t="n"/>
      <c r="N2398" s="7" t="n"/>
      <c r="O2398" s="7" t="n"/>
      <c r="P2398" s="8">
        <f>IF(NOT(ISNUMBER(M2398)),"",IF(G2398="Terreno",IF(AND(ISNUMBER(I2398),I2398&gt;0),M2398/I2398,""),IF(AND(ISNUMBER(H2398),H2398&gt;0),M2398/H2398,"")))</f>
        <v/>
      </c>
      <c r="Q2398" s="9">
        <f>IF(AND(ISNUMBER(M2398),ISNUMBER(O2398)),IF(M2398&lt;=O2398,"Valor ≤ venal IPTU",""),"")</f>
        <v/>
      </c>
      <c r="R2398" s="10" t="n"/>
      <c r="S2398" s="10" t="n"/>
      <c r="AA2398" s="10" t="n"/>
      <c r="AB2398" s="11">
        <f>IF(LEN(TRIM(X2398))=0,"",HYPERLINK("https://www.google.com/maps/@?api=1&amp;map_action=pano&amp;viewpoint="&amp;SUBSTITUTE(X2398," ",""),"Abrir Street View"))</f>
        <v/>
      </c>
    </row>
    <row r="2399">
      <c r="H2399" s="6" t="n"/>
      <c r="I2399" s="6" t="n"/>
      <c r="M2399" s="7" t="n"/>
      <c r="N2399" s="7" t="n"/>
      <c r="O2399" s="7" t="n"/>
      <c r="P2399" s="8">
        <f>IF(NOT(ISNUMBER(M2399)),"",IF(G2399="Terreno",IF(AND(ISNUMBER(I2399),I2399&gt;0),M2399/I2399,""),IF(AND(ISNUMBER(H2399),H2399&gt;0),M2399/H2399,"")))</f>
        <v/>
      </c>
      <c r="Q2399" s="9">
        <f>IF(AND(ISNUMBER(M2399),ISNUMBER(O2399)),IF(M2399&lt;=O2399,"Valor ≤ venal IPTU",""),"")</f>
        <v/>
      </c>
      <c r="R2399" s="10" t="n"/>
      <c r="S2399" s="10" t="n"/>
      <c r="AA2399" s="10" t="n"/>
      <c r="AB2399" s="11">
        <f>IF(LEN(TRIM(X2399))=0,"",HYPERLINK("https://www.google.com/maps/@?api=1&amp;map_action=pano&amp;viewpoint="&amp;SUBSTITUTE(X2399," ",""),"Abrir Street View"))</f>
        <v/>
      </c>
    </row>
    <row r="2400">
      <c r="H2400" s="6" t="n"/>
      <c r="I2400" s="6" t="n"/>
      <c r="M2400" s="7" t="n"/>
      <c r="N2400" s="7" t="n"/>
      <c r="O2400" s="7" t="n"/>
      <c r="P2400" s="8">
        <f>IF(NOT(ISNUMBER(M2400)),"",IF(G2400="Terreno",IF(AND(ISNUMBER(I2400),I2400&gt;0),M2400/I2400,""),IF(AND(ISNUMBER(H2400),H2400&gt;0),M2400/H2400,"")))</f>
        <v/>
      </c>
      <c r="Q2400" s="9">
        <f>IF(AND(ISNUMBER(M2400),ISNUMBER(O2400)),IF(M2400&lt;=O2400,"Valor ≤ venal IPTU",""),"")</f>
        <v/>
      </c>
      <c r="R2400" s="10" t="n"/>
      <c r="S2400" s="10" t="n"/>
      <c r="AA2400" s="10" t="n"/>
      <c r="AB2400" s="11">
        <f>IF(LEN(TRIM(X2400))=0,"",HYPERLINK("https://www.google.com/maps/@?api=1&amp;map_action=pano&amp;viewpoint="&amp;SUBSTITUTE(X2400," ",""),"Abrir Street View"))</f>
        <v/>
      </c>
    </row>
    <row r="2401">
      <c r="H2401" s="6" t="n"/>
      <c r="I2401" s="6" t="n"/>
      <c r="M2401" s="7" t="n"/>
      <c r="N2401" s="7" t="n"/>
      <c r="O2401" s="7" t="n"/>
      <c r="P2401" s="8">
        <f>IF(NOT(ISNUMBER(M2401)),"",IF(G2401="Terreno",IF(AND(ISNUMBER(I2401),I2401&gt;0),M2401/I2401,""),IF(AND(ISNUMBER(H2401),H2401&gt;0),M2401/H2401,"")))</f>
        <v/>
      </c>
      <c r="Q2401" s="9">
        <f>IF(AND(ISNUMBER(M2401),ISNUMBER(O2401)),IF(M2401&lt;=O2401,"Valor ≤ venal IPTU",""),"")</f>
        <v/>
      </c>
      <c r="R2401" s="10" t="n"/>
      <c r="S2401" s="10" t="n"/>
      <c r="AA2401" s="10" t="n"/>
      <c r="AB2401" s="11">
        <f>IF(LEN(TRIM(X2401))=0,"",HYPERLINK("https://www.google.com/maps/@?api=1&amp;map_action=pano&amp;viewpoint="&amp;SUBSTITUTE(X2401," ",""),"Abrir Street View"))</f>
        <v/>
      </c>
    </row>
    <row r="2402">
      <c r="H2402" s="6" t="n"/>
      <c r="I2402" s="6" t="n"/>
      <c r="M2402" s="7" t="n"/>
      <c r="N2402" s="7" t="n"/>
      <c r="O2402" s="7" t="n"/>
      <c r="P2402" s="8">
        <f>IF(NOT(ISNUMBER(M2402)),"",IF(G2402="Terreno",IF(AND(ISNUMBER(I2402),I2402&gt;0),M2402/I2402,""),IF(AND(ISNUMBER(H2402),H2402&gt;0),M2402/H2402,"")))</f>
        <v/>
      </c>
      <c r="Q2402" s="9">
        <f>IF(AND(ISNUMBER(M2402),ISNUMBER(O2402)),IF(M2402&lt;=O2402,"Valor ≤ venal IPTU",""),"")</f>
        <v/>
      </c>
      <c r="R2402" s="10" t="n"/>
      <c r="S2402" s="10" t="n"/>
      <c r="AA2402" s="10" t="n"/>
      <c r="AB2402" s="11">
        <f>IF(LEN(TRIM(X2402))=0,"",HYPERLINK("https://www.google.com/maps/@?api=1&amp;map_action=pano&amp;viewpoint="&amp;SUBSTITUTE(X2402," ",""),"Abrir Street View"))</f>
        <v/>
      </c>
    </row>
    <row r="2403">
      <c r="H2403" s="6" t="n"/>
      <c r="I2403" s="6" t="n"/>
      <c r="M2403" s="7" t="n"/>
      <c r="N2403" s="7" t="n"/>
      <c r="O2403" s="7" t="n"/>
      <c r="P2403" s="8">
        <f>IF(NOT(ISNUMBER(M2403)),"",IF(G2403="Terreno",IF(AND(ISNUMBER(I2403),I2403&gt;0),M2403/I2403,""),IF(AND(ISNUMBER(H2403),H2403&gt;0),M2403/H2403,"")))</f>
        <v/>
      </c>
      <c r="Q2403" s="9">
        <f>IF(AND(ISNUMBER(M2403),ISNUMBER(O2403)),IF(M2403&lt;=O2403,"Valor ≤ venal IPTU",""),"")</f>
        <v/>
      </c>
      <c r="R2403" s="10" t="n"/>
      <c r="S2403" s="10" t="n"/>
      <c r="AA2403" s="10" t="n"/>
      <c r="AB2403" s="11">
        <f>IF(LEN(TRIM(X2403))=0,"",HYPERLINK("https://www.google.com/maps/@?api=1&amp;map_action=pano&amp;viewpoint="&amp;SUBSTITUTE(X2403," ",""),"Abrir Street View"))</f>
        <v/>
      </c>
    </row>
    <row r="2404">
      <c r="H2404" s="6" t="n"/>
      <c r="I2404" s="6" t="n"/>
      <c r="M2404" s="7" t="n"/>
      <c r="N2404" s="7" t="n"/>
      <c r="O2404" s="7" t="n"/>
      <c r="P2404" s="8">
        <f>IF(NOT(ISNUMBER(M2404)),"",IF(G2404="Terreno",IF(AND(ISNUMBER(I2404),I2404&gt;0),M2404/I2404,""),IF(AND(ISNUMBER(H2404),H2404&gt;0),M2404/H2404,"")))</f>
        <v/>
      </c>
      <c r="Q2404" s="9">
        <f>IF(AND(ISNUMBER(M2404),ISNUMBER(O2404)),IF(M2404&lt;=O2404,"Valor ≤ venal IPTU",""),"")</f>
        <v/>
      </c>
      <c r="R2404" s="10" t="n"/>
      <c r="S2404" s="10" t="n"/>
      <c r="AA2404" s="10" t="n"/>
      <c r="AB2404" s="11">
        <f>IF(LEN(TRIM(X2404))=0,"",HYPERLINK("https://www.google.com/maps/@?api=1&amp;map_action=pano&amp;viewpoint="&amp;SUBSTITUTE(X2404," ",""),"Abrir Street View"))</f>
        <v/>
      </c>
    </row>
    <row r="2405">
      <c r="H2405" s="6" t="n"/>
      <c r="I2405" s="6" t="n"/>
      <c r="M2405" s="7" t="n"/>
      <c r="N2405" s="7" t="n"/>
      <c r="O2405" s="7" t="n"/>
      <c r="P2405" s="8">
        <f>IF(NOT(ISNUMBER(M2405)),"",IF(G2405="Terreno",IF(AND(ISNUMBER(I2405),I2405&gt;0),M2405/I2405,""),IF(AND(ISNUMBER(H2405),H2405&gt;0),M2405/H2405,"")))</f>
        <v/>
      </c>
      <c r="Q2405" s="9">
        <f>IF(AND(ISNUMBER(M2405),ISNUMBER(O2405)),IF(M2405&lt;=O2405,"Valor ≤ venal IPTU",""),"")</f>
        <v/>
      </c>
      <c r="R2405" s="10" t="n"/>
      <c r="S2405" s="10" t="n"/>
      <c r="AA2405" s="10" t="n"/>
      <c r="AB2405" s="11">
        <f>IF(LEN(TRIM(X2405))=0,"",HYPERLINK("https://www.google.com/maps/@?api=1&amp;map_action=pano&amp;viewpoint="&amp;SUBSTITUTE(X2405," ",""),"Abrir Street View"))</f>
        <v/>
      </c>
    </row>
    <row r="2406">
      <c r="H2406" s="6" t="n"/>
      <c r="I2406" s="6" t="n"/>
      <c r="M2406" s="7" t="n"/>
      <c r="N2406" s="7" t="n"/>
      <c r="O2406" s="7" t="n"/>
      <c r="P2406" s="8">
        <f>IF(NOT(ISNUMBER(M2406)),"",IF(G2406="Terreno",IF(AND(ISNUMBER(I2406),I2406&gt;0),M2406/I2406,""),IF(AND(ISNUMBER(H2406),H2406&gt;0),M2406/H2406,"")))</f>
        <v/>
      </c>
      <c r="Q2406" s="9">
        <f>IF(AND(ISNUMBER(M2406),ISNUMBER(O2406)),IF(M2406&lt;=O2406,"Valor ≤ venal IPTU",""),"")</f>
        <v/>
      </c>
      <c r="R2406" s="10" t="n"/>
      <c r="S2406" s="10" t="n"/>
      <c r="AA2406" s="10" t="n"/>
      <c r="AB2406" s="11">
        <f>IF(LEN(TRIM(X2406))=0,"",HYPERLINK("https://www.google.com/maps/@?api=1&amp;map_action=pano&amp;viewpoint="&amp;SUBSTITUTE(X2406," ",""),"Abrir Street View"))</f>
        <v/>
      </c>
    </row>
    <row r="2407">
      <c r="H2407" s="6" t="n"/>
      <c r="I2407" s="6" t="n"/>
      <c r="M2407" s="7" t="n"/>
      <c r="N2407" s="7" t="n"/>
      <c r="O2407" s="7" t="n"/>
      <c r="P2407" s="8">
        <f>IF(NOT(ISNUMBER(M2407)),"",IF(G2407="Terreno",IF(AND(ISNUMBER(I2407),I2407&gt;0),M2407/I2407,""),IF(AND(ISNUMBER(H2407),H2407&gt;0),M2407/H2407,"")))</f>
        <v/>
      </c>
      <c r="Q2407" s="9">
        <f>IF(AND(ISNUMBER(M2407),ISNUMBER(O2407)),IF(M2407&lt;=O2407,"Valor ≤ venal IPTU",""),"")</f>
        <v/>
      </c>
      <c r="R2407" s="10" t="n"/>
      <c r="S2407" s="10" t="n"/>
      <c r="AA2407" s="10" t="n"/>
      <c r="AB2407" s="11">
        <f>IF(LEN(TRIM(X2407))=0,"",HYPERLINK("https://www.google.com/maps/@?api=1&amp;map_action=pano&amp;viewpoint="&amp;SUBSTITUTE(X2407," ",""),"Abrir Street View"))</f>
        <v/>
      </c>
    </row>
    <row r="2408">
      <c r="H2408" s="6" t="n"/>
      <c r="I2408" s="6" t="n"/>
      <c r="M2408" s="7" t="n"/>
      <c r="N2408" s="7" t="n"/>
      <c r="O2408" s="7" t="n"/>
      <c r="P2408" s="8">
        <f>IF(NOT(ISNUMBER(M2408)),"",IF(G2408="Terreno",IF(AND(ISNUMBER(I2408),I2408&gt;0),M2408/I2408,""),IF(AND(ISNUMBER(H2408),H2408&gt;0),M2408/H2408,"")))</f>
        <v/>
      </c>
      <c r="Q2408" s="9">
        <f>IF(AND(ISNUMBER(M2408),ISNUMBER(O2408)),IF(M2408&lt;=O2408,"Valor ≤ venal IPTU",""),"")</f>
        <v/>
      </c>
      <c r="R2408" s="10" t="n"/>
      <c r="S2408" s="10" t="n"/>
      <c r="AA2408" s="10" t="n"/>
      <c r="AB2408" s="11">
        <f>IF(LEN(TRIM(X2408))=0,"",HYPERLINK("https://www.google.com/maps/@?api=1&amp;map_action=pano&amp;viewpoint="&amp;SUBSTITUTE(X2408," ",""),"Abrir Street View"))</f>
        <v/>
      </c>
    </row>
    <row r="2409">
      <c r="H2409" s="6" t="n"/>
      <c r="I2409" s="6" t="n"/>
      <c r="M2409" s="7" t="n"/>
      <c r="N2409" s="7" t="n"/>
      <c r="O2409" s="7" t="n"/>
      <c r="P2409" s="8">
        <f>IF(NOT(ISNUMBER(M2409)),"",IF(G2409="Terreno",IF(AND(ISNUMBER(I2409),I2409&gt;0),M2409/I2409,""),IF(AND(ISNUMBER(H2409),H2409&gt;0),M2409/H2409,"")))</f>
        <v/>
      </c>
      <c r="Q2409" s="9">
        <f>IF(AND(ISNUMBER(M2409),ISNUMBER(O2409)),IF(M2409&lt;=O2409,"Valor ≤ venal IPTU",""),"")</f>
        <v/>
      </c>
      <c r="R2409" s="10" t="n"/>
      <c r="S2409" s="10" t="n"/>
      <c r="AA2409" s="10" t="n"/>
      <c r="AB2409" s="11">
        <f>IF(LEN(TRIM(X2409))=0,"",HYPERLINK("https://www.google.com/maps/@?api=1&amp;map_action=pano&amp;viewpoint="&amp;SUBSTITUTE(X2409," ",""),"Abrir Street View"))</f>
        <v/>
      </c>
    </row>
    <row r="2410">
      <c r="H2410" s="6" t="n"/>
      <c r="I2410" s="6" t="n"/>
      <c r="M2410" s="7" t="n"/>
      <c r="N2410" s="7" t="n"/>
      <c r="O2410" s="7" t="n"/>
      <c r="P2410" s="8">
        <f>IF(NOT(ISNUMBER(M2410)),"",IF(G2410="Terreno",IF(AND(ISNUMBER(I2410),I2410&gt;0),M2410/I2410,""),IF(AND(ISNUMBER(H2410),H2410&gt;0),M2410/H2410,"")))</f>
        <v/>
      </c>
      <c r="Q2410" s="9">
        <f>IF(AND(ISNUMBER(M2410),ISNUMBER(O2410)),IF(M2410&lt;=O2410,"Valor ≤ venal IPTU",""),"")</f>
        <v/>
      </c>
      <c r="R2410" s="10" t="n"/>
      <c r="S2410" s="10" t="n"/>
      <c r="AA2410" s="10" t="n"/>
      <c r="AB2410" s="11">
        <f>IF(LEN(TRIM(X2410))=0,"",HYPERLINK("https://www.google.com/maps/@?api=1&amp;map_action=pano&amp;viewpoint="&amp;SUBSTITUTE(X2410," ",""),"Abrir Street View"))</f>
        <v/>
      </c>
    </row>
    <row r="2411">
      <c r="H2411" s="6" t="n"/>
      <c r="I2411" s="6" t="n"/>
      <c r="M2411" s="7" t="n"/>
      <c r="N2411" s="7" t="n"/>
      <c r="O2411" s="7" t="n"/>
      <c r="P2411" s="8">
        <f>IF(NOT(ISNUMBER(M2411)),"",IF(G2411="Terreno",IF(AND(ISNUMBER(I2411),I2411&gt;0),M2411/I2411,""),IF(AND(ISNUMBER(H2411),H2411&gt;0),M2411/H2411,"")))</f>
        <v/>
      </c>
      <c r="Q2411" s="9">
        <f>IF(AND(ISNUMBER(M2411),ISNUMBER(O2411)),IF(M2411&lt;=O2411,"Valor ≤ venal IPTU",""),"")</f>
        <v/>
      </c>
      <c r="R2411" s="10" t="n"/>
      <c r="S2411" s="10" t="n"/>
      <c r="AA2411" s="10" t="n"/>
      <c r="AB2411" s="11">
        <f>IF(LEN(TRIM(X2411))=0,"",HYPERLINK("https://www.google.com/maps/@?api=1&amp;map_action=pano&amp;viewpoint="&amp;SUBSTITUTE(X2411," ",""),"Abrir Street View"))</f>
        <v/>
      </c>
    </row>
    <row r="2412">
      <c r="H2412" s="6" t="n"/>
      <c r="I2412" s="6" t="n"/>
      <c r="M2412" s="7" t="n"/>
      <c r="N2412" s="7" t="n"/>
      <c r="O2412" s="7" t="n"/>
      <c r="P2412" s="8">
        <f>IF(NOT(ISNUMBER(M2412)),"",IF(G2412="Terreno",IF(AND(ISNUMBER(I2412),I2412&gt;0),M2412/I2412,""),IF(AND(ISNUMBER(H2412),H2412&gt;0),M2412/H2412,"")))</f>
        <v/>
      </c>
      <c r="Q2412" s="9">
        <f>IF(AND(ISNUMBER(M2412),ISNUMBER(O2412)),IF(M2412&lt;=O2412,"Valor ≤ venal IPTU",""),"")</f>
        <v/>
      </c>
      <c r="R2412" s="10" t="n"/>
      <c r="S2412" s="10" t="n"/>
      <c r="AA2412" s="10" t="n"/>
      <c r="AB2412" s="11">
        <f>IF(LEN(TRIM(X2412))=0,"",HYPERLINK("https://www.google.com/maps/@?api=1&amp;map_action=pano&amp;viewpoint="&amp;SUBSTITUTE(X2412," ",""),"Abrir Street View"))</f>
        <v/>
      </c>
    </row>
    <row r="2413">
      <c r="H2413" s="6" t="n"/>
      <c r="I2413" s="6" t="n"/>
      <c r="M2413" s="7" t="n"/>
      <c r="N2413" s="7" t="n"/>
      <c r="O2413" s="7" t="n"/>
      <c r="P2413" s="8">
        <f>IF(NOT(ISNUMBER(M2413)),"",IF(G2413="Terreno",IF(AND(ISNUMBER(I2413),I2413&gt;0),M2413/I2413,""),IF(AND(ISNUMBER(H2413),H2413&gt;0),M2413/H2413,"")))</f>
        <v/>
      </c>
      <c r="Q2413" s="9">
        <f>IF(AND(ISNUMBER(M2413),ISNUMBER(O2413)),IF(M2413&lt;=O2413,"Valor ≤ venal IPTU",""),"")</f>
        <v/>
      </c>
      <c r="R2413" s="10" t="n"/>
      <c r="S2413" s="10" t="n"/>
      <c r="AA2413" s="10" t="n"/>
      <c r="AB2413" s="11">
        <f>IF(LEN(TRIM(X2413))=0,"",HYPERLINK("https://www.google.com/maps/@?api=1&amp;map_action=pano&amp;viewpoint="&amp;SUBSTITUTE(X2413," ",""),"Abrir Street View"))</f>
        <v/>
      </c>
    </row>
    <row r="2414">
      <c r="H2414" s="6" t="n"/>
      <c r="I2414" s="6" t="n"/>
      <c r="M2414" s="7" t="n"/>
      <c r="N2414" s="7" t="n"/>
      <c r="O2414" s="7" t="n"/>
      <c r="P2414" s="8">
        <f>IF(NOT(ISNUMBER(M2414)),"",IF(G2414="Terreno",IF(AND(ISNUMBER(I2414),I2414&gt;0),M2414/I2414,""),IF(AND(ISNUMBER(H2414),H2414&gt;0),M2414/H2414,"")))</f>
        <v/>
      </c>
      <c r="Q2414" s="9">
        <f>IF(AND(ISNUMBER(M2414),ISNUMBER(O2414)),IF(M2414&lt;=O2414,"Valor ≤ venal IPTU",""),"")</f>
        <v/>
      </c>
      <c r="R2414" s="10" t="n"/>
      <c r="S2414" s="10" t="n"/>
      <c r="AA2414" s="10" t="n"/>
      <c r="AB2414" s="11">
        <f>IF(LEN(TRIM(X2414))=0,"",HYPERLINK("https://www.google.com/maps/@?api=1&amp;map_action=pano&amp;viewpoint="&amp;SUBSTITUTE(X2414," ",""),"Abrir Street View"))</f>
        <v/>
      </c>
    </row>
    <row r="2415">
      <c r="H2415" s="6" t="n"/>
      <c r="I2415" s="6" t="n"/>
      <c r="M2415" s="7" t="n"/>
      <c r="N2415" s="7" t="n"/>
      <c r="O2415" s="7" t="n"/>
      <c r="P2415" s="8">
        <f>IF(NOT(ISNUMBER(M2415)),"",IF(G2415="Terreno",IF(AND(ISNUMBER(I2415),I2415&gt;0),M2415/I2415,""),IF(AND(ISNUMBER(H2415),H2415&gt;0),M2415/H2415,"")))</f>
        <v/>
      </c>
      <c r="Q2415" s="9">
        <f>IF(AND(ISNUMBER(M2415),ISNUMBER(O2415)),IF(M2415&lt;=O2415,"Valor ≤ venal IPTU",""),"")</f>
        <v/>
      </c>
      <c r="R2415" s="10" t="n"/>
      <c r="S2415" s="10" t="n"/>
      <c r="AA2415" s="10" t="n"/>
      <c r="AB2415" s="11">
        <f>IF(LEN(TRIM(X2415))=0,"",HYPERLINK("https://www.google.com/maps/@?api=1&amp;map_action=pano&amp;viewpoint="&amp;SUBSTITUTE(X2415," ",""),"Abrir Street View"))</f>
        <v/>
      </c>
    </row>
    <row r="2416">
      <c r="H2416" s="6" t="n"/>
      <c r="I2416" s="6" t="n"/>
      <c r="M2416" s="7" t="n"/>
      <c r="N2416" s="7" t="n"/>
      <c r="O2416" s="7" t="n"/>
      <c r="P2416" s="8">
        <f>IF(NOT(ISNUMBER(M2416)),"",IF(G2416="Terreno",IF(AND(ISNUMBER(I2416),I2416&gt;0),M2416/I2416,""),IF(AND(ISNUMBER(H2416),H2416&gt;0),M2416/H2416,"")))</f>
        <v/>
      </c>
      <c r="Q2416" s="9">
        <f>IF(AND(ISNUMBER(M2416),ISNUMBER(O2416)),IF(M2416&lt;=O2416,"Valor ≤ venal IPTU",""),"")</f>
        <v/>
      </c>
      <c r="R2416" s="10" t="n"/>
      <c r="S2416" s="10" t="n"/>
      <c r="AA2416" s="10" t="n"/>
      <c r="AB2416" s="11">
        <f>IF(LEN(TRIM(X2416))=0,"",HYPERLINK("https://www.google.com/maps/@?api=1&amp;map_action=pano&amp;viewpoint="&amp;SUBSTITUTE(X2416," ",""),"Abrir Street View"))</f>
        <v/>
      </c>
    </row>
    <row r="2417">
      <c r="H2417" s="6" t="n"/>
      <c r="I2417" s="6" t="n"/>
      <c r="M2417" s="7" t="n"/>
      <c r="N2417" s="7" t="n"/>
      <c r="O2417" s="7" t="n"/>
      <c r="P2417" s="8">
        <f>IF(NOT(ISNUMBER(M2417)),"",IF(G2417="Terreno",IF(AND(ISNUMBER(I2417),I2417&gt;0),M2417/I2417,""),IF(AND(ISNUMBER(H2417),H2417&gt;0),M2417/H2417,"")))</f>
        <v/>
      </c>
      <c r="Q2417" s="9">
        <f>IF(AND(ISNUMBER(M2417),ISNUMBER(O2417)),IF(M2417&lt;=O2417,"Valor ≤ venal IPTU",""),"")</f>
        <v/>
      </c>
      <c r="R2417" s="10" t="n"/>
      <c r="S2417" s="10" t="n"/>
      <c r="AA2417" s="10" t="n"/>
      <c r="AB2417" s="11">
        <f>IF(LEN(TRIM(X2417))=0,"",HYPERLINK("https://www.google.com/maps/@?api=1&amp;map_action=pano&amp;viewpoint="&amp;SUBSTITUTE(X2417," ",""),"Abrir Street View"))</f>
        <v/>
      </c>
    </row>
    <row r="2418">
      <c r="H2418" s="6" t="n"/>
      <c r="I2418" s="6" t="n"/>
      <c r="M2418" s="7" t="n"/>
      <c r="N2418" s="7" t="n"/>
      <c r="O2418" s="7" t="n"/>
      <c r="P2418" s="8">
        <f>IF(NOT(ISNUMBER(M2418)),"",IF(G2418="Terreno",IF(AND(ISNUMBER(I2418),I2418&gt;0),M2418/I2418,""),IF(AND(ISNUMBER(H2418),H2418&gt;0),M2418/H2418,"")))</f>
        <v/>
      </c>
      <c r="Q2418" s="9">
        <f>IF(AND(ISNUMBER(M2418),ISNUMBER(O2418)),IF(M2418&lt;=O2418,"Valor ≤ venal IPTU",""),"")</f>
        <v/>
      </c>
      <c r="R2418" s="10" t="n"/>
      <c r="S2418" s="10" t="n"/>
      <c r="AA2418" s="10" t="n"/>
      <c r="AB2418" s="11">
        <f>IF(LEN(TRIM(X2418))=0,"",HYPERLINK("https://www.google.com/maps/@?api=1&amp;map_action=pano&amp;viewpoint="&amp;SUBSTITUTE(X2418," ",""),"Abrir Street View"))</f>
        <v/>
      </c>
    </row>
    <row r="2419">
      <c r="H2419" s="6" t="n"/>
      <c r="I2419" s="6" t="n"/>
      <c r="M2419" s="7" t="n"/>
      <c r="N2419" s="7" t="n"/>
      <c r="O2419" s="7" t="n"/>
      <c r="P2419" s="8">
        <f>IF(NOT(ISNUMBER(M2419)),"",IF(G2419="Terreno",IF(AND(ISNUMBER(I2419),I2419&gt;0),M2419/I2419,""),IF(AND(ISNUMBER(H2419),H2419&gt;0),M2419/H2419,"")))</f>
        <v/>
      </c>
      <c r="Q2419" s="9">
        <f>IF(AND(ISNUMBER(M2419),ISNUMBER(O2419)),IF(M2419&lt;=O2419,"Valor ≤ venal IPTU",""),"")</f>
        <v/>
      </c>
      <c r="R2419" s="10" t="n"/>
      <c r="S2419" s="10" t="n"/>
      <c r="AA2419" s="10" t="n"/>
      <c r="AB2419" s="11">
        <f>IF(LEN(TRIM(X2419))=0,"",HYPERLINK("https://www.google.com/maps/@?api=1&amp;map_action=pano&amp;viewpoint="&amp;SUBSTITUTE(X2419," ",""),"Abrir Street View"))</f>
        <v/>
      </c>
    </row>
    <row r="2420">
      <c r="H2420" s="6" t="n"/>
      <c r="I2420" s="6" t="n"/>
      <c r="M2420" s="7" t="n"/>
      <c r="N2420" s="7" t="n"/>
      <c r="O2420" s="7" t="n"/>
      <c r="P2420" s="8">
        <f>IF(NOT(ISNUMBER(M2420)),"",IF(G2420="Terreno",IF(AND(ISNUMBER(I2420),I2420&gt;0),M2420/I2420,""),IF(AND(ISNUMBER(H2420),H2420&gt;0),M2420/H2420,"")))</f>
        <v/>
      </c>
      <c r="Q2420" s="9">
        <f>IF(AND(ISNUMBER(M2420),ISNUMBER(O2420)),IF(M2420&lt;=O2420,"Valor ≤ venal IPTU",""),"")</f>
        <v/>
      </c>
      <c r="R2420" s="10" t="n"/>
      <c r="S2420" s="10" t="n"/>
      <c r="AA2420" s="10" t="n"/>
      <c r="AB2420" s="11">
        <f>IF(LEN(TRIM(X2420))=0,"",HYPERLINK("https://www.google.com/maps/@?api=1&amp;map_action=pano&amp;viewpoint="&amp;SUBSTITUTE(X2420," ",""),"Abrir Street View"))</f>
        <v/>
      </c>
    </row>
    <row r="2421">
      <c r="H2421" s="6" t="n"/>
      <c r="I2421" s="6" t="n"/>
      <c r="M2421" s="7" t="n"/>
      <c r="N2421" s="7" t="n"/>
      <c r="O2421" s="7" t="n"/>
      <c r="P2421" s="8">
        <f>IF(NOT(ISNUMBER(M2421)),"",IF(G2421="Terreno",IF(AND(ISNUMBER(I2421),I2421&gt;0),M2421/I2421,""),IF(AND(ISNUMBER(H2421),H2421&gt;0),M2421/H2421,"")))</f>
        <v/>
      </c>
      <c r="Q2421" s="9">
        <f>IF(AND(ISNUMBER(M2421),ISNUMBER(O2421)),IF(M2421&lt;=O2421,"Valor ≤ venal IPTU",""),"")</f>
        <v/>
      </c>
      <c r="R2421" s="10" t="n"/>
      <c r="S2421" s="10" t="n"/>
      <c r="AA2421" s="10" t="n"/>
      <c r="AB2421" s="11">
        <f>IF(LEN(TRIM(X2421))=0,"",HYPERLINK("https://www.google.com/maps/@?api=1&amp;map_action=pano&amp;viewpoint="&amp;SUBSTITUTE(X2421," ",""),"Abrir Street View"))</f>
        <v/>
      </c>
    </row>
    <row r="2422">
      <c r="H2422" s="6" t="n"/>
      <c r="I2422" s="6" t="n"/>
      <c r="M2422" s="7" t="n"/>
      <c r="N2422" s="7" t="n"/>
      <c r="O2422" s="7" t="n"/>
      <c r="P2422" s="8">
        <f>IF(NOT(ISNUMBER(M2422)),"",IF(G2422="Terreno",IF(AND(ISNUMBER(I2422),I2422&gt;0),M2422/I2422,""),IF(AND(ISNUMBER(H2422),H2422&gt;0),M2422/H2422,"")))</f>
        <v/>
      </c>
      <c r="Q2422" s="9">
        <f>IF(AND(ISNUMBER(M2422),ISNUMBER(O2422)),IF(M2422&lt;=O2422,"Valor ≤ venal IPTU",""),"")</f>
        <v/>
      </c>
      <c r="R2422" s="10" t="n"/>
      <c r="S2422" s="10" t="n"/>
      <c r="AA2422" s="10" t="n"/>
      <c r="AB2422" s="11">
        <f>IF(LEN(TRIM(X2422))=0,"",HYPERLINK("https://www.google.com/maps/@?api=1&amp;map_action=pano&amp;viewpoint="&amp;SUBSTITUTE(X2422," ",""),"Abrir Street View"))</f>
        <v/>
      </c>
    </row>
    <row r="2423">
      <c r="H2423" s="6" t="n"/>
      <c r="I2423" s="6" t="n"/>
      <c r="M2423" s="7" t="n"/>
      <c r="N2423" s="7" t="n"/>
      <c r="O2423" s="7" t="n"/>
      <c r="P2423" s="8">
        <f>IF(NOT(ISNUMBER(M2423)),"",IF(G2423="Terreno",IF(AND(ISNUMBER(I2423),I2423&gt;0),M2423/I2423,""),IF(AND(ISNUMBER(H2423),H2423&gt;0),M2423/H2423,"")))</f>
        <v/>
      </c>
      <c r="Q2423" s="9">
        <f>IF(AND(ISNUMBER(M2423),ISNUMBER(O2423)),IF(M2423&lt;=O2423,"Valor ≤ venal IPTU",""),"")</f>
        <v/>
      </c>
      <c r="R2423" s="10" t="n"/>
      <c r="S2423" s="10" t="n"/>
      <c r="AA2423" s="10" t="n"/>
      <c r="AB2423" s="11">
        <f>IF(LEN(TRIM(X2423))=0,"",HYPERLINK("https://www.google.com/maps/@?api=1&amp;map_action=pano&amp;viewpoint="&amp;SUBSTITUTE(X2423," ",""),"Abrir Street View"))</f>
        <v/>
      </c>
    </row>
    <row r="2424">
      <c r="H2424" s="6" t="n"/>
      <c r="I2424" s="6" t="n"/>
      <c r="M2424" s="7" t="n"/>
      <c r="N2424" s="7" t="n"/>
      <c r="O2424" s="7" t="n"/>
      <c r="P2424" s="8">
        <f>IF(NOT(ISNUMBER(M2424)),"",IF(G2424="Terreno",IF(AND(ISNUMBER(I2424),I2424&gt;0),M2424/I2424,""),IF(AND(ISNUMBER(H2424),H2424&gt;0),M2424/H2424,"")))</f>
        <v/>
      </c>
      <c r="Q2424" s="9">
        <f>IF(AND(ISNUMBER(M2424),ISNUMBER(O2424)),IF(M2424&lt;=O2424,"Valor ≤ venal IPTU",""),"")</f>
        <v/>
      </c>
      <c r="R2424" s="10" t="n"/>
      <c r="S2424" s="10" t="n"/>
      <c r="AA2424" s="10" t="n"/>
      <c r="AB2424" s="11">
        <f>IF(LEN(TRIM(X2424))=0,"",HYPERLINK("https://www.google.com/maps/@?api=1&amp;map_action=pano&amp;viewpoint="&amp;SUBSTITUTE(X2424," ",""),"Abrir Street View"))</f>
        <v/>
      </c>
    </row>
    <row r="2425">
      <c r="H2425" s="6" t="n"/>
      <c r="I2425" s="6" t="n"/>
      <c r="M2425" s="7" t="n"/>
      <c r="N2425" s="7" t="n"/>
      <c r="O2425" s="7" t="n"/>
      <c r="P2425" s="8">
        <f>IF(NOT(ISNUMBER(M2425)),"",IF(G2425="Terreno",IF(AND(ISNUMBER(I2425),I2425&gt;0),M2425/I2425,""),IF(AND(ISNUMBER(H2425),H2425&gt;0),M2425/H2425,"")))</f>
        <v/>
      </c>
      <c r="Q2425" s="9">
        <f>IF(AND(ISNUMBER(M2425),ISNUMBER(O2425)),IF(M2425&lt;=O2425,"Valor ≤ venal IPTU",""),"")</f>
        <v/>
      </c>
      <c r="R2425" s="10" t="n"/>
      <c r="S2425" s="10" t="n"/>
      <c r="AA2425" s="10" t="n"/>
      <c r="AB2425" s="11">
        <f>IF(LEN(TRIM(X2425))=0,"",HYPERLINK("https://www.google.com/maps/@?api=1&amp;map_action=pano&amp;viewpoint="&amp;SUBSTITUTE(X2425," ",""),"Abrir Street View"))</f>
        <v/>
      </c>
    </row>
    <row r="2426">
      <c r="H2426" s="6" t="n"/>
      <c r="I2426" s="6" t="n"/>
      <c r="M2426" s="7" t="n"/>
      <c r="N2426" s="7" t="n"/>
      <c r="O2426" s="7" t="n"/>
      <c r="P2426" s="8">
        <f>IF(NOT(ISNUMBER(M2426)),"",IF(G2426="Terreno",IF(AND(ISNUMBER(I2426),I2426&gt;0),M2426/I2426,""),IF(AND(ISNUMBER(H2426),H2426&gt;0),M2426/H2426,"")))</f>
        <v/>
      </c>
      <c r="Q2426" s="9">
        <f>IF(AND(ISNUMBER(M2426),ISNUMBER(O2426)),IF(M2426&lt;=O2426,"Valor ≤ venal IPTU",""),"")</f>
        <v/>
      </c>
      <c r="R2426" s="10" t="n"/>
      <c r="S2426" s="10" t="n"/>
      <c r="AA2426" s="10" t="n"/>
      <c r="AB2426" s="11">
        <f>IF(LEN(TRIM(X2426))=0,"",HYPERLINK("https://www.google.com/maps/@?api=1&amp;map_action=pano&amp;viewpoint="&amp;SUBSTITUTE(X2426," ",""),"Abrir Street View"))</f>
        <v/>
      </c>
    </row>
    <row r="2427">
      <c r="H2427" s="6" t="n"/>
      <c r="I2427" s="6" t="n"/>
      <c r="M2427" s="7" t="n"/>
      <c r="N2427" s="7" t="n"/>
      <c r="O2427" s="7" t="n"/>
      <c r="P2427" s="8">
        <f>IF(NOT(ISNUMBER(M2427)),"",IF(G2427="Terreno",IF(AND(ISNUMBER(I2427),I2427&gt;0),M2427/I2427,""),IF(AND(ISNUMBER(H2427),H2427&gt;0),M2427/H2427,"")))</f>
        <v/>
      </c>
      <c r="Q2427" s="9">
        <f>IF(AND(ISNUMBER(M2427),ISNUMBER(O2427)),IF(M2427&lt;=O2427,"Valor ≤ venal IPTU",""),"")</f>
        <v/>
      </c>
      <c r="R2427" s="10" t="n"/>
      <c r="S2427" s="10" t="n"/>
      <c r="AA2427" s="10" t="n"/>
      <c r="AB2427" s="11">
        <f>IF(LEN(TRIM(X2427))=0,"",HYPERLINK("https://www.google.com/maps/@?api=1&amp;map_action=pano&amp;viewpoint="&amp;SUBSTITUTE(X2427," ",""),"Abrir Street View"))</f>
        <v/>
      </c>
    </row>
    <row r="2428">
      <c r="H2428" s="6" t="n"/>
      <c r="I2428" s="6" t="n"/>
      <c r="M2428" s="7" t="n"/>
      <c r="N2428" s="7" t="n"/>
      <c r="O2428" s="7" t="n"/>
      <c r="P2428" s="8">
        <f>IF(NOT(ISNUMBER(M2428)),"",IF(G2428="Terreno",IF(AND(ISNUMBER(I2428),I2428&gt;0),M2428/I2428,""),IF(AND(ISNUMBER(H2428),H2428&gt;0),M2428/H2428,"")))</f>
        <v/>
      </c>
      <c r="Q2428" s="9">
        <f>IF(AND(ISNUMBER(M2428),ISNUMBER(O2428)),IF(M2428&lt;=O2428,"Valor ≤ venal IPTU",""),"")</f>
        <v/>
      </c>
      <c r="R2428" s="10" t="n"/>
      <c r="S2428" s="10" t="n"/>
      <c r="AA2428" s="10" t="n"/>
      <c r="AB2428" s="11">
        <f>IF(LEN(TRIM(X2428))=0,"",HYPERLINK("https://www.google.com/maps/@?api=1&amp;map_action=pano&amp;viewpoint="&amp;SUBSTITUTE(X2428," ",""),"Abrir Street View"))</f>
        <v/>
      </c>
    </row>
    <row r="2429">
      <c r="H2429" s="6" t="n"/>
      <c r="I2429" s="6" t="n"/>
      <c r="M2429" s="7" t="n"/>
      <c r="N2429" s="7" t="n"/>
      <c r="O2429" s="7" t="n"/>
      <c r="P2429" s="8">
        <f>IF(NOT(ISNUMBER(M2429)),"",IF(G2429="Terreno",IF(AND(ISNUMBER(I2429),I2429&gt;0),M2429/I2429,""),IF(AND(ISNUMBER(H2429),H2429&gt;0),M2429/H2429,"")))</f>
        <v/>
      </c>
      <c r="Q2429" s="9">
        <f>IF(AND(ISNUMBER(M2429),ISNUMBER(O2429)),IF(M2429&lt;=O2429,"Valor ≤ venal IPTU",""),"")</f>
        <v/>
      </c>
      <c r="R2429" s="10" t="n"/>
      <c r="S2429" s="10" t="n"/>
      <c r="AA2429" s="10" t="n"/>
      <c r="AB2429" s="11">
        <f>IF(LEN(TRIM(X2429))=0,"",HYPERLINK("https://www.google.com/maps/@?api=1&amp;map_action=pano&amp;viewpoint="&amp;SUBSTITUTE(X2429," ",""),"Abrir Street View"))</f>
        <v/>
      </c>
    </row>
    <row r="2430">
      <c r="H2430" s="6" t="n"/>
      <c r="I2430" s="6" t="n"/>
      <c r="M2430" s="7" t="n"/>
      <c r="N2430" s="7" t="n"/>
      <c r="O2430" s="7" t="n"/>
      <c r="P2430" s="8">
        <f>IF(NOT(ISNUMBER(M2430)),"",IF(G2430="Terreno",IF(AND(ISNUMBER(I2430),I2430&gt;0),M2430/I2430,""),IF(AND(ISNUMBER(H2430),H2430&gt;0),M2430/H2430,"")))</f>
        <v/>
      </c>
      <c r="Q2430" s="9">
        <f>IF(AND(ISNUMBER(M2430),ISNUMBER(O2430)),IF(M2430&lt;=O2430,"Valor ≤ venal IPTU",""),"")</f>
        <v/>
      </c>
      <c r="R2430" s="10" t="n"/>
      <c r="S2430" s="10" t="n"/>
      <c r="AA2430" s="10" t="n"/>
      <c r="AB2430" s="11">
        <f>IF(LEN(TRIM(X2430))=0,"",HYPERLINK("https://www.google.com/maps/@?api=1&amp;map_action=pano&amp;viewpoint="&amp;SUBSTITUTE(X2430," ",""),"Abrir Street View"))</f>
        <v/>
      </c>
    </row>
    <row r="2431">
      <c r="H2431" s="6" t="n"/>
      <c r="I2431" s="6" t="n"/>
      <c r="M2431" s="7" t="n"/>
      <c r="N2431" s="7" t="n"/>
      <c r="O2431" s="7" t="n"/>
      <c r="P2431" s="8">
        <f>IF(NOT(ISNUMBER(M2431)),"",IF(G2431="Terreno",IF(AND(ISNUMBER(I2431),I2431&gt;0),M2431/I2431,""),IF(AND(ISNUMBER(H2431),H2431&gt;0),M2431/H2431,"")))</f>
        <v/>
      </c>
      <c r="Q2431" s="9">
        <f>IF(AND(ISNUMBER(M2431),ISNUMBER(O2431)),IF(M2431&lt;=O2431,"Valor ≤ venal IPTU",""),"")</f>
        <v/>
      </c>
      <c r="R2431" s="10" t="n"/>
      <c r="S2431" s="10" t="n"/>
      <c r="AA2431" s="10" t="n"/>
      <c r="AB2431" s="11">
        <f>IF(LEN(TRIM(X2431))=0,"",HYPERLINK("https://www.google.com/maps/@?api=1&amp;map_action=pano&amp;viewpoint="&amp;SUBSTITUTE(X2431," ",""),"Abrir Street View"))</f>
        <v/>
      </c>
    </row>
    <row r="2432">
      <c r="H2432" s="6" t="n"/>
      <c r="I2432" s="6" t="n"/>
      <c r="M2432" s="7" t="n"/>
      <c r="N2432" s="7" t="n"/>
      <c r="O2432" s="7" t="n"/>
      <c r="P2432" s="8">
        <f>IF(NOT(ISNUMBER(M2432)),"",IF(G2432="Terreno",IF(AND(ISNUMBER(I2432),I2432&gt;0),M2432/I2432,""),IF(AND(ISNUMBER(H2432),H2432&gt;0),M2432/H2432,"")))</f>
        <v/>
      </c>
      <c r="Q2432" s="9">
        <f>IF(AND(ISNUMBER(M2432),ISNUMBER(O2432)),IF(M2432&lt;=O2432,"Valor ≤ venal IPTU",""),"")</f>
        <v/>
      </c>
      <c r="R2432" s="10" t="n"/>
      <c r="S2432" s="10" t="n"/>
      <c r="AA2432" s="10" t="n"/>
      <c r="AB2432" s="11">
        <f>IF(LEN(TRIM(X2432))=0,"",HYPERLINK("https://www.google.com/maps/@?api=1&amp;map_action=pano&amp;viewpoint="&amp;SUBSTITUTE(X2432," ",""),"Abrir Street View"))</f>
        <v/>
      </c>
    </row>
    <row r="2433">
      <c r="H2433" s="6" t="n"/>
      <c r="I2433" s="6" t="n"/>
      <c r="M2433" s="7" t="n"/>
      <c r="N2433" s="7" t="n"/>
      <c r="O2433" s="7" t="n"/>
      <c r="P2433" s="8">
        <f>IF(NOT(ISNUMBER(M2433)),"",IF(G2433="Terreno",IF(AND(ISNUMBER(I2433),I2433&gt;0),M2433/I2433,""),IF(AND(ISNUMBER(H2433),H2433&gt;0),M2433/H2433,"")))</f>
        <v/>
      </c>
      <c r="Q2433" s="9">
        <f>IF(AND(ISNUMBER(M2433),ISNUMBER(O2433)),IF(M2433&lt;=O2433,"Valor ≤ venal IPTU",""),"")</f>
        <v/>
      </c>
      <c r="R2433" s="10" t="n"/>
      <c r="S2433" s="10" t="n"/>
      <c r="AA2433" s="10" t="n"/>
      <c r="AB2433" s="11">
        <f>IF(LEN(TRIM(X2433))=0,"",HYPERLINK("https://www.google.com/maps/@?api=1&amp;map_action=pano&amp;viewpoint="&amp;SUBSTITUTE(X2433," ",""),"Abrir Street View"))</f>
        <v/>
      </c>
    </row>
    <row r="2434">
      <c r="H2434" s="6" t="n"/>
      <c r="I2434" s="6" t="n"/>
      <c r="M2434" s="7" t="n"/>
      <c r="N2434" s="7" t="n"/>
      <c r="O2434" s="7" t="n"/>
      <c r="P2434" s="8">
        <f>IF(NOT(ISNUMBER(M2434)),"",IF(G2434="Terreno",IF(AND(ISNUMBER(I2434),I2434&gt;0),M2434/I2434,""),IF(AND(ISNUMBER(H2434),H2434&gt;0),M2434/H2434,"")))</f>
        <v/>
      </c>
      <c r="Q2434" s="9">
        <f>IF(AND(ISNUMBER(M2434),ISNUMBER(O2434)),IF(M2434&lt;=O2434,"Valor ≤ venal IPTU",""),"")</f>
        <v/>
      </c>
      <c r="R2434" s="10" t="n"/>
      <c r="S2434" s="10" t="n"/>
      <c r="AA2434" s="10" t="n"/>
      <c r="AB2434" s="11">
        <f>IF(LEN(TRIM(X2434))=0,"",HYPERLINK("https://www.google.com/maps/@?api=1&amp;map_action=pano&amp;viewpoint="&amp;SUBSTITUTE(X2434," ",""),"Abrir Street View"))</f>
        <v/>
      </c>
    </row>
    <row r="2435">
      <c r="H2435" s="6" t="n"/>
      <c r="I2435" s="6" t="n"/>
      <c r="M2435" s="7" t="n"/>
      <c r="N2435" s="7" t="n"/>
      <c r="O2435" s="7" t="n"/>
      <c r="P2435" s="8">
        <f>IF(NOT(ISNUMBER(M2435)),"",IF(G2435="Terreno",IF(AND(ISNUMBER(I2435),I2435&gt;0),M2435/I2435,""),IF(AND(ISNUMBER(H2435),H2435&gt;0),M2435/H2435,"")))</f>
        <v/>
      </c>
      <c r="Q2435" s="9">
        <f>IF(AND(ISNUMBER(M2435),ISNUMBER(O2435)),IF(M2435&lt;=O2435,"Valor ≤ venal IPTU",""),"")</f>
        <v/>
      </c>
      <c r="R2435" s="10" t="n"/>
      <c r="S2435" s="10" t="n"/>
      <c r="AA2435" s="10" t="n"/>
      <c r="AB2435" s="11">
        <f>IF(LEN(TRIM(X2435))=0,"",HYPERLINK("https://www.google.com/maps/@?api=1&amp;map_action=pano&amp;viewpoint="&amp;SUBSTITUTE(X2435," ",""),"Abrir Street View"))</f>
        <v/>
      </c>
    </row>
    <row r="2436">
      <c r="H2436" s="6" t="n"/>
      <c r="I2436" s="6" t="n"/>
      <c r="M2436" s="7" t="n"/>
      <c r="N2436" s="7" t="n"/>
      <c r="O2436" s="7" t="n"/>
      <c r="P2436" s="8">
        <f>IF(NOT(ISNUMBER(M2436)),"",IF(G2436="Terreno",IF(AND(ISNUMBER(I2436),I2436&gt;0),M2436/I2436,""),IF(AND(ISNUMBER(H2436),H2436&gt;0),M2436/H2436,"")))</f>
        <v/>
      </c>
      <c r="Q2436" s="9">
        <f>IF(AND(ISNUMBER(M2436),ISNUMBER(O2436)),IF(M2436&lt;=O2436,"Valor ≤ venal IPTU",""),"")</f>
        <v/>
      </c>
      <c r="R2436" s="10" t="n"/>
      <c r="S2436" s="10" t="n"/>
      <c r="AA2436" s="10" t="n"/>
      <c r="AB2436" s="11">
        <f>IF(LEN(TRIM(X2436))=0,"",HYPERLINK("https://www.google.com/maps/@?api=1&amp;map_action=pano&amp;viewpoint="&amp;SUBSTITUTE(X2436," ",""),"Abrir Street View"))</f>
        <v/>
      </c>
    </row>
    <row r="2437">
      <c r="H2437" s="6" t="n"/>
      <c r="I2437" s="6" t="n"/>
      <c r="M2437" s="7" t="n"/>
      <c r="N2437" s="7" t="n"/>
      <c r="O2437" s="7" t="n"/>
      <c r="P2437" s="8">
        <f>IF(NOT(ISNUMBER(M2437)),"",IF(G2437="Terreno",IF(AND(ISNUMBER(I2437),I2437&gt;0),M2437/I2437,""),IF(AND(ISNUMBER(H2437),H2437&gt;0),M2437/H2437,"")))</f>
        <v/>
      </c>
      <c r="Q2437" s="9">
        <f>IF(AND(ISNUMBER(M2437),ISNUMBER(O2437)),IF(M2437&lt;=O2437,"Valor ≤ venal IPTU",""),"")</f>
        <v/>
      </c>
      <c r="R2437" s="10" t="n"/>
      <c r="S2437" s="10" t="n"/>
      <c r="AA2437" s="10" t="n"/>
      <c r="AB2437" s="11">
        <f>IF(LEN(TRIM(X2437))=0,"",HYPERLINK("https://www.google.com/maps/@?api=1&amp;map_action=pano&amp;viewpoint="&amp;SUBSTITUTE(X2437," ",""),"Abrir Street View"))</f>
        <v/>
      </c>
    </row>
    <row r="2438">
      <c r="H2438" s="6" t="n"/>
      <c r="I2438" s="6" t="n"/>
      <c r="M2438" s="7" t="n"/>
      <c r="N2438" s="7" t="n"/>
      <c r="O2438" s="7" t="n"/>
      <c r="P2438" s="8">
        <f>IF(NOT(ISNUMBER(M2438)),"",IF(G2438="Terreno",IF(AND(ISNUMBER(I2438),I2438&gt;0),M2438/I2438,""),IF(AND(ISNUMBER(H2438),H2438&gt;0),M2438/H2438,"")))</f>
        <v/>
      </c>
      <c r="Q2438" s="9">
        <f>IF(AND(ISNUMBER(M2438),ISNUMBER(O2438)),IF(M2438&lt;=O2438,"Valor ≤ venal IPTU",""),"")</f>
        <v/>
      </c>
      <c r="R2438" s="10" t="n"/>
      <c r="S2438" s="10" t="n"/>
      <c r="AA2438" s="10" t="n"/>
      <c r="AB2438" s="11">
        <f>IF(LEN(TRIM(X2438))=0,"",HYPERLINK("https://www.google.com/maps/@?api=1&amp;map_action=pano&amp;viewpoint="&amp;SUBSTITUTE(X2438," ",""),"Abrir Street View"))</f>
        <v/>
      </c>
    </row>
    <row r="2439">
      <c r="H2439" s="6" t="n"/>
      <c r="I2439" s="6" t="n"/>
      <c r="M2439" s="7" t="n"/>
      <c r="N2439" s="7" t="n"/>
      <c r="O2439" s="7" t="n"/>
      <c r="P2439" s="8">
        <f>IF(NOT(ISNUMBER(M2439)),"",IF(G2439="Terreno",IF(AND(ISNUMBER(I2439),I2439&gt;0),M2439/I2439,""),IF(AND(ISNUMBER(H2439),H2439&gt;0),M2439/H2439,"")))</f>
        <v/>
      </c>
      <c r="Q2439" s="9">
        <f>IF(AND(ISNUMBER(M2439),ISNUMBER(O2439)),IF(M2439&lt;=O2439,"Valor ≤ venal IPTU",""),"")</f>
        <v/>
      </c>
      <c r="R2439" s="10" t="n"/>
      <c r="S2439" s="10" t="n"/>
      <c r="AA2439" s="10" t="n"/>
      <c r="AB2439" s="11">
        <f>IF(LEN(TRIM(X2439))=0,"",HYPERLINK("https://www.google.com/maps/@?api=1&amp;map_action=pano&amp;viewpoint="&amp;SUBSTITUTE(X2439," ",""),"Abrir Street View"))</f>
        <v/>
      </c>
    </row>
    <row r="2440">
      <c r="H2440" s="6" t="n"/>
      <c r="I2440" s="6" t="n"/>
      <c r="M2440" s="7" t="n"/>
      <c r="N2440" s="7" t="n"/>
      <c r="O2440" s="7" t="n"/>
      <c r="P2440" s="8">
        <f>IF(NOT(ISNUMBER(M2440)),"",IF(G2440="Terreno",IF(AND(ISNUMBER(I2440),I2440&gt;0),M2440/I2440,""),IF(AND(ISNUMBER(H2440),H2440&gt;0),M2440/H2440,"")))</f>
        <v/>
      </c>
      <c r="Q2440" s="9">
        <f>IF(AND(ISNUMBER(M2440),ISNUMBER(O2440)),IF(M2440&lt;=O2440,"Valor ≤ venal IPTU",""),"")</f>
        <v/>
      </c>
      <c r="R2440" s="10" t="n"/>
      <c r="S2440" s="10" t="n"/>
      <c r="AA2440" s="10" t="n"/>
      <c r="AB2440" s="11">
        <f>IF(LEN(TRIM(X2440))=0,"",HYPERLINK("https://www.google.com/maps/@?api=1&amp;map_action=pano&amp;viewpoint="&amp;SUBSTITUTE(X2440," ",""),"Abrir Street View"))</f>
        <v/>
      </c>
    </row>
    <row r="2441">
      <c r="H2441" s="6" t="n"/>
      <c r="I2441" s="6" t="n"/>
      <c r="M2441" s="7" t="n"/>
      <c r="N2441" s="7" t="n"/>
      <c r="O2441" s="7" t="n"/>
      <c r="P2441" s="8">
        <f>IF(NOT(ISNUMBER(M2441)),"",IF(G2441="Terreno",IF(AND(ISNUMBER(I2441),I2441&gt;0),M2441/I2441,""),IF(AND(ISNUMBER(H2441),H2441&gt;0),M2441/H2441,"")))</f>
        <v/>
      </c>
      <c r="Q2441" s="9">
        <f>IF(AND(ISNUMBER(M2441),ISNUMBER(O2441)),IF(M2441&lt;=O2441,"Valor ≤ venal IPTU",""),"")</f>
        <v/>
      </c>
      <c r="R2441" s="10" t="n"/>
      <c r="S2441" s="10" t="n"/>
      <c r="AA2441" s="10" t="n"/>
      <c r="AB2441" s="11">
        <f>IF(LEN(TRIM(X2441))=0,"",HYPERLINK("https://www.google.com/maps/@?api=1&amp;map_action=pano&amp;viewpoint="&amp;SUBSTITUTE(X2441," ",""),"Abrir Street View"))</f>
        <v/>
      </c>
    </row>
    <row r="2442">
      <c r="H2442" s="6" t="n"/>
      <c r="I2442" s="6" t="n"/>
      <c r="M2442" s="7" t="n"/>
      <c r="N2442" s="7" t="n"/>
      <c r="O2442" s="7" t="n"/>
      <c r="P2442" s="8">
        <f>IF(NOT(ISNUMBER(M2442)),"",IF(G2442="Terreno",IF(AND(ISNUMBER(I2442),I2442&gt;0),M2442/I2442,""),IF(AND(ISNUMBER(H2442),H2442&gt;0),M2442/H2442,"")))</f>
        <v/>
      </c>
      <c r="Q2442" s="9">
        <f>IF(AND(ISNUMBER(M2442),ISNUMBER(O2442)),IF(M2442&lt;=O2442,"Valor ≤ venal IPTU",""),"")</f>
        <v/>
      </c>
      <c r="R2442" s="10" t="n"/>
      <c r="S2442" s="10" t="n"/>
      <c r="AA2442" s="10" t="n"/>
      <c r="AB2442" s="11">
        <f>IF(LEN(TRIM(X2442))=0,"",HYPERLINK("https://www.google.com/maps/@?api=1&amp;map_action=pano&amp;viewpoint="&amp;SUBSTITUTE(X2442," ",""),"Abrir Street View"))</f>
        <v/>
      </c>
    </row>
    <row r="2443">
      <c r="H2443" s="6" t="n"/>
      <c r="I2443" s="6" t="n"/>
      <c r="M2443" s="7" t="n"/>
      <c r="N2443" s="7" t="n"/>
      <c r="O2443" s="7" t="n"/>
      <c r="P2443" s="8">
        <f>IF(NOT(ISNUMBER(M2443)),"",IF(G2443="Terreno",IF(AND(ISNUMBER(I2443),I2443&gt;0),M2443/I2443,""),IF(AND(ISNUMBER(H2443),H2443&gt;0),M2443/H2443,"")))</f>
        <v/>
      </c>
      <c r="Q2443" s="9">
        <f>IF(AND(ISNUMBER(M2443),ISNUMBER(O2443)),IF(M2443&lt;=O2443,"Valor ≤ venal IPTU",""),"")</f>
        <v/>
      </c>
      <c r="R2443" s="10" t="n"/>
      <c r="S2443" s="10" t="n"/>
      <c r="AA2443" s="10" t="n"/>
      <c r="AB2443" s="11">
        <f>IF(LEN(TRIM(X2443))=0,"",HYPERLINK("https://www.google.com/maps/@?api=1&amp;map_action=pano&amp;viewpoint="&amp;SUBSTITUTE(X2443," ",""),"Abrir Street View"))</f>
        <v/>
      </c>
    </row>
    <row r="2444">
      <c r="H2444" s="6" t="n"/>
      <c r="I2444" s="6" t="n"/>
      <c r="M2444" s="7" t="n"/>
      <c r="N2444" s="7" t="n"/>
      <c r="O2444" s="7" t="n"/>
      <c r="P2444" s="8">
        <f>IF(NOT(ISNUMBER(M2444)),"",IF(G2444="Terreno",IF(AND(ISNUMBER(I2444),I2444&gt;0),M2444/I2444,""),IF(AND(ISNUMBER(H2444),H2444&gt;0),M2444/H2444,"")))</f>
        <v/>
      </c>
      <c r="Q2444" s="9">
        <f>IF(AND(ISNUMBER(M2444),ISNUMBER(O2444)),IF(M2444&lt;=O2444,"Valor ≤ venal IPTU",""),"")</f>
        <v/>
      </c>
      <c r="R2444" s="10" t="n"/>
      <c r="S2444" s="10" t="n"/>
      <c r="AA2444" s="10" t="n"/>
      <c r="AB2444" s="11">
        <f>IF(LEN(TRIM(X2444))=0,"",HYPERLINK("https://www.google.com/maps/@?api=1&amp;map_action=pano&amp;viewpoint="&amp;SUBSTITUTE(X2444," ",""),"Abrir Street View"))</f>
        <v/>
      </c>
    </row>
    <row r="2445">
      <c r="H2445" s="6" t="n"/>
      <c r="I2445" s="6" t="n"/>
      <c r="M2445" s="7" t="n"/>
      <c r="N2445" s="7" t="n"/>
      <c r="O2445" s="7" t="n"/>
      <c r="P2445" s="8">
        <f>IF(NOT(ISNUMBER(M2445)),"",IF(G2445="Terreno",IF(AND(ISNUMBER(I2445),I2445&gt;0),M2445/I2445,""),IF(AND(ISNUMBER(H2445),H2445&gt;0),M2445/H2445,"")))</f>
        <v/>
      </c>
      <c r="Q2445" s="9">
        <f>IF(AND(ISNUMBER(M2445),ISNUMBER(O2445)),IF(M2445&lt;=O2445,"Valor ≤ venal IPTU",""),"")</f>
        <v/>
      </c>
      <c r="R2445" s="10" t="n"/>
      <c r="S2445" s="10" t="n"/>
      <c r="AA2445" s="10" t="n"/>
      <c r="AB2445" s="11">
        <f>IF(LEN(TRIM(X2445))=0,"",HYPERLINK("https://www.google.com/maps/@?api=1&amp;map_action=pano&amp;viewpoint="&amp;SUBSTITUTE(X2445," ",""),"Abrir Street View"))</f>
        <v/>
      </c>
    </row>
    <row r="2446">
      <c r="H2446" s="6" t="n"/>
      <c r="I2446" s="6" t="n"/>
      <c r="M2446" s="7" t="n"/>
      <c r="N2446" s="7" t="n"/>
      <c r="O2446" s="7" t="n"/>
      <c r="P2446" s="8">
        <f>IF(NOT(ISNUMBER(M2446)),"",IF(G2446="Terreno",IF(AND(ISNUMBER(I2446),I2446&gt;0),M2446/I2446,""),IF(AND(ISNUMBER(H2446),H2446&gt;0),M2446/H2446,"")))</f>
        <v/>
      </c>
      <c r="Q2446" s="9">
        <f>IF(AND(ISNUMBER(M2446),ISNUMBER(O2446)),IF(M2446&lt;=O2446,"Valor ≤ venal IPTU",""),"")</f>
        <v/>
      </c>
      <c r="R2446" s="10" t="n"/>
      <c r="S2446" s="10" t="n"/>
      <c r="AA2446" s="10" t="n"/>
      <c r="AB2446" s="11">
        <f>IF(LEN(TRIM(X2446))=0,"",HYPERLINK("https://www.google.com/maps/@?api=1&amp;map_action=pano&amp;viewpoint="&amp;SUBSTITUTE(X2446," ",""),"Abrir Street View"))</f>
        <v/>
      </c>
    </row>
    <row r="2447">
      <c r="H2447" s="6" t="n"/>
      <c r="I2447" s="6" t="n"/>
      <c r="M2447" s="7" t="n"/>
      <c r="N2447" s="7" t="n"/>
      <c r="O2447" s="7" t="n"/>
      <c r="P2447" s="8">
        <f>IF(NOT(ISNUMBER(M2447)),"",IF(G2447="Terreno",IF(AND(ISNUMBER(I2447),I2447&gt;0),M2447/I2447,""),IF(AND(ISNUMBER(H2447),H2447&gt;0),M2447/H2447,"")))</f>
        <v/>
      </c>
      <c r="Q2447" s="9">
        <f>IF(AND(ISNUMBER(M2447),ISNUMBER(O2447)),IF(M2447&lt;=O2447,"Valor ≤ venal IPTU",""),"")</f>
        <v/>
      </c>
      <c r="R2447" s="10" t="n"/>
      <c r="S2447" s="10" t="n"/>
      <c r="AA2447" s="10" t="n"/>
      <c r="AB2447" s="11">
        <f>IF(LEN(TRIM(X2447))=0,"",HYPERLINK("https://www.google.com/maps/@?api=1&amp;map_action=pano&amp;viewpoint="&amp;SUBSTITUTE(X2447," ",""),"Abrir Street View"))</f>
        <v/>
      </c>
    </row>
    <row r="2448">
      <c r="H2448" s="6" t="n"/>
      <c r="I2448" s="6" t="n"/>
      <c r="M2448" s="7" t="n"/>
      <c r="N2448" s="7" t="n"/>
      <c r="O2448" s="7" t="n"/>
      <c r="P2448" s="8">
        <f>IF(NOT(ISNUMBER(M2448)),"",IF(G2448="Terreno",IF(AND(ISNUMBER(I2448),I2448&gt;0),M2448/I2448,""),IF(AND(ISNUMBER(H2448),H2448&gt;0),M2448/H2448,"")))</f>
        <v/>
      </c>
      <c r="Q2448" s="9">
        <f>IF(AND(ISNUMBER(M2448),ISNUMBER(O2448)),IF(M2448&lt;=O2448,"Valor ≤ venal IPTU",""),"")</f>
        <v/>
      </c>
      <c r="R2448" s="10" t="n"/>
      <c r="S2448" s="10" t="n"/>
      <c r="AA2448" s="10" t="n"/>
      <c r="AB2448" s="11">
        <f>IF(LEN(TRIM(X2448))=0,"",HYPERLINK("https://www.google.com/maps/@?api=1&amp;map_action=pano&amp;viewpoint="&amp;SUBSTITUTE(X2448," ",""),"Abrir Street View"))</f>
        <v/>
      </c>
    </row>
    <row r="2449">
      <c r="H2449" s="6" t="n"/>
      <c r="I2449" s="6" t="n"/>
      <c r="M2449" s="7" t="n"/>
      <c r="N2449" s="7" t="n"/>
      <c r="O2449" s="7" t="n"/>
      <c r="P2449" s="8">
        <f>IF(NOT(ISNUMBER(M2449)),"",IF(G2449="Terreno",IF(AND(ISNUMBER(I2449),I2449&gt;0),M2449/I2449,""),IF(AND(ISNUMBER(H2449),H2449&gt;0),M2449/H2449,"")))</f>
        <v/>
      </c>
      <c r="Q2449" s="9">
        <f>IF(AND(ISNUMBER(M2449),ISNUMBER(O2449)),IF(M2449&lt;=O2449,"Valor ≤ venal IPTU",""),"")</f>
        <v/>
      </c>
      <c r="R2449" s="10" t="n"/>
      <c r="S2449" s="10" t="n"/>
      <c r="AA2449" s="10" t="n"/>
      <c r="AB2449" s="11">
        <f>IF(LEN(TRIM(X2449))=0,"",HYPERLINK("https://www.google.com/maps/@?api=1&amp;map_action=pano&amp;viewpoint="&amp;SUBSTITUTE(X2449," ",""),"Abrir Street View"))</f>
        <v/>
      </c>
    </row>
    <row r="2450">
      <c r="H2450" s="6" t="n"/>
      <c r="I2450" s="6" t="n"/>
      <c r="M2450" s="7" t="n"/>
      <c r="N2450" s="7" t="n"/>
      <c r="O2450" s="7" t="n"/>
      <c r="P2450" s="8">
        <f>IF(NOT(ISNUMBER(M2450)),"",IF(G2450="Terreno",IF(AND(ISNUMBER(I2450),I2450&gt;0),M2450/I2450,""),IF(AND(ISNUMBER(H2450),H2450&gt;0),M2450/H2450,"")))</f>
        <v/>
      </c>
      <c r="Q2450" s="9">
        <f>IF(AND(ISNUMBER(M2450),ISNUMBER(O2450)),IF(M2450&lt;=O2450,"Valor ≤ venal IPTU",""),"")</f>
        <v/>
      </c>
      <c r="R2450" s="10" t="n"/>
      <c r="S2450" s="10" t="n"/>
      <c r="AA2450" s="10" t="n"/>
      <c r="AB2450" s="11">
        <f>IF(LEN(TRIM(X2450))=0,"",HYPERLINK("https://www.google.com/maps/@?api=1&amp;map_action=pano&amp;viewpoint="&amp;SUBSTITUTE(X2450," ",""),"Abrir Street View"))</f>
        <v/>
      </c>
    </row>
    <row r="2451">
      <c r="H2451" s="6" t="n"/>
      <c r="I2451" s="6" t="n"/>
      <c r="M2451" s="7" t="n"/>
      <c r="N2451" s="7" t="n"/>
      <c r="O2451" s="7" t="n"/>
      <c r="P2451" s="8">
        <f>IF(NOT(ISNUMBER(M2451)),"",IF(G2451="Terreno",IF(AND(ISNUMBER(I2451),I2451&gt;0),M2451/I2451,""),IF(AND(ISNUMBER(H2451),H2451&gt;0),M2451/H2451,"")))</f>
        <v/>
      </c>
      <c r="Q2451" s="9">
        <f>IF(AND(ISNUMBER(M2451),ISNUMBER(O2451)),IF(M2451&lt;=O2451,"Valor ≤ venal IPTU",""),"")</f>
        <v/>
      </c>
      <c r="R2451" s="10" t="n"/>
      <c r="S2451" s="10" t="n"/>
      <c r="AA2451" s="10" t="n"/>
      <c r="AB2451" s="11">
        <f>IF(LEN(TRIM(X2451))=0,"",HYPERLINK("https://www.google.com/maps/@?api=1&amp;map_action=pano&amp;viewpoint="&amp;SUBSTITUTE(X2451," ",""),"Abrir Street View"))</f>
        <v/>
      </c>
    </row>
    <row r="2452">
      <c r="H2452" s="6" t="n"/>
      <c r="I2452" s="6" t="n"/>
      <c r="M2452" s="7" t="n"/>
      <c r="N2452" s="7" t="n"/>
      <c r="O2452" s="7" t="n"/>
      <c r="P2452" s="8">
        <f>IF(NOT(ISNUMBER(M2452)),"",IF(G2452="Terreno",IF(AND(ISNUMBER(I2452),I2452&gt;0),M2452/I2452,""),IF(AND(ISNUMBER(H2452),H2452&gt;0),M2452/H2452,"")))</f>
        <v/>
      </c>
      <c r="Q2452" s="9">
        <f>IF(AND(ISNUMBER(M2452),ISNUMBER(O2452)),IF(M2452&lt;=O2452,"Valor ≤ venal IPTU",""),"")</f>
        <v/>
      </c>
      <c r="R2452" s="10" t="n"/>
      <c r="S2452" s="10" t="n"/>
      <c r="AA2452" s="10" t="n"/>
      <c r="AB2452" s="11">
        <f>IF(LEN(TRIM(X2452))=0,"",HYPERLINK("https://www.google.com/maps/@?api=1&amp;map_action=pano&amp;viewpoint="&amp;SUBSTITUTE(X2452," ",""),"Abrir Street View"))</f>
        <v/>
      </c>
    </row>
    <row r="2453">
      <c r="H2453" s="6" t="n"/>
      <c r="I2453" s="6" t="n"/>
      <c r="M2453" s="7" t="n"/>
      <c r="N2453" s="7" t="n"/>
      <c r="O2453" s="7" t="n"/>
      <c r="P2453" s="8">
        <f>IF(NOT(ISNUMBER(M2453)),"",IF(G2453="Terreno",IF(AND(ISNUMBER(I2453),I2453&gt;0),M2453/I2453,""),IF(AND(ISNUMBER(H2453),H2453&gt;0),M2453/H2453,"")))</f>
        <v/>
      </c>
      <c r="Q2453" s="9">
        <f>IF(AND(ISNUMBER(M2453),ISNUMBER(O2453)),IF(M2453&lt;=O2453,"Valor ≤ venal IPTU",""),"")</f>
        <v/>
      </c>
      <c r="R2453" s="10" t="n"/>
      <c r="S2453" s="10" t="n"/>
      <c r="AA2453" s="10" t="n"/>
      <c r="AB2453" s="11">
        <f>IF(LEN(TRIM(X2453))=0,"",HYPERLINK("https://www.google.com/maps/@?api=1&amp;map_action=pano&amp;viewpoint="&amp;SUBSTITUTE(X2453," ",""),"Abrir Street View"))</f>
        <v/>
      </c>
    </row>
    <row r="2454">
      <c r="H2454" s="6" t="n"/>
      <c r="I2454" s="6" t="n"/>
      <c r="M2454" s="7" t="n"/>
      <c r="N2454" s="7" t="n"/>
      <c r="O2454" s="7" t="n"/>
      <c r="P2454" s="8">
        <f>IF(NOT(ISNUMBER(M2454)),"",IF(G2454="Terreno",IF(AND(ISNUMBER(I2454),I2454&gt;0),M2454/I2454,""),IF(AND(ISNUMBER(H2454),H2454&gt;0),M2454/H2454,"")))</f>
        <v/>
      </c>
      <c r="Q2454" s="9">
        <f>IF(AND(ISNUMBER(M2454),ISNUMBER(O2454)),IF(M2454&lt;=O2454,"Valor ≤ venal IPTU",""),"")</f>
        <v/>
      </c>
      <c r="R2454" s="10" t="n"/>
      <c r="S2454" s="10" t="n"/>
      <c r="AA2454" s="10" t="n"/>
      <c r="AB2454" s="11">
        <f>IF(LEN(TRIM(X2454))=0,"",HYPERLINK("https://www.google.com/maps/@?api=1&amp;map_action=pano&amp;viewpoint="&amp;SUBSTITUTE(X2454," ",""),"Abrir Street View"))</f>
        <v/>
      </c>
    </row>
    <row r="2455">
      <c r="H2455" s="6" t="n"/>
      <c r="I2455" s="6" t="n"/>
      <c r="M2455" s="7" t="n"/>
      <c r="N2455" s="7" t="n"/>
      <c r="O2455" s="7" t="n"/>
      <c r="P2455" s="8">
        <f>IF(NOT(ISNUMBER(M2455)),"",IF(G2455="Terreno",IF(AND(ISNUMBER(I2455),I2455&gt;0),M2455/I2455,""),IF(AND(ISNUMBER(H2455),H2455&gt;0),M2455/H2455,"")))</f>
        <v/>
      </c>
      <c r="Q2455" s="9">
        <f>IF(AND(ISNUMBER(M2455),ISNUMBER(O2455)),IF(M2455&lt;=O2455,"Valor ≤ venal IPTU",""),"")</f>
        <v/>
      </c>
      <c r="R2455" s="10" t="n"/>
      <c r="S2455" s="10" t="n"/>
      <c r="AA2455" s="10" t="n"/>
      <c r="AB2455" s="11">
        <f>IF(LEN(TRIM(X2455))=0,"",HYPERLINK("https://www.google.com/maps/@?api=1&amp;map_action=pano&amp;viewpoint="&amp;SUBSTITUTE(X2455," ",""),"Abrir Street View"))</f>
        <v/>
      </c>
    </row>
    <row r="2456">
      <c r="H2456" s="6" t="n"/>
      <c r="I2456" s="6" t="n"/>
      <c r="M2456" s="7" t="n"/>
      <c r="N2456" s="7" t="n"/>
      <c r="O2456" s="7" t="n"/>
      <c r="P2456" s="8">
        <f>IF(NOT(ISNUMBER(M2456)),"",IF(G2456="Terreno",IF(AND(ISNUMBER(I2456),I2456&gt;0),M2456/I2456,""),IF(AND(ISNUMBER(H2456),H2456&gt;0),M2456/H2456,"")))</f>
        <v/>
      </c>
      <c r="Q2456" s="9">
        <f>IF(AND(ISNUMBER(M2456),ISNUMBER(O2456)),IF(M2456&lt;=O2456,"Valor ≤ venal IPTU",""),"")</f>
        <v/>
      </c>
      <c r="R2456" s="10" t="n"/>
      <c r="S2456" s="10" t="n"/>
      <c r="AA2456" s="10" t="n"/>
      <c r="AB2456" s="11">
        <f>IF(LEN(TRIM(X2456))=0,"",HYPERLINK("https://www.google.com/maps/@?api=1&amp;map_action=pano&amp;viewpoint="&amp;SUBSTITUTE(X2456," ",""),"Abrir Street View"))</f>
        <v/>
      </c>
    </row>
    <row r="2457">
      <c r="H2457" s="6" t="n"/>
      <c r="I2457" s="6" t="n"/>
      <c r="M2457" s="7" t="n"/>
      <c r="N2457" s="7" t="n"/>
      <c r="O2457" s="7" t="n"/>
      <c r="P2457" s="8">
        <f>IF(NOT(ISNUMBER(M2457)),"",IF(G2457="Terreno",IF(AND(ISNUMBER(I2457),I2457&gt;0),M2457/I2457,""),IF(AND(ISNUMBER(H2457),H2457&gt;0),M2457/H2457,"")))</f>
        <v/>
      </c>
      <c r="Q2457" s="9">
        <f>IF(AND(ISNUMBER(M2457),ISNUMBER(O2457)),IF(M2457&lt;=O2457,"Valor ≤ venal IPTU",""),"")</f>
        <v/>
      </c>
      <c r="R2457" s="10" t="n"/>
      <c r="S2457" s="10" t="n"/>
      <c r="AA2457" s="10" t="n"/>
      <c r="AB2457" s="11">
        <f>IF(LEN(TRIM(X2457))=0,"",HYPERLINK("https://www.google.com/maps/@?api=1&amp;map_action=pano&amp;viewpoint="&amp;SUBSTITUTE(X2457," ",""),"Abrir Street View"))</f>
        <v/>
      </c>
    </row>
    <row r="2458">
      <c r="H2458" s="6" t="n"/>
      <c r="I2458" s="6" t="n"/>
      <c r="M2458" s="7" t="n"/>
      <c r="N2458" s="7" t="n"/>
      <c r="O2458" s="7" t="n"/>
      <c r="P2458" s="8">
        <f>IF(NOT(ISNUMBER(M2458)),"",IF(G2458="Terreno",IF(AND(ISNUMBER(I2458),I2458&gt;0),M2458/I2458,""),IF(AND(ISNUMBER(H2458),H2458&gt;0),M2458/H2458,"")))</f>
        <v/>
      </c>
      <c r="Q2458" s="9">
        <f>IF(AND(ISNUMBER(M2458),ISNUMBER(O2458)),IF(M2458&lt;=O2458,"Valor ≤ venal IPTU",""),"")</f>
        <v/>
      </c>
      <c r="R2458" s="10" t="n"/>
      <c r="S2458" s="10" t="n"/>
      <c r="AA2458" s="10" t="n"/>
      <c r="AB2458" s="11">
        <f>IF(LEN(TRIM(X2458))=0,"",HYPERLINK("https://www.google.com/maps/@?api=1&amp;map_action=pano&amp;viewpoint="&amp;SUBSTITUTE(X2458," ",""),"Abrir Street View"))</f>
        <v/>
      </c>
    </row>
    <row r="2459">
      <c r="H2459" s="6" t="n"/>
      <c r="I2459" s="6" t="n"/>
      <c r="M2459" s="7" t="n"/>
      <c r="N2459" s="7" t="n"/>
      <c r="O2459" s="7" t="n"/>
      <c r="P2459" s="8">
        <f>IF(NOT(ISNUMBER(M2459)),"",IF(G2459="Terreno",IF(AND(ISNUMBER(I2459),I2459&gt;0),M2459/I2459,""),IF(AND(ISNUMBER(H2459),H2459&gt;0),M2459/H2459,"")))</f>
        <v/>
      </c>
      <c r="Q2459" s="9">
        <f>IF(AND(ISNUMBER(M2459),ISNUMBER(O2459)),IF(M2459&lt;=O2459,"Valor ≤ venal IPTU",""),"")</f>
        <v/>
      </c>
      <c r="R2459" s="10" t="n"/>
      <c r="S2459" s="10" t="n"/>
      <c r="AA2459" s="10" t="n"/>
      <c r="AB2459" s="11">
        <f>IF(LEN(TRIM(X2459))=0,"",HYPERLINK("https://www.google.com/maps/@?api=1&amp;map_action=pano&amp;viewpoint="&amp;SUBSTITUTE(X2459," ",""),"Abrir Street View"))</f>
        <v/>
      </c>
    </row>
    <row r="2460">
      <c r="H2460" s="6" t="n"/>
      <c r="I2460" s="6" t="n"/>
      <c r="M2460" s="7" t="n"/>
      <c r="N2460" s="7" t="n"/>
      <c r="O2460" s="7" t="n"/>
      <c r="P2460" s="8">
        <f>IF(NOT(ISNUMBER(M2460)),"",IF(G2460="Terreno",IF(AND(ISNUMBER(I2460),I2460&gt;0),M2460/I2460,""),IF(AND(ISNUMBER(H2460),H2460&gt;0),M2460/H2460,"")))</f>
        <v/>
      </c>
      <c r="Q2460" s="9">
        <f>IF(AND(ISNUMBER(M2460),ISNUMBER(O2460)),IF(M2460&lt;=O2460,"Valor ≤ venal IPTU",""),"")</f>
        <v/>
      </c>
      <c r="R2460" s="10" t="n"/>
      <c r="S2460" s="10" t="n"/>
      <c r="AA2460" s="10" t="n"/>
      <c r="AB2460" s="11">
        <f>IF(LEN(TRIM(X2460))=0,"",HYPERLINK("https://www.google.com/maps/@?api=1&amp;map_action=pano&amp;viewpoint="&amp;SUBSTITUTE(X2460," ",""),"Abrir Street View"))</f>
        <v/>
      </c>
    </row>
    <row r="2461">
      <c r="H2461" s="6" t="n"/>
      <c r="I2461" s="6" t="n"/>
      <c r="M2461" s="7" t="n"/>
      <c r="N2461" s="7" t="n"/>
      <c r="O2461" s="7" t="n"/>
      <c r="P2461" s="8">
        <f>IF(NOT(ISNUMBER(M2461)),"",IF(G2461="Terreno",IF(AND(ISNUMBER(I2461),I2461&gt;0),M2461/I2461,""),IF(AND(ISNUMBER(H2461),H2461&gt;0),M2461/H2461,"")))</f>
        <v/>
      </c>
      <c r="Q2461" s="9">
        <f>IF(AND(ISNUMBER(M2461),ISNUMBER(O2461)),IF(M2461&lt;=O2461,"Valor ≤ venal IPTU",""),"")</f>
        <v/>
      </c>
      <c r="R2461" s="10" t="n"/>
      <c r="S2461" s="10" t="n"/>
      <c r="AA2461" s="10" t="n"/>
      <c r="AB2461" s="11">
        <f>IF(LEN(TRIM(X2461))=0,"",HYPERLINK("https://www.google.com/maps/@?api=1&amp;map_action=pano&amp;viewpoint="&amp;SUBSTITUTE(X2461," ",""),"Abrir Street View"))</f>
        <v/>
      </c>
    </row>
    <row r="2462">
      <c r="H2462" s="6" t="n"/>
      <c r="I2462" s="6" t="n"/>
      <c r="M2462" s="7" t="n"/>
      <c r="N2462" s="7" t="n"/>
      <c r="O2462" s="7" t="n"/>
      <c r="P2462" s="8">
        <f>IF(NOT(ISNUMBER(M2462)),"",IF(G2462="Terreno",IF(AND(ISNUMBER(I2462),I2462&gt;0),M2462/I2462,""),IF(AND(ISNUMBER(H2462),H2462&gt;0),M2462/H2462,"")))</f>
        <v/>
      </c>
      <c r="Q2462" s="9">
        <f>IF(AND(ISNUMBER(M2462),ISNUMBER(O2462)),IF(M2462&lt;=O2462,"Valor ≤ venal IPTU",""),"")</f>
        <v/>
      </c>
      <c r="R2462" s="10" t="n"/>
      <c r="S2462" s="10" t="n"/>
      <c r="AA2462" s="10" t="n"/>
      <c r="AB2462" s="11">
        <f>IF(LEN(TRIM(X2462))=0,"",HYPERLINK("https://www.google.com/maps/@?api=1&amp;map_action=pano&amp;viewpoint="&amp;SUBSTITUTE(X2462," ",""),"Abrir Street View"))</f>
        <v/>
      </c>
    </row>
    <row r="2463">
      <c r="H2463" s="6" t="n"/>
      <c r="I2463" s="6" t="n"/>
      <c r="M2463" s="7" t="n"/>
      <c r="N2463" s="7" t="n"/>
      <c r="O2463" s="7" t="n"/>
      <c r="P2463" s="8">
        <f>IF(NOT(ISNUMBER(M2463)),"",IF(G2463="Terreno",IF(AND(ISNUMBER(I2463),I2463&gt;0),M2463/I2463,""),IF(AND(ISNUMBER(H2463),H2463&gt;0),M2463/H2463,"")))</f>
        <v/>
      </c>
      <c r="Q2463" s="9">
        <f>IF(AND(ISNUMBER(M2463),ISNUMBER(O2463)),IF(M2463&lt;=O2463,"Valor ≤ venal IPTU",""),"")</f>
        <v/>
      </c>
      <c r="R2463" s="10" t="n"/>
      <c r="S2463" s="10" t="n"/>
      <c r="AA2463" s="10" t="n"/>
      <c r="AB2463" s="11">
        <f>IF(LEN(TRIM(X2463))=0,"",HYPERLINK("https://www.google.com/maps/@?api=1&amp;map_action=pano&amp;viewpoint="&amp;SUBSTITUTE(X2463," ",""),"Abrir Street View"))</f>
        <v/>
      </c>
    </row>
    <row r="2464">
      <c r="H2464" s="6" t="n"/>
      <c r="I2464" s="6" t="n"/>
      <c r="M2464" s="7" t="n"/>
      <c r="N2464" s="7" t="n"/>
      <c r="O2464" s="7" t="n"/>
      <c r="P2464" s="8">
        <f>IF(NOT(ISNUMBER(M2464)),"",IF(G2464="Terreno",IF(AND(ISNUMBER(I2464),I2464&gt;0),M2464/I2464,""),IF(AND(ISNUMBER(H2464),H2464&gt;0),M2464/H2464,"")))</f>
        <v/>
      </c>
      <c r="Q2464" s="9">
        <f>IF(AND(ISNUMBER(M2464),ISNUMBER(O2464)),IF(M2464&lt;=O2464,"Valor ≤ venal IPTU",""),"")</f>
        <v/>
      </c>
      <c r="R2464" s="10" t="n"/>
      <c r="S2464" s="10" t="n"/>
      <c r="AA2464" s="10" t="n"/>
      <c r="AB2464" s="11">
        <f>IF(LEN(TRIM(X2464))=0,"",HYPERLINK("https://www.google.com/maps/@?api=1&amp;map_action=pano&amp;viewpoint="&amp;SUBSTITUTE(X2464," ",""),"Abrir Street View"))</f>
        <v/>
      </c>
    </row>
    <row r="2465">
      <c r="H2465" s="6" t="n"/>
      <c r="I2465" s="6" t="n"/>
      <c r="M2465" s="7" t="n"/>
      <c r="N2465" s="7" t="n"/>
      <c r="O2465" s="7" t="n"/>
      <c r="P2465" s="8">
        <f>IF(NOT(ISNUMBER(M2465)),"",IF(G2465="Terreno",IF(AND(ISNUMBER(I2465),I2465&gt;0),M2465/I2465,""),IF(AND(ISNUMBER(H2465),H2465&gt;0),M2465/H2465,"")))</f>
        <v/>
      </c>
      <c r="Q2465" s="9">
        <f>IF(AND(ISNUMBER(M2465),ISNUMBER(O2465)),IF(M2465&lt;=O2465,"Valor ≤ venal IPTU",""),"")</f>
        <v/>
      </c>
      <c r="R2465" s="10" t="n"/>
      <c r="S2465" s="10" t="n"/>
      <c r="AA2465" s="10" t="n"/>
      <c r="AB2465" s="11">
        <f>IF(LEN(TRIM(X2465))=0,"",HYPERLINK("https://www.google.com/maps/@?api=1&amp;map_action=pano&amp;viewpoint="&amp;SUBSTITUTE(X2465," ",""),"Abrir Street View"))</f>
        <v/>
      </c>
    </row>
    <row r="2466">
      <c r="H2466" s="6" t="n"/>
      <c r="I2466" s="6" t="n"/>
      <c r="M2466" s="7" t="n"/>
      <c r="N2466" s="7" t="n"/>
      <c r="O2466" s="7" t="n"/>
      <c r="P2466" s="8">
        <f>IF(NOT(ISNUMBER(M2466)),"",IF(G2466="Terreno",IF(AND(ISNUMBER(I2466),I2466&gt;0),M2466/I2466,""),IF(AND(ISNUMBER(H2466),H2466&gt;0),M2466/H2466,"")))</f>
        <v/>
      </c>
      <c r="Q2466" s="9">
        <f>IF(AND(ISNUMBER(M2466),ISNUMBER(O2466)),IF(M2466&lt;=O2466,"Valor ≤ venal IPTU",""),"")</f>
        <v/>
      </c>
      <c r="R2466" s="10" t="n"/>
      <c r="S2466" s="10" t="n"/>
      <c r="AA2466" s="10" t="n"/>
      <c r="AB2466" s="11">
        <f>IF(LEN(TRIM(X2466))=0,"",HYPERLINK("https://www.google.com/maps/@?api=1&amp;map_action=pano&amp;viewpoint="&amp;SUBSTITUTE(X2466," ",""),"Abrir Street View"))</f>
        <v/>
      </c>
    </row>
    <row r="2467">
      <c r="H2467" s="6" t="n"/>
      <c r="I2467" s="6" t="n"/>
      <c r="M2467" s="7" t="n"/>
      <c r="N2467" s="7" t="n"/>
      <c r="O2467" s="7" t="n"/>
      <c r="P2467" s="8">
        <f>IF(NOT(ISNUMBER(M2467)),"",IF(G2467="Terreno",IF(AND(ISNUMBER(I2467),I2467&gt;0),M2467/I2467,""),IF(AND(ISNUMBER(H2467),H2467&gt;0),M2467/H2467,"")))</f>
        <v/>
      </c>
      <c r="Q2467" s="9">
        <f>IF(AND(ISNUMBER(M2467),ISNUMBER(O2467)),IF(M2467&lt;=O2467,"Valor ≤ venal IPTU",""),"")</f>
        <v/>
      </c>
      <c r="R2467" s="10" t="n"/>
      <c r="S2467" s="10" t="n"/>
      <c r="AA2467" s="10" t="n"/>
      <c r="AB2467" s="11">
        <f>IF(LEN(TRIM(X2467))=0,"",HYPERLINK("https://www.google.com/maps/@?api=1&amp;map_action=pano&amp;viewpoint="&amp;SUBSTITUTE(X2467," ",""),"Abrir Street View"))</f>
        <v/>
      </c>
    </row>
    <row r="2468">
      <c r="H2468" s="6" t="n"/>
      <c r="I2468" s="6" t="n"/>
      <c r="M2468" s="7" t="n"/>
      <c r="N2468" s="7" t="n"/>
      <c r="O2468" s="7" t="n"/>
      <c r="P2468" s="8">
        <f>IF(NOT(ISNUMBER(M2468)),"",IF(G2468="Terreno",IF(AND(ISNUMBER(I2468),I2468&gt;0),M2468/I2468,""),IF(AND(ISNUMBER(H2468),H2468&gt;0),M2468/H2468,"")))</f>
        <v/>
      </c>
      <c r="Q2468" s="9">
        <f>IF(AND(ISNUMBER(M2468),ISNUMBER(O2468)),IF(M2468&lt;=O2468,"Valor ≤ venal IPTU",""),"")</f>
        <v/>
      </c>
      <c r="R2468" s="10" t="n"/>
      <c r="S2468" s="10" t="n"/>
      <c r="AA2468" s="10" t="n"/>
      <c r="AB2468" s="11">
        <f>IF(LEN(TRIM(X2468))=0,"",HYPERLINK("https://www.google.com/maps/@?api=1&amp;map_action=pano&amp;viewpoint="&amp;SUBSTITUTE(X2468," ",""),"Abrir Street View"))</f>
        <v/>
      </c>
    </row>
    <row r="2469">
      <c r="H2469" s="6" t="n"/>
      <c r="I2469" s="6" t="n"/>
      <c r="M2469" s="7" t="n"/>
      <c r="N2469" s="7" t="n"/>
      <c r="O2469" s="7" t="n"/>
      <c r="P2469" s="8">
        <f>IF(NOT(ISNUMBER(M2469)),"",IF(G2469="Terreno",IF(AND(ISNUMBER(I2469),I2469&gt;0),M2469/I2469,""),IF(AND(ISNUMBER(H2469),H2469&gt;0),M2469/H2469,"")))</f>
        <v/>
      </c>
      <c r="Q2469" s="9">
        <f>IF(AND(ISNUMBER(M2469),ISNUMBER(O2469)),IF(M2469&lt;=O2469,"Valor ≤ venal IPTU",""),"")</f>
        <v/>
      </c>
      <c r="R2469" s="10" t="n"/>
      <c r="S2469" s="10" t="n"/>
      <c r="AA2469" s="10" t="n"/>
      <c r="AB2469" s="11">
        <f>IF(LEN(TRIM(X2469))=0,"",HYPERLINK("https://www.google.com/maps/@?api=1&amp;map_action=pano&amp;viewpoint="&amp;SUBSTITUTE(X2469," ",""),"Abrir Street View"))</f>
        <v/>
      </c>
    </row>
    <row r="2470">
      <c r="H2470" s="6" t="n"/>
      <c r="I2470" s="6" t="n"/>
      <c r="M2470" s="7" t="n"/>
      <c r="N2470" s="7" t="n"/>
      <c r="O2470" s="7" t="n"/>
      <c r="P2470" s="8">
        <f>IF(NOT(ISNUMBER(M2470)),"",IF(G2470="Terreno",IF(AND(ISNUMBER(I2470),I2470&gt;0),M2470/I2470,""),IF(AND(ISNUMBER(H2470),H2470&gt;0),M2470/H2470,"")))</f>
        <v/>
      </c>
      <c r="Q2470" s="9">
        <f>IF(AND(ISNUMBER(M2470),ISNUMBER(O2470)),IF(M2470&lt;=O2470,"Valor ≤ venal IPTU",""),"")</f>
        <v/>
      </c>
      <c r="R2470" s="10" t="n"/>
      <c r="S2470" s="10" t="n"/>
      <c r="AA2470" s="10" t="n"/>
      <c r="AB2470" s="11">
        <f>IF(LEN(TRIM(X2470))=0,"",HYPERLINK("https://www.google.com/maps/@?api=1&amp;map_action=pano&amp;viewpoint="&amp;SUBSTITUTE(X2470," ",""),"Abrir Street View"))</f>
        <v/>
      </c>
    </row>
    <row r="2471">
      <c r="H2471" s="6" t="n"/>
      <c r="I2471" s="6" t="n"/>
      <c r="M2471" s="7" t="n"/>
      <c r="N2471" s="7" t="n"/>
      <c r="O2471" s="7" t="n"/>
      <c r="P2471" s="8">
        <f>IF(NOT(ISNUMBER(M2471)),"",IF(G2471="Terreno",IF(AND(ISNUMBER(I2471),I2471&gt;0),M2471/I2471,""),IF(AND(ISNUMBER(H2471),H2471&gt;0),M2471/H2471,"")))</f>
        <v/>
      </c>
      <c r="Q2471" s="9">
        <f>IF(AND(ISNUMBER(M2471),ISNUMBER(O2471)),IF(M2471&lt;=O2471,"Valor ≤ venal IPTU",""),"")</f>
        <v/>
      </c>
      <c r="R2471" s="10" t="n"/>
      <c r="S2471" s="10" t="n"/>
      <c r="AA2471" s="10" t="n"/>
      <c r="AB2471" s="11">
        <f>IF(LEN(TRIM(X2471))=0,"",HYPERLINK("https://www.google.com/maps/@?api=1&amp;map_action=pano&amp;viewpoint="&amp;SUBSTITUTE(X2471," ",""),"Abrir Street View"))</f>
        <v/>
      </c>
    </row>
    <row r="2472">
      <c r="H2472" s="6" t="n"/>
      <c r="I2472" s="6" t="n"/>
      <c r="M2472" s="7" t="n"/>
      <c r="N2472" s="7" t="n"/>
      <c r="O2472" s="7" t="n"/>
      <c r="P2472" s="8">
        <f>IF(NOT(ISNUMBER(M2472)),"",IF(G2472="Terreno",IF(AND(ISNUMBER(I2472),I2472&gt;0),M2472/I2472,""),IF(AND(ISNUMBER(H2472),H2472&gt;0),M2472/H2472,"")))</f>
        <v/>
      </c>
      <c r="Q2472" s="9">
        <f>IF(AND(ISNUMBER(M2472),ISNUMBER(O2472)),IF(M2472&lt;=O2472,"Valor ≤ venal IPTU",""),"")</f>
        <v/>
      </c>
      <c r="R2472" s="10" t="n"/>
      <c r="S2472" s="10" t="n"/>
      <c r="AA2472" s="10" t="n"/>
      <c r="AB2472" s="11">
        <f>IF(LEN(TRIM(X2472))=0,"",HYPERLINK("https://www.google.com/maps/@?api=1&amp;map_action=pano&amp;viewpoint="&amp;SUBSTITUTE(X2472," ",""),"Abrir Street View"))</f>
        <v/>
      </c>
    </row>
    <row r="2473">
      <c r="H2473" s="6" t="n"/>
      <c r="I2473" s="6" t="n"/>
      <c r="M2473" s="7" t="n"/>
      <c r="N2473" s="7" t="n"/>
      <c r="O2473" s="7" t="n"/>
      <c r="P2473" s="8">
        <f>IF(NOT(ISNUMBER(M2473)),"",IF(G2473="Terreno",IF(AND(ISNUMBER(I2473),I2473&gt;0),M2473/I2473,""),IF(AND(ISNUMBER(H2473),H2473&gt;0),M2473/H2473,"")))</f>
        <v/>
      </c>
      <c r="Q2473" s="9">
        <f>IF(AND(ISNUMBER(M2473),ISNUMBER(O2473)),IF(M2473&lt;=O2473,"Valor ≤ venal IPTU",""),"")</f>
        <v/>
      </c>
      <c r="R2473" s="10" t="n"/>
      <c r="S2473" s="10" t="n"/>
      <c r="AA2473" s="10" t="n"/>
      <c r="AB2473" s="11">
        <f>IF(LEN(TRIM(X2473))=0,"",HYPERLINK("https://www.google.com/maps/@?api=1&amp;map_action=pano&amp;viewpoint="&amp;SUBSTITUTE(X2473," ",""),"Abrir Street View"))</f>
        <v/>
      </c>
    </row>
    <row r="2474">
      <c r="H2474" s="6" t="n"/>
      <c r="I2474" s="6" t="n"/>
      <c r="M2474" s="7" t="n"/>
      <c r="N2474" s="7" t="n"/>
      <c r="O2474" s="7" t="n"/>
      <c r="P2474" s="8">
        <f>IF(NOT(ISNUMBER(M2474)),"",IF(G2474="Terreno",IF(AND(ISNUMBER(I2474),I2474&gt;0),M2474/I2474,""),IF(AND(ISNUMBER(H2474),H2474&gt;0),M2474/H2474,"")))</f>
        <v/>
      </c>
      <c r="Q2474" s="9">
        <f>IF(AND(ISNUMBER(M2474),ISNUMBER(O2474)),IF(M2474&lt;=O2474,"Valor ≤ venal IPTU",""),"")</f>
        <v/>
      </c>
      <c r="R2474" s="10" t="n"/>
      <c r="S2474" s="10" t="n"/>
      <c r="AA2474" s="10" t="n"/>
      <c r="AB2474" s="11">
        <f>IF(LEN(TRIM(X2474))=0,"",HYPERLINK("https://www.google.com/maps/@?api=1&amp;map_action=pano&amp;viewpoint="&amp;SUBSTITUTE(X2474," ",""),"Abrir Street View"))</f>
        <v/>
      </c>
    </row>
    <row r="2475">
      <c r="H2475" s="6" t="n"/>
      <c r="I2475" s="6" t="n"/>
      <c r="M2475" s="7" t="n"/>
      <c r="N2475" s="7" t="n"/>
      <c r="O2475" s="7" t="n"/>
      <c r="P2475" s="8">
        <f>IF(NOT(ISNUMBER(M2475)),"",IF(G2475="Terreno",IF(AND(ISNUMBER(I2475),I2475&gt;0),M2475/I2475,""),IF(AND(ISNUMBER(H2475),H2475&gt;0),M2475/H2475,"")))</f>
        <v/>
      </c>
      <c r="Q2475" s="9">
        <f>IF(AND(ISNUMBER(M2475),ISNUMBER(O2475)),IF(M2475&lt;=O2475,"Valor ≤ venal IPTU",""),"")</f>
        <v/>
      </c>
      <c r="R2475" s="10" t="n"/>
      <c r="S2475" s="10" t="n"/>
      <c r="AA2475" s="10" t="n"/>
      <c r="AB2475" s="11">
        <f>IF(LEN(TRIM(X2475))=0,"",HYPERLINK("https://www.google.com/maps/@?api=1&amp;map_action=pano&amp;viewpoint="&amp;SUBSTITUTE(X2475," ",""),"Abrir Street View"))</f>
        <v/>
      </c>
    </row>
    <row r="2476">
      <c r="H2476" s="6" t="n"/>
      <c r="I2476" s="6" t="n"/>
      <c r="M2476" s="7" t="n"/>
      <c r="N2476" s="7" t="n"/>
      <c r="O2476" s="7" t="n"/>
      <c r="P2476" s="8">
        <f>IF(NOT(ISNUMBER(M2476)),"",IF(G2476="Terreno",IF(AND(ISNUMBER(I2476),I2476&gt;0),M2476/I2476,""),IF(AND(ISNUMBER(H2476),H2476&gt;0),M2476/H2476,"")))</f>
        <v/>
      </c>
      <c r="Q2476" s="9">
        <f>IF(AND(ISNUMBER(M2476),ISNUMBER(O2476)),IF(M2476&lt;=O2476,"Valor ≤ venal IPTU",""),"")</f>
        <v/>
      </c>
      <c r="R2476" s="10" t="n"/>
      <c r="S2476" s="10" t="n"/>
      <c r="AA2476" s="10" t="n"/>
      <c r="AB2476" s="11">
        <f>IF(LEN(TRIM(X2476))=0,"",HYPERLINK("https://www.google.com/maps/@?api=1&amp;map_action=pano&amp;viewpoint="&amp;SUBSTITUTE(X2476," ",""),"Abrir Street View"))</f>
        <v/>
      </c>
    </row>
    <row r="2477">
      <c r="H2477" s="6" t="n"/>
      <c r="I2477" s="6" t="n"/>
      <c r="M2477" s="7" t="n"/>
      <c r="N2477" s="7" t="n"/>
      <c r="O2477" s="7" t="n"/>
      <c r="P2477" s="8">
        <f>IF(NOT(ISNUMBER(M2477)),"",IF(G2477="Terreno",IF(AND(ISNUMBER(I2477),I2477&gt;0),M2477/I2477,""),IF(AND(ISNUMBER(H2477),H2477&gt;0),M2477/H2477,"")))</f>
        <v/>
      </c>
      <c r="Q2477" s="9">
        <f>IF(AND(ISNUMBER(M2477),ISNUMBER(O2477)),IF(M2477&lt;=O2477,"Valor ≤ venal IPTU",""),"")</f>
        <v/>
      </c>
      <c r="R2477" s="10" t="n"/>
      <c r="S2477" s="10" t="n"/>
      <c r="AA2477" s="10" t="n"/>
      <c r="AB2477" s="11">
        <f>IF(LEN(TRIM(X2477))=0,"",HYPERLINK("https://www.google.com/maps/@?api=1&amp;map_action=pano&amp;viewpoint="&amp;SUBSTITUTE(X2477," ",""),"Abrir Street View"))</f>
        <v/>
      </c>
    </row>
    <row r="2478">
      <c r="H2478" s="6" t="n"/>
      <c r="I2478" s="6" t="n"/>
      <c r="M2478" s="7" t="n"/>
      <c r="N2478" s="7" t="n"/>
      <c r="O2478" s="7" t="n"/>
      <c r="P2478" s="8">
        <f>IF(NOT(ISNUMBER(M2478)),"",IF(G2478="Terreno",IF(AND(ISNUMBER(I2478),I2478&gt;0),M2478/I2478,""),IF(AND(ISNUMBER(H2478),H2478&gt;0),M2478/H2478,"")))</f>
        <v/>
      </c>
      <c r="Q2478" s="9">
        <f>IF(AND(ISNUMBER(M2478),ISNUMBER(O2478)),IF(M2478&lt;=O2478,"Valor ≤ venal IPTU",""),"")</f>
        <v/>
      </c>
      <c r="R2478" s="10" t="n"/>
      <c r="S2478" s="10" t="n"/>
      <c r="AA2478" s="10" t="n"/>
      <c r="AB2478" s="11">
        <f>IF(LEN(TRIM(X2478))=0,"",HYPERLINK("https://www.google.com/maps/@?api=1&amp;map_action=pano&amp;viewpoint="&amp;SUBSTITUTE(X2478," ",""),"Abrir Street View"))</f>
        <v/>
      </c>
    </row>
    <row r="2479">
      <c r="H2479" s="6" t="n"/>
      <c r="I2479" s="6" t="n"/>
      <c r="M2479" s="7" t="n"/>
      <c r="N2479" s="7" t="n"/>
      <c r="O2479" s="7" t="n"/>
      <c r="P2479" s="8">
        <f>IF(NOT(ISNUMBER(M2479)),"",IF(G2479="Terreno",IF(AND(ISNUMBER(I2479),I2479&gt;0),M2479/I2479,""),IF(AND(ISNUMBER(H2479),H2479&gt;0),M2479/H2479,"")))</f>
        <v/>
      </c>
      <c r="Q2479" s="9">
        <f>IF(AND(ISNUMBER(M2479),ISNUMBER(O2479)),IF(M2479&lt;=O2479,"Valor ≤ venal IPTU",""),"")</f>
        <v/>
      </c>
      <c r="R2479" s="10" t="n"/>
      <c r="S2479" s="10" t="n"/>
      <c r="AA2479" s="10" t="n"/>
      <c r="AB2479" s="11">
        <f>IF(LEN(TRIM(X2479))=0,"",HYPERLINK("https://www.google.com/maps/@?api=1&amp;map_action=pano&amp;viewpoint="&amp;SUBSTITUTE(X2479," ",""),"Abrir Street View"))</f>
        <v/>
      </c>
    </row>
    <row r="2480">
      <c r="H2480" s="6" t="n"/>
      <c r="I2480" s="6" t="n"/>
      <c r="M2480" s="7" t="n"/>
      <c r="N2480" s="7" t="n"/>
      <c r="O2480" s="7" t="n"/>
      <c r="P2480" s="8">
        <f>IF(NOT(ISNUMBER(M2480)),"",IF(G2480="Terreno",IF(AND(ISNUMBER(I2480),I2480&gt;0),M2480/I2480,""),IF(AND(ISNUMBER(H2480),H2480&gt;0),M2480/H2480,"")))</f>
        <v/>
      </c>
      <c r="Q2480" s="9">
        <f>IF(AND(ISNUMBER(M2480),ISNUMBER(O2480)),IF(M2480&lt;=O2480,"Valor ≤ venal IPTU",""),"")</f>
        <v/>
      </c>
      <c r="R2480" s="10" t="n"/>
      <c r="S2480" s="10" t="n"/>
      <c r="AA2480" s="10" t="n"/>
      <c r="AB2480" s="11">
        <f>IF(LEN(TRIM(X2480))=0,"",HYPERLINK("https://www.google.com/maps/@?api=1&amp;map_action=pano&amp;viewpoint="&amp;SUBSTITUTE(X2480," ",""),"Abrir Street View"))</f>
        <v/>
      </c>
    </row>
    <row r="2481">
      <c r="H2481" s="6" t="n"/>
      <c r="I2481" s="6" t="n"/>
      <c r="M2481" s="7" t="n"/>
      <c r="N2481" s="7" t="n"/>
      <c r="O2481" s="7" t="n"/>
      <c r="P2481" s="8">
        <f>IF(NOT(ISNUMBER(M2481)),"",IF(G2481="Terreno",IF(AND(ISNUMBER(I2481),I2481&gt;0),M2481/I2481,""),IF(AND(ISNUMBER(H2481),H2481&gt;0),M2481/H2481,"")))</f>
        <v/>
      </c>
      <c r="Q2481" s="9">
        <f>IF(AND(ISNUMBER(M2481),ISNUMBER(O2481)),IF(M2481&lt;=O2481,"Valor ≤ venal IPTU",""),"")</f>
        <v/>
      </c>
      <c r="R2481" s="10" t="n"/>
      <c r="S2481" s="10" t="n"/>
      <c r="AA2481" s="10" t="n"/>
      <c r="AB2481" s="11">
        <f>IF(LEN(TRIM(X2481))=0,"",HYPERLINK("https://www.google.com/maps/@?api=1&amp;map_action=pano&amp;viewpoint="&amp;SUBSTITUTE(X2481," ",""),"Abrir Street View"))</f>
        <v/>
      </c>
    </row>
    <row r="2482">
      <c r="H2482" s="6" t="n"/>
      <c r="I2482" s="6" t="n"/>
      <c r="M2482" s="7" t="n"/>
      <c r="N2482" s="7" t="n"/>
      <c r="O2482" s="7" t="n"/>
      <c r="P2482" s="8">
        <f>IF(NOT(ISNUMBER(M2482)),"",IF(G2482="Terreno",IF(AND(ISNUMBER(I2482),I2482&gt;0),M2482/I2482,""),IF(AND(ISNUMBER(H2482),H2482&gt;0),M2482/H2482,"")))</f>
        <v/>
      </c>
      <c r="Q2482" s="9">
        <f>IF(AND(ISNUMBER(M2482),ISNUMBER(O2482)),IF(M2482&lt;=O2482,"Valor ≤ venal IPTU",""),"")</f>
        <v/>
      </c>
      <c r="R2482" s="10" t="n"/>
      <c r="S2482" s="10" t="n"/>
      <c r="AA2482" s="10" t="n"/>
      <c r="AB2482" s="11">
        <f>IF(LEN(TRIM(X2482))=0,"",HYPERLINK("https://www.google.com/maps/@?api=1&amp;map_action=pano&amp;viewpoint="&amp;SUBSTITUTE(X2482," ",""),"Abrir Street View"))</f>
        <v/>
      </c>
    </row>
    <row r="2483">
      <c r="H2483" s="6" t="n"/>
      <c r="I2483" s="6" t="n"/>
      <c r="M2483" s="7" t="n"/>
      <c r="N2483" s="7" t="n"/>
      <c r="O2483" s="7" t="n"/>
      <c r="P2483" s="8">
        <f>IF(NOT(ISNUMBER(M2483)),"",IF(G2483="Terreno",IF(AND(ISNUMBER(I2483),I2483&gt;0),M2483/I2483,""),IF(AND(ISNUMBER(H2483),H2483&gt;0),M2483/H2483,"")))</f>
        <v/>
      </c>
      <c r="Q2483" s="9">
        <f>IF(AND(ISNUMBER(M2483),ISNUMBER(O2483)),IF(M2483&lt;=O2483,"Valor ≤ venal IPTU",""),"")</f>
        <v/>
      </c>
      <c r="R2483" s="10" t="n"/>
      <c r="S2483" s="10" t="n"/>
      <c r="AA2483" s="10" t="n"/>
      <c r="AB2483" s="11">
        <f>IF(LEN(TRIM(X2483))=0,"",HYPERLINK("https://www.google.com/maps/@?api=1&amp;map_action=pano&amp;viewpoint="&amp;SUBSTITUTE(X2483," ",""),"Abrir Street View"))</f>
        <v/>
      </c>
    </row>
    <row r="2484">
      <c r="H2484" s="6" t="n"/>
      <c r="I2484" s="6" t="n"/>
      <c r="M2484" s="7" t="n"/>
      <c r="N2484" s="7" t="n"/>
      <c r="O2484" s="7" t="n"/>
      <c r="P2484" s="8">
        <f>IF(NOT(ISNUMBER(M2484)),"",IF(G2484="Terreno",IF(AND(ISNUMBER(I2484),I2484&gt;0),M2484/I2484,""),IF(AND(ISNUMBER(H2484),H2484&gt;0),M2484/H2484,"")))</f>
        <v/>
      </c>
      <c r="Q2484" s="9">
        <f>IF(AND(ISNUMBER(M2484),ISNUMBER(O2484)),IF(M2484&lt;=O2484,"Valor ≤ venal IPTU",""),"")</f>
        <v/>
      </c>
      <c r="R2484" s="10" t="n"/>
      <c r="S2484" s="10" t="n"/>
      <c r="AA2484" s="10" t="n"/>
      <c r="AB2484" s="11">
        <f>IF(LEN(TRIM(X2484))=0,"",HYPERLINK("https://www.google.com/maps/@?api=1&amp;map_action=pano&amp;viewpoint="&amp;SUBSTITUTE(X2484," ",""),"Abrir Street View"))</f>
        <v/>
      </c>
    </row>
    <row r="2485">
      <c r="H2485" s="6" t="n"/>
      <c r="I2485" s="6" t="n"/>
      <c r="M2485" s="7" t="n"/>
      <c r="N2485" s="7" t="n"/>
      <c r="O2485" s="7" t="n"/>
      <c r="P2485" s="8">
        <f>IF(NOT(ISNUMBER(M2485)),"",IF(G2485="Terreno",IF(AND(ISNUMBER(I2485),I2485&gt;0),M2485/I2485,""),IF(AND(ISNUMBER(H2485),H2485&gt;0),M2485/H2485,"")))</f>
        <v/>
      </c>
      <c r="Q2485" s="9">
        <f>IF(AND(ISNUMBER(M2485),ISNUMBER(O2485)),IF(M2485&lt;=O2485,"Valor ≤ venal IPTU",""),"")</f>
        <v/>
      </c>
      <c r="R2485" s="10" t="n"/>
      <c r="S2485" s="10" t="n"/>
      <c r="AA2485" s="10" t="n"/>
      <c r="AB2485" s="11">
        <f>IF(LEN(TRIM(X2485))=0,"",HYPERLINK("https://www.google.com/maps/@?api=1&amp;map_action=pano&amp;viewpoint="&amp;SUBSTITUTE(X2485," ",""),"Abrir Street View"))</f>
        <v/>
      </c>
    </row>
    <row r="2486">
      <c r="H2486" s="6" t="n"/>
      <c r="I2486" s="6" t="n"/>
      <c r="M2486" s="7" t="n"/>
      <c r="N2486" s="7" t="n"/>
      <c r="O2486" s="7" t="n"/>
      <c r="P2486" s="8">
        <f>IF(NOT(ISNUMBER(M2486)),"",IF(G2486="Terreno",IF(AND(ISNUMBER(I2486),I2486&gt;0),M2486/I2486,""),IF(AND(ISNUMBER(H2486),H2486&gt;0),M2486/H2486,"")))</f>
        <v/>
      </c>
      <c r="Q2486" s="9">
        <f>IF(AND(ISNUMBER(M2486),ISNUMBER(O2486)),IF(M2486&lt;=O2486,"Valor ≤ venal IPTU",""),"")</f>
        <v/>
      </c>
      <c r="R2486" s="10" t="n"/>
      <c r="S2486" s="10" t="n"/>
      <c r="AA2486" s="10" t="n"/>
      <c r="AB2486" s="11">
        <f>IF(LEN(TRIM(X2486))=0,"",HYPERLINK("https://www.google.com/maps/@?api=1&amp;map_action=pano&amp;viewpoint="&amp;SUBSTITUTE(X2486," ",""),"Abrir Street View"))</f>
        <v/>
      </c>
    </row>
    <row r="2487">
      <c r="H2487" s="6" t="n"/>
      <c r="I2487" s="6" t="n"/>
      <c r="M2487" s="7" t="n"/>
      <c r="N2487" s="7" t="n"/>
      <c r="O2487" s="7" t="n"/>
      <c r="P2487" s="8">
        <f>IF(NOT(ISNUMBER(M2487)),"",IF(G2487="Terreno",IF(AND(ISNUMBER(I2487),I2487&gt;0),M2487/I2487,""),IF(AND(ISNUMBER(H2487),H2487&gt;0),M2487/H2487,"")))</f>
        <v/>
      </c>
      <c r="Q2487" s="9">
        <f>IF(AND(ISNUMBER(M2487),ISNUMBER(O2487)),IF(M2487&lt;=O2487,"Valor ≤ venal IPTU",""),"")</f>
        <v/>
      </c>
      <c r="R2487" s="10" t="n"/>
      <c r="S2487" s="10" t="n"/>
      <c r="AA2487" s="10" t="n"/>
      <c r="AB2487" s="11">
        <f>IF(LEN(TRIM(X2487))=0,"",HYPERLINK("https://www.google.com/maps/@?api=1&amp;map_action=pano&amp;viewpoint="&amp;SUBSTITUTE(X2487," ",""),"Abrir Street View"))</f>
        <v/>
      </c>
    </row>
    <row r="2488">
      <c r="H2488" s="6" t="n"/>
      <c r="I2488" s="6" t="n"/>
      <c r="M2488" s="7" t="n"/>
      <c r="N2488" s="7" t="n"/>
      <c r="O2488" s="7" t="n"/>
      <c r="P2488" s="8">
        <f>IF(NOT(ISNUMBER(M2488)),"",IF(G2488="Terreno",IF(AND(ISNUMBER(I2488),I2488&gt;0),M2488/I2488,""),IF(AND(ISNUMBER(H2488),H2488&gt;0),M2488/H2488,"")))</f>
        <v/>
      </c>
      <c r="Q2488" s="9">
        <f>IF(AND(ISNUMBER(M2488),ISNUMBER(O2488)),IF(M2488&lt;=O2488,"Valor ≤ venal IPTU",""),"")</f>
        <v/>
      </c>
      <c r="R2488" s="10" t="n"/>
      <c r="S2488" s="10" t="n"/>
      <c r="AA2488" s="10" t="n"/>
      <c r="AB2488" s="11">
        <f>IF(LEN(TRIM(X2488))=0,"",HYPERLINK("https://www.google.com/maps/@?api=1&amp;map_action=pano&amp;viewpoint="&amp;SUBSTITUTE(X2488," ",""),"Abrir Street View"))</f>
        <v/>
      </c>
    </row>
    <row r="2489">
      <c r="H2489" s="6" t="n"/>
      <c r="I2489" s="6" t="n"/>
      <c r="M2489" s="7" t="n"/>
      <c r="N2489" s="7" t="n"/>
      <c r="O2489" s="7" t="n"/>
      <c r="P2489" s="8">
        <f>IF(NOT(ISNUMBER(M2489)),"",IF(G2489="Terreno",IF(AND(ISNUMBER(I2489),I2489&gt;0),M2489/I2489,""),IF(AND(ISNUMBER(H2489),H2489&gt;0),M2489/H2489,"")))</f>
        <v/>
      </c>
      <c r="Q2489" s="9">
        <f>IF(AND(ISNUMBER(M2489),ISNUMBER(O2489)),IF(M2489&lt;=O2489,"Valor ≤ venal IPTU",""),"")</f>
        <v/>
      </c>
      <c r="R2489" s="10" t="n"/>
      <c r="S2489" s="10" t="n"/>
      <c r="AA2489" s="10" t="n"/>
      <c r="AB2489" s="11">
        <f>IF(LEN(TRIM(X2489))=0,"",HYPERLINK("https://www.google.com/maps/@?api=1&amp;map_action=pano&amp;viewpoint="&amp;SUBSTITUTE(X2489," ",""),"Abrir Street View"))</f>
        <v/>
      </c>
    </row>
    <row r="2490">
      <c r="H2490" s="6" t="n"/>
      <c r="I2490" s="6" t="n"/>
      <c r="M2490" s="7" t="n"/>
      <c r="N2490" s="7" t="n"/>
      <c r="O2490" s="7" t="n"/>
      <c r="P2490" s="8">
        <f>IF(NOT(ISNUMBER(M2490)),"",IF(G2490="Terreno",IF(AND(ISNUMBER(I2490),I2490&gt;0),M2490/I2490,""),IF(AND(ISNUMBER(H2490),H2490&gt;0),M2490/H2490,"")))</f>
        <v/>
      </c>
      <c r="Q2490" s="9">
        <f>IF(AND(ISNUMBER(M2490),ISNUMBER(O2490)),IF(M2490&lt;=O2490,"Valor ≤ venal IPTU",""),"")</f>
        <v/>
      </c>
      <c r="R2490" s="10" t="n"/>
      <c r="S2490" s="10" t="n"/>
      <c r="AA2490" s="10" t="n"/>
      <c r="AB2490" s="11">
        <f>IF(LEN(TRIM(X2490))=0,"",HYPERLINK("https://www.google.com/maps/@?api=1&amp;map_action=pano&amp;viewpoint="&amp;SUBSTITUTE(X2490," ",""),"Abrir Street View"))</f>
        <v/>
      </c>
    </row>
    <row r="2491">
      <c r="H2491" s="6" t="n"/>
      <c r="I2491" s="6" t="n"/>
      <c r="M2491" s="7" t="n"/>
      <c r="N2491" s="7" t="n"/>
      <c r="O2491" s="7" t="n"/>
      <c r="P2491" s="8">
        <f>IF(NOT(ISNUMBER(M2491)),"",IF(G2491="Terreno",IF(AND(ISNUMBER(I2491),I2491&gt;0),M2491/I2491,""),IF(AND(ISNUMBER(H2491),H2491&gt;0),M2491/H2491,"")))</f>
        <v/>
      </c>
      <c r="Q2491" s="9">
        <f>IF(AND(ISNUMBER(M2491),ISNUMBER(O2491)),IF(M2491&lt;=O2491,"Valor ≤ venal IPTU",""),"")</f>
        <v/>
      </c>
      <c r="R2491" s="10" t="n"/>
      <c r="S2491" s="10" t="n"/>
      <c r="AA2491" s="10" t="n"/>
      <c r="AB2491" s="11">
        <f>IF(LEN(TRIM(X2491))=0,"",HYPERLINK("https://www.google.com/maps/@?api=1&amp;map_action=pano&amp;viewpoint="&amp;SUBSTITUTE(X2491," ",""),"Abrir Street View"))</f>
        <v/>
      </c>
    </row>
    <row r="2492">
      <c r="H2492" s="6" t="n"/>
      <c r="I2492" s="6" t="n"/>
      <c r="M2492" s="7" t="n"/>
      <c r="N2492" s="7" t="n"/>
      <c r="O2492" s="7" t="n"/>
      <c r="P2492" s="8">
        <f>IF(NOT(ISNUMBER(M2492)),"",IF(G2492="Terreno",IF(AND(ISNUMBER(I2492),I2492&gt;0),M2492/I2492,""),IF(AND(ISNUMBER(H2492),H2492&gt;0),M2492/H2492,"")))</f>
        <v/>
      </c>
      <c r="Q2492" s="9">
        <f>IF(AND(ISNUMBER(M2492),ISNUMBER(O2492)),IF(M2492&lt;=O2492,"Valor ≤ venal IPTU",""),"")</f>
        <v/>
      </c>
      <c r="R2492" s="10" t="n"/>
      <c r="S2492" s="10" t="n"/>
      <c r="AA2492" s="10" t="n"/>
      <c r="AB2492" s="11">
        <f>IF(LEN(TRIM(X2492))=0,"",HYPERLINK("https://www.google.com/maps/@?api=1&amp;map_action=pano&amp;viewpoint="&amp;SUBSTITUTE(X2492," ",""),"Abrir Street View"))</f>
        <v/>
      </c>
    </row>
    <row r="2493">
      <c r="H2493" s="6" t="n"/>
      <c r="I2493" s="6" t="n"/>
      <c r="M2493" s="7" t="n"/>
      <c r="N2493" s="7" t="n"/>
      <c r="O2493" s="7" t="n"/>
      <c r="P2493" s="8">
        <f>IF(NOT(ISNUMBER(M2493)),"",IF(G2493="Terreno",IF(AND(ISNUMBER(I2493),I2493&gt;0),M2493/I2493,""),IF(AND(ISNUMBER(H2493),H2493&gt;0),M2493/H2493,"")))</f>
        <v/>
      </c>
      <c r="Q2493" s="9">
        <f>IF(AND(ISNUMBER(M2493),ISNUMBER(O2493)),IF(M2493&lt;=O2493,"Valor ≤ venal IPTU",""),"")</f>
        <v/>
      </c>
      <c r="R2493" s="10" t="n"/>
      <c r="S2493" s="10" t="n"/>
      <c r="AA2493" s="10" t="n"/>
      <c r="AB2493" s="11">
        <f>IF(LEN(TRIM(X2493))=0,"",HYPERLINK("https://www.google.com/maps/@?api=1&amp;map_action=pano&amp;viewpoint="&amp;SUBSTITUTE(X2493," ",""),"Abrir Street View"))</f>
        <v/>
      </c>
    </row>
    <row r="2494">
      <c r="H2494" s="6" t="n"/>
      <c r="I2494" s="6" t="n"/>
      <c r="M2494" s="7" t="n"/>
      <c r="N2494" s="7" t="n"/>
      <c r="O2494" s="7" t="n"/>
      <c r="P2494" s="8">
        <f>IF(NOT(ISNUMBER(M2494)),"",IF(G2494="Terreno",IF(AND(ISNUMBER(I2494),I2494&gt;0),M2494/I2494,""),IF(AND(ISNUMBER(H2494),H2494&gt;0),M2494/H2494,"")))</f>
        <v/>
      </c>
      <c r="Q2494" s="9">
        <f>IF(AND(ISNUMBER(M2494),ISNUMBER(O2494)),IF(M2494&lt;=O2494,"Valor ≤ venal IPTU",""),"")</f>
        <v/>
      </c>
      <c r="R2494" s="10" t="n"/>
      <c r="S2494" s="10" t="n"/>
      <c r="AA2494" s="10" t="n"/>
      <c r="AB2494" s="11">
        <f>IF(LEN(TRIM(X2494))=0,"",HYPERLINK("https://www.google.com/maps/@?api=1&amp;map_action=pano&amp;viewpoint="&amp;SUBSTITUTE(X2494," ",""),"Abrir Street View"))</f>
        <v/>
      </c>
    </row>
    <row r="2495">
      <c r="H2495" s="6" t="n"/>
      <c r="I2495" s="6" t="n"/>
      <c r="M2495" s="7" t="n"/>
      <c r="N2495" s="7" t="n"/>
      <c r="O2495" s="7" t="n"/>
      <c r="P2495" s="8">
        <f>IF(NOT(ISNUMBER(M2495)),"",IF(G2495="Terreno",IF(AND(ISNUMBER(I2495),I2495&gt;0),M2495/I2495,""),IF(AND(ISNUMBER(H2495),H2495&gt;0),M2495/H2495,"")))</f>
        <v/>
      </c>
      <c r="Q2495" s="9">
        <f>IF(AND(ISNUMBER(M2495),ISNUMBER(O2495)),IF(M2495&lt;=O2495,"Valor ≤ venal IPTU",""),"")</f>
        <v/>
      </c>
      <c r="R2495" s="10" t="n"/>
      <c r="S2495" s="10" t="n"/>
      <c r="AA2495" s="10" t="n"/>
      <c r="AB2495" s="11">
        <f>IF(LEN(TRIM(X2495))=0,"",HYPERLINK("https://www.google.com/maps/@?api=1&amp;map_action=pano&amp;viewpoint="&amp;SUBSTITUTE(X2495," ",""),"Abrir Street View"))</f>
        <v/>
      </c>
    </row>
    <row r="2496">
      <c r="H2496" s="6" t="n"/>
      <c r="I2496" s="6" t="n"/>
      <c r="M2496" s="7" t="n"/>
      <c r="N2496" s="7" t="n"/>
      <c r="O2496" s="7" t="n"/>
      <c r="P2496" s="8">
        <f>IF(NOT(ISNUMBER(M2496)),"",IF(G2496="Terreno",IF(AND(ISNUMBER(I2496),I2496&gt;0),M2496/I2496,""),IF(AND(ISNUMBER(H2496),H2496&gt;0),M2496/H2496,"")))</f>
        <v/>
      </c>
      <c r="Q2496" s="9">
        <f>IF(AND(ISNUMBER(M2496),ISNUMBER(O2496)),IF(M2496&lt;=O2496,"Valor ≤ venal IPTU",""),"")</f>
        <v/>
      </c>
      <c r="R2496" s="10" t="n"/>
      <c r="S2496" s="10" t="n"/>
      <c r="AA2496" s="10" t="n"/>
      <c r="AB2496" s="11">
        <f>IF(LEN(TRIM(X2496))=0,"",HYPERLINK("https://www.google.com/maps/@?api=1&amp;map_action=pano&amp;viewpoint="&amp;SUBSTITUTE(X2496," ",""),"Abrir Street View"))</f>
        <v/>
      </c>
    </row>
    <row r="2497">
      <c r="H2497" s="6" t="n"/>
      <c r="I2497" s="6" t="n"/>
      <c r="M2497" s="7" t="n"/>
      <c r="N2497" s="7" t="n"/>
      <c r="O2497" s="7" t="n"/>
      <c r="P2497" s="8">
        <f>IF(NOT(ISNUMBER(M2497)),"",IF(G2497="Terreno",IF(AND(ISNUMBER(I2497),I2497&gt;0),M2497/I2497,""),IF(AND(ISNUMBER(H2497),H2497&gt;0),M2497/H2497,"")))</f>
        <v/>
      </c>
      <c r="Q2497" s="9">
        <f>IF(AND(ISNUMBER(M2497),ISNUMBER(O2497)),IF(M2497&lt;=O2497,"Valor ≤ venal IPTU",""),"")</f>
        <v/>
      </c>
      <c r="R2497" s="10" t="n"/>
      <c r="S2497" s="10" t="n"/>
      <c r="AA2497" s="10" t="n"/>
      <c r="AB2497" s="11">
        <f>IF(LEN(TRIM(X2497))=0,"",HYPERLINK("https://www.google.com/maps/@?api=1&amp;map_action=pano&amp;viewpoint="&amp;SUBSTITUTE(X2497," ",""),"Abrir Street View"))</f>
        <v/>
      </c>
    </row>
    <row r="2498">
      <c r="H2498" s="6" t="n"/>
      <c r="I2498" s="6" t="n"/>
      <c r="M2498" s="7" t="n"/>
      <c r="N2498" s="7" t="n"/>
      <c r="O2498" s="7" t="n"/>
      <c r="P2498" s="8">
        <f>IF(NOT(ISNUMBER(M2498)),"",IF(G2498="Terreno",IF(AND(ISNUMBER(I2498),I2498&gt;0),M2498/I2498,""),IF(AND(ISNUMBER(H2498),H2498&gt;0),M2498/H2498,"")))</f>
        <v/>
      </c>
      <c r="Q2498" s="9">
        <f>IF(AND(ISNUMBER(M2498),ISNUMBER(O2498)),IF(M2498&lt;=O2498,"Valor ≤ venal IPTU",""),"")</f>
        <v/>
      </c>
      <c r="R2498" s="10" t="n"/>
      <c r="S2498" s="10" t="n"/>
      <c r="AA2498" s="10" t="n"/>
      <c r="AB2498" s="11">
        <f>IF(LEN(TRIM(X2498))=0,"",HYPERLINK("https://www.google.com/maps/@?api=1&amp;map_action=pano&amp;viewpoint="&amp;SUBSTITUTE(X2498," ",""),"Abrir Street View"))</f>
        <v/>
      </c>
    </row>
    <row r="2499">
      <c r="H2499" s="6" t="n"/>
      <c r="I2499" s="6" t="n"/>
      <c r="M2499" s="7" t="n"/>
      <c r="N2499" s="7" t="n"/>
      <c r="O2499" s="7" t="n"/>
      <c r="P2499" s="8">
        <f>IF(NOT(ISNUMBER(M2499)),"",IF(G2499="Terreno",IF(AND(ISNUMBER(I2499),I2499&gt;0),M2499/I2499,""),IF(AND(ISNUMBER(H2499),H2499&gt;0),M2499/H2499,"")))</f>
        <v/>
      </c>
      <c r="Q2499" s="9">
        <f>IF(AND(ISNUMBER(M2499),ISNUMBER(O2499)),IF(M2499&lt;=O2499,"Valor ≤ venal IPTU",""),"")</f>
        <v/>
      </c>
      <c r="R2499" s="10" t="n"/>
      <c r="S2499" s="10" t="n"/>
      <c r="AA2499" s="10" t="n"/>
      <c r="AB2499" s="11">
        <f>IF(LEN(TRIM(X2499))=0,"",HYPERLINK("https://www.google.com/maps/@?api=1&amp;map_action=pano&amp;viewpoint="&amp;SUBSTITUTE(X2499," ",""),"Abrir Street View"))</f>
        <v/>
      </c>
    </row>
    <row r="2500">
      <c r="H2500" s="6" t="n"/>
      <c r="I2500" s="6" t="n"/>
      <c r="M2500" s="7" t="n"/>
      <c r="N2500" s="7" t="n"/>
      <c r="O2500" s="7" t="n"/>
      <c r="P2500" s="8">
        <f>IF(NOT(ISNUMBER(M2500)),"",IF(G2500="Terreno",IF(AND(ISNUMBER(I2500),I2500&gt;0),M2500/I2500,""),IF(AND(ISNUMBER(H2500),H2500&gt;0),M2500/H2500,"")))</f>
        <v/>
      </c>
      <c r="Q2500" s="9">
        <f>IF(AND(ISNUMBER(M2500),ISNUMBER(O2500)),IF(M2500&lt;=O2500,"Valor ≤ venal IPTU",""),"")</f>
        <v/>
      </c>
      <c r="R2500" s="10" t="n"/>
      <c r="S2500" s="10" t="n"/>
      <c r="AA2500" s="10" t="n"/>
      <c r="AB2500" s="11">
        <f>IF(LEN(TRIM(X2500))=0,"",HYPERLINK("https://www.google.com/maps/@?api=1&amp;map_action=pano&amp;viewpoint="&amp;SUBSTITUTE(X2500," ",""),"Abrir Street View"))</f>
        <v/>
      </c>
    </row>
    <row r="2501">
      <c r="H2501" s="6" t="n"/>
      <c r="I2501" s="6" t="n"/>
      <c r="M2501" s="7" t="n"/>
      <c r="N2501" s="7" t="n"/>
      <c r="O2501" s="7" t="n"/>
      <c r="P2501" s="8">
        <f>IF(NOT(ISNUMBER(M2501)),"",IF(G2501="Terreno",IF(AND(ISNUMBER(I2501),I2501&gt;0),M2501/I2501,""),IF(AND(ISNUMBER(H2501),H2501&gt;0),M2501/H2501,"")))</f>
        <v/>
      </c>
      <c r="Q2501" s="9">
        <f>IF(AND(ISNUMBER(M2501),ISNUMBER(O2501)),IF(M2501&lt;=O2501,"Valor ≤ venal IPTU",""),"")</f>
        <v/>
      </c>
      <c r="R2501" s="10" t="n"/>
      <c r="S2501" s="10" t="n"/>
      <c r="AA2501" s="10" t="n"/>
      <c r="AB2501" s="11">
        <f>IF(LEN(TRIM(X2501))=0,"",HYPERLINK("https://www.google.com/maps/@?api=1&amp;map_action=pano&amp;viewpoint="&amp;SUBSTITUTE(X2501," ",""),"Abrir Street View"))</f>
        <v/>
      </c>
    </row>
    <row r="2502">
      <c r="H2502" s="6" t="n"/>
      <c r="I2502" s="6" t="n"/>
      <c r="M2502" s="7" t="n"/>
      <c r="N2502" s="7" t="n"/>
      <c r="O2502" s="7" t="n"/>
      <c r="P2502" s="8">
        <f>IF(NOT(ISNUMBER(M2502)),"",IF(G2502="Terreno",IF(AND(ISNUMBER(I2502),I2502&gt;0),M2502/I2502,""),IF(AND(ISNUMBER(H2502),H2502&gt;0),M2502/H2502,"")))</f>
        <v/>
      </c>
      <c r="Q2502" s="9">
        <f>IF(AND(ISNUMBER(M2502),ISNUMBER(O2502)),IF(M2502&lt;=O2502,"Valor ≤ venal IPTU",""),"")</f>
        <v/>
      </c>
      <c r="R2502" s="10" t="n"/>
      <c r="S2502" s="10" t="n"/>
      <c r="AA2502" s="10" t="n"/>
      <c r="AB2502" s="11">
        <f>IF(LEN(TRIM(X2502))=0,"",HYPERLINK("https://www.google.com/maps/@?api=1&amp;map_action=pano&amp;viewpoint="&amp;SUBSTITUTE(X2502," ",""),"Abrir Street View"))</f>
        <v/>
      </c>
    </row>
    <row r="2503">
      <c r="H2503" s="6" t="n"/>
      <c r="I2503" s="6" t="n"/>
      <c r="M2503" s="7" t="n"/>
      <c r="N2503" s="7" t="n"/>
      <c r="O2503" s="7" t="n"/>
      <c r="P2503" s="8">
        <f>IF(NOT(ISNUMBER(M2503)),"",IF(G2503="Terreno",IF(AND(ISNUMBER(I2503),I2503&gt;0),M2503/I2503,""),IF(AND(ISNUMBER(H2503),H2503&gt;0),M2503/H2503,"")))</f>
        <v/>
      </c>
      <c r="Q2503" s="9">
        <f>IF(AND(ISNUMBER(M2503),ISNUMBER(O2503)),IF(M2503&lt;=O2503,"Valor ≤ venal IPTU",""),"")</f>
        <v/>
      </c>
      <c r="R2503" s="10" t="n"/>
      <c r="S2503" s="10" t="n"/>
      <c r="AA2503" s="10" t="n"/>
      <c r="AB2503" s="11">
        <f>IF(LEN(TRIM(X2503))=0,"",HYPERLINK("https://www.google.com/maps/@?api=1&amp;map_action=pano&amp;viewpoint="&amp;SUBSTITUTE(X2503," ",""),"Abrir Street View"))</f>
        <v/>
      </c>
    </row>
    <row r="2504">
      <c r="H2504" s="6" t="n"/>
      <c r="I2504" s="6" t="n"/>
      <c r="M2504" s="7" t="n"/>
      <c r="N2504" s="7" t="n"/>
      <c r="O2504" s="7" t="n"/>
      <c r="P2504" s="8">
        <f>IF(NOT(ISNUMBER(M2504)),"",IF(G2504="Terreno",IF(AND(ISNUMBER(I2504),I2504&gt;0),M2504/I2504,""),IF(AND(ISNUMBER(H2504),H2504&gt;0),M2504/H2504,"")))</f>
        <v/>
      </c>
      <c r="Q2504" s="9">
        <f>IF(AND(ISNUMBER(M2504),ISNUMBER(O2504)),IF(M2504&lt;=O2504,"Valor ≤ venal IPTU",""),"")</f>
        <v/>
      </c>
      <c r="R2504" s="10" t="n"/>
      <c r="S2504" s="10" t="n"/>
      <c r="AA2504" s="10" t="n"/>
      <c r="AB2504" s="11">
        <f>IF(LEN(TRIM(X2504))=0,"",HYPERLINK("https://www.google.com/maps/@?api=1&amp;map_action=pano&amp;viewpoint="&amp;SUBSTITUTE(X2504," ",""),"Abrir Street View"))</f>
        <v/>
      </c>
    </row>
    <row r="2505">
      <c r="H2505" s="6" t="n"/>
      <c r="I2505" s="6" t="n"/>
      <c r="M2505" s="7" t="n"/>
      <c r="N2505" s="7" t="n"/>
      <c r="O2505" s="7" t="n"/>
      <c r="P2505" s="8">
        <f>IF(NOT(ISNUMBER(M2505)),"",IF(G2505="Terreno",IF(AND(ISNUMBER(I2505),I2505&gt;0),M2505/I2505,""),IF(AND(ISNUMBER(H2505),H2505&gt;0),M2505/H2505,"")))</f>
        <v/>
      </c>
      <c r="Q2505" s="9">
        <f>IF(AND(ISNUMBER(M2505),ISNUMBER(O2505)),IF(M2505&lt;=O2505,"Valor ≤ venal IPTU",""),"")</f>
        <v/>
      </c>
      <c r="R2505" s="10" t="n"/>
      <c r="S2505" s="10" t="n"/>
      <c r="AA2505" s="10" t="n"/>
      <c r="AB2505" s="11">
        <f>IF(LEN(TRIM(X2505))=0,"",HYPERLINK("https://www.google.com/maps/@?api=1&amp;map_action=pano&amp;viewpoint="&amp;SUBSTITUTE(X2505," ",""),"Abrir Street View"))</f>
        <v/>
      </c>
    </row>
    <row r="2506">
      <c r="H2506" s="6" t="n"/>
      <c r="I2506" s="6" t="n"/>
      <c r="M2506" s="7" t="n"/>
      <c r="N2506" s="7" t="n"/>
      <c r="O2506" s="7" t="n"/>
      <c r="P2506" s="8">
        <f>IF(NOT(ISNUMBER(M2506)),"",IF(G2506="Terreno",IF(AND(ISNUMBER(I2506),I2506&gt;0),M2506/I2506,""),IF(AND(ISNUMBER(H2506),H2506&gt;0),M2506/H2506,"")))</f>
        <v/>
      </c>
      <c r="Q2506" s="9">
        <f>IF(AND(ISNUMBER(M2506),ISNUMBER(O2506)),IF(M2506&lt;=O2506,"Valor ≤ venal IPTU",""),"")</f>
        <v/>
      </c>
      <c r="R2506" s="10" t="n"/>
      <c r="S2506" s="10" t="n"/>
      <c r="AA2506" s="10" t="n"/>
      <c r="AB2506" s="11">
        <f>IF(LEN(TRIM(X2506))=0,"",HYPERLINK("https://www.google.com/maps/@?api=1&amp;map_action=pano&amp;viewpoint="&amp;SUBSTITUTE(X2506," ",""),"Abrir Street View"))</f>
        <v/>
      </c>
    </row>
    <row r="2507">
      <c r="H2507" s="6" t="n"/>
      <c r="I2507" s="6" t="n"/>
      <c r="M2507" s="7" t="n"/>
      <c r="N2507" s="7" t="n"/>
      <c r="O2507" s="7" t="n"/>
      <c r="P2507" s="8">
        <f>IF(NOT(ISNUMBER(M2507)),"",IF(G2507="Terreno",IF(AND(ISNUMBER(I2507),I2507&gt;0),M2507/I2507,""),IF(AND(ISNUMBER(H2507),H2507&gt;0),M2507/H2507,"")))</f>
        <v/>
      </c>
      <c r="Q2507" s="9">
        <f>IF(AND(ISNUMBER(M2507),ISNUMBER(O2507)),IF(M2507&lt;=O2507,"Valor ≤ venal IPTU",""),"")</f>
        <v/>
      </c>
      <c r="R2507" s="10" t="n"/>
      <c r="S2507" s="10" t="n"/>
      <c r="AA2507" s="10" t="n"/>
      <c r="AB2507" s="11">
        <f>IF(LEN(TRIM(X2507))=0,"",HYPERLINK("https://www.google.com/maps/@?api=1&amp;map_action=pano&amp;viewpoint="&amp;SUBSTITUTE(X2507," ",""),"Abrir Street View"))</f>
        <v/>
      </c>
    </row>
    <row r="2508">
      <c r="H2508" s="6" t="n"/>
      <c r="I2508" s="6" t="n"/>
      <c r="M2508" s="7" t="n"/>
      <c r="N2508" s="7" t="n"/>
      <c r="O2508" s="7" t="n"/>
      <c r="P2508" s="8">
        <f>IF(NOT(ISNUMBER(M2508)),"",IF(G2508="Terreno",IF(AND(ISNUMBER(I2508),I2508&gt;0),M2508/I2508,""),IF(AND(ISNUMBER(H2508),H2508&gt;0),M2508/H2508,"")))</f>
        <v/>
      </c>
      <c r="Q2508" s="9">
        <f>IF(AND(ISNUMBER(M2508),ISNUMBER(O2508)),IF(M2508&lt;=O2508,"Valor ≤ venal IPTU",""),"")</f>
        <v/>
      </c>
      <c r="R2508" s="10" t="n"/>
      <c r="S2508" s="10" t="n"/>
      <c r="AA2508" s="10" t="n"/>
      <c r="AB2508" s="11">
        <f>IF(LEN(TRIM(X2508))=0,"",HYPERLINK("https://www.google.com/maps/@?api=1&amp;map_action=pano&amp;viewpoint="&amp;SUBSTITUTE(X2508," ",""),"Abrir Street View"))</f>
        <v/>
      </c>
    </row>
    <row r="2509">
      <c r="H2509" s="6" t="n"/>
      <c r="I2509" s="6" t="n"/>
      <c r="M2509" s="7" t="n"/>
      <c r="N2509" s="7" t="n"/>
      <c r="O2509" s="7" t="n"/>
      <c r="P2509" s="8">
        <f>IF(NOT(ISNUMBER(M2509)),"",IF(G2509="Terreno",IF(AND(ISNUMBER(I2509),I2509&gt;0),M2509/I2509,""),IF(AND(ISNUMBER(H2509),H2509&gt;0),M2509/H2509,"")))</f>
        <v/>
      </c>
      <c r="Q2509" s="9">
        <f>IF(AND(ISNUMBER(M2509),ISNUMBER(O2509)),IF(M2509&lt;=O2509,"Valor ≤ venal IPTU",""),"")</f>
        <v/>
      </c>
      <c r="R2509" s="10" t="n"/>
      <c r="S2509" s="10" t="n"/>
      <c r="AA2509" s="10" t="n"/>
      <c r="AB2509" s="11">
        <f>IF(LEN(TRIM(X2509))=0,"",HYPERLINK("https://www.google.com/maps/@?api=1&amp;map_action=pano&amp;viewpoint="&amp;SUBSTITUTE(X2509," ",""),"Abrir Street View"))</f>
        <v/>
      </c>
    </row>
    <row r="2510">
      <c r="H2510" s="6" t="n"/>
      <c r="I2510" s="6" t="n"/>
      <c r="M2510" s="7" t="n"/>
      <c r="N2510" s="7" t="n"/>
      <c r="O2510" s="7" t="n"/>
      <c r="P2510" s="8">
        <f>IF(NOT(ISNUMBER(M2510)),"",IF(G2510="Terreno",IF(AND(ISNUMBER(I2510),I2510&gt;0),M2510/I2510,""),IF(AND(ISNUMBER(H2510),H2510&gt;0),M2510/H2510,"")))</f>
        <v/>
      </c>
      <c r="Q2510" s="9">
        <f>IF(AND(ISNUMBER(M2510),ISNUMBER(O2510)),IF(M2510&lt;=O2510,"Valor ≤ venal IPTU",""),"")</f>
        <v/>
      </c>
      <c r="R2510" s="10" t="n"/>
      <c r="S2510" s="10" t="n"/>
      <c r="AA2510" s="10" t="n"/>
      <c r="AB2510" s="11">
        <f>IF(LEN(TRIM(X2510))=0,"",HYPERLINK("https://www.google.com/maps/@?api=1&amp;map_action=pano&amp;viewpoint="&amp;SUBSTITUTE(X2510," ",""),"Abrir Street View"))</f>
        <v/>
      </c>
    </row>
    <row r="2511">
      <c r="H2511" s="6" t="n"/>
      <c r="I2511" s="6" t="n"/>
      <c r="M2511" s="7" t="n"/>
      <c r="N2511" s="7" t="n"/>
      <c r="O2511" s="7" t="n"/>
      <c r="P2511" s="8">
        <f>IF(NOT(ISNUMBER(M2511)),"",IF(G2511="Terreno",IF(AND(ISNUMBER(I2511),I2511&gt;0),M2511/I2511,""),IF(AND(ISNUMBER(H2511),H2511&gt;0),M2511/H2511,"")))</f>
        <v/>
      </c>
      <c r="Q2511" s="9">
        <f>IF(AND(ISNUMBER(M2511),ISNUMBER(O2511)),IF(M2511&lt;=O2511,"Valor ≤ venal IPTU",""),"")</f>
        <v/>
      </c>
      <c r="R2511" s="10" t="n"/>
      <c r="S2511" s="10" t="n"/>
      <c r="AA2511" s="10" t="n"/>
      <c r="AB2511" s="11">
        <f>IF(LEN(TRIM(X2511))=0,"",HYPERLINK("https://www.google.com/maps/@?api=1&amp;map_action=pano&amp;viewpoint="&amp;SUBSTITUTE(X2511," ",""),"Abrir Street View"))</f>
        <v/>
      </c>
    </row>
    <row r="2512">
      <c r="H2512" s="6" t="n"/>
      <c r="I2512" s="6" t="n"/>
      <c r="M2512" s="7" t="n"/>
      <c r="N2512" s="7" t="n"/>
      <c r="O2512" s="7" t="n"/>
      <c r="P2512" s="8">
        <f>IF(NOT(ISNUMBER(M2512)),"",IF(G2512="Terreno",IF(AND(ISNUMBER(I2512),I2512&gt;0),M2512/I2512,""),IF(AND(ISNUMBER(H2512),H2512&gt;0),M2512/H2512,"")))</f>
        <v/>
      </c>
      <c r="Q2512" s="9">
        <f>IF(AND(ISNUMBER(M2512),ISNUMBER(O2512)),IF(M2512&lt;=O2512,"Valor ≤ venal IPTU",""),"")</f>
        <v/>
      </c>
      <c r="R2512" s="10" t="n"/>
      <c r="S2512" s="10" t="n"/>
      <c r="AA2512" s="10" t="n"/>
      <c r="AB2512" s="11">
        <f>IF(LEN(TRIM(X2512))=0,"",HYPERLINK("https://www.google.com/maps/@?api=1&amp;map_action=pano&amp;viewpoint="&amp;SUBSTITUTE(X2512," ",""),"Abrir Street View"))</f>
        <v/>
      </c>
    </row>
    <row r="2513">
      <c r="H2513" s="6" t="n"/>
      <c r="I2513" s="6" t="n"/>
      <c r="M2513" s="7" t="n"/>
      <c r="N2513" s="7" t="n"/>
      <c r="O2513" s="7" t="n"/>
      <c r="P2513" s="8">
        <f>IF(NOT(ISNUMBER(M2513)),"",IF(G2513="Terreno",IF(AND(ISNUMBER(I2513),I2513&gt;0),M2513/I2513,""),IF(AND(ISNUMBER(H2513),H2513&gt;0),M2513/H2513,"")))</f>
        <v/>
      </c>
      <c r="Q2513" s="9">
        <f>IF(AND(ISNUMBER(M2513),ISNUMBER(O2513)),IF(M2513&lt;=O2513,"Valor ≤ venal IPTU",""),"")</f>
        <v/>
      </c>
      <c r="R2513" s="10" t="n"/>
      <c r="S2513" s="10" t="n"/>
      <c r="AA2513" s="10" t="n"/>
      <c r="AB2513" s="11">
        <f>IF(LEN(TRIM(X2513))=0,"",HYPERLINK("https://www.google.com/maps/@?api=1&amp;map_action=pano&amp;viewpoint="&amp;SUBSTITUTE(X2513," ",""),"Abrir Street View"))</f>
        <v/>
      </c>
    </row>
    <row r="2514">
      <c r="H2514" s="6" t="n"/>
      <c r="I2514" s="6" t="n"/>
      <c r="M2514" s="7" t="n"/>
      <c r="N2514" s="7" t="n"/>
      <c r="O2514" s="7" t="n"/>
      <c r="P2514" s="8">
        <f>IF(NOT(ISNUMBER(M2514)),"",IF(G2514="Terreno",IF(AND(ISNUMBER(I2514),I2514&gt;0),M2514/I2514,""),IF(AND(ISNUMBER(H2514),H2514&gt;0),M2514/H2514,"")))</f>
        <v/>
      </c>
      <c r="Q2514" s="9">
        <f>IF(AND(ISNUMBER(M2514),ISNUMBER(O2514)),IF(M2514&lt;=O2514,"Valor ≤ venal IPTU",""),"")</f>
        <v/>
      </c>
      <c r="R2514" s="10" t="n"/>
      <c r="S2514" s="10" t="n"/>
      <c r="AA2514" s="10" t="n"/>
      <c r="AB2514" s="11">
        <f>IF(LEN(TRIM(X2514))=0,"",HYPERLINK("https://www.google.com/maps/@?api=1&amp;map_action=pano&amp;viewpoint="&amp;SUBSTITUTE(X2514," ",""),"Abrir Street View"))</f>
        <v/>
      </c>
    </row>
    <row r="2515">
      <c r="H2515" s="6" t="n"/>
      <c r="I2515" s="6" t="n"/>
      <c r="M2515" s="7" t="n"/>
      <c r="N2515" s="7" t="n"/>
      <c r="O2515" s="7" t="n"/>
      <c r="P2515" s="8">
        <f>IF(NOT(ISNUMBER(M2515)),"",IF(G2515="Terreno",IF(AND(ISNUMBER(I2515),I2515&gt;0),M2515/I2515,""),IF(AND(ISNUMBER(H2515),H2515&gt;0),M2515/H2515,"")))</f>
        <v/>
      </c>
      <c r="Q2515" s="9">
        <f>IF(AND(ISNUMBER(M2515),ISNUMBER(O2515)),IF(M2515&lt;=O2515,"Valor ≤ venal IPTU",""),"")</f>
        <v/>
      </c>
      <c r="R2515" s="10" t="n"/>
      <c r="S2515" s="10" t="n"/>
      <c r="AA2515" s="10" t="n"/>
      <c r="AB2515" s="11">
        <f>IF(LEN(TRIM(X2515))=0,"",HYPERLINK("https://www.google.com/maps/@?api=1&amp;map_action=pano&amp;viewpoint="&amp;SUBSTITUTE(X2515," ",""),"Abrir Street View"))</f>
        <v/>
      </c>
    </row>
    <row r="2516">
      <c r="H2516" s="6" t="n"/>
      <c r="I2516" s="6" t="n"/>
      <c r="M2516" s="7" t="n"/>
      <c r="N2516" s="7" t="n"/>
      <c r="O2516" s="7" t="n"/>
      <c r="P2516" s="8">
        <f>IF(NOT(ISNUMBER(M2516)),"",IF(G2516="Terreno",IF(AND(ISNUMBER(I2516),I2516&gt;0),M2516/I2516,""),IF(AND(ISNUMBER(H2516),H2516&gt;0),M2516/H2516,"")))</f>
        <v/>
      </c>
      <c r="Q2516" s="9">
        <f>IF(AND(ISNUMBER(M2516),ISNUMBER(O2516)),IF(M2516&lt;=O2516,"Valor ≤ venal IPTU",""),"")</f>
        <v/>
      </c>
      <c r="R2516" s="10" t="n"/>
      <c r="S2516" s="10" t="n"/>
      <c r="AA2516" s="10" t="n"/>
      <c r="AB2516" s="11">
        <f>IF(LEN(TRIM(X2516))=0,"",HYPERLINK("https://www.google.com/maps/@?api=1&amp;map_action=pano&amp;viewpoint="&amp;SUBSTITUTE(X2516," ",""),"Abrir Street View"))</f>
        <v/>
      </c>
    </row>
    <row r="2517">
      <c r="H2517" s="6" t="n"/>
      <c r="I2517" s="6" t="n"/>
      <c r="M2517" s="7" t="n"/>
      <c r="N2517" s="7" t="n"/>
      <c r="O2517" s="7" t="n"/>
      <c r="P2517" s="8">
        <f>IF(NOT(ISNUMBER(M2517)),"",IF(G2517="Terreno",IF(AND(ISNUMBER(I2517),I2517&gt;0),M2517/I2517,""),IF(AND(ISNUMBER(H2517),H2517&gt;0),M2517/H2517,"")))</f>
        <v/>
      </c>
      <c r="Q2517" s="9">
        <f>IF(AND(ISNUMBER(M2517),ISNUMBER(O2517)),IF(M2517&lt;=O2517,"Valor ≤ venal IPTU",""),"")</f>
        <v/>
      </c>
      <c r="R2517" s="10" t="n"/>
      <c r="S2517" s="10" t="n"/>
      <c r="AA2517" s="10" t="n"/>
      <c r="AB2517" s="11">
        <f>IF(LEN(TRIM(X2517))=0,"",HYPERLINK("https://www.google.com/maps/@?api=1&amp;map_action=pano&amp;viewpoint="&amp;SUBSTITUTE(X2517," ",""),"Abrir Street View"))</f>
        <v/>
      </c>
    </row>
    <row r="2518">
      <c r="H2518" s="6" t="n"/>
      <c r="I2518" s="6" t="n"/>
      <c r="M2518" s="7" t="n"/>
      <c r="N2518" s="7" t="n"/>
      <c r="O2518" s="7" t="n"/>
      <c r="P2518" s="8">
        <f>IF(NOT(ISNUMBER(M2518)),"",IF(G2518="Terreno",IF(AND(ISNUMBER(I2518),I2518&gt;0),M2518/I2518,""),IF(AND(ISNUMBER(H2518),H2518&gt;0),M2518/H2518,"")))</f>
        <v/>
      </c>
      <c r="Q2518" s="9">
        <f>IF(AND(ISNUMBER(M2518),ISNUMBER(O2518)),IF(M2518&lt;=O2518,"Valor ≤ venal IPTU",""),"")</f>
        <v/>
      </c>
      <c r="R2518" s="10" t="n"/>
      <c r="S2518" s="10" t="n"/>
      <c r="AA2518" s="10" t="n"/>
      <c r="AB2518" s="11">
        <f>IF(LEN(TRIM(X2518))=0,"",HYPERLINK("https://www.google.com/maps/@?api=1&amp;map_action=pano&amp;viewpoint="&amp;SUBSTITUTE(X2518," ",""),"Abrir Street View"))</f>
        <v/>
      </c>
    </row>
    <row r="2519">
      <c r="H2519" s="6" t="n"/>
      <c r="I2519" s="6" t="n"/>
      <c r="M2519" s="7" t="n"/>
      <c r="N2519" s="7" t="n"/>
      <c r="O2519" s="7" t="n"/>
      <c r="P2519" s="8">
        <f>IF(NOT(ISNUMBER(M2519)),"",IF(G2519="Terreno",IF(AND(ISNUMBER(I2519),I2519&gt;0),M2519/I2519,""),IF(AND(ISNUMBER(H2519),H2519&gt;0),M2519/H2519,"")))</f>
        <v/>
      </c>
      <c r="Q2519" s="9">
        <f>IF(AND(ISNUMBER(M2519),ISNUMBER(O2519)),IF(M2519&lt;=O2519,"Valor ≤ venal IPTU",""),"")</f>
        <v/>
      </c>
      <c r="R2519" s="10" t="n"/>
      <c r="S2519" s="10" t="n"/>
      <c r="AA2519" s="10" t="n"/>
      <c r="AB2519" s="11">
        <f>IF(LEN(TRIM(X2519))=0,"",HYPERLINK("https://www.google.com/maps/@?api=1&amp;map_action=pano&amp;viewpoint="&amp;SUBSTITUTE(X2519," ",""),"Abrir Street View"))</f>
        <v/>
      </c>
    </row>
    <row r="2520">
      <c r="H2520" s="6" t="n"/>
      <c r="I2520" s="6" t="n"/>
      <c r="M2520" s="7" t="n"/>
      <c r="N2520" s="7" t="n"/>
      <c r="O2520" s="7" t="n"/>
      <c r="P2520" s="8">
        <f>IF(NOT(ISNUMBER(M2520)),"",IF(G2520="Terreno",IF(AND(ISNUMBER(I2520),I2520&gt;0),M2520/I2520,""),IF(AND(ISNUMBER(H2520),H2520&gt;0),M2520/H2520,"")))</f>
        <v/>
      </c>
      <c r="Q2520" s="9">
        <f>IF(AND(ISNUMBER(M2520),ISNUMBER(O2520)),IF(M2520&lt;=O2520,"Valor ≤ venal IPTU",""),"")</f>
        <v/>
      </c>
      <c r="R2520" s="10" t="n"/>
      <c r="S2520" s="10" t="n"/>
      <c r="AA2520" s="10" t="n"/>
      <c r="AB2520" s="11">
        <f>IF(LEN(TRIM(X2520))=0,"",HYPERLINK("https://www.google.com/maps/@?api=1&amp;map_action=pano&amp;viewpoint="&amp;SUBSTITUTE(X2520," ",""),"Abrir Street View"))</f>
        <v/>
      </c>
    </row>
    <row r="2521">
      <c r="H2521" s="6" t="n"/>
      <c r="I2521" s="6" t="n"/>
      <c r="M2521" s="7" t="n"/>
      <c r="N2521" s="7" t="n"/>
      <c r="O2521" s="7" t="n"/>
      <c r="P2521" s="8">
        <f>IF(NOT(ISNUMBER(M2521)),"",IF(G2521="Terreno",IF(AND(ISNUMBER(I2521),I2521&gt;0),M2521/I2521,""),IF(AND(ISNUMBER(H2521),H2521&gt;0),M2521/H2521,"")))</f>
        <v/>
      </c>
      <c r="Q2521" s="9">
        <f>IF(AND(ISNUMBER(M2521),ISNUMBER(O2521)),IF(M2521&lt;=O2521,"Valor ≤ venal IPTU",""),"")</f>
        <v/>
      </c>
      <c r="R2521" s="10" t="n"/>
      <c r="S2521" s="10" t="n"/>
      <c r="AA2521" s="10" t="n"/>
      <c r="AB2521" s="11">
        <f>IF(LEN(TRIM(X2521))=0,"",HYPERLINK("https://www.google.com/maps/@?api=1&amp;map_action=pano&amp;viewpoint="&amp;SUBSTITUTE(X2521," ",""),"Abrir Street View"))</f>
        <v/>
      </c>
    </row>
    <row r="2522">
      <c r="H2522" s="6" t="n"/>
      <c r="I2522" s="6" t="n"/>
      <c r="M2522" s="7" t="n"/>
      <c r="N2522" s="7" t="n"/>
      <c r="O2522" s="7" t="n"/>
      <c r="P2522" s="8">
        <f>IF(NOT(ISNUMBER(M2522)),"",IF(G2522="Terreno",IF(AND(ISNUMBER(I2522),I2522&gt;0),M2522/I2522,""),IF(AND(ISNUMBER(H2522),H2522&gt;0),M2522/H2522,"")))</f>
        <v/>
      </c>
      <c r="Q2522" s="9">
        <f>IF(AND(ISNUMBER(M2522),ISNUMBER(O2522)),IF(M2522&lt;=O2522,"Valor ≤ venal IPTU",""),"")</f>
        <v/>
      </c>
      <c r="R2522" s="10" t="n"/>
      <c r="S2522" s="10" t="n"/>
      <c r="AA2522" s="10" t="n"/>
      <c r="AB2522" s="11">
        <f>IF(LEN(TRIM(X2522))=0,"",HYPERLINK("https://www.google.com/maps/@?api=1&amp;map_action=pano&amp;viewpoint="&amp;SUBSTITUTE(X2522," ",""),"Abrir Street View"))</f>
        <v/>
      </c>
    </row>
    <row r="2523">
      <c r="H2523" s="6" t="n"/>
      <c r="I2523" s="6" t="n"/>
      <c r="M2523" s="7" t="n"/>
      <c r="N2523" s="7" t="n"/>
      <c r="O2523" s="7" t="n"/>
      <c r="P2523" s="8">
        <f>IF(NOT(ISNUMBER(M2523)),"",IF(G2523="Terreno",IF(AND(ISNUMBER(I2523),I2523&gt;0),M2523/I2523,""),IF(AND(ISNUMBER(H2523),H2523&gt;0),M2523/H2523,"")))</f>
        <v/>
      </c>
      <c r="Q2523" s="9">
        <f>IF(AND(ISNUMBER(M2523),ISNUMBER(O2523)),IF(M2523&lt;=O2523,"Valor ≤ venal IPTU",""),"")</f>
        <v/>
      </c>
      <c r="R2523" s="10" t="n"/>
      <c r="S2523" s="10" t="n"/>
      <c r="AA2523" s="10" t="n"/>
      <c r="AB2523" s="11">
        <f>IF(LEN(TRIM(X2523))=0,"",HYPERLINK("https://www.google.com/maps/@?api=1&amp;map_action=pano&amp;viewpoint="&amp;SUBSTITUTE(X2523," ",""),"Abrir Street View"))</f>
        <v/>
      </c>
    </row>
    <row r="2524">
      <c r="H2524" s="6" t="n"/>
      <c r="I2524" s="6" t="n"/>
      <c r="M2524" s="7" t="n"/>
      <c r="N2524" s="7" t="n"/>
      <c r="O2524" s="7" t="n"/>
      <c r="P2524" s="8">
        <f>IF(NOT(ISNUMBER(M2524)),"",IF(G2524="Terreno",IF(AND(ISNUMBER(I2524),I2524&gt;0),M2524/I2524,""),IF(AND(ISNUMBER(H2524),H2524&gt;0),M2524/H2524,"")))</f>
        <v/>
      </c>
      <c r="Q2524" s="9">
        <f>IF(AND(ISNUMBER(M2524),ISNUMBER(O2524)),IF(M2524&lt;=O2524,"Valor ≤ venal IPTU",""),"")</f>
        <v/>
      </c>
      <c r="R2524" s="10" t="n"/>
      <c r="S2524" s="10" t="n"/>
      <c r="AA2524" s="10" t="n"/>
      <c r="AB2524" s="11">
        <f>IF(LEN(TRIM(X2524))=0,"",HYPERLINK("https://www.google.com/maps/@?api=1&amp;map_action=pano&amp;viewpoint="&amp;SUBSTITUTE(X2524," ",""),"Abrir Street View"))</f>
        <v/>
      </c>
    </row>
    <row r="2525">
      <c r="H2525" s="6" t="n"/>
      <c r="I2525" s="6" t="n"/>
      <c r="M2525" s="7" t="n"/>
      <c r="N2525" s="7" t="n"/>
      <c r="O2525" s="7" t="n"/>
      <c r="P2525" s="8">
        <f>IF(NOT(ISNUMBER(M2525)),"",IF(G2525="Terreno",IF(AND(ISNUMBER(I2525),I2525&gt;0),M2525/I2525,""),IF(AND(ISNUMBER(H2525),H2525&gt;0),M2525/H2525,"")))</f>
        <v/>
      </c>
      <c r="Q2525" s="9">
        <f>IF(AND(ISNUMBER(M2525),ISNUMBER(O2525)),IF(M2525&lt;=O2525,"Valor ≤ venal IPTU",""),"")</f>
        <v/>
      </c>
      <c r="R2525" s="10" t="n"/>
      <c r="S2525" s="10" t="n"/>
      <c r="AA2525" s="10" t="n"/>
      <c r="AB2525" s="11">
        <f>IF(LEN(TRIM(X2525))=0,"",HYPERLINK("https://www.google.com/maps/@?api=1&amp;map_action=pano&amp;viewpoint="&amp;SUBSTITUTE(X2525," ",""),"Abrir Street View"))</f>
        <v/>
      </c>
    </row>
    <row r="2526">
      <c r="H2526" s="6" t="n"/>
      <c r="I2526" s="6" t="n"/>
      <c r="M2526" s="7" t="n"/>
      <c r="N2526" s="7" t="n"/>
      <c r="O2526" s="7" t="n"/>
      <c r="P2526" s="8">
        <f>IF(NOT(ISNUMBER(M2526)),"",IF(G2526="Terreno",IF(AND(ISNUMBER(I2526),I2526&gt;0),M2526/I2526,""),IF(AND(ISNUMBER(H2526),H2526&gt;0),M2526/H2526,"")))</f>
        <v/>
      </c>
      <c r="Q2526" s="9">
        <f>IF(AND(ISNUMBER(M2526),ISNUMBER(O2526)),IF(M2526&lt;=O2526,"Valor ≤ venal IPTU",""),"")</f>
        <v/>
      </c>
      <c r="R2526" s="10" t="n"/>
      <c r="S2526" s="10" t="n"/>
      <c r="AA2526" s="10" t="n"/>
      <c r="AB2526" s="11">
        <f>IF(LEN(TRIM(X2526))=0,"",HYPERLINK("https://www.google.com/maps/@?api=1&amp;map_action=pano&amp;viewpoint="&amp;SUBSTITUTE(X2526," ",""),"Abrir Street View"))</f>
        <v/>
      </c>
    </row>
    <row r="2527">
      <c r="H2527" s="6" t="n"/>
      <c r="I2527" s="6" t="n"/>
      <c r="M2527" s="7" t="n"/>
      <c r="N2527" s="7" t="n"/>
      <c r="O2527" s="7" t="n"/>
      <c r="P2527" s="8">
        <f>IF(NOT(ISNUMBER(M2527)),"",IF(G2527="Terreno",IF(AND(ISNUMBER(I2527),I2527&gt;0),M2527/I2527,""),IF(AND(ISNUMBER(H2527),H2527&gt;0),M2527/H2527,"")))</f>
        <v/>
      </c>
      <c r="Q2527" s="9">
        <f>IF(AND(ISNUMBER(M2527),ISNUMBER(O2527)),IF(M2527&lt;=O2527,"Valor ≤ venal IPTU",""),"")</f>
        <v/>
      </c>
      <c r="R2527" s="10" t="n"/>
      <c r="S2527" s="10" t="n"/>
      <c r="AA2527" s="10" t="n"/>
      <c r="AB2527" s="11">
        <f>IF(LEN(TRIM(X2527))=0,"",HYPERLINK("https://www.google.com/maps/@?api=1&amp;map_action=pano&amp;viewpoint="&amp;SUBSTITUTE(X2527," ",""),"Abrir Street View"))</f>
        <v/>
      </c>
    </row>
    <row r="2528">
      <c r="H2528" s="6" t="n"/>
      <c r="I2528" s="6" t="n"/>
      <c r="M2528" s="7" t="n"/>
      <c r="N2528" s="7" t="n"/>
      <c r="O2528" s="7" t="n"/>
      <c r="P2528" s="8">
        <f>IF(NOT(ISNUMBER(M2528)),"",IF(G2528="Terreno",IF(AND(ISNUMBER(I2528),I2528&gt;0),M2528/I2528,""),IF(AND(ISNUMBER(H2528),H2528&gt;0),M2528/H2528,"")))</f>
        <v/>
      </c>
      <c r="Q2528" s="9">
        <f>IF(AND(ISNUMBER(M2528),ISNUMBER(O2528)),IF(M2528&lt;=O2528,"Valor ≤ venal IPTU",""),"")</f>
        <v/>
      </c>
      <c r="R2528" s="10" t="n"/>
      <c r="S2528" s="10" t="n"/>
      <c r="AA2528" s="10" t="n"/>
      <c r="AB2528" s="11">
        <f>IF(LEN(TRIM(X2528))=0,"",HYPERLINK("https://www.google.com/maps/@?api=1&amp;map_action=pano&amp;viewpoint="&amp;SUBSTITUTE(X2528," ",""),"Abrir Street View"))</f>
        <v/>
      </c>
    </row>
    <row r="2529">
      <c r="H2529" s="6" t="n"/>
      <c r="I2529" s="6" t="n"/>
      <c r="M2529" s="7" t="n"/>
      <c r="N2529" s="7" t="n"/>
      <c r="O2529" s="7" t="n"/>
      <c r="P2529" s="8">
        <f>IF(NOT(ISNUMBER(M2529)),"",IF(G2529="Terreno",IF(AND(ISNUMBER(I2529),I2529&gt;0),M2529/I2529,""),IF(AND(ISNUMBER(H2529),H2529&gt;0),M2529/H2529,"")))</f>
        <v/>
      </c>
      <c r="Q2529" s="9">
        <f>IF(AND(ISNUMBER(M2529),ISNUMBER(O2529)),IF(M2529&lt;=O2529,"Valor ≤ venal IPTU",""),"")</f>
        <v/>
      </c>
      <c r="R2529" s="10" t="n"/>
      <c r="S2529" s="10" t="n"/>
      <c r="AA2529" s="10" t="n"/>
      <c r="AB2529" s="11">
        <f>IF(LEN(TRIM(X2529))=0,"",HYPERLINK("https://www.google.com/maps/@?api=1&amp;map_action=pano&amp;viewpoint="&amp;SUBSTITUTE(X2529," ",""),"Abrir Street View"))</f>
        <v/>
      </c>
    </row>
    <row r="2530">
      <c r="H2530" s="6" t="n"/>
      <c r="I2530" s="6" t="n"/>
      <c r="M2530" s="7" t="n"/>
      <c r="N2530" s="7" t="n"/>
      <c r="O2530" s="7" t="n"/>
      <c r="P2530" s="8">
        <f>IF(NOT(ISNUMBER(M2530)),"",IF(G2530="Terreno",IF(AND(ISNUMBER(I2530),I2530&gt;0),M2530/I2530,""),IF(AND(ISNUMBER(H2530),H2530&gt;0),M2530/H2530,"")))</f>
        <v/>
      </c>
      <c r="Q2530" s="9">
        <f>IF(AND(ISNUMBER(M2530),ISNUMBER(O2530)),IF(M2530&lt;=O2530,"Valor ≤ venal IPTU",""),"")</f>
        <v/>
      </c>
      <c r="R2530" s="10" t="n"/>
      <c r="S2530" s="10" t="n"/>
      <c r="AA2530" s="10" t="n"/>
      <c r="AB2530" s="11">
        <f>IF(LEN(TRIM(X2530))=0,"",HYPERLINK("https://www.google.com/maps/@?api=1&amp;map_action=pano&amp;viewpoint="&amp;SUBSTITUTE(X2530," ",""),"Abrir Street View"))</f>
        <v/>
      </c>
    </row>
    <row r="2531">
      <c r="H2531" s="6" t="n"/>
      <c r="I2531" s="6" t="n"/>
      <c r="M2531" s="7" t="n"/>
      <c r="N2531" s="7" t="n"/>
      <c r="O2531" s="7" t="n"/>
      <c r="P2531" s="8">
        <f>IF(NOT(ISNUMBER(M2531)),"",IF(G2531="Terreno",IF(AND(ISNUMBER(I2531),I2531&gt;0),M2531/I2531,""),IF(AND(ISNUMBER(H2531),H2531&gt;0),M2531/H2531,"")))</f>
        <v/>
      </c>
      <c r="Q2531" s="9">
        <f>IF(AND(ISNUMBER(M2531),ISNUMBER(O2531)),IF(M2531&lt;=O2531,"Valor ≤ venal IPTU",""),"")</f>
        <v/>
      </c>
      <c r="R2531" s="10" t="n"/>
      <c r="S2531" s="10" t="n"/>
      <c r="AA2531" s="10" t="n"/>
      <c r="AB2531" s="11">
        <f>IF(LEN(TRIM(X2531))=0,"",HYPERLINK("https://www.google.com/maps/@?api=1&amp;map_action=pano&amp;viewpoint="&amp;SUBSTITUTE(X2531," ",""),"Abrir Street View"))</f>
        <v/>
      </c>
    </row>
    <row r="2532">
      <c r="H2532" s="6" t="n"/>
      <c r="I2532" s="6" t="n"/>
      <c r="M2532" s="7" t="n"/>
      <c r="N2532" s="7" t="n"/>
      <c r="O2532" s="7" t="n"/>
      <c r="P2532" s="8">
        <f>IF(NOT(ISNUMBER(M2532)),"",IF(G2532="Terreno",IF(AND(ISNUMBER(I2532),I2532&gt;0),M2532/I2532,""),IF(AND(ISNUMBER(H2532),H2532&gt;0),M2532/H2532,"")))</f>
        <v/>
      </c>
      <c r="Q2532" s="9">
        <f>IF(AND(ISNUMBER(M2532),ISNUMBER(O2532)),IF(M2532&lt;=O2532,"Valor ≤ venal IPTU",""),"")</f>
        <v/>
      </c>
      <c r="R2532" s="10" t="n"/>
      <c r="S2532" s="10" t="n"/>
      <c r="AA2532" s="10" t="n"/>
      <c r="AB2532" s="11">
        <f>IF(LEN(TRIM(X2532))=0,"",HYPERLINK("https://www.google.com/maps/@?api=1&amp;map_action=pano&amp;viewpoint="&amp;SUBSTITUTE(X2532," ",""),"Abrir Street View"))</f>
        <v/>
      </c>
    </row>
    <row r="2533">
      <c r="H2533" s="6" t="n"/>
      <c r="I2533" s="6" t="n"/>
      <c r="M2533" s="7" t="n"/>
      <c r="N2533" s="7" t="n"/>
      <c r="O2533" s="7" t="n"/>
      <c r="P2533" s="8">
        <f>IF(NOT(ISNUMBER(M2533)),"",IF(G2533="Terreno",IF(AND(ISNUMBER(I2533),I2533&gt;0),M2533/I2533,""),IF(AND(ISNUMBER(H2533),H2533&gt;0),M2533/H2533,"")))</f>
        <v/>
      </c>
      <c r="Q2533" s="9">
        <f>IF(AND(ISNUMBER(M2533),ISNUMBER(O2533)),IF(M2533&lt;=O2533,"Valor ≤ venal IPTU",""),"")</f>
        <v/>
      </c>
      <c r="R2533" s="10" t="n"/>
      <c r="S2533" s="10" t="n"/>
      <c r="AA2533" s="10" t="n"/>
      <c r="AB2533" s="11">
        <f>IF(LEN(TRIM(X2533))=0,"",HYPERLINK("https://www.google.com/maps/@?api=1&amp;map_action=pano&amp;viewpoint="&amp;SUBSTITUTE(X2533," ",""),"Abrir Street View"))</f>
        <v/>
      </c>
    </row>
    <row r="2534">
      <c r="H2534" s="6" t="n"/>
      <c r="I2534" s="6" t="n"/>
      <c r="M2534" s="7" t="n"/>
      <c r="N2534" s="7" t="n"/>
      <c r="O2534" s="7" t="n"/>
      <c r="P2534" s="8">
        <f>IF(NOT(ISNUMBER(M2534)),"",IF(G2534="Terreno",IF(AND(ISNUMBER(I2534),I2534&gt;0),M2534/I2534,""),IF(AND(ISNUMBER(H2534),H2534&gt;0),M2534/H2534,"")))</f>
        <v/>
      </c>
      <c r="Q2534" s="9">
        <f>IF(AND(ISNUMBER(M2534),ISNUMBER(O2534)),IF(M2534&lt;=O2534,"Valor ≤ venal IPTU",""),"")</f>
        <v/>
      </c>
      <c r="R2534" s="10" t="n"/>
      <c r="S2534" s="10" t="n"/>
      <c r="AA2534" s="10" t="n"/>
      <c r="AB2534" s="11">
        <f>IF(LEN(TRIM(X2534))=0,"",HYPERLINK("https://www.google.com/maps/@?api=1&amp;map_action=pano&amp;viewpoint="&amp;SUBSTITUTE(X2534," ",""),"Abrir Street View"))</f>
        <v/>
      </c>
    </row>
    <row r="2535">
      <c r="H2535" s="6" t="n"/>
      <c r="I2535" s="6" t="n"/>
      <c r="M2535" s="7" t="n"/>
      <c r="N2535" s="7" t="n"/>
      <c r="O2535" s="7" t="n"/>
      <c r="P2535" s="8">
        <f>IF(NOT(ISNUMBER(M2535)),"",IF(G2535="Terreno",IF(AND(ISNUMBER(I2535),I2535&gt;0),M2535/I2535,""),IF(AND(ISNUMBER(H2535),H2535&gt;0),M2535/H2535,"")))</f>
        <v/>
      </c>
      <c r="Q2535" s="9">
        <f>IF(AND(ISNUMBER(M2535),ISNUMBER(O2535)),IF(M2535&lt;=O2535,"Valor ≤ venal IPTU",""),"")</f>
        <v/>
      </c>
      <c r="R2535" s="10" t="n"/>
      <c r="S2535" s="10" t="n"/>
      <c r="AA2535" s="10" t="n"/>
      <c r="AB2535" s="11">
        <f>IF(LEN(TRIM(X2535))=0,"",HYPERLINK("https://www.google.com/maps/@?api=1&amp;map_action=pano&amp;viewpoint="&amp;SUBSTITUTE(X2535," ",""),"Abrir Street View"))</f>
        <v/>
      </c>
    </row>
    <row r="2536">
      <c r="H2536" s="6" t="n"/>
      <c r="I2536" s="6" t="n"/>
      <c r="M2536" s="7" t="n"/>
      <c r="N2536" s="7" t="n"/>
      <c r="O2536" s="7" t="n"/>
      <c r="P2536" s="8">
        <f>IF(NOT(ISNUMBER(M2536)),"",IF(G2536="Terreno",IF(AND(ISNUMBER(I2536),I2536&gt;0),M2536/I2536,""),IF(AND(ISNUMBER(H2536),H2536&gt;0),M2536/H2536,"")))</f>
        <v/>
      </c>
      <c r="Q2536" s="9">
        <f>IF(AND(ISNUMBER(M2536),ISNUMBER(O2536)),IF(M2536&lt;=O2536,"Valor ≤ venal IPTU",""),"")</f>
        <v/>
      </c>
      <c r="R2536" s="10" t="n"/>
      <c r="S2536" s="10" t="n"/>
      <c r="AA2536" s="10" t="n"/>
      <c r="AB2536" s="11">
        <f>IF(LEN(TRIM(X2536))=0,"",HYPERLINK("https://www.google.com/maps/@?api=1&amp;map_action=pano&amp;viewpoint="&amp;SUBSTITUTE(X2536," ",""),"Abrir Street View"))</f>
        <v/>
      </c>
    </row>
    <row r="2537">
      <c r="H2537" s="6" t="n"/>
      <c r="I2537" s="6" t="n"/>
      <c r="M2537" s="7" t="n"/>
      <c r="N2537" s="7" t="n"/>
      <c r="O2537" s="7" t="n"/>
      <c r="P2537" s="8">
        <f>IF(NOT(ISNUMBER(M2537)),"",IF(G2537="Terreno",IF(AND(ISNUMBER(I2537),I2537&gt;0),M2537/I2537,""),IF(AND(ISNUMBER(H2537),H2537&gt;0),M2537/H2537,"")))</f>
        <v/>
      </c>
      <c r="Q2537" s="9">
        <f>IF(AND(ISNUMBER(M2537),ISNUMBER(O2537)),IF(M2537&lt;=O2537,"Valor ≤ venal IPTU",""),"")</f>
        <v/>
      </c>
      <c r="R2537" s="10" t="n"/>
      <c r="S2537" s="10" t="n"/>
      <c r="AA2537" s="10" t="n"/>
      <c r="AB2537" s="11">
        <f>IF(LEN(TRIM(X2537))=0,"",HYPERLINK("https://www.google.com/maps/@?api=1&amp;map_action=pano&amp;viewpoint="&amp;SUBSTITUTE(X2537," ",""),"Abrir Street View"))</f>
        <v/>
      </c>
    </row>
    <row r="2538">
      <c r="H2538" s="6" t="n"/>
      <c r="I2538" s="6" t="n"/>
      <c r="M2538" s="7" t="n"/>
      <c r="N2538" s="7" t="n"/>
      <c r="O2538" s="7" t="n"/>
      <c r="P2538" s="8">
        <f>IF(NOT(ISNUMBER(M2538)),"",IF(G2538="Terreno",IF(AND(ISNUMBER(I2538),I2538&gt;0),M2538/I2538,""),IF(AND(ISNUMBER(H2538),H2538&gt;0),M2538/H2538,"")))</f>
        <v/>
      </c>
      <c r="Q2538" s="9">
        <f>IF(AND(ISNUMBER(M2538),ISNUMBER(O2538)),IF(M2538&lt;=O2538,"Valor ≤ venal IPTU",""),"")</f>
        <v/>
      </c>
      <c r="R2538" s="10" t="n"/>
      <c r="S2538" s="10" t="n"/>
      <c r="AA2538" s="10" t="n"/>
      <c r="AB2538" s="11">
        <f>IF(LEN(TRIM(X2538))=0,"",HYPERLINK("https://www.google.com/maps/@?api=1&amp;map_action=pano&amp;viewpoint="&amp;SUBSTITUTE(X2538," ",""),"Abrir Street View"))</f>
        <v/>
      </c>
    </row>
    <row r="2539">
      <c r="H2539" s="6" t="n"/>
      <c r="I2539" s="6" t="n"/>
      <c r="M2539" s="7" t="n"/>
      <c r="N2539" s="7" t="n"/>
      <c r="O2539" s="7" t="n"/>
      <c r="P2539" s="8">
        <f>IF(NOT(ISNUMBER(M2539)),"",IF(G2539="Terreno",IF(AND(ISNUMBER(I2539),I2539&gt;0),M2539/I2539,""),IF(AND(ISNUMBER(H2539),H2539&gt;0),M2539/H2539,"")))</f>
        <v/>
      </c>
      <c r="Q2539" s="9">
        <f>IF(AND(ISNUMBER(M2539),ISNUMBER(O2539)),IF(M2539&lt;=O2539,"Valor ≤ venal IPTU",""),"")</f>
        <v/>
      </c>
      <c r="R2539" s="10" t="n"/>
      <c r="S2539" s="10" t="n"/>
      <c r="AA2539" s="10" t="n"/>
      <c r="AB2539" s="11">
        <f>IF(LEN(TRIM(X2539))=0,"",HYPERLINK("https://www.google.com/maps/@?api=1&amp;map_action=pano&amp;viewpoint="&amp;SUBSTITUTE(X2539," ",""),"Abrir Street View"))</f>
        <v/>
      </c>
    </row>
    <row r="2540">
      <c r="H2540" s="6" t="n"/>
      <c r="I2540" s="6" t="n"/>
      <c r="M2540" s="7" t="n"/>
      <c r="N2540" s="7" t="n"/>
      <c r="O2540" s="7" t="n"/>
      <c r="P2540" s="8">
        <f>IF(NOT(ISNUMBER(M2540)),"",IF(G2540="Terreno",IF(AND(ISNUMBER(I2540),I2540&gt;0),M2540/I2540,""),IF(AND(ISNUMBER(H2540),H2540&gt;0),M2540/H2540,"")))</f>
        <v/>
      </c>
      <c r="Q2540" s="9">
        <f>IF(AND(ISNUMBER(M2540),ISNUMBER(O2540)),IF(M2540&lt;=O2540,"Valor ≤ venal IPTU",""),"")</f>
        <v/>
      </c>
      <c r="R2540" s="10" t="n"/>
      <c r="S2540" s="10" t="n"/>
      <c r="AA2540" s="10" t="n"/>
      <c r="AB2540" s="11">
        <f>IF(LEN(TRIM(X2540))=0,"",HYPERLINK("https://www.google.com/maps/@?api=1&amp;map_action=pano&amp;viewpoint="&amp;SUBSTITUTE(X2540," ",""),"Abrir Street View"))</f>
        <v/>
      </c>
    </row>
    <row r="2541">
      <c r="H2541" s="6" t="n"/>
      <c r="I2541" s="6" t="n"/>
      <c r="M2541" s="7" t="n"/>
      <c r="N2541" s="7" t="n"/>
      <c r="O2541" s="7" t="n"/>
      <c r="P2541" s="8">
        <f>IF(NOT(ISNUMBER(M2541)),"",IF(G2541="Terreno",IF(AND(ISNUMBER(I2541),I2541&gt;0),M2541/I2541,""),IF(AND(ISNUMBER(H2541),H2541&gt;0),M2541/H2541,"")))</f>
        <v/>
      </c>
      <c r="Q2541" s="9">
        <f>IF(AND(ISNUMBER(M2541),ISNUMBER(O2541)),IF(M2541&lt;=O2541,"Valor ≤ venal IPTU",""),"")</f>
        <v/>
      </c>
      <c r="R2541" s="10" t="n"/>
      <c r="S2541" s="10" t="n"/>
      <c r="AA2541" s="10" t="n"/>
      <c r="AB2541" s="11">
        <f>IF(LEN(TRIM(X2541))=0,"",HYPERLINK("https://www.google.com/maps/@?api=1&amp;map_action=pano&amp;viewpoint="&amp;SUBSTITUTE(X2541," ",""),"Abrir Street View"))</f>
        <v/>
      </c>
    </row>
    <row r="2542">
      <c r="H2542" s="6" t="n"/>
      <c r="I2542" s="6" t="n"/>
      <c r="M2542" s="7" t="n"/>
      <c r="N2542" s="7" t="n"/>
      <c r="O2542" s="7" t="n"/>
      <c r="P2542" s="8">
        <f>IF(NOT(ISNUMBER(M2542)),"",IF(G2542="Terreno",IF(AND(ISNUMBER(I2542),I2542&gt;0),M2542/I2542,""),IF(AND(ISNUMBER(H2542),H2542&gt;0),M2542/H2542,"")))</f>
        <v/>
      </c>
      <c r="Q2542" s="9">
        <f>IF(AND(ISNUMBER(M2542),ISNUMBER(O2542)),IF(M2542&lt;=O2542,"Valor ≤ venal IPTU",""),"")</f>
        <v/>
      </c>
      <c r="R2542" s="10" t="n"/>
      <c r="S2542" s="10" t="n"/>
      <c r="AA2542" s="10" t="n"/>
      <c r="AB2542" s="11">
        <f>IF(LEN(TRIM(X2542))=0,"",HYPERLINK("https://www.google.com/maps/@?api=1&amp;map_action=pano&amp;viewpoint="&amp;SUBSTITUTE(X2542," ",""),"Abrir Street View"))</f>
        <v/>
      </c>
    </row>
    <row r="2543">
      <c r="H2543" s="6" t="n"/>
      <c r="I2543" s="6" t="n"/>
      <c r="M2543" s="7" t="n"/>
      <c r="N2543" s="7" t="n"/>
      <c r="O2543" s="7" t="n"/>
      <c r="P2543" s="8">
        <f>IF(NOT(ISNUMBER(M2543)),"",IF(G2543="Terreno",IF(AND(ISNUMBER(I2543),I2543&gt;0),M2543/I2543,""),IF(AND(ISNUMBER(H2543),H2543&gt;0),M2543/H2543,"")))</f>
        <v/>
      </c>
      <c r="Q2543" s="9">
        <f>IF(AND(ISNUMBER(M2543),ISNUMBER(O2543)),IF(M2543&lt;=O2543,"Valor ≤ venal IPTU",""),"")</f>
        <v/>
      </c>
      <c r="R2543" s="10" t="n"/>
      <c r="S2543" s="10" t="n"/>
      <c r="AA2543" s="10" t="n"/>
      <c r="AB2543" s="11">
        <f>IF(LEN(TRIM(X2543))=0,"",HYPERLINK("https://www.google.com/maps/@?api=1&amp;map_action=pano&amp;viewpoint="&amp;SUBSTITUTE(X2543," ",""),"Abrir Street View"))</f>
        <v/>
      </c>
    </row>
    <row r="2544">
      <c r="H2544" s="6" t="n"/>
      <c r="I2544" s="6" t="n"/>
      <c r="M2544" s="7" t="n"/>
      <c r="N2544" s="7" t="n"/>
      <c r="O2544" s="7" t="n"/>
      <c r="P2544" s="8">
        <f>IF(NOT(ISNUMBER(M2544)),"",IF(G2544="Terreno",IF(AND(ISNUMBER(I2544),I2544&gt;0),M2544/I2544,""),IF(AND(ISNUMBER(H2544),H2544&gt;0),M2544/H2544,"")))</f>
        <v/>
      </c>
      <c r="Q2544" s="9">
        <f>IF(AND(ISNUMBER(M2544),ISNUMBER(O2544)),IF(M2544&lt;=O2544,"Valor ≤ venal IPTU",""),"")</f>
        <v/>
      </c>
      <c r="R2544" s="10" t="n"/>
      <c r="S2544" s="10" t="n"/>
      <c r="AA2544" s="10" t="n"/>
      <c r="AB2544" s="11">
        <f>IF(LEN(TRIM(X2544))=0,"",HYPERLINK("https://www.google.com/maps/@?api=1&amp;map_action=pano&amp;viewpoint="&amp;SUBSTITUTE(X2544," ",""),"Abrir Street View"))</f>
        <v/>
      </c>
    </row>
    <row r="2545">
      <c r="H2545" s="6" t="n"/>
      <c r="I2545" s="6" t="n"/>
      <c r="M2545" s="7" t="n"/>
      <c r="N2545" s="7" t="n"/>
      <c r="O2545" s="7" t="n"/>
      <c r="P2545" s="8">
        <f>IF(NOT(ISNUMBER(M2545)),"",IF(G2545="Terreno",IF(AND(ISNUMBER(I2545),I2545&gt;0),M2545/I2545,""),IF(AND(ISNUMBER(H2545),H2545&gt;0),M2545/H2545,"")))</f>
        <v/>
      </c>
      <c r="Q2545" s="9">
        <f>IF(AND(ISNUMBER(M2545),ISNUMBER(O2545)),IF(M2545&lt;=O2545,"Valor ≤ venal IPTU",""),"")</f>
        <v/>
      </c>
      <c r="R2545" s="10" t="n"/>
      <c r="S2545" s="10" t="n"/>
      <c r="AA2545" s="10" t="n"/>
      <c r="AB2545" s="11">
        <f>IF(LEN(TRIM(X2545))=0,"",HYPERLINK("https://www.google.com/maps/@?api=1&amp;map_action=pano&amp;viewpoint="&amp;SUBSTITUTE(X2545," ",""),"Abrir Street View"))</f>
        <v/>
      </c>
    </row>
    <row r="2546">
      <c r="H2546" s="6" t="n"/>
      <c r="I2546" s="6" t="n"/>
      <c r="M2546" s="7" t="n"/>
      <c r="N2546" s="7" t="n"/>
      <c r="O2546" s="7" t="n"/>
      <c r="P2546" s="8">
        <f>IF(NOT(ISNUMBER(M2546)),"",IF(G2546="Terreno",IF(AND(ISNUMBER(I2546),I2546&gt;0),M2546/I2546,""),IF(AND(ISNUMBER(H2546),H2546&gt;0),M2546/H2546,"")))</f>
        <v/>
      </c>
      <c r="Q2546" s="9">
        <f>IF(AND(ISNUMBER(M2546),ISNUMBER(O2546)),IF(M2546&lt;=O2546,"Valor ≤ venal IPTU",""),"")</f>
        <v/>
      </c>
      <c r="R2546" s="10" t="n"/>
      <c r="S2546" s="10" t="n"/>
      <c r="AA2546" s="10" t="n"/>
      <c r="AB2546" s="11">
        <f>IF(LEN(TRIM(X2546))=0,"",HYPERLINK("https://www.google.com/maps/@?api=1&amp;map_action=pano&amp;viewpoint="&amp;SUBSTITUTE(X2546," ",""),"Abrir Street View"))</f>
        <v/>
      </c>
    </row>
    <row r="2547">
      <c r="H2547" s="6" t="n"/>
      <c r="I2547" s="6" t="n"/>
      <c r="M2547" s="7" t="n"/>
      <c r="N2547" s="7" t="n"/>
      <c r="O2547" s="7" t="n"/>
      <c r="P2547" s="8">
        <f>IF(NOT(ISNUMBER(M2547)),"",IF(G2547="Terreno",IF(AND(ISNUMBER(I2547),I2547&gt;0),M2547/I2547,""),IF(AND(ISNUMBER(H2547),H2547&gt;0),M2547/H2547,"")))</f>
        <v/>
      </c>
      <c r="Q2547" s="9">
        <f>IF(AND(ISNUMBER(M2547),ISNUMBER(O2547)),IF(M2547&lt;=O2547,"Valor ≤ venal IPTU",""),"")</f>
        <v/>
      </c>
      <c r="R2547" s="10" t="n"/>
      <c r="S2547" s="10" t="n"/>
      <c r="AA2547" s="10" t="n"/>
      <c r="AB2547" s="11">
        <f>IF(LEN(TRIM(X2547))=0,"",HYPERLINK("https://www.google.com/maps/@?api=1&amp;map_action=pano&amp;viewpoint="&amp;SUBSTITUTE(X2547," ",""),"Abrir Street View"))</f>
        <v/>
      </c>
    </row>
    <row r="2548">
      <c r="H2548" s="6" t="n"/>
      <c r="I2548" s="6" t="n"/>
      <c r="M2548" s="7" t="n"/>
      <c r="N2548" s="7" t="n"/>
      <c r="O2548" s="7" t="n"/>
      <c r="P2548" s="8">
        <f>IF(NOT(ISNUMBER(M2548)),"",IF(G2548="Terreno",IF(AND(ISNUMBER(I2548),I2548&gt;0),M2548/I2548,""),IF(AND(ISNUMBER(H2548),H2548&gt;0),M2548/H2548,"")))</f>
        <v/>
      </c>
      <c r="Q2548" s="9">
        <f>IF(AND(ISNUMBER(M2548),ISNUMBER(O2548)),IF(M2548&lt;=O2548,"Valor ≤ venal IPTU",""),"")</f>
        <v/>
      </c>
      <c r="R2548" s="10" t="n"/>
      <c r="S2548" s="10" t="n"/>
      <c r="AA2548" s="10" t="n"/>
      <c r="AB2548" s="11">
        <f>IF(LEN(TRIM(X2548))=0,"",HYPERLINK("https://www.google.com/maps/@?api=1&amp;map_action=pano&amp;viewpoint="&amp;SUBSTITUTE(X2548," ",""),"Abrir Street View"))</f>
        <v/>
      </c>
    </row>
    <row r="2549">
      <c r="H2549" s="6" t="n"/>
      <c r="I2549" s="6" t="n"/>
      <c r="M2549" s="7" t="n"/>
      <c r="N2549" s="7" t="n"/>
      <c r="O2549" s="7" t="n"/>
      <c r="P2549" s="8">
        <f>IF(NOT(ISNUMBER(M2549)),"",IF(G2549="Terreno",IF(AND(ISNUMBER(I2549),I2549&gt;0),M2549/I2549,""),IF(AND(ISNUMBER(H2549),H2549&gt;0),M2549/H2549,"")))</f>
        <v/>
      </c>
      <c r="Q2549" s="9">
        <f>IF(AND(ISNUMBER(M2549),ISNUMBER(O2549)),IF(M2549&lt;=O2549,"Valor ≤ venal IPTU",""),"")</f>
        <v/>
      </c>
      <c r="R2549" s="10" t="n"/>
      <c r="S2549" s="10" t="n"/>
      <c r="AA2549" s="10" t="n"/>
      <c r="AB2549" s="11">
        <f>IF(LEN(TRIM(X2549))=0,"",HYPERLINK("https://www.google.com/maps/@?api=1&amp;map_action=pano&amp;viewpoint="&amp;SUBSTITUTE(X2549," ",""),"Abrir Street View"))</f>
        <v/>
      </c>
    </row>
    <row r="2550">
      <c r="H2550" s="6" t="n"/>
      <c r="I2550" s="6" t="n"/>
      <c r="M2550" s="7" t="n"/>
      <c r="N2550" s="7" t="n"/>
      <c r="O2550" s="7" t="n"/>
      <c r="P2550" s="8">
        <f>IF(NOT(ISNUMBER(M2550)),"",IF(G2550="Terreno",IF(AND(ISNUMBER(I2550),I2550&gt;0),M2550/I2550,""),IF(AND(ISNUMBER(H2550),H2550&gt;0),M2550/H2550,"")))</f>
        <v/>
      </c>
      <c r="Q2550" s="9">
        <f>IF(AND(ISNUMBER(M2550),ISNUMBER(O2550)),IF(M2550&lt;=O2550,"Valor ≤ venal IPTU",""),"")</f>
        <v/>
      </c>
      <c r="R2550" s="10" t="n"/>
      <c r="S2550" s="10" t="n"/>
      <c r="AA2550" s="10" t="n"/>
      <c r="AB2550" s="11">
        <f>IF(LEN(TRIM(X2550))=0,"",HYPERLINK("https://www.google.com/maps/@?api=1&amp;map_action=pano&amp;viewpoint="&amp;SUBSTITUTE(X2550," ",""),"Abrir Street View"))</f>
        <v/>
      </c>
    </row>
    <row r="2551">
      <c r="H2551" s="6" t="n"/>
      <c r="I2551" s="6" t="n"/>
      <c r="M2551" s="7" t="n"/>
      <c r="N2551" s="7" t="n"/>
      <c r="O2551" s="7" t="n"/>
      <c r="P2551" s="8">
        <f>IF(NOT(ISNUMBER(M2551)),"",IF(G2551="Terreno",IF(AND(ISNUMBER(I2551),I2551&gt;0),M2551/I2551,""),IF(AND(ISNUMBER(H2551),H2551&gt;0),M2551/H2551,"")))</f>
        <v/>
      </c>
      <c r="Q2551" s="9">
        <f>IF(AND(ISNUMBER(M2551),ISNUMBER(O2551)),IF(M2551&lt;=O2551,"Valor ≤ venal IPTU",""),"")</f>
        <v/>
      </c>
      <c r="R2551" s="10" t="n"/>
      <c r="S2551" s="10" t="n"/>
      <c r="AA2551" s="10" t="n"/>
      <c r="AB2551" s="11">
        <f>IF(LEN(TRIM(X2551))=0,"",HYPERLINK("https://www.google.com/maps/@?api=1&amp;map_action=pano&amp;viewpoint="&amp;SUBSTITUTE(X2551," ",""),"Abrir Street View"))</f>
        <v/>
      </c>
    </row>
    <row r="2552">
      <c r="H2552" s="6" t="n"/>
      <c r="I2552" s="6" t="n"/>
      <c r="M2552" s="7" t="n"/>
      <c r="N2552" s="7" t="n"/>
      <c r="O2552" s="7" t="n"/>
      <c r="P2552" s="8">
        <f>IF(NOT(ISNUMBER(M2552)),"",IF(G2552="Terreno",IF(AND(ISNUMBER(I2552),I2552&gt;0),M2552/I2552,""),IF(AND(ISNUMBER(H2552),H2552&gt;0),M2552/H2552,"")))</f>
        <v/>
      </c>
      <c r="Q2552" s="9">
        <f>IF(AND(ISNUMBER(M2552),ISNUMBER(O2552)),IF(M2552&lt;=O2552,"Valor ≤ venal IPTU",""),"")</f>
        <v/>
      </c>
      <c r="R2552" s="10" t="n"/>
      <c r="S2552" s="10" t="n"/>
      <c r="AA2552" s="10" t="n"/>
      <c r="AB2552" s="11">
        <f>IF(LEN(TRIM(X2552))=0,"",HYPERLINK("https://www.google.com/maps/@?api=1&amp;map_action=pano&amp;viewpoint="&amp;SUBSTITUTE(X2552," ",""),"Abrir Street View"))</f>
        <v/>
      </c>
    </row>
    <row r="2553">
      <c r="H2553" s="6" t="n"/>
      <c r="I2553" s="6" t="n"/>
      <c r="M2553" s="7" t="n"/>
      <c r="N2553" s="7" t="n"/>
      <c r="O2553" s="7" t="n"/>
      <c r="P2553" s="8">
        <f>IF(NOT(ISNUMBER(M2553)),"",IF(G2553="Terreno",IF(AND(ISNUMBER(I2553),I2553&gt;0),M2553/I2553,""),IF(AND(ISNUMBER(H2553),H2553&gt;0),M2553/H2553,"")))</f>
        <v/>
      </c>
      <c r="Q2553" s="9">
        <f>IF(AND(ISNUMBER(M2553),ISNUMBER(O2553)),IF(M2553&lt;=O2553,"Valor ≤ venal IPTU",""),"")</f>
        <v/>
      </c>
      <c r="R2553" s="10" t="n"/>
      <c r="S2553" s="10" t="n"/>
      <c r="AA2553" s="10" t="n"/>
      <c r="AB2553" s="11">
        <f>IF(LEN(TRIM(X2553))=0,"",HYPERLINK("https://www.google.com/maps/@?api=1&amp;map_action=pano&amp;viewpoint="&amp;SUBSTITUTE(X2553," ",""),"Abrir Street View"))</f>
        <v/>
      </c>
    </row>
    <row r="2554">
      <c r="H2554" s="6" t="n"/>
      <c r="I2554" s="6" t="n"/>
      <c r="M2554" s="7" t="n"/>
      <c r="N2554" s="7" t="n"/>
      <c r="O2554" s="7" t="n"/>
      <c r="P2554" s="8">
        <f>IF(NOT(ISNUMBER(M2554)),"",IF(G2554="Terreno",IF(AND(ISNUMBER(I2554),I2554&gt;0),M2554/I2554,""),IF(AND(ISNUMBER(H2554),H2554&gt;0),M2554/H2554,"")))</f>
        <v/>
      </c>
      <c r="Q2554" s="9">
        <f>IF(AND(ISNUMBER(M2554),ISNUMBER(O2554)),IF(M2554&lt;=O2554,"Valor ≤ venal IPTU",""),"")</f>
        <v/>
      </c>
      <c r="R2554" s="10" t="n"/>
      <c r="S2554" s="10" t="n"/>
      <c r="AA2554" s="10" t="n"/>
      <c r="AB2554" s="11">
        <f>IF(LEN(TRIM(X2554))=0,"",HYPERLINK("https://www.google.com/maps/@?api=1&amp;map_action=pano&amp;viewpoint="&amp;SUBSTITUTE(X2554," ",""),"Abrir Street View"))</f>
        <v/>
      </c>
    </row>
    <row r="2555">
      <c r="H2555" s="6" t="n"/>
      <c r="I2555" s="6" t="n"/>
      <c r="M2555" s="7" t="n"/>
      <c r="N2555" s="7" t="n"/>
      <c r="O2555" s="7" t="n"/>
      <c r="P2555" s="8">
        <f>IF(NOT(ISNUMBER(M2555)),"",IF(G2555="Terreno",IF(AND(ISNUMBER(I2555),I2555&gt;0),M2555/I2555,""),IF(AND(ISNUMBER(H2555),H2555&gt;0),M2555/H2555,"")))</f>
        <v/>
      </c>
      <c r="Q2555" s="9">
        <f>IF(AND(ISNUMBER(M2555),ISNUMBER(O2555)),IF(M2555&lt;=O2555,"Valor ≤ venal IPTU",""),"")</f>
        <v/>
      </c>
      <c r="R2555" s="10" t="n"/>
      <c r="S2555" s="10" t="n"/>
      <c r="AA2555" s="10" t="n"/>
      <c r="AB2555" s="11">
        <f>IF(LEN(TRIM(X2555))=0,"",HYPERLINK("https://www.google.com/maps/@?api=1&amp;map_action=pano&amp;viewpoint="&amp;SUBSTITUTE(X2555," ",""),"Abrir Street View"))</f>
        <v/>
      </c>
    </row>
    <row r="2556">
      <c r="H2556" s="6" t="n"/>
      <c r="I2556" s="6" t="n"/>
      <c r="M2556" s="7" t="n"/>
      <c r="N2556" s="7" t="n"/>
      <c r="O2556" s="7" t="n"/>
      <c r="P2556" s="8">
        <f>IF(NOT(ISNUMBER(M2556)),"",IF(G2556="Terreno",IF(AND(ISNUMBER(I2556),I2556&gt;0),M2556/I2556,""),IF(AND(ISNUMBER(H2556),H2556&gt;0),M2556/H2556,"")))</f>
        <v/>
      </c>
      <c r="Q2556" s="9">
        <f>IF(AND(ISNUMBER(M2556),ISNUMBER(O2556)),IF(M2556&lt;=O2556,"Valor ≤ venal IPTU",""),"")</f>
        <v/>
      </c>
      <c r="R2556" s="10" t="n"/>
      <c r="S2556" s="10" t="n"/>
      <c r="AA2556" s="10" t="n"/>
      <c r="AB2556" s="11">
        <f>IF(LEN(TRIM(X2556))=0,"",HYPERLINK("https://www.google.com/maps/@?api=1&amp;map_action=pano&amp;viewpoint="&amp;SUBSTITUTE(X2556," ",""),"Abrir Street View"))</f>
        <v/>
      </c>
    </row>
    <row r="2557">
      <c r="H2557" s="6" t="n"/>
      <c r="I2557" s="6" t="n"/>
      <c r="M2557" s="7" t="n"/>
      <c r="N2557" s="7" t="n"/>
      <c r="O2557" s="7" t="n"/>
      <c r="P2557" s="8">
        <f>IF(NOT(ISNUMBER(M2557)),"",IF(G2557="Terreno",IF(AND(ISNUMBER(I2557),I2557&gt;0),M2557/I2557,""),IF(AND(ISNUMBER(H2557),H2557&gt;0),M2557/H2557,"")))</f>
        <v/>
      </c>
      <c r="Q2557" s="9">
        <f>IF(AND(ISNUMBER(M2557),ISNUMBER(O2557)),IF(M2557&lt;=O2557,"Valor ≤ venal IPTU",""),"")</f>
        <v/>
      </c>
      <c r="R2557" s="10" t="n"/>
      <c r="S2557" s="10" t="n"/>
      <c r="AA2557" s="10" t="n"/>
      <c r="AB2557" s="11">
        <f>IF(LEN(TRIM(X2557))=0,"",HYPERLINK("https://www.google.com/maps/@?api=1&amp;map_action=pano&amp;viewpoint="&amp;SUBSTITUTE(X2557," ",""),"Abrir Street View"))</f>
        <v/>
      </c>
    </row>
    <row r="2558">
      <c r="H2558" s="6" t="n"/>
      <c r="I2558" s="6" t="n"/>
      <c r="M2558" s="7" t="n"/>
      <c r="N2558" s="7" t="n"/>
      <c r="O2558" s="7" t="n"/>
      <c r="P2558" s="8">
        <f>IF(NOT(ISNUMBER(M2558)),"",IF(G2558="Terreno",IF(AND(ISNUMBER(I2558),I2558&gt;0),M2558/I2558,""),IF(AND(ISNUMBER(H2558),H2558&gt;0),M2558/H2558,"")))</f>
        <v/>
      </c>
      <c r="Q2558" s="9">
        <f>IF(AND(ISNUMBER(M2558),ISNUMBER(O2558)),IF(M2558&lt;=O2558,"Valor ≤ venal IPTU",""),"")</f>
        <v/>
      </c>
      <c r="R2558" s="10" t="n"/>
      <c r="S2558" s="10" t="n"/>
      <c r="AA2558" s="10" t="n"/>
      <c r="AB2558" s="11">
        <f>IF(LEN(TRIM(X2558))=0,"",HYPERLINK("https://www.google.com/maps/@?api=1&amp;map_action=pano&amp;viewpoint="&amp;SUBSTITUTE(X2558," ",""),"Abrir Street View"))</f>
        <v/>
      </c>
    </row>
    <row r="2559">
      <c r="H2559" s="6" t="n"/>
      <c r="I2559" s="6" t="n"/>
      <c r="M2559" s="7" t="n"/>
      <c r="N2559" s="7" t="n"/>
      <c r="O2559" s="7" t="n"/>
      <c r="P2559" s="8">
        <f>IF(NOT(ISNUMBER(M2559)),"",IF(G2559="Terreno",IF(AND(ISNUMBER(I2559),I2559&gt;0),M2559/I2559,""),IF(AND(ISNUMBER(H2559),H2559&gt;0),M2559/H2559,"")))</f>
        <v/>
      </c>
      <c r="Q2559" s="9">
        <f>IF(AND(ISNUMBER(M2559),ISNUMBER(O2559)),IF(M2559&lt;=O2559,"Valor ≤ venal IPTU",""),"")</f>
        <v/>
      </c>
      <c r="R2559" s="10" t="n"/>
      <c r="S2559" s="10" t="n"/>
      <c r="AA2559" s="10" t="n"/>
      <c r="AB2559" s="11">
        <f>IF(LEN(TRIM(X2559))=0,"",HYPERLINK("https://www.google.com/maps/@?api=1&amp;map_action=pano&amp;viewpoint="&amp;SUBSTITUTE(X2559," ",""),"Abrir Street View"))</f>
        <v/>
      </c>
    </row>
    <row r="2560">
      <c r="H2560" s="6" t="n"/>
      <c r="I2560" s="6" t="n"/>
      <c r="M2560" s="7" t="n"/>
      <c r="N2560" s="7" t="n"/>
      <c r="O2560" s="7" t="n"/>
      <c r="P2560" s="8">
        <f>IF(NOT(ISNUMBER(M2560)),"",IF(G2560="Terreno",IF(AND(ISNUMBER(I2560),I2560&gt;0),M2560/I2560,""),IF(AND(ISNUMBER(H2560),H2560&gt;0),M2560/H2560,"")))</f>
        <v/>
      </c>
      <c r="Q2560" s="9">
        <f>IF(AND(ISNUMBER(M2560),ISNUMBER(O2560)),IF(M2560&lt;=O2560,"Valor ≤ venal IPTU",""),"")</f>
        <v/>
      </c>
      <c r="R2560" s="10" t="n"/>
      <c r="S2560" s="10" t="n"/>
      <c r="AA2560" s="10" t="n"/>
      <c r="AB2560" s="11">
        <f>IF(LEN(TRIM(X2560))=0,"",HYPERLINK("https://www.google.com/maps/@?api=1&amp;map_action=pano&amp;viewpoint="&amp;SUBSTITUTE(X2560," ",""),"Abrir Street View"))</f>
        <v/>
      </c>
    </row>
    <row r="2561">
      <c r="H2561" s="6" t="n"/>
      <c r="I2561" s="6" t="n"/>
      <c r="M2561" s="7" t="n"/>
      <c r="N2561" s="7" t="n"/>
      <c r="O2561" s="7" t="n"/>
      <c r="P2561" s="8">
        <f>IF(NOT(ISNUMBER(M2561)),"",IF(G2561="Terreno",IF(AND(ISNUMBER(I2561),I2561&gt;0),M2561/I2561,""),IF(AND(ISNUMBER(H2561),H2561&gt;0),M2561/H2561,"")))</f>
        <v/>
      </c>
      <c r="Q2561" s="9">
        <f>IF(AND(ISNUMBER(M2561),ISNUMBER(O2561)),IF(M2561&lt;=O2561,"Valor ≤ venal IPTU",""),"")</f>
        <v/>
      </c>
      <c r="R2561" s="10" t="n"/>
      <c r="S2561" s="10" t="n"/>
      <c r="AA2561" s="10" t="n"/>
      <c r="AB2561" s="11">
        <f>IF(LEN(TRIM(X2561))=0,"",HYPERLINK("https://www.google.com/maps/@?api=1&amp;map_action=pano&amp;viewpoint="&amp;SUBSTITUTE(X2561," ",""),"Abrir Street View"))</f>
        <v/>
      </c>
    </row>
    <row r="2562">
      <c r="H2562" s="6" t="n"/>
      <c r="I2562" s="6" t="n"/>
      <c r="M2562" s="7" t="n"/>
      <c r="N2562" s="7" t="n"/>
      <c r="O2562" s="7" t="n"/>
      <c r="P2562" s="8">
        <f>IF(NOT(ISNUMBER(M2562)),"",IF(G2562="Terreno",IF(AND(ISNUMBER(I2562),I2562&gt;0),M2562/I2562,""),IF(AND(ISNUMBER(H2562),H2562&gt;0),M2562/H2562,"")))</f>
        <v/>
      </c>
      <c r="Q2562" s="9">
        <f>IF(AND(ISNUMBER(M2562),ISNUMBER(O2562)),IF(M2562&lt;=O2562,"Valor ≤ venal IPTU",""),"")</f>
        <v/>
      </c>
      <c r="R2562" s="10" t="n"/>
      <c r="S2562" s="10" t="n"/>
      <c r="AA2562" s="10" t="n"/>
      <c r="AB2562" s="11">
        <f>IF(LEN(TRIM(X2562))=0,"",HYPERLINK("https://www.google.com/maps/@?api=1&amp;map_action=pano&amp;viewpoint="&amp;SUBSTITUTE(X2562," ",""),"Abrir Street View"))</f>
        <v/>
      </c>
    </row>
    <row r="2563">
      <c r="H2563" s="6" t="n"/>
      <c r="I2563" s="6" t="n"/>
      <c r="M2563" s="7" t="n"/>
      <c r="N2563" s="7" t="n"/>
      <c r="O2563" s="7" t="n"/>
      <c r="P2563" s="8">
        <f>IF(NOT(ISNUMBER(M2563)),"",IF(G2563="Terreno",IF(AND(ISNUMBER(I2563),I2563&gt;0),M2563/I2563,""),IF(AND(ISNUMBER(H2563),H2563&gt;0),M2563/H2563,"")))</f>
        <v/>
      </c>
      <c r="Q2563" s="9">
        <f>IF(AND(ISNUMBER(M2563),ISNUMBER(O2563)),IF(M2563&lt;=O2563,"Valor ≤ venal IPTU",""),"")</f>
        <v/>
      </c>
      <c r="R2563" s="10" t="n"/>
      <c r="S2563" s="10" t="n"/>
      <c r="AA2563" s="10" t="n"/>
      <c r="AB2563" s="11">
        <f>IF(LEN(TRIM(X2563))=0,"",HYPERLINK("https://www.google.com/maps/@?api=1&amp;map_action=pano&amp;viewpoint="&amp;SUBSTITUTE(X2563," ",""),"Abrir Street View"))</f>
        <v/>
      </c>
    </row>
    <row r="2564">
      <c r="H2564" s="6" t="n"/>
      <c r="I2564" s="6" t="n"/>
      <c r="M2564" s="7" t="n"/>
      <c r="N2564" s="7" t="n"/>
      <c r="O2564" s="7" t="n"/>
      <c r="P2564" s="8">
        <f>IF(NOT(ISNUMBER(M2564)),"",IF(G2564="Terreno",IF(AND(ISNUMBER(I2564),I2564&gt;0),M2564/I2564,""),IF(AND(ISNUMBER(H2564),H2564&gt;0),M2564/H2564,"")))</f>
        <v/>
      </c>
      <c r="Q2564" s="9">
        <f>IF(AND(ISNUMBER(M2564),ISNUMBER(O2564)),IF(M2564&lt;=O2564,"Valor ≤ venal IPTU",""),"")</f>
        <v/>
      </c>
      <c r="R2564" s="10" t="n"/>
      <c r="S2564" s="10" t="n"/>
      <c r="AA2564" s="10" t="n"/>
      <c r="AB2564" s="11">
        <f>IF(LEN(TRIM(X2564))=0,"",HYPERLINK("https://www.google.com/maps/@?api=1&amp;map_action=pano&amp;viewpoint="&amp;SUBSTITUTE(X2564," ",""),"Abrir Street View"))</f>
        <v/>
      </c>
    </row>
    <row r="2565">
      <c r="H2565" s="6" t="n"/>
      <c r="I2565" s="6" t="n"/>
      <c r="M2565" s="7" t="n"/>
      <c r="N2565" s="7" t="n"/>
      <c r="O2565" s="7" t="n"/>
      <c r="P2565" s="8">
        <f>IF(NOT(ISNUMBER(M2565)),"",IF(G2565="Terreno",IF(AND(ISNUMBER(I2565),I2565&gt;0),M2565/I2565,""),IF(AND(ISNUMBER(H2565),H2565&gt;0),M2565/H2565,"")))</f>
        <v/>
      </c>
      <c r="Q2565" s="9">
        <f>IF(AND(ISNUMBER(M2565),ISNUMBER(O2565)),IF(M2565&lt;=O2565,"Valor ≤ venal IPTU",""),"")</f>
        <v/>
      </c>
      <c r="R2565" s="10" t="n"/>
      <c r="S2565" s="10" t="n"/>
      <c r="AA2565" s="10" t="n"/>
      <c r="AB2565" s="11">
        <f>IF(LEN(TRIM(X2565))=0,"",HYPERLINK("https://www.google.com/maps/@?api=1&amp;map_action=pano&amp;viewpoint="&amp;SUBSTITUTE(X2565," ",""),"Abrir Street View"))</f>
        <v/>
      </c>
    </row>
    <row r="2566">
      <c r="H2566" s="6" t="n"/>
      <c r="I2566" s="6" t="n"/>
      <c r="M2566" s="7" t="n"/>
      <c r="N2566" s="7" t="n"/>
      <c r="O2566" s="7" t="n"/>
      <c r="P2566" s="8">
        <f>IF(NOT(ISNUMBER(M2566)),"",IF(G2566="Terreno",IF(AND(ISNUMBER(I2566),I2566&gt;0),M2566/I2566,""),IF(AND(ISNUMBER(H2566),H2566&gt;0),M2566/H2566,"")))</f>
        <v/>
      </c>
      <c r="Q2566" s="9">
        <f>IF(AND(ISNUMBER(M2566),ISNUMBER(O2566)),IF(M2566&lt;=O2566,"Valor ≤ venal IPTU",""),"")</f>
        <v/>
      </c>
      <c r="R2566" s="10" t="n"/>
      <c r="S2566" s="10" t="n"/>
      <c r="AA2566" s="10" t="n"/>
      <c r="AB2566" s="11">
        <f>IF(LEN(TRIM(X2566))=0,"",HYPERLINK("https://www.google.com/maps/@?api=1&amp;map_action=pano&amp;viewpoint="&amp;SUBSTITUTE(X2566," ",""),"Abrir Street View"))</f>
        <v/>
      </c>
    </row>
    <row r="2567">
      <c r="H2567" s="6" t="n"/>
      <c r="I2567" s="6" t="n"/>
      <c r="M2567" s="7" t="n"/>
      <c r="N2567" s="7" t="n"/>
      <c r="O2567" s="7" t="n"/>
      <c r="P2567" s="8">
        <f>IF(NOT(ISNUMBER(M2567)),"",IF(G2567="Terreno",IF(AND(ISNUMBER(I2567),I2567&gt;0),M2567/I2567,""),IF(AND(ISNUMBER(H2567),H2567&gt;0),M2567/H2567,"")))</f>
        <v/>
      </c>
      <c r="Q2567" s="9">
        <f>IF(AND(ISNUMBER(M2567),ISNUMBER(O2567)),IF(M2567&lt;=O2567,"Valor ≤ venal IPTU",""),"")</f>
        <v/>
      </c>
      <c r="R2567" s="10" t="n"/>
      <c r="S2567" s="10" t="n"/>
      <c r="AA2567" s="10" t="n"/>
      <c r="AB2567" s="11">
        <f>IF(LEN(TRIM(X2567))=0,"",HYPERLINK("https://www.google.com/maps/@?api=1&amp;map_action=pano&amp;viewpoint="&amp;SUBSTITUTE(X2567," ",""),"Abrir Street View"))</f>
        <v/>
      </c>
    </row>
    <row r="2568">
      <c r="H2568" s="6" t="n"/>
      <c r="I2568" s="6" t="n"/>
      <c r="M2568" s="7" t="n"/>
      <c r="N2568" s="7" t="n"/>
      <c r="O2568" s="7" t="n"/>
      <c r="P2568" s="8">
        <f>IF(NOT(ISNUMBER(M2568)),"",IF(G2568="Terreno",IF(AND(ISNUMBER(I2568),I2568&gt;0),M2568/I2568,""),IF(AND(ISNUMBER(H2568),H2568&gt;0),M2568/H2568,"")))</f>
        <v/>
      </c>
      <c r="Q2568" s="9">
        <f>IF(AND(ISNUMBER(M2568),ISNUMBER(O2568)),IF(M2568&lt;=O2568,"Valor ≤ venal IPTU",""),"")</f>
        <v/>
      </c>
      <c r="R2568" s="10" t="n"/>
      <c r="S2568" s="10" t="n"/>
      <c r="AA2568" s="10" t="n"/>
      <c r="AB2568" s="11">
        <f>IF(LEN(TRIM(X2568))=0,"",HYPERLINK("https://www.google.com/maps/@?api=1&amp;map_action=pano&amp;viewpoint="&amp;SUBSTITUTE(X2568," ",""),"Abrir Street View"))</f>
        <v/>
      </c>
    </row>
    <row r="2569">
      <c r="H2569" s="6" t="n"/>
      <c r="I2569" s="6" t="n"/>
      <c r="M2569" s="7" t="n"/>
      <c r="N2569" s="7" t="n"/>
      <c r="O2569" s="7" t="n"/>
      <c r="P2569" s="8">
        <f>IF(NOT(ISNUMBER(M2569)),"",IF(G2569="Terreno",IF(AND(ISNUMBER(I2569),I2569&gt;0),M2569/I2569,""),IF(AND(ISNUMBER(H2569),H2569&gt;0),M2569/H2569,"")))</f>
        <v/>
      </c>
      <c r="Q2569" s="9">
        <f>IF(AND(ISNUMBER(M2569),ISNUMBER(O2569)),IF(M2569&lt;=O2569,"Valor ≤ venal IPTU",""),"")</f>
        <v/>
      </c>
      <c r="R2569" s="10" t="n"/>
      <c r="S2569" s="10" t="n"/>
      <c r="AA2569" s="10" t="n"/>
      <c r="AB2569" s="11">
        <f>IF(LEN(TRIM(X2569))=0,"",HYPERLINK("https://www.google.com/maps/@?api=1&amp;map_action=pano&amp;viewpoint="&amp;SUBSTITUTE(X2569," ",""),"Abrir Street View"))</f>
        <v/>
      </c>
    </row>
    <row r="2570">
      <c r="H2570" s="6" t="n"/>
      <c r="I2570" s="6" t="n"/>
      <c r="M2570" s="7" t="n"/>
      <c r="N2570" s="7" t="n"/>
      <c r="O2570" s="7" t="n"/>
      <c r="P2570" s="8">
        <f>IF(NOT(ISNUMBER(M2570)),"",IF(G2570="Terreno",IF(AND(ISNUMBER(I2570),I2570&gt;0),M2570/I2570,""),IF(AND(ISNUMBER(H2570),H2570&gt;0),M2570/H2570,"")))</f>
        <v/>
      </c>
      <c r="Q2570" s="9">
        <f>IF(AND(ISNUMBER(M2570),ISNUMBER(O2570)),IF(M2570&lt;=O2570,"Valor ≤ venal IPTU",""),"")</f>
        <v/>
      </c>
      <c r="R2570" s="10" t="n"/>
      <c r="S2570" s="10" t="n"/>
      <c r="AA2570" s="10" t="n"/>
      <c r="AB2570" s="11">
        <f>IF(LEN(TRIM(X2570))=0,"",HYPERLINK("https://www.google.com/maps/@?api=1&amp;map_action=pano&amp;viewpoint="&amp;SUBSTITUTE(X2570," ",""),"Abrir Street View"))</f>
        <v/>
      </c>
    </row>
    <row r="2571">
      <c r="H2571" s="6" t="n"/>
      <c r="I2571" s="6" t="n"/>
      <c r="M2571" s="7" t="n"/>
      <c r="N2571" s="7" t="n"/>
      <c r="O2571" s="7" t="n"/>
      <c r="P2571" s="8">
        <f>IF(NOT(ISNUMBER(M2571)),"",IF(G2571="Terreno",IF(AND(ISNUMBER(I2571),I2571&gt;0),M2571/I2571,""),IF(AND(ISNUMBER(H2571),H2571&gt;0),M2571/H2571,"")))</f>
        <v/>
      </c>
      <c r="Q2571" s="9">
        <f>IF(AND(ISNUMBER(M2571),ISNUMBER(O2571)),IF(M2571&lt;=O2571,"Valor ≤ venal IPTU",""),"")</f>
        <v/>
      </c>
      <c r="R2571" s="10" t="n"/>
      <c r="S2571" s="10" t="n"/>
      <c r="AA2571" s="10" t="n"/>
      <c r="AB2571" s="11">
        <f>IF(LEN(TRIM(X2571))=0,"",HYPERLINK("https://www.google.com/maps/@?api=1&amp;map_action=pano&amp;viewpoint="&amp;SUBSTITUTE(X2571," ",""),"Abrir Street View"))</f>
        <v/>
      </c>
    </row>
    <row r="2572">
      <c r="H2572" s="6" t="n"/>
      <c r="I2572" s="6" t="n"/>
      <c r="M2572" s="7" t="n"/>
      <c r="N2572" s="7" t="n"/>
      <c r="O2572" s="7" t="n"/>
      <c r="P2572" s="8">
        <f>IF(NOT(ISNUMBER(M2572)),"",IF(G2572="Terreno",IF(AND(ISNUMBER(I2572),I2572&gt;0),M2572/I2572,""),IF(AND(ISNUMBER(H2572),H2572&gt;0),M2572/H2572,"")))</f>
        <v/>
      </c>
      <c r="Q2572" s="9">
        <f>IF(AND(ISNUMBER(M2572),ISNUMBER(O2572)),IF(M2572&lt;=O2572,"Valor ≤ venal IPTU",""),"")</f>
        <v/>
      </c>
      <c r="R2572" s="10" t="n"/>
      <c r="S2572" s="10" t="n"/>
      <c r="AA2572" s="10" t="n"/>
      <c r="AB2572" s="11">
        <f>IF(LEN(TRIM(X2572))=0,"",HYPERLINK("https://www.google.com/maps/@?api=1&amp;map_action=pano&amp;viewpoint="&amp;SUBSTITUTE(X2572," ",""),"Abrir Street View"))</f>
        <v/>
      </c>
    </row>
    <row r="2573">
      <c r="H2573" s="6" t="n"/>
      <c r="I2573" s="6" t="n"/>
      <c r="M2573" s="7" t="n"/>
      <c r="N2573" s="7" t="n"/>
      <c r="O2573" s="7" t="n"/>
      <c r="P2573" s="8">
        <f>IF(NOT(ISNUMBER(M2573)),"",IF(G2573="Terreno",IF(AND(ISNUMBER(I2573),I2573&gt;0),M2573/I2573,""),IF(AND(ISNUMBER(H2573),H2573&gt;0),M2573/H2573,"")))</f>
        <v/>
      </c>
      <c r="Q2573" s="9">
        <f>IF(AND(ISNUMBER(M2573),ISNUMBER(O2573)),IF(M2573&lt;=O2573,"Valor ≤ venal IPTU",""),"")</f>
        <v/>
      </c>
      <c r="R2573" s="10" t="n"/>
      <c r="S2573" s="10" t="n"/>
      <c r="AA2573" s="10" t="n"/>
      <c r="AB2573" s="11">
        <f>IF(LEN(TRIM(X2573))=0,"",HYPERLINK("https://www.google.com/maps/@?api=1&amp;map_action=pano&amp;viewpoint="&amp;SUBSTITUTE(X2573," ",""),"Abrir Street View"))</f>
        <v/>
      </c>
    </row>
    <row r="2574">
      <c r="H2574" s="6" t="n"/>
      <c r="I2574" s="6" t="n"/>
      <c r="M2574" s="7" t="n"/>
      <c r="N2574" s="7" t="n"/>
      <c r="O2574" s="7" t="n"/>
      <c r="P2574" s="8">
        <f>IF(NOT(ISNUMBER(M2574)),"",IF(G2574="Terreno",IF(AND(ISNUMBER(I2574),I2574&gt;0),M2574/I2574,""),IF(AND(ISNUMBER(H2574),H2574&gt;0),M2574/H2574,"")))</f>
        <v/>
      </c>
      <c r="Q2574" s="9">
        <f>IF(AND(ISNUMBER(M2574),ISNUMBER(O2574)),IF(M2574&lt;=O2574,"Valor ≤ venal IPTU",""),"")</f>
        <v/>
      </c>
      <c r="R2574" s="10" t="n"/>
      <c r="S2574" s="10" t="n"/>
      <c r="AA2574" s="10" t="n"/>
      <c r="AB2574" s="11">
        <f>IF(LEN(TRIM(X2574))=0,"",HYPERLINK("https://www.google.com/maps/@?api=1&amp;map_action=pano&amp;viewpoint="&amp;SUBSTITUTE(X2574," ",""),"Abrir Street View"))</f>
        <v/>
      </c>
    </row>
    <row r="2575">
      <c r="H2575" s="6" t="n"/>
      <c r="I2575" s="6" t="n"/>
      <c r="M2575" s="7" t="n"/>
      <c r="N2575" s="7" t="n"/>
      <c r="O2575" s="7" t="n"/>
      <c r="P2575" s="8">
        <f>IF(NOT(ISNUMBER(M2575)),"",IF(G2575="Terreno",IF(AND(ISNUMBER(I2575),I2575&gt;0),M2575/I2575,""),IF(AND(ISNUMBER(H2575),H2575&gt;0),M2575/H2575,"")))</f>
        <v/>
      </c>
      <c r="Q2575" s="9">
        <f>IF(AND(ISNUMBER(M2575),ISNUMBER(O2575)),IF(M2575&lt;=O2575,"Valor ≤ venal IPTU",""),"")</f>
        <v/>
      </c>
      <c r="R2575" s="10" t="n"/>
      <c r="S2575" s="10" t="n"/>
      <c r="AA2575" s="10" t="n"/>
      <c r="AB2575" s="11">
        <f>IF(LEN(TRIM(X2575))=0,"",HYPERLINK("https://www.google.com/maps/@?api=1&amp;map_action=pano&amp;viewpoint="&amp;SUBSTITUTE(X2575," ",""),"Abrir Street View"))</f>
        <v/>
      </c>
    </row>
    <row r="2576">
      <c r="H2576" s="6" t="n"/>
      <c r="I2576" s="6" t="n"/>
      <c r="M2576" s="7" t="n"/>
      <c r="N2576" s="7" t="n"/>
      <c r="O2576" s="7" t="n"/>
      <c r="P2576" s="8">
        <f>IF(NOT(ISNUMBER(M2576)),"",IF(G2576="Terreno",IF(AND(ISNUMBER(I2576),I2576&gt;0),M2576/I2576,""),IF(AND(ISNUMBER(H2576),H2576&gt;0),M2576/H2576,"")))</f>
        <v/>
      </c>
      <c r="Q2576" s="9">
        <f>IF(AND(ISNUMBER(M2576),ISNUMBER(O2576)),IF(M2576&lt;=O2576,"Valor ≤ venal IPTU",""),"")</f>
        <v/>
      </c>
      <c r="R2576" s="10" t="n"/>
      <c r="S2576" s="10" t="n"/>
      <c r="AA2576" s="10" t="n"/>
      <c r="AB2576" s="11">
        <f>IF(LEN(TRIM(X2576))=0,"",HYPERLINK("https://www.google.com/maps/@?api=1&amp;map_action=pano&amp;viewpoint="&amp;SUBSTITUTE(X2576," ",""),"Abrir Street View"))</f>
        <v/>
      </c>
    </row>
    <row r="2577">
      <c r="H2577" s="6" t="n"/>
      <c r="I2577" s="6" t="n"/>
      <c r="M2577" s="7" t="n"/>
      <c r="N2577" s="7" t="n"/>
      <c r="O2577" s="7" t="n"/>
      <c r="P2577" s="8">
        <f>IF(NOT(ISNUMBER(M2577)),"",IF(G2577="Terreno",IF(AND(ISNUMBER(I2577),I2577&gt;0),M2577/I2577,""),IF(AND(ISNUMBER(H2577),H2577&gt;0),M2577/H2577,"")))</f>
        <v/>
      </c>
      <c r="Q2577" s="9">
        <f>IF(AND(ISNUMBER(M2577),ISNUMBER(O2577)),IF(M2577&lt;=O2577,"Valor ≤ venal IPTU",""),"")</f>
        <v/>
      </c>
      <c r="R2577" s="10" t="n"/>
      <c r="S2577" s="10" t="n"/>
      <c r="AA2577" s="10" t="n"/>
      <c r="AB2577" s="11">
        <f>IF(LEN(TRIM(X2577))=0,"",HYPERLINK("https://www.google.com/maps/@?api=1&amp;map_action=pano&amp;viewpoint="&amp;SUBSTITUTE(X2577," ",""),"Abrir Street View"))</f>
        <v/>
      </c>
    </row>
    <row r="2578">
      <c r="H2578" s="6" t="n"/>
      <c r="I2578" s="6" t="n"/>
      <c r="M2578" s="7" t="n"/>
      <c r="N2578" s="7" t="n"/>
      <c r="O2578" s="7" t="n"/>
      <c r="P2578" s="8">
        <f>IF(NOT(ISNUMBER(M2578)),"",IF(G2578="Terreno",IF(AND(ISNUMBER(I2578),I2578&gt;0),M2578/I2578,""),IF(AND(ISNUMBER(H2578),H2578&gt;0),M2578/H2578,"")))</f>
        <v/>
      </c>
      <c r="Q2578" s="9">
        <f>IF(AND(ISNUMBER(M2578),ISNUMBER(O2578)),IF(M2578&lt;=O2578,"Valor ≤ venal IPTU",""),"")</f>
        <v/>
      </c>
      <c r="R2578" s="10" t="n"/>
      <c r="S2578" s="10" t="n"/>
      <c r="AA2578" s="10" t="n"/>
      <c r="AB2578" s="11">
        <f>IF(LEN(TRIM(X2578))=0,"",HYPERLINK("https://www.google.com/maps/@?api=1&amp;map_action=pano&amp;viewpoint="&amp;SUBSTITUTE(X2578," ",""),"Abrir Street View"))</f>
        <v/>
      </c>
    </row>
    <row r="2579">
      <c r="H2579" s="6" t="n"/>
      <c r="I2579" s="6" t="n"/>
      <c r="M2579" s="7" t="n"/>
      <c r="N2579" s="7" t="n"/>
      <c r="O2579" s="7" t="n"/>
      <c r="P2579" s="8">
        <f>IF(NOT(ISNUMBER(M2579)),"",IF(G2579="Terreno",IF(AND(ISNUMBER(I2579),I2579&gt;0),M2579/I2579,""),IF(AND(ISNUMBER(H2579),H2579&gt;0),M2579/H2579,"")))</f>
        <v/>
      </c>
      <c r="Q2579" s="9">
        <f>IF(AND(ISNUMBER(M2579),ISNUMBER(O2579)),IF(M2579&lt;=O2579,"Valor ≤ venal IPTU",""),"")</f>
        <v/>
      </c>
      <c r="R2579" s="10" t="n"/>
      <c r="S2579" s="10" t="n"/>
      <c r="AA2579" s="10" t="n"/>
      <c r="AB2579" s="11">
        <f>IF(LEN(TRIM(X2579))=0,"",HYPERLINK("https://www.google.com/maps/@?api=1&amp;map_action=pano&amp;viewpoint="&amp;SUBSTITUTE(X2579," ",""),"Abrir Street View"))</f>
        <v/>
      </c>
    </row>
    <row r="2580">
      <c r="H2580" s="6" t="n"/>
      <c r="I2580" s="6" t="n"/>
      <c r="M2580" s="7" t="n"/>
      <c r="N2580" s="7" t="n"/>
      <c r="O2580" s="7" t="n"/>
      <c r="P2580" s="8">
        <f>IF(NOT(ISNUMBER(M2580)),"",IF(G2580="Terreno",IF(AND(ISNUMBER(I2580),I2580&gt;0),M2580/I2580,""),IF(AND(ISNUMBER(H2580),H2580&gt;0),M2580/H2580,"")))</f>
        <v/>
      </c>
      <c r="Q2580" s="9">
        <f>IF(AND(ISNUMBER(M2580),ISNUMBER(O2580)),IF(M2580&lt;=O2580,"Valor ≤ venal IPTU",""),"")</f>
        <v/>
      </c>
      <c r="R2580" s="10" t="n"/>
      <c r="S2580" s="10" t="n"/>
      <c r="AA2580" s="10" t="n"/>
      <c r="AB2580" s="11">
        <f>IF(LEN(TRIM(X2580))=0,"",HYPERLINK("https://www.google.com/maps/@?api=1&amp;map_action=pano&amp;viewpoint="&amp;SUBSTITUTE(X2580," ",""),"Abrir Street View"))</f>
        <v/>
      </c>
    </row>
    <row r="2581">
      <c r="H2581" s="6" t="n"/>
      <c r="I2581" s="6" t="n"/>
      <c r="M2581" s="7" t="n"/>
      <c r="N2581" s="7" t="n"/>
      <c r="O2581" s="7" t="n"/>
      <c r="P2581" s="8">
        <f>IF(NOT(ISNUMBER(M2581)),"",IF(G2581="Terreno",IF(AND(ISNUMBER(I2581),I2581&gt;0),M2581/I2581,""),IF(AND(ISNUMBER(H2581),H2581&gt;0),M2581/H2581,"")))</f>
        <v/>
      </c>
      <c r="Q2581" s="9">
        <f>IF(AND(ISNUMBER(M2581),ISNUMBER(O2581)),IF(M2581&lt;=O2581,"Valor ≤ venal IPTU",""),"")</f>
        <v/>
      </c>
      <c r="R2581" s="10" t="n"/>
      <c r="S2581" s="10" t="n"/>
      <c r="AA2581" s="10" t="n"/>
      <c r="AB2581" s="11">
        <f>IF(LEN(TRIM(X2581))=0,"",HYPERLINK("https://www.google.com/maps/@?api=1&amp;map_action=pano&amp;viewpoint="&amp;SUBSTITUTE(X2581," ",""),"Abrir Street View"))</f>
        <v/>
      </c>
    </row>
    <row r="2582">
      <c r="H2582" s="6" t="n"/>
      <c r="I2582" s="6" t="n"/>
      <c r="M2582" s="7" t="n"/>
      <c r="N2582" s="7" t="n"/>
      <c r="O2582" s="7" t="n"/>
      <c r="P2582" s="8">
        <f>IF(NOT(ISNUMBER(M2582)),"",IF(G2582="Terreno",IF(AND(ISNUMBER(I2582),I2582&gt;0),M2582/I2582,""),IF(AND(ISNUMBER(H2582),H2582&gt;0),M2582/H2582,"")))</f>
        <v/>
      </c>
      <c r="Q2582" s="9">
        <f>IF(AND(ISNUMBER(M2582),ISNUMBER(O2582)),IF(M2582&lt;=O2582,"Valor ≤ venal IPTU",""),"")</f>
        <v/>
      </c>
      <c r="R2582" s="10" t="n"/>
      <c r="S2582" s="10" t="n"/>
      <c r="AA2582" s="10" t="n"/>
      <c r="AB2582" s="11">
        <f>IF(LEN(TRIM(X2582))=0,"",HYPERLINK("https://www.google.com/maps/@?api=1&amp;map_action=pano&amp;viewpoint="&amp;SUBSTITUTE(X2582," ",""),"Abrir Street View"))</f>
        <v/>
      </c>
    </row>
    <row r="2583">
      <c r="H2583" s="6" t="n"/>
      <c r="I2583" s="6" t="n"/>
      <c r="M2583" s="7" t="n"/>
      <c r="N2583" s="7" t="n"/>
      <c r="O2583" s="7" t="n"/>
      <c r="P2583" s="8">
        <f>IF(NOT(ISNUMBER(M2583)),"",IF(G2583="Terreno",IF(AND(ISNUMBER(I2583),I2583&gt;0),M2583/I2583,""),IF(AND(ISNUMBER(H2583),H2583&gt;0),M2583/H2583,"")))</f>
        <v/>
      </c>
      <c r="Q2583" s="9">
        <f>IF(AND(ISNUMBER(M2583),ISNUMBER(O2583)),IF(M2583&lt;=O2583,"Valor ≤ venal IPTU",""),"")</f>
        <v/>
      </c>
      <c r="R2583" s="10" t="n"/>
      <c r="S2583" s="10" t="n"/>
      <c r="AA2583" s="10" t="n"/>
      <c r="AB2583" s="11">
        <f>IF(LEN(TRIM(X2583))=0,"",HYPERLINK("https://www.google.com/maps/@?api=1&amp;map_action=pano&amp;viewpoint="&amp;SUBSTITUTE(X2583," ",""),"Abrir Street View"))</f>
        <v/>
      </c>
    </row>
    <row r="2584">
      <c r="H2584" s="6" t="n"/>
      <c r="I2584" s="6" t="n"/>
      <c r="M2584" s="7" t="n"/>
      <c r="N2584" s="7" t="n"/>
      <c r="O2584" s="7" t="n"/>
      <c r="P2584" s="8">
        <f>IF(NOT(ISNUMBER(M2584)),"",IF(G2584="Terreno",IF(AND(ISNUMBER(I2584),I2584&gt;0),M2584/I2584,""),IF(AND(ISNUMBER(H2584),H2584&gt;0),M2584/H2584,"")))</f>
        <v/>
      </c>
      <c r="Q2584" s="9">
        <f>IF(AND(ISNUMBER(M2584),ISNUMBER(O2584)),IF(M2584&lt;=O2584,"Valor ≤ venal IPTU",""),"")</f>
        <v/>
      </c>
      <c r="R2584" s="10" t="n"/>
      <c r="S2584" s="10" t="n"/>
      <c r="AA2584" s="10" t="n"/>
      <c r="AB2584" s="11">
        <f>IF(LEN(TRIM(X2584))=0,"",HYPERLINK("https://www.google.com/maps/@?api=1&amp;map_action=pano&amp;viewpoint="&amp;SUBSTITUTE(X2584," ",""),"Abrir Street View"))</f>
        <v/>
      </c>
    </row>
    <row r="2585">
      <c r="H2585" s="6" t="n"/>
      <c r="I2585" s="6" t="n"/>
      <c r="M2585" s="7" t="n"/>
      <c r="N2585" s="7" t="n"/>
      <c r="O2585" s="7" t="n"/>
      <c r="P2585" s="8">
        <f>IF(NOT(ISNUMBER(M2585)),"",IF(G2585="Terreno",IF(AND(ISNUMBER(I2585),I2585&gt;0),M2585/I2585,""),IF(AND(ISNUMBER(H2585),H2585&gt;0),M2585/H2585,"")))</f>
        <v/>
      </c>
      <c r="Q2585" s="9">
        <f>IF(AND(ISNUMBER(M2585),ISNUMBER(O2585)),IF(M2585&lt;=O2585,"Valor ≤ venal IPTU",""),"")</f>
        <v/>
      </c>
      <c r="R2585" s="10" t="n"/>
      <c r="S2585" s="10" t="n"/>
      <c r="AA2585" s="10" t="n"/>
      <c r="AB2585" s="11">
        <f>IF(LEN(TRIM(X2585))=0,"",HYPERLINK("https://www.google.com/maps/@?api=1&amp;map_action=pano&amp;viewpoint="&amp;SUBSTITUTE(X2585," ",""),"Abrir Street View"))</f>
        <v/>
      </c>
    </row>
    <row r="2586">
      <c r="H2586" s="6" t="n"/>
      <c r="I2586" s="6" t="n"/>
      <c r="M2586" s="7" t="n"/>
      <c r="N2586" s="7" t="n"/>
      <c r="O2586" s="7" t="n"/>
      <c r="P2586" s="8">
        <f>IF(NOT(ISNUMBER(M2586)),"",IF(G2586="Terreno",IF(AND(ISNUMBER(I2586),I2586&gt;0),M2586/I2586,""),IF(AND(ISNUMBER(H2586),H2586&gt;0),M2586/H2586,"")))</f>
        <v/>
      </c>
      <c r="Q2586" s="9">
        <f>IF(AND(ISNUMBER(M2586),ISNUMBER(O2586)),IF(M2586&lt;=O2586,"Valor ≤ venal IPTU",""),"")</f>
        <v/>
      </c>
      <c r="R2586" s="10" t="n"/>
      <c r="S2586" s="10" t="n"/>
      <c r="AA2586" s="10" t="n"/>
      <c r="AB2586" s="11">
        <f>IF(LEN(TRIM(X2586))=0,"",HYPERLINK("https://www.google.com/maps/@?api=1&amp;map_action=pano&amp;viewpoint="&amp;SUBSTITUTE(X2586," ",""),"Abrir Street View"))</f>
        <v/>
      </c>
    </row>
    <row r="2587">
      <c r="H2587" s="6" t="n"/>
      <c r="I2587" s="6" t="n"/>
      <c r="M2587" s="7" t="n"/>
      <c r="N2587" s="7" t="n"/>
      <c r="O2587" s="7" t="n"/>
      <c r="P2587" s="8">
        <f>IF(NOT(ISNUMBER(M2587)),"",IF(G2587="Terreno",IF(AND(ISNUMBER(I2587),I2587&gt;0),M2587/I2587,""),IF(AND(ISNUMBER(H2587),H2587&gt;0),M2587/H2587,"")))</f>
        <v/>
      </c>
      <c r="Q2587" s="9">
        <f>IF(AND(ISNUMBER(M2587),ISNUMBER(O2587)),IF(M2587&lt;=O2587,"Valor ≤ venal IPTU",""),"")</f>
        <v/>
      </c>
      <c r="R2587" s="10" t="n"/>
      <c r="S2587" s="10" t="n"/>
      <c r="AA2587" s="10" t="n"/>
      <c r="AB2587" s="11">
        <f>IF(LEN(TRIM(X2587))=0,"",HYPERLINK("https://www.google.com/maps/@?api=1&amp;map_action=pano&amp;viewpoint="&amp;SUBSTITUTE(X2587," ",""),"Abrir Street View"))</f>
        <v/>
      </c>
    </row>
    <row r="2588">
      <c r="H2588" s="6" t="n"/>
      <c r="I2588" s="6" t="n"/>
      <c r="M2588" s="7" t="n"/>
      <c r="N2588" s="7" t="n"/>
      <c r="O2588" s="7" t="n"/>
      <c r="P2588" s="8">
        <f>IF(NOT(ISNUMBER(M2588)),"",IF(G2588="Terreno",IF(AND(ISNUMBER(I2588),I2588&gt;0),M2588/I2588,""),IF(AND(ISNUMBER(H2588),H2588&gt;0),M2588/H2588,"")))</f>
        <v/>
      </c>
      <c r="Q2588" s="9">
        <f>IF(AND(ISNUMBER(M2588),ISNUMBER(O2588)),IF(M2588&lt;=O2588,"Valor ≤ venal IPTU",""),"")</f>
        <v/>
      </c>
      <c r="R2588" s="10" t="n"/>
      <c r="S2588" s="10" t="n"/>
      <c r="AA2588" s="10" t="n"/>
      <c r="AB2588" s="11">
        <f>IF(LEN(TRIM(X2588))=0,"",HYPERLINK("https://www.google.com/maps/@?api=1&amp;map_action=pano&amp;viewpoint="&amp;SUBSTITUTE(X2588," ",""),"Abrir Street View"))</f>
        <v/>
      </c>
    </row>
    <row r="2589">
      <c r="H2589" s="6" t="n"/>
      <c r="I2589" s="6" t="n"/>
      <c r="M2589" s="7" t="n"/>
      <c r="N2589" s="7" t="n"/>
      <c r="O2589" s="7" t="n"/>
      <c r="P2589" s="8">
        <f>IF(NOT(ISNUMBER(M2589)),"",IF(G2589="Terreno",IF(AND(ISNUMBER(I2589),I2589&gt;0),M2589/I2589,""),IF(AND(ISNUMBER(H2589),H2589&gt;0),M2589/H2589,"")))</f>
        <v/>
      </c>
      <c r="Q2589" s="9">
        <f>IF(AND(ISNUMBER(M2589),ISNUMBER(O2589)),IF(M2589&lt;=O2589,"Valor ≤ venal IPTU",""),"")</f>
        <v/>
      </c>
      <c r="R2589" s="10" t="n"/>
      <c r="S2589" s="10" t="n"/>
      <c r="AA2589" s="10" t="n"/>
      <c r="AB2589" s="11">
        <f>IF(LEN(TRIM(X2589))=0,"",HYPERLINK("https://www.google.com/maps/@?api=1&amp;map_action=pano&amp;viewpoint="&amp;SUBSTITUTE(X2589," ",""),"Abrir Street View"))</f>
        <v/>
      </c>
    </row>
    <row r="2590">
      <c r="H2590" s="6" t="n"/>
      <c r="I2590" s="6" t="n"/>
      <c r="M2590" s="7" t="n"/>
      <c r="N2590" s="7" t="n"/>
      <c r="O2590" s="7" t="n"/>
      <c r="P2590" s="8">
        <f>IF(NOT(ISNUMBER(M2590)),"",IF(G2590="Terreno",IF(AND(ISNUMBER(I2590),I2590&gt;0),M2590/I2590,""),IF(AND(ISNUMBER(H2590),H2590&gt;0),M2590/H2590,"")))</f>
        <v/>
      </c>
      <c r="Q2590" s="9">
        <f>IF(AND(ISNUMBER(M2590),ISNUMBER(O2590)),IF(M2590&lt;=O2590,"Valor ≤ venal IPTU",""),"")</f>
        <v/>
      </c>
      <c r="R2590" s="10" t="n"/>
      <c r="S2590" s="10" t="n"/>
      <c r="AA2590" s="10" t="n"/>
      <c r="AB2590" s="11">
        <f>IF(LEN(TRIM(X2590))=0,"",HYPERLINK("https://www.google.com/maps/@?api=1&amp;map_action=pano&amp;viewpoint="&amp;SUBSTITUTE(X2590," ",""),"Abrir Street View"))</f>
        <v/>
      </c>
    </row>
    <row r="2591">
      <c r="H2591" s="6" t="n"/>
      <c r="I2591" s="6" t="n"/>
      <c r="M2591" s="7" t="n"/>
      <c r="N2591" s="7" t="n"/>
      <c r="O2591" s="7" t="n"/>
      <c r="P2591" s="8">
        <f>IF(NOT(ISNUMBER(M2591)),"",IF(G2591="Terreno",IF(AND(ISNUMBER(I2591),I2591&gt;0),M2591/I2591,""),IF(AND(ISNUMBER(H2591),H2591&gt;0),M2591/H2591,"")))</f>
        <v/>
      </c>
      <c r="Q2591" s="9">
        <f>IF(AND(ISNUMBER(M2591),ISNUMBER(O2591)),IF(M2591&lt;=O2591,"Valor ≤ venal IPTU",""),"")</f>
        <v/>
      </c>
      <c r="R2591" s="10" t="n"/>
      <c r="S2591" s="10" t="n"/>
      <c r="AA2591" s="10" t="n"/>
      <c r="AB2591" s="11">
        <f>IF(LEN(TRIM(X2591))=0,"",HYPERLINK("https://www.google.com/maps/@?api=1&amp;map_action=pano&amp;viewpoint="&amp;SUBSTITUTE(X2591," ",""),"Abrir Street View"))</f>
        <v/>
      </c>
    </row>
    <row r="2592">
      <c r="H2592" s="6" t="n"/>
      <c r="I2592" s="6" t="n"/>
      <c r="M2592" s="7" t="n"/>
      <c r="N2592" s="7" t="n"/>
      <c r="O2592" s="7" t="n"/>
      <c r="P2592" s="8">
        <f>IF(NOT(ISNUMBER(M2592)),"",IF(G2592="Terreno",IF(AND(ISNUMBER(I2592),I2592&gt;0),M2592/I2592,""),IF(AND(ISNUMBER(H2592),H2592&gt;0),M2592/H2592,"")))</f>
        <v/>
      </c>
      <c r="Q2592" s="9">
        <f>IF(AND(ISNUMBER(M2592),ISNUMBER(O2592)),IF(M2592&lt;=O2592,"Valor ≤ venal IPTU",""),"")</f>
        <v/>
      </c>
      <c r="R2592" s="10" t="n"/>
      <c r="S2592" s="10" t="n"/>
      <c r="AA2592" s="10" t="n"/>
      <c r="AB2592" s="11">
        <f>IF(LEN(TRIM(X2592))=0,"",HYPERLINK("https://www.google.com/maps/@?api=1&amp;map_action=pano&amp;viewpoint="&amp;SUBSTITUTE(X2592," ",""),"Abrir Street View"))</f>
        <v/>
      </c>
    </row>
    <row r="2593">
      <c r="H2593" s="6" t="n"/>
      <c r="I2593" s="6" t="n"/>
      <c r="M2593" s="7" t="n"/>
      <c r="N2593" s="7" t="n"/>
      <c r="O2593" s="7" t="n"/>
      <c r="P2593" s="8">
        <f>IF(NOT(ISNUMBER(M2593)),"",IF(G2593="Terreno",IF(AND(ISNUMBER(I2593),I2593&gt;0),M2593/I2593,""),IF(AND(ISNUMBER(H2593),H2593&gt;0),M2593/H2593,"")))</f>
        <v/>
      </c>
      <c r="Q2593" s="9">
        <f>IF(AND(ISNUMBER(M2593),ISNUMBER(O2593)),IF(M2593&lt;=O2593,"Valor ≤ venal IPTU",""),"")</f>
        <v/>
      </c>
      <c r="R2593" s="10" t="n"/>
      <c r="S2593" s="10" t="n"/>
      <c r="AA2593" s="10" t="n"/>
      <c r="AB2593" s="11">
        <f>IF(LEN(TRIM(X2593))=0,"",HYPERLINK("https://www.google.com/maps/@?api=1&amp;map_action=pano&amp;viewpoint="&amp;SUBSTITUTE(X2593," ",""),"Abrir Street View"))</f>
        <v/>
      </c>
    </row>
    <row r="2594">
      <c r="H2594" s="6" t="n"/>
      <c r="I2594" s="6" t="n"/>
      <c r="M2594" s="7" t="n"/>
      <c r="N2594" s="7" t="n"/>
      <c r="O2594" s="7" t="n"/>
      <c r="P2594" s="8">
        <f>IF(NOT(ISNUMBER(M2594)),"",IF(G2594="Terreno",IF(AND(ISNUMBER(I2594),I2594&gt;0),M2594/I2594,""),IF(AND(ISNUMBER(H2594),H2594&gt;0),M2594/H2594,"")))</f>
        <v/>
      </c>
      <c r="Q2594" s="9">
        <f>IF(AND(ISNUMBER(M2594),ISNUMBER(O2594)),IF(M2594&lt;=O2594,"Valor ≤ venal IPTU",""),"")</f>
        <v/>
      </c>
      <c r="R2594" s="10" t="n"/>
      <c r="S2594" s="10" t="n"/>
      <c r="AA2594" s="10" t="n"/>
      <c r="AB2594" s="11">
        <f>IF(LEN(TRIM(X2594))=0,"",HYPERLINK("https://www.google.com/maps/@?api=1&amp;map_action=pano&amp;viewpoint="&amp;SUBSTITUTE(X2594," ",""),"Abrir Street View"))</f>
        <v/>
      </c>
    </row>
    <row r="2595">
      <c r="H2595" s="6" t="n"/>
      <c r="I2595" s="6" t="n"/>
      <c r="M2595" s="7" t="n"/>
      <c r="N2595" s="7" t="n"/>
      <c r="O2595" s="7" t="n"/>
      <c r="P2595" s="8">
        <f>IF(NOT(ISNUMBER(M2595)),"",IF(G2595="Terreno",IF(AND(ISNUMBER(I2595),I2595&gt;0),M2595/I2595,""),IF(AND(ISNUMBER(H2595),H2595&gt;0),M2595/H2595,"")))</f>
        <v/>
      </c>
      <c r="Q2595" s="9">
        <f>IF(AND(ISNUMBER(M2595),ISNUMBER(O2595)),IF(M2595&lt;=O2595,"Valor ≤ venal IPTU",""),"")</f>
        <v/>
      </c>
      <c r="R2595" s="10" t="n"/>
      <c r="S2595" s="10" t="n"/>
      <c r="AA2595" s="10" t="n"/>
      <c r="AB2595" s="11">
        <f>IF(LEN(TRIM(X2595))=0,"",HYPERLINK("https://www.google.com/maps/@?api=1&amp;map_action=pano&amp;viewpoint="&amp;SUBSTITUTE(X2595," ",""),"Abrir Street View"))</f>
        <v/>
      </c>
    </row>
    <row r="2596">
      <c r="H2596" s="6" t="n"/>
      <c r="I2596" s="6" t="n"/>
      <c r="M2596" s="7" t="n"/>
      <c r="N2596" s="7" t="n"/>
      <c r="O2596" s="7" t="n"/>
      <c r="P2596" s="8">
        <f>IF(NOT(ISNUMBER(M2596)),"",IF(G2596="Terreno",IF(AND(ISNUMBER(I2596),I2596&gt;0),M2596/I2596,""),IF(AND(ISNUMBER(H2596),H2596&gt;0),M2596/H2596,"")))</f>
        <v/>
      </c>
      <c r="Q2596" s="9">
        <f>IF(AND(ISNUMBER(M2596),ISNUMBER(O2596)),IF(M2596&lt;=O2596,"Valor ≤ venal IPTU",""),"")</f>
        <v/>
      </c>
      <c r="R2596" s="10" t="n"/>
      <c r="S2596" s="10" t="n"/>
      <c r="AA2596" s="10" t="n"/>
      <c r="AB2596" s="11">
        <f>IF(LEN(TRIM(X2596))=0,"",HYPERLINK("https://www.google.com/maps/@?api=1&amp;map_action=pano&amp;viewpoint="&amp;SUBSTITUTE(X2596," ",""),"Abrir Street View"))</f>
        <v/>
      </c>
    </row>
    <row r="2597">
      <c r="H2597" s="6" t="n"/>
      <c r="I2597" s="6" t="n"/>
      <c r="M2597" s="7" t="n"/>
      <c r="N2597" s="7" t="n"/>
      <c r="O2597" s="7" t="n"/>
      <c r="P2597" s="8">
        <f>IF(NOT(ISNUMBER(M2597)),"",IF(G2597="Terreno",IF(AND(ISNUMBER(I2597),I2597&gt;0),M2597/I2597,""),IF(AND(ISNUMBER(H2597),H2597&gt;0),M2597/H2597,"")))</f>
        <v/>
      </c>
      <c r="Q2597" s="9">
        <f>IF(AND(ISNUMBER(M2597),ISNUMBER(O2597)),IF(M2597&lt;=O2597,"Valor ≤ venal IPTU",""),"")</f>
        <v/>
      </c>
      <c r="R2597" s="10" t="n"/>
      <c r="S2597" s="10" t="n"/>
      <c r="AA2597" s="10" t="n"/>
      <c r="AB2597" s="11">
        <f>IF(LEN(TRIM(X2597))=0,"",HYPERLINK("https://www.google.com/maps/@?api=1&amp;map_action=pano&amp;viewpoint="&amp;SUBSTITUTE(X2597," ",""),"Abrir Street View"))</f>
        <v/>
      </c>
    </row>
    <row r="2598">
      <c r="H2598" s="6" t="n"/>
      <c r="I2598" s="6" t="n"/>
      <c r="M2598" s="7" t="n"/>
      <c r="N2598" s="7" t="n"/>
      <c r="O2598" s="7" t="n"/>
      <c r="P2598" s="8">
        <f>IF(NOT(ISNUMBER(M2598)),"",IF(G2598="Terreno",IF(AND(ISNUMBER(I2598),I2598&gt;0),M2598/I2598,""),IF(AND(ISNUMBER(H2598),H2598&gt;0),M2598/H2598,"")))</f>
        <v/>
      </c>
      <c r="Q2598" s="9">
        <f>IF(AND(ISNUMBER(M2598),ISNUMBER(O2598)),IF(M2598&lt;=O2598,"Valor ≤ venal IPTU",""),"")</f>
        <v/>
      </c>
      <c r="R2598" s="10" t="n"/>
      <c r="S2598" s="10" t="n"/>
      <c r="AA2598" s="10" t="n"/>
      <c r="AB2598" s="11">
        <f>IF(LEN(TRIM(X2598))=0,"",HYPERLINK("https://www.google.com/maps/@?api=1&amp;map_action=pano&amp;viewpoint="&amp;SUBSTITUTE(X2598," ",""),"Abrir Street View"))</f>
        <v/>
      </c>
    </row>
    <row r="2599">
      <c r="H2599" s="6" t="n"/>
      <c r="I2599" s="6" t="n"/>
      <c r="M2599" s="7" t="n"/>
      <c r="N2599" s="7" t="n"/>
      <c r="O2599" s="7" t="n"/>
      <c r="P2599" s="8">
        <f>IF(NOT(ISNUMBER(M2599)),"",IF(G2599="Terreno",IF(AND(ISNUMBER(I2599),I2599&gt;0),M2599/I2599,""),IF(AND(ISNUMBER(H2599),H2599&gt;0),M2599/H2599,"")))</f>
        <v/>
      </c>
      <c r="Q2599" s="9">
        <f>IF(AND(ISNUMBER(M2599),ISNUMBER(O2599)),IF(M2599&lt;=O2599,"Valor ≤ venal IPTU",""),"")</f>
        <v/>
      </c>
      <c r="R2599" s="10" t="n"/>
      <c r="S2599" s="10" t="n"/>
      <c r="AA2599" s="10" t="n"/>
      <c r="AB2599" s="11">
        <f>IF(LEN(TRIM(X2599))=0,"",HYPERLINK("https://www.google.com/maps/@?api=1&amp;map_action=pano&amp;viewpoint="&amp;SUBSTITUTE(X2599," ",""),"Abrir Street View"))</f>
        <v/>
      </c>
    </row>
    <row r="2600">
      <c r="H2600" s="6" t="n"/>
      <c r="I2600" s="6" t="n"/>
      <c r="M2600" s="7" t="n"/>
      <c r="N2600" s="7" t="n"/>
      <c r="O2600" s="7" t="n"/>
      <c r="P2600" s="8">
        <f>IF(NOT(ISNUMBER(M2600)),"",IF(G2600="Terreno",IF(AND(ISNUMBER(I2600),I2600&gt;0),M2600/I2600,""),IF(AND(ISNUMBER(H2600),H2600&gt;0),M2600/H2600,"")))</f>
        <v/>
      </c>
      <c r="Q2600" s="9">
        <f>IF(AND(ISNUMBER(M2600),ISNUMBER(O2600)),IF(M2600&lt;=O2600,"Valor ≤ venal IPTU",""),"")</f>
        <v/>
      </c>
      <c r="R2600" s="10" t="n"/>
      <c r="S2600" s="10" t="n"/>
      <c r="AA2600" s="10" t="n"/>
      <c r="AB2600" s="11">
        <f>IF(LEN(TRIM(X2600))=0,"",HYPERLINK("https://www.google.com/maps/@?api=1&amp;map_action=pano&amp;viewpoint="&amp;SUBSTITUTE(X2600," ",""),"Abrir Street View"))</f>
        <v/>
      </c>
    </row>
    <row r="2601">
      <c r="H2601" s="6" t="n"/>
      <c r="I2601" s="6" t="n"/>
      <c r="M2601" s="7" t="n"/>
      <c r="N2601" s="7" t="n"/>
      <c r="O2601" s="7" t="n"/>
      <c r="P2601" s="8">
        <f>IF(NOT(ISNUMBER(M2601)),"",IF(G2601="Terreno",IF(AND(ISNUMBER(I2601),I2601&gt;0),M2601/I2601,""),IF(AND(ISNUMBER(H2601),H2601&gt;0),M2601/H2601,"")))</f>
        <v/>
      </c>
      <c r="Q2601" s="9">
        <f>IF(AND(ISNUMBER(M2601),ISNUMBER(O2601)),IF(M2601&lt;=O2601,"Valor ≤ venal IPTU",""),"")</f>
        <v/>
      </c>
      <c r="R2601" s="10" t="n"/>
      <c r="S2601" s="10" t="n"/>
      <c r="AA2601" s="10" t="n"/>
      <c r="AB2601" s="11">
        <f>IF(LEN(TRIM(X2601))=0,"",HYPERLINK("https://www.google.com/maps/@?api=1&amp;map_action=pano&amp;viewpoint="&amp;SUBSTITUTE(X2601," ",""),"Abrir Street View"))</f>
        <v/>
      </c>
    </row>
    <row r="2602">
      <c r="H2602" s="6" t="n"/>
      <c r="I2602" s="6" t="n"/>
      <c r="M2602" s="7" t="n"/>
      <c r="N2602" s="7" t="n"/>
      <c r="O2602" s="7" t="n"/>
      <c r="P2602" s="8">
        <f>IF(NOT(ISNUMBER(M2602)),"",IF(G2602="Terreno",IF(AND(ISNUMBER(I2602),I2602&gt;0),M2602/I2602,""),IF(AND(ISNUMBER(H2602),H2602&gt;0),M2602/H2602,"")))</f>
        <v/>
      </c>
      <c r="Q2602" s="9">
        <f>IF(AND(ISNUMBER(M2602),ISNUMBER(O2602)),IF(M2602&lt;=O2602,"Valor ≤ venal IPTU",""),"")</f>
        <v/>
      </c>
      <c r="R2602" s="10" t="n"/>
      <c r="S2602" s="10" t="n"/>
      <c r="AA2602" s="10" t="n"/>
      <c r="AB2602" s="11">
        <f>IF(LEN(TRIM(X2602))=0,"",HYPERLINK("https://www.google.com/maps/@?api=1&amp;map_action=pano&amp;viewpoint="&amp;SUBSTITUTE(X2602," ",""),"Abrir Street View"))</f>
        <v/>
      </c>
    </row>
    <row r="2603">
      <c r="H2603" s="6" t="n"/>
      <c r="I2603" s="6" t="n"/>
      <c r="M2603" s="7" t="n"/>
      <c r="N2603" s="7" t="n"/>
      <c r="O2603" s="7" t="n"/>
      <c r="P2603" s="8">
        <f>IF(NOT(ISNUMBER(M2603)),"",IF(G2603="Terreno",IF(AND(ISNUMBER(I2603),I2603&gt;0),M2603/I2603,""),IF(AND(ISNUMBER(H2603),H2603&gt;0),M2603/H2603,"")))</f>
        <v/>
      </c>
      <c r="Q2603" s="9">
        <f>IF(AND(ISNUMBER(M2603),ISNUMBER(O2603)),IF(M2603&lt;=O2603,"Valor ≤ venal IPTU",""),"")</f>
        <v/>
      </c>
      <c r="R2603" s="10" t="n"/>
      <c r="S2603" s="10" t="n"/>
      <c r="AA2603" s="10" t="n"/>
      <c r="AB2603" s="11">
        <f>IF(LEN(TRIM(X2603))=0,"",HYPERLINK("https://www.google.com/maps/@?api=1&amp;map_action=pano&amp;viewpoint="&amp;SUBSTITUTE(X2603," ",""),"Abrir Street View"))</f>
        <v/>
      </c>
    </row>
    <row r="2604">
      <c r="H2604" s="6" t="n"/>
      <c r="I2604" s="6" t="n"/>
      <c r="M2604" s="7" t="n"/>
      <c r="N2604" s="7" t="n"/>
      <c r="O2604" s="7" t="n"/>
      <c r="P2604" s="8">
        <f>IF(NOT(ISNUMBER(M2604)),"",IF(G2604="Terreno",IF(AND(ISNUMBER(I2604),I2604&gt;0),M2604/I2604,""),IF(AND(ISNUMBER(H2604),H2604&gt;0),M2604/H2604,"")))</f>
        <v/>
      </c>
      <c r="Q2604" s="9">
        <f>IF(AND(ISNUMBER(M2604),ISNUMBER(O2604)),IF(M2604&lt;=O2604,"Valor ≤ venal IPTU",""),"")</f>
        <v/>
      </c>
      <c r="R2604" s="10" t="n"/>
      <c r="S2604" s="10" t="n"/>
      <c r="AA2604" s="10" t="n"/>
      <c r="AB2604" s="11">
        <f>IF(LEN(TRIM(X2604))=0,"",HYPERLINK("https://www.google.com/maps/@?api=1&amp;map_action=pano&amp;viewpoint="&amp;SUBSTITUTE(X2604," ",""),"Abrir Street View"))</f>
        <v/>
      </c>
    </row>
    <row r="2605">
      <c r="H2605" s="6" t="n"/>
      <c r="I2605" s="6" t="n"/>
      <c r="M2605" s="7" t="n"/>
      <c r="N2605" s="7" t="n"/>
      <c r="O2605" s="7" t="n"/>
      <c r="P2605" s="8">
        <f>IF(NOT(ISNUMBER(M2605)),"",IF(G2605="Terreno",IF(AND(ISNUMBER(I2605),I2605&gt;0),M2605/I2605,""),IF(AND(ISNUMBER(H2605),H2605&gt;0),M2605/H2605,"")))</f>
        <v/>
      </c>
      <c r="Q2605" s="9">
        <f>IF(AND(ISNUMBER(M2605),ISNUMBER(O2605)),IF(M2605&lt;=O2605,"Valor ≤ venal IPTU",""),"")</f>
        <v/>
      </c>
      <c r="R2605" s="10" t="n"/>
      <c r="S2605" s="10" t="n"/>
      <c r="AA2605" s="10" t="n"/>
      <c r="AB2605" s="11">
        <f>IF(LEN(TRIM(X2605))=0,"",HYPERLINK("https://www.google.com/maps/@?api=1&amp;map_action=pano&amp;viewpoint="&amp;SUBSTITUTE(X2605," ",""),"Abrir Street View"))</f>
        <v/>
      </c>
    </row>
    <row r="2606">
      <c r="H2606" s="6" t="n"/>
      <c r="I2606" s="6" t="n"/>
      <c r="M2606" s="7" t="n"/>
      <c r="N2606" s="7" t="n"/>
      <c r="O2606" s="7" t="n"/>
      <c r="P2606" s="8">
        <f>IF(NOT(ISNUMBER(M2606)),"",IF(G2606="Terreno",IF(AND(ISNUMBER(I2606),I2606&gt;0),M2606/I2606,""),IF(AND(ISNUMBER(H2606),H2606&gt;0),M2606/H2606,"")))</f>
        <v/>
      </c>
      <c r="Q2606" s="9">
        <f>IF(AND(ISNUMBER(M2606),ISNUMBER(O2606)),IF(M2606&lt;=O2606,"Valor ≤ venal IPTU",""),"")</f>
        <v/>
      </c>
      <c r="R2606" s="10" t="n"/>
      <c r="S2606" s="10" t="n"/>
      <c r="AA2606" s="10" t="n"/>
      <c r="AB2606" s="11">
        <f>IF(LEN(TRIM(X2606))=0,"",HYPERLINK("https://www.google.com/maps/@?api=1&amp;map_action=pano&amp;viewpoint="&amp;SUBSTITUTE(X2606," ",""),"Abrir Street View"))</f>
        <v/>
      </c>
    </row>
    <row r="2607">
      <c r="H2607" s="6" t="n"/>
      <c r="I2607" s="6" t="n"/>
      <c r="M2607" s="7" t="n"/>
      <c r="N2607" s="7" t="n"/>
      <c r="O2607" s="7" t="n"/>
      <c r="P2607" s="8">
        <f>IF(NOT(ISNUMBER(M2607)),"",IF(G2607="Terreno",IF(AND(ISNUMBER(I2607),I2607&gt;0),M2607/I2607,""),IF(AND(ISNUMBER(H2607),H2607&gt;0),M2607/H2607,"")))</f>
        <v/>
      </c>
      <c r="Q2607" s="9">
        <f>IF(AND(ISNUMBER(M2607),ISNUMBER(O2607)),IF(M2607&lt;=O2607,"Valor ≤ venal IPTU",""),"")</f>
        <v/>
      </c>
      <c r="R2607" s="10" t="n"/>
      <c r="S2607" s="10" t="n"/>
      <c r="AA2607" s="10" t="n"/>
      <c r="AB2607" s="11">
        <f>IF(LEN(TRIM(X2607))=0,"",HYPERLINK("https://www.google.com/maps/@?api=1&amp;map_action=pano&amp;viewpoint="&amp;SUBSTITUTE(X2607," ",""),"Abrir Street View"))</f>
        <v/>
      </c>
    </row>
    <row r="2608">
      <c r="H2608" s="6" t="n"/>
      <c r="I2608" s="6" t="n"/>
      <c r="M2608" s="7" t="n"/>
      <c r="N2608" s="7" t="n"/>
      <c r="O2608" s="7" t="n"/>
      <c r="P2608" s="8">
        <f>IF(NOT(ISNUMBER(M2608)),"",IF(G2608="Terreno",IF(AND(ISNUMBER(I2608),I2608&gt;0),M2608/I2608,""),IF(AND(ISNUMBER(H2608),H2608&gt;0),M2608/H2608,"")))</f>
        <v/>
      </c>
      <c r="Q2608" s="9">
        <f>IF(AND(ISNUMBER(M2608),ISNUMBER(O2608)),IF(M2608&lt;=O2608,"Valor ≤ venal IPTU",""),"")</f>
        <v/>
      </c>
      <c r="R2608" s="10" t="n"/>
      <c r="S2608" s="10" t="n"/>
      <c r="AA2608" s="10" t="n"/>
      <c r="AB2608" s="11">
        <f>IF(LEN(TRIM(X2608))=0,"",HYPERLINK("https://www.google.com/maps/@?api=1&amp;map_action=pano&amp;viewpoint="&amp;SUBSTITUTE(X2608," ",""),"Abrir Street View"))</f>
        <v/>
      </c>
    </row>
    <row r="2609">
      <c r="H2609" s="6" t="n"/>
      <c r="I2609" s="6" t="n"/>
      <c r="M2609" s="7" t="n"/>
      <c r="N2609" s="7" t="n"/>
      <c r="O2609" s="7" t="n"/>
      <c r="P2609" s="8">
        <f>IF(NOT(ISNUMBER(M2609)),"",IF(G2609="Terreno",IF(AND(ISNUMBER(I2609),I2609&gt;0),M2609/I2609,""),IF(AND(ISNUMBER(H2609),H2609&gt;0),M2609/H2609,"")))</f>
        <v/>
      </c>
      <c r="Q2609" s="9">
        <f>IF(AND(ISNUMBER(M2609),ISNUMBER(O2609)),IF(M2609&lt;=O2609,"Valor ≤ venal IPTU",""),"")</f>
        <v/>
      </c>
      <c r="R2609" s="10" t="n"/>
      <c r="S2609" s="10" t="n"/>
      <c r="AA2609" s="10" t="n"/>
      <c r="AB2609" s="11">
        <f>IF(LEN(TRIM(X2609))=0,"",HYPERLINK("https://www.google.com/maps/@?api=1&amp;map_action=pano&amp;viewpoint="&amp;SUBSTITUTE(X2609," ",""),"Abrir Street View"))</f>
        <v/>
      </c>
    </row>
    <row r="2610">
      <c r="H2610" s="6" t="n"/>
      <c r="I2610" s="6" t="n"/>
      <c r="M2610" s="7" t="n"/>
      <c r="N2610" s="7" t="n"/>
      <c r="O2610" s="7" t="n"/>
      <c r="P2610" s="8">
        <f>IF(NOT(ISNUMBER(M2610)),"",IF(G2610="Terreno",IF(AND(ISNUMBER(I2610),I2610&gt;0),M2610/I2610,""),IF(AND(ISNUMBER(H2610),H2610&gt;0),M2610/H2610,"")))</f>
        <v/>
      </c>
      <c r="Q2610" s="9">
        <f>IF(AND(ISNUMBER(M2610),ISNUMBER(O2610)),IF(M2610&lt;=O2610,"Valor ≤ venal IPTU",""),"")</f>
        <v/>
      </c>
      <c r="R2610" s="10" t="n"/>
      <c r="S2610" s="10" t="n"/>
      <c r="AA2610" s="10" t="n"/>
      <c r="AB2610" s="11">
        <f>IF(LEN(TRIM(X2610))=0,"",HYPERLINK("https://www.google.com/maps/@?api=1&amp;map_action=pano&amp;viewpoint="&amp;SUBSTITUTE(X2610," ",""),"Abrir Street View"))</f>
        <v/>
      </c>
    </row>
    <row r="2611">
      <c r="H2611" s="6" t="n"/>
      <c r="I2611" s="6" t="n"/>
      <c r="M2611" s="7" t="n"/>
      <c r="N2611" s="7" t="n"/>
      <c r="O2611" s="7" t="n"/>
      <c r="P2611" s="8">
        <f>IF(NOT(ISNUMBER(M2611)),"",IF(G2611="Terreno",IF(AND(ISNUMBER(I2611),I2611&gt;0),M2611/I2611,""),IF(AND(ISNUMBER(H2611),H2611&gt;0),M2611/H2611,"")))</f>
        <v/>
      </c>
      <c r="Q2611" s="9">
        <f>IF(AND(ISNUMBER(M2611),ISNUMBER(O2611)),IF(M2611&lt;=O2611,"Valor ≤ venal IPTU",""),"")</f>
        <v/>
      </c>
      <c r="R2611" s="10" t="n"/>
      <c r="S2611" s="10" t="n"/>
      <c r="AA2611" s="10" t="n"/>
      <c r="AB2611" s="11">
        <f>IF(LEN(TRIM(X2611))=0,"",HYPERLINK("https://www.google.com/maps/@?api=1&amp;map_action=pano&amp;viewpoint="&amp;SUBSTITUTE(X2611," ",""),"Abrir Street View"))</f>
        <v/>
      </c>
    </row>
    <row r="2612">
      <c r="H2612" s="6" t="n"/>
      <c r="I2612" s="6" t="n"/>
      <c r="M2612" s="7" t="n"/>
      <c r="N2612" s="7" t="n"/>
      <c r="O2612" s="7" t="n"/>
      <c r="P2612" s="8">
        <f>IF(NOT(ISNUMBER(M2612)),"",IF(G2612="Terreno",IF(AND(ISNUMBER(I2612),I2612&gt;0),M2612/I2612,""),IF(AND(ISNUMBER(H2612),H2612&gt;0),M2612/H2612,"")))</f>
        <v/>
      </c>
      <c r="Q2612" s="9">
        <f>IF(AND(ISNUMBER(M2612),ISNUMBER(O2612)),IF(M2612&lt;=O2612,"Valor ≤ venal IPTU",""),"")</f>
        <v/>
      </c>
      <c r="R2612" s="10" t="n"/>
      <c r="S2612" s="10" t="n"/>
      <c r="AA2612" s="10" t="n"/>
      <c r="AB2612" s="11">
        <f>IF(LEN(TRIM(X2612))=0,"",HYPERLINK("https://www.google.com/maps/@?api=1&amp;map_action=pano&amp;viewpoint="&amp;SUBSTITUTE(X2612," ",""),"Abrir Street View"))</f>
        <v/>
      </c>
    </row>
    <row r="2613">
      <c r="H2613" s="6" t="n"/>
      <c r="I2613" s="6" t="n"/>
      <c r="M2613" s="7" t="n"/>
      <c r="N2613" s="7" t="n"/>
      <c r="O2613" s="7" t="n"/>
      <c r="P2613" s="8">
        <f>IF(NOT(ISNUMBER(M2613)),"",IF(G2613="Terreno",IF(AND(ISNUMBER(I2613),I2613&gt;0),M2613/I2613,""),IF(AND(ISNUMBER(H2613),H2613&gt;0),M2613/H2613,"")))</f>
        <v/>
      </c>
      <c r="Q2613" s="9">
        <f>IF(AND(ISNUMBER(M2613),ISNUMBER(O2613)),IF(M2613&lt;=O2613,"Valor ≤ venal IPTU",""),"")</f>
        <v/>
      </c>
      <c r="R2613" s="10" t="n"/>
      <c r="S2613" s="10" t="n"/>
      <c r="AA2613" s="10" t="n"/>
      <c r="AB2613" s="11">
        <f>IF(LEN(TRIM(X2613))=0,"",HYPERLINK("https://www.google.com/maps/@?api=1&amp;map_action=pano&amp;viewpoint="&amp;SUBSTITUTE(X2613," ",""),"Abrir Street View"))</f>
        <v/>
      </c>
    </row>
    <row r="2614">
      <c r="H2614" s="6" t="n"/>
      <c r="I2614" s="6" t="n"/>
      <c r="M2614" s="7" t="n"/>
      <c r="N2614" s="7" t="n"/>
      <c r="O2614" s="7" t="n"/>
      <c r="P2614" s="8">
        <f>IF(NOT(ISNUMBER(M2614)),"",IF(G2614="Terreno",IF(AND(ISNUMBER(I2614),I2614&gt;0),M2614/I2614,""),IF(AND(ISNUMBER(H2614),H2614&gt;0),M2614/H2614,"")))</f>
        <v/>
      </c>
      <c r="Q2614" s="9">
        <f>IF(AND(ISNUMBER(M2614),ISNUMBER(O2614)),IF(M2614&lt;=O2614,"Valor ≤ venal IPTU",""),"")</f>
        <v/>
      </c>
      <c r="R2614" s="10" t="n"/>
      <c r="S2614" s="10" t="n"/>
      <c r="AA2614" s="10" t="n"/>
      <c r="AB2614" s="11">
        <f>IF(LEN(TRIM(X2614))=0,"",HYPERLINK("https://www.google.com/maps/@?api=1&amp;map_action=pano&amp;viewpoint="&amp;SUBSTITUTE(X2614," ",""),"Abrir Street View"))</f>
        <v/>
      </c>
    </row>
    <row r="2615">
      <c r="H2615" s="6" t="n"/>
      <c r="I2615" s="6" t="n"/>
      <c r="M2615" s="7" t="n"/>
      <c r="N2615" s="7" t="n"/>
      <c r="O2615" s="7" t="n"/>
      <c r="P2615" s="8">
        <f>IF(NOT(ISNUMBER(M2615)),"",IF(G2615="Terreno",IF(AND(ISNUMBER(I2615),I2615&gt;0),M2615/I2615,""),IF(AND(ISNUMBER(H2615),H2615&gt;0),M2615/H2615,"")))</f>
        <v/>
      </c>
      <c r="Q2615" s="9">
        <f>IF(AND(ISNUMBER(M2615),ISNUMBER(O2615)),IF(M2615&lt;=O2615,"Valor ≤ venal IPTU",""),"")</f>
        <v/>
      </c>
      <c r="R2615" s="10" t="n"/>
      <c r="S2615" s="10" t="n"/>
      <c r="AA2615" s="10" t="n"/>
      <c r="AB2615" s="11">
        <f>IF(LEN(TRIM(X2615))=0,"",HYPERLINK("https://www.google.com/maps/@?api=1&amp;map_action=pano&amp;viewpoint="&amp;SUBSTITUTE(X2615," ",""),"Abrir Street View"))</f>
        <v/>
      </c>
    </row>
    <row r="2616">
      <c r="H2616" s="6" t="n"/>
      <c r="I2616" s="6" t="n"/>
      <c r="M2616" s="7" t="n"/>
      <c r="N2616" s="7" t="n"/>
      <c r="O2616" s="7" t="n"/>
      <c r="P2616" s="8">
        <f>IF(NOT(ISNUMBER(M2616)),"",IF(G2616="Terreno",IF(AND(ISNUMBER(I2616),I2616&gt;0),M2616/I2616,""),IF(AND(ISNUMBER(H2616),H2616&gt;0),M2616/H2616,"")))</f>
        <v/>
      </c>
      <c r="Q2616" s="9">
        <f>IF(AND(ISNUMBER(M2616),ISNUMBER(O2616)),IF(M2616&lt;=O2616,"Valor ≤ venal IPTU",""),"")</f>
        <v/>
      </c>
      <c r="R2616" s="10" t="n"/>
      <c r="S2616" s="10" t="n"/>
      <c r="AA2616" s="10" t="n"/>
      <c r="AB2616" s="11">
        <f>IF(LEN(TRIM(X2616))=0,"",HYPERLINK("https://www.google.com/maps/@?api=1&amp;map_action=pano&amp;viewpoint="&amp;SUBSTITUTE(X2616," ",""),"Abrir Street View"))</f>
        <v/>
      </c>
    </row>
    <row r="2617">
      <c r="H2617" s="6" t="n"/>
      <c r="I2617" s="6" t="n"/>
      <c r="M2617" s="7" t="n"/>
      <c r="N2617" s="7" t="n"/>
      <c r="O2617" s="7" t="n"/>
      <c r="P2617" s="8">
        <f>IF(NOT(ISNUMBER(M2617)),"",IF(G2617="Terreno",IF(AND(ISNUMBER(I2617),I2617&gt;0),M2617/I2617,""),IF(AND(ISNUMBER(H2617),H2617&gt;0),M2617/H2617,"")))</f>
        <v/>
      </c>
      <c r="Q2617" s="9">
        <f>IF(AND(ISNUMBER(M2617),ISNUMBER(O2617)),IF(M2617&lt;=O2617,"Valor ≤ venal IPTU",""),"")</f>
        <v/>
      </c>
      <c r="R2617" s="10" t="n"/>
      <c r="S2617" s="10" t="n"/>
      <c r="AA2617" s="10" t="n"/>
      <c r="AB2617" s="11">
        <f>IF(LEN(TRIM(X2617))=0,"",HYPERLINK("https://www.google.com/maps/@?api=1&amp;map_action=pano&amp;viewpoint="&amp;SUBSTITUTE(X2617," ",""),"Abrir Street View"))</f>
        <v/>
      </c>
    </row>
    <row r="2618">
      <c r="H2618" s="6" t="n"/>
      <c r="I2618" s="6" t="n"/>
      <c r="M2618" s="7" t="n"/>
      <c r="N2618" s="7" t="n"/>
      <c r="O2618" s="7" t="n"/>
      <c r="P2618" s="8">
        <f>IF(NOT(ISNUMBER(M2618)),"",IF(G2618="Terreno",IF(AND(ISNUMBER(I2618),I2618&gt;0),M2618/I2618,""),IF(AND(ISNUMBER(H2618),H2618&gt;0),M2618/H2618,"")))</f>
        <v/>
      </c>
      <c r="Q2618" s="9">
        <f>IF(AND(ISNUMBER(M2618),ISNUMBER(O2618)),IF(M2618&lt;=O2618,"Valor ≤ venal IPTU",""),"")</f>
        <v/>
      </c>
      <c r="R2618" s="10" t="n"/>
      <c r="S2618" s="10" t="n"/>
      <c r="AA2618" s="10" t="n"/>
      <c r="AB2618" s="11">
        <f>IF(LEN(TRIM(X2618))=0,"",HYPERLINK("https://www.google.com/maps/@?api=1&amp;map_action=pano&amp;viewpoint="&amp;SUBSTITUTE(X2618," ",""),"Abrir Street View"))</f>
        <v/>
      </c>
    </row>
    <row r="2619">
      <c r="H2619" s="6" t="n"/>
      <c r="I2619" s="6" t="n"/>
      <c r="M2619" s="7" t="n"/>
      <c r="N2619" s="7" t="n"/>
      <c r="O2619" s="7" t="n"/>
      <c r="P2619" s="8">
        <f>IF(NOT(ISNUMBER(M2619)),"",IF(G2619="Terreno",IF(AND(ISNUMBER(I2619),I2619&gt;0),M2619/I2619,""),IF(AND(ISNUMBER(H2619),H2619&gt;0),M2619/H2619,"")))</f>
        <v/>
      </c>
      <c r="Q2619" s="9">
        <f>IF(AND(ISNUMBER(M2619),ISNUMBER(O2619)),IF(M2619&lt;=O2619,"Valor ≤ venal IPTU",""),"")</f>
        <v/>
      </c>
      <c r="R2619" s="10" t="n"/>
      <c r="S2619" s="10" t="n"/>
      <c r="AA2619" s="10" t="n"/>
      <c r="AB2619" s="11">
        <f>IF(LEN(TRIM(X2619))=0,"",HYPERLINK("https://www.google.com/maps/@?api=1&amp;map_action=pano&amp;viewpoint="&amp;SUBSTITUTE(X2619," ",""),"Abrir Street View"))</f>
        <v/>
      </c>
    </row>
    <row r="2620">
      <c r="H2620" s="6" t="n"/>
      <c r="I2620" s="6" t="n"/>
      <c r="M2620" s="7" t="n"/>
      <c r="N2620" s="7" t="n"/>
      <c r="O2620" s="7" t="n"/>
      <c r="P2620" s="8">
        <f>IF(NOT(ISNUMBER(M2620)),"",IF(G2620="Terreno",IF(AND(ISNUMBER(I2620),I2620&gt;0),M2620/I2620,""),IF(AND(ISNUMBER(H2620),H2620&gt;0),M2620/H2620,"")))</f>
        <v/>
      </c>
      <c r="Q2620" s="9">
        <f>IF(AND(ISNUMBER(M2620),ISNUMBER(O2620)),IF(M2620&lt;=O2620,"Valor ≤ venal IPTU",""),"")</f>
        <v/>
      </c>
      <c r="R2620" s="10" t="n"/>
      <c r="S2620" s="10" t="n"/>
      <c r="AA2620" s="10" t="n"/>
      <c r="AB2620" s="11">
        <f>IF(LEN(TRIM(X2620))=0,"",HYPERLINK("https://www.google.com/maps/@?api=1&amp;map_action=pano&amp;viewpoint="&amp;SUBSTITUTE(X2620," ",""),"Abrir Street View"))</f>
        <v/>
      </c>
    </row>
    <row r="2621">
      <c r="H2621" s="6" t="n"/>
      <c r="I2621" s="6" t="n"/>
      <c r="M2621" s="7" t="n"/>
      <c r="N2621" s="7" t="n"/>
      <c r="O2621" s="7" t="n"/>
      <c r="P2621" s="8">
        <f>IF(NOT(ISNUMBER(M2621)),"",IF(G2621="Terreno",IF(AND(ISNUMBER(I2621),I2621&gt;0),M2621/I2621,""),IF(AND(ISNUMBER(H2621),H2621&gt;0),M2621/H2621,"")))</f>
        <v/>
      </c>
      <c r="Q2621" s="9">
        <f>IF(AND(ISNUMBER(M2621),ISNUMBER(O2621)),IF(M2621&lt;=O2621,"Valor ≤ venal IPTU",""),"")</f>
        <v/>
      </c>
      <c r="R2621" s="10" t="n"/>
      <c r="S2621" s="10" t="n"/>
      <c r="AA2621" s="10" t="n"/>
      <c r="AB2621" s="11">
        <f>IF(LEN(TRIM(X2621))=0,"",HYPERLINK("https://www.google.com/maps/@?api=1&amp;map_action=pano&amp;viewpoint="&amp;SUBSTITUTE(X2621," ",""),"Abrir Street View"))</f>
        <v/>
      </c>
    </row>
    <row r="2622">
      <c r="H2622" s="6" t="n"/>
      <c r="I2622" s="6" t="n"/>
      <c r="M2622" s="7" t="n"/>
      <c r="N2622" s="7" t="n"/>
      <c r="O2622" s="7" t="n"/>
      <c r="P2622" s="8">
        <f>IF(NOT(ISNUMBER(M2622)),"",IF(G2622="Terreno",IF(AND(ISNUMBER(I2622),I2622&gt;0),M2622/I2622,""),IF(AND(ISNUMBER(H2622),H2622&gt;0),M2622/H2622,"")))</f>
        <v/>
      </c>
      <c r="Q2622" s="9">
        <f>IF(AND(ISNUMBER(M2622),ISNUMBER(O2622)),IF(M2622&lt;=O2622,"Valor ≤ venal IPTU",""),"")</f>
        <v/>
      </c>
      <c r="R2622" s="10" t="n"/>
      <c r="S2622" s="10" t="n"/>
      <c r="AA2622" s="10" t="n"/>
      <c r="AB2622" s="11">
        <f>IF(LEN(TRIM(X2622))=0,"",HYPERLINK("https://www.google.com/maps/@?api=1&amp;map_action=pano&amp;viewpoint="&amp;SUBSTITUTE(X2622," ",""),"Abrir Street View"))</f>
        <v/>
      </c>
    </row>
    <row r="2623">
      <c r="H2623" s="6" t="n"/>
      <c r="I2623" s="6" t="n"/>
      <c r="M2623" s="7" t="n"/>
      <c r="N2623" s="7" t="n"/>
      <c r="O2623" s="7" t="n"/>
      <c r="P2623" s="8">
        <f>IF(NOT(ISNUMBER(M2623)),"",IF(G2623="Terreno",IF(AND(ISNUMBER(I2623),I2623&gt;0),M2623/I2623,""),IF(AND(ISNUMBER(H2623),H2623&gt;0),M2623/H2623,"")))</f>
        <v/>
      </c>
      <c r="Q2623" s="9">
        <f>IF(AND(ISNUMBER(M2623),ISNUMBER(O2623)),IF(M2623&lt;=O2623,"Valor ≤ venal IPTU",""),"")</f>
        <v/>
      </c>
      <c r="R2623" s="10" t="n"/>
      <c r="S2623" s="10" t="n"/>
      <c r="AA2623" s="10" t="n"/>
      <c r="AB2623" s="11">
        <f>IF(LEN(TRIM(X2623))=0,"",HYPERLINK("https://www.google.com/maps/@?api=1&amp;map_action=pano&amp;viewpoint="&amp;SUBSTITUTE(X2623," ",""),"Abrir Street View"))</f>
        <v/>
      </c>
    </row>
    <row r="2624">
      <c r="H2624" s="6" t="n"/>
      <c r="I2624" s="6" t="n"/>
      <c r="M2624" s="7" t="n"/>
      <c r="N2624" s="7" t="n"/>
      <c r="O2624" s="7" t="n"/>
      <c r="P2624" s="8">
        <f>IF(NOT(ISNUMBER(M2624)),"",IF(G2624="Terreno",IF(AND(ISNUMBER(I2624),I2624&gt;0),M2624/I2624,""),IF(AND(ISNUMBER(H2624),H2624&gt;0),M2624/H2624,"")))</f>
        <v/>
      </c>
      <c r="Q2624" s="9">
        <f>IF(AND(ISNUMBER(M2624),ISNUMBER(O2624)),IF(M2624&lt;=O2624,"Valor ≤ venal IPTU",""),"")</f>
        <v/>
      </c>
      <c r="R2624" s="10" t="n"/>
      <c r="S2624" s="10" t="n"/>
      <c r="AA2624" s="10" t="n"/>
      <c r="AB2624" s="11">
        <f>IF(LEN(TRIM(X2624))=0,"",HYPERLINK("https://www.google.com/maps/@?api=1&amp;map_action=pano&amp;viewpoint="&amp;SUBSTITUTE(X2624," ",""),"Abrir Street View"))</f>
        <v/>
      </c>
    </row>
    <row r="2625">
      <c r="H2625" s="6" t="n"/>
      <c r="I2625" s="6" t="n"/>
      <c r="M2625" s="7" t="n"/>
      <c r="N2625" s="7" t="n"/>
      <c r="O2625" s="7" t="n"/>
      <c r="P2625" s="8">
        <f>IF(NOT(ISNUMBER(M2625)),"",IF(G2625="Terreno",IF(AND(ISNUMBER(I2625),I2625&gt;0),M2625/I2625,""),IF(AND(ISNUMBER(H2625),H2625&gt;0),M2625/H2625,"")))</f>
        <v/>
      </c>
      <c r="Q2625" s="9">
        <f>IF(AND(ISNUMBER(M2625),ISNUMBER(O2625)),IF(M2625&lt;=O2625,"Valor ≤ venal IPTU",""),"")</f>
        <v/>
      </c>
      <c r="R2625" s="10" t="n"/>
      <c r="S2625" s="10" t="n"/>
      <c r="AA2625" s="10" t="n"/>
      <c r="AB2625" s="11">
        <f>IF(LEN(TRIM(X2625))=0,"",HYPERLINK("https://www.google.com/maps/@?api=1&amp;map_action=pano&amp;viewpoint="&amp;SUBSTITUTE(X2625," ",""),"Abrir Street View"))</f>
        <v/>
      </c>
    </row>
    <row r="2626">
      <c r="H2626" s="6" t="n"/>
      <c r="I2626" s="6" t="n"/>
      <c r="M2626" s="7" t="n"/>
      <c r="N2626" s="7" t="n"/>
      <c r="O2626" s="7" t="n"/>
      <c r="P2626" s="8">
        <f>IF(NOT(ISNUMBER(M2626)),"",IF(G2626="Terreno",IF(AND(ISNUMBER(I2626),I2626&gt;0),M2626/I2626,""),IF(AND(ISNUMBER(H2626),H2626&gt;0),M2626/H2626,"")))</f>
        <v/>
      </c>
      <c r="Q2626" s="9">
        <f>IF(AND(ISNUMBER(M2626),ISNUMBER(O2626)),IF(M2626&lt;=O2626,"Valor ≤ venal IPTU",""),"")</f>
        <v/>
      </c>
      <c r="R2626" s="10" t="n"/>
      <c r="S2626" s="10" t="n"/>
      <c r="AA2626" s="10" t="n"/>
      <c r="AB2626" s="11">
        <f>IF(LEN(TRIM(X2626))=0,"",HYPERLINK("https://www.google.com/maps/@?api=1&amp;map_action=pano&amp;viewpoint="&amp;SUBSTITUTE(X2626," ",""),"Abrir Street View"))</f>
        <v/>
      </c>
    </row>
    <row r="2627">
      <c r="H2627" s="6" t="n"/>
      <c r="I2627" s="6" t="n"/>
      <c r="M2627" s="7" t="n"/>
      <c r="N2627" s="7" t="n"/>
      <c r="O2627" s="7" t="n"/>
      <c r="P2627" s="8">
        <f>IF(NOT(ISNUMBER(M2627)),"",IF(G2627="Terreno",IF(AND(ISNUMBER(I2627),I2627&gt;0),M2627/I2627,""),IF(AND(ISNUMBER(H2627),H2627&gt;0),M2627/H2627,"")))</f>
        <v/>
      </c>
      <c r="Q2627" s="9">
        <f>IF(AND(ISNUMBER(M2627),ISNUMBER(O2627)),IF(M2627&lt;=O2627,"Valor ≤ venal IPTU",""),"")</f>
        <v/>
      </c>
      <c r="R2627" s="10" t="n"/>
      <c r="S2627" s="10" t="n"/>
      <c r="AA2627" s="10" t="n"/>
      <c r="AB2627" s="11">
        <f>IF(LEN(TRIM(X2627))=0,"",HYPERLINK("https://www.google.com/maps/@?api=1&amp;map_action=pano&amp;viewpoint="&amp;SUBSTITUTE(X2627," ",""),"Abrir Street View"))</f>
        <v/>
      </c>
    </row>
    <row r="2628">
      <c r="H2628" s="6" t="n"/>
      <c r="I2628" s="6" t="n"/>
      <c r="M2628" s="7" t="n"/>
      <c r="N2628" s="7" t="n"/>
      <c r="O2628" s="7" t="n"/>
      <c r="P2628" s="8">
        <f>IF(NOT(ISNUMBER(M2628)),"",IF(G2628="Terreno",IF(AND(ISNUMBER(I2628),I2628&gt;0),M2628/I2628,""),IF(AND(ISNUMBER(H2628),H2628&gt;0),M2628/H2628,"")))</f>
        <v/>
      </c>
      <c r="Q2628" s="9">
        <f>IF(AND(ISNUMBER(M2628),ISNUMBER(O2628)),IF(M2628&lt;=O2628,"Valor ≤ venal IPTU",""),"")</f>
        <v/>
      </c>
      <c r="R2628" s="10" t="n"/>
      <c r="S2628" s="10" t="n"/>
      <c r="AA2628" s="10" t="n"/>
      <c r="AB2628" s="11">
        <f>IF(LEN(TRIM(X2628))=0,"",HYPERLINK("https://www.google.com/maps/@?api=1&amp;map_action=pano&amp;viewpoint="&amp;SUBSTITUTE(X2628," ",""),"Abrir Street View"))</f>
        <v/>
      </c>
    </row>
    <row r="2629">
      <c r="H2629" s="6" t="n"/>
      <c r="I2629" s="6" t="n"/>
      <c r="M2629" s="7" t="n"/>
      <c r="N2629" s="7" t="n"/>
      <c r="O2629" s="7" t="n"/>
      <c r="P2629" s="8">
        <f>IF(NOT(ISNUMBER(M2629)),"",IF(G2629="Terreno",IF(AND(ISNUMBER(I2629),I2629&gt;0),M2629/I2629,""),IF(AND(ISNUMBER(H2629),H2629&gt;0),M2629/H2629,"")))</f>
        <v/>
      </c>
      <c r="Q2629" s="9">
        <f>IF(AND(ISNUMBER(M2629),ISNUMBER(O2629)),IF(M2629&lt;=O2629,"Valor ≤ venal IPTU",""),"")</f>
        <v/>
      </c>
      <c r="R2629" s="10" t="n"/>
      <c r="S2629" s="10" t="n"/>
      <c r="AA2629" s="10" t="n"/>
      <c r="AB2629" s="11">
        <f>IF(LEN(TRIM(X2629))=0,"",HYPERLINK("https://www.google.com/maps/@?api=1&amp;map_action=pano&amp;viewpoint="&amp;SUBSTITUTE(X2629," ",""),"Abrir Street View"))</f>
        <v/>
      </c>
    </row>
    <row r="2630">
      <c r="H2630" s="6" t="n"/>
      <c r="I2630" s="6" t="n"/>
      <c r="M2630" s="7" t="n"/>
      <c r="N2630" s="7" t="n"/>
      <c r="O2630" s="7" t="n"/>
      <c r="P2630" s="8">
        <f>IF(NOT(ISNUMBER(M2630)),"",IF(G2630="Terreno",IF(AND(ISNUMBER(I2630),I2630&gt;0),M2630/I2630,""),IF(AND(ISNUMBER(H2630),H2630&gt;0),M2630/H2630,"")))</f>
        <v/>
      </c>
      <c r="Q2630" s="9">
        <f>IF(AND(ISNUMBER(M2630),ISNUMBER(O2630)),IF(M2630&lt;=O2630,"Valor ≤ venal IPTU",""),"")</f>
        <v/>
      </c>
      <c r="R2630" s="10" t="n"/>
      <c r="S2630" s="10" t="n"/>
      <c r="AA2630" s="10" t="n"/>
      <c r="AB2630" s="11">
        <f>IF(LEN(TRIM(X2630))=0,"",HYPERLINK("https://www.google.com/maps/@?api=1&amp;map_action=pano&amp;viewpoint="&amp;SUBSTITUTE(X2630," ",""),"Abrir Street View"))</f>
        <v/>
      </c>
    </row>
    <row r="2631">
      <c r="H2631" s="6" t="n"/>
      <c r="I2631" s="6" t="n"/>
      <c r="M2631" s="7" t="n"/>
      <c r="N2631" s="7" t="n"/>
      <c r="O2631" s="7" t="n"/>
      <c r="P2631" s="8">
        <f>IF(NOT(ISNUMBER(M2631)),"",IF(G2631="Terreno",IF(AND(ISNUMBER(I2631),I2631&gt;0),M2631/I2631,""),IF(AND(ISNUMBER(H2631),H2631&gt;0),M2631/H2631,"")))</f>
        <v/>
      </c>
      <c r="Q2631" s="9">
        <f>IF(AND(ISNUMBER(M2631),ISNUMBER(O2631)),IF(M2631&lt;=O2631,"Valor ≤ venal IPTU",""),"")</f>
        <v/>
      </c>
      <c r="R2631" s="10" t="n"/>
      <c r="S2631" s="10" t="n"/>
      <c r="AA2631" s="10" t="n"/>
      <c r="AB2631" s="11">
        <f>IF(LEN(TRIM(X2631))=0,"",HYPERLINK("https://www.google.com/maps/@?api=1&amp;map_action=pano&amp;viewpoint="&amp;SUBSTITUTE(X2631," ",""),"Abrir Street View"))</f>
        <v/>
      </c>
    </row>
    <row r="2632">
      <c r="H2632" s="6" t="n"/>
      <c r="I2632" s="6" t="n"/>
      <c r="M2632" s="7" t="n"/>
      <c r="N2632" s="7" t="n"/>
      <c r="O2632" s="7" t="n"/>
      <c r="P2632" s="8">
        <f>IF(NOT(ISNUMBER(M2632)),"",IF(G2632="Terreno",IF(AND(ISNUMBER(I2632),I2632&gt;0),M2632/I2632,""),IF(AND(ISNUMBER(H2632),H2632&gt;0),M2632/H2632,"")))</f>
        <v/>
      </c>
      <c r="Q2632" s="9">
        <f>IF(AND(ISNUMBER(M2632),ISNUMBER(O2632)),IF(M2632&lt;=O2632,"Valor ≤ venal IPTU",""),"")</f>
        <v/>
      </c>
      <c r="R2632" s="10" t="n"/>
      <c r="S2632" s="10" t="n"/>
      <c r="AA2632" s="10" t="n"/>
      <c r="AB2632" s="11">
        <f>IF(LEN(TRIM(X2632))=0,"",HYPERLINK("https://www.google.com/maps/@?api=1&amp;map_action=pano&amp;viewpoint="&amp;SUBSTITUTE(X2632," ",""),"Abrir Street View"))</f>
        <v/>
      </c>
    </row>
    <row r="2633">
      <c r="H2633" s="6" t="n"/>
      <c r="I2633" s="6" t="n"/>
      <c r="M2633" s="7" t="n"/>
      <c r="N2633" s="7" t="n"/>
      <c r="O2633" s="7" t="n"/>
      <c r="P2633" s="8">
        <f>IF(NOT(ISNUMBER(M2633)),"",IF(G2633="Terreno",IF(AND(ISNUMBER(I2633),I2633&gt;0),M2633/I2633,""),IF(AND(ISNUMBER(H2633),H2633&gt;0),M2633/H2633,"")))</f>
        <v/>
      </c>
      <c r="Q2633" s="9">
        <f>IF(AND(ISNUMBER(M2633),ISNUMBER(O2633)),IF(M2633&lt;=O2633,"Valor ≤ venal IPTU",""),"")</f>
        <v/>
      </c>
      <c r="R2633" s="10" t="n"/>
      <c r="S2633" s="10" t="n"/>
      <c r="AA2633" s="10" t="n"/>
      <c r="AB2633" s="11">
        <f>IF(LEN(TRIM(X2633))=0,"",HYPERLINK("https://www.google.com/maps/@?api=1&amp;map_action=pano&amp;viewpoint="&amp;SUBSTITUTE(X2633," ",""),"Abrir Street View"))</f>
        <v/>
      </c>
    </row>
    <row r="2634">
      <c r="H2634" s="6" t="n"/>
      <c r="I2634" s="6" t="n"/>
      <c r="M2634" s="7" t="n"/>
      <c r="N2634" s="7" t="n"/>
      <c r="O2634" s="7" t="n"/>
      <c r="P2634" s="8">
        <f>IF(NOT(ISNUMBER(M2634)),"",IF(G2634="Terreno",IF(AND(ISNUMBER(I2634),I2634&gt;0),M2634/I2634,""),IF(AND(ISNUMBER(H2634),H2634&gt;0),M2634/H2634,"")))</f>
        <v/>
      </c>
      <c r="Q2634" s="9">
        <f>IF(AND(ISNUMBER(M2634),ISNUMBER(O2634)),IF(M2634&lt;=O2634,"Valor ≤ venal IPTU",""),"")</f>
        <v/>
      </c>
      <c r="R2634" s="10" t="n"/>
      <c r="S2634" s="10" t="n"/>
      <c r="AA2634" s="10" t="n"/>
      <c r="AB2634" s="11">
        <f>IF(LEN(TRIM(X2634))=0,"",HYPERLINK("https://www.google.com/maps/@?api=1&amp;map_action=pano&amp;viewpoint="&amp;SUBSTITUTE(X2634," ",""),"Abrir Street View"))</f>
        <v/>
      </c>
    </row>
    <row r="2635">
      <c r="H2635" s="6" t="n"/>
      <c r="I2635" s="6" t="n"/>
      <c r="M2635" s="7" t="n"/>
      <c r="N2635" s="7" t="n"/>
      <c r="O2635" s="7" t="n"/>
      <c r="P2635" s="8">
        <f>IF(NOT(ISNUMBER(M2635)),"",IF(G2635="Terreno",IF(AND(ISNUMBER(I2635),I2635&gt;0),M2635/I2635,""),IF(AND(ISNUMBER(H2635),H2635&gt;0),M2635/H2635,"")))</f>
        <v/>
      </c>
      <c r="Q2635" s="9">
        <f>IF(AND(ISNUMBER(M2635),ISNUMBER(O2635)),IF(M2635&lt;=O2635,"Valor ≤ venal IPTU",""),"")</f>
        <v/>
      </c>
      <c r="R2635" s="10" t="n"/>
      <c r="S2635" s="10" t="n"/>
      <c r="AA2635" s="10" t="n"/>
      <c r="AB2635" s="11">
        <f>IF(LEN(TRIM(X2635))=0,"",HYPERLINK("https://www.google.com/maps/@?api=1&amp;map_action=pano&amp;viewpoint="&amp;SUBSTITUTE(X2635," ",""),"Abrir Street View"))</f>
        <v/>
      </c>
    </row>
    <row r="2636">
      <c r="H2636" s="6" t="n"/>
      <c r="I2636" s="6" t="n"/>
      <c r="M2636" s="7" t="n"/>
      <c r="N2636" s="7" t="n"/>
      <c r="O2636" s="7" t="n"/>
      <c r="P2636" s="8">
        <f>IF(NOT(ISNUMBER(M2636)),"",IF(G2636="Terreno",IF(AND(ISNUMBER(I2636),I2636&gt;0),M2636/I2636,""),IF(AND(ISNUMBER(H2636),H2636&gt;0),M2636/H2636,"")))</f>
        <v/>
      </c>
      <c r="Q2636" s="9">
        <f>IF(AND(ISNUMBER(M2636),ISNUMBER(O2636)),IF(M2636&lt;=O2636,"Valor ≤ venal IPTU",""),"")</f>
        <v/>
      </c>
      <c r="R2636" s="10" t="n"/>
      <c r="S2636" s="10" t="n"/>
      <c r="AA2636" s="10" t="n"/>
      <c r="AB2636" s="11">
        <f>IF(LEN(TRIM(X2636))=0,"",HYPERLINK("https://www.google.com/maps/@?api=1&amp;map_action=pano&amp;viewpoint="&amp;SUBSTITUTE(X2636," ",""),"Abrir Street View"))</f>
        <v/>
      </c>
    </row>
    <row r="2637">
      <c r="H2637" s="6" t="n"/>
      <c r="I2637" s="6" t="n"/>
      <c r="M2637" s="7" t="n"/>
      <c r="N2637" s="7" t="n"/>
      <c r="O2637" s="7" t="n"/>
      <c r="P2637" s="8">
        <f>IF(NOT(ISNUMBER(M2637)),"",IF(G2637="Terreno",IF(AND(ISNUMBER(I2637),I2637&gt;0),M2637/I2637,""),IF(AND(ISNUMBER(H2637),H2637&gt;0),M2637/H2637,"")))</f>
        <v/>
      </c>
      <c r="Q2637" s="9">
        <f>IF(AND(ISNUMBER(M2637),ISNUMBER(O2637)),IF(M2637&lt;=O2637,"Valor ≤ venal IPTU",""),"")</f>
        <v/>
      </c>
      <c r="R2637" s="10" t="n"/>
      <c r="S2637" s="10" t="n"/>
      <c r="AA2637" s="10" t="n"/>
      <c r="AB2637" s="11">
        <f>IF(LEN(TRIM(X2637))=0,"",HYPERLINK("https://www.google.com/maps/@?api=1&amp;map_action=pano&amp;viewpoint="&amp;SUBSTITUTE(X2637," ",""),"Abrir Street View"))</f>
        <v/>
      </c>
    </row>
    <row r="2638">
      <c r="H2638" s="6" t="n"/>
      <c r="I2638" s="6" t="n"/>
      <c r="M2638" s="7" t="n"/>
      <c r="N2638" s="7" t="n"/>
      <c r="O2638" s="7" t="n"/>
      <c r="P2638" s="8">
        <f>IF(NOT(ISNUMBER(M2638)),"",IF(G2638="Terreno",IF(AND(ISNUMBER(I2638),I2638&gt;0),M2638/I2638,""),IF(AND(ISNUMBER(H2638),H2638&gt;0),M2638/H2638,"")))</f>
        <v/>
      </c>
      <c r="Q2638" s="9">
        <f>IF(AND(ISNUMBER(M2638),ISNUMBER(O2638)),IF(M2638&lt;=O2638,"Valor ≤ venal IPTU",""),"")</f>
        <v/>
      </c>
      <c r="R2638" s="10" t="n"/>
      <c r="S2638" s="10" t="n"/>
      <c r="AA2638" s="10" t="n"/>
      <c r="AB2638" s="11">
        <f>IF(LEN(TRIM(X2638))=0,"",HYPERLINK("https://www.google.com/maps/@?api=1&amp;map_action=pano&amp;viewpoint="&amp;SUBSTITUTE(X2638," ",""),"Abrir Street View"))</f>
        <v/>
      </c>
    </row>
    <row r="2639">
      <c r="H2639" s="6" t="n"/>
      <c r="I2639" s="6" t="n"/>
      <c r="M2639" s="7" t="n"/>
      <c r="N2639" s="7" t="n"/>
      <c r="O2639" s="7" t="n"/>
      <c r="P2639" s="8">
        <f>IF(NOT(ISNUMBER(M2639)),"",IF(G2639="Terreno",IF(AND(ISNUMBER(I2639),I2639&gt;0),M2639/I2639,""),IF(AND(ISNUMBER(H2639),H2639&gt;0),M2639/H2639,"")))</f>
        <v/>
      </c>
      <c r="Q2639" s="9">
        <f>IF(AND(ISNUMBER(M2639),ISNUMBER(O2639)),IF(M2639&lt;=O2639,"Valor ≤ venal IPTU",""),"")</f>
        <v/>
      </c>
      <c r="R2639" s="10" t="n"/>
      <c r="S2639" s="10" t="n"/>
      <c r="AA2639" s="10" t="n"/>
      <c r="AB2639" s="11">
        <f>IF(LEN(TRIM(X2639))=0,"",HYPERLINK("https://www.google.com/maps/@?api=1&amp;map_action=pano&amp;viewpoint="&amp;SUBSTITUTE(X2639," ",""),"Abrir Street View"))</f>
        <v/>
      </c>
    </row>
    <row r="2640">
      <c r="H2640" s="6" t="n"/>
      <c r="I2640" s="6" t="n"/>
      <c r="M2640" s="7" t="n"/>
      <c r="N2640" s="7" t="n"/>
      <c r="O2640" s="7" t="n"/>
      <c r="P2640" s="8">
        <f>IF(NOT(ISNUMBER(M2640)),"",IF(G2640="Terreno",IF(AND(ISNUMBER(I2640),I2640&gt;0),M2640/I2640,""),IF(AND(ISNUMBER(H2640),H2640&gt;0),M2640/H2640,"")))</f>
        <v/>
      </c>
      <c r="Q2640" s="9">
        <f>IF(AND(ISNUMBER(M2640),ISNUMBER(O2640)),IF(M2640&lt;=O2640,"Valor ≤ venal IPTU",""),"")</f>
        <v/>
      </c>
      <c r="R2640" s="10" t="n"/>
      <c r="S2640" s="10" t="n"/>
      <c r="AA2640" s="10" t="n"/>
      <c r="AB2640" s="11">
        <f>IF(LEN(TRIM(X2640))=0,"",HYPERLINK("https://www.google.com/maps/@?api=1&amp;map_action=pano&amp;viewpoint="&amp;SUBSTITUTE(X2640," ",""),"Abrir Street View"))</f>
        <v/>
      </c>
    </row>
    <row r="2641">
      <c r="H2641" s="6" t="n"/>
      <c r="I2641" s="6" t="n"/>
      <c r="M2641" s="7" t="n"/>
      <c r="N2641" s="7" t="n"/>
      <c r="O2641" s="7" t="n"/>
      <c r="P2641" s="8">
        <f>IF(NOT(ISNUMBER(M2641)),"",IF(G2641="Terreno",IF(AND(ISNUMBER(I2641),I2641&gt;0),M2641/I2641,""),IF(AND(ISNUMBER(H2641),H2641&gt;0),M2641/H2641,"")))</f>
        <v/>
      </c>
      <c r="Q2641" s="9">
        <f>IF(AND(ISNUMBER(M2641),ISNUMBER(O2641)),IF(M2641&lt;=O2641,"Valor ≤ venal IPTU",""),"")</f>
        <v/>
      </c>
      <c r="R2641" s="10" t="n"/>
      <c r="S2641" s="10" t="n"/>
      <c r="AA2641" s="10" t="n"/>
      <c r="AB2641" s="11">
        <f>IF(LEN(TRIM(X2641))=0,"",HYPERLINK("https://www.google.com/maps/@?api=1&amp;map_action=pano&amp;viewpoint="&amp;SUBSTITUTE(X2641," ",""),"Abrir Street View"))</f>
        <v/>
      </c>
    </row>
    <row r="2642">
      <c r="H2642" s="6" t="n"/>
      <c r="I2642" s="6" t="n"/>
      <c r="M2642" s="7" t="n"/>
      <c r="N2642" s="7" t="n"/>
      <c r="O2642" s="7" t="n"/>
      <c r="P2642" s="8">
        <f>IF(NOT(ISNUMBER(M2642)),"",IF(G2642="Terreno",IF(AND(ISNUMBER(I2642),I2642&gt;0),M2642/I2642,""),IF(AND(ISNUMBER(H2642),H2642&gt;0),M2642/H2642,"")))</f>
        <v/>
      </c>
      <c r="Q2642" s="9">
        <f>IF(AND(ISNUMBER(M2642),ISNUMBER(O2642)),IF(M2642&lt;=O2642,"Valor ≤ venal IPTU",""),"")</f>
        <v/>
      </c>
      <c r="R2642" s="10" t="n"/>
      <c r="S2642" s="10" t="n"/>
      <c r="AA2642" s="10" t="n"/>
      <c r="AB2642" s="11">
        <f>IF(LEN(TRIM(X2642))=0,"",HYPERLINK("https://www.google.com/maps/@?api=1&amp;map_action=pano&amp;viewpoint="&amp;SUBSTITUTE(X2642," ",""),"Abrir Street View"))</f>
        <v/>
      </c>
    </row>
    <row r="2643">
      <c r="H2643" s="6" t="n"/>
      <c r="I2643" s="6" t="n"/>
      <c r="M2643" s="7" t="n"/>
      <c r="N2643" s="7" t="n"/>
      <c r="O2643" s="7" t="n"/>
      <c r="P2643" s="8">
        <f>IF(NOT(ISNUMBER(M2643)),"",IF(G2643="Terreno",IF(AND(ISNUMBER(I2643),I2643&gt;0),M2643/I2643,""),IF(AND(ISNUMBER(H2643),H2643&gt;0),M2643/H2643,"")))</f>
        <v/>
      </c>
      <c r="Q2643" s="9">
        <f>IF(AND(ISNUMBER(M2643),ISNUMBER(O2643)),IF(M2643&lt;=O2643,"Valor ≤ venal IPTU",""),"")</f>
        <v/>
      </c>
      <c r="R2643" s="10" t="n"/>
      <c r="S2643" s="10" t="n"/>
      <c r="AA2643" s="10" t="n"/>
      <c r="AB2643" s="11">
        <f>IF(LEN(TRIM(X2643))=0,"",HYPERLINK("https://www.google.com/maps/@?api=1&amp;map_action=pano&amp;viewpoint="&amp;SUBSTITUTE(X2643," ",""),"Abrir Street View"))</f>
        <v/>
      </c>
    </row>
    <row r="2644">
      <c r="H2644" s="6" t="n"/>
      <c r="I2644" s="6" t="n"/>
      <c r="M2644" s="7" t="n"/>
      <c r="N2644" s="7" t="n"/>
      <c r="O2644" s="7" t="n"/>
      <c r="P2644" s="8">
        <f>IF(NOT(ISNUMBER(M2644)),"",IF(G2644="Terreno",IF(AND(ISNUMBER(I2644),I2644&gt;0),M2644/I2644,""),IF(AND(ISNUMBER(H2644),H2644&gt;0),M2644/H2644,"")))</f>
        <v/>
      </c>
      <c r="Q2644" s="9">
        <f>IF(AND(ISNUMBER(M2644),ISNUMBER(O2644)),IF(M2644&lt;=O2644,"Valor ≤ venal IPTU",""),"")</f>
        <v/>
      </c>
      <c r="R2644" s="10" t="n"/>
      <c r="S2644" s="10" t="n"/>
      <c r="AA2644" s="10" t="n"/>
      <c r="AB2644" s="11">
        <f>IF(LEN(TRIM(X2644))=0,"",HYPERLINK("https://www.google.com/maps/@?api=1&amp;map_action=pano&amp;viewpoint="&amp;SUBSTITUTE(X2644," ",""),"Abrir Street View"))</f>
        <v/>
      </c>
    </row>
    <row r="2645">
      <c r="H2645" s="6" t="n"/>
      <c r="I2645" s="6" t="n"/>
      <c r="M2645" s="7" t="n"/>
      <c r="N2645" s="7" t="n"/>
      <c r="O2645" s="7" t="n"/>
      <c r="P2645" s="8">
        <f>IF(NOT(ISNUMBER(M2645)),"",IF(G2645="Terreno",IF(AND(ISNUMBER(I2645),I2645&gt;0),M2645/I2645,""),IF(AND(ISNUMBER(H2645),H2645&gt;0),M2645/H2645,"")))</f>
        <v/>
      </c>
      <c r="Q2645" s="9">
        <f>IF(AND(ISNUMBER(M2645),ISNUMBER(O2645)),IF(M2645&lt;=O2645,"Valor ≤ venal IPTU",""),"")</f>
        <v/>
      </c>
      <c r="R2645" s="10" t="n"/>
      <c r="S2645" s="10" t="n"/>
      <c r="AA2645" s="10" t="n"/>
      <c r="AB2645" s="11">
        <f>IF(LEN(TRIM(X2645))=0,"",HYPERLINK("https://www.google.com/maps/@?api=1&amp;map_action=pano&amp;viewpoint="&amp;SUBSTITUTE(X2645," ",""),"Abrir Street View"))</f>
        <v/>
      </c>
    </row>
    <row r="2646">
      <c r="H2646" s="6" t="n"/>
      <c r="I2646" s="6" t="n"/>
      <c r="M2646" s="7" t="n"/>
      <c r="N2646" s="7" t="n"/>
      <c r="O2646" s="7" t="n"/>
      <c r="P2646" s="8">
        <f>IF(NOT(ISNUMBER(M2646)),"",IF(G2646="Terreno",IF(AND(ISNUMBER(I2646),I2646&gt;0),M2646/I2646,""),IF(AND(ISNUMBER(H2646),H2646&gt;0),M2646/H2646,"")))</f>
        <v/>
      </c>
      <c r="Q2646" s="9">
        <f>IF(AND(ISNUMBER(M2646),ISNUMBER(O2646)),IF(M2646&lt;=O2646,"Valor ≤ venal IPTU",""),"")</f>
        <v/>
      </c>
      <c r="R2646" s="10" t="n"/>
      <c r="S2646" s="10" t="n"/>
      <c r="AA2646" s="10" t="n"/>
      <c r="AB2646" s="11">
        <f>IF(LEN(TRIM(X2646))=0,"",HYPERLINK("https://www.google.com/maps/@?api=1&amp;map_action=pano&amp;viewpoint="&amp;SUBSTITUTE(X2646," ",""),"Abrir Street View"))</f>
        <v/>
      </c>
    </row>
    <row r="2647">
      <c r="H2647" s="6" t="n"/>
      <c r="I2647" s="6" t="n"/>
      <c r="M2647" s="7" t="n"/>
      <c r="N2647" s="7" t="n"/>
      <c r="O2647" s="7" t="n"/>
      <c r="P2647" s="8">
        <f>IF(NOT(ISNUMBER(M2647)),"",IF(G2647="Terreno",IF(AND(ISNUMBER(I2647),I2647&gt;0),M2647/I2647,""),IF(AND(ISNUMBER(H2647),H2647&gt;0),M2647/H2647,"")))</f>
        <v/>
      </c>
      <c r="Q2647" s="9">
        <f>IF(AND(ISNUMBER(M2647),ISNUMBER(O2647)),IF(M2647&lt;=O2647,"Valor ≤ venal IPTU",""),"")</f>
        <v/>
      </c>
      <c r="R2647" s="10" t="n"/>
      <c r="S2647" s="10" t="n"/>
      <c r="AA2647" s="10" t="n"/>
      <c r="AB2647" s="11">
        <f>IF(LEN(TRIM(X2647))=0,"",HYPERLINK("https://www.google.com/maps/@?api=1&amp;map_action=pano&amp;viewpoint="&amp;SUBSTITUTE(X2647," ",""),"Abrir Street View"))</f>
        <v/>
      </c>
    </row>
    <row r="2648">
      <c r="H2648" s="6" t="n"/>
      <c r="I2648" s="6" t="n"/>
      <c r="M2648" s="7" t="n"/>
      <c r="N2648" s="7" t="n"/>
      <c r="O2648" s="7" t="n"/>
      <c r="P2648" s="8">
        <f>IF(NOT(ISNUMBER(M2648)),"",IF(G2648="Terreno",IF(AND(ISNUMBER(I2648),I2648&gt;0),M2648/I2648,""),IF(AND(ISNUMBER(H2648),H2648&gt;0),M2648/H2648,"")))</f>
        <v/>
      </c>
      <c r="Q2648" s="9">
        <f>IF(AND(ISNUMBER(M2648),ISNUMBER(O2648)),IF(M2648&lt;=O2648,"Valor ≤ venal IPTU",""),"")</f>
        <v/>
      </c>
      <c r="R2648" s="10" t="n"/>
      <c r="S2648" s="10" t="n"/>
      <c r="AA2648" s="10" t="n"/>
      <c r="AB2648" s="11">
        <f>IF(LEN(TRIM(X2648))=0,"",HYPERLINK("https://www.google.com/maps/@?api=1&amp;map_action=pano&amp;viewpoint="&amp;SUBSTITUTE(X2648," ",""),"Abrir Street View"))</f>
        <v/>
      </c>
    </row>
    <row r="2649">
      <c r="H2649" s="6" t="n"/>
      <c r="I2649" s="6" t="n"/>
      <c r="M2649" s="7" t="n"/>
      <c r="N2649" s="7" t="n"/>
      <c r="O2649" s="7" t="n"/>
      <c r="P2649" s="8">
        <f>IF(NOT(ISNUMBER(M2649)),"",IF(G2649="Terreno",IF(AND(ISNUMBER(I2649),I2649&gt;0),M2649/I2649,""),IF(AND(ISNUMBER(H2649),H2649&gt;0),M2649/H2649,"")))</f>
        <v/>
      </c>
      <c r="Q2649" s="9">
        <f>IF(AND(ISNUMBER(M2649),ISNUMBER(O2649)),IF(M2649&lt;=O2649,"Valor ≤ venal IPTU",""),"")</f>
        <v/>
      </c>
      <c r="R2649" s="10" t="n"/>
      <c r="S2649" s="10" t="n"/>
      <c r="AA2649" s="10" t="n"/>
      <c r="AB2649" s="11">
        <f>IF(LEN(TRIM(X2649))=0,"",HYPERLINK("https://www.google.com/maps/@?api=1&amp;map_action=pano&amp;viewpoint="&amp;SUBSTITUTE(X2649," ",""),"Abrir Street View"))</f>
        <v/>
      </c>
    </row>
    <row r="2650">
      <c r="H2650" s="6" t="n"/>
      <c r="I2650" s="6" t="n"/>
      <c r="M2650" s="7" t="n"/>
      <c r="N2650" s="7" t="n"/>
      <c r="O2650" s="7" t="n"/>
      <c r="P2650" s="8">
        <f>IF(NOT(ISNUMBER(M2650)),"",IF(G2650="Terreno",IF(AND(ISNUMBER(I2650),I2650&gt;0),M2650/I2650,""),IF(AND(ISNUMBER(H2650),H2650&gt;0),M2650/H2650,"")))</f>
        <v/>
      </c>
      <c r="Q2650" s="9">
        <f>IF(AND(ISNUMBER(M2650),ISNUMBER(O2650)),IF(M2650&lt;=O2650,"Valor ≤ venal IPTU",""),"")</f>
        <v/>
      </c>
      <c r="R2650" s="10" t="n"/>
      <c r="S2650" s="10" t="n"/>
      <c r="AA2650" s="10" t="n"/>
      <c r="AB2650" s="11">
        <f>IF(LEN(TRIM(X2650))=0,"",HYPERLINK("https://www.google.com/maps/@?api=1&amp;map_action=pano&amp;viewpoint="&amp;SUBSTITUTE(X2650," ",""),"Abrir Street View"))</f>
        <v/>
      </c>
    </row>
    <row r="2651">
      <c r="H2651" s="6" t="n"/>
      <c r="I2651" s="6" t="n"/>
      <c r="M2651" s="7" t="n"/>
      <c r="N2651" s="7" t="n"/>
      <c r="O2651" s="7" t="n"/>
      <c r="P2651" s="8">
        <f>IF(NOT(ISNUMBER(M2651)),"",IF(G2651="Terreno",IF(AND(ISNUMBER(I2651),I2651&gt;0),M2651/I2651,""),IF(AND(ISNUMBER(H2651),H2651&gt;0),M2651/H2651,"")))</f>
        <v/>
      </c>
      <c r="Q2651" s="9">
        <f>IF(AND(ISNUMBER(M2651),ISNUMBER(O2651)),IF(M2651&lt;=O2651,"Valor ≤ venal IPTU",""),"")</f>
        <v/>
      </c>
      <c r="R2651" s="10" t="n"/>
      <c r="S2651" s="10" t="n"/>
      <c r="AA2651" s="10" t="n"/>
      <c r="AB2651" s="11">
        <f>IF(LEN(TRIM(X2651))=0,"",HYPERLINK("https://www.google.com/maps/@?api=1&amp;map_action=pano&amp;viewpoint="&amp;SUBSTITUTE(X2651," ",""),"Abrir Street View"))</f>
        <v/>
      </c>
    </row>
    <row r="2652">
      <c r="H2652" s="6" t="n"/>
      <c r="I2652" s="6" t="n"/>
      <c r="M2652" s="7" t="n"/>
      <c r="N2652" s="7" t="n"/>
      <c r="O2652" s="7" t="n"/>
      <c r="P2652" s="8">
        <f>IF(NOT(ISNUMBER(M2652)),"",IF(G2652="Terreno",IF(AND(ISNUMBER(I2652),I2652&gt;0),M2652/I2652,""),IF(AND(ISNUMBER(H2652),H2652&gt;0),M2652/H2652,"")))</f>
        <v/>
      </c>
      <c r="Q2652" s="9">
        <f>IF(AND(ISNUMBER(M2652),ISNUMBER(O2652)),IF(M2652&lt;=O2652,"Valor ≤ venal IPTU",""),"")</f>
        <v/>
      </c>
      <c r="R2652" s="10" t="n"/>
      <c r="S2652" s="10" t="n"/>
      <c r="AA2652" s="10" t="n"/>
      <c r="AB2652" s="11">
        <f>IF(LEN(TRIM(X2652))=0,"",HYPERLINK("https://www.google.com/maps/@?api=1&amp;map_action=pano&amp;viewpoint="&amp;SUBSTITUTE(X2652," ",""),"Abrir Street View"))</f>
        <v/>
      </c>
    </row>
    <row r="2653">
      <c r="H2653" s="6" t="n"/>
      <c r="I2653" s="6" t="n"/>
      <c r="M2653" s="7" t="n"/>
      <c r="N2653" s="7" t="n"/>
      <c r="O2653" s="7" t="n"/>
      <c r="P2653" s="8">
        <f>IF(NOT(ISNUMBER(M2653)),"",IF(G2653="Terreno",IF(AND(ISNUMBER(I2653),I2653&gt;0),M2653/I2653,""),IF(AND(ISNUMBER(H2653),H2653&gt;0),M2653/H2653,"")))</f>
        <v/>
      </c>
      <c r="Q2653" s="9">
        <f>IF(AND(ISNUMBER(M2653),ISNUMBER(O2653)),IF(M2653&lt;=O2653,"Valor ≤ venal IPTU",""),"")</f>
        <v/>
      </c>
      <c r="R2653" s="10" t="n"/>
      <c r="S2653" s="10" t="n"/>
      <c r="AA2653" s="10" t="n"/>
      <c r="AB2653" s="11">
        <f>IF(LEN(TRIM(X2653))=0,"",HYPERLINK("https://www.google.com/maps/@?api=1&amp;map_action=pano&amp;viewpoint="&amp;SUBSTITUTE(X2653," ",""),"Abrir Street View"))</f>
        <v/>
      </c>
    </row>
    <row r="2654">
      <c r="H2654" s="6" t="n"/>
      <c r="I2654" s="6" t="n"/>
      <c r="M2654" s="7" t="n"/>
      <c r="N2654" s="7" t="n"/>
      <c r="O2654" s="7" t="n"/>
      <c r="P2654" s="8">
        <f>IF(NOT(ISNUMBER(M2654)),"",IF(G2654="Terreno",IF(AND(ISNUMBER(I2654),I2654&gt;0),M2654/I2654,""),IF(AND(ISNUMBER(H2654),H2654&gt;0),M2654/H2654,"")))</f>
        <v/>
      </c>
      <c r="Q2654" s="9">
        <f>IF(AND(ISNUMBER(M2654),ISNUMBER(O2654)),IF(M2654&lt;=O2654,"Valor ≤ venal IPTU",""),"")</f>
        <v/>
      </c>
      <c r="R2654" s="10" t="n"/>
      <c r="S2654" s="10" t="n"/>
      <c r="AA2654" s="10" t="n"/>
      <c r="AB2654" s="11">
        <f>IF(LEN(TRIM(X2654))=0,"",HYPERLINK("https://www.google.com/maps/@?api=1&amp;map_action=pano&amp;viewpoint="&amp;SUBSTITUTE(X2654," ",""),"Abrir Street View"))</f>
        <v/>
      </c>
    </row>
    <row r="2655">
      <c r="H2655" s="6" t="n"/>
      <c r="I2655" s="6" t="n"/>
      <c r="M2655" s="7" t="n"/>
      <c r="N2655" s="7" t="n"/>
      <c r="O2655" s="7" t="n"/>
      <c r="P2655" s="8">
        <f>IF(NOT(ISNUMBER(M2655)),"",IF(G2655="Terreno",IF(AND(ISNUMBER(I2655),I2655&gt;0),M2655/I2655,""),IF(AND(ISNUMBER(H2655),H2655&gt;0),M2655/H2655,"")))</f>
        <v/>
      </c>
      <c r="Q2655" s="9">
        <f>IF(AND(ISNUMBER(M2655),ISNUMBER(O2655)),IF(M2655&lt;=O2655,"Valor ≤ venal IPTU",""),"")</f>
        <v/>
      </c>
      <c r="R2655" s="10" t="n"/>
      <c r="S2655" s="10" t="n"/>
      <c r="AA2655" s="10" t="n"/>
      <c r="AB2655" s="11">
        <f>IF(LEN(TRIM(X2655))=0,"",HYPERLINK("https://www.google.com/maps/@?api=1&amp;map_action=pano&amp;viewpoint="&amp;SUBSTITUTE(X2655," ",""),"Abrir Street View"))</f>
        <v/>
      </c>
    </row>
    <row r="2656">
      <c r="H2656" s="6" t="n"/>
      <c r="I2656" s="6" t="n"/>
      <c r="M2656" s="7" t="n"/>
      <c r="N2656" s="7" t="n"/>
      <c r="O2656" s="7" t="n"/>
      <c r="P2656" s="8">
        <f>IF(NOT(ISNUMBER(M2656)),"",IF(G2656="Terreno",IF(AND(ISNUMBER(I2656),I2656&gt;0),M2656/I2656,""),IF(AND(ISNUMBER(H2656),H2656&gt;0),M2656/H2656,"")))</f>
        <v/>
      </c>
      <c r="Q2656" s="9">
        <f>IF(AND(ISNUMBER(M2656),ISNUMBER(O2656)),IF(M2656&lt;=O2656,"Valor ≤ venal IPTU",""),"")</f>
        <v/>
      </c>
      <c r="R2656" s="10" t="n"/>
      <c r="S2656" s="10" t="n"/>
      <c r="AA2656" s="10" t="n"/>
      <c r="AB2656" s="11">
        <f>IF(LEN(TRIM(X2656))=0,"",HYPERLINK("https://www.google.com/maps/@?api=1&amp;map_action=pano&amp;viewpoint="&amp;SUBSTITUTE(X2656," ",""),"Abrir Street View"))</f>
        <v/>
      </c>
    </row>
    <row r="2657">
      <c r="H2657" s="6" t="n"/>
      <c r="I2657" s="6" t="n"/>
      <c r="M2657" s="7" t="n"/>
      <c r="N2657" s="7" t="n"/>
      <c r="O2657" s="7" t="n"/>
      <c r="P2657" s="8">
        <f>IF(NOT(ISNUMBER(M2657)),"",IF(G2657="Terreno",IF(AND(ISNUMBER(I2657),I2657&gt;0),M2657/I2657,""),IF(AND(ISNUMBER(H2657),H2657&gt;0),M2657/H2657,"")))</f>
        <v/>
      </c>
      <c r="Q2657" s="9">
        <f>IF(AND(ISNUMBER(M2657),ISNUMBER(O2657)),IF(M2657&lt;=O2657,"Valor ≤ venal IPTU",""),"")</f>
        <v/>
      </c>
      <c r="R2657" s="10" t="n"/>
      <c r="S2657" s="10" t="n"/>
      <c r="AA2657" s="10" t="n"/>
      <c r="AB2657" s="11">
        <f>IF(LEN(TRIM(X2657))=0,"",HYPERLINK("https://www.google.com/maps/@?api=1&amp;map_action=pano&amp;viewpoint="&amp;SUBSTITUTE(X2657," ",""),"Abrir Street View"))</f>
        <v/>
      </c>
    </row>
    <row r="2658">
      <c r="H2658" s="6" t="n"/>
      <c r="I2658" s="6" t="n"/>
      <c r="M2658" s="7" t="n"/>
      <c r="N2658" s="7" t="n"/>
      <c r="O2658" s="7" t="n"/>
      <c r="P2658" s="8">
        <f>IF(NOT(ISNUMBER(M2658)),"",IF(G2658="Terreno",IF(AND(ISNUMBER(I2658),I2658&gt;0),M2658/I2658,""),IF(AND(ISNUMBER(H2658),H2658&gt;0),M2658/H2658,"")))</f>
        <v/>
      </c>
      <c r="Q2658" s="9">
        <f>IF(AND(ISNUMBER(M2658),ISNUMBER(O2658)),IF(M2658&lt;=O2658,"Valor ≤ venal IPTU",""),"")</f>
        <v/>
      </c>
      <c r="R2658" s="10" t="n"/>
      <c r="S2658" s="10" t="n"/>
      <c r="AA2658" s="10" t="n"/>
      <c r="AB2658" s="11">
        <f>IF(LEN(TRIM(X2658))=0,"",HYPERLINK("https://www.google.com/maps/@?api=1&amp;map_action=pano&amp;viewpoint="&amp;SUBSTITUTE(X2658," ",""),"Abrir Street View"))</f>
        <v/>
      </c>
    </row>
    <row r="2659">
      <c r="H2659" s="6" t="n"/>
      <c r="I2659" s="6" t="n"/>
      <c r="M2659" s="7" t="n"/>
      <c r="N2659" s="7" t="n"/>
      <c r="O2659" s="7" t="n"/>
      <c r="P2659" s="8">
        <f>IF(NOT(ISNUMBER(M2659)),"",IF(G2659="Terreno",IF(AND(ISNUMBER(I2659),I2659&gt;0),M2659/I2659,""),IF(AND(ISNUMBER(H2659),H2659&gt;0),M2659/H2659,"")))</f>
        <v/>
      </c>
      <c r="Q2659" s="9">
        <f>IF(AND(ISNUMBER(M2659),ISNUMBER(O2659)),IF(M2659&lt;=O2659,"Valor ≤ venal IPTU",""),"")</f>
        <v/>
      </c>
      <c r="R2659" s="10" t="n"/>
      <c r="S2659" s="10" t="n"/>
      <c r="AA2659" s="10" t="n"/>
      <c r="AB2659" s="11">
        <f>IF(LEN(TRIM(X2659))=0,"",HYPERLINK("https://www.google.com/maps/@?api=1&amp;map_action=pano&amp;viewpoint="&amp;SUBSTITUTE(X2659," ",""),"Abrir Street View"))</f>
        <v/>
      </c>
    </row>
    <row r="2660">
      <c r="H2660" s="6" t="n"/>
      <c r="I2660" s="6" t="n"/>
      <c r="M2660" s="7" t="n"/>
      <c r="N2660" s="7" t="n"/>
      <c r="O2660" s="7" t="n"/>
      <c r="P2660" s="8">
        <f>IF(NOT(ISNUMBER(M2660)),"",IF(G2660="Terreno",IF(AND(ISNUMBER(I2660),I2660&gt;0),M2660/I2660,""),IF(AND(ISNUMBER(H2660),H2660&gt;0),M2660/H2660,"")))</f>
        <v/>
      </c>
      <c r="Q2660" s="9">
        <f>IF(AND(ISNUMBER(M2660),ISNUMBER(O2660)),IF(M2660&lt;=O2660,"Valor ≤ venal IPTU",""),"")</f>
        <v/>
      </c>
      <c r="R2660" s="10" t="n"/>
      <c r="S2660" s="10" t="n"/>
      <c r="AA2660" s="10" t="n"/>
      <c r="AB2660" s="11">
        <f>IF(LEN(TRIM(X2660))=0,"",HYPERLINK("https://www.google.com/maps/@?api=1&amp;map_action=pano&amp;viewpoint="&amp;SUBSTITUTE(X2660," ",""),"Abrir Street View"))</f>
        <v/>
      </c>
    </row>
    <row r="2661">
      <c r="H2661" s="6" t="n"/>
      <c r="I2661" s="6" t="n"/>
      <c r="M2661" s="7" t="n"/>
      <c r="N2661" s="7" t="n"/>
      <c r="O2661" s="7" t="n"/>
      <c r="P2661" s="8">
        <f>IF(NOT(ISNUMBER(M2661)),"",IF(G2661="Terreno",IF(AND(ISNUMBER(I2661),I2661&gt;0),M2661/I2661,""),IF(AND(ISNUMBER(H2661),H2661&gt;0),M2661/H2661,"")))</f>
        <v/>
      </c>
      <c r="Q2661" s="9">
        <f>IF(AND(ISNUMBER(M2661),ISNUMBER(O2661)),IF(M2661&lt;=O2661,"Valor ≤ venal IPTU",""),"")</f>
        <v/>
      </c>
      <c r="R2661" s="10" t="n"/>
      <c r="S2661" s="10" t="n"/>
      <c r="AA2661" s="10" t="n"/>
      <c r="AB2661" s="11">
        <f>IF(LEN(TRIM(X2661))=0,"",HYPERLINK("https://www.google.com/maps/@?api=1&amp;map_action=pano&amp;viewpoint="&amp;SUBSTITUTE(X2661," ",""),"Abrir Street View"))</f>
        <v/>
      </c>
    </row>
    <row r="2662">
      <c r="H2662" s="6" t="n"/>
      <c r="I2662" s="6" t="n"/>
      <c r="M2662" s="7" t="n"/>
      <c r="N2662" s="7" t="n"/>
      <c r="O2662" s="7" t="n"/>
      <c r="P2662" s="8">
        <f>IF(NOT(ISNUMBER(M2662)),"",IF(G2662="Terreno",IF(AND(ISNUMBER(I2662),I2662&gt;0),M2662/I2662,""),IF(AND(ISNUMBER(H2662),H2662&gt;0),M2662/H2662,"")))</f>
        <v/>
      </c>
      <c r="Q2662" s="9">
        <f>IF(AND(ISNUMBER(M2662),ISNUMBER(O2662)),IF(M2662&lt;=O2662,"Valor ≤ venal IPTU",""),"")</f>
        <v/>
      </c>
      <c r="R2662" s="10" t="n"/>
      <c r="S2662" s="10" t="n"/>
      <c r="AA2662" s="10" t="n"/>
      <c r="AB2662" s="11">
        <f>IF(LEN(TRIM(X2662))=0,"",HYPERLINK("https://www.google.com/maps/@?api=1&amp;map_action=pano&amp;viewpoint="&amp;SUBSTITUTE(X2662," ",""),"Abrir Street View"))</f>
        <v/>
      </c>
    </row>
    <row r="2663">
      <c r="H2663" s="6" t="n"/>
      <c r="I2663" s="6" t="n"/>
      <c r="M2663" s="7" t="n"/>
      <c r="N2663" s="7" t="n"/>
      <c r="O2663" s="7" t="n"/>
      <c r="P2663" s="8">
        <f>IF(NOT(ISNUMBER(M2663)),"",IF(G2663="Terreno",IF(AND(ISNUMBER(I2663),I2663&gt;0),M2663/I2663,""),IF(AND(ISNUMBER(H2663),H2663&gt;0),M2663/H2663,"")))</f>
        <v/>
      </c>
      <c r="Q2663" s="9">
        <f>IF(AND(ISNUMBER(M2663),ISNUMBER(O2663)),IF(M2663&lt;=O2663,"Valor ≤ venal IPTU",""),"")</f>
        <v/>
      </c>
      <c r="R2663" s="10" t="n"/>
      <c r="S2663" s="10" t="n"/>
      <c r="AA2663" s="10" t="n"/>
      <c r="AB2663" s="11">
        <f>IF(LEN(TRIM(X2663))=0,"",HYPERLINK("https://www.google.com/maps/@?api=1&amp;map_action=pano&amp;viewpoint="&amp;SUBSTITUTE(X2663," ",""),"Abrir Street View"))</f>
        <v/>
      </c>
    </row>
    <row r="2664">
      <c r="H2664" s="6" t="n"/>
      <c r="I2664" s="6" t="n"/>
      <c r="M2664" s="7" t="n"/>
      <c r="N2664" s="7" t="n"/>
      <c r="O2664" s="7" t="n"/>
      <c r="P2664" s="8">
        <f>IF(NOT(ISNUMBER(M2664)),"",IF(G2664="Terreno",IF(AND(ISNUMBER(I2664),I2664&gt;0),M2664/I2664,""),IF(AND(ISNUMBER(H2664),H2664&gt;0),M2664/H2664,"")))</f>
        <v/>
      </c>
      <c r="Q2664" s="9">
        <f>IF(AND(ISNUMBER(M2664),ISNUMBER(O2664)),IF(M2664&lt;=O2664,"Valor ≤ venal IPTU",""),"")</f>
        <v/>
      </c>
      <c r="R2664" s="10" t="n"/>
      <c r="S2664" s="10" t="n"/>
      <c r="AA2664" s="10" t="n"/>
      <c r="AB2664" s="11">
        <f>IF(LEN(TRIM(X2664))=0,"",HYPERLINK("https://www.google.com/maps/@?api=1&amp;map_action=pano&amp;viewpoint="&amp;SUBSTITUTE(X2664," ",""),"Abrir Street View"))</f>
        <v/>
      </c>
    </row>
    <row r="2665">
      <c r="H2665" s="6" t="n"/>
      <c r="I2665" s="6" t="n"/>
      <c r="M2665" s="7" t="n"/>
      <c r="N2665" s="7" t="n"/>
      <c r="O2665" s="7" t="n"/>
      <c r="P2665" s="8">
        <f>IF(NOT(ISNUMBER(M2665)),"",IF(G2665="Terreno",IF(AND(ISNUMBER(I2665),I2665&gt;0),M2665/I2665,""),IF(AND(ISNUMBER(H2665),H2665&gt;0),M2665/H2665,"")))</f>
        <v/>
      </c>
      <c r="Q2665" s="9">
        <f>IF(AND(ISNUMBER(M2665),ISNUMBER(O2665)),IF(M2665&lt;=O2665,"Valor ≤ venal IPTU",""),"")</f>
        <v/>
      </c>
      <c r="R2665" s="10" t="n"/>
      <c r="S2665" s="10" t="n"/>
      <c r="AA2665" s="10" t="n"/>
      <c r="AB2665" s="11">
        <f>IF(LEN(TRIM(X2665))=0,"",HYPERLINK("https://www.google.com/maps/@?api=1&amp;map_action=pano&amp;viewpoint="&amp;SUBSTITUTE(X2665," ",""),"Abrir Street View"))</f>
        <v/>
      </c>
    </row>
    <row r="2666">
      <c r="H2666" s="6" t="n"/>
      <c r="I2666" s="6" t="n"/>
      <c r="M2666" s="7" t="n"/>
      <c r="N2666" s="7" t="n"/>
      <c r="O2666" s="7" t="n"/>
      <c r="P2666" s="8">
        <f>IF(NOT(ISNUMBER(M2666)),"",IF(G2666="Terreno",IF(AND(ISNUMBER(I2666),I2666&gt;0),M2666/I2666,""),IF(AND(ISNUMBER(H2666),H2666&gt;0),M2666/H2666,"")))</f>
        <v/>
      </c>
      <c r="Q2666" s="9">
        <f>IF(AND(ISNUMBER(M2666),ISNUMBER(O2666)),IF(M2666&lt;=O2666,"Valor ≤ venal IPTU",""),"")</f>
        <v/>
      </c>
      <c r="R2666" s="10" t="n"/>
      <c r="S2666" s="10" t="n"/>
      <c r="AA2666" s="10" t="n"/>
      <c r="AB2666" s="11">
        <f>IF(LEN(TRIM(X2666))=0,"",HYPERLINK("https://www.google.com/maps/@?api=1&amp;map_action=pano&amp;viewpoint="&amp;SUBSTITUTE(X2666," ",""),"Abrir Street View"))</f>
        <v/>
      </c>
    </row>
    <row r="2667">
      <c r="H2667" s="6" t="n"/>
      <c r="I2667" s="6" t="n"/>
      <c r="M2667" s="7" t="n"/>
      <c r="N2667" s="7" t="n"/>
      <c r="O2667" s="7" t="n"/>
      <c r="P2667" s="8">
        <f>IF(NOT(ISNUMBER(M2667)),"",IF(G2667="Terreno",IF(AND(ISNUMBER(I2667),I2667&gt;0),M2667/I2667,""),IF(AND(ISNUMBER(H2667),H2667&gt;0),M2667/H2667,"")))</f>
        <v/>
      </c>
      <c r="Q2667" s="9">
        <f>IF(AND(ISNUMBER(M2667),ISNUMBER(O2667)),IF(M2667&lt;=O2667,"Valor ≤ venal IPTU",""),"")</f>
        <v/>
      </c>
      <c r="R2667" s="10" t="n"/>
      <c r="S2667" s="10" t="n"/>
      <c r="AA2667" s="10" t="n"/>
      <c r="AB2667" s="11">
        <f>IF(LEN(TRIM(X2667))=0,"",HYPERLINK("https://www.google.com/maps/@?api=1&amp;map_action=pano&amp;viewpoint="&amp;SUBSTITUTE(X2667," ",""),"Abrir Street View"))</f>
        <v/>
      </c>
    </row>
    <row r="2668">
      <c r="H2668" s="6" t="n"/>
      <c r="I2668" s="6" t="n"/>
      <c r="M2668" s="7" t="n"/>
      <c r="N2668" s="7" t="n"/>
      <c r="O2668" s="7" t="n"/>
      <c r="P2668" s="8">
        <f>IF(NOT(ISNUMBER(M2668)),"",IF(G2668="Terreno",IF(AND(ISNUMBER(I2668),I2668&gt;0),M2668/I2668,""),IF(AND(ISNUMBER(H2668),H2668&gt;0),M2668/H2668,"")))</f>
        <v/>
      </c>
      <c r="Q2668" s="9">
        <f>IF(AND(ISNUMBER(M2668),ISNUMBER(O2668)),IF(M2668&lt;=O2668,"Valor ≤ venal IPTU",""),"")</f>
        <v/>
      </c>
      <c r="R2668" s="10" t="n"/>
      <c r="S2668" s="10" t="n"/>
      <c r="AA2668" s="10" t="n"/>
      <c r="AB2668" s="11">
        <f>IF(LEN(TRIM(X2668))=0,"",HYPERLINK("https://www.google.com/maps/@?api=1&amp;map_action=pano&amp;viewpoint="&amp;SUBSTITUTE(X2668," ",""),"Abrir Street View"))</f>
        <v/>
      </c>
    </row>
    <row r="2669">
      <c r="H2669" s="6" t="n"/>
      <c r="I2669" s="6" t="n"/>
      <c r="M2669" s="7" t="n"/>
      <c r="N2669" s="7" t="n"/>
      <c r="O2669" s="7" t="n"/>
      <c r="P2669" s="8">
        <f>IF(NOT(ISNUMBER(M2669)),"",IF(G2669="Terreno",IF(AND(ISNUMBER(I2669),I2669&gt;0),M2669/I2669,""),IF(AND(ISNUMBER(H2669),H2669&gt;0),M2669/H2669,"")))</f>
        <v/>
      </c>
      <c r="Q2669" s="9">
        <f>IF(AND(ISNUMBER(M2669),ISNUMBER(O2669)),IF(M2669&lt;=O2669,"Valor ≤ venal IPTU",""),"")</f>
        <v/>
      </c>
      <c r="R2669" s="10" t="n"/>
      <c r="S2669" s="10" t="n"/>
      <c r="AA2669" s="10" t="n"/>
      <c r="AB2669" s="11">
        <f>IF(LEN(TRIM(X2669))=0,"",HYPERLINK("https://www.google.com/maps/@?api=1&amp;map_action=pano&amp;viewpoint="&amp;SUBSTITUTE(X2669," ",""),"Abrir Street View"))</f>
        <v/>
      </c>
    </row>
    <row r="2670">
      <c r="H2670" s="6" t="n"/>
      <c r="I2670" s="6" t="n"/>
      <c r="M2670" s="7" t="n"/>
      <c r="N2670" s="7" t="n"/>
      <c r="O2670" s="7" t="n"/>
      <c r="P2670" s="8">
        <f>IF(NOT(ISNUMBER(M2670)),"",IF(G2670="Terreno",IF(AND(ISNUMBER(I2670),I2670&gt;0),M2670/I2670,""),IF(AND(ISNUMBER(H2670),H2670&gt;0),M2670/H2670,"")))</f>
        <v/>
      </c>
      <c r="Q2670" s="9">
        <f>IF(AND(ISNUMBER(M2670),ISNUMBER(O2670)),IF(M2670&lt;=O2670,"Valor ≤ venal IPTU",""),"")</f>
        <v/>
      </c>
      <c r="R2670" s="10" t="n"/>
      <c r="S2670" s="10" t="n"/>
      <c r="AA2670" s="10" t="n"/>
      <c r="AB2670" s="11">
        <f>IF(LEN(TRIM(X2670))=0,"",HYPERLINK("https://www.google.com/maps/@?api=1&amp;map_action=pano&amp;viewpoint="&amp;SUBSTITUTE(X2670," ",""),"Abrir Street View"))</f>
        <v/>
      </c>
    </row>
    <row r="2671">
      <c r="H2671" s="6" t="n"/>
      <c r="I2671" s="6" t="n"/>
      <c r="M2671" s="7" t="n"/>
      <c r="N2671" s="7" t="n"/>
      <c r="O2671" s="7" t="n"/>
      <c r="P2671" s="8">
        <f>IF(NOT(ISNUMBER(M2671)),"",IF(G2671="Terreno",IF(AND(ISNUMBER(I2671),I2671&gt;0),M2671/I2671,""),IF(AND(ISNUMBER(H2671),H2671&gt;0),M2671/H2671,"")))</f>
        <v/>
      </c>
      <c r="Q2671" s="9">
        <f>IF(AND(ISNUMBER(M2671),ISNUMBER(O2671)),IF(M2671&lt;=O2671,"Valor ≤ venal IPTU",""),"")</f>
        <v/>
      </c>
      <c r="R2671" s="10" t="n"/>
      <c r="S2671" s="10" t="n"/>
      <c r="AA2671" s="10" t="n"/>
      <c r="AB2671" s="11">
        <f>IF(LEN(TRIM(X2671))=0,"",HYPERLINK("https://www.google.com/maps/@?api=1&amp;map_action=pano&amp;viewpoint="&amp;SUBSTITUTE(X2671," ",""),"Abrir Street View"))</f>
        <v/>
      </c>
    </row>
    <row r="2672">
      <c r="H2672" s="6" t="n"/>
      <c r="I2672" s="6" t="n"/>
      <c r="M2672" s="7" t="n"/>
      <c r="N2672" s="7" t="n"/>
      <c r="O2672" s="7" t="n"/>
      <c r="P2672" s="8">
        <f>IF(NOT(ISNUMBER(M2672)),"",IF(G2672="Terreno",IF(AND(ISNUMBER(I2672),I2672&gt;0),M2672/I2672,""),IF(AND(ISNUMBER(H2672),H2672&gt;0),M2672/H2672,"")))</f>
        <v/>
      </c>
      <c r="Q2672" s="9">
        <f>IF(AND(ISNUMBER(M2672),ISNUMBER(O2672)),IF(M2672&lt;=O2672,"Valor ≤ venal IPTU",""),"")</f>
        <v/>
      </c>
      <c r="R2672" s="10" t="n"/>
      <c r="S2672" s="10" t="n"/>
      <c r="AA2672" s="10" t="n"/>
      <c r="AB2672" s="11">
        <f>IF(LEN(TRIM(X2672))=0,"",HYPERLINK("https://www.google.com/maps/@?api=1&amp;map_action=pano&amp;viewpoint="&amp;SUBSTITUTE(X2672," ",""),"Abrir Street View"))</f>
        <v/>
      </c>
    </row>
    <row r="2673">
      <c r="H2673" s="6" t="n"/>
      <c r="I2673" s="6" t="n"/>
      <c r="M2673" s="7" t="n"/>
      <c r="N2673" s="7" t="n"/>
      <c r="O2673" s="7" t="n"/>
      <c r="P2673" s="8">
        <f>IF(NOT(ISNUMBER(M2673)),"",IF(G2673="Terreno",IF(AND(ISNUMBER(I2673),I2673&gt;0),M2673/I2673,""),IF(AND(ISNUMBER(H2673),H2673&gt;0),M2673/H2673,"")))</f>
        <v/>
      </c>
      <c r="Q2673" s="9">
        <f>IF(AND(ISNUMBER(M2673),ISNUMBER(O2673)),IF(M2673&lt;=O2673,"Valor ≤ venal IPTU",""),"")</f>
        <v/>
      </c>
      <c r="R2673" s="10" t="n"/>
      <c r="S2673" s="10" t="n"/>
      <c r="AA2673" s="10" t="n"/>
      <c r="AB2673" s="11">
        <f>IF(LEN(TRIM(X2673))=0,"",HYPERLINK("https://www.google.com/maps/@?api=1&amp;map_action=pano&amp;viewpoint="&amp;SUBSTITUTE(X2673," ",""),"Abrir Street View"))</f>
        <v/>
      </c>
    </row>
    <row r="2674">
      <c r="H2674" s="6" t="n"/>
      <c r="I2674" s="6" t="n"/>
      <c r="M2674" s="7" t="n"/>
      <c r="N2674" s="7" t="n"/>
      <c r="O2674" s="7" t="n"/>
      <c r="P2674" s="8">
        <f>IF(NOT(ISNUMBER(M2674)),"",IF(G2674="Terreno",IF(AND(ISNUMBER(I2674),I2674&gt;0),M2674/I2674,""),IF(AND(ISNUMBER(H2674),H2674&gt;0),M2674/H2674,"")))</f>
        <v/>
      </c>
      <c r="Q2674" s="9">
        <f>IF(AND(ISNUMBER(M2674),ISNUMBER(O2674)),IF(M2674&lt;=O2674,"Valor ≤ venal IPTU",""),"")</f>
        <v/>
      </c>
      <c r="R2674" s="10" t="n"/>
      <c r="S2674" s="10" t="n"/>
      <c r="AA2674" s="10" t="n"/>
      <c r="AB2674" s="11">
        <f>IF(LEN(TRIM(X2674))=0,"",HYPERLINK("https://www.google.com/maps/@?api=1&amp;map_action=pano&amp;viewpoint="&amp;SUBSTITUTE(X2674," ",""),"Abrir Street View"))</f>
        <v/>
      </c>
    </row>
    <row r="2675">
      <c r="H2675" s="6" t="n"/>
      <c r="I2675" s="6" t="n"/>
      <c r="M2675" s="7" t="n"/>
      <c r="N2675" s="7" t="n"/>
      <c r="O2675" s="7" t="n"/>
      <c r="P2675" s="8">
        <f>IF(NOT(ISNUMBER(M2675)),"",IF(G2675="Terreno",IF(AND(ISNUMBER(I2675),I2675&gt;0),M2675/I2675,""),IF(AND(ISNUMBER(H2675),H2675&gt;0),M2675/H2675,"")))</f>
        <v/>
      </c>
      <c r="Q2675" s="9">
        <f>IF(AND(ISNUMBER(M2675),ISNUMBER(O2675)),IF(M2675&lt;=O2675,"Valor ≤ venal IPTU",""),"")</f>
        <v/>
      </c>
      <c r="R2675" s="10" t="n"/>
      <c r="S2675" s="10" t="n"/>
      <c r="AA2675" s="10" t="n"/>
      <c r="AB2675" s="11">
        <f>IF(LEN(TRIM(X2675))=0,"",HYPERLINK("https://www.google.com/maps/@?api=1&amp;map_action=pano&amp;viewpoint="&amp;SUBSTITUTE(X2675," ",""),"Abrir Street View"))</f>
        <v/>
      </c>
    </row>
    <row r="2676">
      <c r="H2676" s="6" t="n"/>
      <c r="I2676" s="6" t="n"/>
      <c r="M2676" s="7" t="n"/>
      <c r="N2676" s="7" t="n"/>
      <c r="O2676" s="7" t="n"/>
      <c r="P2676" s="8">
        <f>IF(NOT(ISNUMBER(M2676)),"",IF(G2676="Terreno",IF(AND(ISNUMBER(I2676),I2676&gt;0),M2676/I2676,""),IF(AND(ISNUMBER(H2676),H2676&gt;0),M2676/H2676,"")))</f>
        <v/>
      </c>
      <c r="Q2676" s="9">
        <f>IF(AND(ISNUMBER(M2676),ISNUMBER(O2676)),IF(M2676&lt;=O2676,"Valor ≤ venal IPTU",""),"")</f>
        <v/>
      </c>
      <c r="R2676" s="10" t="n"/>
      <c r="S2676" s="10" t="n"/>
      <c r="AA2676" s="10" t="n"/>
      <c r="AB2676" s="11">
        <f>IF(LEN(TRIM(X2676))=0,"",HYPERLINK("https://www.google.com/maps/@?api=1&amp;map_action=pano&amp;viewpoint="&amp;SUBSTITUTE(X2676," ",""),"Abrir Street View"))</f>
        <v/>
      </c>
    </row>
    <row r="2677">
      <c r="H2677" s="6" t="n"/>
      <c r="I2677" s="6" t="n"/>
      <c r="M2677" s="7" t="n"/>
      <c r="N2677" s="7" t="n"/>
      <c r="O2677" s="7" t="n"/>
      <c r="P2677" s="8">
        <f>IF(NOT(ISNUMBER(M2677)),"",IF(G2677="Terreno",IF(AND(ISNUMBER(I2677),I2677&gt;0),M2677/I2677,""),IF(AND(ISNUMBER(H2677),H2677&gt;0),M2677/H2677,"")))</f>
        <v/>
      </c>
      <c r="Q2677" s="9">
        <f>IF(AND(ISNUMBER(M2677),ISNUMBER(O2677)),IF(M2677&lt;=O2677,"Valor ≤ venal IPTU",""),"")</f>
        <v/>
      </c>
      <c r="R2677" s="10" t="n"/>
      <c r="S2677" s="10" t="n"/>
      <c r="AA2677" s="10" t="n"/>
      <c r="AB2677" s="11">
        <f>IF(LEN(TRIM(X2677))=0,"",HYPERLINK("https://www.google.com/maps/@?api=1&amp;map_action=pano&amp;viewpoint="&amp;SUBSTITUTE(X2677," ",""),"Abrir Street View"))</f>
        <v/>
      </c>
    </row>
    <row r="2678">
      <c r="H2678" s="6" t="n"/>
      <c r="I2678" s="6" t="n"/>
      <c r="M2678" s="7" t="n"/>
      <c r="N2678" s="7" t="n"/>
      <c r="O2678" s="7" t="n"/>
      <c r="P2678" s="8">
        <f>IF(NOT(ISNUMBER(M2678)),"",IF(G2678="Terreno",IF(AND(ISNUMBER(I2678),I2678&gt;0),M2678/I2678,""),IF(AND(ISNUMBER(H2678),H2678&gt;0),M2678/H2678,"")))</f>
        <v/>
      </c>
      <c r="Q2678" s="9">
        <f>IF(AND(ISNUMBER(M2678),ISNUMBER(O2678)),IF(M2678&lt;=O2678,"Valor ≤ venal IPTU",""),"")</f>
        <v/>
      </c>
      <c r="R2678" s="10" t="n"/>
      <c r="S2678" s="10" t="n"/>
      <c r="AA2678" s="10" t="n"/>
      <c r="AB2678" s="11">
        <f>IF(LEN(TRIM(X2678))=0,"",HYPERLINK("https://www.google.com/maps/@?api=1&amp;map_action=pano&amp;viewpoint="&amp;SUBSTITUTE(X2678," ",""),"Abrir Street View"))</f>
        <v/>
      </c>
    </row>
    <row r="2679">
      <c r="H2679" s="6" t="n"/>
      <c r="I2679" s="6" t="n"/>
      <c r="M2679" s="7" t="n"/>
      <c r="N2679" s="7" t="n"/>
      <c r="O2679" s="7" t="n"/>
      <c r="P2679" s="8">
        <f>IF(NOT(ISNUMBER(M2679)),"",IF(G2679="Terreno",IF(AND(ISNUMBER(I2679),I2679&gt;0),M2679/I2679,""),IF(AND(ISNUMBER(H2679),H2679&gt;0),M2679/H2679,"")))</f>
        <v/>
      </c>
      <c r="Q2679" s="9">
        <f>IF(AND(ISNUMBER(M2679),ISNUMBER(O2679)),IF(M2679&lt;=O2679,"Valor ≤ venal IPTU",""),"")</f>
        <v/>
      </c>
      <c r="R2679" s="10" t="n"/>
      <c r="S2679" s="10" t="n"/>
      <c r="AA2679" s="10" t="n"/>
      <c r="AB2679" s="11">
        <f>IF(LEN(TRIM(X2679))=0,"",HYPERLINK("https://www.google.com/maps/@?api=1&amp;map_action=pano&amp;viewpoint="&amp;SUBSTITUTE(X2679," ",""),"Abrir Street View"))</f>
        <v/>
      </c>
    </row>
    <row r="2680">
      <c r="H2680" s="6" t="n"/>
      <c r="I2680" s="6" t="n"/>
      <c r="M2680" s="7" t="n"/>
      <c r="N2680" s="7" t="n"/>
      <c r="O2680" s="7" t="n"/>
      <c r="P2680" s="8">
        <f>IF(NOT(ISNUMBER(M2680)),"",IF(G2680="Terreno",IF(AND(ISNUMBER(I2680),I2680&gt;0),M2680/I2680,""),IF(AND(ISNUMBER(H2680),H2680&gt;0),M2680/H2680,"")))</f>
        <v/>
      </c>
      <c r="Q2680" s="9">
        <f>IF(AND(ISNUMBER(M2680),ISNUMBER(O2680)),IF(M2680&lt;=O2680,"Valor ≤ venal IPTU",""),"")</f>
        <v/>
      </c>
      <c r="R2680" s="10" t="n"/>
      <c r="S2680" s="10" t="n"/>
      <c r="AA2680" s="10" t="n"/>
      <c r="AB2680" s="11">
        <f>IF(LEN(TRIM(X2680))=0,"",HYPERLINK("https://www.google.com/maps/@?api=1&amp;map_action=pano&amp;viewpoint="&amp;SUBSTITUTE(X2680," ",""),"Abrir Street View"))</f>
        <v/>
      </c>
    </row>
    <row r="2681">
      <c r="H2681" s="6" t="n"/>
      <c r="I2681" s="6" t="n"/>
      <c r="M2681" s="7" t="n"/>
      <c r="N2681" s="7" t="n"/>
      <c r="O2681" s="7" t="n"/>
      <c r="P2681" s="8">
        <f>IF(NOT(ISNUMBER(M2681)),"",IF(G2681="Terreno",IF(AND(ISNUMBER(I2681),I2681&gt;0),M2681/I2681,""),IF(AND(ISNUMBER(H2681),H2681&gt;0),M2681/H2681,"")))</f>
        <v/>
      </c>
      <c r="Q2681" s="9">
        <f>IF(AND(ISNUMBER(M2681),ISNUMBER(O2681)),IF(M2681&lt;=O2681,"Valor ≤ venal IPTU",""),"")</f>
        <v/>
      </c>
      <c r="R2681" s="10" t="n"/>
      <c r="S2681" s="10" t="n"/>
      <c r="AA2681" s="10" t="n"/>
      <c r="AB2681" s="11">
        <f>IF(LEN(TRIM(X2681))=0,"",HYPERLINK("https://www.google.com/maps/@?api=1&amp;map_action=pano&amp;viewpoint="&amp;SUBSTITUTE(X2681," ",""),"Abrir Street View"))</f>
        <v/>
      </c>
    </row>
    <row r="2682">
      <c r="H2682" s="6" t="n"/>
      <c r="I2682" s="6" t="n"/>
      <c r="M2682" s="7" t="n"/>
      <c r="N2682" s="7" t="n"/>
      <c r="O2682" s="7" t="n"/>
      <c r="P2682" s="8">
        <f>IF(NOT(ISNUMBER(M2682)),"",IF(G2682="Terreno",IF(AND(ISNUMBER(I2682),I2682&gt;0),M2682/I2682,""),IF(AND(ISNUMBER(H2682),H2682&gt;0),M2682/H2682,"")))</f>
        <v/>
      </c>
      <c r="Q2682" s="9">
        <f>IF(AND(ISNUMBER(M2682),ISNUMBER(O2682)),IF(M2682&lt;=O2682,"Valor ≤ venal IPTU",""),"")</f>
        <v/>
      </c>
      <c r="R2682" s="10" t="n"/>
      <c r="S2682" s="10" t="n"/>
      <c r="AA2682" s="10" t="n"/>
      <c r="AB2682" s="11">
        <f>IF(LEN(TRIM(X2682))=0,"",HYPERLINK("https://www.google.com/maps/@?api=1&amp;map_action=pano&amp;viewpoint="&amp;SUBSTITUTE(X2682," ",""),"Abrir Street View"))</f>
        <v/>
      </c>
    </row>
    <row r="2683">
      <c r="H2683" s="6" t="n"/>
      <c r="I2683" s="6" t="n"/>
      <c r="M2683" s="7" t="n"/>
      <c r="N2683" s="7" t="n"/>
      <c r="O2683" s="7" t="n"/>
      <c r="P2683" s="8">
        <f>IF(NOT(ISNUMBER(M2683)),"",IF(G2683="Terreno",IF(AND(ISNUMBER(I2683),I2683&gt;0),M2683/I2683,""),IF(AND(ISNUMBER(H2683),H2683&gt;0),M2683/H2683,"")))</f>
        <v/>
      </c>
      <c r="Q2683" s="9">
        <f>IF(AND(ISNUMBER(M2683),ISNUMBER(O2683)),IF(M2683&lt;=O2683,"Valor ≤ venal IPTU",""),"")</f>
        <v/>
      </c>
      <c r="R2683" s="10" t="n"/>
      <c r="S2683" s="10" t="n"/>
      <c r="AA2683" s="10" t="n"/>
      <c r="AB2683" s="11">
        <f>IF(LEN(TRIM(X2683))=0,"",HYPERLINK("https://www.google.com/maps/@?api=1&amp;map_action=pano&amp;viewpoint="&amp;SUBSTITUTE(X2683," ",""),"Abrir Street View"))</f>
        <v/>
      </c>
    </row>
    <row r="2684">
      <c r="H2684" s="6" t="n"/>
      <c r="I2684" s="6" t="n"/>
      <c r="M2684" s="7" t="n"/>
      <c r="N2684" s="7" t="n"/>
      <c r="O2684" s="7" t="n"/>
      <c r="P2684" s="8">
        <f>IF(NOT(ISNUMBER(M2684)),"",IF(G2684="Terreno",IF(AND(ISNUMBER(I2684),I2684&gt;0),M2684/I2684,""),IF(AND(ISNUMBER(H2684),H2684&gt;0),M2684/H2684,"")))</f>
        <v/>
      </c>
      <c r="Q2684" s="9">
        <f>IF(AND(ISNUMBER(M2684),ISNUMBER(O2684)),IF(M2684&lt;=O2684,"Valor ≤ venal IPTU",""),"")</f>
        <v/>
      </c>
      <c r="R2684" s="10" t="n"/>
      <c r="S2684" s="10" t="n"/>
      <c r="AA2684" s="10" t="n"/>
      <c r="AB2684" s="11">
        <f>IF(LEN(TRIM(X2684))=0,"",HYPERLINK("https://www.google.com/maps/@?api=1&amp;map_action=pano&amp;viewpoint="&amp;SUBSTITUTE(X2684," ",""),"Abrir Street View"))</f>
        <v/>
      </c>
    </row>
    <row r="2685">
      <c r="H2685" s="6" t="n"/>
      <c r="I2685" s="6" t="n"/>
      <c r="M2685" s="7" t="n"/>
      <c r="N2685" s="7" t="n"/>
      <c r="O2685" s="7" t="n"/>
      <c r="P2685" s="8">
        <f>IF(NOT(ISNUMBER(M2685)),"",IF(G2685="Terreno",IF(AND(ISNUMBER(I2685),I2685&gt;0),M2685/I2685,""),IF(AND(ISNUMBER(H2685),H2685&gt;0),M2685/H2685,"")))</f>
        <v/>
      </c>
      <c r="Q2685" s="9">
        <f>IF(AND(ISNUMBER(M2685),ISNUMBER(O2685)),IF(M2685&lt;=O2685,"Valor ≤ venal IPTU",""),"")</f>
        <v/>
      </c>
      <c r="R2685" s="10" t="n"/>
      <c r="S2685" s="10" t="n"/>
      <c r="AA2685" s="10" t="n"/>
      <c r="AB2685" s="11">
        <f>IF(LEN(TRIM(X2685))=0,"",HYPERLINK("https://www.google.com/maps/@?api=1&amp;map_action=pano&amp;viewpoint="&amp;SUBSTITUTE(X2685," ",""),"Abrir Street View"))</f>
        <v/>
      </c>
    </row>
    <row r="2686">
      <c r="H2686" s="6" t="n"/>
      <c r="I2686" s="6" t="n"/>
      <c r="M2686" s="7" t="n"/>
      <c r="N2686" s="7" t="n"/>
      <c r="O2686" s="7" t="n"/>
      <c r="P2686" s="8">
        <f>IF(NOT(ISNUMBER(M2686)),"",IF(G2686="Terreno",IF(AND(ISNUMBER(I2686),I2686&gt;0),M2686/I2686,""),IF(AND(ISNUMBER(H2686),H2686&gt;0),M2686/H2686,"")))</f>
        <v/>
      </c>
      <c r="Q2686" s="9">
        <f>IF(AND(ISNUMBER(M2686),ISNUMBER(O2686)),IF(M2686&lt;=O2686,"Valor ≤ venal IPTU",""),"")</f>
        <v/>
      </c>
      <c r="R2686" s="10" t="n"/>
      <c r="S2686" s="10" t="n"/>
      <c r="AA2686" s="10" t="n"/>
      <c r="AB2686" s="11">
        <f>IF(LEN(TRIM(X2686))=0,"",HYPERLINK("https://www.google.com/maps/@?api=1&amp;map_action=pano&amp;viewpoint="&amp;SUBSTITUTE(X2686," ",""),"Abrir Street View"))</f>
        <v/>
      </c>
    </row>
    <row r="2687">
      <c r="H2687" s="6" t="n"/>
      <c r="I2687" s="6" t="n"/>
      <c r="M2687" s="7" t="n"/>
      <c r="N2687" s="7" t="n"/>
      <c r="O2687" s="7" t="n"/>
      <c r="P2687" s="8">
        <f>IF(NOT(ISNUMBER(M2687)),"",IF(G2687="Terreno",IF(AND(ISNUMBER(I2687),I2687&gt;0),M2687/I2687,""),IF(AND(ISNUMBER(H2687),H2687&gt;0),M2687/H2687,"")))</f>
        <v/>
      </c>
      <c r="Q2687" s="9">
        <f>IF(AND(ISNUMBER(M2687),ISNUMBER(O2687)),IF(M2687&lt;=O2687,"Valor ≤ venal IPTU",""),"")</f>
        <v/>
      </c>
      <c r="R2687" s="10" t="n"/>
      <c r="S2687" s="10" t="n"/>
      <c r="AA2687" s="10" t="n"/>
      <c r="AB2687" s="11">
        <f>IF(LEN(TRIM(X2687))=0,"",HYPERLINK("https://www.google.com/maps/@?api=1&amp;map_action=pano&amp;viewpoint="&amp;SUBSTITUTE(X2687," ",""),"Abrir Street View"))</f>
        <v/>
      </c>
    </row>
    <row r="2688">
      <c r="H2688" s="6" t="n"/>
      <c r="I2688" s="6" t="n"/>
      <c r="M2688" s="7" t="n"/>
      <c r="N2688" s="7" t="n"/>
      <c r="O2688" s="7" t="n"/>
      <c r="P2688" s="8">
        <f>IF(NOT(ISNUMBER(M2688)),"",IF(G2688="Terreno",IF(AND(ISNUMBER(I2688),I2688&gt;0),M2688/I2688,""),IF(AND(ISNUMBER(H2688),H2688&gt;0),M2688/H2688,"")))</f>
        <v/>
      </c>
      <c r="Q2688" s="9">
        <f>IF(AND(ISNUMBER(M2688),ISNUMBER(O2688)),IF(M2688&lt;=O2688,"Valor ≤ venal IPTU",""),"")</f>
        <v/>
      </c>
      <c r="R2688" s="10" t="n"/>
      <c r="S2688" s="10" t="n"/>
      <c r="AA2688" s="10" t="n"/>
      <c r="AB2688" s="11">
        <f>IF(LEN(TRIM(X2688))=0,"",HYPERLINK("https://www.google.com/maps/@?api=1&amp;map_action=pano&amp;viewpoint="&amp;SUBSTITUTE(X2688," ",""),"Abrir Street View"))</f>
        <v/>
      </c>
    </row>
    <row r="2689">
      <c r="H2689" s="6" t="n"/>
      <c r="I2689" s="6" t="n"/>
      <c r="M2689" s="7" t="n"/>
      <c r="N2689" s="7" t="n"/>
      <c r="O2689" s="7" t="n"/>
      <c r="P2689" s="8">
        <f>IF(NOT(ISNUMBER(M2689)),"",IF(G2689="Terreno",IF(AND(ISNUMBER(I2689),I2689&gt;0),M2689/I2689,""),IF(AND(ISNUMBER(H2689),H2689&gt;0),M2689/H2689,"")))</f>
        <v/>
      </c>
      <c r="Q2689" s="9">
        <f>IF(AND(ISNUMBER(M2689),ISNUMBER(O2689)),IF(M2689&lt;=O2689,"Valor ≤ venal IPTU",""),"")</f>
        <v/>
      </c>
      <c r="R2689" s="10" t="n"/>
      <c r="S2689" s="10" t="n"/>
      <c r="AA2689" s="10" t="n"/>
      <c r="AB2689" s="11">
        <f>IF(LEN(TRIM(X2689))=0,"",HYPERLINK("https://www.google.com/maps/@?api=1&amp;map_action=pano&amp;viewpoint="&amp;SUBSTITUTE(X2689," ",""),"Abrir Street View"))</f>
        <v/>
      </c>
    </row>
    <row r="2690">
      <c r="H2690" s="6" t="n"/>
      <c r="I2690" s="6" t="n"/>
      <c r="M2690" s="7" t="n"/>
      <c r="N2690" s="7" t="n"/>
      <c r="O2690" s="7" t="n"/>
      <c r="P2690" s="8">
        <f>IF(NOT(ISNUMBER(M2690)),"",IF(G2690="Terreno",IF(AND(ISNUMBER(I2690),I2690&gt;0),M2690/I2690,""),IF(AND(ISNUMBER(H2690),H2690&gt;0),M2690/H2690,"")))</f>
        <v/>
      </c>
      <c r="Q2690" s="9">
        <f>IF(AND(ISNUMBER(M2690),ISNUMBER(O2690)),IF(M2690&lt;=O2690,"Valor ≤ venal IPTU",""),"")</f>
        <v/>
      </c>
      <c r="R2690" s="10" t="n"/>
      <c r="S2690" s="10" t="n"/>
      <c r="AA2690" s="10" t="n"/>
      <c r="AB2690" s="11">
        <f>IF(LEN(TRIM(X2690))=0,"",HYPERLINK("https://www.google.com/maps/@?api=1&amp;map_action=pano&amp;viewpoint="&amp;SUBSTITUTE(X2690," ",""),"Abrir Street View"))</f>
        <v/>
      </c>
    </row>
    <row r="2691">
      <c r="H2691" s="6" t="n"/>
      <c r="I2691" s="6" t="n"/>
      <c r="M2691" s="7" t="n"/>
      <c r="N2691" s="7" t="n"/>
      <c r="O2691" s="7" t="n"/>
      <c r="P2691" s="8">
        <f>IF(NOT(ISNUMBER(M2691)),"",IF(G2691="Terreno",IF(AND(ISNUMBER(I2691),I2691&gt;0),M2691/I2691,""),IF(AND(ISNUMBER(H2691),H2691&gt;0),M2691/H2691,"")))</f>
        <v/>
      </c>
      <c r="Q2691" s="9">
        <f>IF(AND(ISNUMBER(M2691),ISNUMBER(O2691)),IF(M2691&lt;=O2691,"Valor ≤ venal IPTU",""),"")</f>
        <v/>
      </c>
      <c r="R2691" s="10" t="n"/>
      <c r="S2691" s="10" t="n"/>
      <c r="AA2691" s="10" t="n"/>
      <c r="AB2691" s="11">
        <f>IF(LEN(TRIM(X2691))=0,"",HYPERLINK("https://www.google.com/maps/@?api=1&amp;map_action=pano&amp;viewpoint="&amp;SUBSTITUTE(X2691," ",""),"Abrir Street View"))</f>
        <v/>
      </c>
    </row>
    <row r="2692">
      <c r="H2692" s="6" t="n"/>
      <c r="I2692" s="6" t="n"/>
      <c r="M2692" s="7" t="n"/>
      <c r="N2692" s="7" t="n"/>
      <c r="O2692" s="7" t="n"/>
      <c r="P2692" s="8">
        <f>IF(NOT(ISNUMBER(M2692)),"",IF(G2692="Terreno",IF(AND(ISNUMBER(I2692),I2692&gt;0),M2692/I2692,""),IF(AND(ISNUMBER(H2692),H2692&gt;0),M2692/H2692,"")))</f>
        <v/>
      </c>
      <c r="Q2692" s="9">
        <f>IF(AND(ISNUMBER(M2692),ISNUMBER(O2692)),IF(M2692&lt;=O2692,"Valor ≤ venal IPTU",""),"")</f>
        <v/>
      </c>
      <c r="R2692" s="10" t="n"/>
      <c r="S2692" s="10" t="n"/>
      <c r="AA2692" s="10" t="n"/>
      <c r="AB2692" s="11">
        <f>IF(LEN(TRIM(X2692))=0,"",HYPERLINK("https://www.google.com/maps/@?api=1&amp;map_action=pano&amp;viewpoint="&amp;SUBSTITUTE(X2692," ",""),"Abrir Street View"))</f>
        <v/>
      </c>
    </row>
    <row r="2693">
      <c r="H2693" s="6" t="n"/>
      <c r="I2693" s="6" t="n"/>
      <c r="M2693" s="7" t="n"/>
      <c r="N2693" s="7" t="n"/>
      <c r="O2693" s="7" t="n"/>
      <c r="P2693" s="8">
        <f>IF(NOT(ISNUMBER(M2693)),"",IF(G2693="Terreno",IF(AND(ISNUMBER(I2693),I2693&gt;0),M2693/I2693,""),IF(AND(ISNUMBER(H2693),H2693&gt;0),M2693/H2693,"")))</f>
        <v/>
      </c>
      <c r="Q2693" s="9">
        <f>IF(AND(ISNUMBER(M2693),ISNUMBER(O2693)),IF(M2693&lt;=O2693,"Valor ≤ venal IPTU",""),"")</f>
        <v/>
      </c>
      <c r="R2693" s="10" t="n"/>
      <c r="S2693" s="10" t="n"/>
      <c r="AA2693" s="10" t="n"/>
      <c r="AB2693" s="11">
        <f>IF(LEN(TRIM(X2693))=0,"",HYPERLINK("https://www.google.com/maps/@?api=1&amp;map_action=pano&amp;viewpoint="&amp;SUBSTITUTE(X2693," ",""),"Abrir Street View"))</f>
        <v/>
      </c>
    </row>
    <row r="2694">
      <c r="H2694" s="6" t="n"/>
      <c r="I2694" s="6" t="n"/>
      <c r="M2694" s="7" t="n"/>
      <c r="N2694" s="7" t="n"/>
      <c r="O2694" s="7" t="n"/>
      <c r="P2694" s="8">
        <f>IF(NOT(ISNUMBER(M2694)),"",IF(G2694="Terreno",IF(AND(ISNUMBER(I2694),I2694&gt;0),M2694/I2694,""),IF(AND(ISNUMBER(H2694),H2694&gt;0),M2694/H2694,"")))</f>
        <v/>
      </c>
      <c r="Q2694" s="9">
        <f>IF(AND(ISNUMBER(M2694),ISNUMBER(O2694)),IF(M2694&lt;=O2694,"Valor ≤ venal IPTU",""),"")</f>
        <v/>
      </c>
      <c r="R2694" s="10" t="n"/>
      <c r="S2694" s="10" t="n"/>
      <c r="AA2694" s="10" t="n"/>
      <c r="AB2694" s="11">
        <f>IF(LEN(TRIM(X2694))=0,"",HYPERLINK("https://www.google.com/maps/@?api=1&amp;map_action=pano&amp;viewpoint="&amp;SUBSTITUTE(X2694," ",""),"Abrir Street View"))</f>
        <v/>
      </c>
    </row>
    <row r="2695">
      <c r="H2695" s="6" t="n"/>
      <c r="I2695" s="6" t="n"/>
      <c r="M2695" s="7" t="n"/>
      <c r="N2695" s="7" t="n"/>
      <c r="O2695" s="7" t="n"/>
      <c r="P2695" s="8">
        <f>IF(NOT(ISNUMBER(M2695)),"",IF(G2695="Terreno",IF(AND(ISNUMBER(I2695),I2695&gt;0),M2695/I2695,""),IF(AND(ISNUMBER(H2695),H2695&gt;0),M2695/H2695,"")))</f>
        <v/>
      </c>
      <c r="Q2695" s="9">
        <f>IF(AND(ISNUMBER(M2695),ISNUMBER(O2695)),IF(M2695&lt;=O2695,"Valor ≤ venal IPTU",""),"")</f>
        <v/>
      </c>
      <c r="R2695" s="10" t="n"/>
      <c r="S2695" s="10" t="n"/>
      <c r="AA2695" s="10" t="n"/>
      <c r="AB2695" s="11">
        <f>IF(LEN(TRIM(X2695))=0,"",HYPERLINK("https://www.google.com/maps/@?api=1&amp;map_action=pano&amp;viewpoint="&amp;SUBSTITUTE(X2695," ",""),"Abrir Street View"))</f>
        <v/>
      </c>
    </row>
    <row r="2696">
      <c r="H2696" s="6" t="n"/>
      <c r="I2696" s="6" t="n"/>
      <c r="M2696" s="7" t="n"/>
      <c r="N2696" s="7" t="n"/>
      <c r="O2696" s="7" t="n"/>
      <c r="P2696" s="8">
        <f>IF(NOT(ISNUMBER(M2696)),"",IF(G2696="Terreno",IF(AND(ISNUMBER(I2696),I2696&gt;0),M2696/I2696,""),IF(AND(ISNUMBER(H2696),H2696&gt;0),M2696/H2696,"")))</f>
        <v/>
      </c>
      <c r="Q2696" s="9">
        <f>IF(AND(ISNUMBER(M2696),ISNUMBER(O2696)),IF(M2696&lt;=O2696,"Valor ≤ venal IPTU",""),"")</f>
        <v/>
      </c>
      <c r="R2696" s="10" t="n"/>
      <c r="S2696" s="10" t="n"/>
      <c r="AA2696" s="10" t="n"/>
      <c r="AB2696" s="11">
        <f>IF(LEN(TRIM(X2696))=0,"",HYPERLINK("https://www.google.com/maps/@?api=1&amp;map_action=pano&amp;viewpoint="&amp;SUBSTITUTE(X2696," ",""),"Abrir Street View"))</f>
        <v/>
      </c>
    </row>
    <row r="2697">
      <c r="H2697" s="6" t="n"/>
      <c r="I2697" s="6" t="n"/>
      <c r="M2697" s="7" t="n"/>
      <c r="N2697" s="7" t="n"/>
      <c r="O2697" s="7" t="n"/>
      <c r="P2697" s="8">
        <f>IF(NOT(ISNUMBER(M2697)),"",IF(G2697="Terreno",IF(AND(ISNUMBER(I2697),I2697&gt;0),M2697/I2697,""),IF(AND(ISNUMBER(H2697),H2697&gt;0),M2697/H2697,"")))</f>
        <v/>
      </c>
      <c r="Q2697" s="9">
        <f>IF(AND(ISNUMBER(M2697),ISNUMBER(O2697)),IF(M2697&lt;=O2697,"Valor ≤ venal IPTU",""),"")</f>
        <v/>
      </c>
      <c r="R2697" s="10" t="n"/>
      <c r="S2697" s="10" t="n"/>
      <c r="AA2697" s="10" t="n"/>
      <c r="AB2697" s="11">
        <f>IF(LEN(TRIM(X2697))=0,"",HYPERLINK("https://www.google.com/maps/@?api=1&amp;map_action=pano&amp;viewpoint="&amp;SUBSTITUTE(X2697," ",""),"Abrir Street View"))</f>
        <v/>
      </c>
    </row>
    <row r="2698">
      <c r="H2698" s="6" t="n"/>
      <c r="I2698" s="6" t="n"/>
      <c r="M2698" s="7" t="n"/>
      <c r="N2698" s="7" t="n"/>
      <c r="O2698" s="7" t="n"/>
      <c r="P2698" s="8">
        <f>IF(NOT(ISNUMBER(M2698)),"",IF(G2698="Terreno",IF(AND(ISNUMBER(I2698),I2698&gt;0),M2698/I2698,""),IF(AND(ISNUMBER(H2698),H2698&gt;0),M2698/H2698,"")))</f>
        <v/>
      </c>
      <c r="Q2698" s="9">
        <f>IF(AND(ISNUMBER(M2698),ISNUMBER(O2698)),IF(M2698&lt;=O2698,"Valor ≤ venal IPTU",""),"")</f>
        <v/>
      </c>
      <c r="R2698" s="10" t="n"/>
      <c r="S2698" s="10" t="n"/>
      <c r="AA2698" s="10" t="n"/>
      <c r="AB2698" s="11">
        <f>IF(LEN(TRIM(X2698))=0,"",HYPERLINK("https://www.google.com/maps/@?api=1&amp;map_action=pano&amp;viewpoint="&amp;SUBSTITUTE(X2698," ",""),"Abrir Street View"))</f>
        <v/>
      </c>
    </row>
    <row r="2699">
      <c r="H2699" s="6" t="n"/>
      <c r="I2699" s="6" t="n"/>
      <c r="M2699" s="7" t="n"/>
      <c r="N2699" s="7" t="n"/>
      <c r="O2699" s="7" t="n"/>
      <c r="P2699" s="8">
        <f>IF(NOT(ISNUMBER(M2699)),"",IF(G2699="Terreno",IF(AND(ISNUMBER(I2699),I2699&gt;0),M2699/I2699,""),IF(AND(ISNUMBER(H2699),H2699&gt;0),M2699/H2699,"")))</f>
        <v/>
      </c>
      <c r="Q2699" s="9">
        <f>IF(AND(ISNUMBER(M2699),ISNUMBER(O2699)),IF(M2699&lt;=O2699,"Valor ≤ venal IPTU",""),"")</f>
        <v/>
      </c>
      <c r="R2699" s="10" t="n"/>
      <c r="S2699" s="10" t="n"/>
      <c r="AA2699" s="10" t="n"/>
      <c r="AB2699" s="11">
        <f>IF(LEN(TRIM(X2699))=0,"",HYPERLINK("https://www.google.com/maps/@?api=1&amp;map_action=pano&amp;viewpoint="&amp;SUBSTITUTE(X2699," ",""),"Abrir Street View"))</f>
        <v/>
      </c>
    </row>
    <row r="2700">
      <c r="H2700" s="6" t="n"/>
      <c r="I2700" s="6" t="n"/>
      <c r="M2700" s="7" t="n"/>
      <c r="N2700" s="7" t="n"/>
      <c r="O2700" s="7" t="n"/>
      <c r="P2700" s="8">
        <f>IF(NOT(ISNUMBER(M2700)),"",IF(G2700="Terreno",IF(AND(ISNUMBER(I2700),I2700&gt;0),M2700/I2700,""),IF(AND(ISNUMBER(H2700),H2700&gt;0),M2700/H2700,"")))</f>
        <v/>
      </c>
      <c r="Q2700" s="9">
        <f>IF(AND(ISNUMBER(M2700),ISNUMBER(O2700)),IF(M2700&lt;=O2700,"Valor ≤ venal IPTU",""),"")</f>
        <v/>
      </c>
      <c r="R2700" s="10" t="n"/>
      <c r="S2700" s="10" t="n"/>
      <c r="AA2700" s="10" t="n"/>
      <c r="AB2700" s="11">
        <f>IF(LEN(TRIM(X2700))=0,"",HYPERLINK("https://www.google.com/maps/@?api=1&amp;map_action=pano&amp;viewpoint="&amp;SUBSTITUTE(X2700," ",""),"Abrir Street View"))</f>
        <v/>
      </c>
    </row>
    <row r="2701">
      <c r="H2701" s="6" t="n"/>
      <c r="I2701" s="6" t="n"/>
      <c r="M2701" s="7" t="n"/>
      <c r="N2701" s="7" t="n"/>
      <c r="O2701" s="7" t="n"/>
      <c r="P2701" s="8">
        <f>IF(NOT(ISNUMBER(M2701)),"",IF(G2701="Terreno",IF(AND(ISNUMBER(I2701),I2701&gt;0),M2701/I2701,""),IF(AND(ISNUMBER(H2701),H2701&gt;0),M2701/H2701,"")))</f>
        <v/>
      </c>
      <c r="Q2701" s="9">
        <f>IF(AND(ISNUMBER(M2701),ISNUMBER(O2701)),IF(M2701&lt;=O2701,"Valor ≤ venal IPTU",""),"")</f>
        <v/>
      </c>
      <c r="R2701" s="10" t="n"/>
      <c r="S2701" s="10" t="n"/>
      <c r="AA2701" s="10" t="n"/>
      <c r="AB2701" s="11">
        <f>IF(LEN(TRIM(X2701))=0,"",HYPERLINK("https://www.google.com/maps/@?api=1&amp;map_action=pano&amp;viewpoint="&amp;SUBSTITUTE(X2701," ",""),"Abrir Street View"))</f>
        <v/>
      </c>
    </row>
    <row r="2702">
      <c r="H2702" s="6" t="n"/>
      <c r="I2702" s="6" t="n"/>
      <c r="M2702" s="7" t="n"/>
      <c r="N2702" s="7" t="n"/>
      <c r="O2702" s="7" t="n"/>
      <c r="P2702" s="8">
        <f>IF(NOT(ISNUMBER(M2702)),"",IF(G2702="Terreno",IF(AND(ISNUMBER(I2702),I2702&gt;0),M2702/I2702,""),IF(AND(ISNUMBER(H2702),H2702&gt;0),M2702/H2702,"")))</f>
        <v/>
      </c>
      <c r="Q2702" s="9">
        <f>IF(AND(ISNUMBER(M2702),ISNUMBER(O2702)),IF(M2702&lt;=O2702,"Valor ≤ venal IPTU",""),"")</f>
        <v/>
      </c>
      <c r="R2702" s="10" t="n"/>
      <c r="S2702" s="10" t="n"/>
      <c r="AA2702" s="10" t="n"/>
      <c r="AB2702" s="11">
        <f>IF(LEN(TRIM(X2702))=0,"",HYPERLINK("https://www.google.com/maps/@?api=1&amp;map_action=pano&amp;viewpoint="&amp;SUBSTITUTE(X2702," ",""),"Abrir Street View"))</f>
        <v/>
      </c>
    </row>
    <row r="2703">
      <c r="H2703" s="6" t="n"/>
      <c r="I2703" s="6" t="n"/>
      <c r="M2703" s="7" t="n"/>
      <c r="N2703" s="7" t="n"/>
      <c r="O2703" s="7" t="n"/>
      <c r="P2703" s="8">
        <f>IF(NOT(ISNUMBER(M2703)),"",IF(G2703="Terreno",IF(AND(ISNUMBER(I2703),I2703&gt;0),M2703/I2703,""),IF(AND(ISNUMBER(H2703),H2703&gt;0),M2703/H2703,"")))</f>
        <v/>
      </c>
      <c r="Q2703" s="9">
        <f>IF(AND(ISNUMBER(M2703),ISNUMBER(O2703)),IF(M2703&lt;=O2703,"Valor ≤ venal IPTU",""),"")</f>
        <v/>
      </c>
      <c r="R2703" s="10" t="n"/>
      <c r="S2703" s="10" t="n"/>
      <c r="AA2703" s="10" t="n"/>
      <c r="AB2703" s="11">
        <f>IF(LEN(TRIM(X2703))=0,"",HYPERLINK("https://www.google.com/maps/@?api=1&amp;map_action=pano&amp;viewpoint="&amp;SUBSTITUTE(X2703," ",""),"Abrir Street View"))</f>
        <v/>
      </c>
    </row>
    <row r="2704">
      <c r="H2704" s="6" t="n"/>
      <c r="I2704" s="6" t="n"/>
      <c r="M2704" s="7" t="n"/>
      <c r="N2704" s="7" t="n"/>
      <c r="O2704" s="7" t="n"/>
      <c r="P2704" s="8">
        <f>IF(NOT(ISNUMBER(M2704)),"",IF(G2704="Terreno",IF(AND(ISNUMBER(I2704),I2704&gt;0),M2704/I2704,""),IF(AND(ISNUMBER(H2704),H2704&gt;0),M2704/H2704,"")))</f>
        <v/>
      </c>
      <c r="Q2704" s="9">
        <f>IF(AND(ISNUMBER(M2704),ISNUMBER(O2704)),IF(M2704&lt;=O2704,"Valor ≤ venal IPTU",""),"")</f>
        <v/>
      </c>
      <c r="R2704" s="10" t="n"/>
      <c r="S2704" s="10" t="n"/>
      <c r="AA2704" s="10" t="n"/>
      <c r="AB2704" s="11">
        <f>IF(LEN(TRIM(X2704))=0,"",HYPERLINK("https://www.google.com/maps/@?api=1&amp;map_action=pano&amp;viewpoint="&amp;SUBSTITUTE(X2704," ",""),"Abrir Street View"))</f>
        <v/>
      </c>
    </row>
    <row r="2705">
      <c r="H2705" s="6" t="n"/>
      <c r="I2705" s="6" t="n"/>
      <c r="M2705" s="7" t="n"/>
      <c r="N2705" s="7" t="n"/>
      <c r="O2705" s="7" t="n"/>
      <c r="P2705" s="8">
        <f>IF(NOT(ISNUMBER(M2705)),"",IF(G2705="Terreno",IF(AND(ISNUMBER(I2705),I2705&gt;0),M2705/I2705,""),IF(AND(ISNUMBER(H2705),H2705&gt;0),M2705/H2705,"")))</f>
        <v/>
      </c>
      <c r="Q2705" s="9">
        <f>IF(AND(ISNUMBER(M2705),ISNUMBER(O2705)),IF(M2705&lt;=O2705,"Valor ≤ venal IPTU",""),"")</f>
        <v/>
      </c>
      <c r="R2705" s="10" t="n"/>
      <c r="S2705" s="10" t="n"/>
      <c r="AA2705" s="10" t="n"/>
      <c r="AB2705" s="11">
        <f>IF(LEN(TRIM(X2705))=0,"",HYPERLINK("https://www.google.com/maps/@?api=1&amp;map_action=pano&amp;viewpoint="&amp;SUBSTITUTE(X2705," ",""),"Abrir Street View"))</f>
        <v/>
      </c>
    </row>
    <row r="2706">
      <c r="H2706" s="6" t="n"/>
      <c r="I2706" s="6" t="n"/>
      <c r="M2706" s="7" t="n"/>
      <c r="N2706" s="7" t="n"/>
      <c r="O2706" s="7" t="n"/>
      <c r="P2706" s="8">
        <f>IF(NOT(ISNUMBER(M2706)),"",IF(G2706="Terreno",IF(AND(ISNUMBER(I2706),I2706&gt;0),M2706/I2706,""),IF(AND(ISNUMBER(H2706),H2706&gt;0),M2706/H2706,"")))</f>
        <v/>
      </c>
      <c r="Q2706" s="9">
        <f>IF(AND(ISNUMBER(M2706),ISNUMBER(O2706)),IF(M2706&lt;=O2706,"Valor ≤ venal IPTU",""),"")</f>
        <v/>
      </c>
      <c r="R2706" s="10" t="n"/>
      <c r="S2706" s="10" t="n"/>
      <c r="AA2706" s="10" t="n"/>
      <c r="AB2706" s="11">
        <f>IF(LEN(TRIM(X2706))=0,"",HYPERLINK("https://www.google.com/maps/@?api=1&amp;map_action=pano&amp;viewpoint="&amp;SUBSTITUTE(X2706," ",""),"Abrir Street View"))</f>
        <v/>
      </c>
    </row>
    <row r="2707">
      <c r="H2707" s="6" t="n"/>
      <c r="I2707" s="6" t="n"/>
      <c r="M2707" s="7" t="n"/>
      <c r="N2707" s="7" t="n"/>
      <c r="O2707" s="7" t="n"/>
      <c r="P2707" s="8">
        <f>IF(NOT(ISNUMBER(M2707)),"",IF(G2707="Terreno",IF(AND(ISNUMBER(I2707),I2707&gt;0),M2707/I2707,""),IF(AND(ISNUMBER(H2707),H2707&gt;0),M2707/H2707,"")))</f>
        <v/>
      </c>
      <c r="Q2707" s="9">
        <f>IF(AND(ISNUMBER(M2707),ISNUMBER(O2707)),IF(M2707&lt;=O2707,"Valor ≤ venal IPTU",""),"")</f>
        <v/>
      </c>
      <c r="R2707" s="10" t="n"/>
      <c r="S2707" s="10" t="n"/>
      <c r="AA2707" s="10" t="n"/>
      <c r="AB2707" s="11">
        <f>IF(LEN(TRIM(X2707))=0,"",HYPERLINK("https://www.google.com/maps/@?api=1&amp;map_action=pano&amp;viewpoint="&amp;SUBSTITUTE(X2707," ",""),"Abrir Street View"))</f>
        <v/>
      </c>
    </row>
    <row r="2708">
      <c r="H2708" s="6" t="n"/>
      <c r="I2708" s="6" t="n"/>
      <c r="M2708" s="7" t="n"/>
      <c r="N2708" s="7" t="n"/>
      <c r="O2708" s="7" t="n"/>
      <c r="P2708" s="8">
        <f>IF(NOT(ISNUMBER(M2708)),"",IF(G2708="Terreno",IF(AND(ISNUMBER(I2708),I2708&gt;0),M2708/I2708,""),IF(AND(ISNUMBER(H2708),H2708&gt;0),M2708/H2708,"")))</f>
        <v/>
      </c>
      <c r="Q2708" s="9">
        <f>IF(AND(ISNUMBER(M2708),ISNUMBER(O2708)),IF(M2708&lt;=O2708,"Valor ≤ venal IPTU",""),"")</f>
        <v/>
      </c>
      <c r="R2708" s="10" t="n"/>
      <c r="S2708" s="10" t="n"/>
      <c r="AA2708" s="10" t="n"/>
      <c r="AB2708" s="11">
        <f>IF(LEN(TRIM(X2708))=0,"",HYPERLINK("https://www.google.com/maps/@?api=1&amp;map_action=pano&amp;viewpoint="&amp;SUBSTITUTE(X2708," ",""),"Abrir Street View"))</f>
        <v/>
      </c>
    </row>
    <row r="2709">
      <c r="H2709" s="6" t="n"/>
      <c r="I2709" s="6" t="n"/>
      <c r="M2709" s="7" t="n"/>
      <c r="N2709" s="7" t="n"/>
      <c r="O2709" s="7" t="n"/>
      <c r="P2709" s="8">
        <f>IF(NOT(ISNUMBER(M2709)),"",IF(G2709="Terreno",IF(AND(ISNUMBER(I2709),I2709&gt;0),M2709/I2709,""),IF(AND(ISNUMBER(H2709),H2709&gt;0),M2709/H2709,"")))</f>
        <v/>
      </c>
      <c r="Q2709" s="9">
        <f>IF(AND(ISNUMBER(M2709),ISNUMBER(O2709)),IF(M2709&lt;=O2709,"Valor ≤ venal IPTU",""),"")</f>
        <v/>
      </c>
      <c r="R2709" s="10" t="n"/>
      <c r="S2709" s="10" t="n"/>
      <c r="AA2709" s="10" t="n"/>
      <c r="AB2709" s="11">
        <f>IF(LEN(TRIM(X2709))=0,"",HYPERLINK("https://www.google.com/maps/@?api=1&amp;map_action=pano&amp;viewpoint="&amp;SUBSTITUTE(X2709," ",""),"Abrir Street View"))</f>
        <v/>
      </c>
    </row>
    <row r="2710">
      <c r="H2710" s="6" t="n"/>
      <c r="I2710" s="6" t="n"/>
      <c r="M2710" s="7" t="n"/>
      <c r="N2710" s="7" t="n"/>
      <c r="O2710" s="7" t="n"/>
      <c r="P2710" s="8">
        <f>IF(NOT(ISNUMBER(M2710)),"",IF(G2710="Terreno",IF(AND(ISNUMBER(I2710),I2710&gt;0),M2710/I2710,""),IF(AND(ISNUMBER(H2710),H2710&gt;0),M2710/H2710,"")))</f>
        <v/>
      </c>
      <c r="Q2710" s="9">
        <f>IF(AND(ISNUMBER(M2710),ISNUMBER(O2710)),IF(M2710&lt;=O2710,"Valor ≤ venal IPTU",""),"")</f>
        <v/>
      </c>
      <c r="R2710" s="10" t="n"/>
      <c r="S2710" s="10" t="n"/>
      <c r="AA2710" s="10" t="n"/>
      <c r="AB2710" s="11">
        <f>IF(LEN(TRIM(X2710))=0,"",HYPERLINK("https://www.google.com/maps/@?api=1&amp;map_action=pano&amp;viewpoint="&amp;SUBSTITUTE(X2710," ",""),"Abrir Street View"))</f>
        <v/>
      </c>
    </row>
    <row r="2711">
      <c r="H2711" s="6" t="n"/>
      <c r="I2711" s="6" t="n"/>
      <c r="M2711" s="7" t="n"/>
      <c r="N2711" s="7" t="n"/>
      <c r="O2711" s="7" t="n"/>
      <c r="P2711" s="8">
        <f>IF(NOT(ISNUMBER(M2711)),"",IF(G2711="Terreno",IF(AND(ISNUMBER(I2711),I2711&gt;0),M2711/I2711,""),IF(AND(ISNUMBER(H2711),H2711&gt;0),M2711/H2711,"")))</f>
        <v/>
      </c>
      <c r="Q2711" s="9">
        <f>IF(AND(ISNUMBER(M2711),ISNUMBER(O2711)),IF(M2711&lt;=O2711,"Valor ≤ venal IPTU",""),"")</f>
        <v/>
      </c>
      <c r="R2711" s="10" t="n"/>
      <c r="S2711" s="10" t="n"/>
      <c r="AA2711" s="10" t="n"/>
      <c r="AB2711" s="11">
        <f>IF(LEN(TRIM(X2711))=0,"",HYPERLINK("https://www.google.com/maps/@?api=1&amp;map_action=pano&amp;viewpoint="&amp;SUBSTITUTE(X2711," ",""),"Abrir Street View"))</f>
        <v/>
      </c>
    </row>
    <row r="2712">
      <c r="H2712" s="6" t="n"/>
      <c r="I2712" s="6" t="n"/>
      <c r="M2712" s="7" t="n"/>
      <c r="N2712" s="7" t="n"/>
      <c r="O2712" s="7" t="n"/>
      <c r="P2712" s="8">
        <f>IF(NOT(ISNUMBER(M2712)),"",IF(G2712="Terreno",IF(AND(ISNUMBER(I2712),I2712&gt;0),M2712/I2712,""),IF(AND(ISNUMBER(H2712),H2712&gt;0),M2712/H2712,"")))</f>
        <v/>
      </c>
      <c r="Q2712" s="9">
        <f>IF(AND(ISNUMBER(M2712),ISNUMBER(O2712)),IF(M2712&lt;=O2712,"Valor ≤ venal IPTU",""),"")</f>
        <v/>
      </c>
      <c r="R2712" s="10" t="n"/>
      <c r="S2712" s="10" t="n"/>
      <c r="AA2712" s="10" t="n"/>
      <c r="AB2712" s="11">
        <f>IF(LEN(TRIM(X2712))=0,"",HYPERLINK("https://www.google.com/maps/@?api=1&amp;map_action=pano&amp;viewpoint="&amp;SUBSTITUTE(X2712," ",""),"Abrir Street View"))</f>
        <v/>
      </c>
    </row>
    <row r="2713">
      <c r="H2713" s="6" t="n"/>
      <c r="I2713" s="6" t="n"/>
      <c r="M2713" s="7" t="n"/>
      <c r="N2713" s="7" t="n"/>
      <c r="O2713" s="7" t="n"/>
      <c r="P2713" s="8">
        <f>IF(NOT(ISNUMBER(M2713)),"",IF(G2713="Terreno",IF(AND(ISNUMBER(I2713),I2713&gt;0),M2713/I2713,""),IF(AND(ISNUMBER(H2713),H2713&gt;0),M2713/H2713,"")))</f>
        <v/>
      </c>
      <c r="Q2713" s="9">
        <f>IF(AND(ISNUMBER(M2713),ISNUMBER(O2713)),IF(M2713&lt;=O2713,"Valor ≤ venal IPTU",""),"")</f>
        <v/>
      </c>
      <c r="R2713" s="10" t="n"/>
      <c r="S2713" s="10" t="n"/>
      <c r="AA2713" s="10" t="n"/>
      <c r="AB2713" s="11">
        <f>IF(LEN(TRIM(X2713))=0,"",HYPERLINK("https://www.google.com/maps/@?api=1&amp;map_action=pano&amp;viewpoint="&amp;SUBSTITUTE(X2713," ",""),"Abrir Street View"))</f>
        <v/>
      </c>
    </row>
    <row r="2714">
      <c r="H2714" s="6" t="n"/>
      <c r="I2714" s="6" t="n"/>
      <c r="M2714" s="7" t="n"/>
      <c r="N2714" s="7" t="n"/>
      <c r="O2714" s="7" t="n"/>
      <c r="P2714" s="8">
        <f>IF(NOT(ISNUMBER(M2714)),"",IF(G2714="Terreno",IF(AND(ISNUMBER(I2714),I2714&gt;0),M2714/I2714,""),IF(AND(ISNUMBER(H2714),H2714&gt;0),M2714/H2714,"")))</f>
        <v/>
      </c>
      <c r="Q2714" s="9">
        <f>IF(AND(ISNUMBER(M2714),ISNUMBER(O2714)),IF(M2714&lt;=O2714,"Valor ≤ venal IPTU",""),"")</f>
        <v/>
      </c>
      <c r="R2714" s="10" t="n"/>
      <c r="S2714" s="10" t="n"/>
      <c r="AA2714" s="10" t="n"/>
      <c r="AB2714" s="11">
        <f>IF(LEN(TRIM(X2714))=0,"",HYPERLINK("https://www.google.com/maps/@?api=1&amp;map_action=pano&amp;viewpoint="&amp;SUBSTITUTE(X2714," ",""),"Abrir Street View"))</f>
        <v/>
      </c>
    </row>
    <row r="2715">
      <c r="H2715" s="6" t="n"/>
      <c r="I2715" s="6" t="n"/>
      <c r="M2715" s="7" t="n"/>
      <c r="N2715" s="7" t="n"/>
      <c r="O2715" s="7" t="n"/>
      <c r="P2715" s="8">
        <f>IF(NOT(ISNUMBER(M2715)),"",IF(G2715="Terreno",IF(AND(ISNUMBER(I2715),I2715&gt;0),M2715/I2715,""),IF(AND(ISNUMBER(H2715),H2715&gt;0),M2715/H2715,"")))</f>
        <v/>
      </c>
      <c r="Q2715" s="9">
        <f>IF(AND(ISNUMBER(M2715),ISNUMBER(O2715)),IF(M2715&lt;=O2715,"Valor ≤ venal IPTU",""),"")</f>
        <v/>
      </c>
      <c r="R2715" s="10" t="n"/>
      <c r="S2715" s="10" t="n"/>
      <c r="AA2715" s="10" t="n"/>
      <c r="AB2715" s="11">
        <f>IF(LEN(TRIM(X2715))=0,"",HYPERLINK("https://www.google.com/maps/@?api=1&amp;map_action=pano&amp;viewpoint="&amp;SUBSTITUTE(X2715," ",""),"Abrir Street View"))</f>
        <v/>
      </c>
    </row>
    <row r="2716">
      <c r="H2716" s="6" t="n"/>
      <c r="I2716" s="6" t="n"/>
      <c r="M2716" s="7" t="n"/>
      <c r="N2716" s="7" t="n"/>
      <c r="O2716" s="7" t="n"/>
      <c r="P2716" s="8">
        <f>IF(NOT(ISNUMBER(M2716)),"",IF(G2716="Terreno",IF(AND(ISNUMBER(I2716),I2716&gt;0),M2716/I2716,""),IF(AND(ISNUMBER(H2716),H2716&gt;0),M2716/H2716,"")))</f>
        <v/>
      </c>
      <c r="Q2716" s="9">
        <f>IF(AND(ISNUMBER(M2716),ISNUMBER(O2716)),IF(M2716&lt;=O2716,"Valor ≤ venal IPTU",""),"")</f>
        <v/>
      </c>
      <c r="R2716" s="10" t="n"/>
      <c r="S2716" s="10" t="n"/>
      <c r="AA2716" s="10" t="n"/>
      <c r="AB2716" s="11">
        <f>IF(LEN(TRIM(X2716))=0,"",HYPERLINK("https://www.google.com/maps/@?api=1&amp;map_action=pano&amp;viewpoint="&amp;SUBSTITUTE(X2716," ",""),"Abrir Street View"))</f>
        <v/>
      </c>
    </row>
    <row r="2717">
      <c r="H2717" s="6" t="n"/>
      <c r="I2717" s="6" t="n"/>
      <c r="M2717" s="7" t="n"/>
      <c r="N2717" s="7" t="n"/>
      <c r="O2717" s="7" t="n"/>
      <c r="P2717" s="8">
        <f>IF(NOT(ISNUMBER(M2717)),"",IF(G2717="Terreno",IF(AND(ISNUMBER(I2717),I2717&gt;0),M2717/I2717,""),IF(AND(ISNUMBER(H2717),H2717&gt;0),M2717/H2717,"")))</f>
        <v/>
      </c>
      <c r="Q2717" s="9">
        <f>IF(AND(ISNUMBER(M2717),ISNUMBER(O2717)),IF(M2717&lt;=O2717,"Valor ≤ venal IPTU",""),"")</f>
        <v/>
      </c>
      <c r="R2717" s="10" t="n"/>
      <c r="S2717" s="10" t="n"/>
      <c r="AA2717" s="10" t="n"/>
      <c r="AB2717" s="11">
        <f>IF(LEN(TRIM(X2717))=0,"",HYPERLINK("https://www.google.com/maps/@?api=1&amp;map_action=pano&amp;viewpoint="&amp;SUBSTITUTE(X2717," ",""),"Abrir Street View"))</f>
        <v/>
      </c>
    </row>
    <row r="2718">
      <c r="H2718" s="6" t="n"/>
      <c r="I2718" s="6" t="n"/>
      <c r="M2718" s="7" t="n"/>
      <c r="N2718" s="7" t="n"/>
      <c r="O2718" s="7" t="n"/>
      <c r="P2718" s="8">
        <f>IF(NOT(ISNUMBER(M2718)),"",IF(G2718="Terreno",IF(AND(ISNUMBER(I2718),I2718&gt;0),M2718/I2718,""),IF(AND(ISNUMBER(H2718),H2718&gt;0),M2718/H2718,"")))</f>
        <v/>
      </c>
      <c r="Q2718" s="9">
        <f>IF(AND(ISNUMBER(M2718),ISNUMBER(O2718)),IF(M2718&lt;=O2718,"Valor ≤ venal IPTU",""),"")</f>
        <v/>
      </c>
      <c r="R2718" s="10" t="n"/>
      <c r="S2718" s="10" t="n"/>
      <c r="AA2718" s="10" t="n"/>
      <c r="AB2718" s="11">
        <f>IF(LEN(TRIM(X2718))=0,"",HYPERLINK("https://www.google.com/maps/@?api=1&amp;map_action=pano&amp;viewpoint="&amp;SUBSTITUTE(X2718," ",""),"Abrir Street View"))</f>
        <v/>
      </c>
    </row>
    <row r="2719">
      <c r="H2719" s="6" t="n"/>
      <c r="I2719" s="6" t="n"/>
      <c r="M2719" s="7" t="n"/>
      <c r="N2719" s="7" t="n"/>
      <c r="O2719" s="7" t="n"/>
      <c r="P2719" s="8">
        <f>IF(NOT(ISNUMBER(M2719)),"",IF(G2719="Terreno",IF(AND(ISNUMBER(I2719),I2719&gt;0),M2719/I2719,""),IF(AND(ISNUMBER(H2719),H2719&gt;0),M2719/H2719,"")))</f>
        <v/>
      </c>
      <c r="Q2719" s="9">
        <f>IF(AND(ISNUMBER(M2719),ISNUMBER(O2719)),IF(M2719&lt;=O2719,"Valor ≤ venal IPTU",""),"")</f>
        <v/>
      </c>
      <c r="R2719" s="10" t="n"/>
      <c r="S2719" s="10" t="n"/>
      <c r="AA2719" s="10" t="n"/>
      <c r="AB2719" s="11">
        <f>IF(LEN(TRIM(X2719))=0,"",HYPERLINK("https://www.google.com/maps/@?api=1&amp;map_action=pano&amp;viewpoint="&amp;SUBSTITUTE(X2719," ",""),"Abrir Street View"))</f>
        <v/>
      </c>
    </row>
    <row r="2720">
      <c r="H2720" s="6" t="n"/>
      <c r="I2720" s="6" t="n"/>
      <c r="M2720" s="7" t="n"/>
      <c r="N2720" s="7" t="n"/>
      <c r="O2720" s="7" t="n"/>
      <c r="P2720" s="8">
        <f>IF(NOT(ISNUMBER(M2720)),"",IF(G2720="Terreno",IF(AND(ISNUMBER(I2720),I2720&gt;0),M2720/I2720,""),IF(AND(ISNUMBER(H2720),H2720&gt;0),M2720/H2720,"")))</f>
        <v/>
      </c>
      <c r="Q2720" s="9">
        <f>IF(AND(ISNUMBER(M2720),ISNUMBER(O2720)),IF(M2720&lt;=O2720,"Valor ≤ venal IPTU",""),"")</f>
        <v/>
      </c>
      <c r="R2720" s="10" t="n"/>
      <c r="S2720" s="10" t="n"/>
      <c r="AA2720" s="10" t="n"/>
      <c r="AB2720" s="11">
        <f>IF(LEN(TRIM(X2720))=0,"",HYPERLINK("https://www.google.com/maps/@?api=1&amp;map_action=pano&amp;viewpoint="&amp;SUBSTITUTE(X2720," ",""),"Abrir Street View"))</f>
        <v/>
      </c>
    </row>
    <row r="2721">
      <c r="H2721" s="6" t="n"/>
      <c r="I2721" s="6" t="n"/>
      <c r="M2721" s="7" t="n"/>
      <c r="N2721" s="7" t="n"/>
      <c r="O2721" s="7" t="n"/>
      <c r="P2721" s="8">
        <f>IF(NOT(ISNUMBER(M2721)),"",IF(G2721="Terreno",IF(AND(ISNUMBER(I2721),I2721&gt;0),M2721/I2721,""),IF(AND(ISNUMBER(H2721),H2721&gt;0),M2721/H2721,"")))</f>
        <v/>
      </c>
      <c r="Q2721" s="9">
        <f>IF(AND(ISNUMBER(M2721),ISNUMBER(O2721)),IF(M2721&lt;=O2721,"Valor ≤ venal IPTU",""),"")</f>
        <v/>
      </c>
      <c r="R2721" s="10" t="n"/>
      <c r="S2721" s="10" t="n"/>
      <c r="AA2721" s="10" t="n"/>
      <c r="AB2721" s="11">
        <f>IF(LEN(TRIM(X2721))=0,"",HYPERLINK("https://www.google.com/maps/@?api=1&amp;map_action=pano&amp;viewpoint="&amp;SUBSTITUTE(X2721," ",""),"Abrir Street View"))</f>
        <v/>
      </c>
    </row>
    <row r="2722">
      <c r="H2722" s="6" t="n"/>
      <c r="I2722" s="6" t="n"/>
      <c r="M2722" s="7" t="n"/>
      <c r="N2722" s="7" t="n"/>
      <c r="O2722" s="7" t="n"/>
      <c r="P2722" s="8">
        <f>IF(NOT(ISNUMBER(M2722)),"",IF(G2722="Terreno",IF(AND(ISNUMBER(I2722),I2722&gt;0),M2722/I2722,""),IF(AND(ISNUMBER(H2722),H2722&gt;0),M2722/H2722,"")))</f>
        <v/>
      </c>
      <c r="Q2722" s="9">
        <f>IF(AND(ISNUMBER(M2722),ISNUMBER(O2722)),IF(M2722&lt;=O2722,"Valor ≤ venal IPTU",""),"")</f>
        <v/>
      </c>
      <c r="R2722" s="10" t="n"/>
      <c r="S2722" s="10" t="n"/>
      <c r="AA2722" s="10" t="n"/>
      <c r="AB2722" s="11">
        <f>IF(LEN(TRIM(X2722))=0,"",HYPERLINK("https://www.google.com/maps/@?api=1&amp;map_action=pano&amp;viewpoint="&amp;SUBSTITUTE(X2722," ",""),"Abrir Street View"))</f>
        <v/>
      </c>
    </row>
    <row r="2723">
      <c r="H2723" s="6" t="n"/>
      <c r="I2723" s="6" t="n"/>
      <c r="M2723" s="7" t="n"/>
      <c r="N2723" s="7" t="n"/>
      <c r="O2723" s="7" t="n"/>
      <c r="P2723" s="8">
        <f>IF(NOT(ISNUMBER(M2723)),"",IF(G2723="Terreno",IF(AND(ISNUMBER(I2723),I2723&gt;0),M2723/I2723,""),IF(AND(ISNUMBER(H2723),H2723&gt;0),M2723/H2723,"")))</f>
        <v/>
      </c>
      <c r="Q2723" s="9">
        <f>IF(AND(ISNUMBER(M2723),ISNUMBER(O2723)),IF(M2723&lt;=O2723,"Valor ≤ venal IPTU",""),"")</f>
        <v/>
      </c>
      <c r="R2723" s="10" t="n"/>
      <c r="S2723" s="10" t="n"/>
      <c r="AA2723" s="10" t="n"/>
      <c r="AB2723" s="11">
        <f>IF(LEN(TRIM(X2723))=0,"",HYPERLINK("https://www.google.com/maps/@?api=1&amp;map_action=pano&amp;viewpoint="&amp;SUBSTITUTE(X2723," ",""),"Abrir Street View"))</f>
        <v/>
      </c>
    </row>
    <row r="2724">
      <c r="H2724" s="6" t="n"/>
      <c r="I2724" s="6" t="n"/>
      <c r="M2724" s="7" t="n"/>
      <c r="N2724" s="7" t="n"/>
      <c r="O2724" s="7" t="n"/>
      <c r="P2724" s="8">
        <f>IF(NOT(ISNUMBER(M2724)),"",IF(G2724="Terreno",IF(AND(ISNUMBER(I2724),I2724&gt;0),M2724/I2724,""),IF(AND(ISNUMBER(H2724),H2724&gt;0),M2724/H2724,"")))</f>
        <v/>
      </c>
      <c r="Q2724" s="9">
        <f>IF(AND(ISNUMBER(M2724),ISNUMBER(O2724)),IF(M2724&lt;=O2724,"Valor ≤ venal IPTU",""),"")</f>
        <v/>
      </c>
      <c r="R2724" s="10" t="n"/>
      <c r="S2724" s="10" t="n"/>
      <c r="AA2724" s="10" t="n"/>
      <c r="AB2724" s="11">
        <f>IF(LEN(TRIM(X2724))=0,"",HYPERLINK("https://www.google.com/maps/@?api=1&amp;map_action=pano&amp;viewpoint="&amp;SUBSTITUTE(X2724," ",""),"Abrir Street View"))</f>
        <v/>
      </c>
    </row>
    <row r="2725">
      <c r="H2725" s="6" t="n"/>
      <c r="I2725" s="6" t="n"/>
      <c r="M2725" s="7" t="n"/>
      <c r="N2725" s="7" t="n"/>
      <c r="O2725" s="7" t="n"/>
      <c r="P2725" s="8">
        <f>IF(NOT(ISNUMBER(M2725)),"",IF(G2725="Terreno",IF(AND(ISNUMBER(I2725),I2725&gt;0),M2725/I2725,""),IF(AND(ISNUMBER(H2725),H2725&gt;0),M2725/H2725,"")))</f>
        <v/>
      </c>
      <c r="Q2725" s="9">
        <f>IF(AND(ISNUMBER(M2725),ISNUMBER(O2725)),IF(M2725&lt;=O2725,"Valor ≤ venal IPTU",""),"")</f>
        <v/>
      </c>
      <c r="R2725" s="10" t="n"/>
      <c r="S2725" s="10" t="n"/>
      <c r="AA2725" s="10" t="n"/>
      <c r="AB2725" s="11">
        <f>IF(LEN(TRIM(X2725))=0,"",HYPERLINK("https://www.google.com/maps/@?api=1&amp;map_action=pano&amp;viewpoint="&amp;SUBSTITUTE(X2725," ",""),"Abrir Street View"))</f>
        <v/>
      </c>
    </row>
    <row r="2726">
      <c r="H2726" s="6" t="n"/>
      <c r="I2726" s="6" t="n"/>
      <c r="M2726" s="7" t="n"/>
      <c r="N2726" s="7" t="n"/>
      <c r="O2726" s="7" t="n"/>
      <c r="P2726" s="8">
        <f>IF(NOT(ISNUMBER(M2726)),"",IF(G2726="Terreno",IF(AND(ISNUMBER(I2726),I2726&gt;0),M2726/I2726,""),IF(AND(ISNUMBER(H2726),H2726&gt;0),M2726/H2726,"")))</f>
        <v/>
      </c>
      <c r="Q2726" s="9">
        <f>IF(AND(ISNUMBER(M2726),ISNUMBER(O2726)),IF(M2726&lt;=O2726,"Valor ≤ venal IPTU",""),"")</f>
        <v/>
      </c>
      <c r="R2726" s="10" t="n"/>
      <c r="S2726" s="10" t="n"/>
      <c r="AA2726" s="10" t="n"/>
      <c r="AB2726" s="11">
        <f>IF(LEN(TRIM(X2726))=0,"",HYPERLINK("https://www.google.com/maps/@?api=1&amp;map_action=pano&amp;viewpoint="&amp;SUBSTITUTE(X2726," ",""),"Abrir Street View"))</f>
        <v/>
      </c>
    </row>
    <row r="2727">
      <c r="H2727" s="6" t="n"/>
      <c r="I2727" s="6" t="n"/>
      <c r="M2727" s="7" t="n"/>
      <c r="N2727" s="7" t="n"/>
      <c r="O2727" s="7" t="n"/>
      <c r="P2727" s="8">
        <f>IF(NOT(ISNUMBER(M2727)),"",IF(G2727="Terreno",IF(AND(ISNUMBER(I2727),I2727&gt;0),M2727/I2727,""),IF(AND(ISNUMBER(H2727),H2727&gt;0),M2727/H2727,"")))</f>
        <v/>
      </c>
      <c r="Q2727" s="9">
        <f>IF(AND(ISNUMBER(M2727),ISNUMBER(O2727)),IF(M2727&lt;=O2727,"Valor ≤ venal IPTU",""),"")</f>
        <v/>
      </c>
      <c r="R2727" s="10" t="n"/>
      <c r="S2727" s="10" t="n"/>
      <c r="AA2727" s="10" t="n"/>
      <c r="AB2727" s="11">
        <f>IF(LEN(TRIM(X2727))=0,"",HYPERLINK("https://www.google.com/maps/@?api=1&amp;map_action=pano&amp;viewpoint="&amp;SUBSTITUTE(X2727," ",""),"Abrir Street View"))</f>
        <v/>
      </c>
    </row>
    <row r="2728">
      <c r="H2728" s="6" t="n"/>
      <c r="I2728" s="6" t="n"/>
      <c r="M2728" s="7" t="n"/>
      <c r="N2728" s="7" t="n"/>
      <c r="O2728" s="7" t="n"/>
      <c r="P2728" s="8">
        <f>IF(NOT(ISNUMBER(M2728)),"",IF(G2728="Terreno",IF(AND(ISNUMBER(I2728),I2728&gt;0),M2728/I2728,""),IF(AND(ISNUMBER(H2728),H2728&gt;0),M2728/H2728,"")))</f>
        <v/>
      </c>
      <c r="Q2728" s="9">
        <f>IF(AND(ISNUMBER(M2728),ISNUMBER(O2728)),IF(M2728&lt;=O2728,"Valor ≤ venal IPTU",""),"")</f>
        <v/>
      </c>
      <c r="R2728" s="10" t="n"/>
      <c r="S2728" s="10" t="n"/>
      <c r="AA2728" s="10" t="n"/>
      <c r="AB2728" s="11">
        <f>IF(LEN(TRIM(X2728))=0,"",HYPERLINK("https://www.google.com/maps/@?api=1&amp;map_action=pano&amp;viewpoint="&amp;SUBSTITUTE(X2728," ",""),"Abrir Street View"))</f>
        <v/>
      </c>
    </row>
    <row r="2729">
      <c r="H2729" s="6" t="n"/>
      <c r="I2729" s="6" t="n"/>
      <c r="M2729" s="7" t="n"/>
      <c r="N2729" s="7" t="n"/>
      <c r="O2729" s="7" t="n"/>
      <c r="P2729" s="8">
        <f>IF(NOT(ISNUMBER(M2729)),"",IF(G2729="Terreno",IF(AND(ISNUMBER(I2729),I2729&gt;0),M2729/I2729,""),IF(AND(ISNUMBER(H2729),H2729&gt;0),M2729/H2729,"")))</f>
        <v/>
      </c>
      <c r="Q2729" s="9">
        <f>IF(AND(ISNUMBER(M2729),ISNUMBER(O2729)),IF(M2729&lt;=O2729,"Valor ≤ venal IPTU",""),"")</f>
        <v/>
      </c>
      <c r="R2729" s="10" t="n"/>
      <c r="S2729" s="10" t="n"/>
      <c r="AA2729" s="10" t="n"/>
      <c r="AB2729" s="11">
        <f>IF(LEN(TRIM(X2729))=0,"",HYPERLINK("https://www.google.com/maps/@?api=1&amp;map_action=pano&amp;viewpoint="&amp;SUBSTITUTE(X2729," ",""),"Abrir Street View"))</f>
        <v/>
      </c>
    </row>
    <row r="2730">
      <c r="H2730" s="6" t="n"/>
      <c r="I2730" s="6" t="n"/>
      <c r="M2730" s="7" t="n"/>
      <c r="N2730" s="7" t="n"/>
      <c r="O2730" s="7" t="n"/>
      <c r="P2730" s="8">
        <f>IF(NOT(ISNUMBER(M2730)),"",IF(G2730="Terreno",IF(AND(ISNUMBER(I2730),I2730&gt;0),M2730/I2730,""),IF(AND(ISNUMBER(H2730),H2730&gt;0),M2730/H2730,"")))</f>
        <v/>
      </c>
      <c r="Q2730" s="9">
        <f>IF(AND(ISNUMBER(M2730),ISNUMBER(O2730)),IF(M2730&lt;=O2730,"Valor ≤ venal IPTU",""),"")</f>
        <v/>
      </c>
      <c r="R2730" s="10" t="n"/>
      <c r="S2730" s="10" t="n"/>
      <c r="AA2730" s="10" t="n"/>
      <c r="AB2730" s="11">
        <f>IF(LEN(TRIM(X2730))=0,"",HYPERLINK("https://www.google.com/maps/@?api=1&amp;map_action=pano&amp;viewpoint="&amp;SUBSTITUTE(X2730," ",""),"Abrir Street View"))</f>
        <v/>
      </c>
    </row>
    <row r="2731">
      <c r="H2731" s="6" t="n"/>
      <c r="I2731" s="6" t="n"/>
      <c r="M2731" s="7" t="n"/>
      <c r="N2731" s="7" t="n"/>
      <c r="O2731" s="7" t="n"/>
      <c r="P2731" s="8">
        <f>IF(NOT(ISNUMBER(M2731)),"",IF(G2731="Terreno",IF(AND(ISNUMBER(I2731),I2731&gt;0),M2731/I2731,""),IF(AND(ISNUMBER(H2731),H2731&gt;0),M2731/H2731,"")))</f>
        <v/>
      </c>
      <c r="Q2731" s="9">
        <f>IF(AND(ISNUMBER(M2731),ISNUMBER(O2731)),IF(M2731&lt;=O2731,"Valor ≤ venal IPTU",""),"")</f>
        <v/>
      </c>
      <c r="R2731" s="10" t="n"/>
      <c r="S2731" s="10" t="n"/>
      <c r="AA2731" s="10" t="n"/>
      <c r="AB2731" s="11">
        <f>IF(LEN(TRIM(X2731))=0,"",HYPERLINK("https://www.google.com/maps/@?api=1&amp;map_action=pano&amp;viewpoint="&amp;SUBSTITUTE(X2731," ",""),"Abrir Street View"))</f>
        <v/>
      </c>
    </row>
    <row r="2732">
      <c r="H2732" s="6" t="n"/>
      <c r="I2732" s="6" t="n"/>
      <c r="M2732" s="7" t="n"/>
      <c r="N2732" s="7" t="n"/>
      <c r="O2732" s="7" t="n"/>
      <c r="P2732" s="8">
        <f>IF(NOT(ISNUMBER(M2732)),"",IF(G2732="Terreno",IF(AND(ISNUMBER(I2732),I2732&gt;0),M2732/I2732,""),IF(AND(ISNUMBER(H2732),H2732&gt;0),M2732/H2732,"")))</f>
        <v/>
      </c>
      <c r="Q2732" s="9">
        <f>IF(AND(ISNUMBER(M2732),ISNUMBER(O2732)),IF(M2732&lt;=O2732,"Valor ≤ venal IPTU",""),"")</f>
        <v/>
      </c>
      <c r="R2732" s="10" t="n"/>
      <c r="S2732" s="10" t="n"/>
      <c r="AA2732" s="10" t="n"/>
      <c r="AB2732" s="11">
        <f>IF(LEN(TRIM(X2732))=0,"",HYPERLINK("https://www.google.com/maps/@?api=1&amp;map_action=pano&amp;viewpoint="&amp;SUBSTITUTE(X2732," ",""),"Abrir Street View"))</f>
        <v/>
      </c>
    </row>
    <row r="2733">
      <c r="H2733" s="6" t="n"/>
      <c r="I2733" s="6" t="n"/>
      <c r="M2733" s="7" t="n"/>
      <c r="N2733" s="7" t="n"/>
      <c r="O2733" s="7" t="n"/>
      <c r="P2733" s="8">
        <f>IF(NOT(ISNUMBER(M2733)),"",IF(G2733="Terreno",IF(AND(ISNUMBER(I2733),I2733&gt;0),M2733/I2733,""),IF(AND(ISNUMBER(H2733),H2733&gt;0),M2733/H2733,"")))</f>
        <v/>
      </c>
      <c r="Q2733" s="9">
        <f>IF(AND(ISNUMBER(M2733),ISNUMBER(O2733)),IF(M2733&lt;=O2733,"Valor ≤ venal IPTU",""),"")</f>
        <v/>
      </c>
      <c r="R2733" s="10" t="n"/>
      <c r="S2733" s="10" t="n"/>
      <c r="AA2733" s="10" t="n"/>
      <c r="AB2733" s="11">
        <f>IF(LEN(TRIM(X2733))=0,"",HYPERLINK("https://www.google.com/maps/@?api=1&amp;map_action=pano&amp;viewpoint="&amp;SUBSTITUTE(X2733," ",""),"Abrir Street View"))</f>
        <v/>
      </c>
    </row>
    <row r="2734">
      <c r="H2734" s="6" t="n"/>
      <c r="I2734" s="6" t="n"/>
      <c r="M2734" s="7" t="n"/>
      <c r="N2734" s="7" t="n"/>
      <c r="O2734" s="7" t="n"/>
      <c r="P2734" s="8">
        <f>IF(NOT(ISNUMBER(M2734)),"",IF(G2734="Terreno",IF(AND(ISNUMBER(I2734),I2734&gt;0),M2734/I2734,""),IF(AND(ISNUMBER(H2734),H2734&gt;0),M2734/H2734,"")))</f>
        <v/>
      </c>
      <c r="Q2734" s="9">
        <f>IF(AND(ISNUMBER(M2734),ISNUMBER(O2734)),IF(M2734&lt;=O2734,"Valor ≤ venal IPTU",""),"")</f>
        <v/>
      </c>
      <c r="R2734" s="10" t="n"/>
      <c r="S2734" s="10" t="n"/>
      <c r="AA2734" s="10" t="n"/>
      <c r="AB2734" s="11">
        <f>IF(LEN(TRIM(X2734))=0,"",HYPERLINK("https://www.google.com/maps/@?api=1&amp;map_action=pano&amp;viewpoint="&amp;SUBSTITUTE(X2734," ",""),"Abrir Street View"))</f>
        <v/>
      </c>
    </row>
    <row r="2735">
      <c r="H2735" s="6" t="n"/>
      <c r="I2735" s="6" t="n"/>
      <c r="M2735" s="7" t="n"/>
      <c r="N2735" s="7" t="n"/>
      <c r="O2735" s="7" t="n"/>
      <c r="P2735" s="8">
        <f>IF(NOT(ISNUMBER(M2735)),"",IF(G2735="Terreno",IF(AND(ISNUMBER(I2735),I2735&gt;0),M2735/I2735,""),IF(AND(ISNUMBER(H2735),H2735&gt;0),M2735/H2735,"")))</f>
        <v/>
      </c>
      <c r="Q2735" s="9">
        <f>IF(AND(ISNUMBER(M2735),ISNUMBER(O2735)),IF(M2735&lt;=O2735,"Valor ≤ venal IPTU",""),"")</f>
        <v/>
      </c>
      <c r="R2735" s="10" t="n"/>
      <c r="S2735" s="10" t="n"/>
      <c r="AA2735" s="10" t="n"/>
      <c r="AB2735" s="11">
        <f>IF(LEN(TRIM(X2735))=0,"",HYPERLINK("https://www.google.com/maps/@?api=1&amp;map_action=pano&amp;viewpoint="&amp;SUBSTITUTE(X2735," ",""),"Abrir Street View"))</f>
        <v/>
      </c>
    </row>
    <row r="2736">
      <c r="H2736" s="6" t="n"/>
      <c r="I2736" s="6" t="n"/>
      <c r="M2736" s="7" t="n"/>
      <c r="N2736" s="7" t="n"/>
      <c r="O2736" s="7" t="n"/>
      <c r="P2736" s="8">
        <f>IF(NOT(ISNUMBER(M2736)),"",IF(G2736="Terreno",IF(AND(ISNUMBER(I2736),I2736&gt;0),M2736/I2736,""),IF(AND(ISNUMBER(H2736),H2736&gt;0),M2736/H2736,"")))</f>
        <v/>
      </c>
      <c r="Q2736" s="9">
        <f>IF(AND(ISNUMBER(M2736),ISNUMBER(O2736)),IF(M2736&lt;=O2736,"Valor ≤ venal IPTU",""),"")</f>
        <v/>
      </c>
      <c r="R2736" s="10" t="n"/>
      <c r="S2736" s="10" t="n"/>
      <c r="AA2736" s="10" t="n"/>
      <c r="AB2736" s="11">
        <f>IF(LEN(TRIM(X2736))=0,"",HYPERLINK("https://www.google.com/maps/@?api=1&amp;map_action=pano&amp;viewpoint="&amp;SUBSTITUTE(X2736," ",""),"Abrir Street View"))</f>
        <v/>
      </c>
    </row>
    <row r="2737">
      <c r="H2737" s="6" t="n"/>
      <c r="I2737" s="6" t="n"/>
      <c r="M2737" s="7" t="n"/>
      <c r="N2737" s="7" t="n"/>
      <c r="O2737" s="7" t="n"/>
      <c r="P2737" s="8">
        <f>IF(NOT(ISNUMBER(M2737)),"",IF(G2737="Terreno",IF(AND(ISNUMBER(I2737),I2737&gt;0),M2737/I2737,""),IF(AND(ISNUMBER(H2737),H2737&gt;0),M2737/H2737,"")))</f>
        <v/>
      </c>
      <c r="Q2737" s="9">
        <f>IF(AND(ISNUMBER(M2737),ISNUMBER(O2737)),IF(M2737&lt;=O2737,"Valor ≤ venal IPTU",""),"")</f>
        <v/>
      </c>
      <c r="R2737" s="10" t="n"/>
      <c r="S2737" s="10" t="n"/>
      <c r="AA2737" s="10" t="n"/>
      <c r="AB2737" s="11">
        <f>IF(LEN(TRIM(X2737))=0,"",HYPERLINK("https://www.google.com/maps/@?api=1&amp;map_action=pano&amp;viewpoint="&amp;SUBSTITUTE(X2737," ",""),"Abrir Street View"))</f>
        <v/>
      </c>
    </row>
    <row r="2738">
      <c r="H2738" s="6" t="n"/>
      <c r="I2738" s="6" t="n"/>
      <c r="M2738" s="7" t="n"/>
      <c r="N2738" s="7" t="n"/>
      <c r="O2738" s="7" t="n"/>
      <c r="P2738" s="8">
        <f>IF(NOT(ISNUMBER(M2738)),"",IF(G2738="Terreno",IF(AND(ISNUMBER(I2738),I2738&gt;0),M2738/I2738,""),IF(AND(ISNUMBER(H2738),H2738&gt;0),M2738/H2738,"")))</f>
        <v/>
      </c>
      <c r="Q2738" s="9">
        <f>IF(AND(ISNUMBER(M2738),ISNUMBER(O2738)),IF(M2738&lt;=O2738,"Valor ≤ venal IPTU",""),"")</f>
        <v/>
      </c>
      <c r="R2738" s="10" t="n"/>
      <c r="S2738" s="10" t="n"/>
      <c r="AA2738" s="10" t="n"/>
      <c r="AB2738" s="11">
        <f>IF(LEN(TRIM(X2738))=0,"",HYPERLINK("https://www.google.com/maps/@?api=1&amp;map_action=pano&amp;viewpoint="&amp;SUBSTITUTE(X2738," ",""),"Abrir Street View"))</f>
        <v/>
      </c>
    </row>
    <row r="2739">
      <c r="H2739" s="6" t="n"/>
      <c r="I2739" s="6" t="n"/>
      <c r="M2739" s="7" t="n"/>
      <c r="N2739" s="7" t="n"/>
      <c r="O2739" s="7" t="n"/>
      <c r="P2739" s="8">
        <f>IF(NOT(ISNUMBER(M2739)),"",IF(G2739="Terreno",IF(AND(ISNUMBER(I2739),I2739&gt;0),M2739/I2739,""),IF(AND(ISNUMBER(H2739),H2739&gt;0),M2739/H2739,"")))</f>
        <v/>
      </c>
      <c r="Q2739" s="9">
        <f>IF(AND(ISNUMBER(M2739),ISNUMBER(O2739)),IF(M2739&lt;=O2739,"Valor ≤ venal IPTU",""),"")</f>
        <v/>
      </c>
      <c r="R2739" s="10" t="n"/>
      <c r="S2739" s="10" t="n"/>
      <c r="AA2739" s="10" t="n"/>
      <c r="AB2739" s="11">
        <f>IF(LEN(TRIM(X2739))=0,"",HYPERLINK("https://www.google.com/maps/@?api=1&amp;map_action=pano&amp;viewpoint="&amp;SUBSTITUTE(X2739," ",""),"Abrir Street View"))</f>
        <v/>
      </c>
    </row>
    <row r="2740">
      <c r="H2740" s="6" t="n"/>
      <c r="I2740" s="6" t="n"/>
      <c r="M2740" s="7" t="n"/>
      <c r="N2740" s="7" t="n"/>
      <c r="O2740" s="7" t="n"/>
      <c r="P2740" s="8">
        <f>IF(NOT(ISNUMBER(M2740)),"",IF(G2740="Terreno",IF(AND(ISNUMBER(I2740),I2740&gt;0),M2740/I2740,""),IF(AND(ISNUMBER(H2740),H2740&gt;0),M2740/H2740,"")))</f>
        <v/>
      </c>
      <c r="Q2740" s="9">
        <f>IF(AND(ISNUMBER(M2740),ISNUMBER(O2740)),IF(M2740&lt;=O2740,"Valor ≤ venal IPTU",""),"")</f>
        <v/>
      </c>
      <c r="R2740" s="10" t="n"/>
      <c r="S2740" s="10" t="n"/>
      <c r="AA2740" s="10" t="n"/>
      <c r="AB2740" s="11">
        <f>IF(LEN(TRIM(X2740))=0,"",HYPERLINK("https://www.google.com/maps/@?api=1&amp;map_action=pano&amp;viewpoint="&amp;SUBSTITUTE(X2740," ",""),"Abrir Street View"))</f>
        <v/>
      </c>
    </row>
    <row r="2741">
      <c r="H2741" s="6" t="n"/>
      <c r="I2741" s="6" t="n"/>
      <c r="M2741" s="7" t="n"/>
      <c r="N2741" s="7" t="n"/>
      <c r="O2741" s="7" t="n"/>
      <c r="P2741" s="8">
        <f>IF(NOT(ISNUMBER(M2741)),"",IF(G2741="Terreno",IF(AND(ISNUMBER(I2741),I2741&gt;0),M2741/I2741,""),IF(AND(ISNUMBER(H2741),H2741&gt;0),M2741/H2741,"")))</f>
        <v/>
      </c>
      <c r="Q2741" s="9">
        <f>IF(AND(ISNUMBER(M2741),ISNUMBER(O2741)),IF(M2741&lt;=O2741,"Valor ≤ venal IPTU",""),"")</f>
        <v/>
      </c>
      <c r="R2741" s="10" t="n"/>
      <c r="S2741" s="10" t="n"/>
      <c r="AA2741" s="10" t="n"/>
      <c r="AB2741" s="11">
        <f>IF(LEN(TRIM(X2741))=0,"",HYPERLINK("https://www.google.com/maps/@?api=1&amp;map_action=pano&amp;viewpoint="&amp;SUBSTITUTE(X2741," ",""),"Abrir Street View"))</f>
        <v/>
      </c>
    </row>
    <row r="2742">
      <c r="H2742" s="6" t="n"/>
      <c r="I2742" s="6" t="n"/>
      <c r="M2742" s="7" t="n"/>
      <c r="N2742" s="7" t="n"/>
      <c r="O2742" s="7" t="n"/>
      <c r="P2742" s="8">
        <f>IF(NOT(ISNUMBER(M2742)),"",IF(G2742="Terreno",IF(AND(ISNUMBER(I2742),I2742&gt;0),M2742/I2742,""),IF(AND(ISNUMBER(H2742),H2742&gt;0),M2742/H2742,"")))</f>
        <v/>
      </c>
      <c r="Q2742" s="9">
        <f>IF(AND(ISNUMBER(M2742),ISNUMBER(O2742)),IF(M2742&lt;=O2742,"Valor ≤ venal IPTU",""),"")</f>
        <v/>
      </c>
      <c r="R2742" s="10" t="n"/>
      <c r="S2742" s="10" t="n"/>
      <c r="AA2742" s="10" t="n"/>
      <c r="AB2742" s="11">
        <f>IF(LEN(TRIM(X2742))=0,"",HYPERLINK("https://www.google.com/maps/@?api=1&amp;map_action=pano&amp;viewpoint="&amp;SUBSTITUTE(X2742," ",""),"Abrir Street View"))</f>
        <v/>
      </c>
    </row>
    <row r="2743">
      <c r="H2743" s="6" t="n"/>
      <c r="I2743" s="6" t="n"/>
      <c r="M2743" s="7" t="n"/>
      <c r="N2743" s="7" t="n"/>
      <c r="O2743" s="7" t="n"/>
      <c r="P2743" s="8">
        <f>IF(NOT(ISNUMBER(M2743)),"",IF(G2743="Terreno",IF(AND(ISNUMBER(I2743),I2743&gt;0),M2743/I2743,""),IF(AND(ISNUMBER(H2743),H2743&gt;0),M2743/H2743,"")))</f>
        <v/>
      </c>
      <c r="Q2743" s="9">
        <f>IF(AND(ISNUMBER(M2743),ISNUMBER(O2743)),IF(M2743&lt;=O2743,"Valor ≤ venal IPTU",""),"")</f>
        <v/>
      </c>
      <c r="R2743" s="10" t="n"/>
      <c r="S2743" s="10" t="n"/>
      <c r="AA2743" s="10" t="n"/>
      <c r="AB2743" s="11">
        <f>IF(LEN(TRIM(X2743))=0,"",HYPERLINK("https://www.google.com/maps/@?api=1&amp;map_action=pano&amp;viewpoint="&amp;SUBSTITUTE(X2743," ",""),"Abrir Street View"))</f>
        <v/>
      </c>
    </row>
    <row r="2744">
      <c r="H2744" s="6" t="n"/>
      <c r="I2744" s="6" t="n"/>
      <c r="M2744" s="7" t="n"/>
      <c r="N2744" s="7" t="n"/>
      <c r="O2744" s="7" t="n"/>
      <c r="P2744" s="8">
        <f>IF(NOT(ISNUMBER(M2744)),"",IF(G2744="Terreno",IF(AND(ISNUMBER(I2744),I2744&gt;0),M2744/I2744,""),IF(AND(ISNUMBER(H2744),H2744&gt;0),M2744/H2744,"")))</f>
        <v/>
      </c>
      <c r="Q2744" s="9">
        <f>IF(AND(ISNUMBER(M2744),ISNUMBER(O2744)),IF(M2744&lt;=O2744,"Valor ≤ venal IPTU",""),"")</f>
        <v/>
      </c>
      <c r="R2744" s="10" t="n"/>
      <c r="S2744" s="10" t="n"/>
      <c r="AA2744" s="10" t="n"/>
      <c r="AB2744" s="11">
        <f>IF(LEN(TRIM(X2744))=0,"",HYPERLINK("https://www.google.com/maps/@?api=1&amp;map_action=pano&amp;viewpoint="&amp;SUBSTITUTE(X2744," ",""),"Abrir Street View"))</f>
        <v/>
      </c>
    </row>
    <row r="2745">
      <c r="H2745" s="6" t="n"/>
      <c r="I2745" s="6" t="n"/>
      <c r="M2745" s="7" t="n"/>
      <c r="N2745" s="7" t="n"/>
      <c r="O2745" s="7" t="n"/>
      <c r="P2745" s="8">
        <f>IF(NOT(ISNUMBER(M2745)),"",IF(G2745="Terreno",IF(AND(ISNUMBER(I2745),I2745&gt;0),M2745/I2745,""),IF(AND(ISNUMBER(H2745),H2745&gt;0),M2745/H2745,"")))</f>
        <v/>
      </c>
      <c r="Q2745" s="9">
        <f>IF(AND(ISNUMBER(M2745),ISNUMBER(O2745)),IF(M2745&lt;=O2745,"Valor ≤ venal IPTU",""),"")</f>
        <v/>
      </c>
      <c r="R2745" s="10" t="n"/>
      <c r="S2745" s="10" t="n"/>
      <c r="AA2745" s="10" t="n"/>
      <c r="AB2745" s="11">
        <f>IF(LEN(TRIM(X2745))=0,"",HYPERLINK("https://www.google.com/maps/@?api=1&amp;map_action=pano&amp;viewpoint="&amp;SUBSTITUTE(X2745," ",""),"Abrir Street View"))</f>
        <v/>
      </c>
    </row>
    <row r="2746">
      <c r="H2746" s="6" t="n"/>
      <c r="I2746" s="6" t="n"/>
      <c r="M2746" s="7" t="n"/>
      <c r="N2746" s="7" t="n"/>
      <c r="O2746" s="7" t="n"/>
      <c r="P2746" s="8">
        <f>IF(NOT(ISNUMBER(M2746)),"",IF(G2746="Terreno",IF(AND(ISNUMBER(I2746),I2746&gt;0),M2746/I2746,""),IF(AND(ISNUMBER(H2746),H2746&gt;0),M2746/H2746,"")))</f>
        <v/>
      </c>
      <c r="Q2746" s="9">
        <f>IF(AND(ISNUMBER(M2746),ISNUMBER(O2746)),IF(M2746&lt;=O2746,"Valor ≤ venal IPTU",""),"")</f>
        <v/>
      </c>
      <c r="R2746" s="10" t="n"/>
      <c r="S2746" s="10" t="n"/>
      <c r="AA2746" s="10" t="n"/>
      <c r="AB2746" s="11">
        <f>IF(LEN(TRIM(X2746))=0,"",HYPERLINK("https://www.google.com/maps/@?api=1&amp;map_action=pano&amp;viewpoint="&amp;SUBSTITUTE(X2746," ",""),"Abrir Street View"))</f>
        <v/>
      </c>
    </row>
    <row r="2747">
      <c r="H2747" s="6" t="n"/>
      <c r="I2747" s="6" t="n"/>
      <c r="M2747" s="7" t="n"/>
      <c r="N2747" s="7" t="n"/>
      <c r="O2747" s="7" t="n"/>
      <c r="P2747" s="8">
        <f>IF(NOT(ISNUMBER(M2747)),"",IF(G2747="Terreno",IF(AND(ISNUMBER(I2747),I2747&gt;0),M2747/I2747,""),IF(AND(ISNUMBER(H2747),H2747&gt;0),M2747/H2747,"")))</f>
        <v/>
      </c>
      <c r="Q2747" s="9">
        <f>IF(AND(ISNUMBER(M2747),ISNUMBER(O2747)),IF(M2747&lt;=O2747,"Valor ≤ venal IPTU",""),"")</f>
        <v/>
      </c>
      <c r="R2747" s="10" t="n"/>
      <c r="S2747" s="10" t="n"/>
      <c r="AA2747" s="10" t="n"/>
      <c r="AB2747" s="11">
        <f>IF(LEN(TRIM(X2747))=0,"",HYPERLINK("https://www.google.com/maps/@?api=1&amp;map_action=pano&amp;viewpoint="&amp;SUBSTITUTE(X2747," ",""),"Abrir Street View"))</f>
        <v/>
      </c>
    </row>
    <row r="2748">
      <c r="H2748" s="6" t="n"/>
      <c r="I2748" s="6" t="n"/>
      <c r="M2748" s="7" t="n"/>
      <c r="N2748" s="7" t="n"/>
      <c r="O2748" s="7" t="n"/>
      <c r="P2748" s="8">
        <f>IF(NOT(ISNUMBER(M2748)),"",IF(G2748="Terreno",IF(AND(ISNUMBER(I2748),I2748&gt;0),M2748/I2748,""),IF(AND(ISNUMBER(H2748),H2748&gt;0),M2748/H2748,"")))</f>
        <v/>
      </c>
      <c r="Q2748" s="9">
        <f>IF(AND(ISNUMBER(M2748),ISNUMBER(O2748)),IF(M2748&lt;=O2748,"Valor ≤ venal IPTU",""),"")</f>
        <v/>
      </c>
      <c r="R2748" s="10" t="n"/>
      <c r="S2748" s="10" t="n"/>
      <c r="AA2748" s="10" t="n"/>
      <c r="AB2748" s="11">
        <f>IF(LEN(TRIM(X2748))=0,"",HYPERLINK("https://www.google.com/maps/@?api=1&amp;map_action=pano&amp;viewpoint="&amp;SUBSTITUTE(X2748," ",""),"Abrir Street View"))</f>
        <v/>
      </c>
    </row>
    <row r="2749">
      <c r="H2749" s="6" t="n"/>
      <c r="I2749" s="6" t="n"/>
      <c r="M2749" s="7" t="n"/>
      <c r="N2749" s="7" t="n"/>
      <c r="O2749" s="7" t="n"/>
      <c r="P2749" s="8">
        <f>IF(NOT(ISNUMBER(M2749)),"",IF(G2749="Terreno",IF(AND(ISNUMBER(I2749),I2749&gt;0),M2749/I2749,""),IF(AND(ISNUMBER(H2749),H2749&gt;0),M2749/H2749,"")))</f>
        <v/>
      </c>
      <c r="Q2749" s="9">
        <f>IF(AND(ISNUMBER(M2749),ISNUMBER(O2749)),IF(M2749&lt;=O2749,"Valor ≤ venal IPTU",""),"")</f>
        <v/>
      </c>
      <c r="R2749" s="10" t="n"/>
      <c r="S2749" s="10" t="n"/>
      <c r="AA2749" s="10" t="n"/>
      <c r="AB2749" s="11">
        <f>IF(LEN(TRIM(X2749))=0,"",HYPERLINK("https://www.google.com/maps/@?api=1&amp;map_action=pano&amp;viewpoint="&amp;SUBSTITUTE(X2749," ",""),"Abrir Street View"))</f>
        <v/>
      </c>
    </row>
    <row r="2750">
      <c r="H2750" s="6" t="n"/>
      <c r="I2750" s="6" t="n"/>
      <c r="M2750" s="7" t="n"/>
      <c r="N2750" s="7" t="n"/>
      <c r="O2750" s="7" t="n"/>
      <c r="P2750" s="8">
        <f>IF(NOT(ISNUMBER(M2750)),"",IF(G2750="Terreno",IF(AND(ISNUMBER(I2750),I2750&gt;0),M2750/I2750,""),IF(AND(ISNUMBER(H2750),H2750&gt;0),M2750/H2750,"")))</f>
        <v/>
      </c>
      <c r="Q2750" s="9">
        <f>IF(AND(ISNUMBER(M2750),ISNUMBER(O2750)),IF(M2750&lt;=O2750,"Valor ≤ venal IPTU",""),"")</f>
        <v/>
      </c>
      <c r="R2750" s="10" t="n"/>
      <c r="S2750" s="10" t="n"/>
      <c r="AA2750" s="10" t="n"/>
      <c r="AB2750" s="11">
        <f>IF(LEN(TRIM(X2750))=0,"",HYPERLINK("https://www.google.com/maps/@?api=1&amp;map_action=pano&amp;viewpoint="&amp;SUBSTITUTE(X2750," ",""),"Abrir Street View"))</f>
        <v/>
      </c>
    </row>
    <row r="2751">
      <c r="H2751" s="6" t="n"/>
      <c r="I2751" s="6" t="n"/>
      <c r="M2751" s="7" t="n"/>
      <c r="N2751" s="7" t="n"/>
      <c r="O2751" s="7" t="n"/>
      <c r="P2751" s="8">
        <f>IF(NOT(ISNUMBER(M2751)),"",IF(G2751="Terreno",IF(AND(ISNUMBER(I2751),I2751&gt;0),M2751/I2751,""),IF(AND(ISNUMBER(H2751),H2751&gt;0),M2751/H2751,"")))</f>
        <v/>
      </c>
      <c r="Q2751" s="9">
        <f>IF(AND(ISNUMBER(M2751),ISNUMBER(O2751)),IF(M2751&lt;=O2751,"Valor ≤ venal IPTU",""),"")</f>
        <v/>
      </c>
      <c r="R2751" s="10" t="n"/>
      <c r="S2751" s="10" t="n"/>
      <c r="AA2751" s="10" t="n"/>
      <c r="AB2751" s="11">
        <f>IF(LEN(TRIM(X2751))=0,"",HYPERLINK("https://www.google.com/maps/@?api=1&amp;map_action=pano&amp;viewpoint="&amp;SUBSTITUTE(X2751," ",""),"Abrir Street View"))</f>
        <v/>
      </c>
    </row>
    <row r="2752">
      <c r="H2752" s="6" t="n"/>
      <c r="I2752" s="6" t="n"/>
      <c r="M2752" s="7" t="n"/>
      <c r="N2752" s="7" t="n"/>
      <c r="O2752" s="7" t="n"/>
      <c r="P2752" s="8">
        <f>IF(NOT(ISNUMBER(M2752)),"",IF(G2752="Terreno",IF(AND(ISNUMBER(I2752),I2752&gt;0),M2752/I2752,""),IF(AND(ISNUMBER(H2752),H2752&gt;0),M2752/H2752,"")))</f>
        <v/>
      </c>
      <c r="Q2752" s="9">
        <f>IF(AND(ISNUMBER(M2752),ISNUMBER(O2752)),IF(M2752&lt;=O2752,"Valor ≤ venal IPTU",""),"")</f>
        <v/>
      </c>
      <c r="R2752" s="10" t="n"/>
      <c r="S2752" s="10" t="n"/>
      <c r="AA2752" s="10" t="n"/>
      <c r="AB2752" s="11">
        <f>IF(LEN(TRIM(X2752))=0,"",HYPERLINK("https://www.google.com/maps/@?api=1&amp;map_action=pano&amp;viewpoint="&amp;SUBSTITUTE(X2752," ",""),"Abrir Street View"))</f>
        <v/>
      </c>
    </row>
    <row r="2753">
      <c r="H2753" s="6" t="n"/>
      <c r="I2753" s="6" t="n"/>
      <c r="M2753" s="7" t="n"/>
      <c r="N2753" s="7" t="n"/>
      <c r="O2753" s="7" t="n"/>
      <c r="P2753" s="8">
        <f>IF(NOT(ISNUMBER(M2753)),"",IF(G2753="Terreno",IF(AND(ISNUMBER(I2753),I2753&gt;0),M2753/I2753,""),IF(AND(ISNUMBER(H2753),H2753&gt;0),M2753/H2753,"")))</f>
        <v/>
      </c>
      <c r="Q2753" s="9">
        <f>IF(AND(ISNUMBER(M2753),ISNUMBER(O2753)),IF(M2753&lt;=O2753,"Valor ≤ venal IPTU",""),"")</f>
        <v/>
      </c>
      <c r="R2753" s="10" t="n"/>
      <c r="S2753" s="10" t="n"/>
      <c r="AA2753" s="10" t="n"/>
      <c r="AB2753" s="11">
        <f>IF(LEN(TRIM(X2753))=0,"",HYPERLINK("https://www.google.com/maps/@?api=1&amp;map_action=pano&amp;viewpoint="&amp;SUBSTITUTE(X2753," ",""),"Abrir Street View"))</f>
        <v/>
      </c>
    </row>
    <row r="2754">
      <c r="H2754" s="6" t="n"/>
      <c r="I2754" s="6" t="n"/>
      <c r="M2754" s="7" t="n"/>
      <c r="N2754" s="7" t="n"/>
      <c r="O2754" s="7" t="n"/>
      <c r="P2754" s="8">
        <f>IF(NOT(ISNUMBER(M2754)),"",IF(G2754="Terreno",IF(AND(ISNUMBER(I2754),I2754&gt;0),M2754/I2754,""),IF(AND(ISNUMBER(H2754),H2754&gt;0),M2754/H2754,"")))</f>
        <v/>
      </c>
      <c r="Q2754" s="9">
        <f>IF(AND(ISNUMBER(M2754),ISNUMBER(O2754)),IF(M2754&lt;=O2754,"Valor ≤ venal IPTU",""),"")</f>
        <v/>
      </c>
      <c r="R2754" s="10" t="n"/>
      <c r="S2754" s="10" t="n"/>
      <c r="AA2754" s="10" t="n"/>
      <c r="AB2754" s="11">
        <f>IF(LEN(TRIM(X2754))=0,"",HYPERLINK("https://www.google.com/maps/@?api=1&amp;map_action=pano&amp;viewpoint="&amp;SUBSTITUTE(X2754," ",""),"Abrir Street View"))</f>
        <v/>
      </c>
    </row>
    <row r="2755">
      <c r="H2755" s="6" t="n"/>
      <c r="I2755" s="6" t="n"/>
      <c r="M2755" s="7" t="n"/>
      <c r="N2755" s="7" t="n"/>
      <c r="O2755" s="7" t="n"/>
      <c r="P2755" s="8">
        <f>IF(NOT(ISNUMBER(M2755)),"",IF(G2755="Terreno",IF(AND(ISNUMBER(I2755),I2755&gt;0),M2755/I2755,""),IF(AND(ISNUMBER(H2755),H2755&gt;0),M2755/H2755,"")))</f>
        <v/>
      </c>
      <c r="Q2755" s="9">
        <f>IF(AND(ISNUMBER(M2755),ISNUMBER(O2755)),IF(M2755&lt;=O2755,"Valor ≤ venal IPTU",""),"")</f>
        <v/>
      </c>
      <c r="R2755" s="10" t="n"/>
      <c r="S2755" s="10" t="n"/>
      <c r="AA2755" s="10" t="n"/>
      <c r="AB2755" s="11">
        <f>IF(LEN(TRIM(X2755))=0,"",HYPERLINK("https://www.google.com/maps/@?api=1&amp;map_action=pano&amp;viewpoint="&amp;SUBSTITUTE(X2755," ",""),"Abrir Street View"))</f>
        <v/>
      </c>
    </row>
    <row r="2756">
      <c r="H2756" s="6" t="n"/>
      <c r="I2756" s="6" t="n"/>
      <c r="M2756" s="7" t="n"/>
      <c r="N2756" s="7" t="n"/>
      <c r="O2756" s="7" t="n"/>
      <c r="P2756" s="8">
        <f>IF(NOT(ISNUMBER(M2756)),"",IF(G2756="Terreno",IF(AND(ISNUMBER(I2756),I2756&gt;0),M2756/I2756,""),IF(AND(ISNUMBER(H2756),H2756&gt;0),M2756/H2756,"")))</f>
        <v/>
      </c>
      <c r="Q2756" s="9">
        <f>IF(AND(ISNUMBER(M2756),ISNUMBER(O2756)),IF(M2756&lt;=O2756,"Valor ≤ venal IPTU",""),"")</f>
        <v/>
      </c>
      <c r="R2756" s="10" t="n"/>
      <c r="S2756" s="10" t="n"/>
      <c r="AA2756" s="10" t="n"/>
      <c r="AB2756" s="11">
        <f>IF(LEN(TRIM(X2756))=0,"",HYPERLINK("https://www.google.com/maps/@?api=1&amp;map_action=pano&amp;viewpoint="&amp;SUBSTITUTE(X2756," ",""),"Abrir Street View"))</f>
        <v/>
      </c>
    </row>
    <row r="2757">
      <c r="H2757" s="6" t="n"/>
      <c r="I2757" s="6" t="n"/>
      <c r="M2757" s="7" t="n"/>
      <c r="N2757" s="7" t="n"/>
      <c r="O2757" s="7" t="n"/>
      <c r="P2757" s="8">
        <f>IF(NOT(ISNUMBER(M2757)),"",IF(G2757="Terreno",IF(AND(ISNUMBER(I2757),I2757&gt;0),M2757/I2757,""),IF(AND(ISNUMBER(H2757),H2757&gt;0),M2757/H2757,"")))</f>
        <v/>
      </c>
      <c r="Q2757" s="9">
        <f>IF(AND(ISNUMBER(M2757),ISNUMBER(O2757)),IF(M2757&lt;=O2757,"Valor ≤ venal IPTU",""),"")</f>
        <v/>
      </c>
      <c r="R2757" s="10" t="n"/>
      <c r="S2757" s="10" t="n"/>
      <c r="AA2757" s="10" t="n"/>
      <c r="AB2757" s="11">
        <f>IF(LEN(TRIM(X2757))=0,"",HYPERLINK("https://www.google.com/maps/@?api=1&amp;map_action=pano&amp;viewpoint="&amp;SUBSTITUTE(X2757," ",""),"Abrir Street View"))</f>
        <v/>
      </c>
    </row>
    <row r="2758">
      <c r="H2758" s="6" t="n"/>
      <c r="I2758" s="6" t="n"/>
      <c r="M2758" s="7" t="n"/>
      <c r="N2758" s="7" t="n"/>
      <c r="O2758" s="7" t="n"/>
      <c r="P2758" s="8">
        <f>IF(NOT(ISNUMBER(M2758)),"",IF(G2758="Terreno",IF(AND(ISNUMBER(I2758),I2758&gt;0),M2758/I2758,""),IF(AND(ISNUMBER(H2758),H2758&gt;0),M2758/H2758,"")))</f>
        <v/>
      </c>
      <c r="Q2758" s="9">
        <f>IF(AND(ISNUMBER(M2758),ISNUMBER(O2758)),IF(M2758&lt;=O2758,"Valor ≤ venal IPTU",""),"")</f>
        <v/>
      </c>
      <c r="R2758" s="10" t="n"/>
      <c r="S2758" s="10" t="n"/>
      <c r="AA2758" s="10" t="n"/>
      <c r="AB2758" s="11">
        <f>IF(LEN(TRIM(X2758))=0,"",HYPERLINK("https://www.google.com/maps/@?api=1&amp;map_action=pano&amp;viewpoint="&amp;SUBSTITUTE(X2758," ",""),"Abrir Street View"))</f>
        <v/>
      </c>
    </row>
    <row r="2759">
      <c r="H2759" s="6" t="n"/>
      <c r="I2759" s="6" t="n"/>
      <c r="M2759" s="7" t="n"/>
      <c r="N2759" s="7" t="n"/>
      <c r="O2759" s="7" t="n"/>
      <c r="P2759" s="8">
        <f>IF(NOT(ISNUMBER(M2759)),"",IF(G2759="Terreno",IF(AND(ISNUMBER(I2759),I2759&gt;0),M2759/I2759,""),IF(AND(ISNUMBER(H2759),H2759&gt;0),M2759/H2759,"")))</f>
        <v/>
      </c>
      <c r="Q2759" s="9">
        <f>IF(AND(ISNUMBER(M2759),ISNUMBER(O2759)),IF(M2759&lt;=O2759,"Valor ≤ venal IPTU",""),"")</f>
        <v/>
      </c>
      <c r="R2759" s="10" t="n"/>
      <c r="S2759" s="10" t="n"/>
      <c r="AA2759" s="10" t="n"/>
      <c r="AB2759" s="11">
        <f>IF(LEN(TRIM(X2759))=0,"",HYPERLINK("https://www.google.com/maps/@?api=1&amp;map_action=pano&amp;viewpoint="&amp;SUBSTITUTE(X2759," ",""),"Abrir Street View"))</f>
        <v/>
      </c>
    </row>
    <row r="2760">
      <c r="H2760" s="6" t="n"/>
      <c r="I2760" s="6" t="n"/>
      <c r="M2760" s="7" t="n"/>
      <c r="N2760" s="7" t="n"/>
      <c r="O2760" s="7" t="n"/>
      <c r="P2760" s="8">
        <f>IF(NOT(ISNUMBER(M2760)),"",IF(G2760="Terreno",IF(AND(ISNUMBER(I2760),I2760&gt;0),M2760/I2760,""),IF(AND(ISNUMBER(H2760),H2760&gt;0),M2760/H2760,"")))</f>
        <v/>
      </c>
      <c r="Q2760" s="9">
        <f>IF(AND(ISNUMBER(M2760),ISNUMBER(O2760)),IF(M2760&lt;=O2760,"Valor ≤ venal IPTU",""),"")</f>
        <v/>
      </c>
      <c r="R2760" s="10" t="n"/>
      <c r="S2760" s="10" t="n"/>
      <c r="AA2760" s="10" t="n"/>
      <c r="AB2760" s="11">
        <f>IF(LEN(TRIM(X2760))=0,"",HYPERLINK("https://www.google.com/maps/@?api=1&amp;map_action=pano&amp;viewpoint="&amp;SUBSTITUTE(X2760," ",""),"Abrir Street View"))</f>
        <v/>
      </c>
    </row>
    <row r="2761">
      <c r="H2761" s="6" t="n"/>
      <c r="I2761" s="6" t="n"/>
      <c r="M2761" s="7" t="n"/>
      <c r="N2761" s="7" t="n"/>
      <c r="O2761" s="7" t="n"/>
      <c r="P2761" s="8">
        <f>IF(NOT(ISNUMBER(M2761)),"",IF(G2761="Terreno",IF(AND(ISNUMBER(I2761),I2761&gt;0),M2761/I2761,""),IF(AND(ISNUMBER(H2761),H2761&gt;0),M2761/H2761,"")))</f>
        <v/>
      </c>
      <c r="Q2761" s="9">
        <f>IF(AND(ISNUMBER(M2761),ISNUMBER(O2761)),IF(M2761&lt;=O2761,"Valor ≤ venal IPTU",""),"")</f>
        <v/>
      </c>
      <c r="R2761" s="10" t="n"/>
      <c r="S2761" s="10" t="n"/>
      <c r="AA2761" s="10" t="n"/>
      <c r="AB2761" s="11">
        <f>IF(LEN(TRIM(X2761))=0,"",HYPERLINK("https://www.google.com/maps/@?api=1&amp;map_action=pano&amp;viewpoint="&amp;SUBSTITUTE(X2761," ",""),"Abrir Street View"))</f>
        <v/>
      </c>
    </row>
    <row r="2762">
      <c r="H2762" s="6" t="n"/>
      <c r="I2762" s="6" t="n"/>
      <c r="M2762" s="7" t="n"/>
      <c r="N2762" s="7" t="n"/>
      <c r="O2762" s="7" t="n"/>
      <c r="P2762" s="8">
        <f>IF(NOT(ISNUMBER(M2762)),"",IF(G2762="Terreno",IF(AND(ISNUMBER(I2762),I2762&gt;0),M2762/I2762,""),IF(AND(ISNUMBER(H2762),H2762&gt;0),M2762/H2762,"")))</f>
        <v/>
      </c>
      <c r="Q2762" s="9">
        <f>IF(AND(ISNUMBER(M2762),ISNUMBER(O2762)),IF(M2762&lt;=O2762,"Valor ≤ venal IPTU",""),"")</f>
        <v/>
      </c>
      <c r="R2762" s="10" t="n"/>
      <c r="S2762" s="10" t="n"/>
      <c r="AA2762" s="10" t="n"/>
      <c r="AB2762" s="11">
        <f>IF(LEN(TRIM(X2762))=0,"",HYPERLINK("https://www.google.com/maps/@?api=1&amp;map_action=pano&amp;viewpoint="&amp;SUBSTITUTE(X2762," ",""),"Abrir Street View"))</f>
        <v/>
      </c>
    </row>
    <row r="2763">
      <c r="H2763" s="6" t="n"/>
      <c r="I2763" s="6" t="n"/>
      <c r="M2763" s="7" t="n"/>
      <c r="N2763" s="7" t="n"/>
      <c r="O2763" s="7" t="n"/>
      <c r="P2763" s="8">
        <f>IF(NOT(ISNUMBER(M2763)),"",IF(G2763="Terreno",IF(AND(ISNUMBER(I2763),I2763&gt;0),M2763/I2763,""),IF(AND(ISNUMBER(H2763),H2763&gt;0),M2763/H2763,"")))</f>
        <v/>
      </c>
      <c r="Q2763" s="9">
        <f>IF(AND(ISNUMBER(M2763),ISNUMBER(O2763)),IF(M2763&lt;=O2763,"Valor ≤ venal IPTU",""),"")</f>
        <v/>
      </c>
      <c r="R2763" s="10" t="n"/>
      <c r="S2763" s="10" t="n"/>
      <c r="AA2763" s="10" t="n"/>
      <c r="AB2763" s="11">
        <f>IF(LEN(TRIM(X2763))=0,"",HYPERLINK("https://www.google.com/maps/@?api=1&amp;map_action=pano&amp;viewpoint="&amp;SUBSTITUTE(X2763," ",""),"Abrir Street View"))</f>
        <v/>
      </c>
    </row>
    <row r="2764">
      <c r="H2764" s="6" t="n"/>
      <c r="I2764" s="6" t="n"/>
      <c r="M2764" s="7" t="n"/>
      <c r="N2764" s="7" t="n"/>
      <c r="O2764" s="7" t="n"/>
      <c r="P2764" s="8">
        <f>IF(NOT(ISNUMBER(M2764)),"",IF(G2764="Terreno",IF(AND(ISNUMBER(I2764),I2764&gt;0),M2764/I2764,""),IF(AND(ISNUMBER(H2764),H2764&gt;0),M2764/H2764,"")))</f>
        <v/>
      </c>
      <c r="Q2764" s="9">
        <f>IF(AND(ISNUMBER(M2764),ISNUMBER(O2764)),IF(M2764&lt;=O2764,"Valor ≤ venal IPTU",""),"")</f>
        <v/>
      </c>
      <c r="R2764" s="10" t="n"/>
      <c r="S2764" s="10" t="n"/>
      <c r="AA2764" s="10" t="n"/>
      <c r="AB2764" s="11">
        <f>IF(LEN(TRIM(X2764))=0,"",HYPERLINK("https://www.google.com/maps/@?api=1&amp;map_action=pano&amp;viewpoint="&amp;SUBSTITUTE(X2764," ",""),"Abrir Street View"))</f>
        <v/>
      </c>
    </row>
    <row r="2765">
      <c r="H2765" s="6" t="n"/>
      <c r="I2765" s="6" t="n"/>
      <c r="M2765" s="7" t="n"/>
      <c r="N2765" s="7" t="n"/>
      <c r="O2765" s="7" t="n"/>
      <c r="P2765" s="8">
        <f>IF(NOT(ISNUMBER(M2765)),"",IF(G2765="Terreno",IF(AND(ISNUMBER(I2765),I2765&gt;0),M2765/I2765,""),IF(AND(ISNUMBER(H2765),H2765&gt;0),M2765/H2765,"")))</f>
        <v/>
      </c>
      <c r="Q2765" s="9">
        <f>IF(AND(ISNUMBER(M2765),ISNUMBER(O2765)),IF(M2765&lt;=O2765,"Valor ≤ venal IPTU",""),"")</f>
        <v/>
      </c>
      <c r="R2765" s="10" t="n"/>
      <c r="S2765" s="10" t="n"/>
      <c r="AA2765" s="10" t="n"/>
      <c r="AB2765" s="11">
        <f>IF(LEN(TRIM(X2765))=0,"",HYPERLINK("https://www.google.com/maps/@?api=1&amp;map_action=pano&amp;viewpoint="&amp;SUBSTITUTE(X2765," ",""),"Abrir Street View"))</f>
        <v/>
      </c>
    </row>
    <row r="2766">
      <c r="H2766" s="6" t="n"/>
      <c r="I2766" s="6" t="n"/>
      <c r="M2766" s="7" t="n"/>
      <c r="N2766" s="7" t="n"/>
      <c r="O2766" s="7" t="n"/>
      <c r="P2766" s="8">
        <f>IF(NOT(ISNUMBER(M2766)),"",IF(G2766="Terreno",IF(AND(ISNUMBER(I2766),I2766&gt;0),M2766/I2766,""),IF(AND(ISNUMBER(H2766),H2766&gt;0),M2766/H2766,"")))</f>
        <v/>
      </c>
      <c r="Q2766" s="9">
        <f>IF(AND(ISNUMBER(M2766),ISNUMBER(O2766)),IF(M2766&lt;=O2766,"Valor ≤ venal IPTU",""),"")</f>
        <v/>
      </c>
      <c r="R2766" s="10" t="n"/>
      <c r="S2766" s="10" t="n"/>
      <c r="AA2766" s="10" t="n"/>
      <c r="AB2766" s="11">
        <f>IF(LEN(TRIM(X2766))=0,"",HYPERLINK("https://www.google.com/maps/@?api=1&amp;map_action=pano&amp;viewpoint="&amp;SUBSTITUTE(X2766," ",""),"Abrir Street View"))</f>
        <v/>
      </c>
    </row>
    <row r="2767">
      <c r="H2767" s="6" t="n"/>
      <c r="I2767" s="6" t="n"/>
      <c r="M2767" s="7" t="n"/>
      <c r="N2767" s="7" t="n"/>
      <c r="O2767" s="7" t="n"/>
      <c r="P2767" s="8">
        <f>IF(NOT(ISNUMBER(M2767)),"",IF(G2767="Terreno",IF(AND(ISNUMBER(I2767),I2767&gt;0),M2767/I2767,""),IF(AND(ISNUMBER(H2767),H2767&gt;0),M2767/H2767,"")))</f>
        <v/>
      </c>
      <c r="Q2767" s="9">
        <f>IF(AND(ISNUMBER(M2767),ISNUMBER(O2767)),IF(M2767&lt;=O2767,"Valor ≤ venal IPTU",""),"")</f>
        <v/>
      </c>
      <c r="R2767" s="10" t="n"/>
      <c r="S2767" s="10" t="n"/>
      <c r="AA2767" s="10" t="n"/>
      <c r="AB2767" s="11">
        <f>IF(LEN(TRIM(X2767))=0,"",HYPERLINK("https://www.google.com/maps/@?api=1&amp;map_action=pano&amp;viewpoint="&amp;SUBSTITUTE(X2767," ",""),"Abrir Street View"))</f>
        <v/>
      </c>
    </row>
    <row r="2768">
      <c r="H2768" s="6" t="n"/>
      <c r="I2768" s="6" t="n"/>
      <c r="M2768" s="7" t="n"/>
      <c r="N2768" s="7" t="n"/>
      <c r="O2768" s="7" t="n"/>
      <c r="P2768" s="8">
        <f>IF(NOT(ISNUMBER(M2768)),"",IF(G2768="Terreno",IF(AND(ISNUMBER(I2768),I2768&gt;0),M2768/I2768,""),IF(AND(ISNUMBER(H2768),H2768&gt;0),M2768/H2768,"")))</f>
        <v/>
      </c>
      <c r="Q2768" s="9">
        <f>IF(AND(ISNUMBER(M2768),ISNUMBER(O2768)),IF(M2768&lt;=O2768,"Valor ≤ venal IPTU",""),"")</f>
        <v/>
      </c>
      <c r="R2768" s="10" t="n"/>
      <c r="S2768" s="10" t="n"/>
      <c r="AA2768" s="10" t="n"/>
      <c r="AB2768" s="11">
        <f>IF(LEN(TRIM(X2768))=0,"",HYPERLINK("https://www.google.com/maps/@?api=1&amp;map_action=pano&amp;viewpoint="&amp;SUBSTITUTE(X2768," ",""),"Abrir Street View"))</f>
        <v/>
      </c>
    </row>
    <row r="2769">
      <c r="H2769" s="6" t="n"/>
      <c r="I2769" s="6" t="n"/>
      <c r="M2769" s="7" t="n"/>
      <c r="N2769" s="7" t="n"/>
      <c r="O2769" s="7" t="n"/>
      <c r="P2769" s="8">
        <f>IF(NOT(ISNUMBER(M2769)),"",IF(G2769="Terreno",IF(AND(ISNUMBER(I2769),I2769&gt;0),M2769/I2769,""),IF(AND(ISNUMBER(H2769),H2769&gt;0),M2769/H2769,"")))</f>
        <v/>
      </c>
      <c r="Q2769" s="9">
        <f>IF(AND(ISNUMBER(M2769),ISNUMBER(O2769)),IF(M2769&lt;=O2769,"Valor ≤ venal IPTU",""),"")</f>
        <v/>
      </c>
      <c r="R2769" s="10" t="n"/>
      <c r="S2769" s="10" t="n"/>
      <c r="AA2769" s="10" t="n"/>
      <c r="AB2769" s="11">
        <f>IF(LEN(TRIM(X2769))=0,"",HYPERLINK("https://www.google.com/maps/@?api=1&amp;map_action=pano&amp;viewpoint="&amp;SUBSTITUTE(X2769," ",""),"Abrir Street View"))</f>
        <v/>
      </c>
    </row>
    <row r="2770">
      <c r="H2770" s="6" t="n"/>
      <c r="I2770" s="6" t="n"/>
      <c r="M2770" s="7" t="n"/>
      <c r="N2770" s="7" t="n"/>
      <c r="O2770" s="7" t="n"/>
      <c r="P2770" s="8">
        <f>IF(NOT(ISNUMBER(M2770)),"",IF(G2770="Terreno",IF(AND(ISNUMBER(I2770),I2770&gt;0),M2770/I2770,""),IF(AND(ISNUMBER(H2770),H2770&gt;0),M2770/H2770,"")))</f>
        <v/>
      </c>
      <c r="Q2770" s="9">
        <f>IF(AND(ISNUMBER(M2770),ISNUMBER(O2770)),IF(M2770&lt;=O2770,"Valor ≤ venal IPTU",""),"")</f>
        <v/>
      </c>
      <c r="R2770" s="10" t="n"/>
      <c r="S2770" s="10" t="n"/>
      <c r="AA2770" s="10" t="n"/>
      <c r="AB2770" s="11">
        <f>IF(LEN(TRIM(X2770))=0,"",HYPERLINK("https://www.google.com/maps/@?api=1&amp;map_action=pano&amp;viewpoint="&amp;SUBSTITUTE(X2770," ",""),"Abrir Street View"))</f>
        <v/>
      </c>
    </row>
    <row r="2771">
      <c r="H2771" s="6" t="n"/>
      <c r="I2771" s="6" t="n"/>
      <c r="M2771" s="7" t="n"/>
      <c r="N2771" s="7" t="n"/>
      <c r="O2771" s="7" t="n"/>
      <c r="P2771" s="8">
        <f>IF(NOT(ISNUMBER(M2771)),"",IF(G2771="Terreno",IF(AND(ISNUMBER(I2771),I2771&gt;0),M2771/I2771,""),IF(AND(ISNUMBER(H2771),H2771&gt;0),M2771/H2771,"")))</f>
        <v/>
      </c>
      <c r="Q2771" s="9">
        <f>IF(AND(ISNUMBER(M2771),ISNUMBER(O2771)),IF(M2771&lt;=O2771,"Valor ≤ venal IPTU",""),"")</f>
        <v/>
      </c>
      <c r="R2771" s="10" t="n"/>
      <c r="S2771" s="10" t="n"/>
      <c r="AA2771" s="10" t="n"/>
      <c r="AB2771" s="11">
        <f>IF(LEN(TRIM(X2771))=0,"",HYPERLINK("https://www.google.com/maps/@?api=1&amp;map_action=pano&amp;viewpoint="&amp;SUBSTITUTE(X2771," ",""),"Abrir Street View"))</f>
        <v/>
      </c>
    </row>
    <row r="2772">
      <c r="H2772" s="6" t="n"/>
      <c r="I2772" s="6" t="n"/>
      <c r="M2772" s="7" t="n"/>
      <c r="N2772" s="7" t="n"/>
      <c r="O2772" s="7" t="n"/>
      <c r="P2772" s="8">
        <f>IF(NOT(ISNUMBER(M2772)),"",IF(G2772="Terreno",IF(AND(ISNUMBER(I2772),I2772&gt;0),M2772/I2772,""),IF(AND(ISNUMBER(H2772),H2772&gt;0),M2772/H2772,"")))</f>
        <v/>
      </c>
      <c r="Q2772" s="9">
        <f>IF(AND(ISNUMBER(M2772),ISNUMBER(O2772)),IF(M2772&lt;=O2772,"Valor ≤ venal IPTU",""),"")</f>
        <v/>
      </c>
      <c r="R2772" s="10" t="n"/>
      <c r="S2772" s="10" t="n"/>
      <c r="AA2772" s="10" t="n"/>
      <c r="AB2772" s="11">
        <f>IF(LEN(TRIM(X2772))=0,"",HYPERLINK("https://www.google.com/maps/@?api=1&amp;map_action=pano&amp;viewpoint="&amp;SUBSTITUTE(X2772," ",""),"Abrir Street View"))</f>
        <v/>
      </c>
    </row>
    <row r="2773">
      <c r="H2773" s="6" t="n"/>
      <c r="I2773" s="6" t="n"/>
      <c r="M2773" s="7" t="n"/>
      <c r="N2773" s="7" t="n"/>
      <c r="O2773" s="7" t="n"/>
      <c r="P2773" s="8">
        <f>IF(NOT(ISNUMBER(M2773)),"",IF(G2773="Terreno",IF(AND(ISNUMBER(I2773),I2773&gt;0),M2773/I2773,""),IF(AND(ISNUMBER(H2773),H2773&gt;0),M2773/H2773,"")))</f>
        <v/>
      </c>
      <c r="Q2773" s="9">
        <f>IF(AND(ISNUMBER(M2773),ISNUMBER(O2773)),IF(M2773&lt;=O2773,"Valor ≤ venal IPTU",""),"")</f>
        <v/>
      </c>
      <c r="R2773" s="10" t="n"/>
      <c r="S2773" s="10" t="n"/>
      <c r="AA2773" s="10" t="n"/>
      <c r="AB2773" s="11">
        <f>IF(LEN(TRIM(X2773))=0,"",HYPERLINK("https://www.google.com/maps/@?api=1&amp;map_action=pano&amp;viewpoint="&amp;SUBSTITUTE(X2773," ",""),"Abrir Street View"))</f>
        <v/>
      </c>
    </row>
    <row r="2774">
      <c r="H2774" s="6" t="n"/>
      <c r="I2774" s="6" t="n"/>
      <c r="M2774" s="7" t="n"/>
      <c r="N2774" s="7" t="n"/>
      <c r="O2774" s="7" t="n"/>
      <c r="P2774" s="8">
        <f>IF(NOT(ISNUMBER(M2774)),"",IF(G2774="Terreno",IF(AND(ISNUMBER(I2774),I2774&gt;0),M2774/I2774,""),IF(AND(ISNUMBER(H2774),H2774&gt;0),M2774/H2774,"")))</f>
        <v/>
      </c>
      <c r="Q2774" s="9">
        <f>IF(AND(ISNUMBER(M2774),ISNUMBER(O2774)),IF(M2774&lt;=O2774,"Valor ≤ venal IPTU",""),"")</f>
        <v/>
      </c>
      <c r="R2774" s="10" t="n"/>
      <c r="S2774" s="10" t="n"/>
      <c r="AA2774" s="10" t="n"/>
      <c r="AB2774" s="11">
        <f>IF(LEN(TRIM(X2774))=0,"",HYPERLINK("https://www.google.com/maps/@?api=1&amp;map_action=pano&amp;viewpoint="&amp;SUBSTITUTE(X2774," ",""),"Abrir Street View"))</f>
        <v/>
      </c>
    </row>
    <row r="2775">
      <c r="H2775" s="6" t="n"/>
      <c r="I2775" s="6" t="n"/>
      <c r="M2775" s="7" t="n"/>
      <c r="N2775" s="7" t="n"/>
      <c r="O2775" s="7" t="n"/>
      <c r="P2775" s="8">
        <f>IF(NOT(ISNUMBER(M2775)),"",IF(G2775="Terreno",IF(AND(ISNUMBER(I2775),I2775&gt;0),M2775/I2775,""),IF(AND(ISNUMBER(H2775),H2775&gt;0),M2775/H2775,"")))</f>
        <v/>
      </c>
      <c r="Q2775" s="9">
        <f>IF(AND(ISNUMBER(M2775),ISNUMBER(O2775)),IF(M2775&lt;=O2775,"Valor ≤ venal IPTU",""),"")</f>
        <v/>
      </c>
      <c r="R2775" s="10" t="n"/>
      <c r="S2775" s="10" t="n"/>
      <c r="AA2775" s="10" t="n"/>
      <c r="AB2775" s="11">
        <f>IF(LEN(TRIM(X2775))=0,"",HYPERLINK("https://www.google.com/maps/@?api=1&amp;map_action=pano&amp;viewpoint="&amp;SUBSTITUTE(X2775," ",""),"Abrir Street View"))</f>
        <v/>
      </c>
    </row>
    <row r="2776">
      <c r="H2776" s="6" t="n"/>
      <c r="I2776" s="6" t="n"/>
      <c r="M2776" s="7" t="n"/>
      <c r="N2776" s="7" t="n"/>
      <c r="O2776" s="7" t="n"/>
      <c r="P2776" s="8">
        <f>IF(NOT(ISNUMBER(M2776)),"",IF(G2776="Terreno",IF(AND(ISNUMBER(I2776),I2776&gt;0),M2776/I2776,""),IF(AND(ISNUMBER(H2776),H2776&gt;0),M2776/H2776,"")))</f>
        <v/>
      </c>
      <c r="Q2776" s="9">
        <f>IF(AND(ISNUMBER(M2776),ISNUMBER(O2776)),IF(M2776&lt;=O2776,"Valor ≤ venal IPTU",""),"")</f>
        <v/>
      </c>
      <c r="R2776" s="10" t="n"/>
      <c r="S2776" s="10" t="n"/>
      <c r="AA2776" s="10" t="n"/>
      <c r="AB2776" s="11">
        <f>IF(LEN(TRIM(X2776))=0,"",HYPERLINK("https://www.google.com/maps/@?api=1&amp;map_action=pano&amp;viewpoint="&amp;SUBSTITUTE(X2776," ",""),"Abrir Street View"))</f>
        <v/>
      </c>
    </row>
    <row r="2777">
      <c r="H2777" s="6" t="n"/>
      <c r="I2777" s="6" t="n"/>
      <c r="M2777" s="7" t="n"/>
      <c r="N2777" s="7" t="n"/>
      <c r="O2777" s="7" t="n"/>
      <c r="P2777" s="8">
        <f>IF(NOT(ISNUMBER(M2777)),"",IF(G2777="Terreno",IF(AND(ISNUMBER(I2777),I2777&gt;0),M2777/I2777,""),IF(AND(ISNUMBER(H2777),H2777&gt;0),M2777/H2777,"")))</f>
        <v/>
      </c>
      <c r="Q2777" s="9">
        <f>IF(AND(ISNUMBER(M2777),ISNUMBER(O2777)),IF(M2777&lt;=O2777,"Valor ≤ venal IPTU",""),"")</f>
        <v/>
      </c>
      <c r="R2777" s="10" t="n"/>
      <c r="S2777" s="10" t="n"/>
      <c r="AA2777" s="10" t="n"/>
      <c r="AB2777" s="11">
        <f>IF(LEN(TRIM(X2777))=0,"",HYPERLINK("https://www.google.com/maps/@?api=1&amp;map_action=pano&amp;viewpoint="&amp;SUBSTITUTE(X2777," ",""),"Abrir Street View"))</f>
        <v/>
      </c>
    </row>
    <row r="2778">
      <c r="H2778" s="6" t="n"/>
      <c r="I2778" s="6" t="n"/>
      <c r="M2778" s="7" t="n"/>
      <c r="N2778" s="7" t="n"/>
      <c r="O2778" s="7" t="n"/>
      <c r="P2778" s="8">
        <f>IF(NOT(ISNUMBER(M2778)),"",IF(G2778="Terreno",IF(AND(ISNUMBER(I2778),I2778&gt;0),M2778/I2778,""),IF(AND(ISNUMBER(H2778),H2778&gt;0),M2778/H2778,"")))</f>
        <v/>
      </c>
      <c r="Q2778" s="9">
        <f>IF(AND(ISNUMBER(M2778),ISNUMBER(O2778)),IF(M2778&lt;=O2778,"Valor ≤ venal IPTU",""),"")</f>
        <v/>
      </c>
      <c r="R2778" s="10" t="n"/>
      <c r="S2778" s="10" t="n"/>
      <c r="AA2778" s="10" t="n"/>
      <c r="AB2778" s="11">
        <f>IF(LEN(TRIM(X2778))=0,"",HYPERLINK("https://www.google.com/maps/@?api=1&amp;map_action=pano&amp;viewpoint="&amp;SUBSTITUTE(X2778," ",""),"Abrir Street View"))</f>
        <v/>
      </c>
    </row>
    <row r="2779">
      <c r="H2779" s="6" t="n"/>
      <c r="I2779" s="6" t="n"/>
      <c r="M2779" s="7" t="n"/>
      <c r="N2779" s="7" t="n"/>
      <c r="O2779" s="7" t="n"/>
      <c r="P2779" s="8">
        <f>IF(NOT(ISNUMBER(M2779)),"",IF(G2779="Terreno",IF(AND(ISNUMBER(I2779),I2779&gt;0),M2779/I2779,""),IF(AND(ISNUMBER(H2779),H2779&gt;0),M2779/H2779,"")))</f>
        <v/>
      </c>
      <c r="Q2779" s="9">
        <f>IF(AND(ISNUMBER(M2779),ISNUMBER(O2779)),IF(M2779&lt;=O2779,"Valor ≤ venal IPTU",""),"")</f>
        <v/>
      </c>
      <c r="R2779" s="10" t="n"/>
      <c r="S2779" s="10" t="n"/>
      <c r="AA2779" s="10" t="n"/>
      <c r="AB2779" s="11">
        <f>IF(LEN(TRIM(X2779))=0,"",HYPERLINK("https://www.google.com/maps/@?api=1&amp;map_action=pano&amp;viewpoint="&amp;SUBSTITUTE(X2779," ",""),"Abrir Street View"))</f>
        <v/>
      </c>
    </row>
    <row r="2780">
      <c r="H2780" s="6" t="n"/>
      <c r="I2780" s="6" t="n"/>
      <c r="M2780" s="7" t="n"/>
      <c r="N2780" s="7" t="n"/>
      <c r="O2780" s="7" t="n"/>
      <c r="P2780" s="8">
        <f>IF(NOT(ISNUMBER(M2780)),"",IF(G2780="Terreno",IF(AND(ISNUMBER(I2780),I2780&gt;0),M2780/I2780,""),IF(AND(ISNUMBER(H2780),H2780&gt;0),M2780/H2780,"")))</f>
        <v/>
      </c>
      <c r="Q2780" s="9">
        <f>IF(AND(ISNUMBER(M2780),ISNUMBER(O2780)),IF(M2780&lt;=O2780,"Valor ≤ venal IPTU",""),"")</f>
        <v/>
      </c>
      <c r="R2780" s="10" t="n"/>
      <c r="S2780" s="10" t="n"/>
      <c r="AA2780" s="10" t="n"/>
      <c r="AB2780" s="11">
        <f>IF(LEN(TRIM(X2780))=0,"",HYPERLINK("https://www.google.com/maps/@?api=1&amp;map_action=pano&amp;viewpoint="&amp;SUBSTITUTE(X2780," ",""),"Abrir Street View"))</f>
        <v/>
      </c>
    </row>
    <row r="2781">
      <c r="H2781" s="6" t="n"/>
      <c r="I2781" s="6" t="n"/>
      <c r="M2781" s="7" t="n"/>
      <c r="N2781" s="7" t="n"/>
      <c r="O2781" s="7" t="n"/>
      <c r="P2781" s="8">
        <f>IF(NOT(ISNUMBER(M2781)),"",IF(G2781="Terreno",IF(AND(ISNUMBER(I2781),I2781&gt;0),M2781/I2781,""),IF(AND(ISNUMBER(H2781),H2781&gt;0),M2781/H2781,"")))</f>
        <v/>
      </c>
      <c r="Q2781" s="9">
        <f>IF(AND(ISNUMBER(M2781),ISNUMBER(O2781)),IF(M2781&lt;=O2781,"Valor ≤ venal IPTU",""),"")</f>
        <v/>
      </c>
      <c r="R2781" s="10" t="n"/>
      <c r="S2781" s="10" t="n"/>
      <c r="AA2781" s="10" t="n"/>
      <c r="AB2781" s="11">
        <f>IF(LEN(TRIM(X2781))=0,"",HYPERLINK("https://www.google.com/maps/@?api=1&amp;map_action=pano&amp;viewpoint="&amp;SUBSTITUTE(X2781," ",""),"Abrir Street View"))</f>
        <v/>
      </c>
    </row>
    <row r="2782">
      <c r="H2782" s="6" t="n"/>
      <c r="I2782" s="6" t="n"/>
      <c r="M2782" s="7" t="n"/>
      <c r="N2782" s="7" t="n"/>
      <c r="O2782" s="7" t="n"/>
      <c r="P2782" s="8">
        <f>IF(NOT(ISNUMBER(M2782)),"",IF(G2782="Terreno",IF(AND(ISNUMBER(I2782),I2782&gt;0),M2782/I2782,""),IF(AND(ISNUMBER(H2782),H2782&gt;0),M2782/H2782,"")))</f>
        <v/>
      </c>
      <c r="Q2782" s="9">
        <f>IF(AND(ISNUMBER(M2782),ISNUMBER(O2782)),IF(M2782&lt;=O2782,"Valor ≤ venal IPTU",""),"")</f>
        <v/>
      </c>
      <c r="R2782" s="10" t="n"/>
      <c r="S2782" s="10" t="n"/>
      <c r="AA2782" s="10" t="n"/>
      <c r="AB2782" s="11">
        <f>IF(LEN(TRIM(X2782))=0,"",HYPERLINK("https://www.google.com/maps/@?api=1&amp;map_action=pano&amp;viewpoint="&amp;SUBSTITUTE(X2782," ",""),"Abrir Street View"))</f>
        <v/>
      </c>
    </row>
    <row r="2783">
      <c r="H2783" s="6" t="n"/>
      <c r="I2783" s="6" t="n"/>
      <c r="M2783" s="7" t="n"/>
      <c r="N2783" s="7" t="n"/>
      <c r="O2783" s="7" t="n"/>
      <c r="P2783" s="8">
        <f>IF(NOT(ISNUMBER(M2783)),"",IF(G2783="Terreno",IF(AND(ISNUMBER(I2783),I2783&gt;0),M2783/I2783,""),IF(AND(ISNUMBER(H2783),H2783&gt;0),M2783/H2783,"")))</f>
        <v/>
      </c>
      <c r="Q2783" s="9">
        <f>IF(AND(ISNUMBER(M2783),ISNUMBER(O2783)),IF(M2783&lt;=O2783,"Valor ≤ venal IPTU",""),"")</f>
        <v/>
      </c>
      <c r="R2783" s="10" t="n"/>
      <c r="S2783" s="10" t="n"/>
      <c r="AA2783" s="10" t="n"/>
      <c r="AB2783" s="11">
        <f>IF(LEN(TRIM(X2783))=0,"",HYPERLINK("https://www.google.com/maps/@?api=1&amp;map_action=pano&amp;viewpoint="&amp;SUBSTITUTE(X2783," ",""),"Abrir Street View"))</f>
        <v/>
      </c>
    </row>
    <row r="2784">
      <c r="H2784" s="6" t="n"/>
      <c r="I2784" s="6" t="n"/>
      <c r="M2784" s="7" t="n"/>
      <c r="N2784" s="7" t="n"/>
      <c r="O2784" s="7" t="n"/>
      <c r="P2784" s="8">
        <f>IF(NOT(ISNUMBER(M2784)),"",IF(G2784="Terreno",IF(AND(ISNUMBER(I2784),I2784&gt;0),M2784/I2784,""),IF(AND(ISNUMBER(H2784),H2784&gt;0),M2784/H2784,"")))</f>
        <v/>
      </c>
      <c r="Q2784" s="9">
        <f>IF(AND(ISNUMBER(M2784),ISNUMBER(O2784)),IF(M2784&lt;=O2784,"Valor ≤ venal IPTU",""),"")</f>
        <v/>
      </c>
      <c r="R2784" s="10" t="n"/>
      <c r="S2784" s="10" t="n"/>
      <c r="AA2784" s="10" t="n"/>
      <c r="AB2784" s="11">
        <f>IF(LEN(TRIM(X2784))=0,"",HYPERLINK("https://www.google.com/maps/@?api=1&amp;map_action=pano&amp;viewpoint="&amp;SUBSTITUTE(X2784," ",""),"Abrir Street View"))</f>
        <v/>
      </c>
    </row>
    <row r="2785">
      <c r="H2785" s="6" t="n"/>
      <c r="I2785" s="6" t="n"/>
      <c r="M2785" s="7" t="n"/>
      <c r="N2785" s="7" t="n"/>
      <c r="O2785" s="7" t="n"/>
      <c r="P2785" s="8">
        <f>IF(NOT(ISNUMBER(M2785)),"",IF(G2785="Terreno",IF(AND(ISNUMBER(I2785),I2785&gt;0),M2785/I2785,""),IF(AND(ISNUMBER(H2785),H2785&gt;0),M2785/H2785,"")))</f>
        <v/>
      </c>
      <c r="Q2785" s="9">
        <f>IF(AND(ISNUMBER(M2785),ISNUMBER(O2785)),IF(M2785&lt;=O2785,"Valor ≤ venal IPTU",""),"")</f>
        <v/>
      </c>
      <c r="R2785" s="10" t="n"/>
      <c r="S2785" s="10" t="n"/>
      <c r="AA2785" s="10" t="n"/>
      <c r="AB2785" s="11">
        <f>IF(LEN(TRIM(X2785))=0,"",HYPERLINK("https://www.google.com/maps/@?api=1&amp;map_action=pano&amp;viewpoint="&amp;SUBSTITUTE(X2785," ",""),"Abrir Street View"))</f>
        <v/>
      </c>
    </row>
    <row r="2786">
      <c r="H2786" s="6" t="n"/>
      <c r="I2786" s="6" t="n"/>
      <c r="M2786" s="7" t="n"/>
      <c r="N2786" s="7" t="n"/>
      <c r="O2786" s="7" t="n"/>
      <c r="P2786" s="8">
        <f>IF(NOT(ISNUMBER(M2786)),"",IF(G2786="Terreno",IF(AND(ISNUMBER(I2786),I2786&gt;0),M2786/I2786,""),IF(AND(ISNUMBER(H2786),H2786&gt;0),M2786/H2786,"")))</f>
        <v/>
      </c>
      <c r="Q2786" s="9">
        <f>IF(AND(ISNUMBER(M2786),ISNUMBER(O2786)),IF(M2786&lt;=O2786,"Valor ≤ venal IPTU",""),"")</f>
        <v/>
      </c>
      <c r="R2786" s="10" t="n"/>
      <c r="S2786" s="10" t="n"/>
      <c r="AA2786" s="10" t="n"/>
      <c r="AB2786" s="11">
        <f>IF(LEN(TRIM(X2786))=0,"",HYPERLINK("https://www.google.com/maps/@?api=1&amp;map_action=pano&amp;viewpoint="&amp;SUBSTITUTE(X2786," ",""),"Abrir Street View"))</f>
        <v/>
      </c>
    </row>
    <row r="2787">
      <c r="H2787" s="6" t="n"/>
      <c r="I2787" s="6" t="n"/>
      <c r="M2787" s="7" t="n"/>
      <c r="N2787" s="7" t="n"/>
      <c r="O2787" s="7" t="n"/>
      <c r="P2787" s="8">
        <f>IF(NOT(ISNUMBER(M2787)),"",IF(G2787="Terreno",IF(AND(ISNUMBER(I2787),I2787&gt;0),M2787/I2787,""),IF(AND(ISNUMBER(H2787),H2787&gt;0),M2787/H2787,"")))</f>
        <v/>
      </c>
      <c r="Q2787" s="9">
        <f>IF(AND(ISNUMBER(M2787),ISNUMBER(O2787)),IF(M2787&lt;=O2787,"Valor ≤ venal IPTU",""),"")</f>
        <v/>
      </c>
      <c r="R2787" s="10" t="n"/>
      <c r="S2787" s="10" t="n"/>
      <c r="AA2787" s="10" t="n"/>
      <c r="AB2787" s="11">
        <f>IF(LEN(TRIM(X2787))=0,"",HYPERLINK("https://www.google.com/maps/@?api=1&amp;map_action=pano&amp;viewpoint="&amp;SUBSTITUTE(X2787," ",""),"Abrir Street View"))</f>
        <v/>
      </c>
    </row>
    <row r="2788">
      <c r="H2788" s="6" t="n"/>
      <c r="I2788" s="6" t="n"/>
      <c r="M2788" s="7" t="n"/>
      <c r="N2788" s="7" t="n"/>
      <c r="O2788" s="7" t="n"/>
      <c r="P2788" s="8">
        <f>IF(NOT(ISNUMBER(M2788)),"",IF(G2788="Terreno",IF(AND(ISNUMBER(I2788),I2788&gt;0),M2788/I2788,""),IF(AND(ISNUMBER(H2788),H2788&gt;0),M2788/H2788,"")))</f>
        <v/>
      </c>
      <c r="Q2788" s="9">
        <f>IF(AND(ISNUMBER(M2788),ISNUMBER(O2788)),IF(M2788&lt;=O2788,"Valor ≤ venal IPTU",""),"")</f>
        <v/>
      </c>
      <c r="R2788" s="10" t="n"/>
      <c r="S2788" s="10" t="n"/>
      <c r="AA2788" s="10" t="n"/>
      <c r="AB2788" s="11">
        <f>IF(LEN(TRIM(X2788))=0,"",HYPERLINK("https://www.google.com/maps/@?api=1&amp;map_action=pano&amp;viewpoint="&amp;SUBSTITUTE(X2788," ",""),"Abrir Street View"))</f>
        <v/>
      </c>
    </row>
    <row r="2789">
      <c r="H2789" s="6" t="n"/>
      <c r="I2789" s="6" t="n"/>
      <c r="M2789" s="7" t="n"/>
      <c r="N2789" s="7" t="n"/>
      <c r="O2789" s="7" t="n"/>
      <c r="P2789" s="8">
        <f>IF(NOT(ISNUMBER(M2789)),"",IF(G2789="Terreno",IF(AND(ISNUMBER(I2789),I2789&gt;0),M2789/I2789,""),IF(AND(ISNUMBER(H2789),H2789&gt;0),M2789/H2789,"")))</f>
        <v/>
      </c>
      <c r="Q2789" s="9">
        <f>IF(AND(ISNUMBER(M2789),ISNUMBER(O2789)),IF(M2789&lt;=O2789,"Valor ≤ venal IPTU",""),"")</f>
        <v/>
      </c>
      <c r="R2789" s="10" t="n"/>
      <c r="S2789" s="10" t="n"/>
      <c r="AA2789" s="10" t="n"/>
      <c r="AB2789" s="11">
        <f>IF(LEN(TRIM(X2789))=0,"",HYPERLINK("https://www.google.com/maps/@?api=1&amp;map_action=pano&amp;viewpoint="&amp;SUBSTITUTE(X2789," ",""),"Abrir Street View"))</f>
        <v/>
      </c>
    </row>
    <row r="2790">
      <c r="H2790" s="6" t="n"/>
      <c r="I2790" s="6" t="n"/>
      <c r="M2790" s="7" t="n"/>
      <c r="N2790" s="7" t="n"/>
      <c r="O2790" s="7" t="n"/>
      <c r="P2790" s="8">
        <f>IF(NOT(ISNUMBER(M2790)),"",IF(G2790="Terreno",IF(AND(ISNUMBER(I2790),I2790&gt;0),M2790/I2790,""),IF(AND(ISNUMBER(H2790),H2790&gt;0),M2790/H2790,"")))</f>
        <v/>
      </c>
      <c r="Q2790" s="9">
        <f>IF(AND(ISNUMBER(M2790),ISNUMBER(O2790)),IF(M2790&lt;=O2790,"Valor ≤ venal IPTU",""),"")</f>
        <v/>
      </c>
      <c r="R2790" s="10" t="n"/>
      <c r="S2790" s="10" t="n"/>
      <c r="AA2790" s="10" t="n"/>
      <c r="AB2790" s="11">
        <f>IF(LEN(TRIM(X2790))=0,"",HYPERLINK("https://www.google.com/maps/@?api=1&amp;map_action=pano&amp;viewpoint="&amp;SUBSTITUTE(X2790," ",""),"Abrir Street View"))</f>
        <v/>
      </c>
    </row>
    <row r="2791">
      <c r="H2791" s="6" t="n"/>
      <c r="I2791" s="6" t="n"/>
      <c r="M2791" s="7" t="n"/>
      <c r="N2791" s="7" t="n"/>
      <c r="O2791" s="7" t="n"/>
      <c r="P2791" s="8">
        <f>IF(NOT(ISNUMBER(M2791)),"",IF(G2791="Terreno",IF(AND(ISNUMBER(I2791),I2791&gt;0),M2791/I2791,""),IF(AND(ISNUMBER(H2791),H2791&gt;0),M2791/H2791,"")))</f>
        <v/>
      </c>
      <c r="Q2791" s="9">
        <f>IF(AND(ISNUMBER(M2791),ISNUMBER(O2791)),IF(M2791&lt;=O2791,"Valor ≤ venal IPTU",""),"")</f>
        <v/>
      </c>
      <c r="R2791" s="10" t="n"/>
      <c r="S2791" s="10" t="n"/>
      <c r="AA2791" s="10" t="n"/>
      <c r="AB2791" s="11">
        <f>IF(LEN(TRIM(X2791))=0,"",HYPERLINK("https://www.google.com/maps/@?api=1&amp;map_action=pano&amp;viewpoint="&amp;SUBSTITUTE(X2791," ",""),"Abrir Street View"))</f>
        <v/>
      </c>
    </row>
    <row r="2792">
      <c r="H2792" s="6" t="n"/>
      <c r="I2792" s="6" t="n"/>
      <c r="M2792" s="7" t="n"/>
      <c r="N2792" s="7" t="n"/>
      <c r="O2792" s="7" t="n"/>
      <c r="P2792" s="8">
        <f>IF(NOT(ISNUMBER(M2792)),"",IF(G2792="Terreno",IF(AND(ISNUMBER(I2792),I2792&gt;0),M2792/I2792,""),IF(AND(ISNUMBER(H2792),H2792&gt;0),M2792/H2792,"")))</f>
        <v/>
      </c>
      <c r="Q2792" s="9">
        <f>IF(AND(ISNUMBER(M2792),ISNUMBER(O2792)),IF(M2792&lt;=O2792,"Valor ≤ venal IPTU",""),"")</f>
        <v/>
      </c>
      <c r="R2792" s="10" t="n"/>
      <c r="S2792" s="10" t="n"/>
      <c r="AA2792" s="10" t="n"/>
      <c r="AB2792" s="11">
        <f>IF(LEN(TRIM(X2792))=0,"",HYPERLINK("https://www.google.com/maps/@?api=1&amp;map_action=pano&amp;viewpoint="&amp;SUBSTITUTE(X2792," ",""),"Abrir Street View"))</f>
        <v/>
      </c>
    </row>
    <row r="2793">
      <c r="H2793" s="6" t="n"/>
      <c r="I2793" s="6" t="n"/>
      <c r="M2793" s="7" t="n"/>
      <c r="N2793" s="7" t="n"/>
      <c r="O2793" s="7" t="n"/>
      <c r="P2793" s="8">
        <f>IF(NOT(ISNUMBER(M2793)),"",IF(G2793="Terreno",IF(AND(ISNUMBER(I2793),I2793&gt;0),M2793/I2793,""),IF(AND(ISNUMBER(H2793),H2793&gt;0),M2793/H2793,"")))</f>
        <v/>
      </c>
      <c r="Q2793" s="9">
        <f>IF(AND(ISNUMBER(M2793),ISNUMBER(O2793)),IF(M2793&lt;=O2793,"Valor ≤ venal IPTU",""),"")</f>
        <v/>
      </c>
      <c r="R2793" s="10" t="n"/>
      <c r="S2793" s="10" t="n"/>
      <c r="AA2793" s="10" t="n"/>
      <c r="AB2793" s="11">
        <f>IF(LEN(TRIM(X2793))=0,"",HYPERLINK("https://www.google.com/maps/@?api=1&amp;map_action=pano&amp;viewpoint="&amp;SUBSTITUTE(X2793," ",""),"Abrir Street View"))</f>
        <v/>
      </c>
    </row>
    <row r="2794">
      <c r="H2794" s="6" t="n"/>
      <c r="I2794" s="6" t="n"/>
      <c r="M2794" s="7" t="n"/>
      <c r="N2794" s="7" t="n"/>
      <c r="O2794" s="7" t="n"/>
      <c r="P2794" s="8">
        <f>IF(NOT(ISNUMBER(M2794)),"",IF(G2794="Terreno",IF(AND(ISNUMBER(I2794),I2794&gt;0),M2794/I2794,""),IF(AND(ISNUMBER(H2794),H2794&gt;0),M2794/H2794,"")))</f>
        <v/>
      </c>
      <c r="Q2794" s="9">
        <f>IF(AND(ISNUMBER(M2794),ISNUMBER(O2794)),IF(M2794&lt;=O2794,"Valor ≤ venal IPTU",""),"")</f>
        <v/>
      </c>
      <c r="R2794" s="10" t="n"/>
      <c r="S2794" s="10" t="n"/>
      <c r="AA2794" s="10" t="n"/>
      <c r="AB2794" s="11">
        <f>IF(LEN(TRIM(X2794))=0,"",HYPERLINK("https://www.google.com/maps/@?api=1&amp;map_action=pano&amp;viewpoint="&amp;SUBSTITUTE(X2794," ",""),"Abrir Street View"))</f>
        <v/>
      </c>
    </row>
    <row r="2795">
      <c r="H2795" s="6" t="n"/>
      <c r="I2795" s="6" t="n"/>
      <c r="M2795" s="7" t="n"/>
      <c r="N2795" s="7" t="n"/>
      <c r="O2795" s="7" t="n"/>
      <c r="P2795" s="8">
        <f>IF(NOT(ISNUMBER(M2795)),"",IF(G2795="Terreno",IF(AND(ISNUMBER(I2795),I2795&gt;0),M2795/I2795,""),IF(AND(ISNUMBER(H2795),H2795&gt;0),M2795/H2795,"")))</f>
        <v/>
      </c>
      <c r="Q2795" s="9">
        <f>IF(AND(ISNUMBER(M2795),ISNUMBER(O2795)),IF(M2795&lt;=O2795,"Valor ≤ venal IPTU",""),"")</f>
        <v/>
      </c>
      <c r="R2795" s="10" t="n"/>
      <c r="S2795" s="10" t="n"/>
      <c r="AA2795" s="10" t="n"/>
      <c r="AB2795" s="11">
        <f>IF(LEN(TRIM(X2795))=0,"",HYPERLINK("https://www.google.com/maps/@?api=1&amp;map_action=pano&amp;viewpoint="&amp;SUBSTITUTE(X2795," ",""),"Abrir Street View"))</f>
        <v/>
      </c>
    </row>
    <row r="2796">
      <c r="H2796" s="6" t="n"/>
      <c r="I2796" s="6" t="n"/>
      <c r="M2796" s="7" t="n"/>
      <c r="N2796" s="7" t="n"/>
      <c r="O2796" s="7" t="n"/>
      <c r="P2796" s="8">
        <f>IF(NOT(ISNUMBER(M2796)),"",IF(G2796="Terreno",IF(AND(ISNUMBER(I2796),I2796&gt;0),M2796/I2796,""),IF(AND(ISNUMBER(H2796),H2796&gt;0),M2796/H2796,"")))</f>
        <v/>
      </c>
      <c r="Q2796" s="9">
        <f>IF(AND(ISNUMBER(M2796),ISNUMBER(O2796)),IF(M2796&lt;=O2796,"Valor ≤ venal IPTU",""),"")</f>
        <v/>
      </c>
      <c r="R2796" s="10" t="n"/>
      <c r="S2796" s="10" t="n"/>
      <c r="AA2796" s="10" t="n"/>
      <c r="AB2796" s="11">
        <f>IF(LEN(TRIM(X2796))=0,"",HYPERLINK("https://www.google.com/maps/@?api=1&amp;map_action=pano&amp;viewpoint="&amp;SUBSTITUTE(X2796," ",""),"Abrir Street View"))</f>
        <v/>
      </c>
    </row>
    <row r="2797">
      <c r="H2797" s="6" t="n"/>
      <c r="I2797" s="6" t="n"/>
      <c r="M2797" s="7" t="n"/>
      <c r="N2797" s="7" t="n"/>
      <c r="O2797" s="7" t="n"/>
      <c r="P2797" s="8">
        <f>IF(NOT(ISNUMBER(M2797)),"",IF(G2797="Terreno",IF(AND(ISNUMBER(I2797),I2797&gt;0),M2797/I2797,""),IF(AND(ISNUMBER(H2797),H2797&gt;0),M2797/H2797,"")))</f>
        <v/>
      </c>
      <c r="Q2797" s="9">
        <f>IF(AND(ISNUMBER(M2797),ISNUMBER(O2797)),IF(M2797&lt;=O2797,"Valor ≤ venal IPTU",""),"")</f>
        <v/>
      </c>
      <c r="R2797" s="10" t="n"/>
      <c r="S2797" s="10" t="n"/>
      <c r="AA2797" s="10" t="n"/>
      <c r="AB2797" s="11">
        <f>IF(LEN(TRIM(X2797))=0,"",HYPERLINK("https://www.google.com/maps/@?api=1&amp;map_action=pano&amp;viewpoint="&amp;SUBSTITUTE(X2797," ",""),"Abrir Street View"))</f>
        <v/>
      </c>
    </row>
    <row r="2798">
      <c r="H2798" s="6" t="n"/>
      <c r="I2798" s="6" t="n"/>
      <c r="M2798" s="7" t="n"/>
      <c r="N2798" s="7" t="n"/>
      <c r="O2798" s="7" t="n"/>
      <c r="P2798" s="8">
        <f>IF(NOT(ISNUMBER(M2798)),"",IF(G2798="Terreno",IF(AND(ISNUMBER(I2798),I2798&gt;0),M2798/I2798,""),IF(AND(ISNUMBER(H2798),H2798&gt;0),M2798/H2798,"")))</f>
        <v/>
      </c>
      <c r="Q2798" s="9">
        <f>IF(AND(ISNUMBER(M2798),ISNUMBER(O2798)),IF(M2798&lt;=O2798,"Valor ≤ venal IPTU",""),"")</f>
        <v/>
      </c>
      <c r="R2798" s="10" t="n"/>
      <c r="S2798" s="10" t="n"/>
      <c r="AA2798" s="10" t="n"/>
      <c r="AB2798" s="11">
        <f>IF(LEN(TRIM(X2798))=0,"",HYPERLINK("https://www.google.com/maps/@?api=1&amp;map_action=pano&amp;viewpoint="&amp;SUBSTITUTE(X2798," ",""),"Abrir Street View"))</f>
        <v/>
      </c>
    </row>
    <row r="2799">
      <c r="H2799" s="6" t="n"/>
      <c r="I2799" s="6" t="n"/>
      <c r="M2799" s="7" t="n"/>
      <c r="N2799" s="7" t="n"/>
      <c r="O2799" s="7" t="n"/>
      <c r="P2799" s="8">
        <f>IF(NOT(ISNUMBER(M2799)),"",IF(G2799="Terreno",IF(AND(ISNUMBER(I2799),I2799&gt;0),M2799/I2799,""),IF(AND(ISNUMBER(H2799),H2799&gt;0),M2799/H2799,"")))</f>
        <v/>
      </c>
      <c r="Q2799" s="9">
        <f>IF(AND(ISNUMBER(M2799),ISNUMBER(O2799)),IF(M2799&lt;=O2799,"Valor ≤ venal IPTU",""),"")</f>
        <v/>
      </c>
      <c r="R2799" s="10" t="n"/>
      <c r="S2799" s="10" t="n"/>
      <c r="AA2799" s="10" t="n"/>
      <c r="AB2799" s="11">
        <f>IF(LEN(TRIM(X2799))=0,"",HYPERLINK("https://www.google.com/maps/@?api=1&amp;map_action=pano&amp;viewpoint="&amp;SUBSTITUTE(X2799," ",""),"Abrir Street View"))</f>
        <v/>
      </c>
    </row>
    <row r="2800">
      <c r="H2800" s="6" t="n"/>
      <c r="I2800" s="6" t="n"/>
      <c r="M2800" s="7" t="n"/>
      <c r="N2800" s="7" t="n"/>
      <c r="O2800" s="7" t="n"/>
      <c r="P2800" s="8">
        <f>IF(NOT(ISNUMBER(M2800)),"",IF(G2800="Terreno",IF(AND(ISNUMBER(I2800),I2800&gt;0),M2800/I2800,""),IF(AND(ISNUMBER(H2800),H2800&gt;0),M2800/H2800,"")))</f>
        <v/>
      </c>
      <c r="Q2800" s="9">
        <f>IF(AND(ISNUMBER(M2800),ISNUMBER(O2800)),IF(M2800&lt;=O2800,"Valor ≤ venal IPTU",""),"")</f>
        <v/>
      </c>
      <c r="R2800" s="10" t="n"/>
      <c r="S2800" s="10" t="n"/>
      <c r="AA2800" s="10" t="n"/>
      <c r="AB2800" s="11">
        <f>IF(LEN(TRIM(X2800))=0,"",HYPERLINK("https://www.google.com/maps/@?api=1&amp;map_action=pano&amp;viewpoint="&amp;SUBSTITUTE(X2800," ",""),"Abrir Street View"))</f>
        <v/>
      </c>
    </row>
    <row r="2801">
      <c r="H2801" s="6" t="n"/>
      <c r="I2801" s="6" t="n"/>
      <c r="M2801" s="7" t="n"/>
      <c r="N2801" s="7" t="n"/>
      <c r="O2801" s="7" t="n"/>
      <c r="P2801" s="8">
        <f>IF(NOT(ISNUMBER(M2801)),"",IF(G2801="Terreno",IF(AND(ISNUMBER(I2801),I2801&gt;0),M2801/I2801,""),IF(AND(ISNUMBER(H2801),H2801&gt;0),M2801/H2801,"")))</f>
        <v/>
      </c>
      <c r="Q2801" s="9">
        <f>IF(AND(ISNUMBER(M2801),ISNUMBER(O2801)),IF(M2801&lt;=O2801,"Valor ≤ venal IPTU",""),"")</f>
        <v/>
      </c>
      <c r="R2801" s="10" t="n"/>
      <c r="S2801" s="10" t="n"/>
      <c r="AA2801" s="10" t="n"/>
      <c r="AB2801" s="11">
        <f>IF(LEN(TRIM(X2801))=0,"",HYPERLINK("https://www.google.com/maps/@?api=1&amp;map_action=pano&amp;viewpoint="&amp;SUBSTITUTE(X2801," ",""),"Abrir Street View"))</f>
        <v/>
      </c>
    </row>
    <row r="2802">
      <c r="H2802" s="6" t="n"/>
      <c r="I2802" s="6" t="n"/>
      <c r="M2802" s="7" t="n"/>
      <c r="N2802" s="7" t="n"/>
      <c r="O2802" s="7" t="n"/>
      <c r="P2802" s="8">
        <f>IF(NOT(ISNUMBER(M2802)),"",IF(G2802="Terreno",IF(AND(ISNUMBER(I2802),I2802&gt;0),M2802/I2802,""),IF(AND(ISNUMBER(H2802),H2802&gt;0),M2802/H2802,"")))</f>
        <v/>
      </c>
      <c r="Q2802" s="9">
        <f>IF(AND(ISNUMBER(M2802),ISNUMBER(O2802)),IF(M2802&lt;=O2802,"Valor ≤ venal IPTU",""),"")</f>
        <v/>
      </c>
      <c r="R2802" s="10" t="n"/>
      <c r="S2802" s="10" t="n"/>
      <c r="AA2802" s="10" t="n"/>
      <c r="AB2802" s="11">
        <f>IF(LEN(TRIM(X2802))=0,"",HYPERLINK("https://www.google.com/maps/@?api=1&amp;map_action=pano&amp;viewpoint="&amp;SUBSTITUTE(X2802," ",""),"Abrir Street View"))</f>
        <v/>
      </c>
    </row>
    <row r="2803">
      <c r="H2803" s="6" t="n"/>
      <c r="I2803" s="6" t="n"/>
      <c r="M2803" s="7" t="n"/>
      <c r="N2803" s="7" t="n"/>
      <c r="O2803" s="7" t="n"/>
      <c r="P2803" s="8">
        <f>IF(NOT(ISNUMBER(M2803)),"",IF(G2803="Terreno",IF(AND(ISNUMBER(I2803),I2803&gt;0),M2803/I2803,""),IF(AND(ISNUMBER(H2803),H2803&gt;0),M2803/H2803,"")))</f>
        <v/>
      </c>
      <c r="Q2803" s="9">
        <f>IF(AND(ISNUMBER(M2803),ISNUMBER(O2803)),IF(M2803&lt;=O2803,"Valor ≤ venal IPTU",""),"")</f>
        <v/>
      </c>
      <c r="R2803" s="10" t="n"/>
      <c r="S2803" s="10" t="n"/>
      <c r="AA2803" s="10" t="n"/>
      <c r="AB2803" s="11">
        <f>IF(LEN(TRIM(X2803))=0,"",HYPERLINK("https://www.google.com/maps/@?api=1&amp;map_action=pano&amp;viewpoint="&amp;SUBSTITUTE(X2803," ",""),"Abrir Street View"))</f>
        <v/>
      </c>
    </row>
    <row r="2804">
      <c r="H2804" s="6" t="n"/>
      <c r="I2804" s="6" t="n"/>
      <c r="M2804" s="7" t="n"/>
      <c r="N2804" s="7" t="n"/>
      <c r="O2804" s="7" t="n"/>
      <c r="P2804" s="8">
        <f>IF(NOT(ISNUMBER(M2804)),"",IF(G2804="Terreno",IF(AND(ISNUMBER(I2804),I2804&gt;0),M2804/I2804,""),IF(AND(ISNUMBER(H2804),H2804&gt;0),M2804/H2804,"")))</f>
        <v/>
      </c>
      <c r="Q2804" s="9">
        <f>IF(AND(ISNUMBER(M2804),ISNUMBER(O2804)),IF(M2804&lt;=O2804,"Valor ≤ venal IPTU",""),"")</f>
        <v/>
      </c>
      <c r="R2804" s="10" t="n"/>
      <c r="S2804" s="10" t="n"/>
      <c r="AA2804" s="10" t="n"/>
      <c r="AB2804" s="11">
        <f>IF(LEN(TRIM(X2804))=0,"",HYPERLINK("https://www.google.com/maps/@?api=1&amp;map_action=pano&amp;viewpoint="&amp;SUBSTITUTE(X2804," ",""),"Abrir Street View"))</f>
        <v/>
      </c>
    </row>
    <row r="2805">
      <c r="H2805" s="6" t="n"/>
      <c r="I2805" s="6" t="n"/>
      <c r="M2805" s="7" t="n"/>
      <c r="N2805" s="7" t="n"/>
      <c r="O2805" s="7" t="n"/>
      <c r="P2805" s="8">
        <f>IF(NOT(ISNUMBER(M2805)),"",IF(G2805="Terreno",IF(AND(ISNUMBER(I2805),I2805&gt;0),M2805/I2805,""),IF(AND(ISNUMBER(H2805),H2805&gt;0),M2805/H2805,"")))</f>
        <v/>
      </c>
      <c r="Q2805" s="9">
        <f>IF(AND(ISNUMBER(M2805),ISNUMBER(O2805)),IF(M2805&lt;=O2805,"Valor ≤ venal IPTU",""),"")</f>
        <v/>
      </c>
      <c r="R2805" s="10" t="n"/>
      <c r="S2805" s="10" t="n"/>
      <c r="AA2805" s="10" t="n"/>
      <c r="AB2805" s="11">
        <f>IF(LEN(TRIM(X2805))=0,"",HYPERLINK("https://www.google.com/maps/@?api=1&amp;map_action=pano&amp;viewpoint="&amp;SUBSTITUTE(X2805," ",""),"Abrir Street View"))</f>
        <v/>
      </c>
    </row>
    <row r="2806">
      <c r="H2806" s="6" t="n"/>
      <c r="I2806" s="6" t="n"/>
      <c r="M2806" s="7" t="n"/>
      <c r="N2806" s="7" t="n"/>
      <c r="O2806" s="7" t="n"/>
      <c r="P2806" s="8">
        <f>IF(NOT(ISNUMBER(M2806)),"",IF(G2806="Terreno",IF(AND(ISNUMBER(I2806),I2806&gt;0),M2806/I2806,""),IF(AND(ISNUMBER(H2806),H2806&gt;0),M2806/H2806,"")))</f>
        <v/>
      </c>
      <c r="Q2806" s="9">
        <f>IF(AND(ISNUMBER(M2806),ISNUMBER(O2806)),IF(M2806&lt;=O2806,"Valor ≤ venal IPTU",""),"")</f>
        <v/>
      </c>
      <c r="R2806" s="10" t="n"/>
      <c r="S2806" s="10" t="n"/>
      <c r="AA2806" s="10" t="n"/>
      <c r="AB2806" s="11">
        <f>IF(LEN(TRIM(X2806))=0,"",HYPERLINK("https://www.google.com/maps/@?api=1&amp;map_action=pano&amp;viewpoint="&amp;SUBSTITUTE(X2806," ",""),"Abrir Street View"))</f>
        <v/>
      </c>
    </row>
    <row r="2807">
      <c r="H2807" s="6" t="n"/>
      <c r="I2807" s="6" t="n"/>
      <c r="M2807" s="7" t="n"/>
      <c r="N2807" s="7" t="n"/>
      <c r="O2807" s="7" t="n"/>
      <c r="P2807" s="8">
        <f>IF(NOT(ISNUMBER(M2807)),"",IF(G2807="Terreno",IF(AND(ISNUMBER(I2807),I2807&gt;0),M2807/I2807,""),IF(AND(ISNUMBER(H2807),H2807&gt;0),M2807/H2807,"")))</f>
        <v/>
      </c>
      <c r="Q2807" s="9">
        <f>IF(AND(ISNUMBER(M2807),ISNUMBER(O2807)),IF(M2807&lt;=O2807,"Valor ≤ venal IPTU",""),"")</f>
        <v/>
      </c>
      <c r="R2807" s="10" t="n"/>
      <c r="S2807" s="10" t="n"/>
      <c r="AA2807" s="10" t="n"/>
      <c r="AB2807" s="11">
        <f>IF(LEN(TRIM(X2807))=0,"",HYPERLINK("https://www.google.com/maps/@?api=1&amp;map_action=pano&amp;viewpoint="&amp;SUBSTITUTE(X2807," ",""),"Abrir Street View"))</f>
        <v/>
      </c>
    </row>
    <row r="2808">
      <c r="H2808" s="6" t="n"/>
      <c r="I2808" s="6" t="n"/>
      <c r="M2808" s="7" t="n"/>
      <c r="N2808" s="7" t="n"/>
      <c r="O2808" s="7" t="n"/>
      <c r="P2808" s="8">
        <f>IF(NOT(ISNUMBER(M2808)),"",IF(G2808="Terreno",IF(AND(ISNUMBER(I2808),I2808&gt;0),M2808/I2808,""),IF(AND(ISNUMBER(H2808),H2808&gt;0),M2808/H2808,"")))</f>
        <v/>
      </c>
      <c r="Q2808" s="9">
        <f>IF(AND(ISNUMBER(M2808),ISNUMBER(O2808)),IF(M2808&lt;=O2808,"Valor ≤ venal IPTU",""),"")</f>
        <v/>
      </c>
      <c r="R2808" s="10" t="n"/>
      <c r="S2808" s="10" t="n"/>
      <c r="AA2808" s="10" t="n"/>
      <c r="AB2808" s="11">
        <f>IF(LEN(TRIM(X2808))=0,"",HYPERLINK("https://www.google.com/maps/@?api=1&amp;map_action=pano&amp;viewpoint="&amp;SUBSTITUTE(X2808," ",""),"Abrir Street View"))</f>
        <v/>
      </c>
    </row>
    <row r="2809">
      <c r="H2809" s="6" t="n"/>
      <c r="I2809" s="6" t="n"/>
      <c r="M2809" s="7" t="n"/>
      <c r="N2809" s="7" t="n"/>
      <c r="O2809" s="7" t="n"/>
      <c r="P2809" s="8">
        <f>IF(NOT(ISNUMBER(M2809)),"",IF(G2809="Terreno",IF(AND(ISNUMBER(I2809),I2809&gt;0),M2809/I2809,""),IF(AND(ISNUMBER(H2809),H2809&gt;0),M2809/H2809,"")))</f>
        <v/>
      </c>
      <c r="Q2809" s="9">
        <f>IF(AND(ISNUMBER(M2809),ISNUMBER(O2809)),IF(M2809&lt;=O2809,"Valor ≤ venal IPTU",""),"")</f>
        <v/>
      </c>
      <c r="R2809" s="10" t="n"/>
      <c r="S2809" s="10" t="n"/>
      <c r="AA2809" s="10" t="n"/>
      <c r="AB2809" s="11">
        <f>IF(LEN(TRIM(X2809))=0,"",HYPERLINK("https://www.google.com/maps/@?api=1&amp;map_action=pano&amp;viewpoint="&amp;SUBSTITUTE(X2809," ",""),"Abrir Street View"))</f>
        <v/>
      </c>
    </row>
    <row r="2810">
      <c r="H2810" s="6" t="n"/>
      <c r="I2810" s="6" t="n"/>
      <c r="M2810" s="7" t="n"/>
      <c r="N2810" s="7" t="n"/>
      <c r="O2810" s="7" t="n"/>
      <c r="P2810" s="8">
        <f>IF(NOT(ISNUMBER(M2810)),"",IF(G2810="Terreno",IF(AND(ISNUMBER(I2810),I2810&gt;0),M2810/I2810,""),IF(AND(ISNUMBER(H2810),H2810&gt;0),M2810/H2810,"")))</f>
        <v/>
      </c>
      <c r="Q2810" s="9">
        <f>IF(AND(ISNUMBER(M2810),ISNUMBER(O2810)),IF(M2810&lt;=O2810,"Valor ≤ venal IPTU",""),"")</f>
        <v/>
      </c>
      <c r="R2810" s="10" t="n"/>
      <c r="S2810" s="10" t="n"/>
      <c r="AA2810" s="10" t="n"/>
      <c r="AB2810" s="11">
        <f>IF(LEN(TRIM(X2810))=0,"",HYPERLINK("https://www.google.com/maps/@?api=1&amp;map_action=pano&amp;viewpoint="&amp;SUBSTITUTE(X2810," ",""),"Abrir Street View"))</f>
        <v/>
      </c>
    </row>
    <row r="2811">
      <c r="H2811" s="6" t="n"/>
      <c r="I2811" s="6" t="n"/>
      <c r="M2811" s="7" t="n"/>
      <c r="N2811" s="7" t="n"/>
      <c r="O2811" s="7" t="n"/>
      <c r="P2811" s="8">
        <f>IF(NOT(ISNUMBER(M2811)),"",IF(G2811="Terreno",IF(AND(ISNUMBER(I2811),I2811&gt;0),M2811/I2811,""),IF(AND(ISNUMBER(H2811),H2811&gt;0),M2811/H2811,"")))</f>
        <v/>
      </c>
      <c r="Q2811" s="9">
        <f>IF(AND(ISNUMBER(M2811),ISNUMBER(O2811)),IF(M2811&lt;=O2811,"Valor ≤ venal IPTU",""),"")</f>
        <v/>
      </c>
      <c r="R2811" s="10" t="n"/>
      <c r="S2811" s="10" t="n"/>
      <c r="AA2811" s="10" t="n"/>
      <c r="AB2811" s="11">
        <f>IF(LEN(TRIM(X2811))=0,"",HYPERLINK("https://www.google.com/maps/@?api=1&amp;map_action=pano&amp;viewpoint="&amp;SUBSTITUTE(X2811," ",""),"Abrir Street View"))</f>
        <v/>
      </c>
    </row>
    <row r="2812">
      <c r="H2812" s="6" t="n"/>
      <c r="I2812" s="6" t="n"/>
      <c r="M2812" s="7" t="n"/>
      <c r="N2812" s="7" t="n"/>
      <c r="O2812" s="7" t="n"/>
      <c r="P2812" s="8">
        <f>IF(NOT(ISNUMBER(M2812)),"",IF(G2812="Terreno",IF(AND(ISNUMBER(I2812),I2812&gt;0),M2812/I2812,""),IF(AND(ISNUMBER(H2812),H2812&gt;0),M2812/H2812,"")))</f>
        <v/>
      </c>
      <c r="Q2812" s="9">
        <f>IF(AND(ISNUMBER(M2812),ISNUMBER(O2812)),IF(M2812&lt;=O2812,"Valor ≤ venal IPTU",""),"")</f>
        <v/>
      </c>
      <c r="R2812" s="10" t="n"/>
      <c r="S2812" s="10" t="n"/>
      <c r="AA2812" s="10" t="n"/>
      <c r="AB2812" s="11">
        <f>IF(LEN(TRIM(X2812))=0,"",HYPERLINK("https://www.google.com/maps/@?api=1&amp;map_action=pano&amp;viewpoint="&amp;SUBSTITUTE(X2812," ",""),"Abrir Street View"))</f>
        <v/>
      </c>
    </row>
    <row r="2813">
      <c r="H2813" s="6" t="n"/>
      <c r="I2813" s="6" t="n"/>
      <c r="M2813" s="7" t="n"/>
      <c r="N2813" s="7" t="n"/>
      <c r="O2813" s="7" t="n"/>
      <c r="P2813" s="8">
        <f>IF(NOT(ISNUMBER(M2813)),"",IF(G2813="Terreno",IF(AND(ISNUMBER(I2813),I2813&gt;0),M2813/I2813,""),IF(AND(ISNUMBER(H2813),H2813&gt;0),M2813/H2813,"")))</f>
        <v/>
      </c>
      <c r="Q2813" s="9">
        <f>IF(AND(ISNUMBER(M2813),ISNUMBER(O2813)),IF(M2813&lt;=O2813,"Valor ≤ venal IPTU",""),"")</f>
        <v/>
      </c>
      <c r="R2813" s="10" t="n"/>
      <c r="S2813" s="10" t="n"/>
      <c r="AA2813" s="10" t="n"/>
      <c r="AB2813" s="11">
        <f>IF(LEN(TRIM(X2813))=0,"",HYPERLINK("https://www.google.com/maps/@?api=1&amp;map_action=pano&amp;viewpoint="&amp;SUBSTITUTE(X2813," ",""),"Abrir Street View"))</f>
        <v/>
      </c>
    </row>
    <row r="2814">
      <c r="H2814" s="6" t="n"/>
      <c r="I2814" s="6" t="n"/>
      <c r="M2814" s="7" t="n"/>
      <c r="N2814" s="7" t="n"/>
      <c r="O2814" s="7" t="n"/>
      <c r="P2814" s="8">
        <f>IF(NOT(ISNUMBER(M2814)),"",IF(G2814="Terreno",IF(AND(ISNUMBER(I2814),I2814&gt;0),M2814/I2814,""),IF(AND(ISNUMBER(H2814),H2814&gt;0),M2814/H2814,"")))</f>
        <v/>
      </c>
      <c r="Q2814" s="9">
        <f>IF(AND(ISNUMBER(M2814),ISNUMBER(O2814)),IF(M2814&lt;=O2814,"Valor ≤ venal IPTU",""),"")</f>
        <v/>
      </c>
      <c r="R2814" s="10" t="n"/>
      <c r="S2814" s="10" t="n"/>
      <c r="AA2814" s="10" t="n"/>
      <c r="AB2814" s="11">
        <f>IF(LEN(TRIM(X2814))=0,"",HYPERLINK("https://www.google.com/maps/@?api=1&amp;map_action=pano&amp;viewpoint="&amp;SUBSTITUTE(X2814," ",""),"Abrir Street View"))</f>
        <v/>
      </c>
    </row>
    <row r="2815">
      <c r="H2815" s="6" t="n"/>
      <c r="I2815" s="6" t="n"/>
      <c r="M2815" s="7" t="n"/>
      <c r="N2815" s="7" t="n"/>
      <c r="O2815" s="7" t="n"/>
      <c r="P2815" s="8">
        <f>IF(NOT(ISNUMBER(M2815)),"",IF(G2815="Terreno",IF(AND(ISNUMBER(I2815),I2815&gt;0),M2815/I2815,""),IF(AND(ISNUMBER(H2815),H2815&gt;0),M2815/H2815,"")))</f>
        <v/>
      </c>
      <c r="Q2815" s="9">
        <f>IF(AND(ISNUMBER(M2815),ISNUMBER(O2815)),IF(M2815&lt;=O2815,"Valor ≤ venal IPTU",""),"")</f>
        <v/>
      </c>
      <c r="R2815" s="10" t="n"/>
      <c r="S2815" s="10" t="n"/>
      <c r="AA2815" s="10" t="n"/>
      <c r="AB2815" s="11">
        <f>IF(LEN(TRIM(X2815))=0,"",HYPERLINK("https://www.google.com/maps/@?api=1&amp;map_action=pano&amp;viewpoint="&amp;SUBSTITUTE(X2815," ",""),"Abrir Street View"))</f>
        <v/>
      </c>
    </row>
    <row r="2816">
      <c r="H2816" s="6" t="n"/>
      <c r="I2816" s="6" t="n"/>
      <c r="M2816" s="7" t="n"/>
      <c r="N2816" s="7" t="n"/>
      <c r="O2816" s="7" t="n"/>
      <c r="P2816" s="8">
        <f>IF(NOT(ISNUMBER(M2816)),"",IF(G2816="Terreno",IF(AND(ISNUMBER(I2816),I2816&gt;0),M2816/I2816,""),IF(AND(ISNUMBER(H2816),H2816&gt;0),M2816/H2816,"")))</f>
        <v/>
      </c>
      <c r="Q2816" s="9">
        <f>IF(AND(ISNUMBER(M2816),ISNUMBER(O2816)),IF(M2816&lt;=O2816,"Valor ≤ venal IPTU",""),"")</f>
        <v/>
      </c>
      <c r="R2816" s="10" t="n"/>
      <c r="S2816" s="10" t="n"/>
      <c r="AA2816" s="10" t="n"/>
      <c r="AB2816" s="11">
        <f>IF(LEN(TRIM(X2816))=0,"",HYPERLINK("https://www.google.com/maps/@?api=1&amp;map_action=pano&amp;viewpoint="&amp;SUBSTITUTE(X2816," ",""),"Abrir Street View"))</f>
        <v/>
      </c>
    </row>
    <row r="2817">
      <c r="H2817" s="6" t="n"/>
      <c r="I2817" s="6" t="n"/>
      <c r="M2817" s="7" t="n"/>
      <c r="N2817" s="7" t="n"/>
      <c r="O2817" s="7" t="n"/>
      <c r="P2817" s="8">
        <f>IF(NOT(ISNUMBER(M2817)),"",IF(G2817="Terreno",IF(AND(ISNUMBER(I2817),I2817&gt;0),M2817/I2817,""),IF(AND(ISNUMBER(H2817),H2817&gt;0),M2817/H2817,"")))</f>
        <v/>
      </c>
      <c r="Q2817" s="9">
        <f>IF(AND(ISNUMBER(M2817),ISNUMBER(O2817)),IF(M2817&lt;=O2817,"Valor ≤ venal IPTU",""),"")</f>
        <v/>
      </c>
      <c r="R2817" s="10" t="n"/>
      <c r="S2817" s="10" t="n"/>
      <c r="AA2817" s="10" t="n"/>
      <c r="AB2817" s="11">
        <f>IF(LEN(TRIM(X2817))=0,"",HYPERLINK("https://www.google.com/maps/@?api=1&amp;map_action=pano&amp;viewpoint="&amp;SUBSTITUTE(X2817," ",""),"Abrir Street View"))</f>
        <v/>
      </c>
    </row>
    <row r="2818">
      <c r="H2818" s="6" t="n"/>
      <c r="I2818" s="6" t="n"/>
      <c r="M2818" s="7" t="n"/>
      <c r="N2818" s="7" t="n"/>
      <c r="O2818" s="7" t="n"/>
      <c r="P2818" s="8">
        <f>IF(NOT(ISNUMBER(M2818)),"",IF(G2818="Terreno",IF(AND(ISNUMBER(I2818),I2818&gt;0),M2818/I2818,""),IF(AND(ISNUMBER(H2818),H2818&gt;0),M2818/H2818,"")))</f>
        <v/>
      </c>
      <c r="Q2818" s="9">
        <f>IF(AND(ISNUMBER(M2818),ISNUMBER(O2818)),IF(M2818&lt;=O2818,"Valor ≤ venal IPTU",""),"")</f>
        <v/>
      </c>
      <c r="R2818" s="10" t="n"/>
      <c r="S2818" s="10" t="n"/>
      <c r="AA2818" s="10" t="n"/>
      <c r="AB2818" s="11">
        <f>IF(LEN(TRIM(X2818))=0,"",HYPERLINK("https://www.google.com/maps/@?api=1&amp;map_action=pano&amp;viewpoint="&amp;SUBSTITUTE(X2818," ",""),"Abrir Street View"))</f>
        <v/>
      </c>
    </row>
    <row r="2819">
      <c r="H2819" s="6" t="n"/>
      <c r="I2819" s="6" t="n"/>
      <c r="M2819" s="7" t="n"/>
      <c r="N2819" s="7" t="n"/>
      <c r="O2819" s="7" t="n"/>
      <c r="P2819" s="8">
        <f>IF(NOT(ISNUMBER(M2819)),"",IF(G2819="Terreno",IF(AND(ISNUMBER(I2819),I2819&gt;0),M2819/I2819,""),IF(AND(ISNUMBER(H2819),H2819&gt;0),M2819/H2819,"")))</f>
        <v/>
      </c>
      <c r="Q2819" s="9">
        <f>IF(AND(ISNUMBER(M2819),ISNUMBER(O2819)),IF(M2819&lt;=O2819,"Valor ≤ venal IPTU",""),"")</f>
        <v/>
      </c>
      <c r="R2819" s="10" t="n"/>
      <c r="S2819" s="10" t="n"/>
      <c r="AA2819" s="10" t="n"/>
      <c r="AB2819" s="11">
        <f>IF(LEN(TRIM(X2819))=0,"",HYPERLINK("https://www.google.com/maps/@?api=1&amp;map_action=pano&amp;viewpoint="&amp;SUBSTITUTE(X2819," ",""),"Abrir Street View"))</f>
        <v/>
      </c>
    </row>
    <row r="2820">
      <c r="H2820" s="6" t="n"/>
      <c r="I2820" s="6" t="n"/>
      <c r="M2820" s="7" t="n"/>
      <c r="N2820" s="7" t="n"/>
      <c r="O2820" s="7" t="n"/>
      <c r="P2820" s="8">
        <f>IF(NOT(ISNUMBER(M2820)),"",IF(G2820="Terreno",IF(AND(ISNUMBER(I2820),I2820&gt;0),M2820/I2820,""),IF(AND(ISNUMBER(H2820),H2820&gt;0),M2820/H2820,"")))</f>
        <v/>
      </c>
      <c r="Q2820" s="9">
        <f>IF(AND(ISNUMBER(M2820),ISNUMBER(O2820)),IF(M2820&lt;=O2820,"Valor ≤ venal IPTU",""),"")</f>
        <v/>
      </c>
      <c r="R2820" s="10" t="n"/>
      <c r="S2820" s="10" t="n"/>
      <c r="AA2820" s="10" t="n"/>
      <c r="AB2820" s="11">
        <f>IF(LEN(TRIM(X2820))=0,"",HYPERLINK("https://www.google.com/maps/@?api=1&amp;map_action=pano&amp;viewpoint="&amp;SUBSTITUTE(X2820," ",""),"Abrir Street View"))</f>
        <v/>
      </c>
    </row>
    <row r="2821">
      <c r="H2821" s="6" t="n"/>
      <c r="I2821" s="6" t="n"/>
      <c r="M2821" s="7" t="n"/>
      <c r="N2821" s="7" t="n"/>
      <c r="O2821" s="7" t="n"/>
      <c r="P2821" s="8">
        <f>IF(NOT(ISNUMBER(M2821)),"",IF(G2821="Terreno",IF(AND(ISNUMBER(I2821),I2821&gt;0),M2821/I2821,""),IF(AND(ISNUMBER(H2821),H2821&gt;0),M2821/H2821,"")))</f>
        <v/>
      </c>
      <c r="Q2821" s="9">
        <f>IF(AND(ISNUMBER(M2821),ISNUMBER(O2821)),IF(M2821&lt;=O2821,"Valor ≤ venal IPTU",""),"")</f>
        <v/>
      </c>
      <c r="R2821" s="10" t="n"/>
      <c r="S2821" s="10" t="n"/>
      <c r="AA2821" s="10" t="n"/>
      <c r="AB2821" s="11">
        <f>IF(LEN(TRIM(X2821))=0,"",HYPERLINK("https://www.google.com/maps/@?api=1&amp;map_action=pano&amp;viewpoint="&amp;SUBSTITUTE(X2821," ",""),"Abrir Street View"))</f>
        <v/>
      </c>
    </row>
    <row r="2822">
      <c r="H2822" s="6" t="n"/>
      <c r="I2822" s="6" t="n"/>
      <c r="M2822" s="7" t="n"/>
      <c r="N2822" s="7" t="n"/>
      <c r="O2822" s="7" t="n"/>
      <c r="P2822" s="8">
        <f>IF(NOT(ISNUMBER(M2822)),"",IF(G2822="Terreno",IF(AND(ISNUMBER(I2822),I2822&gt;0),M2822/I2822,""),IF(AND(ISNUMBER(H2822),H2822&gt;0),M2822/H2822,"")))</f>
        <v/>
      </c>
      <c r="Q2822" s="9">
        <f>IF(AND(ISNUMBER(M2822),ISNUMBER(O2822)),IF(M2822&lt;=O2822,"Valor ≤ venal IPTU",""),"")</f>
        <v/>
      </c>
      <c r="R2822" s="10" t="n"/>
      <c r="S2822" s="10" t="n"/>
      <c r="AA2822" s="10" t="n"/>
      <c r="AB2822" s="11">
        <f>IF(LEN(TRIM(X2822))=0,"",HYPERLINK("https://www.google.com/maps/@?api=1&amp;map_action=pano&amp;viewpoint="&amp;SUBSTITUTE(X2822," ",""),"Abrir Street View"))</f>
        <v/>
      </c>
    </row>
    <row r="2823">
      <c r="H2823" s="6" t="n"/>
      <c r="I2823" s="6" t="n"/>
      <c r="M2823" s="7" t="n"/>
      <c r="N2823" s="7" t="n"/>
      <c r="O2823" s="7" t="n"/>
      <c r="P2823" s="8">
        <f>IF(NOT(ISNUMBER(M2823)),"",IF(G2823="Terreno",IF(AND(ISNUMBER(I2823),I2823&gt;0),M2823/I2823,""),IF(AND(ISNUMBER(H2823),H2823&gt;0),M2823/H2823,"")))</f>
        <v/>
      </c>
      <c r="Q2823" s="9">
        <f>IF(AND(ISNUMBER(M2823),ISNUMBER(O2823)),IF(M2823&lt;=O2823,"Valor ≤ venal IPTU",""),"")</f>
        <v/>
      </c>
      <c r="R2823" s="10" t="n"/>
      <c r="S2823" s="10" t="n"/>
      <c r="AA2823" s="10" t="n"/>
      <c r="AB2823" s="11">
        <f>IF(LEN(TRIM(X2823))=0,"",HYPERLINK("https://www.google.com/maps/@?api=1&amp;map_action=pano&amp;viewpoint="&amp;SUBSTITUTE(X2823," ",""),"Abrir Street View"))</f>
        <v/>
      </c>
    </row>
    <row r="2824">
      <c r="H2824" s="6" t="n"/>
      <c r="I2824" s="6" t="n"/>
      <c r="M2824" s="7" t="n"/>
      <c r="N2824" s="7" t="n"/>
      <c r="O2824" s="7" t="n"/>
      <c r="P2824" s="8">
        <f>IF(NOT(ISNUMBER(M2824)),"",IF(G2824="Terreno",IF(AND(ISNUMBER(I2824),I2824&gt;0),M2824/I2824,""),IF(AND(ISNUMBER(H2824),H2824&gt;0),M2824/H2824,"")))</f>
        <v/>
      </c>
      <c r="Q2824" s="9">
        <f>IF(AND(ISNUMBER(M2824),ISNUMBER(O2824)),IF(M2824&lt;=O2824,"Valor ≤ venal IPTU",""),"")</f>
        <v/>
      </c>
      <c r="R2824" s="10" t="n"/>
      <c r="S2824" s="10" t="n"/>
      <c r="AA2824" s="10" t="n"/>
      <c r="AB2824" s="11">
        <f>IF(LEN(TRIM(X2824))=0,"",HYPERLINK("https://www.google.com/maps/@?api=1&amp;map_action=pano&amp;viewpoint="&amp;SUBSTITUTE(X2824," ",""),"Abrir Street View"))</f>
        <v/>
      </c>
    </row>
    <row r="2825">
      <c r="H2825" s="6" t="n"/>
      <c r="I2825" s="6" t="n"/>
      <c r="M2825" s="7" t="n"/>
      <c r="N2825" s="7" t="n"/>
      <c r="O2825" s="7" t="n"/>
      <c r="P2825" s="8">
        <f>IF(NOT(ISNUMBER(M2825)),"",IF(G2825="Terreno",IF(AND(ISNUMBER(I2825),I2825&gt;0),M2825/I2825,""),IF(AND(ISNUMBER(H2825),H2825&gt;0),M2825/H2825,"")))</f>
        <v/>
      </c>
      <c r="Q2825" s="9">
        <f>IF(AND(ISNUMBER(M2825),ISNUMBER(O2825)),IF(M2825&lt;=O2825,"Valor ≤ venal IPTU",""),"")</f>
        <v/>
      </c>
      <c r="R2825" s="10" t="n"/>
      <c r="S2825" s="10" t="n"/>
      <c r="AA2825" s="10" t="n"/>
      <c r="AB2825" s="11">
        <f>IF(LEN(TRIM(X2825))=0,"",HYPERLINK("https://www.google.com/maps/@?api=1&amp;map_action=pano&amp;viewpoint="&amp;SUBSTITUTE(X2825," ",""),"Abrir Street View"))</f>
        <v/>
      </c>
    </row>
    <row r="2826">
      <c r="H2826" s="6" t="n"/>
      <c r="I2826" s="6" t="n"/>
      <c r="M2826" s="7" t="n"/>
      <c r="N2826" s="7" t="n"/>
      <c r="O2826" s="7" t="n"/>
      <c r="P2826" s="8">
        <f>IF(NOT(ISNUMBER(M2826)),"",IF(G2826="Terreno",IF(AND(ISNUMBER(I2826),I2826&gt;0),M2826/I2826,""),IF(AND(ISNUMBER(H2826),H2826&gt;0),M2826/H2826,"")))</f>
        <v/>
      </c>
      <c r="Q2826" s="9">
        <f>IF(AND(ISNUMBER(M2826),ISNUMBER(O2826)),IF(M2826&lt;=O2826,"Valor ≤ venal IPTU",""),"")</f>
        <v/>
      </c>
      <c r="R2826" s="10" t="n"/>
      <c r="S2826" s="10" t="n"/>
      <c r="AA2826" s="10" t="n"/>
      <c r="AB2826" s="11">
        <f>IF(LEN(TRIM(X2826))=0,"",HYPERLINK("https://www.google.com/maps/@?api=1&amp;map_action=pano&amp;viewpoint="&amp;SUBSTITUTE(X2826," ",""),"Abrir Street View"))</f>
        <v/>
      </c>
    </row>
    <row r="2827">
      <c r="H2827" s="6" t="n"/>
      <c r="I2827" s="6" t="n"/>
      <c r="M2827" s="7" t="n"/>
      <c r="N2827" s="7" t="n"/>
      <c r="O2827" s="7" t="n"/>
      <c r="P2827" s="8">
        <f>IF(NOT(ISNUMBER(M2827)),"",IF(G2827="Terreno",IF(AND(ISNUMBER(I2827),I2827&gt;0),M2827/I2827,""),IF(AND(ISNUMBER(H2827),H2827&gt;0),M2827/H2827,"")))</f>
        <v/>
      </c>
      <c r="Q2827" s="9">
        <f>IF(AND(ISNUMBER(M2827),ISNUMBER(O2827)),IF(M2827&lt;=O2827,"Valor ≤ venal IPTU",""),"")</f>
        <v/>
      </c>
      <c r="R2827" s="10" t="n"/>
      <c r="S2827" s="10" t="n"/>
      <c r="AA2827" s="10" t="n"/>
      <c r="AB2827" s="11">
        <f>IF(LEN(TRIM(X2827))=0,"",HYPERLINK("https://www.google.com/maps/@?api=1&amp;map_action=pano&amp;viewpoint="&amp;SUBSTITUTE(X2827," ",""),"Abrir Street View"))</f>
        <v/>
      </c>
    </row>
    <row r="2828">
      <c r="H2828" s="6" t="n"/>
      <c r="I2828" s="6" t="n"/>
      <c r="M2828" s="7" t="n"/>
      <c r="N2828" s="7" t="n"/>
      <c r="O2828" s="7" t="n"/>
      <c r="P2828" s="8">
        <f>IF(NOT(ISNUMBER(M2828)),"",IF(G2828="Terreno",IF(AND(ISNUMBER(I2828),I2828&gt;0),M2828/I2828,""),IF(AND(ISNUMBER(H2828),H2828&gt;0),M2828/H2828,"")))</f>
        <v/>
      </c>
      <c r="Q2828" s="9">
        <f>IF(AND(ISNUMBER(M2828),ISNUMBER(O2828)),IF(M2828&lt;=O2828,"Valor ≤ venal IPTU",""),"")</f>
        <v/>
      </c>
      <c r="R2828" s="10" t="n"/>
      <c r="S2828" s="10" t="n"/>
      <c r="AA2828" s="10" t="n"/>
      <c r="AB2828" s="11">
        <f>IF(LEN(TRIM(X2828))=0,"",HYPERLINK("https://www.google.com/maps/@?api=1&amp;map_action=pano&amp;viewpoint="&amp;SUBSTITUTE(X2828," ",""),"Abrir Street View"))</f>
        <v/>
      </c>
    </row>
    <row r="2829">
      <c r="H2829" s="6" t="n"/>
      <c r="I2829" s="6" t="n"/>
      <c r="M2829" s="7" t="n"/>
      <c r="N2829" s="7" t="n"/>
      <c r="O2829" s="7" t="n"/>
      <c r="P2829" s="8">
        <f>IF(NOT(ISNUMBER(M2829)),"",IF(G2829="Terreno",IF(AND(ISNUMBER(I2829),I2829&gt;0),M2829/I2829,""),IF(AND(ISNUMBER(H2829),H2829&gt;0),M2829/H2829,"")))</f>
        <v/>
      </c>
      <c r="Q2829" s="9">
        <f>IF(AND(ISNUMBER(M2829),ISNUMBER(O2829)),IF(M2829&lt;=O2829,"Valor ≤ venal IPTU",""),"")</f>
        <v/>
      </c>
      <c r="R2829" s="10" t="n"/>
      <c r="S2829" s="10" t="n"/>
      <c r="AA2829" s="10" t="n"/>
      <c r="AB2829" s="11">
        <f>IF(LEN(TRIM(X2829))=0,"",HYPERLINK("https://www.google.com/maps/@?api=1&amp;map_action=pano&amp;viewpoint="&amp;SUBSTITUTE(X2829," ",""),"Abrir Street View"))</f>
        <v/>
      </c>
    </row>
    <row r="2830">
      <c r="H2830" s="6" t="n"/>
      <c r="I2830" s="6" t="n"/>
      <c r="M2830" s="7" t="n"/>
      <c r="N2830" s="7" t="n"/>
      <c r="O2830" s="7" t="n"/>
      <c r="P2830" s="8">
        <f>IF(NOT(ISNUMBER(M2830)),"",IF(G2830="Terreno",IF(AND(ISNUMBER(I2830),I2830&gt;0),M2830/I2830,""),IF(AND(ISNUMBER(H2830),H2830&gt;0),M2830/H2830,"")))</f>
        <v/>
      </c>
      <c r="Q2830" s="9">
        <f>IF(AND(ISNUMBER(M2830),ISNUMBER(O2830)),IF(M2830&lt;=O2830,"Valor ≤ venal IPTU",""),"")</f>
        <v/>
      </c>
      <c r="R2830" s="10" t="n"/>
      <c r="S2830" s="10" t="n"/>
      <c r="AA2830" s="10" t="n"/>
      <c r="AB2830" s="11">
        <f>IF(LEN(TRIM(X2830))=0,"",HYPERLINK("https://www.google.com/maps/@?api=1&amp;map_action=pano&amp;viewpoint="&amp;SUBSTITUTE(X2830," ",""),"Abrir Street View"))</f>
        <v/>
      </c>
    </row>
    <row r="2831">
      <c r="H2831" s="6" t="n"/>
      <c r="I2831" s="6" t="n"/>
      <c r="M2831" s="7" t="n"/>
      <c r="N2831" s="7" t="n"/>
      <c r="O2831" s="7" t="n"/>
      <c r="P2831" s="8">
        <f>IF(NOT(ISNUMBER(M2831)),"",IF(G2831="Terreno",IF(AND(ISNUMBER(I2831),I2831&gt;0),M2831/I2831,""),IF(AND(ISNUMBER(H2831),H2831&gt;0),M2831/H2831,"")))</f>
        <v/>
      </c>
      <c r="Q2831" s="9">
        <f>IF(AND(ISNUMBER(M2831),ISNUMBER(O2831)),IF(M2831&lt;=O2831,"Valor ≤ venal IPTU",""),"")</f>
        <v/>
      </c>
      <c r="R2831" s="10" t="n"/>
      <c r="S2831" s="10" t="n"/>
      <c r="AA2831" s="10" t="n"/>
      <c r="AB2831" s="11">
        <f>IF(LEN(TRIM(X2831))=0,"",HYPERLINK("https://www.google.com/maps/@?api=1&amp;map_action=pano&amp;viewpoint="&amp;SUBSTITUTE(X2831," ",""),"Abrir Street View"))</f>
        <v/>
      </c>
    </row>
    <row r="2832">
      <c r="H2832" s="6" t="n"/>
      <c r="I2832" s="6" t="n"/>
      <c r="M2832" s="7" t="n"/>
      <c r="N2832" s="7" t="n"/>
      <c r="O2832" s="7" t="n"/>
      <c r="P2832" s="8">
        <f>IF(NOT(ISNUMBER(M2832)),"",IF(G2832="Terreno",IF(AND(ISNUMBER(I2832),I2832&gt;0),M2832/I2832,""),IF(AND(ISNUMBER(H2832),H2832&gt;0),M2832/H2832,"")))</f>
        <v/>
      </c>
      <c r="Q2832" s="9">
        <f>IF(AND(ISNUMBER(M2832),ISNUMBER(O2832)),IF(M2832&lt;=O2832,"Valor ≤ venal IPTU",""),"")</f>
        <v/>
      </c>
      <c r="R2832" s="10" t="n"/>
      <c r="S2832" s="10" t="n"/>
      <c r="AA2832" s="10" t="n"/>
      <c r="AB2832" s="11">
        <f>IF(LEN(TRIM(X2832))=0,"",HYPERLINK("https://www.google.com/maps/@?api=1&amp;map_action=pano&amp;viewpoint="&amp;SUBSTITUTE(X2832," ",""),"Abrir Street View"))</f>
        <v/>
      </c>
    </row>
    <row r="2833">
      <c r="H2833" s="6" t="n"/>
      <c r="I2833" s="6" t="n"/>
      <c r="M2833" s="7" t="n"/>
      <c r="N2833" s="7" t="n"/>
      <c r="O2833" s="7" t="n"/>
      <c r="P2833" s="8">
        <f>IF(NOT(ISNUMBER(M2833)),"",IF(G2833="Terreno",IF(AND(ISNUMBER(I2833),I2833&gt;0),M2833/I2833,""),IF(AND(ISNUMBER(H2833),H2833&gt;0),M2833/H2833,"")))</f>
        <v/>
      </c>
      <c r="Q2833" s="9">
        <f>IF(AND(ISNUMBER(M2833),ISNUMBER(O2833)),IF(M2833&lt;=O2833,"Valor ≤ venal IPTU",""),"")</f>
        <v/>
      </c>
      <c r="R2833" s="10" t="n"/>
      <c r="S2833" s="10" t="n"/>
      <c r="AA2833" s="10" t="n"/>
      <c r="AB2833" s="11">
        <f>IF(LEN(TRIM(X2833))=0,"",HYPERLINK("https://www.google.com/maps/@?api=1&amp;map_action=pano&amp;viewpoint="&amp;SUBSTITUTE(X2833," ",""),"Abrir Street View"))</f>
        <v/>
      </c>
    </row>
    <row r="2834">
      <c r="H2834" s="6" t="n"/>
      <c r="I2834" s="6" t="n"/>
      <c r="M2834" s="7" t="n"/>
      <c r="N2834" s="7" t="n"/>
      <c r="O2834" s="7" t="n"/>
      <c r="P2834" s="8">
        <f>IF(NOT(ISNUMBER(M2834)),"",IF(G2834="Terreno",IF(AND(ISNUMBER(I2834),I2834&gt;0),M2834/I2834,""),IF(AND(ISNUMBER(H2834),H2834&gt;0),M2834/H2834,"")))</f>
        <v/>
      </c>
      <c r="Q2834" s="9">
        <f>IF(AND(ISNUMBER(M2834),ISNUMBER(O2834)),IF(M2834&lt;=O2834,"Valor ≤ venal IPTU",""),"")</f>
        <v/>
      </c>
      <c r="R2834" s="10" t="n"/>
      <c r="S2834" s="10" t="n"/>
      <c r="AA2834" s="10" t="n"/>
      <c r="AB2834" s="11">
        <f>IF(LEN(TRIM(X2834))=0,"",HYPERLINK("https://www.google.com/maps/@?api=1&amp;map_action=pano&amp;viewpoint="&amp;SUBSTITUTE(X2834," ",""),"Abrir Street View"))</f>
        <v/>
      </c>
    </row>
    <row r="2835">
      <c r="H2835" s="6" t="n"/>
      <c r="I2835" s="6" t="n"/>
      <c r="M2835" s="7" t="n"/>
      <c r="N2835" s="7" t="n"/>
      <c r="O2835" s="7" t="n"/>
      <c r="P2835" s="8">
        <f>IF(NOT(ISNUMBER(M2835)),"",IF(G2835="Terreno",IF(AND(ISNUMBER(I2835),I2835&gt;0),M2835/I2835,""),IF(AND(ISNUMBER(H2835),H2835&gt;0),M2835/H2835,"")))</f>
        <v/>
      </c>
      <c r="Q2835" s="9">
        <f>IF(AND(ISNUMBER(M2835),ISNUMBER(O2835)),IF(M2835&lt;=O2835,"Valor ≤ venal IPTU",""),"")</f>
        <v/>
      </c>
      <c r="R2835" s="10" t="n"/>
      <c r="S2835" s="10" t="n"/>
      <c r="AA2835" s="10" t="n"/>
      <c r="AB2835" s="11">
        <f>IF(LEN(TRIM(X2835))=0,"",HYPERLINK("https://www.google.com/maps/@?api=1&amp;map_action=pano&amp;viewpoint="&amp;SUBSTITUTE(X2835," ",""),"Abrir Street View"))</f>
        <v/>
      </c>
    </row>
    <row r="2836">
      <c r="H2836" s="6" t="n"/>
      <c r="I2836" s="6" t="n"/>
      <c r="M2836" s="7" t="n"/>
      <c r="N2836" s="7" t="n"/>
      <c r="O2836" s="7" t="n"/>
      <c r="P2836" s="8">
        <f>IF(NOT(ISNUMBER(M2836)),"",IF(G2836="Terreno",IF(AND(ISNUMBER(I2836),I2836&gt;0),M2836/I2836,""),IF(AND(ISNUMBER(H2836),H2836&gt;0),M2836/H2836,"")))</f>
        <v/>
      </c>
      <c r="Q2836" s="9">
        <f>IF(AND(ISNUMBER(M2836),ISNUMBER(O2836)),IF(M2836&lt;=O2836,"Valor ≤ venal IPTU",""),"")</f>
        <v/>
      </c>
      <c r="R2836" s="10" t="n"/>
      <c r="S2836" s="10" t="n"/>
      <c r="AA2836" s="10" t="n"/>
      <c r="AB2836" s="11">
        <f>IF(LEN(TRIM(X2836))=0,"",HYPERLINK("https://www.google.com/maps/@?api=1&amp;map_action=pano&amp;viewpoint="&amp;SUBSTITUTE(X2836," ",""),"Abrir Street View"))</f>
        <v/>
      </c>
    </row>
    <row r="2837">
      <c r="H2837" s="6" t="n"/>
      <c r="I2837" s="6" t="n"/>
      <c r="M2837" s="7" t="n"/>
      <c r="N2837" s="7" t="n"/>
      <c r="O2837" s="7" t="n"/>
      <c r="P2837" s="8">
        <f>IF(NOT(ISNUMBER(M2837)),"",IF(G2837="Terreno",IF(AND(ISNUMBER(I2837),I2837&gt;0),M2837/I2837,""),IF(AND(ISNUMBER(H2837),H2837&gt;0),M2837/H2837,"")))</f>
        <v/>
      </c>
      <c r="Q2837" s="9">
        <f>IF(AND(ISNUMBER(M2837),ISNUMBER(O2837)),IF(M2837&lt;=O2837,"Valor ≤ venal IPTU",""),"")</f>
        <v/>
      </c>
      <c r="R2837" s="10" t="n"/>
      <c r="S2837" s="10" t="n"/>
      <c r="AA2837" s="10" t="n"/>
      <c r="AB2837" s="11">
        <f>IF(LEN(TRIM(X2837))=0,"",HYPERLINK("https://www.google.com/maps/@?api=1&amp;map_action=pano&amp;viewpoint="&amp;SUBSTITUTE(X2837," ",""),"Abrir Street View"))</f>
        <v/>
      </c>
    </row>
    <row r="2838">
      <c r="H2838" s="6" t="n"/>
      <c r="I2838" s="6" t="n"/>
      <c r="M2838" s="7" t="n"/>
      <c r="N2838" s="7" t="n"/>
      <c r="O2838" s="7" t="n"/>
      <c r="P2838" s="8">
        <f>IF(NOT(ISNUMBER(M2838)),"",IF(G2838="Terreno",IF(AND(ISNUMBER(I2838),I2838&gt;0),M2838/I2838,""),IF(AND(ISNUMBER(H2838),H2838&gt;0),M2838/H2838,"")))</f>
        <v/>
      </c>
      <c r="Q2838" s="9">
        <f>IF(AND(ISNUMBER(M2838),ISNUMBER(O2838)),IF(M2838&lt;=O2838,"Valor ≤ venal IPTU",""),"")</f>
        <v/>
      </c>
      <c r="R2838" s="10" t="n"/>
      <c r="S2838" s="10" t="n"/>
      <c r="AA2838" s="10" t="n"/>
      <c r="AB2838" s="11">
        <f>IF(LEN(TRIM(X2838))=0,"",HYPERLINK("https://www.google.com/maps/@?api=1&amp;map_action=pano&amp;viewpoint="&amp;SUBSTITUTE(X2838," ",""),"Abrir Street View"))</f>
        <v/>
      </c>
    </row>
    <row r="2839">
      <c r="H2839" s="6" t="n"/>
      <c r="I2839" s="6" t="n"/>
      <c r="M2839" s="7" t="n"/>
      <c r="N2839" s="7" t="n"/>
      <c r="O2839" s="7" t="n"/>
      <c r="P2839" s="8">
        <f>IF(NOT(ISNUMBER(M2839)),"",IF(G2839="Terreno",IF(AND(ISNUMBER(I2839),I2839&gt;0),M2839/I2839,""),IF(AND(ISNUMBER(H2839),H2839&gt;0),M2839/H2839,"")))</f>
        <v/>
      </c>
      <c r="Q2839" s="9">
        <f>IF(AND(ISNUMBER(M2839),ISNUMBER(O2839)),IF(M2839&lt;=O2839,"Valor ≤ venal IPTU",""),"")</f>
        <v/>
      </c>
      <c r="R2839" s="10" t="n"/>
      <c r="S2839" s="10" t="n"/>
      <c r="AA2839" s="10" t="n"/>
      <c r="AB2839" s="11">
        <f>IF(LEN(TRIM(X2839))=0,"",HYPERLINK("https://www.google.com/maps/@?api=1&amp;map_action=pano&amp;viewpoint="&amp;SUBSTITUTE(X2839," ",""),"Abrir Street View"))</f>
        <v/>
      </c>
    </row>
    <row r="2840">
      <c r="H2840" s="6" t="n"/>
      <c r="I2840" s="6" t="n"/>
      <c r="M2840" s="7" t="n"/>
      <c r="N2840" s="7" t="n"/>
      <c r="O2840" s="7" t="n"/>
      <c r="P2840" s="8">
        <f>IF(NOT(ISNUMBER(M2840)),"",IF(G2840="Terreno",IF(AND(ISNUMBER(I2840),I2840&gt;0),M2840/I2840,""),IF(AND(ISNUMBER(H2840),H2840&gt;0),M2840/H2840,"")))</f>
        <v/>
      </c>
      <c r="Q2840" s="9">
        <f>IF(AND(ISNUMBER(M2840),ISNUMBER(O2840)),IF(M2840&lt;=O2840,"Valor ≤ venal IPTU",""),"")</f>
        <v/>
      </c>
      <c r="R2840" s="10" t="n"/>
      <c r="S2840" s="10" t="n"/>
      <c r="AA2840" s="10" t="n"/>
      <c r="AB2840" s="11">
        <f>IF(LEN(TRIM(X2840))=0,"",HYPERLINK("https://www.google.com/maps/@?api=1&amp;map_action=pano&amp;viewpoint="&amp;SUBSTITUTE(X2840," ",""),"Abrir Street View"))</f>
        <v/>
      </c>
    </row>
    <row r="2841">
      <c r="H2841" s="6" t="n"/>
      <c r="I2841" s="6" t="n"/>
      <c r="M2841" s="7" t="n"/>
      <c r="N2841" s="7" t="n"/>
      <c r="O2841" s="7" t="n"/>
      <c r="P2841" s="8">
        <f>IF(NOT(ISNUMBER(M2841)),"",IF(G2841="Terreno",IF(AND(ISNUMBER(I2841),I2841&gt;0),M2841/I2841,""),IF(AND(ISNUMBER(H2841),H2841&gt;0),M2841/H2841,"")))</f>
        <v/>
      </c>
      <c r="Q2841" s="9">
        <f>IF(AND(ISNUMBER(M2841),ISNUMBER(O2841)),IF(M2841&lt;=O2841,"Valor ≤ venal IPTU",""),"")</f>
        <v/>
      </c>
      <c r="R2841" s="10" t="n"/>
      <c r="S2841" s="10" t="n"/>
      <c r="AA2841" s="10" t="n"/>
      <c r="AB2841" s="11">
        <f>IF(LEN(TRIM(X2841))=0,"",HYPERLINK("https://www.google.com/maps/@?api=1&amp;map_action=pano&amp;viewpoint="&amp;SUBSTITUTE(X2841," ",""),"Abrir Street View"))</f>
        <v/>
      </c>
    </row>
    <row r="2842">
      <c r="H2842" s="6" t="n"/>
      <c r="I2842" s="6" t="n"/>
      <c r="M2842" s="7" t="n"/>
      <c r="N2842" s="7" t="n"/>
      <c r="O2842" s="7" t="n"/>
      <c r="P2842" s="8">
        <f>IF(NOT(ISNUMBER(M2842)),"",IF(G2842="Terreno",IF(AND(ISNUMBER(I2842),I2842&gt;0),M2842/I2842,""),IF(AND(ISNUMBER(H2842),H2842&gt;0),M2842/H2842,"")))</f>
        <v/>
      </c>
      <c r="Q2842" s="9">
        <f>IF(AND(ISNUMBER(M2842),ISNUMBER(O2842)),IF(M2842&lt;=O2842,"Valor ≤ venal IPTU",""),"")</f>
        <v/>
      </c>
      <c r="R2842" s="10" t="n"/>
      <c r="S2842" s="10" t="n"/>
      <c r="AA2842" s="10" t="n"/>
      <c r="AB2842" s="11">
        <f>IF(LEN(TRIM(X2842))=0,"",HYPERLINK("https://www.google.com/maps/@?api=1&amp;map_action=pano&amp;viewpoint="&amp;SUBSTITUTE(X2842," ",""),"Abrir Street View"))</f>
        <v/>
      </c>
    </row>
    <row r="2843">
      <c r="H2843" s="6" t="n"/>
      <c r="I2843" s="6" t="n"/>
      <c r="M2843" s="7" t="n"/>
      <c r="N2843" s="7" t="n"/>
      <c r="O2843" s="7" t="n"/>
      <c r="P2843" s="8">
        <f>IF(NOT(ISNUMBER(M2843)),"",IF(G2843="Terreno",IF(AND(ISNUMBER(I2843),I2843&gt;0),M2843/I2843,""),IF(AND(ISNUMBER(H2843),H2843&gt;0),M2843/H2843,"")))</f>
        <v/>
      </c>
      <c r="Q2843" s="9">
        <f>IF(AND(ISNUMBER(M2843),ISNUMBER(O2843)),IF(M2843&lt;=O2843,"Valor ≤ venal IPTU",""),"")</f>
        <v/>
      </c>
      <c r="R2843" s="10" t="n"/>
      <c r="S2843" s="10" t="n"/>
      <c r="AA2843" s="10" t="n"/>
      <c r="AB2843" s="11">
        <f>IF(LEN(TRIM(X2843))=0,"",HYPERLINK("https://www.google.com/maps/@?api=1&amp;map_action=pano&amp;viewpoint="&amp;SUBSTITUTE(X2843," ",""),"Abrir Street View"))</f>
        <v/>
      </c>
    </row>
    <row r="2844">
      <c r="H2844" s="6" t="n"/>
      <c r="I2844" s="6" t="n"/>
      <c r="M2844" s="7" t="n"/>
      <c r="N2844" s="7" t="n"/>
      <c r="O2844" s="7" t="n"/>
      <c r="P2844" s="8">
        <f>IF(NOT(ISNUMBER(M2844)),"",IF(G2844="Terreno",IF(AND(ISNUMBER(I2844),I2844&gt;0),M2844/I2844,""),IF(AND(ISNUMBER(H2844),H2844&gt;0),M2844/H2844,"")))</f>
        <v/>
      </c>
      <c r="Q2844" s="9">
        <f>IF(AND(ISNUMBER(M2844),ISNUMBER(O2844)),IF(M2844&lt;=O2844,"Valor ≤ venal IPTU",""),"")</f>
        <v/>
      </c>
      <c r="R2844" s="10" t="n"/>
      <c r="S2844" s="10" t="n"/>
      <c r="AA2844" s="10" t="n"/>
      <c r="AB2844" s="11">
        <f>IF(LEN(TRIM(X2844))=0,"",HYPERLINK("https://www.google.com/maps/@?api=1&amp;map_action=pano&amp;viewpoint="&amp;SUBSTITUTE(X2844," ",""),"Abrir Street View"))</f>
        <v/>
      </c>
    </row>
    <row r="2845">
      <c r="H2845" s="6" t="n"/>
      <c r="I2845" s="6" t="n"/>
      <c r="M2845" s="7" t="n"/>
      <c r="N2845" s="7" t="n"/>
      <c r="O2845" s="7" t="n"/>
      <c r="P2845" s="8">
        <f>IF(NOT(ISNUMBER(M2845)),"",IF(G2845="Terreno",IF(AND(ISNUMBER(I2845),I2845&gt;0),M2845/I2845,""),IF(AND(ISNUMBER(H2845),H2845&gt;0),M2845/H2845,"")))</f>
        <v/>
      </c>
      <c r="Q2845" s="9">
        <f>IF(AND(ISNUMBER(M2845),ISNUMBER(O2845)),IF(M2845&lt;=O2845,"Valor ≤ venal IPTU",""),"")</f>
        <v/>
      </c>
      <c r="R2845" s="10" t="n"/>
      <c r="S2845" s="10" t="n"/>
      <c r="AA2845" s="10" t="n"/>
      <c r="AB2845" s="11">
        <f>IF(LEN(TRIM(X2845))=0,"",HYPERLINK("https://www.google.com/maps/@?api=1&amp;map_action=pano&amp;viewpoint="&amp;SUBSTITUTE(X2845," ",""),"Abrir Street View"))</f>
        <v/>
      </c>
    </row>
    <row r="2846">
      <c r="H2846" s="6" t="n"/>
      <c r="I2846" s="6" t="n"/>
      <c r="M2846" s="7" t="n"/>
      <c r="N2846" s="7" t="n"/>
      <c r="O2846" s="7" t="n"/>
      <c r="P2846" s="8">
        <f>IF(NOT(ISNUMBER(M2846)),"",IF(G2846="Terreno",IF(AND(ISNUMBER(I2846),I2846&gt;0),M2846/I2846,""),IF(AND(ISNUMBER(H2846),H2846&gt;0),M2846/H2846,"")))</f>
        <v/>
      </c>
      <c r="Q2846" s="9">
        <f>IF(AND(ISNUMBER(M2846),ISNUMBER(O2846)),IF(M2846&lt;=O2846,"Valor ≤ venal IPTU",""),"")</f>
        <v/>
      </c>
      <c r="R2846" s="10" t="n"/>
      <c r="S2846" s="10" t="n"/>
      <c r="AA2846" s="10" t="n"/>
      <c r="AB2846" s="11">
        <f>IF(LEN(TRIM(X2846))=0,"",HYPERLINK("https://www.google.com/maps/@?api=1&amp;map_action=pano&amp;viewpoint="&amp;SUBSTITUTE(X2846," ",""),"Abrir Street View"))</f>
        <v/>
      </c>
    </row>
    <row r="2847">
      <c r="H2847" s="6" t="n"/>
      <c r="I2847" s="6" t="n"/>
      <c r="M2847" s="7" t="n"/>
      <c r="N2847" s="7" t="n"/>
      <c r="O2847" s="7" t="n"/>
      <c r="P2847" s="8">
        <f>IF(NOT(ISNUMBER(M2847)),"",IF(G2847="Terreno",IF(AND(ISNUMBER(I2847),I2847&gt;0),M2847/I2847,""),IF(AND(ISNUMBER(H2847),H2847&gt;0),M2847/H2847,"")))</f>
        <v/>
      </c>
      <c r="Q2847" s="9">
        <f>IF(AND(ISNUMBER(M2847),ISNUMBER(O2847)),IF(M2847&lt;=O2847,"Valor ≤ venal IPTU",""),"")</f>
        <v/>
      </c>
      <c r="R2847" s="10" t="n"/>
      <c r="S2847" s="10" t="n"/>
      <c r="AA2847" s="10" t="n"/>
      <c r="AB2847" s="11">
        <f>IF(LEN(TRIM(X2847))=0,"",HYPERLINK("https://www.google.com/maps/@?api=1&amp;map_action=pano&amp;viewpoint="&amp;SUBSTITUTE(X2847," ",""),"Abrir Street View"))</f>
        <v/>
      </c>
    </row>
    <row r="2848">
      <c r="H2848" s="6" t="n"/>
      <c r="I2848" s="6" t="n"/>
      <c r="M2848" s="7" t="n"/>
      <c r="N2848" s="7" t="n"/>
      <c r="O2848" s="7" t="n"/>
      <c r="P2848" s="8">
        <f>IF(NOT(ISNUMBER(M2848)),"",IF(G2848="Terreno",IF(AND(ISNUMBER(I2848),I2848&gt;0),M2848/I2848,""),IF(AND(ISNUMBER(H2848),H2848&gt;0),M2848/H2848,"")))</f>
        <v/>
      </c>
      <c r="Q2848" s="9">
        <f>IF(AND(ISNUMBER(M2848),ISNUMBER(O2848)),IF(M2848&lt;=O2848,"Valor ≤ venal IPTU",""),"")</f>
        <v/>
      </c>
      <c r="R2848" s="10" t="n"/>
      <c r="S2848" s="10" t="n"/>
      <c r="AA2848" s="10" t="n"/>
      <c r="AB2848" s="11">
        <f>IF(LEN(TRIM(X2848))=0,"",HYPERLINK("https://www.google.com/maps/@?api=1&amp;map_action=pano&amp;viewpoint="&amp;SUBSTITUTE(X2848," ",""),"Abrir Street View"))</f>
        <v/>
      </c>
    </row>
    <row r="2849">
      <c r="H2849" s="6" t="n"/>
      <c r="I2849" s="6" t="n"/>
      <c r="M2849" s="7" t="n"/>
      <c r="N2849" s="7" t="n"/>
      <c r="O2849" s="7" t="n"/>
      <c r="P2849" s="8">
        <f>IF(NOT(ISNUMBER(M2849)),"",IF(G2849="Terreno",IF(AND(ISNUMBER(I2849),I2849&gt;0),M2849/I2849,""),IF(AND(ISNUMBER(H2849),H2849&gt;0),M2849/H2849,"")))</f>
        <v/>
      </c>
      <c r="Q2849" s="9">
        <f>IF(AND(ISNUMBER(M2849),ISNUMBER(O2849)),IF(M2849&lt;=O2849,"Valor ≤ venal IPTU",""),"")</f>
        <v/>
      </c>
      <c r="R2849" s="10" t="n"/>
      <c r="S2849" s="10" t="n"/>
      <c r="AA2849" s="10" t="n"/>
      <c r="AB2849" s="11">
        <f>IF(LEN(TRIM(X2849))=0,"",HYPERLINK("https://www.google.com/maps/@?api=1&amp;map_action=pano&amp;viewpoint="&amp;SUBSTITUTE(X2849," ",""),"Abrir Street View"))</f>
        <v/>
      </c>
    </row>
    <row r="2850">
      <c r="H2850" s="6" t="n"/>
      <c r="I2850" s="6" t="n"/>
      <c r="M2850" s="7" t="n"/>
      <c r="N2850" s="7" t="n"/>
      <c r="O2850" s="7" t="n"/>
      <c r="P2850" s="8">
        <f>IF(NOT(ISNUMBER(M2850)),"",IF(G2850="Terreno",IF(AND(ISNUMBER(I2850),I2850&gt;0),M2850/I2850,""),IF(AND(ISNUMBER(H2850),H2850&gt;0),M2850/H2850,"")))</f>
        <v/>
      </c>
      <c r="Q2850" s="9">
        <f>IF(AND(ISNUMBER(M2850),ISNUMBER(O2850)),IF(M2850&lt;=O2850,"Valor ≤ venal IPTU",""),"")</f>
        <v/>
      </c>
      <c r="R2850" s="10" t="n"/>
      <c r="S2850" s="10" t="n"/>
      <c r="AA2850" s="10" t="n"/>
      <c r="AB2850" s="11">
        <f>IF(LEN(TRIM(X2850))=0,"",HYPERLINK("https://www.google.com/maps/@?api=1&amp;map_action=pano&amp;viewpoint="&amp;SUBSTITUTE(X2850," ",""),"Abrir Street View"))</f>
        <v/>
      </c>
    </row>
    <row r="2851">
      <c r="H2851" s="6" t="n"/>
      <c r="I2851" s="6" t="n"/>
      <c r="M2851" s="7" t="n"/>
      <c r="N2851" s="7" t="n"/>
      <c r="O2851" s="7" t="n"/>
      <c r="P2851" s="8">
        <f>IF(NOT(ISNUMBER(M2851)),"",IF(G2851="Terreno",IF(AND(ISNUMBER(I2851),I2851&gt;0),M2851/I2851,""),IF(AND(ISNUMBER(H2851),H2851&gt;0),M2851/H2851,"")))</f>
        <v/>
      </c>
      <c r="Q2851" s="9">
        <f>IF(AND(ISNUMBER(M2851),ISNUMBER(O2851)),IF(M2851&lt;=O2851,"Valor ≤ venal IPTU",""),"")</f>
        <v/>
      </c>
      <c r="R2851" s="10" t="n"/>
      <c r="S2851" s="10" t="n"/>
      <c r="AA2851" s="10" t="n"/>
      <c r="AB2851" s="11">
        <f>IF(LEN(TRIM(X2851))=0,"",HYPERLINK("https://www.google.com/maps/@?api=1&amp;map_action=pano&amp;viewpoint="&amp;SUBSTITUTE(X2851," ",""),"Abrir Street View"))</f>
        <v/>
      </c>
    </row>
    <row r="2852">
      <c r="H2852" s="6" t="n"/>
      <c r="I2852" s="6" t="n"/>
      <c r="M2852" s="7" t="n"/>
      <c r="N2852" s="7" t="n"/>
      <c r="O2852" s="7" t="n"/>
      <c r="P2852" s="8">
        <f>IF(NOT(ISNUMBER(M2852)),"",IF(G2852="Terreno",IF(AND(ISNUMBER(I2852),I2852&gt;0),M2852/I2852,""),IF(AND(ISNUMBER(H2852),H2852&gt;0),M2852/H2852,"")))</f>
        <v/>
      </c>
      <c r="Q2852" s="9">
        <f>IF(AND(ISNUMBER(M2852),ISNUMBER(O2852)),IF(M2852&lt;=O2852,"Valor ≤ venal IPTU",""),"")</f>
        <v/>
      </c>
      <c r="R2852" s="10" t="n"/>
      <c r="S2852" s="10" t="n"/>
      <c r="AA2852" s="10" t="n"/>
      <c r="AB2852" s="11">
        <f>IF(LEN(TRIM(X2852))=0,"",HYPERLINK("https://www.google.com/maps/@?api=1&amp;map_action=pano&amp;viewpoint="&amp;SUBSTITUTE(X2852," ",""),"Abrir Street View"))</f>
        <v/>
      </c>
    </row>
    <row r="2853">
      <c r="H2853" s="6" t="n"/>
      <c r="I2853" s="6" t="n"/>
      <c r="M2853" s="7" t="n"/>
      <c r="N2853" s="7" t="n"/>
      <c r="O2853" s="7" t="n"/>
      <c r="P2853" s="8">
        <f>IF(NOT(ISNUMBER(M2853)),"",IF(G2853="Terreno",IF(AND(ISNUMBER(I2853),I2853&gt;0),M2853/I2853,""),IF(AND(ISNUMBER(H2853),H2853&gt;0),M2853/H2853,"")))</f>
        <v/>
      </c>
      <c r="Q2853" s="9">
        <f>IF(AND(ISNUMBER(M2853),ISNUMBER(O2853)),IF(M2853&lt;=O2853,"Valor ≤ venal IPTU",""),"")</f>
        <v/>
      </c>
      <c r="R2853" s="10" t="n"/>
      <c r="S2853" s="10" t="n"/>
      <c r="AA2853" s="10" t="n"/>
      <c r="AB2853" s="11">
        <f>IF(LEN(TRIM(X2853))=0,"",HYPERLINK("https://www.google.com/maps/@?api=1&amp;map_action=pano&amp;viewpoint="&amp;SUBSTITUTE(X2853," ",""),"Abrir Street View"))</f>
        <v/>
      </c>
    </row>
    <row r="2854">
      <c r="H2854" s="6" t="n"/>
      <c r="I2854" s="6" t="n"/>
      <c r="M2854" s="7" t="n"/>
      <c r="N2854" s="7" t="n"/>
      <c r="O2854" s="7" t="n"/>
      <c r="P2854" s="8">
        <f>IF(NOT(ISNUMBER(M2854)),"",IF(G2854="Terreno",IF(AND(ISNUMBER(I2854),I2854&gt;0),M2854/I2854,""),IF(AND(ISNUMBER(H2854),H2854&gt;0),M2854/H2854,"")))</f>
        <v/>
      </c>
      <c r="Q2854" s="9">
        <f>IF(AND(ISNUMBER(M2854),ISNUMBER(O2854)),IF(M2854&lt;=O2854,"Valor ≤ venal IPTU",""),"")</f>
        <v/>
      </c>
      <c r="R2854" s="10" t="n"/>
      <c r="S2854" s="10" t="n"/>
      <c r="AA2854" s="10" t="n"/>
      <c r="AB2854" s="11">
        <f>IF(LEN(TRIM(X2854))=0,"",HYPERLINK("https://www.google.com/maps/@?api=1&amp;map_action=pano&amp;viewpoint="&amp;SUBSTITUTE(X2854," ",""),"Abrir Street View"))</f>
        <v/>
      </c>
    </row>
    <row r="2855">
      <c r="H2855" s="6" t="n"/>
      <c r="I2855" s="6" t="n"/>
      <c r="M2855" s="7" t="n"/>
      <c r="N2855" s="7" t="n"/>
      <c r="O2855" s="7" t="n"/>
      <c r="P2855" s="8">
        <f>IF(NOT(ISNUMBER(M2855)),"",IF(G2855="Terreno",IF(AND(ISNUMBER(I2855),I2855&gt;0),M2855/I2855,""),IF(AND(ISNUMBER(H2855),H2855&gt;0),M2855/H2855,"")))</f>
        <v/>
      </c>
      <c r="Q2855" s="9">
        <f>IF(AND(ISNUMBER(M2855),ISNUMBER(O2855)),IF(M2855&lt;=O2855,"Valor ≤ venal IPTU",""),"")</f>
        <v/>
      </c>
      <c r="R2855" s="10" t="n"/>
      <c r="S2855" s="10" t="n"/>
      <c r="AA2855" s="10" t="n"/>
      <c r="AB2855" s="11">
        <f>IF(LEN(TRIM(X2855))=0,"",HYPERLINK("https://www.google.com/maps/@?api=1&amp;map_action=pano&amp;viewpoint="&amp;SUBSTITUTE(X2855," ",""),"Abrir Street View"))</f>
        <v/>
      </c>
    </row>
    <row r="2856">
      <c r="H2856" s="6" t="n"/>
      <c r="I2856" s="6" t="n"/>
      <c r="M2856" s="7" t="n"/>
      <c r="N2856" s="7" t="n"/>
      <c r="O2856" s="7" t="n"/>
      <c r="P2856" s="8">
        <f>IF(NOT(ISNUMBER(M2856)),"",IF(G2856="Terreno",IF(AND(ISNUMBER(I2856),I2856&gt;0),M2856/I2856,""),IF(AND(ISNUMBER(H2856),H2856&gt;0),M2856/H2856,"")))</f>
        <v/>
      </c>
      <c r="Q2856" s="9">
        <f>IF(AND(ISNUMBER(M2856),ISNUMBER(O2856)),IF(M2856&lt;=O2856,"Valor ≤ venal IPTU",""),"")</f>
        <v/>
      </c>
      <c r="R2856" s="10" t="n"/>
      <c r="S2856" s="10" t="n"/>
      <c r="AA2856" s="10" t="n"/>
      <c r="AB2856" s="11">
        <f>IF(LEN(TRIM(X2856))=0,"",HYPERLINK("https://www.google.com/maps/@?api=1&amp;map_action=pano&amp;viewpoint="&amp;SUBSTITUTE(X2856," ",""),"Abrir Street View"))</f>
        <v/>
      </c>
    </row>
    <row r="2857">
      <c r="H2857" s="6" t="n"/>
      <c r="I2857" s="6" t="n"/>
      <c r="M2857" s="7" t="n"/>
      <c r="N2857" s="7" t="n"/>
      <c r="O2857" s="7" t="n"/>
      <c r="P2857" s="8">
        <f>IF(NOT(ISNUMBER(M2857)),"",IF(G2857="Terreno",IF(AND(ISNUMBER(I2857),I2857&gt;0),M2857/I2857,""),IF(AND(ISNUMBER(H2857),H2857&gt;0),M2857/H2857,"")))</f>
        <v/>
      </c>
      <c r="Q2857" s="9">
        <f>IF(AND(ISNUMBER(M2857),ISNUMBER(O2857)),IF(M2857&lt;=O2857,"Valor ≤ venal IPTU",""),"")</f>
        <v/>
      </c>
      <c r="R2857" s="10" t="n"/>
      <c r="S2857" s="10" t="n"/>
      <c r="AA2857" s="10" t="n"/>
      <c r="AB2857" s="11">
        <f>IF(LEN(TRIM(X2857))=0,"",HYPERLINK("https://www.google.com/maps/@?api=1&amp;map_action=pano&amp;viewpoint="&amp;SUBSTITUTE(X2857," ",""),"Abrir Street View"))</f>
        <v/>
      </c>
    </row>
    <row r="2858">
      <c r="H2858" s="6" t="n"/>
      <c r="I2858" s="6" t="n"/>
      <c r="M2858" s="7" t="n"/>
      <c r="N2858" s="7" t="n"/>
      <c r="O2858" s="7" t="n"/>
      <c r="P2858" s="8">
        <f>IF(NOT(ISNUMBER(M2858)),"",IF(G2858="Terreno",IF(AND(ISNUMBER(I2858),I2858&gt;0),M2858/I2858,""),IF(AND(ISNUMBER(H2858),H2858&gt;0),M2858/H2858,"")))</f>
        <v/>
      </c>
      <c r="Q2858" s="9">
        <f>IF(AND(ISNUMBER(M2858),ISNUMBER(O2858)),IF(M2858&lt;=O2858,"Valor ≤ venal IPTU",""),"")</f>
        <v/>
      </c>
      <c r="R2858" s="10" t="n"/>
      <c r="S2858" s="10" t="n"/>
      <c r="AA2858" s="10" t="n"/>
      <c r="AB2858" s="11">
        <f>IF(LEN(TRIM(X2858))=0,"",HYPERLINK("https://www.google.com/maps/@?api=1&amp;map_action=pano&amp;viewpoint="&amp;SUBSTITUTE(X2858," ",""),"Abrir Street View"))</f>
        <v/>
      </c>
    </row>
    <row r="2859">
      <c r="H2859" s="6" t="n"/>
      <c r="I2859" s="6" t="n"/>
      <c r="M2859" s="7" t="n"/>
      <c r="N2859" s="7" t="n"/>
      <c r="O2859" s="7" t="n"/>
      <c r="P2859" s="8">
        <f>IF(NOT(ISNUMBER(M2859)),"",IF(G2859="Terreno",IF(AND(ISNUMBER(I2859),I2859&gt;0),M2859/I2859,""),IF(AND(ISNUMBER(H2859),H2859&gt;0),M2859/H2859,"")))</f>
        <v/>
      </c>
      <c r="Q2859" s="9">
        <f>IF(AND(ISNUMBER(M2859),ISNUMBER(O2859)),IF(M2859&lt;=O2859,"Valor ≤ venal IPTU",""),"")</f>
        <v/>
      </c>
      <c r="R2859" s="10" t="n"/>
      <c r="S2859" s="10" t="n"/>
      <c r="AA2859" s="10" t="n"/>
      <c r="AB2859" s="11">
        <f>IF(LEN(TRIM(X2859))=0,"",HYPERLINK("https://www.google.com/maps/@?api=1&amp;map_action=pano&amp;viewpoint="&amp;SUBSTITUTE(X2859," ",""),"Abrir Street View"))</f>
        <v/>
      </c>
    </row>
    <row r="2860">
      <c r="H2860" s="6" t="n"/>
      <c r="I2860" s="6" t="n"/>
      <c r="M2860" s="7" t="n"/>
      <c r="N2860" s="7" t="n"/>
      <c r="O2860" s="7" t="n"/>
      <c r="P2860" s="8">
        <f>IF(NOT(ISNUMBER(M2860)),"",IF(G2860="Terreno",IF(AND(ISNUMBER(I2860),I2860&gt;0),M2860/I2860,""),IF(AND(ISNUMBER(H2860),H2860&gt;0),M2860/H2860,"")))</f>
        <v/>
      </c>
      <c r="Q2860" s="9">
        <f>IF(AND(ISNUMBER(M2860),ISNUMBER(O2860)),IF(M2860&lt;=O2860,"Valor ≤ venal IPTU",""),"")</f>
        <v/>
      </c>
      <c r="R2860" s="10" t="n"/>
      <c r="S2860" s="10" t="n"/>
      <c r="AA2860" s="10" t="n"/>
      <c r="AB2860" s="11">
        <f>IF(LEN(TRIM(X2860))=0,"",HYPERLINK("https://www.google.com/maps/@?api=1&amp;map_action=pano&amp;viewpoint="&amp;SUBSTITUTE(X2860," ",""),"Abrir Street View"))</f>
        <v/>
      </c>
    </row>
    <row r="2861">
      <c r="H2861" s="6" t="n"/>
      <c r="I2861" s="6" t="n"/>
      <c r="M2861" s="7" t="n"/>
      <c r="N2861" s="7" t="n"/>
      <c r="O2861" s="7" t="n"/>
      <c r="P2861" s="8">
        <f>IF(NOT(ISNUMBER(M2861)),"",IF(G2861="Terreno",IF(AND(ISNUMBER(I2861),I2861&gt;0),M2861/I2861,""),IF(AND(ISNUMBER(H2861),H2861&gt;0),M2861/H2861,"")))</f>
        <v/>
      </c>
      <c r="Q2861" s="9">
        <f>IF(AND(ISNUMBER(M2861),ISNUMBER(O2861)),IF(M2861&lt;=O2861,"Valor ≤ venal IPTU",""),"")</f>
        <v/>
      </c>
      <c r="R2861" s="10" t="n"/>
      <c r="S2861" s="10" t="n"/>
      <c r="AA2861" s="10" t="n"/>
      <c r="AB2861" s="11">
        <f>IF(LEN(TRIM(X2861))=0,"",HYPERLINK("https://www.google.com/maps/@?api=1&amp;map_action=pano&amp;viewpoint="&amp;SUBSTITUTE(X2861," ",""),"Abrir Street View"))</f>
        <v/>
      </c>
    </row>
    <row r="2862">
      <c r="H2862" s="6" t="n"/>
      <c r="I2862" s="6" t="n"/>
      <c r="M2862" s="7" t="n"/>
      <c r="N2862" s="7" t="n"/>
      <c r="O2862" s="7" t="n"/>
      <c r="P2862" s="8">
        <f>IF(NOT(ISNUMBER(M2862)),"",IF(G2862="Terreno",IF(AND(ISNUMBER(I2862),I2862&gt;0),M2862/I2862,""),IF(AND(ISNUMBER(H2862),H2862&gt;0),M2862/H2862,"")))</f>
        <v/>
      </c>
      <c r="Q2862" s="9">
        <f>IF(AND(ISNUMBER(M2862),ISNUMBER(O2862)),IF(M2862&lt;=O2862,"Valor ≤ venal IPTU",""),"")</f>
        <v/>
      </c>
      <c r="R2862" s="10" t="n"/>
      <c r="S2862" s="10" t="n"/>
      <c r="AA2862" s="10" t="n"/>
      <c r="AB2862" s="11">
        <f>IF(LEN(TRIM(X2862))=0,"",HYPERLINK("https://www.google.com/maps/@?api=1&amp;map_action=pano&amp;viewpoint="&amp;SUBSTITUTE(X2862," ",""),"Abrir Street View"))</f>
        <v/>
      </c>
    </row>
    <row r="2863">
      <c r="H2863" s="6" t="n"/>
      <c r="I2863" s="6" t="n"/>
      <c r="M2863" s="7" t="n"/>
      <c r="N2863" s="7" t="n"/>
      <c r="O2863" s="7" t="n"/>
      <c r="P2863" s="8">
        <f>IF(NOT(ISNUMBER(M2863)),"",IF(G2863="Terreno",IF(AND(ISNUMBER(I2863),I2863&gt;0),M2863/I2863,""),IF(AND(ISNUMBER(H2863),H2863&gt;0),M2863/H2863,"")))</f>
        <v/>
      </c>
      <c r="Q2863" s="9">
        <f>IF(AND(ISNUMBER(M2863),ISNUMBER(O2863)),IF(M2863&lt;=O2863,"Valor ≤ venal IPTU",""),"")</f>
        <v/>
      </c>
      <c r="R2863" s="10" t="n"/>
      <c r="S2863" s="10" t="n"/>
      <c r="AA2863" s="10" t="n"/>
      <c r="AB2863" s="11">
        <f>IF(LEN(TRIM(X2863))=0,"",HYPERLINK("https://www.google.com/maps/@?api=1&amp;map_action=pano&amp;viewpoint="&amp;SUBSTITUTE(X2863," ",""),"Abrir Street View"))</f>
        <v/>
      </c>
    </row>
    <row r="2864">
      <c r="H2864" s="6" t="n"/>
      <c r="I2864" s="6" t="n"/>
      <c r="M2864" s="7" t="n"/>
      <c r="N2864" s="7" t="n"/>
      <c r="O2864" s="7" t="n"/>
      <c r="P2864" s="8">
        <f>IF(NOT(ISNUMBER(M2864)),"",IF(G2864="Terreno",IF(AND(ISNUMBER(I2864),I2864&gt;0),M2864/I2864,""),IF(AND(ISNUMBER(H2864),H2864&gt;0),M2864/H2864,"")))</f>
        <v/>
      </c>
      <c r="Q2864" s="9">
        <f>IF(AND(ISNUMBER(M2864),ISNUMBER(O2864)),IF(M2864&lt;=O2864,"Valor ≤ venal IPTU",""),"")</f>
        <v/>
      </c>
      <c r="R2864" s="10" t="n"/>
      <c r="S2864" s="10" t="n"/>
      <c r="AA2864" s="10" t="n"/>
      <c r="AB2864" s="11">
        <f>IF(LEN(TRIM(X2864))=0,"",HYPERLINK("https://www.google.com/maps/@?api=1&amp;map_action=pano&amp;viewpoint="&amp;SUBSTITUTE(X2864," ",""),"Abrir Street View"))</f>
        <v/>
      </c>
    </row>
    <row r="2865">
      <c r="H2865" s="6" t="n"/>
      <c r="I2865" s="6" t="n"/>
      <c r="M2865" s="7" t="n"/>
      <c r="N2865" s="7" t="n"/>
      <c r="O2865" s="7" t="n"/>
      <c r="P2865" s="8">
        <f>IF(NOT(ISNUMBER(M2865)),"",IF(G2865="Terreno",IF(AND(ISNUMBER(I2865),I2865&gt;0),M2865/I2865,""),IF(AND(ISNUMBER(H2865),H2865&gt;0),M2865/H2865,"")))</f>
        <v/>
      </c>
      <c r="Q2865" s="9">
        <f>IF(AND(ISNUMBER(M2865),ISNUMBER(O2865)),IF(M2865&lt;=O2865,"Valor ≤ venal IPTU",""),"")</f>
        <v/>
      </c>
      <c r="R2865" s="10" t="n"/>
      <c r="S2865" s="10" t="n"/>
      <c r="AA2865" s="10" t="n"/>
      <c r="AB2865" s="11">
        <f>IF(LEN(TRIM(X2865))=0,"",HYPERLINK("https://www.google.com/maps/@?api=1&amp;map_action=pano&amp;viewpoint="&amp;SUBSTITUTE(X2865," ",""),"Abrir Street View"))</f>
        <v/>
      </c>
    </row>
    <row r="2866">
      <c r="H2866" s="6" t="n"/>
      <c r="I2866" s="6" t="n"/>
      <c r="M2866" s="7" t="n"/>
      <c r="N2866" s="7" t="n"/>
      <c r="O2866" s="7" t="n"/>
      <c r="P2866" s="8">
        <f>IF(NOT(ISNUMBER(M2866)),"",IF(G2866="Terreno",IF(AND(ISNUMBER(I2866),I2866&gt;0),M2866/I2866,""),IF(AND(ISNUMBER(H2866),H2866&gt;0),M2866/H2866,"")))</f>
        <v/>
      </c>
      <c r="Q2866" s="9">
        <f>IF(AND(ISNUMBER(M2866),ISNUMBER(O2866)),IF(M2866&lt;=O2866,"Valor ≤ venal IPTU",""),"")</f>
        <v/>
      </c>
      <c r="R2866" s="10" t="n"/>
      <c r="S2866" s="10" t="n"/>
      <c r="AA2866" s="10" t="n"/>
      <c r="AB2866" s="11">
        <f>IF(LEN(TRIM(X2866))=0,"",HYPERLINK("https://www.google.com/maps/@?api=1&amp;map_action=pano&amp;viewpoint="&amp;SUBSTITUTE(X2866," ",""),"Abrir Street View"))</f>
        <v/>
      </c>
    </row>
    <row r="2867">
      <c r="H2867" s="6" t="n"/>
      <c r="I2867" s="6" t="n"/>
      <c r="M2867" s="7" t="n"/>
      <c r="N2867" s="7" t="n"/>
      <c r="O2867" s="7" t="n"/>
      <c r="P2867" s="8">
        <f>IF(NOT(ISNUMBER(M2867)),"",IF(G2867="Terreno",IF(AND(ISNUMBER(I2867),I2867&gt;0),M2867/I2867,""),IF(AND(ISNUMBER(H2867),H2867&gt;0),M2867/H2867,"")))</f>
        <v/>
      </c>
      <c r="Q2867" s="9">
        <f>IF(AND(ISNUMBER(M2867),ISNUMBER(O2867)),IF(M2867&lt;=O2867,"Valor ≤ venal IPTU",""),"")</f>
        <v/>
      </c>
      <c r="R2867" s="10" t="n"/>
      <c r="S2867" s="10" t="n"/>
      <c r="AA2867" s="10" t="n"/>
      <c r="AB2867" s="11">
        <f>IF(LEN(TRIM(X2867))=0,"",HYPERLINK("https://www.google.com/maps/@?api=1&amp;map_action=pano&amp;viewpoint="&amp;SUBSTITUTE(X2867," ",""),"Abrir Street View"))</f>
        <v/>
      </c>
    </row>
    <row r="2868">
      <c r="H2868" s="6" t="n"/>
      <c r="I2868" s="6" t="n"/>
      <c r="M2868" s="7" t="n"/>
      <c r="N2868" s="7" t="n"/>
      <c r="O2868" s="7" t="n"/>
      <c r="P2868" s="8">
        <f>IF(NOT(ISNUMBER(M2868)),"",IF(G2868="Terreno",IF(AND(ISNUMBER(I2868),I2868&gt;0),M2868/I2868,""),IF(AND(ISNUMBER(H2868),H2868&gt;0),M2868/H2868,"")))</f>
        <v/>
      </c>
      <c r="Q2868" s="9">
        <f>IF(AND(ISNUMBER(M2868),ISNUMBER(O2868)),IF(M2868&lt;=O2868,"Valor ≤ venal IPTU",""),"")</f>
        <v/>
      </c>
      <c r="R2868" s="10" t="n"/>
      <c r="S2868" s="10" t="n"/>
      <c r="AA2868" s="10" t="n"/>
      <c r="AB2868" s="11">
        <f>IF(LEN(TRIM(X2868))=0,"",HYPERLINK("https://www.google.com/maps/@?api=1&amp;map_action=pano&amp;viewpoint="&amp;SUBSTITUTE(X2868," ",""),"Abrir Street View"))</f>
        <v/>
      </c>
    </row>
    <row r="2869">
      <c r="H2869" s="6" t="n"/>
      <c r="I2869" s="6" t="n"/>
      <c r="M2869" s="7" t="n"/>
      <c r="N2869" s="7" t="n"/>
      <c r="O2869" s="7" t="n"/>
      <c r="P2869" s="8">
        <f>IF(NOT(ISNUMBER(M2869)),"",IF(G2869="Terreno",IF(AND(ISNUMBER(I2869),I2869&gt;0),M2869/I2869,""),IF(AND(ISNUMBER(H2869),H2869&gt;0),M2869/H2869,"")))</f>
        <v/>
      </c>
      <c r="Q2869" s="9">
        <f>IF(AND(ISNUMBER(M2869),ISNUMBER(O2869)),IF(M2869&lt;=O2869,"Valor ≤ venal IPTU",""),"")</f>
        <v/>
      </c>
      <c r="R2869" s="10" t="n"/>
      <c r="S2869" s="10" t="n"/>
      <c r="AA2869" s="10" t="n"/>
      <c r="AB2869" s="11">
        <f>IF(LEN(TRIM(X2869))=0,"",HYPERLINK("https://www.google.com/maps/@?api=1&amp;map_action=pano&amp;viewpoint="&amp;SUBSTITUTE(X2869," ",""),"Abrir Street View"))</f>
        <v/>
      </c>
    </row>
    <row r="2870">
      <c r="H2870" s="6" t="n"/>
      <c r="I2870" s="6" t="n"/>
      <c r="M2870" s="7" t="n"/>
      <c r="N2870" s="7" t="n"/>
      <c r="O2870" s="7" t="n"/>
      <c r="P2870" s="8">
        <f>IF(NOT(ISNUMBER(M2870)),"",IF(G2870="Terreno",IF(AND(ISNUMBER(I2870),I2870&gt;0),M2870/I2870,""),IF(AND(ISNUMBER(H2870),H2870&gt;0),M2870/H2870,"")))</f>
        <v/>
      </c>
      <c r="Q2870" s="9">
        <f>IF(AND(ISNUMBER(M2870),ISNUMBER(O2870)),IF(M2870&lt;=O2870,"Valor ≤ venal IPTU",""),"")</f>
        <v/>
      </c>
      <c r="R2870" s="10" t="n"/>
      <c r="S2870" s="10" t="n"/>
      <c r="AA2870" s="10" t="n"/>
      <c r="AB2870" s="11">
        <f>IF(LEN(TRIM(X2870))=0,"",HYPERLINK("https://www.google.com/maps/@?api=1&amp;map_action=pano&amp;viewpoint="&amp;SUBSTITUTE(X2870," ",""),"Abrir Street View"))</f>
        <v/>
      </c>
    </row>
    <row r="2871">
      <c r="H2871" s="6" t="n"/>
      <c r="I2871" s="6" t="n"/>
      <c r="M2871" s="7" t="n"/>
      <c r="N2871" s="7" t="n"/>
      <c r="O2871" s="7" t="n"/>
      <c r="P2871" s="8">
        <f>IF(NOT(ISNUMBER(M2871)),"",IF(G2871="Terreno",IF(AND(ISNUMBER(I2871),I2871&gt;0),M2871/I2871,""),IF(AND(ISNUMBER(H2871),H2871&gt;0),M2871/H2871,"")))</f>
        <v/>
      </c>
      <c r="Q2871" s="9">
        <f>IF(AND(ISNUMBER(M2871),ISNUMBER(O2871)),IF(M2871&lt;=O2871,"Valor ≤ venal IPTU",""),"")</f>
        <v/>
      </c>
      <c r="R2871" s="10" t="n"/>
      <c r="S2871" s="10" t="n"/>
      <c r="AA2871" s="10" t="n"/>
      <c r="AB2871" s="11">
        <f>IF(LEN(TRIM(X2871))=0,"",HYPERLINK("https://www.google.com/maps/@?api=1&amp;map_action=pano&amp;viewpoint="&amp;SUBSTITUTE(X2871," ",""),"Abrir Street View"))</f>
        <v/>
      </c>
    </row>
    <row r="2872">
      <c r="H2872" s="6" t="n"/>
      <c r="I2872" s="6" t="n"/>
      <c r="M2872" s="7" t="n"/>
      <c r="N2872" s="7" t="n"/>
      <c r="O2872" s="7" t="n"/>
      <c r="P2872" s="8">
        <f>IF(NOT(ISNUMBER(M2872)),"",IF(G2872="Terreno",IF(AND(ISNUMBER(I2872),I2872&gt;0),M2872/I2872,""),IF(AND(ISNUMBER(H2872),H2872&gt;0),M2872/H2872,"")))</f>
        <v/>
      </c>
      <c r="Q2872" s="9">
        <f>IF(AND(ISNUMBER(M2872),ISNUMBER(O2872)),IF(M2872&lt;=O2872,"Valor ≤ venal IPTU",""),"")</f>
        <v/>
      </c>
      <c r="R2872" s="10" t="n"/>
      <c r="S2872" s="10" t="n"/>
      <c r="AA2872" s="10" t="n"/>
      <c r="AB2872" s="11">
        <f>IF(LEN(TRIM(X2872))=0,"",HYPERLINK("https://www.google.com/maps/@?api=1&amp;map_action=pano&amp;viewpoint="&amp;SUBSTITUTE(X2872," ",""),"Abrir Street View"))</f>
        <v/>
      </c>
    </row>
    <row r="2873">
      <c r="H2873" s="6" t="n"/>
      <c r="I2873" s="6" t="n"/>
      <c r="M2873" s="7" t="n"/>
      <c r="N2873" s="7" t="n"/>
      <c r="O2873" s="7" t="n"/>
      <c r="P2873" s="8">
        <f>IF(NOT(ISNUMBER(M2873)),"",IF(G2873="Terreno",IF(AND(ISNUMBER(I2873),I2873&gt;0),M2873/I2873,""),IF(AND(ISNUMBER(H2873),H2873&gt;0),M2873/H2873,"")))</f>
        <v/>
      </c>
      <c r="Q2873" s="9">
        <f>IF(AND(ISNUMBER(M2873),ISNUMBER(O2873)),IF(M2873&lt;=O2873,"Valor ≤ venal IPTU",""),"")</f>
        <v/>
      </c>
      <c r="R2873" s="10" t="n"/>
      <c r="S2873" s="10" t="n"/>
      <c r="AA2873" s="10" t="n"/>
      <c r="AB2873" s="11">
        <f>IF(LEN(TRIM(X2873))=0,"",HYPERLINK("https://www.google.com/maps/@?api=1&amp;map_action=pano&amp;viewpoint="&amp;SUBSTITUTE(X2873," ",""),"Abrir Street View"))</f>
        <v/>
      </c>
    </row>
    <row r="2874">
      <c r="H2874" s="6" t="n"/>
      <c r="I2874" s="6" t="n"/>
      <c r="M2874" s="7" t="n"/>
      <c r="N2874" s="7" t="n"/>
      <c r="O2874" s="7" t="n"/>
      <c r="P2874" s="8">
        <f>IF(NOT(ISNUMBER(M2874)),"",IF(G2874="Terreno",IF(AND(ISNUMBER(I2874),I2874&gt;0),M2874/I2874,""),IF(AND(ISNUMBER(H2874),H2874&gt;0),M2874/H2874,"")))</f>
        <v/>
      </c>
      <c r="Q2874" s="9">
        <f>IF(AND(ISNUMBER(M2874),ISNUMBER(O2874)),IF(M2874&lt;=O2874,"Valor ≤ venal IPTU",""),"")</f>
        <v/>
      </c>
      <c r="R2874" s="10" t="n"/>
      <c r="S2874" s="10" t="n"/>
      <c r="AA2874" s="10" t="n"/>
      <c r="AB2874" s="11">
        <f>IF(LEN(TRIM(X2874))=0,"",HYPERLINK("https://www.google.com/maps/@?api=1&amp;map_action=pano&amp;viewpoint="&amp;SUBSTITUTE(X2874," ",""),"Abrir Street View"))</f>
        <v/>
      </c>
    </row>
    <row r="2875">
      <c r="H2875" s="6" t="n"/>
      <c r="I2875" s="6" t="n"/>
      <c r="M2875" s="7" t="n"/>
      <c r="N2875" s="7" t="n"/>
      <c r="O2875" s="7" t="n"/>
      <c r="P2875" s="8">
        <f>IF(NOT(ISNUMBER(M2875)),"",IF(G2875="Terreno",IF(AND(ISNUMBER(I2875),I2875&gt;0),M2875/I2875,""),IF(AND(ISNUMBER(H2875),H2875&gt;0),M2875/H2875,"")))</f>
        <v/>
      </c>
      <c r="Q2875" s="9">
        <f>IF(AND(ISNUMBER(M2875),ISNUMBER(O2875)),IF(M2875&lt;=O2875,"Valor ≤ venal IPTU",""),"")</f>
        <v/>
      </c>
      <c r="R2875" s="10" t="n"/>
      <c r="S2875" s="10" t="n"/>
      <c r="AA2875" s="10" t="n"/>
      <c r="AB2875" s="11">
        <f>IF(LEN(TRIM(X2875))=0,"",HYPERLINK("https://www.google.com/maps/@?api=1&amp;map_action=pano&amp;viewpoint="&amp;SUBSTITUTE(X2875," ",""),"Abrir Street View"))</f>
        <v/>
      </c>
    </row>
    <row r="2876">
      <c r="H2876" s="6" t="n"/>
      <c r="I2876" s="6" t="n"/>
      <c r="M2876" s="7" t="n"/>
      <c r="N2876" s="7" t="n"/>
      <c r="O2876" s="7" t="n"/>
      <c r="P2876" s="8">
        <f>IF(NOT(ISNUMBER(M2876)),"",IF(G2876="Terreno",IF(AND(ISNUMBER(I2876),I2876&gt;0),M2876/I2876,""),IF(AND(ISNUMBER(H2876),H2876&gt;0),M2876/H2876,"")))</f>
        <v/>
      </c>
      <c r="Q2876" s="9">
        <f>IF(AND(ISNUMBER(M2876),ISNUMBER(O2876)),IF(M2876&lt;=O2876,"Valor ≤ venal IPTU",""),"")</f>
        <v/>
      </c>
      <c r="R2876" s="10" t="n"/>
      <c r="S2876" s="10" t="n"/>
      <c r="AA2876" s="10" t="n"/>
      <c r="AB2876" s="11">
        <f>IF(LEN(TRIM(X2876))=0,"",HYPERLINK("https://www.google.com/maps/@?api=1&amp;map_action=pano&amp;viewpoint="&amp;SUBSTITUTE(X2876," ",""),"Abrir Street View"))</f>
        <v/>
      </c>
    </row>
    <row r="2877">
      <c r="H2877" s="6" t="n"/>
      <c r="I2877" s="6" t="n"/>
      <c r="M2877" s="7" t="n"/>
      <c r="N2877" s="7" t="n"/>
      <c r="O2877" s="7" t="n"/>
      <c r="P2877" s="8">
        <f>IF(NOT(ISNUMBER(M2877)),"",IF(G2877="Terreno",IF(AND(ISNUMBER(I2877),I2877&gt;0),M2877/I2877,""),IF(AND(ISNUMBER(H2877),H2877&gt;0),M2877/H2877,"")))</f>
        <v/>
      </c>
      <c r="Q2877" s="9">
        <f>IF(AND(ISNUMBER(M2877),ISNUMBER(O2877)),IF(M2877&lt;=O2877,"Valor ≤ venal IPTU",""),"")</f>
        <v/>
      </c>
      <c r="R2877" s="10" t="n"/>
      <c r="S2877" s="10" t="n"/>
      <c r="AA2877" s="10" t="n"/>
      <c r="AB2877" s="11">
        <f>IF(LEN(TRIM(X2877))=0,"",HYPERLINK("https://www.google.com/maps/@?api=1&amp;map_action=pano&amp;viewpoint="&amp;SUBSTITUTE(X2877," ",""),"Abrir Street View"))</f>
        <v/>
      </c>
    </row>
    <row r="2878">
      <c r="H2878" s="6" t="n"/>
      <c r="I2878" s="6" t="n"/>
      <c r="M2878" s="7" t="n"/>
      <c r="N2878" s="7" t="n"/>
      <c r="O2878" s="7" t="n"/>
      <c r="P2878" s="8">
        <f>IF(NOT(ISNUMBER(M2878)),"",IF(G2878="Terreno",IF(AND(ISNUMBER(I2878),I2878&gt;0),M2878/I2878,""),IF(AND(ISNUMBER(H2878),H2878&gt;0),M2878/H2878,"")))</f>
        <v/>
      </c>
      <c r="Q2878" s="9">
        <f>IF(AND(ISNUMBER(M2878),ISNUMBER(O2878)),IF(M2878&lt;=O2878,"Valor ≤ venal IPTU",""),"")</f>
        <v/>
      </c>
      <c r="R2878" s="10" t="n"/>
      <c r="S2878" s="10" t="n"/>
      <c r="AA2878" s="10" t="n"/>
      <c r="AB2878" s="11">
        <f>IF(LEN(TRIM(X2878))=0,"",HYPERLINK("https://www.google.com/maps/@?api=1&amp;map_action=pano&amp;viewpoint="&amp;SUBSTITUTE(X2878," ",""),"Abrir Street View"))</f>
        <v/>
      </c>
    </row>
    <row r="2879">
      <c r="H2879" s="6" t="n"/>
      <c r="I2879" s="6" t="n"/>
      <c r="M2879" s="7" t="n"/>
      <c r="N2879" s="7" t="n"/>
      <c r="O2879" s="7" t="n"/>
      <c r="P2879" s="8">
        <f>IF(NOT(ISNUMBER(M2879)),"",IF(G2879="Terreno",IF(AND(ISNUMBER(I2879),I2879&gt;0),M2879/I2879,""),IF(AND(ISNUMBER(H2879),H2879&gt;0),M2879/H2879,"")))</f>
        <v/>
      </c>
      <c r="Q2879" s="9">
        <f>IF(AND(ISNUMBER(M2879),ISNUMBER(O2879)),IF(M2879&lt;=O2879,"Valor ≤ venal IPTU",""),"")</f>
        <v/>
      </c>
      <c r="R2879" s="10" t="n"/>
      <c r="S2879" s="10" t="n"/>
      <c r="AA2879" s="10" t="n"/>
      <c r="AB2879" s="11">
        <f>IF(LEN(TRIM(X2879))=0,"",HYPERLINK("https://www.google.com/maps/@?api=1&amp;map_action=pano&amp;viewpoint="&amp;SUBSTITUTE(X2879," ",""),"Abrir Street View"))</f>
        <v/>
      </c>
    </row>
    <row r="2880">
      <c r="H2880" s="6" t="n"/>
      <c r="I2880" s="6" t="n"/>
      <c r="M2880" s="7" t="n"/>
      <c r="N2880" s="7" t="n"/>
      <c r="O2880" s="7" t="n"/>
      <c r="P2880" s="8">
        <f>IF(NOT(ISNUMBER(M2880)),"",IF(G2880="Terreno",IF(AND(ISNUMBER(I2880),I2880&gt;0),M2880/I2880,""),IF(AND(ISNUMBER(H2880),H2880&gt;0),M2880/H2880,"")))</f>
        <v/>
      </c>
      <c r="Q2880" s="9">
        <f>IF(AND(ISNUMBER(M2880),ISNUMBER(O2880)),IF(M2880&lt;=O2880,"Valor ≤ venal IPTU",""),"")</f>
        <v/>
      </c>
      <c r="R2880" s="10" t="n"/>
      <c r="S2880" s="10" t="n"/>
      <c r="AA2880" s="10" t="n"/>
      <c r="AB2880" s="11">
        <f>IF(LEN(TRIM(X2880))=0,"",HYPERLINK("https://www.google.com/maps/@?api=1&amp;map_action=pano&amp;viewpoint="&amp;SUBSTITUTE(X2880," ",""),"Abrir Street View"))</f>
        <v/>
      </c>
    </row>
    <row r="2881">
      <c r="H2881" s="6" t="n"/>
      <c r="I2881" s="6" t="n"/>
      <c r="M2881" s="7" t="n"/>
      <c r="N2881" s="7" t="n"/>
      <c r="O2881" s="7" t="n"/>
      <c r="P2881" s="8">
        <f>IF(NOT(ISNUMBER(M2881)),"",IF(G2881="Terreno",IF(AND(ISNUMBER(I2881),I2881&gt;0),M2881/I2881,""),IF(AND(ISNUMBER(H2881),H2881&gt;0),M2881/H2881,"")))</f>
        <v/>
      </c>
      <c r="Q2881" s="9">
        <f>IF(AND(ISNUMBER(M2881),ISNUMBER(O2881)),IF(M2881&lt;=O2881,"Valor ≤ venal IPTU",""),"")</f>
        <v/>
      </c>
      <c r="R2881" s="10" t="n"/>
      <c r="S2881" s="10" t="n"/>
      <c r="AA2881" s="10" t="n"/>
      <c r="AB2881" s="11">
        <f>IF(LEN(TRIM(X2881))=0,"",HYPERLINK("https://www.google.com/maps/@?api=1&amp;map_action=pano&amp;viewpoint="&amp;SUBSTITUTE(X2881," ",""),"Abrir Street View"))</f>
        <v/>
      </c>
    </row>
    <row r="2882">
      <c r="H2882" s="6" t="n"/>
      <c r="I2882" s="6" t="n"/>
      <c r="M2882" s="7" t="n"/>
      <c r="N2882" s="7" t="n"/>
      <c r="O2882" s="7" t="n"/>
      <c r="P2882" s="8">
        <f>IF(NOT(ISNUMBER(M2882)),"",IF(G2882="Terreno",IF(AND(ISNUMBER(I2882),I2882&gt;0),M2882/I2882,""),IF(AND(ISNUMBER(H2882),H2882&gt;0),M2882/H2882,"")))</f>
        <v/>
      </c>
      <c r="Q2882" s="9">
        <f>IF(AND(ISNUMBER(M2882),ISNUMBER(O2882)),IF(M2882&lt;=O2882,"Valor ≤ venal IPTU",""),"")</f>
        <v/>
      </c>
      <c r="R2882" s="10" t="n"/>
      <c r="S2882" s="10" t="n"/>
      <c r="AA2882" s="10" t="n"/>
      <c r="AB2882" s="11">
        <f>IF(LEN(TRIM(X2882))=0,"",HYPERLINK("https://www.google.com/maps/@?api=1&amp;map_action=pano&amp;viewpoint="&amp;SUBSTITUTE(X2882," ",""),"Abrir Street View"))</f>
        <v/>
      </c>
    </row>
    <row r="2883">
      <c r="H2883" s="6" t="n"/>
      <c r="I2883" s="6" t="n"/>
      <c r="M2883" s="7" t="n"/>
      <c r="N2883" s="7" t="n"/>
      <c r="O2883" s="7" t="n"/>
      <c r="P2883" s="8">
        <f>IF(NOT(ISNUMBER(M2883)),"",IF(G2883="Terreno",IF(AND(ISNUMBER(I2883),I2883&gt;0),M2883/I2883,""),IF(AND(ISNUMBER(H2883),H2883&gt;0),M2883/H2883,"")))</f>
        <v/>
      </c>
      <c r="Q2883" s="9">
        <f>IF(AND(ISNUMBER(M2883),ISNUMBER(O2883)),IF(M2883&lt;=O2883,"Valor ≤ venal IPTU",""),"")</f>
        <v/>
      </c>
      <c r="R2883" s="10" t="n"/>
      <c r="S2883" s="10" t="n"/>
      <c r="AA2883" s="10" t="n"/>
      <c r="AB2883" s="11">
        <f>IF(LEN(TRIM(X2883))=0,"",HYPERLINK("https://www.google.com/maps/@?api=1&amp;map_action=pano&amp;viewpoint="&amp;SUBSTITUTE(X2883," ",""),"Abrir Street View"))</f>
        <v/>
      </c>
    </row>
    <row r="2884">
      <c r="H2884" s="6" t="n"/>
      <c r="I2884" s="6" t="n"/>
      <c r="M2884" s="7" t="n"/>
      <c r="N2884" s="7" t="n"/>
      <c r="O2884" s="7" t="n"/>
      <c r="P2884" s="8">
        <f>IF(NOT(ISNUMBER(M2884)),"",IF(G2884="Terreno",IF(AND(ISNUMBER(I2884),I2884&gt;0),M2884/I2884,""),IF(AND(ISNUMBER(H2884),H2884&gt;0),M2884/H2884,"")))</f>
        <v/>
      </c>
      <c r="Q2884" s="9">
        <f>IF(AND(ISNUMBER(M2884),ISNUMBER(O2884)),IF(M2884&lt;=O2884,"Valor ≤ venal IPTU",""),"")</f>
        <v/>
      </c>
      <c r="R2884" s="10" t="n"/>
      <c r="S2884" s="10" t="n"/>
      <c r="AA2884" s="10" t="n"/>
      <c r="AB2884" s="11">
        <f>IF(LEN(TRIM(X2884))=0,"",HYPERLINK("https://www.google.com/maps/@?api=1&amp;map_action=pano&amp;viewpoint="&amp;SUBSTITUTE(X2884," ",""),"Abrir Street View"))</f>
        <v/>
      </c>
    </row>
    <row r="2885">
      <c r="H2885" s="6" t="n"/>
      <c r="I2885" s="6" t="n"/>
      <c r="M2885" s="7" t="n"/>
      <c r="N2885" s="7" t="n"/>
      <c r="O2885" s="7" t="n"/>
      <c r="P2885" s="8">
        <f>IF(NOT(ISNUMBER(M2885)),"",IF(G2885="Terreno",IF(AND(ISNUMBER(I2885),I2885&gt;0),M2885/I2885,""),IF(AND(ISNUMBER(H2885),H2885&gt;0),M2885/H2885,"")))</f>
        <v/>
      </c>
      <c r="Q2885" s="9">
        <f>IF(AND(ISNUMBER(M2885),ISNUMBER(O2885)),IF(M2885&lt;=O2885,"Valor ≤ venal IPTU",""),"")</f>
        <v/>
      </c>
      <c r="R2885" s="10" t="n"/>
      <c r="S2885" s="10" t="n"/>
      <c r="AA2885" s="10" t="n"/>
      <c r="AB2885" s="11">
        <f>IF(LEN(TRIM(X2885))=0,"",HYPERLINK("https://www.google.com/maps/@?api=1&amp;map_action=pano&amp;viewpoint="&amp;SUBSTITUTE(X2885," ",""),"Abrir Street View"))</f>
        <v/>
      </c>
    </row>
    <row r="2886">
      <c r="H2886" s="6" t="n"/>
      <c r="I2886" s="6" t="n"/>
      <c r="M2886" s="7" t="n"/>
      <c r="N2886" s="7" t="n"/>
      <c r="O2886" s="7" t="n"/>
      <c r="P2886" s="8">
        <f>IF(NOT(ISNUMBER(M2886)),"",IF(G2886="Terreno",IF(AND(ISNUMBER(I2886),I2886&gt;0),M2886/I2886,""),IF(AND(ISNUMBER(H2886),H2886&gt;0),M2886/H2886,"")))</f>
        <v/>
      </c>
      <c r="Q2886" s="9">
        <f>IF(AND(ISNUMBER(M2886),ISNUMBER(O2886)),IF(M2886&lt;=O2886,"Valor ≤ venal IPTU",""),"")</f>
        <v/>
      </c>
      <c r="R2886" s="10" t="n"/>
      <c r="S2886" s="10" t="n"/>
      <c r="AA2886" s="10" t="n"/>
      <c r="AB2886" s="11">
        <f>IF(LEN(TRIM(X2886))=0,"",HYPERLINK("https://www.google.com/maps/@?api=1&amp;map_action=pano&amp;viewpoint="&amp;SUBSTITUTE(X2886," ",""),"Abrir Street View"))</f>
        <v/>
      </c>
    </row>
    <row r="2887">
      <c r="H2887" s="6" t="n"/>
      <c r="I2887" s="6" t="n"/>
      <c r="M2887" s="7" t="n"/>
      <c r="N2887" s="7" t="n"/>
      <c r="O2887" s="7" t="n"/>
      <c r="P2887" s="8">
        <f>IF(NOT(ISNUMBER(M2887)),"",IF(G2887="Terreno",IF(AND(ISNUMBER(I2887),I2887&gt;0),M2887/I2887,""),IF(AND(ISNUMBER(H2887),H2887&gt;0),M2887/H2887,"")))</f>
        <v/>
      </c>
      <c r="Q2887" s="9">
        <f>IF(AND(ISNUMBER(M2887),ISNUMBER(O2887)),IF(M2887&lt;=O2887,"Valor ≤ venal IPTU",""),"")</f>
        <v/>
      </c>
      <c r="R2887" s="10" t="n"/>
      <c r="S2887" s="10" t="n"/>
      <c r="AA2887" s="10" t="n"/>
      <c r="AB2887" s="11">
        <f>IF(LEN(TRIM(X2887))=0,"",HYPERLINK("https://www.google.com/maps/@?api=1&amp;map_action=pano&amp;viewpoint="&amp;SUBSTITUTE(X2887," ",""),"Abrir Street View"))</f>
        <v/>
      </c>
    </row>
    <row r="2888">
      <c r="H2888" s="6" t="n"/>
      <c r="I2888" s="6" t="n"/>
      <c r="M2888" s="7" t="n"/>
      <c r="N2888" s="7" t="n"/>
      <c r="O2888" s="7" t="n"/>
      <c r="P2888" s="8">
        <f>IF(NOT(ISNUMBER(M2888)),"",IF(G2888="Terreno",IF(AND(ISNUMBER(I2888),I2888&gt;0),M2888/I2888,""),IF(AND(ISNUMBER(H2888),H2888&gt;0),M2888/H2888,"")))</f>
        <v/>
      </c>
      <c r="Q2888" s="9">
        <f>IF(AND(ISNUMBER(M2888),ISNUMBER(O2888)),IF(M2888&lt;=O2888,"Valor ≤ venal IPTU",""),"")</f>
        <v/>
      </c>
      <c r="R2888" s="10" t="n"/>
      <c r="S2888" s="10" t="n"/>
      <c r="AA2888" s="10" t="n"/>
      <c r="AB2888" s="11">
        <f>IF(LEN(TRIM(X2888))=0,"",HYPERLINK("https://www.google.com/maps/@?api=1&amp;map_action=pano&amp;viewpoint="&amp;SUBSTITUTE(X2888," ",""),"Abrir Street View"))</f>
        <v/>
      </c>
    </row>
    <row r="2889">
      <c r="H2889" s="6" t="n"/>
      <c r="I2889" s="6" t="n"/>
      <c r="M2889" s="7" t="n"/>
      <c r="N2889" s="7" t="n"/>
      <c r="O2889" s="7" t="n"/>
      <c r="P2889" s="8">
        <f>IF(NOT(ISNUMBER(M2889)),"",IF(G2889="Terreno",IF(AND(ISNUMBER(I2889),I2889&gt;0),M2889/I2889,""),IF(AND(ISNUMBER(H2889),H2889&gt;0),M2889/H2889,"")))</f>
        <v/>
      </c>
      <c r="Q2889" s="9">
        <f>IF(AND(ISNUMBER(M2889),ISNUMBER(O2889)),IF(M2889&lt;=O2889,"Valor ≤ venal IPTU",""),"")</f>
        <v/>
      </c>
      <c r="R2889" s="10" t="n"/>
      <c r="S2889" s="10" t="n"/>
      <c r="AA2889" s="10" t="n"/>
      <c r="AB2889" s="11">
        <f>IF(LEN(TRIM(X2889))=0,"",HYPERLINK("https://www.google.com/maps/@?api=1&amp;map_action=pano&amp;viewpoint="&amp;SUBSTITUTE(X2889," ",""),"Abrir Street View"))</f>
        <v/>
      </c>
    </row>
    <row r="2890">
      <c r="H2890" s="6" t="n"/>
      <c r="I2890" s="6" t="n"/>
      <c r="M2890" s="7" t="n"/>
      <c r="N2890" s="7" t="n"/>
      <c r="O2890" s="7" t="n"/>
      <c r="P2890" s="8">
        <f>IF(NOT(ISNUMBER(M2890)),"",IF(G2890="Terreno",IF(AND(ISNUMBER(I2890),I2890&gt;0),M2890/I2890,""),IF(AND(ISNUMBER(H2890),H2890&gt;0),M2890/H2890,"")))</f>
        <v/>
      </c>
      <c r="Q2890" s="9">
        <f>IF(AND(ISNUMBER(M2890),ISNUMBER(O2890)),IF(M2890&lt;=O2890,"Valor ≤ venal IPTU",""),"")</f>
        <v/>
      </c>
      <c r="R2890" s="10" t="n"/>
      <c r="S2890" s="10" t="n"/>
      <c r="AA2890" s="10" t="n"/>
      <c r="AB2890" s="11">
        <f>IF(LEN(TRIM(X2890))=0,"",HYPERLINK("https://www.google.com/maps/@?api=1&amp;map_action=pano&amp;viewpoint="&amp;SUBSTITUTE(X2890," ",""),"Abrir Street View"))</f>
        <v/>
      </c>
    </row>
    <row r="2891">
      <c r="H2891" s="6" t="n"/>
      <c r="I2891" s="6" t="n"/>
      <c r="M2891" s="7" t="n"/>
      <c r="N2891" s="7" t="n"/>
      <c r="O2891" s="7" t="n"/>
      <c r="P2891" s="8">
        <f>IF(NOT(ISNUMBER(M2891)),"",IF(G2891="Terreno",IF(AND(ISNUMBER(I2891),I2891&gt;0),M2891/I2891,""),IF(AND(ISNUMBER(H2891),H2891&gt;0),M2891/H2891,"")))</f>
        <v/>
      </c>
      <c r="Q2891" s="9">
        <f>IF(AND(ISNUMBER(M2891),ISNUMBER(O2891)),IF(M2891&lt;=O2891,"Valor ≤ venal IPTU",""),"")</f>
        <v/>
      </c>
      <c r="R2891" s="10" t="n"/>
      <c r="S2891" s="10" t="n"/>
      <c r="AA2891" s="10" t="n"/>
      <c r="AB2891" s="11">
        <f>IF(LEN(TRIM(X2891))=0,"",HYPERLINK("https://www.google.com/maps/@?api=1&amp;map_action=pano&amp;viewpoint="&amp;SUBSTITUTE(X2891," ",""),"Abrir Street View"))</f>
        <v/>
      </c>
    </row>
    <row r="2892">
      <c r="H2892" s="6" t="n"/>
      <c r="I2892" s="6" t="n"/>
      <c r="M2892" s="7" t="n"/>
      <c r="N2892" s="7" t="n"/>
      <c r="O2892" s="7" t="n"/>
      <c r="P2892" s="8">
        <f>IF(NOT(ISNUMBER(M2892)),"",IF(G2892="Terreno",IF(AND(ISNUMBER(I2892),I2892&gt;0),M2892/I2892,""),IF(AND(ISNUMBER(H2892),H2892&gt;0),M2892/H2892,"")))</f>
        <v/>
      </c>
      <c r="Q2892" s="9">
        <f>IF(AND(ISNUMBER(M2892),ISNUMBER(O2892)),IF(M2892&lt;=O2892,"Valor ≤ venal IPTU",""),"")</f>
        <v/>
      </c>
      <c r="R2892" s="10" t="n"/>
      <c r="S2892" s="10" t="n"/>
      <c r="AA2892" s="10" t="n"/>
      <c r="AB2892" s="11">
        <f>IF(LEN(TRIM(X2892))=0,"",HYPERLINK("https://www.google.com/maps/@?api=1&amp;map_action=pano&amp;viewpoint="&amp;SUBSTITUTE(X2892," ",""),"Abrir Street View"))</f>
        <v/>
      </c>
    </row>
    <row r="2893">
      <c r="H2893" s="6" t="n"/>
      <c r="I2893" s="6" t="n"/>
      <c r="M2893" s="7" t="n"/>
      <c r="N2893" s="7" t="n"/>
      <c r="O2893" s="7" t="n"/>
      <c r="P2893" s="8">
        <f>IF(NOT(ISNUMBER(M2893)),"",IF(G2893="Terreno",IF(AND(ISNUMBER(I2893),I2893&gt;0),M2893/I2893,""),IF(AND(ISNUMBER(H2893),H2893&gt;0),M2893/H2893,"")))</f>
        <v/>
      </c>
      <c r="Q2893" s="9">
        <f>IF(AND(ISNUMBER(M2893),ISNUMBER(O2893)),IF(M2893&lt;=O2893,"Valor ≤ venal IPTU",""),"")</f>
        <v/>
      </c>
      <c r="R2893" s="10" t="n"/>
      <c r="S2893" s="10" t="n"/>
      <c r="AA2893" s="10" t="n"/>
      <c r="AB2893" s="11">
        <f>IF(LEN(TRIM(X2893))=0,"",HYPERLINK("https://www.google.com/maps/@?api=1&amp;map_action=pano&amp;viewpoint="&amp;SUBSTITUTE(X2893," ",""),"Abrir Street View"))</f>
        <v/>
      </c>
    </row>
    <row r="2894">
      <c r="H2894" s="6" t="n"/>
      <c r="I2894" s="6" t="n"/>
      <c r="M2894" s="7" t="n"/>
      <c r="N2894" s="7" t="n"/>
      <c r="O2894" s="7" t="n"/>
      <c r="P2894" s="8">
        <f>IF(NOT(ISNUMBER(M2894)),"",IF(G2894="Terreno",IF(AND(ISNUMBER(I2894),I2894&gt;0),M2894/I2894,""),IF(AND(ISNUMBER(H2894),H2894&gt;0),M2894/H2894,"")))</f>
        <v/>
      </c>
      <c r="Q2894" s="9">
        <f>IF(AND(ISNUMBER(M2894),ISNUMBER(O2894)),IF(M2894&lt;=O2894,"Valor ≤ venal IPTU",""),"")</f>
        <v/>
      </c>
      <c r="R2894" s="10" t="n"/>
      <c r="S2894" s="10" t="n"/>
      <c r="AA2894" s="10" t="n"/>
      <c r="AB2894" s="11">
        <f>IF(LEN(TRIM(X2894))=0,"",HYPERLINK("https://www.google.com/maps/@?api=1&amp;map_action=pano&amp;viewpoint="&amp;SUBSTITUTE(X2894," ",""),"Abrir Street View"))</f>
        <v/>
      </c>
    </row>
    <row r="2895">
      <c r="H2895" s="6" t="n"/>
      <c r="I2895" s="6" t="n"/>
      <c r="M2895" s="7" t="n"/>
      <c r="N2895" s="7" t="n"/>
      <c r="O2895" s="7" t="n"/>
      <c r="P2895" s="8">
        <f>IF(NOT(ISNUMBER(M2895)),"",IF(G2895="Terreno",IF(AND(ISNUMBER(I2895),I2895&gt;0),M2895/I2895,""),IF(AND(ISNUMBER(H2895),H2895&gt;0),M2895/H2895,"")))</f>
        <v/>
      </c>
      <c r="Q2895" s="9">
        <f>IF(AND(ISNUMBER(M2895),ISNUMBER(O2895)),IF(M2895&lt;=O2895,"Valor ≤ venal IPTU",""),"")</f>
        <v/>
      </c>
      <c r="R2895" s="10" t="n"/>
      <c r="S2895" s="10" t="n"/>
      <c r="AA2895" s="10" t="n"/>
      <c r="AB2895" s="11">
        <f>IF(LEN(TRIM(X2895))=0,"",HYPERLINK("https://www.google.com/maps/@?api=1&amp;map_action=pano&amp;viewpoint="&amp;SUBSTITUTE(X2895," ",""),"Abrir Street View"))</f>
        <v/>
      </c>
    </row>
    <row r="2896">
      <c r="H2896" s="6" t="n"/>
      <c r="I2896" s="6" t="n"/>
      <c r="M2896" s="7" t="n"/>
      <c r="N2896" s="7" t="n"/>
      <c r="O2896" s="7" t="n"/>
      <c r="P2896" s="8">
        <f>IF(NOT(ISNUMBER(M2896)),"",IF(G2896="Terreno",IF(AND(ISNUMBER(I2896),I2896&gt;0),M2896/I2896,""),IF(AND(ISNUMBER(H2896),H2896&gt;0),M2896/H2896,"")))</f>
        <v/>
      </c>
      <c r="Q2896" s="9">
        <f>IF(AND(ISNUMBER(M2896),ISNUMBER(O2896)),IF(M2896&lt;=O2896,"Valor ≤ venal IPTU",""),"")</f>
        <v/>
      </c>
      <c r="R2896" s="10" t="n"/>
      <c r="S2896" s="10" t="n"/>
      <c r="AA2896" s="10" t="n"/>
      <c r="AB2896" s="11">
        <f>IF(LEN(TRIM(X2896))=0,"",HYPERLINK("https://www.google.com/maps/@?api=1&amp;map_action=pano&amp;viewpoint="&amp;SUBSTITUTE(X2896," ",""),"Abrir Street View"))</f>
        <v/>
      </c>
    </row>
    <row r="2897">
      <c r="H2897" s="6" t="n"/>
      <c r="I2897" s="6" t="n"/>
      <c r="M2897" s="7" t="n"/>
      <c r="N2897" s="7" t="n"/>
      <c r="O2897" s="7" t="n"/>
      <c r="P2897" s="8">
        <f>IF(NOT(ISNUMBER(M2897)),"",IF(G2897="Terreno",IF(AND(ISNUMBER(I2897),I2897&gt;0),M2897/I2897,""),IF(AND(ISNUMBER(H2897),H2897&gt;0),M2897/H2897,"")))</f>
        <v/>
      </c>
      <c r="Q2897" s="9">
        <f>IF(AND(ISNUMBER(M2897),ISNUMBER(O2897)),IF(M2897&lt;=O2897,"Valor ≤ venal IPTU",""),"")</f>
        <v/>
      </c>
      <c r="R2897" s="10" t="n"/>
      <c r="S2897" s="10" t="n"/>
      <c r="AA2897" s="10" t="n"/>
      <c r="AB2897" s="11">
        <f>IF(LEN(TRIM(X2897))=0,"",HYPERLINK("https://www.google.com/maps/@?api=1&amp;map_action=pano&amp;viewpoint="&amp;SUBSTITUTE(X2897," ",""),"Abrir Street View"))</f>
        <v/>
      </c>
    </row>
    <row r="2898">
      <c r="H2898" s="6" t="n"/>
      <c r="I2898" s="6" t="n"/>
      <c r="M2898" s="7" t="n"/>
      <c r="N2898" s="7" t="n"/>
      <c r="O2898" s="7" t="n"/>
      <c r="P2898" s="8">
        <f>IF(NOT(ISNUMBER(M2898)),"",IF(G2898="Terreno",IF(AND(ISNUMBER(I2898),I2898&gt;0),M2898/I2898,""),IF(AND(ISNUMBER(H2898),H2898&gt;0),M2898/H2898,"")))</f>
        <v/>
      </c>
      <c r="Q2898" s="9">
        <f>IF(AND(ISNUMBER(M2898),ISNUMBER(O2898)),IF(M2898&lt;=O2898,"Valor ≤ venal IPTU",""),"")</f>
        <v/>
      </c>
      <c r="R2898" s="10" t="n"/>
      <c r="S2898" s="10" t="n"/>
      <c r="AA2898" s="10" t="n"/>
      <c r="AB2898" s="11">
        <f>IF(LEN(TRIM(X2898))=0,"",HYPERLINK("https://www.google.com/maps/@?api=1&amp;map_action=pano&amp;viewpoint="&amp;SUBSTITUTE(X2898," ",""),"Abrir Street View"))</f>
        <v/>
      </c>
    </row>
    <row r="2899">
      <c r="H2899" s="6" t="n"/>
      <c r="I2899" s="6" t="n"/>
      <c r="M2899" s="7" t="n"/>
      <c r="N2899" s="7" t="n"/>
      <c r="O2899" s="7" t="n"/>
      <c r="P2899" s="8">
        <f>IF(NOT(ISNUMBER(M2899)),"",IF(G2899="Terreno",IF(AND(ISNUMBER(I2899),I2899&gt;0),M2899/I2899,""),IF(AND(ISNUMBER(H2899),H2899&gt;0),M2899/H2899,"")))</f>
        <v/>
      </c>
      <c r="Q2899" s="9">
        <f>IF(AND(ISNUMBER(M2899),ISNUMBER(O2899)),IF(M2899&lt;=O2899,"Valor ≤ venal IPTU",""),"")</f>
        <v/>
      </c>
      <c r="R2899" s="10" t="n"/>
      <c r="S2899" s="10" t="n"/>
      <c r="AA2899" s="10" t="n"/>
      <c r="AB2899" s="11">
        <f>IF(LEN(TRIM(X2899))=0,"",HYPERLINK("https://www.google.com/maps/@?api=1&amp;map_action=pano&amp;viewpoint="&amp;SUBSTITUTE(X2899," ",""),"Abrir Street View"))</f>
        <v/>
      </c>
    </row>
    <row r="2900">
      <c r="H2900" s="6" t="n"/>
      <c r="I2900" s="6" t="n"/>
      <c r="M2900" s="7" t="n"/>
      <c r="N2900" s="7" t="n"/>
      <c r="O2900" s="7" t="n"/>
      <c r="P2900" s="8">
        <f>IF(NOT(ISNUMBER(M2900)),"",IF(G2900="Terreno",IF(AND(ISNUMBER(I2900),I2900&gt;0),M2900/I2900,""),IF(AND(ISNUMBER(H2900),H2900&gt;0),M2900/H2900,"")))</f>
        <v/>
      </c>
      <c r="Q2900" s="9">
        <f>IF(AND(ISNUMBER(M2900),ISNUMBER(O2900)),IF(M2900&lt;=O2900,"Valor ≤ venal IPTU",""),"")</f>
        <v/>
      </c>
      <c r="R2900" s="10" t="n"/>
      <c r="S2900" s="10" t="n"/>
      <c r="AA2900" s="10" t="n"/>
      <c r="AB2900" s="11">
        <f>IF(LEN(TRIM(X2900))=0,"",HYPERLINK("https://www.google.com/maps/@?api=1&amp;map_action=pano&amp;viewpoint="&amp;SUBSTITUTE(X2900," ",""),"Abrir Street View"))</f>
        <v/>
      </c>
    </row>
    <row r="2901">
      <c r="H2901" s="6" t="n"/>
      <c r="I2901" s="6" t="n"/>
      <c r="M2901" s="7" t="n"/>
      <c r="N2901" s="7" t="n"/>
      <c r="O2901" s="7" t="n"/>
      <c r="P2901" s="8">
        <f>IF(NOT(ISNUMBER(M2901)),"",IF(G2901="Terreno",IF(AND(ISNUMBER(I2901),I2901&gt;0),M2901/I2901,""),IF(AND(ISNUMBER(H2901),H2901&gt;0),M2901/H2901,"")))</f>
        <v/>
      </c>
      <c r="Q2901" s="9">
        <f>IF(AND(ISNUMBER(M2901),ISNUMBER(O2901)),IF(M2901&lt;=O2901,"Valor ≤ venal IPTU",""),"")</f>
        <v/>
      </c>
      <c r="R2901" s="10" t="n"/>
      <c r="S2901" s="10" t="n"/>
      <c r="AA2901" s="10" t="n"/>
      <c r="AB2901" s="11">
        <f>IF(LEN(TRIM(X2901))=0,"",HYPERLINK("https://www.google.com/maps/@?api=1&amp;map_action=pano&amp;viewpoint="&amp;SUBSTITUTE(X2901," ",""),"Abrir Street View"))</f>
        <v/>
      </c>
    </row>
    <row r="2902">
      <c r="H2902" s="6" t="n"/>
      <c r="I2902" s="6" t="n"/>
      <c r="M2902" s="7" t="n"/>
      <c r="N2902" s="7" t="n"/>
      <c r="O2902" s="7" t="n"/>
      <c r="P2902" s="8">
        <f>IF(NOT(ISNUMBER(M2902)),"",IF(G2902="Terreno",IF(AND(ISNUMBER(I2902),I2902&gt;0),M2902/I2902,""),IF(AND(ISNUMBER(H2902),H2902&gt;0),M2902/H2902,"")))</f>
        <v/>
      </c>
      <c r="Q2902" s="9">
        <f>IF(AND(ISNUMBER(M2902),ISNUMBER(O2902)),IF(M2902&lt;=O2902,"Valor ≤ venal IPTU",""),"")</f>
        <v/>
      </c>
      <c r="R2902" s="10" t="n"/>
      <c r="S2902" s="10" t="n"/>
      <c r="AA2902" s="10" t="n"/>
      <c r="AB2902" s="11">
        <f>IF(LEN(TRIM(X2902))=0,"",HYPERLINK("https://www.google.com/maps/@?api=1&amp;map_action=pano&amp;viewpoint="&amp;SUBSTITUTE(X2902," ",""),"Abrir Street View"))</f>
        <v/>
      </c>
    </row>
    <row r="2903">
      <c r="H2903" s="6" t="n"/>
      <c r="I2903" s="6" t="n"/>
      <c r="M2903" s="7" t="n"/>
      <c r="N2903" s="7" t="n"/>
      <c r="O2903" s="7" t="n"/>
      <c r="P2903" s="8">
        <f>IF(NOT(ISNUMBER(M2903)),"",IF(G2903="Terreno",IF(AND(ISNUMBER(I2903),I2903&gt;0),M2903/I2903,""),IF(AND(ISNUMBER(H2903),H2903&gt;0),M2903/H2903,"")))</f>
        <v/>
      </c>
      <c r="Q2903" s="9">
        <f>IF(AND(ISNUMBER(M2903),ISNUMBER(O2903)),IF(M2903&lt;=O2903,"Valor ≤ venal IPTU",""),"")</f>
        <v/>
      </c>
      <c r="R2903" s="10" t="n"/>
      <c r="S2903" s="10" t="n"/>
      <c r="AA2903" s="10" t="n"/>
      <c r="AB2903" s="11">
        <f>IF(LEN(TRIM(X2903))=0,"",HYPERLINK("https://www.google.com/maps/@?api=1&amp;map_action=pano&amp;viewpoint="&amp;SUBSTITUTE(X2903," ",""),"Abrir Street View"))</f>
        <v/>
      </c>
    </row>
    <row r="2904">
      <c r="H2904" s="6" t="n"/>
      <c r="I2904" s="6" t="n"/>
      <c r="M2904" s="7" t="n"/>
      <c r="N2904" s="7" t="n"/>
      <c r="O2904" s="7" t="n"/>
      <c r="P2904" s="8">
        <f>IF(NOT(ISNUMBER(M2904)),"",IF(G2904="Terreno",IF(AND(ISNUMBER(I2904),I2904&gt;0),M2904/I2904,""),IF(AND(ISNUMBER(H2904),H2904&gt;0),M2904/H2904,"")))</f>
        <v/>
      </c>
      <c r="Q2904" s="9">
        <f>IF(AND(ISNUMBER(M2904),ISNUMBER(O2904)),IF(M2904&lt;=O2904,"Valor ≤ venal IPTU",""),"")</f>
        <v/>
      </c>
      <c r="R2904" s="10" t="n"/>
      <c r="S2904" s="10" t="n"/>
      <c r="AA2904" s="10" t="n"/>
      <c r="AB2904" s="11">
        <f>IF(LEN(TRIM(X2904))=0,"",HYPERLINK("https://www.google.com/maps/@?api=1&amp;map_action=pano&amp;viewpoint="&amp;SUBSTITUTE(X2904," ",""),"Abrir Street View"))</f>
        <v/>
      </c>
    </row>
    <row r="2905">
      <c r="H2905" s="6" t="n"/>
      <c r="I2905" s="6" t="n"/>
      <c r="M2905" s="7" t="n"/>
      <c r="N2905" s="7" t="n"/>
      <c r="O2905" s="7" t="n"/>
      <c r="P2905" s="8">
        <f>IF(NOT(ISNUMBER(M2905)),"",IF(G2905="Terreno",IF(AND(ISNUMBER(I2905),I2905&gt;0),M2905/I2905,""),IF(AND(ISNUMBER(H2905),H2905&gt;0),M2905/H2905,"")))</f>
        <v/>
      </c>
      <c r="Q2905" s="9">
        <f>IF(AND(ISNUMBER(M2905),ISNUMBER(O2905)),IF(M2905&lt;=O2905,"Valor ≤ venal IPTU",""),"")</f>
        <v/>
      </c>
      <c r="R2905" s="10" t="n"/>
      <c r="S2905" s="10" t="n"/>
      <c r="AA2905" s="10" t="n"/>
      <c r="AB2905" s="11">
        <f>IF(LEN(TRIM(X2905))=0,"",HYPERLINK("https://www.google.com/maps/@?api=1&amp;map_action=pano&amp;viewpoint="&amp;SUBSTITUTE(X2905," ",""),"Abrir Street View"))</f>
        <v/>
      </c>
    </row>
    <row r="2906">
      <c r="H2906" s="6" t="n"/>
      <c r="I2906" s="6" t="n"/>
      <c r="M2906" s="7" t="n"/>
      <c r="N2906" s="7" t="n"/>
      <c r="O2906" s="7" t="n"/>
      <c r="P2906" s="8">
        <f>IF(NOT(ISNUMBER(M2906)),"",IF(G2906="Terreno",IF(AND(ISNUMBER(I2906),I2906&gt;0),M2906/I2906,""),IF(AND(ISNUMBER(H2906),H2906&gt;0),M2906/H2906,"")))</f>
        <v/>
      </c>
      <c r="Q2906" s="9">
        <f>IF(AND(ISNUMBER(M2906),ISNUMBER(O2906)),IF(M2906&lt;=O2906,"Valor ≤ venal IPTU",""),"")</f>
        <v/>
      </c>
      <c r="R2906" s="10" t="n"/>
      <c r="S2906" s="10" t="n"/>
      <c r="AA2906" s="10" t="n"/>
      <c r="AB2906" s="11">
        <f>IF(LEN(TRIM(X2906))=0,"",HYPERLINK("https://www.google.com/maps/@?api=1&amp;map_action=pano&amp;viewpoint="&amp;SUBSTITUTE(X2906," ",""),"Abrir Street View"))</f>
        <v/>
      </c>
    </row>
    <row r="2907">
      <c r="H2907" s="6" t="n"/>
      <c r="I2907" s="6" t="n"/>
      <c r="M2907" s="7" t="n"/>
      <c r="N2907" s="7" t="n"/>
      <c r="O2907" s="7" t="n"/>
      <c r="P2907" s="8">
        <f>IF(NOT(ISNUMBER(M2907)),"",IF(G2907="Terreno",IF(AND(ISNUMBER(I2907),I2907&gt;0),M2907/I2907,""),IF(AND(ISNUMBER(H2907),H2907&gt;0),M2907/H2907,"")))</f>
        <v/>
      </c>
      <c r="Q2907" s="9">
        <f>IF(AND(ISNUMBER(M2907),ISNUMBER(O2907)),IF(M2907&lt;=O2907,"Valor ≤ venal IPTU",""),"")</f>
        <v/>
      </c>
      <c r="R2907" s="10" t="n"/>
      <c r="S2907" s="10" t="n"/>
      <c r="AA2907" s="10" t="n"/>
      <c r="AB2907" s="11">
        <f>IF(LEN(TRIM(X2907))=0,"",HYPERLINK("https://www.google.com/maps/@?api=1&amp;map_action=pano&amp;viewpoint="&amp;SUBSTITUTE(X2907," ",""),"Abrir Street View"))</f>
        <v/>
      </c>
    </row>
    <row r="2908">
      <c r="H2908" s="6" t="n"/>
      <c r="I2908" s="6" t="n"/>
      <c r="M2908" s="7" t="n"/>
      <c r="N2908" s="7" t="n"/>
      <c r="O2908" s="7" t="n"/>
      <c r="P2908" s="8">
        <f>IF(NOT(ISNUMBER(M2908)),"",IF(G2908="Terreno",IF(AND(ISNUMBER(I2908),I2908&gt;0),M2908/I2908,""),IF(AND(ISNUMBER(H2908),H2908&gt;0),M2908/H2908,"")))</f>
        <v/>
      </c>
      <c r="Q2908" s="9">
        <f>IF(AND(ISNUMBER(M2908),ISNUMBER(O2908)),IF(M2908&lt;=O2908,"Valor ≤ venal IPTU",""),"")</f>
        <v/>
      </c>
      <c r="R2908" s="10" t="n"/>
      <c r="S2908" s="10" t="n"/>
      <c r="AA2908" s="10" t="n"/>
      <c r="AB2908" s="11">
        <f>IF(LEN(TRIM(X2908))=0,"",HYPERLINK("https://www.google.com/maps/@?api=1&amp;map_action=pano&amp;viewpoint="&amp;SUBSTITUTE(X2908," ",""),"Abrir Street View"))</f>
        <v/>
      </c>
    </row>
    <row r="2909">
      <c r="H2909" s="6" t="n"/>
      <c r="I2909" s="6" t="n"/>
      <c r="M2909" s="7" t="n"/>
      <c r="N2909" s="7" t="n"/>
      <c r="O2909" s="7" t="n"/>
      <c r="P2909" s="8">
        <f>IF(NOT(ISNUMBER(M2909)),"",IF(G2909="Terreno",IF(AND(ISNUMBER(I2909),I2909&gt;0),M2909/I2909,""),IF(AND(ISNUMBER(H2909),H2909&gt;0),M2909/H2909,"")))</f>
        <v/>
      </c>
      <c r="Q2909" s="9">
        <f>IF(AND(ISNUMBER(M2909),ISNUMBER(O2909)),IF(M2909&lt;=O2909,"Valor ≤ venal IPTU",""),"")</f>
        <v/>
      </c>
      <c r="R2909" s="10" t="n"/>
      <c r="S2909" s="10" t="n"/>
      <c r="AA2909" s="10" t="n"/>
      <c r="AB2909" s="11">
        <f>IF(LEN(TRIM(X2909))=0,"",HYPERLINK("https://www.google.com/maps/@?api=1&amp;map_action=pano&amp;viewpoint="&amp;SUBSTITUTE(X2909," ",""),"Abrir Street View"))</f>
        <v/>
      </c>
    </row>
    <row r="2910">
      <c r="H2910" s="6" t="n"/>
      <c r="I2910" s="6" t="n"/>
      <c r="M2910" s="7" t="n"/>
      <c r="N2910" s="7" t="n"/>
      <c r="O2910" s="7" t="n"/>
      <c r="P2910" s="8">
        <f>IF(NOT(ISNUMBER(M2910)),"",IF(G2910="Terreno",IF(AND(ISNUMBER(I2910),I2910&gt;0),M2910/I2910,""),IF(AND(ISNUMBER(H2910),H2910&gt;0),M2910/H2910,"")))</f>
        <v/>
      </c>
      <c r="Q2910" s="9">
        <f>IF(AND(ISNUMBER(M2910),ISNUMBER(O2910)),IF(M2910&lt;=O2910,"Valor ≤ venal IPTU",""),"")</f>
        <v/>
      </c>
      <c r="R2910" s="10" t="n"/>
      <c r="S2910" s="10" t="n"/>
      <c r="AA2910" s="10" t="n"/>
      <c r="AB2910" s="11">
        <f>IF(LEN(TRIM(X2910))=0,"",HYPERLINK("https://www.google.com/maps/@?api=1&amp;map_action=pano&amp;viewpoint="&amp;SUBSTITUTE(X2910," ",""),"Abrir Street View"))</f>
        <v/>
      </c>
    </row>
    <row r="2911">
      <c r="H2911" s="6" t="n"/>
      <c r="I2911" s="6" t="n"/>
      <c r="M2911" s="7" t="n"/>
      <c r="N2911" s="7" t="n"/>
      <c r="O2911" s="7" t="n"/>
      <c r="P2911" s="8">
        <f>IF(NOT(ISNUMBER(M2911)),"",IF(G2911="Terreno",IF(AND(ISNUMBER(I2911),I2911&gt;0),M2911/I2911,""),IF(AND(ISNUMBER(H2911),H2911&gt;0),M2911/H2911,"")))</f>
        <v/>
      </c>
      <c r="Q2911" s="9">
        <f>IF(AND(ISNUMBER(M2911),ISNUMBER(O2911)),IF(M2911&lt;=O2911,"Valor ≤ venal IPTU",""),"")</f>
        <v/>
      </c>
      <c r="R2911" s="10" t="n"/>
      <c r="S2911" s="10" t="n"/>
      <c r="AA2911" s="10" t="n"/>
      <c r="AB2911" s="11">
        <f>IF(LEN(TRIM(X2911))=0,"",HYPERLINK("https://www.google.com/maps/@?api=1&amp;map_action=pano&amp;viewpoint="&amp;SUBSTITUTE(X2911," ",""),"Abrir Street View"))</f>
        <v/>
      </c>
    </row>
    <row r="2912">
      <c r="H2912" s="6" t="n"/>
      <c r="I2912" s="6" t="n"/>
      <c r="M2912" s="7" t="n"/>
      <c r="N2912" s="7" t="n"/>
      <c r="O2912" s="7" t="n"/>
      <c r="P2912" s="8">
        <f>IF(NOT(ISNUMBER(M2912)),"",IF(G2912="Terreno",IF(AND(ISNUMBER(I2912),I2912&gt;0),M2912/I2912,""),IF(AND(ISNUMBER(H2912),H2912&gt;0),M2912/H2912,"")))</f>
        <v/>
      </c>
      <c r="Q2912" s="9">
        <f>IF(AND(ISNUMBER(M2912),ISNUMBER(O2912)),IF(M2912&lt;=O2912,"Valor ≤ venal IPTU",""),"")</f>
        <v/>
      </c>
      <c r="R2912" s="10" t="n"/>
      <c r="S2912" s="10" t="n"/>
      <c r="AA2912" s="10" t="n"/>
      <c r="AB2912" s="11">
        <f>IF(LEN(TRIM(X2912))=0,"",HYPERLINK("https://www.google.com/maps/@?api=1&amp;map_action=pano&amp;viewpoint="&amp;SUBSTITUTE(X2912," ",""),"Abrir Street View"))</f>
        <v/>
      </c>
    </row>
    <row r="2913">
      <c r="H2913" s="6" t="n"/>
      <c r="I2913" s="6" t="n"/>
      <c r="M2913" s="7" t="n"/>
      <c r="N2913" s="7" t="n"/>
      <c r="O2913" s="7" t="n"/>
      <c r="P2913" s="8">
        <f>IF(NOT(ISNUMBER(M2913)),"",IF(G2913="Terreno",IF(AND(ISNUMBER(I2913),I2913&gt;0),M2913/I2913,""),IF(AND(ISNUMBER(H2913),H2913&gt;0),M2913/H2913,"")))</f>
        <v/>
      </c>
      <c r="Q2913" s="9">
        <f>IF(AND(ISNUMBER(M2913),ISNUMBER(O2913)),IF(M2913&lt;=O2913,"Valor ≤ venal IPTU",""),"")</f>
        <v/>
      </c>
      <c r="R2913" s="10" t="n"/>
      <c r="S2913" s="10" t="n"/>
      <c r="AA2913" s="10" t="n"/>
      <c r="AB2913" s="11">
        <f>IF(LEN(TRIM(X2913))=0,"",HYPERLINK("https://www.google.com/maps/@?api=1&amp;map_action=pano&amp;viewpoint="&amp;SUBSTITUTE(X2913," ",""),"Abrir Street View"))</f>
        <v/>
      </c>
    </row>
    <row r="2914">
      <c r="H2914" s="6" t="n"/>
      <c r="I2914" s="6" t="n"/>
      <c r="M2914" s="7" t="n"/>
      <c r="N2914" s="7" t="n"/>
      <c r="O2914" s="7" t="n"/>
      <c r="P2914" s="8">
        <f>IF(NOT(ISNUMBER(M2914)),"",IF(G2914="Terreno",IF(AND(ISNUMBER(I2914),I2914&gt;0),M2914/I2914,""),IF(AND(ISNUMBER(H2914),H2914&gt;0),M2914/H2914,"")))</f>
        <v/>
      </c>
      <c r="Q2914" s="9">
        <f>IF(AND(ISNUMBER(M2914),ISNUMBER(O2914)),IF(M2914&lt;=O2914,"Valor ≤ venal IPTU",""),"")</f>
        <v/>
      </c>
      <c r="R2914" s="10" t="n"/>
      <c r="S2914" s="10" t="n"/>
      <c r="AA2914" s="10" t="n"/>
      <c r="AB2914" s="11">
        <f>IF(LEN(TRIM(X2914))=0,"",HYPERLINK("https://www.google.com/maps/@?api=1&amp;map_action=pano&amp;viewpoint="&amp;SUBSTITUTE(X2914," ",""),"Abrir Street View"))</f>
        <v/>
      </c>
    </row>
    <row r="2915">
      <c r="H2915" s="6" t="n"/>
      <c r="I2915" s="6" t="n"/>
      <c r="M2915" s="7" t="n"/>
      <c r="N2915" s="7" t="n"/>
      <c r="O2915" s="7" t="n"/>
      <c r="P2915" s="8">
        <f>IF(NOT(ISNUMBER(M2915)),"",IF(G2915="Terreno",IF(AND(ISNUMBER(I2915),I2915&gt;0),M2915/I2915,""),IF(AND(ISNUMBER(H2915),H2915&gt;0),M2915/H2915,"")))</f>
        <v/>
      </c>
      <c r="Q2915" s="9">
        <f>IF(AND(ISNUMBER(M2915),ISNUMBER(O2915)),IF(M2915&lt;=O2915,"Valor ≤ venal IPTU",""),"")</f>
        <v/>
      </c>
      <c r="R2915" s="10" t="n"/>
      <c r="S2915" s="10" t="n"/>
      <c r="AA2915" s="10" t="n"/>
      <c r="AB2915" s="11">
        <f>IF(LEN(TRIM(X2915))=0,"",HYPERLINK("https://www.google.com/maps/@?api=1&amp;map_action=pano&amp;viewpoint="&amp;SUBSTITUTE(X2915," ",""),"Abrir Street View"))</f>
        <v/>
      </c>
    </row>
    <row r="2916">
      <c r="H2916" s="6" t="n"/>
      <c r="I2916" s="6" t="n"/>
      <c r="M2916" s="7" t="n"/>
      <c r="N2916" s="7" t="n"/>
      <c r="O2916" s="7" t="n"/>
      <c r="P2916" s="8">
        <f>IF(NOT(ISNUMBER(M2916)),"",IF(G2916="Terreno",IF(AND(ISNUMBER(I2916),I2916&gt;0),M2916/I2916,""),IF(AND(ISNUMBER(H2916),H2916&gt;0),M2916/H2916,"")))</f>
        <v/>
      </c>
      <c r="Q2916" s="9">
        <f>IF(AND(ISNUMBER(M2916),ISNUMBER(O2916)),IF(M2916&lt;=O2916,"Valor ≤ venal IPTU",""),"")</f>
        <v/>
      </c>
      <c r="R2916" s="10" t="n"/>
      <c r="S2916" s="10" t="n"/>
      <c r="AA2916" s="10" t="n"/>
      <c r="AB2916" s="11">
        <f>IF(LEN(TRIM(X2916))=0,"",HYPERLINK("https://www.google.com/maps/@?api=1&amp;map_action=pano&amp;viewpoint="&amp;SUBSTITUTE(X2916," ",""),"Abrir Street View"))</f>
        <v/>
      </c>
    </row>
    <row r="2917">
      <c r="H2917" s="6" t="n"/>
      <c r="I2917" s="6" t="n"/>
      <c r="M2917" s="7" t="n"/>
      <c r="N2917" s="7" t="n"/>
      <c r="O2917" s="7" t="n"/>
      <c r="P2917" s="8">
        <f>IF(NOT(ISNUMBER(M2917)),"",IF(G2917="Terreno",IF(AND(ISNUMBER(I2917),I2917&gt;0),M2917/I2917,""),IF(AND(ISNUMBER(H2917),H2917&gt;0),M2917/H2917,"")))</f>
        <v/>
      </c>
      <c r="Q2917" s="9">
        <f>IF(AND(ISNUMBER(M2917),ISNUMBER(O2917)),IF(M2917&lt;=O2917,"Valor ≤ venal IPTU",""),"")</f>
        <v/>
      </c>
      <c r="R2917" s="10" t="n"/>
      <c r="S2917" s="10" t="n"/>
      <c r="AA2917" s="10" t="n"/>
      <c r="AB2917" s="11">
        <f>IF(LEN(TRIM(X2917))=0,"",HYPERLINK("https://www.google.com/maps/@?api=1&amp;map_action=pano&amp;viewpoint="&amp;SUBSTITUTE(X2917," ",""),"Abrir Street View"))</f>
        <v/>
      </c>
    </row>
    <row r="2918">
      <c r="H2918" s="6" t="n"/>
      <c r="I2918" s="6" t="n"/>
      <c r="M2918" s="7" t="n"/>
      <c r="N2918" s="7" t="n"/>
      <c r="O2918" s="7" t="n"/>
      <c r="P2918" s="8">
        <f>IF(NOT(ISNUMBER(M2918)),"",IF(G2918="Terreno",IF(AND(ISNUMBER(I2918),I2918&gt;0),M2918/I2918,""),IF(AND(ISNUMBER(H2918),H2918&gt;0),M2918/H2918,"")))</f>
        <v/>
      </c>
      <c r="Q2918" s="9">
        <f>IF(AND(ISNUMBER(M2918),ISNUMBER(O2918)),IF(M2918&lt;=O2918,"Valor ≤ venal IPTU",""),"")</f>
        <v/>
      </c>
      <c r="R2918" s="10" t="n"/>
      <c r="S2918" s="10" t="n"/>
      <c r="AA2918" s="10" t="n"/>
      <c r="AB2918" s="11">
        <f>IF(LEN(TRIM(X2918))=0,"",HYPERLINK("https://www.google.com/maps/@?api=1&amp;map_action=pano&amp;viewpoint="&amp;SUBSTITUTE(X2918," ",""),"Abrir Street View"))</f>
        <v/>
      </c>
    </row>
    <row r="2919">
      <c r="H2919" s="6" t="n"/>
      <c r="I2919" s="6" t="n"/>
      <c r="M2919" s="7" t="n"/>
      <c r="N2919" s="7" t="n"/>
      <c r="O2919" s="7" t="n"/>
      <c r="P2919" s="8">
        <f>IF(NOT(ISNUMBER(M2919)),"",IF(G2919="Terreno",IF(AND(ISNUMBER(I2919),I2919&gt;0),M2919/I2919,""),IF(AND(ISNUMBER(H2919),H2919&gt;0),M2919/H2919,"")))</f>
        <v/>
      </c>
      <c r="Q2919" s="9">
        <f>IF(AND(ISNUMBER(M2919),ISNUMBER(O2919)),IF(M2919&lt;=O2919,"Valor ≤ venal IPTU",""),"")</f>
        <v/>
      </c>
      <c r="R2919" s="10" t="n"/>
      <c r="S2919" s="10" t="n"/>
      <c r="AA2919" s="10" t="n"/>
      <c r="AB2919" s="11">
        <f>IF(LEN(TRIM(X2919))=0,"",HYPERLINK("https://www.google.com/maps/@?api=1&amp;map_action=pano&amp;viewpoint="&amp;SUBSTITUTE(X2919," ",""),"Abrir Street View"))</f>
        <v/>
      </c>
    </row>
    <row r="2920">
      <c r="H2920" s="6" t="n"/>
      <c r="I2920" s="6" t="n"/>
      <c r="M2920" s="7" t="n"/>
      <c r="N2920" s="7" t="n"/>
      <c r="O2920" s="7" t="n"/>
      <c r="P2920" s="8">
        <f>IF(NOT(ISNUMBER(M2920)),"",IF(G2920="Terreno",IF(AND(ISNUMBER(I2920),I2920&gt;0),M2920/I2920,""),IF(AND(ISNUMBER(H2920),H2920&gt;0),M2920/H2920,"")))</f>
        <v/>
      </c>
      <c r="Q2920" s="9">
        <f>IF(AND(ISNUMBER(M2920),ISNUMBER(O2920)),IF(M2920&lt;=O2920,"Valor ≤ venal IPTU",""),"")</f>
        <v/>
      </c>
      <c r="R2920" s="10" t="n"/>
      <c r="S2920" s="10" t="n"/>
      <c r="AA2920" s="10" t="n"/>
      <c r="AB2920" s="11">
        <f>IF(LEN(TRIM(X2920))=0,"",HYPERLINK("https://www.google.com/maps/@?api=1&amp;map_action=pano&amp;viewpoint="&amp;SUBSTITUTE(X2920," ",""),"Abrir Street View"))</f>
        <v/>
      </c>
    </row>
    <row r="2921">
      <c r="H2921" s="6" t="n"/>
      <c r="I2921" s="6" t="n"/>
      <c r="M2921" s="7" t="n"/>
      <c r="N2921" s="7" t="n"/>
      <c r="O2921" s="7" t="n"/>
      <c r="P2921" s="8">
        <f>IF(NOT(ISNUMBER(M2921)),"",IF(G2921="Terreno",IF(AND(ISNUMBER(I2921),I2921&gt;0),M2921/I2921,""),IF(AND(ISNUMBER(H2921),H2921&gt;0),M2921/H2921,"")))</f>
        <v/>
      </c>
      <c r="Q2921" s="9">
        <f>IF(AND(ISNUMBER(M2921),ISNUMBER(O2921)),IF(M2921&lt;=O2921,"Valor ≤ venal IPTU",""),"")</f>
        <v/>
      </c>
      <c r="R2921" s="10" t="n"/>
      <c r="S2921" s="10" t="n"/>
      <c r="AA2921" s="10" t="n"/>
      <c r="AB2921" s="11">
        <f>IF(LEN(TRIM(X2921))=0,"",HYPERLINK("https://www.google.com/maps/@?api=1&amp;map_action=pano&amp;viewpoint="&amp;SUBSTITUTE(X2921," ",""),"Abrir Street View"))</f>
        <v/>
      </c>
    </row>
    <row r="2922">
      <c r="H2922" s="6" t="n"/>
      <c r="I2922" s="6" t="n"/>
      <c r="M2922" s="7" t="n"/>
      <c r="N2922" s="7" t="n"/>
      <c r="O2922" s="7" t="n"/>
      <c r="P2922" s="8">
        <f>IF(NOT(ISNUMBER(M2922)),"",IF(G2922="Terreno",IF(AND(ISNUMBER(I2922),I2922&gt;0),M2922/I2922,""),IF(AND(ISNUMBER(H2922),H2922&gt;0),M2922/H2922,"")))</f>
        <v/>
      </c>
      <c r="Q2922" s="9">
        <f>IF(AND(ISNUMBER(M2922),ISNUMBER(O2922)),IF(M2922&lt;=O2922,"Valor ≤ venal IPTU",""),"")</f>
        <v/>
      </c>
      <c r="R2922" s="10" t="n"/>
      <c r="S2922" s="10" t="n"/>
      <c r="AA2922" s="10" t="n"/>
      <c r="AB2922" s="11">
        <f>IF(LEN(TRIM(X2922))=0,"",HYPERLINK("https://www.google.com/maps/@?api=1&amp;map_action=pano&amp;viewpoint="&amp;SUBSTITUTE(X2922," ",""),"Abrir Street View"))</f>
        <v/>
      </c>
    </row>
    <row r="2923">
      <c r="H2923" s="6" t="n"/>
      <c r="I2923" s="6" t="n"/>
      <c r="M2923" s="7" t="n"/>
      <c r="N2923" s="7" t="n"/>
      <c r="O2923" s="7" t="n"/>
      <c r="P2923" s="8">
        <f>IF(NOT(ISNUMBER(M2923)),"",IF(G2923="Terreno",IF(AND(ISNUMBER(I2923),I2923&gt;0),M2923/I2923,""),IF(AND(ISNUMBER(H2923),H2923&gt;0),M2923/H2923,"")))</f>
        <v/>
      </c>
      <c r="Q2923" s="9">
        <f>IF(AND(ISNUMBER(M2923),ISNUMBER(O2923)),IF(M2923&lt;=O2923,"Valor ≤ venal IPTU",""),"")</f>
        <v/>
      </c>
      <c r="R2923" s="10" t="n"/>
      <c r="S2923" s="10" t="n"/>
      <c r="AA2923" s="10" t="n"/>
      <c r="AB2923" s="11">
        <f>IF(LEN(TRIM(X2923))=0,"",HYPERLINK("https://www.google.com/maps/@?api=1&amp;map_action=pano&amp;viewpoint="&amp;SUBSTITUTE(X2923," ",""),"Abrir Street View"))</f>
        <v/>
      </c>
    </row>
    <row r="2924">
      <c r="H2924" s="6" t="n"/>
      <c r="I2924" s="6" t="n"/>
      <c r="M2924" s="7" t="n"/>
      <c r="N2924" s="7" t="n"/>
      <c r="O2924" s="7" t="n"/>
      <c r="P2924" s="8">
        <f>IF(NOT(ISNUMBER(M2924)),"",IF(G2924="Terreno",IF(AND(ISNUMBER(I2924),I2924&gt;0),M2924/I2924,""),IF(AND(ISNUMBER(H2924),H2924&gt;0),M2924/H2924,"")))</f>
        <v/>
      </c>
      <c r="Q2924" s="9">
        <f>IF(AND(ISNUMBER(M2924),ISNUMBER(O2924)),IF(M2924&lt;=O2924,"Valor ≤ venal IPTU",""),"")</f>
        <v/>
      </c>
      <c r="R2924" s="10" t="n"/>
      <c r="S2924" s="10" t="n"/>
      <c r="AA2924" s="10" t="n"/>
      <c r="AB2924" s="11">
        <f>IF(LEN(TRIM(X2924))=0,"",HYPERLINK("https://www.google.com/maps/@?api=1&amp;map_action=pano&amp;viewpoint="&amp;SUBSTITUTE(X2924," ",""),"Abrir Street View"))</f>
        <v/>
      </c>
    </row>
    <row r="2925">
      <c r="H2925" s="6" t="n"/>
      <c r="I2925" s="6" t="n"/>
      <c r="M2925" s="7" t="n"/>
      <c r="N2925" s="7" t="n"/>
      <c r="O2925" s="7" t="n"/>
      <c r="P2925" s="8">
        <f>IF(NOT(ISNUMBER(M2925)),"",IF(G2925="Terreno",IF(AND(ISNUMBER(I2925),I2925&gt;0),M2925/I2925,""),IF(AND(ISNUMBER(H2925),H2925&gt;0),M2925/H2925,"")))</f>
        <v/>
      </c>
      <c r="Q2925" s="9">
        <f>IF(AND(ISNUMBER(M2925),ISNUMBER(O2925)),IF(M2925&lt;=O2925,"Valor ≤ venal IPTU",""),"")</f>
        <v/>
      </c>
      <c r="R2925" s="10" t="n"/>
      <c r="S2925" s="10" t="n"/>
      <c r="AA2925" s="10" t="n"/>
      <c r="AB2925" s="11">
        <f>IF(LEN(TRIM(X2925))=0,"",HYPERLINK("https://www.google.com/maps/@?api=1&amp;map_action=pano&amp;viewpoint="&amp;SUBSTITUTE(X2925," ",""),"Abrir Street View"))</f>
        <v/>
      </c>
    </row>
    <row r="2926">
      <c r="H2926" s="6" t="n"/>
      <c r="I2926" s="6" t="n"/>
      <c r="M2926" s="7" t="n"/>
      <c r="N2926" s="7" t="n"/>
      <c r="O2926" s="7" t="n"/>
      <c r="P2926" s="8">
        <f>IF(NOT(ISNUMBER(M2926)),"",IF(G2926="Terreno",IF(AND(ISNUMBER(I2926),I2926&gt;0),M2926/I2926,""),IF(AND(ISNUMBER(H2926),H2926&gt;0),M2926/H2926,"")))</f>
        <v/>
      </c>
      <c r="Q2926" s="9">
        <f>IF(AND(ISNUMBER(M2926),ISNUMBER(O2926)),IF(M2926&lt;=O2926,"Valor ≤ venal IPTU",""),"")</f>
        <v/>
      </c>
      <c r="R2926" s="10" t="n"/>
      <c r="S2926" s="10" t="n"/>
      <c r="AA2926" s="10" t="n"/>
      <c r="AB2926" s="11">
        <f>IF(LEN(TRIM(X2926))=0,"",HYPERLINK("https://www.google.com/maps/@?api=1&amp;map_action=pano&amp;viewpoint="&amp;SUBSTITUTE(X2926," ",""),"Abrir Street View"))</f>
        <v/>
      </c>
    </row>
    <row r="2927">
      <c r="H2927" s="6" t="n"/>
      <c r="I2927" s="6" t="n"/>
      <c r="M2927" s="7" t="n"/>
      <c r="N2927" s="7" t="n"/>
      <c r="O2927" s="7" t="n"/>
      <c r="P2927" s="8">
        <f>IF(NOT(ISNUMBER(M2927)),"",IF(G2927="Terreno",IF(AND(ISNUMBER(I2927),I2927&gt;0),M2927/I2927,""),IF(AND(ISNUMBER(H2927),H2927&gt;0),M2927/H2927,"")))</f>
        <v/>
      </c>
      <c r="Q2927" s="9">
        <f>IF(AND(ISNUMBER(M2927),ISNUMBER(O2927)),IF(M2927&lt;=O2927,"Valor ≤ venal IPTU",""),"")</f>
        <v/>
      </c>
      <c r="R2927" s="10" t="n"/>
      <c r="S2927" s="10" t="n"/>
      <c r="AA2927" s="10" t="n"/>
      <c r="AB2927" s="11">
        <f>IF(LEN(TRIM(X2927))=0,"",HYPERLINK("https://www.google.com/maps/@?api=1&amp;map_action=pano&amp;viewpoint="&amp;SUBSTITUTE(X2927," ",""),"Abrir Street View"))</f>
        <v/>
      </c>
    </row>
    <row r="2928">
      <c r="H2928" s="6" t="n"/>
      <c r="I2928" s="6" t="n"/>
      <c r="M2928" s="7" t="n"/>
      <c r="N2928" s="7" t="n"/>
      <c r="O2928" s="7" t="n"/>
      <c r="P2928" s="8">
        <f>IF(NOT(ISNUMBER(M2928)),"",IF(G2928="Terreno",IF(AND(ISNUMBER(I2928),I2928&gt;0),M2928/I2928,""),IF(AND(ISNUMBER(H2928),H2928&gt;0),M2928/H2928,"")))</f>
        <v/>
      </c>
      <c r="Q2928" s="9">
        <f>IF(AND(ISNUMBER(M2928),ISNUMBER(O2928)),IF(M2928&lt;=O2928,"Valor ≤ venal IPTU",""),"")</f>
        <v/>
      </c>
      <c r="R2928" s="10" t="n"/>
      <c r="S2928" s="10" t="n"/>
      <c r="AA2928" s="10" t="n"/>
      <c r="AB2928" s="11">
        <f>IF(LEN(TRIM(X2928))=0,"",HYPERLINK("https://www.google.com/maps/@?api=1&amp;map_action=pano&amp;viewpoint="&amp;SUBSTITUTE(X2928," ",""),"Abrir Street View"))</f>
        <v/>
      </c>
    </row>
    <row r="2929">
      <c r="H2929" s="6" t="n"/>
      <c r="I2929" s="6" t="n"/>
      <c r="M2929" s="7" t="n"/>
      <c r="N2929" s="7" t="n"/>
      <c r="O2929" s="7" t="n"/>
      <c r="P2929" s="8">
        <f>IF(NOT(ISNUMBER(M2929)),"",IF(G2929="Terreno",IF(AND(ISNUMBER(I2929),I2929&gt;0),M2929/I2929,""),IF(AND(ISNUMBER(H2929),H2929&gt;0),M2929/H2929,"")))</f>
        <v/>
      </c>
      <c r="Q2929" s="9">
        <f>IF(AND(ISNUMBER(M2929),ISNUMBER(O2929)),IF(M2929&lt;=O2929,"Valor ≤ venal IPTU",""),"")</f>
        <v/>
      </c>
      <c r="R2929" s="10" t="n"/>
      <c r="S2929" s="10" t="n"/>
      <c r="AA2929" s="10" t="n"/>
      <c r="AB2929" s="11">
        <f>IF(LEN(TRIM(X2929))=0,"",HYPERLINK("https://www.google.com/maps/@?api=1&amp;map_action=pano&amp;viewpoint="&amp;SUBSTITUTE(X2929," ",""),"Abrir Street View"))</f>
        <v/>
      </c>
    </row>
    <row r="2930">
      <c r="H2930" s="6" t="n"/>
      <c r="I2930" s="6" t="n"/>
      <c r="M2930" s="7" t="n"/>
      <c r="N2930" s="7" t="n"/>
      <c r="O2930" s="7" t="n"/>
      <c r="P2930" s="8">
        <f>IF(NOT(ISNUMBER(M2930)),"",IF(G2930="Terreno",IF(AND(ISNUMBER(I2930),I2930&gt;0),M2930/I2930,""),IF(AND(ISNUMBER(H2930),H2930&gt;0),M2930/H2930,"")))</f>
        <v/>
      </c>
      <c r="Q2930" s="9">
        <f>IF(AND(ISNUMBER(M2930),ISNUMBER(O2930)),IF(M2930&lt;=O2930,"Valor ≤ venal IPTU",""),"")</f>
        <v/>
      </c>
      <c r="R2930" s="10" t="n"/>
      <c r="S2930" s="10" t="n"/>
      <c r="AA2930" s="10" t="n"/>
      <c r="AB2930" s="11">
        <f>IF(LEN(TRIM(X2930))=0,"",HYPERLINK("https://www.google.com/maps/@?api=1&amp;map_action=pano&amp;viewpoint="&amp;SUBSTITUTE(X2930," ",""),"Abrir Street View"))</f>
        <v/>
      </c>
    </row>
    <row r="2931">
      <c r="H2931" s="6" t="n"/>
      <c r="I2931" s="6" t="n"/>
      <c r="M2931" s="7" t="n"/>
      <c r="N2931" s="7" t="n"/>
      <c r="O2931" s="7" t="n"/>
      <c r="P2931" s="8">
        <f>IF(NOT(ISNUMBER(M2931)),"",IF(G2931="Terreno",IF(AND(ISNUMBER(I2931),I2931&gt;0),M2931/I2931,""),IF(AND(ISNUMBER(H2931),H2931&gt;0),M2931/H2931,"")))</f>
        <v/>
      </c>
      <c r="Q2931" s="9">
        <f>IF(AND(ISNUMBER(M2931),ISNUMBER(O2931)),IF(M2931&lt;=O2931,"Valor ≤ venal IPTU",""),"")</f>
        <v/>
      </c>
      <c r="R2931" s="10" t="n"/>
      <c r="S2931" s="10" t="n"/>
      <c r="AA2931" s="10" t="n"/>
      <c r="AB2931" s="11">
        <f>IF(LEN(TRIM(X2931))=0,"",HYPERLINK("https://www.google.com/maps/@?api=1&amp;map_action=pano&amp;viewpoint="&amp;SUBSTITUTE(X2931," ",""),"Abrir Street View"))</f>
        <v/>
      </c>
    </row>
    <row r="2932">
      <c r="H2932" s="6" t="n"/>
      <c r="I2932" s="6" t="n"/>
      <c r="M2932" s="7" t="n"/>
      <c r="N2932" s="7" t="n"/>
      <c r="O2932" s="7" t="n"/>
      <c r="P2932" s="8">
        <f>IF(NOT(ISNUMBER(M2932)),"",IF(G2932="Terreno",IF(AND(ISNUMBER(I2932),I2932&gt;0),M2932/I2932,""),IF(AND(ISNUMBER(H2932),H2932&gt;0),M2932/H2932,"")))</f>
        <v/>
      </c>
      <c r="Q2932" s="9">
        <f>IF(AND(ISNUMBER(M2932),ISNUMBER(O2932)),IF(M2932&lt;=O2932,"Valor ≤ venal IPTU",""),"")</f>
        <v/>
      </c>
      <c r="R2932" s="10" t="n"/>
      <c r="S2932" s="10" t="n"/>
      <c r="AA2932" s="10" t="n"/>
      <c r="AB2932" s="11">
        <f>IF(LEN(TRIM(X2932))=0,"",HYPERLINK("https://www.google.com/maps/@?api=1&amp;map_action=pano&amp;viewpoint="&amp;SUBSTITUTE(X2932," ",""),"Abrir Street View"))</f>
        <v/>
      </c>
    </row>
    <row r="2933">
      <c r="H2933" s="6" t="n"/>
      <c r="I2933" s="6" t="n"/>
      <c r="M2933" s="7" t="n"/>
      <c r="N2933" s="7" t="n"/>
      <c r="O2933" s="7" t="n"/>
      <c r="P2933" s="8">
        <f>IF(NOT(ISNUMBER(M2933)),"",IF(G2933="Terreno",IF(AND(ISNUMBER(I2933),I2933&gt;0),M2933/I2933,""),IF(AND(ISNUMBER(H2933),H2933&gt;0),M2933/H2933,"")))</f>
        <v/>
      </c>
      <c r="Q2933" s="9">
        <f>IF(AND(ISNUMBER(M2933),ISNUMBER(O2933)),IF(M2933&lt;=O2933,"Valor ≤ venal IPTU",""),"")</f>
        <v/>
      </c>
      <c r="R2933" s="10" t="n"/>
      <c r="S2933" s="10" t="n"/>
      <c r="AA2933" s="10" t="n"/>
      <c r="AB2933" s="11">
        <f>IF(LEN(TRIM(X2933))=0,"",HYPERLINK("https://www.google.com/maps/@?api=1&amp;map_action=pano&amp;viewpoint="&amp;SUBSTITUTE(X2933," ",""),"Abrir Street View"))</f>
        <v/>
      </c>
    </row>
    <row r="2934">
      <c r="H2934" s="6" t="n"/>
      <c r="I2934" s="6" t="n"/>
      <c r="M2934" s="7" t="n"/>
      <c r="N2934" s="7" t="n"/>
      <c r="O2934" s="7" t="n"/>
      <c r="P2934" s="8">
        <f>IF(NOT(ISNUMBER(M2934)),"",IF(G2934="Terreno",IF(AND(ISNUMBER(I2934),I2934&gt;0),M2934/I2934,""),IF(AND(ISNUMBER(H2934),H2934&gt;0),M2934/H2934,"")))</f>
        <v/>
      </c>
      <c r="Q2934" s="9">
        <f>IF(AND(ISNUMBER(M2934),ISNUMBER(O2934)),IF(M2934&lt;=O2934,"Valor ≤ venal IPTU",""),"")</f>
        <v/>
      </c>
      <c r="R2934" s="10" t="n"/>
      <c r="S2934" s="10" t="n"/>
      <c r="AA2934" s="10" t="n"/>
      <c r="AB2934" s="11">
        <f>IF(LEN(TRIM(X2934))=0,"",HYPERLINK("https://www.google.com/maps/@?api=1&amp;map_action=pano&amp;viewpoint="&amp;SUBSTITUTE(X2934," ",""),"Abrir Street View"))</f>
        <v/>
      </c>
    </row>
    <row r="2935">
      <c r="H2935" s="6" t="n"/>
      <c r="I2935" s="6" t="n"/>
      <c r="M2935" s="7" t="n"/>
      <c r="N2935" s="7" t="n"/>
      <c r="O2935" s="7" t="n"/>
      <c r="P2935" s="8">
        <f>IF(NOT(ISNUMBER(M2935)),"",IF(G2935="Terreno",IF(AND(ISNUMBER(I2935),I2935&gt;0),M2935/I2935,""),IF(AND(ISNUMBER(H2935),H2935&gt;0),M2935/H2935,"")))</f>
        <v/>
      </c>
      <c r="Q2935" s="9">
        <f>IF(AND(ISNUMBER(M2935),ISNUMBER(O2935)),IF(M2935&lt;=O2935,"Valor ≤ venal IPTU",""),"")</f>
        <v/>
      </c>
      <c r="R2935" s="10" t="n"/>
      <c r="S2935" s="10" t="n"/>
      <c r="AA2935" s="10" t="n"/>
      <c r="AB2935" s="11">
        <f>IF(LEN(TRIM(X2935))=0,"",HYPERLINK("https://www.google.com/maps/@?api=1&amp;map_action=pano&amp;viewpoint="&amp;SUBSTITUTE(X2935," ",""),"Abrir Street View"))</f>
        <v/>
      </c>
    </row>
    <row r="2936">
      <c r="H2936" s="6" t="n"/>
      <c r="I2936" s="6" t="n"/>
      <c r="M2936" s="7" t="n"/>
      <c r="N2936" s="7" t="n"/>
      <c r="O2936" s="7" t="n"/>
      <c r="P2936" s="8">
        <f>IF(NOT(ISNUMBER(M2936)),"",IF(G2936="Terreno",IF(AND(ISNUMBER(I2936),I2936&gt;0),M2936/I2936,""),IF(AND(ISNUMBER(H2936),H2936&gt;0),M2936/H2936,"")))</f>
        <v/>
      </c>
      <c r="Q2936" s="9">
        <f>IF(AND(ISNUMBER(M2936),ISNUMBER(O2936)),IF(M2936&lt;=O2936,"Valor ≤ venal IPTU",""),"")</f>
        <v/>
      </c>
      <c r="R2936" s="10" t="n"/>
      <c r="S2936" s="10" t="n"/>
      <c r="AA2936" s="10" t="n"/>
      <c r="AB2936" s="11">
        <f>IF(LEN(TRIM(X2936))=0,"",HYPERLINK("https://www.google.com/maps/@?api=1&amp;map_action=pano&amp;viewpoint="&amp;SUBSTITUTE(X2936," ",""),"Abrir Street View"))</f>
        <v/>
      </c>
    </row>
    <row r="2937">
      <c r="H2937" s="6" t="n"/>
      <c r="I2937" s="6" t="n"/>
      <c r="M2937" s="7" t="n"/>
      <c r="N2937" s="7" t="n"/>
      <c r="O2937" s="7" t="n"/>
      <c r="P2937" s="8">
        <f>IF(NOT(ISNUMBER(M2937)),"",IF(G2937="Terreno",IF(AND(ISNUMBER(I2937),I2937&gt;0),M2937/I2937,""),IF(AND(ISNUMBER(H2937),H2937&gt;0),M2937/H2937,"")))</f>
        <v/>
      </c>
      <c r="Q2937" s="9">
        <f>IF(AND(ISNUMBER(M2937),ISNUMBER(O2937)),IF(M2937&lt;=O2937,"Valor ≤ venal IPTU",""),"")</f>
        <v/>
      </c>
      <c r="R2937" s="10" t="n"/>
      <c r="S2937" s="10" t="n"/>
      <c r="AA2937" s="10" t="n"/>
      <c r="AB2937" s="11">
        <f>IF(LEN(TRIM(X2937))=0,"",HYPERLINK("https://www.google.com/maps/@?api=1&amp;map_action=pano&amp;viewpoint="&amp;SUBSTITUTE(X2937," ",""),"Abrir Street View"))</f>
        <v/>
      </c>
    </row>
    <row r="2938">
      <c r="H2938" s="6" t="n"/>
      <c r="I2938" s="6" t="n"/>
      <c r="M2938" s="7" t="n"/>
      <c r="N2938" s="7" t="n"/>
      <c r="O2938" s="7" t="n"/>
      <c r="P2938" s="8">
        <f>IF(NOT(ISNUMBER(M2938)),"",IF(G2938="Terreno",IF(AND(ISNUMBER(I2938),I2938&gt;0),M2938/I2938,""),IF(AND(ISNUMBER(H2938),H2938&gt;0),M2938/H2938,"")))</f>
        <v/>
      </c>
      <c r="Q2938" s="9">
        <f>IF(AND(ISNUMBER(M2938),ISNUMBER(O2938)),IF(M2938&lt;=O2938,"Valor ≤ venal IPTU",""),"")</f>
        <v/>
      </c>
      <c r="R2938" s="10" t="n"/>
      <c r="S2938" s="10" t="n"/>
      <c r="AA2938" s="10" t="n"/>
      <c r="AB2938" s="11">
        <f>IF(LEN(TRIM(X2938))=0,"",HYPERLINK("https://www.google.com/maps/@?api=1&amp;map_action=pano&amp;viewpoint="&amp;SUBSTITUTE(X2938," ",""),"Abrir Street View"))</f>
        <v/>
      </c>
    </row>
    <row r="2939">
      <c r="H2939" s="6" t="n"/>
      <c r="I2939" s="6" t="n"/>
      <c r="M2939" s="7" t="n"/>
      <c r="N2939" s="7" t="n"/>
      <c r="O2939" s="7" t="n"/>
      <c r="P2939" s="8">
        <f>IF(NOT(ISNUMBER(M2939)),"",IF(G2939="Terreno",IF(AND(ISNUMBER(I2939),I2939&gt;0),M2939/I2939,""),IF(AND(ISNUMBER(H2939),H2939&gt;0),M2939/H2939,"")))</f>
        <v/>
      </c>
      <c r="Q2939" s="9">
        <f>IF(AND(ISNUMBER(M2939),ISNUMBER(O2939)),IF(M2939&lt;=O2939,"Valor ≤ venal IPTU",""),"")</f>
        <v/>
      </c>
      <c r="R2939" s="10" t="n"/>
      <c r="S2939" s="10" t="n"/>
      <c r="AA2939" s="10" t="n"/>
      <c r="AB2939" s="11">
        <f>IF(LEN(TRIM(X2939))=0,"",HYPERLINK("https://www.google.com/maps/@?api=1&amp;map_action=pano&amp;viewpoint="&amp;SUBSTITUTE(X2939," ",""),"Abrir Street View"))</f>
        <v/>
      </c>
    </row>
    <row r="2940">
      <c r="H2940" s="6" t="n"/>
      <c r="I2940" s="6" t="n"/>
      <c r="M2940" s="7" t="n"/>
      <c r="N2940" s="7" t="n"/>
      <c r="O2940" s="7" t="n"/>
      <c r="P2940" s="8">
        <f>IF(NOT(ISNUMBER(M2940)),"",IF(G2940="Terreno",IF(AND(ISNUMBER(I2940),I2940&gt;0),M2940/I2940,""),IF(AND(ISNUMBER(H2940),H2940&gt;0),M2940/H2940,"")))</f>
        <v/>
      </c>
      <c r="Q2940" s="9">
        <f>IF(AND(ISNUMBER(M2940),ISNUMBER(O2940)),IF(M2940&lt;=O2940,"Valor ≤ venal IPTU",""),"")</f>
        <v/>
      </c>
      <c r="R2940" s="10" t="n"/>
      <c r="S2940" s="10" t="n"/>
      <c r="AA2940" s="10" t="n"/>
      <c r="AB2940" s="11">
        <f>IF(LEN(TRIM(X2940))=0,"",HYPERLINK("https://www.google.com/maps/@?api=1&amp;map_action=pano&amp;viewpoint="&amp;SUBSTITUTE(X2940," ",""),"Abrir Street View"))</f>
        <v/>
      </c>
    </row>
    <row r="2941">
      <c r="H2941" s="6" t="n"/>
      <c r="I2941" s="6" t="n"/>
      <c r="M2941" s="7" t="n"/>
      <c r="N2941" s="7" t="n"/>
      <c r="O2941" s="7" t="n"/>
      <c r="P2941" s="8">
        <f>IF(NOT(ISNUMBER(M2941)),"",IF(G2941="Terreno",IF(AND(ISNUMBER(I2941),I2941&gt;0),M2941/I2941,""),IF(AND(ISNUMBER(H2941),H2941&gt;0),M2941/H2941,"")))</f>
        <v/>
      </c>
      <c r="Q2941" s="9">
        <f>IF(AND(ISNUMBER(M2941),ISNUMBER(O2941)),IF(M2941&lt;=O2941,"Valor ≤ venal IPTU",""),"")</f>
        <v/>
      </c>
      <c r="R2941" s="10" t="n"/>
      <c r="S2941" s="10" t="n"/>
      <c r="AA2941" s="10" t="n"/>
      <c r="AB2941" s="11">
        <f>IF(LEN(TRIM(X2941))=0,"",HYPERLINK("https://www.google.com/maps/@?api=1&amp;map_action=pano&amp;viewpoint="&amp;SUBSTITUTE(X2941," ",""),"Abrir Street View"))</f>
        <v/>
      </c>
    </row>
    <row r="2942">
      <c r="H2942" s="6" t="n"/>
      <c r="I2942" s="6" t="n"/>
      <c r="M2942" s="7" t="n"/>
      <c r="N2942" s="7" t="n"/>
      <c r="O2942" s="7" t="n"/>
      <c r="P2942" s="8">
        <f>IF(NOT(ISNUMBER(M2942)),"",IF(G2942="Terreno",IF(AND(ISNUMBER(I2942),I2942&gt;0),M2942/I2942,""),IF(AND(ISNUMBER(H2942),H2942&gt;0),M2942/H2942,"")))</f>
        <v/>
      </c>
      <c r="Q2942" s="9">
        <f>IF(AND(ISNUMBER(M2942),ISNUMBER(O2942)),IF(M2942&lt;=O2942,"Valor ≤ venal IPTU",""),"")</f>
        <v/>
      </c>
      <c r="R2942" s="10" t="n"/>
      <c r="S2942" s="10" t="n"/>
      <c r="AA2942" s="10" t="n"/>
      <c r="AB2942" s="11">
        <f>IF(LEN(TRIM(X2942))=0,"",HYPERLINK("https://www.google.com/maps/@?api=1&amp;map_action=pano&amp;viewpoint="&amp;SUBSTITUTE(X2942," ",""),"Abrir Street View"))</f>
        <v/>
      </c>
    </row>
    <row r="2943">
      <c r="H2943" s="6" t="n"/>
      <c r="I2943" s="6" t="n"/>
      <c r="M2943" s="7" t="n"/>
      <c r="N2943" s="7" t="n"/>
      <c r="O2943" s="7" t="n"/>
      <c r="P2943" s="8">
        <f>IF(NOT(ISNUMBER(M2943)),"",IF(G2943="Terreno",IF(AND(ISNUMBER(I2943),I2943&gt;0),M2943/I2943,""),IF(AND(ISNUMBER(H2943),H2943&gt;0),M2943/H2943,"")))</f>
        <v/>
      </c>
      <c r="Q2943" s="9">
        <f>IF(AND(ISNUMBER(M2943),ISNUMBER(O2943)),IF(M2943&lt;=O2943,"Valor ≤ venal IPTU",""),"")</f>
        <v/>
      </c>
      <c r="R2943" s="10" t="n"/>
      <c r="S2943" s="10" t="n"/>
      <c r="AA2943" s="10" t="n"/>
      <c r="AB2943" s="11">
        <f>IF(LEN(TRIM(X2943))=0,"",HYPERLINK("https://www.google.com/maps/@?api=1&amp;map_action=pano&amp;viewpoint="&amp;SUBSTITUTE(X2943," ",""),"Abrir Street View"))</f>
        <v/>
      </c>
    </row>
    <row r="2944">
      <c r="H2944" s="6" t="n"/>
      <c r="I2944" s="6" t="n"/>
      <c r="M2944" s="7" t="n"/>
      <c r="N2944" s="7" t="n"/>
      <c r="O2944" s="7" t="n"/>
      <c r="P2944" s="8">
        <f>IF(NOT(ISNUMBER(M2944)),"",IF(G2944="Terreno",IF(AND(ISNUMBER(I2944),I2944&gt;0),M2944/I2944,""),IF(AND(ISNUMBER(H2944),H2944&gt;0),M2944/H2944,"")))</f>
        <v/>
      </c>
      <c r="Q2944" s="9">
        <f>IF(AND(ISNUMBER(M2944),ISNUMBER(O2944)),IF(M2944&lt;=O2944,"Valor ≤ venal IPTU",""),"")</f>
        <v/>
      </c>
      <c r="R2944" s="10" t="n"/>
      <c r="S2944" s="10" t="n"/>
      <c r="AA2944" s="10" t="n"/>
      <c r="AB2944" s="11">
        <f>IF(LEN(TRIM(X2944))=0,"",HYPERLINK("https://www.google.com/maps/@?api=1&amp;map_action=pano&amp;viewpoint="&amp;SUBSTITUTE(X2944," ",""),"Abrir Street View"))</f>
        <v/>
      </c>
    </row>
    <row r="2945">
      <c r="H2945" s="6" t="n"/>
      <c r="I2945" s="6" t="n"/>
      <c r="M2945" s="7" t="n"/>
      <c r="N2945" s="7" t="n"/>
      <c r="O2945" s="7" t="n"/>
      <c r="P2945" s="8">
        <f>IF(NOT(ISNUMBER(M2945)),"",IF(G2945="Terreno",IF(AND(ISNUMBER(I2945),I2945&gt;0),M2945/I2945,""),IF(AND(ISNUMBER(H2945),H2945&gt;0),M2945/H2945,"")))</f>
        <v/>
      </c>
      <c r="Q2945" s="9">
        <f>IF(AND(ISNUMBER(M2945),ISNUMBER(O2945)),IF(M2945&lt;=O2945,"Valor ≤ venal IPTU",""),"")</f>
        <v/>
      </c>
      <c r="R2945" s="10" t="n"/>
      <c r="S2945" s="10" t="n"/>
      <c r="AA2945" s="10" t="n"/>
      <c r="AB2945" s="11">
        <f>IF(LEN(TRIM(X2945))=0,"",HYPERLINK("https://www.google.com/maps/@?api=1&amp;map_action=pano&amp;viewpoint="&amp;SUBSTITUTE(X2945," ",""),"Abrir Street View"))</f>
        <v/>
      </c>
    </row>
    <row r="2946">
      <c r="H2946" s="6" t="n"/>
      <c r="I2946" s="6" t="n"/>
      <c r="M2946" s="7" t="n"/>
      <c r="N2946" s="7" t="n"/>
      <c r="O2946" s="7" t="n"/>
      <c r="P2946" s="8">
        <f>IF(NOT(ISNUMBER(M2946)),"",IF(G2946="Terreno",IF(AND(ISNUMBER(I2946),I2946&gt;0),M2946/I2946,""),IF(AND(ISNUMBER(H2946),H2946&gt;0),M2946/H2946,"")))</f>
        <v/>
      </c>
      <c r="Q2946" s="9">
        <f>IF(AND(ISNUMBER(M2946),ISNUMBER(O2946)),IF(M2946&lt;=O2946,"Valor ≤ venal IPTU",""),"")</f>
        <v/>
      </c>
      <c r="R2946" s="10" t="n"/>
      <c r="S2946" s="10" t="n"/>
      <c r="AA2946" s="10" t="n"/>
      <c r="AB2946" s="11">
        <f>IF(LEN(TRIM(X2946))=0,"",HYPERLINK("https://www.google.com/maps/@?api=1&amp;map_action=pano&amp;viewpoint="&amp;SUBSTITUTE(X2946," ",""),"Abrir Street View"))</f>
        <v/>
      </c>
    </row>
    <row r="2947">
      <c r="H2947" s="6" t="n"/>
      <c r="I2947" s="6" t="n"/>
      <c r="M2947" s="7" t="n"/>
      <c r="N2947" s="7" t="n"/>
      <c r="O2947" s="7" t="n"/>
      <c r="P2947" s="8">
        <f>IF(NOT(ISNUMBER(M2947)),"",IF(G2947="Terreno",IF(AND(ISNUMBER(I2947),I2947&gt;0),M2947/I2947,""),IF(AND(ISNUMBER(H2947),H2947&gt;0),M2947/H2947,"")))</f>
        <v/>
      </c>
      <c r="Q2947" s="9">
        <f>IF(AND(ISNUMBER(M2947),ISNUMBER(O2947)),IF(M2947&lt;=O2947,"Valor ≤ venal IPTU",""),"")</f>
        <v/>
      </c>
      <c r="R2947" s="10" t="n"/>
      <c r="S2947" s="10" t="n"/>
      <c r="AA2947" s="10" t="n"/>
      <c r="AB2947" s="11">
        <f>IF(LEN(TRIM(X2947))=0,"",HYPERLINK("https://www.google.com/maps/@?api=1&amp;map_action=pano&amp;viewpoint="&amp;SUBSTITUTE(X2947," ",""),"Abrir Street View"))</f>
        <v/>
      </c>
    </row>
    <row r="2948">
      <c r="H2948" s="6" t="n"/>
      <c r="I2948" s="6" t="n"/>
      <c r="M2948" s="7" t="n"/>
      <c r="N2948" s="7" t="n"/>
      <c r="O2948" s="7" t="n"/>
      <c r="P2948" s="8">
        <f>IF(NOT(ISNUMBER(M2948)),"",IF(G2948="Terreno",IF(AND(ISNUMBER(I2948),I2948&gt;0),M2948/I2948,""),IF(AND(ISNUMBER(H2948),H2948&gt;0),M2948/H2948,"")))</f>
        <v/>
      </c>
      <c r="Q2948" s="9">
        <f>IF(AND(ISNUMBER(M2948),ISNUMBER(O2948)),IF(M2948&lt;=O2948,"Valor ≤ venal IPTU",""),"")</f>
        <v/>
      </c>
      <c r="R2948" s="10" t="n"/>
      <c r="S2948" s="10" t="n"/>
      <c r="AA2948" s="10" t="n"/>
      <c r="AB2948" s="11">
        <f>IF(LEN(TRIM(X2948))=0,"",HYPERLINK("https://www.google.com/maps/@?api=1&amp;map_action=pano&amp;viewpoint="&amp;SUBSTITUTE(X2948," ",""),"Abrir Street View"))</f>
        <v/>
      </c>
    </row>
    <row r="2949">
      <c r="H2949" s="6" t="n"/>
      <c r="I2949" s="6" t="n"/>
      <c r="M2949" s="7" t="n"/>
      <c r="N2949" s="7" t="n"/>
      <c r="O2949" s="7" t="n"/>
      <c r="P2949" s="8">
        <f>IF(NOT(ISNUMBER(M2949)),"",IF(G2949="Terreno",IF(AND(ISNUMBER(I2949),I2949&gt;0),M2949/I2949,""),IF(AND(ISNUMBER(H2949),H2949&gt;0),M2949/H2949,"")))</f>
        <v/>
      </c>
      <c r="Q2949" s="9">
        <f>IF(AND(ISNUMBER(M2949),ISNUMBER(O2949)),IF(M2949&lt;=O2949,"Valor ≤ venal IPTU",""),"")</f>
        <v/>
      </c>
      <c r="R2949" s="10" t="n"/>
      <c r="S2949" s="10" t="n"/>
      <c r="AA2949" s="10" t="n"/>
      <c r="AB2949" s="11">
        <f>IF(LEN(TRIM(X2949))=0,"",HYPERLINK("https://www.google.com/maps/@?api=1&amp;map_action=pano&amp;viewpoint="&amp;SUBSTITUTE(X2949," ",""),"Abrir Street View"))</f>
        <v/>
      </c>
    </row>
    <row r="2950">
      <c r="H2950" s="6" t="n"/>
      <c r="I2950" s="6" t="n"/>
      <c r="M2950" s="7" t="n"/>
      <c r="N2950" s="7" t="n"/>
      <c r="O2950" s="7" t="n"/>
      <c r="P2950" s="8">
        <f>IF(NOT(ISNUMBER(M2950)),"",IF(G2950="Terreno",IF(AND(ISNUMBER(I2950),I2950&gt;0),M2950/I2950,""),IF(AND(ISNUMBER(H2950),H2950&gt;0),M2950/H2950,"")))</f>
        <v/>
      </c>
      <c r="Q2950" s="9">
        <f>IF(AND(ISNUMBER(M2950),ISNUMBER(O2950)),IF(M2950&lt;=O2950,"Valor ≤ venal IPTU",""),"")</f>
        <v/>
      </c>
      <c r="R2950" s="10" t="n"/>
      <c r="S2950" s="10" t="n"/>
      <c r="AA2950" s="10" t="n"/>
      <c r="AB2950" s="11">
        <f>IF(LEN(TRIM(X2950))=0,"",HYPERLINK("https://www.google.com/maps/@?api=1&amp;map_action=pano&amp;viewpoint="&amp;SUBSTITUTE(X2950," ",""),"Abrir Street View"))</f>
        <v/>
      </c>
    </row>
    <row r="2951">
      <c r="H2951" s="6" t="n"/>
      <c r="I2951" s="6" t="n"/>
      <c r="M2951" s="7" t="n"/>
      <c r="N2951" s="7" t="n"/>
      <c r="O2951" s="7" t="n"/>
      <c r="P2951" s="8">
        <f>IF(NOT(ISNUMBER(M2951)),"",IF(G2951="Terreno",IF(AND(ISNUMBER(I2951),I2951&gt;0),M2951/I2951,""),IF(AND(ISNUMBER(H2951),H2951&gt;0),M2951/H2951,"")))</f>
        <v/>
      </c>
      <c r="Q2951" s="9">
        <f>IF(AND(ISNUMBER(M2951),ISNUMBER(O2951)),IF(M2951&lt;=O2951,"Valor ≤ venal IPTU",""),"")</f>
        <v/>
      </c>
      <c r="R2951" s="10" t="n"/>
      <c r="S2951" s="10" t="n"/>
      <c r="AA2951" s="10" t="n"/>
      <c r="AB2951" s="11">
        <f>IF(LEN(TRIM(X2951))=0,"",HYPERLINK("https://www.google.com/maps/@?api=1&amp;map_action=pano&amp;viewpoint="&amp;SUBSTITUTE(X2951," ",""),"Abrir Street View"))</f>
        <v/>
      </c>
    </row>
    <row r="2952">
      <c r="H2952" s="6" t="n"/>
      <c r="I2952" s="6" t="n"/>
      <c r="M2952" s="7" t="n"/>
      <c r="N2952" s="7" t="n"/>
      <c r="O2952" s="7" t="n"/>
      <c r="P2952" s="8">
        <f>IF(NOT(ISNUMBER(M2952)),"",IF(G2952="Terreno",IF(AND(ISNUMBER(I2952),I2952&gt;0),M2952/I2952,""),IF(AND(ISNUMBER(H2952),H2952&gt;0),M2952/H2952,"")))</f>
        <v/>
      </c>
      <c r="Q2952" s="9">
        <f>IF(AND(ISNUMBER(M2952),ISNUMBER(O2952)),IF(M2952&lt;=O2952,"Valor ≤ venal IPTU",""),"")</f>
        <v/>
      </c>
      <c r="R2952" s="10" t="n"/>
      <c r="S2952" s="10" t="n"/>
      <c r="AA2952" s="10" t="n"/>
      <c r="AB2952" s="11">
        <f>IF(LEN(TRIM(X2952))=0,"",HYPERLINK("https://www.google.com/maps/@?api=1&amp;map_action=pano&amp;viewpoint="&amp;SUBSTITUTE(X2952," ",""),"Abrir Street View"))</f>
        <v/>
      </c>
    </row>
    <row r="2953">
      <c r="H2953" s="6" t="n"/>
      <c r="I2953" s="6" t="n"/>
      <c r="M2953" s="7" t="n"/>
      <c r="N2953" s="7" t="n"/>
      <c r="O2953" s="7" t="n"/>
      <c r="P2953" s="8">
        <f>IF(NOT(ISNUMBER(M2953)),"",IF(G2953="Terreno",IF(AND(ISNUMBER(I2953),I2953&gt;0),M2953/I2953,""),IF(AND(ISNUMBER(H2953),H2953&gt;0),M2953/H2953,"")))</f>
        <v/>
      </c>
      <c r="Q2953" s="9">
        <f>IF(AND(ISNUMBER(M2953),ISNUMBER(O2953)),IF(M2953&lt;=O2953,"Valor ≤ venal IPTU",""),"")</f>
        <v/>
      </c>
      <c r="R2953" s="10" t="n"/>
      <c r="S2953" s="10" t="n"/>
      <c r="AA2953" s="10" t="n"/>
      <c r="AB2953" s="11">
        <f>IF(LEN(TRIM(X2953))=0,"",HYPERLINK("https://www.google.com/maps/@?api=1&amp;map_action=pano&amp;viewpoint="&amp;SUBSTITUTE(X2953," ",""),"Abrir Street View"))</f>
        <v/>
      </c>
    </row>
    <row r="2954">
      <c r="H2954" s="6" t="n"/>
      <c r="I2954" s="6" t="n"/>
      <c r="M2954" s="7" t="n"/>
      <c r="N2954" s="7" t="n"/>
      <c r="O2954" s="7" t="n"/>
      <c r="P2954" s="8">
        <f>IF(NOT(ISNUMBER(M2954)),"",IF(G2954="Terreno",IF(AND(ISNUMBER(I2954),I2954&gt;0),M2954/I2954,""),IF(AND(ISNUMBER(H2954),H2954&gt;0),M2954/H2954,"")))</f>
        <v/>
      </c>
      <c r="Q2954" s="9">
        <f>IF(AND(ISNUMBER(M2954),ISNUMBER(O2954)),IF(M2954&lt;=O2954,"Valor ≤ venal IPTU",""),"")</f>
        <v/>
      </c>
      <c r="R2954" s="10" t="n"/>
      <c r="S2954" s="10" t="n"/>
      <c r="AA2954" s="10" t="n"/>
      <c r="AB2954" s="11">
        <f>IF(LEN(TRIM(X2954))=0,"",HYPERLINK("https://www.google.com/maps/@?api=1&amp;map_action=pano&amp;viewpoint="&amp;SUBSTITUTE(X2954," ",""),"Abrir Street View"))</f>
        <v/>
      </c>
    </row>
    <row r="2955">
      <c r="H2955" s="6" t="n"/>
      <c r="I2955" s="6" t="n"/>
      <c r="M2955" s="7" t="n"/>
      <c r="N2955" s="7" t="n"/>
      <c r="O2955" s="7" t="n"/>
      <c r="P2955" s="8">
        <f>IF(NOT(ISNUMBER(M2955)),"",IF(G2955="Terreno",IF(AND(ISNUMBER(I2955),I2955&gt;0),M2955/I2955,""),IF(AND(ISNUMBER(H2955),H2955&gt;0),M2955/H2955,"")))</f>
        <v/>
      </c>
      <c r="Q2955" s="9">
        <f>IF(AND(ISNUMBER(M2955),ISNUMBER(O2955)),IF(M2955&lt;=O2955,"Valor ≤ venal IPTU",""),"")</f>
        <v/>
      </c>
      <c r="R2955" s="10" t="n"/>
      <c r="S2955" s="10" t="n"/>
      <c r="AA2955" s="10" t="n"/>
      <c r="AB2955" s="11">
        <f>IF(LEN(TRIM(X2955))=0,"",HYPERLINK("https://www.google.com/maps/@?api=1&amp;map_action=pano&amp;viewpoint="&amp;SUBSTITUTE(X2955," ",""),"Abrir Street View"))</f>
        <v/>
      </c>
    </row>
    <row r="2956">
      <c r="H2956" s="6" t="n"/>
      <c r="I2956" s="6" t="n"/>
      <c r="M2956" s="7" t="n"/>
      <c r="N2956" s="7" t="n"/>
      <c r="O2956" s="7" t="n"/>
      <c r="P2956" s="8">
        <f>IF(NOT(ISNUMBER(M2956)),"",IF(G2956="Terreno",IF(AND(ISNUMBER(I2956),I2956&gt;0),M2956/I2956,""),IF(AND(ISNUMBER(H2956),H2956&gt;0),M2956/H2956,"")))</f>
        <v/>
      </c>
      <c r="Q2956" s="9">
        <f>IF(AND(ISNUMBER(M2956),ISNUMBER(O2956)),IF(M2956&lt;=O2956,"Valor ≤ venal IPTU",""),"")</f>
        <v/>
      </c>
      <c r="R2956" s="10" t="n"/>
      <c r="S2956" s="10" t="n"/>
      <c r="AA2956" s="10" t="n"/>
      <c r="AB2956" s="11">
        <f>IF(LEN(TRIM(X2956))=0,"",HYPERLINK("https://www.google.com/maps/@?api=1&amp;map_action=pano&amp;viewpoint="&amp;SUBSTITUTE(X2956," ",""),"Abrir Street View"))</f>
        <v/>
      </c>
    </row>
    <row r="2957">
      <c r="H2957" s="6" t="n"/>
      <c r="I2957" s="6" t="n"/>
      <c r="M2957" s="7" t="n"/>
      <c r="N2957" s="7" t="n"/>
      <c r="O2957" s="7" t="n"/>
      <c r="P2957" s="8">
        <f>IF(NOT(ISNUMBER(M2957)),"",IF(G2957="Terreno",IF(AND(ISNUMBER(I2957),I2957&gt;0),M2957/I2957,""),IF(AND(ISNUMBER(H2957),H2957&gt;0),M2957/H2957,"")))</f>
        <v/>
      </c>
      <c r="Q2957" s="9">
        <f>IF(AND(ISNUMBER(M2957),ISNUMBER(O2957)),IF(M2957&lt;=O2957,"Valor ≤ venal IPTU",""),"")</f>
        <v/>
      </c>
      <c r="R2957" s="10" t="n"/>
      <c r="S2957" s="10" t="n"/>
      <c r="AA2957" s="10" t="n"/>
      <c r="AB2957" s="11">
        <f>IF(LEN(TRIM(X2957))=0,"",HYPERLINK("https://www.google.com/maps/@?api=1&amp;map_action=pano&amp;viewpoint="&amp;SUBSTITUTE(X2957," ",""),"Abrir Street View"))</f>
        <v/>
      </c>
    </row>
    <row r="2958">
      <c r="H2958" s="6" t="n"/>
      <c r="I2958" s="6" t="n"/>
      <c r="M2958" s="7" t="n"/>
      <c r="N2958" s="7" t="n"/>
      <c r="O2958" s="7" t="n"/>
      <c r="P2958" s="8">
        <f>IF(NOT(ISNUMBER(M2958)),"",IF(G2958="Terreno",IF(AND(ISNUMBER(I2958),I2958&gt;0),M2958/I2958,""),IF(AND(ISNUMBER(H2958),H2958&gt;0),M2958/H2958,"")))</f>
        <v/>
      </c>
      <c r="Q2958" s="9">
        <f>IF(AND(ISNUMBER(M2958),ISNUMBER(O2958)),IF(M2958&lt;=O2958,"Valor ≤ venal IPTU",""),"")</f>
        <v/>
      </c>
      <c r="R2958" s="10" t="n"/>
      <c r="S2958" s="10" t="n"/>
      <c r="AA2958" s="10" t="n"/>
      <c r="AB2958" s="11">
        <f>IF(LEN(TRIM(X2958))=0,"",HYPERLINK("https://www.google.com/maps/@?api=1&amp;map_action=pano&amp;viewpoint="&amp;SUBSTITUTE(X2958," ",""),"Abrir Street View"))</f>
        <v/>
      </c>
    </row>
    <row r="2959">
      <c r="H2959" s="6" t="n"/>
      <c r="I2959" s="6" t="n"/>
      <c r="M2959" s="7" t="n"/>
      <c r="N2959" s="7" t="n"/>
      <c r="O2959" s="7" t="n"/>
      <c r="P2959" s="8">
        <f>IF(NOT(ISNUMBER(M2959)),"",IF(G2959="Terreno",IF(AND(ISNUMBER(I2959),I2959&gt;0),M2959/I2959,""),IF(AND(ISNUMBER(H2959),H2959&gt;0),M2959/H2959,"")))</f>
        <v/>
      </c>
      <c r="Q2959" s="9">
        <f>IF(AND(ISNUMBER(M2959),ISNUMBER(O2959)),IF(M2959&lt;=O2959,"Valor ≤ venal IPTU",""),"")</f>
        <v/>
      </c>
      <c r="R2959" s="10" t="n"/>
      <c r="S2959" s="10" t="n"/>
      <c r="AA2959" s="10" t="n"/>
      <c r="AB2959" s="11">
        <f>IF(LEN(TRIM(X2959))=0,"",HYPERLINK("https://www.google.com/maps/@?api=1&amp;map_action=pano&amp;viewpoint="&amp;SUBSTITUTE(X2959," ",""),"Abrir Street View"))</f>
        <v/>
      </c>
    </row>
    <row r="2960">
      <c r="H2960" s="6" t="n"/>
      <c r="I2960" s="6" t="n"/>
      <c r="M2960" s="7" t="n"/>
      <c r="N2960" s="7" t="n"/>
      <c r="O2960" s="7" t="n"/>
      <c r="P2960" s="8">
        <f>IF(NOT(ISNUMBER(M2960)),"",IF(G2960="Terreno",IF(AND(ISNUMBER(I2960),I2960&gt;0),M2960/I2960,""),IF(AND(ISNUMBER(H2960),H2960&gt;0),M2960/H2960,"")))</f>
        <v/>
      </c>
      <c r="Q2960" s="9">
        <f>IF(AND(ISNUMBER(M2960),ISNUMBER(O2960)),IF(M2960&lt;=O2960,"Valor ≤ venal IPTU",""),"")</f>
        <v/>
      </c>
      <c r="R2960" s="10" t="n"/>
      <c r="S2960" s="10" t="n"/>
      <c r="AA2960" s="10" t="n"/>
      <c r="AB2960" s="11">
        <f>IF(LEN(TRIM(X2960))=0,"",HYPERLINK("https://www.google.com/maps/@?api=1&amp;map_action=pano&amp;viewpoint="&amp;SUBSTITUTE(X2960," ",""),"Abrir Street View"))</f>
        <v/>
      </c>
    </row>
    <row r="2961">
      <c r="H2961" s="6" t="n"/>
      <c r="I2961" s="6" t="n"/>
      <c r="M2961" s="7" t="n"/>
      <c r="N2961" s="7" t="n"/>
      <c r="O2961" s="7" t="n"/>
      <c r="P2961" s="8">
        <f>IF(NOT(ISNUMBER(M2961)),"",IF(G2961="Terreno",IF(AND(ISNUMBER(I2961),I2961&gt;0),M2961/I2961,""),IF(AND(ISNUMBER(H2961),H2961&gt;0),M2961/H2961,"")))</f>
        <v/>
      </c>
      <c r="Q2961" s="9">
        <f>IF(AND(ISNUMBER(M2961),ISNUMBER(O2961)),IF(M2961&lt;=O2961,"Valor ≤ venal IPTU",""),"")</f>
        <v/>
      </c>
      <c r="R2961" s="10" t="n"/>
      <c r="S2961" s="10" t="n"/>
      <c r="AA2961" s="10" t="n"/>
      <c r="AB2961" s="11">
        <f>IF(LEN(TRIM(X2961))=0,"",HYPERLINK("https://www.google.com/maps/@?api=1&amp;map_action=pano&amp;viewpoint="&amp;SUBSTITUTE(X2961," ",""),"Abrir Street View"))</f>
        <v/>
      </c>
    </row>
    <row r="2962">
      <c r="H2962" s="6" t="n"/>
      <c r="I2962" s="6" t="n"/>
      <c r="M2962" s="7" t="n"/>
      <c r="N2962" s="7" t="n"/>
      <c r="O2962" s="7" t="n"/>
      <c r="P2962" s="8">
        <f>IF(NOT(ISNUMBER(M2962)),"",IF(G2962="Terreno",IF(AND(ISNUMBER(I2962),I2962&gt;0),M2962/I2962,""),IF(AND(ISNUMBER(H2962),H2962&gt;0),M2962/H2962,"")))</f>
        <v/>
      </c>
      <c r="Q2962" s="9">
        <f>IF(AND(ISNUMBER(M2962),ISNUMBER(O2962)),IF(M2962&lt;=O2962,"Valor ≤ venal IPTU",""),"")</f>
        <v/>
      </c>
      <c r="R2962" s="10" t="n"/>
      <c r="S2962" s="10" t="n"/>
      <c r="AA2962" s="10" t="n"/>
      <c r="AB2962" s="11">
        <f>IF(LEN(TRIM(X2962))=0,"",HYPERLINK("https://www.google.com/maps/@?api=1&amp;map_action=pano&amp;viewpoint="&amp;SUBSTITUTE(X2962," ",""),"Abrir Street View"))</f>
        <v/>
      </c>
    </row>
    <row r="2963">
      <c r="H2963" s="6" t="n"/>
      <c r="I2963" s="6" t="n"/>
      <c r="M2963" s="7" t="n"/>
      <c r="N2963" s="7" t="n"/>
      <c r="O2963" s="7" t="n"/>
      <c r="P2963" s="8">
        <f>IF(NOT(ISNUMBER(M2963)),"",IF(G2963="Terreno",IF(AND(ISNUMBER(I2963),I2963&gt;0),M2963/I2963,""),IF(AND(ISNUMBER(H2963),H2963&gt;0),M2963/H2963,"")))</f>
        <v/>
      </c>
      <c r="Q2963" s="9">
        <f>IF(AND(ISNUMBER(M2963),ISNUMBER(O2963)),IF(M2963&lt;=O2963,"Valor ≤ venal IPTU",""),"")</f>
        <v/>
      </c>
      <c r="R2963" s="10" t="n"/>
      <c r="S2963" s="10" t="n"/>
      <c r="AA2963" s="10" t="n"/>
      <c r="AB2963" s="11">
        <f>IF(LEN(TRIM(X2963))=0,"",HYPERLINK("https://www.google.com/maps/@?api=1&amp;map_action=pano&amp;viewpoint="&amp;SUBSTITUTE(X2963," ",""),"Abrir Street View"))</f>
        <v/>
      </c>
    </row>
    <row r="2964">
      <c r="H2964" s="6" t="n"/>
      <c r="I2964" s="6" t="n"/>
      <c r="M2964" s="7" t="n"/>
      <c r="N2964" s="7" t="n"/>
      <c r="O2964" s="7" t="n"/>
      <c r="P2964" s="8">
        <f>IF(NOT(ISNUMBER(M2964)),"",IF(G2964="Terreno",IF(AND(ISNUMBER(I2964),I2964&gt;0),M2964/I2964,""),IF(AND(ISNUMBER(H2964),H2964&gt;0),M2964/H2964,"")))</f>
        <v/>
      </c>
      <c r="Q2964" s="9">
        <f>IF(AND(ISNUMBER(M2964),ISNUMBER(O2964)),IF(M2964&lt;=O2964,"Valor ≤ venal IPTU",""),"")</f>
        <v/>
      </c>
      <c r="R2964" s="10" t="n"/>
      <c r="S2964" s="10" t="n"/>
      <c r="AA2964" s="10" t="n"/>
      <c r="AB2964" s="11">
        <f>IF(LEN(TRIM(X2964))=0,"",HYPERLINK("https://www.google.com/maps/@?api=1&amp;map_action=pano&amp;viewpoint="&amp;SUBSTITUTE(X2964," ",""),"Abrir Street View"))</f>
        <v/>
      </c>
    </row>
    <row r="2965">
      <c r="H2965" s="6" t="n"/>
      <c r="I2965" s="6" t="n"/>
      <c r="M2965" s="7" t="n"/>
      <c r="N2965" s="7" t="n"/>
      <c r="O2965" s="7" t="n"/>
      <c r="P2965" s="8">
        <f>IF(NOT(ISNUMBER(M2965)),"",IF(G2965="Terreno",IF(AND(ISNUMBER(I2965),I2965&gt;0),M2965/I2965,""),IF(AND(ISNUMBER(H2965),H2965&gt;0),M2965/H2965,"")))</f>
        <v/>
      </c>
      <c r="Q2965" s="9">
        <f>IF(AND(ISNUMBER(M2965),ISNUMBER(O2965)),IF(M2965&lt;=O2965,"Valor ≤ venal IPTU",""),"")</f>
        <v/>
      </c>
      <c r="R2965" s="10" t="n"/>
      <c r="S2965" s="10" t="n"/>
      <c r="AA2965" s="10" t="n"/>
      <c r="AB2965" s="11">
        <f>IF(LEN(TRIM(X2965))=0,"",HYPERLINK("https://www.google.com/maps/@?api=1&amp;map_action=pano&amp;viewpoint="&amp;SUBSTITUTE(X2965," ",""),"Abrir Street View"))</f>
        <v/>
      </c>
    </row>
    <row r="2966">
      <c r="H2966" s="6" t="n"/>
      <c r="I2966" s="6" t="n"/>
      <c r="M2966" s="7" t="n"/>
      <c r="N2966" s="7" t="n"/>
      <c r="O2966" s="7" t="n"/>
      <c r="P2966" s="8">
        <f>IF(NOT(ISNUMBER(M2966)),"",IF(G2966="Terreno",IF(AND(ISNUMBER(I2966),I2966&gt;0),M2966/I2966,""),IF(AND(ISNUMBER(H2966),H2966&gt;0),M2966/H2966,"")))</f>
        <v/>
      </c>
      <c r="Q2966" s="9">
        <f>IF(AND(ISNUMBER(M2966),ISNUMBER(O2966)),IF(M2966&lt;=O2966,"Valor ≤ venal IPTU",""),"")</f>
        <v/>
      </c>
      <c r="R2966" s="10" t="n"/>
      <c r="S2966" s="10" t="n"/>
      <c r="AA2966" s="10" t="n"/>
      <c r="AB2966" s="11">
        <f>IF(LEN(TRIM(X2966))=0,"",HYPERLINK("https://www.google.com/maps/@?api=1&amp;map_action=pano&amp;viewpoint="&amp;SUBSTITUTE(X2966," ",""),"Abrir Street View"))</f>
        <v/>
      </c>
    </row>
    <row r="2967">
      <c r="H2967" s="6" t="n"/>
      <c r="I2967" s="6" t="n"/>
      <c r="M2967" s="7" t="n"/>
      <c r="N2967" s="7" t="n"/>
      <c r="O2967" s="7" t="n"/>
      <c r="P2967" s="8">
        <f>IF(NOT(ISNUMBER(M2967)),"",IF(G2967="Terreno",IF(AND(ISNUMBER(I2967),I2967&gt;0),M2967/I2967,""),IF(AND(ISNUMBER(H2967),H2967&gt;0),M2967/H2967,"")))</f>
        <v/>
      </c>
      <c r="Q2967" s="9">
        <f>IF(AND(ISNUMBER(M2967),ISNUMBER(O2967)),IF(M2967&lt;=O2967,"Valor ≤ venal IPTU",""),"")</f>
        <v/>
      </c>
      <c r="R2967" s="10" t="n"/>
      <c r="S2967" s="10" t="n"/>
      <c r="AA2967" s="10" t="n"/>
      <c r="AB2967" s="11">
        <f>IF(LEN(TRIM(X2967))=0,"",HYPERLINK("https://www.google.com/maps/@?api=1&amp;map_action=pano&amp;viewpoint="&amp;SUBSTITUTE(X2967," ",""),"Abrir Street View"))</f>
        <v/>
      </c>
    </row>
    <row r="2968">
      <c r="H2968" s="6" t="n"/>
      <c r="I2968" s="6" t="n"/>
      <c r="M2968" s="7" t="n"/>
      <c r="N2968" s="7" t="n"/>
      <c r="O2968" s="7" t="n"/>
      <c r="P2968" s="8">
        <f>IF(NOT(ISNUMBER(M2968)),"",IF(G2968="Terreno",IF(AND(ISNUMBER(I2968),I2968&gt;0),M2968/I2968,""),IF(AND(ISNUMBER(H2968),H2968&gt;0),M2968/H2968,"")))</f>
        <v/>
      </c>
      <c r="Q2968" s="9">
        <f>IF(AND(ISNUMBER(M2968),ISNUMBER(O2968)),IF(M2968&lt;=O2968,"Valor ≤ venal IPTU",""),"")</f>
        <v/>
      </c>
      <c r="R2968" s="10" t="n"/>
      <c r="S2968" s="10" t="n"/>
      <c r="AA2968" s="10" t="n"/>
      <c r="AB2968" s="11">
        <f>IF(LEN(TRIM(X2968))=0,"",HYPERLINK("https://www.google.com/maps/@?api=1&amp;map_action=pano&amp;viewpoint="&amp;SUBSTITUTE(X2968," ",""),"Abrir Street View"))</f>
        <v/>
      </c>
    </row>
    <row r="2969">
      <c r="H2969" s="6" t="n"/>
      <c r="I2969" s="6" t="n"/>
      <c r="M2969" s="7" t="n"/>
      <c r="N2969" s="7" t="n"/>
      <c r="O2969" s="7" t="n"/>
      <c r="P2969" s="8">
        <f>IF(NOT(ISNUMBER(M2969)),"",IF(G2969="Terreno",IF(AND(ISNUMBER(I2969),I2969&gt;0),M2969/I2969,""),IF(AND(ISNUMBER(H2969),H2969&gt;0),M2969/H2969,"")))</f>
        <v/>
      </c>
      <c r="Q2969" s="9">
        <f>IF(AND(ISNUMBER(M2969),ISNUMBER(O2969)),IF(M2969&lt;=O2969,"Valor ≤ venal IPTU",""),"")</f>
        <v/>
      </c>
      <c r="R2969" s="10" t="n"/>
      <c r="S2969" s="10" t="n"/>
      <c r="AA2969" s="10" t="n"/>
      <c r="AB2969" s="11">
        <f>IF(LEN(TRIM(X2969))=0,"",HYPERLINK("https://www.google.com/maps/@?api=1&amp;map_action=pano&amp;viewpoint="&amp;SUBSTITUTE(X2969," ",""),"Abrir Street View"))</f>
        <v/>
      </c>
    </row>
    <row r="2970">
      <c r="H2970" s="6" t="n"/>
      <c r="I2970" s="6" t="n"/>
      <c r="M2970" s="7" t="n"/>
      <c r="N2970" s="7" t="n"/>
      <c r="O2970" s="7" t="n"/>
      <c r="P2970" s="8">
        <f>IF(NOT(ISNUMBER(M2970)),"",IF(G2970="Terreno",IF(AND(ISNUMBER(I2970),I2970&gt;0),M2970/I2970,""),IF(AND(ISNUMBER(H2970),H2970&gt;0),M2970/H2970,"")))</f>
        <v/>
      </c>
      <c r="Q2970" s="9">
        <f>IF(AND(ISNUMBER(M2970),ISNUMBER(O2970)),IF(M2970&lt;=O2970,"Valor ≤ venal IPTU",""),"")</f>
        <v/>
      </c>
      <c r="R2970" s="10" t="n"/>
      <c r="S2970" s="10" t="n"/>
      <c r="AA2970" s="10" t="n"/>
      <c r="AB2970" s="11">
        <f>IF(LEN(TRIM(X2970))=0,"",HYPERLINK("https://www.google.com/maps/@?api=1&amp;map_action=pano&amp;viewpoint="&amp;SUBSTITUTE(X2970," ",""),"Abrir Street View"))</f>
        <v/>
      </c>
    </row>
    <row r="2971">
      <c r="H2971" s="6" t="n"/>
      <c r="I2971" s="6" t="n"/>
      <c r="M2971" s="7" t="n"/>
      <c r="N2971" s="7" t="n"/>
      <c r="O2971" s="7" t="n"/>
      <c r="P2971" s="8">
        <f>IF(NOT(ISNUMBER(M2971)),"",IF(G2971="Terreno",IF(AND(ISNUMBER(I2971),I2971&gt;0),M2971/I2971,""),IF(AND(ISNUMBER(H2971),H2971&gt;0),M2971/H2971,"")))</f>
        <v/>
      </c>
      <c r="Q2971" s="9">
        <f>IF(AND(ISNUMBER(M2971),ISNUMBER(O2971)),IF(M2971&lt;=O2971,"Valor ≤ venal IPTU",""),"")</f>
        <v/>
      </c>
      <c r="R2971" s="10" t="n"/>
      <c r="S2971" s="10" t="n"/>
      <c r="AA2971" s="10" t="n"/>
      <c r="AB2971" s="11">
        <f>IF(LEN(TRIM(X2971))=0,"",HYPERLINK("https://www.google.com/maps/@?api=1&amp;map_action=pano&amp;viewpoint="&amp;SUBSTITUTE(X2971," ",""),"Abrir Street View"))</f>
        <v/>
      </c>
    </row>
    <row r="2972">
      <c r="H2972" s="6" t="n"/>
      <c r="I2972" s="6" t="n"/>
      <c r="M2972" s="7" t="n"/>
      <c r="N2972" s="7" t="n"/>
      <c r="O2972" s="7" t="n"/>
      <c r="P2972" s="8">
        <f>IF(NOT(ISNUMBER(M2972)),"",IF(G2972="Terreno",IF(AND(ISNUMBER(I2972),I2972&gt;0),M2972/I2972,""),IF(AND(ISNUMBER(H2972),H2972&gt;0),M2972/H2972,"")))</f>
        <v/>
      </c>
      <c r="Q2972" s="9">
        <f>IF(AND(ISNUMBER(M2972),ISNUMBER(O2972)),IF(M2972&lt;=O2972,"Valor ≤ venal IPTU",""),"")</f>
        <v/>
      </c>
      <c r="R2972" s="10" t="n"/>
      <c r="S2972" s="10" t="n"/>
      <c r="AA2972" s="10" t="n"/>
      <c r="AB2972" s="11">
        <f>IF(LEN(TRIM(X2972))=0,"",HYPERLINK("https://www.google.com/maps/@?api=1&amp;map_action=pano&amp;viewpoint="&amp;SUBSTITUTE(X2972," ",""),"Abrir Street View"))</f>
        <v/>
      </c>
    </row>
    <row r="2973">
      <c r="H2973" s="6" t="n"/>
      <c r="I2973" s="6" t="n"/>
      <c r="M2973" s="7" t="n"/>
      <c r="N2973" s="7" t="n"/>
      <c r="O2973" s="7" t="n"/>
      <c r="P2973" s="8">
        <f>IF(NOT(ISNUMBER(M2973)),"",IF(G2973="Terreno",IF(AND(ISNUMBER(I2973),I2973&gt;0),M2973/I2973,""),IF(AND(ISNUMBER(H2973),H2973&gt;0),M2973/H2973,"")))</f>
        <v/>
      </c>
      <c r="Q2973" s="9">
        <f>IF(AND(ISNUMBER(M2973),ISNUMBER(O2973)),IF(M2973&lt;=O2973,"Valor ≤ venal IPTU",""),"")</f>
        <v/>
      </c>
      <c r="R2973" s="10" t="n"/>
      <c r="S2973" s="10" t="n"/>
      <c r="AA2973" s="10" t="n"/>
      <c r="AB2973" s="11">
        <f>IF(LEN(TRIM(X2973))=0,"",HYPERLINK("https://www.google.com/maps/@?api=1&amp;map_action=pano&amp;viewpoint="&amp;SUBSTITUTE(X2973," ",""),"Abrir Street View"))</f>
        <v/>
      </c>
    </row>
    <row r="2974">
      <c r="H2974" s="6" t="n"/>
      <c r="I2974" s="6" t="n"/>
      <c r="M2974" s="7" t="n"/>
      <c r="N2974" s="7" t="n"/>
      <c r="O2974" s="7" t="n"/>
      <c r="P2974" s="8">
        <f>IF(NOT(ISNUMBER(M2974)),"",IF(G2974="Terreno",IF(AND(ISNUMBER(I2974),I2974&gt;0),M2974/I2974,""),IF(AND(ISNUMBER(H2974),H2974&gt;0),M2974/H2974,"")))</f>
        <v/>
      </c>
      <c r="Q2974" s="9">
        <f>IF(AND(ISNUMBER(M2974),ISNUMBER(O2974)),IF(M2974&lt;=O2974,"Valor ≤ venal IPTU",""),"")</f>
        <v/>
      </c>
      <c r="R2974" s="10" t="n"/>
      <c r="S2974" s="10" t="n"/>
      <c r="AA2974" s="10" t="n"/>
      <c r="AB2974" s="11">
        <f>IF(LEN(TRIM(X2974))=0,"",HYPERLINK("https://www.google.com/maps/@?api=1&amp;map_action=pano&amp;viewpoint="&amp;SUBSTITUTE(X2974," ",""),"Abrir Street View"))</f>
        <v/>
      </c>
    </row>
    <row r="2975">
      <c r="H2975" s="6" t="n"/>
      <c r="I2975" s="6" t="n"/>
      <c r="M2975" s="7" t="n"/>
      <c r="N2975" s="7" t="n"/>
      <c r="O2975" s="7" t="n"/>
      <c r="P2975" s="8">
        <f>IF(NOT(ISNUMBER(M2975)),"",IF(G2975="Terreno",IF(AND(ISNUMBER(I2975),I2975&gt;0),M2975/I2975,""),IF(AND(ISNUMBER(H2975),H2975&gt;0),M2975/H2975,"")))</f>
        <v/>
      </c>
      <c r="Q2975" s="9">
        <f>IF(AND(ISNUMBER(M2975),ISNUMBER(O2975)),IF(M2975&lt;=O2975,"Valor ≤ venal IPTU",""),"")</f>
        <v/>
      </c>
      <c r="R2975" s="10" t="n"/>
      <c r="S2975" s="10" t="n"/>
      <c r="AA2975" s="10" t="n"/>
      <c r="AB2975" s="11">
        <f>IF(LEN(TRIM(X2975))=0,"",HYPERLINK("https://www.google.com/maps/@?api=1&amp;map_action=pano&amp;viewpoint="&amp;SUBSTITUTE(X2975," ",""),"Abrir Street View"))</f>
        <v/>
      </c>
    </row>
    <row r="2976">
      <c r="H2976" s="6" t="n"/>
      <c r="I2976" s="6" t="n"/>
      <c r="M2976" s="7" t="n"/>
      <c r="N2976" s="7" t="n"/>
      <c r="O2976" s="7" t="n"/>
      <c r="P2976" s="8">
        <f>IF(NOT(ISNUMBER(M2976)),"",IF(G2976="Terreno",IF(AND(ISNUMBER(I2976),I2976&gt;0),M2976/I2976,""),IF(AND(ISNUMBER(H2976),H2976&gt;0),M2976/H2976,"")))</f>
        <v/>
      </c>
      <c r="Q2976" s="9">
        <f>IF(AND(ISNUMBER(M2976),ISNUMBER(O2976)),IF(M2976&lt;=O2976,"Valor ≤ venal IPTU",""),"")</f>
        <v/>
      </c>
      <c r="R2976" s="10" t="n"/>
      <c r="S2976" s="10" t="n"/>
      <c r="AA2976" s="10" t="n"/>
      <c r="AB2976" s="11">
        <f>IF(LEN(TRIM(X2976))=0,"",HYPERLINK("https://www.google.com/maps/@?api=1&amp;map_action=pano&amp;viewpoint="&amp;SUBSTITUTE(X2976," ",""),"Abrir Street View"))</f>
        <v/>
      </c>
    </row>
    <row r="2977">
      <c r="H2977" s="6" t="n"/>
      <c r="I2977" s="6" t="n"/>
      <c r="M2977" s="7" t="n"/>
      <c r="N2977" s="7" t="n"/>
      <c r="O2977" s="7" t="n"/>
      <c r="P2977" s="8">
        <f>IF(NOT(ISNUMBER(M2977)),"",IF(G2977="Terreno",IF(AND(ISNUMBER(I2977),I2977&gt;0),M2977/I2977,""),IF(AND(ISNUMBER(H2977),H2977&gt;0),M2977/H2977,"")))</f>
        <v/>
      </c>
      <c r="Q2977" s="9">
        <f>IF(AND(ISNUMBER(M2977),ISNUMBER(O2977)),IF(M2977&lt;=O2977,"Valor ≤ venal IPTU",""),"")</f>
        <v/>
      </c>
      <c r="R2977" s="10" t="n"/>
      <c r="S2977" s="10" t="n"/>
      <c r="AA2977" s="10" t="n"/>
      <c r="AB2977" s="11">
        <f>IF(LEN(TRIM(X2977))=0,"",HYPERLINK("https://www.google.com/maps/@?api=1&amp;map_action=pano&amp;viewpoint="&amp;SUBSTITUTE(X2977," ",""),"Abrir Street View"))</f>
        <v/>
      </c>
    </row>
    <row r="2978">
      <c r="H2978" s="6" t="n"/>
      <c r="I2978" s="6" t="n"/>
      <c r="M2978" s="7" t="n"/>
      <c r="N2978" s="7" t="n"/>
      <c r="O2978" s="7" t="n"/>
      <c r="P2978" s="8">
        <f>IF(NOT(ISNUMBER(M2978)),"",IF(G2978="Terreno",IF(AND(ISNUMBER(I2978),I2978&gt;0),M2978/I2978,""),IF(AND(ISNUMBER(H2978),H2978&gt;0),M2978/H2978,"")))</f>
        <v/>
      </c>
      <c r="Q2978" s="9">
        <f>IF(AND(ISNUMBER(M2978),ISNUMBER(O2978)),IF(M2978&lt;=O2978,"Valor ≤ venal IPTU",""),"")</f>
        <v/>
      </c>
      <c r="R2978" s="10" t="n"/>
      <c r="S2978" s="10" t="n"/>
      <c r="AA2978" s="10" t="n"/>
      <c r="AB2978" s="11">
        <f>IF(LEN(TRIM(X2978))=0,"",HYPERLINK("https://www.google.com/maps/@?api=1&amp;map_action=pano&amp;viewpoint="&amp;SUBSTITUTE(X2978," ",""),"Abrir Street View"))</f>
        <v/>
      </c>
    </row>
    <row r="2979">
      <c r="H2979" s="6" t="n"/>
      <c r="I2979" s="6" t="n"/>
      <c r="M2979" s="7" t="n"/>
      <c r="N2979" s="7" t="n"/>
      <c r="O2979" s="7" t="n"/>
      <c r="P2979" s="8">
        <f>IF(NOT(ISNUMBER(M2979)),"",IF(G2979="Terreno",IF(AND(ISNUMBER(I2979),I2979&gt;0),M2979/I2979,""),IF(AND(ISNUMBER(H2979),H2979&gt;0),M2979/H2979,"")))</f>
        <v/>
      </c>
      <c r="Q2979" s="9">
        <f>IF(AND(ISNUMBER(M2979),ISNUMBER(O2979)),IF(M2979&lt;=O2979,"Valor ≤ venal IPTU",""),"")</f>
        <v/>
      </c>
      <c r="R2979" s="10" t="n"/>
      <c r="S2979" s="10" t="n"/>
      <c r="AA2979" s="10" t="n"/>
      <c r="AB2979" s="11">
        <f>IF(LEN(TRIM(X2979))=0,"",HYPERLINK("https://www.google.com/maps/@?api=1&amp;map_action=pano&amp;viewpoint="&amp;SUBSTITUTE(X2979," ",""),"Abrir Street View"))</f>
        <v/>
      </c>
    </row>
    <row r="2980">
      <c r="H2980" s="6" t="n"/>
      <c r="I2980" s="6" t="n"/>
      <c r="M2980" s="7" t="n"/>
      <c r="N2980" s="7" t="n"/>
      <c r="O2980" s="7" t="n"/>
      <c r="P2980" s="8">
        <f>IF(NOT(ISNUMBER(M2980)),"",IF(G2980="Terreno",IF(AND(ISNUMBER(I2980),I2980&gt;0),M2980/I2980,""),IF(AND(ISNUMBER(H2980),H2980&gt;0),M2980/H2980,"")))</f>
        <v/>
      </c>
      <c r="Q2980" s="9">
        <f>IF(AND(ISNUMBER(M2980),ISNUMBER(O2980)),IF(M2980&lt;=O2980,"Valor ≤ venal IPTU",""),"")</f>
        <v/>
      </c>
      <c r="R2980" s="10" t="n"/>
      <c r="S2980" s="10" t="n"/>
      <c r="AA2980" s="10" t="n"/>
      <c r="AB2980" s="11">
        <f>IF(LEN(TRIM(X2980))=0,"",HYPERLINK("https://www.google.com/maps/@?api=1&amp;map_action=pano&amp;viewpoint="&amp;SUBSTITUTE(X2980," ",""),"Abrir Street View"))</f>
        <v/>
      </c>
    </row>
    <row r="2981">
      <c r="H2981" s="6" t="n"/>
      <c r="I2981" s="6" t="n"/>
      <c r="M2981" s="7" t="n"/>
      <c r="N2981" s="7" t="n"/>
      <c r="O2981" s="7" t="n"/>
      <c r="P2981" s="8">
        <f>IF(NOT(ISNUMBER(M2981)),"",IF(G2981="Terreno",IF(AND(ISNUMBER(I2981),I2981&gt;0),M2981/I2981,""),IF(AND(ISNUMBER(H2981),H2981&gt;0),M2981/H2981,"")))</f>
        <v/>
      </c>
      <c r="Q2981" s="9">
        <f>IF(AND(ISNUMBER(M2981),ISNUMBER(O2981)),IF(M2981&lt;=O2981,"Valor ≤ venal IPTU",""),"")</f>
        <v/>
      </c>
      <c r="R2981" s="10" t="n"/>
      <c r="S2981" s="10" t="n"/>
      <c r="AA2981" s="10" t="n"/>
      <c r="AB2981" s="11">
        <f>IF(LEN(TRIM(X2981))=0,"",HYPERLINK("https://www.google.com/maps/@?api=1&amp;map_action=pano&amp;viewpoint="&amp;SUBSTITUTE(X2981," ",""),"Abrir Street View"))</f>
        <v/>
      </c>
    </row>
    <row r="2982">
      <c r="H2982" s="6" t="n"/>
      <c r="I2982" s="6" t="n"/>
      <c r="M2982" s="7" t="n"/>
      <c r="N2982" s="7" t="n"/>
      <c r="O2982" s="7" t="n"/>
      <c r="P2982" s="8">
        <f>IF(NOT(ISNUMBER(M2982)),"",IF(G2982="Terreno",IF(AND(ISNUMBER(I2982),I2982&gt;0),M2982/I2982,""),IF(AND(ISNUMBER(H2982),H2982&gt;0),M2982/H2982,"")))</f>
        <v/>
      </c>
      <c r="Q2982" s="9">
        <f>IF(AND(ISNUMBER(M2982),ISNUMBER(O2982)),IF(M2982&lt;=O2982,"Valor ≤ venal IPTU",""),"")</f>
        <v/>
      </c>
      <c r="R2982" s="10" t="n"/>
      <c r="S2982" s="10" t="n"/>
      <c r="AA2982" s="10" t="n"/>
      <c r="AB2982" s="11">
        <f>IF(LEN(TRIM(X2982))=0,"",HYPERLINK("https://www.google.com/maps/@?api=1&amp;map_action=pano&amp;viewpoint="&amp;SUBSTITUTE(X2982," ",""),"Abrir Street View"))</f>
        <v/>
      </c>
    </row>
    <row r="2983">
      <c r="H2983" s="6" t="n"/>
      <c r="I2983" s="6" t="n"/>
      <c r="M2983" s="7" t="n"/>
      <c r="N2983" s="7" t="n"/>
      <c r="O2983" s="7" t="n"/>
      <c r="P2983" s="8">
        <f>IF(NOT(ISNUMBER(M2983)),"",IF(G2983="Terreno",IF(AND(ISNUMBER(I2983),I2983&gt;0),M2983/I2983,""),IF(AND(ISNUMBER(H2983),H2983&gt;0),M2983/H2983,"")))</f>
        <v/>
      </c>
      <c r="Q2983" s="9">
        <f>IF(AND(ISNUMBER(M2983),ISNUMBER(O2983)),IF(M2983&lt;=O2983,"Valor ≤ venal IPTU",""),"")</f>
        <v/>
      </c>
      <c r="R2983" s="10" t="n"/>
      <c r="S2983" s="10" t="n"/>
      <c r="AA2983" s="10" t="n"/>
      <c r="AB2983" s="11">
        <f>IF(LEN(TRIM(X2983))=0,"",HYPERLINK("https://www.google.com/maps/@?api=1&amp;map_action=pano&amp;viewpoint="&amp;SUBSTITUTE(X2983," ",""),"Abrir Street View"))</f>
        <v/>
      </c>
    </row>
    <row r="2984">
      <c r="H2984" s="6" t="n"/>
      <c r="I2984" s="6" t="n"/>
      <c r="M2984" s="7" t="n"/>
      <c r="N2984" s="7" t="n"/>
      <c r="O2984" s="7" t="n"/>
      <c r="P2984" s="8">
        <f>IF(NOT(ISNUMBER(M2984)),"",IF(G2984="Terreno",IF(AND(ISNUMBER(I2984),I2984&gt;0),M2984/I2984,""),IF(AND(ISNUMBER(H2984),H2984&gt;0),M2984/H2984,"")))</f>
        <v/>
      </c>
      <c r="Q2984" s="9">
        <f>IF(AND(ISNUMBER(M2984),ISNUMBER(O2984)),IF(M2984&lt;=O2984,"Valor ≤ venal IPTU",""),"")</f>
        <v/>
      </c>
      <c r="R2984" s="10" t="n"/>
      <c r="S2984" s="10" t="n"/>
      <c r="AA2984" s="10" t="n"/>
      <c r="AB2984" s="11">
        <f>IF(LEN(TRIM(X2984))=0,"",HYPERLINK("https://www.google.com/maps/@?api=1&amp;map_action=pano&amp;viewpoint="&amp;SUBSTITUTE(X2984," ",""),"Abrir Street View"))</f>
        <v/>
      </c>
    </row>
    <row r="2985">
      <c r="H2985" s="6" t="n"/>
      <c r="I2985" s="6" t="n"/>
      <c r="M2985" s="7" t="n"/>
      <c r="N2985" s="7" t="n"/>
      <c r="O2985" s="7" t="n"/>
      <c r="P2985" s="8">
        <f>IF(NOT(ISNUMBER(M2985)),"",IF(G2985="Terreno",IF(AND(ISNUMBER(I2985),I2985&gt;0),M2985/I2985,""),IF(AND(ISNUMBER(H2985),H2985&gt;0),M2985/H2985,"")))</f>
        <v/>
      </c>
      <c r="Q2985" s="9">
        <f>IF(AND(ISNUMBER(M2985),ISNUMBER(O2985)),IF(M2985&lt;=O2985,"Valor ≤ venal IPTU",""),"")</f>
        <v/>
      </c>
      <c r="R2985" s="10" t="n"/>
      <c r="S2985" s="10" t="n"/>
      <c r="AA2985" s="10" t="n"/>
      <c r="AB2985" s="11">
        <f>IF(LEN(TRIM(X2985))=0,"",HYPERLINK("https://www.google.com/maps/@?api=1&amp;map_action=pano&amp;viewpoint="&amp;SUBSTITUTE(X2985," ",""),"Abrir Street View"))</f>
        <v/>
      </c>
    </row>
    <row r="2986">
      <c r="H2986" s="6" t="n"/>
      <c r="I2986" s="6" t="n"/>
      <c r="M2986" s="7" t="n"/>
      <c r="N2986" s="7" t="n"/>
      <c r="O2986" s="7" t="n"/>
      <c r="P2986" s="8">
        <f>IF(NOT(ISNUMBER(M2986)),"",IF(G2986="Terreno",IF(AND(ISNUMBER(I2986),I2986&gt;0),M2986/I2986,""),IF(AND(ISNUMBER(H2986),H2986&gt;0),M2986/H2986,"")))</f>
        <v/>
      </c>
      <c r="Q2986" s="9">
        <f>IF(AND(ISNUMBER(M2986),ISNUMBER(O2986)),IF(M2986&lt;=O2986,"Valor ≤ venal IPTU",""),"")</f>
        <v/>
      </c>
      <c r="R2986" s="10" t="n"/>
      <c r="S2986" s="10" t="n"/>
      <c r="AA2986" s="10" t="n"/>
      <c r="AB2986" s="11">
        <f>IF(LEN(TRIM(X2986))=0,"",HYPERLINK("https://www.google.com/maps/@?api=1&amp;map_action=pano&amp;viewpoint="&amp;SUBSTITUTE(X2986," ",""),"Abrir Street View"))</f>
        <v/>
      </c>
    </row>
    <row r="2987">
      <c r="H2987" s="6" t="n"/>
      <c r="I2987" s="6" t="n"/>
      <c r="M2987" s="7" t="n"/>
      <c r="N2987" s="7" t="n"/>
      <c r="O2987" s="7" t="n"/>
      <c r="P2987" s="8">
        <f>IF(NOT(ISNUMBER(M2987)),"",IF(G2987="Terreno",IF(AND(ISNUMBER(I2987),I2987&gt;0),M2987/I2987,""),IF(AND(ISNUMBER(H2987),H2987&gt;0),M2987/H2987,"")))</f>
        <v/>
      </c>
      <c r="Q2987" s="9">
        <f>IF(AND(ISNUMBER(M2987),ISNUMBER(O2987)),IF(M2987&lt;=O2987,"Valor ≤ venal IPTU",""),"")</f>
        <v/>
      </c>
      <c r="R2987" s="10" t="n"/>
      <c r="S2987" s="10" t="n"/>
      <c r="AA2987" s="10" t="n"/>
      <c r="AB2987" s="11">
        <f>IF(LEN(TRIM(X2987))=0,"",HYPERLINK("https://www.google.com/maps/@?api=1&amp;map_action=pano&amp;viewpoint="&amp;SUBSTITUTE(X2987," ",""),"Abrir Street View"))</f>
        <v/>
      </c>
    </row>
    <row r="2988">
      <c r="H2988" s="6" t="n"/>
      <c r="I2988" s="6" t="n"/>
      <c r="M2988" s="7" t="n"/>
      <c r="N2988" s="7" t="n"/>
      <c r="O2988" s="7" t="n"/>
      <c r="P2988" s="8">
        <f>IF(NOT(ISNUMBER(M2988)),"",IF(G2988="Terreno",IF(AND(ISNUMBER(I2988),I2988&gt;0),M2988/I2988,""),IF(AND(ISNUMBER(H2988),H2988&gt;0),M2988/H2988,"")))</f>
        <v/>
      </c>
      <c r="Q2988" s="9">
        <f>IF(AND(ISNUMBER(M2988),ISNUMBER(O2988)),IF(M2988&lt;=O2988,"Valor ≤ venal IPTU",""),"")</f>
        <v/>
      </c>
      <c r="R2988" s="10" t="n"/>
      <c r="S2988" s="10" t="n"/>
      <c r="AA2988" s="10" t="n"/>
      <c r="AB2988" s="11">
        <f>IF(LEN(TRIM(X2988))=0,"",HYPERLINK("https://www.google.com/maps/@?api=1&amp;map_action=pano&amp;viewpoint="&amp;SUBSTITUTE(X2988," ",""),"Abrir Street View"))</f>
        <v/>
      </c>
    </row>
    <row r="2989">
      <c r="H2989" s="6" t="n"/>
      <c r="I2989" s="6" t="n"/>
      <c r="M2989" s="7" t="n"/>
      <c r="N2989" s="7" t="n"/>
      <c r="O2989" s="7" t="n"/>
      <c r="P2989" s="8">
        <f>IF(NOT(ISNUMBER(M2989)),"",IF(G2989="Terreno",IF(AND(ISNUMBER(I2989),I2989&gt;0),M2989/I2989,""),IF(AND(ISNUMBER(H2989),H2989&gt;0),M2989/H2989,"")))</f>
        <v/>
      </c>
      <c r="Q2989" s="9">
        <f>IF(AND(ISNUMBER(M2989),ISNUMBER(O2989)),IF(M2989&lt;=O2989,"Valor ≤ venal IPTU",""),"")</f>
        <v/>
      </c>
      <c r="R2989" s="10" t="n"/>
      <c r="S2989" s="10" t="n"/>
      <c r="AA2989" s="10" t="n"/>
      <c r="AB2989" s="11">
        <f>IF(LEN(TRIM(X2989))=0,"",HYPERLINK("https://www.google.com/maps/@?api=1&amp;map_action=pano&amp;viewpoint="&amp;SUBSTITUTE(X2989," ",""),"Abrir Street View"))</f>
        <v/>
      </c>
    </row>
    <row r="2990">
      <c r="H2990" s="6" t="n"/>
      <c r="I2990" s="6" t="n"/>
      <c r="M2990" s="7" t="n"/>
      <c r="N2990" s="7" t="n"/>
      <c r="O2990" s="7" t="n"/>
      <c r="P2990" s="8">
        <f>IF(NOT(ISNUMBER(M2990)),"",IF(G2990="Terreno",IF(AND(ISNUMBER(I2990),I2990&gt;0),M2990/I2990,""),IF(AND(ISNUMBER(H2990),H2990&gt;0),M2990/H2990,"")))</f>
        <v/>
      </c>
      <c r="Q2990" s="9">
        <f>IF(AND(ISNUMBER(M2990),ISNUMBER(O2990)),IF(M2990&lt;=O2990,"Valor ≤ venal IPTU",""),"")</f>
        <v/>
      </c>
      <c r="R2990" s="10" t="n"/>
      <c r="S2990" s="10" t="n"/>
      <c r="AA2990" s="10" t="n"/>
      <c r="AB2990" s="11">
        <f>IF(LEN(TRIM(X2990))=0,"",HYPERLINK("https://www.google.com/maps/@?api=1&amp;map_action=pano&amp;viewpoint="&amp;SUBSTITUTE(X2990," ",""),"Abrir Street View"))</f>
        <v/>
      </c>
    </row>
    <row r="2991">
      <c r="H2991" s="6" t="n"/>
      <c r="I2991" s="6" t="n"/>
      <c r="M2991" s="7" t="n"/>
      <c r="N2991" s="7" t="n"/>
      <c r="O2991" s="7" t="n"/>
      <c r="P2991" s="8">
        <f>IF(NOT(ISNUMBER(M2991)),"",IF(G2991="Terreno",IF(AND(ISNUMBER(I2991),I2991&gt;0),M2991/I2991,""),IF(AND(ISNUMBER(H2991),H2991&gt;0),M2991/H2991,"")))</f>
        <v/>
      </c>
      <c r="Q2991" s="9">
        <f>IF(AND(ISNUMBER(M2991),ISNUMBER(O2991)),IF(M2991&lt;=O2991,"Valor ≤ venal IPTU",""),"")</f>
        <v/>
      </c>
      <c r="R2991" s="10" t="n"/>
      <c r="S2991" s="10" t="n"/>
      <c r="AA2991" s="10" t="n"/>
      <c r="AB2991" s="11">
        <f>IF(LEN(TRIM(X2991))=0,"",HYPERLINK("https://www.google.com/maps/@?api=1&amp;map_action=pano&amp;viewpoint="&amp;SUBSTITUTE(X2991," ",""),"Abrir Street View"))</f>
        <v/>
      </c>
    </row>
    <row r="2992">
      <c r="H2992" s="6" t="n"/>
      <c r="I2992" s="6" t="n"/>
      <c r="M2992" s="7" t="n"/>
      <c r="N2992" s="7" t="n"/>
      <c r="O2992" s="7" t="n"/>
      <c r="P2992" s="8">
        <f>IF(NOT(ISNUMBER(M2992)),"",IF(G2992="Terreno",IF(AND(ISNUMBER(I2992),I2992&gt;0),M2992/I2992,""),IF(AND(ISNUMBER(H2992),H2992&gt;0),M2992/H2992,"")))</f>
        <v/>
      </c>
      <c r="Q2992" s="9">
        <f>IF(AND(ISNUMBER(M2992),ISNUMBER(O2992)),IF(M2992&lt;=O2992,"Valor ≤ venal IPTU",""),"")</f>
        <v/>
      </c>
      <c r="R2992" s="10" t="n"/>
      <c r="S2992" s="10" t="n"/>
      <c r="AA2992" s="10" t="n"/>
      <c r="AB2992" s="11">
        <f>IF(LEN(TRIM(X2992))=0,"",HYPERLINK("https://www.google.com/maps/@?api=1&amp;map_action=pano&amp;viewpoint="&amp;SUBSTITUTE(X2992," ",""),"Abrir Street View"))</f>
        <v/>
      </c>
    </row>
    <row r="2993">
      <c r="H2993" s="6" t="n"/>
      <c r="I2993" s="6" t="n"/>
      <c r="M2993" s="7" t="n"/>
      <c r="N2993" s="7" t="n"/>
      <c r="O2993" s="7" t="n"/>
      <c r="P2993" s="8">
        <f>IF(NOT(ISNUMBER(M2993)),"",IF(G2993="Terreno",IF(AND(ISNUMBER(I2993),I2993&gt;0),M2993/I2993,""),IF(AND(ISNUMBER(H2993),H2993&gt;0),M2993/H2993,"")))</f>
        <v/>
      </c>
      <c r="Q2993" s="9">
        <f>IF(AND(ISNUMBER(M2993),ISNUMBER(O2993)),IF(M2993&lt;=O2993,"Valor ≤ venal IPTU",""),"")</f>
        <v/>
      </c>
      <c r="R2993" s="10" t="n"/>
      <c r="S2993" s="10" t="n"/>
      <c r="AA2993" s="10" t="n"/>
      <c r="AB2993" s="11">
        <f>IF(LEN(TRIM(X2993))=0,"",HYPERLINK("https://www.google.com/maps/@?api=1&amp;map_action=pano&amp;viewpoint="&amp;SUBSTITUTE(X2993," ",""),"Abrir Street View"))</f>
        <v/>
      </c>
    </row>
    <row r="2994">
      <c r="H2994" s="6" t="n"/>
      <c r="I2994" s="6" t="n"/>
      <c r="M2994" s="7" t="n"/>
      <c r="N2994" s="7" t="n"/>
      <c r="O2994" s="7" t="n"/>
      <c r="P2994" s="8">
        <f>IF(NOT(ISNUMBER(M2994)),"",IF(G2994="Terreno",IF(AND(ISNUMBER(I2994),I2994&gt;0),M2994/I2994,""),IF(AND(ISNUMBER(H2994),H2994&gt;0),M2994/H2994,"")))</f>
        <v/>
      </c>
      <c r="Q2994" s="9">
        <f>IF(AND(ISNUMBER(M2994),ISNUMBER(O2994)),IF(M2994&lt;=O2994,"Valor ≤ venal IPTU",""),"")</f>
        <v/>
      </c>
      <c r="R2994" s="10" t="n"/>
      <c r="S2994" s="10" t="n"/>
      <c r="AA2994" s="10" t="n"/>
      <c r="AB2994" s="11">
        <f>IF(LEN(TRIM(X2994))=0,"",HYPERLINK("https://www.google.com/maps/@?api=1&amp;map_action=pano&amp;viewpoint="&amp;SUBSTITUTE(X2994," ",""),"Abrir Street View"))</f>
        <v/>
      </c>
    </row>
    <row r="2995">
      <c r="H2995" s="6" t="n"/>
      <c r="I2995" s="6" t="n"/>
      <c r="M2995" s="7" t="n"/>
      <c r="N2995" s="7" t="n"/>
      <c r="O2995" s="7" t="n"/>
      <c r="P2995" s="8">
        <f>IF(NOT(ISNUMBER(M2995)),"",IF(G2995="Terreno",IF(AND(ISNUMBER(I2995),I2995&gt;0),M2995/I2995,""),IF(AND(ISNUMBER(H2995),H2995&gt;0),M2995/H2995,"")))</f>
        <v/>
      </c>
      <c r="Q2995" s="9">
        <f>IF(AND(ISNUMBER(M2995),ISNUMBER(O2995)),IF(M2995&lt;=O2995,"Valor ≤ venal IPTU",""),"")</f>
        <v/>
      </c>
      <c r="R2995" s="10" t="n"/>
      <c r="S2995" s="10" t="n"/>
      <c r="AA2995" s="10" t="n"/>
      <c r="AB2995" s="11">
        <f>IF(LEN(TRIM(X2995))=0,"",HYPERLINK("https://www.google.com/maps/@?api=1&amp;map_action=pano&amp;viewpoint="&amp;SUBSTITUTE(X2995," ",""),"Abrir Street View"))</f>
        <v/>
      </c>
    </row>
    <row r="2996">
      <c r="H2996" s="6" t="n"/>
      <c r="I2996" s="6" t="n"/>
      <c r="M2996" s="7" t="n"/>
      <c r="N2996" s="7" t="n"/>
      <c r="O2996" s="7" t="n"/>
      <c r="P2996" s="8">
        <f>IF(NOT(ISNUMBER(M2996)),"",IF(G2996="Terreno",IF(AND(ISNUMBER(I2996),I2996&gt;0),M2996/I2996,""),IF(AND(ISNUMBER(H2996),H2996&gt;0),M2996/H2996,"")))</f>
        <v/>
      </c>
      <c r="Q2996" s="9">
        <f>IF(AND(ISNUMBER(M2996),ISNUMBER(O2996)),IF(M2996&lt;=O2996,"Valor ≤ venal IPTU",""),"")</f>
        <v/>
      </c>
      <c r="R2996" s="10" t="n"/>
      <c r="S2996" s="10" t="n"/>
      <c r="AA2996" s="10" t="n"/>
      <c r="AB2996" s="11">
        <f>IF(LEN(TRIM(X2996))=0,"",HYPERLINK("https://www.google.com/maps/@?api=1&amp;map_action=pano&amp;viewpoint="&amp;SUBSTITUTE(X2996," ",""),"Abrir Street View"))</f>
        <v/>
      </c>
    </row>
    <row r="2997">
      <c r="H2997" s="6" t="n"/>
      <c r="I2997" s="6" t="n"/>
      <c r="M2997" s="7" t="n"/>
      <c r="N2997" s="7" t="n"/>
      <c r="O2997" s="7" t="n"/>
      <c r="P2997" s="8">
        <f>IF(NOT(ISNUMBER(M2997)),"",IF(G2997="Terreno",IF(AND(ISNUMBER(I2997),I2997&gt;0),M2997/I2997,""),IF(AND(ISNUMBER(H2997),H2997&gt;0),M2997/H2997,"")))</f>
        <v/>
      </c>
      <c r="Q2997" s="9">
        <f>IF(AND(ISNUMBER(M2997),ISNUMBER(O2997)),IF(M2997&lt;=O2997,"Valor ≤ venal IPTU",""),"")</f>
        <v/>
      </c>
      <c r="R2997" s="10" t="n"/>
      <c r="S2997" s="10" t="n"/>
      <c r="AA2997" s="10" t="n"/>
      <c r="AB2997" s="11">
        <f>IF(LEN(TRIM(X2997))=0,"",HYPERLINK("https://www.google.com/maps/@?api=1&amp;map_action=pano&amp;viewpoint="&amp;SUBSTITUTE(X2997," ",""),"Abrir Street View"))</f>
        <v/>
      </c>
    </row>
    <row r="2998">
      <c r="H2998" s="6" t="n"/>
      <c r="I2998" s="6" t="n"/>
      <c r="M2998" s="7" t="n"/>
      <c r="N2998" s="7" t="n"/>
      <c r="O2998" s="7" t="n"/>
      <c r="P2998" s="8">
        <f>IF(NOT(ISNUMBER(M2998)),"",IF(G2998="Terreno",IF(AND(ISNUMBER(I2998),I2998&gt;0),M2998/I2998,""),IF(AND(ISNUMBER(H2998),H2998&gt;0),M2998/H2998,"")))</f>
        <v/>
      </c>
      <c r="Q2998" s="9">
        <f>IF(AND(ISNUMBER(M2998),ISNUMBER(O2998)),IF(M2998&lt;=O2998,"Valor ≤ venal IPTU",""),"")</f>
        <v/>
      </c>
      <c r="R2998" s="10" t="n"/>
      <c r="S2998" s="10" t="n"/>
      <c r="AA2998" s="10" t="n"/>
      <c r="AB2998" s="11">
        <f>IF(LEN(TRIM(X2998))=0,"",HYPERLINK("https://www.google.com/maps/@?api=1&amp;map_action=pano&amp;viewpoint="&amp;SUBSTITUTE(X2998," ",""),"Abrir Street View"))</f>
        <v/>
      </c>
    </row>
    <row r="2999">
      <c r="H2999" s="6" t="n"/>
      <c r="I2999" s="6" t="n"/>
      <c r="M2999" s="7" t="n"/>
      <c r="N2999" s="7" t="n"/>
      <c r="O2999" s="7" t="n"/>
      <c r="P2999" s="8">
        <f>IF(NOT(ISNUMBER(M2999)),"",IF(G2999="Terreno",IF(AND(ISNUMBER(I2999),I2999&gt;0),M2999/I2999,""),IF(AND(ISNUMBER(H2999),H2999&gt;0),M2999/H2999,"")))</f>
        <v/>
      </c>
      <c r="Q2999" s="9">
        <f>IF(AND(ISNUMBER(M2999),ISNUMBER(O2999)),IF(M2999&lt;=O2999,"Valor ≤ venal IPTU",""),"")</f>
        <v/>
      </c>
      <c r="R2999" s="10" t="n"/>
      <c r="S2999" s="10" t="n"/>
      <c r="AA2999" s="10" t="n"/>
      <c r="AB2999" s="11">
        <f>IF(LEN(TRIM(X2999))=0,"",HYPERLINK("https://www.google.com/maps/@?api=1&amp;map_action=pano&amp;viewpoint="&amp;SUBSTITUTE(X2999," ",""),"Abrir Street View"))</f>
        <v/>
      </c>
    </row>
    <row r="3000">
      <c r="H3000" s="6" t="n"/>
      <c r="I3000" s="6" t="n"/>
      <c r="M3000" s="7" t="n"/>
      <c r="N3000" s="7" t="n"/>
      <c r="O3000" s="7" t="n"/>
      <c r="P3000" s="8">
        <f>IF(NOT(ISNUMBER(M3000)),"",IF(G3000="Terreno",IF(AND(ISNUMBER(I3000),I3000&gt;0),M3000/I3000,""),IF(AND(ISNUMBER(H3000),H3000&gt;0),M3000/H3000,"")))</f>
        <v/>
      </c>
      <c r="Q3000" s="9">
        <f>IF(AND(ISNUMBER(M3000),ISNUMBER(O3000)),IF(M3000&lt;=O3000,"Valor ≤ venal IPTU",""),"")</f>
        <v/>
      </c>
      <c r="R3000" s="10" t="n"/>
      <c r="S3000" s="10" t="n"/>
      <c r="AA3000" s="10" t="n"/>
      <c r="AB3000" s="11">
        <f>IF(LEN(TRIM(X3000))=0,"",HYPERLINK("https://www.google.com/maps/@?api=1&amp;map_action=pano&amp;viewpoint="&amp;SUBSTITUTE(X3000," ",""),"Abrir Street View"))</f>
        <v/>
      </c>
    </row>
    <row r="3001">
      <c r="H3001" s="6" t="n"/>
      <c r="I3001" s="6" t="n"/>
      <c r="M3001" s="7" t="n"/>
      <c r="N3001" s="7" t="n"/>
      <c r="O3001" s="7" t="n"/>
      <c r="P3001" s="8">
        <f>IF(NOT(ISNUMBER(M3001)),"",IF(G3001="Terreno",IF(AND(ISNUMBER(I3001),I3001&gt;0),M3001/I3001,""),IF(AND(ISNUMBER(H3001),H3001&gt;0),M3001/H3001,"")))</f>
        <v/>
      </c>
      <c r="Q3001" s="9">
        <f>IF(AND(ISNUMBER(M3001),ISNUMBER(O3001)),IF(M3001&lt;=O3001,"Valor ≤ venal IPTU",""),"")</f>
        <v/>
      </c>
      <c r="R3001" s="10" t="n"/>
      <c r="S3001" s="10" t="n"/>
      <c r="AA3001" s="10" t="n"/>
      <c r="AB3001" s="11">
        <f>IF(LEN(TRIM(X3001))=0,"",HYPERLINK("https://www.google.com/maps/@?api=1&amp;map_action=pano&amp;viewpoint="&amp;SUBSTITUTE(X3001," ",""),"Abrir Street View"))</f>
        <v/>
      </c>
    </row>
  </sheetData>
  <autoFilter ref="A1:AD3001"/>
  <conditionalFormatting sqref="Q2:Q3001">
    <cfRule type="expression" priority="1" dxfId="0">
      <formula>LEN(Q2)&gt;0</formula>
    </cfRule>
  </conditionalFormatting>
  <conditionalFormatting sqref="AC2:AC3001">
    <cfRule type="expression" priority="2" dxfId="1">
      <formula>AC2="Validado"</formula>
    </cfRule>
    <cfRule type="expression" priority="3" dxfId="2">
      <formula>AC2="Pendente de conferência"</formula>
    </cfRule>
    <cfRule type="expression" priority="4" dxfId="3">
      <formula>AC2="Rejeitado"</formula>
    </cfRule>
  </conditionalFormatting>
  <dataValidations count="17">
    <dataValidation sqref="B2:B3001" showDropDown="0" showInputMessage="0" showErrorMessage="1" allowBlank="1" errorTitle="Valor fora da lista" error="Escolha uma cidade da lista." type="list">
      <formula1>=LISTA_CIDADES</formula1>
    </dataValidation>
    <dataValidation sqref="G2:G3001" showDropDown="0" showInputMessage="0" showErrorMessage="1" allowBlank="1" errorTitle="Valor fora da lista" error="Escolha um tipo da lista." type="list">
      <formula1>=LISTA_TIPOS</formula1>
    </dataValidation>
    <dataValidation sqref="J2:J3001" showDropDown="0" showInputMessage="0" showErrorMessage="1" allowBlank="1" errorTitle="Valor fora da lista" error="Use Baixo, Normal, Alto ou Não informado." type="list">
      <formula1>=LISTA_PADROES</formula1>
    </dataValidation>
    <dataValidation sqref="K2:K3001" showDropDown="0" showInputMessage="0" showErrorMessage="1" allowBlank="1" errorTitle="Valor fora da lista" error="Escolha a origem do padrão." type="list">
      <formula1>=LISTA_ORIGEM_PADRAO</formula1>
    </dataValidation>
    <dataValidation sqref="T2:T3001" showDropDown="0" showInputMessage="0" showErrorMessage="1" allowBlank="1" errorTitle="Valor fora da lista" error="Somente compra e venda onerosa entra na base." type="list">
      <formula1>=LISTA_NATUREZAS</formula1>
    </dataValidation>
    <dataValidation sqref="U2:U3001" showDropDown="0" showInputMessage="0" showErrorMessage="1" allowBlank="1" errorTitle="Valor fora da lista" error="Somente LAI ou certidão de matrícula." type="list">
      <formula1>=LISTA_FONTES</formula1>
    </dataValidation>
    <dataValidation sqref="Z2:Z3001" showDropDown="0" showInputMessage="0" showErrorMessage="1" allowBlank="1" errorTitle="Valor fora da lista" error="Escolha a origem da foto." type="list">
      <formula1>=LISTA_ORIGEM_FOTO</formula1>
    </dataValidation>
    <dataValidation sqref="AC2:AC3001" showDropDown="0" showInputMessage="0" showErrorMessage="1" allowBlank="1" errorTitle="Valor fora da lista" error="Escolha um status." type="list">
      <formula1>=LISTA_STATUS</formula1>
    </dataValidation>
    <dataValidation sqref="C2:C3001" showDropDown="0" showInputMessage="0" showErrorMessage="1" allowBlank="1" errorTitle="Bairro fora da lista oficial" error="Escolha primeiro a cidade; o bairro deve estar na lista oficial (aba Bairros)." type="list">
      <formula1>=INDIRECT(IF($B2="Bertioga","BAIRROS_BERTIOGA","BAIRROS_SAO_SEBASTIAO"))</formula1>
    </dataValidation>
    <dataValidation sqref="M2:M3001" showDropDown="0" showInputMessage="0" showErrorMessage="1" allowBlank="1" errorTitle="Número inválido" error="Informe apenas um número maior que zero (sem R$ ou m²)." type="decimal" operator="greaterThan">
      <formula1>0</formula1>
    </dataValidation>
    <dataValidation sqref="N2:N3001" showDropDown="0" showInputMessage="0" showErrorMessage="1" allowBlank="1" errorTitle="Número inválido" error="Informe apenas um número maior que zero (sem R$ ou m²)." type="decimal" operator="greaterThan">
      <formula1>0</formula1>
    </dataValidation>
    <dataValidation sqref="O2:O3001" showDropDown="0" showInputMessage="0" showErrorMessage="1" allowBlank="1" errorTitle="Número inválido" error="Informe apenas um número maior que zero (sem R$ ou m²)." type="decimal" operator="greaterThan">
      <formula1>0</formula1>
    </dataValidation>
    <dataValidation sqref="H2:H3001" showDropDown="0" showInputMessage="0" showErrorMessage="1" allowBlank="1" errorTitle="Número inválido" error="Informe apenas um número maior que zero (sem R$ ou m²)." type="decimal" operator="greaterThan">
      <formula1>0</formula1>
    </dataValidation>
    <dataValidation sqref="I2:I3001" showDropDown="0" showInputMessage="0" showErrorMessage="1" allowBlank="1" errorTitle="Número inválido" error="Informe apenas um número maior que zero (sem R$ ou m²)." type="decimal" operator="greaterThan">
      <formula1>0</formula1>
    </dataValidation>
    <dataValidation sqref="R2:R3001" showDropDown="0" showInputMessage="0" showErrorMessage="1" allowBlank="1" errorTitle="Data inválida" error="Informe uma data válida (dd/mm/aaaa)." type="date" operator="between">
      <formula1>DATE(1950,1,1)</formula1>
      <formula2>DATE(2100,12,31)</formula2>
    </dataValidation>
    <dataValidation sqref="S2:S3001" showDropDown="0" showInputMessage="0" showErrorMessage="1" allowBlank="1" errorTitle="Data inválida" error="Informe uma data válida (dd/mm/aaaa)." type="date" operator="between">
      <formula1>DATE(1950,1,1)</formula1>
      <formula2>DATE(2100,12,31)</formula2>
    </dataValidation>
    <dataValidation sqref="AA2:AA3001" showDropDown="0" showInputMessage="0" showErrorMessage="1" allowBlank="1" errorTitle="Data inválida" error="Informe uma data válida (dd/mm/aaaa)." type="date" operator="between">
      <formula1>DATE(1950,1,1)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48" customWidth="1" min="3" max="3"/>
    <col width="3" customWidth="1" min="4" max="4"/>
    <col width="36" customWidth="1" min="5" max="5"/>
    <col width="8" customWidth="1" min="6" max="6"/>
    <col width="48" customWidth="1" min="7" max="7"/>
  </cols>
  <sheetData>
    <row r="1">
      <c r="A1" s="1" t="inlineStr">
        <is>
          <t>Bairros oficiais por cidade</t>
        </is>
      </c>
    </row>
    <row r="3">
      <c r="A3" s="3" t="inlineStr">
        <is>
          <t>São Sebastião</t>
        </is>
      </c>
      <c r="E3" s="3" t="inlineStr">
        <is>
          <t>Bertioga</t>
        </is>
      </c>
    </row>
    <row r="4" ht="60" customHeight="1">
      <c r="A4" s="4" t="inlineStr">
        <is>
          <t>Fonte: IBGE, Censo 2022, malha de bairros SP_bairros_CD2022 — https://geoftp.ibge.gov.br/organizacao_do_territorio/malhas_territoriais/malhas_de_setores_censitarios__divisoes_intramunicipais/censo_2022/bairros/shp/UF/SP_bairros_CD2022.zip (não foi localizada lei municipal de bairros)</t>
        </is>
      </c>
      <c r="E4" s="4" t="inlineStr">
        <is>
          <t>Fonte: Lei Complementar nº 99/2013 de Bertioga, Anexo 1 — https://www.bertioga.sp.gov.br/wp/wp-content/uploads/2015/06/Lei-Complementar-99.2013.pdf</t>
        </is>
      </c>
    </row>
    <row r="5">
      <c r="A5" s="12" t="inlineStr">
        <is>
          <t>Bairro</t>
        </is>
      </c>
      <c r="B5" s="12" t="inlineStr">
        <is>
          <t>Código</t>
        </is>
      </c>
      <c r="C5" s="12" t="inlineStr">
        <is>
          <t>Observação</t>
        </is>
      </c>
      <c r="E5" s="12" t="inlineStr">
        <is>
          <t>Bairro</t>
        </is>
      </c>
      <c r="F5" s="12" t="inlineStr">
        <is>
          <t>Código</t>
        </is>
      </c>
      <c r="G5" s="12" t="inlineStr">
        <is>
          <t>Observação</t>
        </is>
      </c>
    </row>
    <row r="6">
      <c r="A6" s="13" t="inlineStr">
        <is>
          <t>Enseada</t>
        </is>
      </c>
      <c r="B6" s="13" t="inlineStr">
        <is>
          <t>3550704001</t>
        </is>
      </c>
      <c r="C6" s="13" t="inlineStr">
        <is>
          <t>Distrito São Francisco da Praia</t>
        </is>
      </c>
      <c r="E6" s="13" t="inlineStr">
        <is>
          <t>Caiubura</t>
        </is>
      </c>
      <c r="F6" s="13" t="inlineStr">
        <is>
          <t>01</t>
        </is>
      </c>
      <c r="G6" s="13" t="inlineStr">
        <is>
          <t>RA1 Sul</t>
        </is>
      </c>
    </row>
    <row r="7">
      <c r="A7" s="13" t="inlineStr">
        <is>
          <t>Jaraguá</t>
        </is>
      </c>
      <c r="B7" s="13" t="inlineStr">
        <is>
          <t>3550704002</t>
        </is>
      </c>
      <c r="C7" s="13" t="inlineStr">
        <is>
          <t>Distrito São Francisco da Praia</t>
        </is>
      </c>
      <c r="E7" s="13" t="inlineStr">
        <is>
          <t>São João</t>
        </is>
      </c>
      <c r="F7" s="13" t="inlineStr">
        <is>
          <t>02</t>
        </is>
      </c>
      <c r="G7" s="13" t="inlineStr">
        <is>
          <t>RA1 Sul</t>
        </is>
      </c>
    </row>
    <row r="8">
      <c r="A8" s="13" t="inlineStr">
        <is>
          <t>Cigarras</t>
        </is>
      </c>
      <c r="B8" s="13" t="inlineStr">
        <is>
          <t>3550704003</t>
        </is>
      </c>
      <c r="C8" s="13" t="inlineStr">
        <is>
          <t>Distrito São Francisco da Praia</t>
        </is>
      </c>
      <c r="E8" s="13" t="inlineStr">
        <is>
          <t>Centro</t>
        </is>
      </c>
      <c r="F8" s="13" t="inlineStr">
        <is>
          <t>03</t>
        </is>
      </c>
      <c r="G8" s="13" t="inlineStr">
        <is>
          <t>RA2 Central</t>
        </is>
      </c>
    </row>
    <row r="9">
      <c r="A9" s="13" t="inlineStr">
        <is>
          <t>São Francisco</t>
        </is>
      </c>
      <c r="B9" s="13" t="inlineStr">
        <is>
          <t>3550704004</t>
        </is>
      </c>
      <c r="C9" s="13" t="inlineStr">
        <is>
          <t>Distrito São Francisco da Praia</t>
        </is>
      </c>
      <c r="E9" s="13" t="inlineStr">
        <is>
          <t>Jardim Vicente de Carvalho</t>
        </is>
      </c>
      <c r="F9" s="13" t="inlineStr">
        <is>
          <t>04</t>
        </is>
      </c>
      <c r="G9" s="13" t="inlineStr">
        <is>
          <t>RA2 Central</t>
        </is>
      </c>
    </row>
    <row r="10">
      <c r="A10" s="13" t="inlineStr">
        <is>
          <t>Morro do Abrigo</t>
        </is>
      </c>
      <c r="B10" s="13" t="inlineStr">
        <is>
          <t>3550704005</t>
        </is>
      </c>
      <c r="C10" s="13" t="inlineStr">
        <is>
          <t>Distrito São Francisco da Praia</t>
        </is>
      </c>
      <c r="E10" s="13" t="inlineStr">
        <is>
          <t>Albatróz</t>
        </is>
      </c>
      <c r="F10" s="13" t="inlineStr">
        <is>
          <t>05</t>
        </is>
      </c>
      <c r="G10" s="13" t="inlineStr">
        <is>
          <t>RA2 Central</t>
        </is>
      </c>
    </row>
    <row r="11">
      <c r="A11" s="13" t="inlineStr">
        <is>
          <t>Olaria</t>
        </is>
      </c>
      <c r="B11" s="13" t="inlineStr">
        <is>
          <t>3550704006 / 3550704036</t>
        </is>
      </c>
      <c r="C11" s="13" t="inlineStr">
        <is>
          <t>O IBGE registra dois setores 'Olaria' (distritos São Francisco da Praia e São Sebastião)</t>
        </is>
      </c>
      <c r="E11" s="13" t="inlineStr">
        <is>
          <t>Maitinga</t>
        </is>
      </c>
      <c r="F11" s="13" t="inlineStr">
        <is>
          <t>06</t>
        </is>
      </c>
      <c r="G11" s="13" t="inlineStr">
        <is>
          <t>RA2 Central</t>
        </is>
      </c>
    </row>
    <row r="12">
      <c r="A12" s="13" t="inlineStr">
        <is>
          <t>Arrastão</t>
        </is>
      </c>
      <c r="B12" s="13" t="inlineStr">
        <is>
          <t>3550704007</t>
        </is>
      </c>
      <c r="C12" s="13" t="inlineStr">
        <is>
          <t>Distrito São Francisco da Praia</t>
        </is>
      </c>
      <c r="E12" s="13" t="inlineStr">
        <is>
          <t>Rio da Praia</t>
        </is>
      </c>
      <c r="F12" s="13" t="inlineStr">
        <is>
          <t>07</t>
        </is>
      </c>
      <c r="G12" s="13" t="inlineStr">
        <is>
          <t>RA2 Central</t>
        </is>
      </c>
    </row>
    <row r="13">
      <c r="A13" s="13" t="inlineStr">
        <is>
          <t>Pontal da Cruz</t>
        </is>
      </c>
      <c r="B13" s="13" t="inlineStr">
        <is>
          <t>3550704008</t>
        </is>
      </c>
      <c r="C13" s="13" t="inlineStr">
        <is>
          <t>Distrito São Sebastião</t>
        </is>
      </c>
      <c r="E13" s="13" t="inlineStr">
        <is>
          <t>Buriqui Costa Nativa (Brasfanta)</t>
        </is>
      </c>
      <c r="F13" s="13" t="inlineStr">
        <is>
          <t>08</t>
        </is>
      </c>
      <c r="G13" s="13" t="inlineStr">
        <is>
          <t>RA2 Central</t>
        </is>
      </c>
    </row>
    <row r="14">
      <c r="A14" s="13" t="inlineStr">
        <is>
          <t>Praia Deserta</t>
        </is>
      </c>
      <c r="B14" s="13" t="inlineStr">
        <is>
          <t>3550704009</t>
        </is>
      </c>
      <c r="C14" s="13" t="inlineStr">
        <is>
          <t>Distrito São Sebastião</t>
        </is>
      </c>
      <c r="E14" s="13" t="inlineStr">
        <is>
          <t>Jardim Raphael</t>
        </is>
      </c>
      <c r="F14" s="13" t="inlineStr">
        <is>
          <t>09</t>
        </is>
      </c>
      <c r="G14" s="13" t="inlineStr">
        <is>
          <t>RA2 Central — conhecido popularmente como São Rafael</t>
        </is>
      </c>
    </row>
    <row r="15">
      <c r="A15" s="13" t="inlineStr">
        <is>
          <t>Porto Grande</t>
        </is>
      </c>
      <c r="B15" s="13" t="inlineStr">
        <is>
          <t>3550704010</t>
        </is>
      </c>
      <c r="C15" s="13" t="inlineStr">
        <is>
          <t>Distrito São Sebastião</t>
        </is>
      </c>
      <c r="E15" s="13" t="inlineStr">
        <is>
          <t>Bairro Chácaras</t>
        </is>
      </c>
      <c r="F15" s="13" t="inlineStr">
        <is>
          <t>10</t>
        </is>
      </c>
      <c r="G15" s="13" t="inlineStr">
        <is>
          <t>RA3 Média</t>
        </is>
      </c>
    </row>
    <row r="16">
      <c r="A16" s="13" t="inlineStr">
        <is>
          <t>Centro</t>
        </is>
      </c>
      <c r="B16" s="13" t="inlineStr">
        <is>
          <t>3550704011</t>
        </is>
      </c>
      <c r="C16" s="13" t="inlineStr">
        <is>
          <t>Distrito São Sebastião</t>
        </is>
      </c>
      <c r="E16" s="13" t="inlineStr">
        <is>
          <t>Vista Linda</t>
        </is>
      </c>
      <c r="F16" s="13" t="inlineStr">
        <is>
          <t>11</t>
        </is>
      </c>
      <c r="G16" s="13" t="inlineStr">
        <is>
          <t>RA3 Média</t>
        </is>
      </c>
    </row>
    <row r="17">
      <c r="A17" s="13" t="inlineStr">
        <is>
          <t>Topolândia</t>
        </is>
      </c>
      <c r="B17" s="13" t="inlineStr">
        <is>
          <t>3550704012</t>
        </is>
      </c>
      <c r="C17" s="13" t="inlineStr">
        <is>
          <t>Distrito São Sebastião</t>
        </is>
      </c>
      <c r="E17" s="13" t="inlineStr">
        <is>
          <t>Indaiá</t>
        </is>
      </c>
      <c r="F17" s="13" t="inlineStr">
        <is>
          <t>12</t>
        </is>
      </c>
      <c r="G17" s="13" t="inlineStr">
        <is>
          <t>RA3 Média</t>
        </is>
      </c>
    </row>
    <row r="18">
      <c r="A18" s="13" t="inlineStr">
        <is>
          <t>Itatinga</t>
        </is>
      </c>
      <c r="B18" s="13" t="inlineStr">
        <is>
          <t>3550704013</t>
        </is>
      </c>
      <c r="C18" s="13" t="inlineStr">
        <is>
          <t>Distrito São Sebastião</t>
        </is>
      </c>
      <c r="E18" s="13" t="inlineStr">
        <is>
          <t>Riviera</t>
        </is>
      </c>
      <c r="F18" s="13" t="inlineStr">
        <is>
          <t>13</t>
        </is>
      </c>
      <c r="G18" s="13" t="inlineStr">
        <is>
          <t>RA3 Média</t>
        </is>
      </c>
    </row>
    <row r="19">
      <c r="A19" s="13" t="inlineStr">
        <is>
          <t>Varadouro</t>
        </is>
      </c>
      <c r="B19" s="13" t="inlineStr">
        <is>
          <t>3550704014</t>
        </is>
      </c>
      <c r="C19" s="13" t="inlineStr">
        <is>
          <t>Distrito São Sebastião</t>
        </is>
      </c>
      <c r="E19" s="13" t="inlineStr">
        <is>
          <t>São Lourenço</t>
        </is>
      </c>
      <c r="F19" s="13" t="inlineStr">
        <is>
          <t>14</t>
        </is>
      </c>
      <c r="G19" s="13" t="inlineStr">
        <is>
          <t>RA3 Média</t>
        </is>
      </c>
    </row>
    <row r="20">
      <c r="A20" s="13" t="inlineStr">
        <is>
          <t>Pitangueiras</t>
        </is>
      </c>
      <c r="B20" s="13" t="inlineStr">
        <is>
          <t>3550704015</t>
        </is>
      </c>
      <c r="C20" s="13" t="inlineStr">
        <is>
          <t>Distrito São Sebastião</t>
        </is>
      </c>
      <c r="E20" s="13" t="inlineStr">
        <is>
          <t>Guaratuba</t>
        </is>
      </c>
      <c r="F20" s="13" t="inlineStr">
        <is>
          <t>15</t>
        </is>
      </c>
      <c r="G20" s="13" t="inlineStr">
        <is>
          <t>RA4 Norte</t>
        </is>
      </c>
    </row>
    <row r="21">
      <c r="A21" s="13" t="inlineStr">
        <is>
          <t>Barequeçaba</t>
        </is>
      </c>
      <c r="B21" s="13" t="inlineStr">
        <is>
          <t>3550704016</t>
        </is>
      </c>
      <c r="C21" s="13" t="inlineStr">
        <is>
          <t>Distrito São Sebastião</t>
        </is>
      </c>
      <c r="E21" s="13" t="inlineStr">
        <is>
          <t>Costa do Sol</t>
        </is>
      </c>
      <c r="F21" s="13" t="inlineStr">
        <is>
          <t>16</t>
        </is>
      </c>
      <c r="G21" s="13" t="inlineStr">
        <is>
          <t>RA4 Norte</t>
        </is>
      </c>
    </row>
    <row r="22">
      <c r="A22" s="13" t="inlineStr">
        <is>
          <t>Guaecá</t>
        </is>
      </c>
      <c r="B22" s="13" t="inlineStr">
        <is>
          <t>3550704017</t>
        </is>
      </c>
      <c r="C22" s="13" t="inlineStr">
        <is>
          <t>Distrito São Sebastião</t>
        </is>
      </c>
      <c r="E22" s="13" t="inlineStr">
        <is>
          <t>Morada da Praia</t>
        </is>
      </c>
      <c r="F22" s="13" t="inlineStr">
        <is>
          <t>17</t>
        </is>
      </c>
      <c r="G22" s="13" t="inlineStr">
        <is>
          <t>RA4 Norte</t>
        </is>
      </c>
    </row>
    <row r="23">
      <c r="A23" s="13" t="inlineStr">
        <is>
          <t>Toque-Toque Grande</t>
        </is>
      </c>
      <c r="B23" s="13" t="inlineStr">
        <is>
          <t>3550704018</t>
        </is>
      </c>
      <c r="C23" s="13" t="inlineStr">
        <is>
          <t>Distrito São Sebastião</t>
        </is>
      </c>
      <c r="E23" s="13" t="inlineStr">
        <is>
          <t>Boraceia</t>
        </is>
      </c>
      <c r="F23" s="13" t="inlineStr">
        <is>
          <t>18</t>
        </is>
      </c>
      <c r="G23" s="13" t="inlineStr">
        <is>
          <t>RA4 Norte</t>
        </is>
      </c>
    </row>
    <row r="24">
      <c r="A24" s="13" t="inlineStr">
        <is>
          <t>Calhetas</t>
        </is>
      </c>
      <c r="B24" s="13" t="inlineStr">
        <is>
          <t>3550704019</t>
        </is>
      </c>
      <c r="C24" s="13" t="inlineStr">
        <is>
          <t>Distrito São Sebastião</t>
        </is>
      </c>
      <c r="E24" s="13" t="inlineStr">
        <is>
          <t>T.I. (Terras Indígenas do Rio Silveiras)</t>
        </is>
      </c>
      <c r="F24" s="13" t="inlineStr">
        <is>
          <t>19</t>
        </is>
      </c>
      <c r="G24" s="13" t="inlineStr">
        <is>
          <t>RA4 Norte</t>
        </is>
      </c>
    </row>
    <row r="25">
      <c r="A25" s="13" t="inlineStr">
        <is>
          <t>Toque-Toque Pequeno</t>
        </is>
      </c>
      <c r="B25" s="13" t="inlineStr">
        <is>
          <t>3550704020</t>
        </is>
      </c>
      <c r="C25" s="13" t="inlineStr">
        <is>
          <t>Distrito São Sebastião</t>
        </is>
      </c>
    </row>
    <row r="26">
      <c r="A26" s="13" t="inlineStr">
        <is>
          <t>Santiago</t>
        </is>
      </c>
      <c r="B26" s="13" t="inlineStr">
        <is>
          <t>3550704021</t>
        </is>
      </c>
      <c r="C26" s="13" t="inlineStr">
        <is>
          <t>Distrito Maresias</t>
        </is>
      </c>
    </row>
    <row r="27">
      <c r="A27" s="13" t="inlineStr">
        <is>
          <t>Paúba</t>
        </is>
      </c>
      <c r="B27" s="13" t="inlineStr">
        <is>
          <t>3550704022</t>
        </is>
      </c>
      <c r="C27" s="13" t="inlineStr">
        <is>
          <t>Distrito Maresias</t>
        </is>
      </c>
    </row>
    <row r="28">
      <c r="A28" s="13" t="inlineStr">
        <is>
          <t>Maresias</t>
        </is>
      </c>
      <c r="B28" s="13" t="inlineStr">
        <is>
          <t>3550704023</t>
        </is>
      </c>
      <c r="C28" s="13" t="inlineStr">
        <is>
          <t>Distrito Maresias</t>
        </is>
      </c>
    </row>
    <row r="29">
      <c r="A29" s="13" t="inlineStr">
        <is>
          <t>Boiçucanga</t>
        </is>
      </c>
      <c r="B29" s="13" t="inlineStr">
        <is>
          <t>3550704024</t>
        </is>
      </c>
      <c r="C29" s="13" t="inlineStr">
        <is>
          <t>Distrito Maresias</t>
        </is>
      </c>
    </row>
    <row r="30">
      <c r="A30" s="13" t="inlineStr">
        <is>
          <t>Camburi</t>
        </is>
      </c>
      <c r="B30" s="13" t="inlineStr">
        <is>
          <t>3550704025</t>
        </is>
      </c>
      <c r="C30" s="13" t="inlineStr">
        <is>
          <t>Distrito Maresias</t>
        </is>
      </c>
    </row>
    <row r="31">
      <c r="A31" s="13" t="inlineStr">
        <is>
          <t>Baleia</t>
        </is>
      </c>
      <c r="B31" s="13" t="inlineStr">
        <is>
          <t>3550704026</t>
        </is>
      </c>
      <c r="C31" s="13" t="inlineStr">
        <is>
          <t>Distrito Maresias</t>
        </is>
      </c>
    </row>
    <row r="32">
      <c r="A32" s="13" t="inlineStr">
        <is>
          <t>Barra do Sahy</t>
        </is>
      </c>
      <c r="B32" s="13" t="inlineStr">
        <is>
          <t>3550704027</t>
        </is>
      </c>
      <c r="C32" s="13" t="inlineStr">
        <is>
          <t>Distrito Maresias</t>
        </is>
      </c>
    </row>
    <row r="33">
      <c r="A33" s="13" t="inlineStr">
        <is>
          <t>Juqueí</t>
        </is>
      </c>
      <c r="B33" s="13" t="inlineStr">
        <is>
          <t>3550704028</t>
        </is>
      </c>
      <c r="C33" s="13" t="inlineStr">
        <is>
          <t>Distrito Maresias — grafia IBGE (também escrito Juquehy)</t>
        </is>
      </c>
    </row>
    <row r="34">
      <c r="A34" s="13" t="inlineStr">
        <is>
          <t>Barra do Una</t>
        </is>
      </c>
      <c r="B34" s="13" t="inlineStr">
        <is>
          <t>3550704029</t>
        </is>
      </c>
      <c r="C34" s="13" t="inlineStr">
        <is>
          <t>Distrito Maresias</t>
        </is>
      </c>
    </row>
    <row r="35">
      <c r="A35" s="13" t="inlineStr">
        <is>
          <t>Boracéia</t>
        </is>
      </c>
      <c r="B35" s="13" t="inlineStr">
        <is>
          <t>3550704030</t>
        </is>
      </c>
      <c r="C35" s="13" t="inlineStr">
        <is>
          <t>Distrito Maresias</t>
        </is>
      </c>
    </row>
    <row r="36">
      <c r="A36" s="13" t="inlineStr">
        <is>
          <t>Canto do Mar</t>
        </is>
      </c>
      <c r="B36" s="13" t="inlineStr">
        <is>
          <t>3550704031</t>
        </is>
      </c>
      <c r="C36" s="13" t="inlineStr">
        <is>
          <t>Distrito São Francisco da Praia</t>
        </is>
      </c>
    </row>
    <row r="37">
      <c r="A37" s="13" t="inlineStr">
        <is>
          <t>Vila Amélia</t>
        </is>
      </c>
      <c r="B37" s="13" t="inlineStr">
        <is>
          <t>3550704034</t>
        </is>
      </c>
      <c r="C37" s="13" t="inlineStr">
        <is>
          <t>Distrito São Sebastião</t>
        </is>
      </c>
    </row>
    <row r="38">
      <c r="A38" s="13" t="inlineStr">
        <is>
          <t>Reserve Du Moulin</t>
        </is>
      </c>
      <c r="B38" s="13" t="inlineStr">
        <is>
          <t>3550704035</t>
        </is>
      </c>
      <c r="C38" s="13" t="inlineStr">
        <is>
          <t>Distrito São Francisco da Praia</t>
        </is>
      </c>
    </row>
    <row r="39">
      <c r="A39" s="13" t="inlineStr">
        <is>
          <t>Industrial</t>
        </is>
      </c>
      <c r="B39" s="13" t="inlineStr">
        <is>
          <t>3550704037</t>
        </is>
      </c>
      <c r="C39" s="13" t="inlineStr">
        <is>
          <t>Distrito São Sebastião</t>
        </is>
      </c>
    </row>
    <row r="40">
      <c r="A40" s="13" t="inlineStr">
        <is>
          <t>Jureia</t>
        </is>
      </c>
      <c r="B40" s="13" t="inlineStr">
        <is>
          <t>3550704038</t>
        </is>
      </c>
      <c r="C40" s="13" t="inlineStr">
        <is>
          <t>Distrito Maresias</t>
        </is>
      </c>
    </row>
    <row r="41">
      <c r="A41" s="13" t="inlineStr">
        <is>
          <t>Engenho</t>
        </is>
      </c>
      <c r="B41" s="13" t="inlineStr">
        <is>
          <t>3550704039</t>
        </is>
      </c>
      <c r="C41" s="13" t="inlineStr">
        <is>
          <t>Distrito Maresias</t>
        </is>
      </c>
    </row>
  </sheetData>
  <mergeCells count="2">
    <mergeCell ref="A4:C4"/>
    <mergeCell ref="E4:G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12" t="inlineStr">
        <is>
          <t>Cidades</t>
        </is>
      </c>
      <c r="B1" s="12" t="inlineStr">
        <is>
          <t>Tipos</t>
        </is>
      </c>
      <c r="C1" s="12" t="inlineStr">
        <is>
          <t>Padrões</t>
        </is>
      </c>
      <c r="D1" s="12" t="inlineStr">
        <is>
          <t>Origem do padrão</t>
        </is>
      </c>
      <c r="E1" s="12" t="inlineStr">
        <is>
          <t>Natureza</t>
        </is>
      </c>
      <c r="F1" s="12" t="inlineStr">
        <is>
          <t>Fontes</t>
        </is>
      </c>
      <c r="G1" s="12" t="inlineStr">
        <is>
          <t>Origem da foto</t>
        </is>
      </c>
      <c r="H1" s="12" t="inlineStr">
        <is>
          <t>Status</t>
        </is>
      </c>
    </row>
    <row r="2">
      <c r="A2" s="13" t="inlineStr">
        <is>
          <t>São Sebastião</t>
        </is>
      </c>
      <c r="B2" s="13" t="inlineStr">
        <is>
          <t>Casa</t>
        </is>
      </c>
      <c r="C2" s="13" t="inlineStr">
        <is>
          <t>Baixo</t>
        </is>
      </c>
      <c r="D2" s="13" t="inlineStr">
        <is>
          <t>Cadastro municipal (ITBI/IPTU)</t>
        </is>
      </c>
      <c r="E2" s="13" t="inlineStr">
        <is>
          <t>Compra e venda</t>
        </is>
      </c>
      <c r="F2" s="13" t="inlineStr">
        <is>
          <t>LAI – ITBI Prefeitura</t>
        </is>
      </c>
      <c r="G2" s="13" t="inlineStr">
        <is>
          <t>Foto própria no local</t>
        </is>
      </c>
      <c r="H2" s="13" t="inlineStr">
        <is>
          <t>Validado</t>
        </is>
      </c>
    </row>
    <row r="3">
      <c r="A3" s="13" t="inlineStr">
        <is>
          <t>Bertioga</t>
        </is>
      </c>
      <c r="B3" s="13" t="inlineStr">
        <is>
          <t>Casa em condomínio</t>
        </is>
      </c>
      <c r="C3" s="13" t="inlineStr">
        <is>
          <t>Normal</t>
        </is>
      </c>
      <c r="D3" s="13" t="inlineStr">
        <is>
          <t>Certidão/memorial/habite-se</t>
        </is>
      </c>
      <c r="F3" s="13" t="inlineStr">
        <is>
          <t>Certidão de matrícula (CRI)</t>
        </is>
      </c>
      <c r="G3" s="13" t="inlineStr">
        <is>
          <t>Google Street View (link)</t>
        </is>
      </c>
      <c r="H3" s="13" t="inlineStr">
        <is>
          <t>Pendente de conferência</t>
        </is>
      </c>
    </row>
    <row r="4">
      <c r="B4" s="13" t="inlineStr">
        <is>
          <t>Apartamento</t>
        </is>
      </c>
      <c r="C4" s="13" t="inlineStr">
        <is>
          <t>Alto</t>
        </is>
      </c>
      <c r="D4" s="13" t="inlineStr">
        <is>
          <t>Vistoria própria (critério NBR 12721)</t>
        </is>
      </c>
      <c r="G4" s="13" t="inlineStr">
        <is>
          <t>Foto da certidão/laudo</t>
        </is>
      </c>
      <c r="H4" s="13" t="inlineStr">
        <is>
          <t>Rejeitado</t>
        </is>
      </c>
    </row>
    <row r="5">
      <c r="B5" s="13" t="inlineStr">
        <is>
          <t>Terreno</t>
        </is>
      </c>
      <c r="C5" s="13" t="inlineStr">
        <is>
          <t>Não informado</t>
        </is>
      </c>
      <c r="D5" s="13" t="inlineStr">
        <is>
          <t>Não informado</t>
        </is>
      </c>
      <c r="G5" s="13" t="inlineStr">
        <is>
          <t>Sem foto</t>
        </is>
      </c>
    </row>
    <row r="6">
      <c r="B6" s="13" t="inlineStr">
        <is>
          <t>Sala/Loja comercial</t>
        </is>
      </c>
    </row>
    <row r="7">
      <c r="B7" s="13" t="inlineStr">
        <is>
          <t>Galpão</t>
        </is>
      </c>
    </row>
    <row r="8">
      <c r="B8" s="13" t="inlineStr">
        <is>
          <t>Outro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8" customWidth="1" min="4" max="4"/>
    <col width="16" customWidth="1" min="5" max="5"/>
    <col width="16" customWidth="1" min="6" max="6"/>
    <col width="16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Resumo por cidade e bairro (somente vendas com Status = Validado)</t>
        </is>
      </c>
    </row>
    <row r="2">
      <c r="A2" s="14" t="inlineStr">
        <is>
          <t>Fórmulas recalculam sozinhas. Bairros sem venda validada mostram '-'. Mediana e R$/m² ignoram linhas sem metragem.</t>
        </is>
      </c>
    </row>
    <row r="4">
      <c r="A4" s="2" t="inlineStr">
        <is>
          <t>Cidade</t>
        </is>
      </c>
      <c r="B4" s="2" t="inlineStr">
        <is>
          <t>Bairro</t>
        </is>
      </c>
      <c r="C4" s="2" t="inlineStr">
        <is>
          <t>Nº de vendas</t>
        </is>
      </c>
      <c r="D4" s="2" t="inlineStr">
        <is>
          <t>Valor mediano (R$)</t>
        </is>
      </c>
      <c r="E4" s="2" t="inlineStr">
        <is>
          <t>Menor valor (R$)</t>
        </is>
      </c>
      <c r="F4" s="2" t="inlineStr">
        <is>
          <t>Maior valor (R$)</t>
        </is>
      </c>
      <c r="G4" s="2" t="inlineStr">
        <is>
          <t>R$/m² mediano</t>
        </is>
      </c>
      <c r="H4" s="2" t="inlineStr">
        <is>
          <t>Nº c/ alerta venal</t>
        </is>
      </c>
      <c r="I4" s="2" t="inlineStr">
        <is>
          <t>Venda mais antiga</t>
        </is>
      </c>
      <c r="J4" s="2" t="inlineStr">
        <is>
          <t>Venda mais recente</t>
        </is>
      </c>
    </row>
    <row r="5">
      <c r="A5" s="13" t="inlineStr">
        <is>
          <t>São Sebastião</t>
        </is>
      </c>
      <c r="B5" s="13" t="inlineStr">
        <is>
          <t>Enseada</t>
        </is>
      </c>
      <c r="C5" s="13">
        <f>COUNTIFS(Vendas!$B$2:$B$3001,$A5,Vendas!$C$2:$C$3001,$B5,Vendas!$AC$2:$AC$3001,"Validado")</f>
        <v/>
      </c>
      <c r="D5" s="15">
        <f t="array" ref="D5">IF(C5=0,"-",MEDIAN(IF((Vendas!$B$2:$B$3001=$A5)*(Vendas!$C$2:$C$3001=$B5)*(Vendas!$AC$2:$AC$3001="Validado")*ISNUMBER(Vendas!$M$2:$M$3001),Vendas!$M$2:$M$3001)))</f>
        <v/>
      </c>
      <c r="E5" s="15">
        <f>IF(C5=0,"-",_xlfn.MINIFS(Vendas!$M$2:$M$3001,Vendas!$B$2:$B$3001,$A5,Vendas!$C$2:$C$3001,$B5,Vendas!$AC$2:$AC$3001,"Validado"))</f>
        <v/>
      </c>
      <c r="F5" s="15">
        <f>IF(C5=0,"-",_xlfn.MAXIFS(Vendas!$M$2:$M$3001,Vendas!$B$2:$B$3001,$A5,Vendas!$C$2:$C$3001,$B5,Vendas!$AC$2:$AC$3001,"Validado"))</f>
        <v/>
      </c>
      <c r="G5" s="15">
        <f t="array" ref="G5">IF(SUMPRODUCT((Vendas!$B$2:$B$3001=$A5)*(Vendas!$C$2:$C$3001=$B5)*(Vendas!$AC$2:$AC$3001="Validado")*ISNUMBER(Vendas!$P$2:$P$3001))=0,"-",MEDIAN(IF((Vendas!$B$2:$B$3001=$A5)*(Vendas!$C$2:$C$3001=$B5)*(Vendas!$AC$2:$AC$3001="Validado")*ISNUMBER(Vendas!$P$2:$P$3001),Vendas!$P$2:$P$3001)))</f>
        <v/>
      </c>
      <c r="H5" s="13">
        <f>COUNTIFS(Vendas!$B$2:$B$3001,$A5,Vendas!$C$2:$C$3001,$B5,Vendas!$AC$2:$AC$3001,"Validado",Vendas!$Q$2:$Q$3001,"Valor*")</f>
        <v/>
      </c>
      <c r="I5" s="16">
        <f>IF(C5=0,"-",_xlfn.MINIFS(Vendas!$R$2:$R$3001,Vendas!$B$2:$B$3001,$A5,Vendas!$C$2:$C$3001,$B5,Vendas!$AC$2:$AC$3001,"Validado"))</f>
        <v/>
      </c>
      <c r="J5" s="16">
        <f>IF(C5=0,"-",_xlfn.MAXIFS(Vendas!$R$2:$R$3001,Vendas!$B$2:$B$3001,$A5,Vendas!$C$2:$C$3001,$B5,Vendas!$AC$2:$AC$3001,"Validado"))</f>
        <v/>
      </c>
    </row>
    <row r="6">
      <c r="A6" s="13" t="inlineStr">
        <is>
          <t>São Sebastião</t>
        </is>
      </c>
      <c r="B6" s="13" t="inlineStr">
        <is>
          <t>Jaraguá</t>
        </is>
      </c>
      <c r="C6" s="13">
        <f>COUNTIFS(Vendas!$B$2:$B$3001,$A6,Vendas!$C$2:$C$3001,$B6,Vendas!$AC$2:$AC$3001,"Validado")</f>
        <v/>
      </c>
      <c r="D6" s="15">
        <f t="array" ref="D6">IF(C6=0,"-",MEDIAN(IF((Vendas!$B$2:$B$3001=$A6)*(Vendas!$C$2:$C$3001=$B6)*(Vendas!$AC$2:$AC$3001="Validado")*ISNUMBER(Vendas!$M$2:$M$3001),Vendas!$M$2:$M$3001)))</f>
        <v/>
      </c>
      <c r="E6" s="15">
        <f>IF(C6=0,"-",_xlfn.MINIFS(Vendas!$M$2:$M$3001,Vendas!$B$2:$B$3001,$A6,Vendas!$C$2:$C$3001,$B6,Vendas!$AC$2:$AC$3001,"Validado"))</f>
        <v/>
      </c>
      <c r="F6" s="15">
        <f>IF(C6=0,"-",_xlfn.MAXIFS(Vendas!$M$2:$M$3001,Vendas!$B$2:$B$3001,$A6,Vendas!$C$2:$C$3001,$B6,Vendas!$AC$2:$AC$3001,"Validado"))</f>
        <v/>
      </c>
      <c r="G6" s="15">
        <f t="array" ref="G6">IF(SUMPRODUCT((Vendas!$B$2:$B$3001=$A6)*(Vendas!$C$2:$C$3001=$B6)*(Vendas!$AC$2:$AC$3001="Validado")*ISNUMBER(Vendas!$P$2:$P$3001))=0,"-",MEDIAN(IF((Vendas!$B$2:$B$3001=$A6)*(Vendas!$C$2:$C$3001=$B6)*(Vendas!$AC$2:$AC$3001="Validado")*ISNUMBER(Vendas!$P$2:$P$3001),Vendas!$P$2:$P$3001)))</f>
        <v/>
      </c>
      <c r="H6" s="13">
        <f>COUNTIFS(Vendas!$B$2:$B$3001,$A6,Vendas!$C$2:$C$3001,$B6,Vendas!$AC$2:$AC$3001,"Validado",Vendas!$Q$2:$Q$3001,"Valor*")</f>
        <v/>
      </c>
      <c r="I6" s="16">
        <f>IF(C6=0,"-",_xlfn.MINIFS(Vendas!$R$2:$R$3001,Vendas!$B$2:$B$3001,$A6,Vendas!$C$2:$C$3001,$B6,Vendas!$AC$2:$AC$3001,"Validado"))</f>
        <v/>
      </c>
      <c r="J6" s="16">
        <f>IF(C6=0,"-",_xlfn.MAXIFS(Vendas!$R$2:$R$3001,Vendas!$B$2:$B$3001,$A6,Vendas!$C$2:$C$3001,$B6,Vendas!$AC$2:$AC$3001,"Validado"))</f>
        <v/>
      </c>
    </row>
    <row r="7">
      <c r="A7" s="13" t="inlineStr">
        <is>
          <t>São Sebastião</t>
        </is>
      </c>
      <c r="B7" s="13" t="inlineStr">
        <is>
          <t>Cigarras</t>
        </is>
      </c>
      <c r="C7" s="13">
        <f>COUNTIFS(Vendas!$B$2:$B$3001,$A7,Vendas!$C$2:$C$3001,$B7,Vendas!$AC$2:$AC$3001,"Validado")</f>
        <v/>
      </c>
      <c r="D7" s="15">
        <f t="array" ref="D7">IF(C7=0,"-",MEDIAN(IF((Vendas!$B$2:$B$3001=$A7)*(Vendas!$C$2:$C$3001=$B7)*(Vendas!$AC$2:$AC$3001="Validado")*ISNUMBER(Vendas!$M$2:$M$3001),Vendas!$M$2:$M$3001)))</f>
        <v/>
      </c>
      <c r="E7" s="15">
        <f>IF(C7=0,"-",_xlfn.MINIFS(Vendas!$M$2:$M$3001,Vendas!$B$2:$B$3001,$A7,Vendas!$C$2:$C$3001,$B7,Vendas!$AC$2:$AC$3001,"Validado"))</f>
        <v/>
      </c>
      <c r="F7" s="15">
        <f>IF(C7=0,"-",_xlfn.MAXIFS(Vendas!$M$2:$M$3001,Vendas!$B$2:$B$3001,$A7,Vendas!$C$2:$C$3001,$B7,Vendas!$AC$2:$AC$3001,"Validado"))</f>
        <v/>
      </c>
      <c r="G7" s="15">
        <f t="array" ref="G7">IF(SUMPRODUCT((Vendas!$B$2:$B$3001=$A7)*(Vendas!$C$2:$C$3001=$B7)*(Vendas!$AC$2:$AC$3001="Validado")*ISNUMBER(Vendas!$P$2:$P$3001))=0,"-",MEDIAN(IF((Vendas!$B$2:$B$3001=$A7)*(Vendas!$C$2:$C$3001=$B7)*(Vendas!$AC$2:$AC$3001="Validado")*ISNUMBER(Vendas!$P$2:$P$3001),Vendas!$P$2:$P$3001)))</f>
        <v/>
      </c>
      <c r="H7" s="13">
        <f>COUNTIFS(Vendas!$B$2:$B$3001,$A7,Vendas!$C$2:$C$3001,$B7,Vendas!$AC$2:$AC$3001,"Validado",Vendas!$Q$2:$Q$3001,"Valor*")</f>
        <v/>
      </c>
      <c r="I7" s="16">
        <f>IF(C7=0,"-",_xlfn.MINIFS(Vendas!$R$2:$R$3001,Vendas!$B$2:$B$3001,$A7,Vendas!$C$2:$C$3001,$B7,Vendas!$AC$2:$AC$3001,"Validado"))</f>
        <v/>
      </c>
      <c r="J7" s="16">
        <f>IF(C7=0,"-",_xlfn.MAXIFS(Vendas!$R$2:$R$3001,Vendas!$B$2:$B$3001,$A7,Vendas!$C$2:$C$3001,$B7,Vendas!$AC$2:$AC$3001,"Validado"))</f>
        <v/>
      </c>
    </row>
    <row r="8">
      <c r="A8" s="13" t="inlineStr">
        <is>
          <t>São Sebastião</t>
        </is>
      </c>
      <c r="B8" s="13" t="inlineStr">
        <is>
          <t>São Francisco</t>
        </is>
      </c>
      <c r="C8" s="13">
        <f>COUNTIFS(Vendas!$B$2:$B$3001,$A8,Vendas!$C$2:$C$3001,$B8,Vendas!$AC$2:$AC$3001,"Validado")</f>
        <v/>
      </c>
      <c r="D8" s="15">
        <f t="array" ref="D8">IF(C8=0,"-",MEDIAN(IF((Vendas!$B$2:$B$3001=$A8)*(Vendas!$C$2:$C$3001=$B8)*(Vendas!$AC$2:$AC$3001="Validado")*ISNUMBER(Vendas!$M$2:$M$3001),Vendas!$M$2:$M$3001)))</f>
        <v/>
      </c>
      <c r="E8" s="15">
        <f>IF(C8=0,"-",_xlfn.MINIFS(Vendas!$M$2:$M$3001,Vendas!$B$2:$B$3001,$A8,Vendas!$C$2:$C$3001,$B8,Vendas!$AC$2:$AC$3001,"Validado"))</f>
        <v/>
      </c>
      <c r="F8" s="15">
        <f>IF(C8=0,"-",_xlfn.MAXIFS(Vendas!$M$2:$M$3001,Vendas!$B$2:$B$3001,$A8,Vendas!$C$2:$C$3001,$B8,Vendas!$AC$2:$AC$3001,"Validado"))</f>
        <v/>
      </c>
      <c r="G8" s="15">
        <f t="array" ref="G8">IF(SUMPRODUCT((Vendas!$B$2:$B$3001=$A8)*(Vendas!$C$2:$C$3001=$B8)*(Vendas!$AC$2:$AC$3001="Validado")*ISNUMBER(Vendas!$P$2:$P$3001))=0,"-",MEDIAN(IF((Vendas!$B$2:$B$3001=$A8)*(Vendas!$C$2:$C$3001=$B8)*(Vendas!$AC$2:$AC$3001="Validado")*ISNUMBER(Vendas!$P$2:$P$3001),Vendas!$P$2:$P$3001)))</f>
        <v/>
      </c>
      <c r="H8" s="13">
        <f>COUNTIFS(Vendas!$B$2:$B$3001,$A8,Vendas!$C$2:$C$3001,$B8,Vendas!$AC$2:$AC$3001,"Validado",Vendas!$Q$2:$Q$3001,"Valor*")</f>
        <v/>
      </c>
      <c r="I8" s="16">
        <f>IF(C8=0,"-",_xlfn.MINIFS(Vendas!$R$2:$R$3001,Vendas!$B$2:$B$3001,$A8,Vendas!$C$2:$C$3001,$B8,Vendas!$AC$2:$AC$3001,"Validado"))</f>
        <v/>
      </c>
      <c r="J8" s="16">
        <f>IF(C8=0,"-",_xlfn.MAXIFS(Vendas!$R$2:$R$3001,Vendas!$B$2:$B$3001,$A8,Vendas!$C$2:$C$3001,$B8,Vendas!$AC$2:$AC$3001,"Validado"))</f>
        <v/>
      </c>
    </row>
    <row r="9">
      <c r="A9" s="13" t="inlineStr">
        <is>
          <t>São Sebastião</t>
        </is>
      </c>
      <c r="B9" s="13" t="inlineStr">
        <is>
          <t>Morro do Abrigo</t>
        </is>
      </c>
      <c r="C9" s="13">
        <f>COUNTIFS(Vendas!$B$2:$B$3001,$A9,Vendas!$C$2:$C$3001,$B9,Vendas!$AC$2:$AC$3001,"Validado")</f>
        <v/>
      </c>
      <c r="D9" s="15">
        <f t="array" ref="D9">IF(C9=0,"-",MEDIAN(IF((Vendas!$B$2:$B$3001=$A9)*(Vendas!$C$2:$C$3001=$B9)*(Vendas!$AC$2:$AC$3001="Validado")*ISNUMBER(Vendas!$M$2:$M$3001),Vendas!$M$2:$M$3001)))</f>
        <v/>
      </c>
      <c r="E9" s="15">
        <f>IF(C9=0,"-",_xlfn.MINIFS(Vendas!$M$2:$M$3001,Vendas!$B$2:$B$3001,$A9,Vendas!$C$2:$C$3001,$B9,Vendas!$AC$2:$AC$3001,"Validado"))</f>
        <v/>
      </c>
      <c r="F9" s="15">
        <f>IF(C9=0,"-",_xlfn.MAXIFS(Vendas!$M$2:$M$3001,Vendas!$B$2:$B$3001,$A9,Vendas!$C$2:$C$3001,$B9,Vendas!$AC$2:$AC$3001,"Validado"))</f>
        <v/>
      </c>
      <c r="G9" s="15">
        <f t="array" ref="G9">IF(SUMPRODUCT((Vendas!$B$2:$B$3001=$A9)*(Vendas!$C$2:$C$3001=$B9)*(Vendas!$AC$2:$AC$3001="Validado")*ISNUMBER(Vendas!$P$2:$P$3001))=0,"-",MEDIAN(IF((Vendas!$B$2:$B$3001=$A9)*(Vendas!$C$2:$C$3001=$B9)*(Vendas!$AC$2:$AC$3001="Validado")*ISNUMBER(Vendas!$P$2:$P$3001),Vendas!$P$2:$P$3001)))</f>
        <v/>
      </c>
      <c r="H9" s="13">
        <f>COUNTIFS(Vendas!$B$2:$B$3001,$A9,Vendas!$C$2:$C$3001,$B9,Vendas!$AC$2:$AC$3001,"Validado",Vendas!$Q$2:$Q$3001,"Valor*")</f>
        <v/>
      </c>
      <c r="I9" s="16">
        <f>IF(C9=0,"-",_xlfn.MINIFS(Vendas!$R$2:$R$3001,Vendas!$B$2:$B$3001,$A9,Vendas!$C$2:$C$3001,$B9,Vendas!$AC$2:$AC$3001,"Validado"))</f>
        <v/>
      </c>
      <c r="J9" s="16">
        <f>IF(C9=0,"-",_xlfn.MAXIFS(Vendas!$R$2:$R$3001,Vendas!$B$2:$B$3001,$A9,Vendas!$C$2:$C$3001,$B9,Vendas!$AC$2:$AC$3001,"Validado"))</f>
        <v/>
      </c>
    </row>
    <row r="10">
      <c r="A10" s="13" t="inlineStr">
        <is>
          <t>São Sebastião</t>
        </is>
      </c>
      <c r="B10" s="13" t="inlineStr">
        <is>
          <t>Olaria</t>
        </is>
      </c>
      <c r="C10" s="13">
        <f>COUNTIFS(Vendas!$B$2:$B$3001,$A10,Vendas!$C$2:$C$3001,$B10,Vendas!$AC$2:$AC$3001,"Validado")</f>
        <v/>
      </c>
      <c r="D10" s="15">
        <f t="array" ref="D10">IF(C10=0,"-",MEDIAN(IF((Vendas!$B$2:$B$3001=$A10)*(Vendas!$C$2:$C$3001=$B10)*(Vendas!$AC$2:$AC$3001="Validado")*ISNUMBER(Vendas!$M$2:$M$3001),Vendas!$M$2:$M$3001)))</f>
        <v/>
      </c>
      <c r="E10" s="15">
        <f>IF(C10=0,"-",_xlfn.MINIFS(Vendas!$M$2:$M$3001,Vendas!$B$2:$B$3001,$A10,Vendas!$C$2:$C$3001,$B10,Vendas!$AC$2:$AC$3001,"Validado"))</f>
        <v/>
      </c>
      <c r="F10" s="15">
        <f>IF(C10=0,"-",_xlfn.MAXIFS(Vendas!$M$2:$M$3001,Vendas!$B$2:$B$3001,$A10,Vendas!$C$2:$C$3001,$B10,Vendas!$AC$2:$AC$3001,"Validado"))</f>
        <v/>
      </c>
      <c r="G10" s="15">
        <f t="array" ref="G10">IF(SUMPRODUCT((Vendas!$B$2:$B$3001=$A10)*(Vendas!$C$2:$C$3001=$B10)*(Vendas!$AC$2:$AC$3001="Validado")*ISNUMBER(Vendas!$P$2:$P$3001))=0,"-",MEDIAN(IF((Vendas!$B$2:$B$3001=$A10)*(Vendas!$C$2:$C$3001=$B10)*(Vendas!$AC$2:$AC$3001="Validado")*ISNUMBER(Vendas!$P$2:$P$3001),Vendas!$P$2:$P$3001)))</f>
        <v/>
      </c>
      <c r="H10" s="13">
        <f>COUNTIFS(Vendas!$B$2:$B$3001,$A10,Vendas!$C$2:$C$3001,$B10,Vendas!$AC$2:$AC$3001,"Validado",Vendas!$Q$2:$Q$3001,"Valor*")</f>
        <v/>
      </c>
      <c r="I10" s="16">
        <f>IF(C10=0,"-",_xlfn.MINIFS(Vendas!$R$2:$R$3001,Vendas!$B$2:$B$3001,$A10,Vendas!$C$2:$C$3001,$B10,Vendas!$AC$2:$AC$3001,"Validado"))</f>
        <v/>
      </c>
      <c r="J10" s="16">
        <f>IF(C10=0,"-",_xlfn.MAXIFS(Vendas!$R$2:$R$3001,Vendas!$B$2:$B$3001,$A10,Vendas!$C$2:$C$3001,$B10,Vendas!$AC$2:$AC$3001,"Validado"))</f>
        <v/>
      </c>
    </row>
    <row r="11">
      <c r="A11" s="13" t="inlineStr">
        <is>
          <t>São Sebastião</t>
        </is>
      </c>
      <c r="B11" s="13" t="inlineStr">
        <is>
          <t>Arrastão</t>
        </is>
      </c>
      <c r="C11" s="13">
        <f>COUNTIFS(Vendas!$B$2:$B$3001,$A11,Vendas!$C$2:$C$3001,$B11,Vendas!$AC$2:$AC$3001,"Validado")</f>
        <v/>
      </c>
      <c r="D11" s="15">
        <f t="array" ref="D11">IF(C11=0,"-",MEDIAN(IF((Vendas!$B$2:$B$3001=$A11)*(Vendas!$C$2:$C$3001=$B11)*(Vendas!$AC$2:$AC$3001="Validado")*ISNUMBER(Vendas!$M$2:$M$3001),Vendas!$M$2:$M$3001)))</f>
        <v/>
      </c>
      <c r="E11" s="15">
        <f>IF(C11=0,"-",_xlfn.MINIFS(Vendas!$M$2:$M$3001,Vendas!$B$2:$B$3001,$A11,Vendas!$C$2:$C$3001,$B11,Vendas!$AC$2:$AC$3001,"Validado"))</f>
        <v/>
      </c>
      <c r="F11" s="15">
        <f>IF(C11=0,"-",_xlfn.MAXIFS(Vendas!$M$2:$M$3001,Vendas!$B$2:$B$3001,$A11,Vendas!$C$2:$C$3001,$B11,Vendas!$AC$2:$AC$3001,"Validado"))</f>
        <v/>
      </c>
      <c r="G11" s="15">
        <f t="array" ref="G11">IF(SUMPRODUCT((Vendas!$B$2:$B$3001=$A11)*(Vendas!$C$2:$C$3001=$B11)*(Vendas!$AC$2:$AC$3001="Validado")*ISNUMBER(Vendas!$P$2:$P$3001))=0,"-",MEDIAN(IF((Vendas!$B$2:$B$3001=$A11)*(Vendas!$C$2:$C$3001=$B11)*(Vendas!$AC$2:$AC$3001="Validado")*ISNUMBER(Vendas!$P$2:$P$3001),Vendas!$P$2:$P$3001)))</f>
        <v/>
      </c>
      <c r="H11" s="13">
        <f>COUNTIFS(Vendas!$B$2:$B$3001,$A11,Vendas!$C$2:$C$3001,$B11,Vendas!$AC$2:$AC$3001,"Validado",Vendas!$Q$2:$Q$3001,"Valor*")</f>
        <v/>
      </c>
      <c r="I11" s="16">
        <f>IF(C11=0,"-",_xlfn.MINIFS(Vendas!$R$2:$R$3001,Vendas!$B$2:$B$3001,$A11,Vendas!$C$2:$C$3001,$B11,Vendas!$AC$2:$AC$3001,"Validado"))</f>
        <v/>
      </c>
      <c r="J11" s="16">
        <f>IF(C11=0,"-",_xlfn.MAXIFS(Vendas!$R$2:$R$3001,Vendas!$B$2:$B$3001,$A11,Vendas!$C$2:$C$3001,$B11,Vendas!$AC$2:$AC$3001,"Validado"))</f>
        <v/>
      </c>
    </row>
    <row r="12">
      <c r="A12" s="13" t="inlineStr">
        <is>
          <t>São Sebastião</t>
        </is>
      </c>
      <c r="B12" s="13" t="inlineStr">
        <is>
          <t>Pontal da Cruz</t>
        </is>
      </c>
      <c r="C12" s="13">
        <f>COUNTIFS(Vendas!$B$2:$B$3001,$A12,Vendas!$C$2:$C$3001,$B12,Vendas!$AC$2:$AC$3001,"Validado")</f>
        <v/>
      </c>
      <c r="D12" s="15">
        <f t="array" ref="D12">IF(C12=0,"-",MEDIAN(IF((Vendas!$B$2:$B$3001=$A12)*(Vendas!$C$2:$C$3001=$B12)*(Vendas!$AC$2:$AC$3001="Validado")*ISNUMBER(Vendas!$M$2:$M$3001),Vendas!$M$2:$M$3001)))</f>
        <v/>
      </c>
      <c r="E12" s="15">
        <f>IF(C12=0,"-",_xlfn.MINIFS(Vendas!$M$2:$M$3001,Vendas!$B$2:$B$3001,$A12,Vendas!$C$2:$C$3001,$B12,Vendas!$AC$2:$AC$3001,"Validado"))</f>
        <v/>
      </c>
      <c r="F12" s="15">
        <f>IF(C12=0,"-",_xlfn.MAXIFS(Vendas!$M$2:$M$3001,Vendas!$B$2:$B$3001,$A12,Vendas!$C$2:$C$3001,$B12,Vendas!$AC$2:$AC$3001,"Validado"))</f>
        <v/>
      </c>
      <c r="G12" s="15">
        <f t="array" ref="G12">IF(SUMPRODUCT((Vendas!$B$2:$B$3001=$A12)*(Vendas!$C$2:$C$3001=$B12)*(Vendas!$AC$2:$AC$3001="Validado")*ISNUMBER(Vendas!$P$2:$P$3001))=0,"-",MEDIAN(IF((Vendas!$B$2:$B$3001=$A12)*(Vendas!$C$2:$C$3001=$B12)*(Vendas!$AC$2:$AC$3001="Validado")*ISNUMBER(Vendas!$P$2:$P$3001),Vendas!$P$2:$P$3001)))</f>
        <v/>
      </c>
      <c r="H12" s="13">
        <f>COUNTIFS(Vendas!$B$2:$B$3001,$A12,Vendas!$C$2:$C$3001,$B12,Vendas!$AC$2:$AC$3001,"Validado",Vendas!$Q$2:$Q$3001,"Valor*")</f>
        <v/>
      </c>
      <c r="I12" s="16">
        <f>IF(C12=0,"-",_xlfn.MINIFS(Vendas!$R$2:$R$3001,Vendas!$B$2:$B$3001,$A12,Vendas!$C$2:$C$3001,$B12,Vendas!$AC$2:$AC$3001,"Validado"))</f>
        <v/>
      </c>
      <c r="J12" s="16">
        <f>IF(C12=0,"-",_xlfn.MAXIFS(Vendas!$R$2:$R$3001,Vendas!$B$2:$B$3001,$A12,Vendas!$C$2:$C$3001,$B12,Vendas!$AC$2:$AC$3001,"Validado"))</f>
        <v/>
      </c>
    </row>
    <row r="13">
      <c r="A13" s="13" t="inlineStr">
        <is>
          <t>São Sebastião</t>
        </is>
      </c>
      <c r="B13" s="13" t="inlineStr">
        <is>
          <t>Praia Deserta</t>
        </is>
      </c>
      <c r="C13" s="13">
        <f>COUNTIFS(Vendas!$B$2:$B$3001,$A13,Vendas!$C$2:$C$3001,$B13,Vendas!$AC$2:$AC$3001,"Validado")</f>
        <v/>
      </c>
      <c r="D13" s="15">
        <f t="array" ref="D13">IF(C13=0,"-",MEDIAN(IF((Vendas!$B$2:$B$3001=$A13)*(Vendas!$C$2:$C$3001=$B13)*(Vendas!$AC$2:$AC$3001="Validado")*ISNUMBER(Vendas!$M$2:$M$3001),Vendas!$M$2:$M$3001)))</f>
        <v/>
      </c>
      <c r="E13" s="15">
        <f>IF(C13=0,"-",_xlfn.MINIFS(Vendas!$M$2:$M$3001,Vendas!$B$2:$B$3001,$A13,Vendas!$C$2:$C$3001,$B13,Vendas!$AC$2:$AC$3001,"Validado"))</f>
        <v/>
      </c>
      <c r="F13" s="15">
        <f>IF(C13=0,"-",_xlfn.MAXIFS(Vendas!$M$2:$M$3001,Vendas!$B$2:$B$3001,$A13,Vendas!$C$2:$C$3001,$B13,Vendas!$AC$2:$AC$3001,"Validado"))</f>
        <v/>
      </c>
      <c r="G13" s="15">
        <f t="array" ref="G13">IF(SUMPRODUCT((Vendas!$B$2:$B$3001=$A13)*(Vendas!$C$2:$C$3001=$B13)*(Vendas!$AC$2:$AC$3001="Validado")*ISNUMBER(Vendas!$P$2:$P$3001))=0,"-",MEDIAN(IF((Vendas!$B$2:$B$3001=$A13)*(Vendas!$C$2:$C$3001=$B13)*(Vendas!$AC$2:$AC$3001="Validado")*ISNUMBER(Vendas!$P$2:$P$3001),Vendas!$P$2:$P$3001)))</f>
        <v/>
      </c>
      <c r="H13" s="13">
        <f>COUNTIFS(Vendas!$B$2:$B$3001,$A13,Vendas!$C$2:$C$3001,$B13,Vendas!$AC$2:$AC$3001,"Validado",Vendas!$Q$2:$Q$3001,"Valor*")</f>
        <v/>
      </c>
      <c r="I13" s="16">
        <f>IF(C13=0,"-",_xlfn.MINIFS(Vendas!$R$2:$R$3001,Vendas!$B$2:$B$3001,$A13,Vendas!$C$2:$C$3001,$B13,Vendas!$AC$2:$AC$3001,"Validado"))</f>
        <v/>
      </c>
      <c r="J13" s="16">
        <f>IF(C13=0,"-",_xlfn.MAXIFS(Vendas!$R$2:$R$3001,Vendas!$B$2:$B$3001,$A13,Vendas!$C$2:$C$3001,$B13,Vendas!$AC$2:$AC$3001,"Validado"))</f>
        <v/>
      </c>
    </row>
    <row r="14">
      <c r="A14" s="13" t="inlineStr">
        <is>
          <t>São Sebastião</t>
        </is>
      </c>
      <c r="B14" s="13" t="inlineStr">
        <is>
          <t>Porto Grande</t>
        </is>
      </c>
      <c r="C14" s="13">
        <f>COUNTIFS(Vendas!$B$2:$B$3001,$A14,Vendas!$C$2:$C$3001,$B14,Vendas!$AC$2:$AC$3001,"Validado")</f>
        <v/>
      </c>
      <c r="D14" s="15">
        <f t="array" ref="D14">IF(C14=0,"-",MEDIAN(IF((Vendas!$B$2:$B$3001=$A14)*(Vendas!$C$2:$C$3001=$B14)*(Vendas!$AC$2:$AC$3001="Validado")*ISNUMBER(Vendas!$M$2:$M$3001),Vendas!$M$2:$M$3001)))</f>
        <v/>
      </c>
      <c r="E14" s="15">
        <f>IF(C14=0,"-",_xlfn.MINIFS(Vendas!$M$2:$M$3001,Vendas!$B$2:$B$3001,$A14,Vendas!$C$2:$C$3001,$B14,Vendas!$AC$2:$AC$3001,"Validado"))</f>
        <v/>
      </c>
      <c r="F14" s="15">
        <f>IF(C14=0,"-",_xlfn.MAXIFS(Vendas!$M$2:$M$3001,Vendas!$B$2:$B$3001,$A14,Vendas!$C$2:$C$3001,$B14,Vendas!$AC$2:$AC$3001,"Validado"))</f>
        <v/>
      </c>
      <c r="G14" s="15">
        <f t="array" ref="G14">IF(SUMPRODUCT((Vendas!$B$2:$B$3001=$A14)*(Vendas!$C$2:$C$3001=$B14)*(Vendas!$AC$2:$AC$3001="Validado")*ISNUMBER(Vendas!$P$2:$P$3001))=0,"-",MEDIAN(IF((Vendas!$B$2:$B$3001=$A14)*(Vendas!$C$2:$C$3001=$B14)*(Vendas!$AC$2:$AC$3001="Validado")*ISNUMBER(Vendas!$P$2:$P$3001),Vendas!$P$2:$P$3001)))</f>
        <v/>
      </c>
      <c r="H14" s="13">
        <f>COUNTIFS(Vendas!$B$2:$B$3001,$A14,Vendas!$C$2:$C$3001,$B14,Vendas!$AC$2:$AC$3001,"Validado",Vendas!$Q$2:$Q$3001,"Valor*")</f>
        <v/>
      </c>
      <c r="I14" s="16">
        <f>IF(C14=0,"-",_xlfn.MINIFS(Vendas!$R$2:$R$3001,Vendas!$B$2:$B$3001,$A14,Vendas!$C$2:$C$3001,$B14,Vendas!$AC$2:$AC$3001,"Validado"))</f>
        <v/>
      </c>
      <c r="J14" s="16">
        <f>IF(C14=0,"-",_xlfn.MAXIFS(Vendas!$R$2:$R$3001,Vendas!$B$2:$B$3001,$A14,Vendas!$C$2:$C$3001,$B14,Vendas!$AC$2:$AC$3001,"Validado"))</f>
        <v/>
      </c>
    </row>
    <row r="15">
      <c r="A15" s="13" t="inlineStr">
        <is>
          <t>São Sebastião</t>
        </is>
      </c>
      <c r="B15" s="13" t="inlineStr">
        <is>
          <t>Centro</t>
        </is>
      </c>
      <c r="C15" s="13">
        <f>COUNTIFS(Vendas!$B$2:$B$3001,$A15,Vendas!$C$2:$C$3001,$B15,Vendas!$AC$2:$AC$3001,"Validado")</f>
        <v/>
      </c>
      <c r="D15" s="15">
        <f t="array" ref="D15">IF(C15=0,"-",MEDIAN(IF((Vendas!$B$2:$B$3001=$A15)*(Vendas!$C$2:$C$3001=$B15)*(Vendas!$AC$2:$AC$3001="Validado")*ISNUMBER(Vendas!$M$2:$M$3001),Vendas!$M$2:$M$3001)))</f>
        <v/>
      </c>
      <c r="E15" s="15">
        <f>IF(C15=0,"-",_xlfn.MINIFS(Vendas!$M$2:$M$3001,Vendas!$B$2:$B$3001,$A15,Vendas!$C$2:$C$3001,$B15,Vendas!$AC$2:$AC$3001,"Validado"))</f>
        <v/>
      </c>
      <c r="F15" s="15">
        <f>IF(C15=0,"-",_xlfn.MAXIFS(Vendas!$M$2:$M$3001,Vendas!$B$2:$B$3001,$A15,Vendas!$C$2:$C$3001,$B15,Vendas!$AC$2:$AC$3001,"Validado"))</f>
        <v/>
      </c>
      <c r="G15" s="15">
        <f t="array" ref="G15">IF(SUMPRODUCT((Vendas!$B$2:$B$3001=$A15)*(Vendas!$C$2:$C$3001=$B15)*(Vendas!$AC$2:$AC$3001="Validado")*ISNUMBER(Vendas!$P$2:$P$3001))=0,"-",MEDIAN(IF((Vendas!$B$2:$B$3001=$A15)*(Vendas!$C$2:$C$3001=$B15)*(Vendas!$AC$2:$AC$3001="Validado")*ISNUMBER(Vendas!$P$2:$P$3001),Vendas!$P$2:$P$3001)))</f>
        <v/>
      </c>
      <c r="H15" s="13">
        <f>COUNTIFS(Vendas!$B$2:$B$3001,$A15,Vendas!$C$2:$C$3001,$B15,Vendas!$AC$2:$AC$3001,"Validado",Vendas!$Q$2:$Q$3001,"Valor*")</f>
        <v/>
      </c>
      <c r="I15" s="16">
        <f>IF(C15=0,"-",_xlfn.MINIFS(Vendas!$R$2:$R$3001,Vendas!$B$2:$B$3001,$A15,Vendas!$C$2:$C$3001,$B15,Vendas!$AC$2:$AC$3001,"Validado"))</f>
        <v/>
      </c>
      <c r="J15" s="16">
        <f>IF(C15=0,"-",_xlfn.MAXIFS(Vendas!$R$2:$R$3001,Vendas!$B$2:$B$3001,$A15,Vendas!$C$2:$C$3001,$B15,Vendas!$AC$2:$AC$3001,"Validado"))</f>
        <v/>
      </c>
    </row>
    <row r="16">
      <c r="A16" s="13" t="inlineStr">
        <is>
          <t>São Sebastião</t>
        </is>
      </c>
      <c r="B16" s="13" t="inlineStr">
        <is>
          <t>Topolândia</t>
        </is>
      </c>
      <c r="C16" s="13">
        <f>COUNTIFS(Vendas!$B$2:$B$3001,$A16,Vendas!$C$2:$C$3001,$B16,Vendas!$AC$2:$AC$3001,"Validado")</f>
        <v/>
      </c>
      <c r="D16" s="15">
        <f t="array" ref="D16">IF(C16=0,"-",MEDIAN(IF((Vendas!$B$2:$B$3001=$A16)*(Vendas!$C$2:$C$3001=$B16)*(Vendas!$AC$2:$AC$3001="Validado")*ISNUMBER(Vendas!$M$2:$M$3001),Vendas!$M$2:$M$3001)))</f>
        <v/>
      </c>
      <c r="E16" s="15">
        <f>IF(C16=0,"-",_xlfn.MINIFS(Vendas!$M$2:$M$3001,Vendas!$B$2:$B$3001,$A16,Vendas!$C$2:$C$3001,$B16,Vendas!$AC$2:$AC$3001,"Validado"))</f>
        <v/>
      </c>
      <c r="F16" s="15">
        <f>IF(C16=0,"-",_xlfn.MAXIFS(Vendas!$M$2:$M$3001,Vendas!$B$2:$B$3001,$A16,Vendas!$C$2:$C$3001,$B16,Vendas!$AC$2:$AC$3001,"Validado"))</f>
        <v/>
      </c>
      <c r="G16" s="15">
        <f t="array" ref="G16">IF(SUMPRODUCT((Vendas!$B$2:$B$3001=$A16)*(Vendas!$C$2:$C$3001=$B16)*(Vendas!$AC$2:$AC$3001="Validado")*ISNUMBER(Vendas!$P$2:$P$3001))=0,"-",MEDIAN(IF((Vendas!$B$2:$B$3001=$A16)*(Vendas!$C$2:$C$3001=$B16)*(Vendas!$AC$2:$AC$3001="Validado")*ISNUMBER(Vendas!$P$2:$P$3001),Vendas!$P$2:$P$3001)))</f>
        <v/>
      </c>
      <c r="H16" s="13">
        <f>COUNTIFS(Vendas!$B$2:$B$3001,$A16,Vendas!$C$2:$C$3001,$B16,Vendas!$AC$2:$AC$3001,"Validado",Vendas!$Q$2:$Q$3001,"Valor*")</f>
        <v/>
      </c>
      <c r="I16" s="16">
        <f>IF(C16=0,"-",_xlfn.MINIFS(Vendas!$R$2:$R$3001,Vendas!$B$2:$B$3001,$A16,Vendas!$C$2:$C$3001,$B16,Vendas!$AC$2:$AC$3001,"Validado"))</f>
        <v/>
      </c>
      <c r="J16" s="16">
        <f>IF(C16=0,"-",_xlfn.MAXIFS(Vendas!$R$2:$R$3001,Vendas!$B$2:$B$3001,$A16,Vendas!$C$2:$C$3001,$B16,Vendas!$AC$2:$AC$3001,"Validado"))</f>
        <v/>
      </c>
    </row>
    <row r="17">
      <c r="A17" s="13" t="inlineStr">
        <is>
          <t>São Sebastião</t>
        </is>
      </c>
      <c r="B17" s="13" t="inlineStr">
        <is>
          <t>Itatinga</t>
        </is>
      </c>
      <c r="C17" s="13">
        <f>COUNTIFS(Vendas!$B$2:$B$3001,$A17,Vendas!$C$2:$C$3001,$B17,Vendas!$AC$2:$AC$3001,"Validado")</f>
        <v/>
      </c>
      <c r="D17" s="15">
        <f t="array" ref="D17">IF(C17=0,"-",MEDIAN(IF((Vendas!$B$2:$B$3001=$A17)*(Vendas!$C$2:$C$3001=$B17)*(Vendas!$AC$2:$AC$3001="Validado")*ISNUMBER(Vendas!$M$2:$M$3001),Vendas!$M$2:$M$3001)))</f>
        <v/>
      </c>
      <c r="E17" s="15">
        <f>IF(C17=0,"-",_xlfn.MINIFS(Vendas!$M$2:$M$3001,Vendas!$B$2:$B$3001,$A17,Vendas!$C$2:$C$3001,$B17,Vendas!$AC$2:$AC$3001,"Validado"))</f>
        <v/>
      </c>
      <c r="F17" s="15">
        <f>IF(C17=0,"-",_xlfn.MAXIFS(Vendas!$M$2:$M$3001,Vendas!$B$2:$B$3001,$A17,Vendas!$C$2:$C$3001,$B17,Vendas!$AC$2:$AC$3001,"Validado"))</f>
        <v/>
      </c>
      <c r="G17" s="15">
        <f t="array" ref="G17">IF(SUMPRODUCT((Vendas!$B$2:$B$3001=$A17)*(Vendas!$C$2:$C$3001=$B17)*(Vendas!$AC$2:$AC$3001="Validado")*ISNUMBER(Vendas!$P$2:$P$3001))=0,"-",MEDIAN(IF((Vendas!$B$2:$B$3001=$A17)*(Vendas!$C$2:$C$3001=$B17)*(Vendas!$AC$2:$AC$3001="Validado")*ISNUMBER(Vendas!$P$2:$P$3001),Vendas!$P$2:$P$3001)))</f>
        <v/>
      </c>
      <c r="H17" s="13">
        <f>COUNTIFS(Vendas!$B$2:$B$3001,$A17,Vendas!$C$2:$C$3001,$B17,Vendas!$AC$2:$AC$3001,"Validado",Vendas!$Q$2:$Q$3001,"Valor*")</f>
        <v/>
      </c>
      <c r="I17" s="16">
        <f>IF(C17=0,"-",_xlfn.MINIFS(Vendas!$R$2:$R$3001,Vendas!$B$2:$B$3001,$A17,Vendas!$C$2:$C$3001,$B17,Vendas!$AC$2:$AC$3001,"Validado"))</f>
        <v/>
      </c>
      <c r="J17" s="16">
        <f>IF(C17=0,"-",_xlfn.MAXIFS(Vendas!$R$2:$R$3001,Vendas!$B$2:$B$3001,$A17,Vendas!$C$2:$C$3001,$B17,Vendas!$AC$2:$AC$3001,"Validado"))</f>
        <v/>
      </c>
    </row>
    <row r="18">
      <c r="A18" s="13" t="inlineStr">
        <is>
          <t>São Sebastião</t>
        </is>
      </c>
      <c r="B18" s="13" t="inlineStr">
        <is>
          <t>Varadouro</t>
        </is>
      </c>
      <c r="C18" s="13">
        <f>COUNTIFS(Vendas!$B$2:$B$3001,$A18,Vendas!$C$2:$C$3001,$B18,Vendas!$AC$2:$AC$3001,"Validado")</f>
        <v/>
      </c>
      <c r="D18" s="15">
        <f t="array" ref="D18">IF(C18=0,"-",MEDIAN(IF((Vendas!$B$2:$B$3001=$A18)*(Vendas!$C$2:$C$3001=$B18)*(Vendas!$AC$2:$AC$3001="Validado")*ISNUMBER(Vendas!$M$2:$M$3001),Vendas!$M$2:$M$3001)))</f>
        <v/>
      </c>
      <c r="E18" s="15">
        <f>IF(C18=0,"-",_xlfn.MINIFS(Vendas!$M$2:$M$3001,Vendas!$B$2:$B$3001,$A18,Vendas!$C$2:$C$3001,$B18,Vendas!$AC$2:$AC$3001,"Validado"))</f>
        <v/>
      </c>
      <c r="F18" s="15">
        <f>IF(C18=0,"-",_xlfn.MAXIFS(Vendas!$M$2:$M$3001,Vendas!$B$2:$B$3001,$A18,Vendas!$C$2:$C$3001,$B18,Vendas!$AC$2:$AC$3001,"Validado"))</f>
        <v/>
      </c>
      <c r="G18" s="15">
        <f t="array" ref="G18">IF(SUMPRODUCT((Vendas!$B$2:$B$3001=$A18)*(Vendas!$C$2:$C$3001=$B18)*(Vendas!$AC$2:$AC$3001="Validado")*ISNUMBER(Vendas!$P$2:$P$3001))=0,"-",MEDIAN(IF((Vendas!$B$2:$B$3001=$A18)*(Vendas!$C$2:$C$3001=$B18)*(Vendas!$AC$2:$AC$3001="Validado")*ISNUMBER(Vendas!$P$2:$P$3001),Vendas!$P$2:$P$3001)))</f>
        <v/>
      </c>
      <c r="H18" s="13">
        <f>COUNTIFS(Vendas!$B$2:$B$3001,$A18,Vendas!$C$2:$C$3001,$B18,Vendas!$AC$2:$AC$3001,"Validado",Vendas!$Q$2:$Q$3001,"Valor*")</f>
        <v/>
      </c>
      <c r="I18" s="16">
        <f>IF(C18=0,"-",_xlfn.MINIFS(Vendas!$R$2:$R$3001,Vendas!$B$2:$B$3001,$A18,Vendas!$C$2:$C$3001,$B18,Vendas!$AC$2:$AC$3001,"Validado"))</f>
        <v/>
      </c>
      <c r="J18" s="16">
        <f>IF(C18=0,"-",_xlfn.MAXIFS(Vendas!$R$2:$R$3001,Vendas!$B$2:$B$3001,$A18,Vendas!$C$2:$C$3001,$B18,Vendas!$AC$2:$AC$3001,"Validado"))</f>
        <v/>
      </c>
    </row>
    <row r="19">
      <c r="A19" s="13" t="inlineStr">
        <is>
          <t>São Sebastião</t>
        </is>
      </c>
      <c r="B19" s="13" t="inlineStr">
        <is>
          <t>Pitangueiras</t>
        </is>
      </c>
      <c r="C19" s="13">
        <f>COUNTIFS(Vendas!$B$2:$B$3001,$A19,Vendas!$C$2:$C$3001,$B19,Vendas!$AC$2:$AC$3001,"Validado")</f>
        <v/>
      </c>
      <c r="D19" s="15">
        <f t="array" ref="D19">IF(C19=0,"-",MEDIAN(IF((Vendas!$B$2:$B$3001=$A19)*(Vendas!$C$2:$C$3001=$B19)*(Vendas!$AC$2:$AC$3001="Validado")*ISNUMBER(Vendas!$M$2:$M$3001),Vendas!$M$2:$M$3001)))</f>
        <v/>
      </c>
      <c r="E19" s="15">
        <f>IF(C19=0,"-",_xlfn.MINIFS(Vendas!$M$2:$M$3001,Vendas!$B$2:$B$3001,$A19,Vendas!$C$2:$C$3001,$B19,Vendas!$AC$2:$AC$3001,"Validado"))</f>
        <v/>
      </c>
      <c r="F19" s="15">
        <f>IF(C19=0,"-",_xlfn.MAXIFS(Vendas!$M$2:$M$3001,Vendas!$B$2:$B$3001,$A19,Vendas!$C$2:$C$3001,$B19,Vendas!$AC$2:$AC$3001,"Validado"))</f>
        <v/>
      </c>
      <c r="G19" s="15">
        <f t="array" ref="G19">IF(SUMPRODUCT((Vendas!$B$2:$B$3001=$A19)*(Vendas!$C$2:$C$3001=$B19)*(Vendas!$AC$2:$AC$3001="Validado")*ISNUMBER(Vendas!$P$2:$P$3001))=0,"-",MEDIAN(IF((Vendas!$B$2:$B$3001=$A19)*(Vendas!$C$2:$C$3001=$B19)*(Vendas!$AC$2:$AC$3001="Validado")*ISNUMBER(Vendas!$P$2:$P$3001),Vendas!$P$2:$P$3001)))</f>
        <v/>
      </c>
      <c r="H19" s="13">
        <f>COUNTIFS(Vendas!$B$2:$B$3001,$A19,Vendas!$C$2:$C$3001,$B19,Vendas!$AC$2:$AC$3001,"Validado",Vendas!$Q$2:$Q$3001,"Valor*")</f>
        <v/>
      </c>
      <c r="I19" s="16">
        <f>IF(C19=0,"-",_xlfn.MINIFS(Vendas!$R$2:$R$3001,Vendas!$B$2:$B$3001,$A19,Vendas!$C$2:$C$3001,$B19,Vendas!$AC$2:$AC$3001,"Validado"))</f>
        <v/>
      </c>
      <c r="J19" s="16">
        <f>IF(C19=0,"-",_xlfn.MAXIFS(Vendas!$R$2:$R$3001,Vendas!$B$2:$B$3001,$A19,Vendas!$C$2:$C$3001,$B19,Vendas!$AC$2:$AC$3001,"Validado"))</f>
        <v/>
      </c>
    </row>
    <row r="20">
      <c r="A20" s="13" t="inlineStr">
        <is>
          <t>São Sebastião</t>
        </is>
      </c>
      <c r="B20" s="13" t="inlineStr">
        <is>
          <t>Barequeçaba</t>
        </is>
      </c>
      <c r="C20" s="13">
        <f>COUNTIFS(Vendas!$B$2:$B$3001,$A20,Vendas!$C$2:$C$3001,$B20,Vendas!$AC$2:$AC$3001,"Validado")</f>
        <v/>
      </c>
      <c r="D20" s="15">
        <f t="array" ref="D20">IF(C20=0,"-",MEDIAN(IF((Vendas!$B$2:$B$3001=$A20)*(Vendas!$C$2:$C$3001=$B20)*(Vendas!$AC$2:$AC$3001="Validado")*ISNUMBER(Vendas!$M$2:$M$3001),Vendas!$M$2:$M$3001)))</f>
        <v/>
      </c>
      <c r="E20" s="15">
        <f>IF(C20=0,"-",_xlfn.MINIFS(Vendas!$M$2:$M$3001,Vendas!$B$2:$B$3001,$A20,Vendas!$C$2:$C$3001,$B20,Vendas!$AC$2:$AC$3001,"Validado"))</f>
        <v/>
      </c>
      <c r="F20" s="15">
        <f>IF(C20=0,"-",_xlfn.MAXIFS(Vendas!$M$2:$M$3001,Vendas!$B$2:$B$3001,$A20,Vendas!$C$2:$C$3001,$B20,Vendas!$AC$2:$AC$3001,"Validado"))</f>
        <v/>
      </c>
      <c r="G20" s="15">
        <f t="array" ref="G20">IF(SUMPRODUCT((Vendas!$B$2:$B$3001=$A20)*(Vendas!$C$2:$C$3001=$B20)*(Vendas!$AC$2:$AC$3001="Validado")*ISNUMBER(Vendas!$P$2:$P$3001))=0,"-",MEDIAN(IF((Vendas!$B$2:$B$3001=$A20)*(Vendas!$C$2:$C$3001=$B20)*(Vendas!$AC$2:$AC$3001="Validado")*ISNUMBER(Vendas!$P$2:$P$3001),Vendas!$P$2:$P$3001)))</f>
        <v/>
      </c>
      <c r="H20" s="13">
        <f>COUNTIFS(Vendas!$B$2:$B$3001,$A20,Vendas!$C$2:$C$3001,$B20,Vendas!$AC$2:$AC$3001,"Validado",Vendas!$Q$2:$Q$3001,"Valor*")</f>
        <v/>
      </c>
      <c r="I20" s="16">
        <f>IF(C20=0,"-",_xlfn.MINIFS(Vendas!$R$2:$R$3001,Vendas!$B$2:$B$3001,$A20,Vendas!$C$2:$C$3001,$B20,Vendas!$AC$2:$AC$3001,"Validado"))</f>
        <v/>
      </c>
      <c r="J20" s="16">
        <f>IF(C20=0,"-",_xlfn.MAXIFS(Vendas!$R$2:$R$3001,Vendas!$B$2:$B$3001,$A20,Vendas!$C$2:$C$3001,$B20,Vendas!$AC$2:$AC$3001,"Validado"))</f>
        <v/>
      </c>
    </row>
    <row r="21">
      <c r="A21" s="13" t="inlineStr">
        <is>
          <t>São Sebastião</t>
        </is>
      </c>
      <c r="B21" s="13" t="inlineStr">
        <is>
          <t>Guaecá</t>
        </is>
      </c>
      <c r="C21" s="13">
        <f>COUNTIFS(Vendas!$B$2:$B$3001,$A21,Vendas!$C$2:$C$3001,$B21,Vendas!$AC$2:$AC$3001,"Validado")</f>
        <v/>
      </c>
      <c r="D21" s="15">
        <f t="array" ref="D21">IF(C21=0,"-",MEDIAN(IF((Vendas!$B$2:$B$3001=$A21)*(Vendas!$C$2:$C$3001=$B21)*(Vendas!$AC$2:$AC$3001="Validado")*ISNUMBER(Vendas!$M$2:$M$3001),Vendas!$M$2:$M$3001)))</f>
        <v/>
      </c>
      <c r="E21" s="15">
        <f>IF(C21=0,"-",_xlfn.MINIFS(Vendas!$M$2:$M$3001,Vendas!$B$2:$B$3001,$A21,Vendas!$C$2:$C$3001,$B21,Vendas!$AC$2:$AC$3001,"Validado"))</f>
        <v/>
      </c>
      <c r="F21" s="15">
        <f>IF(C21=0,"-",_xlfn.MAXIFS(Vendas!$M$2:$M$3001,Vendas!$B$2:$B$3001,$A21,Vendas!$C$2:$C$3001,$B21,Vendas!$AC$2:$AC$3001,"Validado"))</f>
        <v/>
      </c>
      <c r="G21" s="15">
        <f t="array" ref="G21">IF(SUMPRODUCT((Vendas!$B$2:$B$3001=$A21)*(Vendas!$C$2:$C$3001=$B21)*(Vendas!$AC$2:$AC$3001="Validado")*ISNUMBER(Vendas!$P$2:$P$3001))=0,"-",MEDIAN(IF((Vendas!$B$2:$B$3001=$A21)*(Vendas!$C$2:$C$3001=$B21)*(Vendas!$AC$2:$AC$3001="Validado")*ISNUMBER(Vendas!$P$2:$P$3001),Vendas!$P$2:$P$3001)))</f>
        <v/>
      </c>
      <c r="H21" s="13">
        <f>COUNTIFS(Vendas!$B$2:$B$3001,$A21,Vendas!$C$2:$C$3001,$B21,Vendas!$AC$2:$AC$3001,"Validado",Vendas!$Q$2:$Q$3001,"Valor*")</f>
        <v/>
      </c>
      <c r="I21" s="16">
        <f>IF(C21=0,"-",_xlfn.MINIFS(Vendas!$R$2:$R$3001,Vendas!$B$2:$B$3001,$A21,Vendas!$C$2:$C$3001,$B21,Vendas!$AC$2:$AC$3001,"Validado"))</f>
        <v/>
      </c>
      <c r="J21" s="16">
        <f>IF(C21=0,"-",_xlfn.MAXIFS(Vendas!$R$2:$R$3001,Vendas!$B$2:$B$3001,$A21,Vendas!$C$2:$C$3001,$B21,Vendas!$AC$2:$AC$3001,"Validado"))</f>
        <v/>
      </c>
    </row>
    <row r="22">
      <c r="A22" s="13" t="inlineStr">
        <is>
          <t>São Sebastião</t>
        </is>
      </c>
      <c r="B22" s="13" t="inlineStr">
        <is>
          <t>Toque-Toque Grande</t>
        </is>
      </c>
      <c r="C22" s="13">
        <f>COUNTIFS(Vendas!$B$2:$B$3001,$A22,Vendas!$C$2:$C$3001,$B22,Vendas!$AC$2:$AC$3001,"Validado")</f>
        <v/>
      </c>
      <c r="D22" s="15">
        <f t="array" ref="D22">IF(C22=0,"-",MEDIAN(IF((Vendas!$B$2:$B$3001=$A22)*(Vendas!$C$2:$C$3001=$B22)*(Vendas!$AC$2:$AC$3001="Validado")*ISNUMBER(Vendas!$M$2:$M$3001),Vendas!$M$2:$M$3001)))</f>
        <v/>
      </c>
      <c r="E22" s="15">
        <f>IF(C22=0,"-",_xlfn.MINIFS(Vendas!$M$2:$M$3001,Vendas!$B$2:$B$3001,$A22,Vendas!$C$2:$C$3001,$B22,Vendas!$AC$2:$AC$3001,"Validado"))</f>
        <v/>
      </c>
      <c r="F22" s="15">
        <f>IF(C22=0,"-",_xlfn.MAXIFS(Vendas!$M$2:$M$3001,Vendas!$B$2:$B$3001,$A22,Vendas!$C$2:$C$3001,$B22,Vendas!$AC$2:$AC$3001,"Validado"))</f>
        <v/>
      </c>
      <c r="G22" s="15">
        <f t="array" ref="G22">IF(SUMPRODUCT((Vendas!$B$2:$B$3001=$A22)*(Vendas!$C$2:$C$3001=$B22)*(Vendas!$AC$2:$AC$3001="Validado")*ISNUMBER(Vendas!$P$2:$P$3001))=0,"-",MEDIAN(IF((Vendas!$B$2:$B$3001=$A22)*(Vendas!$C$2:$C$3001=$B22)*(Vendas!$AC$2:$AC$3001="Validado")*ISNUMBER(Vendas!$P$2:$P$3001),Vendas!$P$2:$P$3001)))</f>
        <v/>
      </c>
      <c r="H22" s="13">
        <f>COUNTIFS(Vendas!$B$2:$B$3001,$A22,Vendas!$C$2:$C$3001,$B22,Vendas!$AC$2:$AC$3001,"Validado",Vendas!$Q$2:$Q$3001,"Valor*")</f>
        <v/>
      </c>
      <c r="I22" s="16">
        <f>IF(C22=0,"-",_xlfn.MINIFS(Vendas!$R$2:$R$3001,Vendas!$B$2:$B$3001,$A22,Vendas!$C$2:$C$3001,$B22,Vendas!$AC$2:$AC$3001,"Validado"))</f>
        <v/>
      </c>
      <c r="J22" s="16">
        <f>IF(C22=0,"-",_xlfn.MAXIFS(Vendas!$R$2:$R$3001,Vendas!$B$2:$B$3001,$A22,Vendas!$C$2:$C$3001,$B22,Vendas!$AC$2:$AC$3001,"Validado"))</f>
        <v/>
      </c>
    </row>
    <row r="23">
      <c r="A23" s="13" t="inlineStr">
        <is>
          <t>São Sebastião</t>
        </is>
      </c>
      <c r="B23" s="13" t="inlineStr">
        <is>
          <t>Calhetas</t>
        </is>
      </c>
      <c r="C23" s="13">
        <f>COUNTIFS(Vendas!$B$2:$B$3001,$A23,Vendas!$C$2:$C$3001,$B23,Vendas!$AC$2:$AC$3001,"Validado")</f>
        <v/>
      </c>
      <c r="D23" s="15">
        <f t="array" ref="D23">IF(C23=0,"-",MEDIAN(IF((Vendas!$B$2:$B$3001=$A23)*(Vendas!$C$2:$C$3001=$B23)*(Vendas!$AC$2:$AC$3001="Validado")*ISNUMBER(Vendas!$M$2:$M$3001),Vendas!$M$2:$M$3001)))</f>
        <v/>
      </c>
      <c r="E23" s="15">
        <f>IF(C23=0,"-",_xlfn.MINIFS(Vendas!$M$2:$M$3001,Vendas!$B$2:$B$3001,$A23,Vendas!$C$2:$C$3001,$B23,Vendas!$AC$2:$AC$3001,"Validado"))</f>
        <v/>
      </c>
      <c r="F23" s="15">
        <f>IF(C23=0,"-",_xlfn.MAXIFS(Vendas!$M$2:$M$3001,Vendas!$B$2:$B$3001,$A23,Vendas!$C$2:$C$3001,$B23,Vendas!$AC$2:$AC$3001,"Validado"))</f>
        <v/>
      </c>
      <c r="G23" s="15">
        <f t="array" ref="G23">IF(SUMPRODUCT((Vendas!$B$2:$B$3001=$A23)*(Vendas!$C$2:$C$3001=$B23)*(Vendas!$AC$2:$AC$3001="Validado")*ISNUMBER(Vendas!$P$2:$P$3001))=0,"-",MEDIAN(IF((Vendas!$B$2:$B$3001=$A23)*(Vendas!$C$2:$C$3001=$B23)*(Vendas!$AC$2:$AC$3001="Validado")*ISNUMBER(Vendas!$P$2:$P$3001),Vendas!$P$2:$P$3001)))</f>
        <v/>
      </c>
      <c r="H23" s="13">
        <f>COUNTIFS(Vendas!$B$2:$B$3001,$A23,Vendas!$C$2:$C$3001,$B23,Vendas!$AC$2:$AC$3001,"Validado",Vendas!$Q$2:$Q$3001,"Valor*")</f>
        <v/>
      </c>
      <c r="I23" s="16">
        <f>IF(C23=0,"-",_xlfn.MINIFS(Vendas!$R$2:$R$3001,Vendas!$B$2:$B$3001,$A23,Vendas!$C$2:$C$3001,$B23,Vendas!$AC$2:$AC$3001,"Validado"))</f>
        <v/>
      </c>
      <c r="J23" s="16">
        <f>IF(C23=0,"-",_xlfn.MAXIFS(Vendas!$R$2:$R$3001,Vendas!$B$2:$B$3001,$A23,Vendas!$C$2:$C$3001,$B23,Vendas!$AC$2:$AC$3001,"Validado"))</f>
        <v/>
      </c>
    </row>
    <row r="24">
      <c r="A24" s="13" t="inlineStr">
        <is>
          <t>São Sebastião</t>
        </is>
      </c>
      <c r="B24" s="13" t="inlineStr">
        <is>
          <t>Toque-Toque Pequeno</t>
        </is>
      </c>
      <c r="C24" s="13">
        <f>COUNTIFS(Vendas!$B$2:$B$3001,$A24,Vendas!$C$2:$C$3001,$B24,Vendas!$AC$2:$AC$3001,"Validado")</f>
        <v/>
      </c>
      <c r="D24" s="15">
        <f t="array" ref="D24">IF(C24=0,"-",MEDIAN(IF((Vendas!$B$2:$B$3001=$A24)*(Vendas!$C$2:$C$3001=$B24)*(Vendas!$AC$2:$AC$3001="Validado")*ISNUMBER(Vendas!$M$2:$M$3001),Vendas!$M$2:$M$3001)))</f>
        <v/>
      </c>
      <c r="E24" s="15">
        <f>IF(C24=0,"-",_xlfn.MINIFS(Vendas!$M$2:$M$3001,Vendas!$B$2:$B$3001,$A24,Vendas!$C$2:$C$3001,$B24,Vendas!$AC$2:$AC$3001,"Validado"))</f>
        <v/>
      </c>
      <c r="F24" s="15">
        <f>IF(C24=0,"-",_xlfn.MAXIFS(Vendas!$M$2:$M$3001,Vendas!$B$2:$B$3001,$A24,Vendas!$C$2:$C$3001,$B24,Vendas!$AC$2:$AC$3001,"Validado"))</f>
        <v/>
      </c>
      <c r="G24" s="15">
        <f t="array" ref="G24">IF(SUMPRODUCT((Vendas!$B$2:$B$3001=$A24)*(Vendas!$C$2:$C$3001=$B24)*(Vendas!$AC$2:$AC$3001="Validado")*ISNUMBER(Vendas!$P$2:$P$3001))=0,"-",MEDIAN(IF((Vendas!$B$2:$B$3001=$A24)*(Vendas!$C$2:$C$3001=$B24)*(Vendas!$AC$2:$AC$3001="Validado")*ISNUMBER(Vendas!$P$2:$P$3001),Vendas!$P$2:$P$3001)))</f>
        <v/>
      </c>
      <c r="H24" s="13">
        <f>COUNTIFS(Vendas!$B$2:$B$3001,$A24,Vendas!$C$2:$C$3001,$B24,Vendas!$AC$2:$AC$3001,"Validado",Vendas!$Q$2:$Q$3001,"Valor*")</f>
        <v/>
      </c>
      <c r="I24" s="16">
        <f>IF(C24=0,"-",_xlfn.MINIFS(Vendas!$R$2:$R$3001,Vendas!$B$2:$B$3001,$A24,Vendas!$C$2:$C$3001,$B24,Vendas!$AC$2:$AC$3001,"Validado"))</f>
        <v/>
      </c>
      <c r="J24" s="16">
        <f>IF(C24=0,"-",_xlfn.MAXIFS(Vendas!$R$2:$R$3001,Vendas!$B$2:$B$3001,$A24,Vendas!$C$2:$C$3001,$B24,Vendas!$AC$2:$AC$3001,"Validado"))</f>
        <v/>
      </c>
    </row>
    <row r="25">
      <c r="A25" s="13" t="inlineStr">
        <is>
          <t>São Sebastião</t>
        </is>
      </c>
      <c r="B25" s="13" t="inlineStr">
        <is>
          <t>Santiago</t>
        </is>
      </c>
      <c r="C25" s="13">
        <f>COUNTIFS(Vendas!$B$2:$B$3001,$A25,Vendas!$C$2:$C$3001,$B25,Vendas!$AC$2:$AC$3001,"Validado")</f>
        <v/>
      </c>
      <c r="D25" s="15">
        <f t="array" ref="D25">IF(C25=0,"-",MEDIAN(IF((Vendas!$B$2:$B$3001=$A25)*(Vendas!$C$2:$C$3001=$B25)*(Vendas!$AC$2:$AC$3001="Validado")*ISNUMBER(Vendas!$M$2:$M$3001),Vendas!$M$2:$M$3001)))</f>
        <v/>
      </c>
      <c r="E25" s="15">
        <f>IF(C25=0,"-",_xlfn.MINIFS(Vendas!$M$2:$M$3001,Vendas!$B$2:$B$3001,$A25,Vendas!$C$2:$C$3001,$B25,Vendas!$AC$2:$AC$3001,"Validado"))</f>
        <v/>
      </c>
      <c r="F25" s="15">
        <f>IF(C25=0,"-",_xlfn.MAXIFS(Vendas!$M$2:$M$3001,Vendas!$B$2:$B$3001,$A25,Vendas!$C$2:$C$3001,$B25,Vendas!$AC$2:$AC$3001,"Validado"))</f>
        <v/>
      </c>
      <c r="G25" s="15">
        <f t="array" ref="G25">IF(SUMPRODUCT((Vendas!$B$2:$B$3001=$A25)*(Vendas!$C$2:$C$3001=$B25)*(Vendas!$AC$2:$AC$3001="Validado")*ISNUMBER(Vendas!$P$2:$P$3001))=0,"-",MEDIAN(IF((Vendas!$B$2:$B$3001=$A25)*(Vendas!$C$2:$C$3001=$B25)*(Vendas!$AC$2:$AC$3001="Validado")*ISNUMBER(Vendas!$P$2:$P$3001),Vendas!$P$2:$P$3001)))</f>
        <v/>
      </c>
      <c r="H25" s="13">
        <f>COUNTIFS(Vendas!$B$2:$B$3001,$A25,Vendas!$C$2:$C$3001,$B25,Vendas!$AC$2:$AC$3001,"Validado",Vendas!$Q$2:$Q$3001,"Valor*")</f>
        <v/>
      </c>
      <c r="I25" s="16">
        <f>IF(C25=0,"-",_xlfn.MINIFS(Vendas!$R$2:$R$3001,Vendas!$B$2:$B$3001,$A25,Vendas!$C$2:$C$3001,$B25,Vendas!$AC$2:$AC$3001,"Validado"))</f>
        <v/>
      </c>
      <c r="J25" s="16">
        <f>IF(C25=0,"-",_xlfn.MAXIFS(Vendas!$R$2:$R$3001,Vendas!$B$2:$B$3001,$A25,Vendas!$C$2:$C$3001,$B25,Vendas!$AC$2:$AC$3001,"Validado"))</f>
        <v/>
      </c>
    </row>
    <row r="26">
      <c r="A26" s="13" t="inlineStr">
        <is>
          <t>São Sebastião</t>
        </is>
      </c>
      <c r="B26" s="13" t="inlineStr">
        <is>
          <t>Paúba</t>
        </is>
      </c>
      <c r="C26" s="13">
        <f>COUNTIFS(Vendas!$B$2:$B$3001,$A26,Vendas!$C$2:$C$3001,$B26,Vendas!$AC$2:$AC$3001,"Validado")</f>
        <v/>
      </c>
      <c r="D26" s="15">
        <f t="array" ref="D26">IF(C26=0,"-",MEDIAN(IF((Vendas!$B$2:$B$3001=$A26)*(Vendas!$C$2:$C$3001=$B26)*(Vendas!$AC$2:$AC$3001="Validado")*ISNUMBER(Vendas!$M$2:$M$3001),Vendas!$M$2:$M$3001)))</f>
        <v/>
      </c>
      <c r="E26" s="15">
        <f>IF(C26=0,"-",_xlfn.MINIFS(Vendas!$M$2:$M$3001,Vendas!$B$2:$B$3001,$A26,Vendas!$C$2:$C$3001,$B26,Vendas!$AC$2:$AC$3001,"Validado"))</f>
        <v/>
      </c>
      <c r="F26" s="15">
        <f>IF(C26=0,"-",_xlfn.MAXIFS(Vendas!$M$2:$M$3001,Vendas!$B$2:$B$3001,$A26,Vendas!$C$2:$C$3001,$B26,Vendas!$AC$2:$AC$3001,"Validado"))</f>
        <v/>
      </c>
      <c r="G26" s="15">
        <f t="array" ref="G26">IF(SUMPRODUCT((Vendas!$B$2:$B$3001=$A26)*(Vendas!$C$2:$C$3001=$B26)*(Vendas!$AC$2:$AC$3001="Validado")*ISNUMBER(Vendas!$P$2:$P$3001))=0,"-",MEDIAN(IF((Vendas!$B$2:$B$3001=$A26)*(Vendas!$C$2:$C$3001=$B26)*(Vendas!$AC$2:$AC$3001="Validado")*ISNUMBER(Vendas!$P$2:$P$3001),Vendas!$P$2:$P$3001)))</f>
        <v/>
      </c>
      <c r="H26" s="13">
        <f>COUNTIFS(Vendas!$B$2:$B$3001,$A26,Vendas!$C$2:$C$3001,$B26,Vendas!$AC$2:$AC$3001,"Validado",Vendas!$Q$2:$Q$3001,"Valor*")</f>
        <v/>
      </c>
      <c r="I26" s="16">
        <f>IF(C26=0,"-",_xlfn.MINIFS(Vendas!$R$2:$R$3001,Vendas!$B$2:$B$3001,$A26,Vendas!$C$2:$C$3001,$B26,Vendas!$AC$2:$AC$3001,"Validado"))</f>
        <v/>
      </c>
      <c r="J26" s="16">
        <f>IF(C26=0,"-",_xlfn.MAXIFS(Vendas!$R$2:$R$3001,Vendas!$B$2:$B$3001,$A26,Vendas!$C$2:$C$3001,$B26,Vendas!$AC$2:$AC$3001,"Validado"))</f>
        <v/>
      </c>
    </row>
    <row r="27">
      <c r="A27" s="13" t="inlineStr">
        <is>
          <t>São Sebastião</t>
        </is>
      </c>
      <c r="B27" s="13" t="inlineStr">
        <is>
          <t>Maresias</t>
        </is>
      </c>
      <c r="C27" s="13">
        <f>COUNTIFS(Vendas!$B$2:$B$3001,$A27,Vendas!$C$2:$C$3001,$B27,Vendas!$AC$2:$AC$3001,"Validado")</f>
        <v/>
      </c>
      <c r="D27" s="15">
        <f t="array" ref="D27">IF(C27=0,"-",MEDIAN(IF((Vendas!$B$2:$B$3001=$A27)*(Vendas!$C$2:$C$3001=$B27)*(Vendas!$AC$2:$AC$3001="Validado")*ISNUMBER(Vendas!$M$2:$M$3001),Vendas!$M$2:$M$3001)))</f>
        <v/>
      </c>
      <c r="E27" s="15">
        <f>IF(C27=0,"-",_xlfn.MINIFS(Vendas!$M$2:$M$3001,Vendas!$B$2:$B$3001,$A27,Vendas!$C$2:$C$3001,$B27,Vendas!$AC$2:$AC$3001,"Validado"))</f>
        <v/>
      </c>
      <c r="F27" s="15">
        <f>IF(C27=0,"-",_xlfn.MAXIFS(Vendas!$M$2:$M$3001,Vendas!$B$2:$B$3001,$A27,Vendas!$C$2:$C$3001,$B27,Vendas!$AC$2:$AC$3001,"Validado"))</f>
        <v/>
      </c>
      <c r="G27" s="15">
        <f t="array" ref="G27">IF(SUMPRODUCT((Vendas!$B$2:$B$3001=$A27)*(Vendas!$C$2:$C$3001=$B27)*(Vendas!$AC$2:$AC$3001="Validado")*ISNUMBER(Vendas!$P$2:$P$3001))=0,"-",MEDIAN(IF((Vendas!$B$2:$B$3001=$A27)*(Vendas!$C$2:$C$3001=$B27)*(Vendas!$AC$2:$AC$3001="Validado")*ISNUMBER(Vendas!$P$2:$P$3001),Vendas!$P$2:$P$3001)))</f>
        <v/>
      </c>
      <c r="H27" s="13">
        <f>COUNTIFS(Vendas!$B$2:$B$3001,$A27,Vendas!$C$2:$C$3001,$B27,Vendas!$AC$2:$AC$3001,"Validado",Vendas!$Q$2:$Q$3001,"Valor*")</f>
        <v/>
      </c>
      <c r="I27" s="16">
        <f>IF(C27=0,"-",_xlfn.MINIFS(Vendas!$R$2:$R$3001,Vendas!$B$2:$B$3001,$A27,Vendas!$C$2:$C$3001,$B27,Vendas!$AC$2:$AC$3001,"Validado"))</f>
        <v/>
      </c>
      <c r="J27" s="16">
        <f>IF(C27=0,"-",_xlfn.MAXIFS(Vendas!$R$2:$R$3001,Vendas!$B$2:$B$3001,$A27,Vendas!$C$2:$C$3001,$B27,Vendas!$AC$2:$AC$3001,"Validado"))</f>
        <v/>
      </c>
    </row>
    <row r="28">
      <c r="A28" s="13" t="inlineStr">
        <is>
          <t>São Sebastião</t>
        </is>
      </c>
      <c r="B28" s="13" t="inlineStr">
        <is>
          <t>Boiçucanga</t>
        </is>
      </c>
      <c r="C28" s="13">
        <f>COUNTIFS(Vendas!$B$2:$B$3001,$A28,Vendas!$C$2:$C$3001,$B28,Vendas!$AC$2:$AC$3001,"Validado")</f>
        <v/>
      </c>
      <c r="D28" s="15">
        <f t="array" ref="D28">IF(C28=0,"-",MEDIAN(IF((Vendas!$B$2:$B$3001=$A28)*(Vendas!$C$2:$C$3001=$B28)*(Vendas!$AC$2:$AC$3001="Validado")*ISNUMBER(Vendas!$M$2:$M$3001),Vendas!$M$2:$M$3001)))</f>
        <v/>
      </c>
      <c r="E28" s="15">
        <f>IF(C28=0,"-",_xlfn.MINIFS(Vendas!$M$2:$M$3001,Vendas!$B$2:$B$3001,$A28,Vendas!$C$2:$C$3001,$B28,Vendas!$AC$2:$AC$3001,"Validado"))</f>
        <v/>
      </c>
      <c r="F28" s="15">
        <f>IF(C28=0,"-",_xlfn.MAXIFS(Vendas!$M$2:$M$3001,Vendas!$B$2:$B$3001,$A28,Vendas!$C$2:$C$3001,$B28,Vendas!$AC$2:$AC$3001,"Validado"))</f>
        <v/>
      </c>
      <c r="G28" s="15">
        <f t="array" ref="G28">IF(SUMPRODUCT((Vendas!$B$2:$B$3001=$A28)*(Vendas!$C$2:$C$3001=$B28)*(Vendas!$AC$2:$AC$3001="Validado")*ISNUMBER(Vendas!$P$2:$P$3001))=0,"-",MEDIAN(IF((Vendas!$B$2:$B$3001=$A28)*(Vendas!$C$2:$C$3001=$B28)*(Vendas!$AC$2:$AC$3001="Validado")*ISNUMBER(Vendas!$P$2:$P$3001),Vendas!$P$2:$P$3001)))</f>
        <v/>
      </c>
      <c r="H28" s="13">
        <f>COUNTIFS(Vendas!$B$2:$B$3001,$A28,Vendas!$C$2:$C$3001,$B28,Vendas!$AC$2:$AC$3001,"Validado",Vendas!$Q$2:$Q$3001,"Valor*")</f>
        <v/>
      </c>
      <c r="I28" s="16">
        <f>IF(C28=0,"-",_xlfn.MINIFS(Vendas!$R$2:$R$3001,Vendas!$B$2:$B$3001,$A28,Vendas!$C$2:$C$3001,$B28,Vendas!$AC$2:$AC$3001,"Validado"))</f>
        <v/>
      </c>
      <c r="J28" s="16">
        <f>IF(C28=0,"-",_xlfn.MAXIFS(Vendas!$R$2:$R$3001,Vendas!$B$2:$B$3001,$A28,Vendas!$C$2:$C$3001,$B28,Vendas!$AC$2:$AC$3001,"Validado"))</f>
        <v/>
      </c>
    </row>
    <row r="29">
      <c r="A29" s="13" t="inlineStr">
        <is>
          <t>São Sebastião</t>
        </is>
      </c>
      <c r="B29" s="13" t="inlineStr">
        <is>
          <t>Camburi</t>
        </is>
      </c>
      <c r="C29" s="13">
        <f>COUNTIFS(Vendas!$B$2:$B$3001,$A29,Vendas!$C$2:$C$3001,$B29,Vendas!$AC$2:$AC$3001,"Validado")</f>
        <v/>
      </c>
      <c r="D29" s="15">
        <f t="array" ref="D29">IF(C29=0,"-",MEDIAN(IF((Vendas!$B$2:$B$3001=$A29)*(Vendas!$C$2:$C$3001=$B29)*(Vendas!$AC$2:$AC$3001="Validado")*ISNUMBER(Vendas!$M$2:$M$3001),Vendas!$M$2:$M$3001)))</f>
        <v/>
      </c>
      <c r="E29" s="15">
        <f>IF(C29=0,"-",_xlfn.MINIFS(Vendas!$M$2:$M$3001,Vendas!$B$2:$B$3001,$A29,Vendas!$C$2:$C$3001,$B29,Vendas!$AC$2:$AC$3001,"Validado"))</f>
        <v/>
      </c>
      <c r="F29" s="15">
        <f>IF(C29=0,"-",_xlfn.MAXIFS(Vendas!$M$2:$M$3001,Vendas!$B$2:$B$3001,$A29,Vendas!$C$2:$C$3001,$B29,Vendas!$AC$2:$AC$3001,"Validado"))</f>
        <v/>
      </c>
      <c r="G29" s="15">
        <f t="array" ref="G29">IF(SUMPRODUCT((Vendas!$B$2:$B$3001=$A29)*(Vendas!$C$2:$C$3001=$B29)*(Vendas!$AC$2:$AC$3001="Validado")*ISNUMBER(Vendas!$P$2:$P$3001))=0,"-",MEDIAN(IF((Vendas!$B$2:$B$3001=$A29)*(Vendas!$C$2:$C$3001=$B29)*(Vendas!$AC$2:$AC$3001="Validado")*ISNUMBER(Vendas!$P$2:$P$3001),Vendas!$P$2:$P$3001)))</f>
        <v/>
      </c>
      <c r="H29" s="13">
        <f>COUNTIFS(Vendas!$B$2:$B$3001,$A29,Vendas!$C$2:$C$3001,$B29,Vendas!$AC$2:$AC$3001,"Validado",Vendas!$Q$2:$Q$3001,"Valor*")</f>
        <v/>
      </c>
      <c r="I29" s="16">
        <f>IF(C29=0,"-",_xlfn.MINIFS(Vendas!$R$2:$R$3001,Vendas!$B$2:$B$3001,$A29,Vendas!$C$2:$C$3001,$B29,Vendas!$AC$2:$AC$3001,"Validado"))</f>
        <v/>
      </c>
      <c r="J29" s="16">
        <f>IF(C29=0,"-",_xlfn.MAXIFS(Vendas!$R$2:$R$3001,Vendas!$B$2:$B$3001,$A29,Vendas!$C$2:$C$3001,$B29,Vendas!$AC$2:$AC$3001,"Validado"))</f>
        <v/>
      </c>
    </row>
    <row r="30">
      <c r="A30" s="13" t="inlineStr">
        <is>
          <t>São Sebastião</t>
        </is>
      </c>
      <c r="B30" s="13" t="inlineStr">
        <is>
          <t>Baleia</t>
        </is>
      </c>
      <c r="C30" s="13">
        <f>COUNTIFS(Vendas!$B$2:$B$3001,$A30,Vendas!$C$2:$C$3001,$B30,Vendas!$AC$2:$AC$3001,"Validado")</f>
        <v/>
      </c>
      <c r="D30" s="15">
        <f t="array" ref="D30">IF(C30=0,"-",MEDIAN(IF((Vendas!$B$2:$B$3001=$A30)*(Vendas!$C$2:$C$3001=$B30)*(Vendas!$AC$2:$AC$3001="Validado")*ISNUMBER(Vendas!$M$2:$M$3001),Vendas!$M$2:$M$3001)))</f>
        <v/>
      </c>
      <c r="E30" s="15">
        <f>IF(C30=0,"-",_xlfn.MINIFS(Vendas!$M$2:$M$3001,Vendas!$B$2:$B$3001,$A30,Vendas!$C$2:$C$3001,$B30,Vendas!$AC$2:$AC$3001,"Validado"))</f>
        <v/>
      </c>
      <c r="F30" s="15">
        <f>IF(C30=0,"-",_xlfn.MAXIFS(Vendas!$M$2:$M$3001,Vendas!$B$2:$B$3001,$A30,Vendas!$C$2:$C$3001,$B30,Vendas!$AC$2:$AC$3001,"Validado"))</f>
        <v/>
      </c>
      <c r="G30" s="15">
        <f t="array" ref="G30">IF(SUMPRODUCT((Vendas!$B$2:$B$3001=$A30)*(Vendas!$C$2:$C$3001=$B30)*(Vendas!$AC$2:$AC$3001="Validado")*ISNUMBER(Vendas!$P$2:$P$3001))=0,"-",MEDIAN(IF((Vendas!$B$2:$B$3001=$A30)*(Vendas!$C$2:$C$3001=$B30)*(Vendas!$AC$2:$AC$3001="Validado")*ISNUMBER(Vendas!$P$2:$P$3001),Vendas!$P$2:$P$3001)))</f>
        <v/>
      </c>
      <c r="H30" s="13">
        <f>COUNTIFS(Vendas!$B$2:$B$3001,$A30,Vendas!$C$2:$C$3001,$B30,Vendas!$AC$2:$AC$3001,"Validado",Vendas!$Q$2:$Q$3001,"Valor*")</f>
        <v/>
      </c>
      <c r="I30" s="16">
        <f>IF(C30=0,"-",_xlfn.MINIFS(Vendas!$R$2:$R$3001,Vendas!$B$2:$B$3001,$A30,Vendas!$C$2:$C$3001,$B30,Vendas!$AC$2:$AC$3001,"Validado"))</f>
        <v/>
      </c>
      <c r="J30" s="16">
        <f>IF(C30=0,"-",_xlfn.MAXIFS(Vendas!$R$2:$R$3001,Vendas!$B$2:$B$3001,$A30,Vendas!$C$2:$C$3001,$B30,Vendas!$AC$2:$AC$3001,"Validado"))</f>
        <v/>
      </c>
    </row>
    <row r="31">
      <c r="A31" s="13" t="inlineStr">
        <is>
          <t>São Sebastião</t>
        </is>
      </c>
      <c r="B31" s="13" t="inlineStr">
        <is>
          <t>Barra do Sahy</t>
        </is>
      </c>
      <c r="C31" s="13">
        <f>COUNTIFS(Vendas!$B$2:$B$3001,$A31,Vendas!$C$2:$C$3001,$B31,Vendas!$AC$2:$AC$3001,"Validado")</f>
        <v/>
      </c>
      <c r="D31" s="15">
        <f t="array" ref="D31">IF(C31=0,"-",MEDIAN(IF((Vendas!$B$2:$B$3001=$A31)*(Vendas!$C$2:$C$3001=$B31)*(Vendas!$AC$2:$AC$3001="Validado")*ISNUMBER(Vendas!$M$2:$M$3001),Vendas!$M$2:$M$3001)))</f>
        <v/>
      </c>
      <c r="E31" s="15">
        <f>IF(C31=0,"-",_xlfn.MINIFS(Vendas!$M$2:$M$3001,Vendas!$B$2:$B$3001,$A31,Vendas!$C$2:$C$3001,$B31,Vendas!$AC$2:$AC$3001,"Validado"))</f>
        <v/>
      </c>
      <c r="F31" s="15">
        <f>IF(C31=0,"-",_xlfn.MAXIFS(Vendas!$M$2:$M$3001,Vendas!$B$2:$B$3001,$A31,Vendas!$C$2:$C$3001,$B31,Vendas!$AC$2:$AC$3001,"Validado"))</f>
        <v/>
      </c>
      <c r="G31" s="15">
        <f t="array" ref="G31">IF(SUMPRODUCT((Vendas!$B$2:$B$3001=$A31)*(Vendas!$C$2:$C$3001=$B31)*(Vendas!$AC$2:$AC$3001="Validado")*ISNUMBER(Vendas!$P$2:$P$3001))=0,"-",MEDIAN(IF((Vendas!$B$2:$B$3001=$A31)*(Vendas!$C$2:$C$3001=$B31)*(Vendas!$AC$2:$AC$3001="Validado")*ISNUMBER(Vendas!$P$2:$P$3001),Vendas!$P$2:$P$3001)))</f>
        <v/>
      </c>
      <c r="H31" s="13">
        <f>COUNTIFS(Vendas!$B$2:$B$3001,$A31,Vendas!$C$2:$C$3001,$B31,Vendas!$AC$2:$AC$3001,"Validado",Vendas!$Q$2:$Q$3001,"Valor*")</f>
        <v/>
      </c>
      <c r="I31" s="16">
        <f>IF(C31=0,"-",_xlfn.MINIFS(Vendas!$R$2:$R$3001,Vendas!$B$2:$B$3001,$A31,Vendas!$C$2:$C$3001,$B31,Vendas!$AC$2:$AC$3001,"Validado"))</f>
        <v/>
      </c>
      <c r="J31" s="16">
        <f>IF(C31=0,"-",_xlfn.MAXIFS(Vendas!$R$2:$R$3001,Vendas!$B$2:$B$3001,$A31,Vendas!$C$2:$C$3001,$B31,Vendas!$AC$2:$AC$3001,"Validado"))</f>
        <v/>
      </c>
    </row>
    <row r="32">
      <c r="A32" s="13" t="inlineStr">
        <is>
          <t>São Sebastião</t>
        </is>
      </c>
      <c r="B32" s="13" t="inlineStr">
        <is>
          <t>Juqueí</t>
        </is>
      </c>
      <c r="C32" s="13">
        <f>COUNTIFS(Vendas!$B$2:$B$3001,$A32,Vendas!$C$2:$C$3001,$B32,Vendas!$AC$2:$AC$3001,"Validado")</f>
        <v/>
      </c>
      <c r="D32" s="15">
        <f t="array" ref="D32">IF(C32=0,"-",MEDIAN(IF((Vendas!$B$2:$B$3001=$A32)*(Vendas!$C$2:$C$3001=$B32)*(Vendas!$AC$2:$AC$3001="Validado")*ISNUMBER(Vendas!$M$2:$M$3001),Vendas!$M$2:$M$3001)))</f>
        <v/>
      </c>
      <c r="E32" s="15">
        <f>IF(C32=0,"-",_xlfn.MINIFS(Vendas!$M$2:$M$3001,Vendas!$B$2:$B$3001,$A32,Vendas!$C$2:$C$3001,$B32,Vendas!$AC$2:$AC$3001,"Validado"))</f>
        <v/>
      </c>
      <c r="F32" s="15">
        <f>IF(C32=0,"-",_xlfn.MAXIFS(Vendas!$M$2:$M$3001,Vendas!$B$2:$B$3001,$A32,Vendas!$C$2:$C$3001,$B32,Vendas!$AC$2:$AC$3001,"Validado"))</f>
        <v/>
      </c>
      <c r="G32" s="15">
        <f t="array" ref="G32">IF(SUMPRODUCT((Vendas!$B$2:$B$3001=$A32)*(Vendas!$C$2:$C$3001=$B32)*(Vendas!$AC$2:$AC$3001="Validado")*ISNUMBER(Vendas!$P$2:$P$3001))=0,"-",MEDIAN(IF((Vendas!$B$2:$B$3001=$A32)*(Vendas!$C$2:$C$3001=$B32)*(Vendas!$AC$2:$AC$3001="Validado")*ISNUMBER(Vendas!$P$2:$P$3001),Vendas!$P$2:$P$3001)))</f>
        <v/>
      </c>
      <c r="H32" s="13">
        <f>COUNTIFS(Vendas!$B$2:$B$3001,$A32,Vendas!$C$2:$C$3001,$B32,Vendas!$AC$2:$AC$3001,"Validado",Vendas!$Q$2:$Q$3001,"Valor*")</f>
        <v/>
      </c>
      <c r="I32" s="16">
        <f>IF(C32=0,"-",_xlfn.MINIFS(Vendas!$R$2:$R$3001,Vendas!$B$2:$B$3001,$A32,Vendas!$C$2:$C$3001,$B32,Vendas!$AC$2:$AC$3001,"Validado"))</f>
        <v/>
      </c>
      <c r="J32" s="16">
        <f>IF(C32=0,"-",_xlfn.MAXIFS(Vendas!$R$2:$R$3001,Vendas!$B$2:$B$3001,$A32,Vendas!$C$2:$C$3001,$B32,Vendas!$AC$2:$AC$3001,"Validado"))</f>
        <v/>
      </c>
    </row>
    <row r="33">
      <c r="A33" s="13" t="inlineStr">
        <is>
          <t>São Sebastião</t>
        </is>
      </c>
      <c r="B33" s="13" t="inlineStr">
        <is>
          <t>Barra do Una</t>
        </is>
      </c>
      <c r="C33" s="13">
        <f>COUNTIFS(Vendas!$B$2:$B$3001,$A33,Vendas!$C$2:$C$3001,$B33,Vendas!$AC$2:$AC$3001,"Validado")</f>
        <v/>
      </c>
      <c r="D33" s="15">
        <f t="array" ref="D33">IF(C33=0,"-",MEDIAN(IF((Vendas!$B$2:$B$3001=$A33)*(Vendas!$C$2:$C$3001=$B33)*(Vendas!$AC$2:$AC$3001="Validado")*ISNUMBER(Vendas!$M$2:$M$3001),Vendas!$M$2:$M$3001)))</f>
        <v/>
      </c>
      <c r="E33" s="15">
        <f>IF(C33=0,"-",_xlfn.MINIFS(Vendas!$M$2:$M$3001,Vendas!$B$2:$B$3001,$A33,Vendas!$C$2:$C$3001,$B33,Vendas!$AC$2:$AC$3001,"Validado"))</f>
        <v/>
      </c>
      <c r="F33" s="15">
        <f>IF(C33=0,"-",_xlfn.MAXIFS(Vendas!$M$2:$M$3001,Vendas!$B$2:$B$3001,$A33,Vendas!$C$2:$C$3001,$B33,Vendas!$AC$2:$AC$3001,"Validado"))</f>
        <v/>
      </c>
      <c r="G33" s="15">
        <f t="array" ref="G33">IF(SUMPRODUCT((Vendas!$B$2:$B$3001=$A33)*(Vendas!$C$2:$C$3001=$B33)*(Vendas!$AC$2:$AC$3001="Validado")*ISNUMBER(Vendas!$P$2:$P$3001))=0,"-",MEDIAN(IF((Vendas!$B$2:$B$3001=$A33)*(Vendas!$C$2:$C$3001=$B33)*(Vendas!$AC$2:$AC$3001="Validado")*ISNUMBER(Vendas!$P$2:$P$3001),Vendas!$P$2:$P$3001)))</f>
        <v/>
      </c>
      <c r="H33" s="13">
        <f>COUNTIFS(Vendas!$B$2:$B$3001,$A33,Vendas!$C$2:$C$3001,$B33,Vendas!$AC$2:$AC$3001,"Validado",Vendas!$Q$2:$Q$3001,"Valor*")</f>
        <v/>
      </c>
      <c r="I33" s="16">
        <f>IF(C33=0,"-",_xlfn.MINIFS(Vendas!$R$2:$R$3001,Vendas!$B$2:$B$3001,$A33,Vendas!$C$2:$C$3001,$B33,Vendas!$AC$2:$AC$3001,"Validado"))</f>
        <v/>
      </c>
      <c r="J33" s="16">
        <f>IF(C33=0,"-",_xlfn.MAXIFS(Vendas!$R$2:$R$3001,Vendas!$B$2:$B$3001,$A33,Vendas!$C$2:$C$3001,$B33,Vendas!$AC$2:$AC$3001,"Validado"))</f>
        <v/>
      </c>
    </row>
    <row r="34">
      <c r="A34" s="13" t="inlineStr">
        <is>
          <t>São Sebastião</t>
        </is>
      </c>
      <c r="B34" s="13" t="inlineStr">
        <is>
          <t>Boracéia</t>
        </is>
      </c>
      <c r="C34" s="13">
        <f>COUNTIFS(Vendas!$B$2:$B$3001,$A34,Vendas!$C$2:$C$3001,$B34,Vendas!$AC$2:$AC$3001,"Validado")</f>
        <v/>
      </c>
      <c r="D34" s="15">
        <f t="array" ref="D34">IF(C34=0,"-",MEDIAN(IF((Vendas!$B$2:$B$3001=$A34)*(Vendas!$C$2:$C$3001=$B34)*(Vendas!$AC$2:$AC$3001="Validado")*ISNUMBER(Vendas!$M$2:$M$3001),Vendas!$M$2:$M$3001)))</f>
        <v/>
      </c>
      <c r="E34" s="15">
        <f>IF(C34=0,"-",_xlfn.MINIFS(Vendas!$M$2:$M$3001,Vendas!$B$2:$B$3001,$A34,Vendas!$C$2:$C$3001,$B34,Vendas!$AC$2:$AC$3001,"Validado"))</f>
        <v/>
      </c>
      <c r="F34" s="15">
        <f>IF(C34=0,"-",_xlfn.MAXIFS(Vendas!$M$2:$M$3001,Vendas!$B$2:$B$3001,$A34,Vendas!$C$2:$C$3001,$B34,Vendas!$AC$2:$AC$3001,"Validado"))</f>
        <v/>
      </c>
      <c r="G34" s="15">
        <f t="array" ref="G34">IF(SUMPRODUCT((Vendas!$B$2:$B$3001=$A34)*(Vendas!$C$2:$C$3001=$B34)*(Vendas!$AC$2:$AC$3001="Validado")*ISNUMBER(Vendas!$P$2:$P$3001))=0,"-",MEDIAN(IF((Vendas!$B$2:$B$3001=$A34)*(Vendas!$C$2:$C$3001=$B34)*(Vendas!$AC$2:$AC$3001="Validado")*ISNUMBER(Vendas!$P$2:$P$3001),Vendas!$P$2:$P$3001)))</f>
        <v/>
      </c>
      <c r="H34" s="13">
        <f>COUNTIFS(Vendas!$B$2:$B$3001,$A34,Vendas!$C$2:$C$3001,$B34,Vendas!$AC$2:$AC$3001,"Validado",Vendas!$Q$2:$Q$3001,"Valor*")</f>
        <v/>
      </c>
      <c r="I34" s="16">
        <f>IF(C34=0,"-",_xlfn.MINIFS(Vendas!$R$2:$R$3001,Vendas!$B$2:$B$3001,$A34,Vendas!$C$2:$C$3001,$B34,Vendas!$AC$2:$AC$3001,"Validado"))</f>
        <v/>
      </c>
      <c r="J34" s="16">
        <f>IF(C34=0,"-",_xlfn.MAXIFS(Vendas!$R$2:$R$3001,Vendas!$B$2:$B$3001,$A34,Vendas!$C$2:$C$3001,$B34,Vendas!$AC$2:$AC$3001,"Validado"))</f>
        <v/>
      </c>
    </row>
    <row r="35">
      <c r="A35" s="13" t="inlineStr">
        <is>
          <t>São Sebastião</t>
        </is>
      </c>
      <c r="B35" s="13" t="inlineStr">
        <is>
          <t>Canto do Mar</t>
        </is>
      </c>
      <c r="C35" s="13">
        <f>COUNTIFS(Vendas!$B$2:$B$3001,$A35,Vendas!$C$2:$C$3001,$B35,Vendas!$AC$2:$AC$3001,"Validado")</f>
        <v/>
      </c>
      <c r="D35" s="15">
        <f t="array" ref="D35">IF(C35=0,"-",MEDIAN(IF((Vendas!$B$2:$B$3001=$A35)*(Vendas!$C$2:$C$3001=$B35)*(Vendas!$AC$2:$AC$3001="Validado")*ISNUMBER(Vendas!$M$2:$M$3001),Vendas!$M$2:$M$3001)))</f>
        <v/>
      </c>
      <c r="E35" s="15">
        <f>IF(C35=0,"-",_xlfn.MINIFS(Vendas!$M$2:$M$3001,Vendas!$B$2:$B$3001,$A35,Vendas!$C$2:$C$3001,$B35,Vendas!$AC$2:$AC$3001,"Validado"))</f>
        <v/>
      </c>
      <c r="F35" s="15">
        <f>IF(C35=0,"-",_xlfn.MAXIFS(Vendas!$M$2:$M$3001,Vendas!$B$2:$B$3001,$A35,Vendas!$C$2:$C$3001,$B35,Vendas!$AC$2:$AC$3001,"Validado"))</f>
        <v/>
      </c>
      <c r="G35" s="15">
        <f t="array" ref="G35">IF(SUMPRODUCT((Vendas!$B$2:$B$3001=$A35)*(Vendas!$C$2:$C$3001=$B35)*(Vendas!$AC$2:$AC$3001="Validado")*ISNUMBER(Vendas!$P$2:$P$3001))=0,"-",MEDIAN(IF((Vendas!$B$2:$B$3001=$A35)*(Vendas!$C$2:$C$3001=$B35)*(Vendas!$AC$2:$AC$3001="Validado")*ISNUMBER(Vendas!$P$2:$P$3001),Vendas!$P$2:$P$3001)))</f>
        <v/>
      </c>
      <c r="H35" s="13">
        <f>COUNTIFS(Vendas!$B$2:$B$3001,$A35,Vendas!$C$2:$C$3001,$B35,Vendas!$AC$2:$AC$3001,"Validado",Vendas!$Q$2:$Q$3001,"Valor*")</f>
        <v/>
      </c>
      <c r="I35" s="16">
        <f>IF(C35=0,"-",_xlfn.MINIFS(Vendas!$R$2:$R$3001,Vendas!$B$2:$B$3001,$A35,Vendas!$C$2:$C$3001,$B35,Vendas!$AC$2:$AC$3001,"Validado"))</f>
        <v/>
      </c>
      <c r="J35" s="16">
        <f>IF(C35=0,"-",_xlfn.MAXIFS(Vendas!$R$2:$R$3001,Vendas!$B$2:$B$3001,$A35,Vendas!$C$2:$C$3001,$B35,Vendas!$AC$2:$AC$3001,"Validado"))</f>
        <v/>
      </c>
    </row>
    <row r="36">
      <c r="A36" s="13" t="inlineStr">
        <is>
          <t>São Sebastião</t>
        </is>
      </c>
      <c r="B36" s="13" t="inlineStr">
        <is>
          <t>Vila Amélia</t>
        </is>
      </c>
      <c r="C36" s="13">
        <f>COUNTIFS(Vendas!$B$2:$B$3001,$A36,Vendas!$C$2:$C$3001,$B36,Vendas!$AC$2:$AC$3001,"Validado")</f>
        <v/>
      </c>
      <c r="D36" s="15">
        <f t="array" ref="D36">IF(C36=0,"-",MEDIAN(IF((Vendas!$B$2:$B$3001=$A36)*(Vendas!$C$2:$C$3001=$B36)*(Vendas!$AC$2:$AC$3001="Validado")*ISNUMBER(Vendas!$M$2:$M$3001),Vendas!$M$2:$M$3001)))</f>
        <v/>
      </c>
      <c r="E36" s="15">
        <f>IF(C36=0,"-",_xlfn.MINIFS(Vendas!$M$2:$M$3001,Vendas!$B$2:$B$3001,$A36,Vendas!$C$2:$C$3001,$B36,Vendas!$AC$2:$AC$3001,"Validado"))</f>
        <v/>
      </c>
      <c r="F36" s="15">
        <f>IF(C36=0,"-",_xlfn.MAXIFS(Vendas!$M$2:$M$3001,Vendas!$B$2:$B$3001,$A36,Vendas!$C$2:$C$3001,$B36,Vendas!$AC$2:$AC$3001,"Validado"))</f>
        <v/>
      </c>
      <c r="G36" s="15">
        <f t="array" ref="G36">IF(SUMPRODUCT((Vendas!$B$2:$B$3001=$A36)*(Vendas!$C$2:$C$3001=$B36)*(Vendas!$AC$2:$AC$3001="Validado")*ISNUMBER(Vendas!$P$2:$P$3001))=0,"-",MEDIAN(IF((Vendas!$B$2:$B$3001=$A36)*(Vendas!$C$2:$C$3001=$B36)*(Vendas!$AC$2:$AC$3001="Validado")*ISNUMBER(Vendas!$P$2:$P$3001),Vendas!$P$2:$P$3001)))</f>
        <v/>
      </c>
      <c r="H36" s="13">
        <f>COUNTIFS(Vendas!$B$2:$B$3001,$A36,Vendas!$C$2:$C$3001,$B36,Vendas!$AC$2:$AC$3001,"Validado",Vendas!$Q$2:$Q$3001,"Valor*")</f>
        <v/>
      </c>
      <c r="I36" s="16">
        <f>IF(C36=0,"-",_xlfn.MINIFS(Vendas!$R$2:$R$3001,Vendas!$B$2:$B$3001,$A36,Vendas!$C$2:$C$3001,$B36,Vendas!$AC$2:$AC$3001,"Validado"))</f>
        <v/>
      </c>
      <c r="J36" s="16">
        <f>IF(C36=0,"-",_xlfn.MAXIFS(Vendas!$R$2:$R$3001,Vendas!$B$2:$B$3001,$A36,Vendas!$C$2:$C$3001,$B36,Vendas!$AC$2:$AC$3001,"Validado"))</f>
        <v/>
      </c>
    </row>
    <row r="37">
      <c r="A37" s="13" t="inlineStr">
        <is>
          <t>São Sebastião</t>
        </is>
      </c>
      <c r="B37" s="13" t="inlineStr">
        <is>
          <t>Reserve Du Moulin</t>
        </is>
      </c>
      <c r="C37" s="13">
        <f>COUNTIFS(Vendas!$B$2:$B$3001,$A37,Vendas!$C$2:$C$3001,$B37,Vendas!$AC$2:$AC$3001,"Validado")</f>
        <v/>
      </c>
      <c r="D37" s="15">
        <f t="array" ref="D37">IF(C37=0,"-",MEDIAN(IF((Vendas!$B$2:$B$3001=$A37)*(Vendas!$C$2:$C$3001=$B37)*(Vendas!$AC$2:$AC$3001="Validado")*ISNUMBER(Vendas!$M$2:$M$3001),Vendas!$M$2:$M$3001)))</f>
        <v/>
      </c>
      <c r="E37" s="15">
        <f>IF(C37=0,"-",_xlfn.MINIFS(Vendas!$M$2:$M$3001,Vendas!$B$2:$B$3001,$A37,Vendas!$C$2:$C$3001,$B37,Vendas!$AC$2:$AC$3001,"Validado"))</f>
        <v/>
      </c>
      <c r="F37" s="15">
        <f>IF(C37=0,"-",_xlfn.MAXIFS(Vendas!$M$2:$M$3001,Vendas!$B$2:$B$3001,$A37,Vendas!$C$2:$C$3001,$B37,Vendas!$AC$2:$AC$3001,"Validado"))</f>
        <v/>
      </c>
      <c r="G37" s="15">
        <f t="array" ref="G37">IF(SUMPRODUCT((Vendas!$B$2:$B$3001=$A37)*(Vendas!$C$2:$C$3001=$B37)*(Vendas!$AC$2:$AC$3001="Validado")*ISNUMBER(Vendas!$P$2:$P$3001))=0,"-",MEDIAN(IF((Vendas!$B$2:$B$3001=$A37)*(Vendas!$C$2:$C$3001=$B37)*(Vendas!$AC$2:$AC$3001="Validado")*ISNUMBER(Vendas!$P$2:$P$3001),Vendas!$P$2:$P$3001)))</f>
        <v/>
      </c>
      <c r="H37" s="13">
        <f>COUNTIFS(Vendas!$B$2:$B$3001,$A37,Vendas!$C$2:$C$3001,$B37,Vendas!$AC$2:$AC$3001,"Validado",Vendas!$Q$2:$Q$3001,"Valor*")</f>
        <v/>
      </c>
      <c r="I37" s="16">
        <f>IF(C37=0,"-",_xlfn.MINIFS(Vendas!$R$2:$R$3001,Vendas!$B$2:$B$3001,$A37,Vendas!$C$2:$C$3001,$B37,Vendas!$AC$2:$AC$3001,"Validado"))</f>
        <v/>
      </c>
      <c r="J37" s="16">
        <f>IF(C37=0,"-",_xlfn.MAXIFS(Vendas!$R$2:$R$3001,Vendas!$B$2:$B$3001,$A37,Vendas!$C$2:$C$3001,$B37,Vendas!$AC$2:$AC$3001,"Validado"))</f>
        <v/>
      </c>
    </row>
    <row r="38">
      <c r="A38" s="13" t="inlineStr">
        <is>
          <t>São Sebastião</t>
        </is>
      </c>
      <c r="B38" s="13" t="inlineStr">
        <is>
          <t>Industrial</t>
        </is>
      </c>
      <c r="C38" s="13">
        <f>COUNTIFS(Vendas!$B$2:$B$3001,$A38,Vendas!$C$2:$C$3001,$B38,Vendas!$AC$2:$AC$3001,"Validado")</f>
        <v/>
      </c>
      <c r="D38" s="15">
        <f t="array" ref="D38">IF(C38=0,"-",MEDIAN(IF((Vendas!$B$2:$B$3001=$A38)*(Vendas!$C$2:$C$3001=$B38)*(Vendas!$AC$2:$AC$3001="Validado")*ISNUMBER(Vendas!$M$2:$M$3001),Vendas!$M$2:$M$3001)))</f>
        <v/>
      </c>
      <c r="E38" s="15">
        <f>IF(C38=0,"-",_xlfn.MINIFS(Vendas!$M$2:$M$3001,Vendas!$B$2:$B$3001,$A38,Vendas!$C$2:$C$3001,$B38,Vendas!$AC$2:$AC$3001,"Validado"))</f>
        <v/>
      </c>
      <c r="F38" s="15">
        <f>IF(C38=0,"-",_xlfn.MAXIFS(Vendas!$M$2:$M$3001,Vendas!$B$2:$B$3001,$A38,Vendas!$C$2:$C$3001,$B38,Vendas!$AC$2:$AC$3001,"Validado"))</f>
        <v/>
      </c>
      <c r="G38" s="15">
        <f t="array" ref="G38">IF(SUMPRODUCT((Vendas!$B$2:$B$3001=$A38)*(Vendas!$C$2:$C$3001=$B38)*(Vendas!$AC$2:$AC$3001="Validado")*ISNUMBER(Vendas!$P$2:$P$3001))=0,"-",MEDIAN(IF((Vendas!$B$2:$B$3001=$A38)*(Vendas!$C$2:$C$3001=$B38)*(Vendas!$AC$2:$AC$3001="Validado")*ISNUMBER(Vendas!$P$2:$P$3001),Vendas!$P$2:$P$3001)))</f>
        <v/>
      </c>
      <c r="H38" s="13">
        <f>COUNTIFS(Vendas!$B$2:$B$3001,$A38,Vendas!$C$2:$C$3001,$B38,Vendas!$AC$2:$AC$3001,"Validado",Vendas!$Q$2:$Q$3001,"Valor*")</f>
        <v/>
      </c>
      <c r="I38" s="16">
        <f>IF(C38=0,"-",_xlfn.MINIFS(Vendas!$R$2:$R$3001,Vendas!$B$2:$B$3001,$A38,Vendas!$C$2:$C$3001,$B38,Vendas!$AC$2:$AC$3001,"Validado"))</f>
        <v/>
      </c>
      <c r="J38" s="16">
        <f>IF(C38=0,"-",_xlfn.MAXIFS(Vendas!$R$2:$R$3001,Vendas!$B$2:$B$3001,$A38,Vendas!$C$2:$C$3001,$B38,Vendas!$AC$2:$AC$3001,"Validado"))</f>
        <v/>
      </c>
    </row>
    <row r="39">
      <c r="A39" s="13" t="inlineStr">
        <is>
          <t>São Sebastião</t>
        </is>
      </c>
      <c r="B39" s="13" t="inlineStr">
        <is>
          <t>Jureia</t>
        </is>
      </c>
      <c r="C39" s="13">
        <f>COUNTIFS(Vendas!$B$2:$B$3001,$A39,Vendas!$C$2:$C$3001,$B39,Vendas!$AC$2:$AC$3001,"Validado")</f>
        <v/>
      </c>
      <c r="D39" s="15">
        <f t="array" ref="D39">IF(C39=0,"-",MEDIAN(IF((Vendas!$B$2:$B$3001=$A39)*(Vendas!$C$2:$C$3001=$B39)*(Vendas!$AC$2:$AC$3001="Validado")*ISNUMBER(Vendas!$M$2:$M$3001),Vendas!$M$2:$M$3001)))</f>
        <v/>
      </c>
      <c r="E39" s="15">
        <f>IF(C39=0,"-",_xlfn.MINIFS(Vendas!$M$2:$M$3001,Vendas!$B$2:$B$3001,$A39,Vendas!$C$2:$C$3001,$B39,Vendas!$AC$2:$AC$3001,"Validado"))</f>
        <v/>
      </c>
      <c r="F39" s="15">
        <f>IF(C39=0,"-",_xlfn.MAXIFS(Vendas!$M$2:$M$3001,Vendas!$B$2:$B$3001,$A39,Vendas!$C$2:$C$3001,$B39,Vendas!$AC$2:$AC$3001,"Validado"))</f>
        <v/>
      </c>
      <c r="G39" s="15">
        <f t="array" ref="G39">IF(SUMPRODUCT((Vendas!$B$2:$B$3001=$A39)*(Vendas!$C$2:$C$3001=$B39)*(Vendas!$AC$2:$AC$3001="Validado")*ISNUMBER(Vendas!$P$2:$P$3001))=0,"-",MEDIAN(IF((Vendas!$B$2:$B$3001=$A39)*(Vendas!$C$2:$C$3001=$B39)*(Vendas!$AC$2:$AC$3001="Validado")*ISNUMBER(Vendas!$P$2:$P$3001),Vendas!$P$2:$P$3001)))</f>
        <v/>
      </c>
      <c r="H39" s="13">
        <f>COUNTIFS(Vendas!$B$2:$B$3001,$A39,Vendas!$C$2:$C$3001,$B39,Vendas!$AC$2:$AC$3001,"Validado",Vendas!$Q$2:$Q$3001,"Valor*")</f>
        <v/>
      </c>
      <c r="I39" s="16">
        <f>IF(C39=0,"-",_xlfn.MINIFS(Vendas!$R$2:$R$3001,Vendas!$B$2:$B$3001,$A39,Vendas!$C$2:$C$3001,$B39,Vendas!$AC$2:$AC$3001,"Validado"))</f>
        <v/>
      </c>
      <c r="J39" s="16">
        <f>IF(C39=0,"-",_xlfn.MAXIFS(Vendas!$R$2:$R$3001,Vendas!$B$2:$B$3001,$A39,Vendas!$C$2:$C$3001,$B39,Vendas!$AC$2:$AC$3001,"Validado"))</f>
        <v/>
      </c>
    </row>
    <row r="40">
      <c r="A40" s="13" t="inlineStr">
        <is>
          <t>São Sebastião</t>
        </is>
      </c>
      <c r="B40" s="13" t="inlineStr">
        <is>
          <t>Engenho</t>
        </is>
      </c>
      <c r="C40" s="13">
        <f>COUNTIFS(Vendas!$B$2:$B$3001,$A40,Vendas!$C$2:$C$3001,$B40,Vendas!$AC$2:$AC$3001,"Validado")</f>
        <v/>
      </c>
      <c r="D40" s="15">
        <f t="array" ref="D40">IF(C40=0,"-",MEDIAN(IF((Vendas!$B$2:$B$3001=$A40)*(Vendas!$C$2:$C$3001=$B40)*(Vendas!$AC$2:$AC$3001="Validado")*ISNUMBER(Vendas!$M$2:$M$3001),Vendas!$M$2:$M$3001)))</f>
        <v/>
      </c>
      <c r="E40" s="15">
        <f>IF(C40=0,"-",_xlfn.MINIFS(Vendas!$M$2:$M$3001,Vendas!$B$2:$B$3001,$A40,Vendas!$C$2:$C$3001,$B40,Vendas!$AC$2:$AC$3001,"Validado"))</f>
        <v/>
      </c>
      <c r="F40" s="15">
        <f>IF(C40=0,"-",_xlfn.MAXIFS(Vendas!$M$2:$M$3001,Vendas!$B$2:$B$3001,$A40,Vendas!$C$2:$C$3001,$B40,Vendas!$AC$2:$AC$3001,"Validado"))</f>
        <v/>
      </c>
      <c r="G40" s="15">
        <f t="array" ref="G40">IF(SUMPRODUCT((Vendas!$B$2:$B$3001=$A40)*(Vendas!$C$2:$C$3001=$B40)*(Vendas!$AC$2:$AC$3001="Validado")*ISNUMBER(Vendas!$P$2:$P$3001))=0,"-",MEDIAN(IF((Vendas!$B$2:$B$3001=$A40)*(Vendas!$C$2:$C$3001=$B40)*(Vendas!$AC$2:$AC$3001="Validado")*ISNUMBER(Vendas!$P$2:$P$3001),Vendas!$P$2:$P$3001)))</f>
        <v/>
      </c>
      <c r="H40" s="13">
        <f>COUNTIFS(Vendas!$B$2:$B$3001,$A40,Vendas!$C$2:$C$3001,$B40,Vendas!$AC$2:$AC$3001,"Validado",Vendas!$Q$2:$Q$3001,"Valor*")</f>
        <v/>
      </c>
      <c r="I40" s="16">
        <f>IF(C40=0,"-",_xlfn.MINIFS(Vendas!$R$2:$R$3001,Vendas!$B$2:$B$3001,$A40,Vendas!$C$2:$C$3001,$B40,Vendas!$AC$2:$AC$3001,"Validado"))</f>
        <v/>
      </c>
      <c r="J40" s="16">
        <f>IF(C40=0,"-",_xlfn.MAXIFS(Vendas!$R$2:$R$3001,Vendas!$B$2:$B$3001,$A40,Vendas!$C$2:$C$3001,$B40,Vendas!$AC$2:$AC$3001,"Validado"))</f>
        <v/>
      </c>
    </row>
    <row r="41">
      <c r="A41" s="17" t="inlineStr">
        <is>
          <t>São Sebastião</t>
        </is>
      </c>
      <c r="B41" s="17" t="inlineStr">
        <is>
          <t>TOTAL DA CIDADE</t>
        </is>
      </c>
      <c r="C41" s="17">
        <f>COUNTIFS(Vendas!$B$2:$B$3001,$A41,Vendas!$AC$2:$AC$3001,"Validado")</f>
        <v/>
      </c>
      <c r="D41" s="18">
        <f t="array" ref="D41">IF(C41=0,"-",MEDIAN(IF((Vendas!$B$2:$B$3001=$A41)*(Vendas!$AC$2:$AC$3001="Validado")*ISNUMBER(Vendas!$M$2:$M$3001),Vendas!$M$2:$M$3001)))</f>
        <v/>
      </c>
      <c r="E41" s="18">
        <f>IF(C41=0,"-",_xlfn.MINIFS(Vendas!$M$2:$M$3001,Vendas!$B$2:$B$3001,$A41,Vendas!$AC$2:$AC$3001,"Validado"))</f>
        <v/>
      </c>
      <c r="F41" s="18">
        <f>IF(C41=0,"-",_xlfn.MAXIFS(Vendas!$M$2:$M$3001,Vendas!$B$2:$B$3001,$A41,Vendas!$AC$2:$AC$3001,"Validado"))</f>
        <v/>
      </c>
      <c r="G41" s="18">
        <f t="array" ref="G41">IF(SUMPRODUCT((Vendas!$B$2:$B$3001=$A41)*(Vendas!$AC$2:$AC$3001="Validado")*ISNUMBER(Vendas!$P$2:$P$3001))=0,"-",MEDIAN(IF((Vendas!$B$2:$B$3001=$A41)*(Vendas!$AC$2:$AC$3001="Validado")*ISNUMBER(Vendas!$P$2:$P$3001),Vendas!$P$2:$P$3001)))</f>
        <v/>
      </c>
      <c r="H41" s="17">
        <f>COUNTIFS(Vendas!$B$2:$B$3001,$A41,Vendas!$AC$2:$AC$3001,"Validado",Vendas!$Q$2:$Q$3001,"Valor*")</f>
        <v/>
      </c>
      <c r="I41" s="19">
        <f>IF(C41=0,"-",_xlfn.MINIFS(Vendas!$R$2:$R$3001,Vendas!$B$2:$B$3001,$A41,Vendas!$AC$2:$AC$3001,"Validado"))</f>
        <v/>
      </c>
      <c r="J41" s="19">
        <f>IF(C41=0,"-",_xlfn.MAXIFS(Vendas!$R$2:$R$3001,Vendas!$B$2:$B$3001,$A41,Vendas!$AC$2:$AC$3001,"Validado"))</f>
        <v/>
      </c>
    </row>
    <row r="42">
      <c r="A42" s="13" t="n"/>
      <c r="B42" s="13" t="n"/>
      <c r="C42" s="13" t="n"/>
      <c r="D42" s="15" t="n"/>
      <c r="E42" s="15" t="n"/>
      <c r="F42" s="15" t="n"/>
      <c r="G42" s="15" t="n"/>
      <c r="H42" s="13" t="n"/>
      <c r="I42" s="16" t="n"/>
      <c r="J42" s="16" t="n"/>
    </row>
    <row r="43">
      <c r="A43" s="13" t="inlineStr">
        <is>
          <t>Bertioga</t>
        </is>
      </c>
      <c r="B43" s="13" t="inlineStr">
        <is>
          <t>Caiubura</t>
        </is>
      </c>
      <c r="C43" s="13">
        <f>COUNTIFS(Vendas!$B$2:$B$3001,$A43,Vendas!$C$2:$C$3001,$B43,Vendas!$AC$2:$AC$3001,"Validado")</f>
        <v/>
      </c>
      <c r="D43" s="15">
        <f t="array" ref="D43">IF(C43=0,"-",MEDIAN(IF((Vendas!$B$2:$B$3001=$A43)*(Vendas!$C$2:$C$3001=$B43)*(Vendas!$AC$2:$AC$3001="Validado")*ISNUMBER(Vendas!$M$2:$M$3001),Vendas!$M$2:$M$3001)))</f>
        <v/>
      </c>
      <c r="E43" s="15">
        <f>IF(C43=0,"-",_xlfn.MINIFS(Vendas!$M$2:$M$3001,Vendas!$B$2:$B$3001,$A43,Vendas!$C$2:$C$3001,$B43,Vendas!$AC$2:$AC$3001,"Validado"))</f>
        <v/>
      </c>
      <c r="F43" s="15">
        <f>IF(C43=0,"-",_xlfn.MAXIFS(Vendas!$M$2:$M$3001,Vendas!$B$2:$B$3001,$A43,Vendas!$C$2:$C$3001,$B43,Vendas!$AC$2:$AC$3001,"Validado"))</f>
        <v/>
      </c>
      <c r="G43" s="15">
        <f t="array" ref="G43">IF(SUMPRODUCT((Vendas!$B$2:$B$3001=$A43)*(Vendas!$C$2:$C$3001=$B43)*(Vendas!$AC$2:$AC$3001="Validado")*ISNUMBER(Vendas!$P$2:$P$3001))=0,"-",MEDIAN(IF((Vendas!$B$2:$B$3001=$A43)*(Vendas!$C$2:$C$3001=$B43)*(Vendas!$AC$2:$AC$3001="Validado")*ISNUMBER(Vendas!$P$2:$P$3001),Vendas!$P$2:$P$3001)))</f>
        <v/>
      </c>
      <c r="H43" s="13">
        <f>COUNTIFS(Vendas!$B$2:$B$3001,$A43,Vendas!$C$2:$C$3001,$B43,Vendas!$AC$2:$AC$3001,"Validado",Vendas!$Q$2:$Q$3001,"Valor*")</f>
        <v/>
      </c>
      <c r="I43" s="16">
        <f>IF(C43=0,"-",_xlfn.MINIFS(Vendas!$R$2:$R$3001,Vendas!$B$2:$B$3001,$A43,Vendas!$C$2:$C$3001,$B43,Vendas!$AC$2:$AC$3001,"Validado"))</f>
        <v/>
      </c>
      <c r="J43" s="16">
        <f>IF(C43=0,"-",_xlfn.MAXIFS(Vendas!$R$2:$R$3001,Vendas!$B$2:$B$3001,$A43,Vendas!$C$2:$C$3001,$B43,Vendas!$AC$2:$AC$3001,"Validado"))</f>
        <v/>
      </c>
    </row>
    <row r="44">
      <c r="A44" s="13" t="inlineStr">
        <is>
          <t>Bertioga</t>
        </is>
      </c>
      <c r="B44" s="13" t="inlineStr">
        <is>
          <t>São João</t>
        </is>
      </c>
      <c r="C44" s="13">
        <f>COUNTIFS(Vendas!$B$2:$B$3001,$A44,Vendas!$C$2:$C$3001,$B44,Vendas!$AC$2:$AC$3001,"Validado")</f>
        <v/>
      </c>
      <c r="D44" s="15">
        <f t="array" ref="D44">IF(C44=0,"-",MEDIAN(IF((Vendas!$B$2:$B$3001=$A44)*(Vendas!$C$2:$C$3001=$B44)*(Vendas!$AC$2:$AC$3001="Validado")*ISNUMBER(Vendas!$M$2:$M$3001),Vendas!$M$2:$M$3001)))</f>
        <v/>
      </c>
      <c r="E44" s="15">
        <f>IF(C44=0,"-",_xlfn.MINIFS(Vendas!$M$2:$M$3001,Vendas!$B$2:$B$3001,$A44,Vendas!$C$2:$C$3001,$B44,Vendas!$AC$2:$AC$3001,"Validado"))</f>
        <v/>
      </c>
      <c r="F44" s="15">
        <f>IF(C44=0,"-",_xlfn.MAXIFS(Vendas!$M$2:$M$3001,Vendas!$B$2:$B$3001,$A44,Vendas!$C$2:$C$3001,$B44,Vendas!$AC$2:$AC$3001,"Validado"))</f>
        <v/>
      </c>
      <c r="G44" s="15">
        <f t="array" ref="G44">IF(SUMPRODUCT((Vendas!$B$2:$B$3001=$A44)*(Vendas!$C$2:$C$3001=$B44)*(Vendas!$AC$2:$AC$3001="Validado")*ISNUMBER(Vendas!$P$2:$P$3001))=0,"-",MEDIAN(IF((Vendas!$B$2:$B$3001=$A44)*(Vendas!$C$2:$C$3001=$B44)*(Vendas!$AC$2:$AC$3001="Validado")*ISNUMBER(Vendas!$P$2:$P$3001),Vendas!$P$2:$P$3001)))</f>
        <v/>
      </c>
      <c r="H44" s="13">
        <f>COUNTIFS(Vendas!$B$2:$B$3001,$A44,Vendas!$C$2:$C$3001,$B44,Vendas!$AC$2:$AC$3001,"Validado",Vendas!$Q$2:$Q$3001,"Valor*")</f>
        <v/>
      </c>
      <c r="I44" s="16">
        <f>IF(C44=0,"-",_xlfn.MINIFS(Vendas!$R$2:$R$3001,Vendas!$B$2:$B$3001,$A44,Vendas!$C$2:$C$3001,$B44,Vendas!$AC$2:$AC$3001,"Validado"))</f>
        <v/>
      </c>
      <c r="J44" s="16">
        <f>IF(C44=0,"-",_xlfn.MAXIFS(Vendas!$R$2:$R$3001,Vendas!$B$2:$B$3001,$A44,Vendas!$C$2:$C$3001,$B44,Vendas!$AC$2:$AC$3001,"Validado"))</f>
        <v/>
      </c>
    </row>
    <row r="45">
      <c r="A45" s="13" t="inlineStr">
        <is>
          <t>Bertioga</t>
        </is>
      </c>
      <c r="B45" s="13" t="inlineStr">
        <is>
          <t>Centro</t>
        </is>
      </c>
      <c r="C45" s="13">
        <f>COUNTIFS(Vendas!$B$2:$B$3001,$A45,Vendas!$C$2:$C$3001,$B45,Vendas!$AC$2:$AC$3001,"Validado")</f>
        <v/>
      </c>
      <c r="D45" s="15">
        <f t="array" ref="D45">IF(C45=0,"-",MEDIAN(IF((Vendas!$B$2:$B$3001=$A45)*(Vendas!$C$2:$C$3001=$B45)*(Vendas!$AC$2:$AC$3001="Validado")*ISNUMBER(Vendas!$M$2:$M$3001),Vendas!$M$2:$M$3001)))</f>
        <v/>
      </c>
      <c r="E45" s="15">
        <f>IF(C45=0,"-",_xlfn.MINIFS(Vendas!$M$2:$M$3001,Vendas!$B$2:$B$3001,$A45,Vendas!$C$2:$C$3001,$B45,Vendas!$AC$2:$AC$3001,"Validado"))</f>
        <v/>
      </c>
      <c r="F45" s="15">
        <f>IF(C45=0,"-",_xlfn.MAXIFS(Vendas!$M$2:$M$3001,Vendas!$B$2:$B$3001,$A45,Vendas!$C$2:$C$3001,$B45,Vendas!$AC$2:$AC$3001,"Validado"))</f>
        <v/>
      </c>
      <c r="G45" s="15">
        <f t="array" ref="G45">IF(SUMPRODUCT((Vendas!$B$2:$B$3001=$A45)*(Vendas!$C$2:$C$3001=$B45)*(Vendas!$AC$2:$AC$3001="Validado")*ISNUMBER(Vendas!$P$2:$P$3001))=0,"-",MEDIAN(IF((Vendas!$B$2:$B$3001=$A45)*(Vendas!$C$2:$C$3001=$B45)*(Vendas!$AC$2:$AC$3001="Validado")*ISNUMBER(Vendas!$P$2:$P$3001),Vendas!$P$2:$P$3001)))</f>
        <v/>
      </c>
      <c r="H45" s="13">
        <f>COUNTIFS(Vendas!$B$2:$B$3001,$A45,Vendas!$C$2:$C$3001,$B45,Vendas!$AC$2:$AC$3001,"Validado",Vendas!$Q$2:$Q$3001,"Valor*")</f>
        <v/>
      </c>
      <c r="I45" s="16">
        <f>IF(C45=0,"-",_xlfn.MINIFS(Vendas!$R$2:$R$3001,Vendas!$B$2:$B$3001,$A45,Vendas!$C$2:$C$3001,$B45,Vendas!$AC$2:$AC$3001,"Validado"))</f>
        <v/>
      </c>
      <c r="J45" s="16">
        <f>IF(C45=0,"-",_xlfn.MAXIFS(Vendas!$R$2:$R$3001,Vendas!$B$2:$B$3001,$A45,Vendas!$C$2:$C$3001,$B45,Vendas!$AC$2:$AC$3001,"Validado"))</f>
        <v/>
      </c>
    </row>
    <row r="46">
      <c r="A46" s="13" t="inlineStr">
        <is>
          <t>Bertioga</t>
        </is>
      </c>
      <c r="B46" s="13" t="inlineStr">
        <is>
          <t>Jardim Vicente de Carvalho</t>
        </is>
      </c>
      <c r="C46" s="13">
        <f>COUNTIFS(Vendas!$B$2:$B$3001,$A46,Vendas!$C$2:$C$3001,$B46,Vendas!$AC$2:$AC$3001,"Validado")</f>
        <v/>
      </c>
      <c r="D46" s="15">
        <f t="array" ref="D46">IF(C46=0,"-",MEDIAN(IF((Vendas!$B$2:$B$3001=$A46)*(Vendas!$C$2:$C$3001=$B46)*(Vendas!$AC$2:$AC$3001="Validado")*ISNUMBER(Vendas!$M$2:$M$3001),Vendas!$M$2:$M$3001)))</f>
        <v/>
      </c>
      <c r="E46" s="15">
        <f>IF(C46=0,"-",_xlfn.MINIFS(Vendas!$M$2:$M$3001,Vendas!$B$2:$B$3001,$A46,Vendas!$C$2:$C$3001,$B46,Vendas!$AC$2:$AC$3001,"Validado"))</f>
        <v/>
      </c>
      <c r="F46" s="15">
        <f>IF(C46=0,"-",_xlfn.MAXIFS(Vendas!$M$2:$M$3001,Vendas!$B$2:$B$3001,$A46,Vendas!$C$2:$C$3001,$B46,Vendas!$AC$2:$AC$3001,"Validado"))</f>
        <v/>
      </c>
      <c r="G46" s="15">
        <f t="array" ref="G46">IF(SUMPRODUCT((Vendas!$B$2:$B$3001=$A46)*(Vendas!$C$2:$C$3001=$B46)*(Vendas!$AC$2:$AC$3001="Validado")*ISNUMBER(Vendas!$P$2:$P$3001))=0,"-",MEDIAN(IF((Vendas!$B$2:$B$3001=$A46)*(Vendas!$C$2:$C$3001=$B46)*(Vendas!$AC$2:$AC$3001="Validado")*ISNUMBER(Vendas!$P$2:$P$3001),Vendas!$P$2:$P$3001)))</f>
        <v/>
      </c>
      <c r="H46" s="13">
        <f>COUNTIFS(Vendas!$B$2:$B$3001,$A46,Vendas!$C$2:$C$3001,$B46,Vendas!$AC$2:$AC$3001,"Validado",Vendas!$Q$2:$Q$3001,"Valor*")</f>
        <v/>
      </c>
      <c r="I46" s="16">
        <f>IF(C46=0,"-",_xlfn.MINIFS(Vendas!$R$2:$R$3001,Vendas!$B$2:$B$3001,$A46,Vendas!$C$2:$C$3001,$B46,Vendas!$AC$2:$AC$3001,"Validado"))</f>
        <v/>
      </c>
      <c r="J46" s="16">
        <f>IF(C46=0,"-",_xlfn.MAXIFS(Vendas!$R$2:$R$3001,Vendas!$B$2:$B$3001,$A46,Vendas!$C$2:$C$3001,$B46,Vendas!$AC$2:$AC$3001,"Validado"))</f>
        <v/>
      </c>
    </row>
    <row r="47">
      <c r="A47" s="13" t="inlineStr">
        <is>
          <t>Bertioga</t>
        </is>
      </c>
      <c r="B47" s="13" t="inlineStr">
        <is>
          <t>Albatróz</t>
        </is>
      </c>
      <c r="C47" s="13">
        <f>COUNTIFS(Vendas!$B$2:$B$3001,$A47,Vendas!$C$2:$C$3001,$B47,Vendas!$AC$2:$AC$3001,"Validado")</f>
        <v/>
      </c>
      <c r="D47" s="15">
        <f t="array" ref="D47">IF(C47=0,"-",MEDIAN(IF((Vendas!$B$2:$B$3001=$A47)*(Vendas!$C$2:$C$3001=$B47)*(Vendas!$AC$2:$AC$3001="Validado")*ISNUMBER(Vendas!$M$2:$M$3001),Vendas!$M$2:$M$3001)))</f>
        <v/>
      </c>
      <c r="E47" s="15">
        <f>IF(C47=0,"-",_xlfn.MINIFS(Vendas!$M$2:$M$3001,Vendas!$B$2:$B$3001,$A47,Vendas!$C$2:$C$3001,$B47,Vendas!$AC$2:$AC$3001,"Validado"))</f>
        <v/>
      </c>
      <c r="F47" s="15">
        <f>IF(C47=0,"-",_xlfn.MAXIFS(Vendas!$M$2:$M$3001,Vendas!$B$2:$B$3001,$A47,Vendas!$C$2:$C$3001,$B47,Vendas!$AC$2:$AC$3001,"Validado"))</f>
        <v/>
      </c>
      <c r="G47" s="15">
        <f t="array" ref="G47">IF(SUMPRODUCT((Vendas!$B$2:$B$3001=$A47)*(Vendas!$C$2:$C$3001=$B47)*(Vendas!$AC$2:$AC$3001="Validado")*ISNUMBER(Vendas!$P$2:$P$3001))=0,"-",MEDIAN(IF((Vendas!$B$2:$B$3001=$A47)*(Vendas!$C$2:$C$3001=$B47)*(Vendas!$AC$2:$AC$3001="Validado")*ISNUMBER(Vendas!$P$2:$P$3001),Vendas!$P$2:$P$3001)))</f>
        <v/>
      </c>
      <c r="H47" s="13">
        <f>COUNTIFS(Vendas!$B$2:$B$3001,$A47,Vendas!$C$2:$C$3001,$B47,Vendas!$AC$2:$AC$3001,"Validado",Vendas!$Q$2:$Q$3001,"Valor*")</f>
        <v/>
      </c>
      <c r="I47" s="16">
        <f>IF(C47=0,"-",_xlfn.MINIFS(Vendas!$R$2:$R$3001,Vendas!$B$2:$B$3001,$A47,Vendas!$C$2:$C$3001,$B47,Vendas!$AC$2:$AC$3001,"Validado"))</f>
        <v/>
      </c>
      <c r="J47" s="16">
        <f>IF(C47=0,"-",_xlfn.MAXIFS(Vendas!$R$2:$R$3001,Vendas!$B$2:$B$3001,$A47,Vendas!$C$2:$C$3001,$B47,Vendas!$AC$2:$AC$3001,"Validado"))</f>
        <v/>
      </c>
    </row>
    <row r="48">
      <c r="A48" s="13" t="inlineStr">
        <is>
          <t>Bertioga</t>
        </is>
      </c>
      <c r="B48" s="13" t="inlineStr">
        <is>
          <t>Maitinga</t>
        </is>
      </c>
      <c r="C48" s="13">
        <f>COUNTIFS(Vendas!$B$2:$B$3001,$A48,Vendas!$C$2:$C$3001,$B48,Vendas!$AC$2:$AC$3001,"Validado")</f>
        <v/>
      </c>
      <c r="D48" s="15">
        <f t="array" ref="D48">IF(C48=0,"-",MEDIAN(IF((Vendas!$B$2:$B$3001=$A48)*(Vendas!$C$2:$C$3001=$B48)*(Vendas!$AC$2:$AC$3001="Validado")*ISNUMBER(Vendas!$M$2:$M$3001),Vendas!$M$2:$M$3001)))</f>
        <v/>
      </c>
      <c r="E48" s="15">
        <f>IF(C48=0,"-",_xlfn.MINIFS(Vendas!$M$2:$M$3001,Vendas!$B$2:$B$3001,$A48,Vendas!$C$2:$C$3001,$B48,Vendas!$AC$2:$AC$3001,"Validado"))</f>
        <v/>
      </c>
      <c r="F48" s="15">
        <f>IF(C48=0,"-",_xlfn.MAXIFS(Vendas!$M$2:$M$3001,Vendas!$B$2:$B$3001,$A48,Vendas!$C$2:$C$3001,$B48,Vendas!$AC$2:$AC$3001,"Validado"))</f>
        <v/>
      </c>
      <c r="G48" s="15">
        <f t="array" ref="G48">IF(SUMPRODUCT((Vendas!$B$2:$B$3001=$A48)*(Vendas!$C$2:$C$3001=$B48)*(Vendas!$AC$2:$AC$3001="Validado")*ISNUMBER(Vendas!$P$2:$P$3001))=0,"-",MEDIAN(IF((Vendas!$B$2:$B$3001=$A48)*(Vendas!$C$2:$C$3001=$B48)*(Vendas!$AC$2:$AC$3001="Validado")*ISNUMBER(Vendas!$P$2:$P$3001),Vendas!$P$2:$P$3001)))</f>
        <v/>
      </c>
      <c r="H48" s="13">
        <f>COUNTIFS(Vendas!$B$2:$B$3001,$A48,Vendas!$C$2:$C$3001,$B48,Vendas!$AC$2:$AC$3001,"Validado",Vendas!$Q$2:$Q$3001,"Valor*")</f>
        <v/>
      </c>
      <c r="I48" s="16">
        <f>IF(C48=0,"-",_xlfn.MINIFS(Vendas!$R$2:$R$3001,Vendas!$B$2:$B$3001,$A48,Vendas!$C$2:$C$3001,$B48,Vendas!$AC$2:$AC$3001,"Validado"))</f>
        <v/>
      </c>
      <c r="J48" s="16">
        <f>IF(C48=0,"-",_xlfn.MAXIFS(Vendas!$R$2:$R$3001,Vendas!$B$2:$B$3001,$A48,Vendas!$C$2:$C$3001,$B48,Vendas!$AC$2:$AC$3001,"Validado"))</f>
        <v/>
      </c>
    </row>
    <row r="49">
      <c r="A49" s="13" t="inlineStr">
        <is>
          <t>Bertioga</t>
        </is>
      </c>
      <c r="B49" s="13" t="inlineStr">
        <is>
          <t>Rio da Praia</t>
        </is>
      </c>
      <c r="C49" s="13">
        <f>COUNTIFS(Vendas!$B$2:$B$3001,$A49,Vendas!$C$2:$C$3001,$B49,Vendas!$AC$2:$AC$3001,"Validado")</f>
        <v/>
      </c>
      <c r="D49" s="15">
        <f t="array" ref="D49">IF(C49=0,"-",MEDIAN(IF((Vendas!$B$2:$B$3001=$A49)*(Vendas!$C$2:$C$3001=$B49)*(Vendas!$AC$2:$AC$3001="Validado")*ISNUMBER(Vendas!$M$2:$M$3001),Vendas!$M$2:$M$3001)))</f>
        <v/>
      </c>
      <c r="E49" s="15">
        <f>IF(C49=0,"-",_xlfn.MINIFS(Vendas!$M$2:$M$3001,Vendas!$B$2:$B$3001,$A49,Vendas!$C$2:$C$3001,$B49,Vendas!$AC$2:$AC$3001,"Validado"))</f>
        <v/>
      </c>
      <c r="F49" s="15">
        <f>IF(C49=0,"-",_xlfn.MAXIFS(Vendas!$M$2:$M$3001,Vendas!$B$2:$B$3001,$A49,Vendas!$C$2:$C$3001,$B49,Vendas!$AC$2:$AC$3001,"Validado"))</f>
        <v/>
      </c>
      <c r="G49" s="15">
        <f t="array" ref="G49">IF(SUMPRODUCT((Vendas!$B$2:$B$3001=$A49)*(Vendas!$C$2:$C$3001=$B49)*(Vendas!$AC$2:$AC$3001="Validado")*ISNUMBER(Vendas!$P$2:$P$3001))=0,"-",MEDIAN(IF((Vendas!$B$2:$B$3001=$A49)*(Vendas!$C$2:$C$3001=$B49)*(Vendas!$AC$2:$AC$3001="Validado")*ISNUMBER(Vendas!$P$2:$P$3001),Vendas!$P$2:$P$3001)))</f>
        <v/>
      </c>
      <c r="H49" s="13">
        <f>COUNTIFS(Vendas!$B$2:$B$3001,$A49,Vendas!$C$2:$C$3001,$B49,Vendas!$AC$2:$AC$3001,"Validado",Vendas!$Q$2:$Q$3001,"Valor*")</f>
        <v/>
      </c>
      <c r="I49" s="16">
        <f>IF(C49=0,"-",_xlfn.MINIFS(Vendas!$R$2:$R$3001,Vendas!$B$2:$B$3001,$A49,Vendas!$C$2:$C$3001,$B49,Vendas!$AC$2:$AC$3001,"Validado"))</f>
        <v/>
      </c>
      <c r="J49" s="16">
        <f>IF(C49=0,"-",_xlfn.MAXIFS(Vendas!$R$2:$R$3001,Vendas!$B$2:$B$3001,$A49,Vendas!$C$2:$C$3001,$B49,Vendas!$AC$2:$AC$3001,"Validado"))</f>
        <v/>
      </c>
    </row>
    <row r="50">
      <c r="A50" s="13" t="inlineStr">
        <is>
          <t>Bertioga</t>
        </is>
      </c>
      <c r="B50" s="13" t="inlineStr">
        <is>
          <t>Buriqui Costa Nativa (Brasfanta)</t>
        </is>
      </c>
      <c r="C50" s="13">
        <f>COUNTIFS(Vendas!$B$2:$B$3001,$A50,Vendas!$C$2:$C$3001,$B50,Vendas!$AC$2:$AC$3001,"Validado")</f>
        <v/>
      </c>
      <c r="D50" s="15">
        <f t="array" ref="D50">IF(C50=0,"-",MEDIAN(IF((Vendas!$B$2:$B$3001=$A50)*(Vendas!$C$2:$C$3001=$B50)*(Vendas!$AC$2:$AC$3001="Validado")*ISNUMBER(Vendas!$M$2:$M$3001),Vendas!$M$2:$M$3001)))</f>
        <v/>
      </c>
      <c r="E50" s="15">
        <f>IF(C50=0,"-",_xlfn.MINIFS(Vendas!$M$2:$M$3001,Vendas!$B$2:$B$3001,$A50,Vendas!$C$2:$C$3001,$B50,Vendas!$AC$2:$AC$3001,"Validado"))</f>
        <v/>
      </c>
      <c r="F50" s="15">
        <f>IF(C50=0,"-",_xlfn.MAXIFS(Vendas!$M$2:$M$3001,Vendas!$B$2:$B$3001,$A50,Vendas!$C$2:$C$3001,$B50,Vendas!$AC$2:$AC$3001,"Validado"))</f>
        <v/>
      </c>
      <c r="G50" s="15">
        <f t="array" ref="G50">IF(SUMPRODUCT((Vendas!$B$2:$B$3001=$A50)*(Vendas!$C$2:$C$3001=$B50)*(Vendas!$AC$2:$AC$3001="Validado")*ISNUMBER(Vendas!$P$2:$P$3001))=0,"-",MEDIAN(IF((Vendas!$B$2:$B$3001=$A50)*(Vendas!$C$2:$C$3001=$B50)*(Vendas!$AC$2:$AC$3001="Validado")*ISNUMBER(Vendas!$P$2:$P$3001),Vendas!$P$2:$P$3001)))</f>
        <v/>
      </c>
      <c r="H50" s="13">
        <f>COUNTIFS(Vendas!$B$2:$B$3001,$A50,Vendas!$C$2:$C$3001,$B50,Vendas!$AC$2:$AC$3001,"Validado",Vendas!$Q$2:$Q$3001,"Valor*")</f>
        <v/>
      </c>
      <c r="I50" s="16">
        <f>IF(C50=0,"-",_xlfn.MINIFS(Vendas!$R$2:$R$3001,Vendas!$B$2:$B$3001,$A50,Vendas!$C$2:$C$3001,$B50,Vendas!$AC$2:$AC$3001,"Validado"))</f>
        <v/>
      </c>
      <c r="J50" s="16">
        <f>IF(C50=0,"-",_xlfn.MAXIFS(Vendas!$R$2:$R$3001,Vendas!$B$2:$B$3001,$A50,Vendas!$C$2:$C$3001,$B50,Vendas!$AC$2:$AC$3001,"Validado"))</f>
        <v/>
      </c>
    </row>
    <row r="51">
      <c r="A51" s="13" t="inlineStr">
        <is>
          <t>Bertioga</t>
        </is>
      </c>
      <c r="B51" s="13" t="inlineStr">
        <is>
          <t>Jardim Raphael</t>
        </is>
      </c>
      <c r="C51" s="13">
        <f>COUNTIFS(Vendas!$B$2:$B$3001,$A51,Vendas!$C$2:$C$3001,$B51,Vendas!$AC$2:$AC$3001,"Validado")</f>
        <v/>
      </c>
      <c r="D51" s="15">
        <f t="array" ref="D51">IF(C51=0,"-",MEDIAN(IF((Vendas!$B$2:$B$3001=$A51)*(Vendas!$C$2:$C$3001=$B51)*(Vendas!$AC$2:$AC$3001="Validado")*ISNUMBER(Vendas!$M$2:$M$3001),Vendas!$M$2:$M$3001)))</f>
        <v/>
      </c>
      <c r="E51" s="15">
        <f>IF(C51=0,"-",_xlfn.MINIFS(Vendas!$M$2:$M$3001,Vendas!$B$2:$B$3001,$A51,Vendas!$C$2:$C$3001,$B51,Vendas!$AC$2:$AC$3001,"Validado"))</f>
        <v/>
      </c>
      <c r="F51" s="15">
        <f>IF(C51=0,"-",_xlfn.MAXIFS(Vendas!$M$2:$M$3001,Vendas!$B$2:$B$3001,$A51,Vendas!$C$2:$C$3001,$B51,Vendas!$AC$2:$AC$3001,"Validado"))</f>
        <v/>
      </c>
      <c r="G51" s="15">
        <f t="array" ref="G51">IF(SUMPRODUCT((Vendas!$B$2:$B$3001=$A51)*(Vendas!$C$2:$C$3001=$B51)*(Vendas!$AC$2:$AC$3001="Validado")*ISNUMBER(Vendas!$P$2:$P$3001))=0,"-",MEDIAN(IF((Vendas!$B$2:$B$3001=$A51)*(Vendas!$C$2:$C$3001=$B51)*(Vendas!$AC$2:$AC$3001="Validado")*ISNUMBER(Vendas!$P$2:$P$3001),Vendas!$P$2:$P$3001)))</f>
        <v/>
      </c>
      <c r="H51" s="13">
        <f>COUNTIFS(Vendas!$B$2:$B$3001,$A51,Vendas!$C$2:$C$3001,$B51,Vendas!$AC$2:$AC$3001,"Validado",Vendas!$Q$2:$Q$3001,"Valor*")</f>
        <v/>
      </c>
      <c r="I51" s="16">
        <f>IF(C51=0,"-",_xlfn.MINIFS(Vendas!$R$2:$R$3001,Vendas!$B$2:$B$3001,$A51,Vendas!$C$2:$C$3001,$B51,Vendas!$AC$2:$AC$3001,"Validado"))</f>
        <v/>
      </c>
      <c r="J51" s="16">
        <f>IF(C51=0,"-",_xlfn.MAXIFS(Vendas!$R$2:$R$3001,Vendas!$B$2:$B$3001,$A51,Vendas!$C$2:$C$3001,$B51,Vendas!$AC$2:$AC$3001,"Validado"))</f>
        <v/>
      </c>
    </row>
    <row r="52">
      <c r="A52" s="13" t="inlineStr">
        <is>
          <t>Bertioga</t>
        </is>
      </c>
      <c r="B52" s="13" t="inlineStr">
        <is>
          <t>Bairro Chácaras</t>
        </is>
      </c>
      <c r="C52" s="13">
        <f>COUNTIFS(Vendas!$B$2:$B$3001,$A52,Vendas!$C$2:$C$3001,$B52,Vendas!$AC$2:$AC$3001,"Validado")</f>
        <v/>
      </c>
      <c r="D52" s="15">
        <f t="array" ref="D52">IF(C52=0,"-",MEDIAN(IF((Vendas!$B$2:$B$3001=$A52)*(Vendas!$C$2:$C$3001=$B52)*(Vendas!$AC$2:$AC$3001="Validado")*ISNUMBER(Vendas!$M$2:$M$3001),Vendas!$M$2:$M$3001)))</f>
        <v/>
      </c>
      <c r="E52" s="15">
        <f>IF(C52=0,"-",_xlfn.MINIFS(Vendas!$M$2:$M$3001,Vendas!$B$2:$B$3001,$A52,Vendas!$C$2:$C$3001,$B52,Vendas!$AC$2:$AC$3001,"Validado"))</f>
        <v/>
      </c>
      <c r="F52" s="15">
        <f>IF(C52=0,"-",_xlfn.MAXIFS(Vendas!$M$2:$M$3001,Vendas!$B$2:$B$3001,$A52,Vendas!$C$2:$C$3001,$B52,Vendas!$AC$2:$AC$3001,"Validado"))</f>
        <v/>
      </c>
      <c r="G52" s="15">
        <f t="array" ref="G52">IF(SUMPRODUCT((Vendas!$B$2:$B$3001=$A52)*(Vendas!$C$2:$C$3001=$B52)*(Vendas!$AC$2:$AC$3001="Validado")*ISNUMBER(Vendas!$P$2:$P$3001))=0,"-",MEDIAN(IF((Vendas!$B$2:$B$3001=$A52)*(Vendas!$C$2:$C$3001=$B52)*(Vendas!$AC$2:$AC$3001="Validado")*ISNUMBER(Vendas!$P$2:$P$3001),Vendas!$P$2:$P$3001)))</f>
        <v/>
      </c>
      <c r="H52" s="13">
        <f>COUNTIFS(Vendas!$B$2:$B$3001,$A52,Vendas!$C$2:$C$3001,$B52,Vendas!$AC$2:$AC$3001,"Validado",Vendas!$Q$2:$Q$3001,"Valor*")</f>
        <v/>
      </c>
      <c r="I52" s="16">
        <f>IF(C52=0,"-",_xlfn.MINIFS(Vendas!$R$2:$R$3001,Vendas!$B$2:$B$3001,$A52,Vendas!$C$2:$C$3001,$B52,Vendas!$AC$2:$AC$3001,"Validado"))</f>
        <v/>
      </c>
      <c r="J52" s="16">
        <f>IF(C52=0,"-",_xlfn.MAXIFS(Vendas!$R$2:$R$3001,Vendas!$B$2:$B$3001,$A52,Vendas!$C$2:$C$3001,$B52,Vendas!$AC$2:$AC$3001,"Validado"))</f>
        <v/>
      </c>
    </row>
    <row r="53">
      <c r="A53" s="13" t="inlineStr">
        <is>
          <t>Bertioga</t>
        </is>
      </c>
      <c r="B53" s="13" t="inlineStr">
        <is>
          <t>Vista Linda</t>
        </is>
      </c>
      <c r="C53" s="13">
        <f>COUNTIFS(Vendas!$B$2:$B$3001,$A53,Vendas!$C$2:$C$3001,$B53,Vendas!$AC$2:$AC$3001,"Validado")</f>
        <v/>
      </c>
      <c r="D53" s="15">
        <f t="array" ref="D53">IF(C53=0,"-",MEDIAN(IF((Vendas!$B$2:$B$3001=$A53)*(Vendas!$C$2:$C$3001=$B53)*(Vendas!$AC$2:$AC$3001="Validado")*ISNUMBER(Vendas!$M$2:$M$3001),Vendas!$M$2:$M$3001)))</f>
        <v/>
      </c>
      <c r="E53" s="15">
        <f>IF(C53=0,"-",_xlfn.MINIFS(Vendas!$M$2:$M$3001,Vendas!$B$2:$B$3001,$A53,Vendas!$C$2:$C$3001,$B53,Vendas!$AC$2:$AC$3001,"Validado"))</f>
        <v/>
      </c>
      <c r="F53" s="15">
        <f>IF(C53=0,"-",_xlfn.MAXIFS(Vendas!$M$2:$M$3001,Vendas!$B$2:$B$3001,$A53,Vendas!$C$2:$C$3001,$B53,Vendas!$AC$2:$AC$3001,"Validado"))</f>
        <v/>
      </c>
      <c r="G53" s="15">
        <f t="array" ref="G53">IF(SUMPRODUCT((Vendas!$B$2:$B$3001=$A53)*(Vendas!$C$2:$C$3001=$B53)*(Vendas!$AC$2:$AC$3001="Validado")*ISNUMBER(Vendas!$P$2:$P$3001))=0,"-",MEDIAN(IF((Vendas!$B$2:$B$3001=$A53)*(Vendas!$C$2:$C$3001=$B53)*(Vendas!$AC$2:$AC$3001="Validado")*ISNUMBER(Vendas!$P$2:$P$3001),Vendas!$P$2:$P$3001)))</f>
        <v/>
      </c>
      <c r="H53" s="13">
        <f>COUNTIFS(Vendas!$B$2:$B$3001,$A53,Vendas!$C$2:$C$3001,$B53,Vendas!$AC$2:$AC$3001,"Validado",Vendas!$Q$2:$Q$3001,"Valor*")</f>
        <v/>
      </c>
      <c r="I53" s="16">
        <f>IF(C53=0,"-",_xlfn.MINIFS(Vendas!$R$2:$R$3001,Vendas!$B$2:$B$3001,$A53,Vendas!$C$2:$C$3001,$B53,Vendas!$AC$2:$AC$3001,"Validado"))</f>
        <v/>
      </c>
      <c r="J53" s="16">
        <f>IF(C53=0,"-",_xlfn.MAXIFS(Vendas!$R$2:$R$3001,Vendas!$B$2:$B$3001,$A53,Vendas!$C$2:$C$3001,$B53,Vendas!$AC$2:$AC$3001,"Validado"))</f>
        <v/>
      </c>
    </row>
    <row r="54">
      <c r="A54" s="13" t="inlineStr">
        <is>
          <t>Bertioga</t>
        </is>
      </c>
      <c r="B54" s="13" t="inlineStr">
        <is>
          <t>Indaiá</t>
        </is>
      </c>
      <c r="C54" s="13">
        <f>COUNTIFS(Vendas!$B$2:$B$3001,$A54,Vendas!$C$2:$C$3001,$B54,Vendas!$AC$2:$AC$3001,"Validado")</f>
        <v/>
      </c>
      <c r="D54" s="15">
        <f t="array" ref="D54">IF(C54=0,"-",MEDIAN(IF((Vendas!$B$2:$B$3001=$A54)*(Vendas!$C$2:$C$3001=$B54)*(Vendas!$AC$2:$AC$3001="Validado")*ISNUMBER(Vendas!$M$2:$M$3001),Vendas!$M$2:$M$3001)))</f>
        <v/>
      </c>
      <c r="E54" s="15">
        <f>IF(C54=0,"-",_xlfn.MINIFS(Vendas!$M$2:$M$3001,Vendas!$B$2:$B$3001,$A54,Vendas!$C$2:$C$3001,$B54,Vendas!$AC$2:$AC$3001,"Validado"))</f>
        <v/>
      </c>
      <c r="F54" s="15">
        <f>IF(C54=0,"-",_xlfn.MAXIFS(Vendas!$M$2:$M$3001,Vendas!$B$2:$B$3001,$A54,Vendas!$C$2:$C$3001,$B54,Vendas!$AC$2:$AC$3001,"Validado"))</f>
        <v/>
      </c>
      <c r="G54" s="15">
        <f t="array" ref="G54">IF(SUMPRODUCT((Vendas!$B$2:$B$3001=$A54)*(Vendas!$C$2:$C$3001=$B54)*(Vendas!$AC$2:$AC$3001="Validado")*ISNUMBER(Vendas!$P$2:$P$3001))=0,"-",MEDIAN(IF((Vendas!$B$2:$B$3001=$A54)*(Vendas!$C$2:$C$3001=$B54)*(Vendas!$AC$2:$AC$3001="Validado")*ISNUMBER(Vendas!$P$2:$P$3001),Vendas!$P$2:$P$3001)))</f>
        <v/>
      </c>
      <c r="H54" s="13">
        <f>COUNTIFS(Vendas!$B$2:$B$3001,$A54,Vendas!$C$2:$C$3001,$B54,Vendas!$AC$2:$AC$3001,"Validado",Vendas!$Q$2:$Q$3001,"Valor*")</f>
        <v/>
      </c>
      <c r="I54" s="16">
        <f>IF(C54=0,"-",_xlfn.MINIFS(Vendas!$R$2:$R$3001,Vendas!$B$2:$B$3001,$A54,Vendas!$C$2:$C$3001,$B54,Vendas!$AC$2:$AC$3001,"Validado"))</f>
        <v/>
      </c>
      <c r="J54" s="16">
        <f>IF(C54=0,"-",_xlfn.MAXIFS(Vendas!$R$2:$R$3001,Vendas!$B$2:$B$3001,$A54,Vendas!$C$2:$C$3001,$B54,Vendas!$AC$2:$AC$3001,"Validado"))</f>
        <v/>
      </c>
    </row>
    <row r="55">
      <c r="A55" s="13" t="inlineStr">
        <is>
          <t>Bertioga</t>
        </is>
      </c>
      <c r="B55" s="13" t="inlineStr">
        <is>
          <t>Riviera</t>
        </is>
      </c>
      <c r="C55" s="13">
        <f>COUNTIFS(Vendas!$B$2:$B$3001,$A55,Vendas!$C$2:$C$3001,$B55,Vendas!$AC$2:$AC$3001,"Validado")</f>
        <v/>
      </c>
      <c r="D55" s="15">
        <f t="array" ref="D55">IF(C55=0,"-",MEDIAN(IF((Vendas!$B$2:$B$3001=$A55)*(Vendas!$C$2:$C$3001=$B55)*(Vendas!$AC$2:$AC$3001="Validado")*ISNUMBER(Vendas!$M$2:$M$3001),Vendas!$M$2:$M$3001)))</f>
        <v/>
      </c>
      <c r="E55" s="15">
        <f>IF(C55=0,"-",_xlfn.MINIFS(Vendas!$M$2:$M$3001,Vendas!$B$2:$B$3001,$A55,Vendas!$C$2:$C$3001,$B55,Vendas!$AC$2:$AC$3001,"Validado"))</f>
        <v/>
      </c>
      <c r="F55" s="15">
        <f>IF(C55=0,"-",_xlfn.MAXIFS(Vendas!$M$2:$M$3001,Vendas!$B$2:$B$3001,$A55,Vendas!$C$2:$C$3001,$B55,Vendas!$AC$2:$AC$3001,"Validado"))</f>
        <v/>
      </c>
      <c r="G55" s="15">
        <f t="array" ref="G55">IF(SUMPRODUCT((Vendas!$B$2:$B$3001=$A55)*(Vendas!$C$2:$C$3001=$B55)*(Vendas!$AC$2:$AC$3001="Validado")*ISNUMBER(Vendas!$P$2:$P$3001))=0,"-",MEDIAN(IF((Vendas!$B$2:$B$3001=$A55)*(Vendas!$C$2:$C$3001=$B55)*(Vendas!$AC$2:$AC$3001="Validado")*ISNUMBER(Vendas!$P$2:$P$3001),Vendas!$P$2:$P$3001)))</f>
        <v/>
      </c>
      <c r="H55" s="13">
        <f>COUNTIFS(Vendas!$B$2:$B$3001,$A55,Vendas!$C$2:$C$3001,$B55,Vendas!$AC$2:$AC$3001,"Validado",Vendas!$Q$2:$Q$3001,"Valor*")</f>
        <v/>
      </c>
      <c r="I55" s="16">
        <f>IF(C55=0,"-",_xlfn.MINIFS(Vendas!$R$2:$R$3001,Vendas!$B$2:$B$3001,$A55,Vendas!$C$2:$C$3001,$B55,Vendas!$AC$2:$AC$3001,"Validado"))</f>
        <v/>
      </c>
      <c r="J55" s="16">
        <f>IF(C55=0,"-",_xlfn.MAXIFS(Vendas!$R$2:$R$3001,Vendas!$B$2:$B$3001,$A55,Vendas!$C$2:$C$3001,$B55,Vendas!$AC$2:$AC$3001,"Validado"))</f>
        <v/>
      </c>
    </row>
    <row r="56">
      <c r="A56" s="13" t="inlineStr">
        <is>
          <t>Bertioga</t>
        </is>
      </c>
      <c r="B56" s="13" t="inlineStr">
        <is>
          <t>São Lourenço</t>
        </is>
      </c>
      <c r="C56" s="13">
        <f>COUNTIFS(Vendas!$B$2:$B$3001,$A56,Vendas!$C$2:$C$3001,$B56,Vendas!$AC$2:$AC$3001,"Validado")</f>
        <v/>
      </c>
      <c r="D56" s="15">
        <f t="array" ref="D56">IF(C56=0,"-",MEDIAN(IF((Vendas!$B$2:$B$3001=$A56)*(Vendas!$C$2:$C$3001=$B56)*(Vendas!$AC$2:$AC$3001="Validado")*ISNUMBER(Vendas!$M$2:$M$3001),Vendas!$M$2:$M$3001)))</f>
        <v/>
      </c>
      <c r="E56" s="15">
        <f>IF(C56=0,"-",_xlfn.MINIFS(Vendas!$M$2:$M$3001,Vendas!$B$2:$B$3001,$A56,Vendas!$C$2:$C$3001,$B56,Vendas!$AC$2:$AC$3001,"Validado"))</f>
        <v/>
      </c>
      <c r="F56" s="15">
        <f>IF(C56=0,"-",_xlfn.MAXIFS(Vendas!$M$2:$M$3001,Vendas!$B$2:$B$3001,$A56,Vendas!$C$2:$C$3001,$B56,Vendas!$AC$2:$AC$3001,"Validado"))</f>
        <v/>
      </c>
      <c r="G56" s="15">
        <f t="array" ref="G56">IF(SUMPRODUCT((Vendas!$B$2:$B$3001=$A56)*(Vendas!$C$2:$C$3001=$B56)*(Vendas!$AC$2:$AC$3001="Validado")*ISNUMBER(Vendas!$P$2:$P$3001))=0,"-",MEDIAN(IF((Vendas!$B$2:$B$3001=$A56)*(Vendas!$C$2:$C$3001=$B56)*(Vendas!$AC$2:$AC$3001="Validado")*ISNUMBER(Vendas!$P$2:$P$3001),Vendas!$P$2:$P$3001)))</f>
        <v/>
      </c>
      <c r="H56" s="13">
        <f>COUNTIFS(Vendas!$B$2:$B$3001,$A56,Vendas!$C$2:$C$3001,$B56,Vendas!$AC$2:$AC$3001,"Validado",Vendas!$Q$2:$Q$3001,"Valor*")</f>
        <v/>
      </c>
      <c r="I56" s="16">
        <f>IF(C56=0,"-",_xlfn.MINIFS(Vendas!$R$2:$R$3001,Vendas!$B$2:$B$3001,$A56,Vendas!$C$2:$C$3001,$B56,Vendas!$AC$2:$AC$3001,"Validado"))</f>
        <v/>
      </c>
      <c r="J56" s="16">
        <f>IF(C56=0,"-",_xlfn.MAXIFS(Vendas!$R$2:$R$3001,Vendas!$B$2:$B$3001,$A56,Vendas!$C$2:$C$3001,$B56,Vendas!$AC$2:$AC$3001,"Validado"))</f>
        <v/>
      </c>
    </row>
    <row r="57">
      <c r="A57" s="13" t="inlineStr">
        <is>
          <t>Bertioga</t>
        </is>
      </c>
      <c r="B57" s="13" t="inlineStr">
        <is>
          <t>Guaratuba</t>
        </is>
      </c>
      <c r="C57" s="13">
        <f>COUNTIFS(Vendas!$B$2:$B$3001,$A57,Vendas!$C$2:$C$3001,$B57,Vendas!$AC$2:$AC$3001,"Validado")</f>
        <v/>
      </c>
      <c r="D57" s="15">
        <f t="array" ref="D57">IF(C57=0,"-",MEDIAN(IF((Vendas!$B$2:$B$3001=$A57)*(Vendas!$C$2:$C$3001=$B57)*(Vendas!$AC$2:$AC$3001="Validado")*ISNUMBER(Vendas!$M$2:$M$3001),Vendas!$M$2:$M$3001)))</f>
        <v/>
      </c>
      <c r="E57" s="15">
        <f>IF(C57=0,"-",_xlfn.MINIFS(Vendas!$M$2:$M$3001,Vendas!$B$2:$B$3001,$A57,Vendas!$C$2:$C$3001,$B57,Vendas!$AC$2:$AC$3001,"Validado"))</f>
        <v/>
      </c>
      <c r="F57" s="15">
        <f>IF(C57=0,"-",_xlfn.MAXIFS(Vendas!$M$2:$M$3001,Vendas!$B$2:$B$3001,$A57,Vendas!$C$2:$C$3001,$B57,Vendas!$AC$2:$AC$3001,"Validado"))</f>
        <v/>
      </c>
      <c r="G57" s="15">
        <f t="array" ref="G57">IF(SUMPRODUCT((Vendas!$B$2:$B$3001=$A57)*(Vendas!$C$2:$C$3001=$B57)*(Vendas!$AC$2:$AC$3001="Validado")*ISNUMBER(Vendas!$P$2:$P$3001))=0,"-",MEDIAN(IF((Vendas!$B$2:$B$3001=$A57)*(Vendas!$C$2:$C$3001=$B57)*(Vendas!$AC$2:$AC$3001="Validado")*ISNUMBER(Vendas!$P$2:$P$3001),Vendas!$P$2:$P$3001)))</f>
        <v/>
      </c>
      <c r="H57" s="13">
        <f>COUNTIFS(Vendas!$B$2:$B$3001,$A57,Vendas!$C$2:$C$3001,$B57,Vendas!$AC$2:$AC$3001,"Validado",Vendas!$Q$2:$Q$3001,"Valor*")</f>
        <v/>
      </c>
      <c r="I57" s="16">
        <f>IF(C57=0,"-",_xlfn.MINIFS(Vendas!$R$2:$R$3001,Vendas!$B$2:$B$3001,$A57,Vendas!$C$2:$C$3001,$B57,Vendas!$AC$2:$AC$3001,"Validado"))</f>
        <v/>
      </c>
      <c r="J57" s="16">
        <f>IF(C57=0,"-",_xlfn.MAXIFS(Vendas!$R$2:$R$3001,Vendas!$B$2:$B$3001,$A57,Vendas!$C$2:$C$3001,$B57,Vendas!$AC$2:$AC$3001,"Validado"))</f>
        <v/>
      </c>
    </row>
    <row r="58">
      <c r="A58" s="13" t="inlineStr">
        <is>
          <t>Bertioga</t>
        </is>
      </c>
      <c r="B58" s="13" t="inlineStr">
        <is>
          <t>Costa do Sol</t>
        </is>
      </c>
      <c r="C58" s="13">
        <f>COUNTIFS(Vendas!$B$2:$B$3001,$A58,Vendas!$C$2:$C$3001,$B58,Vendas!$AC$2:$AC$3001,"Validado")</f>
        <v/>
      </c>
      <c r="D58" s="15">
        <f t="array" ref="D58">IF(C58=0,"-",MEDIAN(IF((Vendas!$B$2:$B$3001=$A58)*(Vendas!$C$2:$C$3001=$B58)*(Vendas!$AC$2:$AC$3001="Validado")*ISNUMBER(Vendas!$M$2:$M$3001),Vendas!$M$2:$M$3001)))</f>
        <v/>
      </c>
      <c r="E58" s="15">
        <f>IF(C58=0,"-",_xlfn.MINIFS(Vendas!$M$2:$M$3001,Vendas!$B$2:$B$3001,$A58,Vendas!$C$2:$C$3001,$B58,Vendas!$AC$2:$AC$3001,"Validado"))</f>
        <v/>
      </c>
      <c r="F58" s="15">
        <f>IF(C58=0,"-",_xlfn.MAXIFS(Vendas!$M$2:$M$3001,Vendas!$B$2:$B$3001,$A58,Vendas!$C$2:$C$3001,$B58,Vendas!$AC$2:$AC$3001,"Validado"))</f>
        <v/>
      </c>
      <c r="G58" s="15">
        <f t="array" ref="G58">IF(SUMPRODUCT((Vendas!$B$2:$B$3001=$A58)*(Vendas!$C$2:$C$3001=$B58)*(Vendas!$AC$2:$AC$3001="Validado")*ISNUMBER(Vendas!$P$2:$P$3001))=0,"-",MEDIAN(IF((Vendas!$B$2:$B$3001=$A58)*(Vendas!$C$2:$C$3001=$B58)*(Vendas!$AC$2:$AC$3001="Validado")*ISNUMBER(Vendas!$P$2:$P$3001),Vendas!$P$2:$P$3001)))</f>
        <v/>
      </c>
      <c r="H58" s="13">
        <f>COUNTIFS(Vendas!$B$2:$B$3001,$A58,Vendas!$C$2:$C$3001,$B58,Vendas!$AC$2:$AC$3001,"Validado",Vendas!$Q$2:$Q$3001,"Valor*")</f>
        <v/>
      </c>
      <c r="I58" s="16">
        <f>IF(C58=0,"-",_xlfn.MINIFS(Vendas!$R$2:$R$3001,Vendas!$B$2:$B$3001,$A58,Vendas!$C$2:$C$3001,$B58,Vendas!$AC$2:$AC$3001,"Validado"))</f>
        <v/>
      </c>
      <c r="J58" s="16">
        <f>IF(C58=0,"-",_xlfn.MAXIFS(Vendas!$R$2:$R$3001,Vendas!$B$2:$B$3001,$A58,Vendas!$C$2:$C$3001,$B58,Vendas!$AC$2:$AC$3001,"Validado"))</f>
        <v/>
      </c>
    </row>
    <row r="59">
      <c r="A59" s="13" t="inlineStr">
        <is>
          <t>Bertioga</t>
        </is>
      </c>
      <c r="B59" s="13" t="inlineStr">
        <is>
          <t>Morada da Praia</t>
        </is>
      </c>
      <c r="C59" s="13">
        <f>COUNTIFS(Vendas!$B$2:$B$3001,$A59,Vendas!$C$2:$C$3001,$B59,Vendas!$AC$2:$AC$3001,"Validado")</f>
        <v/>
      </c>
      <c r="D59" s="15">
        <f t="array" ref="D59">IF(C59=0,"-",MEDIAN(IF((Vendas!$B$2:$B$3001=$A59)*(Vendas!$C$2:$C$3001=$B59)*(Vendas!$AC$2:$AC$3001="Validado")*ISNUMBER(Vendas!$M$2:$M$3001),Vendas!$M$2:$M$3001)))</f>
        <v/>
      </c>
      <c r="E59" s="15">
        <f>IF(C59=0,"-",_xlfn.MINIFS(Vendas!$M$2:$M$3001,Vendas!$B$2:$B$3001,$A59,Vendas!$C$2:$C$3001,$B59,Vendas!$AC$2:$AC$3001,"Validado"))</f>
        <v/>
      </c>
      <c r="F59" s="15">
        <f>IF(C59=0,"-",_xlfn.MAXIFS(Vendas!$M$2:$M$3001,Vendas!$B$2:$B$3001,$A59,Vendas!$C$2:$C$3001,$B59,Vendas!$AC$2:$AC$3001,"Validado"))</f>
        <v/>
      </c>
      <c r="G59" s="15">
        <f t="array" ref="G59">IF(SUMPRODUCT((Vendas!$B$2:$B$3001=$A59)*(Vendas!$C$2:$C$3001=$B59)*(Vendas!$AC$2:$AC$3001="Validado")*ISNUMBER(Vendas!$P$2:$P$3001))=0,"-",MEDIAN(IF((Vendas!$B$2:$B$3001=$A59)*(Vendas!$C$2:$C$3001=$B59)*(Vendas!$AC$2:$AC$3001="Validado")*ISNUMBER(Vendas!$P$2:$P$3001),Vendas!$P$2:$P$3001)))</f>
        <v/>
      </c>
      <c r="H59" s="13">
        <f>COUNTIFS(Vendas!$B$2:$B$3001,$A59,Vendas!$C$2:$C$3001,$B59,Vendas!$AC$2:$AC$3001,"Validado",Vendas!$Q$2:$Q$3001,"Valor*")</f>
        <v/>
      </c>
      <c r="I59" s="16">
        <f>IF(C59=0,"-",_xlfn.MINIFS(Vendas!$R$2:$R$3001,Vendas!$B$2:$B$3001,$A59,Vendas!$C$2:$C$3001,$B59,Vendas!$AC$2:$AC$3001,"Validado"))</f>
        <v/>
      </c>
      <c r="J59" s="16">
        <f>IF(C59=0,"-",_xlfn.MAXIFS(Vendas!$R$2:$R$3001,Vendas!$B$2:$B$3001,$A59,Vendas!$C$2:$C$3001,$B59,Vendas!$AC$2:$AC$3001,"Validado"))</f>
        <v/>
      </c>
    </row>
    <row r="60">
      <c r="A60" s="13" t="inlineStr">
        <is>
          <t>Bertioga</t>
        </is>
      </c>
      <c r="B60" s="13" t="inlineStr">
        <is>
          <t>Boraceia</t>
        </is>
      </c>
      <c r="C60" s="13">
        <f>COUNTIFS(Vendas!$B$2:$B$3001,$A60,Vendas!$C$2:$C$3001,$B60,Vendas!$AC$2:$AC$3001,"Validado")</f>
        <v/>
      </c>
      <c r="D60" s="15">
        <f t="array" ref="D60">IF(C60=0,"-",MEDIAN(IF((Vendas!$B$2:$B$3001=$A60)*(Vendas!$C$2:$C$3001=$B60)*(Vendas!$AC$2:$AC$3001="Validado")*ISNUMBER(Vendas!$M$2:$M$3001),Vendas!$M$2:$M$3001)))</f>
        <v/>
      </c>
      <c r="E60" s="15">
        <f>IF(C60=0,"-",_xlfn.MINIFS(Vendas!$M$2:$M$3001,Vendas!$B$2:$B$3001,$A60,Vendas!$C$2:$C$3001,$B60,Vendas!$AC$2:$AC$3001,"Validado"))</f>
        <v/>
      </c>
      <c r="F60" s="15">
        <f>IF(C60=0,"-",_xlfn.MAXIFS(Vendas!$M$2:$M$3001,Vendas!$B$2:$B$3001,$A60,Vendas!$C$2:$C$3001,$B60,Vendas!$AC$2:$AC$3001,"Validado"))</f>
        <v/>
      </c>
      <c r="G60" s="15">
        <f t="array" ref="G60">IF(SUMPRODUCT((Vendas!$B$2:$B$3001=$A60)*(Vendas!$C$2:$C$3001=$B60)*(Vendas!$AC$2:$AC$3001="Validado")*ISNUMBER(Vendas!$P$2:$P$3001))=0,"-",MEDIAN(IF((Vendas!$B$2:$B$3001=$A60)*(Vendas!$C$2:$C$3001=$B60)*(Vendas!$AC$2:$AC$3001="Validado")*ISNUMBER(Vendas!$P$2:$P$3001),Vendas!$P$2:$P$3001)))</f>
        <v/>
      </c>
      <c r="H60" s="13">
        <f>COUNTIFS(Vendas!$B$2:$B$3001,$A60,Vendas!$C$2:$C$3001,$B60,Vendas!$AC$2:$AC$3001,"Validado",Vendas!$Q$2:$Q$3001,"Valor*")</f>
        <v/>
      </c>
      <c r="I60" s="16">
        <f>IF(C60=0,"-",_xlfn.MINIFS(Vendas!$R$2:$R$3001,Vendas!$B$2:$B$3001,$A60,Vendas!$C$2:$C$3001,$B60,Vendas!$AC$2:$AC$3001,"Validado"))</f>
        <v/>
      </c>
      <c r="J60" s="16">
        <f>IF(C60=0,"-",_xlfn.MAXIFS(Vendas!$R$2:$R$3001,Vendas!$B$2:$B$3001,$A60,Vendas!$C$2:$C$3001,$B60,Vendas!$AC$2:$AC$3001,"Validado"))</f>
        <v/>
      </c>
    </row>
    <row r="61">
      <c r="A61" s="13" t="inlineStr">
        <is>
          <t>Bertioga</t>
        </is>
      </c>
      <c r="B61" s="13" t="inlineStr">
        <is>
          <t>T.I. (Terras Indígenas do Rio Silveiras)</t>
        </is>
      </c>
      <c r="C61" s="13">
        <f>COUNTIFS(Vendas!$B$2:$B$3001,$A61,Vendas!$C$2:$C$3001,$B61,Vendas!$AC$2:$AC$3001,"Validado")</f>
        <v/>
      </c>
      <c r="D61" s="15">
        <f t="array" ref="D61">IF(C61=0,"-",MEDIAN(IF((Vendas!$B$2:$B$3001=$A61)*(Vendas!$C$2:$C$3001=$B61)*(Vendas!$AC$2:$AC$3001="Validado")*ISNUMBER(Vendas!$M$2:$M$3001),Vendas!$M$2:$M$3001)))</f>
        <v/>
      </c>
      <c r="E61" s="15">
        <f>IF(C61=0,"-",_xlfn.MINIFS(Vendas!$M$2:$M$3001,Vendas!$B$2:$B$3001,$A61,Vendas!$C$2:$C$3001,$B61,Vendas!$AC$2:$AC$3001,"Validado"))</f>
        <v/>
      </c>
      <c r="F61" s="15">
        <f>IF(C61=0,"-",_xlfn.MAXIFS(Vendas!$M$2:$M$3001,Vendas!$B$2:$B$3001,$A61,Vendas!$C$2:$C$3001,$B61,Vendas!$AC$2:$AC$3001,"Validado"))</f>
        <v/>
      </c>
      <c r="G61" s="15">
        <f t="array" ref="G61">IF(SUMPRODUCT((Vendas!$B$2:$B$3001=$A61)*(Vendas!$C$2:$C$3001=$B61)*(Vendas!$AC$2:$AC$3001="Validado")*ISNUMBER(Vendas!$P$2:$P$3001))=0,"-",MEDIAN(IF((Vendas!$B$2:$B$3001=$A61)*(Vendas!$C$2:$C$3001=$B61)*(Vendas!$AC$2:$AC$3001="Validado")*ISNUMBER(Vendas!$P$2:$P$3001),Vendas!$P$2:$P$3001)))</f>
        <v/>
      </c>
      <c r="H61" s="13">
        <f>COUNTIFS(Vendas!$B$2:$B$3001,$A61,Vendas!$C$2:$C$3001,$B61,Vendas!$AC$2:$AC$3001,"Validado",Vendas!$Q$2:$Q$3001,"Valor*")</f>
        <v/>
      </c>
      <c r="I61" s="16">
        <f>IF(C61=0,"-",_xlfn.MINIFS(Vendas!$R$2:$R$3001,Vendas!$B$2:$B$3001,$A61,Vendas!$C$2:$C$3001,$B61,Vendas!$AC$2:$AC$3001,"Validado"))</f>
        <v/>
      </c>
      <c r="J61" s="16">
        <f>IF(C61=0,"-",_xlfn.MAXIFS(Vendas!$R$2:$R$3001,Vendas!$B$2:$B$3001,$A61,Vendas!$C$2:$C$3001,$B61,Vendas!$AC$2:$AC$3001,"Validado"))</f>
        <v/>
      </c>
    </row>
    <row r="62">
      <c r="A62" s="17" t="inlineStr">
        <is>
          <t>Bertioga</t>
        </is>
      </c>
      <c r="B62" s="17" t="inlineStr">
        <is>
          <t>TOTAL DA CIDADE</t>
        </is>
      </c>
      <c r="C62" s="17">
        <f>COUNTIFS(Vendas!$B$2:$B$3001,$A62,Vendas!$AC$2:$AC$3001,"Validado")</f>
        <v/>
      </c>
      <c r="D62" s="18">
        <f t="array" ref="D62">IF(C62=0,"-",MEDIAN(IF((Vendas!$B$2:$B$3001=$A62)*(Vendas!$AC$2:$AC$3001="Validado")*ISNUMBER(Vendas!$M$2:$M$3001),Vendas!$M$2:$M$3001)))</f>
        <v/>
      </c>
      <c r="E62" s="18">
        <f>IF(C62=0,"-",_xlfn.MINIFS(Vendas!$M$2:$M$3001,Vendas!$B$2:$B$3001,$A62,Vendas!$AC$2:$AC$3001,"Validado"))</f>
        <v/>
      </c>
      <c r="F62" s="18">
        <f>IF(C62=0,"-",_xlfn.MAXIFS(Vendas!$M$2:$M$3001,Vendas!$B$2:$B$3001,$A62,Vendas!$AC$2:$AC$3001,"Validado"))</f>
        <v/>
      </c>
      <c r="G62" s="18">
        <f t="array" ref="G62">IF(SUMPRODUCT((Vendas!$B$2:$B$3001=$A62)*(Vendas!$AC$2:$AC$3001="Validado")*ISNUMBER(Vendas!$P$2:$P$3001))=0,"-",MEDIAN(IF((Vendas!$B$2:$B$3001=$A62)*(Vendas!$AC$2:$AC$3001="Validado")*ISNUMBER(Vendas!$P$2:$P$3001),Vendas!$P$2:$P$3001)))</f>
        <v/>
      </c>
      <c r="H62" s="17">
        <f>COUNTIFS(Vendas!$B$2:$B$3001,$A62,Vendas!$AC$2:$AC$3001,"Validado",Vendas!$Q$2:$Q$3001,"Valor*")</f>
        <v/>
      </c>
      <c r="I62" s="19">
        <f>IF(C62=0,"-",_xlfn.MINIFS(Vendas!$R$2:$R$3001,Vendas!$B$2:$B$3001,$A62,Vendas!$AC$2:$AC$3001,"Validado"))</f>
        <v/>
      </c>
      <c r="J62" s="19">
        <f>IF(C62=0,"-",_xlfn.MAXIFS(Vendas!$R$2:$R$3001,Vendas!$B$2:$B$3001,$A62,Vendas!$AC$2:$AC$3001,"Validado"))</f>
        <v/>
      </c>
    </row>
    <row r="63">
      <c r="A63" s="13" t="n"/>
      <c r="B63" s="13" t="n"/>
      <c r="C63" s="13" t="n"/>
      <c r="D63" s="15" t="n"/>
      <c r="E63" s="15" t="n"/>
      <c r="F63" s="15" t="n"/>
      <c r="G63" s="15" t="n"/>
      <c r="H63" s="13" t="n"/>
      <c r="I63" s="16" t="n"/>
      <c r="J63" s="16" t="n"/>
    </row>
    <row r="64">
      <c r="A64" s="13" t="n"/>
      <c r="B64" s="13" t="n"/>
      <c r="C64" s="13" t="n"/>
      <c r="D64" s="15" t="n"/>
      <c r="E64" s="15" t="n"/>
      <c r="F64" s="15" t="n"/>
      <c r="G64" s="15" t="n"/>
      <c r="H64" s="13" t="n"/>
      <c r="I64" s="16" t="n"/>
      <c r="J64" s="16" t="n"/>
    </row>
    <row r="65">
      <c r="A65" s="1" t="inlineStr">
        <is>
          <t>Resumo por cidade e padrão</t>
        </is>
      </c>
      <c r="B65" s="13" t="n"/>
      <c r="C65" s="13" t="n"/>
      <c r="D65" s="15" t="n"/>
      <c r="E65" s="15" t="n"/>
      <c r="F65" s="15" t="n"/>
      <c r="G65" s="15" t="n"/>
      <c r="H65" s="13" t="n"/>
      <c r="I65" s="16" t="n"/>
      <c r="J65" s="16" t="n"/>
    </row>
    <row r="66">
      <c r="A66" s="2" t="inlineStr">
        <is>
          <t>Cidade</t>
        </is>
      </c>
      <c r="B66" s="2" t="inlineStr">
        <is>
          <t>Padrão</t>
        </is>
      </c>
      <c r="C66" s="2" t="inlineStr">
        <is>
          <t>Nº de vendas</t>
        </is>
      </c>
      <c r="D66" s="20" t="inlineStr">
        <is>
          <t>Valor mediano (R$)</t>
        </is>
      </c>
      <c r="E66" s="20" t="inlineStr">
        <is>
          <t>Menor valor (R$)</t>
        </is>
      </c>
      <c r="F66" s="20" t="inlineStr">
        <is>
          <t>Maior valor (R$)</t>
        </is>
      </c>
      <c r="G66" s="20" t="inlineStr">
        <is>
          <t>R$/m² mediano</t>
        </is>
      </c>
      <c r="H66" s="13" t="n"/>
      <c r="I66" s="16" t="n"/>
      <c r="J66" s="16" t="n"/>
    </row>
    <row r="67">
      <c r="A67" s="13" t="inlineStr">
        <is>
          <t>São Sebastião</t>
        </is>
      </c>
      <c r="B67" s="13" t="inlineStr">
        <is>
          <t>Baixo</t>
        </is>
      </c>
      <c r="C67" s="13">
        <f>COUNTIFS(Vendas!$B$2:$B$3001,$A67,Vendas!$J$2:$J$3001,$B67,Vendas!$AC$2:$AC$3001,"Validado")</f>
        <v/>
      </c>
      <c r="D67" s="15">
        <f t="array" ref="D67">IF(C67=0,"-",MEDIAN(IF((Vendas!$B$2:$B$3001=$A67)*(Vendas!$J$2:$J$3001=$B67)*(Vendas!$AC$2:$AC$3001="Validado")*ISNUMBER(Vendas!$M$2:$M$3001),Vendas!$M$2:$M$3001)))</f>
        <v/>
      </c>
      <c r="E67" s="15">
        <f>IF(C67=0,"-",_xlfn.MINIFS(Vendas!$M$2:$M$3001,Vendas!$B$2:$B$3001,$A67,Vendas!$J$2:$J$3001,$B67,Vendas!$AC$2:$AC$3001,"Validado"))</f>
        <v/>
      </c>
      <c r="F67" s="15">
        <f>IF(C67=0,"-",_xlfn.MAXIFS(Vendas!$M$2:$M$3001,Vendas!$B$2:$B$3001,$A67,Vendas!$J$2:$J$3001,$B67,Vendas!$AC$2:$AC$3001,"Validado"))</f>
        <v/>
      </c>
      <c r="G67" s="15">
        <f t="array" ref="G67">IF(SUMPRODUCT((Vendas!$B$2:$B$3001=$A67)*(Vendas!$J$2:$J$3001=$B67)*(Vendas!$AC$2:$AC$3001="Validado")*ISNUMBER(Vendas!$P$2:$P$3001))=0,"-",MEDIAN(IF((Vendas!$B$2:$B$3001=$A67)*(Vendas!$J$2:$J$3001=$B67)*(Vendas!$AC$2:$AC$3001="Validado")*ISNUMBER(Vendas!$P$2:$P$3001),Vendas!$P$2:$P$3001)))</f>
        <v/>
      </c>
      <c r="H67" s="13" t="n"/>
      <c r="I67" s="16" t="n"/>
      <c r="J67" s="16" t="n"/>
    </row>
    <row r="68">
      <c r="A68" s="13" t="inlineStr">
        <is>
          <t>São Sebastião</t>
        </is>
      </c>
      <c r="B68" s="13" t="inlineStr">
        <is>
          <t>Normal</t>
        </is>
      </c>
      <c r="C68" s="13">
        <f>COUNTIFS(Vendas!$B$2:$B$3001,$A68,Vendas!$J$2:$J$3001,$B68,Vendas!$AC$2:$AC$3001,"Validado")</f>
        <v/>
      </c>
      <c r="D68" s="15">
        <f t="array" ref="D68">IF(C68=0,"-",MEDIAN(IF((Vendas!$B$2:$B$3001=$A68)*(Vendas!$J$2:$J$3001=$B68)*(Vendas!$AC$2:$AC$3001="Validado")*ISNUMBER(Vendas!$M$2:$M$3001),Vendas!$M$2:$M$3001)))</f>
        <v/>
      </c>
      <c r="E68" s="15">
        <f>IF(C68=0,"-",_xlfn.MINIFS(Vendas!$M$2:$M$3001,Vendas!$B$2:$B$3001,$A68,Vendas!$J$2:$J$3001,$B68,Vendas!$AC$2:$AC$3001,"Validado"))</f>
        <v/>
      </c>
      <c r="F68" s="15">
        <f>IF(C68=0,"-",_xlfn.MAXIFS(Vendas!$M$2:$M$3001,Vendas!$B$2:$B$3001,$A68,Vendas!$J$2:$J$3001,$B68,Vendas!$AC$2:$AC$3001,"Validado"))</f>
        <v/>
      </c>
      <c r="G68" s="15">
        <f t="array" ref="G68">IF(SUMPRODUCT((Vendas!$B$2:$B$3001=$A68)*(Vendas!$J$2:$J$3001=$B68)*(Vendas!$AC$2:$AC$3001="Validado")*ISNUMBER(Vendas!$P$2:$P$3001))=0,"-",MEDIAN(IF((Vendas!$B$2:$B$3001=$A68)*(Vendas!$J$2:$J$3001=$B68)*(Vendas!$AC$2:$AC$3001="Validado")*ISNUMBER(Vendas!$P$2:$P$3001),Vendas!$P$2:$P$3001)))</f>
        <v/>
      </c>
      <c r="H68" s="13" t="n"/>
      <c r="I68" s="16" t="n"/>
      <c r="J68" s="16" t="n"/>
    </row>
    <row r="69">
      <c r="A69" s="13" t="inlineStr">
        <is>
          <t>São Sebastião</t>
        </is>
      </c>
      <c r="B69" s="13" t="inlineStr">
        <is>
          <t>Alto</t>
        </is>
      </c>
      <c r="C69" s="13">
        <f>COUNTIFS(Vendas!$B$2:$B$3001,$A69,Vendas!$J$2:$J$3001,$B69,Vendas!$AC$2:$AC$3001,"Validado")</f>
        <v/>
      </c>
      <c r="D69" s="15">
        <f t="array" ref="D69">IF(C69=0,"-",MEDIAN(IF((Vendas!$B$2:$B$3001=$A69)*(Vendas!$J$2:$J$3001=$B69)*(Vendas!$AC$2:$AC$3001="Validado")*ISNUMBER(Vendas!$M$2:$M$3001),Vendas!$M$2:$M$3001)))</f>
        <v/>
      </c>
      <c r="E69" s="15">
        <f>IF(C69=0,"-",_xlfn.MINIFS(Vendas!$M$2:$M$3001,Vendas!$B$2:$B$3001,$A69,Vendas!$J$2:$J$3001,$B69,Vendas!$AC$2:$AC$3001,"Validado"))</f>
        <v/>
      </c>
      <c r="F69" s="15">
        <f>IF(C69=0,"-",_xlfn.MAXIFS(Vendas!$M$2:$M$3001,Vendas!$B$2:$B$3001,$A69,Vendas!$J$2:$J$3001,$B69,Vendas!$AC$2:$AC$3001,"Validado"))</f>
        <v/>
      </c>
      <c r="G69" s="15">
        <f t="array" ref="G69">IF(SUMPRODUCT((Vendas!$B$2:$B$3001=$A69)*(Vendas!$J$2:$J$3001=$B69)*(Vendas!$AC$2:$AC$3001="Validado")*ISNUMBER(Vendas!$P$2:$P$3001))=0,"-",MEDIAN(IF((Vendas!$B$2:$B$3001=$A69)*(Vendas!$J$2:$J$3001=$B69)*(Vendas!$AC$2:$AC$3001="Validado")*ISNUMBER(Vendas!$P$2:$P$3001),Vendas!$P$2:$P$3001)))</f>
        <v/>
      </c>
      <c r="H69" s="13" t="n"/>
      <c r="I69" s="16" t="n"/>
      <c r="J69" s="16" t="n"/>
    </row>
    <row r="70">
      <c r="A70" s="13" t="inlineStr">
        <is>
          <t>São Sebastião</t>
        </is>
      </c>
      <c r="B70" s="13" t="inlineStr">
        <is>
          <t>Não informado</t>
        </is>
      </c>
      <c r="C70" s="13">
        <f>COUNTIFS(Vendas!$B$2:$B$3001,$A70,Vendas!$J$2:$J$3001,$B70,Vendas!$AC$2:$AC$3001,"Validado")</f>
        <v/>
      </c>
      <c r="D70" s="15">
        <f t="array" ref="D70">IF(C70=0,"-",MEDIAN(IF((Vendas!$B$2:$B$3001=$A70)*(Vendas!$J$2:$J$3001=$B70)*(Vendas!$AC$2:$AC$3001="Validado")*ISNUMBER(Vendas!$M$2:$M$3001),Vendas!$M$2:$M$3001)))</f>
        <v/>
      </c>
      <c r="E70" s="15">
        <f>IF(C70=0,"-",_xlfn.MINIFS(Vendas!$M$2:$M$3001,Vendas!$B$2:$B$3001,$A70,Vendas!$J$2:$J$3001,$B70,Vendas!$AC$2:$AC$3001,"Validado"))</f>
        <v/>
      </c>
      <c r="F70" s="15">
        <f>IF(C70=0,"-",_xlfn.MAXIFS(Vendas!$M$2:$M$3001,Vendas!$B$2:$B$3001,$A70,Vendas!$J$2:$J$3001,$B70,Vendas!$AC$2:$AC$3001,"Validado"))</f>
        <v/>
      </c>
      <c r="G70" s="15">
        <f t="array" ref="G70">IF(SUMPRODUCT((Vendas!$B$2:$B$3001=$A70)*(Vendas!$J$2:$J$3001=$B70)*(Vendas!$AC$2:$AC$3001="Validado")*ISNUMBER(Vendas!$P$2:$P$3001))=0,"-",MEDIAN(IF((Vendas!$B$2:$B$3001=$A70)*(Vendas!$J$2:$J$3001=$B70)*(Vendas!$AC$2:$AC$3001="Validado")*ISNUMBER(Vendas!$P$2:$P$3001),Vendas!$P$2:$P$3001)))</f>
        <v/>
      </c>
      <c r="H70" s="13" t="n"/>
      <c r="I70" s="16" t="n"/>
      <c r="J70" s="16" t="n"/>
    </row>
    <row r="71">
      <c r="A71" s="13" t="inlineStr">
        <is>
          <t>Bertioga</t>
        </is>
      </c>
      <c r="B71" s="13" t="inlineStr">
        <is>
          <t>Baixo</t>
        </is>
      </c>
      <c r="C71" s="13">
        <f>COUNTIFS(Vendas!$B$2:$B$3001,$A71,Vendas!$J$2:$J$3001,$B71,Vendas!$AC$2:$AC$3001,"Validado")</f>
        <v/>
      </c>
      <c r="D71" s="15">
        <f t="array" ref="D71">IF(C71=0,"-",MEDIAN(IF((Vendas!$B$2:$B$3001=$A71)*(Vendas!$J$2:$J$3001=$B71)*(Vendas!$AC$2:$AC$3001="Validado")*ISNUMBER(Vendas!$M$2:$M$3001),Vendas!$M$2:$M$3001)))</f>
        <v/>
      </c>
      <c r="E71" s="15">
        <f>IF(C71=0,"-",_xlfn.MINIFS(Vendas!$M$2:$M$3001,Vendas!$B$2:$B$3001,$A71,Vendas!$J$2:$J$3001,$B71,Vendas!$AC$2:$AC$3001,"Validado"))</f>
        <v/>
      </c>
      <c r="F71" s="15">
        <f>IF(C71=0,"-",_xlfn.MAXIFS(Vendas!$M$2:$M$3001,Vendas!$B$2:$B$3001,$A71,Vendas!$J$2:$J$3001,$B71,Vendas!$AC$2:$AC$3001,"Validado"))</f>
        <v/>
      </c>
      <c r="G71" s="15">
        <f t="array" ref="G71">IF(SUMPRODUCT((Vendas!$B$2:$B$3001=$A71)*(Vendas!$J$2:$J$3001=$B71)*(Vendas!$AC$2:$AC$3001="Validado")*ISNUMBER(Vendas!$P$2:$P$3001))=0,"-",MEDIAN(IF((Vendas!$B$2:$B$3001=$A71)*(Vendas!$J$2:$J$3001=$B71)*(Vendas!$AC$2:$AC$3001="Validado")*ISNUMBER(Vendas!$P$2:$P$3001),Vendas!$P$2:$P$3001)))</f>
        <v/>
      </c>
      <c r="H71" s="13" t="n"/>
      <c r="I71" s="16" t="n"/>
      <c r="J71" s="16" t="n"/>
    </row>
    <row r="72">
      <c r="A72" s="13" t="inlineStr">
        <is>
          <t>Bertioga</t>
        </is>
      </c>
      <c r="B72" s="13" t="inlineStr">
        <is>
          <t>Normal</t>
        </is>
      </c>
      <c r="C72" s="13">
        <f>COUNTIFS(Vendas!$B$2:$B$3001,$A72,Vendas!$J$2:$J$3001,$B72,Vendas!$AC$2:$AC$3001,"Validado")</f>
        <v/>
      </c>
      <c r="D72" s="15">
        <f t="array" ref="D72">IF(C72=0,"-",MEDIAN(IF((Vendas!$B$2:$B$3001=$A72)*(Vendas!$J$2:$J$3001=$B72)*(Vendas!$AC$2:$AC$3001="Validado")*ISNUMBER(Vendas!$M$2:$M$3001),Vendas!$M$2:$M$3001)))</f>
        <v/>
      </c>
      <c r="E72" s="15">
        <f>IF(C72=0,"-",_xlfn.MINIFS(Vendas!$M$2:$M$3001,Vendas!$B$2:$B$3001,$A72,Vendas!$J$2:$J$3001,$B72,Vendas!$AC$2:$AC$3001,"Validado"))</f>
        <v/>
      </c>
      <c r="F72" s="15">
        <f>IF(C72=0,"-",_xlfn.MAXIFS(Vendas!$M$2:$M$3001,Vendas!$B$2:$B$3001,$A72,Vendas!$J$2:$J$3001,$B72,Vendas!$AC$2:$AC$3001,"Validado"))</f>
        <v/>
      </c>
      <c r="G72" s="15">
        <f t="array" ref="G72">IF(SUMPRODUCT((Vendas!$B$2:$B$3001=$A72)*(Vendas!$J$2:$J$3001=$B72)*(Vendas!$AC$2:$AC$3001="Validado")*ISNUMBER(Vendas!$P$2:$P$3001))=0,"-",MEDIAN(IF((Vendas!$B$2:$B$3001=$A72)*(Vendas!$J$2:$J$3001=$B72)*(Vendas!$AC$2:$AC$3001="Validado")*ISNUMBER(Vendas!$P$2:$P$3001),Vendas!$P$2:$P$3001)))</f>
        <v/>
      </c>
      <c r="H72" s="13" t="n"/>
      <c r="I72" s="16" t="n"/>
      <c r="J72" s="16" t="n"/>
    </row>
    <row r="73">
      <c r="A73" s="13" t="inlineStr">
        <is>
          <t>Bertioga</t>
        </is>
      </c>
      <c r="B73" s="13" t="inlineStr">
        <is>
          <t>Alto</t>
        </is>
      </c>
      <c r="C73" s="13">
        <f>COUNTIFS(Vendas!$B$2:$B$3001,$A73,Vendas!$J$2:$J$3001,$B73,Vendas!$AC$2:$AC$3001,"Validado")</f>
        <v/>
      </c>
      <c r="D73" s="15">
        <f t="array" ref="D73">IF(C73=0,"-",MEDIAN(IF((Vendas!$B$2:$B$3001=$A73)*(Vendas!$J$2:$J$3001=$B73)*(Vendas!$AC$2:$AC$3001="Validado")*ISNUMBER(Vendas!$M$2:$M$3001),Vendas!$M$2:$M$3001)))</f>
        <v/>
      </c>
      <c r="E73" s="15">
        <f>IF(C73=0,"-",_xlfn.MINIFS(Vendas!$M$2:$M$3001,Vendas!$B$2:$B$3001,$A73,Vendas!$J$2:$J$3001,$B73,Vendas!$AC$2:$AC$3001,"Validado"))</f>
        <v/>
      </c>
      <c r="F73" s="15">
        <f>IF(C73=0,"-",_xlfn.MAXIFS(Vendas!$M$2:$M$3001,Vendas!$B$2:$B$3001,$A73,Vendas!$J$2:$J$3001,$B73,Vendas!$AC$2:$AC$3001,"Validado"))</f>
        <v/>
      </c>
      <c r="G73" s="15">
        <f t="array" ref="G73">IF(SUMPRODUCT((Vendas!$B$2:$B$3001=$A73)*(Vendas!$J$2:$J$3001=$B73)*(Vendas!$AC$2:$AC$3001="Validado")*ISNUMBER(Vendas!$P$2:$P$3001))=0,"-",MEDIAN(IF((Vendas!$B$2:$B$3001=$A73)*(Vendas!$J$2:$J$3001=$B73)*(Vendas!$AC$2:$AC$3001="Validado")*ISNUMBER(Vendas!$P$2:$P$3001),Vendas!$P$2:$P$3001)))</f>
        <v/>
      </c>
      <c r="H73" s="13" t="n"/>
      <c r="I73" s="16" t="n"/>
      <c r="J73" s="16" t="n"/>
    </row>
    <row r="74">
      <c r="A74" s="13" t="inlineStr">
        <is>
          <t>Bertioga</t>
        </is>
      </c>
      <c r="B74" s="13" t="inlineStr">
        <is>
          <t>Não informado</t>
        </is>
      </c>
      <c r="C74" s="13">
        <f>COUNTIFS(Vendas!$B$2:$B$3001,$A74,Vendas!$J$2:$J$3001,$B74,Vendas!$AC$2:$AC$3001,"Validado")</f>
        <v/>
      </c>
      <c r="D74" s="15">
        <f t="array" ref="D74">IF(C74=0,"-",MEDIAN(IF((Vendas!$B$2:$B$3001=$A74)*(Vendas!$J$2:$J$3001=$B74)*(Vendas!$AC$2:$AC$3001="Validado")*ISNUMBER(Vendas!$M$2:$M$3001),Vendas!$M$2:$M$3001)))</f>
        <v/>
      </c>
      <c r="E74" s="15">
        <f>IF(C74=0,"-",_xlfn.MINIFS(Vendas!$M$2:$M$3001,Vendas!$B$2:$B$3001,$A74,Vendas!$J$2:$J$3001,$B74,Vendas!$AC$2:$AC$3001,"Validado"))</f>
        <v/>
      </c>
      <c r="F74" s="15">
        <f>IF(C74=0,"-",_xlfn.MAXIFS(Vendas!$M$2:$M$3001,Vendas!$B$2:$B$3001,$A74,Vendas!$J$2:$J$3001,$B74,Vendas!$AC$2:$AC$3001,"Validado"))</f>
        <v/>
      </c>
      <c r="G74" s="15">
        <f t="array" ref="G74">IF(SUMPRODUCT((Vendas!$B$2:$B$3001=$A74)*(Vendas!$J$2:$J$3001=$B74)*(Vendas!$AC$2:$AC$3001="Validado")*ISNUMBER(Vendas!$P$2:$P$3001))=0,"-",MEDIAN(IF((Vendas!$B$2:$B$3001=$A74)*(Vendas!$J$2:$J$3001=$B74)*(Vendas!$AC$2:$AC$3001="Validado")*ISNUMBER(Vendas!$P$2:$P$3001),Vendas!$P$2:$P$3001)))</f>
        <v/>
      </c>
      <c r="H74" s="13" t="n"/>
      <c r="I74" s="16" t="n"/>
      <c r="J74" s="16" t="n"/>
    </row>
    <row r="75">
      <c r="A75" s="13" t="n"/>
      <c r="B75" s="13" t="n"/>
      <c r="C75" s="13" t="n"/>
      <c r="D75" s="15" t="n"/>
      <c r="E75" s="15" t="n"/>
      <c r="F75" s="15" t="n"/>
      <c r="G75" s="15" t="n"/>
      <c r="H75" s="13" t="n"/>
      <c r="I75" s="16" t="n"/>
      <c r="J75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Critério de padrão construtivo</t>
        </is>
      </c>
    </row>
    <row r="3">
      <c r="A3" s="2" t="inlineStr">
        <is>
          <t>Item</t>
        </is>
      </c>
      <c r="B3" s="2" t="inlineStr">
        <is>
          <t>Critério</t>
        </is>
      </c>
    </row>
    <row r="4">
      <c r="A4" s="3" t="inlineStr">
        <is>
          <t>Regra geral</t>
        </is>
      </c>
      <c r="B4" s="4" t="inlineStr">
        <is>
          <t>O padrão só é preenchido a partir de documento ou vistoria. Sem informação, use 'Não informado'. Nunca deduzir pelo preço, bairro ou anúncio.</t>
        </is>
      </c>
    </row>
    <row r="5">
      <c r="A5" s="3" t="inlineStr">
        <is>
          <t>1ª opção — Cadastro municipal</t>
        </is>
      </c>
      <c r="B5" s="4" t="inlineStr">
        <is>
          <t>Se o ITBI/IPTU trouxer a classe/tipo/padrão construtivo da prefeitura, copie o texto literal em 'Padrão (texto do documento)' e converta para Baixo/Normal/Alto com a tabela de equivalência do importador (arquivo mapa_colunas.json, chave 'mapa_padrao'). Origem: Cadastro municipal.</t>
        </is>
      </c>
    </row>
    <row r="6">
      <c r="A6" s="3" t="inlineStr">
        <is>
          <t>2ª opção — Documento</t>
        </is>
      </c>
      <c r="B6" s="4" t="inlineStr">
        <is>
          <t>Memorial descritivo, habite-se ou incorporação registrada na matrícula que declare o padrão (a NBR 12721 exige que incorporações informem o padrão: baixo, normal ou alto). Origem: Certidão/memorial/habite-se.</t>
        </is>
      </c>
    </row>
    <row r="7">
      <c r="A7" s="3" t="inlineStr">
        <is>
          <t>3ª opção — Vistoria própria</t>
        </is>
      </c>
      <c r="B7" s="4" t="inlineStr">
        <is>
          <t>Classificação feita por vistoria do imóvel seguindo os projetos-padrão da ABNT NBR 12721 (Baixo / Normal / Alto), registrando a data e quem vistoriou em Observações. Origem: Vistoria própria.</t>
        </is>
      </c>
    </row>
    <row r="8">
      <c r="A8" s="3" t="inlineStr">
        <is>
          <t>Baixo</t>
        </is>
      </c>
      <c r="B8" s="4" t="inlineStr">
        <is>
          <t>NBR 12721 — padrão de acabamento baixo.</t>
        </is>
      </c>
    </row>
    <row r="9">
      <c r="A9" s="3" t="inlineStr">
        <is>
          <t>Normal</t>
        </is>
      </c>
      <c r="B9" s="4" t="inlineStr">
        <is>
          <t>NBR 12721 — padrão de acabamento normal.</t>
        </is>
      </c>
    </row>
    <row r="10">
      <c r="A10" s="3" t="inlineStr">
        <is>
          <t>Alto</t>
        </is>
      </c>
      <c r="B10" s="4" t="inlineStr">
        <is>
          <t>NBR 12721 — padrão de acabamento alto.</t>
        </is>
      </c>
    </row>
    <row r="11">
      <c r="A11" s="3" t="inlineStr">
        <is>
          <t>Não informado</t>
        </is>
      </c>
      <c r="B11" s="4" t="inlineStr">
        <is>
          <t>O documento não informa e não houve vistoria.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24" customWidth="1" min="4" max="4"/>
    <col width="14" customWidth="1" min="5" max="5"/>
    <col width="16" customWidth="1" min="6" max="6"/>
    <col width="36" customWidth="1" min="7" max="7"/>
    <col width="12" customWidth="1" min="8" max="8"/>
    <col width="40" customWidth="1" min="9" max="9"/>
  </cols>
  <sheetData>
    <row r="1">
      <c r="A1" s="1" t="inlineStr">
        <is>
          <t>Registro dos documentos recebidos</t>
        </is>
      </c>
    </row>
    <row r="3">
      <c r="A3" s="2" t="inlineStr">
        <is>
          <t>Código do documento</t>
        </is>
      </c>
      <c r="B3" s="2" t="inlineStr">
        <is>
          <t>Tipo</t>
        </is>
      </c>
      <c r="C3" s="2" t="inlineStr">
        <is>
          <t>Órgão / Cartório</t>
        </is>
      </c>
      <c r="D3" s="2" t="inlineStr">
        <is>
          <t>Nº protocolo / matrícula</t>
        </is>
      </c>
      <c r="E3" s="2" t="inlineStr">
        <is>
          <t>Data do pedido</t>
        </is>
      </c>
      <c r="F3" s="2" t="inlineStr">
        <is>
          <t>Data da resposta/emissão</t>
        </is>
      </c>
      <c r="G3" s="2" t="inlineStr">
        <is>
          <t>Arquivo (caminho)</t>
        </is>
      </c>
      <c r="H3" s="2" t="inlineStr">
        <is>
          <t>Custo (R$)</t>
        </is>
      </c>
      <c r="I3" s="2" t="inlineStr">
        <is>
          <t>Observações</t>
        </is>
      </c>
    </row>
    <row r="4">
      <c r="E4" s="10" t="n"/>
      <c r="F4" s="10" t="n"/>
      <c r="H4" s="7" t="n"/>
    </row>
    <row r="5">
      <c r="E5" s="10" t="n"/>
      <c r="F5" s="10" t="n"/>
      <c r="H5" s="7" t="n"/>
    </row>
    <row r="6">
      <c r="E6" s="10" t="n"/>
      <c r="F6" s="10" t="n"/>
      <c r="H6" s="7" t="n"/>
    </row>
    <row r="7">
      <c r="E7" s="10" t="n"/>
      <c r="F7" s="10" t="n"/>
      <c r="H7" s="7" t="n"/>
    </row>
    <row r="8">
      <c r="E8" s="10" t="n"/>
      <c r="F8" s="10" t="n"/>
      <c r="H8" s="7" t="n"/>
    </row>
    <row r="9">
      <c r="E9" s="10" t="n"/>
      <c r="F9" s="10" t="n"/>
      <c r="H9" s="7" t="n"/>
    </row>
    <row r="10">
      <c r="E10" s="10" t="n"/>
      <c r="F10" s="10" t="n"/>
      <c r="H10" s="7" t="n"/>
    </row>
    <row r="11">
      <c r="E11" s="10" t="n"/>
      <c r="F11" s="10" t="n"/>
      <c r="H11" s="7" t="n"/>
    </row>
    <row r="12">
      <c r="E12" s="10" t="n"/>
      <c r="F12" s="10" t="n"/>
      <c r="H12" s="7" t="n"/>
    </row>
    <row r="13">
      <c r="E13" s="10" t="n"/>
      <c r="F13" s="10" t="n"/>
      <c r="H13" s="7" t="n"/>
    </row>
    <row r="14">
      <c r="E14" s="10" t="n"/>
      <c r="F14" s="10" t="n"/>
      <c r="H14" s="7" t="n"/>
    </row>
    <row r="15">
      <c r="E15" s="10" t="n"/>
      <c r="F15" s="10" t="n"/>
      <c r="H15" s="7" t="n"/>
    </row>
    <row r="16">
      <c r="E16" s="10" t="n"/>
      <c r="F16" s="10" t="n"/>
      <c r="H16" s="7" t="n"/>
    </row>
    <row r="17">
      <c r="E17" s="10" t="n"/>
      <c r="F17" s="10" t="n"/>
      <c r="H17" s="7" t="n"/>
    </row>
    <row r="18">
      <c r="E18" s="10" t="n"/>
      <c r="F18" s="10" t="n"/>
      <c r="H18" s="7" t="n"/>
    </row>
    <row r="19">
      <c r="E19" s="10" t="n"/>
      <c r="F19" s="10" t="n"/>
      <c r="H19" s="7" t="n"/>
    </row>
    <row r="20">
      <c r="E20" s="10" t="n"/>
      <c r="F20" s="10" t="n"/>
      <c r="H20" s="7" t="n"/>
    </row>
    <row r="21">
      <c r="E21" s="10" t="n"/>
      <c r="F21" s="10" t="n"/>
      <c r="H21" s="7" t="n"/>
    </row>
    <row r="22">
      <c r="E22" s="10" t="n"/>
      <c r="F22" s="10" t="n"/>
      <c r="H22" s="7" t="n"/>
    </row>
    <row r="23">
      <c r="E23" s="10" t="n"/>
      <c r="F23" s="10" t="n"/>
      <c r="H23" s="7" t="n"/>
    </row>
    <row r="24">
      <c r="E24" s="10" t="n"/>
      <c r="F24" s="10" t="n"/>
      <c r="H24" s="7" t="n"/>
    </row>
    <row r="25">
      <c r="E25" s="10" t="n"/>
      <c r="F25" s="10" t="n"/>
      <c r="H25" s="7" t="n"/>
    </row>
    <row r="26">
      <c r="E26" s="10" t="n"/>
      <c r="F26" s="10" t="n"/>
      <c r="H26" s="7" t="n"/>
    </row>
    <row r="27">
      <c r="E27" s="10" t="n"/>
      <c r="F27" s="10" t="n"/>
      <c r="H27" s="7" t="n"/>
    </row>
    <row r="28">
      <c r="E28" s="10" t="n"/>
      <c r="F28" s="10" t="n"/>
      <c r="H28" s="7" t="n"/>
    </row>
    <row r="29">
      <c r="E29" s="10" t="n"/>
      <c r="F29" s="10" t="n"/>
      <c r="H29" s="7" t="n"/>
    </row>
    <row r="30">
      <c r="E30" s="10" t="n"/>
      <c r="F30" s="10" t="n"/>
      <c r="H30" s="7" t="n"/>
    </row>
    <row r="31">
      <c r="E31" s="10" t="n"/>
      <c r="F31" s="10" t="n"/>
      <c r="H31" s="7" t="n"/>
    </row>
    <row r="32">
      <c r="E32" s="10" t="n"/>
      <c r="F32" s="10" t="n"/>
      <c r="H32" s="7" t="n"/>
    </row>
    <row r="33">
      <c r="E33" s="10" t="n"/>
      <c r="F33" s="10" t="n"/>
      <c r="H33" s="7" t="n"/>
    </row>
    <row r="34">
      <c r="E34" s="10" t="n"/>
      <c r="F34" s="10" t="n"/>
      <c r="H34" s="7" t="n"/>
    </row>
    <row r="35">
      <c r="E35" s="10" t="n"/>
      <c r="F35" s="10" t="n"/>
      <c r="H35" s="7" t="n"/>
    </row>
    <row r="36">
      <c r="E36" s="10" t="n"/>
      <c r="F36" s="10" t="n"/>
      <c r="H36" s="7" t="n"/>
    </row>
    <row r="37">
      <c r="E37" s="10" t="n"/>
      <c r="F37" s="10" t="n"/>
      <c r="H37" s="7" t="n"/>
    </row>
    <row r="38">
      <c r="E38" s="10" t="n"/>
      <c r="F38" s="10" t="n"/>
      <c r="H38" s="7" t="n"/>
    </row>
    <row r="39">
      <c r="E39" s="10" t="n"/>
      <c r="F39" s="10" t="n"/>
      <c r="H39" s="7" t="n"/>
    </row>
    <row r="40">
      <c r="E40" s="10" t="n"/>
      <c r="F40" s="10" t="n"/>
      <c r="H40" s="7" t="n"/>
    </row>
    <row r="41">
      <c r="E41" s="10" t="n"/>
      <c r="F41" s="10" t="n"/>
      <c r="H41" s="7" t="n"/>
    </row>
    <row r="42">
      <c r="E42" s="10" t="n"/>
      <c r="F42" s="10" t="n"/>
      <c r="H42" s="7" t="n"/>
    </row>
    <row r="43">
      <c r="E43" s="10" t="n"/>
      <c r="F43" s="10" t="n"/>
      <c r="H43" s="7" t="n"/>
    </row>
    <row r="44">
      <c r="E44" s="10" t="n"/>
      <c r="F44" s="10" t="n"/>
      <c r="H44" s="7" t="n"/>
    </row>
    <row r="45">
      <c r="E45" s="10" t="n"/>
      <c r="F45" s="10" t="n"/>
      <c r="H45" s="7" t="n"/>
    </row>
    <row r="46">
      <c r="E46" s="10" t="n"/>
      <c r="F46" s="10" t="n"/>
      <c r="H46" s="7" t="n"/>
    </row>
    <row r="47">
      <c r="E47" s="10" t="n"/>
      <c r="F47" s="10" t="n"/>
      <c r="H47" s="7" t="n"/>
    </row>
    <row r="48">
      <c r="E48" s="10" t="n"/>
      <c r="F48" s="10" t="n"/>
      <c r="H48" s="7" t="n"/>
    </row>
    <row r="49">
      <c r="E49" s="10" t="n"/>
      <c r="F49" s="10" t="n"/>
      <c r="H49" s="7" t="n"/>
    </row>
    <row r="50">
      <c r="E50" s="10" t="n"/>
      <c r="F50" s="10" t="n"/>
      <c r="H50" s="7" t="n"/>
    </row>
    <row r="51">
      <c r="E51" s="10" t="n"/>
      <c r="F51" s="10" t="n"/>
      <c r="H51" s="7" t="n"/>
    </row>
    <row r="52">
      <c r="E52" s="10" t="n"/>
      <c r="F52" s="10" t="n"/>
      <c r="H52" s="7" t="n"/>
    </row>
    <row r="53">
      <c r="E53" s="10" t="n"/>
      <c r="F53" s="10" t="n"/>
      <c r="H53" s="7" t="n"/>
    </row>
    <row r="54">
      <c r="E54" s="10" t="n"/>
      <c r="F54" s="10" t="n"/>
      <c r="H54" s="7" t="n"/>
    </row>
    <row r="55">
      <c r="E55" s="10" t="n"/>
      <c r="F55" s="10" t="n"/>
      <c r="H55" s="7" t="n"/>
    </row>
    <row r="56">
      <c r="E56" s="10" t="n"/>
      <c r="F56" s="10" t="n"/>
      <c r="H56" s="7" t="n"/>
    </row>
    <row r="57">
      <c r="E57" s="10" t="n"/>
      <c r="F57" s="10" t="n"/>
      <c r="H57" s="7" t="n"/>
    </row>
    <row r="58">
      <c r="E58" s="10" t="n"/>
      <c r="F58" s="10" t="n"/>
      <c r="H58" s="7" t="n"/>
    </row>
    <row r="59">
      <c r="E59" s="10" t="n"/>
      <c r="F59" s="10" t="n"/>
      <c r="H59" s="7" t="n"/>
    </row>
    <row r="60">
      <c r="E60" s="10" t="n"/>
      <c r="F60" s="10" t="n"/>
      <c r="H60" s="7" t="n"/>
    </row>
    <row r="61">
      <c r="E61" s="10" t="n"/>
      <c r="F61" s="10" t="n"/>
      <c r="H61" s="7" t="n"/>
    </row>
    <row r="62">
      <c r="E62" s="10" t="n"/>
      <c r="F62" s="10" t="n"/>
      <c r="H62" s="7" t="n"/>
    </row>
    <row r="63">
      <c r="E63" s="10" t="n"/>
      <c r="F63" s="10" t="n"/>
      <c r="H63" s="7" t="n"/>
    </row>
    <row r="64">
      <c r="E64" s="10" t="n"/>
      <c r="F64" s="10" t="n"/>
      <c r="H64" s="7" t="n"/>
    </row>
    <row r="65">
      <c r="E65" s="10" t="n"/>
      <c r="F65" s="10" t="n"/>
      <c r="H65" s="7" t="n"/>
    </row>
    <row r="66">
      <c r="E66" s="10" t="n"/>
      <c r="F66" s="10" t="n"/>
      <c r="H66" s="7" t="n"/>
    </row>
    <row r="67">
      <c r="E67" s="10" t="n"/>
      <c r="F67" s="10" t="n"/>
      <c r="H67" s="7" t="n"/>
    </row>
    <row r="68">
      <c r="E68" s="10" t="n"/>
      <c r="F68" s="10" t="n"/>
      <c r="H68" s="7" t="n"/>
    </row>
    <row r="69">
      <c r="E69" s="10" t="n"/>
      <c r="F69" s="10" t="n"/>
      <c r="H69" s="7" t="n"/>
    </row>
    <row r="70">
      <c r="E70" s="10" t="n"/>
      <c r="F70" s="10" t="n"/>
      <c r="H70" s="7" t="n"/>
    </row>
    <row r="71">
      <c r="E71" s="10" t="n"/>
      <c r="F71" s="10" t="n"/>
      <c r="H71" s="7" t="n"/>
    </row>
    <row r="72">
      <c r="E72" s="10" t="n"/>
      <c r="F72" s="10" t="n"/>
      <c r="H72" s="7" t="n"/>
    </row>
    <row r="73">
      <c r="E73" s="10" t="n"/>
      <c r="F73" s="10" t="n"/>
      <c r="H73" s="7" t="n"/>
    </row>
    <row r="74">
      <c r="E74" s="10" t="n"/>
      <c r="F74" s="10" t="n"/>
      <c r="H74" s="7" t="n"/>
    </row>
    <row r="75">
      <c r="E75" s="10" t="n"/>
      <c r="F75" s="10" t="n"/>
      <c r="H75" s="7" t="n"/>
    </row>
    <row r="76">
      <c r="E76" s="10" t="n"/>
      <c r="F76" s="10" t="n"/>
      <c r="H76" s="7" t="n"/>
    </row>
    <row r="77">
      <c r="E77" s="10" t="n"/>
      <c r="F77" s="10" t="n"/>
      <c r="H77" s="7" t="n"/>
    </row>
    <row r="78">
      <c r="E78" s="10" t="n"/>
      <c r="F78" s="10" t="n"/>
      <c r="H78" s="7" t="n"/>
    </row>
    <row r="79">
      <c r="E79" s="10" t="n"/>
      <c r="F79" s="10" t="n"/>
      <c r="H79" s="7" t="n"/>
    </row>
    <row r="80">
      <c r="E80" s="10" t="n"/>
      <c r="F80" s="10" t="n"/>
      <c r="H80" s="7" t="n"/>
    </row>
    <row r="81">
      <c r="E81" s="10" t="n"/>
      <c r="F81" s="10" t="n"/>
      <c r="H81" s="7" t="n"/>
    </row>
    <row r="82">
      <c r="E82" s="10" t="n"/>
      <c r="F82" s="10" t="n"/>
      <c r="H82" s="7" t="n"/>
    </row>
    <row r="83">
      <c r="E83" s="10" t="n"/>
      <c r="F83" s="10" t="n"/>
      <c r="H83" s="7" t="n"/>
    </row>
    <row r="84">
      <c r="E84" s="10" t="n"/>
      <c r="F84" s="10" t="n"/>
      <c r="H84" s="7" t="n"/>
    </row>
    <row r="85">
      <c r="E85" s="10" t="n"/>
      <c r="F85" s="10" t="n"/>
      <c r="H85" s="7" t="n"/>
    </row>
    <row r="86">
      <c r="E86" s="10" t="n"/>
      <c r="F86" s="10" t="n"/>
      <c r="H86" s="7" t="n"/>
    </row>
    <row r="87">
      <c r="E87" s="10" t="n"/>
      <c r="F87" s="10" t="n"/>
      <c r="H87" s="7" t="n"/>
    </row>
    <row r="88">
      <c r="E88" s="10" t="n"/>
      <c r="F88" s="10" t="n"/>
      <c r="H88" s="7" t="n"/>
    </row>
    <row r="89">
      <c r="E89" s="10" t="n"/>
      <c r="F89" s="10" t="n"/>
      <c r="H89" s="7" t="n"/>
    </row>
    <row r="90">
      <c r="E90" s="10" t="n"/>
      <c r="F90" s="10" t="n"/>
      <c r="H90" s="7" t="n"/>
    </row>
    <row r="91">
      <c r="E91" s="10" t="n"/>
      <c r="F91" s="10" t="n"/>
      <c r="H91" s="7" t="n"/>
    </row>
    <row r="92">
      <c r="E92" s="10" t="n"/>
      <c r="F92" s="10" t="n"/>
      <c r="H92" s="7" t="n"/>
    </row>
    <row r="93">
      <c r="E93" s="10" t="n"/>
      <c r="F93" s="10" t="n"/>
      <c r="H93" s="7" t="n"/>
    </row>
    <row r="94">
      <c r="E94" s="10" t="n"/>
      <c r="F94" s="10" t="n"/>
      <c r="H94" s="7" t="n"/>
    </row>
    <row r="95">
      <c r="E95" s="10" t="n"/>
      <c r="F95" s="10" t="n"/>
      <c r="H95" s="7" t="n"/>
    </row>
    <row r="96">
      <c r="E96" s="10" t="n"/>
      <c r="F96" s="10" t="n"/>
      <c r="H96" s="7" t="n"/>
    </row>
    <row r="97">
      <c r="E97" s="10" t="n"/>
      <c r="F97" s="10" t="n"/>
      <c r="H97" s="7" t="n"/>
    </row>
    <row r="98">
      <c r="E98" s="10" t="n"/>
      <c r="F98" s="10" t="n"/>
      <c r="H98" s="7" t="n"/>
    </row>
    <row r="99">
      <c r="E99" s="10" t="n"/>
      <c r="F99" s="10" t="n"/>
      <c r="H99" s="7" t="n"/>
    </row>
    <row r="100">
      <c r="E100" s="10" t="n"/>
      <c r="F100" s="10" t="n"/>
      <c r="H100" s="7" t="n"/>
    </row>
    <row r="101">
      <c r="E101" s="10" t="n"/>
      <c r="F101" s="10" t="n"/>
      <c r="H101" s="7" t="n"/>
    </row>
    <row r="102">
      <c r="E102" s="10" t="n"/>
      <c r="F102" s="10" t="n"/>
      <c r="H102" s="7" t="n"/>
    </row>
    <row r="103">
      <c r="E103" s="10" t="n"/>
      <c r="F103" s="10" t="n"/>
      <c r="H103" s="7" t="n"/>
    </row>
    <row r="104">
      <c r="E104" s="10" t="n"/>
      <c r="F104" s="10" t="n"/>
      <c r="H104" s="7" t="n"/>
    </row>
    <row r="105">
      <c r="E105" s="10" t="n"/>
      <c r="F105" s="10" t="n"/>
      <c r="H105" s="7" t="n"/>
    </row>
    <row r="106">
      <c r="E106" s="10" t="n"/>
      <c r="F106" s="10" t="n"/>
      <c r="H106" s="7" t="n"/>
    </row>
    <row r="107">
      <c r="E107" s="10" t="n"/>
      <c r="F107" s="10" t="n"/>
      <c r="H107" s="7" t="n"/>
    </row>
    <row r="108">
      <c r="E108" s="10" t="n"/>
      <c r="F108" s="10" t="n"/>
      <c r="H108" s="7" t="n"/>
    </row>
    <row r="109">
      <c r="E109" s="10" t="n"/>
      <c r="F109" s="10" t="n"/>
      <c r="H109" s="7" t="n"/>
    </row>
    <row r="110">
      <c r="E110" s="10" t="n"/>
      <c r="F110" s="10" t="n"/>
      <c r="H110" s="7" t="n"/>
    </row>
    <row r="111">
      <c r="E111" s="10" t="n"/>
      <c r="F111" s="10" t="n"/>
      <c r="H111" s="7" t="n"/>
    </row>
    <row r="112">
      <c r="E112" s="10" t="n"/>
      <c r="F112" s="10" t="n"/>
      <c r="H112" s="7" t="n"/>
    </row>
    <row r="113">
      <c r="E113" s="10" t="n"/>
      <c r="F113" s="10" t="n"/>
      <c r="H113" s="7" t="n"/>
    </row>
    <row r="114">
      <c r="E114" s="10" t="n"/>
      <c r="F114" s="10" t="n"/>
      <c r="H114" s="7" t="n"/>
    </row>
    <row r="115">
      <c r="E115" s="10" t="n"/>
      <c r="F115" s="10" t="n"/>
      <c r="H115" s="7" t="n"/>
    </row>
    <row r="116">
      <c r="E116" s="10" t="n"/>
      <c r="F116" s="10" t="n"/>
      <c r="H116" s="7" t="n"/>
    </row>
    <row r="117">
      <c r="E117" s="10" t="n"/>
      <c r="F117" s="10" t="n"/>
      <c r="H117" s="7" t="n"/>
    </row>
    <row r="118">
      <c r="E118" s="10" t="n"/>
      <c r="F118" s="10" t="n"/>
      <c r="H118" s="7" t="n"/>
    </row>
    <row r="119">
      <c r="E119" s="10" t="n"/>
      <c r="F119" s="10" t="n"/>
      <c r="H119" s="7" t="n"/>
    </row>
    <row r="120">
      <c r="E120" s="10" t="n"/>
      <c r="F120" s="10" t="n"/>
      <c r="H120" s="7" t="n"/>
    </row>
    <row r="121">
      <c r="E121" s="10" t="n"/>
      <c r="F121" s="10" t="n"/>
      <c r="H121" s="7" t="n"/>
    </row>
    <row r="122">
      <c r="E122" s="10" t="n"/>
      <c r="F122" s="10" t="n"/>
      <c r="H122" s="7" t="n"/>
    </row>
    <row r="123">
      <c r="E123" s="10" t="n"/>
      <c r="F123" s="10" t="n"/>
      <c r="H123" s="7" t="n"/>
    </row>
    <row r="124">
      <c r="E124" s="10" t="n"/>
      <c r="F124" s="10" t="n"/>
      <c r="H124" s="7" t="n"/>
    </row>
    <row r="125">
      <c r="E125" s="10" t="n"/>
      <c r="F125" s="10" t="n"/>
      <c r="H125" s="7" t="n"/>
    </row>
    <row r="126">
      <c r="E126" s="10" t="n"/>
      <c r="F126" s="10" t="n"/>
      <c r="H126" s="7" t="n"/>
    </row>
    <row r="127">
      <c r="E127" s="10" t="n"/>
      <c r="F127" s="10" t="n"/>
      <c r="H127" s="7" t="n"/>
    </row>
    <row r="128">
      <c r="E128" s="10" t="n"/>
      <c r="F128" s="10" t="n"/>
      <c r="H128" s="7" t="n"/>
    </row>
    <row r="129">
      <c r="E129" s="10" t="n"/>
      <c r="F129" s="10" t="n"/>
      <c r="H129" s="7" t="n"/>
    </row>
    <row r="130">
      <c r="E130" s="10" t="n"/>
      <c r="F130" s="10" t="n"/>
      <c r="H130" s="7" t="n"/>
    </row>
    <row r="131">
      <c r="E131" s="10" t="n"/>
      <c r="F131" s="10" t="n"/>
      <c r="H131" s="7" t="n"/>
    </row>
    <row r="132">
      <c r="E132" s="10" t="n"/>
      <c r="F132" s="10" t="n"/>
      <c r="H132" s="7" t="n"/>
    </row>
    <row r="133">
      <c r="E133" s="10" t="n"/>
      <c r="F133" s="10" t="n"/>
      <c r="H133" s="7" t="n"/>
    </row>
    <row r="134">
      <c r="E134" s="10" t="n"/>
      <c r="F134" s="10" t="n"/>
      <c r="H134" s="7" t="n"/>
    </row>
    <row r="135">
      <c r="E135" s="10" t="n"/>
      <c r="F135" s="10" t="n"/>
      <c r="H135" s="7" t="n"/>
    </row>
    <row r="136">
      <c r="E136" s="10" t="n"/>
      <c r="F136" s="10" t="n"/>
      <c r="H136" s="7" t="n"/>
    </row>
    <row r="137">
      <c r="E137" s="10" t="n"/>
      <c r="F137" s="10" t="n"/>
      <c r="H137" s="7" t="n"/>
    </row>
    <row r="138">
      <c r="E138" s="10" t="n"/>
      <c r="F138" s="10" t="n"/>
      <c r="H138" s="7" t="n"/>
    </row>
    <row r="139">
      <c r="E139" s="10" t="n"/>
      <c r="F139" s="10" t="n"/>
      <c r="H139" s="7" t="n"/>
    </row>
    <row r="140">
      <c r="E140" s="10" t="n"/>
      <c r="F140" s="10" t="n"/>
      <c r="H140" s="7" t="n"/>
    </row>
    <row r="141">
      <c r="E141" s="10" t="n"/>
      <c r="F141" s="10" t="n"/>
      <c r="H141" s="7" t="n"/>
    </row>
    <row r="142">
      <c r="E142" s="10" t="n"/>
      <c r="F142" s="10" t="n"/>
      <c r="H142" s="7" t="n"/>
    </row>
    <row r="143">
      <c r="E143" s="10" t="n"/>
      <c r="F143" s="10" t="n"/>
      <c r="H143" s="7" t="n"/>
    </row>
    <row r="144">
      <c r="E144" s="10" t="n"/>
      <c r="F144" s="10" t="n"/>
      <c r="H144" s="7" t="n"/>
    </row>
    <row r="145">
      <c r="E145" s="10" t="n"/>
      <c r="F145" s="10" t="n"/>
      <c r="H145" s="7" t="n"/>
    </row>
    <row r="146">
      <c r="E146" s="10" t="n"/>
      <c r="F146" s="10" t="n"/>
      <c r="H146" s="7" t="n"/>
    </row>
    <row r="147">
      <c r="E147" s="10" t="n"/>
      <c r="F147" s="10" t="n"/>
      <c r="H147" s="7" t="n"/>
    </row>
    <row r="148">
      <c r="E148" s="10" t="n"/>
      <c r="F148" s="10" t="n"/>
      <c r="H148" s="7" t="n"/>
    </row>
    <row r="149">
      <c r="E149" s="10" t="n"/>
      <c r="F149" s="10" t="n"/>
      <c r="H149" s="7" t="n"/>
    </row>
    <row r="150">
      <c r="E150" s="10" t="n"/>
      <c r="F150" s="10" t="n"/>
      <c r="H150" s="7" t="n"/>
    </row>
    <row r="151">
      <c r="E151" s="10" t="n"/>
      <c r="F151" s="10" t="n"/>
      <c r="H151" s="7" t="n"/>
    </row>
    <row r="152">
      <c r="E152" s="10" t="n"/>
      <c r="F152" s="10" t="n"/>
      <c r="H152" s="7" t="n"/>
    </row>
    <row r="153">
      <c r="E153" s="10" t="n"/>
      <c r="F153" s="10" t="n"/>
      <c r="H153" s="7" t="n"/>
    </row>
    <row r="154">
      <c r="E154" s="10" t="n"/>
      <c r="F154" s="10" t="n"/>
      <c r="H154" s="7" t="n"/>
    </row>
    <row r="155">
      <c r="E155" s="10" t="n"/>
      <c r="F155" s="10" t="n"/>
      <c r="H155" s="7" t="n"/>
    </row>
    <row r="156">
      <c r="E156" s="10" t="n"/>
      <c r="F156" s="10" t="n"/>
      <c r="H156" s="7" t="n"/>
    </row>
    <row r="157">
      <c r="E157" s="10" t="n"/>
      <c r="F157" s="10" t="n"/>
      <c r="H157" s="7" t="n"/>
    </row>
    <row r="158">
      <c r="E158" s="10" t="n"/>
      <c r="F158" s="10" t="n"/>
      <c r="H158" s="7" t="n"/>
    </row>
    <row r="159">
      <c r="E159" s="10" t="n"/>
      <c r="F159" s="10" t="n"/>
      <c r="H159" s="7" t="n"/>
    </row>
    <row r="160">
      <c r="E160" s="10" t="n"/>
      <c r="F160" s="10" t="n"/>
      <c r="H160" s="7" t="n"/>
    </row>
    <row r="161">
      <c r="E161" s="10" t="n"/>
      <c r="F161" s="10" t="n"/>
      <c r="H161" s="7" t="n"/>
    </row>
    <row r="162">
      <c r="E162" s="10" t="n"/>
      <c r="F162" s="10" t="n"/>
      <c r="H162" s="7" t="n"/>
    </row>
    <row r="163">
      <c r="E163" s="10" t="n"/>
      <c r="F163" s="10" t="n"/>
      <c r="H163" s="7" t="n"/>
    </row>
    <row r="164">
      <c r="E164" s="10" t="n"/>
      <c r="F164" s="10" t="n"/>
      <c r="H164" s="7" t="n"/>
    </row>
    <row r="165">
      <c r="E165" s="10" t="n"/>
      <c r="F165" s="10" t="n"/>
      <c r="H165" s="7" t="n"/>
    </row>
    <row r="166">
      <c r="E166" s="10" t="n"/>
      <c r="F166" s="10" t="n"/>
      <c r="H166" s="7" t="n"/>
    </row>
    <row r="167">
      <c r="E167" s="10" t="n"/>
      <c r="F167" s="10" t="n"/>
      <c r="H167" s="7" t="n"/>
    </row>
    <row r="168">
      <c r="E168" s="10" t="n"/>
      <c r="F168" s="10" t="n"/>
      <c r="H168" s="7" t="n"/>
    </row>
    <row r="169">
      <c r="E169" s="10" t="n"/>
      <c r="F169" s="10" t="n"/>
      <c r="H169" s="7" t="n"/>
    </row>
    <row r="170">
      <c r="E170" s="10" t="n"/>
      <c r="F170" s="10" t="n"/>
      <c r="H170" s="7" t="n"/>
    </row>
    <row r="171">
      <c r="E171" s="10" t="n"/>
      <c r="F171" s="10" t="n"/>
      <c r="H171" s="7" t="n"/>
    </row>
    <row r="172">
      <c r="E172" s="10" t="n"/>
      <c r="F172" s="10" t="n"/>
      <c r="H172" s="7" t="n"/>
    </row>
    <row r="173">
      <c r="E173" s="10" t="n"/>
      <c r="F173" s="10" t="n"/>
      <c r="H173" s="7" t="n"/>
    </row>
    <row r="174">
      <c r="E174" s="10" t="n"/>
      <c r="F174" s="10" t="n"/>
      <c r="H174" s="7" t="n"/>
    </row>
    <row r="175">
      <c r="E175" s="10" t="n"/>
      <c r="F175" s="10" t="n"/>
      <c r="H175" s="7" t="n"/>
    </row>
    <row r="176">
      <c r="E176" s="10" t="n"/>
      <c r="F176" s="10" t="n"/>
      <c r="H176" s="7" t="n"/>
    </row>
    <row r="177">
      <c r="E177" s="10" t="n"/>
      <c r="F177" s="10" t="n"/>
      <c r="H177" s="7" t="n"/>
    </row>
    <row r="178">
      <c r="E178" s="10" t="n"/>
      <c r="F178" s="10" t="n"/>
      <c r="H178" s="7" t="n"/>
    </row>
    <row r="179">
      <c r="E179" s="10" t="n"/>
      <c r="F179" s="10" t="n"/>
      <c r="H179" s="7" t="n"/>
    </row>
    <row r="180">
      <c r="E180" s="10" t="n"/>
      <c r="F180" s="10" t="n"/>
      <c r="H180" s="7" t="n"/>
    </row>
    <row r="181">
      <c r="E181" s="10" t="n"/>
      <c r="F181" s="10" t="n"/>
      <c r="H181" s="7" t="n"/>
    </row>
    <row r="182">
      <c r="E182" s="10" t="n"/>
      <c r="F182" s="10" t="n"/>
      <c r="H182" s="7" t="n"/>
    </row>
    <row r="183">
      <c r="E183" s="10" t="n"/>
      <c r="F183" s="10" t="n"/>
      <c r="H183" s="7" t="n"/>
    </row>
    <row r="184">
      <c r="E184" s="10" t="n"/>
      <c r="F184" s="10" t="n"/>
      <c r="H184" s="7" t="n"/>
    </row>
    <row r="185">
      <c r="E185" s="10" t="n"/>
      <c r="F185" s="10" t="n"/>
      <c r="H185" s="7" t="n"/>
    </row>
    <row r="186">
      <c r="E186" s="10" t="n"/>
      <c r="F186" s="10" t="n"/>
      <c r="H186" s="7" t="n"/>
    </row>
    <row r="187">
      <c r="E187" s="10" t="n"/>
      <c r="F187" s="10" t="n"/>
      <c r="H187" s="7" t="n"/>
    </row>
    <row r="188">
      <c r="E188" s="10" t="n"/>
      <c r="F188" s="10" t="n"/>
      <c r="H188" s="7" t="n"/>
    </row>
    <row r="189">
      <c r="E189" s="10" t="n"/>
      <c r="F189" s="10" t="n"/>
      <c r="H189" s="7" t="n"/>
    </row>
    <row r="190">
      <c r="E190" s="10" t="n"/>
      <c r="F190" s="10" t="n"/>
      <c r="H190" s="7" t="n"/>
    </row>
    <row r="191">
      <c r="E191" s="10" t="n"/>
      <c r="F191" s="10" t="n"/>
      <c r="H191" s="7" t="n"/>
    </row>
    <row r="192">
      <c r="E192" s="10" t="n"/>
      <c r="F192" s="10" t="n"/>
      <c r="H192" s="7" t="n"/>
    </row>
    <row r="193">
      <c r="E193" s="10" t="n"/>
      <c r="F193" s="10" t="n"/>
      <c r="H193" s="7" t="n"/>
    </row>
    <row r="194">
      <c r="E194" s="10" t="n"/>
      <c r="F194" s="10" t="n"/>
      <c r="H194" s="7" t="n"/>
    </row>
    <row r="195">
      <c r="E195" s="10" t="n"/>
      <c r="F195" s="10" t="n"/>
      <c r="H195" s="7" t="n"/>
    </row>
    <row r="196">
      <c r="E196" s="10" t="n"/>
      <c r="F196" s="10" t="n"/>
      <c r="H196" s="7" t="n"/>
    </row>
    <row r="197">
      <c r="E197" s="10" t="n"/>
      <c r="F197" s="10" t="n"/>
      <c r="H197" s="7" t="n"/>
    </row>
    <row r="198">
      <c r="E198" s="10" t="n"/>
      <c r="F198" s="10" t="n"/>
      <c r="H198" s="7" t="n"/>
    </row>
    <row r="199">
      <c r="E199" s="10" t="n"/>
      <c r="F199" s="10" t="n"/>
      <c r="H199" s="7" t="n"/>
    </row>
    <row r="200">
      <c r="E200" s="10" t="n"/>
      <c r="F200" s="10" t="n"/>
      <c r="H200" s="7" t="n"/>
    </row>
    <row r="201">
      <c r="E201" s="10" t="n"/>
      <c r="F201" s="10" t="n"/>
      <c r="H201" s="7" t="n"/>
    </row>
    <row r="202">
      <c r="E202" s="10" t="n"/>
      <c r="F202" s="10" t="n"/>
      <c r="H202" s="7" t="n"/>
    </row>
    <row r="203">
      <c r="E203" s="10" t="n"/>
      <c r="F203" s="10" t="n"/>
      <c r="H203" s="7" t="n"/>
    </row>
    <row r="204">
      <c r="E204" s="10" t="n"/>
      <c r="F204" s="10" t="n"/>
      <c r="H204" s="7" t="n"/>
    </row>
    <row r="205">
      <c r="E205" s="10" t="n"/>
      <c r="F205" s="10" t="n"/>
      <c r="H205" s="7" t="n"/>
    </row>
    <row r="206">
      <c r="E206" s="10" t="n"/>
      <c r="F206" s="10" t="n"/>
      <c r="H206" s="7" t="n"/>
    </row>
    <row r="207">
      <c r="E207" s="10" t="n"/>
      <c r="F207" s="10" t="n"/>
      <c r="H207" s="7" t="n"/>
    </row>
    <row r="208">
      <c r="E208" s="10" t="n"/>
      <c r="F208" s="10" t="n"/>
      <c r="H208" s="7" t="n"/>
    </row>
    <row r="209">
      <c r="E209" s="10" t="n"/>
      <c r="F209" s="10" t="n"/>
      <c r="H209" s="7" t="n"/>
    </row>
    <row r="210">
      <c r="E210" s="10" t="n"/>
      <c r="F210" s="10" t="n"/>
      <c r="H210" s="7" t="n"/>
    </row>
    <row r="211">
      <c r="E211" s="10" t="n"/>
      <c r="F211" s="10" t="n"/>
      <c r="H211" s="7" t="n"/>
    </row>
    <row r="212">
      <c r="E212" s="10" t="n"/>
      <c r="F212" s="10" t="n"/>
      <c r="H212" s="7" t="n"/>
    </row>
    <row r="213">
      <c r="E213" s="10" t="n"/>
      <c r="F213" s="10" t="n"/>
      <c r="H213" s="7" t="n"/>
    </row>
    <row r="214">
      <c r="E214" s="10" t="n"/>
      <c r="F214" s="10" t="n"/>
      <c r="H214" s="7" t="n"/>
    </row>
    <row r="215">
      <c r="E215" s="10" t="n"/>
      <c r="F215" s="10" t="n"/>
      <c r="H215" s="7" t="n"/>
    </row>
    <row r="216">
      <c r="E216" s="10" t="n"/>
      <c r="F216" s="10" t="n"/>
      <c r="H216" s="7" t="n"/>
    </row>
    <row r="217">
      <c r="E217" s="10" t="n"/>
      <c r="F217" s="10" t="n"/>
      <c r="H217" s="7" t="n"/>
    </row>
    <row r="218">
      <c r="E218" s="10" t="n"/>
      <c r="F218" s="10" t="n"/>
      <c r="H218" s="7" t="n"/>
    </row>
    <row r="219">
      <c r="E219" s="10" t="n"/>
      <c r="F219" s="10" t="n"/>
      <c r="H219" s="7" t="n"/>
    </row>
    <row r="220">
      <c r="E220" s="10" t="n"/>
      <c r="F220" s="10" t="n"/>
      <c r="H220" s="7" t="n"/>
    </row>
    <row r="221">
      <c r="E221" s="10" t="n"/>
      <c r="F221" s="10" t="n"/>
      <c r="H221" s="7" t="n"/>
    </row>
    <row r="222">
      <c r="E222" s="10" t="n"/>
      <c r="F222" s="10" t="n"/>
      <c r="H222" s="7" t="n"/>
    </row>
    <row r="223">
      <c r="E223" s="10" t="n"/>
      <c r="F223" s="10" t="n"/>
      <c r="H223" s="7" t="n"/>
    </row>
    <row r="224">
      <c r="E224" s="10" t="n"/>
      <c r="F224" s="10" t="n"/>
      <c r="H224" s="7" t="n"/>
    </row>
    <row r="225">
      <c r="E225" s="10" t="n"/>
      <c r="F225" s="10" t="n"/>
      <c r="H225" s="7" t="n"/>
    </row>
    <row r="226">
      <c r="E226" s="10" t="n"/>
      <c r="F226" s="10" t="n"/>
      <c r="H226" s="7" t="n"/>
    </row>
    <row r="227">
      <c r="E227" s="10" t="n"/>
      <c r="F227" s="10" t="n"/>
      <c r="H227" s="7" t="n"/>
    </row>
    <row r="228">
      <c r="E228" s="10" t="n"/>
      <c r="F228" s="10" t="n"/>
      <c r="H228" s="7" t="n"/>
    </row>
    <row r="229">
      <c r="E229" s="10" t="n"/>
      <c r="F229" s="10" t="n"/>
      <c r="H229" s="7" t="n"/>
    </row>
    <row r="230">
      <c r="E230" s="10" t="n"/>
      <c r="F230" s="10" t="n"/>
      <c r="H230" s="7" t="n"/>
    </row>
    <row r="231">
      <c r="E231" s="10" t="n"/>
      <c r="F231" s="10" t="n"/>
      <c r="H231" s="7" t="n"/>
    </row>
    <row r="232">
      <c r="E232" s="10" t="n"/>
      <c r="F232" s="10" t="n"/>
      <c r="H232" s="7" t="n"/>
    </row>
    <row r="233">
      <c r="E233" s="10" t="n"/>
      <c r="F233" s="10" t="n"/>
      <c r="H233" s="7" t="n"/>
    </row>
    <row r="234">
      <c r="E234" s="10" t="n"/>
      <c r="F234" s="10" t="n"/>
      <c r="H234" s="7" t="n"/>
    </row>
    <row r="235">
      <c r="E235" s="10" t="n"/>
      <c r="F235" s="10" t="n"/>
      <c r="H235" s="7" t="n"/>
    </row>
    <row r="236">
      <c r="E236" s="10" t="n"/>
      <c r="F236" s="10" t="n"/>
      <c r="H236" s="7" t="n"/>
    </row>
    <row r="237">
      <c r="E237" s="10" t="n"/>
      <c r="F237" s="10" t="n"/>
      <c r="H237" s="7" t="n"/>
    </row>
    <row r="238">
      <c r="E238" s="10" t="n"/>
      <c r="F238" s="10" t="n"/>
      <c r="H238" s="7" t="n"/>
    </row>
    <row r="239">
      <c r="E239" s="10" t="n"/>
      <c r="F239" s="10" t="n"/>
      <c r="H239" s="7" t="n"/>
    </row>
    <row r="240">
      <c r="E240" s="10" t="n"/>
      <c r="F240" s="10" t="n"/>
      <c r="H240" s="7" t="n"/>
    </row>
    <row r="241">
      <c r="E241" s="10" t="n"/>
      <c r="F241" s="10" t="n"/>
      <c r="H241" s="7" t="n"/>
    </row>
    <row r="242">
      <c r="E242" s="10" t="n"/>
      <c r="F242" s="10" t="n"/>
      <c r="H242" s="7" t="n"/>
    </row>
    <row r="243">
      <c r="E243" s="10" t="n"/>
      <c r="F243" s="10" t="n"/>
      <c r="H243" s="7" t="n"/>
    </row>
    <row r="244">
      <c r="E244" s="10" t="n"/>
      <c r="F244" s="10" t="n"/>
      <c r="H244" s="7" t="n"/>
    </row>
    <row r="245">
      <c r="E245" s="10" t="n"/>
      <c r="F245" s="10" t="n"/>
      <c r="H245" s="7" t="n"/>
    </row>
    <row r="246">
      <c r="E246" s="10" t="n"/>
      <c r="F246" s="10" t="n"/>
      <c r="H246" s="7" t="n"/>
    </row>
    <row r="247">
      <c r="E247" s="10" t="n"/>
      <c r="F247" s="10" t="n"/>
      <c r="H247" s="7" t="n"/>
    </row>
    <row r="248">
      <c r="E248" s="10" t="n"/>
      <c r="F248" s="10" t="n"/>
      <c r="H248" s="7" t="n"/>
    </row>
    <row r="249">
      <c r="E249" s="10" t="n"/>
      <c r="F249" s="10" t="n"/>
      <c r="H249" s="7" t="n"/>
    </row>
    <row r="250">
      <c r="E250" s="10" t="n"/>
      <c r="F250" s="10" t="n"/>
      <c r="H250" s="7" t="n"/>
    </row>
    <row r="251">
      <c r="E251" s="10" t="n"/>
      <c r="F251" s="10" t="n"/>
      <c r="H251" s="7" t="n"/>
    </row>
    <row r="252">
      <c r="E252" s="10" t="n"/>
      <c r="F252" s="10" t="n"/>
      <c r="H252" s="7" t="n"/>
    </row>
    <row r="253">
      <c r="E253" s="10" t="n"/>
      <c r="F253" s="10" t="n"/>
      <c r="H253" s="7" t="n"/>
    </row>
    <row r="254">
      <c r="E254" s="10" t="n"/>
      <c r="F254" s="10" t="n"/>
      <c r="H254" s="7" t="n"/>
    </row>
    <row r="255">
      <c r="E255" s="10" t="n"/>
      <c r="F255" s="10" t="n"/>
      <c r="H255" s="7" t="n"/>
    </row>
    <row r="256">
      <c r="E256" s="10" t="n"/>
      <c r="F256" s="10" t="n"/>
      <c r="H256" s="7" t="n"/>
    </row>
    <row r="257">
      <c r="E257" s="10" t="n"/>
      <c r="F257" s="10" t="n"/>
      <c r="H257" s="7" t="n"/>
    </row>
    <row r="258">
      <c r="E258" s="10" t="n"/>
      <c r="F258" s="10" t="n"/>
      <c r="H258" s="7" t="n"/>
    </row>
    <row r="259">
      <c r="E259" s="10" t="n"/>
      <c r="F259" s="10" t="n"/>
      <c r="H259" s="7" t="n"/>
    </row>
    <row r="260">
      <c r="E260" s="10" t="n"/>
      <c r="F260" s="10" t="n"/>
      <c r="H260" s="7" t="n"/>
    </row>
    <row r="261">
      <c r="E261" s="10" t="n"/>
      <c r="F261" s="10" t="n"/>
      <c r="H261" s="7" t="n"/>
    </row>
    <row r="262">
      <c r="E262" s="10" t="n"/>
      <c r="F262" s="10" t="n"/>
      <c r="H262" s="7" t="n"/>
    </row>
    <row r="263">
      <c r="E263" s="10" t="n"/>
      <c r="F263" s="10" t="n"/>
      <c r="H263" s="7" t="n"/>
    </row>
    <row r="264">
      <c r="E264" s="10" t="n"/>
      <c r="F264" s="10" t="n"/>
      <c r="H264" s="7" t="n"/>
    </row>
    <row r="265">
      <c r="E265" s="10" t="n"/>
      <c r="F265" s="10" t="n"/>
      <c r="H265" s="7" t="n"/>
    </row>
    <row r="266">
      <c r="E266" s="10" t="n"/>
      <c r="F266" s="10" t="n"/>
      <c r="H266" s="7" t="n"/>
    </row>
    <row r="267">
      <c r="E267" s="10" t="n"/>
      <c r="F267" s="10" t="n"/>
      <c r="H267" s="7" t="n"/>
    </row>
    <row r="268">
      <c r="E268" s="10" t="n"/>
      <c r="F268" s="10" t="n"/>
      <c r="H268" s="7" t="n"/>
    </row>
    <row r="269">
      <c r="E269" s="10" t="n"/>
      <c r="F269" s="10" t="n"/>
      <c r="H269" s="7" t="n"/>
    </row>
    <row r="270">
      <c r="E270" s="10" t="n"/>
      <c r="F270" s="10" t="n"/>
      <c r="H270" s="7" t="n"/>
    </row>
    <row r="271">
      <c r="E271" s="10" t="n"/>
      <c r="F271" s="10" t="n"/>
      <c r="H271" s="7" t="n"/>
    </row>
    <row r="272">
      <c r="E272" s="10" t="n"/>
      <c r="F272" s="10" t="n"/>
      <c r="H272" s="7" t="n"/>
    </row>
    <row r="273">
      <c r="E273" s="10" t="n"/>
      <c r="F273" s="10" t="n"/>
      <c r="H273" s="7" t="n"/>
    </row>
    <row r="274">
      <c r="E274" s="10" t="n"/>
      <c r="F274" s="10" t="n"/>
      <c r="H274" s="7" t="n"/>
    </row>
    <row r="275">
      <c r="E275" s="10" t="n"/>
      <c r="F275" s="10" t="n"/>
      <c r="H275" s="7" t="n"/>
    </row>
    <row r="276">
      <c r="E276" s="10" t="n"/>
      <c r="F276" s="10" t="n"/>
      <c r="H276" s="7" t="n"/>
    </row>
    <row r="277">
      <c r="E277" s="10" t="n"/>
      <c r="F277" s="10" t="n"/>
      <c r="H277" s="7" t="n"/>
    </row>
    <row r="278">
      <c r="E278" s="10" t="n"/>
      <c r="F278" s="10" t="n"/>
      <c r="H278" s="7" t="n"/>
    </row>
    <row r="279">
      <c r="E279" s="10" t="n"/>
      <c r="F279" s="10" t="n"/>
      <c r="H279" s="7" t="n"/>
    </row>
    <row r="280">
      <c r="E280" s="10" t="n"/>
      <c r="F280" s="10" t="n"/>
      <c r="H280" s="7" t="n"/>
    </row>
    <row r="281">
      <c r="E281" s="10" t="n"/>
      <c r="F281" s="10" t="n"/>
      <c r="H281" s="7" t="n"/>
    </row>
    <row r="282">
      <c r="E282" s="10" t="n"/>
      <c r="F282" s="10" t="n"/>
      <c r="H282" s="7" t="n"/>
    </row>
    <row r="283">
      <c r="E283" s="10" t="n"/>
      <c r="F283" s="10" t="n"/>
      <c r="H283" s="7" t="n"/>
    </row>
    <row r="284">
      <c r="E284" s="10" t="n"/>
      <c r="F284" s="10" t="n"/>
      <c r="H284" s="7" t="n"/>
    </row>
    <row r="285">
      <c r="E285" s="10" t="n"/>
      <c r="F285" s="10" t="n"/>
      <c r="H285" s="7" t="n"/>
    </row>
    <row r="286">
      <c r="E286" s="10" t="n"/>
      <c r="F286" s="10" t="n"/>
      <c r="H286" s="7" t="n"/>
    </row>
    <row r="287">
      <c r="E287" s="10" t="n"/>
      <c r="F287" s="10" t="n"/>
      <c r="H287" s="7" t="n"/>
    </row>
    <row r="288">
      <c r="E288" s="10" t="n"/>
      <c r="F288" s="10" t="n"/>
      <c r="H288" s="7" t="n"/>
    </row>
    <row r="289">
      <c r="E289" s="10" t="n"/>
      <c r="F289" s="10" t="n"/>
      <c r="H289" s="7" t="n"/>
    </row>
    <row r="290">
      <c r="E290" s="10" t="n"/>
      <c r="F290" s="10" t="n"/>
      <c r="H290" s="7" t="n"/>
    </row>
    <row r="291">
      <c r="E291" s="10" t="n"/>
      <c r="F291" s="10" t="n"/>
      <c r="H291" s="7" t="n"/>
    </row>
    <row r="292">
      <c r="E292" s="10" t="n"/>
      <c r="F292" s="10" t="n"/>
      <c r="H292" s="7" t="n"/>
    </row>
    <row r="293">
      <c r="E293" s="10" t="n"/>
      <c r="F293" s="10" t="n"/>
      <c r="H293" s="7" t="n"/>
    </row>
    <row r="294">
      <c r="E294" s="10" t="n"/>
      <c r="F294" s="10" t="n"/>
      <c r="H294" s="7" t="n"/>
    </row>
    <row r="295">
      <c r="E295" s="10" t="n"/>
      <c r="F295" s="10" t="n"/>
      <c r="H295" s="7" t="n"/>
    </row>
    <row r="296">
      <c r="E296" s="10" t="n"/>
      <c r="F296" s="10" t="n"/>
      <c r="H296" s="7" t="n"/>
    </row>
    <row r="297">
      <c r="E297" s="10" t="n"/>
      <c r="F297" s="10" t="n"/>
      <c r="H297" s="7" t="n"/>
    </row>
    <row r="298">
      <c r="E298" s="10" t="n"/>
      <c r="F298" s="10" t="n"/>
      <c r="H298" s="7" t="n"/>
    </row>
    <row r="299">
      <c r="E299" s="10" t="n"/>
      <c r="F299" s="10" t="n"/>
      <c r="H299" s="7" t="n"/>
    </row>
    <row r="300">
      <c r="E300" s="10" t="n"/>
      <c r="F300" s="10" t="n"/>
      <c r="H300" s="7" t="n"/>
    </row>
    <row r="301">
      <c r="E301" s="10" t="n"/>
      <c r="F301" s="10" t="n"/>
      <c r="H301" s="7" t="n"/>
    </row>
    <row r="302">
      <c r="E302" s="10" t="n"/>
      <c r="F302" s="10" t="n"/>
      <c r="H302" s="7" t="n"/>
    </row>
    <row r="303">
      <c r="E303" s="10" t="n"/>
      <c r="F303" s="10" t="n"/>
      <c r="H303" s="7" t="n"/>
    </row>
    <row r="304">
      <c r="E304" s="10" t="n"/>
      <c r="F304" s="10" t="n"/>
      <c r="H304" s="7" t="n"/>
    </row>
    <row r="305">
      <c r="E305" s="10" t="n"/>
      <c r="F305" s="10" t="n"/>
      <c r="H305" s="7" t="n"/>
    </row>
    <row r="306">
      <c r="E306" s="10" t="n"/>
      <c r="F306" s="10" t="n"/>
      <c r="H306" s="7" t="n"/>
    </row>
    <row r="307">
      <c r="E307" s="10" t="n"/>
      <c r="F307" s="10" t="n"/>
      <c r="H307" s="7" t="n"/>
    </row>
    <row r="308">
      <c r="E308" s="10" t="n"/>
      <c r="F308" s="10" t="n"/>
      <c r="H308" s="7" t="n"/>
    </row>
    <row r="309">
      <c r="E309" s="10" t="n"/>
      <c r="F309" s="10" t="n"/>
      <c r="H309" s="7" t="n"/>
    </row>
    <row r="310">
      <c r="E310" s="10" t="n"/>
      <c r="F310" s="10" t="n"/>
      <c r="H310" s="7" t="n"/>
    </row>
    <row r="311">
      <c r="E311" s="10" t="n"/>
      <c r="F311" s="10" t="n"/>
      <c r="H311" s="7" t="n"/>
    </row>
    <row r="312">
      <c r="E312" s="10" t="n"/>
      <c r="F312" s="10" t="n"/>
      <c r="H312" s="7" t="n"/>
    </row>
    <row r="313">
      <c r="E313" s="10" t="n"/>
      <c r="F313" s="10" t="n"/>
      <c r="H313" s="7" t="n"/>
    </row>
    <row r="314">
      <c r="E314" s="10" t="n"/>
      <c r="F314" s="10" t="n"/>
      <c r="H314" s="7" t="n"/>
    </row>
    <row r="315">
      <c r="E315" s="10" t="n"/>
      <c r="F315" s="10" t="n"/>
      <c r="H315" s="7" t="n"/>
    </row>
    <row r="316">
      <c r="E316" s="10" t="n"/>
      <c r="F316" s="10" t="n"/>
      <c r="H316" s="7" t="n"/>
    </row>
    <row r="317">
      <c r="E317" s="10" t="n"/>
      <c r="F317" s="10" t="n"/>
      <c r="H317" s="7" t="n"/>
    </row>
    <row r="318">
      <c r="E318" s="10" t="n"/>
      <c r="F318" s="10" t="n"/>
      <c r="H318" s="7" t="n"/>
    </row>
    <row r="319">
      <c r="E319" s="10" t="n"/>
      <c r="F319" s="10" t="n"/>
      <c r="H319" s="7" t="n"/>
    </row>
    <row r="320">
      <c r="E320" s="10" t="n"/>
      <c r="F320" s="10" t="n"/>
      <c r="H320" s="7" t="n"/>
    </row>
    <row r="321">
      <c r="E321" s="10" t="n"/>
      <c r="F321" s="10" t="n"/>
      <c r="H321" s="7" t="n"/>
    </row>
    <row r="322">
      <c r="E322" s="10" t="n"/>
      <c r="F322" s="10" t="n"/>
      <c r="H322" s="7" t="n"/>
    </row>
    <row r="323">
      <c r="E323" s="10" t="n"/>
      <c r="F323" s="10" t="n"/>
      <c r="H323" s="7" t="n"/>
    </row>
    <row r="324">
      <c r="E324" s="10" t="n"/>
      <c r="F324" s="10" t="n"/>
      <c r="H324" s="7" t="n"/>
    </row>
    <row r="325">
      <c r="E325" s="10" t="n"/>
      <c r="F325" s="10" t="n"/>
      <c r="H325" s="7" t="n"/>
    </row>
    <row r="326">
      <c r="E326" s="10" t="n"/>
      <c r="F326" s="10" t="n"/>
      <c r="H326" s="7" t="n"/>
    </row>
    <row r="327">
      <c r="E327" s="10" t="n"/>
      <c r="F327" s="10" t="n"/>
      <c r="H327" s="7" t="n"/>
    </row>
    <row r="328">
      <c r="E328" s="10" t="n"/>
      <c r="F328" s="10" t="n"/>
      <c r="H328" s="7" t="n"/>
    </row>
    <row r="329">
      <c r="E329" s="10" t="n"/>
      <c r="F329" s="10" t="n"/>
      <c r="H329" s="7" t="n"/>
    </row>
    <row r="330">
      <c r="E330" s="10" t="n"/>
      <c r="F330" s="10" t="n"/>
      <c r="H330" s="7" t="n"/>
    </row>
    <row r="331">
      <c r="E331" s="10" t="n"/>
      <c r="F331" s="10" t="n"/>
      <c r="H331" s="7" t="n"/>
    </row>
    <row r="332">
      <c r="E332" s="10" t="n"/>
      <c r="F332" s="10" t="n"/>
      <c r="H332" s="7" t="n"/>
    </row>
    <row r="333">
      <c r="E333" s="10" t="n"/>
      <c r="F333" s="10" t="n"/>
      <c r="H333" s="7" t="n"/>
    </row>
    <row r="334">
      <c r="E334" s="10" t="n"/>
      <c r="F334" s="10" t="n"/>
      <c r="H334" s="7" t="n"/>
    </row>
    <row r="335">
      <c r="E335" s="10" t="n"/>
      <c r="F335" s="10" t="n"/>
      <c r="H335" s="7" t="n"/>
    </row>
    <row r="336">
      <c r="E336" s="10" t="n"/>
      <c r="F336" s="10" t="n"/>
      <c r="H336" s="7" t="n"/>
    </row>
    <row r="337">
      <c r="E337" s="10" t="n"/>
      <c r="F337" s="10" t="n"/>
      <c r="H337" s="7" t="n"/>
    </row>
    <row r="338">
      <c r="E338" s="10" t="n"/>
      <c r="F338" s="10" t="n"/>
      <c r="H338" s="7" t="n"/>
    </row>
    <row r="339">
      <c r="E339" s="10" t="n"/>
      <c r="F339" s="10" t="n"/>
      <c r="H339" s="7" t="n"/>
    </row>
    <row r="340">
      <c r="E340" s="10" t="n"/>
      <c r="F340" s="10" t="n"/>
      <c r="H340" s="7" t="n"/>
    </row>
    <row r="341">
      <c r="E341" s="10" t="n"/>
      <c r="F341" s="10" t="n"/>
      <c r="H341" s="7" t="n"/>
    </row>
    <row r="342">
      <c r="E342" s="10" t="n"/>
      <c r="F342" s="10" t="n"/>
      <c r="H342" s="7" t="n"/>
    </row>
    <row r="343">
      <c r="E343" s="10" t="n"/>
      <c r="F343" s="10" t="n"/>
      <c r="H343" s="7" t="n"/>
    </row>
    <row r="344">
      <c r="E344" s="10" t="n"/>
      <c r="F344" s="10" t="n"/>
      <c r="H344" s="7" t="n"/>
    </row>
    <row r="345">
      <c r="E345" s="10" t="n"/>
      <c r="F345" s="10" t="n"/>
      <c r="H345" s="7" t="n"/>
    </row>
    <row r="346">
      <c r="E346" s="10" t="n"/>
      <c r="F346" s="10" t="n"/>
      <c r="H346" s="7" t="n"/>
    </row>
    <row r="347">
      <c r="E347" s="10" t="n"/>
      <c r="F347" s="10" t="n"/>
      <c r="H347" s="7" t="n"/>
    </row>
    <row r="348">
      <c r="E348" s="10" t="n"/>
      <c r="F348" s="10" t="n"/>
      <c r="H348" s="7" t="n"/>
    </row>
    <row r="349">
      <c r="E349" s="10" t="n"/>
      <c r="F349" s="10" t="n"/>
      <c r="H349" s="7" t="n"/>
    </row>
    <row r="350">
      <c r="E350" s="10" t="n"/>
      <c r="F350" s="10" t="n"/>
      <c r="H350" s="7" t="n"/>
    </row>
    <row r="351">
      <c r="E351" s="10" t="n"/>
      <c r="F351" s="10" t="n"/>
      <c r="H351" s="7" t="n"/>
    </row>
    <row r="352">
      <c r="E352" s="10" t="n"/>
      <c r="F352" s="10" t="n"/>
      <c r="H352" s="7" t="n"/>
    </row>
    <row r="353">
      <c r="E353" s="10" t="n"/>
      <c r="F353" s="10" t="n"/>
      <c r="H353" s="7" t="n"/>
    </row>
    <row r="354">
      <c r="E354" s="10" t="n"/>
      <c r="F354" s="10" t="n"/>
      <c r="H354" s="7" t="n"/>
    </row>
    <row r="355">
      <c r="E355" s="10" t="n"/>
      <c r="F355" s="10" t="n"/>
      <c r="H355" s="7" t="n"/>
    </row>
    <row r="356">
      <c r="E356" s="10" t="n"/>
      <c r="F356" s="10" t="n"/>
      <c r="H356" s="7" t="n"/>
    </row>
    <row r="357">
      <c r="E357" s="10" t="n"/>
      <c r="F357" s="10" t="n"/>
      <c r="H357" s="7" t="n"/>
    </row>
    <row r="358">
      <c r="E358" s="10" t="n"/>
      <c r="F358" s="10" t="n"/>
      <c r="H358" s="7" t="n"/>
    </row>
    <row r="359">
      <c r="E359" s="10" t="n"/>
      <c r="F359" s="10" t="n"/>
      <c r="H359" s="7" t="n"/>
    </row>
    <row r="360">
      <c r="E360" s="10" t="n"/>
      <c r="F360" s="10" t="n"/>
      <c r="H360" s="7" t="n"/>
    </row>
    <row r="361">
      <c r="E361" s="10" t="n"/>
      <c r="F361" s="10" t="n"/>
      <c r="H361" s="7" t="n"/>
    </row>
    <row r="362">
      <c r="E362" s="10" t="n"/>
      <c r="F362" s="10" t="n"/>
      <c r="H362" s="7" t="n"/>
    </row>
    <row r="363">
      <c r="E363" s="10" t="n"/>
      <c r="F363" s="10" t="n"/>
      <c r="H363" s="7" t="n"/>
    </row>
    <row r="364">
      <c r="E364" s="10" t="n"/>
      <c r="F364" s="10" t="n"/>
      <c r="H364" s="7" t="n"/>
    </row>
    <row r="365">
      <c r="E365" s="10" t="n"/>
      <c r="F365" s="10" t="n"/>
      <c r="H365" s="7" t="n"/>
    </row>
    <row r="366">
      <c r="E366" s="10" t="n"/>
      <c r="F366" s="10" t="n"/>
      <c r="H366" s="7" t="n"/>
    </row>
    <row r="367">
      <c r="E367" s="10" t="n"/>
      <c r="F367" s="10" t="n"/>
      <c r="H367" s="7" t="n"/>
    </row>
    <row r="368">
      <c r="E368" s="10" t="n"/>
      <c r="F368" s="10" t="n"/>
      <c r="H368" s="7" t="n"/>
    </row>
    <row r="369">
      <c r="E369" s="10" t="n"/>
      <c r="F369" s="10" t="n"/>
      <c r="H369" s="7" t="n"/>
    </row>
    <row r="370">
      <c r="E370" s="10" t="n"/>
      <c r="F370" s="10" t="n"/>
      <c r="H370" s="7" t="n"/>
    </row>
    <row r="371">
      <c r="E371" s="10" t="n"/>
      <c r="F371" s="10" t="n"/>
      <c r="H371" s="7" t="n"/>
    </row>
    <row r="372">
      <c r="E372" s="10" t="n"/>
      <c r="F372" s="10" t="n"/>
      <c r="H372" s="7" t="n"/>
    </row>
    <row r="373">
      <c r="E373" s="10" t="n"/>
      <c r="F373" s="10" t="n"/>
      <c r="H373" s="7" t="n"/>
    </row>
    <row r="374">
      <c r="E374" s="10" t="n"/>
      <c r="F374" s="10" t="n"/>
      <c r="H374" s="7" t="n"/>
    </row>
    <row r="375">
      <c r="E375" s="10" t="n"/>
      <c r="F375" s="10" t="n"/>
      <c r="H375" s="7" t="n"/>
    </row>
    <row r="376">
      <c r="E376" s="10" t="n"/>
      <c r="F376" s="10" t="n"/>
      <c r="H376" s="7" t="n"/>
    </row>
    <row r="377">
      <c r="E377" s="10" t="n"/>
      <c r="F377" s="10" t="n"/>
      <c r="H377" s="7" t="n"/>
    </row>
    <row r="378">
      <c r="E378" s="10" t="n"/>
      <c r="F378" s="10" t="n"/>
      <c r="H378" s="7" t="n"/>
    </row>
    <row r="379">
      <c r="E379" s="10" t="n"/>
      <c r="F379" s="10" t="n"/>
      <c r="H379" s="7" t="n"/>
    </row>
    <row r="380">
      <c r="E380" s="10" t="n"/>
      <c r="F380" s="10" t="n"/>
      <c r="H380" s="7" t="n"/>
    </row>
    <row r="381">
      <c r="E381" s="10" t="n"/>
      <c r="F381" s="10" t="n"/>
      <c r="H381" s="7" t="n"/>
    </row>
    <row r="382">
      <c r="E382" s="10" t="n"/>
      <c r="F382" s="10" t="n"/>
      <c r="H382" s="7" t="n"/>
    </row>
    <row r="383">
      <c r="E383" s="10" t="n"/>
      <c r="F383" s="10" t="n"/>
      <c r="H383" s="7" t="n"/>
    </row>
    <row r="384">
      <c r="E384" s="10" t="n"/>
      <c r="F384" s="10" t="n"/>
      <c r="H384" s="7" t="n"/>
    </row>
    <row r="385">
      <c r="E385" s="10" t="n"/>
      <c r="F385" s="10" t="n"/>
      <c r="H385" s="7" t="n"/>
    </row>
    <row r="386">
      <c r="E386" s="10" t="n"/>
      <c r="F386" s="10" t="n"/>
      <c r="H386" s="7" t="n"/>
    </row>
    <row r="387">
      <c r="E387" s="10" t="n"/>
      <c r="F387" s="10" t="n"/>
      <c r="H387" s="7" t="n"/>
    </row>
    <row r="388">
      <c r="E388" s="10" t="n"/>
      <c r="F388" s="10" t="n"/>
      <c r="H388" s="7" t="n"/>
    </row>
    <row r="389">
      <c r="E389" s="10" t="n"/>
      <c r="F389" s="10" t="n"/>
      <c r="H389" s="7" t="n"/>
    </row>
    <row r="390">
      <c r="E390" s="10" t="n"/>
      <c r="F390" s="10" t="n"/>
      <c r="H390" s="7" t="n"/>
    </row>
    <row r="391">
      <c r="E391" s="10" t="n"/>
      <c r="F391" s="10" t="n"/>
      <c r="H391" s="7" t="n"/>
    </row>
    <row r="392">
      <c r="E392" s="10" t="n"/>
      <c r="F392" s="10" t="n"/>
      <c r="H392" s="7" t="n"/>
    </row>
    <row r="393">
      <c r="E393" s="10" t="n"/>
      <c r="F393" s="10" t="n"/>
      <c r="H393" s="7" t="n"/>
    </row>
    <row r="394">
      <c r="E394" s="10" t="n"/>
      <c r="F394" s="10" t="n"/>
      <c r="H394" s="7" t="n"/>
    </row>
    <row r="395">
      <c r="E395" s="10" t="n"/>
      <c r="F395" s="10" t="n"/>
      <c r="H395" s="7" t="n"/>
    </row>
    <row r="396">
      <c r="E396" s="10" t="n"/>
      <c r="F396" s="10" t="n"/>
      <c r="H396" s="7" t="n"/>
    </row>
    <row r="397">
      <c r="E397" s="10" t="n"/>
      <c r="F397" s="10" t="n"/>
      <c r="H397" s="7" t="n"/>
    </row>
    <row r="398">
      <c r="E398" s="10" t="n"/>
      <c r="F398" s="10" t="n"/>
      <c r="H398" s="7" t="n"/>
    </row>
    <row r="399">
      <c r="E399" s="10" t="n"/>
      <c r="F399" s="10" t="n"/>
      <c r="H399" s="7" t="n"/>
    </row>
    <row r="400">
      <c r="E400" s="10" t="n"/>
      <c r="F400" s="10" t="n"/>
      <c r="H400" s="7" t="n"/>
    </row>
    <row r="401">
      <c r="E401" s="10" t="n"/>
      <c r="F401" s="10" t="n"/>
      <c r="H401" s="7" t="n"/>
    </row>
    <row r="402">
      <c r="E402" s="10" t="n"/>
      <c r="F402" s="10" t="n"/>
      <c r="H402" s="7" t="n"/>
    </row>
    <row r="403">
      <c r="E403" s="10" t="n"/>
      <c r="F403" s="10" t="n"/>
      <c r="H403" s="7" t="n"/>
    </row>
    <row r="404">
      <c r="E404" s="10" t="n"/>
      <c r="F404" s="10" t="n"/>
      <c r="H404" s="7" t="n"/>
    </row>
    <row r="405">
      <c r="E405" s="10" t="n"/>
      <c r="F405" s="10" t="n"/>
      <c r="H405" s="7" t="n"/>
    </row>
    <row r="406">
      <c r="E406" s="10" t="n"/>
      <c r="F406" s="10" t="n"/>
      <c r="H406" s="7" t="n"/>
    </row>
    <row r="407">
      <c r="E407" s="10" t="n"/>
      <c r="F407" s="10" t="n"/>
      <c r="H407" s="7" t="n"/>
    </row>
    <row r="408">
      <c r="E408" s="10" t="n"/>
      <c r="F408" s="10" t="n"/>
      <c r="H408" s="7" t="n"/>
    </row>
    <row r="409">
      <c r="E409" s="10" t="n"/>
      <c r="F409" s="10" t="n"/>
      <c r="H409" s="7" t="n"/>
    </row>
    <row r="410">
      <c r="E410" s="10" t="n"/>
      <c r="F410" s="10" t="n"/>
      <c r="H410" s="7" t="n"/>
    </row>
    <row r="411">
      <c r="E411" s="10" t="n"/>
      <c r="F411" s="10" t="n"/>
      <c r="H411" s="7" t="n"/>
    </row>
    <row r="412">
      <c r="E412" s="10" t="n"/>
      <c r="F412" s="10" t="n"/>
      <c r="H412" s="7" t="n"/>
    </row>
    <row r="413">
      <c r="E413" s="10" t="n"/>
      <c r="F413" s="10" t="n"/>
      <c r="H413" s="7" t="n"/>
    </row>
    <row r="414">
      <c r="E414" s="10" t="n"/>
      <c r="F414" s="10" t="n"/>
      <c r="H414" s="7" t="n"/>
    </row>
    <row r="415">
      <c r="E415" s="10" t="n"/>
      <c r="F415" s="10" t="n"/>
      <c r="H415" s="7" t="n"/>
    </row>
    <row r="416">
      <c r="E416" s="10" t="n"/>
      <c r="F416" s="10" t="n"/>
      <c r="H416" s="7" t="n"/>
    </row>
    <row r="417">
      <c r="E417" s="10" t="n"/>
      <c r="F417" s="10" t="n"/>
      <c r="H417" s="7" t="n"/>
    </row>
    <row r="418">
      <c r="E418" s="10" t="n"/>
      <c r="F418" s="10" t="n"/>
      <c r="H418" s="7" t="n"/>
    </row>
    <row r="419">
      <c r="E419" s="10" t="n"/>
      <c r="F419" s="10" t="n"/>
      <c r="H419" s="7" t="n"/>
    </row>
    <row r="420">
      <c r="E420" s="10" t="n"/>
      <c r="F420" s="10" t="n"/>
      <c r="H420" s="7" t="n"/>
    </row>
    <row r="421">
      <c r="E421" s="10" t="n"/>
      <c r="F421" s="10" t="n"/>
      <c r="H421" s="7" t="n"/>
    </row>
    <row r="422">
      <c r="E422" s="10" t="n"/>
      <c r="F422" s="10" t="n"/>
      <c r="H422" s="7" t="n"/>
    </row>
    <row r="423">
      <c r="E423" s="10" t="n"/>
      <c r="F423" s="10" t="n"/>
      <c r="H423" s="7" t="n"/>
    </row>
    <row r="424">
      <c r="E424" s="10" t="n"/>
      <c r="F424" s="10" t="n"/>
      <c r="H424" s="7" t="n"/>
    </row>
    <row r="425">
      <c r="E425" s="10" t="n"/>
      <c r="F425" s="10" t="n"/>
      <c r="H425" s="7" t="n"/>
    </row>
    <row r="426">
      <c r="E426" s="10" t="n"/>
      <c r="F426" s="10" t="n"/>
      <c r="H426" s="7" t="n"/>
    </row>
    <row r="427">
      <c r="E427" s="10" t="n"/>
      <c r="F427" s="10" t="n"/>
      <c r="H427" s="7" t="n"/>
    </row>
    <row r="428">
      <c r="E428" s="10" t="n"/>
      <c r="F428" s="10" t="n"/>
      <c r="H428" s="7" t="n"/>
    </row>
    <row r="429">
      <c r="E429" s="10" t="n"/>
      <c r="F429" s="10" t="n"/>
      <c r="H429" s="7" t="n"/>
    </row>
    <row r="430">
      <c r="E430" s="10" t="n"/>
      <c r="F430" s="10" t="n"/>
      <c r="H430" s="7" t="n"/>
    </row>
    <row r="431">
      <c r="E431" s="10" t="n"/>
      <c r="F431" s="10" t="n"/>
      <c r="H431" s="7" t="n"/>
    </row>
    <row r="432">
      <c r="E432" s="10" t="n"/>
      <c r="F432" s="10" t="n"/>
      <c r="H432" s="7" t="n"/>
    </row>
    <row r="433">
      <c r="E433" s="10" t="n"/>
      <c r="F433" s="10" t="n"/>
      <c r="H433" s="7" t="n"/>
    </row>
    <row r="434">
      <c r="E434" s="10" t="n"/>
      <c r="F434" s="10" t="n"/>
      <c r="H434" s="7" t="n"/>
    </row>
    <row r="435">
      <c r="E435" s="10" t="n"/>
      <c r="F435" s="10" t="n"/>
      <c r="H435" s="7" t="n"/>
    </row>
    <row r="436">
      <c r="E436" s="10" t="n"/>
      <c r="F436" s="10" t="n"/>
      <c r="H436" s="7" t="n"/>
    </row>
    <row r="437">
      <c r="E437" s="10" t="n"/>
      <c r="F437" s="10" t="n"/>
      <c r="H437" s="7" t="n"/>
    </row>
    <row r="438">
      <c r="E438" s="10" t="n"/>
      <c r="F438" s="10" t="n"/>
      <c r="H438" s="7" t="n"/>
    </row>
    <row r="439">
      <c r="E439" s="10" t="n"/>
      <c r="F439" s="10" t="n"/>
      <c r="H439" s="7" t="n"/>
    </row>
    <row r="440">
      <c r="E440" s="10" t="n"/>
      <c r="F440" s="10" t="n"/>
      <c r="H440" s="7" t="n"/>
    </row>
    <row r="441">
      <c r="E441" s="10" t="n"/>
      <c r="F441" s="10" t="n"/>
      <c r="H441" s="7" t="n"/>
    </row>
    <row r="442">
      <c r="E442" s="10" t="n"/>
      <c r="F442" s="10" t="n"/>
      <c r="H442" s="7" t="n"/>
    </row>
    <row r="443">
      <c r="E443" s="10" t="n"/>
      <c r="F443" s="10" t="n"/>
      <c r="H443" s="7" t="n"/>
    </row>
    <row r="444">
      <c r="E444" s="10" t="n"/>
      <c r="F444" s="10" t="n"/>
      <c r="H444" s="7" t="n"/>
    </row>
    <row r="445">
      <c r="E445" s="10" t="n"/>
      <c r="F445" s="10" t="n"/>
      <c r="H445" s="7" t="n"/>
    </row>
    <row r="446">
      <c r="E446" s="10" t="n"/>
      <c r="F446" s="10" t="n"/>
      <c r="H446" s="7" t="n"/>
    </row>
    <row r="447">
      <c r="E447" s="10" t="n"/>
      <c r="F447" s="10" t="n"/>
      <c r="H447" s="7" t="n"/>
    </row>
    <row r="448">
      <c r="E448" s="10" t="n"/>
      <c r="F448" s="10" t="n"/>
      <c r="H448" s="7" t="n"/>
    </row>
    <row r="449">
      <c r="E449" s="10" t="n"/>
      <c r="F449" s="10" t="n"/>
      <c r="H449" s="7" t="n"/>
    </row>
    <row r="450">
      <c r="E450" s="10" t="n"/>
      <c r="F450" s="10" t="n"/>
      <c r="H450" s="7" t="n"/>
    </row>
    <row r="451">
      <c r="E451" s="10" t="n"/>
      <c r="F451" s="10" t="n"/>
      <c r="H451" s="7" t="n"/>
    </row>
    <row r="452">
      <c r="E452" s="10" t="n"/>
      <c r="F452" s="10" t="n"/>
      <c r="H452" s="7" t="n"/>
    </row>
    <row r="453">
      <c r="E453" s="10" t="n"/>
      <c r="F453" s="10" t="n"/>
      <c r="H453" s="7" t="n"/>
    </row>
    <row r="454">
      <c r="E454" s="10" t="n"/>
      <c r="F454" s="10" t="n"/>
      <c r="H454" s="7" t="n"/>
    </row>
    <row r="455">
      <c r="E455" s="10" t="n"/>
      <c r="F455" s="10" t="n"/>
      <c r="H455" s="7" t="n"/>
    </row>
    <row r="456">
      <c r="E456" s="10" t="n"/>
      <c r="F456" s="10" t="n"/>
      <c r="H456" s="7" t="n"/>
    </row>
    <row r="457">
      <c r="E457" s="10" t="n"/>
      <c r="F457" s="10" t="n"/>
      <c r="H457" s="7" t="n"/>
    </row>
    <row r="458">
      <c r="E458" s="10" t="n"/>
      <c r="F458" s="10" t="n"/>
      <c r="H458" s="7" t="n"/>
    </row>
    <row r="459">
      <c r="E459" s="10" t="n"/>
      <c r="F459" s="10" t="n"/>
      <c r="H459" s="7" t="n"/>
    </row>
    <row r="460">
      <c r="E460" s="10" t="n"/>
      <c r="F460" s="10" t="n"/>
      <c r="H460" s="7" t="n"/>
    </row>
    <row r="461">
      <c r="E461" s="10" t="n"/>
      <c r="F461" s="10" t="n"/>
      <c r="H461" s="7" t="n"/>
    </row>
    <row r="462">
      <c r="E462" s="10" t="n"/>
      <c r="F462" s="10" t="n"/>
      <c r="H462" s="7" t="n"/>
    </row>
    <row r="463">
      <c r="E463" s="10" t="n"/>
      <c r="F463" s="10" t="n"/>
      <c r="H463" s="7" t="n"/>
    </row>
    <row r="464">
      <c r="E464" s="10" t="n"/>
      <c r="F464" s="10" t="n"/>
      <c r="H464" s="7" t="n"/>
    </row>
    <row r="465">
      <c r="E465" s="10" t="n"/>
      <c r="F465" s="10" t="n"/>
      <c r="H465" s="7" t="n"/>
    </row>
    <row r="466">
      <c r="E466" s="10" t="n"/>
      <c r="F466" s="10" t="n"/>
      <c r="H466" s="7" t="n"/>
    </row>
    <row r="467">
      <c r="E467" s="10" t="n"/>
      <c r="F467" s="10" t="n"/>
      <c r="H467" s="7" t="n"/>
    </row>
    <row r="468">
      <c r="E468" s="10" t="n"/>
      <c r="F468" s="10" t="n"/>
      <c r="H468" s="7" t="n"/>
    </row>
    <row r="469">
      <c r="E469" s="10" t="n"/>
      <c r="F469" s="10" t="n"/>
      <c r="H469" s="7" t="n"/>
    </row>
    <row r="470">
      <c r="E470" s="10" t="n"/>
      <c r="F470" s="10" t="n"/>
      <c r="H470" s="7" t="n"/>
    </row>
    <row r="471">
      <c r="E471" s="10" t="n"/>
      <c r="F471" s="10" t="n"/>
      <c r="H471" s="7" t="n"/>
    </row>
    <row r="472">
      <c r="E472" s="10" t="n"/>
      <c r="F472" s="10" t="n"/>
      <c r="H472" s="7" t="n"/>
    </row>
    <row r="473">
      <c r="E473" s="10" t="n"/>
      <c r="F473" s="10" t="n"/>
      <c r="H473" s="7" t="n"/>
    </row>
    <row r="474">
      <c r="E474" s="10" t="n"/>
      <c r="F474" s="10" t="n"/>
      <c r="H474" s="7" t="n"/>
    </row>
    <row r="475">
      <c r="E475" s="10" t="n"/>
      <c r="F475" s="10" t="n"/>
      <c r="H475" s="7" t="n"/>
    </row>
    <row r="476">
      <c r="E476" s="10" t="n"/>
      <c r="F476" s="10" t="n"/>
      <c r="H476" s="7" t="n"/>
    </row>
    <row r="477">
      <c r="E477" s="10" t="n"/>
      <c r="F477" s="10" t="n"/>
      <c r="H477" s="7" t="n"/>
    </row>
    <row r="478">
      <c r="E478" s="10" t="n"/>
      <c r="F478" s="10" t="n"/>
      <c r="H478" s="7" t="n"/>
    </row>
    <row r="479">
      <c r="E479" s="10" t="n"/>
      <c r="F479" s="10" t="n"/>
      <c r="H479" s="7" t="n"/>
    </row>
    <row r="480">
      <c r="E480" s="10" t="n"/>
      <c r="F480" s="10" t="n"/>
      <c r="H480" s="7" t="n"/>
    </row>
    <row r="481">
      <c r="E481" s="10" t="n"/>
      <c r="F481" s="10" t="n"/>
      <c r="H481" s="7" t="n"/>
    </row>
    <row r="482">
      <c r="E482" s="10" t="n"/>
      <c r="F482" s="10" t="n"/>
      <c r="H482" s="7" t="n"/>
    </row>
    <row r="483">
      <c r="E483" s="10" t="n"/>
      <c r="F483" s="10" t="n"/>
      <c r="H483" s="7" t="n"/>
    </row>
    <row r="484">
      <c r="E484" s="10" t="n"/>
      <c r="F484" s="10" t="n"/>
      <c r="H484" s="7" t="n"/>
    </row>
    <row r="485">
      <c r="E485" s="10" t="n"/>
      <c r="F485" s="10" t="n"/>
      <c r="H485" s="7" t="n"/>
    </row>
    <row r="486">
      <c r="E486" s="10" t="n"/>
      <c r="F486" s="10" t="n"/>
      <c r="H486" s="7" t="n"/>
    </row>
    <row r="487">
      <c r="E487" s="10" t="n"/>
      <c r="F487" s="10" t="n"/>
      <c r="H487" s="7" t="n"/>
    </row>
    <row r="488">
      <c r="E488" s="10" t="n"/>
      <c r="F488" s="10" t="n"/>
      <c r="H488" s="7" t="n"/>
    </row>
    <row r="489">
      <c r="E489" s="10" t="n"/>
      <c r="F489" s="10" t="n"/>
      <c r="H489" s="7" t="n"/>
    </row>
    <row r="490">
      <c r="E490" s="10" t="n"/>
      <c r="F490" s="10" t="n"/>
      <c r="H490" s="7" t="n"/>
    </row>
    <row r="491">
      <c r="E491" s="10" t="n"/>
      <c r="F491" s="10" t="n"/>
      <c r="H491" s="7" t="n"/>
    </row>
    <row r="492">
      <c r="E492" s="10" t="n"/>
      <c r="F492" s="10" t="n"/>
      <c r="H492" s="7" t="n"/>
    </row>
    <row r="493">
      <c r="E493" s="10" t="n"/>
      <c r="F493" s="10" t="n"/>
      <c r="H493" s="7" t="n"/>
    </row>
    <row r="494">
      <c r="E494" s="10" t="n"/>
      <c r="F494" s="10" t="n"/>
      <c r="H494" s="7" t="n"/>
    </row>
    <row r="495">
      <c r="E495" s="10" t="n"/>
      <c r="F495" s="10" t="n"/>
      <c r="H495" s="7" t="n"/>
    </row>
    <row r="496">
      <c r="E496" s="10" t="n"/>
      <c r="F496" s="10" t="n"/>
      <c r="H496" s="7" t="n"/>
    </row>
    <row r="497">
      <c r="E497" s="10" t="n"/>
      <c r="F497" s="10" t="n"/>
      <c r="H497" s="7" t="n"/>
    </row>
    <row r="498">
      <c r="E498" s="10" t="n"/>
      <c r="F498" s="10" t="n"/>
      <c r="H498" s="7" t="n"/>
    </row>
    <row r="499">
      <c r="E499" s="10" t="n"/>
      <c r="F499" s="10" t="n"/>
      <c r="H499" s="7" t="n"/>
    </row>
    <row r="500">
      <c r="E500" s="10" t="n"/>
      <c r="F500" s="10" t="n"/>
      <c r="H500" s="7" t="n"/>
    </row>
    <row r="501">
      <c r="E501" s="10" t="n"/>
      <c r="F501" s="10" t="n"/>
      <c r="H501" s="7" t="n"/>
    </row>
    <row r="502">
      <c r="E502" s="10" t="n"/>
      <c r="F502" s="10" t="n"/>
      <c r="H502" s="7" t="n"/>
    </row>
    <row r="503">
      <c r="E503" s="10" t="n"/>
      <c r="F503" s="10" t="n"/>
      <c r="H503" s="7" t="n"/>
    </row>
    <row r="504">
      <c r="E504" s="10" t="n"/>
      <c r="F504" s="10" t="n"/>
      <c r="H504" s="7" t="n"/>
    </row>
    <row r="505">
      <c r="E505" s="10" t="n"/>
      <c r="F505" s="10" t="n"/>
      <c r="H505" s="7" t="n"/>
    </row>
    <row r="506">
      <c r="E506" s="10" t="n"/>
      <c r="F506" s="10" t="n"/>
      <c r="H506" s="7" t="n"/>
    </row>
    <row r="507">
      <c r="E507" s="10" t="n"/>
      <c r="F507" s="10" t="n"/>
      <c r="H507" s="7" t="n"/>
    </row>
    <row r="508">
      <c r="E508" s="10" t="n"/>
      <c r="F508" s="10" t="n"/>
      <c r="H508" s="7" t="n"/>
    </row>
    <row r="509">
      <c r="E509" s="10" t="n"/>
      <c r="F509" s="10" t="n"/>
      <c r="H509" s="7" t="n"/>
    </row>
    <row r="510">
      <c r="E510" s="10" t="n"/>
      <c r="F510" s="10" t="n"/>
      <c r="H510" s="7" t="n"/>
    </row>
    <row r="511">
      <c r="E511" s="10" t="n"/>
      <c r="F511" s="10" t="n"/>
      <c r="H511" s="7" t="n"/>
    </row>
    <row r="512">
      <c r="E512" s="10" t="n"/>
      <c r="F512" s="10" t="n"/>
      <c r="H512" s="7" t="n"/>
    </row>
    <row r="513">
      <c r="E513" s="10" t="n"/>
      <c r="F513" s="10" t="n"/>
      <c r="H513" s="7" t="n"/>
    </row>
    <row r="514">
      <c r="E514" s="10" t="n"/>
      <c r="F514" s="10" t="n"/>
      <c r="H514" s="7" t="n"/>
    </row>
    <row r="515">
      <c r="E515" s="10" t="n"/>
      <c r="F515" s="10" t="n"/>
      <c r="H515" s="7" t="n"/>
    </row>
    <row r="516">
      <c r="E516" s="10" t="n"/>
      <c r="F516" s="10" t="n"/>
      <c r="H516" s="7" t="n"/>
    </row>
    <row r="517">
      <c r="E517" s="10" t="n"/>
      <c r="F517" s="10" t="n"/>
      <c r="H517" s="7" t="n"/>
    </row>
    <row r="518">
      <c r="E518" s="10" t="n"/>
      <c r="F518" s="10" t="n"/>
      <c r="H518" s="7" t="n"/>
    </row>
    <row r="519">
      <c r="E519" s="10" t="n"/>
      <c r="F519" s="10" t="n"/>
      <c r="H519" s="7" t="n"/>
    </row>
    <row r="520">
      <c r="E520" s="10" t="n"/>
      <c r="F520" s="10" t="n"/>
      <c r="H520" s="7" t="n"/>
    </row>
    <row r="521">
      <c r="E521" s="10" t="n"/>
      <c r="F521" s="10" t="n"/>
      <c r="H521" s="7" t="n"/>
    </row>
    <row r="522">
      <c r="E522" s="10" t="n"/>
      <c r="F522" s="10" t="n"/>
      <c r="H522" s="7" t="n"/>
    </row>
    <row r="523">
      <c r="E523" s="10" t="n"/>
      <c r="F523" s="10" t="n"/>
      <c r="H523" s="7" t="n"/>
    </row>
    <row r="524">
      <c r="E524" s="10" t="n"/>
      <c r="F524" s="10" t="n"/>
      <c r="H524" s="7" t="n"/>
    </row>
    <row r="525">
      <c r="E525" s="10" t="n"/>
      <c r="F525" s="10" t="n"/>
      <c r="H525" s="7" t="n"/>
    </row>
    <row r="526">
      <c r="E526" s="10" t="n"/>
      <c r="F526" s="10" t="n"/>
      <c r="H526" s="7" t="n"/>
    </row>
    <row r="527">
      <c r="E527" s="10" t="n"/>
      <c r="F527" s="10" t="n"/>
      <c r="H527" s="7" t="n"/>
    </row>
    <row r="528">
      <c r="E528" s="10" t="n"/>
      <c r="F528" s="10" t="n"/>
      <c r="H528" s="7" t="n"/>
    </row>
    <row r="529">
      <c r="E529" s="10" t="n"/>
      <c r="F529" s="10" t="n"/>
      <c r="H529" s="7" t="n"/>
    </row>
    <row r="530">
      <c r="E530" s="10" t="n"/>
      <c r="F530" s="10" t="n"/>
      <c r="H530" s="7" t="n"/>
    </row>
    <row r="531">
      <c r="E531" s="10" t="n"/>
      <c r="F531" s="10" t="n"/>
      <c r="H531" s="7" t="n"/>
    </row>
    <row r="532">
      <c r="E532" s="10" t="n"/>
      <c r="F532" s="10" t="n"/>
      <c r="H532" s="7" t="n"/>
    </row>
    <row r="533">
      <c r="E533" s="10" t="n"/>
      <c r="F533" s="10" t="n"/>
      <c r="H533" s="7" t="n"/>
    </row>
    <row r="534">
      <c r="E534" s="10" t="n"/>
      <c r="F534" s="10" t="n"/>
      <c r="H534" s="7" t="n"/>
    </row>
    <row r="535">
      <c r="E535" s="10" t="n"/>
      <c r="F535" s="10" t="n"/>
      <c r="H535" s="7" t="n"/>
    </row>
    <row r="536">
      <c r="E536" s="10" t="n"/>
      <c r="F536" s="10" t="n"/>
      <c r="H536" s="7" t="n"/>
    </row>
    <row r="537">
      <c r="E537" s="10" t="n"/>
      <c r="F537" s="10" t="n"/>
      <c r="H537" s="7" t="n"/>
    </row>
    <row r="538">
      <c r="E538" s="10" t="n"/>
      <c r="F538" s="10" t="n"/>
      <c r="H538" s="7" t="n"/>
    </row>
    <row r="539">
      <c r="E539" s="10" t="n"/>
      <c r="F539" s="10" t="n"/>
      <c r="H539" s="7" t="n"/>
    </row>
    <row r="540">
      <c r="E540" s="10" t="n"/>
      <c r="F540" s="10" t="n"/>
      <c r="H540" s="7" t="n"/>
    </row>
    <row r="541">
      <c r="E541" s="10" t="n"/>
      <c r="F541" s="10" t="n"/>
      <c r="H541" s="7" t="n"/>
    </row>
    <row r="542">
      <c r="E542" s="10" t="n"/>
      <c r="F542" s="10" t="n"/>
      <c r="H542" s="7" t="n"/>
    </row>
    <row r="543">
      <c r="E543" s="10" t="n"/>
      <c r="F543" s="10" t="n"/>
      <c r="H543" s="7" t="n"/>
    </row>
    <row r="544">
      <c r="E544" s="10" t="n"/>
      <c r="F544" s="10" t="n"/>
      <c r="H544" s="7" t="n"/>
    </row>
    <row r="545">
      <c r="E545" s="10" t="n"/>
      <c r="F545" s="10" t="n"/>
      <c r="H545" s="7" t="n"/>
    </row>
    <row r="546">
      <c r="E546" s="10" t="n"/>
      <c r="F546" s="10" t="n"/>
      <c r="H546" s="7" t="n"/>
    </row>
    <row r="547">
      <c r="E547" s="10" t="n"/>
      <c r="F547" s="10" t="n"/>
      <c r="H547" s="7" t="n"/>
    </row>
    <row r="548">
      <c r="E548" s="10" t="n"/>
      <c r="F548" s="10" t="n"/>
      <c r="H548" s="7" t="n"/>
    </row>
    <row r="549">
      <c r="E549" s="10" t="n"/>
      <c r="F549" s="10" t="n"/>
      <c r="H549" s="7" t="n"/>
    </row>
    <row r="550">
      <c r="E550" s="10" t="n"/>
      <c r="F550" s="10" t="n"/>
      <c r="H550" s="7" t="n"/>
    </row>
    <row r="551">
      <c r="E551" s="10" t="n"/>
      <c r="F551" s="10" t="n"/>
      <c r="H551" s="7" t="n"/>
    </row>
    <row r="552">
      <c r="E552" s="10" t="n"/>
      <c r="F552" s="10" t="n"/>
      <c r="H552" s="7" t="n"/>
    </row>
    <row r="553">
      <c r="E553" s="10" t="n"/>
      <c r="F553" s="10" t="n"/>
      <c r="H553" s="7" t="n"/>
    </row>
    <row r="554">
      <c r="E554" s="10" t="n"/>
      <c r="F554" s="10" t="n"/>
      <c r="H554" s="7" t="n"/>
    </row>
    <row r="555">
      <c r="E555" s="10" t="n"/>
      <c r="F555" s="10" t="n"/>
      <c r="H555" s="7" t="n"/>
    </row>
    <row r="556">
      <c r="E556" s="10" t="n"/>
      <c r="F556" s="10" t="n"/>
      <c r="H556" s="7" t="n"/>
    </row>
    <row r="557">
      <c r="E557" s="10" t="n"/>
      <c r="F557" s="10" t="n"/>
      <c r="H557" s="7" t="n"/>
    </row>
    <row r="558">
      <c r="E558" s="10" t="n"/>
      <c r="F558" s="10" t="n"/>
      <c r="H558" s="7" t="n"/>
    </row>
    <row r="559">
      <c r="E559" s="10" t="n"/>
      <c r="F559" s="10" t="n"/>
      <c r="H559" s="7" t="n"/>
    </row>
    <row r="560">
      <c r="E560" s="10" t="n"/>
      <c r="F560" s="10" t="n"/>
      <c r="H560" s="7" t="n"/>
    </row>
    <row r="561">
      <c r="E561" s="10" t="n"/>
      <c r="F561" s="10" t="n"/>
      <c r="H561" s="7" t="n"/>
    </row>
    <row r="562">
      <c r="E562" s="10" t="n"/>
      <c r="F562" s="10" t="n"/>
      <c r="H562" s="7" t="n"/>
    </row>
    <row r="563">
      <c r="E563" s="10" t="n"/>
      <c r="F563" s="10" t="n"/>
      <c r="H563" s="7" t="n"/>
    </row>
    <row r="564">
      <c r="E564" s="10" t="n"/>
      <c r="F564" s="10" t="n"/>
      <c r="H564" s="7" t="n"/>
    </row>
    <row r="565">
      <c r="E565" s="10" t="n"/>
      <c r="F565" s="10" t="n"/>
      <c r="H565" s="7" t="n"/>
    </row>
    <row r="566">
      <c r="E566" s="10" t="n"/>
      <c r="F566" s="10" t="n"/>
      <c r="H566" s="7" t="n"/>
    </row>
    <row r="567">
      <c r="E567" s="10" t="n"/>
      <c r="F567" s="10" t="n"/>
      <c r="H567" s="7" t="n"/>
    </row>
    <row r="568">
      <c r="E568" s="10" t="n"/>
      <c r="F568" s="10" t="n"/>
      <c r="H568" s="7" t="n"/>
    </row>
    <row r="569">
      <c r="E569" s="10" t="n"/>
      <c r="F569" s="10" t="n"/>
      <c r="H569" s="7" t="n"/>
    </row>
    <row r="570">
      <c r="E570" s="10" t="n"/>
      <c r="F570" s="10" t="n"/>
      <c r="H570" s="7" t="n"/>
    </row>
    <row r="571">
      <c r="E571" s="10" t="n"/>
      <c r="F571" s="10" t="n"/>
      <c r="H571" s="7" t="n"/>
    </row>
    <row r="572">
      <c r="E572" s="10" t="n"/>
      <c r="F572" s="10" t="n"/>
      <c r="H572" s="7" t="n"/>
    </row>
    <row r="573">
      <c r="E573" s="10" t="n"/>
      <c r="F573" s="10" t="n"/>
      <c r="H573" s="7" t="n"/>
    </row>
    <row r="574">
      <c r="E574" s="10" t="n"/>
      <c r="F574" s="10" t="n"/>
      <c r="H574" s="7" t="n"/>
    </row>
    <row r="575">
      <c r="E575" s="10" t="n"/>
      <c r="F575" s="10" t="n"/>
      <c r="H575" s="7" t="n"/>
    </row>
    <row r="576">
      <c r="E576" s="10" t="n"/>
      <c r="F576" s="10" t="n"/>
      <c r="H576" s="7" t="n"/>
    </row>
    <row r="577">
      <c r="E577" s="10" t="n"/>
      <c r="F577" s="10" t="n"/>
      <c r="H577" s="7" t="n"/>
    </row>
    <row r="578">
      <c r="E578" s="10" t="n"/>
      <c r="F578" s="10" t="n"/>
      <c r="H578" s="7" t="n"/>
    </row>
    <row r="579">
      <c r="E579" s="10" t="n"/>
      <c r="F579" s="10" t="n"/>
      <c r="H579" s="7" t="n"/>
    </row>
    <row r="580">
      <c r="E580" s="10" t="n"/>
      <c r="F580" s="10" t="n"/>
      <c r="H580" s="7" t="n"/>
    </row>
    <row r="581">
      <c r="E581" s="10" t="n"/>
      <c r="F581" s="10" t="n"/>
      <c r="H581" s="7" t="n"/>
    </row>
    <row r="582">
      <c r="E582" s="10" t="n"/>
      <c r="F582" s="10" t="n"/>
      <c r="H582" s="7" t="n"/>
    </row>
    <row r="583">
      <c r="E583" s="10" t="n"/>
      <c r="F583" s="10" t="n"/>
      <c r="H583" s="7" t="n"/>
    </row>
    <row r="584">
      <c r="E584" s="10" t="n"/>
      <c r="F584" s="10" t="n"/>
      <c r="H584" s="7" t="n"/>
    </row>
    <row r="585">
      <c r="E585" s="10" t="n"/>
      <c r="F585" s="10" t="n"/>
      <c r="H585" s="7" t="n"/>
    </row>
    <row r="586">
      <c r="E586" s="10" t="n"/>
      <c r="F586" s="10" t="n"/>
      <c r="H586" s="7" t="n"/>
    </row>
    <row r="587">
      <c r="E587" s="10" t="n"/>
      <c r="F587" s="10" t="n"/>
      <c r="H587" s="7" t="n"/>
    </row>
    <row r="588">
      <c r="E588" s="10" t="n"/>
      <c r="F588" s="10" t="n"/>
      <c r="H588" s="7" t="n"/>
    </row>
    <row r="589">
      <c r="E589" s="10" t="n"/>
      <c r="F589" s="10" t="n"/>
      <c r="H589" s="7" t="n"/>
    </row>
    <row r="590">
      <c r="E590" s="10" t="n"/>
      <c r="F590" s="10" t="n"/>
      <c r="H590" s="7" t="n"/>
    </row>
    <row r="591">
      <c r="E591" s="10" t="n"/>
      <c r="F591" s="10" t="n"/>
      <c r="H591" s="7" t="n"/>
    </row>
    <row r="592">
      <c r="E592" s="10" t="n"/>
      <c r="F592" s="10" t="n"/>
      <c r="H592" s="7" t="n"/>
    </row>
    <row r="593">
      <c r="E593" s="10" t="n"/>
      <c r="F593" s="10" t="n"/>
      <c r="H593" s="7" t="n"/>
    </row>
    <row r="594">
      <c r="E594" s="10" t="n"/>
      <c r="F594" s="10" t="n"/>
      <c r="H594" s="7" t="n"/>
    </row>
    <row r="595">
      <c r="E595" s="10" t="n"/>
      <c r="F595" s="10" t="n"/>
      <c r="H595" s="7" t="n"/>
    </row>
    <row r="596">
      <c r="E596" s="10" t="n"/>
      <c r="F596" s="10" t="n"/>
      <c r="H596" s="7" t="n"/>
    </row>
    <row r="597">
      <c r="E597" s="10" t="n"/>
      <c r="F597" s="10" t="n"/>
      <c r="H597" s="7" t="n"/>
    </row>
    <row r="598">
      <c r="E598" s="10" t="n"/>
      <c r="F598" s="10" t="n"/>
      <c r="H598" s="7" t="n"/>
    </row>
    <row r="599">
      <c r="E599" s="10" t="n"/>
      <c r="F599" s="10" t="n"/>
      <c r="H599" s="7" t="n"/>
    </row>
    <row r="600">
      <c r="E600" s="10" t="n"/>
      <c r="F600" s="10" t="n"/>
      <c r="H600" s="7" t="n"/>
    </row>
    <row r="601">
      <c r="E601" s="10" t="n"/>
      <c r="F601" s="10" t="n"/>
      <c r="H601" s="7" t="n"/>
    </row>
    <row r="602">
      <c r="E602" s="10" t="n"/>
      <c r="F602" s="10" t="n"/>
      <c r="H602" s="7" t="n"/>
    </row>
    <row r="603">
      <c r="E603" s="10" t="n"/>
      <c r="F603" s="10" t="n"/>
      <c r="H603" s="7" t="n"/>
    </row>
    <row r="604">
      <c r="E604" s="10" t="n"/>
      <c r="F604" s="10" t="n"/>
      <c r="H604" s="7" t="n"/>
    </row>
    <row r="605">
      <c r="E605" s="10" t="n"/>
      <c r="F605" s="10" t="n"/>
      <c r="H605" s="7" t="n"/>
    </row>
    <row r="606">
      <c r="E606" s="10" t="n"/>
      <c r="F606" s="10" t="n"/>
      <c r="H606" s="7" t="n"/>
    </row>
    <row r="607">
      <c r="E607" s="10" t="n"/>
      <c r="F607" s="10" t="n"/>
      <c r="H607" s="7" t="n"/>
    </row>
    <row r="608">
      <c r="E608" s="10" t="n"/>
      <c r="F608" s="10" t="n"/>
      <c r="H608" s="7" t="n"/>
    </row>
    <row r="609">
      <c r="E609" s="10" t="n"/>
      <c r="F609" s="10" t="n"/>
      <c r="H609" s="7" t="n"/>
    </row>
    <row r="610">
      <c r="E610" s="10" t="n"/>
      <c r="F610" s="10" t="n"/>
      <c r="H610" s="7" t="n"/>
    </row>
    <row r="611">
      <c r="E611" s="10" t="n"/>
      <c r="F611" s="10" t="n"/>
      <c r="H611" s="7" t="n"/>
    </row>
    <row r="612">
      <c r="E612" s="10" t="n"/>
      <c r="F612" s="10" t="n"/>
      <c r="H612" s="7" t="n"/>
    </row>
    <row r="613">
      <c r="E613" s="10" t="n"/>
      <c r="F613" s="10" t="n"/>
      <c r="H613" s="7" t="n"/>
    </row>
    <row r="614">
      <c r="E614" s="10" t="n"/>
      <c r="F614" s="10" t="n"/>
      <c r="H614" s="7" t="n"/>
    </row>
    <row r="615">
      <c r="E615" s="10" t="n"/>
      <c r="F615" s="10" t="n"/>
      <c r="H615" s="7" t="n"/>
    </row>
    <row r="616">
      <c r="E616" s="10" t="n"/>
      <c r="F616" s="10" t="n"/>
      <c r="H616" s="7" t="n"/>
    </row>
    <row r="617">
      <c r="E617" s="10" t="n"/>
      <c r="F617" s="10" t="n"/>
      <c r="H617" s="7" t="n"/>
    </row>
    <row r="618">
      <c r="E618" s="10" t="n"/>
      <c r="F618" s="10" t="n"/>
      <c r="H618" s="7" t="n"/>
    </row>
    <row r="619">
      <c r="E619" s="10" t="n"/>
      <c r="F619" s="10" t="n"/>
      <c r="H619" s="7" t="n"/>
    </row>
    <row r="620">
      <c r="E620" s="10" t="n"/>
      <c r="F620" s="10" t="n"/>
      <c r="H620" s="7" t="n"/>
    </row>
    <row r="621">
      <c r="E621" s="10" t="n"/>
      <c r="F621" s="10" t="n"/>
      <c r="H621" s="7" t="n"/>
    </row>
    <row r="622">
      <c r="E622" s="10" t="n"/>
      <c r="F622" s="10" t="n"/>
      <c r="H622" s="7" t="n"/>
    </row>
    <row r="623">
      <c r="E623" s="10" t="n"/>
      <c r="F623" s="10" t="n"/>
      <c r="H623" s="7" t="n"/>
    </row>
    <row r="624">
      <c r="E624" s="10" t="n"/>
      <c r="F624" s="10" t="n"/>
      <c r="H624" s="7" t="n"/>
    </row>
    <row r="625">
      <c r="E625" s="10" t="n"/>
      <c r="F625" s="10" t="n"/>
      <c r="H625" s="7" t="n"/>
    </row>
    <row r="626">
      <c r="E626" s="10" t="n"/>
      <c r="F626" s="10" t="n"/>
      <c r="H626" s="7" t="n"/>
    </row>
    <row r="627">
      <c r="E627" s="10" t="n"/>
      <c r="F627" s="10" t="n"/>
      <c r="H627" s="7" t="n"/>
    </row>
    <row r="628">
      <c r="E628" s="10" t="n"/>
      <c r="F628" s="10" t="n"/>
      <c r="H628" s="7" t="n"/>
    </row>
    <row r="629">
      <c r="E629" s="10" t="n"/>
      <c r="F629" s="10" t="n"/>
      <c r="H629" s="7" t="n"/>
    </row>
    <row r="630">
      <c r="E630" s="10" t="n"/>
      <c r="F630" s="10" t="n"/>
      <c r="H630" s="7" t="n"/>
    </row>
    <row r="631">
      <c r="E631" s="10" t="n"/>
      <c r="F631" s="10" t="n"/>
      <c r="H631" s="7" t="n"/>
    </row>
    <row r="632">
      <c r="E632" s="10" t="n"/>
      <c r="F632" s="10" t="n"/>
      <c r="H632" s="7" t="n"/>
    </row>
    <row r="633">
      <c r="E633" s="10" t="n"/>
      <c r="F633" s="10" t="n"/>
      <c r="H633" s="7" t="n"/>
    </row>
    <row r="634">
      <c r="E634" s="10" t="n"/>
      <c r="F634" s="10" t="n"/>
      <c r="H634" s="7" t="n"/>
    </row>
    <row r="635">
      <c r="E635" s="10" t="n"/>
      <c r="F635" s="10" t="n"/>
      <c r="H635" s="7" t="n"/>
    </row>
    <row r="636">
      <c r="E636" s="10" t="n"/>
      <c r="F636" s="10" t="n"/>
      <c r="H636" s="7" t="n"/>
    </row>
    <row r="637">
      <c r="E637" s="10" t="n"/>
      <c r="F637" s="10" t="n"/>
      <c r="H637" s="7" t="n"/>
    </row>
    <row r="638">
      <c r="E638" s="10" t="n"/>
      <c r="F638" s="10" t="n"/>
      <c r="H638" s="7" t="n"/>
    </row>
    <row r="639">
      <c r="E639" s="10" t="n"/>
      <c r="F639" s="10" t="n"/>
      <c r="H639" s="7" t="n"/>
    </row>
    <row r="640">
      <c r="E640" s="10" t="n"/>
      <c r="F640" s="10" t="n"/>
      <c r="H640" s="7" t="n"/>
    </row>
    <row r="641">
      <c r="E641" s="10" t="n"/>
      <c r="F641" s="10" t="n"/>
      <c r="H641" s="7" t="n"/>
    </row>
    <row r="642">
      <c r="E642" s="10" t="n"/>
      <c r="F642" s="10" t="n"/>
      <c r="H642" s="7" t="n"/>
    </row>
    <row r="643">
      <c r="E643" s="10" t="n"/>
      <c r="F643" s="10" t="n"/>
      <c r="H643" s="7" t="n"/>
    </row>
    <row r="644">
      <c r="E644" s="10" t="n"/>
      <c r="F644" s="10" t="n"/>
      <c r="H644" s="7" t="n"/>
    </row>
    <row r="645">
      <c r="E645" s="10" t="n"/>
      <c r="F645" s="10" t="n"/>
      <c r="H645" s="7" t="n"/>
    </row>
    <row r="646">
      <c r="E646" s="10" t="n"/>
      <c r="F646" s="10" t="n"/>
      <c r="H646" s="7" t="n"/>
    </row>
    <row r="647">
      <c r="E647" s="10" t="n"/>
      <c r="F647" s="10" t="n"/>
      <c r="H647" s="7" t="n"/>
    </row>
    <row r="648">
      <c r="E648" s="10" t="n"/>
      <c r="F648" s="10" t="n"/>
      <c r="H648" s="7" t="n"/>
    </row>
    <row r="649">
      <c r="E649" s="10" t="n"/>
      <c r="F649" s="10" t="n"/>
      <c r="H649" s="7" t="n"/>
    </row>
    <row r="650">
      <c r="E650" s="10" t="n"/>
      <c r="F650" s="10" t="n"/>
      <c r="H650" s="7" t="n"/>
    </row>
    <row r="651">
      <c r="E651" s="10" t="n"/>
      <c r="F651" s="10" t="n"/>
      <c r="H651" s="7" t="n"/>
    </row>
    <row r="652">
      <c r="E652" s="10" t="n"/>
      <c r="F652" s="10" t="n"/>
      <c r="H652" s="7" t="n"/>
    </row>
    <row r="653">
      <c r="E653" s="10" t="n"/>
      <c r="F653" s="10" t="n"/>
      <c r="H653" s="7" t="n"/>
    </row>
    <row r="654">
      <c r="E654" s="10" t="n"/>
      <c r="F654" s="10" t="n"/>
      <c r="H654" s="7" t="n"/>
    </row>
    <row r="655">
      <c r="E655" s="10" t="n"/>
      <c r="F655" s="10" t="n"/>
      <c r="H655" s="7" t="n"/>
    </row>
    <row r="656">
      <c r="E656" s="10" t="n"/>
      <c r="F656" s="10" t="n"/>
      <c r="H656" s="7" t="n"/>
    </row>
    <row r="657">
      <c r="E657" s="10" t="n"/>
      <c r="F657" s="10" t="n"/>
      <c r="H657" s="7" t="n"/>
    </row>
    <row r="658">
      <c r="E658" s="10" t="n"/>
      <c r="F658" s="10" t="n"/>
      <c r="H658" s="7" t="n"/>
    </row>
    <row r="659">
      <c r="E659" s="10" t="n"/>
      <c r="F659" s="10" t="n"/>
      <c r="H659" s="7" t="n"/>
    </row>
    <row r="660">
      <c r="E660" s="10" t="n"/>
      <c r="F660" s="10" t="n"/>
      <c r="H660" s="7" t="n"/>
    </row>
    <row r="661">
      <c r="E661" s="10" t="n"/>
      <c r="F661" s="10" t="n"/>
      <c r="H661" s="7" t="n"/>
    </row>
    <row r="662">
      <c r="E662" s="10" t="n"/>
      <c r="F662" s="10" t="n"/>
      <c r="H662" s="7" t="n"/>
    </row>
    <row r="663">
      <c r="E663" s="10" t="n"/>
      <c r="F663" s="10" t="n"/>
      <c r="H663" s="7" t="n"/>
    </row>
    <row r="664">
      <c r="E664" s="10" t="n"/>
      <c r="F664" s="10" t="n"/>
      <c r="H664" s="7" t="n"/>
    </row>
    <row r="665">
      <c r="E665" s="10" t="n"/>
      <c r="F665" s="10" t="n"/>
      <c r="H665" s="7" t="n"/>
    </row>
    <row r="666">
      <c r="E666" s="10" t="n"/>
      <c r="F666" s="10" t="n"/>
      <c r="H666" s="7" t="n"/>
    </row>
    <row r="667">
      <c r="E667" s="10" t="n"/>
      <c r="F667" s="10" t="n"/>
      <c r="H667" s="7" t="n"/>
    </row>
    <row r="668">
      <c r="E668" s="10" t="n"/>
      <c r="F668" s="10" t="n"/>
      <c r="H668" s="7" t="n"/>
    </row>
    <row r="669">
      <c r="E669" s="10" t="n"/>
      <c r="F669" s="10" t="n"/>
      <c r="H669" s="7" t="n"/>
    </row>
    <row r="670">
      <c r="E670" s="10" t="n"/>
      <c r="F670" s="10" t="n"/>
      <c r="H670" s="7" t="n"/>
    </row>
    <row r="671">
      <c r="E671" s="10" t="n"/>
      <c r="F671" s="10" t="n"/>
      <c r="H671" s="7" t="n"/>
    </row>
    <row r="672">
      <c r="E672" s="10" t="n"/>
      <c r="F672" s="10" t="n"/>
      <c r="H672" s="7" t="n"/>
    </row>
    <row r="673">
      <c r="E673" s="10" t="n"/>
      <c r="F673" s="10" t="n"/>
      <c r="H673" s="7" t="n"/>
    </row>
    <row r="674">
      <c r="E674" s="10" t="n"/>
      <c r="F674" s="10" t="n"/>
      <c r="H674" s="7" t="n"/>
    </row>
    <row r="675">
      <c r="E675" s="10" t="n"/>
      <c r="F675" s="10" t="n"/>
      <c r="H675" s="7" t="n"/>
    </row>
    <row r="676">
      <c r="E676" s="10" t="n"/>
      <c r="F676" s="10" t="n"/>
      <c r="H676" s="7" t="n"/>
    </row>
    <row r="677">
      <c r="E677" s="10" t="n"/>
      <c r="F677" s="10" t="n"/>
      <c r="H677" s="7" t="n"/>
    </row>
    <row r="678">
      <c r="E678" s="10" t="n"/>
      <c r="F678" s="10" t="n"/>
      <c r="H678" s="7" t="n"/>
    </row>
    <row r="679">
      <c r="E679" s="10" t="n"/>
      <c r="F679" s="10" t="n"/>
      <c r="H679" s="7" t="n"/>
    </row>
    <row r="680">
      <c r="E680" s="10" t="n"/>
      <c r="F680" s="10" t="n"/>
      <c r="H680" s="7" t="n"/>
    </row>
    <row r="681">
      <c r="E681" s="10" t="n"/>
      <c r="F681" s="10" t="n"/>
      <c r="H681" s="7" t="n"/>
    </row>
    <row r="682">
      <c r="E682" s="10" t="n"/>
      <c r="F682" s="10" t="n"/>
      <c r="H682" s="7" t="n"/>
    </row>
    <row r="683">
      <c r="E683" s="10" t="n"/>
      <c r="F683" s="10" t="n"/>
      <c r="H683" s="7" t="n"/>
    </row>
    <row r="684">
      <c r="E684" s="10" t="n"/>
      <c r="F684" s="10" t="n"/>
      <c r="H684" s="7" t="n"/>
    </row>
    <row r="685">
      <c r="E685" s="10" t="n"/>
      <c r="F685" s="10" t="n"/>
      <c r="H685" s="7" t="n"/>
    </row>
    <row r="686">
      <c r="E686" s="10" t="n"/>
      <c r="F686" s="10" t="n"/>
      <c r="H686" s="7" t="n"/>
    </row>
    <row r="687">
      <c r="E687" s="10" t="n"/>
      <c r="F687" s="10" t="n"/>
      <c r="H687" s="7" t="n"/>
    </row>
    <row r="688">
      <c r="E688" s="10" t="n"/>
      <c r="F688" s="10" t="n"/>
      <c r="H688" s="7" t="n"/>
    </row>
    <row r="689">
      <c r="E689" s="10" t="n"/>
      <c r="F689" s="10" t="n"/>
      <c r="H689" s="7" t="n"/>
    </row>
    <row r="690">
      <c r="E690" s="10" t="n"/>
      <c r="F690" s="10" t="n"/>
      <c r="H690" s="7" t="n"/>
    </row>
    <row r="691">
      <c r="E691" s="10" t="n"/>
      <c r="F691" s="10" t="n"/>
      <c r="H691" s="7" t="n"/>
    </row>
    <row r="692">
      <c r="E692" s="10" t="n"/>
      <c r="F692" s="10" t="n"/>
      <c r="H692" s="7" t="n"/>
    </row>
    <row r="693">
      <c r="E693" s="10" t="n"/>
      <c r="F693" s="10" t="n"/>
      <c r="H693" s="7" t="n"/>
    </row>
    <row r="694">
      <c r="E694" s="10" t="n"/>
      <c r="F694" s="10" t="n"/>
      <c r="H694" s="7" t="n"/>
    </row>
    <row r="695">
      <c r="E695" s="10" t="n"/>
      <c r="F695" s="10" t="n"/>
      <c r="H695" s="7" t="n"/>
    </row>
    <row r="696">
      <c r="E696" s="10" t="n"/>
      <c r="F696" s="10" t="n"/>
      <c r="H696" s="7" t="n"/>
    </row>
    <row r="697">
      <c r="E697" s="10" t="n"/>
      <c r="F697" s="10" t="n"/>
      <c r="H697" s="7" t="n"/>
    </row>
    <row r="698">
      <c r="E698" s="10" t="n"/>
      <c r="F698" s="10" t="n"/>
      <c r="H698" s="7" t="n"/>
    </row>
    <row r="699">
      <c r="E699" s="10" t="n"/>
      <c r="F699" s="10" t="n"/>
      <c r="H699" s="7" t="n"/>
    </row>
    <row r="700">
      <c r="E700" s="10" t="n"/>
      <c r="F700" s="10" t="n"/>
      <c r="H700" s="7" t="n"/>
    </row>
    <row r="701">
      <c r="E701" s="10" t="n"/>
      <c r="F701" s="10" t="n"/>
      <c r="H701" s="7" t="n"/>
    </row>
    <row r="702">
      <c r="E702" s="10" t="n"/>
      <c r="F702" s="10" t="n"/>
      <c r="H702" s="7" t="n"/>
    </row>
    <row r="703">
      <c r="E703" s="10" t="n"/>
      <c r="F703" s="10" t="n"/>
      <c r="H703" s="7" t="n"/>
    </row>
    <row r="704">
      <c r="E704" s="10" t="n"/>
      <c r="F704" s="10" t="n"/>
      <c r="H704" s="7" t="n"/>
    </row>
    <row r="705">
      <c r="E705" s="10" t="n"/>
      <c r="F705" s="10" t="n"/>
      <c r="H705" s="7" t="n"/>
    </row>
    <row r="706">
      <c r="E706" s="10" t="n"/>
      <c r="F706" s="10" t="n"/>
      <c r="H706" s="7" t="n"/>
    </row>
    <row r="707">
      <c r="E707" s="10" t="n"/>
      <c r="F707" s="10" t="n"/>
      <c r="H707" s="7" t="n"/>
    </row>
    <row r="708">
      <c r="E708" s="10" t="n"/>
      <c r="F708" s="10" t="n"/>
      <c r="H708" s="7" t="n"/>
    </row>
    <row r="709">
      <c r="E709" s="10" t="n"/>
      <c r="F709" s="10" t="n"/>
      <c r="H709" s="7" t="n"/>
    </row>
    <row r="710">
      <c r="E710" s="10" t="n"/>
      <c r="F710" s="10" t="n"/>
      <c r="H710" s="7" t="n"/>
    </row>
    <row r="711">
      <c r="E711" s="10" t="n"/>
      <c r="F711" s="10" t="n"/>
      <c r="H711" s="7" t="n"/>
    </row>
    <row r="712">
      <c r="E712" s="10" t="n"/>
      <c r="F712" s="10" t="n"/>
      <c r="H712" s="7" t="n"/>
    </row>
    <row r="713">
      <c r="E713" s="10" t="n"/>
      <c r="F713" s="10" t="n"/>
      <c r="H713" s="7" t="n"/>
    </row>
    <row r="714">
      <c r="E714" s="10" t="n"/>
      <c r="F714" s="10" t="n"/>
      <c r="H714" s="7" t="n"/>
    </row>
    <row r="715">
      <c r="E715" s="10" t="n"/>
      <c r="F715" s="10" t="n"/>
      <c r="H715" s="7" t="n"/>
    </row>
    <row r="716">
      <c r="E716" s="10" t="n"/>
      <c r="F716" s="10" t="n"/>
      <c r="H716" s="7" t="n"/>
    </row>
    <row r="717">
      <c r="E717" s="10" t="n"/>
      <c r="F717" s="10" t="n"/>
      <c r="H717" s="7" t="n"/>
    </row>
    <row r="718">
      <c r="E718" s="10" t="n"/>
      <c r="F718" s="10" t="n"/>
      <c r="H718" s="7" t="n"/>
    </row>
    <row r="719">
      <c r="E719" s="10" t="n"/>
      <c r="F719" s="10" t="n"/>
      <c r="H719" s="7" t="n"/>
    </row>
    <row r="720">
      <c r="E720" s="10" t="n"/>
      <c r="F720" s="10" t="n"/>
      <c r="H720" s="7" t="n"/>
    </row>
    <row r="721">
      <c r="E721" s="10" t="n"/>
      <c r="F721" s="10" t="n"/>
      <c r="H721" s="7" t="n"/>
    </row>
    <row r="722">
      <c r="E722" s="10" t="n"/>
      <c r="F722" s="10" t="n"/>
      <c r="H722" s="7" t="n"/>
    </row>
    <row r="723">
      <c r="E723" s="10" t="n"/>
      <c r="F723" s="10" t="n"/>
      <c r="H723" s="7" t="n"/>
    </row>
    <row r="724">
      <c r="E724" s="10" t="n"/>
      <c r="F724" s="10" t="n"/>
      <c r="H724" s="7" t="n"/>
    </row>
    <row r="725">
      <c r="E725" s="10" t="n"/>
      <c r="F725" s="10" t="n"/>
      <c r="H725" s="7" t="n"/>
    </row>
    <row r="726">
      <c r="E726" s="10" t="n"/>
      <c r="F726" s="10" t="n"/>
      <c r="H726" s="7" t="n"/>
    </row>
    <row r="727">
      <c r="E727" s="10" t="n"/>
      <c r="F727" s="10" t="n"/>
      <c r="H727" s="7" t="n"/>
    </row>
    <row r="728">
      <c r="E728" s="10" t="n"/>
      <c r="F728" s="10" t="n"/>
      <c r="H728" s="7" t="n"/>
    </row>
    <row r="729">
      <c r="E729" s="10" t="n"/>
      <c r="F729" s="10" t="n"/>
      <c r="H729" s="7" t="n"/>
    </row>
    <row r="730">
      <c r="E730" s="10" t="n"/>
      <c r="F730" s="10" t="n"/>
      <c r="H730" s="7" t="n"/>
    </row>
    <row r="731">
      <c r="E731" s="10" t="n"/>
      <c r="F731" s="10" t="n"/>
      <c r="H731" s="7" t="n"/>
    </row>
    <row r="732">
      <c r="E732" s="10" t="n"/>
      <c r="F732" s="10" t="n"/>
      <c r="H732" s="7" t="n"/>
    </row>
    <row r="733">
      <c r="E733" s="10" t="n"/>
      <c r="F733" s="10" t="n"/>
      <c r="H733" s="7" t="n"/>
    </row>
    <row r="734">
      <c r="E734" s="10" t="n"/>
      <c r="F734" s="10" t="n"/>
      <c r="H734" s="7" t="n"/>
    </row>
    <row r="735">
      <c r="E735" s="10" t="n"/>
      <c r="F735" s="10" t="n"/>
      <c r="H735" s="7" t="n"/>
    </row>
    <row r="736">
      <c r="E736" s="10" t="n"/>
      <c r="F736" s="10" t="n"/>
      <c r="H736" s="7" t="n"/>
    </row>
    <row r="737">
      <c r="E737" s="10" t="n"/>
      <c r="F737" s="10" t="n"/>
      <c r="H737" s="7" t="n"/>
    </row>
    <row r="738">
      <c r="E738" s="10" t="n"/>
      <c r="F738" s="10" t="n"/>
      <c r="H738" s="7" t="n"/>
    </row>
    <row r="739">
      <c r="E739" s="10" t="n"/>
      <c r="F739" s="10" t="n"/>
      <c r="H739" s="7" t="n"/>
    </row>
    <row r="740">
      <c r="E740" s="10" t="n"/>
      <c r="F740" s="10" t="n"/>
      <c r="H740" s="7" t="n"/>
    </row>
    <row r="741">
      <c r="E741" s="10" t="n"/>
      <c r="F741" s="10" t="n"/>
      <c r="H741" s="7" t="n"/>
    </row>
    <row r="742">
      <c r="E742" s="10" t="n"/>
      <c r="F742" s="10" t="n"/>
      <c r="H742" s="7" t="n"/>
    </row>
    <row r="743">
      <c r="E743" s="10" t="n"/>
      <c r="F743" s="10" t="n"/>
      <c r="H743" s="7" t="n"/>
    </row>
    <row r="744">
      <c r="E744" s="10" t="n"/>
      <c r="F744" s="10" t="n"/>
      <c r="H744" s="7" t="n"/>
    </row>
    <row r="745">
      <c r="E745" s="10" t="n"/>
      <c r="F745" s="10" t="n"/>
      <c r="H745" s="7" t="n"/>
    </row>
    <row r="746">
      <c r="E746" s="10" t="n"/>
      <c r="F746" s="10" t="n"/>
      <c r="H746" s="7" t="n"/>
    </row>
    <row r="747">
      <c r="E747" s="10" t="n"/>
      <c r="F747" s="10" t="n"/>
      <c r="H747" s="7" t="n"/>
    </row>
    <row r="748">
      <c r="E748" s="10" t="n"/>
      <c r="F748" s="10" t="n"/>
      <c r="H748" s="7" t="n"/>
    </row>
    <row r="749">
      <c r="E749" s="10" t="n"/>
      <c r="F749" s="10" t="n"/>
      <c r="H749" s="7" t="n"/>
    </row>
    <row r="750">
      <c r="E750" s="10" t="n"/>
      <c r="F750" s="10" t="n"/>
      <c r="H750" s="7" t="n"/>
    </row>
    <row r="751">
      <c r="E751" s="10" t="n"/>
      <c r="F751" s="10" t="n"/>
      <c r="H751" s="7" t="n"/>
    </row>
    <row r="752">
      <c r="E752" s="10" t="n"/>
      <c r="F752" s="10" t="n"/>
      <c r="H752" s="7" t="n"/>
    </row>
    <row r="753">
      <c r="E753" s="10" t="n"/>
      <c r="F753" s="10" t="n"/>
      <c r="H753" s="7" t="n"/>
    </row>
    <row r="754">
      <c r="E754" s="10" t="n"/>
      <c r="F754" s="10" t="n"/>
      <c r="H754" s="7" t="n"/>
    </row>
    <row r="755">
      <c r="E755" s="10" t="n"/>
      <c r="F755" s="10" t="n"/>
      <c r="H755" s="7" t="n"/>
    </row>
    <row r="756">
      <c r="E756" s="10" t="n"/>
      <c r="F756" s="10" t="n"/>
      <c r="H756" s="7" t="n"/>
    </row>
    <row r="757">
      <c r="E757" s="10" t="n"/>
      <c r="F757" s="10" t="n"/>
      <c r="H757" s="7" t="n"/>
    </row>
    <row r="758">
      <c r="E758" s="10" t="n"/>
      <c r="F758" s="10" t="n"/>
      <c r="H758" s="7" t="n"/>
    </row>
    <row r="759">
      <c r="E759" s="10" t="n"/>
      <c r="F759" s="10" t="n"/>
      <c r="H759" s="7" t="n"/>
    </row>
    <row r="760">
      <c r="E760" s="10" t="n"/>
      <c r="F760" s="10" t="n"/>
      <c r="H760" s="7" t="n"/>
    </row>
    <row r="761">
      <c r="E761" s="10" t="n"/>
      <c r="F761" s="10" t="n"/>
      <c r="H761" s="7" t="n"/>
    </row>
    <row r="762">
      <c r="E762" s="10" t="n"/>
      <c r="F762" s="10" t="n"/>
      <c r="H762" s="7" t="n"/>
    </row>
    <row r="763">
      <c r="E763" s="10" t="n"/>
      <c r="F763" s="10" t="n"/>
      <c r="H763" s="7" t="n"/>
    </row>
    <row r="764">
      <c r="E764" s="10" t="n"/>
      <c r="F764" s="10" t="n"/>
      <c r="H764" s="7" t="n"/>
    </row>
    <row r="765">
      <c r="E765" s="10" t="n"/>
      <c r="F765" s="10" t="n"/>
      <c r="H765" s="7" t="n"/>
    </row>
    <row r="766">
      <c r="E766" s="10" t="n"/>
      <c r="F766" s="10" t="n"/>
      <c r="H766" s="7" t="n"/>
    </row>
    <row r="767">
      <c r="E767" s="10" t="n"/>
      <c r="F767" s="10" t="n"/>
      <c r="H767" s="7" t="n"/>
    </row>
    <row r="768">
      <c r="E768" s="10" t="n"/>
      <c r="F768" s="10" t="n"/>
      <c r="H768" s="7" t="n"/>
    </row>
    <row r="769">
      <c r="E769" s="10" t="n"/>
      <c r="F769" s="10" t="n"/>
      <c r="H769" s="7" t="n"/>
    </row>
    <row r="770">
      <c r="E770" s="10" t="n"/>
      <c r="F770" s="10" t="n"/>
      <c r="H770" s="7" t="n"/>
    </row>
    <row r="771">
      <c r="E771" s="10" t="n"/>
      <c r="F771" s="10" t="n"/>
      <c r="H771" s="7" t="n"/>
    </row>
    <row r="772">
      <c r="E772" s="10" t="n"/>
      <c r="F772" s="10" t="n"/>
      <c r="H772" s="7" t="n"/>
    </row>
    <row r="773">
      <c r="E773" s="10" t="n"/>
      <c r="F773" s="10" t="n"/>
      <c r="H773" s="7" t="n"/>
    </row>
    <row r="774">
      <c r="E774" s="10" t="n"/>
      <c r="F774" s="10" t="n"/>
      <c r="H774" s="7" t="n"/>
    </row>
    <row r="775">
      <c r="E775" s="10" t="n"/>
      <c r="F775" s="10" t="n"/>
      <c r="H775" s="7" t="n"/>
    </row>
    <row r="776">
      <c r="E776" s="10" t="n"/>
      <c r="F776" s="10" t="n"/>
      <c r="H776" s="7" t="n"/>
    </row>
    <row r="777">
      <c r="E777" s="10" t="n"/>
      <c r="F777" s="10" t="n"/>
      <c r="H777" s="7" t="n"/>
    </row>
    <row r="778">
      <c r="E778" s="10" t="n"/>
      <c r="F778" s="10" t="n"/>
      <c r="H778" s="7" t="n"/>
    </row>
    <row r="779">
      <c r="E779" s="10" t="n"/>
      <c r="F779" s="10" t="n"/>
      <c r="H779" s="7" t="n"/>
    </row>
    <row r="780">
      <c r="E780" s="10" t="n"/>
      <c r="F780" s="10" t="n"/>
      <c r="H780" s="7" t="n"/>
    </row>
    <row r="781">
      <c r="E781" s="10" t="n"/>
      <c r="F781" s="10" t="n"/>
      <c r="H781" s="7" t="n"/>
    </row>
    <row r="782">
      <c r="E782" s="10" t="n"/>
      <c r="F782" s="10" t="n"/>
      <c r="H782" s="7" t="n"/>
    </row>
    <row r="783">
      <c r="E783" s="10" t="n"/>
      <c r="F783" s="10" t="n"/>
      <c r="H783" s="7" t="n"/>
    </row>
    <row r="784">
      <c r="E784" s="10" t="n"/>
      <c r="F784" s="10" t="n"/>
      <c r="H784" s="7" t="n"/>
    </row>
    <row r="785">
      <c r="E785" s="10" t="n"/>
      <c r="F785" s="10" t="n"/>
      <c r="H785" s="7" t="n"/>
    </row>
    <row r="786">
      <c r="E786" s="10" t="n"/>
      <c r="F786" s="10" t="n"/>
      <c r="H786" s="7" t="n"/>
    </row>
    <row r="787">
      <c r="E787" s="10" t="n"/>
      <c r="F787" s="10" t="n"/>
      <c r="H787" s="7" t="n"/>
    </row>
    <row r="788">
      <c r="E788" s="10" t="n"/>
      <c r="F788" s="10" t="n"/>
      <c r="H788" s="7" t="n"/>
    </row>
    <row r="789">
      <c r="E789" s="10" t="n"/>
      <c r="F789" s="10" t="n"/>
      <c r="H789" s="7" t="n"/>
    </row>
    <row r="790">
      <c r="E790" s="10" t="n"/>
      <c r="F790" s="10" t="n"/>
      <c r="H790" s="7" t="n"/>
    </row>
    <row r="791">
      <c r="E791" s="10" t="n"/>
      <c r="F791" s="10" t="n"/>
      <c r="H791" s="7" t="n"/>
    </row>
    <row r="792">
      <c r="E792" s="10" t="n"/>
      <c r="F792" s="10" t="n"/>
      <c r="H792" s="7" t="n"/>
    </row>
    <row r="793">
      <c r="E793" s="10" t="n"/>
      <c r="F793" s="10" t="n"/>
      <c r="H793" s="7" t="n"/>
    </row>
    <row r="794">
      <c r="E794" s="10" t="n"/>
      <c r="F794" s="10" t="n"/>
      <c r="H794" s="7" t="n"/>
    </row>
    <row r="795">
      <c r="E795" s="10" t="n"/>
      <c r="F795" s="10" t="n"/>
      <c r="H795" s="7" t="n"/>
    </row>
    <row r="796">
      <c r="E796" s="10" t="n"/>
      <c r="F796" s="10" t="n"/>
      <c r="H796" s="7" t="n"/>
    </row>
    <row r="797">
      <c r="E797" s="10" t="n"/>
      <c r="F797" s="10" t="n"/>
      <c r="H797" s="7" t="n"/>
    </row>
    <row r="798">
      <c r="E798" s="10" t="n"/>
      <c r="F798" s="10" t="n"/>
      <c r="H798" s="7" t="n"/>
    </row>
    <row r="799">
      <c r="E799" s="10" t="n"/>
      <c r="F799" s="10" t="n"/>
      <c r="H799" s="7" t="n"/>
    </row>
    <row r="800">
      <c r="E800" s="10" t="n"/>
      <c r="F800" s="10" t="n"/>
      <c r="H800" s="7" t="n"/>
    </row>
    <row r="801">
      <c r="E801" s="10" t="n"/>
      <c r="F801" s="10" t="n"/>
      <c r="H801" s="7" t="n"/>
    </row>
    <row r="802">
      <c r="E802" s="10" t="n"/>
      <c r="F802" s="10" t="n"/>
      <c r="H802" s="7" t="n"/>
    </row>
    <row r="803">
      <c r="E803" s="10" t="n"/>
      <c r="F803" s="10" t="n"/>
      <c r="H803" s="7" t="n"/>
    </row>
    <row r="804">
      <c r="E804" s="10" t="n"/>
      <c r="F804" s="10" t="n"/>
      <c r="H804" s="7" t="n"/>
    </row>
    <row r="805">
      <c r="E805" s="10" t="n"/>
      <c r="F805" s="10" t="n"/>
      <c r="H805" s="7" t="n"/>
    </row>
    <row r="806">
      <c r="E806" s="10" t="n"/>
      <c r="F806" s="10" t="n"/>
      <c r="H806" s="7" t="n"/>
    </row>
    <row r="807">
      <c r="E807" s="10" t="n"/>
      <c r="F807" s="10" t="n"/>
      <c r="H807" s="7" t="n"/>
    </row>
    <row r="808">
      <c r="E808" s="10" t="n"/>
      <c r="F808" s="10" t="n"/>
      <c r="H808" s="7" t="n"/>
    </row>
    <row r="809">
      <c r="E809" s="10" t="n"/>
      <c r="F809" s="10" t="n"/>
      <c r="H809" s="7" t="n"/>
    </row>
    <row r="810">
      <c r="E810" s="10" t="n"/>
      <c r="F810" s="10" t="n"/>
      <c r="H810" s="7" t="n"/>
    </row>
    <row r="811">
      <c r="E811" s="10" t="n"/>
      <c r="F811" s="10" t="n"/>
      <c r="H811" s="7" t="n"/>
    </row>
    <row r="812">
      <c r="E812" s="10" t="n"/>
      <c r="F812" s="10" t="n"/>
      <c r="H812" s="7" t="n"/>
    </row>
    <row r="813">
      <c r="E813" s="10" t="n"/>
      <c r="F813" s="10" t="n"/>
      <c r="H813" s="7" t="n"/>
    </row>
    <row r="814">
      <c r="E814" s="10" t="n"/>
      <c r="F814" s="10" t="n"/>
      <c r="H814" s="7" t="n"/>
    </row>
    <row r="815">
      <c r="E815" s="10" t="n"/>
      <c r="F815" s="10" t="n"/>
      <c r="H815" s="7" t="n"/>
    </row>
    <row r="816">
      <c r="E816" s="10" t="n"/>
      <c r="F816" s="10" t="n"/>
      <c r="H816" s="7" t="n"/>
    </row>
    <row r="817">
      <c r="E817" s="10" t="n"/>
      <c r="F817" s="10" t="n"/>
      <c r="H817" s="7" t="n"/>
    </row>
    <row r="818">
      <c r="E818" s="10" t="n"/>
      <c r="F818" s="10" t="n"/>
      <c r="H818" s="7" t="n"/>
    </row>
    <row r="819">
      <c r="E819" s="10" t="n"/>
      <c r="F819" s="10" t="n"/>
      <c r="H819" s="7" t="n"/>
    </row>
    <row r="820">
      <c r="E820" s="10" t="n"/>
      <c r="F820" s="10" t="n"/>
      <c r="H820" s="7" t="n"/>
    </row>
    <row r="821">
      <c r="E821" s="10" t="n"/>
      <c r="F821" s="10" t="n"/>
      <c r="H821" s="7" t="n"/>
    </row>
    <row r="822">
      <c r="E822" s="10" t="n"/>
      <c r="F822" s="10" t="n"/>
      <c r="H822" s="7" t="n"/>
    </row>
    <row r="823">
      <c r="E823" s="10" t="n"/>
      <c r="F823" s="10" t="n"/>
      <c r="H823" s="7" t="n"/>
    </row>
    <row r="824">
      <c r="E824" s="10" t="n"/>
      <c r="F824" s="10" t="n"/>
      <c r="H824" s="7" t="n"/>
    </row>
    <row r="825">
      <c r="E825" s="10" t="n"/>
      <c r="F825" s="10" t="n"/>
      <c r="H825" s="7" t="n"/>
    </row>
    <row r="826">
      <c r="E826" s="10" t="n"/>
      <c r="F826" s="10" t="n"/>
      <c r="H826" s="7" t="n"/>
    </row>
    <row r="827">
      <c r="E827" s="10" t="n"/>
      <c r="F827" s="10" t="n"/>
      <c r="H827" s="7" t="n"/>
    </row>
    <row r="828">
      <c r="E828" s="10" t="n"/>
      <c r="F828" s="10" t="n"/>
      <c r="H828" s="7" t="n"/>
    </row>
    <row r="829">
      <c r="E829" s="10" t="n"/>
      <c r="F829" s="10" t="n"/>
      <c r="H829" s="7" t="n"/>
    </row>
    <row r="830">
      <c r="E830" s="10" t="n"/>
      <c r="F830" s="10" t="n"/>
      <c r="H830" s="7" t="n"/>
    </row>
    <row r="831">
      <c r="E831" s="10" t="n"/>
      <c r="F831" s="10" t="n"/>
      <c r="H831" s="7" t="n"/>
    </row>
    <row r="832">
      <c r="E832" s="10" t="n"/>
      <c r="F832" s="10" t="n"/>
      <c r="H832" s="7" t="n"/>
    </row>
    <row r="833">
      <c r="E833" s="10" t="n"/>
      <c r="F833" s="10" t="n"/>
      <c r="H833" s="7" t="n"/>
    </row>
    <row r="834">
      <c r="E834" s="10" t="n"/>
      <c r="F834" s="10" t="n"/>
      <c r="H834" s="7" t="n"/>
    </row>
    <row r="835">
      <c r="E835" s="10" t="n"/>
      <c r="F835" s="10" t="n"/>
      <c r="H835" s="7" t="n"/>
    </row>
    <row r="836">
      <c r="E836" s="10" t="n"/>
      <c r="F836" s="10" t="n"/>
      <c r="H836" s="7" t="n"/>
    </row>
    <row r="837">
      <c r="E837" s="10" t="n"/>
      <c r="F837" s="10" t="n"/>
      <c r="H837" s="7" t="n"/>
    </row>
    <row r="838">
      <c r="E838" s="10" t="n"/>
      <c r="F838" s="10" t="n"/>
      <c r="H838" s="7" t="n"/>
    </row>
    <row r="839">
      <c r="E839" s="10" t="n"/>
      <c r="F839" s="10" t="n"/>
      <c r="H839" s="7" t="n"/>
    </row>
    <row r="840">
      <c r="E840" s="10" t="n"/>
      <c r="F840" s="10" t="n"/>
      <c r="H840" s="7" t="n"/>
    </row>
    <row r="841">
      <c r="E841" s="10" t="n"/>
      <c r="F841" s="10" t="n"/>
      <c r="H841" s="7" t="n"/>
    </row>
    <row r="842">
      <c r="E842" s="10" t="n"/>
      <c r="F842" s="10" t="n"/>
      <c r="H842" s="7" t="n"/>
    </row>
    <row r="843">
      <c r="E843" s="10" t="n"/>
      <c r="F843" s="10" t="n"/>
      <c r="H843" s="7" t="n"/>
    </row>
    <row r="844">
      <c r="E844" s="10" t="n"/>
      <c r="F844" s="10" t="n"/>
      <c r="H844" s="7" t="n"/>
    </row>
    <row r="845">
      <c r="E845" s="10" t="n"/>
      <c r="F845" s="10" t="n"/>
      <c r="H845" s="7" t="n"/>
    </row>
    <row r="846">
      <c r="E846" s="10" t="n"/>
      <c r="F846" s="10" t="n"/>
      <c r="H846" s="7" t="n"/>
    </row>
    <row r="847">
      <c r="E847" s="10" t="n"/>
      <c r="F847" s="10" t="n"/>
      <c r="H847" s="7" t="n"/>
    </row>
    <row r="848">
      <c r="E848" s="10" t="n"/>
      <c r="F848" s="10" t="n"/>
      <c r="H848" s="7" t="n"/>
    </row>
    <row r="849">
      <c r="E849" s="10" t="n"/>
      <c r="F849" s="10" t="n"/>
      <c r="H849" s="7" t="n"/>
    </row>
    <row r="850">
      <c r="E850" s="10" t="n"/>
      <c r="F850" s="10" t="n"/>
      <c r="H850" s="7" t="n"/>
    </row>
    <row r="851">
      <c r="E851" s="10" t="n"/>
      <c r="F851" s="10" t="n"/>
      <c r="H851" s="7" t="n"/>
    </row>
    <row r="852">
      <c r="E852" s="10" t="n"/>
      <c r="F852" s="10" t="n"/>
      <c r="H852" s="7" t="n"/>
    </row>
    <row r="853">
      <c r="E853" s="10" t="n"/>
      <c r="F853" s="10" t="n"/>
      <c r="H853" s="7" t="n"/>
    </row>
    <row r="854">
      <c r="E854" s="10" t="n"/>
      <c r="F854" s="10" t="n"/>
      <c r="H854" s="7" t="n"/>
    </row>
    <row r="855">
      <c r="E855" s="10" t="n"/>
      <c r="F855" s="10" t="n"/>
      <c r="H855" s="7" t="n"/>
    </row>
    <row r="856">
      <c r="E856" s="10" t="n"/>
      <c r="F856" s="10" t="n"/>
      <c r="H856" s="7" t="n"/>
    </row>
    <row r="857">
      <c r="E857" s="10" t="n"/>
      <c r="F857" s="10" t="n"/>
      <c r="H857" s="7" t="n"/>
    </row>
    <row r="858">
      <c r="E858" s="10" t="n"/>
      <c r="F858" s="10" t="n"/>
      <c r="H858" s="7" t="n"/>
    </row>
    <row r="859">
      <c r="E859" s="10" t="n"/>
      <c r="F859" s="10" t="n"/>
      <c r="H859" s="7" t="n"/>
    </row>
    <row r="860">
      <c r="E860" s="10" t="n"/>
      <c r="F860" s="10" t="n"/>
      <c r="H860" s="7" t="n"/>
    </row>
    <row r="861">
      <c r="E861" s="10" t="n"/>
      <c r="F861" s="10" t="n"/>
      <c r="H861" s="7" t="n"/>
    </row>
    <row r="862">
      <c r="E862" s="10" t="n"/>
      <c r="F862" s="10" t="n"/>
      <c r="H862" s="7" t="n"/>
    </row>
    <row r="863">
      <c r="E863" s="10" t="n"/>
      <c r="F863" s="10" t="n"/>
      <c r="H863" s="7" t="n"/>
    </row>
    <row r="864">
      <c r="E864" s="10" t="n"/>
      <c r="F864" s="10" t="n"/>
      <c r="H864" s="7" t="n"/>
    </row>
    <row r="865">
      <c r="E865" s="10" t="n"/>
      <c r="F865" s="10" t="n"/>
      <c r="H865" s="7" t="n"/>
    </row>
    <row r="866">
      <c r="E866" s="10" t="n"/>
      <c r="F866" s="10" t="n"/>
      <c r="H866" s="7" t="n"/>
    </row>
    <row r="867">
      <c r="E867" s="10" t="n"/>
      <c r="F867" s="10" t="n"/>
      <c r="H867" s="7" t="n"/>
    </row>
    <row r="868">
      <c r="E868" s="10" t="n"/>
      <c r="F868" s="10" t="n"/>
      <c r="H868" s="7" t="n"/>
    </row>
    <row r="869">
      <c r="E869" s="10" t="n"/>
      <c r="F869" s="10" t="n"/>
      <c r="H869" s="7" t="n"/>
    </row>
    <row r="870">
      <c r="E870" s="10" t="n"/>
      <c r="F870" s="10" t="n"/>
      <c r="H870" s="7" t="n"/>
    </row>
    <row r="871">
      <c r="E871" s="10" t="n"/>
      <c r="F871" s="10" t="n"/>
      <c r="H871" s="7" t="n"/>
    </row>
    <row r="872">
      <c r="E872" s="10" t="n"/>
      <c r="F872" s="10" t="n"/>
      <c r="H872" s="7" t="n"/>
    </row>
    <row r="873">
      <c r="E873" s="10" t="n"/>
      <c r="F873" s="10" t="n"/>
      <c r="H873" s="7" t="n"/>
    </row>
    <row r="874">
      <c r="E874" s="10" t="n"/>
      <c r="F874" s="10" t="n"/>
      <c r="H874" s="7" t="n"/>
    </row>
    <row r="875">
      <c r="E875" s="10" t="n"/>
      <c r="F875" s="10" t="n"/>
      <c r="H875" s="7" t="n"/>
    </row>
    <row r="876">
      <c r="E876" s="10" t="n"/>
      <c r="F876" s="10" t="n"/>
      <c r="H876" s="7" t="n"/>
    </row>
    <row r="877">
      <c r="E877" s="10" t="n"/>
      <c r="F877" s="10" t="n"/>
      <c r="H877" s="7" t="n"/>
    </row>
    <row r="878">
      <c r="E878" s="10" t="n"/>
      <c r="F878" s="10" t="n"/>
      <c r="H878" s="7" t="n"/>
    </row>
    <row r="879">
      <c r="E879" s="10" t="n"/>
      <c r="F879" s="10" t="n"/>
      <c r="H879" s="7" t="n"/>
    </row>
    <row r="880">
      <c r="E880" s="10" t="n"/>
      <c r="F880" s="10" t="n"/>
      <c r="H880" s="7" t="n"/>
    </row>
    <row r="881">
      <c r="E881" s="10" t="n"/>
      <c r="F881" s="10" t="n"/>
      <c r="H881" s="7" t="n"/>
    </row>
    <row r="882">
      <c r="E882" s="10" t="n"/>
      <c r="F882" s="10" t="n"/>
      <c r="H882" s="7" t="n"/>
    </row>
    <row r="883">
      <c r="E883" s="10" t="n"/>
      <c r="F883" s="10" t="n"/>
      <c r="H883" s="7" t="n"/>
    </row>
    <row r="884">
      <c r="E884" s="10" t="n"/>
      <c r="F884" s="10" t="n"/>
      <c r="H884" s="7" t="n"/>
    </row>
    <row r="885">
      <c r="E885" s="10" t="n"/>
      <c r="F885" s="10" t="n"/>
      <c r="H885" s="7" t="n"/>
    </row>
    <row r="886">
      <c r="E886" s="10" t="n"/>
      <c r="F886" s="10" t="n"/>
      <c r="H886" s="7" t="n"/>
    </row>
    <row r="887">
      <c r="E887" s="10" t="n"/>
      <c r="F887" s="10" t="n"/>
      <c r="H887" s="7" t="n"/>
    </row>
    <row r="888">
      <c r="E888" s="10" t="n"/>
      <c r="F888" s="10" t="n"/>
      <c r="H888" s="7" t="n"/>
    </row>
    <row r="889">
      <c r="E889" s="10" t="n"/>
      <c r="F889" s="10" t="n"/>
      <c r="H889" s="7" t="n"/>
    </row>
    <row r="890">
      <c r="E890" s="10" t="n"/>
      <c r="F890" s="10" t="n"/>
      <c r="H890" s="7" t="n"/>
    </row>
    <row r="891">
      <c r="E891" s="10" t="n"/>
      <c r="F891" s="10" t="n"/>
      <c r="H891" s="7" t="n"/>
    </row>
    <row r="892">
      <c r="E892" s="10" t="n"/>
      <c r="F892" s="10" t="n"/>
      <c r="H892" s="7" t="n"/>
    </row>
    <row r="893">
      <c r="E893" s="10" t="n"/>
      <c r="F893" s="10" t="n"/>
      <c r="H893" s="7" t="n"/>
    </row>
    <row r="894">
      <c r="E894" s="10" t="n"/>
      <c r="F894" s="10" t="n"/>
      <c r="H894" s="7" t="n"/>
    </row>
    <row r="895">
      <c r="E895" s="10" t="n"/>
      <c r="F895" s="10" t="n"/>
      <c r="H895" s="7" t="n"/>
    </row>
    <row r="896">
      <c r="E896" s="10" t="n"/>
      <c r="F896" s="10" t="n"/>
      <c r="H896" s="7" t="n"/>
    </row>
    <row r="897">
      <c r="E897" s="10" t="n"/>
      <c r="F897" s="10" t="n"/>
      <c r="H897" s="7" t="n"/>
    </row>
    <row r="898">
      <c r="E898" s="10" t="n"/>
      <c r="F898" s="10" t="n"/>
      <c r="H898" s="7" t="n"/>
    </row>
    <row r="899">
      <c r="E899" s="10" t="n"/>
      <c r="F899" s="10" t="n"/>
      <c r="H899" s="7" t="n"/>
    </row>
    <row r="900">
      <c r="E900" s="10" t="n"/>
      <c r="F900" s="10" t="n"/>
      <c r="H900" s="7" t="n"/>
    </row>
    <row r="901">
      <c r="E901" s="10" t="n"/>
      <c r="F901" s="10" t="n"/>
      <c r="H901" s="7" t="n"/>
    </row>
    <row r="902">
      <c r="E902" s="10" t="n"/>
      <c r="F902" s="10" t="n"/>
      <c r="H902" s="7" t="n"/>
    </row>
    <row r="903">
      <c r="E903" s="10" t="n"/>
      <c r="F903" s="10" t="n"/>
      <c r="H903" s="7" t="n"/>
    </row>
    <row r="904">
      <c r="E904" s="10" t="n"/>
      <c r="F904" s="10" t="n"/>
      <c r="H904" s="7" t="n"/>
    </row>
    <row r="905">
      <c r="E905" s="10" t="n"/>
      <c r="F905" s="10" t="n"/>
      <c r="H905" s="7" t="n"/>
    </row>
    <row r="906">
      <c r="E906" s="10" t="n"/>
      <c r="F906" s="10" t="n"/>
      <c r="H906" s="7" t="n"/>
    </row>
    <row r="907">
      <c r="E907" s="10" t="n"/>
      <c r="F907" s="10" t="n"/>
      <c r="H907" s="7" t="n"/>
    </row>
    <row r="908">
      <c r="E908" s="10" t="n"/>
      <c r="F908" s="10" t="n"/>
      <c r="H908" s="7" t="n"/>
    </row>
    <row r="909">
      <c r="E909" s="10" t="n"/>
      <c r="F909" s="10" t="n"/>
      <c r="H909" s="7" t="n"/>
    </row>
    <row r="910">
      <c r="E910" s="10" t="n"/>
      <c r="F910" s="10" t="n"/>
      <c r="H910" s="7" t="n"/>
    </row>
    <row r="911">
      <c r="E911" s="10" t="n"/>
      <c r="F911" s="10" t="n"/>
      <c r="H911" s="7" t="n"/>
    </row>
    <row r="912">
      <c r="E912" s="10" t="n"/>
      <c r="F912" s="10" t="n"/>
      <c r="H912" s="7" t="n"/>
    </row>
    <row r="913">
      <c r="E913" s="10" t="n"/>
      <c r="F913" s="10" t="n"/>
      <c r="H913" s="7" t="n"/>
    </row>
    <row r="914">
      <c r="E914" s="10" t="n"/>
      <c r="F914" s="10" t="n"/>
      <c r="H914" s="7" t="n"/>
    </row>
    <row r="915">
      <c r="E915" s="10" t="n"/>
      <c r="F915" s="10" t="n"/>
      <c r="H915" s="7" t="n"/>
    </row>
    <row r="916">
      <c r="E916" s="10" t="n"/>
      <c r="F916" s="10" t="n"/>
      <c r="H916" s="7" t="n"/>
    </row>
    <row r="917">
      <c r="E917" s="10" t="n"/>
      <c r="F917" s="10" t="n"/>
      <c r="H917" s="7" t="n"/>
    </row>
    <row r="918">
      <c r="E918" s="10" t="n"/>
      <c r="F918" s="10" t="n"/>
      <c r="H918" s="7" t="n"/>
    </row>
    <row r="919">
      <c r="E919" s="10" t="n"/>
      <c r="F919" s="10" t="n"/>
      <c r="H919" s="7" t="n"/>
    </row>
    <row r="920">
      <c r="E920" s="10" t="n"/>
      <c r="F920" s="10" t="n"/>
      <c r="H920" s="7" t="n"/>
    </row>
    <row r="921">
      <c r="E921" s="10" t="n"/>
      <c r="F921" s="10" t="n"/>
      <c r="H921" s="7" t="n"/>
    </row>
    <row r="922">
      <c r="E922" s="10" t="n"/>
      <c r="F922" s="10" t="n"/>
      <c r="H922" s="7" t="n"/>
    </row>
    <row r="923">
      <c r="E923" s="10" t="n"/>
      <c r="F923" s="10" t="n"/>
      <c r="H923" s="7" t="n"/>
    </row>
    <row r="924">
      <c r="E924" s="10" t="n"/>
      <c r="F924" s="10" t="n"/>
      <c r="H924" s="7" t="n"/>
    </row>
    <row r="925">
      <c r="E925" s="10" t="n"/>
      <c r="F925" s="10" t="n"/>
      <c r="H925" s="7" t="n"/>
    </row>
    <row r="926">
      <c r="E926" s="10" t="n"/>
      <c r="F926" s="10" t="n"/>
      <c r="H926" s="7" t="n"/>
    </row>
    <row r="927">
      <c r="E927" s="10" t="n"/>
      <c r="F927" s="10" t="n"/>
      <c r="H927" s="7" t="n"/>
    </row>
    <row r="928">
      <c r="E928" s="10" t="n"/>
      <c r="F928" s="10" t="n"/>
      <c r="H928" s="7" t="n"/>
    </row>
    <row r="929">
      <c r="E929" s="10" t="n"/>
      <c r="F929" s="10" t="n"/>
      <c r="H929" s="7" t="n"/>
    </row>
    <row r="930">
      <c r="E930" s="10" t="n"/>
      <c r="F930" s="10" t="n"/>
      <c r="H930" s="7" t="n"/>
    </row>
    <row r="931">
      <c r="E931" s="10" t="n"/>
      <c r="F931" s="10" t="n"/>
      <c r="H931" s="7" t="n"/>
    </row>
    <row r="932">
      <c r="E932" s="10" t="n"/>
      <c r="F932" s="10" t="n"/>
      <c r="H932" s="7" t="n"/>
    </row>
    <row r="933">
      <c r="E933" s="10" t="n"/>
      <c r="F933" s="10" t="n"/>
      <c r="H933" s="7" t="n"/>
    </row>
    <row r="934">
      <c r="E934" s="10" t="n"/>
      <c r="F934" s="10" t="n"/>
      <c r="H934" s="7" t="n"/>
    </row>
    <row r="935">
      <c r="E935" s="10" t="n"/>
      <c r="F935" s="10" t="n"/>
      <c r="H935" s="7" t="n"/>
    </row>
    <row r="936">
      <c r="E936" s="10" t="n"/>
      <c r="F936" s="10" t="n"/>
      <c r="H936" s="7" t="n"/>
    </row>
    <row r="937">
      <c r="E937" s="10" t="n"/>
      <c r="F937" s="10" t="n"/>
      <c r="H937" s="7" t="n"/>
    </row>
    <row r="938">
      <c r="E938" s="10" t="n"/>
      <c r="F938" s="10" t="n"/>
      <c r="H938" s="7" t="n"/>
    </row>
    <row r="939">
      <c r="E939" s="10" t="n"/>
      <c r="F939" s="10" t="n"/>
      <c r="H939" s="7" t="n"/>
    </row>
    <row r="940">
      <c r="E940" s="10" t="n"/>
      <c r="F940" s="10" t="n"/>
      <c r="H940" s="7" t="n"/>
    </row>
    <row r="941">
      <c r="E941" s="10" t="n"/>
      <c r="F941" s="10" t="n"/>
      <c r="H941" s="7" t="n"/>
    </row>
    <row r="942">
      <c r="E942" s="10" t="n"/>
      <c r="F942" s="10" t="n"/>
      <c r="H942" s="7" t="n"/>
    </row>
    <row r="943">
      <c r="E943" s="10" t="n"/>
      <c r="F943" s="10" t="n"/>
      <c r="H943" s="7" t="n"/>
    </row>
    <row r="944">
      <c r="E944" s="10" t="n"/>
      <c r="F944" s="10" t="n"/>
      <c r="H944" s="7" t="n"/>
    </row>
    <row r="945">
      <c r="E945" s="10" t="n"/>
      <c r="F945" s="10" t="n"/>
      <c r="H945" s="7" t="n"/>
    </row>
    <row r="946">
      <c r="E946" s="10" t="n"/>
      <c r="F946" s="10" t="n"/>
      <c r="H946" s="7" t="n"/>
    </row>
    <row r="947">
      <c r="E947" s="10" t="n"/>
      <c r="F947" s="10" t="n"/>
      <c r="H947" s="7" t="n"/>
    </row>
    <row r="948">
      <c r="E948" s="10" t="n"/>
      <c r="F948" s="10" t="n"/>
      <c r="H948" s="7" t="n"/>
    </row>
    <row r="949">
      <c r="E949" s="10" t="n"/>
      <c r="F949" s="10" t="n"/>
      <c r="H949" s="7" t="n"/>
    </row>
    <row r="950">
      <c r="E950" s="10" t="n"/>
      <c r="F950" s="10" t="n"/>
      <c r="H950" s="7" t="n"/>
    </row>
    <row r="951">
      <c r="E951" s="10" t="n"/>
      <c r="F951" s="10" t="n"/>
      <c r="H951" s="7" t="n"/>
    </row>
    <row r="952">
      <c r="E952" s="10" t="n"/>
      <c r="F952" s="10" t="n"/>
      <c r="H952" s="7" t="n"/>
    </row>
    <row r="953">
      <c r="E953" s="10" t="n"/>
      <c r="F953" s="10" t="n"/>
      <c r="H953" s="7" t="n"/>
    </row>
    <row r="954">
      <c r="E954" s="10" t="n"/>
      <c r="F954" s="10" t="n"/>
      <c r="H954" s="7" t="n"/>
    </row>
    <row r="955">
      <c r="E955" s="10" t="n"/>
      <c r="F955" s="10" t="n"/>
      <c r="H955" s="7" t="n"/>
    </row>
    <row r="956">
      <c r="E956" s="10" t="n"/>
      <c r="F956" s="10" t="n"/>
      <c r="H956" s="7" t="n"/>
    </row>
    <row r="957">
      <c r="E957" s="10" t="n"/>
      <c r="F957" s="10" t="n"/>
      <c r="H957" s="7" t="n"/>
    </row>
    <row r="958">
      <c r="E958" s="10" t="n"/>
      <c r="F958" s="10" t="n"/>
      <c r="H958" s="7" t="n"/>
    </row>
    <row r="959">
      <c r="E959" s="10" t="n"/>
      <c r="F959" s="10" t="n"/>
      <c r="H959" s="7" t="n"/>
    </row>
    <row r="960">
      <c r="E960" s="10" t="n"/>
      <c r="F960" s="10" t="n"/>
      <c r="H960" s="7" t="n"/>
    </row>
    <row r="961">
      <c r="E961" s="10" t="n"/>
      <c r="F961" s="10" t="n"/>
      <c r="H961" s="7" t="n"/>
    </row>
    <row r="962">
      <c r="E962" s="10" t="n"/>
      <c r="F962" s="10" t="n"/>
      <c r="H962" s="7" t="n"/>
    </row>
    <row r="963">
      <c r="E963" s="10" t="n"/>
      <c r="F963" s="10" t="n"/>
      <c r="H963" s="7" t="n"/>
    </row>
    <row r="964">
      <c r="E964" s="10" t="n"/>
      <c r="F964" s="10" t="n"/>
      <c r="H964" s="7" t="n"/>
    </row>
    <row r="965">
      <c r="E965" s="10" t="n"/>
      <c r="F965" s="10" t="n"/>
      <c r="H965" s="7" t="n"/>
    </row>
    <row r="966">
      <c r="E966" s="10" t="n"/>
      <c r="F966" s="10" t="n"/>
      <c r="H966" s="7" t="n"/>
    </row>
    <row r="967">
      <c r="E967" s="10" t="n"/>
      <c r="F967" s="10" t="n"/>
      <c r="H967" s="7" t="n"/>
    </row>
    <row r="968">
      <c r="E968" s="10" t="n"/>
      <c r="F968" s="10" t="n"/>
      <c r="H968" s="7" t="n"/>
    </row>
    <row r="969">
      <c r="E969" s="10" t="n"/>
      <c r="F969" s="10" t="n"/>
      <c r="H969" s="7" t="n"/>
    </row>
    <row r="970">
      <c r="E970" s="10" t="n"/>
      <c r="F970" s="10" t="n"/>
      <c r="H970" s="7" t="n"/>
    </row>
    <row r="971">
      <c r="E971" s="10" t="n"/>
      <c r="F971" s="10" t="n"/>
      <c r="H971" s="7" t="n"/>
    </row>
    <row r="972">
      <c r="E972" s="10" t="n"/>
      <c r="F972" s="10" t="n"/>
      <c r="H972" s="7" t="n"/>
    </row>
    <row r="973">
      <c r="E973" s="10" t="n"/>
      <c r="F973" s="10" t="n"/>
      <c r="H973" s="7" t="n"/>
    </row>
    <row r="974">
      <c r="E974" s="10" t="n"/>
      <c r="F974" s="10" t="n"/>
      <c r="H974" s="7" t="n"/>
    </row>
    <row r="975">
      <c r="E975" s="10" t="n"/>
      <c r="F975" s="10" t="n"/>
      <c r="H975" s="7" t="n"/>
    </row>
    <row r="976">
      <c r="E976" s="10" t="n"/>
      <c r="F976" s="10" t="n"/>
      <c r="H976" s="7" t="n"/>
    </row>
    <row r="977">
      <c r="E977" s="10" t="n"/>
      <c r="F977" s="10" t="n"/>
      <c r="H977" s="7" t="n"/>
    </row>
    <row r="978">
      <c r="E978" s="10" t="n"/>
      <c r="F978" s="10" t="n"/>
      <c r="H978" s="7" t="n"/>
    </row>
    <row r="979">
      <c r="E979" s="10" t="n"/>
      <c r="F979" s="10" t="n"/>
      <c r="H979" s="7" t="n"/>
    </row>
    <row r="980">
      <c r="E980" s="10" t="n"/>
      <c r="F980" s="10" t="n"/>
      <c r="H980" s="7" t="n"/>
    </row>
    <row r="981">
      <c r="E981" s="10" t="n"/>
      <c r="F981" s="10" t="n"/>
      <c r="H981" s="7" t="n"/>
    </row>
    <row r="982">
      <c r="E982" s="10" t="n"/>
      <c r="F982" s="10" t="n"/>
      <c r="H982" s="7" t="n"/>
    </row>
    <row r="983">
      <c r="E983" s="10" t="n"/>
      <c r="F983" s="10" t="n"/>
      <c r="H983" s="7" t="n"/>
    </row>
    <row r="984">
      <c r="E984" s="10" t="n"/>
      <c r="F984" s="10" t="n"/>
      <c r="H984" s="7" t="n"/>
    </row>
    <row r="985">
      <c r="E985" s="10" t="n"/>
      <c r="F985" s="10" t="n"/>
      <c r="H985" s="7" t="n"/>
    </row>
    <row r="986">
      <c r="E986" s="10" t="n"/>
      <c r="F986" s="10" t="n"/>
      <c r="H986" s="7" t="n"/>
    </row>
    <row r="987">
      <c r="E987" s="10" t="n"/>
      <c r="F987" s="10" t="n"/>
      <c r="H987" s="7" t="n"/>
    </row>
    <row r="988">
      <c r="E988" s="10" t="n"/>
      <c r="F988" s="10" t="n"/>
      <c r="H988" s="7" t="n"/>
    </row>
    <row r="989">
      <c r="E989" s="10" t="n"/>
      <c r="F989" s="10" t="n"/>
      <c r="H989" s="7" t="n"/>
    </row>
    <row r="990">
      <c r="E990" s="10" t="n"/>
      <c r="F990" s="10" t="n"/>
      <c r="H990" s="7" t="n"/>
    </row>
    <row r="991">
      <c r="E991" s="10" t="n"/>
      <c r="F991" s="10" t="n"/>
      <c r="H991" s="7" t="n"/>
    </row>
    <row r="992">
      <c r="E992" s="10" t="n"/>
      <c r="F992" s="10" t="n"/>
      <c r="H992" s="7" t="n"/>
    </row>
    <row r="993">
      <c r="E993" s="10" t="n"/>
      <c r="F993" s="10" t="n"/>
      <c r="H993" s="7" t="n"/>
    </row>
    <row r="994">
      <c r="E994" s="10" t="n"/>
      <c r="F994" s="10" t="n"/>
      <c r="H994" s="7" t="n"/>
    </row>
    <row r="995">
      <c r="E995" s="10" t="n"/>
      <c r="F995" s="10" t="n"/>
      <c r="H995" s="7" t="n"/>
    </row>
    <row r="996">
      <c r="E996" s="10" t="n"/>
      <c r="F996" s="10" t="n"/>
      <c r="H996" s="7" t="n"/>
    </row>
    <row r="997">
      <c r="E997" s="10" t="n"/>
      <c r="F997" s="10" t="n"/>
      <c r="H997" s="7" t="n"/>
    </row>
    <row r="998">
      <c r="E998" s="10" t="n"/>
      <c r="F998" s="10" t="n"/>
      <c r="H998" s="7" t="n"/>
    </row>
    <row r="999">
      <c r="E999" s="10" t="n"/>
      <c r="F999" s="10" t="n"/>
      <c r="H999" s="7" t="n"/>
    </row>
    <row r="1000">
      <c r="E1000" s="10" t="n"/>
      <c r="F1000" s="10" t="n"/>
      <c r="H1000" s="7" t="n"/>
    </row>
  </sheetData>
  <dataValidations count="1">
    <dataValidation sqref="B4:B1000" showDropDown="0" showInputMessage="0" showErrorMessage="0" allowBlank="1" type="list">
      <formula1>"Resposta LAI,Recurso LAI,Certidão de matrícula,Outro"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Regras de validação</t>
        </is>
      </c>
    </row>
    <row r="3">
      <c r="A3" s="2" t="inlineStr">
        <is>
          <t>Regra</t>
        </is>
      </c>
      <c r="B3" s="2" t="inlineStr">
        <is>
          <t>Descrição</t>
        </is>
      </c>
    </row>
    <row r="4">
      <c r="A4" s="3" t="inlineStr">
        <is>
          <t>1. Valor real</t>
        </is>
      </c>
      <c r="B4" s="4" t="inlineStr">
        <is>
          <t>Valor de venda = valor declarado na escritura registrada (ato R de compra e venda na matrícula) ou valor da transação informado pela prefeitura no ITBI. Valor anunciado, avaliação de corretor ou estimativa NUNCA entram.</t>
        </is>
      </c>
    </row>
    <row r="5">
      <c r="A5" s="3" t="inlineStr">
        <is>
          <t>2. Natureza</t>
        </is>
      </c>
      <c r="B5" s="4" t="inlineStr">
        <is>
          <t>Só compra e venda onerosa. Doação, herança/inventário, permuta, integralização de capital, cessão, dação em pagamento, adjudicação, arrematação/leilão e consolidação de propriedade fiduciária ficam fora (o importador lista como rejeitadas).</t>
        </is>
      </c>
    </row>
    <row r="6">
      <c r="A6" s="3" t="inlineStr">
        <is>
          <t>3. Valor e base de cálculo</t>
        </is>
      </c>
      <c r="B6" s="4" t="inlineStr">
        <is>
          <t>Valor de venda e base de cálculo do ITBI ficam em colunas separadas. Um não substitui o outro.</t>
        </is>
      </c>
    </row>
    <row r="7">
      <c r="A7" s="3" t="inlineStr">
        <is>
          <t>4. Subdeclaração</t>
        </is>
      </c>
      <c r="B7" s="4" t="inlineStr">
        <is>
          <t>Quando o valor de venda é menor ou igual ao valor venal do IPTU a coluna Alerta sinaliza. O valor NÃO é corrigido: o alerta só indica que o valor declarado pode estar abaixo do praticado.</t>
        </is>
      </c>
    </row>
    <row r="8">
      <c r="A8" s="3" t="inlineStr">
        <is>
          <t>5. Duplicidade</t>
        </is>
      </c>
      <c r="B8" s="4" t="inlineStr">
        <is>
          <t>A mesma venda (mesma cidade + matrícula ou inscrição + data) não pode aparecer duas vezes, mesmo que venha da LAI e da certidão. Mantém-se a linha da certidão e cita-se o protocolo LAI em Observações.</t>
        </is>
      </c>
    </row>
    <row r="9">
      <c r="A9" s="3" t="inlineStr">
        <is>
          <t>6. Metragem</t>
        </is>
      </c>
      <c r="B9" s="4" t="inlineStr">
        <is>
          <t>Sem área no documento, a área fica vazia e o R$/m² também. Nunca estimar.</t>
        </is>
      </c>
    </row>
    <row r="10">
      <c r="A10" s="3" t="inlineStr">
        <is>
          <t>7. Bairro</t>
        </is>
      </c>
      <c r="B10" s="4" t="inlineStr">
        <is>
          <t>Só bairros da lista oficial (aba Bairros). Nomes populares são convertidos pelo importador via 'apelidos_bairro' do mapa_colunas.json, sempre de forma explícita.</t>
        </is>
      </c>
    </row>
    <row r="11">
      <c r="A11" s="3" t="inlineStr">
        <is>
          <t>8. Padrão</t>
        </is>
      </c>
      <c r="B11" s="4" t="inlineStr">
        <is>
          <t>Conforme aba Padrão. Sem documento ou vistoria: 'Não informado'.</t>
        </is>
      </c>
    </row>
    <row r="12">
      <c r="A12" s="3" t="inlineStr">
        <is>
          <t>9. Foto</t>
        </is>
      </c>
      <c r="B12" s="4" t="inlineStr">
        <is>
          <t>Somente foto real do imóvel: tirada no local, link do Street View nas coordenadas do imóvel ou imagem constante de documento. Nunca imagem de anúncio de outro imóvel.</t>
        </is>
      </c>
    </row>
    <row r="13">
      <c r="A13" s="3" t="inlineStr">
        <is>
          <t>10. Status</t>
        </is>
      </c>
      <c r="B13" s="4" t="inlineStr">
        <is>
          <t>Validado = documento conferido e arquivado (aba Fontes). Pendente = falta conferir. Rejeitado = não atende às regras. O Resumo usa só Validado.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90" customWidth="1" min="3" max="3"/>
  </cols>
  <sheetData>
    <row r="1">
      <c r="A1" s="1" t="inlineStr">
        <is>
          <t>Referências e canais</t>
        </is>
      </c>
    </row>
    <row r="3">
      <c r="A3" s="2" t="inlineStr">
        <is>
          <t>Assunto</t>
        </is>
      </c>
      <c r="B3" s="2" t="inlineStr">
        <is>
          <t>Descrição</t>
        </is>
      </c>
      <c r="C3" s="2" t="inlineStr">
        <is>
          <t>Link</t>
        </is>
      </c>
    </row>
    <row r="4">
      <c r="A4" s="3" t="inlineStr">
        <is>
          <t>Bairros de Bertioga</t>
        </is>
      </c>
      <c r="B4" s="4" t="inlineStr">
        <is>
          <t>LC 99/2013 de Bertioga, Anexo 1</t>
        </is>
      </c>
      <c r="C4" s="21" t="inlineStr">
        <is>
          <t>https://www.bertioga.sp.gov.br/wp/wp-content/uploads/2015/06/Lei-Complementar-99.2013.pdf</t>
        </is>
      </c>
    </row>
    <row r="5">
      <c r="A5" s="3" t="inlineStr">
        <is>
          <t>Bairros de São Sebastião</t>
        </is>
      </c>
      <c r="B5" s="4" t="inlineStr">
        <is>
          <t>IBGE – malha de bairros do Censo 2022 (SP)</t>
        </is>
      </c>
      <c r="C5" s="21" t="inlineStr">
        <is>
          <t>https://geoftp.ibge.gov.br/organizacao_do_territorio/malhas_territoriais/malhas_de_setores_censitarios__divisoes_intramunicipais/censo_2022/bairros/shp/UF/SP_bairros_CD2022.zip</t>
        </is>
      </c>
    </row>
    <row r="6">
      <c r="A6" s="3" t="inlineStr">
        <is>
          <t>CRI São Sebastião</t>
        </is>
      </c>
      <c r="B6" s="4" t="inlineStr">
        <is>
          <t>Oficial de Registro de Imóveis e Anexos de São Sebastião</t>
        </is>
      </c>
      <c r="C6" s="21" t="inlineStr">
        <is>
          <t>https://www.risaosebastiao.com.br</t>
        </is>
      </c>
    </row>
    <row r="7">
      <c r="A7" s="3" t="inlineStr">
        <is>
          <t>CRI Bertioga (desde 01/04/2025)</t>
        </is>
      </c>
      <c r="B7" s="4" t="inlineStr">
        <is>
          <t>Oficial de Registro de Imóveis de Bertioga — criado pela Lei Estadual nº 18.075/2024</t>
        </is>
      </c>
      <c r="C7" s="21" t="inlineStr">
        <is>
          <t>https://registrobertioga.com.br/</t>
        </is>
      </c>
    </row>
    <row r="8">
      <c r="A8" s="3" t="inlineStr">
        <is>
          <t>Lei de criação do CRI Bertioga</t>
        </is>
      </c>
      <c r="B8" s="4" t="inlineStr">
        <is>
          <t>Lei Estadual nº 18.075, de 27/12/2024</t>
        </is>
      </c>
      <c r="C8" s="21" t="inlineStr">
        <is>
          <t>https://www.al.sp.gov.br/repositorio/legislacao/lei/2024/lei-18075-27.12.2024.html</t>
        </is>
      </c>
    </row>
    <row r="9">
      <c r="A9" s="3" t="inlineStr">
        <is>
          <t>Matrículas antigas de Bertioga</t>
        </is>
      </c>
      <c r="B9" s="4" t="inlineStr">
        <is>
          <t>1º Oficial de Registro de Imóveis de Santos (atendia Bertioga até a instalação do CRI local)</t>
        </is>
      </c>
      <c r="C9" s="21" t="inlineStr">
        <is>
          <t>https://www.1risantos.com.br/</t>
        </is>
      </c>
    </row>
    <row r="10">
      <c r="A10" s="3" t="inlineStr">
        <is>
          <t>Certidão online</t>
        </is>
      </c>
      <c r="B10" s="4" t="inlineStr">
        <is>
          <t>RI Digital / SAEC (ONR) — antigo registradores.onr.org.br</t>
        </is>
      </c>
      <c r="C10" s="21" t="inlineStr">
        <is>
          <t>https://ridigital.org.br/</t>
        </is>
      </c>
    </row>
    <row r="11">
      <c r="A11" s="3" t="inlineStr">
        <is>
          <t>e-SIC São Sebastião</t>
        </is>
      </c>
      <c r="B11" s="4" t="inlineStr">
        <is>
          <t>Sistema de Informação ao Cidadão da Prefeitura</t>
        </is>
      </c>
      <c r="C11" s="21" t="inlineStr">
        <is>
          <t>http://www.saosebastiao.sp.gov.br/esic/</t>
        </is>
      </c>
    </row>
    <row r="12">
      <c r="A12" s="3" t="inlineStr">
        <is>
          <t>Transparência Bertioga</t>
        </is>
      </c>
      <c r="B12" s="4" t="inlineStr">
        <is>
          <t>Portal da Transparência (seção e-SIC)</t>
        </is>
      </c>
      <c r="C12" s="21" t="inlineStr">
        <is>
          <t>https://transparencia-bertioga.smarapd.com.br/#/esic</t>
        </is>
      </c>
    </row>
    <row r="13">
      <c r="A13" s="3" t="inlineStr">
        <is>
          <t>Ouvidoria Bertioga</t>
        </is>
      </c>
      <c r="B13" s="4" t="inlineStr">
        <is>
          <t>Fala Cidadão</t>
        </is>
      </c>
      <c r="C13" s="21" t="inlineStr">
        <is>
          <t>https://sistemas-smarapd.bertioga.sp.gov.br/falacidadao/#!/demanda</t>
        </is>
      </c>
    </row>
    <row r="14">
      <c r="A14" s="3" t="inlineStr">
        <is>
          <t>Código Tributário de Bertioga</t>
        </is>
      </c>
      <c r="B14" s="4" t="inlineStr">
        <is>
          <t>LC 116/2015 (art. 82 – base de cálculo do ITBI)</t>
        </is>
      </c>
      <c r="C14" s="21" t="inlineStr">
        <is>
          <t>https://sapl.bertioga.sp.leg.br/media/sapl/public/normajuridica/2015/3823/3823_texto_integral.pdf</t>
        </is>
      </c>
    </row>
    <row r="15">
      <c r="A15" s="3" t="inlineStr">
        <is>
          <t>Precedente – capital SP</t>
        </is>
      </c>
      <c r="B15" s="4" t="inlineStr">
        <is>
          <t>A Prefeitura de São Paulo publica as transações de ITBI sem nomes/CPF</t>
        </is>
      </c>
      <c r="C15" s="21" t="inlineStr">
        <is>
          <t>https://www.prefeitura.sp.gov.br/cidade/secretarias/fazenda/noticias/index.php?p=31551</t>
        </is>
      </c>
    </row>
    <row r="16">
      <c r="A16" s="3" t="inlineStr">
        <is>
          <t>Lei de Acesso à Informação</t>
        </is>
      </c>
      <c r="B16" s="4" t="inlineStr">
        <is>
          <t>Lei nº 12.527/2011</t>
        </is>
      </c>
      <c r="C16" s="21" t="inlineStr">
        <is>
          <t>https://www.planalto.gov.br/ccivil_03/_ato2011-2014/2011/lei/l12527.htm</t>
        </is>
      </c>
    </row>
    <row r="18">
      <c r="A18" s="4" t="inlineStr">
        <is>
          <t>Links verificados em 01/10/2026. O site da Prefeitura de São Sebastião estava fora do ar durante a verificação; confirme o endereço do e-SIC antes de protocolar.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2" customWidth="1" min="3" max="3"/>
    <col width="32" customWidth="1" min="4" max="4"/>
    <col width="30" customWidth="1" min="5" max="5"/>
    <col width="34" customWidth="1" min="6" max="6"/>
  </cols>
  <sheetData>
    <row r="1">
      <c r="A1" s="1" t="inlineStr">
        <is>
          <t>Galeria de fachadas</t>
        </is>
      </c>
    </row>
    <row r="2">
      <c r="A2" s="14" t="inlineStr">
        <is>
          <t>Gerada por scripts/vincular_fotos.py a partir da pasta fotos/. Não editar à mão.</t>
        </is>
      </c>
    </row>
    <row r="4">
      <c r="A4" s="2" t="inlineStr">
        <is>
          <t>ID</t>
        </is>
      </c>
      <c r="B4" s="2" t="inlineStr">
        <is>
          <t>Cidade</t>
        </is>
      </c>
      <c r="C4" s="2" t="inlineStr">
        <is>
          <t>Bairro</t>
        </is>
      </c>
      <c r="D4" s="2" t="inlineStr">
        <is>
          <t>Endereço</t>
        </is>
      </c>
      <c r="E4" s="2" t="inlineStr">
        <is>
          <t>Arquivo</t>
        </is>
      </c>
      <c r="F4" s="2" t="inlineStr">
        <is>
          <t>Miniatura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2026-10-01T17:42:03Z</dcterms:created>
  <dcterms:modified xsi:type="dcterms:W3CDTF">2026-10-01T17:42:03Z</dcterms:modified>
</cp:coreProperties>
</file>