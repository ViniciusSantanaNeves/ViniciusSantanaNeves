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Vendas" sheetId="2" state="visible" r:id="rId2"/>
    <sheet name="Bairros" sheetId="3" state="visible" r:id="rId3"/>
    <sheet name="Listas" sheetId="4" state="visible" r:id="rId4"/>
    <sheet name="Resumo" sheetId="5" state="visible" r:id="rId5"/>
    <sheet name="Análise ITBI" sheetId="6" state="visible" r:id="rId6"/>
    <sheet name="Padrão" sheetId="7" state="visible" r:id="rId7"/>
    <sheet name="Fontes" sheetId="8" state="visible" r:id="rId8"/>
    <sheet name="Regras" sheetId="9" state="visible" r:id="rId9"/>
    <sheet name="Referências" sheetId="10" state="visible" r:id="rId10"/>
    <sheet name="Galeria" sheetId="11" state="visible" r:id="rId11"/>
  </sheets>
  <definedNames>
    <definedName name="BAIRROS_SAO_SEBASTIAO">Bairros!$A$6:$A$41</definedName>
    <definedName name="BAIRROS_BERTIOGA">Bairros!$E$6:$E$24</definedName>
    <definedName name="LISTA_CIDADES">Listas!$A$2:$A$3</definedName>
    <definedName name="LISTA_TIPOS">Listas!$B$2:$B$8</definedName>
    <definedName name="LISTA_PADROES">Listas!$C$2:$C$5</definedName>
    <definedName name="LISTA_ORIGEM_PADRAO">Listas!$D$2:$D$5</definedName>
    <definedName name="LISTA_NATUREZAS">Listas!$E$2:$E$2</definedName>
    <definedName name="LISTA_FONTES">Listas!$F$2:$F$3</definedName>
    <definedName name="LISTA_ORIGEM_FOTO">Listas!$G$2:$G$5</definedName>
    <definedName name="LISTA_FORMA_PAGAMENTO">Listas!$H$2:$H$4</definedName>
    <definedName name="LISTA_STATUS">Listas!$I$2:$I$4</definedName>
    <definedName name="AMOSTRA_MIN">'Análise ITBI'!$B$4</definedName>
    <definedName name="_xlnm._FilterDatabase" localSheetId="1" hidden="1">'Vendas'!$A$1:$AL$3001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;-R$ #,##0.00;&quot;-&quot;"/>
    <numFmt numFmtId="165" formatCode="0.000"/>
    <numFmt numFmtId="166" formatCode="DD/MM/YYYY"/>
    <numFmt numFmtId="167" formatCode="0.0%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3864"/>
      <sz val="14"/>
    </font>
    <font>
      <name val="Arial"/>
      <b val="1"/>
      <sz val="10"/>
    </font>
    <font>
      <name val="Arial"/>
      <i val="1"/>
      <sz val="9"/>
    </font>
    <font>
      <name val="Arial"/>
      <b val="1"/>
      <color rgb="000000FF"/>
      <sz val="10"/>
    </font>
    <font>
      <name val="Arial"/>
      <b val="1"/>
      <color rgb="001F3864"/>
      <sz val="12"/>
    </font>
    <font>
      <name val="Arial"/>
      <i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164" fontId="2" fillId="3" borderId="0" pivotButton="0" quotePrefix="0" xfId="0"/>
    <xf numFmtId="0" fontId="2" fillId="3" borderId="0" pivotButton="0" quotePrefix="0" xfId="0"/>
    <xf numFmtId="165" fontId="2" fillId="3" borderId="0" pivotButton="0" quotePrefix="0" xfId="0"/>
    <xf numFmtId="1" fontId="2" fillId="3" borderId="0" pivotButton="0" quotePrefix="0" xfId="0"/>
    <xf numFmtId="166" fontId="0" fillId="0" borderId="0" pivotButton="0" quotePrefix="0" xfId="0"/>
    <xf numFmtId="0" fontId="3" fillId="3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5" fillId="3" borderId="0" pivotButton="0" quotePrefix="0" xfId="0"/>
    <xf numFmtId="164" fontId="1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7" fillId="4" borderId="0" pivotButton="0" quotePrefix="0" xfId="0"/>
    <xf numFmtId="0" fontId="8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ont>
        <name val="Arial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Base de vendas</author>
  </authors>
  <commentList>
    <comment ref="A1" authorId="0" shapeId="0">
      <text>
        <t>Identificador único. O importador gera automaticamente (ex.: LAI-SS-000001). Para entrada manual use CRI-&lt;cidade&gt;-&lt;nº matrícula&gt;-&lt;ato&gt;.</t>
      </text>
    </comment>
    <comment ref="B1" authorId="0" shapeId="0">
      <text>
        <t>Escolha na lista.</t>
      </text>
    </comment>
    <comment ref="C1" authorId="0" shapeId="0">
      <text>
        <t>Lista oficial da cidade escolhida (aba Bairros).</t>
      </text>
    </comment>
    <comment ref="D1" authorId="0" shapeId="0">
      <text>
        <t>Como consta no documento.</t>
      </text>
    </comment>
    <comment ref="E1" authorId="0" shapeId="0">
      <text>
        <t>Unidade, bloco, condomínio, lote/quadra.</t>
      </text>
    </comment>
    <comment ref="F1" authorId="0" shapeId="0">
      <text>
        <t>Inscrição do IPTU, se constar.</t>
      </text>
    </comment>
    <comment ref="G1" authorId="0" shapeId="0">
      <text>
        <t>Escolha na lista.</t>
      </text>
    </comment>
    <comment ref="H1" authorId="0" shapeId="0">
      <text>
        <t>Somente número. Vazio se o documento não informar.</t>
      </text>
    </comment>
    <comment ref="I1" authorId="0" shapeId="0">
      <text>
        <t>Somente número. Vazio se o documento não informar.</t>
      </text>
    </comment>
    <comment ref="J1" authorId="0" shapeId="0">
      <text>
        <t>Baixo / Normal / Alto, ou 'Não informado'. Critérios na aba Padrão.</t>
      </text>
    </comment>
    <comment ref="K1" authorId="0" shapeId="0">
      <text>
        <t>De onde saiu a classificação do padrão.</t>
      </text>
    </comment>
    <comment ref="L1" authorId="0" shapeId="0">
      <text>
        <t>Texto literal do documento (ex.: classe do cadastro do IPTU).</t>
      </text>
    </comment>
    <comment ref="M1" authorId="0" shapeId="0">
      <text>
        <t>Valor declarado na escritura/registro (ato R de compra e venda) ou 'valor da transação' informado no ITBI. NUNCA o valor anunciado.</t>
      </text>
    </comment>
    <comment ref="N1" authorId="0" shapeId="0">
      <text>
        <t>Base de cálculo usada pela prefeitura, se informada.</t>
      </text>
    </comment>
    <comment ref="O1" authorId="0" shapeId="0">
      <text>
        <t>Valor venal do IPTU no ano da transação, se informado.</t>
      </text>
    </comment>
    <comment ref="P1" authorId="0" shapeId="0">
      <text>
        <t>Financiado / À vista / Não informado — conforme ITBI ou matrícula (registro de alienação fiduciária ou hipoteca).</t>
      </text>
    </comment>
    <comment ref="Q1" authorId="0" shapeId="0">
      <text>
        <t>Valor do financiamento informado no ITBI ou o valor da dívida no registro de alienação fiduciária/hipoteca.</t>
      </text>
    </comment>
    <comment ref="R1" authorId="0" shapeId="0">
      <text>
        <t>Valor do imóvel convencionado no contrato de alienação fiduciária para fins de leilão (Lei 9.514/97, art. 24, VI), conforme consta no registro da matrícula.</t>
      </text>
    </comment>
    <comment ref="S1" authorId="0" shapeId="0">
      <text>
        <t>Fórmula: valor de venda ÷ área construída/privativa (ou ÷ área do terreno, quando o tipo for Terreno). Não editar.</t>
      </text>
    </comment>
    <comment ref="T1" authorId="0" shapeId="0">
      <text>
        <t>Fórmula. Sinaliza valor de venda menor ou igual ao venal do IPTU (indício de subdeclaração). Não altera o valor.</t>
      </text>
    </comment>
    <comment ref="U1" authorId="0" shapeId="0">
      <text>
        <t>Fórmula. &lt;1 = prefeitura usou base maior que o valor declarado.</t>
      </text>
    </comment>
    <comment ref="V1" authorId="0" shapeId="0">
      <text>
        <t>Fórmula.</t>
      </text>
    </comment>
    <comment ref="W1" authorId="0" shapeId="0">
      <text>
        <t>Fórmula. &lt;1 = preço declarado abaixo do valor do imóvel fixado no contrato de alienação fiduciária.</t>
      </text>
    </comment>
    <comment ref="X1" authorId="0" shapeId="0">
      <text>
        <t>Fórmula. ≥1 = financiamento igual ou maior que o preço declarado (sinal a investigar).</t>
      </text>
    </comment>
    <comment ref="Y1" authorId="0" shapeId="0">
      <text>
        <t>Fórmula: ano da escritura/transação.</t>
      </text>
    </comment>
    <comment ref="Z1" authorId="0" shapeId="0">
      <text>
        <t>Data (dd/mm/aaaa).</t>
      </text>
    </comment>
    <comment ref="AA1" authorId="0" shapeId="0">
      <text>
        <t>Data em que o ato foi registrado no CRI.</t>
      </text>
    </comment>
    <comment ref="AB1" authorId="0" shapeId="0">
      <text>
        <t>Somente compra e venda onerosa entra na base.</t>
      </text>
    </comment>
    <comment ref="AC1" authorId="0" shapeId="0">
      <text>
        <t>LAI ou certidão de matrícula.</t>
      </text>
    </comment>
    <comment ref="AD1" authorId="0" shapeId="0">
      <text>
        <t>Matrícula nº + ato (ex.: M. 12.345 R-7) ou protocolo LAI + linha do arquivo.</t>
      </text>
    </comment>
    <comment ref="AE1" authorId="0" shapeId="0">
      <text>
        <t>Cartório ou prefeitura que emitiu o documento.</t>
      </text>
    </comment>
    <comment ref="AF1" authorId="0" shapeId="0">
      <text>
        <t>Cole no formato -23.761234,-45.409876 (clique direito no Google Maps copia neste formato).</t>
      </text>
    </comment>
    <comment ref="AG1" authorId="0" shapeId="0">
      <text>
        <t>Preenchido pelo script vincular_fotos.py a partir da pasta fotos/.</t>
      </text>
    </comment>
    <comment ref="AH1" authorId="0" shapeId="0">
      <text>
        <t>Escolha na lista.</t>
      </text>
    </comment>
    <comment ref="AI1" authorId="0" shapeId="0">
      <text>
        <t>Lida do EXIF da foto quando existir.</t>
      </text>
    </comment>
    <comment ref="AJ1" authorId="0" shapeId="0">
      <text>
        <t>Fórmula: link do Street View a partir das coordenadas.</t>
      </text>
    </comment>
    <comment ref="AK1" authorId="0" shapeId="0">
      <text>
        <t>Validado = documento conferido. Só linhas validadas entram no Resumo.</t>
      </text>
    </comment>
    <comment ref="AL1" authorId="0" shapeId="0">
      <text>
        <t>Livre.</t>
      </text>
    </comment>
  </commentList>
</comments>
</file>

<file path=xl/comments/comment2.xml><?xml version="1.0" encoding="utf-8"?>
<comments xmlns="http://schemas.openxmlformats.org/spreadsheetml/2006/main">
  <authors>
    <author>Base de vendas</author>
  </authors>
  <commentList>
    <comment ref="B4" authorId="0" shapeId="0">
      <text>
        <t>Escolha metodológica ajustável: número mínimo de vendas para mostrar mediana, COD ou comparação. Com menos que isso o indicador mostra 'n&lt;mín'.</t>
      </text>
    </comment>
    <comment ref="C8" authorId="0" shapeId="0">
      <text>
        <t>Compras e vendas com Status = Validado no recorte.</t>
      </text>
    </comment>
    <comment ref="D8" authorId="0" shapeId="0">
      <text>
        <t>Vendas com valor declarado e base de cálculo do ITBI.</t>
      </text>
    </comment>
    <comment ref="E8" authorId="0" shapeId="0">
      <text>
        <t>Mediana da razão. 1,000 = prefeitura aceitou o valor declarado. Abaixo de 1 = base maior que o declarado.</t>
      </text>
    </comment>
    <comment ref="F8" authorId="0" shapeId="0">
      <text>
        <t>Parcela das vendas em que a prefeitura adotou base de cálculo MAIOR que o valor declarado (arbitramento ou valor de referência).</t>
      </text>
    </comment>
    <comment ref="G8" authorId="0" shapeId="0">
      <text>
        <t>Coeficiente de dispersão (IAAO): desvio absoluto médio em torno da mediana, em % da mediana. Quanto maior, menos uniforme a relação entre declarado e base.</t>
      </text>
    </comment>
    <comment ref="H8" authorId="0" shapeId="0">
      <text>
        <t>Vendas com valor declarado e valor venal do IPTU.</t>
      </text>
    </comment>
    <comment ref="I8" authorId="0" shapeId="0">
      <text>
        <t>Quantas vezes o preço declarado supera o valor venal do IPTU.</t>
      </text>
    </comment>
    <comment ref="J8" authorId="0" shapeId="0">
      <text>
        <t>Parcela das vendas com preço declarado menor ou igual ao venal do IPTU (sinal forte de subdeclaração).</t>
      </text>
    </comment>
    <comment ref="K8" authorId="0" shapeId="0">
      <text>
        <t>Vendas financiadas com R$/m² calculado.</t>
      </text>
    </comment>
    <comment ref="L8" authorId="0" shapeId="0">
      <text>
        <t>Vendas à vista com R$/m² calculado.</t>
      </text>
    </comment>
    <comment ref="M8" authorId="0" shapeId="0">
      <text>
        <t>Mediana do R$/m² declarado nas vendas financiadas.</t>
      </text>
    </comment>
    <comment ref="N8" authorId="0" shapeId="0">
      <text>
        <t>Mediana do R$/m² declarado nas vendas à vista.</t>
      </text>
    </comment>
    <comment ref="O8" authorId="0" shapeId="0">
      <text>
        <t>R$/m² mediano à vista ÷ financiadas − 1. Negativo = vendas à vista declaram menos por m². Compare dentro do mesmo bairro/padrão: diferenças de imóvel e de perfil do comprador também entram nesse número.</t>
      </text>
    </comment>
    <comment ref="P8" authorId="0" shapeId="0">
      <text>
        <t>Vendas financiadas por alienação fiduciária com o valor para leilão (art. 24, VI da Lei 9.514/97) lançado.</t>
      </text>
    </comment>
    <comment ref="Q8" authorId="0" shapeId="0">
      <text>
        <t>Abaixo de 1 = preço declarado menor que o valor do imóvel fixado no contrato de financiamento.</t>
      </text>
    </comment>
    <comment ref="R8" authorId="0" shapeId="0">
      <text>
        <t>Parcela das vendas com preço declarado abaixo do valor para leilão.</t>
      </text>
    </comment>
    <comment ref="S8" authorId="0" shapeId="0">
      <text>
        <t>Vendas com valor financiado lançado.</t>
      </text>
    </comment>
    <comment ref="T8" authorId="0" shapeId="0">
      <text>
        <t>Parcela em que o valor financiado é igual ou maior que o preço declarado (sinal a investigar).</t>
      </text>
    </comment>
    <comment ref="C14" authorId="0" shapeId="0">
      <text>
        <t>Compras e vendas com Status = Validado no recorte.</t>
      </text>
    </comment>
    <comment ref="D14" authorId="0" shapeId="0">
      <text>
        <t>Vendas com valor declarado e base de cálculo do ITBI.</t>
      </text>
    </comment>
    <comment ref="E14" authorId="0" shapeId="0">
      <text>
        <t>Mediana da razão. 1,000 = prefeitura aceitou o valor declarado. Abaixo de 1 = base maior que o declarado.</t>
      </text>
    </comment>
    <comment ref="F14" authorId="0" shapeId="0">
      <text>
        <t>Parcela das vendas em que a prefeitura adotou base de cálculo MAIOR que o valor declarado (arbitramento ou valor de referência).</t>
      </text>
    </comment>
    <comment ref="G14" authorId="0" shapeId="0">
      <text>
        <t>Coeficiente de dispersão (IAAO): desvio absoluto médio em torno da mediana, em % da mediana. Quanto maior, menos uniforme a relação entre declarado e base.</t>
      </text>
    </comment>
    <comment ref="H14" authorId="0" shapeId="0">
      <text>
        <t>Vendas com valor declarado e valor venal do IPTU.</t>
      </text>
    </comment>
    <comment ref="I14" authorId="0" shapeId="0">
      <text>
        <t>Quantas vezes o preço declarado supera o valor venal do IPTU.</t>
      </text>
    </comment>
    <comment ref="J14" authorId="0" shapeId="0">
      <text>
        <t>Parcela das vendas com preço declarado menor ou igual ao venal do IPTU (sinal forte de subdeclaração).</t>
      </text>
    </comment>
    <comment ref="K14" authorId="0" shapeId="0">
      <text>
        <t>Vendas financiadas com R$/m² calculado.</t>
      </text>
    </comment>
    <comment ref="L14" authorId="0" shapeId="0">
      <text>
        <t>Vendas à vista com R$/m² calculado.</t>
      </text>
    </comment>
    <comment ref="M14" authorId="0" shapeId="0">
      <text>
        <t>Mediana do R$/m² declarado nas vendas financiadas.</t>
      </text>
    </comment>
    <comment ref="N14" authorId="0" shapeId="0">
      <text>
        <t>Mediana do R$/m² declarado nas vendas à vista.</t>
      </text>
    </comment>
    <comment ref="O14" authorId="0" shapeId="0">
      <text>
        <t>R$/m² mediano à vista ÷ financiadas − 1. Negativo = vendas à vista declaram menos por m². Compare dentro do mesmo bairro/padrão: diferenças de imóvel e de perfil do comprador também entram nesse número.</t>
      </text>
    </comment>
    <comment ref="P14" authorId="0" shapeId="0">
      <text>
        <t>Vendas financiadas por alienação fiduciária com o valor para leilão (art. 24, VI da Lei 9.514/97) lançado.</t>
      </text>
    </comment>
    <comment ref="Q14" authorId="0" shapeId="0">
      <text>
        <t>Abaixo de 1 = preço declarado menor que o valor do imóvel fixado no contrato de financiamento.</t>
      </text>
    </comment>
    <comment ref="R14" authorId="0" shapeId="0">
      <text>
        <t>Parcela das vendas com preço declarado abaixo do valor para leilão.</t>
      </text>
    </comment>
    <comment ref="S14" authorId="0" shapeId="0">
      <text>
        <t>Vendas com valor financiado lançado.</t>
      </text>
    </comment>
    <comment ref="T14" authorId="0" shapeId="0">
      <text>
        <t>Parcela em que o valor financiado é igual ou maior que o preço declarado (sinal a investigar).</t>
      </text>
    </comment>
    <comment ref="C30" authorId="0" shapeId="0">
      <text>
        <t>Compras e vendas com Status = Validado no recorte.</t>
      </text>
    </comment>
    <comment ref="D30" authorId="0" shapeId="0">
      <text>
        <t>Vendas com valor declarado e base de cálculo do ITBI.</t>
      </text>
    </comment>
    <comment ref="E30" authorId="0" shapeId="0">
      <text>
        <t>Mediana da razão. 1,000 = prefeitura aceitou o valor declarado. Abaixo de 1 = base maior que o declarado.</t>
      </text>
    </comment>
    <comment ref="F30" authorId="0" shapeId="0">
      <text>
        <t>Parcela das vendas em que a prefeitura adotou base de cálculo MAIOR que o valor declarado (arbitramento ou valor de referência).</t>
      </text>
    </comment>
    <comment ref="G30" authorId="0" shapeId="0">
      <text>
        <t>Coeficiente de dispersão (IAAO): desvio absoluto médio em torno da mediana, em % da mediana. Quanto maior, menos uniforme a relação entre declarado e base.</t>
      </text>
    </comment>
    <comment ref="H30" authorId="0" shapeId="0">
      <text>
        <t>Vendas com valor declarado e valor venal do IPTU.</t>
      </text>
    </comment>
    <comment ref="I30" authorId="0" shapeId="0">
      <text>
        <t>Quantas vezes o preço declarado supera o valor venal do IPTU.</t>
      </text>
    </comment>
    <comment ref="J30" authorId="0" shapeId="0">
      <text>
        <t>Parcela das vendas com preço declarado menor ou igual ao venal do IPTU (sinal forte de subdeclaração).</t>
      </text>
    </comment>
    <comment ref="K30" authorId="0" shapeId="0">
      <text>
        <t>Vendas financiadas com R$/m² calculado.</t>
      </text>
    </comment>
    <comment ref="L30" authorId="0" shapeId="0">
      <text>
        <t>Vendas à vista com R$/m² calculado.</t>
      </text>
    </comment>
    <comment ref="M30" authorId="0" shapeId="0">
      <text>
        <t>Mediana do R$/m² declarado nas vendas financiadas.</t>
      </text>
    </comment>
    <comment ref="N30" authorId="0" shapeId="0">
      <text>
        <t>Mediana do R$/m² declarado nas vendas à vista.</t>
      </text>
    </comment>
    <comment ref="O30" authorId="0" shapeId="0">
      <text>
        <t>R$/m² mediano à vista ÷ financiadas − 1. Negativo = vendas à vista declaram menos por m². Compare dentro do mesmo bairro/padrão: diferenças de imóvel e de perfil do comprador também entram nesse número.</t>
      </text>
    </comment>
    <comment ref="P30" authorId="0" shapeId="0">
      <text>
        <t>Vendas financiadas por alienação fiduciária com o valor para leilão (art. 24, VI da Lei 9.514/97) lançado.</t>
      </text>
    </comment>
    <comment ref="Q30" authorId="0" shapeId="0">
      <text>
        <t>Abaixo de 1 = preço declarado menor que o valor do imóvel fixado no contrato de financiamento.</t>
      </text>
    </comment>
    <comment ref="R30" authorId="0" shapeId="0">
      <text>
        <t>Parcela das vendas com preço declarado abaixo do valor para leilão.</t>
      </text>
    </comment>
    <comment ref="S30" authorId="0" shapeId="0">
      <text>
        <t>Vendas com valor financiado lançado.</t>
      </text>
    </comment>
    <comment ref="T30" authorId="0" shapeId="0">
      <text>
        <t>Parcela em que o valor financiado é igual ou maior que o preço declarado (sinal a investigar).</t>
      </text>
    </comment>
    <comment ref="C42" authorId="0" shapeId="0">
      <text>
        <t>Compras e vendas com Status = Validado no recorte.</t>
      </text>
    </comment>
    <comment ref="D42" authorId="0" shapeId="0">
      <text>
        <t>Vendas com valor declarado e base de cálculo do ITBI.</t>
      </text>
    </comment>
    <comment ref="E42" authorId="0" shapeId="0">
      <text>
        <t>Mediana da razão. 1,000 = prefeitura aceitou o valor declarado. Abaixo de 1 = base maior que o declarado.</t>
      </text>
    </comment>
    <comment ref="F42" authorId="0" shapeId="0">
      <text>
        <t>Parcela das vendas em que a prefeitura adotou base de cálculo MAIOR que o valor declarado (arbitramento ou valor de referência).</t>
      </text>
    </comment>
    <comment ref="G42" authorId="0" shapeId="0">
      <text>
        <t>Coeficiente de dispersão (IAAO): desvio absoluto médio em torno da mediana, em % da mediana. Quanto maior, menos uniforme a relação entre declarado e base.</t>
      </text>
    </comment>
    <comment ref="H42" authorId="0" shapeId="0">
      <text>
        <t>Vendas com valor declarado e valor venal do IPTU.</t>
      </text>
    </comment>
    <comment ref="I42" authorId="0" shapeId="0">
      <text>
        <t>Quantas vezes o preço declarado supera o valor venal do IPTU.</t>
      </text>
    </comment>
    <comment ref="J42" authorId="0" shapeId="0">
      <text>
        <t>Parcela das vendas com preço declarado menor ou igual ao venal do IPTU (sinal forte de subdeclaração).</t>
      </text>
    </comment>
    <comment ref="K42" authorId="0" shapeId="0">
      <text>
        <t>Vendas financiadas com R$/m² calculado.</t>
      </text>
    </comment>
    <comment ref="L42" authorId="0" shapeId="0">
      <text>
        <t>Vendas à vista com R$/m² calculado.</t>
      </text>
    </comment>
    <comment ref="M42" authorId="0" shapeId="0">
      <text>
        <t>Mediana do R$/m² declarado nas vendas financiadas.</t>
      </text>
    </comment>
    <comment ref="N42" authorId="0" shapeId="0">
      <text>
        <t>Mediana do R$/m² declarado nas vendas à vista.</t>
      </text>
    </comment>
    <comment ref="O42" authorId="0" shapeId="0">
      <text>
        <t>R$/m² mediano à vista ÷ financiadas − 1. Negativo = vendas à vista declaram menos por m². Compare dentro do mesmo bairro/padrão: diferenças de imóvel e de perfil do comprador também entram nesse número.</t>
      </text>
    </comment>
    <comment ref="P42" authorId="0" shapeId="0">
      <text>
        <t>Vendas financiadas por alienação fiduciária com o valor para leilão (art. 24, VI da Lei 9.514/97) lançado.</t>
      </text>
    </comment>
    <comment ref="Q42" authorId="0" shapeId="0">
      <text>
        <t>Abaixo de 1 = preço declarado menor que o valor do imóvel fixado no contrato de financiamento.</t>
      </text>
    </comment>
    <comment ref="R42" authorId="0" shapeId="0">
      <text>
        <t>Parcela das vendas com preço declarado abaixo do valor para leilão.</t>
      </text>
    </comment>
    <comment ref="S42" authorId="0" shapeId="0">
      <text>
        <t>Vendas com valor financiado lançado.</t>
      </text>
    </comment>
    <comment ref="T42" authorId="0" shapeId="0">
      <text>
        <t>Parcela em que o valor financiado é igual ou maior que o preço declarado (sinal a investigar).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bertioga.sp.gov.br/wp/wp-content/uploads/2015/06/Lei-Complementar-99.2013.pdf" TargetMode="External" Id="rId1" /><Relationship Type="http://schemas.openxmlformats.org/officeDocument/2006/relationships/hyperlink" Target="https://geoftp.ibge.gov.br/organizacao_do_territorio/malhas_territoriais/malhas_de_setores_censitarios__divisoes_intramunicipais/censo_2022/bairros/shp/UF/SP_bairros_CD2022.zip" TargetMode="External" Id="rId2" /><Relationship Type="http://schemas.openxmlformats.org/officeDocument/2006/relationships/hyperlink" Target="https://www.risaosebastiao.com.br" TargetMode="External" Id="rId3" /><Relationship Type="http://schemas.openxmlformats.org/officeDocument/2006/relationships/hyperlink" Target="https://registrobertioga.com.br/" TargetMode="External" Id="rId4" /><Relationship Type="http://schemas.openxmlformats.org/officeDocument/2006/relationships/hyperlink" Target="https://www.al.sp.gov.br/repositorio/legislacao/lei/2024/lei-18075-27.12.2024.html" TargetMode="External" Id="rId5" /><Relationship Type="http://schemas.openxmlformats.org/officeDocument/2006/relationships/hyperlink" Target="https://www.1risantos.com.br/" TargetMode="External" Id="rId6" /><Relationship Type="http://schemas.openxmlformats.org/officeDocument/2006/relationships/hyperlink" Target="https://ridigital.org.br/" TargetMode="External" Id="rId7" /><Relationship Type="http://schemas.openxmlformats.org/officeDocument/2006/relationships/hyperlink" Target="http://www.saosebastiao.sp.gov.br/esic/" TargetMode="External" Id="rId8" /><Relationship Type="http://schemas.openxmlformats.org/officeDocument/2006/relationships/hyperlink" Target="https://transparencia-bertioga.smarapd.com.br/#/esic" TargetMode="External" Id="rId9" /><Relationship Type="http://schemas.openxmlformats.org/officeDocument/2006/relationships/hyperlink" Target="https://sistemas-smarapd.bertioga.sp.gov.br/falacidadao/#!/demanda" TargetMode="External" Id="rId10" /><Relationship Type="http://schemas.openxmlformats.org/officeDocument/2006/relationships/hyperlink" Target="https://sapl.bertioga.sp.leg.br/media/sapl/public/normajuridica/2015/3823/3823_texto_integral.pdf" TargetMode="External" Id="rId11" /><Relationship Type="http://schemas.openxmlformats.org/officeDocument/2006/relationships/hyperlink" Target="https://www.prefeitura.sp.gov.br/cidade/secretarias/fazenda/noticias/index.php?p=31551" TargetMode="External" Id="rId12" /><Relationship Type="http://schemas.openxmlformats.org/officeDocument/2006/relationships/hyperlink" Target="https://www.planalto.gov.br/ccivil_03/_ato2011-2014/2011/lei/l12527.htm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Base de imóveis vendidos — São Sebastião e Bertioga</t>
        </is>
      </c>
    </row>
    <row r="3">
      <c r="A3" s="2" t="inlineStr">
        <is>
          <t>Tópico</t>
        </is>
      </c>
      <c r="B3" s="2" t="inlineStr">
        <is>
          <t>Descrição</t>
        </is>
      </c>
    </row>
    <row r="4">
      <c r="A4" s="3" t="inlineStr">
        <is>
          <t>O que é</t>
        </is>
      </c>
      <c r="B4" s="4" t="inlineStr">
        <is>
          <t>Base de vendas efetivas de imóveis com o valor REAL de venda (escritura/registro ou ITBI), nunca o valor anunciado. Cada linha precisa de um documento comprobatório.</t>
        </is>
      </c>
    </row>
    <row r="5">
      <c r="A5" s="3" t="inlineStr">
        <is>
          <t>Por que começa vazia</t>
        </is>
      </c>
      <c r="B5" s="4" t="inlineStr">
        <is>
          <t>Não existem dados públicos de vendas para estas cidades. Os dados entram à medida que chegam as respostas dos pedidos LAI e as certidões de matrícula.</t>
        </is>
      </c>
    </row>
    <row r="6">
      <c r="A6" s="3" t="inlineStr">
        <is>
          <t>Onde digitar</t>
        </is>
      </c>
      <c r="B6" s="4" t="inlineStr">
        <is>
          <t>Aba Vendas. Células comuns = entrada. Células cinza = fórmulas (não editar): R$/m², Alerta e Street View. Passe o mouse no cabeçalho para ver a explicação de cada coluna.</t>
        </is>
      </c>
    </row>
    <row r="7">
      <c r="A7" s="3" t="inlineStr">
        <is>
          <t>Importar LAI</t>
        </is>
      </c>
      <c r="B7" s="4" t="inlineStr">
        <is>
          <t>python scripts/importar_lai.py &lt;arquivo_da_prefeitura&gt; &lt;mapa_colunas.json&gt;</t>
        </is>
      </c>
    </row>
    <row r="8">
      <c r="A8" s="3" t="inlineStr">
        <is>
          <t>Fotos</t>
        </is>
      </c>
      <c r="B8" s="4" t="inlineStr">
        <is>
          <t>Salve as fotos em fotos/ com o nome do ID (ex.: fotos/CRI-SS-12345-R7.jpg; várias: ..._2.jpg) e rode python scripts/vincular_fotos.py. A coluna 'Foto da fachada' recebe o link e a aba Galeria mostra as miniaturas.</t>
        </is>
      </c>
    </row>
    <row r="9">
      <c r="A9" s="3" t="inlineStr">
        <is>
          <t>Resumo</t>
        </is>
      </c>
      <c r="B9" s="4" t="inlineStr">
        <is>
          <t>Aba Resumo: por cidade/bairro e por padrão, só com linhas Validado.</t>
        </is>
      </c>
    </row>
    <row r="10">
      <c r="A10" s="3" t="inlineStr">
        <is>
          <t>Regras</t>
        </is>
      </c>
      <c r="B10" s="4" t="inlineStr">
        <is>
          <t>Aba Regras. Critério de padrão na aba Padrão. Documentos recebidos na aba Fontes.</t>
        </is>
      </c>
    </row>
    <row r="12">
      <c r="A12" s="3" t="inlineStr">
        <is>
          <t>Exemplo de preenchimento (FICTÍCIO — só mostra o formato; não é dado real e não está na aba Vendas)</t>
        </is>
      </c>
    </row>
    <row r="13">
      <c r="A13" s="3" t="inlineStr">
        <is>
          <t>ID</t>
        </is>
      </c>
      <c r="B13" s="5" t="inlineStr">
        <is>
          <t>CRI-SS-00000-R0</t>
        </is>
      </c>
    </row>
    <row r="14">
      <c r="A14" s="3" t="inlineStr">
        <is>
          <t>Cidade</t>
        </is>
      </c>
      <c r="B14" s="5" t="inlineStr">
        <is>
          <t>São Sebastião</t>
        </is>
      </c>
    </row>
    <row r="15">
      <c r="A15" s="3" t="inlineStr">
        <is>
          <t>Bairro</t>
        </is>
      </c>
      <c r="B15" s="5" t="inlineStr">
        <is>
          <t>Maresias</t>
        </is>
      </c>
    </row>
    <row r="16">
      <c r="A16" s="3" t="inlineStr">
        <is>
          <t>Logradouro e nº</t>
        </is>
      </c>
      <c r="B16" s="5" t="inlineStr">
        <is>
          <t>Rua Exemplo, 000</t>
        </is>
      </c>
    </row>
    <row r="17">
      <c r="A17" s="3" t="inlineStr">
        <is>
          <t>Condomínio / Complemento</t>
        </is>
      </c>
      <c r="B17" s="5" t="inlineStr">
        <is>
          <t>Cond. Exemplo, casa 0</t>
        </is>
      </c>
    </row>
    <row r="18">
      <c r="A18" s="3" t="inlineStr">
        <is>
          <t>Inscrição imobiliária</t>
        </is>
      </c>
      <c r="B18" s="5" t="inlineStr">
        <is>
          <t>0000.000.000</t>
        </is>
      </c>
    </row>
    <row r="19">
      <c r="A19" s="3" t="inlineStr">
        <is>
          <t>Tipo</t>
        </is>
      </c>
      <c r="B19" s="5" t="inlineStr">
        <is>
          <t>Casa em condomínio</t>
        </is>
      </c>
    </row>
    <row r="20">
      <c r="A20" s="3" t="inlineStr">
        <is>
          <t>Área construída/privativa (m²)</t>
        </is>
      </c>
      <c r="B20" s="5" t="inlineStr">
        <is>
          <t>000,00</t>
        </is>
      </c>
    </row>
    <row r="21">
      <c r="A21" s="3" t="inlineStr">
        <is>
          <t>Área do terreno (m²)</t>
        </is>
      </c>
      <c r="B21" s="5" t="inlineStr">
        <is>
          <t>000,00</t>
        </is>
      </c>
    </row>
    <row r="22">
      <c r="A22" s="3" t="inlineStr">
        <is>
          <t>Padrão</t>
        </is>
      </c>
      <c r="B22" s="5" t="inlineStr">
        <is>
          <t>Alto</t>
        </is>
      </c>
    </row>
    <row r="23">
      <c r="A23" s="3" t="inlineStr">
        <is>
          <t>Origem do padrão</t>
        </is>
      </c>
      <c r="B23" s="5" t="inlineStr">
        <is>
          <t>Certidão/memorial/habite-se</t>
        </is>
      </c>
    </row>
    <row r="24">
      <c r="A24" s="3" t="inlineStr">
        <is>
          <t>Padrão (texto do documento)</t>
        </is>
      </c>
      <c r="B24" s="5" t="inlineStr">
        <is>
          <t>texto literal</t>
        </is>
      </c>
    </row>
    <row r="25">
      <c r="A25" s="3" t="inlineStr">
        <is>
          <t>Valor de venda (R$)</t>
        </is>
      </c>
      <c r="B25" s="5" t="inlineStr">
        <is>
          <t>0.000.000,00</t>
        </is>
      </c>
    </row>
    <row r="26">
      <c r="A26" s="3" t="inlineStr">
        <is>
          <t>Base de cálculo ITBI (R$)</t>
        </is>
      </c>
      <c r="B26" s="5" t="inlineStr">
        <is>
          <t>0.000.000,00</t>
        </is>
      </c>
    </row>
    <row r="27">
      <c r="A27" s="3" t="inlineStr">
        <is>
          <t>Valor venal IPTU (R$)</t>
        </is>
      </c>
      <c r="B27" s="5" t="inlineStr">
        <is>
          <t>000.000,00</t>
        </is>
      </c>
    </row>
    <row r="28">
      <c r="A28" s="3" t="inlineStr">
        <is>
          <t>Forma de pagamento</t>
        </is>
      </c>
      <c r="B28" s="5" t="inlineStr">
        <is>
          <t>Financiado</t>
        </is>
      </c>
    </row>
    <row r="29">
      <c r="A29" s="3" t="inlineStr">
        <is>
          <t>Valor financiado (R$)</t>
        </is>
      </c>
      <c r="B29" s="5" t="inlineStr">
        <is>
          <t>000.000,00</t>
        </is>
      </c>
    </row>
    <row r="30">
      <c r="A30" s="3" t="inlineStr">
        <is>
          <t>Valor p/ leilão – alienação fiduciária (R$)</t>
        </is>
      </c>
      <c r="B30" s="5" t="inlineStr">
        <is>
          <t>0.000.000,00</t>
        </is>
      </c>
    </row>
    <row r="31">
      <c r="A31" s="3" t="inlineStr">
        <is>
          <t>R$/m² (calculado)</t>
        </is>
      </c>
      <c r="B31" s="5" t="inlineStr">
        <is>
          <t>(automático)</t>
        </is>
      </c>
    </row>
    <row r="32">
      <c r="A32" s="3" t="inlineStr">
        <is>
          <t>Alerta</t>
        </is>
      </c>
      <c r="B32" s="5" t="inlineStr">
        <is>
          <t>(automático)</t>
        </is>
      </c>
    </row>
    <row r="33">
      <c r="A33" s="3" t="inlineStr">
        <is>
          <t>Declarado ÷ Base ITBI</t>
        </is>
      </c>
      <c r="B33" s="5" t="inlineStr">
        <is>
          <t>(automático)</t>
        </is>
      </c>
    </row>
    <row r="34">
      <c r="A34" s="3" t="inlineStr">
        <is>
          <t>Declarado ÷ Venal IPTU</t>
        </is>
      </c>
      <c r="B34" s="5" t="inlineStr">
        <is>
          <t>(automático)</t>
        </is>
      </c>
    </row>
    <row r="35">
      <c r="A35" s="3" t="inlineStr">
        <is>
          <t>Declarado ÷ Valor leilão</t>
        </is>
      </c>
      <c r="B35" s="5" t="inlineStr">
        <is>
          <t>(automático)</t>
        </is>
      </c>
    </row>
    <row r="36">
      <c r="A36" s="3" t="inlineStr">
        <is>
          <t>Financiado ÷ Declarado</t>
        </is>
      </c>
      <c r="B36" s="5" t="inlineStr">
        <is>
          <t>(automático)</t>
        </is>
      </c>
    </row>
    <row r="37">
      <c r="A37" s="3" t="inlineStr">
        <is>
          <t>Ano</t>
        </is>
      </c>
      <c r="B37" s="5" t="inlineStr">
        <is>
          <t>(automático)</t>
        </is>
      </c>
    </row>
    <row r="38">
      <c r="A38" s="3" t="inlineStr">
        <is>
          <t>Data da escritura / transação</t>
        </is>
      </c>
      <c r="B38" s="5" t="inlineStr">
        <is>
          <t>dd/mm/aaaa</t>
        </is>
      </c>
    </row>
    <row r="39">
      <c r="A39" s="3" t="inlineStr">
        <is>
          <t>Data do registro</t>
        </is>
      </c>
      <c r="B39" s="5" t="inlineStr">
        <is>
          <t>dd/mm/aaaa</t>
        </is>
      </c>
    </row>
    <row r="40">
      <c r="A40" s="3" t="inlineStr">
        <is>
          <t>Natureza</t>
        </is>
      </c>
      <c r="B40" s="5" t="inlineStr">
        <is>
          <t>Compra e venda</t>
        </is>
      </c>
    </row>
    <row r="41">
      <c r="A41" s="3" t="inlineStr">
        <is>
          <t>Fonte</t>
        </is>
      </c>
      <c r="B41" s="5" t="inlineStr">
        <is>
          <t>Certidão de matrícula (CRI)</t>
        </is>
      </c>
    </row>
    <row r="42">
      <c r="A42" s="3" t="inlineStr">
        <is>
          <t>Documento comprobatório</t>
        </is>
      </c>
      <c r="B42" s="5" t="inlineStr">
        <is>
          <t>Matrícula 00.000 — R-0</t>
        </is>
      </c>
    </row>
    <row r="43">
      <c r="A43" s="3" t="inlineStr">
        <is>
          <t>CRI / Órgão</t>
        </is>
      </c>
      <c r="B43" s="5" t="inlineStr">
        <is>
          <t>RI São Sebastião</t>
        </is>
      </c>
    </row>
    <row r="44">
      <c r="A44" s="3" t="inlineStr">
        <is>
          <t>Coordenadas (lat,long)</t>
        </is>
      </c>
      <c r="B44" s="5" t="inlineStr">
        <is>
          <t>-23.000000,-45.000000</t>
        </is>
      </c>
    </row>
    <row r="45">
      <c r="A45" s="3" t="inlineStr">
        <is>
          <t>Foto da fachada</t>
        </is>
      </c>
      <c r="B45" s="5" t="inlineStr">
        <is>
          <t>(automático)</t>
        </is>
      </c>
    </row>
    <row r="46">
      <c r="A46" s="3" t="inlineStr">
        <is>
          <t>Origem da foto</t>
        </is>
      </c>
      <c r="B46" s="5" t="inlineStr">
        <is>
          <t>Foto própria no local</t>
        </is>
      </c>
    </row>
    <row r="47">
      <c r="A47" s="3" t="inlineStr">
        <is>
          <t>Data da foto</t>
        </is>
      </c>
      <c r="B47" s="5" t="inlineStr">
        <is>
          <t>dd/mm/aaaa</t>
        </is>
      </c>
    </row>
    <row r="48">
      <c r="A48" s="3" t="inlineStr">
        <is>
          <t>Street View</t>
        </is>
      </c>
      <c r="B48" s="5" t="inlineStr">
        <is>
          <t>(automático)</t>
        </is>
      </c>
    </row>
    <row r="49">
      <c r="A49" s="3" t="inlineStr">
        <is>
          <t>Status</t>
        </is>
      </c>
      <c r="B49" s="5" t="inlineStr">
        <is>
          <t>Validado</t>
        </is>
      </c>
    </row>
    <row r="50">
      <c r="A50" s="3" t="inlineStr">
        <is>
          <t>Observações</t>
        </is>
      </c>
      <c r="B5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32" customWidth="1" min="4" max="4"/>
    <col width="24" customWidth="1" min="5" max="5"/>
    <col width="18" customWidth="1" min="6" max="6"/>
    <col width="18" customWidth="1" min="7" max="7"/>
    <col width="15" customWidth="1" min="8" max="8"/>
    <col width="14" customWidth="1" min="9" max="9"/>
    <col width="13" customWidth="1" min="10" max="10"/>
    <col width="24" customWidth="1" min="11" max="11"/>
    <col width="22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8" customWidth="1" min="18" max="18"/>
    <col width="13" customWidth="1" min="19" max="19"/>
    <col width="22" customWidth="1" min="20" max="20"/>
    <col width="12" customWidth="1" min="21" max="21"/>
    <col width="12" customWidth="1" min="22" max="22"/>
    <col width="12" customWidth="1" min="23" max="23"/>
    <col width="12" customWidth="1" min="24" max="24"/>
    <col width="7" customWidth="1" min="25" max="25"/>
    <col width="14" customWidth="1" min="26" max="26"/>
    <col width="14" customWidth="1" min="27" max="27"/>
    <col width="16" customWidth="1" min="28" max="28"/>
    <col width="24" customWidth="1" min="29" max="29"/>
    <col width="30" customWidth="1" min="30" max="30"/>
    <col width="26" customWidth="1" min="31" max="31"/>
    <col width="22" customWidth="1" min="32" max="32"/>
    <col width="22" customWidth="1" min="33" max="33"/>
    <col width="22" customWidth="1" min="34" max="34"/>
    <col width="12" customWidth="1" min="35" max="35"/>
    <col width="16" customWidth="1" min="36" max="36"/>
    <col width="20" customWidth="1" min="37" max="37"/>
    <col width="36" customWidth="1" min="38" max="38"/>
  </cols>
  <sheetData>
    <row r="1" ht="45" customHeight="1">
      <c r="A1" s="2" t="inlineStr">
        <is>
          <t>ID</t>
        </is>
      </c>
      <c r="B1" s="2" t="inlineStr">
        <is>
          <t>Cidade</t>
        </is>
      </c>
      <c r="C1" s="2" t="inlineStr">
        <is>
          <t>Bairro</t>
        </is>
      </c>
      <c r="D1" s="2" t="inlineStr">
        <is>
          <t>Logradouro e nº</t>
        </is>
      </c>
      <c r="E1" s="2" t="inlineStr">
        <is>
          <t>Condomínio / Complemento</t>
        </is>
      </c>
      <c r="F1" s="2" t="inlineStr">
        <is>
          <t>Inscrição imobiliária</t>
        </is>
      </c>
      <c r="G1" s="2" t="inlineStr">
        <is>
          <t>Tipo</t>
        </is>
      </c>
      <c r="H1" s="2" t="inlineStr">
        <is>
          <t>Área construída/privativa (m²)</t>
        </is>
      </c>
      <c r="I1" s="2" t="inlineStr">
        <is>
          <t>Área do terreno (m²)</t>
        </is>
      </c>
      <c r="J1" s="2" t="inlineStr">
        <is>
          <t>Padrão</t>
        </is>
      </c>
      <c r="K1" s="2" t="inlineStr">
        <is>
          <t>Origem do padrão</t>
        </is>
      </c>
      <c r="L1" s="2" t="inlineStr">
        <is>
          <t>Padrão (texto do documento)</t>
        </is>
      </c>
      <c r="M1" s="2" t="inlineStr">
        <is>
          <t>Valor de venda (R$)</t>
        </is>
      </c>
      <c r="N1" s="2" t="inlineStr">
        <is>
          <t>Base de cálculo ITBI (R$)</t>
        </is>
      </c>
      <c r="O1" s="2" t="inlineStr">
        <is>
          <t>Valor venal IPTU (R$)</t>
        </is>
      </c>
      <c r="P1" s="2" t="inlineStr">
        <is>
          <t>Forma de pagamento</t>
        </is>
      </c>
      <c r="Q1" s="2" t="inlineStr">
        <is>
          <t>Valor financiado (R$)</t>
        </is>
      </c>
      <c r="R1" s="2" t="inlineStr">
        <is>
          <t>Valor p/ leilão – alienação fiduciária (R$)</t>
        </is>
      </c>
      <c r="S1" s="2" t="inlineStr">
        <is>
          <t>R$/m² (calculado)</t>
        </is>
      </c>
      <c r="T1" s="2" t="inlineStr">
        <is>
          <t>Alerta</t>
        </is>
      </c>
      <c r="U1" s="2" t="inlineStr">
        <is>
          <t>Declarado ÷ Base ITBI</t>
        </is>
      </c>
      <c r="V1" s="2" t="inlineStr">
        <is>
          <t>Declarado ÷ Venal IPTU</t>
        </is>
      </c>
      <c r="W1" s="2" t="inlineStr">
        <is>
          <t>Declarado ÷ Valor leilão</t>
        </is>
      </c>
      <c r="X1" s="2" t="inlineStr">
        <is>
          <t>Financiado ÷ Declarado</t>
        </is>
      </c>
      <c r="Y1" s="2" t="inlineStr">
        <is>
          <t>Ano</t>
        </is>
      </c>
      <c r="Z1" s="2" t="inlineStr">
        <is>
          <t>Data da escritura / transação</t>
        </is>
      </c>
      <c r="AA1" s="2" t="inlineStr">
        <is>
          <t>Data do registro</t>
        </is>
      </c>
      <c r="AB1" s="2" t="inlineStr">
        <is>
          <t>Natureza</t>
        </is>
      </c>
      <c r="AC1" s="2" t="inlineStr">
        <is>
          <t>Fonte</t>
        </is>
      </c>
      <c r="AD1" s="2" t="inlineStr">
        <is>
          <t>Documento comprobatório</t>
        </is>
      </c>
      <c r="AE1" s="2" t="inlineStr">
        <is>
          <t>CRI / Órgão</t>
        </is>
      </c>
      <c r="AF1" s="2" t="inlineStr">
        <is>
          <t>Coordenadas (lat,long)</t>
        </is>
      </c>
      <c r="AG1" s="2" t="inlineStr">
        <is>
          <t>Foto da fachada</t>
        </is>
      </c>
      <c r="AH1" s="2" t="inlineStr">
        <is>
          <t>Origem da foto</t>
        </is>
      </c>
      <c r="AI1" s="2" t="inlineStr">
        <is>
          <t>Data da foto</t>
        </is>
      </c>
      <c r="AJ1" s="2" t="inlineStr">
        <is>
          <t>Street View</t>
        </is>
      </c>
      <c r="AK1" s="2" t="inlineStr">
        <is>
          <t>Status</t>
        </is>
      </c>
      <c r="AL1" s="2" t="inlineStr">
        <is>
          <t>Observações</t>
        </is>
      </c>
    </row>
    <row r="2">
      <c r="H2" s="6" t="n"/>
      <c r="I2" s="6" t="n"/>
      <c r="M2" s="7" t="n"/>
      <c r="N2" s="7" t="n"/>
      <c r="O2" s="7" t="n"/>
      <c r="Q2" s="7" t="n"/>
      <c r="R2" s="7" t="n"/>
      <c r="S2" s="8">
        <f>IF(NOT(ISNUMBER(M2)),"",IF(G2="Terreno",IF(AND(ISNUMBER(I2),I2&gt;0),M2/I2,""),IF(AND(ISNUMBER(H2),H2&gt;0),M2/H2,"")))</f>
        <v/>
      </c>
      <c r="T2" s="9">
        <f>IF(AND(ISNUMBER(M2),ISNUMBER(O2)),IF(M2&lt;=O2,"Valor ≤ venal IPTU",""),"")</f>
        <v/>
      </c>
      <c r="U2" s="10">
        <f>IF(AND(ISNUMBER(M2),ISNUMBER(N2)),IF(N2&gt;0,M2/N2,""),"")</f>
        <v/>
      </c>
      <c r="V2" s="10">
        <f>IF(AND(ISNUMBER(M2),ISNUMBER(O2)),IF(O2&gt;0,M2/O2,""),"")</f>
        <v/>
      </c>
      <c r="W2" s="10">
        <f>IF(AND(ISNUMBER(M2),ISNUMBER(R2)),IF(R2&gt;0,M2/R2,""),"")</f>
        <v/>
      </c>
      <c r="X2" s="10">
        <f>IF(AND(ISNUMBER(Q2),ISNUMBER(M2)),IF(M2&gt;0,Q2/M2,""),"")</f>
        <v/>
      </c>
      <c r="Y2" s="11">
        <f>IF(ISNUMBER(Z2),YEAR(Z2),"")</f>
        <v/>
      </c>
      <c r="Z2" s="12" t="n"/>
      <c r="AA2" s="12" t="n"/>
      <c r="AI2" s="12" t="n"/>
      <c r="AJ2" s="13">
        <f>IF(LEN(TRIM(AF2))=0,"",HYPERLINK("https://www.google.com/maps/@?api=1&amp;map_action=pano&amp;viewpoint="&amp;SUBSTITUTE(AF2," ",""),"Abrir Street View"))</f>
        <v/>
      </c>
    </row>
    <row r="3">
      <c r="H3" s="6" t="n"/>
      <c r="I3" s="6" t="n"/>
      <c r="M3" s="7" t="n"/>
      <c r="N3" s="7" t="n"/>
      <c r="O3" s="7" t="n"/>
      <c r="Q3" s="7" t="n"/>
      <c r="R3" s="7" t="n"/>
      <c r="S3" s="8">
        <f>IF(NOT(ISNUMBER(M3)),"",IF(G3="Terreno",IF(AND(ISNUMBER(I3),I3&gt;0),M3/I3,""),IF(AND(ISNUMBER(H3),H3&gt;0),M3/H3,"")))</f>
        <v/>
      </c>
      <c r="T3" s="9">
        <f>IF(AND(ISNUMBER(M3),ISNUMBER(O3)),IF(M3&lt;=O3,"Valor ≤ venal IPTU",""),"")</f>
        <v/>
      </c>
      <c r="U3" s="10">
        <f>IF(AND(ISNUMBER(M3),ISNUMBER(N3)),IF(N3&gt;0,M3/N3,""),"")</f>
        <v/>
      </c>
      <c r="V3" s="10">
        <f>IF(AND(ISNUMBER(M3),ISNUMBER(O3)),IF(O3&gt;0,M3/O3,""),"")</f>
        <v/>
      </c>
      <c r="W3" s="10">
        <f>IF(AND(ISNUMBER(M3),ISNUMBER(R3)),IF(R3&gt;0,M3/R3,""),"")</f>
        <v/>
      </c>
      <c r="X3" s="10">
        <f>IF(AND(ISNUMBER(Q3),ISNUMBER(M3)),IF(M3&gt;0,Q3/M3,""),"")</f>
        <v/>
      </c>
      <c r="Y3" s="11">
        <f>IF(ISNUMBER(Z3),YEAR(Z3),"")</f>
        <v/>
      </c>
      <c r="Z3" s="12" t="n"/>
      <c r="AA3" s="12" t="n"/>
      <c r="AI3" s="12" t="n"/>
      <c r="AJ3" s="13">
        <f>IF(LEN(TRIM(AF3))=0,"",HYPERLINK("https://www.google.com/maps/@?api=1&amp;map_action=pano&amp;viewpoint="&amp;SUBSTITUTE(AF3," ",""),"Abrir Street View"))</f>
        <v/>
      </c>
    </row>
    <row r="4">
      <c r="H4" s="6" t="n"/>
      <c r="I4" s="6" t="n"/>
      <c r="M4" s="7" t="n"/>
      <c r="N4" s="7" t="n"/>
      <c r="O4" s="7" t="n"/>
      <c r="Q4" s="7" t="n"/>
      <c r="R4" s="7" t="n"/>
      <c r="S4" s="8">
        <f>IF(NOT(ISNUMBER(M4)),"",IF(G4="Terreno",IF(AND(ISNUMBER(I4),I4&gt;0),M4/I4,""),IF(AND(ISNUMBER(H4),H4&gt;0),M4/H4,"")))</f>
        <v/>
      </c>
      <c r="T4" s="9">
        <f>IF(AND(ISNUMBER(M4),ISNUMBER(O4)),IF(M4&lt;=O4,"Valor ≤ venal IPTU",""),"")</f>
        <v/>
      </c>
      <c r="U4" s="10">
        <f>IF(AND(ISNUMBER(M4),ISNUMBER(N4)),IF(N4&gt;0,M4/N4,""),"")</f>
        <v/>
      </c>
      <c r="V4" s="10">
        <f>IF(AND(ISNUMBER(M4),ISNUMBER(O4)),IF(O4&gt;0,M4/O4,""),"")</f>
        <v/>
      </c>
      <c r="W4" s="10">
        <f>IF(AND(ISNUMBER(M4),ISNUMBER(R4)),IF(R4&gt;0,M4/R4,""),"")</f>
        <v/>
      </c>
      <c r="X4" s="10">
        <f>IF(AND(ISNUMBER(Q4),ISNUMBER(M4)),IF(M4&gt;0,Q4/M4,""),"")</f>
        <v/>
      </c>
      <c r="Y4" s="11">
        <f>IF(ISNUMBER(Z4),YEAR(Z4),"")</f>
        <v/>
      </c>
      <c r="Z4" s="12" t="n"/>
      <c r="AA4" s="12" t="n"/>
      <c r="AI4" s="12" t="n"/>
      <c r="AJ4" s="13">
        <f>IF(LEN(TRIM(AF4))=0,"",HYPERLINK("https://www.google.com/maps/@?api=1&amp;map_action=pano&amp;viewpoint="&amp;SUBSTITUTE(AF4," ",""),"Abrir Street View"))</f>
        <v/>
      </c>
    </row>
    <row r="5">
      <c r="H5" s="6" t="n"/>
      <c r="I5" s="6" t="n"/>
      <c r="M5" s="7" t="n"/>
      <c r="N5" s="7" t="n"/>
      <c r="O5" s="7" t="n"/>
      <c r="Q5" s="7" t="n"/>
      <c r="R5" s="7" t="n"/>
      <c r="S5" s="8">
        <f>IF(NOT(ISNUMBER(M5)),"",IF(G5="Terreno",IF(AND(ISNUMBER(I5),I5&gt;0),M5/I5,""),IF(AND(ISNUMBER(H5),H5&gt;0),M5/H5,"")))</f>
        <v/>
      </c>
      <c r="T5" s="9">
        <f>IF(AND(ISNUMBER(M5),ISNUMBER(O5)),IF(M5&lt;=O5,"Valor ≤ venal IPTU",""),"")</f>
        <v/>
      </c>
      <c r="U5" s="10">
        <f>IF(AND(ISNUMBER(M5),ISNUMBER(N5)),IF(N5&gt;0,M5/N5,""),"")</f>
        <v/>
      </c>
      <c r="V5" s="10">
        <f>IF(AND(ISNUMBER(M5),ISNUMBER(O5)),IF(O5&gt;0,M5/O5,""),"")</f>
        <v/>
      </c>
      <c r="W5" s="10">
        <f>IF(AND(ISNUMBER(M5),ISNUMBER(R5)),IF(R5&gt;0,M5/R5,""),"")</f>
        <v/>
      </c>
      <c r="X5" s="10">
        <f>IF(AND(ISNUMBER(Q5),ISNUMBER(M5)),IF(M5&gt;0,Q5/M5,""),"")</f>
        <v/>
      </c>
      <c r="Y5" s="11">
        <f>IF(ISNUMBER(Z5),YEAR(Z5),"")</f>
        <v/>
      </c>
      <c r="Z5" s="12" t="n"/>
      <c r="AA5" s="12" t="n"/>
      <c r="AI5" s="12" t="n"/>
      <c r="AJ5" s="13">
        <f>IF(LEN(TRIM(AF5))=0,"",HYPERLINK("https://www.google.com/maps/@?api=1&amp;map_action=pano&amp;viewpoint="&amp;SUBSTITUTE(AF5," ",""),"Abrir Street View"))</f>
        <v/>
      </c>
    </row>
    <row r="6">
      <c r="H6" s="6" t="n"/>
      <c r="I6" s="6" t="n"/>
      <c r="M6" s="7" t="n"/>
      <c r="N6" s="7" t="n"/>
      <c r="O6" s="7" t="n"/>
      <c r="Q6" s="7" t="n"/>
      <c r="R6" s="7" t="n"/>
      <c r="S6" s="8">
        <f>IF(NOT(ISNUMBER(M6)),"",IF(G6="Terreno",IF(AND(ISNUMBER(I6),I6&gt;0),M6/I6,""),IF(AND(ISNUMBER(H6),H6&gt;0),M6/H6,"")))</f>
        <v/>
      </c>
      <c r="T6" s="9">
        <f>IF(AND(ISNUMBER(M6),ISNUMBER(O6)),IF(M6&lt;=O6,"Valor ≤ venal IPTU",""),"")</f>
        <v/>
      </c>
      <c r="U6" s="10">
        <f>IF(AND(ISNUMBER(M6),ISNUMBER(N6)),IF(N6&gt;0,M6/N6,""),"")</f>
        <v/>
      </c>
      <c r="V6" s="10">
        <f>IF(AND(ISNUMBER(M6),ISNUMBER(O6)),IF(O6&gt;0,M6/O6,""),"")</f>
        <v/>
      </c>
      <c r="W6" s="10">
        <f>IF(AND(ISNUMBER(M6),ISNUMBER(R6)),IF(R6&gt;0,M6/R6,""),"")</f>
        <v/>
      </c>
      <c r="X6" s="10">
        <f>IF(AND(ISNUMBER(Q6),ISNUMBER(M6)),IF(M6&gt;0,Q6/M6,""),"")</f>
        <v/>
      </c>
      <c r="Y6" s="11">
        <f>IF(ISNUMBER(Z6),YEAR(Z6),"")</f>
        <v/>
      </c>
      <c r="Z6" s="12" t="n"/>
      <c r="AA6" s="12" t="n"/>
      <c r="AI6" s="12" t="n"/>
      <c r="AJ6" s="13">
        <f>IF(LEN(TRIM(AF6))=0,"",HYPERLINK("https://www.google.com/maps/@?api=1&amp;map_action=pano&amp;viewpoint="&amp;SUBSTITUTE(AF6," ",""),"Abrir Street View"))</f>
        <v/>
      </c>
    </row>
    <row r="7">
      <c r="H7" s="6" t="n"/>
      <c r="I7" s="6" t="n"/>
      <c r="M7" s="7" t="n"/>
      <c r="N7" s="7" t="n"/>
      <c r="O7" s="7" t="n"/>
      <c r="Q7" s="7" t="n"/>
      <c r="R7" s="7" t="n"/>
      <c r="S7" s="8">
        <f>IF(NOT(ISNUMBER(M7)),"",IF(G7="Terreno",IF(AND(ISNUMBER(I7),I7&gt;0),M7/I7,""),IF(AND(ISNUMBER(H7),H7&gt;0),M7/H7,"")))</f>
        <v/>
      </c>
      <c r="T7" s="9">
        <f>IF(AND(ISNUMBER(M7),ISNUMBER(O7)),IF(M7&lt;=O7,"Valor ≤ venal IPTU",""),"")</f>
        <v/>
      </c>
      <c r="U7" s="10">
        <f>IF(AND(ISNUMBER(M7),ISNUMBER(N7)),IF(N7&gt;0,M7/N7,""),"")</f>
        <v/>
      </c>
      <c r="V7" s="10">
        <f>IF(AND(ISNUMBER(M7),ISNUMBER(O7)),IF(O7&gt;0,M7/O7,""),"")</f>
        <v/>
      </c>
      <c r="W7" s="10">
        <f>IF(AND(ISNUMBER(M7),ISNUMBER(R7)),IF(R7&gt;0,M7/R7,""),"")</f>
        <v/>
      </c>
      <c r="X7" s="10">
        <f>IF(AND(ISNUMBER(Q7),ISNUMBER(M7)),IF(M7&gt;0,Q7/M7,""),"")</f>
        <v/>
      </c>
      <c r="Y7" s="11">
        <f>IF(ISNUMBER(Z7),YEAR(Z7),"")</f>
        <v/>
      </c>
      <c r="Z7" s="12" t="n"/>
      <c r="AA7" s="12" t="n"/>
      <c r="AI7" s="12" t="n"/>
      <c r="AJ7" s="13">
        <f>IF(LEN(TRIM(AF7))=0,"",HYPERLINK("https://www.google.com/maps/@?api=1&amp;map_action=pano&amp;viewpoint="&amp;SUBSTITUTE(AF7," ",""),"Abrir Street View"))</f>
        <v/>
      </c>
    </row>
    <row r="8">
      <c r="H8" s="6" t="n"/>
      <c r="I8" s="6" t="n"/>
      <c r="M8" s="7" t="n"/>
      <c r="N8" s="7" t="n"/>
      <c r="O8" s="7" t="n"/>
      <c r="Q8" s="7" t="n"/>
      <c r="R8" s="7" t="n"/>
      <c r="S8" s="8">
        <f>IF(NOT(ISNUMBER(M8)),"",IF(G8="Terreno",IF(AND(ISNUMBER(I8),I8&gt;0),M8/I8,""),IF(AND(ISNUMBER(H8),H8&gt;0),M8/H8,"")))</f>
        <v/>
      </c>
      <c r="T8" s="9">
        <f>IF(AND(ISNUMBER(M8),ISNUMBER(O8)),IF(M8&lt;=O8,"Valor ≤ venal IPTU",""),"")</f>
        <v/>
      </c>
      <c r="U8" s="10">
        <f>IF(AND(ISNUMBER(M8),ISNUMBER(N8)),IF(N8&gt;0,M8/N8,""),"")</f>
        <v/>
      </c>
      <c r="V8" s="10">
        <f>IF(AND(ISNUMBER(M8),ISNUMBER(O8)),IF(O8&gt;0,M8/O8,""),"")</f>
        <v/>
      </c>
      <c r="W8" s="10">
        <f>IF(AND(ISNUMBER(M8),ISNUMBER(R8)),IF(R8&gt;0,M8/R8,""),"")</f>
        <v/>
      </c>
      <c r="X8" s="10">
        <f>IF(AND(ISNUMBER(Q8),ISNUMBER(M8)),IF(M8&gt;0,Q8/M8,""),"")</f>
        <v/>
      </c>
      <c r="Y8" s="11">
        <f>IF(ISNUMBER(Z8),YEAR(Z8),"")</f>
        <v/>
      </c>
      <c r="Z8" s="12" t="n"/>
      <c r="AA8" s="12" t="n"/>
      <c r="AI8" s="12" t="n"/>
      <c r="AJ8" s="13">
        <f>IF(LEN(TRIM(AF8))=0,"",HYPERLINK("https://www.google.com/maps/@?api=1&amp;map_action=pano&amp;viewpoint="&amp;SUBSTITUTE(AF8," ",""),"Abrir Street View"))</f>
        <v/>
      </c>
    </row>
    <row r="9">
      <c r="H9" s="6" t="n"/>
      <c r="I9" s="6" t="n"/>
      <c r="M9" s="7" t="n"/>
      <c r="N9" s="7" t="n"/>
      <c r="O9" s="7" t="n"/>
      <c r="Q9" s="7" t="n"/>
      <c r="R9" s="7" t="n"/>
      <c r="S9" s="8">
        <f>IF(NOT(ISNUMBER(M9)),"",IF(G9="Terreno",IF(AND(ISNUMBER(I9),I9&gt;0),M9/I9,""),IF(AND(ISNUMBER(H9),H9&gt;0),M9/H9,"")))</f>
        <v/>
      </c>
      <c r="T9" s="9">
        <f>IF(AND(ISNUMBER(M9),ISNUMBER(O9)),IF(M9&lt;=O9,"Valor ≤ venal IPTU",""),"")</f>
        <v/>
      </c>
      <c r="U9" s="10">
        <f>IF(AND(ISNUMBER(M9),ISNUMBER(N9)),IF(N9&gt;0,M9/N9,""),"")</f>
        <v/>
      </c>
      <c r="V9" s="10">
        <f>IF(AND(ISNUMBER(M9),ISNUMBER(O9)),IF(O9&gt;0,M9/O9,""),"")</f>
        <v/>
      </c>
      <c r="W9" s="10">
        <f>IF(AND(ISNUMBER(M9),ISNUMBER(R9)),IF(R9&gt;0,M9/R9,""),"")</f>
        <v/>
      </c>
      <c r="X9" s="10">
        <f>IF(AND(ISNUMBER(Q9),ISNUMBER(M9)),IF(M9&gt;0,Q9/M9,""),"")</f>
        <v/>
      </c>
      <c r="Y9" s="11">
        <f>IF(ISNUMBER(Z9),YEAR(Z9),"")</f>
        <v/>
      </c>
      <c r="Z9" s="12" t="n"/>
      <c r="AA9" s="12" t="n"/>
      <c r="AI9" s="12" t="n"/>
      <c r="AJ9" s="13">
        <f>IF(LEN(TRIM(AF9))=0,"",HYPERLINK("https://www.google.com/maps/@?api=1&amp;map_action=pano&amp;viewpoint="&amp;SUBSTITUTE(AF9," ",""),"Abrir Street View"))</f>
        <v/>
      </c>
    </row>
    <row r="10">
      <c r="H10" s="6" t="n"/>
      <c r="I10" s="6" t="n"/>
      <c r="M10" s="7" t="n"/>
      <c r="N10" s="7" t="n"/>
      <c r="O10" s="7" t="n"/>
      <c r="Q10" s="7" t="n"/>
      <c r="R10" s="7" t="n"/>
      <c r="S10" s="8">
        <f>IF(NOT(ISNUMBER(M10)),"",IF(G10="Terreno",IF(AND(ISNUMBER(I10),I10&gt;0),M10/I10,""),IF(AND(ISNUMBER(H10),H10&gt;0),M10/H10,"")))</f>
        <v/>
      </c>
      <c r="T10" s="9">
        <f>IF(AND(ISNUMBER(M10),ISNUMBER(O10)),IF(M10&lt;=O10,"Valor ≤ venal IPTU",""),"")</f>
        <v/>
      </c>
      <c r="U10" s="10">
        <f>IF(AND(ISNUMBER(M10),ISNUMBER(N10)),IF(N10&gt;0,M10/N10,""),"")</f>
        <v/>
      </c>
      <c r="V10" s="10">
        <f>IF(AND(ISNUMBER(M10),ISNUMBER(O10)),IF(O10&gt;0,M10/O10,""),"")</f>
        <v/>
      </c>
      <c r="W10" s="10">
        <f>IF(AND(ISNUMBER(M10),ISNUMBER(R10)),IF(R10&gt;0,M10/R10,""),"")</f>
        <v/>
      </c>
      <c r="X10" s="10">
        <f>IF(AND(ISNUMBER(Q10),ISNUMBER(M10)),IF(M10&gt;0,Q10/M10,""),"")</f>
        <v/>
      </c>
      <c r="Y10" s="11">
        <f>IF(ISNUMBER(Z10),YEAR(Z10),"")</f>
        <v/>
      </c>
      <c r="Z10" s="12" t="n"/>
      <c r="AA10" s="12" t="n"/>
      <c r="AI10" s="12" t="n"/>
      <c r="AJ10" s="13">
        <f>IF(LEN(TRIM(AF10))=0,"",HYPERLINK("https://www.google.com/maps/@?api=1&amp;map_action=pano&amp;viewpoint="&amp;SUBSTITUTE(AF10," ",""),"Abrir Street View"))</f>
        <v/>
      </c>
    </row>
    <row r="11">
      <c r="H11" s="6" t="n"/>
      <c r="I11" s="6" t="n"/>
      <c r="M11" s="7" t="n"/>
      <c r="N11" s="7" t="n"/>
      <c r="O11" s="7" t="n"/>
      <c r="Q11" s="7" t="n"/>
      <c r="R11" s="7" t="n"/>
      <c r="S11" s="8">
        <f>IF(NOT(ISNUMBER(M11)),"",IF(G11="Terreno",IF(AND(ISNUMBER(I11),I11&gt;0),M11/I11,""),IF(AND(ISNUMBER(H11),H11&gt;0),M11/H11,"")))</f>
        <v/>
      </c>
      <c r="T11" s="9">
        <f>IF(AND(ISNUMBER(M11),ISNUMBER(O11)),IF(M11&lt;=O11,"Valor ≤ venal IPTU",""),"")</f>
        <v/>
      </c>
      <c r="U11" s="10">
        <f>IF(AND(ISNUMBER(M11),ISNUMBER(N11)),IF(N11&gt;0,M11/N11,""),"")</f>
        <v/>
      </c>
      <c r="V11" s="10">
        <f>IF(AND(ISNUMBER(M11),ISNUMBER(O11)),IF(O11&gt;0,M11/O11,""),"")</f>
        <v/>
      </c>
      <c r="W11" s="10">
        <f>IF(AND(ISNUMBER(M11),ISNUMBER(R11)),IF(R11&gt;0,M11/R11,""),"")</f>
        <v/>
      </c>
      <c r="X11" s="10">
        <f>IF(AND(ISNUMBER(Q11),ISNUMBER(M11)),IF(M11&gt;0,Q11/M11,""),"")</f>
        <v/>
      </c>
      <c r="Y11" s="11">
        <f>IF(ISNUMBER(Z11),YEAR(Z11),"")</f>
        <v/>
      </c>
      <c r="Z11" s="12" t="n"/>
      <c r="AA11" s="12" t="n"/>
      <c r="AI11" s="12" t="n"/>
      <c r="AJ11" s="13">
        <f>IF(LEN(TRIM(AF11))=0,"",HYPERLINK("https://www.google.com/maps/@?api=1&amp;map_action=pano&amp;viewpoint="&amp;SUBSTITUTE(AF11," ",""),"Abrir Street View"))</f>
        <v/>
      </c>
    </row>
    <row r="12">
      <c r="H12" s="6" t="n"/>
      <c r="I12" s="6" t="n"/>
      <c r="M12" s="7" t="n"/>
      <c r="N12" s="7" t="n"/>
      <c r="O12" s="7" t="n"/>
      <c r="Q12" s="7" t="n"/>
      <c r="R12" s="7" t="n"/>
      <c r="S12" s="8">
        <f>IF(NOT(ISNUMBER(M12)),"",IF(G12="Terreno",IF(AND(ISNUMBER(I12),I12&gt;0),M12/I12,""),IF(AND(ISNUMBER(H12),H12&gt;0),M12/H12,"")))</f>
        <v/>
      </c>
      <c r="T12" s="9">
        <f>IF(AND(ISNUMBER(M12),ISNUMBER(O12)),IF(M12&lt;=O12,"Valor ≤ venal IPTU",""),"")</f>
        <v/>
      </c>
      <c r="U12" s="10">
        <f>IF(AND(ISNUMBER(M12),ISNUMBER(N12)),IF(N12&gt;0,M12/N12,""),"")</f>
        <v/>
      </c>
      <c r="V12" s="10">
        <f>IF(AND(ISNUMBER(M12),ISNUMBER(O12)),IF(O12&gt;0,M12/O12,""),"")</f>
        <v/>
      </c>
      <c r="W12" s="10">
        <f>IF(AND(ISNUMBER(M12),ISNUMBER(R12)),IF(R12&gt;0,M12/R12,""),"")</f>
        <v/>
      </c>
      <c r="X12" s="10">
        <f>IF(AND(ISNUMBER(Q12),ISNUMBER(M12)),IF(M12&gt;0,Q12/M12,""),"")</f>
        <v/>
      </c>
      <c r="Y12" s="11">
        <f>IF(ISNUMBER(Z12),YEAR(Z12),"")</f>
        <v/>
      </c>
      <c r="Z12" s="12" t="n"/>
      <c r="AA12" s="12" t="n"/>
      <c r="AI12" s="12" t="n"/>
      <c r="AJ12" s="13">
        <f>IF(LEN(TRIM(AF12))=0,"",HYPERLINK("https://www.google.com/maps/@?api=1&amp;map_action=pano&amp;viewpoint="&amp;SUBSTITUTE(AF12," ",""),"Abrir Street View"))</f>
        <v/>
      </c>
    </row>
    <row r="13">
      <c r="H13" s="6" t="n"/>
      <c r="I13" s="6" t="n"/>
      <c r="M13" s="7" t="n"/>
      <c r="N13" s="7" t="n"/>
      <c r="O13" s="7" t="n"/>
      <c r="Q13" s="7" t="n"/>
      <c r="R13" s="7" t="n"/>
      <c r="S13" s="8">
        <f>IF(NOT(ISNUMBER(M13)),"",IF(G13="Terreno",IF(AND(ISNUMBER(I13),I13&gt;0),M13/I13,""),IF(AND(ISNUMBER(H13),H13&gt;0),M13/H13,"")))</f>
        <v/>
      </c>
      <c r="T13" s="9">
        <f>IF(AND(ISNUMBER(M13),ISNUMBER(O13)),IF(M13&lt;=O13,"Valor ≤ venal IPTU",""),"")</f>
        <v/>
      </c>
      <c r="U13" s="10">
        <f>IF(AND(ISNUMBER(M13),ISNUMBER(N13)),IF(N13&gt;0,M13/N13,""),"")</f>
        <v/>
      </c>
      <c r="V13" s="10">
        <f>IF(AND(ISNUMBER(M13),ISNUMBER(O13)),IF(O13&gt;0,M13/O13,""),"")</f>
        <v/>
      </c>
      <c r="W13" s="10">
        <f>IF(AND(ISNUMBER(M13),ISNUMBER(R13)),IF(R13&gt;0,M13/R13,""),"")</f>
        <v/>
      </c>
      <c r="X13" s="10">
        <f>IF(AND(ISNUMBER(Q13),ISNUMBER(M13)),IF(M13&gt;0,Q13/M13,""),"")</f>
        <v/>
      </c>
      <c r="Y13" s="11">
        <f>IF(ISNUMBER(Z13),YEAR(Z13),"")</f>
        <v/>
      </c>
      <c r="Z13" s="12" t="n"/>
      <c r="AA13" s="12" t="n"/>
      <c r="AI13" s="12" t="n"/>
      <c r="AJ13" s="13">
        <f>IF(LEN(TRIM(AF13))=0,"",HYPERLINK("https://www.google.com/maps/@?api=1&amp;map_action=pano&amp;viewpoint="&amp;SUBSTITUTE(AF13," ",""),"Abrir Street View"))</f>
        <v/>
      </c>
    </row>
    <row r="14">
      <c r="H14" s="6" t="n"/>
      <c r="I14" s="6" t="n"/>
      <c r="M14" s="7" t="n"/>
      <c r="N14" s="7" t="n"/>
      <c r="O14" s="7" t="n"/>
      <c r="Q14" s="7" t="n"/>
      <c r="R14" s="7" t="n"/>
      <c r="S14" s="8">
        <f>IF(NOT(ISNUMBER(M14)),"",IF(G14="Terreno",IF(AND(ISNUMBER(I14),I14&gt;0),M14/I14,""),IF(AND(ISNUMBER(H14),H14&gt;0),M14/H14,"")))</f>
        <v/>
      </c>
      <c r="T14" s="9">
        <f>IF(AND(ISNUMBER(M14),ISNUMBER(O14)),IF(M14&lt;=O14,"Valor ≤ venal IPTU",""),"")</f>
        <v/>
      </c>
      <c r="U14" s="10">
        <f>IF(AND(ISNUMBER(M14),ISNUMBER(N14)),IF(N14&gt;0,M14/N14,""),"")</f>
        <v/>
      </c>
      <c r="V14" s="10">
        <f>IF(AND(ISNUMBER(M14),ISNUMBER(O14)),IF(O14&gt;0,M14/O14,""),"")</f>
        <v/>
      </c>
      <c r="W14" s="10">
        <f>IF(AND(ISNUMBER(M14),ISNUMBER(R14)),IF(R14&gt;0,M14/R14,""),"")</f>
        <v/>
      </c>
      <c r="X14" s="10">
        <f>IF(AND(ISNUMBER(Q14),ISNUMBER(M14)),IF(M14&gt;0,Q14/M14,""),"")</f>
        <v/>
      </c>
      <c r="Y14" s="11">
        <f>IF(ISNUMBER(Z14),YEAR(Z14),"")</f>
        <v/>
      </c>
      <c r="Z14" s="12" t="n"/>
      <c r="AA14" s="12" t="n"/>
      <c r="AI14" s="12" t="n"/>
      <c r="AJ14" s="13">
        <f>IF(LEN(TRIM(AF14))=0,"",HYPERLINK("https://www.google.com/maps/@?api=1&amp;map_action=pano&amp;viewpoint="&amp;SUBSTITUTE(AF14," ",""),"Abrir Street View"))</f>
        <v/>
      </c>
    </row>
    <row r="15">
      <c r="H15" s="6" t="n"/>
      <c r="I15" s="6" t="n"/>
      <c r="M15" s="7" t="n"/>
      <c r="N15" s="7" t="n"/>
      <c r="O15" s="7" t="n"/>
      <c r="Q15" s="7" t="n"/>
      <c r="R15" s="7" t="n"/>
      <c r="S15" s="8">
        <f>IF(NOT(ISNUMBER(M15)),"",IF(G15="Terreno",IF(AND(ISNUMBER(I15),I15&gt;0),M15/I15,""),IF(AND(ISNUMBER(H15),H15&gt;0),M15/H15,"")))</f>
        <v/>
      </c>
      <c r="T15" s="9">
        <f>IF(AND(ISNUMBER(M15),ISNUMBER(O15)),IF(M15&lt;=O15,"Valor ≤ venal IPTU",""),"")</f>
        <v/>
      </c>
      <c r="U15" s="10">
        <f>IF(AND(ISNUMBER(M15),ISNUMBER(N15)),IF(N15&gt;0,M15/N15,""),"")</f>
        <v/>
      </c>
      <c r="V15" s="10">
        <f>IF(AND(ISNUMBER(M15),ISNUMBER(O15)),IF(O15&gt;0,M15/O15,""),"")</f>
        <v/>
      </c>
      <c r="W15" s="10">
        <f>IF(AND(ISNUMBER(M15),ISNUMBER(R15)),IF(R15&gt;0,M15/R15,""),"")</f>
        <v/>
      </c>
      <c r="X15" s="10">
        <f>IF(AND(ISNUMBER(Q15),ISNUMBER(M15)),IF(M15&gt;0,Q15/M15,""),"")</f>
        <v/>
      </c>
      <c r="Y15" s="11">
        <f>IF(ISNUMBER(Z15),YEAR(Z15),"")</f>
        <v/>
      </c>
      <c r="Z15" s="12" t="n"/>
      <c r="AA15" s="12" t="n"/>
      <c r="AI15" s="12" t="n"/>
      <c r="AJ15" s="13">
        <f>IF(LEN(TRIM(AF15))=0,"",HYPERLINK("https://www.google.com/maps/@?api=1&amp;map_action=pano&amp;viewpoint="&amp;SUBSTITUTE(AF15," ",""),"Abrir Street View"))</f>
        <v/>
      </c>
    </row>
    <row r="16">
      <c r="H16" s="6" t="n"/>
      <c r="I16" s="6" t="n"/>
      <c r="M16" s="7" t="n"/>
      <c r="N16" s="7" t="n"/>
      <c r="O16" s="7" t="n"/>
      <c r="Q16" s="7" t="n"/>
      <c r="R16" s="7" t="n"/>
      <c r="S16" s="8">
        <f>IF(NOT(ISNUMBER(M16)),"",IF(G16="Terreno",IF(AND(ISNUMBER(I16),I16&gt;0),M16/I16,""),IF(AND(ISNUMBER(H16),H16&gt;0),M16/H16,"")))</f>
        <v/>
      </c>
      <c r="T16" s="9">
        <f>IF(AND(ISNUMBER(M16),ISNUMBER(O16)),IF(M16&lt;=O16,"Valor ≤ venal IPTU",""),"")</f>
        <v/>
      </c>
      <c r="U16" s="10">
        <f>IF(AND(ISNUMBER(M16),ISNUMBER(N16)),IF(N16&gt;0,M16/N16,""),"")</f>
        <v/>
      </c>
      <c r="V16" s="10">
        <f>IF(AND(ISNUMBER(M16),ISNUMBER(O16)),IF(O16&gt;0,M16/O16,""),"")</f>
        <v/>
      </c>
      <c r="W16" s="10">
        <f>IF(AND(ISNUMBER(M16),ISNUMBER(R16)),IF(R16&gt;0,M16/R16,""),"")</f>
        <v/>
      </c>
      <c r="X16" s="10">
        <f>IF(AND(ISNUMBER(Q16),ISNUMBER(M16)),IF(M16&gt;0,Q16/M16,""),"")</f>
        <v/>
      </c>
      <c r="Y16" s="11">
        <f>IF(ISNUMBER(Z16),YEAR(Z16),"")</f>
        <v/>
      </c>
      <c r="Z16" s="12" t="n"/>
      <c r="AA16" s="12" t="n"/>
      <c r="AI16" s="12" t="n"/>
      <c r="AJ16" s="13">
        <f>IF(LEN(TRIM(AF16))=0,"",HYPERLINK("https://www.google.com/maps/@?api=1&amp;map_action=pano&amp;viewpoint="&amp;SUBSTITUTE(AF16," ",""),"Abrir Street View"))</f>
        <v/>
      </c>
    </row>
    <row r="17">
      <c r="H17" s="6" t="n"/>
      <c r="I17" s="6" t="n"/>
      <c r="M17" s="7" t="n"/>
      <c r="N17" s="7" t="n"/>
      <c r="O17" s="7" t="n"/>
      <c r="Q17" s="7" t="n"/>
      <c r="R17" s="7" t="n"/>
      <c r="S17" s="8">
        <f>IF(NOT(ISNUMBER(M17)),"",IF(G17="Terreno",IF(AND(ISNUMBER(I17),I17&gt;0),M17/I17,""),IF(AND(ISNUMBER(H17),H17&gt;0),M17/H17,"")))</f>
        <v/>
      </c>
      <c r="T17" s="9">
        <f>IF(AND(ISNUMBER(M17),ISNUMBER(O17)),IF(M17&lt;=O17,"Valor ≤ venal IPTU",""),"")</f>
        <v/>
      </c>
      <c r="U17" s="10">
        <f>IF(AND(ISNUMBER(M17),ISNUMBER(N17)),IF(N17&gt;0,M17/N17,""),"")</f>
        <v/>
      </c>
      <c r="V17" s="10">
        <f>IF(AND(ISNUMBER(M17),ISNUMBER(O17)),IF(O17&gt;0,M17/O17,""),"")</f>
        <v/>
      </c>
      <c r="W17" s="10">
        <f>IF(AND(ISNUMBER(M17),ISNUMBER(R17)),IF(R17&gt;0,M17/R17,""),"")</f>
        <v/>
      </c>
      <c r="X17" s="10">
        <f>IF(AND(ISNUMBER(Q17),ISNUMBER(M17)),IF(M17&gt;0,Q17/M17,""),"")</f>
        <v/>
      </c>
      <c r="Y17" s="11">
        <f>IF(ISNUMBER(Z17),YEAR(Z17),"")</f>
        <v/>
      </c>
      <c r="Z17" s="12" t="n"/>
      <c r="AA17" s="12" t="n"/>
      <c r="AI17" s="12" t="n"/>
      <c r="AJ17" s="13">
        <f>IF(LEN(TRIM(AF17))=0,"",HYPERLINK("https://www.google.com/maps/@?api=1&amp;map_action=pano&amp;viewpoint="&amp;SUBSTITUTE(AF17," ",""),"Abrir Street View"))</f>
        <v/>
      </c>
    </row>
    <row r="18">
      <c r="H18" s="6" t="n"/>
      <c r="I18" s="6" t="n"/>
      <c r="M18" s="7" t="n"/>
      <c r="N18" s="7" t="n"/>
      <c r="O18" s="7" t="n"/>
      <c r="Q18" s="7" t="n"/>
      <c r="R18" s="7" t="n"/>
      <c r="S18" s="8">
        <f>IF(NOT(ISNUMBER(M18)),"",IF(G18="Terreno",IF(AND(ISNUMBER(I18),I18&gt;0),M18/I18,""),IF(AND(ISNUMBER(H18),H18&gt;0),M18/H18,"")))</f>
        <v/>
      </c>
      <c r="T18" s="9">
        <f>IF(AND(ISNUMBER(M18),ISNUMBER(O18)),IF(M18&lt;=O18,"Valor ≤ venal IPTU",""),"")</f>
        <v/>
      </c>
      <c r="U18" s="10">
        <f>IF(AND(ISNUMBER(M18),ISNUMBER(N18)),IF(N18&gt;0,M18/N18,""),"")</f>
        <v/>
      </c>
      <c r="V18" s="10">
        <f>IF(AND(ISNUMBER(M18),ISNUMBER(O18)),IF(O18&gt;0,M18/O18,""),"")</f>
        <v/>
      </c>
      <c r="W18" s="10">
        <f>IF(AND(ISNUMBER(M18),ISNUMBER(R18)),IF(R18&gt;0,M18/R18,""),"")</f>
        <v/>
      </c>
      <c r="X18" s="10">
        <f>IF(AND(ISNUMBER(Q18),ISNUMBER(M18)),IF(M18&gt;0,Q18/M18,""),"")</f>
        <v/>
      </c>
      <c r="Y18" s="11">
        <f>IF(ISNUMBER(Z18),YEAR(Z18),"")</f>
        <v/>
      </c>
      <c r="Z18" s="12" t="n"/>
      <c r="AA18" s="12" t="n"/>
      <c r="AI18" s="12" t="n"/>
      <c r="AJ18" s="13">
        <f>IF(LEN(TRIM(AF18))=0,"",HYPERLINK("https://www.google.com/maps/@?api=1&amp;map_action=pano&amp;viewpoint="&amp;SUBSTITUTE(AF18," ",""),"Abrir Street View"))</f>
        <v/>
      </c>
    </row>
    <row r="19">
      <c r="H19" s="6" t="n"/>
      <c r="I19" s="6" t="n"/>
      <c r="M19" s="7" t="n"/>
      <c r="N19" s="7" t="n"/>
      <c r="O19" s="7" t="n"/>
      <c r="Q19" s="7" t="n"/>
      <c r="R19" s="7" t="n"/>
      <c r="S19" s="8">
        <f>IF(NOT(ISNUMBER(M19)),"",IF(G19="Terreno",IF(AND(ISNUMBER(I19),I19&gt;0),M19/I19,""),IF(AND(ISNUMBER(H19),H19&gt;0),M19/H19,"")))</f>
        <v/>
      </c>
      <c r="T19" s="9">
        <f>IF(AND(ISNUMBER(M19),ISNUMBER(O19)),IF(M19&lt;=O19,"Valor ≤ venal IPTU",""),"")</f>
        <v/>
      </c>
      <c r="U19" s="10">
        <f>IF(AND(ISNUMBER(M19),ISNUMBER(N19)),IF(N19&gt;0,M19/N19,""),"")</f>
        <v/>
      </c>
      <c r="V19" s="10">
        <f>IF(AND(ISNUMBER(M19),ISNUMBER(O19)),IF(O19&gt;0,M19/O19,""),"")</f>
        <v/>
      </c>
      <c r="W19" s="10">
        <f>IF(AND(ISNUMBER(M19),ISNUMBER(R19)),IF(R19&gt;0,M19/R19,""),"")</f>
        <v/>
      </c>
      <c r="X19" s="10">
        <f>IF(AND(ISNUMBER(Q19),ISNUMBER(M19)),IF(M19&gt;0,Q19/M19,""),"")</f>
        <v/>
      </c>
      <c r="Y19" s="11">
        <f>IF(ISNUMBER(Z19),YEAR(Z19),"")</f>
        <v/>
      </c>
      <c r="Z19" s="12" t="n"/>
      <c r="AA19" s="12" t="n"/>
      <c r="AI19" s="12" t="n"/>
      <c r="AJ19" s="13">
        <f>IF(LEN(TRIM(AF19))=0,"",HYPERLINK("https://www.google.com/maps/@?api=1&amp;map_action=pano&amp;viewpoint="&amp;SUBSTITUTE(AF19," ",""),"Abrir Street View"))</f>
        <v/>
      </c>
    </row>
    <row r="20">
      <c r="H20" s="6" t="n"/>
      <c r="I20" s="6" t="n"/>
      <c r="M20" s="7" t="n"/>
      <c r="N20" s="7" t="n"/>
      <c r="O20" s="7" t="n"/>
      <c r="Q20" s="7" t="n"/>
      <c r="R20" s="7" t="n"/>
      <c r="S20" s="8">
        <f>IF(NOT(ISNUMBER(M20)),"",IF(G20="Terreno",IF(AND(ISNUMBER(I20),I20&gt;0),M20/I20,""),IF(AND(ISNUMBER(H20),H20&gt;0),M20/H20,"")))</f>
        <v/>
      </c>
      <c r="T20" s="9">
        <f>IF(AND(ISNUMBER(M20),ISNUMBER(O20)),IF(M20&lt;=O20,"Valor ≤ venal IPTU",""),"")</f>
        <v/>
      </c>
      <c r="U20" s="10">
        <f>IF(AND(ISNUMBER(M20),ISNUMBER(N20)),IF(N20&gt;0,M20/N20,""),"")</f>
        <v/>
      </c>
      <c r="V20" s="10">
        <f>IF(AND(ISNUMBER(M20),ISNUMBER(O20)),IF(O20&gt;0,M20/O20,""),"")</f>
        <v/>
      </c>
      <c r="W20" s="10">
        <f>IF(AND(ISNUMBER(M20),ISNUMBER(R20)),IF(R20&gt;0,M20/R20,""),"")</f>
        <v/>
      </c>
      <c r="X20" s="10">
        <f>IF(AND(ISNUMBER(Q20),ISNUMBER(M20)),IF(M20&gt;0,Q20/M20,""),"")</f>
        <v/>
      </c>
      <c r="Y20" s="11">
        <f>IF(ISNUMBER(Z20),YEAR(Z20),"")</f>
        <v/>
      </c>
      <c r="Z20" s="12" t="n"/>
      <c r="AA20" s="12" t="n"/>
      <c r="AI20" s="12" t="n"/>
      <c r="AJ20" s="13">
        <f>IF(LEN(TRIM(AF20))=0,"",HYPERLINK("https://www.google.com/maps/@?api=1&amp;map_action=pano&amp;viewpoint="&amp;SUBSTITUTE(AF20," ",""),"Abrir Street View"))</f>
        <v/>
      </c>
    </row>
    <row r="21">
      <c r="H21" s="6" t="n"/>
      <c r="I21" s="6" t="n"/>
      <c r="M21" s="7" t="n"/>
      <c r="N21" s="7" t="n"/>
      <c r="O21" s="7" t="n"/>
      <c r="Q21" s="7" t="n"/>
      <c r="R21" s="7" t="n"/>
      <c r="S21" s="8">
        <f>IF(NOT(ISNUMBER(M21)),"",IF(G21="Terreno",IF(AND(ISNUMBER(I21),I21&gt;0),M21/I21,""),IF(AND(ISNUMBER(H21),H21&gt;0),M21/H21,"")))</f>
        <v/>
      </c>
      <c r="T21" s="9">
        <f>IF(AND(ISNUMBER(M21),ISNUMBER(O21)),IF(M21&lt;=O21,"Valor ≤ venal IPTU",""),"")</f>
        <v/>
      </c>
      <c r="U21" s="10">
        <f>IF(AND(ISNUMBER(M21),ISNUMBER(N21)),IF(N21&gt;0,M21/N21,""),"")</f>
        <v/>
      </c>
      <c r="V21" s="10">
        <f>IF(AND(ISNUMBER(M21),ISNUMBER(O21)),IF(O21&gt;0,M21/O21,""),"")</f>
        <v/>
      </c>
      <c r="W21" s="10">
        <f>IF(AND(ISNUMBER(M21),ISNUMBER(R21)),IF(R21&gt;0,M21/R21,""),"")</f>
        <v/>
      </c>
      <c r="X21" s="10">
        <f>IF(AND(ISNUMBER(Q21),ISNUMBER(M21)),IF(M21&gt;0,Q21/M21,""),"")</f>
        <v/>
      </c>
      <c r="Y21" s="11">
        <f>IF(ISNUMBER(Z21),YEAR(Z21),"")</f>
        <v/>
      </c>
      <c r="Z21" s="12" t="n"/>
      <c r="AA21" s="12" t="n"/>
      <c r="AI21" s="12" t="n"/>
      <c r="AJ21" s="13">
        <f>IF(LEN(TRIM(AF21))=0,"",HYPERLINK("https://www.google.com/maps/@?api=1&amp;map_action=pano&amp;viewpoint="&amp;SUBSTITUTE(AF21," ",""),"Abrir Street View"))</f>
        <v/>
      </c>
    </row>
    <row r="22">
      <c r="H22" s="6" t="n"/>
      <c r="I22" s="6" t="n"/>
      <c r="M22" s="7" t="n"/>
      <c r="N22" s="7" t="n"/>
      <c r="O22" s="7" t="n"/>
      <c r="Q22" s="7" t="n"/>
      <c r="R22" s="7" t="n"/>
      <c r="S22" s="8">
        <f>IF(NOT(ISNUMBER(M22)),"",IF(G22="Terreno",IF(AND(ISNUMBER(I22),I22&gt;0),M22/I22,""),IF(AND(ISNUMBER(H22),H22&gt;0),M22/H22,"")))</f>
        <v/>
      </c>
      <c r="T22" s="9">
        <f>IF(AND(ISNUMBER(M22),ISNUMBER(O22)),IF(M22&lt;=O22,"Valor ≤ venal IPTU",""),"")</f>
        <v/>
      </c>
      <c r="U22" s="10">
        <f>IF(AND(ISNUMBER(M22),ISNUMBER(N22)),IF(N22&gt;0,M22/N22,""),"")</f>
        <v/>
      </c>
      <c r="V22" s="10">
        <f>IF(AND(ISNUMBER(M22),ISNUMBER(O22)),IF(O22&gt;0,M22/O22,""),"")</f>
        <v/>
      </c>
      <c r="W22" s="10">
        <f>IF(AND(ISNUMBER(M22),ISNUMBER(R22)),IF(R22&gt;0,M22/R22,""),"")</f>
        <v/>
      </c>
      <c r="X22" s="10">
        <f>IF(AND(ISNUMBER(Q22),ISNUMBER(M22)),IF(M22&gt;0,Q22/M22,""),"")</f>
        <v/>
      </c>
      <c r="Y22" s="11">
        <f>IF(ISNUMBER(Z22),YEAR(Z22),"")</f>
        <v/>
      </c>
      <c r="Z22" s="12" t="n"/>
      <c r="AA22" s="12" t="n"/>
      <c r="AI22" s="12" t="n"/>
      <c r="AJ22" s="13">
        <f>IF(LEN(TRIM(AF22))=0,"",HYPERLINK("https://www.google.com/maps/@?api=1&amp;map_action=pano&amp;viewpoint="&amp;SUBSTITUTE(AF22," ",""),"Abrir Street View"))</f>
        <v/>
      </c>
    </row>
    <row r="23">
      <c r="H23" s="6" t="n"/>
      <c r="I23" s="6" t="n"/>
      <c r="M23" s="7" t="n"/>
      <c r="N23" s="7" t="n"/>
      <c r="O23" s="7" t="n"/>
      <c r="Q23" s="7" t="n"/>
      <c r="R23" s="7" t="n"/>
      <c r="S23" s="8">
        <f>IF(NOT(ISNUMBER(M23)),"",IF(G23="Terreno",IF(AND(ISNUMBER(I23),I23&gt;0),M23/I23,""),IF(AND(ISNUMBER(H23),H23&gt;0),M23/H23,"")))</f>
        <v/>
      </c>
      <c r="T23" s="9">
        <f>IF(AND(ISNUMBER(M23),ISNUMBER(O23)),IF(M23&lt;=O23,"Valor ≤ venal IPTU",""),"")</f>
        <v/>
      </c>
      <c r="U23" s="10">
        <f>IF(AND(ISNUMBER(M23),ISNUMBER(N23)),IF(N23&gt;0,M23/N23,""),"")</f>
        <v/>
      </c>
      <c r="V23" s="10">
        <f>IF(AND(ISNUMBER(M23),ISNUMBER(O23)),IF(O23&gt;0,M23/O23,""),"")</f>
        <v/>
      </c>
      <c r="W23" s="10">
        <f>IF(AND(ISNUMBER(M23),ISNUMBER(R23)),IF(R23&gt;0,M23/R23,""),"")</f>
        <v/>
      </c>
      <c r="X23" s="10">
        <f>IF(AND(ISNUMBER(Q23),ISNUMBER(M23)),IF(M23&gt;0,Q23/M23,""),"")</f>
        <v/>
      </c>
      <c r="Y23" s="11">
        <f>IF(ISNUMBER(Z23),YEAR(Z23),"")</f>
        <v/>
      </c>
      <c r="Z23" s="12" t="n"/>
      <c r="AA23" s="12" t="n"/>
      <c r="AI23" s="12" t="n"/>
      <c r="AJ23" s="13">
        <f>IF(LEN(TRIM(AF23))=0,"",HYPERLINK("https://www.google.com/maps/@?api=1&amp;map_action=pano&amp;viewpoint="&amp;SUBSTITUTE(AF23," ",""),"Abrir Street View"))</f>
        <v/>
      </c>
    </row>
    <row r="24">
      <c r="H24" s="6" t="n"/>
      <c r="I24" s="6" t="n"/>
      <c r="M24" s="7" t="n"/>
      <c r="N24" s="7" t="n"/>
      <c r="O24" s="7" t="n"/>
      <c r="Q24" s="7" t="n"/>
      <c r="R24" s="7" t="n"/>
      <c r="S24" s="8">
        <f>IF(NOT(ISNUMBER(M24)),"",IF(G24="Terreno",IF(AND(ISNUMBER(I24),I24&gt;0),M24/I24,""),IF(AND(ISNUMBER(H24),H24&gt;0),M24/H24,"")))</f>
        <v/>
      </c>
      <c r="T24" s="9">
        <f>IF(AND(ISNUMBER(M24),ISNUMBER(O24)),IF(M24&lt;=O24,"Valor ≤ venal IPTU",""),"")</f>
        <v/>
      </c>
      <c r="U24" s="10">
        <f>IF(AND(ISNUMBER(M24),ISNUMBER(N24)),IF(N24&gt;0,M24/N24,""),"")</f>
        <v/>
      </c>
      <c r="V24" s="10">
        <f>IF(AND(ISNUMBER(M24),ISNUMBER(O24)),IF(O24&gt;0,M24/O24,""),"")</f>
        <v/>
      </c>
      <c r="W24" s="10">
        <f>IF(AND(ISNUMBER(M24),ISNUMBER(R24)),IF(R24&gt;0,M24/R24,""),"")</f>
        <v/>
      </c>
      <c r="X24" s="10">
        <f>IF(AND(ISNUMBER(Q24),ISNUMBER(M24)),IF(M24&gt;0,Q24/M24,""),"")</f>
        <v/>
      </c>
      <c r="Y24" s="11">
        <f>IF(ISNUMBER(Z24),YEAR(Z24),"")</f>
        <v/>
      </c>
      <c r="Z24" s="12" t="n"/>
      <c r="AA24" s="12" t="n"/>
      <c r="AI24" s="12" t="n"/>
      <c r="AJ24" s="13">
        <f>IF(LEN(TRIM(AF24))=0,"",HYPERLINK("https://www.google.com/maps/@?api=1&amp;map_action=pano&amp;viewpoint="&amp;SUBSTITUTE(AF24," ",""),"Abrir Street View"))</f>
        <v/>
      </c>
    </row>
    <row r="25">
      <c r="H25" s="6" t="n"/>
      <c r="I25" s="6" t="n"/>
      <c r="M25" s="7" t="n"/>
      <c r="N25" s="7" t="n"/>
      <c r="O25" s="7" t="n"/>
      <c r="Q25" s="7" t="n"/>
      <c r="R25" s="7" t="n"/>
      <c r="S25" s="8">
        <f>IF(NOT(ISNUMBER(M25)),"",IF(G25="Terreno",IF(AND(ISNUMBER(I25),I25&gt;0),M25/I25,""),IF(AND(ISNUMBER(H25),H25&gt;0),M25/H25,"")))</f>
        <v/>
      </c>
      <c r="T25" s="9">
        <f>IF(AND(ISNUMBER(M25),ISNUMBER(O25)),IF(M25&lt;=O25,"Valor ≤ venal IPTU",""),"")</f>
        <v/>
      </c>
      <c r="U25" s="10">
        <f>IF(AND(ISNUMBER(M25),ISNUMBER(N25)),IF(N25&gt;0,M25/N25,""),"")</f>
        <v/>
      </c>
      <c r="V25" s="10">
        <f>IF(AND(ISNUMBER(M25),ISNUMBER(O25)),IF(O25&gt;0,M25/O25,""),"")</f>
        <v/>
      </c>
      <c r="W25" s="10">
        <f>IF(AND(ISNUMBER(M25),ISNUMBER(R25)),IF(R25&gt;0,M25/R25,""),"")</f>
        <v/>
      </c>
      <c r="X25" s="10">
        <f>IF(AND(ISNUMBER(Q25),ISNUMBER(M25)),IF(M25&gt;0,Q25/M25,""),"")</f>
        <v/>
      </c>
      <c r="Y25" s="11">
        <f>IF(ISNUMBER(Z25),YEAR(Z25),"")</f>
        <v/>
      </c>
      <c r="Z25" s="12" t="n"/>
      <c r="AA25" s="12" t="n"/>
      <c r="AI25" s="12" t="n"/>
      <c r="AJ25" s="13">
        <f>IF(LEN(TRIM(AF25))=0,"",HYPERLINK("https://www.google.com/maps/@?api=1&amp;map_action=pano&amp;viewpoint="&amp;SUBSTITUTE(AF25," ",""),"Abrir Street View"))</f>
        <v/>
      </c>
    </row>
    <row r="26">
      <c r="H26" s="6" t="n"/>
      <c r="I26" s="6" t="n"/>
      <c r="M26" s="7" t="n"/>
      <c r="N26" s="7" t="n"/>
      <c r="O26" s="7" t="n"/>
      <c r="Q26" s="7" t="n"/>
      <c r="R26" s="7" t="n"/>
      <c r="S26" s="8">
        <f>IF(NOT(ISNUMBER(M26)),"",IF(G26="Terreno",IF(AND(ISNUMBER(I26),I26&gt;0),M26/I26,""),IF(AND(ISNUMBER(H26),H26&gt;0),M26/H26,"")))</f>
        <v/>
      </c>
      <c r="T26" s="9">
        <f>IF(AND(ISNUMBER(M26),ISNUMBER(O26)),IF(M26&lt;=O26,"Valor ≤ venal IPTU",""),"")</f>
        <v/>
      </c>
      <c r="U26" s="10">
        <f>IF(AND(ISNUMBER(M26),ISNUMBER(N26)),IF(N26&gt;0,M26/N26,""),"")</f>
        <v/>
      </c>
      <c r="V26" s="10">
        <f>IF(AND(ISNUMBER(M26),ISNUMBER(O26)),IF(O26&gt;0,M26/O26,""),"")</f>
        <v/>
      </c>
      <c r="W26" s="10">
        <f>IF(AND(ISNUMBER(M26),ISNUMBER(R26)),IF(R26&gt;0,M26/R26,""),"")</f>
        <v/>
      </c>
      <c r="X26" s="10">
        <f>IF(AND(ISNUMBER(Q26),ISNUMBER(M26)),IF(M26&gt;0,Q26/M26,""),"")</f>
        <v/>
      </c>
      <c r="Y26" s="11">
        <f>IF(ISNUMBER(Z26),YEAR(Z26),"")</f>
        <v/>
      </c>
      <c r="Z26" s="12" t="n"/>
      <c r="AA26" s="12" t="n"/>
      <c r="AI26" s="12" t="n"/>
      <c r="AJ26" s="13">
        <f>IF(LEN(TRIM(AF26))=0,"",HYPERLINK("https://www.google.com/maps/@?api=1&amp;map_action=pano&amp;viewpoint="&amp;SUBSTITUTE(AF26," ",""),"Abrir Street View"))</f>
        <v/>
      </c>
    </row>
    <row r="27">
      <c r="H27" s="6" t="n"/>
      <c r="I27" s="6" t="n"/>
      <c r="M27" s="7" t="n"/>
      <c r="N27" s="7" t="n"/>
      <c r="O27" s="7" t="n"/>
      <c r="Q27" s="7" t="n"/>
      <c r="R27" s="7" t="n"/>
      <c r="S27" s="8">
        <f>IF(NOT(ISNUMBER(M27)),"",IF(G27="Terreno",IF(AND(ISNUMBER(I27),I27&gt;0),M27/I27,""),IF(AND(ISNUMBER(H27),H27&gt;0),M27/H27,"")))</f>
        <v/>
      </c>
      <c r="T27" s="9">
        <f>IF(AND(ISNUMBER(M27),ISNUMBER(O27)),IF(M27&lt;=O27,"Valor ≤ venal IPTU",""),"")</f>
        <v/>
      </c>
      <c r="U27" s="10">
        <f>IF(AND(ISNUMBER(M27),ISNUMBER(N27)),IF(N27&gt;0,M27/N27,""),"")</f>
        <v/>
      </c>
      <c r="V27" s="10">
        <f>IF(AND(ISNUMBER(M27),ISNUMBER(O27)),IF(O27&gt;0,M27/O27,""),"")</f>
        <v/>
      </c>
      <c r="W27" s="10">
        <f>IF(AND(ISNUMBER(M27),ISNUMBER(R27)),IF(R27&gt;0,M27/R27,""),"")</f>
        <v/>
      </c>
      <c r="X27" s="10">
        <f>IF(AND(ISNUMBER(Q27),ISNUMBER(M27)),IF(M27&gt;0,Q27/M27,""),"")</f>
        <v/>
      </c>
      <c r="Y27" s="11">
        <f>IF(ISNUMBER(Z27),YEAR(Z27),"")</f>
        <v/>
      </c>
      <c r="Z27" s="12" t="n"/>
      <c r="AA27" s="12" t="n"/>
      <c r="AI27" s="12" t="n"/>
      <c r="AJ27" s="13">
        <f>IF(LEN(TRIM(AF27))=0,"",HYPERLINK("https://www.google.com/maps/@?api=1&amp;map_action=pano&amp;viewpoint="&amp;SUBSTITUTE(AF27," ",""),"Abrir Street View"))</f>
        <v/>
      </c>
    </row>
    <row r="28">
      <c r="H28" s="6" t="n"/>
      <c r="I28" s="6" t="n"/>
      <c r="M28" s="7" t="n"/>
      <c r="N28" s="7" t="n"/>
      <c r="O28" s="7" t="n"/>
      <c r="Q28" s="7" t="n"/>
      <c r="R28" s="7" t="n"/>
      <c r="S28" s="8">
        <f>IF(NOT(ISNUMBER(M28)),"",IF(G28="Terreno",IF(AND(ISNUMBER(I28),I28&gt;0),M28/I28,""),IF(AND(ISNUMBER(H28),H28&gt;0),M28/H28,"")))</f>
        <v/>
      </c>
      <c r="T28" s="9">
        <f>IF(AND(ISNUMBER(M28),ISNUMBER(O28)),IF(M28&lt;=O28,"Valor ≤ venal IPTU",""),"")</f>
        <v/>
      </c>
      <c r="U28" s="10">
        <f>IF(AND(ISNUMBER(M28),ISNUMBER(N28)),IF(N28&gt;0,M28/N28,""),"")</f>
        <v/>
      </c>
      <c r="V28" s="10">
        <f>IF(AND(ISNUMBER(M28),ISNUMBER(O28)),IF(O28&gt;0,M28/O28,""),"")</f>
        <v/>
      </c>
      <c r="W28" s="10">
        <f>IF(AND(ISNUMBER(M28),ISNUMBER(R28)),IF(R28&gt;0,M28/R28,""),"")</f>
        <v/>
      </c>
      <c r="X28" s="10">
        <f>IF(AND(ISNUMBER(Q28),ISNUMBER(M28)),IF(M28&gt;0,Q28/M28,""),"")</f>
        <v/>
      </c>
      <c r="Y28" s="11">
        <f>IF(ISNUMBER(Z28),YEAR(Z28),"")</f>
        <v/>
      </c>
      <c r="Z28" s="12" t="n"/>
      <c r="AA28" s="12" t="n"/>
      <c r="AI28" s="12" t="n"/>
      <c r="AJ28" s="13">
        <f>IF(LEN(TRIM(AF28))=0,"",HYPERLINK("https://www.google.com/maps/@?api=1&amp;map_action=pano&amp;viewpoint="&amp;SUBSTITUTE(AF28," ",""),"Abrir Street View"))</f>
        <v/>
      </c>
    </row>
    <row r="29">
      <c r="H29" s="6" t="n"/>
      <c r="I29" s="6" t="n"/>
      <c r="M29" s="7" t="n"/>
      <c r="N29" s="7" t="n"/>
      <c r="O29" s="7" t="n"/>
      <c r="Q29" s="7" t="n"/>
      <c r="R29" s="7" t="n"/>
      <c r="S29" s="8">
        <f>IF(NOT(ISNUMBER(M29)),"",IF(G29="Terreno",IF(AND(ISNUMBER(I29),I29&gt;0),M29/I29,""),IF(AND(ISNUMBER(H29),H29&gt;0),M29/H29,"")))</f>
        <v/>
      </c>
      <c r="T29" s="9">
        <f>IF(AND(ISNUMBER(M29),ISNUMBER(O29)),IF(M29&lt;=O29,"Valor ≤ venal IPTU",""),"")</f>
        <v/>
      </c>
      <c r="U29" s="10">
        <f>IF(AND(ISNUMBER(M29),ISNUMBER(N29)),IF(N29&gt;0,M29/N29,""),"")</f>
        <v/>
      </c>
      <c r="V29" s="10">
        <f>IF(AND(ISNUMBER(M29),ISNUMBER(O29)),IF(O29&gt;0,M29/O29,""),"")</f>
        <v/>
      </c>
      <c r="W29" s="10">
        <f>IF(AND(ISNUMBER(M29),ISNUMBER(R29)),IF(R29&gt;0,M29/R29,""),"")</f>
        <v/>
      </c>
      <c r="X29" s="10">
        <f>IF(AND(ISNUMBER(Q29),ISNUMBER(M29)),IF(M29&gt;0,Q29/M29,""),"")</f>
        <v/>
      </c>
      <c r="Y29" s="11">
        <f>IF(ISNUMBER(Z29),YEAR(Z29),"")</f>
        <v/>
      </c>
      <c r="Z29" s="12" t="n"/>
      <c r="AA29" s="12" t="n"/>
      <c r="AI29" s="12" t="n"/>
      <c r="AJ29" s="13">
        <f>IF(LEN(TRIM(AF29))=0,"",HYPERLINK("https://www.google.com/maps/@?api=1&amp;map_action=pano&amp;viewpoint="&amp;SUBSTITUTE(AF29," ",""),"Abrir Street View"))</f>
        <v/>
      </c>
    </row>
    <row r="30">
      <c r="H30" s="6" t="n"/>
      <c r="I30" s="6" t="n"/>
      <c r="M30" s="7" t="n"/>
      <c r="N30" s="7" t="n"/>
      <c r="O30" s="7" t="n"/>
      <c r="Q30" s="7" t="n"/>
      <c r="R30" s="7" t="n"/>
      <c r="S30" s="8">
        <f>IF(NOT(ISNUMBER(M30)),"",IF(G30="Terreno",IF(AND(ISNUMBER(I30),I30&gt;0),M30/I30,""),IF(AND(ISNUMBER(H30),H30&gt;0),M30/H30,"")))</f>
        <v/>
      </c>
      <c r="T30" s="9">
        <f>IF(AND(ISNUMBER(M30),ISNUMBER(O30)),IF(M30&lt;=O30,"Valor ≤ venal IPTU",""),"")</f>
        <v/>
      </c>
      <c r="U30" s="10">
        <f>IF(AND(ISNUMBER(M30),ISNUMBER(N30)),IF(N30&gt;0,M30/N30,""),"")</f>
        <v/>
      </c>
      <c r="V30" s="10">
        <f>IF(AND(ISNUMBER(M30),ISNUMBER(O30)),IF(O30&gt;0,M30/O30,""),"")</f>
        <v/>
      </c>
      <c r="W30" s="10">
        <f>IF(AND(ISNUMBER(M30),ISNUMBER(R30)),IF(R30&gt;0,M30/R30,""),"")</f>
        <v/>
      </c>
      <c r="X30" s="10">
        <f>IF(AND(ISNUMBER(Q30),ISNUMBER(M30)),IF(M30&gt;0,Q30/M30,""),"")</f>
        <v/>
      </c>
      <c r="Y30" s="11">
        <f>IF(ISNUMBER(Z30),YEAR(Z30),"")</f>
        <v/>
      </c>
      <c r="Z30" s="12" t="n"/>
      <c r="AA30" s="12" t="n"/>
      <c r="AI30" s="12" t="n"/>
      <c r="AJ30" s="13">
        <f>IF(LEN(TRIM(AF30))=0,"",HYPERLINK("https://www.google.com/maps/@?api=1&amp;map_action=pano&amp;viewpoint="&amp;SUBSTITUTE(AF30," ",""),"Abrir Street View"))</f>
        <v/>
      </c>
    </row>
    <row r="31">
      <c r="H31" s="6" t="n"/>
      <c r="I31" s="6" t="n"/>
      <c r="M31" s="7" t="n"/>
      <c r="N31" s="7" t="n"/>
      <c r="O31" s="7" t="n"/>
      <c r="Q31" s="7" t="n"/>
      <c r="R31" s="7" t="n"/>
      <c r="S31" s="8">
        <f>IF(NOT(ISNUMBER(M31)),"",IF(G31="Terreno",IF(AND(ISNUMBER(I31),I31&gt;0),M31/I31,""),IF(AND(ISNUMBER(H31),H31&gt;0),M31/H31,"")))</f>
        <v/>
      </c>
      <c r="T31" s="9">
        <f>IF(AND(ISNUMBER(M31),ISNUMBER(O31)),IF(M31&lt;=O31,"Valor ≤ venal IPTU",""),"")</f>
        <v/>
      </c>
      <c r="U31" s="10">
        <f>IF(AND(ISNUMBER(M31),ISNUMBER(N31)),IF(N31&gt;0,M31/N31,""),"")</f>
        <v/>
      </c>
      <c r="V31" s="10">
        <f>IF(AND(ISNUMBER(M31),ISNUMBER(O31)),IF(O31&gt;0,M31/O31,""),"")</f>
        <v/>
      </c>
      <c r="W31" s="10">
        <f>IF(AND(ISNUMBER(M31),ISNUMBER(R31)),IF(R31&gt;0,M31/R31,""),"")</f>
        <v/>
      </c>
      <c r="X31" s="10">
        <f>IF(AND(ISNUMBER(Q31),ISNUMBER(M31)),IF(M31&gt;0,Q31/M31,""),"")</f>
        <v/>
      </c>
      <c r="Y31" s="11">
        <f>IF(ISNUMBER(Z31),YEAR(Z31),"")</f>
        <v/>
      </c>
      <c r="Z31" s="12" t="n"/>
      <c r="AA31" s="12" t="n"/>
      <c r="AI31" s="12" t="n"/>
      <c r="AJ31" s="13">
        <f>IF(LEN(TRIM(AF31))=0,"",HYPERLINK("https://www.google.com/maps/@?api=1&amp;map_action=pano&amp;viewpoint="&amp;SUBSTITUTE(AF31," ",""),"Abrir Street View"))</f>
        <v/>
      </c>
    </row>
    <row r="32">
      <c r="H32" s="6" t="n"/>
      <c r="I32" s="6" t="n"/>
      <c r="M32" s="7" t="n"/>
      <c r="N32" s="7" t="n"/>
      <c r="O32" s="7" t="n"/>
      <c r="Q32" s="7" t="n"/>
      <c r="R32" s="7" t="n"/>
      <c r="S32" s="8">
        <f>IF(NOT(ISNUMBER(M32)),"",IF(G32="Terreno",IF(AND(ISNUMBER(I32),I32&gt;0),M32/I32,""),IF(AND(ISNUMBER(H32),H32&gt;0),M32/H32,"")))</f>
        <v/>
      </c>
      <c r="T32" s="9">
        <f>IF(AND(ISNUMBER(M32),ISNUMBER(O32)),IF(M32&lt;=O32,"Valor ≤ venal IPTU",""),"")</f>
        <v/>
      </c>
      <c r="U32" s="10">
        <f>IF(AND(ISNUMBER(M32),ISNUMBER(N32)),IF(N32&gt;0,M32/N32,""),"")</f>
        <v/>
      </c>
      <c r="V32" s="10">
        <f>IF(AND(ISNUMBER(M32),ISNUMBER(O32)),IF(O32&gt;0,M32/O32,""),"")</f>
        <v/>
      </c>
      <c r="W32" s="10">
        <f>IF(AND(ISNUMBER(M32),ISNUMBER(R32)),IF(R32&gt;0,M32/R32,""),"")</f>
        <v/>
      </c>
      <c r="X32" s="10">
        <f>IF(AND(ISNUMBER(Q32),ISNUMBER(M32)),IF(M32&gt;0,Q32/M32,""),"")</f>
        <v/>
      </c>
      <c r="Y32" s="11">
        <f>IF(ISNUMBER(Z32),YEAR(Z32),"")</f>
        <v/>
      </c>
      <c r="Z32" s="12" t="n"/>
      <c r="AA32" s="12" t="n"/>
      <c r="AI32" s="12" t="n"/>
      <c r="AJ32" s="13">
        <f>IF(LEN(TRIM(AF32))=0,"",HYPERLINK("https://www.google.com/maps/@?api=1&amp;map_action=pano&amp;viewpoint="&amp;SUBSTITUTE(AF32," ",""),"Abrir Street View"))</f>
        <v/>
      </c>
    </row>
    <row r="33">
      <c r="H33" s="6" t="n"/>
      <c r="I33" s="6" t="n"/>
      <c r="M33" s="7" t="n"/>
      <c r="N33" s="7" t="n"/>
      <c r="O33" s="7" t="n"/>
      <c r="Q33" s="7" t="n"/>
      <c r="R33" s="7" t="n"/>
      <c r="S33" s="8">
        <f>IF(NOT(ISNUMBER(M33)),"",IF(G33="Terreno",IF(AND(ISNUMBER(I33),I33&gt;0),M33/I33,""),IF(AND(ISNUMBER(H33),H33&gt;0),M33/H33,"")))</f>
        <v/>
      </c>
      <c r="T33" s="9">
        <f>IF(AND(ISNUMBER(M33),ISNUMBER(O33)),IF(M33&lt;=O33,"Valor ≤ venal IPTU",""),"")</f>
        <v/>
      </c>
      <c r="U33" s="10">
        <f>IF(AND(ISNUMBER(M33),ISNUMBER(N33)),IF(N33&gt;0,M33/N33,""),"")</f>
        <v/>
      </c>
      <c r="V33" s="10">
        <f>IF(AND(ISNUMBER(M33),ISNUMBER(O33)),IF(O33&gt;0,M33/O33,""),"")</f>
        <v/>
      </c>
      <c r="W33" s="10">
        <f>IF(AND(ISNUMBER(M33),ISNUMBER(R33)),IF(R33&gt;0,M33/R33,""),"")</f>
        <v/>
      </c>
      <c r="X33" s="10">
        <f>IF(AND(ISNUMBER(Q33),ISNUMBER(M33)),IF(M33&gt;0,Q33/M33,""),"")</f>
        <v/>
      </c>
      <c r="Y33" s="11">
        <f>IF(ISNUMBER(Z33),YEAR(Z33),"")</f>
        <v/>
      </c>
      <c r="Z33" s="12" t="n"/>
      <c r="AA33" s="12" t="n"/>
      <c r="AI33" s="12" t="n"/>
      <c r="AJ33" s="13">
        <f>IF(LEN(TRIM(AF33))=0,"",HYPERLINK("https://www.google.com/maps/@?api=1&amp;map_action=pano&amp;viewpoint="&amp;SUBSTITUTE(AF33," ",""),"Abrir Street View"))</f>
        <v/>
      </c>
    </row>
    <row r="34">
      <c r="H34" s="6" t="n"/>
      <c r="I34" s="6" t="n"/>
      <c r="M34" s="7" t="n"/>
      <c r="N34" s="7" t="n"/>
      <c r="O34" s="7" t="n"/>
      <c r="Q34" s="7" t="n"/>
      <c r="R34" s="7" t="n"/>
      <c r="S34" s="8">
        <f>IF(NOT(ISNUMBER(M34)),"",IF(G34="Terreno",IF(AND(ISNUMBER(I34),I34&gt;0),M34/I34,""),IF(AND(ISNUMBER(H34),H34&gt;0),M34/H34,"")))</f>
        <v/>
      </c>
      <c r="T34" s="9">
        <f>IF(AND(ISNUMBER(M34),ISNUMBER(O34)),IF(M34&lt;=O34,"Valor ≤ venal IPTU",""),"")</f>
        <v/>
      </c>
      <c r="U34" s="10">
        <f>IF(AND(ISNUMBER(M34),ISNUMBER(N34)),IF(N34&gt;0,M34/N34,""),"")</f>
        <v/>
      </c>
      <c r="V34" s="10">
        <f>IF(AND(ISNUMBER(M34),ISNUMBER(O34)),IF(O34&gt;0,M34/O34,""),"")</f>
        <v/>
      </c>
      <c r="W34" s="10">
        <f>IF(AND(ISNUMBER(M34),ISNUMBER(R34)),IF(R34&gt;0,M34/R34,""),"")</f>
        <v/>
      </c>
      <c r="X34" s="10">
        <f>IF(AND(ISNUMBER(Q34),ISNUMBER(M34)),IF(M34&gt;0,Q34/M34,""),"")</f>
        <v/>
      </c>
      <c r="Y34" s="11">
        <f>IF(ISNUMBER(Z34),YEAR(Z34),"")</f>
        <v/>
      </c>
      <c r="Z34" s="12" t="n"/>
      <c r="AA34" s="12" t="n"/>
      <c r="AI34" s="12" t="n"/>
      <c r="AJ34" s="13">
        <f>IF(LEN(TRIM(AF34))=0,"",HYPERLINK("https://www.google.com/maps/@?api=1&amp;map_action=pano&amp;viewpoint="&amp;SUBSTITUTE(AF34," ",""),"Abrir Street View"))</f>
        <v/>
      </c>
    </row>
    <row r="35">
      <c r="H35" s="6" t="n"/>
      <c r="I35" s="6" t="n"/>
      <c r="M35" s="7" t="n"/>
      <c r="N35" s="7" t="n"/>
      <c r="O35" s="7" t="n"/>
      <c r="Q35" s="7" t="n"/>
      <c r="R35" s="7" t="n"/>
      <c r="S35" s="8">
        <f>IF(NOT(ISNUMBER(M35)),"",IF(G35="Terreno",IF(AND(ISNUMBER(I35),I35&gt;0),M35/I35,""),IF(AND(ISNUMBER(H35),H35&gt;0),M35/H35,"")))</f>
        <v/>
      </c>
      <c r="T35" s="9">
        <f>IF(AND(ISNUMBER(M35),ISNUMBER(O35)),IF(M35&lt;=O35,"Valor ≤ venal IPTU",""),"")</f>
        <v/>
      </c>
      <c r="U35" s="10">
        <f>IF(AND(ISNUMBER(M35),ISNUMBER(N35)),IF(N35&gt;0,M35/N35,""),"")</f>
        <v/>
      </c>
      <c r="V35" s="10">
        <f>IF(AND(ISNUMBER(M35),ISNUMBER(O35)),IF(O35&gt;0,M35/O35,""),"")</f>
        <v/>
      </c>
      <c r="W35" s="10">
        <f>IF(AND(ISNUMBER(M35),ISNUMBER(R35)),IF(R35&gt;0,M35/R35,""),"")</f>
        <v/>
      </c>
      <c r="X35" s="10">
        <f>IF(AND(ISNUMBER(Q35),ISNUMBER(M35)),IF(M35&gt;0,Q35/M35,""),"")</f>
        <v/>
      </c>
      <c r="Y35" s="11">
        <f>IF(ISNUMBER(Z35),YEAR(Z35),"")</f>
        <v/>
      </c>
      <c r="Z35" s="12" t="n"/>
      <c r="AA35" s="12" t="n"/>
      <c r="AI35" s="12" t="n"/>
      <c r="AJ35" s="13">
        <f>IF(LEN(TRIM(AF35))=0,"",HYPERLINK("https://www.google.com/maps/@?api=1&amp;map_action=pano&amp;viewpoint="&amp;SUBSTITUTE(AF35," ",""),"Abrir Street View"))</f>
        <v/>
      </c>
    </row>
    <row r="36">
      <c r="H36" s="6" t="n"/>
      <c r="I36" s="6" t="n"/>
      <c r="M36" s="7" t="n"/>
      <c r="N36" s="7" t="n"/>
      <c r="O36" s="7" t="n"/>
      <c r="Q36" s="7" t="n"/>
      <c r="R36" s="7" t="n"/>
      <c r="S36" s="8">
        <f>IF(NOT(ISNUMBER(M36)),"",IF(G36="Terreno",IF(AND(ISNUMBER(I36),I36&gt;0),M36/I36,""),IF(AND(ISNUMBER(H36),H36&gt;0),M36/H36,"")))</f>
        <v/>
      </c>
      <c r="T36" s="9">
        <f>IF(AND(ISNUMBER(M36),ISNUMBER(O36)),IF(M36&lt;=O36,"Valor ≤ venal IPTU",""),"")</f>
        <v/>
      </c>
      <c r="U36" s="10">
        <f>IF(AND(ISNUMBER(M36),ISNUMBER(N36)),IF(N36&gt;0,M36/N36,""),"")</f>
        <v/>
      </c>
      <c r="V36" s="10">
        <f>IF(AND(ISNUMBER(M36),ISNUMBER(O36)),IF(O36&gt;0,M36/O36,""),"")</f>
        <v/>
      </c>
      <c r="W36" s="10">
        <f>IF(AND(ISNUMBER(M36),ISNUMBER(R36)),IF(R36&gt;0,M36/R36,""),"")</f>
        <v/>
      </c>
      <c r="X36" s="10">
        <f>IF(AND(ISNUMBER(Q36),ISNUMBER(M36)),IF(M36&gt;0,Q36/M36,""),"")</f>
        <v/>
      </c>
      <c r="Y36" s="11">
        <f>IF(ISNUMBER(Z36),YEAR(Z36),"")</f>
        <v/>
      </c>
      <c r="Z36" s="12" t="n"/>
      <c r="AA36" s="12" t="n"/>
      <c r="AI36" s="12" t="n"/>
      <c r="AJ36" s="13">
        <f>IF(LEN(TRIM(AF36))=0,"",HYPERLINK("https://www.google.com/maps/@?api=1&amp;map_action=pano&amp;viewpoint="&amp;SUBSTITUTE(AF36," ",""),"Abrir Street View"))</f>
        <v/>
      </c>
    </row>
    <row r="37">
      <c r="H37" s="6" t="n"/>
      <c r="I37" s="6" t="n"/>
      <c r="M37" s="7" t="n"/>
      <c r="N37" s="7" t="n"/>
      <c r="O37" s="7" t="n"/>
      <c r="Q37" s="7" t="n"/>
      <c r="R37" s="7" t="n"/>
      <c r="S37" s="8">
        <f>IF(NOT(ISNUMBER(M37)),"",IF(G37="Terreno",IF(AND(ISNUMBER(I37),I37&gt;0),M37/I37,""),IF(AND(ISNUMBER(H37),H37&gt;0),M37/H37,"")))</f>
        <v/>
      </c>
      <c r="T37" s="9">
        <f>IF(AND(ISNUMBER(M37),ISNUMBER(O37)),IF(M37&lt;=O37,"Valor ≤ venal IPTU",""),"")</f>
        <v/>
      </c>
      <c r="U37" s="10">
        <f>IF(AND(ISNUMBER(M37),ISNUMBER(N37)),IF(N37&gt;0,M37/N37,""),"")</f>
        <v/>
      </c>
      <c r="V37" s="10">
        <f>IF(AND(ISNUMBER(M37),ISNUMBER(O37)),IF(O37&gt;0,M37/O37,""),"")</f>
        <v/>
      </c>
      <c r="W37" s="10">
        <f>IF(AND(ISNUMBER(M37),ISNUMBER(R37)),IF(R37&gt;0,M37/R37,""),"")</f>
        <v/>
      </c>
      <c r="X37" s="10">
        <f>IF(AND(ISNUMBER(Q37),ISNUMBER(M37)),IF(M37&gt;0,Q37/M37,""),"")</f>
        <v/>
      </c>
      <c r="Y37" s="11">
        <f>IF(ISNUMBER(Z37),YEAR(Z37),"")</f>
        <v/>
      </c>
      <c r="Z37" s="12" t="n"/>
      <c r="AA37" s="12" t="n"/>
      <c r="AI37" s="12" t="n"/>
      <c r="AJ37" s="13">
        <f>IF(LEN(TRIM(AF37))=0,"",HYPERLINK("https://www.google.com/maps/@?api=1&amp;map_action=pano&amp;viewpoint="&amp;SUBSTITUTE(AF37," ",""),"Abrir Street View"))</f>
        <v/>
      </c>
    </row>
    <row r="38">
      <c r="H38" s="6" t="n"/>
      <c r="I38" s="6" t="n"/>
      <c r="M38" s="7" t="n"/>
      <c r="N38" s="7" t="n"/>
      <c r="O38" s="7" t="n"/>
      <c r="Q38" s="7" t="n"/>
      <c r="R38" s="7" t="n"/>
      <c r="S38" s="8">
        <f>IF(NOT(ISNUMBER(M38)),"",IF(G38="Terreno",IF(AND(ISNUMBER(I38),I38&gt;0),M38/I38,""),IF(AND(ISNUMBER(H38),H38&gt;0),M38/H38,"")))</f>
        <v/>
      </c>
      <c r="T38" s="9">
        <f>IF(AND(ISNUMBER(M38),ISNUMBER(O38)),IF(M38&lt;=O38,"Valor ≤ venal IPTU",""),"")</f>
        <v/>
      </c>
      <c r="U38" s="10">
        <f>IF(AND(ISNUMBER(M38),ISNUMBER(N38)),IF(N38&gt;0,M38/N38,""),"")</f>
        <v/>
      </c>
      <c r="V38" s="10">
        <f>IF(AND(ISNUMBER(M38),ISNUMBER(O38)),IF(O38&gt;0,M38/O38,""),"")</f>
        <v/>
      </c>
      <c r="W38" s="10">
        <f>IF(AND(ISNUMBER(M38),ISNUMBER(R38)),IF(R38&gt;0,M38/R38,""),"")</f>
        <v/>
      </c>
      <c r="X38" s="10">
        <f>IF(AND(ISNUMBER(Q38),ISNUMBER(M38)),IF(M38&gt;0,Q38/M38,""),"")</f>
        <v/>
      </c>
      <c r="Y38" s="11">
        <f>IF(ISNUMBER(Z38),YEAR(Z38),"")</f>
        <v/>
      </c>
      <c r="Z38" s="12" t="n"/>
      <c r="AA38" s="12" t="n"/>
      <c r="AI38" s="12" t="n"/>
      <c r="AJ38" s="13">
        <f>IF(LEN(TRIM(AF38))=0,"",HYPERLINK("https://www.google.com/maps/@?api=1&amp;map_action=pano&amp;viewpoint="&amp;SUBSTITUTE(AF38," ",""),"Abrir Street View"))</f>
        <v/>
      </c>
    </row>
    <row r="39">
      <c r="H39" s="6" t="n"/>
      <c r="I39" s="6" t="n"/>
      <c r="M39" s="7" t="n"/>
      <c r="N39" s="7" t="n"/>
      <c r="O39" s="7" t="n"/>
      <c r="Q39" s="7" t="n"/>
      <c r="R39" s="7" t="n"/>
      <c r="S39" s="8">
        <f>IF(NOT(ISNUMBER(M39)),"",IF(G39="Terreno",IF(AND(ISNUMBER(I39),I39&gt;0),M39/I39,""),IF(AND(ISNUMBER(H39),H39&gt;0),M39/H39,"")))</f>
        <v/>
      </c>
      <c r="T39" s="9">
        <f>IF(AND(ISNUMBER(M39),ISNUMBER(O39)),IF(M39&lt;=O39,"Valor ≤ venal IPTU",""),"")</f>
        <v/>
      </c>
      <c r="U39" s="10">
        <f>IF(AND(ISNUMBER(M39),ISNUMBER(N39)),IF(N39&gt;0,M39/N39,""),"")</f>
        <v/>
      </c>
      <c r="V39" s="10">
        <f>IF(AND(ISNUMBER(M39),ISNUMBER(O39)),IF(O39&gt;0,M39/O39,""),"")</f>
        <v/>
      </c>
      <c r="W39" s="10">
        <f>IF(AND(ISNUMBER(M39),ISNUMBER(R39)),IF(R39&gt;0,M39/R39,""),"")</f>
        <v/>
      </c>
      <c r="X39" s="10">
        <f>IF(AND(ISNUMBER(Q39),ISNUMBER(M39)),IF(M39&gt;0,Q39/M39,""),"")</f>
        <v/>
      </c>
      <c r="Y39" s="11">
        <f>IF(ISNUMBER(Z39),YEAR(Z39),"")</f>
        <v/>
      </c>
      <c r="Z39" s="12" t="n"/>
      <c r="AA39" s="12" t="n"/>
      <c r="AI39" s="12" t="n"/>
      <c r="AJ39" s="13">
        <f>IF(LEN(TRIM(AF39))=0,"",HYPERLINK("https://www.google.com/maps/@?api=1&amp;map_action=pano&amp;viewpoint="&amp;SUBSTITUTE(AF39," ",""),"Abrir Street View"))</f>
        <v/>
      </c>
    </row>
    <row r="40">
      <c r="H40" s="6" t="n"/>
      <c r="I40" s="6" t="n"/>
      <c r="M40" s="7" t="n"/>
      <c r="N40" s="7" t="n"/>
      <c r="O40" s="7" t="n"/>
      <c r="Q40" s="7" t="n"/>
      <c r="R40" s="7" t="n"/>
      <c r="S40" s="8">
        <f>IF(NOT(ISNUMBER(M40)),"",IF(G40="Terreno",IF(AND(ISNUMBER(I40),I40&gt;0),M40/I40,""),IF(AND(ISNUMBER(H40),H40&gt;0),M40/H40,"")))</f>
        <v/>
      </c>
      <c r="T40" s="9">
        <f>IF(AND(ISNUMBER(M40),ISNUMBER(O40)),IF(M40&lt;=O40,"Valor ≤ venal IPTU",""),"")</f>
        <v/>
      </c>
      <c r="U40" s="10">
        <f>IF(AND(ISNUMBER(M40),ISNUMBER(N40)),IF(N40&gt;0,M40/N40,""),"")</f>
        <v/>
      </c>
      <c r="V40" s="10">
        <f>IF(AND(ISNUMBER(M40),ISNUMBER(O40)),IF(O40&gt;0,M40/O40,""),"")</f>
        <v/>
      </c>
      <c r="W40" s="10">
        <f>IF(AND(ISNUMBER(M40),ISNUMBER(R40)),IF(R40&gt;0,M40/R40,""),"")</f>
        <v/>
      </c>
      <c r="X40" s="10">
        <f>IF(AND(ISNUMBER(Q40),ISNUMBER(M40)),IF(M40&gt;0,Q40/M40,""),"")</f>
        <v/>
      </c>
      <c r="Y40" s="11">
        <f>IF(ISNUMBER(Z40),YEAR(Z40),"")</f>
        <v/>
      </c>
      <c r="Z40" s="12" t="n"/>
      <c r="AA40" s="12" t="n"/>
      <c r="AI40" s="12" t="n"/>
      <c r="AJ40" s="13">
        <f>IF(LEN(TRIM(AF40))=0,"",HYPERLINK("https://www.google.com/maps/@?api=1&amp;map_action=pano&amp;viewpoint="&amp;SUBSTITUTE(AF40," ",""),"Abrir Street View"))</f>
        <v/>
      </c>
    </row>
    <row r="41">
      <c r="H41" s="6" t="n"/>
      <c r="I41" s="6" t="n"/>
      <c r="M41" s="7" t="n"/>
      <c r="N41" s="7" t="n"/>
      <c r="O41" s="7" t="n"/>
      <c r="Q41" s="7" t="n"/>
      <c r="R41" s="7" t="n"/>
      <c r="S41" s="8">
        <f>IF(NOT(ISNUMBER(M41)),"",IF(G41="Terreno",IF(AND(ISNUMBER(I41),I41&gt;0),M41/I41,""),IF(AND(ISNUMBER(H41),H41&gt;0),M41/H41,"")))</f>
        <v/>
      </c>
      <c r="T41" s="9">
        <f>IF(AND(ISNUMBER(M41),ISNUMBER(O41)),IF(M41&lt;=O41,"Valor ≤ venal IPTU",""),"")</f>
        <v/>
      </c>
      <c r="U41" s="10">
        <f>IF(AND(ISNUMBER(M41),ISNUMBER(N41)),IF(N41&gt;0,M41/N41,""),"")</f>
        <v/>
      </c>
      <c r="V41" s="10">
        <f>IF(AND(ISNUMBER(M41),ISNUMBER(O41)),IF(O41&gt;0,M41/O41,""),"")</f>
        <v/>
      </c>
      <c r="W41" s="10">
        <f>IF(AND(ISNUMBER(M41),ISNUMBER(R41)),IF(R41&gt;0,M41/R41,""),"")</f>
        <v/>
      </c>
      <c r="X41" s="10">
        <f>IF(AND(ISNUMBER(Q41),ISNUMBER(M41)),IF(M41&gt;0,Q41/M41,""),"")</f>
        <v/>
      </c>
      <c r="Y41" s="11">
        <f>IF(ISNUMBER(Z41),YEAR(Z41),"")</f>
        <v/>
      </c>
      <c r="Z41" s="12" t="n"/>
      <c r="AA41" s="12" t="n"/>
      <c r="AI41" s="12" t="n"/>
      <c r="AJ41" s="13">
        <f>IF(LEN(TRIM(AF41))=0,"",HYPERLINK("https://www.google.com/maps/@?api=1&amp;map_action=pano&amp;viewpoint="&amp;SUBSTITUTE(AF41," ",""),"Abrir Street View"))</f>
        <v/>
      </c>
    </row>
    <row r="42">
      <c r="H42" s="6" t="n"/>
      <c r="I42" s="6" t="n"/>
      <c r="M42" s="7" t="n"/>
      <c r="N42" s="7" t="n"/>
      <c r="O42" s="7" t="n"/>
      <c r="Q42" s="7" t="n"/>
      <c r="R42" s="7" t="n"/>
      <c r="S42" s="8">
        <f>IF(NOT(ISNUMBER(M42)),"",IF(G42="Terreno",IF(AND(ISNUMBER(I42),I42&gt;0),M42/I42,""),IF(AND(ISNUMBER(H42),H42&gt;0),M42/H42,"")))</f>
        <v/>
      </c>
      <c r="T42" s="9">
        <f>IF(AND(ISNUMBER(M42),ISNUMBER(O42)),IF(M42&lt;=O42,"Valor ≤ venal IPTU",""),"")</f>
        <v/>
      </c>
      <c r="U42" s="10">
        <f>IF(AND(ISNUMBER(M42),ISNUMBER(N42)),IF(N42&gt;0,M42/N42,""),"")</f>
        <v/>
      </c>
      <c r="V42" s="10">
        <f>IF(AND(ISNUMBER(M42),ISNUMBER(O42)),IF(O42&gt;0,M42/O42,""),"")</f>
        <v/>
      </c>
      <c r="W42" s="10">
        <f>IF(AND(ISNUMBER(M42),ISNUMBER(R42)),IF(R42&gt;0,M42/R42,""),"")</f>
        <v/>
      </c>
      <c r="X42" s="10">
        <f>IF(AND(ISNUMBER(Q42),ISNUMBER(M42)),IF(M42&gt;0,Q42/M42,""),"")</f>
        <v/>
      </c>
      <c r="Y42" s="11">
        <f>IF(ISNUMBER(Z42),YEAR(Z42),"")</f>
        <v/>
      </c>
      <c r="Z42" s="12" t="n"/>
      <c r="AA42" s="12" t="n"/>
      <c r="AI42" s="12" t="n"/>
      <c r="AJ42" s="13">
        <f>IF(LEN(TRIM(AF42))=0,"",HYPERLINK("https://www.google.com/maps/@?api=1&amp;map_action=pano&amp;viewpoint="&amp;SUBSTITUTE(AF42," ",""),"Abrir Street View"))</f>
        <v/>
      </c>
    </row>
    <row r="43">
      <c r="H43" s="6" t="n"/>
      <c r="I43" s="6" t="n"/>
      <c r="M43" s="7" t="n"/>
      <c r="N43" s="7" t="n"/>
      <c r="O43" s="7" t="n"/>
      <c r="Q43" s="7" t="n"/>
      <c r="R43" s="7" t="n"/>
      <c r="S43" s="8">
        <f>IF(NOT(ISNUMBER(M43)),"",IF(G43="Terreno",IF(AND(ISNUMBER(I43),I43&gt;0),M43/I43,""),IF(AND(ISNUMBER(H43),H43&gt;0),M43/H43,"")))</f>
        <v/>
      </c>
      <c r="T43" s="9">
        <f>IF(AND(ISNUMBER(M43),ISNUMBER(O43)),IF(M43&lt;=O43,"Valor ≤ venal IPTU",""),"")</f>
        <v/>
      </c>
      <c r="U43" s="10">
        <f>IF(AND(ISNUMBER(M43),ISNUMBER(N43)),IF(N43&gt;0,M43/N43,""),"")</f>
        <v/>
      </c>
      <c r="V43" s="10">
        <f>IF(AND(ISNUMBER(M43),ISNUMBER(O43)),IF(O43&gt;0,M43/O43,""),"")</f>
        <v/>
      </c>
      <c r="W43" s="10">
        <f>IF(AND(ISNUMBER(M43),ISNUMBER(R43)),IF(R43&gt;0,M43/R43,""),"")</f>
        <v/>
      </c>
      <c r="X43" s="10">
        <f>IF(AND(ISNUMBER(Q43),ISNUMBER(M43)),IF(M43&gt;0,Q43/M43,""),"")</f>
        <v/>
      </c>
      <c r="Y43" s="11">
        <f>IF(ISNUMBER(Z43),YEAR(Z43),"")</f>
        <v/>
      </c>
      <c r="Z43" s="12" t="n"/>
      <c r="AA43" s="12" t="n"/>
      <c r="AI43" s="12" t="n"/>
      <c r="AJ43" s="13">
        <f>IF(LEN(TRIM(AF43))=0,"",HYPERLINK("https://www.google.com/maps/@?api=1&amp;map_action=pano&amp;viewpoint="&amp;SUBSTITUTE(AF43," ",""),"Abrir Street View"))</f>
        <v/>
      </c>
    </row>
    <row r="44">
      <c r="H44" s="6" t="n"/>
      <c r="I44" s="6" t="n"/>
      <c r="M44" s="7" t="n"/>
      <c r="N44" s="7" t="n"/>
      <c r="O44" s="7" t="n"/>
      <c r="Q44" s="7" t="n"/>
      <c r="R44" s="7" t="n"/>
      <c r="S44" s="8">
        <f>IF(NOT(ISNUMBER(M44)),"",IF(G44="Terreno",IF(AND(ISNUMBER(I44),I44&gt;0),M44/I44,""),IF(AND(ISNUMBER(H44),H44&gt;0),M44/H44,"")))</f>
        <v/>
      </c>
      <c r="T44" s="9">
        <f>IF(AND(ISNUMBER(M44),ISNUMBER(O44)),IF(M44&lt;=O44,"Valor ≤ venal IPTU",""),"")</f>
        <v/>
      </c>
      <c r="U44" s="10">
        <f>IF(AND(ISNUMBER(M44),ISNUMBER(N44)),IF(N44&gt;0,M44/N44,""),"")</f>
        <v/>
      </c>
      <c r="V44" s="10">
        <f>IF(AND(ISNUMBER(M44),ISNUMBER(O44)),IF(O44&gt;0,M44/O44,""),"")</f>
        <v/>
      </c>
      <c r="W44" s="10">
        <f>IF(AND(ISNUMBER(M44),ISNUMBER(R44)),IF(R44&gt;0,M44/R44,""),"")</f>
        <v/>
      </c>
      <c r="X44" s="10">
        <f>IF(AND(ISNUMBER(Q44),ISNUMBER(M44)),IF(M44&gt;0,Q44/M44,""),"")</f>
        <v/>
      </c>
      <c r="Y44" s="11">
        <f>IF(ISNUMBER(Z44),YEAR(Z44),"")</f>
        <v/>
      </c>
      <c r="Z44" s="12" t="n"/>
      <c r="AA44" s="12" t="n"/>
      <c r="AI44" s="12" t="n"/>
      <c r="AJ44" s="13">
        <f>IF(LEN(TRIM(AF44))=0,"",HYPERLINK("https://www.google.com/maps/@?api=1&amp;map_action=pano&amp;viewpoint="&amp;SUBSTITUTE(AF44," ",""),"Abrir Street View"))</f>
        <v/>
      </c>
    </row>
    <row r="45">
      <c r="H45" s="6" t="n"/>
      <c r="I45" s="6" t="n"/>
      <c r="M45" s="7" t="n"/>
      <c r="N45" s="7" t="n"/>
      <c r="O45" s="7" t="n"/>
      <c r="Q45" s="7" t="n"/>
      <c r="R45" s="7" t="n"/>
      <c r="S45" s="8">
        <f>IF(NOT(ISNUMBER(M45)),"",IF(G45="Terreno",IF(AND(ISNUMBER(I45),I45&gt;0),M45/I45,""),IF(AND(ISNUMBER(H45),H45&gt;0),M45/H45,"")))</f>
        <v/>
      </c>
      <c r="T45" s="9">
        <f>IF(AND(ISNUMBER(M45),ISNUMBER(O45)),IF(M45&lt;=O45,"Valor ≤ venal IPTU",""),"")</f>
        <v/>
      </c>
      <c r="U45" s="10">
        <f>IF(AND(ISNUMBER(M45),ISNUMBER(N45)),IF(N45&gt;0,M45/N45,""),"")</f>
        <v/>
      </c>
      <c r="V45" s="10">
        <f>IF(AND(ISNUMBER(M45),ISNUMBER(O45)),IF(O45&gt;0,M45/O45,""),"")</f>
        <v/>
      </c>
      <c r="W45" s="10">
        <f>IF(AND(ISNUMBER(M45),ISNUMBER(R45)),IF(R45&gt;0,M45/R45,""),"")</f>
        <v/>
      </c>
      <c r="X45" s="10">
        <f>IF(AND(ISNUMBER(Q45),ISNUMBER(M45)),IF(M45&gt;0,Q45/M45,""),"")</f>
        <v/>
      </c>
      <c r="Y45" s="11">
        <f>IF(ISNUMBER(Z45),YEAR(Z45),"")</f>
        <v/>
      </c>
      <c r="Z45" s="12" t="n"/>
      <c r="AA45" s="12" t="n"/>
      <c r="AI45" s="12" t="n"/>
      <c r="AJ45" s="13">
        <f>IF(LEN(TRIM(AF45))=0,"",HYPERLINK("https://www.google.com/maps/@?api=1&amp;map_action=pano&amp;viewpoint="&amp;SUBSTITUTE(AF45," ",""),"Abrir Street View"))</f>
        <v/>
      </c>
    </row>
    <row r="46">
      <c r="H46" s="6" t="n"/>
      <c r="I46" s="6" t="n"/>
      <c r="M46" s="7" t="n"/>
      <c r="N46" s="7" t="n"/>
      <c r="O46" s="7" t="n"/>
      <c r="Q46" s="7" t="n"/>
      <c r="R46" s="7" t="n"/>
      <c r="S46" s="8">
        <f>IF(NOT(ISNUMBER(M46)),"",IF(G46="Terreno",IF(AND(ISNUMBER(I46),I46&gt;0),M46/I46,""),IF(AND(ISNUMBER(H46),H46&gt;0),M46/H46,"")))</f>
        <v/>
      </c>
      <c r="T46" s="9">
        <f>IF(AND(ISNUMBER(M46),ISNUMBER(O46)),IF(M46&lt;=O46,"Valor ≤ venal IPTU",""),"")</f>
        <v/>
      </c>
      <c r="U46" s="10">
        <f>IF(AND(ISNUMBER(M46),ISNUMBER(N46)),IF(N46&gt;0,M46/N46,""),"")</f>
        <v/>
      </c>
      <c r="V46" s="10">
        <f>IF(AND(ISNUMBER(M46),ISNUMBER(O46)),IF(O46&gt;0,M46/O46,""),"")</f>
        <v/>
      </c>
      <c r="W46" s="10">
        <f>IF(AND(ISNUMBER(M46),ISNUMBER(R46)),IF(R46&gt;0,M46/R46,""),"")</f>
        <v/>
      </c>
      <c r="X46" s="10">
        <f>IF(AND(ISNUMBER(Q46),ISNUMBER(M46)),IF(M46&gt;0,Q46/M46,""),"")</f>
        <v/>
      </c>
      <c r="Y46" s="11">
        <f>IF(ISNUMBER(Z46),YEAR(Z46),"")</f>
        <v/>
      </c>
      <c r="Z46" s="12" t="n"/>
      <c r="AA46" s="12" t="n"/>
      <c r="AI46" s="12" t="n"/>
      <c r="AJ46" s="13">
        <f>IF(LEN(TRIM(AF46))=0,"",HYPERLINK("https://www.google.com/maps/@?api=1&amp;map_action=pano&amp;viewpoint="&amp;SUBSTITUTE(AF46," ",""),"Abrir Street View"))</f>
        <v/>
      </c>
    </row>
    <row r="47">
      <c r="H47" s="6" t="n"/>
      <c r="I47" s="6" t="n"/>
      <c r="M47" s="7" t="n"/>
      <c r="N47" s="7" t="n"/>
      <c r="O47" s="7" t="n"/>
      <c r="Q47" s="7" t="n"/>
      <c r="R47" s="7" t="n"/>
      <c r="S47" s="8">
        <f>IF(NOT(ISNUMBER(M47)),"",IF(G47="Terreno",IF(AND(ISNUMBER(I47),I47&gt;0),M47/I47,""),IF(AND(ISNUMBER(H47),H47&gt;0),M47/H47,"")))</f>
        <v/>
      </c>
      <c r="T47" s="9">
        <f>IF(AND(ISNUMBER(M47),ISNUMBER(O47)),IF(M47&lt;=O47,"Valor ≤ venal IPTU",""),"")</f>
        <v/>
      </c>
      <c r="U47" s="10">
        <f>IF(AND(ISNUMBER(M47),ISNUMBER(N47)),IF(N47&gt;0,M47/N47,""),"")</f>
        <v/>
      </c>
      <c r="V47" s="10">
        <f>IF(AND(ISNUMBER(M47),ISNUMBER(O47)),IF(O47&gt;0,M47/O47,""),"")</f>
        <v/>
      </c>
      <c r="W47" s="10">
        <f>IF(AND(ISNUMBER(M47),ISNUMBER(R47)),IF(R47&gt;0,M47/R47,""),"")</f>
        <v/>
      </c>
      <c r="X47" s="10">
        <f>IF(AND(ISNUMBER(Q47),ISNUMBER(M47)),IF(M47&gt;0,Q47/M47,""),"")</f>
        <v/>
      </c>
      <c r="Y47" s="11">
        <f>IF(ISNUMBER(Z47),YEAR(Z47),"")</f>
        <v/>
      </c>
      <c r="Z47" s="12" t="n"/>
      <c r="AA47" s="12" t="n"/>
      <c r="AI47" s="12" t="n"/>
      <c r="AJ47" s="13">
        <f>IF(LEN(TRIM(AF47))=0,"",HYPERLINK("https://www.google.com/maps/@?api=1&amp;map_action=pano&amp;viewpoint="&amp;SUBSTITUTE(AF47," ",""),"Abrir Street View"))</f>
        <v/>
      </c>
    </row>
    <row r="48">
      <c r="H48" s="6" t="n"/>
      <c r="I48" s="6" t="n"/>
      <c r="M48" s="7" t="n"/>
      <c r="N48" s="7" t="n"/>
      <c r="O48" s="7" t="n"/>
      <c r="Q48" s="7" t="n"/>
      <c r="R48" s="7" t="n"/>
      <c r="S48" s="8">
        <f>IF(NOT(ISNUMBER(M48)),"",IF(G48="Terreno",IF(AND(ISNUMBER(I48),I48&gt;0),M48/I48,""),IF(AND(ISNUMBER(H48),H48&gt;0),M48/H48,"")))</f>
        <v/>
      </c>
      <c r="T48" s="9">
        <f>IF(AND(ISNUMBER(M48),ISNUMBER(O48)),IF(M48&lt;=O48,"Valor ≤ venal IPTU",""),"")</f>
        <v/>
      </c>
      <c r="U48" s="10">
        <f>IF(AND(ISNUMBER(M48),ISNUMBER(N48)),IF(N48&gt;0,M48/N48,""),"")</f>
        <v/>
      </c>
      <c r="V48" s="10">
        <f>IF(AND(ISNUMBER(M48),ISNUMBER(O48)),IF(O48&gt;0,M48/O48,""),"")</f>
        <v/>
      </c>
      <c r="W48" s="10">
        <f>IF(AND(ISNUMBER(M48),ISNUMBER(R48)),IF(R48&gt;0,M48/R48,""),"")</f>
        <v/>
      </c>
      <c r="X48" s="10">
        <f>IF(AND(ISNUMBER(Q48),ISNUMBER(M48)),IF(M48&gt;0,Q48/M48,""),"")</f>
        <v/>
      </c>
      <c r="Y48" s="11">
        <f>IF(ISNUMBER(Z48),YEAR(Z48),"")</f>
        <v/>
      </c>
      <c r="Z48" s="12" t="n"/>
      <c r="AA48" s="12" t="n"/>
      <c r="AI48" s="12" t="n"/>
      <c r="AJ48" s="13">
        <f>IF(LEN(TRIM(AF48))=0,"",HYPERLINK("https://www.google.com/maps/@?api=1&amp;map_action=pano&amp;viewpoint="&amp;SUBSTITUTE(AF48," ",""),"Abrir Street View"))</f>
        <v/>
      </c>
    </row>
    <row r="49">
      <c r="H49" s="6" t="n"/>
      <c r="I49" s="6" t="n"/>
      <c r="M49" s="7" t="n"/>
      <c r="N49" s="7" t="n"/>
      <c r="O49" s="7" t="n"/>
      <c r="Q49" s="7" t="n"/>
      <c r="R49" s="7" t="n"/>
      <c r="S49" s="8">
        <f>IF(NOT(ISNUMBER(M49)),"",IF(G49="Terreno",IF(AND(ISNUMBER(I49),I49&gt;0),M49/I49,""),IF(AND(ISNUMBER(H49),H49&gt;0),M49/H49,"")))</f>
        <v/>
      </c>
      <c r="T49" s="9">
        <f>IF(AND(ISNUMBER(M49),ISNUMBER(O49)),IF(M49&lt;=O49,"Valor ≤ venal IPTU",""),"")</f>
        <v/>
      </c>
      <c r="U49" s="10">
        <f>IF(AND(ISNUMBER(M49),ISNUMBER(N49)),IF(N49&gt;0,M49/N49,""),"")</f>
        <v/>
      </c>
      <c r="V49" s="10">
        <f>IF(AND(ISNUMBER(M49),ISNUMBER(O49)),IF(O49&gt;0,M49/O49,""),"")</f>
        <v/>
      </c>
      <c r="W49" s="10">
        <f>IF(AND(ISNUMBER(M49),ISNUMBER(R49)),IF(R49&gt;0,M49/R49,""),"")</f>
        <v/>
      </c>
      <c r="X49" s="10">
        <f>IF(AND(ISNUMBER(Q49),ISNUMBER(M49)),IF(M49&gt;0,Q49/M49,""),"")</f>
        <v/>
      </c>
      <c r="Y49" s="11">
        <f>IF(ISNUMBER(Z49),YEAR(Z49),"")</f>
        <v/>
      </c>
      <c r="Z49" s="12" t="n"/>
      <c r="AA49" s="12" t="n"/>
      <c r="AI49" s="12" t="n"/>
      <c r="AJ49" s="13">
        <f>IF(LEN(TRIM(AF49))=0,"",HYPERLINK("https://www.google.com/maps/@?api=1&amp;map_action=pano&amp;viewpoint="&amp;SUBSTITUTE(AF49," ",""),"Abrir Street View"))</f>
        <v/>
      </c>
    </row>
    <row r="50">
      <c r="H50" s="6" t="n"/>
      <c r="I50" s="6" t="n"/>
      <c r="M50" s="7" t="n"/>
      <c r="N50" s="7" t="n"/>
      <c r="O50" s="7" t="n"/>
      <c r="Q50" s="7" t="n"/>
      <c r="R50" s="7" t="n"/>
      <c r="S50" s="8">
        <f>IF(NOT(ISNUMBER(M50)),"",IF(G50="Terreno",IF(AND(ISNUMBER(I50),I50&gt;0),M50/I50,""),IF(AND(ISNUMBER(H50),H50&gt;0),M50/H50,"")))</f>
        <v/>
      </c>
      <c r="T50" s="9">
        <f>IF(AND(ISNUMBER(M50),ISNUMBER(O50)),IF(M50&lt;=O50,"Valor ≤ venal IPTU",""),"")</f>
        <v/>
      </c>
      <c r="U50" s="10">
        <f>IF(AND(ISNUMBER(M50),ISNUMBER(N50)),IF(N50&gt;0,M50/N50,""),"")</f>
        <v/>
      </c>
      <c r="V50" s="10">
        <f>IF(AND(ISNUMBER(M50),ISNUMBER(O50)),IF(O50&gt;0,M50/O50,""),"")</f>
        <v/>
      </c>
      <c r="W50" s="10">
        <f>IF(AND(ISNUMBER(M50),ISNUMBER(R50)),IF(R50&gt;0,M50/R50,""),"")</f>
        <v/>
      </c>
      <c r="X50" s="10">
        <f>IF(AND(ISNUMBER(Q50),ISNUMBER(M50)),IF(M50&gt;0,Q50/M50,""),"")</f>
        <v/>
      </c>
      <c r="Y50" s="11">
        <f>IF(ISNUMBER(Z50),YEAR(Z50),"")</f>
        <v/>
      </c>
      <c r="Z50" s="12" t="n"/>
      <c r="AA50" s="12" t="n"/>
      <c r="AI50" s="12" t="n"/>
      <c r="AJ50" s="13">
        <f>IF(LEN(TRIM(AF50))=0,"",HYPERLINK("https://www.google.com/maps/@?api=1&amp;map_action=pano&amp;viewpoint="&amp;SUBSTITUTE(AF50," ",""),"Abrir Street View"))</f>
        <v/>
      </c>
    </row>
    <row r="51">
      <c r="H51" s="6" t="n"/>
      <c r="I51" s="6" t="n"/>
      <c r="M51" s="7" t="n"/>
      <c r="N51" s="7" t="n"/>
      <c r="O51" s="7" t="n"/>
      <c r="Q51" s="7" t="n"/>
      <c r="R51" s="7" t="n"/>
      <c r="S51" s="8">
        <f>IF(NOT(ISNUMBER(M51)),"",IF(G51="Terreno",IF(AND(ISNUMBER(I51),I51&gt;0),M51/I51,""),IF(AND(ISNUMBER(H51),H51&gt;0),M51/H51,"")))</f>
        <v/>
      </c>
      <c r="T51" s="9">
        <f>IF(AND(ISNUMBER(M51),ISNUMBER(O51)),IF(M51&lt;=O51,"Valor ≤ venal IPTU",""),"")</f>
        <v/>
      </c>
      <c r="U51" s="10">
        <f>IF(AND(ISNUMBER(M51),ISNUMBER(N51)),IF(N51&gt;0,M51/N51,""),"")</f>
        <v/>
      </c>
      <c r="V51" s="10">
        <f>IF(AND(ISNUMBER(M51),ISNUMBER(O51)),IF(O51&gt;0,M51/O51,""),"")</f>
        <v/>
      </c>
      <c r="W51" s="10">
        <f>IF(AND(ISNUMBER(M51),ISNUMBER(R51)),IF(R51&gt;0,M51/R51,""),"")</f>
        <v/>
      </c>
      <c r="X51" s="10">
        <f>IF(AND(ISNUMBER(Q51),ISNUMBER(M51)),IF(M51&gt;0,Q51/M51,""),"")</f>
        <v/>
      </c>
      <c r="Y51" s="11">
        <f>IF(ISNUMBER(Z51),YEAR(Z51),"")</f>
        <v/>
      </c>
      <c r="Z51" s="12" t="n"/>
      <c r="AA51" s="12" t="n"/>
      <c r="AI51" s="12" t="n"/>
      <c r="AJ51" s="13">
        <f>IF(LEN(TRIM(AF51))=0,"",HYPERLINK("https://www.google.com/maps/@?api=1&amp;map_action=pano&amp;viewpoint="&amp;SUBSTITUTE(AF51," ",""),"Abrir Street View"))</f>
        <v/>
      </c>
    </row>
    <row r="52">
      <c r="H52" s="6" t="n"/>
      <c r="I52" s="6" t="n"/>
      <c r="M52" s="7" t="n"/>
      <c r="N52" s="7" t="n"/>
      <c r="O52" s="7" t="n"/>
      <c r="Q52" s="7" t="n"/>
      <c r="R52" s="7" t="n"/>
      <c r="S52" s="8">
        <f>IF(NOT(ISNUMBER(M52)),"",IF(G52="Terreno",IF(AND(ISNUMBER(I52),I52&gt;0),M52/I52,""),IF(AND(ISNUMBER(H52),H52&gt;0),M52/H52,"")))</f>
        <v/>
      </c>
      <c r="T52" s="9">
        <f>IF(AND(ISNUMBER(M52),ISNUMBER(O52)),IF(M52&lt;=O52,"Valor ≤ venal IPTU",""),"")</f>
        <v/>
      </c>
      <c r="U52" s="10">
        <f>IF(AND(ISNUMBER(M52),ISNUMBER(N52)),IF(N52&gt;0,M52/N52,""),"")</f>
        <v/>
      </c>
      <c r="V52" s="10">
        <f>IF(AND(ISNUMBER(M52),ISNUMBER(O52)),IF(O52&gt;0,M52/O52,""),"")</f>
        <v/>
      </c>
      <c r="W52" s="10">
        <f>IF(AND(ISNUMBER(M52),ISNUMBER(R52)),IF(R52&gt;0,M52/R52,""),"")</f>
        <v/>
      </c>
      <c r="X52" s="10">
        <f>IF(AND(ISNUMBER(Q52),ISNUMBER(M52)),IF(M52&gt;0,Q52/M52,""),"")</f>
        <v/>
      </c>
      <c r="Y52" s="11">
        <f>IF(ISNUMBER(Z52),YEAR(Z52),"")</f>
        <v/>
      </c>
      <c r="Z52" s="12" t="n"/>
      <c r="AA52" s="12" t="n"/>
      <c r="AI52" s="12" t="n"/>
      <c r="AJ52" s="13">
        <f>IF(LEN(TRIM(AF52))=0,"",HYPERLINK("https://www.google.com/maps/@?api=1&amp;map_action=pano&amp;viewpoint="&amp;SUBSTITUTE(AF52," ",""),"Abrir Street View"))</f>
        <v/>
      </c>
    </row>
    <row r="53">
      <c r="H53" s="6" t="n"/>
      <c r="I53" s="6" t="n"/>
      <c r="M53" s="7" t="n"/>
      <c r="N53" s="7" t="n"/>
      <c r="O53" s="7" t="n"/>
      <c r="Q53" s="7" t="n"/>
      <c r="R53" s="7" t="n"/>
      <c r="S53" s="8">
        <f>IF(NOT(ISNUMBER(M53)),"",IF(G53="Terreno",IF(AND(ISNUMBER(I53),I53&gt;0),M53/I53,""),IF(AND(ISNUMBER(H53),H53&gt;0),M53/H53,"")))</f>
        <v/>
      </c>
      <c r="T53" s="9">
        <f>IF(AND(ISNUMBER(M53),ISNUMBER(O53)),IF(M53&lt;=O53,"Valor ≤ venal IPTU",""),"")</f>
        <v/>
      </c>
      <c r="U53" s="10">
        <f>IF(AND(ISNUMBER(M53),ISNUMBER(N53)),IF(N53&gt;0,M53/N53,""),"")</f>
        <v/>
      </c>
      <c r="V53" s="10">
        <f>IF(AND(ISNUMBER(M53),ISNUMBER(O53)),IF(O53&gt;0,M53/O53,""),"")</f>
        <v/>
      </c>
      <c r="W53" s="10">
        <f>IF(AND(ISNUMBER(M53),ISNUMBER(R53)),IF(R53&gt;0,M53/R53,""),"")</f>
        <v/>
      </c>
      <c r="X53" s="10">
        <f>IF(AND(ISNUMBER(Q53),ISNUMBER(M53)),IF(M53&gt;0,Q53/M53,""),"")</f>
        <v/>
      </c>
      <c r="Y53" s="11">
        <f>IF(ISNUMBER(Z53),YEAR(Z53),"")</f>
        <v/>
      </c>
      <c r="Z53" s="12" t="n"/>
      <c r="AA53" s="12" t="n"/>
      <c r="AI53" s="12" t="n"/>
      <c r="AJ53" s="13">
        <f>IF(LEN(TRIM(AF53))=0,"",HYPERLINK("https://www.google.com/maps/@?api=1&amp;map_action=pano&amp;viewpoint="&amp;SUBSTITUTE(AF53," ",""),"Abrir Street View"))</f>
        <v/>
      </c>
    </row>
    <row r="54">
      <c r="H54" s="6" t="n"/>
      <c r="I54" s="6" t="n"/>
      <c r="M54" s="7" t="n"/>
      <c r="N54" s="7" t="n"/>
      <c r="O54" s="7" t="n"/>
      <c r="Q54" s="7" t="n"/>
      <c r="R54" s="7" t="n"/>
      <c r="S54" s="8">
        <f>IF(NOT(ISNUMBER(M54)),"",IF(G54="Terreno",IF(AND(ISNUMBER(I54),I54&gt;0),M54/I54,""),IF(AND(ISNUMBER(H54),H54&gt;0),M54/H54,"")))</f>
        <v/>
      </c>
      <c r="T54" s="9">
        <f>IF(AND(ISNUMBER(M54),ISNUMBER(O54)),IF(M54&lt;=O54,"Valor ≤ venal IPTU",""),"")</f>
        <v/>
      </c>
      <c r="U54" s="10">
        <f>IF(AND(ISNUMBER(M54),ISNUMBER(N54)),IF(N54&gt;0,M54/N54,""),"")</f>
        <v/>
      </c>
      <c r="V54" s="10">
        <f>IF(AND(ISNUMBER(M54),ISNUMBER(O54)),IF(O54&gt;0,M54/O54,""),"")</f>
        <v/>
      </c>
      <c r="W54" s="10">
        <f>IF(AND(ISNUMBER(M54),ISNUMBER(R54)),IF(R54&gt;0,M54/R54,""),"")</f>
        <v/>
      </c>
      <c r="X54" s="10">
        <f>IF(AND(ISNUMBER(Q54),ISNUMBER(M54)),IF(M54&gt;0,Q54/M54,""),"")</f>
        <v/>
      </c>
      <c r="Y54" s="11">
        <f>IF(ISNUMBER(Z54),YEAR(Z54),"")</f>
        <v/>
      </c>
      <c r="Z54" s="12" t="n"/>
      <c r="AA54" s="12" t="n"/>
      <c r="AI54" s="12" t="n"/>
      <c r="AJ54" s="13">
        <f>IF(LEN(TRIM(AF54))=0,"",HYPERLINK("https://www.google.com/maps/@?api=1&amp;map_action=pano&amp;viewpoint="&amp;SUBSTITUTE(AF54," ",""),"Abrir Street View"))</f>
        <v/>
      </c>
    </row>
    <row r="55">
      <c r="H55" s="6" t="n"/>
      <c r="I55" s="6" t="n"/>
      <c r="M55" s="7" t="n"/>
      <c r="N55" s="7" t="n"/>
      <c r="O55" s="7" t="n"/>
      <c r="Q55" s="7" t="n"/>
      <c r="R55" s="7" t="n"/>
      <c r="S55" s="8">
        <f>IF(NOT(ISNUMBER(M55)),"",IF(G55="Terreno",IF(AND(ISNUMBER(I55),I55&gt;0),M55/I55,""),IF(AND(ISNUMBER(H55),H55&gt;0),M55/H55,"")))</f>
        <v/>
      </c>
      <c r="T55" s="9">
        <f>IF(AND(ISNUMBER(M55),ISNUMBER(O55)),IF(M55&lt;=O55,"Valor ≤ venal IPTU",""),"")</f>
        <v/>
      </c>
      <c r="U55" s="10">
        <f>IF(AND(ISNUMBER(M55),ISNUMBER(N55)),IF(N55&gt;0,M55/N55,""),"")</f>
        <v/>
      </c>
      <c r="V55" s="10">
        <f>IF(AND(ISNUMBER(M55),ISNUMBER(O55)),IF(O55&gt;0,M55/O55,""),"")</f>
        <v/>
      </c>
      <c r="W55" s="10">
        <f>IF(AND(ISNUMBER(M55),ISNUMBER(R55)),IF(R55&gt;0,M55/R55,""),"")</f>
        <v/>
      </c>
      <c r="X55" s="10">
        <f>IF(AND(ISNUMBER(Q55),ISNUMBER(M55)),IF(M55&gt;0,Q55/M55,""),"")</f>
        <v/>
      </c>
      <c r="Y55" s="11">
        <f>IF(ISNUMBER(Z55),YEAR(Z55),"")</f>
        <v/>
      </c>
      <c r="Z55" s="12" t="n"/>
      <c r="AA55" s="12" t="n"/>
      <c r="AI55" s="12" t="n"/>
      <c r="AJ55" s="13">
        <f>IF(LEN(TRIM(AF55))=0,"",HYPERLINK("https://www.google.com/maps/@?api=1&amp;map_action=pano&amp;viewpoint="&amp;SUBSTITUTE(AF55," ",""),"Abrir Street View"))</f>
        <v/>
      </c>
    </row>
    <row r="56">
      <c r="H56" s="6" t="n"/>
      <c r="I56" s="6" t="n"/>
      <c r="M56" s="7" t="n"/>
      <c r="N56" s="7" t="n"/>
      <c r="O56" s="7" t="n"/>
      <c r="Q56" s="7" t="n"/>
      <c r="R56" s="7" t="n"/>
      <c r="S56" s="8">
        <f>IF(NOT(ISNUMBER(M56)),"",IF(G56="Terreno",IF(AND(ISNUMBER(I56),I56&gt;0),M56/I56,""),IF(AND(ISNUMBER(H56),H56&gt;0),M56/H56,"")))</f>
        <v/>
      </c>
      <c r="T56" s="9">
        <f>IF(AND(ISNUMBER(M56),ISNUMBER(O56)),IF(M56&lt;=O56,"Valor ≤ venal IPTU",""),"")</f>
        <v/>
      </c>
      <c r="U56" s="10">
        <f>IF(AND(ISNUMBER(M56),ISNUMBER(N56)),IF(N56&gt;0,M56/N56,""),"")</f>
        <v/>
      </c>
      <c r="V56" s="10">
        <f>IF(AND(ISNUMBER(M56),ISNUMBER(O56)),IF(O56&gt;0,M56/O56,""),"")</f>
        <v/>
      </c>
      <c r="W56" s="10">
        <f>IF(AND(ISNUMBER(M56),ISNUMBER(R56)),IF(R56&gt;0,M56/R56,""),"")</f>
        <v/>
      </c>
      <c r="X56" s="10">
        <f>IF(AND(ISNUMBER(Q56),ISNUMBER(M56)),IF(M56&gt;0,Q56/M56,""),"")</f>
        <v/>
      </c>
      <c r="Y56" s="11">
        <f>IF(ISNUMBER(Z56),YEAR(Z56),"")</f>
        <v/>
      </c>
      <c r="Z56" s="12" t="n"/>
      <c r="AA56" s="12" t="n"/>
      <c r="AI56" s="12" t="n"/>
      <c r="AJ56" s="13">
        <f>IF(LEN(TRIM(AF56))=0,"",HYPERLINK("https://www.google.com/maps/@?api=1&amp;map_action=pano&amp;viewpoint="&amp;SUBSTITUTE(AF56," ",""),"Abrir Street View"))</f>
        <v/>
      </c>
    </row>
    <row r="57">
      <c r="H57" s="6" t="n"/>
      <c r="I57" s="6" t="n"/>
      <c r="M57" s="7" t="n"/>
      <c r="N57" s="7" t="n"/>
      <c r="O57" s="7" t="n"/>
      <c r="Q57" s="7" t="n"/>
      <c r="R57" s="7" t="n"/>
      <c r="S57" s="8">
        <f>IF(NOT(ISNUMBER(M57)),"",IF(G57="Terreno",IF(AND(ISNUMBER(I57),I57&gt;0),M57/I57,""),IF(AND(ISNUMBER(H57),H57&gt;0),M57/H57,"")))</f>
        <v/>
      </c>
      <c r="T57" s="9">
        <f>IF(AND(ISNUMBER(M57),ISNUMBER(O57)),IF(M57&lt;=O57,"Valor ≤ venal IPTU",""),"")</f>
        <v/>
      </c>
      <c r="U57" s="10">
        <f>IF(AND(ISNUMBER(M57),ISNUMBER(N57)),IF(N57&gt;0,M57/N57,""),"")</f>
        <v/>
      </c>
      <c r="V57" s="10">
        <f>IF(AND(ISNUMBER(M57),ISNUMBER(O57)),IF(O57&gt;0,M57/O57,""),"")</f>
        <v/>
      </c>
      <c r="W57" s="10">
        <f>IF(AND(ISNUMBER(M57),ISNUMBER(R57)),IF(R57&gt;0,M57/R57,""),"")</f>
        <v/>
      </c>
      <c r="X57" s="10">
        <f>IF(AND(ISNUMBER(Q57),ISNUMBER(M57)),IF(M57&gt;0,Q57/M57,""),"")</f>
        <v/>
      </c>
      <c r="Y57" s="11">
        <f>IF(ISNUMBER(Z57),YEAR(Z57),"")</f>
        <v/>
      </c>
      <c r="Z57" s="12" t="n"/>
      <c r="AA57" s="12" t="n"/>
      <c r="AI57" s="12" t="n"/>
      <c r="AJ57" s="13">
        <f>IF(LEN(TRIM(AF57))=0,"",HYPERLINK("https://www.google.com/maps/@?api=1&amp;map_action=pano&amp;viewpoint="&amp;SUBSTITUTE(AF57," ",""),"Abrir Street View"))</f>
        <v/>
      </c>
    </row>
    <row r="58">
      <c r="H58" s="6" t="n"/>
      <c r="I58" s="6" t="n"/>
      <c r="M58" s="7" t="n"/>
      <c r="N58" s="7" t="n"/>
      <c r="O58" s="7" t="n"/>
      <c r="Q58" s="7" t="n"/>
      <c r="R58" s="7" t="n"/>
      <c r="S58" s="8">
        <f>IF(NOT(ISNUMBER(M58)),"",IF(G58="Terreno",IF(AND(ISNUMBER(I58),I58&gt;0),M58/I58,""),IF(AND(ISNUMBER(H58),H58&gt;0),M58/H58,"")))</f>
        <v/>
      </c>
      <c r="T58" s="9">
        <f>IF(AND(ISNUMBER(M58),ISNUMBER(O58)),IF(M58&lt;=O58,"Valor ≤ venal IPTU",""),"")</f>
        <v/>
      </c>
      <c r="U58" s="10">
        <f>IF(AND(ISNUMBER(M58),ISNUMBER(N58)),IF(N58&gt;0,M58/N58,""),"")</f>
        <v/>
      </c>
      <c r="V58" s="10">
        <f>IF(AND(ISNUMBER(M58),ISNUMBER(O58)),IF(O58&gt;0,M58/O58,""),"")</f>
        <v/>
      </c>
      <c r="W58" s="10">
        <f>IF(AND(ISNUMBER(M58),ISNUMBER(R58)),IF(R58&gt;0,M58/R58,""),"")</f>
        <v/>
      </c>
      <c r="X58" s="10">
        <f>IF(AND(ISNUMBER(Q58),ISNUMBER(M58)),IF(M58&gt;0,Q58/M58,""),"")</f>
        <v/>
      </c>
      <c r="Y58" s="11">
        <f>IF(ISNUMBER(Z58),YEAR(Z58),"")</f>
        <v/>
      </c>
      <c r="Z58" s="12" t="n"/>
      <c r="AA58" s="12" t="n"/>
      <c r="AI58" s="12" t="n"/>
      <c r="AJ58" s="13">
        <f>IF(LEN(TRIM(AF58))=0,"",HYPERLINK("https://www.google.com/maps/@?api=1&amp;map_action=pano&amp;viewpoint="&amp;SUBSTITUTE(AF58," ",""),"Abrir Street View"))</f>
        <v/>
      </c>
    </row>
    <row r="59">
      <c r="H59" s="6" t="n"/>
      <c r="I59" s="6" t="n"/>
      <c r="M59" s="7" t="n"/>
      <c r="N59" s="7" t="n"/>
      <c r="O59" s="7" t="n"/>
      <c r="Q59" s="7" t="n"/>
      <c r="R59" s="7" t="n"/>
      <c r="S59" s="8">
        <f>IF(NOT(ISNUMBER(M59)),"",IF(G59="Terreno",IF(AND(ISNUMBER(I59),I59&gt;0),M59/I59,""),IF(AND(ISNUMBER(H59),H59&gt;0),M59/H59,"")))</f>
        <v/>
      </c>
      <c r="T59" s="9">
        <f>IF(AND(ISNUMBER(M59),ISNUMBER(O59)),IF(M59&lt;=O59,"Valor ≤ venal IPTU",""),"")</f>
        <v/>
      </c>
      <c r="U59" s="10">
        <f>IF(AND(ISNUMBER(M59),ISNUMBER(N59)),IF(N59&gt;0,M59/N59,""),"")</f>
        <v/>
      </c>
      <c r="V59" s="10">
        <f>IF(AND(ISNUMBER(M59),ISNUMBER(O59)),IF(O59&gt;0,M59/O59,""),"")</f>
        <v/>
      </c>
      <c r="W59" s="10">
        <f>IF(AND(ISNUMBER(M59),ISNUMBER(R59)),IF(R59&gt;0,M59/R59,""),"")</f>
        <v/>
      </c>
      <c r="X59" s="10">
        <f>IF(AND(ISNUMBER(Q59),ISNUMBER(M59)),IF(M59&gt;0,Q59/M59,""),"")</f>
        <v/>
      </c>
      <c r="Y59" s="11">
        <f>IF(ISNUMBER(Z59),YEAR(Z59),"")</f>
        <v/>
      </c>
      <c r="Z59" s="12" t="n"/>
      <c r="AA59" s="12" t="n"/>
      <c r="AI59" s="12" t="n"/>
      <c r="AJ59" s="13">
        <f>IF(LEN(TRIM(AF59))=0,"",HYPERLINK("https://www.google.com/maps/@?api=1&amp;map_action=pano&amp;viewpoint="&amp;SUBSTITUTE(AF59," ",""),"Abrir Street View"))</f>
        <v/>
      </c>
    </row>
    <row r="60">
      <c r="H60" s="6" t="n"/>
      <c r="I60" s="6" t="n"/>
      <c r="M60" s="7" t="n"/>
      <c r="N60" s="7" t="n"/>
      <c r="O60" s="7" t="n"/>
      <c r="Q60" s="7" t="n"/>
      <c r="R60" s="7" t="n"/>
      <c r="S60" s="8">
        <f>IF(NOT(ISNUMBER(M60)),"",IF(G60="Terreno",IF(AND(ISNUMBER(I60),I60&gt;0),M60/I60,""),IF(AND(ISNUMBER(H60),H60&gt;0),M60/H60,"")))</f>
        <v/>
      </c>
      <c r="T60" s="9">
        <f>IF(AND(ISNUMBER(M60),ISNUMBER(O60)),IF(M60&lt;=O60,"Valor ≤ venal IPTU",""),"")</f>
        <v/>
      </c>
      <c r="U60" s="10">
        <f>IF(AND(ISNUMBER(M60),ISNUMBER(N60)),IF(N60&gt;0,M60/N60,""),"")</f>
        <v/>
      </c>
      <c r="V60" s="10">
        <f>IF(AND(ISNUMBER(M60),ISNUMBER(O60)),IF(O60&gt;0,M60/O60,""),"")</f>
        <v/>
      </c>
      <c r="W60" s="10">
        <f>IF(AND(ISNUMBER(M60),ISNUMBER(R60)),IF(R60&gt;0,M60/R60,""),"")</f>
        <v/>
      </c>
      <c r="X60" s="10">
        <f>IF(AND(ISNUMBER(Q60),ISNUMBER(M60)),IF(M60&gt;0,Q60/M60,""),"")</f>
        <v/>
      </c>
      <c r="Y60" s="11">
        <f>IF(ISNUMBER(Z60),YEAR(Z60),"")</f>
        <v/>
      </c>
      <c r="Z60" s="12" t="n"/>
      <c r="AA60" s="12" t="n"/>
      <c r="AI60" s="12" t="n"/>
      <c r="AJ60" s="13">
        <f>IF(LEN(TRIM(AF60))=0,"",HYPERLINK("https://www.google.com/maps/@?api=1&amp;map_action=pano&amp;viewpoint="&amp;SUBSTITUTE(AF60," ",""),"Abrir Street View"))</f>
        <v/>
      </c>
    </row>
    <row r="61">
      <c r="H61" s="6" t="n"/>
      <c r="I61" s="6" t="n"/>
      <c r="M61" s="7" t="n"/>
      <c r="N61" s="7" t="n"/>
      <c r="O61" s="7" t="n"/>
      <c r="Q61" s="7" t="n"/>
      <c r="R61" s="7" t="n"/>
      <c r="S61" s="8">
        <f>IF(NOT(ISNUMBER(M61)),"",IF(G61="Terreno",IF(AND(ISNUMBER(I61),I61&gt;0),M61/I61,""),IF(AND(ISNUMBER(H61),H61&gt;0),M61/H61,"")))</f>
        <v/>
      </c>
      <c r="T61" s="9">
        <f>IF(AND(ISNUMBER(M61),ISNUMBER(O61)),IF(M61&lt;=O61,"Valor ≤ venal IPTU",""),"")</f>
        <v/>
      </c>
      <c r="U61" s="10">
        <f>IF(AND(ISNUMBER(M61),ISNUMBER(N61)),IF(N61&gt;0,M61/N61,""),"")</f>
        <v/>
      </c>
      <c r="V61" s="10">
        <f>IF(AND(ISNUMBER(M61),ISNUMBER(O61)),IF(O61&gt;0,M61/O61,""),"")</f>
        <v/>
      </c>
      <c r="W61" s="10">
        <f>IF(AND(ISNUMBER(M61),ISNUMBER(R61)),IF(R61&gt;0,M61/R61,""),"")</f>
        <v/>
      </c>
      <c r="X61" s="10">
        <f>IF(AND(ISNUMBER(Q61),ISNUMBER(M61)),IF(M61&gt;0,Q61/M61,""),"")</f>
        <v/>
      </c>
      <c r="Y61" s="11">
        <f>IF(ISNUMBER(Z61),YEAR(Z61),"")</f>
        <v/>
      </c>
      <c r="Z61" s="12" t="n"/>
      <c r="AA61" s="12" t="n"/>
      <c r="AI61" s="12" t="n"/>
      <c r="AJ61" s="13">
        <f>IF(LEN(TRIM(AF61))=0,"",HYPERLINK("https://www.google.com/maps/@?api=1&amp;map_action=pano&amp;viewpoint="&amp;SUBSTITUTE(AF61," ",""),"Abrir Street View"))</f>
        <v/>
      </c>
    </row>
    <row r="62">
      <c r="H62" s="6" t="n"/>
      <c r="I62" s="6" t="n"/>
      <c r="M62" s="7" t="n"/>
      <c r="N62" s="7" t="n"/>
      <c r="O62" s="7" t="n"/>
      <c r="Q62" s="7" t="n"/>
      <c r="R62" s="7" t="n"/>
      <c r="S62" s="8">
        <f>IF(NOT(ISNUMBER(M62)),"",IF(G62="Terreno",IF(AND(ISNUMBER(I62),I62&gt;0),M62/I62,""),IF(AND(ISNUMBER(H62),H62&gt;0),M62/H62,"")))</f>
        <v/>
      </c>
      <c r="T62" s="9">
        <f>IF(AND(ISNUMBER(M62),ISNUMBER(O62)),IF(M62&lt;=O62,"Valor ≤ venal IPTU",""),"")</f>
        <v/>
      </c>
      <c r="U62" s="10">
        <f>IF(AND(ISNUMBER(M62),ISNUMBER(N62)),IF(N62&gt;0,M62/N62,""),"")</f>
        <v/>
      </c>
      <c r="V62" s="10">
        <f>IF(AND(ISNUMBER(M62),ISNUMBER(O62)),IF(O62&gt;0,M62/O62,""),"")</f>
        <v/>
      </c>
      <c r="W62" s="10">
        <f>IF(AND(ISNUMBER(M62),ISNUMBER(R62)),IF(R62&gt;0,M62/R62,""),"")</f>
        <v/>
      </c>
      <c r="X62" s="10">
        <f>IF(AND(ISNUMBER(Q62),ISNUMBER(M62)),IF(M62&gt;0,Q62/M62,""),"")</f>
        <v/>
      </c>
      <c r="Y62" s="11">
        <f>IF(ISNUMBER(Z62),YEAR(Z62),"")</f>
        <v/>
      </c>
      <c r="Z62" s="12" t="n"/>
      <c r="AA62" s="12" t="n"/>
      <c r="AI62" s="12" t="n"/>
      <c r="AJ62" s="13">
        <f>IF(LEN(TRIM(AF62))=0,"",HYPERLINK("https://www.google.com/maps/@?api=1&amp;map_action=pano&amp;viewpoint="&amp;SUBSTITUTE(AF62," ",""),"Abrir Street View"))</f>
        <v/>
      </c>
    </row>
    <row r="63">
      <c r="H63" s="6" t="n"/>
      <c r="I63" s="6" t="n"/>
      <c r="M63" s="7" t="n"/>
      <c r="N63" s="7" t="n"/>
      <c r="O63" s="7" t="n"/>
      <c r="Q63" s="7" t="n"/>
      <c r="R63" s="7" t="n"/>
      <c r="S63" s="8">
        <f>IF(NOT(ISNUMBER(M63)),"",IF(G63="Terreno",IF(AND(ISNUMBER(I63),I63&gt;0),M63/I63,""),IF(AND(ISNUMBER(H63),H63&gt;0),M63/H63,"")))</f>
        <v/>
      </c>
      <c r="T63" s="9">
        <f>IF(AND(ISNUMBER(M63),ISNUMBER(O63)),IF(M63&lt;=O63,"Valor ≤ venal IPTU",""),"")</f>
        <v/>
      </c>
      <c r="U63" s="10">
        <f>IF(AND(ISNUMBER(M63),ISNUMBER(N63)),IF(N63&gt;0,M63/N63,""),"")</f>
        <v/>
      </c>
      <c r="V63" s="10">
        <f>IF(AND(ISNUMBER(M63),ISNUMBER(O63)),IF(O63&gt;0,M63/O63,""),"")</f>
        <v/>
      </c>
      <c r="W63" s="10">
        <f>IF(AND(ISNUMBER(M63),ISNUMBER(R63)),IF(R63&gt;0,M63/R63,""),"")</f>
        <v/>
      </c>
      <c r="X63" s="10">
        <f>IF(AND(ISNUMBER(Q63),ISNUMBER(M63)),IF(M63&gt;0,Q63/M63,""),"")</f>
        <v/>
      </c>
      <c r="Y63" s="11">
        <f>IF(ISNUMBER(Z63),YEAR(Z63),"")</f>
        <v/>
      </c>
      <c r="Z63" s="12" t="n"/>
      <c r="AA63" s="12" t="n"/>
      <c r="AI63" s="12" t="n"/>
      <c r="AJ63" s="13">
        <f>IF(LEN(TRIM(AF63))=0,"",HYPERLINK("https://www.google.com/maps/@?api=1&amp;map_action=pano&amp;viewpoint="&amp;SUBSTITUTE(AF63," ",""),"Abrir Street View"))</f>
        <v/>
      </c>
    </row>
    <row r="64">
      <c r="H64" s="6" t="n"/>
      <c r="I64" s="6" t="n"/>
      <c r="M64" s="7" t="n"/>
      <c r="N64" s="7" t="n"/>
      <c r="O64" s="7" t="n"/>
      <c r="Q64" s="7" t="n"/>
      <c r="R64" s="7" t="n"/>
      <c r="S64" s="8">
        <f>IF(NOT(ISNUMBER(M64)),"",IF(G64="Terreno",IF(AND(ISNUMBER(I64),I64&gt;0),M64/I64,""),IF(AND(ISNUMBER(H64),H64&gt;0),M64/H64,"")))</f>
        <v/>
      </c>
      <c r="T64" s="9">
        <f>IF(AND(ISNUMBER(M64),ISNUMBER(O64)),IF(M64&lt;=O64,"Valor ≤ venal IPTU",""),"")</f>
        <v/>
      </c>
      <c r="U64" s="10">
        <f>IF(AND(ISNUMBER(M64),ISNUMBER(N64)),IF(N64&gt;0,M64/N64,""),"")</f>
        <v/>
      </c>
      <c r="V64" s="10">
        <f>IF(AND(ISNUMBER(M64),ISNUMBER(O64)),IF(O64&gt;0,M64/O64,""),"")</f>
        <v/>
      </c>
      <c r="W64" s="10">
        <f>IF(AND(ISNUMBER(M64),ISNUMBER(R64)),IF(R64&gt;0,M64/R64,""),"")</f>
        <v/>
      </c>
      <c r="X64" s="10">
        <f>IF(AND(ISNUMBER(Q64),ISNUMBER(M64)),IF(M64&gt;0,Q64/M64,""),"")</f>
        <v/>
      </c>
      <c r="Y64" s="11">
        <f>IF(ISNUMBER(Z64),YEAR(Z64),"")</f>
        <v/>
      </c>
      <c r="Z64" s="12" t="n"/>
      <c r="AA64" s="12" t="n"/>
      <c r="AI64" s="12" t="n"/>
      <c r="AJ64" s="13">
        <f>IF(LEN(TRIM(AF64))=0,"",HYPERLINK("https://www.google.com/maps/@?api=1&amp;map_action=pano&amp;viewpoint="&amp;SUBSTITUTE(AF64," ",""),"Abrir Street View"))</f>
        <v/>
      </c>
    </row>
    <row r="65">
      <c r="H65" s="6" t="n"/>
      <c r="I65" s="6" t="n"/>
      <c r="M65" s="7" t="n"/>
      <c r="N65" s="7" t="n"/>
      <c r="O65" s="7" t="n"/>
      <c r="Q65" s="7" t="n"/>
      <c r="R65" s="7" t="n"/>
      <c r="S65" s="8">
        <f>IF(NOT(ISNUMBER(M65)),"",IF(G65="Terreno",IF(AND(ISNUMBER(I65),I65&gt;0),M65/I65,""),IF(AND(ISNUMBER(H65),H65&gt;0),M65/H65,"")))</f>
        <v/>
      </c>
      <c r="T65" s="9">
        <f>IF(AND(ISNUMBER(M65),ISNUMBER(O65)),IF(M65&lt;=O65,"Valor ≤ venal IPTU",""),"")</f>
        <v/>
      </c>
      <c r="U65" s="10">
        <f>IF(AND(ISNUMBER(M65),ISNUMBER(N65)),IF(N65&gt;0,M65/N65,""),"")</f>
        <v/>
      </c>
      <c r="V65" s="10">
        <f>IF(AND(ISNUMBER(M65),ISNUMBER(O65)),IF(O65&gt;0,M65/O65,""),"")</f>
        <v/>
      </c>
      <c r="W65" s="10">
        <f>IF(AND(ISNUMBER(M65),ISNUMBER(R65)),IF(R65&gt;0,M65/R65,""),"")</f>
        <v/>
      </c>
      <c r="X65" s="10">
        <f>IF(AND(ISNUMBER(Q65),ISNUMBER(M65)),IF(M65&gt;0,Q65/M65,""),"")</f>
        <v/>
      </c>
      <c r="Y65" s="11">
        <f>IF(ISNUMBER(Z65),YEAR(Z65),"")</f>
        <v/>
      </c>
      <c r="Z65" s="12" t="n"/>
      <c r="AA65" s="12" t="n"/>
      <c r="AI65" s="12" t="n"/>
      <c r="AJ65" s="13">
        <f>IF(LEN(TRIM(AF65))=0,"",HYPERLINK("https://www.google.com/maps/@?api=1&amp;map_action=pano&amp;viewpoint="&amp;SUBSTITUTE(AF65," ",""),"Abrir Street View"))</f>
        <v/>
      </c>
    </row>
    <row r="66">
      <c r="H66" s="6" t="n"/>
      <c r="I66" s="6" t="n"/>
      <c r="M66" s="7" t="n"/>
      <c r="N66" s="7" t="n"/>
      <c r="O66" s="7" t="n"/>
      <c r="Q66" s="7" t="n"/>
      <c r="R66" s="7" t="n"/>
      <c r="S66" s="8">
        <f>IF(NOT(ISNUMBER(M66)),"",IF(G66="Terreno",IF(AND(ISNUMBER(I66),I66&gt;0),M66/I66,""),IF(AND(ISNUMBER(H66),H66&gt;0),M66/H66,"")))</f>
        <v/>
      </c>
      <c r="T66" s="9">
        <f>IF(AND(ISNUMBER(M66),ISNUMBER(O66)),IF(M66&lt;=O66,"Valor ≤ venal IPTU",""),"")</f>
        <v/>
      </c>
      <c r="U66" s="10">
        <f>IF(AND(ISNUMBER(M66),ISNUMBER(N66)),IF(N66&gt;0,M66/N66,""),"")</f>
        <v/>
      </c>
      <c r="V66" s="10">
        <f>IF(AND(ISNUMBER(M66),ISNUMBER(O66)),IF(O66&gt;0,M66/O66,""),"")</f>
        <v/>
      </c>
      <c r="W66" s="10">
        <f>IF(AND(ISNUMBER(M66),ISNUMBER(R66)),IF(R66&gt;0,M66/R66,""),"")</f>
        <v/>
      </c>
      <c r="X66" s="10">
        <f>IF(AND(ISNUMBER(Q66),ISNUMBER(M66)),IF(M66&gt;0,Q66/M66,""),"")</f>
        <v/>
      </c>
      <c r="Y66" s="11">
        <f>IF(ISNUMBER(Z66),YEAR(Z66),"")</f>
        <v/>
      </c>
      <c r="Z66" s="12" t="n"/>
      <c r="AA66" s="12" t="n"/>
      <c r="AI66" s="12" t="n"/>
      <c r="AJ66" s="13">
        <f>IF(LEN(TRIM(AF66))=0,"",HYPERLINK("https://www.google.com/maps/@?api=1&amp;map_action=pano&amp;viewpoint="&amp;SUBSTITUTE(AF66," ",""),"Abrir Street View"))</f>
        <v/>
      </c>
    </row>
    <row r="67">
      <c r="H67" s="6" t="n"/>
      <c r="I67" s="6" t="n"/>
      <c r="M67" s="7" t="n"/>
      <c r="N67" s="7" t="n"/>
      <c r="O67" s="7" t="n"/>
      <c r="Q67" s="7" t="n"/>
      <c r="R67" s="7" t="n"/>
      <c r="S67" s="8">
        <f>IF(NOT(ISNUMBER(M67)),"",IF(G67="Terreno",IF(AND(ISNUMBER(I67),I67&gt;0),M67/I67,""),IF(AND(ISNUMBER(H67),H67&gt;0),M67/H67,"")))</f>
        <v/>
      </c>
      <c r="T67" s="9">
        <f>IF(AND(ISNUMBER(M67),ISNUMBER(O67)),IF(M67&lt;=O67,"Valor ≤ venal IPTU",""),"")</f>
        <v/>
      </c>
      <c r="U67" s="10">
        <f>IF(AND(ISNUMBER(M67),ISNUMBER(N67)),IF(N67&gt;0,M67/N67,""),"")</f>
        <v/>
      </c>
      <c r="V67" s="10">
        <f>IF(AND(ISNUMBER(M67),ISNUMBER(O67)),IF(O67&gt;0,M67/O67,""),"")</f>
        <v/>
      </c>
      <c r="W67" s="10">
        <f>IF(AND(ISNUMBER(M67),ISNUMBER(R67)),IF(R67&gt;0,M67/R67,""),"")</f>
        <v/>
      </c>
      <c r="X67" s="10">
        <f>IF(AND(ISNUMBER(Q67),ISNUMBER(M67)),IF(M67&gt;0,Q67/M67,""),"")</f>
        <v/>
      </c>
      <c r="Y67" s="11">
        <f>IF(ISNUMBER(Z67),YEAR(Z67),"")</f>
        <v/>
      </c>
      <c r="Z67" s="12" t="n"/>
      <c r="AA67" s="12" t="n"/>
      <c r="AI67" s="12" t="n"/>
      <c r="AJ67" s="13">
        <f>IF(LEN(TRIM(AF67))=0,"",HYPERLINK("https://www.google.com/maps/@?api=1&amp;map_action=pano&amp;viewpoint="&amp;SUBSTITUTE(AF67," ",""),"Abrir Street View"))</f>
        <v/>
      </c>
    </row>
    <row r="68">
      <c r="H68" s="6" t="n"/>
      <c r="I68" s="6" t="n"/>
      <c r="M68" s="7" t="n"/>
      <c r="N68" s="7" t="n"/>
      <c r="O68" s="7" t="n"/>
      <c r="Q68" s="7" t="n"/>
      <c r="R68" s="7" t="n"/>
      <c r="S68" s="8">
        <f>IF(NOT(ISNUMBER(M68)),"",IF(G68="Terreno",IF(AND(ISNUMBER(I68),I68&gt;0),M68/I68,""),IF(AND(ISNUMBER(H68),H68&gt;0),M68/H68,"")))</f>
        <v/>
      </c>
      <c r="T68" s="9">
        <f>IF(AND(ISNUMBER(M68),ISNUMBER(O68)),IF(M68&lt;=O68,"Valor ≤ venal IPTU",""),"")</f>
        <v/>
      </c>
      <c r="U68" s="10">
        <f>IF(AND(ISNUMBER(M68),ISNUMBER(N68)),IF(N68&gt;0,M68/N68,""),"")</f>
        <v/>
      </c>
      <c r="V68" s="10">
        <f>IF(AND(ISNUMBER(M68),ISNUMBER(O68)),IF(O68&gt;0,M68/O68,""),"")</f>
        <v/>
      </c>
      <c r="W68" s="10">
        <f>IF(AND(ISNUMBER(M68),ISNUMBER(R68)),IF(R68&gt;0,M68/R68,""),"")</f>
        <v/>
      </c>
      <c r="X68" s="10">
        <f>IF(AND(ISNUMBER(Q68),ISNUMBER(M68)),IF(M68&gt;0,Q68/M68,""),"")</f>
        <v/>
      </c>
      <c r="Y68" s="11">
        <f>IF(ISNUMBER(Z68),YEAR(Z68),"")</f>
        <v/>
      </c>
      <c r="Z68" s="12" t="n"/>
      <c r="AA68" s="12" t="n"/>
      <c r="AI68" s="12" t="n"/>
      <c r="AJ68" s="13">
        <f>IF(LEN(TRIM(AF68))=0,"",HYPERLINK("https://www.google.com/maps/@?api=1&amp;map_action=pano&amp;viewpoint="&amp;SUBSTITUTE(AF68," ",""),"Abrir Street View"))</f>
        <v/>
      </c>
    </row>
    <row r="69">
      <c r="H69" s="6" t="n"/>
      <c r="I69" s="6" t="n"/>
      <c r="M69" s="7" t="n"/>
      <c r="N69" s="7" t="n"/>
      <c r="O69" s="7" t="n"/>
      <c r="Q69" s="7" t="n"/>
      <c r="R69" s="7" t="n"/>
      <c r="S69" s="8">
        <f>IF(NOT(ISNUMBER(M69)),"",IF(G69="Terreno",IF(AND(ISNUMBER(I69),I69&gt;0),M69/I69,""),IF(AND(ISNUMBER(H69),H69&gt;0),M69/H69,"")))</f>
        <v/>
      </c>
      <c r="T69" s="9">
        <f>IF(AND(ISNUMBER(M69),ISNUMBER(O69)),IF(M69&lt;=O69,"Valor ≤ venal IPTU",""),"")</f>
        <v/>
      </c>
      <c r="U69" s="10">
        <f>IF(AND(ISNUMBER(M69),ISNUMBER(N69)),IF(N69&gt;0,M69/N69,""),"")</f>
        <v/>
      </c>
      <c r="V69" s="10">
        <f>IF(AND(ISNUMBER(M69),ISNUMBER(O69)),IF(O69&gt;0,M69/O69,""),"")</f>
        <v/>
      </c>
      <c r="W69" s="10">
        <f>IF(AND(ISNUMBER(M69),ISNUMBER(R69)),IF(R69&gt;0,M69/R69,""),"")</f>
        <v/>
      </c>
      <c r="X69" s="10">
        <f>IF(AND(ISNUMBER(Q69),ISNUMBER(M69)),IF(M69&gt;0,Q69/M69,""),"")</f>
        <v/>
      </c>
      <c r="Y69" s="11">
        <f>IF(ISNUMBER(Z69),YEAR(Z69),"")</f>
        <v/>
      </c>
      <c r="Z69" s="12" t="n"/>
      <c r="AA69" s="12" t="n"/>
      <c r="AI69" s="12" t="n"/>
      <c r="AJ69" s="13">
        <f>IF(LEN(TRIM(AF69))=0,"",HYPERLINK("https://www.google.com/maps/@?api=1&amp;map_action=pano&amp;viewpoint="&amp;SUBSTITUTE(AF69," ",""),"Abrir Street View"))</f>
        <v/>
      </c>
    </row>
    <row r="70">
      <c r="H70" s="6" t="n"/>
      <c r="I70" s="6" t="n"/>
      <c r="M70" s="7" t="n"/>
      <c r="N70" s="7" t="n"/>
      <c r="O70" s="7" t="n"/>
      <c r="Q70" s="7" t="n"/>
      <c r="R70" s="7" t="n"/>
      <c r="S70" s="8">
        <f>IF(NOT(ISNUMBER(M70)),"",IF(G70="Terreno",IF(AND(ISNUMBER(I70),I70&gt;0),M70/I70,""),IF(AND(ISNUMBER(H70),H70&gt;0),M70/H70,"")))</f>
        <v/>
      </c>
      <c r="T70" s="9">
        <f>IF(AND(ISNUMBER(M70),ISNUMBER(O70)),IF(M70&lt;=O70,"Valor ≤ venal IPTU",""),"")</f>
        <v/>
      </c>
      <c r="U70" s="10">
        <f>IF(AND(ISNUMBER(M70),ISNUMBER(N70)),IF(N70&gt;0,M70/N70,""),"")</f>
        <v/>
      </c>
      <c r="V70" s="10">
        <f>IF(AND(ISNUMBER(M70),ISNUMBER(O70)),IF(O70&gt;0,M70/O70,""),"")</f>
        <v/>
      </c>
      <c r="W70" s="10">
        <f>IF(AND(ISNUMBER(M70),ISNUMBER(R70)),IF(R70&gt;0,M70/R70,""),"")</f>
        <v/>
      </c>
      <c r="X70" s="10">
        <f>IF(AND(ISNUMBER(Q70),ISNUMBER(M70)),IF(M70&gt;0,Q70/M70,""),"")</f>
        <v/>
      </c>
      <c r="Y70" s="11">
        <f>IF(ISNUMBER(Z70),YEAR(Z70),"")</f>
        <v/>
      </c>
      <c r="Z70" s="12" t="n"/>
      <c r="AA70" s="12" t="n"/>
      <c r="AI70" s="12" t="n"/>
      <c r="AJ70" s="13">
        <f>IF(LEN(TRIM(AF70))=0,"",HYPERLINK("https://www.google.com/maps/@?api=1&amp;map_action=pano&amp;viewpoint="&amp;SUBSTITUTE(AF70," ",""),"Abrir Street View"))</f>
        <v/>
      </c>
    </row>
    <row r="71">
      <c r="H71" s="6" t="n"/>
      <c r="I71" s="6" t="n"/>
      <c r="M71" s="7" t="n"/>
      <c r="N71" s="7" t="n"/>
      <c r="O71" s="7" t="n"/>
      <c r="Q71" s="7" t="n"/>
      <c r="R71" s="7" t="n"/>
      <c r="S71" s="8">
        <f>IF(NOT(ISNUMBER(M71)),"",IF(G71="Terreno",IF(AND(ISNUMBER(I71),I71&gt;0),M71/I71,""),IF(AND(ISNUMBER(H71),H71&gt;0),M71/H71,"")))</f>
        <v/>
      </c>
      <c r="T71" s="9">
        <f>IF(AND(ISNUMBER(M71),ISNUMBER(O71)),IF(M71&lt;=O71,"Valor ≤ venal IPTU",""),"")</f>
        <v/>
      </c>
      <c r="U71" s="10">
        <f>IF(AND(ISNUMBER(M71),ISNUMBER(N71)),IF(N71&gt;0,M71/N71,""),"")</f>
        <v/>
      </c>
      <c r="V71" s="10">
        <f>IF(AND(ISNUMBER(M71),ISNUMBER(O71)),IF(O71&gt;0,M71/O71,""),"")</f>
        <v/>
      </c>
      <c r="W71" s="10">
        <f>IF(AND(ISNUMBER(M71),ISNUMBER(R71)),IF(R71&gt;0,M71/R71,""),"")</f>
        <v/>
      </c>
      <c r="X71" s="10">
        <f>IF(AND(ISNUMBER(Q71),ISNUMBER(M71)),IF(M71&gt;0,Q71/M71,""),"")</f>
        <v/>
      </c>
      <c r="Y71" s="11">
        <f>IF(ISNUMBER(Z71),YEAR(Z71),"")</f>
        <v/>
      </c>
      <c r="Z71" s="12" t="n"/>
      <c r="AA71" s="12" t="n"/>
      <c r="AI71" s="12" t="n"/>
      <c r="AJ71" s="13">
        <f>IF(LEN(TRIM(AF71))=0,"",HYPERLINK("https://www.google.com/maps/@?api=1&amp;map_action=pano&amp;viewpoint="&amp;SUBSTITUTE(AF71," ",""),"Abrir Street View"))</f>
        <v/>
      </c>
    </row>
    <row r="72">
      <c r="H72" s="6" t="n"/>
      <c r="I72" s="6" t="n"/>
      <c r="M72" s="7" t="n"/>
      <c r="N72" s="7" t="n"/>
      <c r="O72" s="7" t="n"/>
      <c r="Q72" s="7" t="n"/>
      <c r="R72" s="7" t="n"/>
      <c r="S72" s="8">
        <f>IF(NOT(ISNUMBER(M72)),"",IF(G72="Terreno",IF(AND(ISNUMBER(I72),I72&gt;0),M72/I72,""),IF(AND(ISNUMBER(H72),H72&gt;0),M72/H72,"")))</f>
        <v/>
      </c>
      <c r="T72" s="9">
        <f>IF(AND(ISNUMBER(M72),ISNUMBER(O72)),IF(M72&lt;=O72,"Valor ≤ venal IPTU",""),"")</f>
        <v/>
      </c>
      <c r="U72" s="10">
        <f>IF(AND(ISNUMBER(M72),ISNUMBER(N72)),IF(N72&gt;0,M72/N72,""),"")</f>
        <v/>
      </c>
      <c r="V72" s="10">
        <f>IF(AND(ISNUMBER(M72),ISNUMBER(O72)),IF(O72&gt;0,M72/O72,""),"")</f>
        <v/>
      </c>
      <c r="W72" s="10">
        <f>IF(AND(ISNUMBER(M72),ISNUMBER(R72)),IF(R72&gt;0,M72/R72,""),"")</f>
        <v/>
      </c>
      <c r="X72" s="10">
        <f>IF(AND(ISNUMBER(Q72),ISNUMBER(M72)),IF(M72&gt;0,Q72/M72,""),"")</f>
        <v/>
      </c>
      <c r="Y72" s="11">
        <f>IF(ISNUMBER(Z72),YEAR(Z72),"")</f>
        <v/>
      </c>
      <c r="Z72" s="12" t="n"/>
      <c r="AA72" s="12" t="n"/>
      <c r="AI72" s="12" t="n"/>
      <c r="AJ72" s="13">
        <f>IF(LEN(TRIM(AF72))=0,"",HYPERLINK("https://www.google.com/maps/@?api=1&amp;map_action=pano&amp;viewpoint="&amp;SUBSTITUTE(AF72," ",""),"Abrir Street View"))</f>
        <v/>
      </c>
    </row>
    <row r="73">
      <c r="H73" s="6" t="n"/>
      <c r="I73" s="6" t="n"/>
      <c r="M73" s="7" t="n"/>
      <c r="N73" s="7" t="n"/>
      <c r="O73" s="7" t="n"/>
      <c r="Q73" s="7" t="n"/>
      <c r="R73" s="7" t="n"/>
      <c r="S73" s="8">
        <f>IF(NOT(ISNUMBER(M73)),"",IF(G73="Terreno",IF(AND(ISNUMBER(I73),I73&gt;0),M73/I73,""),IF(AND(ISNUMBER(H73),H73&gt;0),M73/H73,"")))</f>
        <v/>
      </c>
      <c r="T73" s="9">
        <f>IF(AND(ISNUMBER(M73),ISNUMBER(O73)),IF(M73&lt;=O73,"Valor ≤ venal IPTU",""),"")</f>
        <v/>
      </c>
      <c r="U73" s="10">
        <f>IF(AND(ISNUMBER(M73),ISNUMBER(N73)),IF(N73&gt;0,M73/N73,""),"")</f>
        <v/>
      </c>
      <c r="V73" s="10">
        <f>IF(AND(ISNUMBER(M73),ISNUMBER(O73)),IF(O73&gt;0,M73/O73,""),"")</f>
        <v/>
      </c>
      <c r="W73" s="10">
        <f>IF(AND(ISNUMBER(M73),ISNUMBER(R73)),IF(R73&gt;0,M73/R73,""),"")</f>
        <v/>
      </c>
      <c r="X73" s="10">
        <f>IF(AND(ISNUMBER(Q73),ISNUMBER(M73)),IF(M73&gt;0,Q73/M73,""),"")</f>
        <v/>
      </c>
      <c r="Y73" s="11">
        <f>IF(ISNUMBER(Z73),YEAR(Z73),"")</f>
        <v/>
      </c>
      <c r="Z73" s="12" t="n"/>
      <c r="AA73" s="12" t="n"/>
      <c r="AI73" s="12" t="n"/>
      <c r="AJ73" s="13">
        <f>IF(LEN(TRIM(AF73))=0,"",HYPERLINK("https://www.google.com/maps/@?api=1&amp;map_action=pano&amp;viewpoint="&amp;SUBSTITUTE(AF73," ",""),"Abrir Street View"))</f>
        <v/>
      </c>
    </row>
    <row r="74">
      <c r="H74" s="6" t="n"/>
      <c r="I74" s="6" t="n"/>
      <c r="M74" s="7" t="n"/>
      <c r="N74" s="7" t="n"/>
      <c r="O74" s="7" t="n"/>
      <c r="Q74" s="7" t="n"/>
      <c r="R74" s="7" t="n"/>
      <c r="S74" s="8">
        <f>IF(NOT(ISNUMBER(M74)),"",IF(G74="Terreno",IF(AND(ISNUMBER(I74),I74&gt;0),M74/I74,""),IF(AND(ISNUMBER(H74),H74&gt;0),M74/H74,"")))</f>
        <v/>
      </c>
      <c r="T74" s="9">
        <f>IF(AND(ISNUMBER(M74),ISNUMBER(O74)),IF(M74&lt;=O74,"Valor ≤ venal IPTU",""),"")</f>
        <v/>
      </c>
      <c r="U74" s="10">
        <f>IF(AND(ISNUMBER(M74),ISNUMBER(N74)),IF(N74&gt;0,M74/N74,""),"")</f>
        <v/>
      </c>
      <c r="V74" s="10">
        <f>IF(AND(ISNUMBER(M74),ISNUMBER(O74)),IF(O74&gt;0,M74/O74,""),"")</f>
        <v/>
      </c>
      <c r="W74" s="10">
        <f>IF(AND(ISNUMBER(M74),ISNUMBER(R74)),IF(R74&gt;0,M74/R74,""),"")</f>
        <v/>
      </c>
      <c r="X74" s="10">
        <f>IF(AND(ISNUMBER(Q74),ISNUMBER(M74)),IF(M74&gt;0,Q74/M74,""),"")</f>
        <v/>
      </c>
      <c r="Y74" s="11">
        <f>IF(ISNUMBER(Z74),YEAR(Z74),"")</f>
        <v/>
      </c>
      <c r="Z74" s="12" t="n"/>
      <c r="AA74" s="12" t="n"/>
      <c r="AI74" s="12" t="n"/>
      <c r="AJ74" s="13">
        <f>IF(LEN(TRIM(AF74))=0,"",HYPERLINK("https://www.google.com/maps/@?api=1&amp;map_action=pano&amp;viewpoint="&amp;SUBSTITUTE(AF74," ",""),"Abrir Street View"))</f>
        <v/>
      </c>
    </row>
    <row r="75">
      <c r="H75" s="6" t="n"/>
      <c r="I75" s="6" t="n"/>
      <c r="M75" s="7" t="n"/>
      <c r="N75" s="7" t="n"/>
      <c r="O75" s="7" t="n"/>
      <c r="Q75" s="7" t="n"/>
      <c r="R75" s="7" t="n"/>
      <c r="S75" s="8">
        <f>IF(NOT(ISNUMBER(M75)),"",IF(G75="Terreno",IF(AND(ISNUMBER(I75),I75&gt;0),M75/I75,""),IF(AND(ISNUMBER(H75),H75&gt;0),M75/H75,"")))</f>
        <v/>
      </c>
      <c r="T75" s="9">
        <f>IF(AND(ISNUMBER(M75),ISNUMBER(O75)),IF(M75&lt;=O75,"Valor ≤ venal IPTU",""),"")</f>
        <v/>
      </c>
      <c r="U75" s="10">
        <f>IF(AND(ISNUMBER(M75),ISNUMBER(N75)),IF(N75&gt;0,M75/N75,""),"")</f>
        <v/>
      </c>
      <c r="V75" s="10">
        <f>IF(AND(ISNUMBER(M75),ISNUMBER(O75)),IF(O75&gt;0,M75/O75,""),"")</f>
        <v/>
      </c>
      <c r="W75" s="10">
        <f>IF(AND(ISNUMBER(M75),ISNUMBER(R75)),IF(R75&gt;0,M75/R75,""),"")</f>
        <v/>
      </c>
      <c r="X75" s="10">
        <f>IF(AND(ISNUMBER(Q75),ISNUMBER(M75)),IF(M75&gt;0,Q75/M75,""),"")</f>
        <v/>
      </c>
      <c r="Y75" s="11">
        <f>IF(ISNUMBER(Z75),YEAR(Z75),"")</f>
        <v/>
      </c>
      <c r="Z75" s="12" t="n"/>
      <c r="AA75" s="12" t="n"/>
      <c r="AI75" s="12" t="n"/>
      <c r="AJ75" s="13">
        <f>IF(LEN(TRIM(AF75))=0,"",HYPERLINK("https://www.google.com/maps/@?api=1&amp;map_action=pano&amp;viewpoint="&amp;SUBSTITUTE(AF75," ",""),"Abrir Street View"))</f>
        <v/>
      </c>
    </row>
    <row r="76">
      <c r="H76" s="6" t="n"/>
      <c r="I76" s="6" t="n"/>
      <c r="M76" s="7" t="n"/>
      <c r="N76" s="7" t="n"/>
      <c r="O76" s="7" t="n"/>
      <c r="Q76" s="7" t="n"/>
      <c r="R76" s="7" t="n"/>
      <c r="S76" s="8">
        <f>IF(NOT(ISNUMBER(M76)),"",IF(G76="Terreno",IF(AND(ISNUMBER(I76),I76&gt;0),M76/I76,""),IF(AND(ISNUMBER(H76),H76&gt;0),M76/H76,"")))</f>
        <v/>
      </c>
      <c r="T76" s="9">
        <f>IF(AND(ISNUMBER(M76),ISNUMBER(O76)),IF(M76&lt;=O76,"Valor ≤ venal IPTU",""),"")</f>
        <v/>
      </c>
      <c r="U76" s="10">
        <f>IF(AND(ISNUMBER(M76),ISNUMBER(N76)),IF(N76&gt;0,M76/N76,""),"")</f>
        <v/>
      </c>
      <c r="V76" s="10">
        <f>IF(AND(ISNUMBER(M76),ISNUMBER(O76)),IF(O76&gt;0,M76/O76,""),"")</f>
        <v/>
      </c>
      <c r="W76" s="10">
        <f>IF(AND(ISNUMBER(M76),ISNUMBER(R76)),IF(R76&gt;0,M76/R76,""),"")</f>
        <v/>
      </c>
      <c r="X76" s="10">
        <f>IF(AND(ISNUMBER(Q76),ISNUMBER(M76)),IF(M76&gt;0,Q76/M76,""),"")</f>
        <v/>
      </c>
      <c r="Y76" s="11">
        <f>IF(ISNUMBER(Z76),YEAR(Z76),"")</f>
        <v/>
      </c>
      <c r="Z76" s="12" t="n"/>
      <c r="AA76" s="12" t="n"/>
      <c r="AI76" s="12" t="n"/>
      <c r="AJ76" s="13">
        <f>IF(LEN(TRIM(AF76))=0,"",HYPERLINK("https://www.google.com/maps/@?api=1&amp;map_action=pano&amp;viewpoint="&amp;SUBSTITUTE(AF76," ",""),"Abrir Street View"))</f>
        <v/>
      </c>
    </row>
    <row r="77">
      <c r="H77" s="6" t="n"/>
      <c r="I77" s="6" t="n"/>
      <c r="M77" s="7" t="n"/>
      <c r="N77" s="7" t="n"/>
      <c r="O77" s="7" t="n"/>
      <c r="Q77" s="7" t="n"/>
      <c r="R77" s="7" t="n"/>
      <c r="S77" s="8">
        <f>IF(NOT(ISNUMBER(M77)),"",IF(G77="Terreno",IF(AND(ISNUMBER(I77),I77&gt;0),M77/I77,""),IF(AND(ISNUMBER(H77),H77&gt;0),M77/H77,"")))</f>
        <v/>
      </c>
      <c r="T77" s="9">
        <f>IF(AND(ISNUMBER(M77),ISNUMBER(O77)),IF(M77&lt;=O77,"Valor ≤ venal IPTU",""),"")</f>
        <v/>
      </c>
      <c r="U77" s="10">
        <f>IF(AND(ISNUMBER(M77),ISNUMBER(N77)),IF(N77&gt;0,M77/N77,""),"")</f>
        <v/>
      </c>
      <c r="V77" s="10">
        <f>IF(AND(ISNUMBER(M77),ISNUMBER(O77)),IF(O77&gt;0,M77/O77,""),"")</f>
        <v/>
      </c>
      <c r="W77" s="10">
        <f>IF(AND(ISNUMBER(M77),ISNUMBER(R77)),IF(R77&gt;0,M77/R77,""),"")</f>
        <v/>
      </c>
      <c r="X77" s="10">
        <f>IF(AND(ISNUMBER(Q77),ISNUMBER(M77)),IF(M77&gt;0,Q77/M77,""),"")</f>
        <v/>
      </c>
      <c r="Y77" s="11">
        <f>IF(ISNUMBER(Z77),YEAR(Z77),"")</f>
        <v/>
      </c>
      <c r="Z77" s="12" t="n"/>
      <c r="AA77" s="12" t="n"/>
      <c r="AI77" s="12" t="n"/>
      <c r="AJ77" s="13">
        <f>IF(LEN(TRIM(AF77))=0,"",HYPERLINK("https://www.google.com/maps/@?api=1&amp;map_action=pano&amp;viewpoint="&amp;SUBSTITUTE(AF77," ",""),"Abrir Street View"))</f>
        <v/>
      </c>
    </row>
    <row r="78">
      <c r="H78" s="6" t="n"/>
      <c r="I78" s="6" t="n"/>
      <c r="M78" s="7" t="n"/>
      <c r="N78" s="7" t="n"/>
      <c r="O78" s="7" t="n"/>
      <c r="Q78" s="7" t="n"/>
      <c r="R78" s="7" t="n"/>
      <c r="S78" s="8">
        <f>IF(NOT(ISNUMBER(M78)),"",IF(G78="Terreno",IF(AND(ISNUMBER(I78),I78&gt;0),M78/I78,""),IF(AND(ISNUMBER(H78),H78&gt;0),M78/H78,"")))</f>
        <v/>
      </c>
      <c r="T78" s="9">
        <f>IF(AND(ISNUMBER(M78),ISNUMBER(O78)),IF(M78&lt;=O78,"Valor ≤ venal IPTU",""),"")</f>
        <v/>
      </c>
      <c r="U78" s="10">
        <f>IF(AND(ISNUMBER(M78),ISNUMBER(N78)),IF(N78&gt;0,M78/N78,""),"")</f>
        <v/>
      </c>
      <c r="V78" s="10">
        <f>IF(AND(ISNUMBER(M78),ISNUMBER(O78)),IF(O78&gt;0,M78/O78,""),"")</f>
        <v/>
      </c>
      <c r="W78" s="10">
        <f>IF(AND(ISNUMBER(M78),ISNUMBER(R78)),IF(R78&gt;0,M78/R78,""),"")</f>
        <v/>
      </c>
      <c r="X78" s="10">
        <f>IF(AND(ISNUMBER(Q78),ISNUMBER(M78)),IF(M78&gt;0,Q78/M78,""),"")</f>
        <v/>
      </c>
      <c r="Y78" s="11">
        <f>IF(ISNUMBER(Z78),YEAR(Z78),"")</f>
        <v/>
      </c>
      <c r="Z78" s="12" t="n"/>
      <c r="AA78" s="12" t="n"/>
      <c r="AI78" s="12" t="n"/>
      <c r="AJ78" s="13">
        <f>IF(LEN(TRIM(AF78))=0,"",HYPERLINK("https://www.google.com/maps/@?api=1&amp;map_action=pano&amp;viewpoint="&amp;SUBSTITUTE(AF78," ",""),"Abrir Street View"))</f>
        <v/>
      </c>
    </row>
    <row r="79">
      <c r="H79" s="6" t="n"/>
      <c r="I79" s="6" t="n"/>
      <c r="M79" s="7" t="n"/>
      <c r="N79" s="7" t="n"/>
      <c r="O79" s="7" t="n"/>
      <c r="Q79" s="7" t="n"/>
      <c r="R79" s="7" t="n"/>
      <c r="S79" s="8">
        <f>IF(NOT(ISNUMBER(M79)),"",IF(G79="Terreno",IF(AND(ISNUMBER(I79),I79&gt;0),M79/I79,""),IF(AND(ISNUMBER(H79),H79&gt;0),M79/H79,"")))</f>
        <v/>
      </c>
      <c r="T79" s="9">
        <f>IF(AND(ISNUMBER(M79),ISNUMBER(O79)),IF(M79&lt;=O79,"Valor ≤ venal IPTU",""),"")</f>
        <v/>
      </c>
      <c r="U79" s="10">
        <f>IF(AND(ISNUMBER(M79),ISNUMBER(N79)),IF(N79&gt;0,M79/N79,""),"")</f>
        <v/>
      </c>
      <c r="V79" s="10">
        <f>IF(AND(ISNUMBER(M79),ISNUMBER(O79)),IF(O79&gt;0,M79/O79,""),"")</f>
        <v/>
      </c>
      <c r="W79" s="10">
        <f>IF(AND(ISNUMBER(M79),ISNUMBER(R79)),IF(R79&gt;0,M79/R79,""),"")</f>
        <v/>
      </c>
      <c r="X79" s="10">
        <f>IF(AND(ISNUMBER(Q79),ISNUMBER(M79)),IF(M79&gt;0,Q79/M79,""),"")</f>
        <v/>
      </c>
      <c r="Y79" s="11">
        <f>IF(ISNUMBER(Z79),YEAR(Z79),"")</f>
        <v/>
      </c>
      <c r="Z79" s="12" t="n"/>
      <c r="AA79" s="12" t="n"/>
      <c r="AI79" s="12" t="n"/>
      <c r="AJ79" s="13">
        <f>IF(LEN(TRIM(AF79))=0,"",HYPERLINK("https://www.google.com/maps/@?api=1&amp;map_action=pano&amp;viewpoint="&amp;SUBSTITUTE(AF79," ",""),"Abrir Street View"))</f>
        <v/>
      </c>
    </row>
    <row r="80">
      <c r="H80" s="6" t="n"/>
      <c r="I80" s="6" t="n"/>
      <c r="M80" s="7" t="n"/>
      <c r="N80" s="7" t="n"/>
      <c r="O80" s="7" t="n"/>
      <c r="Q80" s="7" t="n"/>
      <c r="R80" s="7" t="n"/>
      <c r="S80" s="8">
        <f>IF(NOT(ISNUMBER(M80)),"",IF(G80="Terreno",IF(AND(ISNUMBER(I80),I80&gt;0),M80/I80,""),IF(AND(ISNUMBER(H80),H80&gt;0),M80/H80,"")))</f>
        <v/>
      </c>
      <c r="T80" s="9">
        <f>IF(AND(ISNUMBER(M80),ISNUMBER(O80)),IF(M80&lt;=O80,"Valor ≤ venal IPTU",""),"")</f>
        <v/>
      </c>
      <c r="U80" s="10">
        <f>IF(AND(ISNUMBER(M80),ISNUMBER(N80)),IF(N80&gt;0,M80/N80,""),"")</f>
        <v/>
      </c>
      <c r="V80" s="10">
        <f>IF(AND(ISNUMBER(M80),ISNUMBER(O80)),IF(O80&gt;0,M80/O80,""),"")</f>
        <v/>
      </c>
      <c r="W80" s="10">
        <f>IF(AND(ISNUMBER(M80),ISNUMBER(R80)),IF(R80&gt;0,M80/R80,""),"")</f>
        <v/>
      </c>
      <c r="X80" s="10">
        <f>IF(AND(ISNUMBER(Q80),ISNUMBER(M80)),IF(M80&gt;0,Q80/M80,""),"")</f>
        <v/>
      </c>
      <c r="Y80" s="11">
        <f>IF(ISNUMBER(Z80),YEAR(Z80),"")</f>
        <v/>
      </c>
      <c r="Z80" s="12" t="n"/>
      <c r="AA80" s="12" t="n"/>
      <c r="AI80" s="12" t="n"/>
      <c r="AJ80" s="13">
        <f>IF(LEN(TRIM(AF80))=0,"",HYPERLINK("https://www.google.com/maps/@?api=1&amp;map_action=pano&amp;viewpoint="&amp;SUBSTITUTE(AF80," ",""),"Abrir Street View"))</f>
        <v/>
      </c>
    </row>
    <row r="81">
      <c r="H81" s="6" t="n"/>
      <c r="I81" s="6" t="n"/>
      <c r="M81" s="7" t="n"/>
      <c r="N81" s="7" t="n"/>
      <c r="O81" s="7" t="n"/>
      <c r="Q81" s="7" t="n"/>
      <c r="R81" s="7" t="n"/>
      <c r="S81" s="8">
        <f>IF(NOT(ISNUMBER(M81)),"",IF(G81="Terreno",IF(AND(ISNUMBER(I81),I81&gt;0),M81/I81,""),IF(AND(ISNUMBER(H81),H81&gt;0),M81/H81,"")))</f>
        <v/>
      </c>
      <c r="T81" s="9">
        <f>IF(AND(ISNUMBER(M81),ISNUMBER(O81)),IF(M81&lt;=O81,"Valor ≤ venal IPTU",""),"")</f>
        <v/>
      </c>
      <c r="U81" s="10">
        <f>IF(AND(ISNUMBER(M81),ISNUMBER(N81)),IF(N81&gt;0,M81/N81,""),"")</f>
        <v/>
      </c>
      <c r="V81" s="10">
        <f>IF(AND(ISNUMBER(M81),ISNUMBER(O81)),IF(O81&gt;0,M81/O81,""),"")</f>
        <v/>
      </c>
      <c r="W81" s="10">
        <f>IF(AND(ISNUMBER(M81),ISNUMBER(R81)),IF(R81&gt;0,M81/R81,""),"")</f>
        <v/>
      </c>
      <c r="X81" s="10">
        <f>IF(AND(ISNUMBER(Q81),ISNUMBER(M81)),IF(M81&gt;0,Q81/M81,""),"")</f>
        <v/>
      </c>
      <c r="Y81" s="11">
        <f>IF(ISNUMBER(Z81),YEAR(Z81),"")</f>
        <v/>
      </c>
      <c r="Z81" s="12" t="n"/>
      <c r="AA81" s="12" t="n"/>
      <c r="AI81" s="12" t="n"/>
      <c r="AJ81" s="13">
        <f>IF(LEN(TRIM(AF81))=0,"",HYPERLINK("https://www.google.com/maps/@?api=1&amp;map_action=pano&amp;viewpoint="&amp;SUBSTITUTE(AF81," ",""),"Abrir Street View"))</f>
        <v/>
      </c>
    </row>
    <row r="82">
      <c r="H82" s="6" t="n"/>
      <c r="I82" s="6" t="n"/>
      <c r="M82" s="7" t="n"/>
      <c r="N82" s="7" t="n"/>
      <c r="O82" s="7" t="n"/>
      <c r="Q82" s="7" t="n"/>
      <c r="R82" s="7" t="n"/>
      <c r="S82" s="8">
        <f>IF(NOT(ISNUMBER(M82)),"",IF(G82="Terreno",IF(AND(ISNUMBER(I82),I82&gt;0),M82/I82,""),IF(AND(ISNUMBER(H82),H82&gt;0),M82/H82,"")))</f>
        <v/>
      </c>
      <c r="T82" s="9">
        <f>IF(AND(ISNUMBER(M82),ISNUMBER(O82)),IF(M82&lt;=O82,"Valor ≤ venal IPTU",""),"")</f>
        <v/>
      </c>
      <c r="U82" s="10">
        <f>IF(AND(ISNUMBER(M82),ISNUMBER(N82)),IF(N82&gt;0,M82/N82,""),"")</f>
        <v/>
      </c>
      <c r="V82" s="10">
        <f>IF(AND(ISNUMBER(M82),ISNUMBER(O82)),IF(O82&gt;0,M82/O82,""),"")</f>
        <v/>
      </c>
      <c r="W82" s="10">
        <f>IF(AND(ISNUMBER(M82),ISNUMBER(R82)),IF(R82&gt;0,M82/R82,""),"")</f>
        <v/>
      </c>
      <c r="X82" s="10">
        <f>IF(AND(ISNUMBER(Q82),ISNUMBER(M82)),IF(M82&gt;0,Q82/M82,""),"")</f>
        <v/>
      </c>
      <c r="Y82" s="11">
        <f>IF(ISNUMBER(Z82),YEAR(Z82),"")</f>
        <v/>
      </c>
      <c r="Z82" s="12" t="n"/>
      <c r="AA82" s="12" t="n"/>
      <c r="AI82" s="12" t="n"/>
      <c r="AJ82" s="13">
        <f>IF(LEN(TRIM(AF82))=0,"",HYPERLINK("https://www.google.com/maps/@?api=1&amp;map_action=pano&amp;viewpoint="&amp;SUBSTITUTE(AF82," ",""),"Abrir Street View"))</f>
        <v/>
      </c>
    </row>
    <row r="83">
      <c r="H83" s="6" t="n"/>
      <c r="I83" s="6" t="n"/>
      <c r="M83" s="7" t="n"/>
      <c r="N83" s="7" t="n"/>
      <c r="O83" s="7" t="n"/>
      <c r="Q83" s="7" t="n"/>
      <c r="R83" s="7" t="n"/>
      <c r="S83" s="8">
        <f>IF(NOT(ISNUMBER(M83)),"",IF(G83="Terreno",IF(AND(ISNUMBER(I83),I83&gt;0),M83/I83,""),IF(AND(ISNUMBER(H83),H83&gt;0),M83/H83,"")))</f>
        <v/>
      </c>
      <c r="T83" s="9">
        <f>IF(AND(ISNUMBER(M83),ISNUMBER(O83)),IF(M83&lt;=O83,"Valor ≤ venal IPTU",""),"")</f>
        <v/>
      </c>
      <c r="U83" s="10">
        <f>IF(AND(ISNUMBER(M83),ISNUMBER(N83)),IF(N83&gt;0,M83/N83,""),"")</f>
        <v/>
      </c>
      <c r="V83" s="10">
        <f>IF(AND(ISNUMBER(M83),ISNUMBER(O83)),IF(O83&gt;0,M83/O83,""),"")</f>
        <v/>
      </c>
      <c r="W83" s="10">
        <f>IF(AND(ISNUMBER(M83),ISNUMBER(R83)),IF(R83&gt;0,M83/R83,""),"")</f>
        <v/>
      </c>
      <c r="X83" s="10">
        <f>IF(AND(ISNUMBER(Q83),ISNUMBER(M83)),IF(M83&gt;0,Q83/M83,""),"")</f>
        <v/>
      </c>
      <c r="Y83" s="11">
        <f>IF(ISNUMBER(Z83),YEAR(Z83),"")</f>
        <v/>
      </c>
      <c r="Z83" s="12" t="n"/>
      <c r="AA83" s="12" t="n"/>
      <c r="AI83" s="12" t="n"/>
      <c r="AJ83" s="13">
        <f>IF(LEN(TRIM(AF83))=0,"",HYPERLINK("https://www.google.com/maps/@?api=1&amp;map_action=pano&amp;viewpoint="&amp;SUBSTITUTE(AF83," ",""),"Abrir Street View"))</f>
        <v/>
      </c>
    </row>
    <row r="84">
      <c r="H84" s="6" t="n"/>
      <c r="I84" s="6" t="n"/>
      <c r="M84" s="7" t="n"/>
      <c r="N84" s="7" t="n"/>
      <c r="O84" s="7" t="n"/>
      <c r="Q84" s="7" t="n"/>
      <c r="R84" s="7" t="n"/>
      <c r="S84" s="8">
        <f>IF(NOT(ISNUMBER(M84)),"",IF(G84="Terreno",IF(AND(ISNUMBER(I84),I84&gt;0),M84/I84,""),IF(AND(ISNUMBER(H84),H84&gt;0),M84/H84,"")))</f>
        <v/>
      </c>
      <c r="T84" s="9">
        <f>IF(AND(ISNUMBER(M84),ISNUMBER(O84)),IF(M84&lt;=O84,"Valor ≤ venal IPTU",""),"")</f>
        <v/>
      </c>
      <c r="U84" s="10">
        <f>IF(AND(ISNUMBER(M84),ISNUMBER(N84)),IF(N84&gt;0,M84/N84,""),"")</f>
        <v/>
      </c>
      <c r="V84" s="10">
        <f>IF(AND(ISNUMBER(M84),ISNUMBER(O84)),IF(O84&gt;0,M84/O84,""),"")</f>
        <v/>
      </c>
      <c r="W84" s="10">
        <f>IF(AND(ISNUMBER(M84),ISNUMBER(R84)),IF(R84&gt;0,M84/R84,""),"")</f>
        <v/>
      </c>
      <c r="X84" s="10">
        <f>IF(AND(ISNUMBER(Q84),ISNUMBER(M84)),IF(M84&gt;0,Q84/M84,""),"")</f>
        <v/>
      </c>
      <c r="Y84" s="11">
        <f>IF(ISNUMBER(Z84),YEAR(Z84),"")</f>
        <v/>
      </c>
      <c r="Z84" s="12" t="n"/>
      <c r="AA84" s="12" t="n"/>
      <c r="AI84" s="12" t="n"/>
      <c r="AJ84" s="13">
        <f>IF(LEN(TRIM(AF84))=0,"",HYPERLINK("https://www.google.com/maps/@?api=1&amp;map_action=pano&amp;viewpoint="&amp;SUBSTITUTE(AF84," ",""),"Abrir Street View"))</f>
        <v/>
      </c>
    </row>
    <row r="85">
      <c r="H85" s="6" t="n"/>
      <c r="I85" s="6" t="n"/>
      <c r="M85" s="7" t="n"/>
      <c r="N85" s="7" t="n"/>
      <c r="O85" s="7" t="n"/>
      <c r="Q85" s="7" t="n"/>
      <c r="R85" s="7" t="n"/>
      <c r="S85" s="8">
        <f>IF(NOT(ISNUMBER(M85)),"",IF(G85="Terreno",IF(AND(ISNUMBER(I85),I85&gt;0),M85/I85,""),IF(AND(ISNUMBER(H85),H85&gt;0),M85/H85,"")))</f>
        <v/>
      </c>
      <c r="T85" s="9">
        <f>IF(AND(ISNUMBER(M85),ISNUMBER(O85)),IF(M85&lt;=O85,"Valor ≤ venal IPTU",""),"")</f>
        <v/>
      </c>
      <c r="U85" s="10">
        <f>IF(AND(ISNUMBER(M85),ISNUMBER(N85)),IF(N85&gt;0,M85/N85,""),"")</f>
        <v/>
      </c>
      <c r="V85" s="10">
        <f>IF(AND(ISNUMBER(M85),ISNUMBER(O85)),IF(O85&gt;0,M85/O85,""),"")</f>
        <v/>
      </c>
      <c r="W85" s="10">
        <f>IF(AND(ISNUMBER(M85),ISNUMBER(R85)),IF(R85&gt;0,M85/R85,""),"")</f>
        <v/>
      </c>
      <c r="X85" s="10">
        <f>IF(AND(ISNUMBER(Q85),ISNUMBER(M85)),IF(M85&gt;0,Q85/M85,""),"")</f>
        <v/>
      </c>
      <c r="Y85" s="11">
        <f>IF(ISNUMBER(Z85),YEAR(Z85),"")</f>
        <v/>
      </c>
      <c r="Z85" s="12" t="n"/>
      <c r="AA85" s="12" t="n"/>
      <c r="AI85" s="12" t="n"/>
      <c r="AJ85" s="13">
        <f>IF(LEN(TRIM(AF85))=0,"",HYPERLINK("https://www.google.com/maps/@?api=1&amp;map_action=pano&amp;viewpoint="&amp;SUBSTITUTE(AF85," ",""),"Abrir Street View"))</f>
        <v/>
      </c>
    </row>
    <row r="86">
      <c r="H86" s="6" t="n"/>
      <c r="I86" s="6" t="n"/>
      <c r="M86" s="7" t="n"/>
      <c r="N86" s="7" t="n"/>
      <c r="O86" s="7" t="n"/>
      <c r="Q86" s="7" t="n"/>
      <c r="R86" s="7" t="n"/>
      <c r="S86" s="8">
        <f>IF(NOT(ISNUMBER(M86)),"",IF(G86="Terreno",IF(AND(ISNUMBER(I86),I86&gt;0),M86/I86,""),IF(AND(ISNUMBER(H86),H86&gt;0),M86/H86,"")))</f>
        <v/>
      </c>
      <c r="T86" s="9">
        <f>IF(AND(ISNUMBER(M86),ISNUMBER(O86)),IF(M86&lt;=O86,"Valor ≤ venal IPTU",""),"")</f>
        <v/>
      </c>
      <c r="U86" s="10">
        <f>IF(AND(ISNUMBER(M86),ISNUMBER(N86)),IF(N86&gt;0,M86/N86,""),"")</f>
        <v/>
      </c>
      <c r="V86" s="10">
        <f>IF(AND(ISNUMBER(M86),ISNUMBER(O86)),IF(O86&gt;0,M86/O86,""),"")</f>
        <v/>
      </c>
      <c r="W86" s="10">
        <f>IF(AND(ISNUMBER(M86),ISNUMBER(R86)),IF(R86&gt;0,M86/R86,""),"")</f>
        <v/>
      </c>
      <c r="X86" s="10">
        <f>IF(AND(ISNUMBER(Q86),ISNUMBER(M86)),IF(M86&gt;0,Q86/M86,""),"")</f>
        <v/>
      </c>
      <c r="Y86" s="11">
        <f>IF(ISNUMBER(Z86),YEAR(Z86),"")</f>
        <v/>
      </c>
      <c r="Z86" s="12" t="n"/>
      <c r="AA86" s="12" t="n"/>
      <c r="AI86" s="12" t="n"/>
      <c r="AJ86" s="13">
        <f>IF(LEN(TRIM(AF86))=0,"",HYPERLINK("https://www.google.com/maps/@?api=1&amp;map_action=pano&amp;viewpoint="&amp;SUBSTITUTE(AF86," ",""),"Abrir Street View"))</f>
        <v/>
      </c>
    </row>
    <row r="87">
      <c r="H87" s="6" t="n"/>
      <c r="I87" s="6" t="n"/>
      <c r="M87" s="7" t="n"/>
      <c r="N87" s="7" t="n"/>
      <c r="O87" s="7" t="n"/>
      <c r="Q87" s="7" t="n"/>
      <c r="R87" s="7" t="n"/>
      <c r="S87" s="8">
        <f>IF(NOT(ISNUMBER(M87)),"",IF(G87="Terreno",IF(AND(ISNUMBER(I87),I87&gt;0),M87/I87,""),IF(AND(ISNUMBER(H87),H87&gt;0),M87/H87,"")))</f>
        <v/>
      </c>
      <c r="T87" s="9">
        <f>IF(AND(ISNUMBER(M87),ISNUMBER(O87)),IF(M87&lt;=O87,"Valor ≤ venal IPTU",""),"")</f>
        <v/>
      </c>
      <c r="U87" s="10">
        <f>IF(AND(ISNUMBER(M87),ISNUMBER(N87)),IF(N87&gt;0,M87/N87,""),"")</f>
        <v/>
      </c>
      <c r="V87" s="10">
        <f>IF(AND(ISNUMBER(M87),ISNUMBER(O87)),IF(O87&gt;0,M87/O87,""),"")</f>
        <v/>
      </c>
      <c r="W87" s="10">
        <f>IF(AND(ISNUMBER(M87),ISNUMBER(R87)),IF(R87&gt;0,M87/R87,""),"")</f>
        <v/>
      </c>
      <c r="X87" s="10">
        <f>IF(AND(ISNUMBER(Q87),ISNUMBER(M87)),IF(M87&gt;0,Q87/M87,""),"")</f>
        <v/>
      </c>
      <c r="Y87" s="11">
        <f>IF(ISNUMBER(Z87),YEAR(Z87),"")</f>
        <v/>
      </c>
      <c r="Z87" s="12" t="n"/>
      <c r="AA87" s="12" t="n"/>
      <c r="AI87" s="12" t="n"/>
      <c r="AJ87" s="13">
        <f>IF(LEN(TRIM(AF87))=0,"",HYPERLINK("https://www.google.com/maps/@?api=1&amp;map_action=pano&amp;viewpoint="&amp;SUBSTITUTE(AF87," ",""),"Abrir Street View"))</f>
        <v/>
      </c>
    </row>
    <row r="88">
      <c r="H88" s="6" t="n"/>
      <c r="I88" s="6" t="n"/>
      <c r="M88" s="7" t="n"/>
      <c r="N88" s="7" t="n"/>
      <c r="O88" s="7" t="n"/>
      <c r="Q88" s="7" t="n"/>
      <c r="R88" s="7" t="n"/>
      <c r="S88" s="8">
        <f>IF(NOT(ISNUMBER(M88)),"",IF(G88="Terreno",IF(AND(ISNUMBER(I88),I88&gt;0),M88/I88,""),IF(AND(ISNUMBER(H88),H88&gt;0),M88/H88,"")))</f>
        <v/>
      </c>
      <c r="T88" s="9">
        <f>IF(AND(ISNUMBER(M88),ISNUMBER(O88)),IF(M88&lt;=O88,"Valor ≤ venal IPTU",""),"")</f>
        <v/>
      </c>
      <c r="U88" s="10">
        <f>IF(AND(ISNUMBER(M88),ISNUMBER(N88)),IF(N88&gt;0,M88/N88,""),"")</f>
        <v/>
      </c>
      <c r="V88" s="10">
        <f>IF(AND(ISNUMBER(M88),ISNUMBER(O88)),IF(O88&gt;0,M88/O88,""),"")</f>
        <v/>
      </c>
      <c r="W88" s="10">
        <f>IF(AND(ISNUMBER(M88),ISNUMBER(R88)),IF(R88&gt;0,M88/R88,""),"")</f>
        <v/>
      </c>
      <c r="X88" s="10">
        <f>IF(AND(ISNUMBER(Q88),ISNUMBER(M88)),IF(M88&gt;0,Q88/M88,""),"")</f>
        <v/>
      </c>
      <c r="Y88" s="11">
        <f>IF(ISNUMBER(Z88),YEAR(Z88),"")</f>
        <v/>
      </c>
      <c r="Z88" s="12" t="n"/>
      <c r="AA88" s="12" t="n"/>
      <c r="AI88" s="12" t="n"/>
      <c r="AJ88" s="13">
        <f>IF(LEN(TRIM(AF88))=0,"",HYPERLINK("https://www.google.com/maps/@?api=1&amp;map_action=pano&amp;viewpoint="&amp;SUBSTITUTE(AF88," ",""),"Abrir Street View"))</f>
        <v/>
      </c>
    </row>
    <row r="89">
      <c r="H89" s="6" t="n"/>
      <c r="I89" s="6" t="n"/>
      <c r="M89" s="7" t="n"/>
      <c r="N89" s="7" t="n"/>
      <c r="O89" s="7" t="n"/>
      <c r="Q89" s="7" t="n"/>
      <c r="R89" s="7" t="n"/>
      <c r="S89" s="8">
        <f>IF(NOT(ISNUMBER(M89)),"",IF(G89="Terreno",IF(AND(ISNUMBER(I89),I89&gt;0),M89/I89,""),IF(AND(ISNUMBER(H89),H89&gt;0),M89/H89,"")))</f>
        <v/>
      </c>
      <c r="T89" s="9">
        <f>IF(AND(ISNUMBER(M89),ISNUMBER(O89)),IF(M89&lt;=O89,"Valor ≤ venal IPTU",""),"")</f>
        <v/>
      </c>
      <c r="U89" s="10">
        <f>IF(AND(ISNUMBER(M89),ISNUMBER(N89)),IF(N89&gt;0,M89/N89,""),"")</f>
        <v/>
      </c>
      <c r="V89" s="10">
        <f>IF(AND(ISNUMBER(M89),ISNUMBER(O89)),IF(O89&gt;0,M89/O89,""),"")</f>
        <v/>
      </c>
      <c r="W89" s="10">
        <f>IF(AND(ISNUMBER(M89),ISNUMBER(R89)),IF(R89&gt;0,M89/R89,""),"")</f>
        <v/>
      </c>
      <c r="X89" s="10">
        <f>IF(AND(ISNUMBER(Q89),ISNUMBER(M89)),IF(M89&gt;0,Q89/M89,""),"")</f>
        <v/>
      </c>
      <c r="Y89" s="11">
        <f>IF(ISNUMBER(Z89),YEAR(Z89),"")</f>
        <v/>
      </c>
      <c r="Z89" s="12" t="n"/>
      <c r="AA89" s="12" t="n"/>
      <c r="AI89" s="12" t="n"/>
      <c r="AJ89" s="13">
        <f>IF(LEN(TRIM(AF89))=0,"",HYPERLINK("https://www.google.com/maps/@?api=1&amp;map_action=pano&amp;viewpoint="&amp;SUBSTITUTE(AF89," ",""),"Abrir Street View"))</f>
        <v/>
      </c>
    </row>
    <row r="90">
      <c r="H90" s="6" t="n"/>
      <c r="I90" s="6" t="n"/>
      <c r="M90" s="7" t="n"/>
      <c r="N90" s="7" t="n"/>
      <c r="O90" s="7" t="n"/>
      <c r="Q90" s="7" t="n"/>
      <c r="R90" s="7" t="n"/>
      <c r="S90" s="8">
        <f>IF(NOT(ISNUMBER(M90)),"",IF(G90="Terreno",IF(AND(ISNUMBER(I90),I90&gt;0),M90/I90,""),IF(AND(ISNUMBER(H90),H90&gt;0),M90/H90,"")))</f>
        <v/>
      </c>
      <c r="T90" s="9">
        <f>IF(AND(ISNUMBER(M90),ISNUMBER(O90)),IF(M90&lt;=O90,"Valor ≤ venal IPTU",""),"")</f>
        <v/>
      </c>
      <c r="U90" s="10">
        <f>IF(AND(ISNUMBER(M90),ISNUMBER(N90)),IF(N90&gt;0,M90/N90,""),"")</f>
        <v/>
      </c>
      <c r="V90" s="10">
        <f>IF(AND(ISNUMBER(M90),ISNUMBER(O90)),IF(O90&gt;0,M90/O90,""),"")</f>
        <v/>
      </c>
      <c r="W90" s="10">
        <f>IF(AND(ISNUMBER(M90),ISNUMBER(R90)),IF(R90&gt;0,M90/R90,""),"")</f>
        <v/>
      </c>
      <c r="X90" s="10">
        <f>IF(AND(ISNUMBER(Q90),ISNUMBER(M90)),IF(M90&gt;0,Q90/M90,""),"")</f>
        <v/>
      </c>
      <c r="Y90" s="11">
        <f>IF(ISNUMBER(Z90),YEAR(Z90),"")</f>
        <v/>
      </c>
      <c r="Z90" s="12" t="n"/>
      <c r="AA90" s="12" t="n"/>
      <c r="AI90" s="12" t="n"/>
      <c r="AJ90" s="13">
        <f>IF(LEN(TRIM(AF90))=0,"",HYPERLINK("https://www.google.com/maps/@?api=1&amp;map_action=pano&amp;viewpoint="&amp;SUBSTITUTE(AF90," ",""),"Abrir Street View"))</f>
        <v/>
      </c>
    </row>
    <row r="91">
      <c r="H91" s="6" t="n"/>
      <c r="I91" s="6" t="n"/>
      <c r="M91" s="7" t="n"/>
      <c r="N91" s="7" t="n"/>
      <c r="O91" s="7" t="n"/>
      <c r="Q91" s="7" t="n"/>
      <c r="R91" s="7" t="n"/>
      <c r="S91" s="8">
        <f>IF(NOT(ISNUMBER(M91)),"",IF(G91="Terreno",IF(AND(ISNUMBER(I91),I91&gt;0),M91/I91,""),IF(AND(ISNUMBER(H91),H91&gt;0),M91/H91,"")))</f>
        <v/>
      </c>
      <c r="T91" s="9">
        <f>IF(AND(ISNUMBER(M91),ISNUMBER(O91)),IF(M91&lt;=O91,"Valor ≤ venal IPTU",""),"")</f>
        <v/>
      </c>
      <c r="U91" s="10">
        <f>IF(AND(ISNUMBER(M91),ISNUMBER(N91)),IF(N91&gt;0,M91/N91,""),"")</f>
        <v/>
      </c>
      <c r="V91" s="10">
        <f>IF(AND(ISNUMBER(M91),ISNUMBER(O91)),IF(O91&gt;0,M91/O91,""),"")</f>
        <v/>
      </c>
      <c r="W91" s="10">
        <f>IF(AND(ISNUMBER(M91),ISNUMBER(R91)),IF(R91&gt;0,M91/R91,""),"")</f>
        <v/>
      </c>
      <c r="X91" s="10">
        <f>IF(AND(ISNUMBER(Q91),ISNUMBER(M91)),IF(M91&gt;0,Q91/M91,""),"")</f>
        <v/>
      </c>
      <c r="Y91" s="11">
        <f>IF(ISNUMBER(Z91),YEAR(Z91),"")</f>
        <v/>
      </c>
      <c r="Z91" s="12" t="n"/>
      <c r="AA91" s="12" t="n"/>
      <c r="AI91" s="12" t="n"/>
      <c r="AJ91" s="13">
        <f>IF(LEN(TRIM(AF91))=0,"",HYPERLINK("https://www.google.com/maps/@?api=1&amp;map_action=pano&amp;viewpoint="&amp;SUBSTITUTE(AF91," ",""),"Abrir Street View"))</f>
        <v/>
      </c>
    </row>
    <row r="92">
      <c r="H92" s="6" t="n"/>
      <c r="I92" s="6" t="n"/>
      <c r="M92" s="7" t="n"/>
      <c r="N92" s="7" t="n"/>
      <c r="O92" s="7" t="n"/>
      <c r="Q92" s="7" t="n"/>
      <c r="R92" s="7" t="n"/>
      <c r="S92" s="8">
        <f>IF(NOT(ISNUMBER(M92)),"",IF(G92="Terreno",IF(AND(ISNUMBER(I92),I92&gt;0),M92/I92,""),IF(AND(ISNUMBER(H92),H92&gt;0),M92/H92,"")))</f>
        <v/>
      </c>
      <c r="T92" s="9">
        <f>IF(AND(ISNUMBER(M92),ISNUMBER(O92)),IF(M92&lt;=O92,"Valor ≤ venal IPTU",""),"")</f>
        <v/>
      </c>
      <c r="U92" s="10">
        <f>IF(AND(ISNUMBER(M92),ISNUMBER(N92)),IF(N92&gt;0,M92/N92,""),"")</f>
        <v/>
      </c>
      <c r="V92" s="10">
        <f>IF(AND(ISNUMBER(M92),ISNUMBER(O92)),IF(O92&gt;0,M92/O92,""),"")</f>
        <v/>
      </c>
      <c r="W92" s="10">
        <f>IF(AND(ISNUMBER(M92),ISNUMBER(R92)),IF(R92&gt;0,M92/R92,""),"")</f>
        <v/>
      </c>
      <c r="X92" s="10">
        <f>IF(AND(ISNUMBER(Q92),ISNUMBER(M92)),IF(M92&gt;0,Q92/M92,""),"")</f>
        <v/>
      </c>
      <c r="Y92" s="11">
        <f>IF(ISNUMBER(Z92),YEAR(Z92),"")</f>
        <v/>
      </c>
      <c r="Z92" s="12" t="n"/>
      <c r="AA92" s="12" t="n"/>
      <c r="AI92" s="12" t="n"/>
      <c r="AJ92" s="13">
        <f>IF(LEN(TRIM(AF92))=0,"",HYPERLINK("https://www.google.com/maps/@?api=1&amp;map_action=pano&amp;viewpoint="&amp;SUBSTITUTE(AF92," ",""),"Abrir Street View"))</f>
        <v/>
      </c>
    </row>
    <row r="93">
      <c r="H93" s="6" t="n"/>
      <c r="I93" s="6" t="n"/>
      <c r="M93" s="7" t="n"/>
      <c r="N93" s="7" t="n"/>
      <c r="O93" s="7" t="n"/>
      <c r="Q93" s="7" t="n"/>
      <c r="R93" s="7" t="n"/>
      <c r="S93" s="8">
        <f>IF(NOT(ISNUMBER(M93)),"",IF(G93="Terreno",IF(AND(ISNUMBER(I93),I93&gt;0),M93/I93,""),IF(AND(ISNUMBER(H93),H93&gt;0),M93/H93,"")))</f>
        <v/>
      </c>
      <c r="T93" s="9">
        <f>IF(AND(ISNUMBER(M93),ISNUMBER(O93)),IF(M93&lt;=O93,"Valor ≤ venal IPTU",""),"")</f>
        <v/>
      </c>
      <c r="U93" s="10">
        <f>IF(AND(ISNUMBER(M93),ISNUMBER(N93)),IF(N93&gt;0,M93/N93,""),"")</f>
        <v/>
      </c>
      <c r="V93" s="10">
        <f>IF(AND(ISNUMBER(M93),ISNUMBER(O93)),IF(O93&gt;0,M93/O93,""),"")</f>
        <v/>
      </c>
      <c r="W93" s="10">
        <f>IF(AND(ISNUMBER(M93),ISNUMBER(R93)),IF(R93&gt;0,M93/R93,""),"")</f>
        <v/>
      </c>
      <c r="X93" s="10">
        <f>IF(AND(ISNUMBER(Q93),ISNUMBER(M93)),IF(M93&gt;0,Q93/M93,""),"")</f>
        <v/>
      </c>
      <c r="Y93" s="11">
        <f>IF(ISNUMBER(Z93),YEAR(Z93),"")</f>
        <v/>
      </c>
      <c r="Z93" s="12" t="n"/>
      <c r="AA93" s="12" t="n"/>
      <c r="AI93" s="12" t="n"/>
      <c r="AJ93" s="13">
        <f>IF(LEN(TRIM(AF93))=0,"",HYPERLINK("https://www.google.com/maps/@?api=1&amp;map_action=pano&amp;viewpoint="&amp;SUBSTITUTE(AF93," ",""),"Abrir Street View"))</f>
        <v/>
      </c>
    </row>
    <row r="94">
      <c r="H94" s="6" t="n"/>
      <c r="I94" s="6" t="n"/>
      <c r="M94" s="7" t="n"/>
      <c r="N94" s="7" t="n"/>
      <c r="O94" s="7" t="n"/>
      <c r="Q94" s="7" t="n"/>
      <c r="R94" s="7" t="n"/>
      <c r="S94" s="8">
        <f>IF(NOT(ISNUMBER(M94)),"",IF(G94="Terreno",IF(AND(ISNUMBER(I94),I94&gt;0),M94/I94,""),IF(AND(ISNUMBER(H94),H94&gt;0),M94/H94,"")))</f>
        <v/>
      </c>
      <c r="T94" s="9">
        <f>IF(AND(ISNUMBER(M94),ISNUMBER(O94)),IF(M94&lt;=O94,"Valor ≤ venal IPTU",""),"")</f>
        <v/>
      </c>
      <c r="U94" s="10">
        <f>IF(AND(ISNUMBER(M94),ISNUMBER(N94)),IF(N94&gt;0,M94/N94,""),"")</f>
        <v/>
      </c>
      <c r="V94" s="10">
        <f>IF(AND(ISNUMBER(M94),ISNUMBER(O94)),IF(O94&gt;0,M94/O94,""),"")</f>
        <v/>
      </c>
      <c r="W94" s="10">
        <f>IF(AND(ISNUMBER(M94),ISNUMBER(R94)),IF(R94&gt;0,M94/R94,""),"")</f>
        <v/>
      </c>
      <c r="X94" s="10">
        <f>IF(AND(ISNUMBER(Q94),ISNUMBER(M94)),IF(M94&gt;0,Q94/M94,""),"")</f>
        <v/>
      </c>
      <c r="Y94" s="11">
        <f>IF(ISNUMBER(Z94),YEAR(Z94),"")</f>
        <v/>
      </c>
      <c r="Z94" s="12" t="n"/>
      <c r="AA94" s="12" t="n"/>
      <c r="AI94" s="12" t="n"/>
      <c r="AJ94" s="13">
        <f>IF(LEN(TRIM(AF94))=0,"",HYPERLINK("https://www.google.com/maps/@?api=1&amp;map_action=pano&amp;viewpoint="&amp;SUBSTITUTE(AF94," ",""),"Abrir Street View"))</f>
        <v/>
      </c>
    </row>
    <row r="95">
      <c r="H95" s="6" t="n"/>
      <c r="I95" s="6" t="n"/>
      <c r="M95" s="7" t="n"/>
      <c r="N95" s="7" t="n"/>
      <c r="O95" s="7" t="n"/>
      <c r="Q95" s="7" t="n"/>
      <c r="R95" s="7" t="n"/>
      <c r="S95" s="8">
        <f>IF(NOT(ISNUMBER(M95)),"",IF(G95="Terreno",IF(AND(ISNUMBER(I95),I95&gt;0),M95/I95,""),IF(AND(ISNUMBER(H95),H95&gt;0),M95/H95,"")))</f>
        <v/>
      </c>
      <c r="T95" s="9">
        <f>IF(AND(ISNUMBER(M95),ISNUMBER(O95)),IF(M95&lt;=O95,"Valor ≤ venal IPTU",""),"")</f>
        <v/>
      </c>
      <c r="U95" s="10">
        <f>IF(AND(ISNUMBER(M95),ISNUMBER(N95)),IF(N95&gt;0,M95/N95,""),"")</f>
        <v/>
      </c>
      <c r="V95" s="10">
        <f>IF(AND(ISNUMBER(M95),ISNUMBER(O95)),IF(O95&gt;0,M95/O95,""),"")</f>
        <v/>
      </c>
      <c r="W95" s="10">
        <f>IF(AND(ISNUMBER(M95),ISNUMBER(R95)),IF(R95&gt;0,M95/R95,""),"")</f>
        <v/>
      </c>
      <c r="X95" s="10">
        <f>IF(AND(ISNUMBER(Q95),ISNUMBER(M95)),IF(M95&gt;0,Q95/M95,""),"")</f>
        <v/>
      </c>
      <c r="Y95" s="11">
        <f>IF(ISNUMBER(Z95),YEAR(Z95),"")</f>
        <v/>
      </c>
      <c r="Z95" s="12" t="n"/>
      <c r="AA95" s="12" t="n"/>
      <c r="AI95" s="12" t="n"/>
      <c r="AJ95" s="13">
        <f>IF(LEN(TRIM(AF95))=0,"",HYPERLINK("https://www.google.com/maps/@?api=1&amp;map_action=pano&amp;viewpoint="&amp;SUBSTITUTE(AF95," ",""),"Abrir Street View"))</f>
        <v/>
      </c>
    </row>
    <row r="96">
      <c r="H96" s="6" t="n"/>
      <c r="I96" s="6" t="n"/>
      <c r="M96" s="7" t="n"/>
      <c r="N96" s="7" t="n"/>
      <c r="O96" s="7" t="n"/>
      <c r="Q96" s="7" t="n"/>
      <c r="R96" s="7" t="n"/>
      <c r="S96" s="8">
        <f>IF(NOT(ISNUMBER(M96)),"",IF(G96="Terreno",IF(AND(ISNUMBER(I96),I96&gt;0),M96/I96,""),IF(AND(ISNUMBER(H96),H96&gt;0),M96/H96,"")))</f>
        <v/>
      </c>
      <c r="T96" s="9">
        <f>IF(AND(ISNUMBER(M96),ISNUMBER(O96)),IF(M96&lt;=O96,"Valor ≤ venal IPTU",""),"")</f>
        <v/>
      </c>
      <c r="U96" s="10">
        <f>IF(AND(ISNUMBER(M96),ISNUMBER(N96)),IF(N96&gt;0,M96/N96,""),"")</f>
        <v/>
      </c>
      <c r="V96" s="10">
        <f>IF(AND(ISNUMBER(M96),ISNUMBER(O96)),IF(O96&gt;0,M96/O96,""),"")</f>
        <v/>
      </c>
      <c r="W96" s="10">
        <f>IF(AND(ISNUMBER(M96),ISNUMBER(R96)),IF(R96&gt;0,M96/R96,""),"")</f>
        <v/>
      </c>
      <c r="X96" s="10">
        <f>IF(AND(ISNUMBER(Q96),ISNUMBER(M96)),IF(M96&gt;0,Q96/M96,""),"")</f>
        <v/>
      </c>
      <c r="Y96" s="11">
        <f>IF(ISNUMBER(Z96),YEAR(Z96),"")</f>
        <v/>
      </c>
      <c r="Z96" s="12" t="n"/>
      <c r="AA96" s="12" t="n"/>
      <c r="AI96" s="12" t="n"/>
      <c r="AJ96" s="13">
        <f>IF(LEN(TRIM(AF96))=0,"",HYPERLINK("https://www.google.com/maps/@?api=1&amp;map_action=pano&amp;viewpoint="&amp;SUBSTITUTE(AF96," ",""),"Abrir Street View"))</f>
        <v/>
      </c>
    </row>
    <row r="97">
      <c r="H97" s="6" t="n"/>
      <c r="I97" s="6" t="n"/>
      <c r="M97" s="7" t="n"/>
      <c r="N97" s="7" t="n"/>
      <c r="O97" s="7" t="n"/>
      <c r="Q97" s="7" t="n"/>
      <c r="R97" s="7" t="n"/>
      <c r="S97" s="8">
        <f>IF(NOT(ISNUMBER(M97)),"",IF(G97="Terreno",IF(AND(ISNUMBER(I97),I97&gt;0),M97/I97,""),IF(AND(ISNUMBER(H97),H97&gt;0),M97/H97,"")))</f>
        <v/>
      </c>
      <c r="T97" s="9">
        <f>IF(AND(ISNUMBER(M97),ISNUMBER(O97)),IF(M97&lt;=O97,"Valor ≤ venal IPTU",""),"")</f>
        <v/>
      </c>
      <c r="U97" s="10">
        <f>IF(AND(ISNUMBER(M97),ISNUMBER(N97)),IF(N97&gt;0,M97/N97,""),"")</f>
        <v/>
      </c>
      <c r="V97" s="10">
        <f>IF(AND(ISNUMBER(M97),ISNUMBER(O97)),IF(O97&gt;0,M97/O97,""),"")</f>
        <v/>
      </c>
      <c r="W97" s="10">
        <f>IF(AND(ISNUMBER(M97),ISNUMBER(R97)),IF(R97&gt;0,M97/R97,""),"")</f>
        <v/>
      </c>
      <c r="X97" s="10">
        <f>IF(AND(ISNUMBER(Q97),ISNUMBER(M97)),IF(M97&gt;0,Q97/M97,""),"")</f>
        <v/>
      </c>
      <c r="Y97" s="11">
        <f>IF(ISNUMBER(Z97),YEAR(Z97),"")</f>
        <v/>
      </c>
      <c r="Z97" s="12" t="n"/>
      <c r="AA97" s="12" t="n"/>
      <c r="AI97" s="12" t="n"/>
      <c r="AJ97" s="13">
        <f>IF(LEN(TRIM(AF97))=0,"",HYPERLINK("https://www.google.com/maps/@?api=1&amp;map_action=pano&amp;viewpoint="&amp;SUBSTITUTE(AF97," ",""),"Abrir Street View"))</f>
        <v/>
      </c>
    </row>
    <row r="98">
      <c r="H98" s="6" t="n"/>
      <c r="I98" s="6" t="n"/>
      <c r="M98" s="7" t="n"/>
      <c r="N98" s="7" t="n"/>
      <c r="O98" s="7" t="n"/>
      <c r="Q98" s="7" t="n"/>
      <c r="R98" s="7" t="n"/>
      <c r="S98" s="8">
        <f>IF(NOT(ISNUMBER(M98)),"",IF(G98="Terreno",IF(AND(ISNUMBER(I98),I98&gt;0),M98/I98,""),IF(AND(ISNUMBER(H98),H98&gt;0),M98/H98,"")))</f>
        <v/>
      </c>
      <c r="T98" s="9">
        <f>IF(AND(ISNUMBER(M98),ISNUMBER(O98)),IF(M98&lt;=O98,"Valor ≤ venal IPTU",""),"")</f>
        <v/>
      </c>
      <c r="U98" s="10">
        <f>IF(AND(ISNUMBER(M98),ISNUMBER(N98)),IF(N98&gt;0,M98/N98,""),"")</f>
        <v/>
      </c>
      <c r="V98" s="10">
        <f>IF(AND(ISNUMBER(M98),ISNUMBER(O98)),IF(O98&gt;0,M98/O98,""),"")</f>
        <v/>
      </c>
      <c r="W98" s="10">
        <f>IF(AND(ISNUMBER(M98),ISNUMBER(R98)),IF(R98&gt;0,M98/R98,""),"")</f>
        <v/>
      </c>
      <c r="X98" s="10">
        <f>IF(AND(ISNUMBER(Q98),ISNUMBER(M98)),IF(M98&gt;0,Q98/M98,""),"")</f>
        <v/>
      </c>
      <c r="Y98" s="11">
        <f>IF(ISNUMBER(Z98),YEAR(Z98),"")</f>
        <v/>
      </c>
      <c r="Z98" s="12" t="n"/>
      <c r="AA98" s="12" t="n"/>
      <c r="AI98" s="12" t="n"/>
      <c r="AJ98" s="13">
        <f>IF(LEN(TRIM(AF98))=0,"",HYPERLINK("https://www.google.com/maps/@?api=1&amp;map_action=pano&amp;viewpoint="&amp;SUBSTITUTE(AF98," ",""),"Abrir Street View"))</f>
        <v/>
      </c>
    </row>
    <row r="99">
      <c r="H99" s="6" t="n"/>
      <c r="I99" s="6" t="n"/>
      <c r="M99" s="7" t="n"/>
      <c r="N99" s="7" t="n"/>
      <c r="O99" s="7" t="n"/>
      <c r="Q99" s="7" t="n"/>
      <c r="R99" s="7" t="n"/>
      <c r="S99" s="8">
        <f>IF(NOT(ISNUMBER(M99)),"",IF(G99="Terreno",IF(AND(ISNUMBER(I99),I99&gt;0),M99/I99,""),IF(AND(ISNUMBER(H99),H99&gt;0),M99/H99,"")))</f>
        <v/>
      </c>
      <c r="T99" s="9">
        <f>IF(AND(ISNUMBER(M99),ISNUMBER(O99)),IF(M99&lt;=O99,"Valor ≤ venal IPTU",""),"")</f>
        <v/>
      </c>
      <c r="U99" s="10">
        <f>IF(AND(ISNUMBER(M99),ISNUMBER(N99)),IF(N99&gt;0,M99/N99,""),"")</f>
        <v/>
      </c>
      <c r="V99" s="10">
        <f>IF(AND(ISNUMBER(M99),ISNUMBER(O99)),IF(O99&gt;0,M99/O99,""),"")</f>
        <v/>
      </c>
      <c r="W99" s="10">
        <f>IF(AND(ISNUMBER(M99),ISNUMBER(R99)),IF(R99&gt;0,M99/R99,""),"")</f>
        <v/>
      </c>
      <c r="X99" s="10">
        <f>IF(AND(ISNUMBER(Q99),ISNUMBER(M99)),IF(M99&gt;0,Q99/M99,""),"")</f>
        <v/>
      </c>
      <c r="Y99" s="11">
        <f>IF(ISNUMBER(Z99),YEAR(Z99),"")</f>
        <v/>
      </c>
      <c r="Z99" s="12" t="n"/>
      <c r="AA99" s="12" t="n"/>
      <c r="AI99" s="12" t="n"/>
      <c r="AJ99" s="13">
        <f>IF(LEN(TRIM(AF99))=0,"",HYPERLINK("https://www.google.com/maps/@?api=1&amp;map_action=pano&amp;viewpoint="&amp;SUBSTITUTE(AF99," ",""),"Abrir Street View"))</f>
        <v/>
      </c>
    </row>
    <row r="100">
      <c r="H100" s="6" t="n"/>
      <c r="I100" s="6" t="n"/>
      <c r="M100" s="7" t="n"/>
      <c r="N100" s="7" t="n"/>
      <c r="O100" s="7" t="n"/>
      <c r="Q100" s="7" t="n"/>
      <c r="R100" s="7" t="n"/>
      <c r="S100" s="8">
        <f>IF(NOT(ISNUMBER(M100)),"",IF(G100="Terreno",IF(AND(ISNUMBER(I100),I100&gt;0),M100/I100,""),IF(AND(ISNUMBER(H100),H100&gt;0),M100/H100,"")))</f>
        <v/>
      </c>
      <c r="T100" s="9">
        <f>IF(AND(ISNUMBER(M100),ISNUMBER(O100)),IF(M100&lt;=O100,"Valor ≤ venal IPTU",""),"")</f>
        <v/>
      </c>
      <c r="U100" s="10">
        <f>IF(AND(ISNUMBER(M100),ISNUMBER(N100)),IF(N100&gt;0,M100/N100,""),"")</f>
        <v/>
      </c>
      <c r="V100" s="10">
        <f>IF(AND(ISNUMBER(M100),ISNUMBER(O100)),IF(O100&gt;0,M100/O100,""),"")</f>
        <v/>
      </c>
      <c r="W100" s="10">
        <f>IF(AND(ISNUMBER(M100),ISNUMBER(R100)),IF(R100&gt;0,M100/R100,""),"")</f>
        <v/>
      </c>
      <c r="X100" s="10">
        <f>IF(AND(ISNUMBER(Q100),ISNUMBER(M100)),IF(M100&gt;0,Q100/M100,""),"")</f>
        <v/>
      </c>
      <c r="Y100" s="11">
        <f>IF(ISNUMBER(Z100),YEAR(Z100),"")</f>
        <v/>
      </c>
      <c r="Z100" s="12" t="n"/>
      <c r="AA100" s="12" t="n"/>
      <c r="AI100" s="12" t="n"/>
      <c r="AJ100" s="13">
        <f>IF(LEN(TRIM(AF100))=0,"",HYPERLINK("https://www.google.com/maps/@?api=1&amp;map_action=pano&amp;viewpoint="&amp;SUBSTITUTE(AF100," ",""),"Abrir Street View"))</f>
        <v/>
      </c>
    </row>
    <row r="101">
      <c r="H101" s="6" t="n"/>
      <c r="I101" s="6" t="n"/>
      <c r="M101" s="7" t="n"/>
      <c r="N101" s="7" t="n"/>
      <c r="O101" s="7" t="n"/>
      <c r="Q101" s="7" t="n"/>
      <c r="R101" s="7" t="n"/>
      <c r="S101" s="8">
        <f>IF(NOT(ISNUMBER(M101)),"",IF(G101="Terreno",IF(AND(ISNUMBER(I101),I101&gt;0),M101/I101,""),IF(AND(ISNUMBER(H101),H101&gt;0),M101/H101,"")))</f>
        <v/>
      </c>
      <c r="T101" s="9">
        <f>IF(AND(ISNUMBER(M101),ISNUMBER(O101)),IF(M101&lt;=O101,"Valor ≤ venal IPTU",""),"")</f>
        <v/>
      </c>
      <c r="U101" s="10">
        <f>IF(AND(ISNUMBER(M101),ISNUMBER(N101)),IF(N101&gt;0,M101/N101,""),"")</f>
        <v/>
      </c>
      <c r="V101" s="10">
        <f>IF(AND(ISNUMBER(M101),ISNUMBER(O101)),IF(O101&gt;0,M101/O101,""),"")</f>
        <v/>
      </c>
      <c r="W101" s="10">
        <f>IF(AND(ISNUMBER(M101),ISNUMBER(R101)),IF(R101&gt;0,M101/R101,""),"")</f>
        <v/>
      </c>
      <c r="X101" s="10">
        <f>IF(AND(ISNUMBER(Q101),ISNUMBER(M101)),IF(M101&gt;0,Q101/M101,""),"")</f>
        <v/>
      </c>
      <c r="Y101" s="11">
        <f>IF(ISNUMBER(Z101),YEAR(Z101),"")</f>
        <v/>
      </c>
      <c r="Z101" s="12" t="n"/>
      <c r="AA101" s="12" t="n"/>
      <c r="AI101" s="12" t="n"/>
      <c r="AJ101" s="13">
        <f>IF(LEN(TRIM(AF101))=0,"",HYPERLINK("https://www.google.com/maps/@?api=1&amp;map_action=pano&amp;viewpoint="&amp;SUBSTITUTE(AF101," ",""),"Abrir Street View"))</f>
        <v/>
      </c>
    </row>
    <row r="102">
      <c r="H102" s="6" t="n"/>
      <c r="I102" s="6" t="n"/>
      <c r="M102" s="7" t="n"/>
      <c r="N102" s="7" t="n"/>
      <c r="O102" s="7" t="n"/>
      <c r="Q102" s="7" t="n"/>
      <c r="R102" s="7" t="n"/>
      <c r="S102" s="8">
        <f>IF(NOT(ISNUMBER(M102)),"",IF(G102="Terreno",IF(AND(ISNUMBER(I102),I102&gt;0),M102/I102,""),IF(AND(ISNUMBER(H102),H102&gt;0),M102/H102,"")))</f>
        <v/>
      </c>
      <c r="T102" s="9">
        <f>IF(AND(ISNUMBER(M102),ISNUMBER(O102)),IF(M102&lt;=O102,"Valor ≤ venal IPTU",""),"")</f>
        <v/>
      </c>
      <c r="U102" s="10">
        <f>IF(AND(ISNUMBER(M102),ISNUMBER(N102)),IF(N102&gt;0,M102/N102,""),"")</f>
        <v/>
      </c>
      <c r="V102" s="10">
        <f>IF(AND(ISNUMBER(M102),ISNUMBER(O102)),IF(O102&gt;0,M102/O102,""),"")</f>
        <v/>
      </c>
      <c r="W102" s="10">
        <f>IF(AND(ISNUMBER(M102),ISNUMBER(R102)),IF(R102&gt;0,M102/R102,""),"")</f>
        <v/>
      </c>
      <c r="X102" s="10">
        <f>IF(AND(ISNUMBER(Q102),ISNUMBER(M102)),IF(M102&gt;0,Q102/M102,""),"")</f>
        <v/>
      </c>
      <c r="Y102" s="11">
        <f>IF(ISNUMBER(Z102),YEAR(Z102),"")</f>
        <v/>
      </c>
      <c r="Z102" s="12" t="n"/>
      <c r="AA102" s="12" t="n"/>
      <c r="AI102" s="12" t="n"/>
      <c r="AJ102" s="13">
        <f>IF(LEN(TRIM(AF102))=0,"",HYPERLINK("https://www.google.com/maps/@?api=1&amp;map_action=pano&amp;viewpoint="&amp;SUBSTITUTE(AF102," ",""),"Abrir Street View"))</f>
        <v/>
      </c>
    </row>
    <row r="103">
      <c r="H103" s="6" t="n"/>
      <c r="I103" s="6" t="n"/>
      <c r="M103" s="7" t="n"/>
      <c r="N103" s="7" t="n"/>
      <c r="O103" s="7" t="n"/>
      <c r="Q103" s="7" t="n"/>
      <c r="R103" s="7" t="n"/>
      <c r="S103" s="8">
        <f>IF(NOT(ISNUMBER(M103)),"",IF(G103="Terreno",IF(AND(ISNUMBER(I103),I103&gt;0),M103/I103,""),IF(AND(ISNUMBER(H103),H103&gt;0),M103/H103,"")))</f>
        <v/>
      </c>
      <c r="T103" s="9">
        <f>IF(AND(ISNUMBER(M103),ISNUMBER(O103)),IF(M103&lt;=O103,"Valor ≤ venal IPTU",""),"")</f>
        <v/>
      </c>
      <c r="U103" s="10">
        <f>IF(AND(ISNUMBER(M103),ISNUMBER(N103)),IF(N103&gt;0,M103/N103,""),"")</f>
        <v/>
      </c>
      <c r="V103" s="10">
        <f>IF(AND(ISNUMBER(M103),ISNUMBER(O103)),IF(O103&gt;0,M103/O103,""),"")</f>
        <v/>
      </c>
      <c r="W103" s="10">
        <f>IF(AND(ISNUMBER(M103),ISNUMBER(R103)),IF(R103&gt;0,M103/R103,""),"")</f>
        <v/>
      </c>
      <c r="X103" s="10">
        <f>IF(AND(ISNUMBER(Q103),ISNUMBER(M103)),IF(M103&gt;0,Q103/M103,""),"")</f>
        <v/>
      </c>
      <c r="Y103" s="11">
        <f>IF(ISNUMBER(Z103),YEAR(Z103),"")</f>
        <v/>
      </c>
      <c r="Z103" s="12" t="n"/>
      <c r="AA103" s="12" t="n"/>
      <c r="AI103" s="12" t="n"/>
      <c r="AJ103" s="13">
        <f>IF(LEN(TRIM(AF103))=0,"",HYPERLINK("https://www.google.com/maps/@?api=1&amp;map_action=pano&amp;viewpoint="&amp;SUBSTITUTE(AF103," ",""),"Abrir Street View"))</f>
        <v/>
      </c>
    </row>
    <row r="104">
      <c r="H104" s="6" t="n"/>
      <c r="I104" s="6" t="n"/>
      <c r="M104" s="7" t="n"/>
      <c r="N104" s="7" t="n"/>
      <c r="O104" s="7" t="n"/>
      <c r="Q104" s="7" t="n"/>
      <c r="R104" s="7" t="n"/>
      <c r="S104" s="8">
        <f>IF(NOT(ISNUMBER(M104)),"",IF(G104="Terreno",IF(AND(ISNUMBER(I104),I104&gt;0),M104/I104,""),IF(AND(ISNUMBER(H104),H104&gt;0),M104/H104,"")))</f>
        <v/>
      </c>
      <c r="T104" s="9">
        <f>IF(AND(ISNUMBER(M104),ISNUMBER(O104)),IF(M104&lt;=O104,"Valor ≤ venal IPTU",""),"")</f>
        <v/>
      </c>
      <c r="U104" s="10">
        <f>IF(AND(ISNUMBER(M104),ISNUMBER(N104)),IF(N104&gt;0,M104/N104,""),"")</f>
        <v/>
      </c>
      <c r="V104" s="10">
        <f>IF(AND(ISNUMBER(M104),ISNUMBER(O104)),IF(O104&gt;0,M104/O104,""),"")</f>
        <v/>
      </c>
      <c r="W104" s="10">
        <f>IF(AND(ISNUMBER(M104),ISNUMBER(R104)),IF(R104&gt;0,M104/R104,""),"")</f>
        <v/>
      </c>
      <c r="X104" s="10">
        <f>IF(AND(ISNUMBER(Q104),ISNUMBER(M104)),IF(M104&gt;0,Q104/M104,""),"")</f>
        <v/>
      </c>
      <c r="Y104" s="11">
        <f>IF(ISNUMBER(Z104),YEAR(Z104),"")</f>
        <v/>
      </c>
      <c r="Z104" s="12" t="n"/>
      <c r="AA104" s="12" t="n"/>
      <c r="AI104" s="12" t="n"/>
      <c r="AJ104" s="13">
        <f>IF(LEN(TRIM(AF104))=0,"",HYPERLINK("https://www.google.com/maps/@?api=1&amp;map_action=pano&amp;viewpoint="&amp;SUBSTITUTE(AF104," ",""),"Abrir Street View"))</f>
        <v/>
      </c>
    </row>
    <row r="105">
      <c r="H105" s="6" t="n"/>
      <c r="I105" s="6" t="n"/>
      <c r="M105" s="7" t="n"/>
      <c r="N105" s="7" t="n"/>
      <c r="O105" s="7" t="n"/>
      <c r="Q105" s="7" t="n"/>
      <c r="R105" s="7" t="n"/>
      <c r="S105" s="8">
        <f>IF(NOT(ISNUMBER(M105)),"",IF(G105="Terreno",IF(AND(ISNUMBER(I105),I105&gt;0),M105/I105,""),IF(AND(ISNUMBER(H105),H105&gt;0),M105/H105,"")))</f>
        <v/>
      </c>
      <c r="T105" s="9">
        <f>IF(AND(ISNUMBER(M105),ISNUMBER(O105)),IF(M105&lt;=O105,"Valor ≤ venal IPTU",""),"")</f>
        <v/>
      </c>
      <c r="U105" s="10">
        <f>IF(AND(ISNUMBER(M105),ISNUMBER(N105)),IF(N105&gt;0,M105/N105,""),"")</f>
        <v/>
      </c>
      <c r="V105" s="10">
        <f>IF(AND(ISNUMBER(M105),ISNUMBER(O105)),IF(O105&gt;0,M105/O105,""),"")</f>
        <v/>
      </c>
      <c r="W105" s="10">
        <f>IF(AND(ISNUMBER(M105),ISNUMBER(R105)),IF(R105&gt;0,M105/R105,""),"")</f>
        <v/>
      </c>
      <c r="X105" s="10">
        <f>IF(AND(ISNUMBER(Q105),ISNUMBER(M105)),IF(M105&gt;0,Q105/M105,""),"")</f>
        <v/>
      </c>
      <c r="Y105" s="11">
        <f>IF(ISNUMBER(Z105),YEAR(Z105),"")</f>
        <v/>
      </c>
      <c r="Z105" s="12" t="n"/>
      <c r="AA105" s="12" t="n"/>
      <c r="AI105" s="12" t="n"/>
      <c r="AJ105" s="13">
        <f>IF(LEN(TRIM(AF105))=0,"",HYPERLINK("https://www.google.com/maps/@?api=1&amp;map_action=pano&amp;viewpoint="&amp;SUBSTITUTE(AF105," ",""),"Abrir Street View"))</f>
        <v/>
      </c>
    </row>
    <row r="106">
      <c r="H106" s="6" t="n"/>
      <c r="I106" s="6" t="n"/>
      <c r="M106" s="7" t="n"/>
      <c r="N106" s="7" t="n"/>
      <c r="O106" s="7" t="n"/>
      <c r="Q106" s="7" t="n"/>
      <c r="R106" s="7" t="n"/>
      <c r="S106" s="8">
        <f>IF(NOT(ISNUMBER(M106)),"",IF(G106="Terreno",IF(AND(ISNUMBER(I106),I106&gt;0),M106/I106,""),IF(AND(ISNUMBER(H106),H106&gt;0),M106/H106,"")))</f>
        <v/>
      </c>
      <c r="T106" s="9">
        <f>IF(AND(ISNUMBER(M106),ISNUMBER(O106)),IF(M106&lt;=O106,"Valor ≤ venal IPTU",""),"")</f>
        <v/>
      </c>
      <c r="U106" s="10">
        <f>IF(AND(ISNUMBER(M106),ISNUMBER(N106)),IF(N106&gt;0,M106/N106,""),"")</f>
        <v/>
      </c>
      <c r="V106" s="10">
        <f>IF(AND(ISNUMBER(M106),ISNUMBER(O106)),IF(O106&gt;0,M106/O106,""),"")</f>
        <v/>
      </c>
      <c r="W106" s="10">
        <f>IF(AND(ISNUMBER(M106),ISNUMBER(R106)),IF(R106&gt;0,M106/R106,""),"")</f>
        <v/>
      </c>
      <c r="X106" s="10">
        <f>IF(AND(ISNUMBER(Q106),ISNUMBER(M106)),IF(M106&gt;0,Q106/M106,""),"")</f>
        <v/>
      </c>
      <c r="Y106" s="11">
        <f>IF(ISNUMBER(Z106),YEAR(Z106),"")</f>
        <v/>
      </c>
      <c r="Z106" s="12" t="n"/>
      <c r="AA106" s="12" t="n"/>
      <c r="AI106" s="12" t="n"/>
      <c r="AJ106" s="13">
        <f>IF(LEN(TRIM(AF106))=0,"",HYPERLINK("https://www.google.com/maps/@?api=1&amp;map_action=pano&amp;viewpoint="&amp;SUBSTITUTE(AF106," ",""),"Abrir Street View"))</f>
        <v/>
      </c>
    </row>
    <row r="107">
      <c r="H107" s="6" t="n"/>
      <c r="I107" s="6" t="n"/>
      <c r="M107" s="7" t="n"/>
      <c r="N107" s="7" t="n"/>
      <c r="O107" s="7" t="n"/>
      <c r="Q107" s="7" t="n"/>
      <c r="R107" s="7" t="n"/>
      <c r="S107" s="8">
        <f>IF(NOT(ISNUMBER(M107)),"",IF(G107="Terreno",IF(AND(ISNUMBER(I107),I107&gt;0),M107/I107,""),IF(AND(ISNUMBER(H107),H107&gt;0),M107/H107,"")))</f>
        <v/>
      </c>
      <c r="T107" s="9">
        <f>IF(AND(ISNUMBER(M107),ISNUMBER(O107)),IF(M107&lt;=O107,"Valor ≤ venal IPTU",""),"")</f>
        <v/>
      </c>
      <c r="U107" s="10">
        <f>IF(AND(ISNUMBER(M107),ISNUMBER(N107)),IF(N107&gt;0,M107/N107,""),"")</f>
        <v/>
      </c>
      <c r="V107" s="10">
        <f>IF(AND(ISNUMBER(M107),ISNUMBER(O107)),IF(O107&gt;0,M107/O107,""),"")</f>
        <v/>
      </c>
      <c r="W107" s="10">
        <f>IF(AND(ISNUMBER(M107),ISNUMBER(R107)),IF(R107&gt;0,M107/R107,""),"")</f>
        <v/>
      </c>
      <c r="X107" s="10">
        <f>IF(AND(ISNUMBER(Q107),ISNUMBER(M107)),IF(M107&gt;0,Q107/M107,""),"")</f>
        <v/>
      </c>
      <c r="Y107" s="11">
        <f>IF(ISNUMBER(Z107),YEAR(Z107),"")</f>
        <v/>
      </c>
      <c r="Z107" s="12" t="n"/>
      <c r="AA107" s="12" t="n"/>
      <c r="AI107" s="12" t="n"/>
      <c r="AJ107" s="13">
        <f>IF(LEN(TRIM(AF107))=0,"",HYPERLINK("https://www.google.com/maps/@?api=1&amp;map_action=pano&amp;viewpoint="&amp;SUBSTITUTE(AF107," ",""),"Abrir Street View"))</f>
        <v/>
      </c>
    </row>
    <row r="108">
      <c r="H108" s="6" t="n"/>
      <c r="I108" s="6" t="n"/>
      <c r="M108" s="7" t="n"/>
      <c r="N108" s="7" t="n"/>
      <c r="O108" s="7" t="n"/>
      <c r="Q108" s="7" t="n"/>
      <c r="R108" s="7" t="n"/>
      <c r="S108" s="8">
        <f>IF(NOT(ISNUMBER(M108)),"",IF(G108="Terreno",IF(AND(ISNUMBER(I108),I108&gt;0),M108/I108,""),IF(AND(ISNUMBER(H108),H108&gt;0),M108/H108,"")))</f>
        <v/>
      </c>
      <c r="T108" s="9">
        <f>IF(AND(ISNUMBER(M108),ISNUMBER(O108)),IF(M108&lt;=O108,"Valor ≤ venal IPTU",""),"")</f>
        <v/>
      </c>
      <c r="U108" s="10">
        <f>IF(AND(ISNUMBER(M108),ISNUMBER(N108)),IF(N108&gt;0,M108/N108,""),"")</f>
        <v/>
      </c>
      <c r="V108" s="10">
        <f>IF(AND(ISNUMBER(M108),ISNUMBER(O108)),IF(O108&gt;0,M108/O108,""),"")</f>
        <v/>
      </c>
      <c r="W108" s="10">
        <f>IF(AND(ISNUMBER(M108),ISNUMBER(R108)),IF(R108&gt;0,M108/R108,""),"")</f>
        <v/>
      </c>
      <c r="X108" s="10">
        <f>IF(AND(ISNUMBER(Q108),ISNUMBER(M108)),IF(M108&gt;0,Q108/M108,""),"")</f>
        <v/>
      </c>
      <c r="Y108" s="11">
        <f>IF(ISNUMBER(Z108),YEAR(Z108),"")</f>
        <v/>
      </c>
      <c r="Z108" s="12" t="n"/>
      <c r="AA108" s="12" t="n"/>
      <c r="AI108" s="12" t="n"/>
      <c r="AJ108" s="13">
        <f>IF(LEN(TRIM(AF108))=0,"",HYPERLINK("https://www.google.com/maps/@?api=1&amp;map_action=pano&amp;viewpoint="&amp;SUBSTITUTE(AF108," ",""),"Abrir Street View"))</f>
        <v/>
      </c>
    </row>
    <row r="109">
      <c r="H109" s="6" t="n"/>
      <c r="I109" s="6" t="n"/>
      <c r="M109" s="7" t="n"/>
      <c r="N109" s="7" t="n"/>
      <c r="O109" s="7" t="n"/>
      <c r="Q109" s="7" t="n"/>
      <c r="R109" s="7" t="n"/>
      <c r="S109" s="8">
        <f>IF(NOT(ISNUMBER(M109)),"",IF(G109="Terreno",IF(AND(ISNUMBER(I109),I109&gt;0),M109/I109,""),IF(AND(ISNUMBER(H109),H109&gt;0),M109/H109,"")))</f>
        <v/>
      </c>
      <c r="T109" s="9">
        <f>IF(AND(ISNUMBER(M109),ISNUMBER(O109)),IF(M109&lt;=O109,"Valor ≤ venal IPTU",""),"")</f>
        <v/>
      </c>
      <c r="U109" s="10">
        <f>IF(AND(ISNUMBER(M109),ISNUMBER(N109)),IF(N109&gt;0,M109/N109,""),"")</f>
        <v/>
      </c>
      <c r="V109" s="10">
        <f>IF(AND(ISNUMBER(M109),ISNUMBER(O109)),IF(O109&gt;0,M109/O109,""),"")</f>
        <v/>
      </c>
      <c r="W109" s="10">
        <f>IF(AND(ISNUMBER(M109),ISNUMBER(R109)),IF(R109&gt;0,M109/R109,""),"")</f>
        <v/>
      </c>
      <c r="X109" s="10">
        <f>IF(AND(ISNUMBER(Q109),ISNUMBER(M109)),IF(M109&gt;0,Q109/M109,""),"")</f>
        <v/>
      </c>
      <c r="Y109" s="11">
        <f>IF(ISNUMBER(Z109),YEAR(Z109),"")</f>
        <v/>
      </c>
      <c r="Z109" s="12" t="n"/>
      <c r="AA109" s="12" t="n"/>
      <c r="AI109" s="12" t="n"/>
      <c r="AJ109" s="13">
        <f>IF(LEN(TRIM(AF109))=0,"",HYPERLINK("https://www.google.com/maps/@?api=1&amp;map_action=pano&amp;viewpoint="&amp;SUBSTITUTE(AF109," ",""),"Abrir Street View"))</f>
        <v/>
      </c>
    </row>
    <row r="110">
      <c r="H110" s="6" t="n"/>
      <c r="I110" s="6" t="n"/>
      <c r="M110" s="7" t="n"/>
      <c r="N110" s="7" t="n"/>
      <c r="O110" s="7" t="n"/>
      <c r="Q110" s="7" t="n"/>
      <c r="R110" s="7" t="n"/>
      <c r="S110" s="8">
        <f>IF(NOT(ISNUMBER(M110)),"",IF(G110="Terreno",IF(AND(ISNUMBER(I110),I110&gt;0),M110/I110,""),IF(AND(ISNUMBER(H110),H110&gt;0),M110/H110,"")))</f>
        <v/>
      </c>
      <c r="T110" s="9">
        <f>IF(AND(ISNUMBER(M110),ISNUMBER(O110)),IF(M110&lt;=O110,"Valor ≤ venal IPTU",""),"")</f>
        <v/>
      </c>
      <c r="U110" s="10">
        <f>IF(AND(ISNUMBER(M110),ISNUMBER(N110)),IF(N110&gt;0,M110/N110,""),"")</f>
        <v/>
      </c>
      <c r="V110" s="10">
        <f>IF(AND(ISNUMBER(M110),ISNUMBER(O110)),IF(O110&gt;0,M110/O110,""),"")</f>
        <v/>
      </c>
      <c r="W110" s="10">
        <f>IF(AND(ISNUMBER(M110),ISNUMBER(R110)),IF(R110&gt;0,M110/R110,""),"")</f>
        <v/>
      </c>
      <c r="X110" s="10">
        <f>IF(AND(ISNUMBER(Q110),ISNUMBER(M110)),IF(M110&gt;0,Q110/M110,""),"")</f>
        <v/>
      </c>
      <c r="Y110" s="11">
        <f>IF(ISNUMBER(Z110),YEAR(Z110),"")</f>
        <v/>
      </c>
      <c r="Z110" s="12" t="n"/>
      <c r="AA110" s="12" t="n"/>
      <c r="AI110" s="12" t="n"/>
      <c r="AJ110" s="13">
        <f>IF(LEN(TRIM(AF110))=0,"",HYPERLINK("https://www.google.com/maps/@?api=1&amp;map_action=pano&amp;viewpoint="&amp;SUBSTITUTE(AF110," ",""),"Abrir Street View"))</f>
        <v/>
      </c>
    </row>
    <row r="111">
      <c r="H111" s="6" t="n"/>
      <c r="I111" s="6" t="n"/>
      <c r="M111" s="7" t="n"/>
      <c r="N111" s="7" t="n"/>
      <c r="O111" s="7" t="n"/>
      <c r="Q111" s="7" t="n"/>
      <c r="R111" s="7" t="n"/>
      <c r="S111" s="8">
        <f>IF(NOT(ISNUMBER(M111)),"",IF(G111="Terreno",IF(AND(ISNUMBER(I111),I111&gt;0),M111/I111,""),IF(AND(ISNUMBER(H111),H111&gt;0),M111/H111,"")))</f>
        <v/>
      </c>
      <c r="T111" s="9">
        <f>IF(AND(ISNUMBER(M111),ISNUMBER(O111)),IF(M111&lt;=O111,"Valor ≤ venal IPTU",""),"")</f>
        <v/>
      </c>
      <c r="U111" s="10">
        <f>IF(AND(ISNUMBER(M111),ISNUMBER(N111)),IF(N111&gt;0,M111/N111,""),"")</f>
        <v/>
      </c>
      <c r="V111" s="10">
        <f>IF(AND(ISNUMBER(M111),ISNUMBER(O111)),IF(O111&gt;0,M111/O111,""),"")</f>
        <v/>
      </c>
      <c r="W111" s="10">
        <f>IF(AND(ISNUMBER(M111),ISNUMBER(R111)),IF(R111&gt;0,M111/R111,""),"")</f>
        <v/>
      </c>
      <c r="X111" s="10">
        <f>IF(AND(ISNUMBER(Q111),ISNUMBER(M111)),IF(M111&gt;0,Q111/M111,""),"")</f>
        <v/>
      </c>
      <c r="Y111" s="11">
        <f>IF(ISNUMBER(Z111),YEAR(Z111),"")</f>
        <v/>
      </c>
      <c r="Z111" s="12" t="n"/>
      <c r="AA111" s="12" t="n"/>
      <c r="AI111" s="12" t="n"/>
      <c r="AJ111" s="13">
        <f>IF(LEN(TRIM(AF111))=0,"",HYPERLINK("https://www.google.com/maps/@?api=1&amp;map_action=pano&amp;viewpoint="&amp;SUBSTITUTE(AF111," ",""),"Abrir Street View"))</f>
        <v/>
      </c>
    </row>
    <row r="112">
      <c r="H112" s="6" t="n"/>
      <c r="I112" s="6" t="n"/>
      <c r="M112" s="7" t="n"/>
      <c r="N112" s="7" t="n"/>
      <c r="O112" s="7" t="n"/>
      <c r="Q112" s="7" t="n"/>
      <c r="R112" s="7" t="n"/>
      <c r="S112" s="8">
        <f>IF(NOT(ISNUMBER(M112)),"",IF(G112="Terreno",IF(AND(ISNUMBER(I112),I112&gt;0),M112/I112,""),IF(AND(ISNUMBER(H112),H112&gt;0),M112/H112,"")))</f>
        <v/>
      </c>
      <c r="T112" s="9">
        <f>IF(AND(ISNUMBER(M112),ISNUMBER(O112)),IF(M112&lt;=O112,"Valor ≤ venal IPTU",""),"")</f>
        <v/>
      </c>
      <c r="U112" s="10">
        <f>IF(AND(ISNUMBER(M112),ISNUMBER(N112)),IF(N112&gt;0,M112/N112,""),"")</f>
        <v/>
      </c>
      <c r="V112" s="10">
        <f>IF(AND(ISNUMBER(M112),ISNUMBER(O112)),IF(O112&gt;0,M112/O112,""),"")</f>
        <v/>
      </c>
      <c r="W112" s="10">
        <f>IF(AND(ISNUMBER(M112),ISNUMBER(R112)),IF(R112&gt;0,M112/R112,""),"")</f>
        <v/>
      </c>
      <c r="X112" s="10">
        <f>IF(AND(ISNUMBER(Q112),ISNUMBER(M112)),IF(M112&gt;0,Q112/M112,""),"")</f>
        <v/>
      </c>
      <c r="Y112" s="11">
        <f>IF(ISNUMBER(Z112),YEAR(Z112),"")</f>
        <v/>
      </c>
      <c r="Z112" s="12" t="n"/>
      <c r="AA112" s="12" t="n"/>
      <c r="AI112" s="12" t="n"/>
      <c r="AJ112" s="13">
        <f>IF(LEN(TRIM(AF112))=0,"",HYPERLINK("https://www.google.com/maps/@?api=1&amp;map_action=pano&amp;viewpoint="&amp;SUBSTITUTE(AF112," ",""),"Abrir Street View"))</f>
        <v/>
      </c>
    </row>
    <row r="113">
      <c r="H113" s="6" t="n"/>
      <c r="I113" s="6" t="n"/>
      <c r="M113" s="7" t="n"/>
      <c r="N113" s="7" t="n"/>
      <c r="O113" s="7" t="n"/>
      <c r="Q113" s="7" t="n"/>
      <c r="R113" s="7" t="n"/>
      <c r="S113" s="8">
        <f>IF(NOT(ISNUMBER(M113)),"",IF(G113="Terreno",IF(AND(ISNUMBER(I113),I113&gt;0),M113/I113,""),IF(AND(ISNUMBER(H113),H113&gt;0),M113/H113,"")))</f>
        <v/>
      </c>
      <c r="T113" s="9">
        <f>IF(AND(ISNUMBER(M113),ISNUMBER(O113)),IF(M113&lt;=O113,"Valor ≤ venal IPTU",""),"")</f>
        <v/>
      </c>
      <c r="U113" s="10">
        <f>IF(AND(ISNUMBER(M113),ISNUMBER(N113)),IF(N113&gt;0,M113/N113,""),"")</f>
        <v/>
      </c>
      <c r="V113" s="10">
        <f>IF(AND(ISNUMBER(M113),ISNUMBER(O113)),IF(O113&gt;0,M113/O113,""),"")</f>
        <v/>
      </c>
      <c r="W113" s="10">
        <f>IF(AND(ISNUMBER(M113),ISNUMBER(R113)),IF(R113&gt;0,M113/R113,""),"")</f>
        <v/>
      </c>
      <c r="X113" s="10">
        <f>IF(AND(ISNUMBER(Q113),ISNUMBER(M113)),IF(M113&gt;0,Q113/M113,""),"")</f>
        <v/>
      </c>
      <c r="Y113" s="11">
        <f>IF(ISNUMBER(Z113),YEAR(Z113),"")</f>
        <v/>
      </c>
      <c r="Z113" s="12" t="n"/>
      <c r="AA113" s="12" t="n"/>
      <c r="AI113" s="12" t="n"/>
      <c r="AJ113" s="13">
        <f>IF(LEN(TRIM(AF113))=0,"",HYPERLINK("https://www.google.com/maps/@?api=1&amp;map_action=pano&amp;viewpoint="&amp;SUBSTITUTE(AF113," ",""),"Abrir Street View"))</f>
        <v/>
      </c>
    </row>
    <row r="114">
      <c r="H114" s="6" t="n"/>
      <c r="I114" s="6" t="n"/>
      <c r="M114" s="7" t="n"/>
      <c r="N114" s="7" t="n"/>
      <c r="O114" s="7" t="n"/>
      <c r="Q114" s="7" t="n"/>
      <c r="R114" s="7" t="n"/>
      <c r="S114" s="8">
        <f>IF(NOT(ISNUMBER(M114)),"",IF(G114="Terreno",IF(AND(ISNUMBER(I114),I114&gt;0),M114/I114,""),IF(AND(ISNUMBER(H114),H114&gt;0),M114/H114,"")))</f>
        <v/>
      </c>
      <c r="T114" s="9">
        <f>IF(AND(ISNUMBER(M114),ISNUMBER(O114)),IF(M114&lt;=O114,"Valor ≤ venal IPTU",""),"")</f>
        <v/>
      </c>
      <c r="U114" s="10">
        <f>IF(AND(ISNUMBER(M114),ISNUMBER(N114)),IF(N114&gt;0,M114/N114,""),"")</f>
        <v/>
      </c>
      <c r="V114" s="10">
        <f>IF(AND(ISNUMBER(M114),ISNUMBER(O114)),IF(O114&gt;0,M114/O114,""),"")</f>
        <v/>
      </c>
      <c r="W114" s="10">
        <f>IF(AND(ISNUMBER(M114),ISNUMBER(R114)),IF(R114&gt;0,M114/R114,""),"")</f>
        <v/>
      </c>
      <c r="X114" s="10">
        <f>IF(AND(ISNUMBER(Q114),ISNUMBER(M114)),IF(M114&gt;0,Q114/M114,""),"")</f>
        <v/>
      </c>
      <c r="Y114" s="11">
        <f>IF(ISNUMBER(Z114),YEAR(Z114),"")</f>
        <v/>
      </c>
      <c r="Z114" s="12" t="n"/>
      <c r="AA114" s="12" t="n"/>
      <c r="AI114" s="12" t="n"/>
      <c r="AJ114" s="13">
        <f>IF(LEN(TRIM(AF114))=0,"",HYPERLINK("https://www.google.com/maps/@?api=1&amp;map_action=pano&amp;viewpoint="&amp;SUBSTITUTE(AF114," ",""),"Abrir Street View"))</f>
        <v/>
      </c>
    </row>
    <row r="115">
      <c r="H115" s="6" t="n"/>
      <c r="I115" s="6" t="n"/>
      <c r="M115" s="7" t="n"/>
      <c r="N115" s="7" t="n"/>
      <c r="O115" s="7" t="n"/>
      <c r="Q115" s="7" t="n"/>
      <c r="R115" s="7" t="n"/>
      <c r="S115" s="8">
        <f>IF(NOT(ISNUMBER(M115)),"",IF(G115="Terreno",IF(AND(ISNUMBER(I115),I115&gt;0),M115/I115,""),IF(AND(ISNUMBER(H115),H115&gt;0),M115/H115,"")))</f>
        <v/>
      </c>
      <c r="T115" s="9">
        <f>IF(AND(ISNUMBER(M115),ISNUMBER(O115)),IF(M115&lt;=O115,"Valor ≤ venal IPTU",""),"")</f>
        <v/>
      </c>
      <c r="U115" s="10">
        <f>IF(AND(ISNUMBER(M115),ISNUMBER(N115)),IF(N115&gt;0,M115/N115,""),"")</f>
        <v/>
      </c>
      <c r="V115" s="10">
        <f>IF(AND(ISNUMBER(M115),ISNUMBER(O115)),IF(O115&gt;0,M115/O115,""),"")</f>
        <v/>
      </c>
      <c r="W115" s="10">
        <f>IF(AND(ISNUMBER(M115),ISNUMBER(R115)),IF(R115&gt;0,M115/R115,""),"")</f>
        <v/>
      </c>
      <c r="X115" s="10">
        <f>IF(AND(ISNUMBER(Q115),ISNUMBER(M115)),IF(M115&gt;0,Q115/M115,""),"")</f>
        <v/>
      </c>
      <c r="Y115" s="11">
        <f>IF(ISNUMBER(Z115),YEAR(Z115),"")</f>
        <v/>
      </c>
      <c r="Z115" s="12" t="n"/>
      <c r="AA115" s="12" t="n"/>
      <c r="AI115" s="12" t="n"/>
      <c r="AJ115" s="13">
        <f>IF(LEN(TRIM(AF115))=0,"",HYPERLINK("https://www.google.com/maps/@?api=1&amp;map_action=pano&amp;viewpoint="&amp;SUBSTITUTE(AF115," ",""),"Abrir Street View"))</f>
        <v/>
      </c>
    </row>
    <row r="116">
      <c r="H116" s="6" t="n"/>
      <c r="I116" s="6" t="n"/>
      <c r="M116" s="7" t="n"/>
      <c r="N116" s="7" t="n"/>
      <c r="O116" s="7" t="n"/>
      <c r="Q116" s="7" t="n"/>
      <c r="R116" s="7" t="n"/>
      <c r="S116" s="8">
        <f>IF(NOT(ISNUMBER(M116)),"",IF(G116="Terreno",IF(AND(ISNUMBER(I116),I116&gt;0),M116/I116,""),IF(AND(ISNUMBER(H116),H116&gt;0),M116/H116,"")))</f>
        <v/>
      </c>
      <c r="T116" s="9">
        <f>IF(AND(ISNUMBER(M116),ISNUMBER(O116)),IF(M116&lt;=O116,"Valor ≤ venal IPTU",""),"")</f>
        <v/>
      </c>
      <c r="U116" s="10">
        <f>IF(AND(ISNUMBER(M116),ISNUMBER(N116)),IF(N116&gt;0,M116/N116,""),"")</f>
        <v/>
      </c>
      <c r="V116" s="10">
        <f>IF(AND(ISNUMBER(M116),ISNUMBER(O116)),IF(O116&gt;0,M116/O116,""),"")</f>
        <v/>
      </c>
      <c r="W116" s="10">
        <f>IF(AND(ISNUMBER(M116),ISNUMBER(R116)),IF(R116&gt;0,M116/R116,""),"")</f>
        <v/>
      </c>
      <c r="X116" s="10">
        <f>IF(AND(ISNUMBER(Q116),ISNUMBER(M116)),IF(M116&gt;0,Q116/M116,""),"")</f>
        <v/>
      </c>
      <c r="Y116" s="11">
        <f>IF(ISNUMBER(Z116),YEAR(Z116),"")</f>
        <v/>
      </c>
      <c r="Z116" s="12" t="n"/>
      <c r="AA116" s="12" t="n"/>
      <c r="AI116" s="12" t="n"/>
      <c r="AJ116" s="13">
        <f>IF(LEN(TRIM(AF116))=0,"",HYPERLINK("https://www.google.com/maps/@?api=1&amp;map_action=pano&amp;viewpoint="&amp;SUBSTITUTE(AF116," ",""),"Abrir Street View"))</f>
        <v/>
      </c>
    </row>
    <row r="117">
      <c r="H117" s="6" t="n"/>
      <c r="I117" s="6" t="n"/>
      <c r="M117" s="7" t="n"/>
      <c r="N117" s="7" t="n"/>
      <c r="O117" s="7" t="n"/>
      <c r="Q117" s="7" t="n"/>
      <c r="R117" s="7" t="n"/>
      <c r="S117" s="8">
        <f>IF(NOT(ISNUMBER(M117)),"",IF(G117="Terreno",IF(AND(ISNUMBER(I117),I117&gt;0),M117/I117,""),IF(AND(ISNUMBER(H117),H117&gt;0),M117/H117,"")))</f>
        <v/>
      </c>
      <c r="T117" s="9">
        <f>IF(AND(ISNUMBER(M117),ISNUMBER(O117)),IF(M117&lt;=O117,"Valor ≤ venal IPTU",""),"")</f>
        <v/>
      </c>
      <c r="U117" s="10">
        <f>IF(AND(ISNUMBER(M117),ISNUMBER(N117)),IF(N117&gt;0,M117/N117,""),"")</f>
        <v/>
      </c>
      <c r="V117" s="10">
        <f>IF(AND(ISNUMBER(M117),ISNUMBER(O117)),IF(O117&gt;0,M117/O117,""),"")</f>
        <v/>
      </c>
      <c r="W117" s="10">
        <f>IF(AND(ISNUMBER(M117),ISNUMBER(R117)),IF(R117&gt;0,M117/R117,""),"")</f>
        <v/>
      </c>
      <c r="X117" s="10">
        <f>IF(AND(ISNUMBER(Q117),ISNUMBER(M117)),IF(M117&gt;0,Q117/M117,""),"")</f>
        <v/>
      </c>
      <c r="Y117" s="11">
        <f>IF(ISNUMBER(Z117),YEAR(Z117),"")</f>
        <v/>
      </c>
      <c r="Z117" s="12" t="n"/>
      <c r="AA117" s="12" t="n"/>
      <c r="AI117" s="12" t="n"/>
      <c r="AJ117" s="13">
        <f>IF(LEN(TRIM(AF117))=0,"",HYPERLINK("https://www.google.com/maps/@?api=1&amp;map_action=pano&amp;viewpoint="&amp;SUBSTITUTE(AF117," ",""),"Abrir Street View"))</f>
        <v/>
      </c>
    </row>
    <row r="118">
      <c r="H118" s="6" t="n"/>
      <c r="I118" s="6" t="n"/>
      <c r="M118" s="7" t="n"/>
      <c r="N118" s="7" t="n"/>
      <c r="O118" s="7" t="n"/>
      <c r="Q118" s="7" t="n"/>
      <c r="R118" s="7" t="n"/>
      <c r="S118" s="8">
        <f>IF(NOT(ISNUMBER(M118)),"",IF(G118="Terreno",IF(AND(ISNUMBER(I118),I118&gt;0),M118/I118,""),IF(AND(ISNUMBER(H118),H118&gt;0),M118/H118,"")))</f>
        <v/>
      </c>
      <c r="T118" s="9">
        <f>IF(AND(ISNUMBER(M118),ISNUMBER(O118)),IF(M118&lt;=O118,"Valor ≤ venal IPTU",""),"")</f>
        <v/>
      </c>
      <c r="U118" s="10">
        <f>IF(AND(ISNUMBER(M118),ISNUMBER(N118)),IF(N118&gt;0,M118/N118,""),"")</f>
        <v/>
      </c>
      <c r="V118" s="10">
        <f>IF(AND(ISNUMBER(M118),ISNUMBER(O118)),IF(O118&gt;0,M118/O118,""),"")</f>
        <v/>
      </c>
      <c r="W118" s="10">
        <f>IF(AND(ISNUMBER(M118),ISNUMBER(R118)),IF(R118&gt;0,M118/R118,""),"")</f>
        <v/>
      </c>
      <c r="X118" s="10">
        <f>IF(AND(ISNUMBER(Q118),ISNUMBER(M118)),IF(M118&gt;0,Q118/M118,""),"")</f>
        <v/>
      </c>
      <c r="Y118" s="11">
        <f>IF(ISNUMBER(Z118),YEAR(Z118),"")</f>
        <v/>
      </c>
      <c r="Z118" s="12" t="n"/>
      <c r="AA118" s="12" t="n"/>
      <c r="AI118" s="12" t="n"/>
      <c r="AJ118" s="13">
        <f>IF(LEN(TRIM(AF118))=0,"",HYPERLINK("https://www.google.com/maps/@?api=1&amp;map_action=pano&amp;viewpoint="&amp;SUBSTITUTE(AF118," ",""),"Abrir Street View"))</f>
        <v/>
      </c>
    </row>
    <row r="119">
      <c r="H119" s="6" t="n"/>
      <c r="I119" s="6" t="n"/>
      <c r="M119" s="7" t="n"/>
      <c r="N119" s="7" t="n"/>
      <c r="O119" s="7" t="n"/>
      <c r="Q119" s="7" t="n"/>
      <c r="R119" s="7" t="n"/>
      <c r="S119" s="8">
        <f>IF(NOT(ISNUMBER(M119)),"",IF(G119="Terreno",IF(AND(ISNUMBER(I119),I119&gt;0),M119/I119,""),IF(AND(ISNUMBER(H119),H119&gt;0),M119/H119,"")))</f>
        <v/>
      </c>
      <c r="T119" s="9">
        <f>IF(AND(ISNUMBER(M119),ISNUMBER(O119)),IF(M119&lt;=O119,"Valor ≤ venal IPTU",""),"")</f>
        <v/>
      </c>
      <c r="U119" s="10">
        <f>IF(AND(ISNUMBER(M119),ISNUMBER(N119)),IF(N119&gt;0,M119/N119,""),"")</f>
        <v/>
      </c>
      <c r="V119" s="10">
        <f>IF(AND(ISNUMBER(M119),ISNUMBER(O119)),IF(O119&gt;0,M119/O119,""),"")</f>
        <v/>
      </c>
      <c r="W119" s="10">
        <f>IF(AND(ISNUMBER(M119),ISNUMBER(R119)),IF(R119&gt;0,M119/R119,""),"")</f>
        <v/>
      </c>
      <c r="X119" s="10">
        <f>IF(AND(ISNUMBER(Q119),ISNUMBER(M119)),IF(M119&gt;0,Q119/M119,""),"")</f>
        <v/>
      </c>
      <c r="Y119" s="11">
        <f>IF(ISNUMBER(Z119),YEAR(Z119),"")</f>
        <v/>
      </c>
      <c r="Z119" s="12" t="n"/>
      <c r="AA119" s="12" t="n"/>
      <c r="AI119" s="12" t="n"/>
      <c r="AJ119" s="13">
        <f>IF(LEN(TRIM(AF119))=0,"",HYPERLINK("https://www.google.com/maps/@?api=1&amp;map_action=pano&amp;viewpoint="&amp;SUBSTITUTE(AF119," ",""),"Abrir Street View"))</f>
        <v/>
      </c>
    </row>
    <row r="120">
      <c r="H120" s="6" t="n"/>
      <c r="I120" s="6" t="n"/>
      <c r="M120" s="7" t="n"/>
      <c r="N120" s="7" t="n"/>
      <c r="O120" s="7" t="n"/>
      <c r="Q120" s="7" t="n"/>
      <c r="R120" s="7" t="n"/>
      <c r="S120" s="8">
        <f>IF(NOT(ISNUMBER(M120)),"",IF(G120="Terreno",IF(AND(ISNUMBER(I120),I120&gt;0),M120/I120,""),IF(AND(ISNUMBER(H120),H120&gt;0),M120/H120,"")))</f>
        <v/>
      </c>
      <c r="T120" s="9">
        <f>IF(AND(ISNUMBER(M120),ISNUMBER(O120)),IF(M120&lt;=O120,"Valor ≤ venal IPTU",""),"")</f>
        <v/>
      </c>
      <c r="U120" s="10">
        <f>IF(AND(ISNUMBER(M120),ISNUMBER(N120)),IF(N120&gt;0,M120/N120,""),"")</f>
        <v/>
      </c>
      <c r="V120" s="10">
        <f>IF(AND(ISNUMBER(M120),ISNUMBER(O120)),IF(O120&gt;0,M120/O120,""),"")</f>
        <v/>
      </c>
      <c r="W120" s="10">
        <f>IF(AND(ISNUMBER(M120),ISNUMBER(R120)),IF(R120&gt;0,M120/R120,""),"")</f>
        <v/>
      </c>
      <c r="X120" s="10">
        <f>IF(AND(ISNUMBER(Q120),ISNUMBER(M120)),IF(M120&gt;0,Q120/M120,""),"")</f>
        <v/>
      </c>
      <c r="Y120" s="11">
        <f>IF(ISNUMBER(Z120),YEAR(Z120),"")</f>
        <v/>
      </c>
      <c r="Z120" s="12" t="n"/>
      <c r="AA120" s="12" t="n"/>
      <c r="AI120" s="12" t="n"/>
      <c r="AJ120" s="13">
        <f>IF(LEN(TRIM(AF120))=0,"",HYPERLINK("https://www.google.com/maps/@?api=1&amp;map_action=pano&amp;viewpoint="&amp;SUBSTITUTE(AF120," ",""),"Abrir Street View"))</f>
        <v/>
      </c>
    </row>
    <row r="121">
      <c r="H121" s="6" t="n"/>
      <c r="I121" s="6" t="n"/>
      <c r="M121" s="7" t="n"/>
      <c r="N121" s="7" t="n"/>
      <c r="O121" s="7" t="n"/>
      <c r="Q121" s="7" t="n"/>
      <c r="R121" s="7" t="n"/>
      <c r="S121" s="8">
        <f>IF(NOT(ISNUMBER(M121)),"",IF(G121="Terreno",IF(AND(ISNUMBER(I121),I121&gt;0),M121/I121,""),IF(AND(ISNUMBER(H121),H121&gt;0),M121/H121,"")))</f>
        <v/>
      </c>
      <c r="T121" s="9">
        <f>IF(AND(ISNUMBER(M121),ISNUMBER(O121)),IF(M121&lt;=O121,"Valor ≤ venal IPTU",""),"")</f>
        <v/>
      </c>
      <c r="U121" s="10">
        <f>IF(AND(ISNUMBER(M121),ISNUMBER(N121)),IF(N121&gt;0,M121/N121,""),"")</f>
        <v/>
      </c>
      <c r="V121" s="10">
        <f>IF(AND(ISNUMBER(M121),ISNUMBER(O121)),IF(O121&gt;0,M121/O121,""),"")</f>
        <v/>
      </c>
      <c r="W121" s="10">
        <f>IF(AND(ISNUMBER(M121),ISNUMBER(R121)),IF(R121&gt;0,M121/R121,""),"")</f>
        <v/>
      </c>
      <c r="X121" s="10">
        <f>IF(AND(ISNUMBER(Q121),ISNUMBER(M121)),IF(M121&gt;0,Q121/M121,""),"")</f>
        <v/>
      </c>
      <c r="Y121" s="11">
        <f>IF(ISNUMBER(Z121),YEAR(Z121),"")</f>
        <v/>
      </c>
      <c r="Z121" s="12" t="n"/>
      <c r="AA121" s="12" t="n"/>
      <c r="AI121" s="12" t="n"/>
      <c r="AJ121" s="13">
        <f>IF(LEN(TRIM(AF121))=0,"",HYPERLINK("https://www.google.com/maps/@?api=1&amp;map_action=pano&amp;viewpoint="&amp;SUBSTITUTE(AF121," ",""),"Abrir Street View"))</f>
        <v/>
      </c>
    </row>
    <row r="122">
      <c r="H122" s="6" t="n"/>
      <c r="I122" s="6" t="n"/>
      <c r="M122" s="7" t="n"/>
      <c r="N122" s="7" t="n"/>
      <c r="O122" s="7" t="n"/>
      <c r="Q122" s="7" t="n"/>
      <c r="R122" s="7" t="n"/>
      <c r="S122" s="8">
        <f>IF(NOT(ISNUMBER(M122)),"",IF(G122="Terreno",IF(AND(ISNUMBER(I122),I122&gt;0),M122/I122,""),IF(AND(ISNUMBER(H122),H122&gt;0),M122/H122,"")))</f>
        <v/>
      </c>
      <c r="T122" s="9">
        <f>IF(AND(ISNUMBER(M122),ISNUMBER(O122)),IF(M122&lt;=O122,"Valor ≤ venal IPTU",""),"")</f>
        <v/>
      </c>
      <c r="U122" s="10">
        <f>IF(AND(ISNUMBER(M122),ISNUMBER(N122)),IF(N122&gt;0,M122/N122,""),"")</f>
        <v/>
      </c>
      <c r="V122" s="10">
        <f>IF(AND(ISNUMBER(M122),ISNUMBER(O122)),IF(O122&gt;0,M122/O122,""),"")</f>
        <v/>
      </c>
      <c r="W122" s="10">
        <f>IF(AND(ISNUMBER(M122),ISNUMBER(R122)),IF(R122&gt;0,M122/R122,""),"")</f>
        <v/>
      </c>
      <c r="X122" s="10">
        <f>IF(AND(ISNUMBER(Q122),ISNUMBER(M122)),IF(M122&gt;0,Q122/M122,""),"")</f>
        <v/>
      </c>
      <c r="Y122" s="11">
        <f>IF(ISNUMBER(Z122),YEAR(Z122),"")</f>
        <v/>
      </c>
      <c r="Z122" s="12" t="n"/>
      <c r="AA122" s="12" t="n"/>
      <c r="AI122" s="12" t="n"/>
      <c r="AJ122" s="13">
        <f>IF(LEN(TRIM(AF122))=0,"",HYPERLINK("https://www.google.com/maps/@?api=1&amp;map_action=pano&amp;viewpoint="&amp;SUBSTITUTE(AF122," ",""),"Abrir Street View"))</f>
        <v/>
      </c>
    </row>
    <row r="123">
      <c r="H123" s="6" t="n"/>
      <c r="I123" s="6" t="n"/>
      <c r="M123" s="7" t="n"/>
      <c r="N123" s="7" t="n"/>
      <c r="O123" s="7" t="n"/>
      <c r="Q123" s="7" t="n"/>
      <c r="R123" s="7" t="n"/>
      <c r="S123" s="8">
        <f>IF(NOT(ISNUMBER(M123)),"",IF(G123="Terreno",IF(AND(ISNUMBER(I123),I123&gt;0),M123/I123,""),IF(AND(ISNUMBER(H123),H123&gt;0),M123/H123,"")))</f>
        <v/>
      </c>
      <c r="T123" s="9">
        <f>IF(AND(ISNUMBER(M123),ISNUMBER(O123)),IF(M123&lt;=O123,"Valor ≤ venal IPTU",""),"")</f>
        <v/>
      </c>
      <c r="U123" s="10">
        <f>IF(AND(ISNUMBER(M123),ISNUMBER(N123)),IF(N123&gt;0,M123/N123,""),"")</f>
        <v/>
      </c>
      <c r="V123" s="10">
        <f>IF(AND(ISNUMBER(M123),ISNUMBER(O123)),IF(O123&gt;0,M123/O123,""),"")</f>
        <v/>
      </c>
      <c r="W123" s="10">
        <f>IF(AND(ISNUMBER(M123),ISNUMBER(R123)),IF(R123&gt;0,M123/R123,""),"")</f>
        <v/>
      </c>
      <c r="X123" s="10">
        <f>IF(AND(ISNUMBER(Q123),ISNUMBER(M123)),IF(M123&gt;0,Q123/M123,""),"")</f>
        <v/>
      </c>
      <c r="Y123" s="11">
        <f>IF(ISNUMBER(Z123),YEAR(Z123),"")</f>
        <v/>
      </c>
      <c r="Z123" s="12" t="n"/>
      <c r="AA123" s="12" t="n"/>
      <c r="AI123" s="12" t="n"/>
      <c r="AJ123" s="13">
        <f>IF(LEN(TRIM(AF123))=0,"",HYPERLINK("https://www.google.com/maps/@?api=1&amp;map_action=pano&amp;viewpoint="&amp;SUBSTITUTE(AF123," ",""),"Abrir Street View"))</f>
        <v/>
      </c>
    </row>
    <row r="124">
      <c r="H124" s="6" t="n"/>
      <c r="I124" s="6" t="n"/>
      <c r="M124" s="7" t="n"/>
      <c r="N124" s="7" t="n"/>
      <c r="O124" s="7" t="n"/>
      <c r="Q124" s="7" t="n"/>
      <c r="R124" s="7" t="n"/>
      <c r="S124" s="8">
        <f>IF(NOT(ISNUMBER(M124)),"",IF(G124="Terreno",IF(AND(ISNUMBER(I124),I124&gt;0),M124/I124,""),IF(AND(ISNUMBER(H124),H124&gt;0),M124/H124,"")))</f>
        <v/>
      </c>
      <c r="T124" s="9">
        <f>IF(AND(ISNUMBER(M124),ISNUMBER(O124)),IF(M124&lt;=O124,"Valor ≤ venal IPTU",""),"")</f>
        <v/>
      </c>
      <c r="U124" s="10">
        <f>IF(AND(ISNUMBER(M124),ISNUMBER(N124)),IF(N124&gt;0,M124/N124,""),"")</f>
        <v/>
      </c>
      <c r="V124" s="10">
        <f>IF(AND(ISNUMBER(M124),ISNUMBER(O124)),IF(O124&gt;0,M124/O124,""),"")</f>
        <v/>
      </c>
      <c r="W124" s="10">
        <f>IF(AND(ISNUMBER(M124),ISNUMBER(R124)),IF(R124&gt;0,M124/R124,""),"")</f>
        <v/>
      </c>
      <c r="X124" s="10">
        <f>IF(AND(ISNUMBER(Q124),ISNUMBER(M124)),IF(M124&gt;0,Q124/M124,""),"")</f>
        <v/>
      </c>
      <c r="Y124" s="11">
        <f>IF(ISNUMBER(Z124),YEAR(Z124),"")</f>
        <v/>
      </c>
      <c r="Z124" s="12" t="n"/>
      <c r="AA124" s="12" t="n"/>
      <c r="AI124" s="12" t="n"/>
      <c r="AJ124" s="13">
        <f>IF(LEN(TRIM(AF124))=0,"",HYPERLINK("https://www.google.com/maps/@?api=1&amp;map_action=pano&amp;viewpoint="&amp;SUBSTITUTE(AF124," ",""),"Abrir Street View"))</f>
        <v/>
      </c>
    </row>
    <row r="125">
      <c r="H125" s="6" t="n"/>
      <c r="I125" s="6" t="n"/>
      <c r="M125" s="7" t="n"/>
      <c r="N125" s="7" t="n"/>
      <c r="O125" s="7" t="n"/>
      <c r="Q125" s="7" t="n"/>
      <c r="R125" s="7" t="n"/>
      <c r="S125" s="8">
        <f>IF(NOT(ISNUMBER(M125)),"",IF(G125="Terreno",IF(AND(ISNUMBER(I125),I125&gt;0),M125/I125,""),IF(AND(ISNUMBER(H125),H125&gt;0),M125/H125,"")))</f>
        <v/>
      </c>
      <c r="T125" s="9">
        <f>IF(AND(ISNUMBER(M125),ISNUMBER(O125)),IF(M125&lt;=O125,"Valor ≤ venal IPTU",""),"")</f>
        <v/>
      </c>
      <c r="U125" s="10">
        <f>IF(AND(ISNUMBER(M125),ISNUMBER(N125)),IF(N125&gt;0,M125/N125,""),"")</f>
        <v/>
      </c>
      <c r="V125" s="10">
        <f>IF(AND(ISNUMBER(M125),ISNUMBER(O125)),IF(O125&gt;0,M125/O125,""),"")</f>
        <v/>
      </c>
      <c r="W125" s="10">
        <f>IF(AND(ISNUMBER(M125),ISNUMBER(R125)),IF(R125&gt;0,M125/R125,""),"")</f>
        <v/>
      </c>
      <c r="X125" s="10">
        <f>IF(AND(ISNUMBER(Q125),ISNUMBER(M125)),IF(M125&gt;0,Q125/M125,""),"")</f>
        <v/>
      </c>
      <c r="Y125" s="11">
        <f>IF(ISNUMBER(Z125),YEAR(Z125),"")</f>
        <v/>
      </c>
      <c r="Z125" s="12" t="n"/>
      <c r="AA125" s="12" t="n"/>
      <c r="AI125" s="12" t="n"/>
      <c r="AJ125" s="13">
        <f>IF(LEN(TRIM(AF125))=0,"",HYPERLINK("https://www.google.com/maps/@?api=1&amp;map_action=pano&amp;viewpoint="&amp;SUBSTITUTE(AF125," ",""),"Abrir Street View"))</f>
        <v/>
      </c>
    </row>
    <row r="126">
      <c r="H126" s="6" t="n"/>
      <c r="I126" s="6" t="n"/>
      <c r="M126" s="7" t="n"/>
      <c r="N126" s="7" t="n"/>
      <c r="O126" s="7" t="n"/>
      <c r="Q126" s="7" t="n"/>
      <c r="R126" s="7" t="n"/>
      <c r="S126" s="8">
        <f>IF(NOT(ISNUMBER(M126)),"",IF(G126="Terreno",IF(AND(ISNUMBER(I126),I126&gt;0),M126/I126,""),IF(AND(ISNUMBER(H126),H126&gt;0),M126/H126,"")))</f>
        <v/>
      </c>
      <c r="T126" s="9">
        <f>IF(AND(ISNUMBER(M126),ISNUMBER(O126)),IF(M126&lt;=O126,"Valor ≤ venal IPTU",""),"")</f>
        <v/>
      </c>
      <c r="U126" s="10">
        <f>IF(AND(ISNUMBER(M126),ISNUMBER(N126)),IF(N126&gt;0,M126/N126,""),"")</f>
        <v/>
      </c>
      <c r="V126" s="10">
        <f>IF(AND(ISNUMBER(M126),ISNUMBER(O126)),IF(O126&gt;0,M126/O126,""),"")</f>
        <v/>
      </c>
      <c r="W126" s="10">
        <f>IF(AND(ISNUMBER(M126),ISNUMBER(R126)),IF(R126&gt;0,M126/R126,""),"")</f>
        <v/>
      </c>
      <c r="X126" s="10">
        <f>IF(AND(ISNUMBER(Q126),ISNUMBER(M126)),IF(M126&gt;0,Q126/M126,""),"")</f>
        <v/>
      </c>
      <c r="Y126" s="11">
        <f>IF(ISNUMBER(Z126),YEAR(Z126),"")</f>
        <v/>
      </c>
      <c r="Z126" s="12" t="n"/>
      <c r="AA126" s="12" t="n"/>
      <c r="AI126" s="12" t="n"/>
      <c r="AJ126" s="13">
        <f>IF(LEN(TRIM(AF126))=0,"",HYPERLINK("https://www.google.com/maps/@?api=1&amp;map_action=pano&amp;viewpoint="&amp;SUBSTITUTE(AF126," ",""),"Abrir Street View"))</f>
        <v/>
      </c>
    </row>
    <row r="127">
      <c r="H127" s="6" t="n"/>
      <c r="I127" s="6" t="n"/>
      <c r="M127" s="7" t="n"/>
      <c r="N127" s="7" t="n"/>
      <c r="O127" s="7" t="n"/>
      <c r="Q127" s="7" t="n"/>
      <c r="R127" s="7" t="n"/>
      <c r="S127" s="8">
        <f>IF(NOT(ISNUMBER(M127)),"",IF(G127="Terreno",IF(AND(ISNUMBER(I127),I127&gt;0),M127/I127,""),IF(AND(ISNUMBER(H127),H127&gt;0),M127/H127,"")))</f>
        <v/>
      </c>
      <c r="T127" s="9">
        <f>IF(AND(ISNUMBER(M127),ISNUMBER(O127)),IF(M127&lt;=O127,"Valor ≤ venal IPTU",""),"")</f>
        <v/>
      </c>
      <c r="U127" s="10">
        <f>IF(AND(ISNUMBER(M127),ISNUMBER(N127)),IF(N127&gt;0,M127/N127,""),"")</f>
        <v/>
      </c>
      <c r="V127" s="10">
        <f>IF(AND(ISNUMBER(M127),ISNUMBER(O127)),IF(O127&gt;0,M127/O127,""),"")</f>
        <v/>
      </c>
      <c r="W127" s="10">
        <f>IF(AND(ISNUMBER(M127),ISNUMBER(R127)),IF(R127&gt;0,M127/R127,""),"")</f>
        <v/>
      </c>
      <c r="X127" s="10">
        <f>IF(AND(ISNUMBER(Q127),ISNUMBER(M127)),IF(M127&gt;0,Q127/M127,""),"")</f>
        <v/>
      </c>
      <c r="Y127" s="11">
        <f>IF(ISNUMBER(Z127),YEAR(Z127),"")</f>
        <v/>
      </c>
      <c r="Z127" s="12" t="n"/>
      <c r="AA127" s="12" t="n"/>
      <c r="AI127" s="12" t="n"/>
      <c r="AJ127" s="13">
        <f>IF(LEN(TRIM(AF127))=0,"",HYPERLINK("https://www.google.com/maps/@?api=1&amp;map_action=pano&amp;viewpoint="&amp;SUBSTITUTE(AF127," ",""),"Abrir Street View"))</f>
        <v/>
      </c>
    </row>
    <row r="128">
      <c r="H128" s="6" t="n"/>
      <c r="I128" s="6" t="n"/>
      <c r="M128" s="7" t="n"/>
      <c r="N128" s="7" t="n"/>
      <c r="O128" s="7" t="n"/>
      <c r="Q128" s="7" t="n"/>
      <c r="R128" s="7" t="n"/>
      <c r="S128" s="8">
        <f>IF(NOT(ISNUMBER(M128)),"",IF(G128="Terreno",IF(AND(ISNUMBER(I128),I128&gt;0),M128/I128,""),IF(AND(ISNUMBER(H128),H128&gt;0),M128/H128,"")))</f>
        <v/>
      </c>
      <c r="T128" s="9">
        <f>IF(AND(ISNUMBER(M128),ISNUMBER(O128)),IF(M128&lt;=O128,"Valor ≤ venal IPTU",""),"")</f>
        <v/>
      </c>
      <c r="U128" s="10">
        <f>IF(AND(ISNUMBER(M128),ISNUMBER(N128)),IF(N128&gt;0,M128/N128,""),"")</f>
        <v/>
      </c>
      <c r="V128" s="10">
        <f>IF(AND(ISNUMBER(M128),ISNUMBER(O128)),IF(O128&gt;0,M128/O128,""),"")</f>
        <v/>
      </c>
      <c r="W128" s="10">
        <f>IF(AND(ISNUMBER(M128),ISNUMBER(R128)),IF(R128&gt;0,M128/R128,""),"")</f>
        <v/>
      </c>
      <c r="X128" s="10">
        <f>IF(AND(ISNUMBER(Q128),ISNUMBER(M128)),IF(M128&gt;0,Q128/M128,""),"")</f>
        <v/>
      </c>
      <c r="Y128" s="11">
        <f>IF(ISNUMBER(Z128),YEAR(Z128),"")</f>
        <v/>
      </c>
      <c r="Z128" s="12" t="n"/>
      <c r="AA128" s="12" t="n"/>
      <c r="AI128" s="12" t="n"/>
      <c r="AJ128" s="13">
        <f>IF(LEN(TRIM(AF128))=0,"",HYPERLINK("https://www.google.com/maps/@?api=1&amp;map_action=pano&amp;viewpoint="&amp;SUBSTITUTE(AF128," ",""),"Abrir Street View"))</f>
        <v/>
      </c>
    </row>
    <row r="129">
      <c r="H129" s="6" t="n"/>
      <c r="I129" s="6" t="n"/>
      <c r="M129" s="7" t="n"/>
      <c r="N129" s="7" t="n"/>
      <c r="O129" s="7" t="n"/>
      <c r="Q129" s="7" t="n"/>
      <c r="R129" s="7" t="n"/>
      <c r="S129" s="8">
        <f>IF(NOT(ISNUMBER(M129)),"",IF(G129="Terreno",IF(AND(ISNUMBER(I129),I129&gt;0),M129/I129,""),IF(AND(ISNUMBER(H129),H129&gt;0),M129/H129,"")))</f>
        <v/>
      </c>
      <c r="T129" s="9">
        <f>IF(AND(ISNUMBER(M129),ISNUMBER(O129)),IF(M129&lt;=O129,"Valor ≤ venal IPTU",""),"")</f>
        <v/>
      </c>
      <c r="U129" s="10">
        <f>IF(AND(ISNUMBER(M129),ISNUMBER(N129)),IF(N129&gt;0,M129/N129,""),"")</f>
        <v/>
      </c>
      <c r="V129" s="10">
        <f>IF(AND(ISNUMBER(M129),ISNUMBER(O129)),IF(O129&gt;0,M129/O129,""),"")</f>
        <v/>
      </c>
      <c r="W129" s="10">
        <f>IF(AND(ISNUMBER(M129),ISNUMBER(R129)),IF(R129&gt;0,M129/R129,""),"")</f>
        <v/>
      </c>
      <c r="X129" s="10">
        <f>IF(AND(ISNUMBER(Q129),ISNUMBER(M129)),IF(M129&gt;0,Q129/M129,""),"")</f>
        <v/>
      </c>
      <c r="Y129" s="11">
        <f>IF(ISNUMBER(Z129),YEAR(Z129),"")</f>
        <v/>
      </c>
      <c r="Z129" s="12" t="n"/>
      <c r="AA129" s="12" t="n"/>
      <c r="AI129" s="12" t="n"/>
      <c r="AJ129" s="13">
        <f>IF(LEN(TRIM(AF129))=0,"",HYPERLINK("https://www.google.com/maps/@?api=1&amp;map_action=pano&amp;viewpoint="&amp;SUBSTITUTE(AF129," ",""),"Abrir Street View"))</f>
        <v/>
      </c>
    </row>
    <row r="130">
      <c r="H130" s="6" t="n"/>
      <c r="I130" s="6" t="n"/>
      <c r="M130" s="7" t="n"/>
      <c r="N130" s="7" t="n"/>
      <c r="O130" s="7" t="n"/>
      <c r="Q130" s="7" t="n"/>
      <c r="R130" s="7" t="n"/>
      <c r="S130" s="8">
        <f>IF(NOT(ISNUMBER(M130)),"",IF(G130="Terreno",IF(AND(ISNUMBER(I130),I130&gt;0),M130/I130,""),IF(AND(ISNUMBER(H130),H130&gt;0),M130/H130,"")))</f>
        <v/>
      </c>
      <c r="T130" s="9">
        <f>IF(AND(ISNUMBER(M130),ISNUMBER(O130)),IF(M130&lt;=O130,"Valor ≤ venal IPTU",""),"")</f>
        <v/>
      </c>
      <c r="U130" s="10">
        <f>IF(AND(ISNUMBER(M130),ISNUMBER(N130)),IF(N130&gt;0,M130/N130,""),"")</f>
        <v/>
      </c>
      <c r="V130" s="10">
        <f>IF(AND(ISNUMBER(M130),ISNUMBER(O130)),IF(O130&gt;0,M130/O130,""),"")</f>
        <v/>
      </c>
      <c r="W130" s="10">
        <f>IF(AND(ISNUMBER(M130),ISNUMBER(R130)),IF(R130&gt;0,M130/R130,""),"")</f>
        <v/>
      </c>
      <c r="X130" s="10">
        <f>IF(AND(ISNUMBER(Q130),ISNUMBER(M130)),IF(M130&gt;0,Q130/M130,""),"")</f>
        <v/>
      </c>
      <c r="Y130" s="11">
        <f>IF(ISNUMBER(Z130),YEAR(Z130),"")</f>
        <v/>
      </c>
      <c r="Z130" s="12" t="n"/>
      <c r="AA130" s="12" t="n"/>
      <c r="AI130" s="12" t="n"/>
      <c r="AJ130" s="13">
        <f>IF(LEN(TRIM(AF130))=0,"",HYPERLINK("https://www.google.com/maps/@?api=1&amp;map_action=pano&amp;viewpoint="&amp;SUBSTITUTE(AF130," ",""),"Abrir Street View"))</f>
        <v/>
      </c>
    </row>
    <row r="131">
      <c r="H131" s="6" t="n"/>
      <c r="I131" s="6" t="n"/>
      <c r="M131" s="7" t="n"/>
      <c r="N131" s="7" t="n"/>
      <c r="O131" s="7" t="n"/>
      <c r="Q131" s="7" t="n"/>
      <c r="R131" s="7" t="n"/>
      <c r="S131" s="8">
        <f>IF(NOT(ISNUMBER(M131)),"",IF(G131="Terreno",IF(AND(ISNUMBER(I131),I131&gt;0),M131/I131,""),IF(AND(ISNUMBER(H131),H131&gt;0),M131/H131,"")))</f>
        <v/>
      </c>
      <c r="T131" s="9">
        <f>IF(AND(ISNUMBER(M131),ISNUMBER(O131)),IF(M131&lt;=O131,"Valor ≤ venal IPTU",""),"")</f>
        <v/>
      </c>
      <c r="U131" s="10">
        <f>IF(AND(ISNUMBER(M131),ISNUMBER(N131)),IF(N131&gt;0,M131/N131,""),"")</f>
        <v/>
      </c>
      <c r="V131" s="10">
        <f>IF(AND(ISNUMBER(M131),ISNUMBER(O131)),IF(O131&gt;0,M131/O131,""),"")</f>
        <v/>
      </c>
      <c r="W131" s="10">
        <f>IF(AND(ISNUMBER(M131),ISNUMBER(R131)),IF(R131&gt;0,M131/R131,""),"")</f>
        <v/>
      </c>
      <c r="X131" s="10">
        <f>IF(AND(ISNUMBER(Q131),ISNUMBER(M131)),IF(M131&gt;0,Q131/M131,""),"")</f>
        <v/>
      </c>
      <c r="Y131" s="11">
        <f>IF(ISNUMBER(Z131),YEAR(Z131),"")</f>
        <v/>
      </c>
      <c r="Z131" s="12" t="n"/>
      <c r="AA131" s="12" t="n"/>
      <c r="AI131" s="12" t="n"/>
      <c r="AJ131" s="13">
        <f>IF(LEN(TRIM(AF131))=0,"",HYPERLINK("https://www.google.com/maps/@?api=1&amp;map_action=pano&amp;viewpoint="&amp;SUBSTITUTE(AF131," ",""),"Abrir Street View"))</f>
        <v/>
      </c>
    </row>
    <row r="132">
      <c r="H132" s="6" t="n"/>
      <c r="I132" s="6" t="n"/>
      <c r="M132" s="7" t="n"/>
      <c r="N132" s="7" t="n"/>
      <c r="O132" s="7" t="n"/>
      <c r="Q132" s="7" t="n"/>
      <c r="R132" s="7" t="n"/>
      <c r="S132" s="8">
        <f>IF(NOT(ISNUMBER(M132)),"",IF(G132="Terreno",IF(AND(ISNUMBER(I132),I132&gt;0),M132/I132,""),IF(AND(ISNUMBER(H132),H132&gt;0),M132/H132,"")))</f>
        <v/>
      </c>
      <c r="T132" s="9">
        <f>IF(AND(ISNUMBER(M132),ISNUMBER(O132)),IF(M132&lt;=O132,"Valor ≤ venal IPTU",""),"")</f>
        <v/>
      </c>
      <c r="U132" s="10">
        <f>IF(AND(ISNUMBER(M132),ISNUMBER(N132)),IF(N132&gt;0,M132/N132,""),"")</f>
        <v/>
      </c>
      <c r="V132" s="10">
        <f>IF(AND(ISNUMBER(M132),ISNUMBER(O132)),IF(O132&gt;0,M132/O132,""),"")</f>
        <v/>
      </c>
      <c r="W132" s="10">
        <f>IF(AND(ISNUMBER(M132),ISNUMBER(R132)),IF(R132&gt;0,M132/R132,""),"")</f>
        <v/>
      </c>
      <c r="X132" s="10">
        <f>IF(AND(ISNUMBER(Q132),ISNUMBER(M132)),IF(M132&gt;0,Q132/M132,""),"")</f>
        <v/>
      </c>
      <c r="Y132" s="11">
        <f>IF(ISNUMBER(Z132),YEAR(Z132),"")</f>
        <v/>
      </c>
      <c r="Z132" s="12" t="n"/>
      <c r="AA132" s="12" t="n"/>
      <c r="AI132" s="12" t="n"/>
      <c r="AJ132" s="13">
        <f>IF(LEN(TRIM(AF132))=0,"",HYPERLINK("https://www.google.com/maps/@?api=1&amp;map_action=pano&amp;viewpoint="&amp;SUBSTITUTE(AF132," ",""),"Abrir Street View"))</f>
        <v/>
      </c>
    </row>
    <row r="133">
      <c r="H133" s="6" t="n"/>
      <c r="I133" s="6" t="n"/>
      <c r="M133" s="7" t="n"/>
      <c r="N133" s="7" t="n"/>
      <c r="O133" s="7" t="n"/>
      <c r="Q133" s="7" t="n"/>
      <c r="R133" s="7" t="n"/>
      <c r="S133" s="8">
        <f>IF(NOT(ISNUMBER(M133)),"",IF(G133="Terreno",IF(AND(ISNUMBER(I133),I133&gt;0),M133/I133,""),IF(AND(ISNUMBER(H133),H133&gt;0),M133/H133,"")))</f>
        <v/>
      </c>
      <c r="T133" s="9">
        <f>IF(AND(ISNUMBER(M133),ISNUMBER(O133)),IF(M133&lt;=O133,"Valor ≤ venal IPTU",""),"")</f>
        <v/>
      </c>
      <c r="U133" s="10">
        <f>IF(AND(ISNUMBER(M133),ISNUMBER(N133)),IF(N133&gt;0,M133/N133,""),"")</f>
        <v/>
      </c>
      <c r="V133" s="10">
        <f>IF(AND(ISNUMBER(M133),ISNUMBER(O133)),IF(O133&gt;0,M133/O133,""),"")</f>
        <v/>
      </c>
      <c r="W133" s="10">
        <f>IF(AND(ISNUMBER(M133),ISNUMBER(R133)),IF(R133&gt;0,M133/R133,""),"")</f>
        <v/>
      </c>
      <c r="X133" s="10">
        <f>IF(AND(ISNUMBER(Q133),ISNUMBER(M133)),IF(M133&gt;0,Q133/M133,""),"")</f>
        <v/>
      </c>
      <c r="Y133" s="11">
        <f>IF(ISNUMBER(Z133),YEAR(Z133),"")</f>
        <v/>
      </c>
      <c r="Z133" s="12" t="n"/>
      <c r="AA133" s="12" t="n"/>
      <c r="AI133" s="12" t="n"/>
      <c r="AJ133" s="13">
        <f>IF(LEN(TRIM(AF133))=0,"",HYPERLINK("https://www.google.com/maps/@?api=1&amp;map_action=pano&amp;viewpoint="&amp;SUBSTITUTE(AF133," ",""),"Abrir Street View"))</f>
        <v/>
      </c>
    </row>
    <row r="134">
      <c r="H134" s="6" t="n"/>
      <c r="I134" s="6" t="n"/>
      <c r="M134" s="7" t="n"/>
      <c r="N134" s="7" t="n"/>
      <c r="O134" s="7" t="n"/>
      <c r="Q134" s="7" t="n"/>
      <c r="R134" s="7" t="n"/>
      <c r="S134" s="8">
        <f>IF(NOT(ISNUMBER(M134)),"",IF(G134="Terreno",IF(AND(ISNUMBER(I134),I134&gt;0),M134/I134,""),IF(AND(ISNUMBER(H134),H134&gt;0),M134/H134,"")))</f>
        <v/>
      </c>
      <c r="T134" s="9">
        <f>IF(AND(ISNUMBER(M134),ISNUMBER(O134)),IF(M134&lt;=O134,"Valor ≤ venal IPTU",""),"")</f>
        <v/>
      </c>
      <c r="U134" s="10">
        <f>IF(AND(ISNUMBER(M134),ISNUMBER(N134)),IF(N134&gt;0,M134/N134,""),"")</f>
        <v/>
      </c>
      <c r="V134" s="10">
        <f>IF(AND(ISNUMBER(M134),ISNUMBER(O134)),IF(O134&gt;0,M134/O134,""),"")</f>
        <v/>
      </c>
      <c r="W134" s="10">
        <f>IF(AND(ISNUMBER(M134),ISNUMBER(R134)),IF(R134&gt;0,M134/R134,""),"")</f>
        <v/>
      </c>
      <c r="X134" s="10">
        <f>IF(AND(ISNUMBER(Q134),ISNUMBER(M134)),IF(M134&gt;0,Q134/M134,""),"")</f>
        <v/>
      </c>
      <c r="Y134" s="11">
        <f>IF(ISNUMBER(Z134),YEAR(Z134),"")</f>
        <v/>
      </c>
      <c r="Z134" s="12" t="n"/>
      <c r="AA134" s="12" t="n"/>
      <c r="AI134" s="12" t="n"/>
      <c r="AJ134" s="13">
        <f>IF(LEN(TRIM(AF134))=0,"",HYPERLINK("https://www.google.com/maps/@?api=1&amp;map_action=pano&amp;viewpoint="&amp;SUBSTITUTE(AF134," ",""),"Abrir Street View"))</f>
        <v/>
      </c>
    </row>
    <row r="135">
      <c r="H135" s="6" t="n"/>
      <c r="I135" s="6" t="n"/>
      <c r="M135" s="7" t="n"/>
      <c r="N135" s="7" t="n"/>
      <c r="O135" s="7" t="n"/>
      <c r="Q135" s="7" t="n"/>
      <c r="R135" s="7" t="n"/>
      <c r="S135" s="8">
        <f>IF(NOT(ISNUMBER(M135)),"",IF(G135="Terreno",IF(AND(ISNUMBER(I135),I135&gt;0),M135/I135,""),IF(AND(ISNUMBER(H135),H135&gt;0),M135/H135,"")))</f>
        <v/>
      </c>
      <c r="T135" s="9">
        <f>IF(AND(ISNUMBER(M135),ISNUMBER(O135)),IF(M135&lt;=O135,"Valor ≤ venal IPTU",""),"")</f>
        <v/>
      </c>
      <c r="U135" s="10">
        <f>IF(AND(ISNUMBER(M135),ISNUMBER(N135)),IF(N135&gt;0,M135/N135,""),"")</f>
        <v/>
      </c>
      <c r="V135" s="10">
        <f>IF(AND(ISNUMBER(M135),ISNUMBER(O135)),IF(O135&gt;0,M135/O135,""),"")</f>
        <v/>
      </c>
      <c r="W135" s="10">
        <f>IF(AND(ISNUMBER(M135),ISNUMBER(R135)),IF(R135&gt;0,M135/R135,""),"")</f>
        <v/>
      </c>
      <c r="X135" s="10">
        <f>IF(AND(ISNUMBER(Q135),ISNUMBER(M135)),IF(M135&gt;0,Q135/M135,""),"")</f>
        <v/>
      </c>
      <c r="Y135" s="11">
        <f>IF(ISNUMBER(Z135),YEAR(Z135),"")</f>
        <v/>
      </c>
      <c r="Z135" s="12" t="n"/>
      <c r="AA135" s="12" t="n"/>
      <c r="AI135" s="12" t="n"/>
      <c r="AJ135" s="13">
        <f>IF(LEN(TRIM(AF135))=0,"",HYPERLINK("https://www.google.com/maps/@?api=1&amp;map_action=pano&amp;viewpoint="&amp;SUBSTITUTE(AF135," ",""),"Abrir Street View"))</f>
        <v/>
      </c>
    </row>
    <row r="136">
      <c r="H136" s="6" t="n"/>
      <c r="I136" s="6" t="n"/>
      <c r="M136" s="7" t="n"/>
      <c r="N136" s="7" t="n"/>
      <c r="O136" s="7" t="n"/>
      <c r="Q136" s="7" t="n"/>
      <c r="R136" s="7" t="n"/>
      <c r="S136" s="8">
        <f>IF(NOT(ISNUMBER(M136)),"",IF(G136="Terreno",IF(AND(ISNUMBER(I136),I136&gt;0),M136/I136,""),IF(AND(ISNUMBER(H136),H136&gt;0),M136/H136,"")))</f>
        <v/>
      </c>
      <c r="T136" s="9">
        <f>IF(AND(ISNUMBER(M136),ISNUMBER(O136)),IF(M136&lt;=O136,"Valor ≤ venal IPTU",""),"")</f>
        <v/>
      </c>
      <c r="U136" s="10">
        <f>IF(AND(ISNUMBER(M136),ISNUMBER(N136)),IF(N136&gt;0,M136/N136,""),"")</f>
        <v/>
      </c>
      <c r="V136" s="10">
        <f>IF(AND(ISNUMBER(M136),ISNUMBER(O136)),IF(O136&gt;0,M136/O136,""),"")</f>
        <v/>
      </c>
      <c r="W136" s="10">
        <f>IF(AND(ISNUMBER(M136),ISNUMBER(R136)),IF(R136&gt;0,M136/R136,""),"")</f>
        <v/>
      </c>
      <c r="X136" s="10">
        <f>IF(AND(ISNUMBER(Q136),ISNUMBER(M136)),IF(M136&gt;0,Q136/M136,""),"")</f>
        <v/>
      </c>
      <c r="Y136" s="11">
        <f>IF(ISNUMBER(Z136),YEAR(Z136),"")</f>
        <v/>
      </c>
      <c r="Z136" s="12" t="n"/>
      <c r="AA136" s="12" t="n"/>
      <c r="AI136" s="12" t="n"/>
      <c r="AJ136" s="13">
        <f>IF(LEN(TRIM(AF136))=0,"",HYPERLINK("https://www.google.com/maps/@?api=1&amp;map_action=pano&amp;viewpoint="&amp;SUBSTITUTE(AF136," ",""),"Abrir Street View"))</f>
        <v/>
      </c>
    </row>
    <row r="137">
      <c r="H137" s="6" t="n"/>
      <c r="I137" s="6" t="n"/>
      <c r="M137" s="7" t="n"/>
      <c r="N137" s="7" t="n"/>
      <c r="O137" s="7" t="n"/>
      <c r="Q137" s="7" t="n"/>
      <c r="R137" s="7" t="n"/>
      <c r="S137" s="8">
        <f>IF(NOT(ISNUMBER(M137)),"",IF(G137="Terreno",IF(AND(ISNUMBER(I137),I137&gt;0),M137/I137,""),IF(AND(ISNUMBER(H137),H137&gt;0),M137/H137,"")))</f>
        <v/>
      </c>
      <c r="T137" s="9">
        <f>IF(AND(ISNUMBER(M137),ISNUMBER(O137)),IF(M137&lt;=O137,"Valor ≤ venal IPTU",""),"")</f>
        <v/>
      </c>
      <c r="U137" s="10">
        <f>IF(AND(ISNUMBER(M137),ISNUMBER(N137)),IF(N137&gt;0,M137/N137,""),"")</f>
        <v/>
      </c>
      <c r="V137" s="10">
        <f>IF(AND(ISNUMBER(M137),ISNUMBER(O137)),IF(O137&gt;0,M137/O137,""),"")</f>
        <v/>
      </c>
      <c r="W137" s="10">
        <f>IF(AND(ISNUMBER(M137),ISNUMBER(R137)),IF(R137&gt;0,M137/R137,""),"")</f>
        <v/>
      </c>
      <c r="X137" s="10">
        <f>IF(AND(ISNUMBER(Q137),ISNUMBER(M137)),IF(M137&gt;0,Q137/M137,""),"")</f>
        <v/>
      </c>
      <c r="Y137" s="11">
        <f>IF(ISNUMBER(Z137),YEAR(Z137),"")</f>
        <v/>
      </c>
      <c r="Z137" s="12" t="n"/>
      <c r="AA137" s="12" t="n"/>
      <c r="AI137" s="12" t="n"/>
      <c r="AJ137" s="13">
        <f>IF(LEN(TRIM(AF137))=0,"",HYPERLINK("https://www.google.com/maps/@?api=1&amp;map_action=pano&amp;viewpoint="&amp;SUBSTITUTE(AF137," ",""),"Abrir Street View"))</f>
        <v/>
      </c>
    </row>
    <row r="138">
      <c r="H138" s="6" t="n"/>
      <c r="I138" s="6" t="n"/>
      <c r="M138" s="7" t="n"/>
      <c r="N138" s="7" t="n"/>
      <c r="O138" s="7" t="n"/>
      <c r="Q138" s="7" t="n"/>
      <c r="R138" s="7" t="n"/>
      <c r="S138" s="8">
        <f>IF(NOT(ISNUMBER(M138)),"",IF(G138="Terreno",IF(AND(ISNUMBER(I138),I138&gt;0),M138/I138,""),IF(AND(ISNUMBER(H138),H138&gt;0),M138/H138,"")))</f>
        <v/>
      </c>
      <c r="T138" s="9">
        <f>IF(AND(ISNUMBER(M138),ISNUMBER(O138)),IF(M138&lt;=O138,"Valor ≤ venal IPTU",""),"")</f>
        <v/>
      </c>
      <c r="U138" s="10">
        <f>IF(AND(ISNUMBER(M138),ISNUMBER(N138)),IF(N138&gt;0,M138/N138,""),"")</f>
        <v/>
      </c>
      <c r="V138" s="10">
        <f>IF(AND(ISNUMBER(M138),ISNUMBER(O138)),IF(O138&gt;0,M138/O138,""),"")</f>
        <v/>
      </c>
      <c r="W138" s="10">
        <f>IF(AND(ISNUMBER(M138),ISNUMBER(R138)),IF(R138&gt;0,M138/R138,""),"")</f>
        <v/>
      </c>
      <c r="X138" s="10">
        <f>IF(AND(ISNUMBER(Q138),ISNUMBER(M138)),IF(M138&gt;0,Q138/M138,""),"")</f>
        <v/>
      </c>
      <c r="Y138" s="11">
        <f>IF(ISNUMBER(Z138),YEAR(Z138),"")</f>
        <v/>
      </c>
      <c r="Z138" s="12" t="n"/>
      <c r="AA138" s="12" t="n"/>
      <c r="AI138" s="12" t="n"/>
      <c r="AJ138" s="13">
        <f>IF(LEN(TRIM(AF138))=0,"",HYPERLINK("https://www.google.com/maps/@?api=1&amp;map_action=pano&amp;viewpoint="&amp;SUBSTITUTE(AF138," ",""),"Abrir Street View"))</f>
        <v/>
      </c>
    </row>
    <row r="139">
      <c r="H139" s="6" t="n"/>
      <c r="I139" s="6" t="n"/>
      <c r="M139" s="7" t="n"/>
      <c r="N139" s="7" t="n"/>
      <c r="O139" s="7" t="n"/>
      <c r="Q139" s="7" t="n"/>
      <c r="R139" s="7" t="n"/>
      <c r="S139" s="8">
        <f>IF(NOT(ISNUMBER(M139)),"",IF(G139="Terreno",IF(AND(ISNUMBER(I139),I139&gt;0),M139/I139,""),IF(AND(ISNUMBER(H139),H139&gt;0),M139/H139,"")))</f>
        <v/>
      </c>
      <c r="T139" s="9">
        <f>IF(AND(ISNUMBER(M139),ISNUMBER(O139)),IF(M139&lt;=O139,"Valor ≤ venal IPTU",""),"")</f>
        <v/>
      </c>
      <c r="U139" s="10">
        <f>IF(AND(ISNUMBER(M139),ISNUMBER(N139)),IF(N139&gt;0,M139/N139,""),"")</f>
        <v/>
      </c>
      <c r="V139" s="10">
        <f>IF(AND(ISNUMBER(M139),ISNUMBER(O139)),IF(O139&gt;0,M139/O139,""),"")</f>
        <v/>
      </c>
      <c r="W139" s="10">
        <f>IF(AND(ISNUMBER(M139),ISNUMBER(R139)),IF(R139&gt;0,M139/R139,""),"")</f>
        <v/>
      </c>
      <c r="X139" s="10">
        <f>IF(AND(ISNUMBER(Q139),ISNUMBER(M139)),IF(M139&gt;0,Q139/M139,""),"")</f>
        <v/>
      </c>
      <c r="Y139" s="11">
        <f>IF(ISNUMBER(Z139),YEAR(Z139),"")</f>
        <v/>
      </c>
      <c r="Z139" s="12" t="n"/>
      <c r="AA139" s="12" t="n"/>
      <c r="AI139" s="12" t="n"/>
      <c r="AJ139" s="13">
        <f>IF(LEN(TRIM(AF139))=0,"",HYPERLINK("https://www.google.com/maps/@?api=1&amp;map_action=pano&amp;viewpoint="&amp;SUBSTITUTE(AF139," ",""),"Abrir Street View"))</f>
        <v/>
      </c>
    </row>
    <row r="140">
      <c r="H140" s="6" t="n"/>
      <c r="I140" s="6" t="n"/>
      <c r="M140" s="7" t="n"/>
      <c r="N140" s="7" t="n"/>
      <c r="O140" s="7" t="n"/>
      <c r="Q140" s="7" t="n"/>
      <c r="R140" s="7" t="n"/>
      <c r="S140" s="8">
        <f>IF(NOT(ISNUMBER(M140)),"",IF(G140="Terreno",IF(AND(ISNUMBER(I140),I140&gt;0),M140/I140,""),IF(AND(ISNUMBER(H140),H140&gt;0),M140/H140,"")))</f>
        <v/>
      </c>
      <c r="T140" s="9">
        <f>IF(AND(ISNUMBER(M140),ISNUMBER(O140)),IF(M140&lt;=O140,"Valor ≤ venal IPTU",""),"")</f>
        <v/>
      </c>
      <c r="U140" s="10">
        <f>IF(AND(ISNUMBER(M140),ISNUMBER(N140)),IF(N140&gt;0,M140/N140,""),"")</f>
        <v/>
      </c>
      <c r="V140" s="10">
        <f>IF(AND(ISNUMBER(M140),ISNUMBER(O140)),IF(O140&gt;0,M140/O140,""),"")</f>
        <v/>
      </c>
      <c r="W140" s="10">
        <f>IF(AND(ISNUMBER(M140),ISNUMBER(R140)),IF(R140&gt;0,M140/R140,""),"")</f>
        <v/>
      </c>
      <c r="X140" s="10">
        <f>IF(AND(ISNUMBER(Q140),ISNUMBER(M140)),IF(M140&gt;0,Q140/M140,""),"")</f>
        <v/>
      </c>
      <c r="Y140" s="11">
        <f>IF(ISNUMBER(Z140),YEAR(Z140),"")</f>
        <v/>
      </c>
      <c r="Z140" s="12" t="n"/>
      <c r="AA140" s="12" t="n"/>
      <c r="AI140" s="12" t="n"/>
      <c r="AJ140" s="13">
        <f>IF(LEN(TRIM(AF140))=0,"",HYPERLINK("https://www.google.com/maps/@?api=1&amp;map_action=pano&amp;viewpoint="&amp;SUBSTITUTE(AF140," ",""),"Abrir Street View"))</f>
        <v/>
      </c>
    </row>
    <row r="141">
      <c r="H141" s="6" t="n"/>
      <c r="I141" s="6" t="n"/>
      <c r="M141" s="7" t="n"/>
      <c r="N141" s="7" t="n"/>
      <c r="O141" s="7" t="n"/>
      <c r="Q141" s="7" t="n"/>
      <c r="R141" s="7" t="n"/>
      <c r="S141" s="8">
        <f>IF(NOT(ISNUMBER(M141)),"",IF(G141="Terreno",IF(AND(ISNUMBER(I141),I141&gt;0),M141/I141,""),IF(AND(ISNUMBER(H141),H141&gt;0),M141/H141,"")))</f>
        <v/>
      </c>
      <c r="T141" s="9">
        <f>IF(AND(ISNUMBER(M141),ISNUMBER(O141)),IF(M141&lt;=O141,"Valor ≤ venal IPTU",""),"")</f>
        <v/>
      </c>
      <c r="U141" s="10">
        <f>IF(AND(ISNUMBER(M141),ISNUMBER(N141)),IF(N141&gt;0,M141/N141,""),"")</f>
        <v/>
      </c>
      <c r="V141" s="10">
        <f>IF(AND(ISNUMBER(M141),ISNUMBER(O141)),IF(O141&gt;0,M141/O141,""),"")</f>
        <v/>
      </c>
      <c r="W141" s="10">
        <f>IF(AND(ISNUMBER(M141),ISNUMBER(R141)),IF(R141&gt;0,M141/R141,""),"")</f>
        <v/>
      </c>
      <c r="X141" s="10">
        <f>IF(AND(ISNUMBER(Q141),ISNUMBER(M141)),IF(M141&gt;0,Q141/M141,""),"")</f>
        <v/>
      </c>
      <c r="Y141" s="11">
        <f>IF(ISNUMBER(Z141),YEAR(Z141),"")</f>
        <v/>
      </c>
      <c r="Z141" s="12" t="n"/>
      <c r="AA141" s="12" t="n"/>
      <c r="AI141" s="12" t="n"/>
      <c r="AJ141" s="13">
        <f>IF(LEN(TRIM(AF141))=0,"",HYPERLINK("https://www.google.com/maps/@?api=1&amp;map_action=pano&amp;viewpoint="&amp;SUBSTITUTE(AF141," ",""),"Abrir Street View"))</f>
        <v/>
      </c>
    </row>
    <row r="142">
      <c r="H142" s="6" t="n"/>
      <c r="I142" s="6" t="n"/>
      <c r="M142" s="7" t="n"/>
      <c r="N142" s="7" t="n"/>
      <c r="O142" s="7" t="n"/>
      <c r="Q142" s="7" t="n"/>
      <c r="R142" s="7" t="n"/>
      <c r="S142" s="8">
        <f>IF(NOT(ISNUMBER(M142)),"",IF(G142="Terreno",IF(AND(ISNUMBER(I142),I142&gt;0),M142/I142,""),IF(AND(ISNUMBER(H142),H142&gt;0),M142/H142,"")))</f>
        <v/>
      </c>
      <c r="T142" s="9">
        <f>IF(AND(ISNUMBER(M142),ISNUMBER(O142)),IF(M142&lt;=O142,"Valor ≤ venal IPTU",""),"")</f>
        <v/>
      </c>
      <c r="U142" s="10">
        <f>IF(AND(ISNUMBER(M142),ISNUMBER(N142)),IF(N142&gt;0,M142/N142,""),"")</f>
        <v/>
      </c>
      <c r="V142" s="10">
        <f>IF(AND(ISNUMBER(M142),ISNUMBER(O142)),IF(O142&gt;0,M142/O142,""),"")</f>
        <v/>
      </c>
      <c r="W142" s="10">
        <f>IF(AND(ISNUMBER(M142),ISNUMBER(R142)),IF(R142&gt;0,M142/R142,""),"")</f>
        <v/>
      </c>
      <c r="X142" s="10">
        <f>IF(AND(ISNUMBER(Q142),ISNUMBER(M142)),IF(M142&gt;0,Q142/M142,""),"")</f>
        <v/>
      </c>
      <c r="Y142" s="11">
        <f>IF(ISNUMBER(Z142),YEAR(Z142),"")</f>
        <v/>
      </c>
      <c r="Z142" s="12" t="n"/>
      <c r="AA142" s="12" t="n"/>
      <c r="AI142" s="12" t="n"/>
      <c r="AJ142" s="13">
        <f>IF(LEN(TRIM(AF142))=0,"",HYPERLINK("https://www.google.com/maps/@?api=1&amp;map_action=pano&amp;viewpoint="&amp;SUBSTITUTE(AF142," ",""),"Abrir Street View"))</f>
        <v/>
      </c>
    </row>
    <row r="143">
      <c r="H143" s="6" t="n"/>
      <c r="I143" s="6" t="n"/>
      <c r="M143" s="7" t="n"/>
      <c r="N143" s="7" t="n"/>
      <c r="O143" s="7" t="n"/>
      <c r="Q143" s="7" t="n"/>
      <c r="R143" s="7" t="n"/>
      <c r="S143" s="8">
        <f>IF(NOT(ISNUMBER(M143)),"",IF(G143="Terreno",IF(AND(ISNUMBER(I143),I143&gt;0),M143/I143,""),IF(AND(ISNUMBER(H143),H143&gt;0),M143/H143,"")))</f>
        <v/>
      </c>
      <c r="T143" s="9">
        <f>IF(AND(ISNUMBER(M143),ISNUMBER(O143)),IF(M143&lt;=O143,"Valor ≤ venal IPTU",""),"")</f>
        <v/>
      </c>
      <c r="U143" s="10">
        <f>IF(AND(ISNUMBER(M143),ISNUMBER(N143)),IF(N143&gt;0,M143/N143,""),"")</f>
        <v/>
      </c>
      <c r="V143" s="10">
        <f>IF(AND(ISNUMBER(M143),ISNUMBER(O143)),IF(O143&gt;0,M143/O143,""),"")</f>
        <v/>
      </c>
      <c r="W143" s="10">
        <f>IF(AND(ISNUMBER(M143),ISNUMBER(R143)),IF(R143&gt;0,M143/R143,""),"")</f>
        <v/>
      </c>
      <c r="X143" s="10">
        <f>IF(AND(ISNUMBER(Q143),ISNUMBER(M143)),IF(M143&gt;0,Q143/M143,""),"")</f>
        <v/>
      </c>
      <c r="Y143" s="11">
        <f>IF(ISNUMBER(Z143),YEAR(Z143),"")</f>
        <v/>
      </c>
      <c r="Z143" s="12" t="n"/>
      <c r="AA143" s="12" t="n"/>
      <c r="AI143" s="12" t="n"/>
      <c r="AJ143" s="13">
        <f>IF(LEN(TRIM(AF143))=0,"",HYPERLINK("https://www.google.com/maps/@?api=1&amp;map_action=pano&amp;viewpoint="&amp;SUBSTITUTE(AF143," ",""),"Abrir Street View"))</f>
        <v/>
      </c>
    </row>
    <row r="144">
      <c r="H144" s="6" t="n"/>
      <c r="I144" s="6" t="n"/>
      <c r="M144" s="7" t="n"/>
      <c r="N144" s="7" t="n"/>
      <c r="O144" s="7" t="n"/>
      <c r="Q144" s="7" t="n"/>
      <c r="R144" s="7" t="n"/>
      <c r="S144" s="8">
        <f>IF(NOT(ISNUMBER(M144)),"",IF(G144="Terreno",IF(AND(ISNUMBER(I144),I144&gt;0),M144/I144,""),IF(AND(ISNUMBER(H144),H144&gt;0),M144/H144,"")))</f>
        <v/>
      </c>
      <c r="T144" s="9">
        <f>IF(AND(ISNUMBER(M144),ISNUMBER(O144)),IF(M144&lt;=O144,"Valor ≤ venal IPTU",""),"")</f>
        <v/>
      </c>
      <c r="U144" s="10">
        <f>IF(AND(ISNUMBER(M144),ISNUMBER(N144)),IF(N144&gt;0,M144/N144,""),"")</f>
        <v/>
      </c>
      <c r="V144" s="10">
        <f>IF(AND(ISNUMBER(M144),ISNUMBER(O144)),IF(O144&gt;0,M144/O144,""),"")</f>
        <v/>
      </c>
      <c r="W144" s="10">
        <f>IF(AND(ISNUMBER(M144),ISNUMBER(R144)),IF(R144&gt;0,M144/R144,""),"")</f>
        <v/>
      </c>
      <c r="X144" s="10">
        <f>IF(AND(ISNUMBER(Q144),ISNUMBER(M144)),IF(M144&gt;0,Q144/M144,""),"")</f>
        <v/>
      </c>
      <c r="Y144" s="11">
        <f>IF(ISNUMBER(Z144),YEAR(Z144),"")</f>
        <v/>
      </c>
      <c r="Z144" s="12" t="n"/>
      <c r="AA144" s="12" t="n"/>
      <c r="AI144" s="12" t="n"/>
      <c r="AJ144" s="13">
        <f>IF(LEN(TRIM(AF144))=0,"",HYPERLINK("https://www.google.com/maps/@?api=1&amp;map_action=pano&amp;viewpoint="&amp;SUBSTITUTE(AF144," ",""),"Abrir Street View"))</f>
        <v/>
      </c>
    </row>
    <row r="145">
      <c r="H145" s="6" t="n"/>
      <c r="I145" s="6" t="n"/>
      <c r="M145" s="7" t="n"/>
      <c r="N145" s="7" t="n"/>
      <c r="O145" s="7" t="n"/>
      <c r="Q145" s="7" t="n"/>
      <c r="R145" s="7" t="n"/>
      <c r="S145" s="8">
        <f>IF(NOT(ISNUMBER(M145)),"",IF(G145="Terreno",IF(AND(ISNUMBER(I145),I145&gt;0),M145/I145,""),IF(AND(ISNUMBER(H145),H145&gt;0),M145/H145,"")))</f>
        <v/>
      </c>
      <c r="T145" s="9">
        <f>IF(AND(ISNUMBER(M145),ISNUMBER(O145)),IF(M145&lt;=O145,"Valor ≤ venal IPTU",""),"")</f>
        <v/>
      </c>
      <c r="U145" s="10">
        <f>IF(AND(ISNUMBER(M145),ISNUMBER(N145)),IF(N145&gt;0,M145/N145,""),"")</f>
        <v/>
      </c>
      <c r="V145" s="10">
        <f>IF(AND(ISNUMBER(M145),ISNUMBER(O145)),IF(O145&gt;0,M145/O145,""),"")</f>
        <v/>
      </c>
      <c r="W145" s="10">
        <f>IF(AND(ISNUMBER(M145),ISNUMBER(R145)),IF(R145&gt;0,M145/R145,""),"")</f>
        <v/>
      </c>
      <c r="X145" s="10">
        <f>IF(AND(ISNUMBER(Q145),ISNUMBER(M145)),IF(M145&gt;0,Q145/M145,""),"")</f>
        <v/>
      </c>
      <c r="Y145" s="11">
        <f>IF(ISNUMBER(Z145),YEAR(Z145),"")</f>
        <v/>
      </c>
      <c r="Z145" s="12" t="n"/>
      <c r="AA145" s="12" t="n"/>
      <c r="AI145" s="12" t="n"/>
      <c r="AJ145" s="13">
        <f>IF(LEN(TRIM(AF145))=0,"",HYPERLINK("https://www.google.com/maps/@?api=1&amp;map_action=pano&amp;viewpoint="&amp;SUBSTITUTE(AF145," ",""),"Abrir Street View"))</f>
        <v/>
      </c>
    </row>
    <row r="146">
      <c r="H146" s="6" t="n"/>
      <c r="I146" s="6" t="n"/>
      <c r="M146" s="7" t="n"/>
      <c r="N146" s="7" t="n"/>
      <c r="O146" s="7" t="n"/>
      <c r="Q146" s="7" t="n"/>
      <c r="R146" s="7" t="n"/>
      <c r="S146" s="8">
        <f>IF(NOT(ISNUMBER(M146)),"",IF(G146="Terreno",IF(AND(ISNUMBER(I146),I146&gt;0),M146/I146,""),IF(AND(ISNUMBER(H146),H146&gt;0),M146/H146,"")))</f>
        <v/>
      </c>
      <c r="T146" s="9">
        <f>IF(AND(ISNUMBER(M146),ISNUMBER(O146)),IF(M146&lt;=O146,"Valor ≤ venal IPTU",""),"")</f>
        <v/>
      </c>
      <c r="U146" s="10">
        <f>IF(AND(ISNUMBER(M146),ISNUMBER(N146)),IF(N146&gt;0,M146/N146,""),"")</f>
        <v/>
      </c>
      <c r="V146" s="10">
        <f>IF(AND(ISNUMBER(M146),ISNUMBER(O146)),IF(O146&gt;0,M146/O146,""),"")</f>
        <v/>
      </c>
      <c r="W146" s="10">
        <f>IF(AND(ISNUMBER(M146),ISNUMBER(R146)),IF(R146&gt;0,M146/R146,""),"")</f>
        <v/>
      </c>
      <c r="X146" s="10">
        <f>IF(AND(ISNUMBER(Q146),ISNUMBER(M146)),IF(M146&gt;0,Q146/M146,""),"")</f>
        <v/>
      </c>
      <c r="Y146" s="11">
        <f>IF(ISNUMBER(Z146),YEAR(Z146),"")</f>
        <v/>
      </c>
      <c r="Z146" s="12" t="n"/>
      <c r="AA146" s="12" t="n"/>
      <c r="AI146" s="12" t="n"/>
      <c r="AJ146" s="13">
        <f>IF(LEN(TRIM(AF146))=0,"",HYPERLINK("https://www.google.com/maps/@?api=1&amp;map_action=pano&amp;viewpoint="&amp;SUBSTITUTE(AF146," ",""),"Abrir Street View"))</f>
        <v/>
      </c>
    </row>
    <row r="147">
      <c r="H147" s="6" t="n"/>
      <c r="I147" s="6" t="n"/>
      <c r="M147" s="7" t="n"/>
      <c r="N147" s="7" t="n"/>
      <c r="O147" s="7" t="n"/>
      <c r="Q147" s="7" t="n"/>
      <c r="R147" s="7" t="n"/>
      <c r="S147" s="8">
        <f>IF(NOT(ISNUMBER(M147)),"",IF(G147="Terreno",IF(AND(ISNUMBER(I147),I147&gt;0),M147/I147,""),IF(AND(ISNUMBER(H147),H147&gt;0),M147/H147,"")))</f>
        <v/>
      </c>
      <c r="T147" s="9">
        <f>IF(AND(ISNUMBER(M147),ISNUMBER(O147)),IF(M147&lt;=O147,"Valor ≤ venal IPTU",""),"")</f>
        <v/>
      </c>
      <c r="U147" s="10">
        <f>IF(AND(ISNUMBER(M147),ISNUMBER(N147)),IF(N147&gt;0,M147/N147,""),"")</f>
        <v/>
      </c>
      <c r="V147" s="10">
        <f>IF(AND(ISNUMBER(M147),ISNUMBER(O147)),IF(O147&gt;0,M147/O147,""),"")</f>
        <v/>
      </c>
      <c r="W147" s="10">
        <f>IF(AND(ISNUMBER(M147),ISNUMBER(R147)),IF(R147&gt;0,M147/R147,""),"")</f>
        <v/>
      </c>
      <c r="X147" s="10">
        <f>IF(AND(ISNUMBER(Q147),ISNUMBER(M147)),IF(M147&gt;0,Q147/M147,""),"")</f>
        <v/>
      </c>
      <c r="Y147" s="11">
        <f>IF(ISNUMBER(Z147),YEAR(Z147),"")</f>
        <v/>
      </c>
      <c r="Z147" s="12" t="n"/>
      <c r="AA147" s="12" t="n"/>
      <c r="AI147" s="12" t="n"/>
      <c r="AJ147" s="13">
        <f>IF(LEN(TRIM(AF147))=0,"",HYPERLINK("https://www.google.com/maps/@?api=1&amp;map_action=pano&amp;viewpoint="&amp;SUBSTITUTE(AF147," ",""),"Abrir Street View"))</f>
        <v/>
      </c>
    </row>
    <row r="148">
      <c r="H148" s="6" t="n"/>
      <c r="I148" s="6" t="n"/>
      <c r="M148" s="7" t="n"/>
      <c r="N148" s="7" t="n"/>
      <c r="O148" s="7" t="n"/>
      <c r="Q148" s="7" t="n"/>
      <c r="R148" s="7" t="n"/>
      <c r="S148" s="8">
        <f>IF(NOT(ISNUMBER(M148)),"",IF(G148="Terreno",IF(AND(ISNUMBER(I148),I148&gt;0),M148/I148,""),IF(AND(ISNUMBER(H148),H148&gt;0),M148/H148,"")))</f>
        <v/>
      </c>
      <c r="T148" s="9">
        <f>IF(AND(ISNUMBER(M148),ISNUMBER(O148)),IF(M148&lt;=O148,"Valor ≤ venal IPTU",""),"")</f>
        <v/>
      </c>
      <c r="U148" s="10">
        <f>IF(AND(ISNUMBER(M148),ISNUMBER(N148)),IF(N148&gt;0,M148/N148,""),"")</f>
        <v/>
      </c>
      <c r="V148" s="10">
        <f>IF(AND(ISNUMBER(M148),ISNUMBER(O148)),IF(O148&gt;0,M148/O148,""),"")</f>
        <v/>
      </c>
      <c r="W148" s="10">
        <f>IF(AND(ISNUMBER(M148),ISNUMBER(R148)),IF(R148&gt;0,M148/R148,""),"")</f>
        <v/>
      </c>
      <c r="X148" s="10">
        <f>IF(AND(ISNUMBER(Q148),ISNUMBER(M148)),IF(M148&gt;0,Q148/M148,""),"")</f>
        <v/>
      </c>
      <c r="Y148" s="11">
        <f>IF(ISNUMBER(Z148),YEAR(Z148),"")</f>
        <v/>
      </c>
      <c r="Z148" s="12" t="n"/>
      <c r="AA148" s="12" t="n"/>
      <c r="AI148" s="12" t="n"/>
      <c r="AJ148" s="13">
        <f>IF(LEN(TRIM(AF148))=0,"",HYPERLINK("https://www.google.com/maps/@?api=1&amp;map_action=pano&amp;viewpoint="&amp;SUBSTITUTE(AF148," ",""),"Abrir Street View"))</f>
        <v/>
      </c>
    </row>
    <row r="149">
      <c r="H149" s="6" t="n"/>
      <c r="I149" s="6" t="n"/>
      <c r="M149" s="7" t="n"/>
      <c r="N149" s="7" t="n"/>
      <c r="O149" s="7" t="n"/>
      <c r="Q149" s="7" t="n"/>
      <c r="R149" s="7" t="n"/>
      <c r="S149" s="8">
        <f>IF(NOT(ISNUMBER(M149)),"",IF(G149="Terreno",IF(AND(ISNUMBER(I149),I149&gt;0),M149/I149,""),IF(AND(ISNUMBER(H149),H149&gt;0),M149/H149,"")))</f>
        <v/>
      </c>
      <c r="T149" s="9">
        <f>IF(AND(ISNUMBER(M149),ISNUMBER(O149)),IF(M149&lt;=O149,"Valor ≤ venal IPTU",""),"")</f>
        <v/>
      </c>
      <c r="U149" s="10">
        <f>IF(AND(ISNUMBER(M149),ISNUMBER(N149)),IF(N149&gt;0,M149/N149,""),"")</f>
        <v/>
      </c>
      <c r="V149" s="10">
        <f>IF(AND(ISNUMBER(M149),ISNUMBER(O149)),IF(O149&gt;0,M149/O149,""),"")</f>
        <v/>
      </c>
      <c r="W149" s="10">
        <f>IF(AND(ISNUMBER(M149),ISNUMBER(R149)),IF(R149&gt;0,M149/R149,""),"")</f>
        <v/>
      </c>
      <c r="X149" s="10">
        <f>IF(AND(ISNUMBER(Q149),ISNUMBER(M149)),IF(M149&gt;0,Q149/M149,""),"")</f>
        <v/>
      </c>
      <c r="Y149" s="11">
        <f>IF(ISNUMBER(Z149),YEAR(Z149),"")</f>
        <v/>
      </c>
      <c r="Z149" s="12" t="n"/>
      <c r="AA149" s="12" t="n"/>
      <c r="AI149" s="12" t="n"/>
      <c r="AJ149" s="13">
        <f>IF(LEN(TRIM(AF149))=0,"",HYPERLINK("https://www.google.com/maps/@?api=1&amp;map_action=pano&amp;viewpoint="&amp;SUBSTITUTE(AF149," ",""),"Abrir Street View"))</f>
        <v/>
      </c>
    </row>
    <row r="150">
      <c r="H150" s="6" t="n"/>
      <c r="I150" s="6" t="n"/>
      <c r="M150" s="7" t="n"/>
      <c r="N150" s="7" t="n"/>
      <c r="O150" s="7" t="n"/>
      <c r="Q150" s="7" t="n"/>
      <c r="R150" s="7" t="n"/>
      <c r="S150" s="8">
        <f>IF(NOT(ISNUMBER(M150)),"",IF(G150="Terreno",IF(AND(ISNUMBER(I150),I150&gt;0),M150/I150,""),IF(AND(ISNUMBER(H150),H150&gt;0),M150/H150,"")))</f>
        <v/>
      </c>
      <c r="T150" s="9">
        <f>IF(AND(ISNUMBER(M150),ISNUMBER(O150)),IF(M150&lt;=O150,"Valor ≤ venal IPTU",""),"")</f>
        <v/>
      </c>
      <c r="U150" s="10">
        <f>IF(AND(ISNUMBER(M150),ISNUMBER(N150)),IF(N150&gt;0,M150/N150,""),"")</f>
        <v/>
      </c>
      <c r="V150" s="10">
        <f>IF(AND(ISNUMBER(M150),ISNUMBER(O150)),IF(O150&gt;0,M150/O150,""),"")</f>
        <v/>
      </c>
      <c r="W150" s="10">
        <f>IF(AND(ISNUMBER(M150),ISNUMBER(R150)),IF(R150&gt;0,M150/R150,""),"")</f>
        <v/>
      </c>
      <c r="X150" s="10">
        <f>IF(AND(ISNUMBER(Q150),ISNUMBER(M150)),IF(M150&gt;0,Q150/M150,""),"")</f>
        <v/>
      </c>
      <c r="Y150" s="11">
        <f>IF(ISNUMBER(Z150),YEAR(Z150),"")</f>
        <v/>
      </c>
      <c r="Z150" s="12" t="n"/>
      <c r="AA150" s="12" t="n"/>
      <c r="AI150" s="12" t="n"/>
      <c r="AJ150" s="13">
        <f>IF(LEN(TRIM(AF150))=0,"",HYPERLINK("https://www.google.com/maps/@?api=1&amp;map_action=pano&amp;viewpoint="&amp;SUBSTITUTE(AF150," ",""),"Abrir Street View"))</f>
        <v/>
      </c>
    </row>
    <row r="151">
      <c r="H151" s="6" t="n"/>
      <c r="I151" s="6" t="n"/>
      <c r="M151" s="7" t="n"/>
      <c r="N151" s="7" t="n"/>
      <c r="O151" s="7" t="n"/>
      <c r="Q151" s="7" t="n"/>
      <c r="R151" s="7" t="n"/>
      <c r="S151" s="8">
        <f>IF(NOT(ISNUMBER(M151)),"",IF(G151="Terreno",IF(AND(ISNUMBER(I151),I151&gt;0),M151/I151,""),IF(AND(ISNUMBER(H151),H151&gt;0),M151/H151,"")))</f>
        <v/>
      </c>
      <c r="T151" s="9">
        <f>IF(AND(ISNUMBER(M151),ISNUMBER(O151)),IF(M151&lt;=O151,"Valor ≤ venal IPTU",""),"")</f>
        <v/>
      </c>
      <c r="U151" s="10">
        <f>IF(AND(ISNUMBER(M151),ISNUMBER(N151)),IF(N151&gt;0,M151/N151,""),"")</f>
        <v/>
      </c>
      <c r="V151" s="10">
        <f>IF(AND(ISNUMBER(M151),ISNUMBER(O151)),IF(O151&gt;0,M151/O151,""),"")</f>
        <v/>
      </c>
      <c r="W151" s="10">
        <f>IF(AND(ISNUMBER(M151),ISNUMBER(R151)),IF(R151&gt;0,M151/R151,""),"")</f>
        <v/>
      </c>
      <c r="X151" s="10">
        <f>IF(AND(ISNUMBER(Q151),ISNUMBER(M151)),IF(M151&gt;0,Q151/M151,""),"")</f>
        <v/>
      </c>
      <c r="Y151" s="11">
        <f>IF(ISNUMBER(Z151),YEAR(Z151),"")</f>
        <v/>
      </c>
      <c r="Z151" s="12" t="n"/>
      <c r="AA151" s="12" t="n"/>
      <c r="AI151" s="12" t="n"/>
      <c r="AJ151" s="13">
        <f>IF(LEN(TRIM(AF151))=0,"",HYPERLINK("https://www.google.com/maps/@?api=1&amp;map_action=pano&amp;viewpoint="&amp;SUBSTITUTE(AF151," ",""),"Abrir Street View"))</f>
        <v/>
      </c>
    </row>
    <row r="152">
      <c r="H152" s="6" t="n"/>
      <c r="I152" s="6" t="n"/>
      <c r="M152" s="7" t="n"/>
      <c r="N152" s="7" t="n"/>
      <c r="O152" s="7" t="n"/>
      <c r="Q152" s="7" t="n"/>
      <c r="R152" s="7" t="n"/>
      <c r="S152" s="8">
        <f>IF(NOT(ISNUMBER(M152)),"",IF(G152="Terreno",IF(AND(ISNUMBER(I152),I152&gt;0),M152/I152,""),IF(AND(ISNUMBER(H152),H152&gt;0),M152/H152,"")))</f>
        <v/>
      </c>
      <c r="T152" s="9">
        <f>IF(AND(ISNUMBER(M152),ISNUMBER(O152)),IF(M152&lt;=O152,"Valor ≤ venal IPTU",""),"")</f>
        <v/>
      </c>
      <c r="U152" s="10">
        <f>IF(AND(ISNUMBER(M152),ISNUMBER(N152)),IF(N152&gt;0,M152/N152,""),"")</f>
        <v/>
      </c>
      <c r="V152" s="10">
        <f>IF(AND(ISNUMBER(M152),ISNUMBER(O152)),IF(O152&gt;0,M152/O152,""),"")</f>
        <v/>
      </c>
      <c r="W152" s="10">
        <f>IF(AND(ISNUMBER(M152),ISNUMBER(R152)),IF(R152&gt;0,M152/R152,""),"")</f>
        <v/>
      </c>
      <c r="X152" s="10">
        <f>IF(AND(ISNUMBER(Q152),ISNUMBER(M152)),IF(M152&gt;0,Q152/M152,""),"")</f>
        <v/>
      </c>
      <c r="Y152" s="11">
        <f>IF(ISNUMBER(Z152),YEAR(Z152),"")</f>
        <v/>
      </c>
      <c r="Z152" s="12" t="n"/>
      <c r="AA152" s="12" t="n"/>
      <c r="AI152" s="12" t="n"/>
      <c r="AJ152" s="13">
        <f>IF(LEN(TRIM(AF152))=0,"",HYPERLINK("https://www.google.com/maps/@?api=1&amp;map_action=pano&amp;viewpoint="&amp;SUBSTITUTE(AF152," ",""),"Abrir Street View"))</f>
        <v/>
      </c>
    </row>
    <row r="153">
      <c r="H153" s="6" t="n"/>
      <c r="I153" s="6" t="n"/>
      <c r="M153" s="7" t="n"/>
      <c r="N153" s="7" t="n"/>
      <c r="O153" s="7" t="n"/>
      <c r="Q153" s="7" t="n"/>
      <c r="R153" s="7" t="n"/>
      <c r="S153" s="8">
        <f>IF(NOT(ISNUMBER(M153)),"",IF(G153="Terreno",IF(AND(ISNUMBER(I153),I153&gt;0),M153/I153,""),IF(AND(ISNUMBER(H153),H153&gt;0),M153/H153,"")))</f>
        <v/>
      </c>
      <c r="T153" s="9">
        <f>IF(AND(ISNUMBER(M153),ISNUMBER(O153)),IF(M153&lt;=O153,"Valor ≤ venal IPTU",""),"")</f>
        <v/>
      </c>
      <c r="U153" s="10">
        <f>IF(AND(ISNUMBER(M153),ISNUMBER(N153)),IF(N153&gt;0,M153/N153,""),"")</f>
        <v/>
      </c>
      <c r="V153" s="10">
        <f>IF(AND(ISNUMBER(M153),ISNUMBER(O153)),IF(O153&gt;0,M153/O153,""),"")</f>
        <v/>
      </c>
      <c r="W153" s="10">
        <f>IF(AND(ISNUMBER(M153),ISNUMBER(R153)),IF(R153&gt;0,M153/R153,""),"")</f>
        <v/>
      </c>
      <c r="X153" s="10">
        <f>IF(AND(ISNUMBER(Q153),ISNUMBER(M153)),IF(M153&gt;0,Q153/M153,""),"")</f>
        <v/>
      </c>
      <c r="Y153" s="11">
        <f>IF(ISNUMBER(Z153),YEAR(Z153),"")</f>
        <v/>
      </c>
      <c r="Z153" s="12" t="n"/>
      <c r="AA153" s="12" t="n"/>
      <c r="AI153" s="12" t="n"/>
      <c r="AJ153" s="13">
        <f>IF(LEN(TRIM(AF153))=0,"",HYPERLINK("https://www.google.com/maps/@?api=1&amp;map_action=pano&amp;viewpoint="&amp;SUBSTITUTE(AF153," ",""),"Abrir Street View"))</f>
        <v/>
      </c>
    </row>
    <row r="154">
      <c r="H154" s="6" t="n"/>
      <c r="I154" s="6" t="n"/>
      <c r="M154" s="7" t="n"/>
      <c r="N154" s="7" t="n"/>
      <c r="O154" s="7" t="n"/>
      <c r="Q154" s="7" t="n"/>
      <c r="R154" s="7" t="n"/>
      <c r="S154" s="8">
        <f>IF(NOT(ISNUMBER(M154)),"",IF(G154="Terreno",IF(AND(ISNUMBER(I154),I154&gt;0),M154/I154,""),IF(AND(ISNUMBER(H154),H154&gt;0),M154/H154,"")))</f>
        <v/>
      </c>
      <c r="T154" s="9">
        <f>IF(AND(ISNUMBER(M154),ISNUMBER(O154)),IF(M154&lt;=O154,"Valor ≤ venal IPTU",""),"")</f>
        <v/>
      </c>
      <c r="U154" s="10">
        <f>IF(AND(ISNUMBER(M154),ISNUMBER(N154)),IF(N154&gt;0,M154/N154,""),"")</f>
        <v/>
      </c>
      <c r="V154" s="10">
        <f>IF(AND(ISNUMBER(M154),ISNUMBER(O154)),IF(O154&gt;0,M154/O154,""),"")</f>
        <v/>
      </c>
      <c r="W154" s="10">
        <f>IF(AND(ISNUMBER(M154),ISNUMBER(R154)),IF(R154&gt;0,M154/R154,""),"")</f>
        <v/>
      </c>
      <c r="X154" s="10">
        <f>IF(AND(ISNUMBER(Q154),ISNUMBER(M154)),IF(M154&gt;0,Q154/M154,""),"")</f>
        <v/>
      </c>
      <c r="Y154" s="11">
        <f>IF(ISNUMBER(Z154),YEAR(Z154),"")</f>
        <v/>
      </c>
      <c r="Z154" s="12" t="n"/>
      <c r="AA154" s="12" t="n"/>
      <c r="AI154" s="12" t="n"/>
      <c r="AJ154" s="13">
        <f>IF(LEN(TRIM(AF154))=0,"",HYPERLINK("https://www.google.com/maps/@?api=1&amp;map_action=pano&amp;viewpoint="&amp;SUBSTITUTE(AF154," ",""),"Abrir Street View"))</f>
        <v/>
      </c>
    </row>
    <row r="155">
      <c r="H155" s="6" t="n"/>
      <c r="I155" s="6" t="n"/>
      <c r="M155" s="7" t="n"/>
      <c r="N155" s="7" t="n"/>
      <c r="O155" s="7" t="n"/>
      <c r="Q155" s="7" t="n"/>
      <c r="R155" s="7" t="n"/>
      <c r="S155" s="8">
        <f>IF(NOT(ISNUMBER(M155)),"",IF(G155="Terreno",IF(AND(ISNUMBER(I155),I155&gt;0),M155/I155,""),IF(AND(ISNUMBER(H155),H155&gt;0),M155/H155,"")))</f>
        <v/>
      </c>
      <c r="T155" s="9">
        <f>IF(AND(ISNUMBER(M155),ISNUMBER(O155)),IF(M155&lt;=O155,"Valor ≤ venal IPTU",""),"")</f>
        <v/>
      </c>
      <c r="U155" s="10">
        <f>IF(AND(ISNUMBER(M155),ISNUMBER(N155)),IF(N155&gt;0,M155/N155,""),"")</f>
        <v/>
      </c>
      <c r="V155" s="10">
        <f>IF(AND(ISNUMBER(M155),ISNUMBER(O155)),IF(O155&gt;0,M155/O155,""),"")</f>
        <v/>
      </c>
      <c r="W155" s="10">
        <f>IF(AND(ISNUMBER(M155),ISNUMBER(R155)),IF(R155&gt;0,M155/R155,""),"")</f>
        <v/>
      </c>
      <c r="X155" s="10">
        <f>IF(AND(ISNUMBER(Q155),ISNUMBER(M155)),IF(M155&gt;0,Q155/M155,""),"")</f>
        <v/>
      </c>
      <c r="Y155" s="11">
        <f>IF(ISNUMBER(Z155),YEAR(Z155),"")</f>
        <v/>
      </c>
      <c r="Z155" s="12" t="n"/>
      <c r="AA155" s="12" t="n"/>
      <c r="AI155" s="12" t="n"/>
      <c r="AJ155" s="13">
        <f>IF(LEN(TRIM(AF155))=0,"",HYPERLINK("https://www.google.com/maps/@?api=1&amp;map_action=pano&amp;viewpoint="&amp;SUBSTITUTE(AF155," ",""),"Abrir Street View"))</f>
        <v/>
      </c>
    </row>
    <row r="156">
      <c r="H156" s="6" t="n"/>
      <c r="I156" s="6" t="n"/>
      <c r="M156" s="7" t="n"/>
      <c r="N156" s="7" t="n"/>
      <c r="O156" s="7" t="n"/>
      <c r="Q156" s="7" t="n"/>
      <c r="R156" s="7" t="n"/>
      <c r="S156" s="8">
        <f>IF(NOT(ISNUMBER(M156)),"",IF(G156="Terreno",IF(AND(ISNUMBER(I156),I156&gt;0),M156/I156,""),IF(AND(ISNUMBER(H156),H156&gt;0),M156/H156,"")))</f>
        <v/>
      </c>
      <c r="T156" s="9">
        <f>IF(AND(ISNUMBER(M156),ISNUMBER(O156)),IF(M156&lt;=O156,"Valor ≤ venal IPTU",""),"")</f>
        <v/>
      </c>
      <c r="U156" s="10">
        <f>IF(AND(ISNUMBER(M156),ISNUMBER(N156)),IF(N156&gt;0,M156/N156,""),"")</f>
        <v/>
      </c>
      <c r="V156" s="10">
        <f>IF(AND(ISNUMBER(M156),ISNUMBER(O156)),IF(O156&gt;0,M156/O156,""),"")</f>
        <v/>
      </c>
      <c r="W156" s="10">
        <f>IF(AND(ISNUMBER(M156),ISNUMBER(R156)),IF(R156&gt;0,M156/R156,""),"")</f>
        <v/>
      </c>
      <c r="X156" s="10">
        <f>IF(AND(ISNUMBER(Q156),ISNUMBER(M156)),IF(M156&gt;0,Q156/M156,""),"")</f>
        <v/>
      </c>
      <c r="Y156" s="11">
        <f>IF(ISNUMBER(Z156),YEAR(Z156),"")</f>
        <v/>
      </c>
      <c r="Z156" s="12" t="n"/>
      <c r="AA156" s="12" t="n"/>
      <c r="AI156" s="12" t="n"/>
      <c r="AJ156" s="13">
        <f>IF(LEN(TRIM(AF156))=0,"",HYPERLINK("https://www.google.com/maps/@?api=1&amp;map_action=pano&amp;viewpoint="&amp;SUBSTITUTE(AF156," ",""),"Abrir Street View"))</f>
        <v/>
      </c>
    </row>
    <row r="157">
      <c r="H157" s="6" t="n"/>
      <c r="I157" s="6" t="n"/>
      <c r="M157" s="7" t="n"/>
      <c r="N157" s="7" t="n"/>
      <c r="O157" s="7" t="n"/>
      <c r="Q157" s="7" t="n"/>
      <c r="R157" s="7" t="n"/>
      <c r="S157" s="8">
        <f>IF(NOT(ISNUMBER(M157)),"",IF(G157="Terreno",IF(AND(ISNUMBER(I157),I157&gt;0),M157/I157,""),IF(AND(ISNUMBER(H157),H157&gt;0),M157/H157,"")))</f>
        <v/>
      </c>
      <c r="T157" s="9">
        <f>IF(AND(ISNUMBER(M157),ISNUMBER(O157)),IF(M157&lt;=O157,"Valor ≤ venal IPTU",""),"")</f>
        <v/>
      </c>
      <c r="U157" s="10">
        <f>IF(AND(ISNUMBER(M157),ISNUMBER(N157)),IF(N157&gt;0,M157/N157,""),"")</f>
        <v/>
      </c>
      <c r="V157" s="10">
        <f>IF(AND(ISNUMBER(M157),ISNUMBER(O157)),IF(O157&gt;0,M157/O157,""),"")</f>
        <v/>
      </c>
      <c r="W157" s="10">
        <f>IF(AND(ISNUMBER(M157),ISNUMBER(R157)),IF(R157&gt;0,M157/R157,""),"")</f>
        <v/>
      </c>
      <c r="X157" s="10">
        <f>IF(AND(ISNUMBER(Q157),ISNUMBER(M157)),IF(M157&gt;0,Q157/M157,""),"")</f>
        <v/>
      </c>
      <c r="Y157" s="11">
        <f>IF(ISNUMBER(Z157),YEAR(Z157),"")</f>
        <v/>
      </c>
      <c r="Z157" s="12" t="n"/>
      <c r="AA157" s="12" t="n"/>
      <c r="AI157" s="12" t="n"/>
      <c r="AJ157" s="13">
        <f>IF(LEN(TRIM(AF157))=0,"",HYPERLINK("https://www.google.com/maps/@?api=1&amp;map_action=pano&amp;viewpoint="&amp;SUBSTITUTE(AF157," ",""),"Abrir Street View"))</f>
        <v/>
      </c>
    </row>
    <row r="158">
      <c r="H158" s="6" t="n"/>
      <c r="I158" s="6" t="n"/>
      <c r="M158" s="7" t="n"/>
      <c r="N158" s="7" t="n"/>
      <c r="O158" s="7" t="n"/>
      <c r="Q158" s="7" t="n"/>
      <c r="R158" s="7" t="n"/>
      <c r="S158" s="8">
        <f>IF(NOT(ISNUMBER(M158)),"",IF(G158="Terreno",IF(AND(ISNUMBER(I158),I158&gt;0),M158/I158,""),IF(AND(ISNUMBER(H158),H158&gt;0),M158/H158,"")))</f>
        <v/>
      </c>
      <c r="T158" s="9">
        <f>IF(AND(ISNUMBER(M158),ISNUMBER(O158)),IF(M158&lt;=O158,"Valor ≤ venal IPTU",""),"")</f>
        <v/>
      </c>
      <c r="U158" s="10">
        <f>IF(AND(ISNUMBER(M158),ISNUMBER(N158)),IF(N158&gt;0,M158/N158,""),"")</f>
        <v/>
      </c>
      <c r="V158" s="10">
        <f>IF(AND(ISNUMBER(M158),ISNUMBER(O158)),IF(O158&gt;0,M158/O158,""),"")</f>
        <v/>
      </c>
      <c r="W158" s="10">
        <f>IF(AND(ISNUMBER(M158),ISNUMBER(R158)),IF(R158&gt;0,M158/R158,""),"")</f>
        <v/>
      </c>
      <c r="X158" s="10">
        <f>IF(AND(ISNUMBER(Q158),ISNUMBER(M158)),IF(M158&gt;0,Q158/M158,""),"")</f>
        <v/>
      </c>
      <c r="Y158" s="11">
        <f>IF(ISNUMBER(Z158),YEAR(Z158),"")</f>
        <v/>
      </c>
      <c r="Z158" s="12" t="n"/>
      <c r="AA158" s="12" t="n"/>
      <c r="AI158" s="12" t="n"/>
      <c r="AJ158" s="13">
        <f>IF(LEN(TRIM(AF158))=0,"",HYPERLINK("https://www.google.com/maps/@?api=1&amp;map_action=pano&amp;viewpoint="&amp;SUBSTITUTE(AF158," ",""),"Abrir Street View"))</f>
        <v/>
      </c>
    </row>
    <row r="159">
      <c r="H159" s="6" t="n"/>
      <c r="I159" s="6" t="n"/>
      <c r="M159" s="7" t="n"/>
      <c r="N159" s="7" t="n"/>
      <c r="O159" s="7" t="n"/>
      <c r="Q159" s="7" t="n"/>
      <c r="R159" s="7" t="n"/>
      <c r="S159" s="8">
        <f>IF(NOT(ISNUMBER(M159)),"",IF(G159="Terreno",IF(AND(ISNUMBER(I159),I159&gt;0),M159/I159,""),IF(AND(ISNUMBER(H159),H159&gt;0),M159/H159,"")))</f>
        <v/>
      </c>
      <c r="T159" s="9">
        <f>IF(AND(ISNUMBER(M159),ISNUMBER(O159)),IF(M159&lt;=O159,"Valor ≤ venal IPTU",""),"")</f>
        <v/>
      </c>
      <c r="U159" s="10">
        <f>IF(AND(ISNUMBER(M159),ISNUMBER(N159)),IF(N159&gt;0,M159/N159,""),"")</f>
        <v/>
      </c>
      <c r="V159" s="10">
        <f>IF(AND(ISNUMBER(M159),ISNUMBER(O159)),IF(O159&gt;0,M159/O159,""),"")</f>
        <v/>
      </c>
      <c r="W159" s="10">
        <f>IF(AND(ISNUMBER(M159),ISNUMBER(R159)),IF(R159&gt;0,M159/R159,""),"")</f>
        <v/>
      </c>
      <c r="X159" s="10">
        <f>IF(AND(ISNUMBER(Q159),ISNUMBER(M159)),IF(M159&gt;0,Q159/M159,""),"")</f>
        <v/>
      </c>
      <c r="Y159" s="11">
        <f>IF(ISNUMBER(Z159),YEAR(Z159),"")</f>
        <v/>
      </c>
      <c r="Z159" s="12" t="n"/>
      <c r="AA159" s="12" t="n"/>
      <c r="AI159" s="12" t="n"/>
      <c r="AJ159" s="13">
        <f>IF(LEN(TRIM(AF159))=0,"",HYPERLINK("https://www.google.com/maps/@?api=1&amp;map_action=pano&amp;viewpoint="&amp;SUBSTITUTE(AF159," ",""),"Abrir Street View"))</f>
        <v/>
      </c>
    </row>
    <row r="160">
      <c r="H160" s="6" t="n"/>
      <c r="I160" s="6" t="n"/>
      <c r="M160" s="7" t="n"/>
      <c r="N160" s="7" t="n"/>
      <c r="O160" s="7" t="n"/>
      <c r="Q160" s="7" t="n"/>
      <c r="R160" s="7" t="n"/>
      <c r="S160" s="8">
        <f>IF(NOT(ISNUMBER(M160)),"",IF(G160="Terreno",IF(AND(ISNUMBER(I160),I160&gt;0),M160/I160,""),IF(AND(ISNUMBER(H160),H160&gt;0),M160/H160,"")))</f>
        <v/>
      </c>
      <c r="T160" s="9">
        <f>IF(AND(ISNUMBER(M160),ISNUMBER(O160)),IF(M160&lt;=O160,"Valor ≤ venal IPTU",""),"")</f>
        <v/>
      </c>
      <c r="U160" s="10">
        <f>IF(AND(ISNUMBER(M160),ISNUMBER(N160)),IF(N160&gt;0,M160/N160,""),"")</f>
        <v/>
      </c>
      <c r="V160" s="10">
        <f>IF(AND(ISNUMBER(M160),ISNUMBER(O160)),IF(O160&gt;0,M160/O160,""),"")</f>
        <v/>
      </c>
      <c r="W160" s="10">
        <f>IF(AND(ISNUMBER(M160),ISNUMBER(R160)),IF(R160&gt;0,M160/R160,""),"")</f>
        <v/>
      </c>
      <c r="X160" s="10">
        <f>IF(AND(ISNUMBER(Q160),ISNUMBER(M160)),IF(M160&gt;0,Q160/M160,""),"")</f>
        <v/>
      </c>
      <c r="Y160" s="11">
        <f>IF(ISNUMBER(Z160),YEAR(Z160),"")</f>
        <v/>
      </c>
      <c r="Z160" s="12" t="n"/>
      <c r="AA160" s="12" t="n"/>
      <c r="AI160" s="12" t="n"/>
      <c r="AJ160" s="13">
        <f>IF(LEN(TRIM(AF160))=0,"",HYPERLINK("https://www.google.com/maps/@?api=1&amp;map_action=pano&amp;viewpoint="&amp;SUBSTITUTE(AF160," ",""),"Abrir Street View"))</f>
        <v/>
      </c>
    </row>
    <row r="161">
      <c r="H161" s="6" t="n"/>
      <c r="I161" s="6" t="n"/>
      <c r="M161" s="7" t="n"/>
      <c r="N161" s="7" t="n"/>
      <c r="O161" s="7" t="n"/>
      <c r="Q161" s="7" t="n"/>
      <c r="R161" s="7" t="n"/>
      <c r="S161" s="8">
        <f>IF(NOT(ISNUMBER(M161)),"",IF(G161="Terreno",IF(AND(ISNUMBER(I161),I161&gt;0),M161/I161,""),IF(AND(ISNUMBER(H161),H161&gt;0),M161/H161,"")))</f>
        <v/>
      </c>
      <c r="T161" s="9">
        <f>IF(AND(ISNUMBER(M161),ISNUMBER(O161)),IF(M161&lt;=O161,"Valor ≤ venal IPTU",""),"")</f>
        <v/>
      </c>
      <c r="U161" s="10">
        <f>IF(AND(ISNUMBER(M161),ISNUMBER(N161)),IF(N161&gt;0,M161/N161,""),"")</f>
        <v/>
      </c>
      <c r="V161" s="10">
        <f>IF(AND(ISNUMBER(M161),ISNUMBER(O161)),IF(O161&gt;0,M161/O161,""),"")</f>
        <v/>
      </c>
      <c r="W161" s="10">
        <f>IF(AND(ISNUMBER(M161),ISNUMBER(R161)),IF(R161&gt;0,M161/R161,""),"")</f>
        <v/>
      </c>
      <c r="X161" s="10">
        <f>IF(AND(ISNUMBER(Q161),ISNUMBER(M161)),IF(M161&gt;0,Q161/M161,""),"")</f>
        <v/>
      </c>
      <c r="Y161" s="11">
        <f>IF(ISNUMBER(Z161),YEAR(Z161),"")</f>
        <v/>
      </c>
      <c r="Z161" s="12" t="n"/>
      <c r="AA161" s="12" t="n"/>
      <c r="AI161" s="12" t="n"/>
      <c r="AJ161" s="13">
        <f>IF(LEN(TRIM(AF161))=0,"",HYPERLINK("https://www.google.com/maps/@?api=1&amp;map_action=pano&amp;viewpoint="&amp;SUBSTITUTE(AF161," ",""),"Abrir Street View"))</f>
        <v/>
      </c>
    </row>
    <row r="162">
      <c r="H162" s="6" t="n"/>
      <c r="I162" s="6" t="n"/>
      <c r="M162" s="7" t="n"/>
      <c r="N162" s="7" t="n"/>
      <c r="O162" s="7" t="n"/>
      <c r="Q162" s="7" t="n"/>
      <c r="R162" s="7" t="n"/>
      <c r="S162" s="8">
        <f>IF(NOT(ISNUMBER(M162)),"",IF(G162="Terreno",IF(AND(ISNUMBER(I162),I162&gt;0),M162/I162,""),IF(AND(ISNUMBER(H162),H162&gt;0),M162/H162,"")))</f>
        <v/>
      </c>
      <c r="T162" s="9">
        <f>IF(AND(ISNUMBER(M162),ISNUMBER(O162)),IF(M162&lt;=O162,"Valor ≤ venal IPTU",""),"")</f>
        <v/>
      </c>
      <c r="U162" s="10">
        <f>IF(AND(ISNUMBER(M162),ISNUMBER(N162)),IF(N162&gt;0,M162/N162,""),"")</f>
        <v/>
      </c>
      <c r="V162" s="10">
        <f>IF(AND(ISNUMBER(M162),ISNUMBER(O162)),IF(O162&gt;0,M162/O162,""),"")</f>
        <v/>
      </c>
      <c r="W162" s="10">
        <f>IF(AND(ISNUMBER(M162),ISNUMBER(R162)),IF(R162&gt;0,M162/R162,""),"")</f>
        <v/>
      </c>
      <c r="X162" s="10">
        <f>IF(AND(ISNUMBER(Q162),ISNUMBER(M162)),IF(M162&gt;0,Q162/M162,""),"")</f>
        <v/>
      </c>
      <c r="Y162" s="11">
        <f>IF(ISNUMBER(Z162),YEAR(Z162),"")</f>
        <v/>
      </c>
      <c r="Z162" s="12" t="n"/>
      <c r="AA162" s="12" t="n"/>
      <c r="AI162" s="12" t="n"/>
      <c r="AJ162" s="13">
        <f>IF(LEN(TRIM(AF162))=0,"",HYPERLINK("https://www.google.com/maps/@?api=1&amp;map_action=pano&amp;viewpoint="&amp;SUBSTITUTE(AF162," ",""),"Abrir Street View"))</f>
        <v/>
      </c>
    </row>
    <row r="163">
      <c r="H163" s="6" t="n"/>
      <c r="I163" s="6" t="n"/>
      <c r="M163" s="7" t="n"/>
      <c r="N163" s="7" t="n"/>
      <c r="O163" s="7" t="n"/>
      <c r="Q163" s="7" t="n"/>
      <c r="R163" s="7" t="n"/>
      <c r="S163" s="8">
        <f>IF(NOT(ISNUMBER(M163)),"",IF(G163="Terreno",IF(AND(ISNUMBER(I163),I163&gt;0),M163/I163,""),IF(AND(ISNUMBER(H163),H163&gt;0),M163/H163,"")))</f>
        <v/>
      </c>
      <c r="T163" s="9">
        <f>IF(AND(ISNUMBER(M163),ISNUMBER(O163)),IF(M163&lt;=O163,"Valor ≤ venal IPTU",""),"")</f>
        <v/>
      </c>
      <c r="U163" s="10">
        <f>IF(AND(ISNUMBER(M163),ISNUMBER(N163)),IF(N163&gt;0,M163/N163,""),"")</f>
        <v/>
      </c>
      <c r="V163" s="10">
        <f>IF(AND(ISNUMBER(M163),ISNUMBER(O163)),IF(O163&gt;0,M163/O163,""),"")</f>
        <v/>
      </c>
      <c r="W163" s="10">
        <f>IF(AND(ISNUMBER(M163),ISNUMBER(R163)),IF(R163&gt;0,M163/R163,""),"")</f>
        <v/>
      </c>
      <c r="X163" s="10">
        <f>IF(AND(ISNUMBER(Q163),ISNUMBER(M163)),IF(M163&gt;0,Q163/M163,""),"")</f>
        <v/>
      </c>
      <c r="Y163" s="11">
        <f>IF(ISNUMBER(Z163),YEAR(Z163),"")</f>
        <v/>
      </c>
      <c r="Z163" s="12" t="n"/>
      <c r="AA163" s="12" t="n"/>
      <c r="AI163" s="12" t="n"/>
      <c r="AJ163" s="13">
        <f>IF(LEN(TRIM(AF163))=0,"",HYPERLINK("https://www.google.com/maps/@?api=1&amp;map_action=pano&amp;viewpoint="&amp;SUBSTITUTE(AF163," ",""),"Abrir Street View"))</f>
        <v/>
      </c>
    </row>
    <row r="164">
      <c r="H164" s="6" t="n"/>
      <c r="I164" s="6" t="n"/>
      <c r="M164" s="7" t="n"/>
      <c r="N164" s="7" t="n"/>
      <c r="O164" s="7" t="n"/>
      <c r="Q164" s="7" t="n"/>
      <c r="R164" s="7" t="n"/>
      <c r="S164" s="8">
        <f>IF(NOT(ISNUMBER(M164)),"",IF(G164="Terreno",IF(AND(ISNUMBER(I164),I164&gt;0),M164/I164,""),IF(AND(ISNUMBER(H164),H164&gt;0),M164/H164,"")))</f>
        <v/>
      </c>
      <c r="T164" s="9">
        <f>IF(AND(ISNUMBER(M164),ISNUMBER(O164)),IF(M164&lt;=O164,"Valor ≤ venal IPTU",""),"")</f>
        <v/>
      </c>
      <c r="U164" s="10">
        <f>IF(AND(ISNUMBER(M164),ISNUMBER(N164)),IF(N164&gt;0,M164/N164,""),"")</f>
        <v/>
      </c>
      <c r="V164" s="10">
        <f>IF(AND(ISNUMBER(M164),ISNUMBER(O164)),IF(O164&gt;0,M164/O164,""),"")</f>
        <v/>
      </c>
      <c r="W164" s="10">
        <f>IF(AND(ISNUMBER(M164),ISNUMBER(R164)),IF(R164&gt;0,M164/R164,""),"")</f>
        <v/>
      </c>
      <c r="X164" s="10">
        <f>IF(AND(ISNUMBER(Q164),ISNUMBER(M164)),IF(M164&gt;0,Q164/M164,""),"")</f>
        <v/>
      </c>
      <c r="Y164" s="11">
        <f>IF(ISNUMBER(Z164),YEAR(Z164),"")</f>
        <v/>
      </c>
      <c r="Z164" s="12" t="n"/>
      <c r="AA164" s="12" t="n"/>
      <c r="AI164" s="12" t="n"/>
      <c r="AJ164" s="13">
        <f>IF(LEN(TRIM(AF164))=0,"",HYPERLINK("https://www.google.com/maps/@?api=1&amp;map_action=pano&amp;viewpoint="&amp;SUBSTITUTE(AF164," ",""),"Abrir Street View"))</f>
        <v/>
      </c>
    </row>
    <row r="165">
      <c r="H165" s="6" t="n"/>
      <c r="I165" s="6" t="n"/>
      <c r="M165" s="7" t="n"/>
      <c r="N165" s="7" t="n"/>
      <c r="O165" s="7" t="n"/>
      <c r="Q165" s="7" t="n"/>
      <c r="R165" s="7" t="n"/>
      <c r="S165" s="8">
        <f>IF(NOT(ISNUMBER(M165)),"",IF(G165="Terreno",IF(AND(ISNUMBER(I165),I165&gt;0),M165/I165,""),IF(AND(ISNUMBER(H165),H165&gt;0),M165/H165,"")))</f>
        <v/>
      </c>
      <c r="T165" s="9">
        <f>IF(AND(ISNUMBER(M165),ISNUMBER(O165)),IF(M165&lt;=O165,"Valor ≤ venal IPTU",""),"")</f>
        <v/>
      </c>
      <c r="U165" s="10">
        <f>IF(AND(ISNUMBER(M165),ISNUMBER(N165)),IF(N165&gt;0,M165/N165,""),"")</f>
        <v/>
      </c>
      <c r="V165" s="10">
        <f>IF(AND(ISNUMBER(M165),ISNUMBER(O165)),IF(O165&gt;0,M165/O165,""),"")</f>
        <v/>
      </c>
      <c r="W165" s="10">
        <f>IF(AND(ISNUMBER(M165),ISNUMBER(R165)),IF(R165&gt;0,M165/R165,""),"")</f>
        <v/>
      </c>
      <c r="X165" s="10">
        <f>IF(AND(ISNUMBER(Q165),ISNUMBER(M165)),IF(M165&gt;0,Q165/M165,""),"")</f>
        <v/>
      </c>
      <c r="Y165" s="11">
        <f>IF(ISNUMBER(Z165),YEAR(Z165),"")</f>
        <v/>
      </c>
      <c r="Z165" s="12" t="n"/>
      <c r="AA165" s="12" t="n"/>
      <c r="AI165" s="12" t="n"/>
      <c r="AJ165" s="13">
        <f>IF(LEN(TRIM(AF165))=0,"",HYPERLINK("https://www.google.com/maps/@?api=1&amp;map_action=pano&amp;viewpoint="&amp;SUBSTITUTE(AF165," ",""),"Abrir Street View"))</f>
        <v/>
      </c>
    </row>
    <row r="166">
      <c r="H166" s="6" t="n"/>
      <c r="I166" s="6" t="n"/>
      <c r="M166" s="7" t="n"/>
      <c r="N166" s="7" t="n"/>
      <c r="O166" s="7" t="n"/>
      <c r="Q166" s="7" t="n"/>
      <c r="R166" s="7" t="n"/>
      <c r="S166" s="8">
        <f>IF(NOT(ISNUMBER(M166)),"",IF(G166="Terreno",IF(AND(ISNUMBER(I166),I166&gt;0),M166/I166,""),IF(AND(ISNUMBER(H166),H166&gt;0),M166/H166,"")))</f>
        <v/>
      </c>
      <c r="T166" s="9">
        <f>IF(AND(ISNUMBER(M166),ISNUMBER(O166)),IF(M166&lt;=O166,"Valor ≤ venal IPTU",""),"")</f>
        <v/>
      </c>
      <c r="U166" s="10">
        <f>IF(AND(ISNUMBER(M166),ISNUMBER(N166)),IF(N166&gt;0,M166/N166,""),"")</f>
        <v/>
      </c>
      <c r="V166" s="10">
        <f>IF(AND(ISNUMBER(M166),ISNUMBER(O166)),IF(O166&gt;0,M166/O166,""),"")</f>
        <v/>
      </c>
      <c r="W166" s="10">
        <f>IF(AND(ISNUMBER(M166),ISNUMBER(R166)),IF(R166&gt;0,M166/R166,""),"")</f>
        <v/>
      </c>
      <c r="X166" s="10">
        <f>IF(AND(ISNUMBER(Q166),ISNUMBER(M166)),IF(M166&gt;0,Q166/M166,""),"")</f>
        <v/>
      </c>
      <c r="Y166" s="11">
        <f>IF(ISNUMBER(Z166),YEAR(Z166),"")</f>
        <v/>
      </c>
      <c r="Z166" s="12" t="n"/>
      <c r="AA166" s="12" t="n"/>
      <c r="AI166" s="12" t="n"/>
      <c r="AJ166" s="13">
        <f>IF(LEN(TRIM(AF166))=0,"",HYPERLINK("https://www.google.com/maps/@?api=1&amp;map_action=pano&amp;viewpoint="&amp;SUBSTITUTE(AF166," ",""),"Abrir Street View"))</f>
        <v/>
      </c>
    </row>
    <row r="167">
      <c r="H167" s="6" t="n"/>
      <c r="I167" s="6" t="n"/>
      <c r="M167" s="7" t="n"/>
      <c r="N167" s="7" t="n"/>
      <c r="O167" s="7" t="n"/>
      <c r="Q167" s="7" t="n"/>
      <c r="R167" s="7" t="n"/>
      <c r="S167" s="8">
        <f>IF(NOT(ISNUMBER(M167)),"",IF(G167="Terreno",IF(AND(ISNUMBER(I167),I167&gt;0),M167/I167,""),IF(AND(ISNUMBER(H167),H167&gt;0),M167/H167,"")))</f>
        <v/>
      </c>
      <c r="T167" s="9">
        <f>IF(AND(ISNUMBER(M167),ISNUMBER(O167)),IF(M167&lt;=O167,"Valor ≤ venal IPTU",""),"")</f>
        <v/>
      </c>
      <c r="U167" s="10">
        <f>IF(AND(ISNUMBER(M167),ISNUMBER(N167)),IF(N167&gt;0,M167/N167,""),"")</f>
        <v/>
      </c>
      <c r="V167" s="10">
        <f>IF(AND(ISNUMBER(M167),ISNUMBER(O167)),IF(O167&gt;0,M167/O167,""),"")</f>
        <v/>
      </c>
      <c r="W167" s="10">
        <f>IF(AND(ISNUMBER(M167),ISNUMBER(R167)),IF(R167&gt;0,M167/R167,""),"")</f>
        <v/>
      </c>
      <c r="X167" s="10">
        <f>IF(AND(ISNUMBER(Q167),ISNUMBER(M167)),IF(M167&gt;0,Q167/M167,""),"")</f>
        <v/>
      </c>
      <c r="Y167" s="11">
        <f>IF(ISNUMBER(Z167),YEAR(Z167),"")</f>
        <v/>
      </c>
      <c r="Z167" s="12" t="n"/>
      <c r="AA167" s="12" t="n"/>
      <c r="AI167" s="12" t="n"/>
      <c r="AJ167" s="13">
        <f>IF(LEN(TRIM(AF167))=0,"",HYPERLINK("https://www.google.com/maps/@?api=1&amp;map_action=pano&amp;viewpoint="&amp;SUBSTITUTE(AF167," ",""),"Abrir Street View"))</f>
        <v/>
      </c>
    </row>
    <row r="168">
      <c r="H168" s="6" t="n"/>
      <c r="I168" s="6" t="n"/>
      <c r="M168" s="7" t="n"/>
      <c r="N168" s="7" t="n"/>
      <c r="O168" s="7" t="n"/>
      <c r="Q168" s="7" t="n"/>
      <c r="R168" s="7" t="n"/>
      <c r="S168" s="8">
        <f>IF(NOT(ISNUMBER(M168)),"",IF(G168="Terreno",IF(AND(ISNUMBER(I168),I168&gt;0),M168/I168,""),IF(AND(ISNUMBER(H168),H168&gt;0),M168/H168,"")))</f>
        <v/>
      </c>
      <c r="T168" s="9">
        <f>IF(AND(ISNUMBER(M168),ISNUMBER(O168)),IF(M168&lt;=O168,"Valor ≤ venal IPTU",""),"")</f>
        <v/>
      </c>
      <c r="U168" s="10">
        <f>IF(AND(ISNUMBER(M168),ISNUMBER(N168)),IF(N168&gt;0,M168/N168,""),"")</f>
        <v/>
      </c>
      <c r="V168" s="10">
        <f>IF(AND(ISNUMBER(M168),ISNUMBER(O168)),IF(O168&gt;0,M168/O168,""),"")</f>
        <v/>
      </c>
      <c r="W168" s="10">
        <f>IF(AND(ISNUMBER(M168),ISNUMBER(R168)),IF(R168&gt;0,M168/R168,""),"")</f>
        <v/>
      </c>
      <c r="X168" s="10">
        <f>IF(AND(ISNUMBER(Q168),ISNUMBER(M168)),IF(M168&gt;0,Q168/M168,""),"")</f>
        <v/>
      </c>
      <c r="Y168" s="11">
        <f>IF(ISNUMBER(Z168),YEAR(Z168),"")</f>
        <v/>
      </c>
      <c r="Z168" s="12" t="n"/>
      <c r="AA168" s="12" t="n"/>
      <c r="AI168" s="12" t="n"/>
      <c r="AJ168" s="13">
        <f>IF(LEN(TRIM(AF168))=0,"",HYPERLINK("https://www.google.com/maps/@?api=1&amp;map_action=pano&amp;viewpoint="&amp;SUBSTITUTE(AF168," ",""),"Abrir Street View"))</f>
        <v/>
      </c>
    </row>
    <row r="169">
      <c r="H169" s="6" t="n"/>
      <c r="I169" s="6" t="n"/>
      <c r="M169" s="7" t="n"/>
      <c r="N169" s="7" t="n"/>
      <c r="O169" s="7" t="n"/>
      <c r="Q169" s="7" t="n"/>
      <c r="R169" s="7" t="n"/>
      <c r="S169" s="8">
        <f>IF(NOT(ISNUMBER(M169)),"",IF(G169="Terreno",IF(AND(ISNUMBER(I169),I169&gt;0),M169/I169,""),IF(AND(ISNUMBER(H169),H169&gt;0),M169/H169,"")))</f>
        <v/>
      </c>
      <c r="T169" s="9">
        <f>IF(AND(ISNUMBER(M169),ISNUMBER(O169)),IF(M169&lt;=O169,"Valor ≤ venal IPTU",""),"")</f>
        <v/>
      </c>
      <c r="U169" s="10">
        <f>IF(AND(ISNUMBER(M169),ISNUMBER(N169)),IF(N169&gt;0,M169/N169,""),"")</f>
        <v/>
      </c>
      <c r="V169" s="10">
        <f>IF(AND(ISNUMBER(M169),ISNUMBER(O169)),IF(O169&gt;0,M169/O169,""),"")</f>
        <v/>
      </c>
      <c r="W169" s="10">
        <f>IF(AND(ISNUMBER(M169),ISNUMBER(R169)),IF(R169&gt;0,M169/R169,""),"")</f>
        <v/>
      </c>
      <c r="X169" s="10">
        <f>IF(AND(ISNUMBER(Q169),ISNUMBER(M169)),IF(M169&gt;0,Q169/M169,""),"")</f>
        <v/>
      </c>
      <c r="Y169" s="11">
        <f>IF(ISNUMBER(Z169),YEAR(Z169),"")</f>
        <v/>
      </c>
      <c r="Z169" s="12" t="n"/>
      <c r="AA169" s="12" t="n"/>
      <c r="AI169" s="12" t="n"/>
      <c r="AJ169" s="13">
        <f>IF(LEN(TRIM(AF169))=0,"",HYPERLINK("https://www.google.com/maps/@?api=1&amp;map_action=pano&amp;viewpoint="&amp;SUBSTITUTE(AF169," ",""),"Abrir Street View"))</f>
        <v/>
      </c>
    </row>
    <row r="170">
      <c r="H170" s="6" t="n"/>
      <c r="I170" s="6" t="n"/>
      <c r="M170" s="7" t="n"/>
      <c r="N170" s="7" t="n"/>
      <c r="O170" s="7" t="n"/>
      <c r="Q170" s="7" t="n"/>
      <c r="R170" s="7" t="n"/>
      <c r="S170" s="8">
        <f>IF(NOT(ISNUMBER(M170)),"",IF(G170="Terreno",IF(AND(ISNUMBER(I170),I170&gt;0),M170/I170,""),IF(AND(ISNUMBER(H170),H170&gt;0),M170/H170,"")))</f>
        <v/>
      </c>
      <c r="T170" s="9">
        <f>IF(AND(ISNUMBER(M170),ISNUMBER(O170)),IF(M170&lt;=O170,"Valor ≤ venal IPTU",""),"")</f>
        <v/>
      </c>
      <c r="U170" s="10">
        <f>IF(AND(ISNUMBER(M170),ISNUMBER(N170)),IF(N170&gt;0,M170/N170,""),"")</f>
        <v/>
      </c>
      <c r="V170" s="10">
        <f>IF(AND(ISNUMBER(M170),ISNUMBER(O170)),IF(O170&gt;0,M170/O170,""),"")</f>
        <v/>
      </c>
      <c r="W170" s="10">
        <f>IF(AND(ISNUMBER(M170),ISNUMBER(R170)),IF(R170&gt;0,M170/R170,""),"")</f>
        <v/>
      </c>
      <c r="X170" s="10">
        <f>IF(AND(ISNUMBER(Q170),ISNUMBER(M170)),IF(M170&gt;0,Q170/M170,""),"")</f>
        <v/>
      </c>
      <c r="Y170" s="11">
        <f>IF(ISNUMBER(Z170),YEAR(Z170),"")</f>
        <v/>
      </c>
      <c r="Z170" s="12" t="n"/>
      <c r="AA170" s="12" t="n"/>
      <c r="AI170" s="12" t="n"/>
      <c r="AJ170" s="13">
        <f>IF(LEN(TRIM(AF170))=0,"",HYPERLINK("https://www.google.com/maps/@?api=1&amp;map_action=pano&amp;viewpoint="&amp;SUBSTITUTE(AF170," ",""),"Abrir Street View"))</f>
        <v/>
      </c>
    </row>
    <row r="171">
      <c r="H171" s="6" t="n"/>
      <c r="I171" s="6" t="n"/>
      <c r="M171" s="7" t="n"/>
      <c r="N171" s="7" t="n"/>
      <c r="O171" s="7" t="n"/>
      <c r="Q171" s="7" t="n"/>
      <c r="R171" s="7" t="n"/>
      <c r="S171" s="8">
        <f>IF(NOT(ISNUMBER(M171)),"",IF(G171="Terreno",IF(AND(ISNUMBER(I171),I171&gt;0),M171/I171,""),IF(AND(ISNUMBER(H171),H171&gt;0),M171/H171,"")))</f>
        <v/>
      </c>
      <c r="T171" s="9">
        <f>IF(AND(ISNUMBER(M171),ISNUMBER(O171)),IF(M171&lt;=O171,"Valor ≤ venal IPTU",""),"")</f>
        <v/>
      </c>
      <c r="U171" s="10">
        <f>IF(AND(ISNUMBER(M171),ISNUMBER(N171)),IF(N171&gt;0,M171/N171,""),"")</f>
        <v/>
      </c>
      <c r="V171" s="10">
        <f>IF(AND(ISNUMBER(M171),ISNUMBER(O171)),IF(O171&gt;0,M171/O171,""),"")</f>
        <v/>
      </c>
      <c r="W171" s="10">
        <f>IF(AND(ISNUMBER(M171),ISNUMBER(R171)),IF(R171&gt;0,M171/R171,""),"")</f>
        <v/>
      </c>
      <c r="X171" s="10">
        <f>IF(AND(ISNUMBER(Q171),ISNUMBER(M171)),IF(M171&gt;0,Q171/M171,""),"")</f>
        <v/>
      </c>
      <c r="Y171" s="11">
        <f>IF(ISNUMBER(Z171),YEAR(Z171),"")</f>
        <v/>
      </c>
      <c r="Z171" s="12" t="n"/>
      <c r="AA171" s="12" t="n"/>
      <c r="AI171" s="12" t="n"/>
      <c r="AJ171" s="13">
        <f>IF(LEN(TRIM(AF171))=0,"",HYPERLINK("https://www.google.com/maps/@?api=1&amp;map_action=pano&amp;viewpoint="&amp;SUBSTITUTE(AF171," ",""),"Abrir Street View"))</f>
        <v/>
      </c>
    </row>
    <row r="172">
      <c r="H172" s="6" t="n"/>
      <c r="I172" s="6" t="n"/>
      <c r="M172" s="7" t="n"/>
      <c r="N172" s="7" t="n"/>
      <c r="O172" s="7" t="n"/>
      <c r="Q172" s="7" t="n"/>
      <c r="R172" s="7" t="n"/>
      <c r="S172" s="8">
        <f>IF(NOT(ISNUMBER(M172)),"",IF(G172="Terreno",IF(AND(ISNUMBER(I172),I172&gt;0),M172/I172,""),IF(AND(ISNUMBER(H172),H172&gt;0),M172/H172,"")))</f>
        <v/>
      </c>
      <c r="T172" s="9">
        <f>IF(AND(ISNUMBER(M172),ISNUMBER(O172)),IF(M172&lt;=O172,"Valor ≤ venal IPTU",""),"")</f>
        <v/>
      </c>
      <c r="U172" s="10">
        <f>IF(AND(ISNUMBER(M172),ISNUMBER(N172)),IF(N172&gt;0,M172/N172,""),"")</f>
        <v/>
      </c>
      <c r="V172" s="10">
        <f>IF(AND(ISNUMBER(M172),ISNUMBER(O172)),IF(O172&gt;0,M172/O172,""),"")</f>
        <v/>
      </c>
      <c r="W172" s="10">
        <f>IF(AND(ISNUMBER(M172),ISNUMBER(R172)),IF(R172&gt;0,M172/R172,""),"")</f>
        <v/>
      </c>
      <c r="X172" s="10">
        <f>IF(AND(ISNUMBER(Q172),ISNUMBER(M172)),IF(M172&gt;0,Q172/M172,""),"")</f>
        <v/>
      </c>
      <c r="Y172" s="11">
        <f>IF(ISNUMBER(Z172),YEAR(Z172),"")</f>
        <v/>
      </c>
      <c r="Z172" s="12" t="n"/>
      <c r="AA172" s="12" t="n"/>
      <c r="AI172" s="12" t="n"/>
      <c r="AJ172" s="13">
        <f>IF(LEN(TRIM(AF172))=0,"",HYPERLINK("https://www.google.com/maps/@?api=1&amp;map_action=pano&amp;viewpoint="&amp;SUBSTITUTE(AF172," ",""),"Abrir Street View"))</f>
        <v/>
      </c>
    </row>
    <row r="173">
      <c r="H173" s="6" t="n"/>
      <c r="I173" s="6" t="n"/>
      <c r="M173" s="7" t="n"/>
      <c r="N173" s="7" t="n"/>
      <c r="O173" s="7" t="n"/>
      <c r="Q173" s="7" t="n"/>
      <c r="R173" s="7" t="n"/>
      <c r="S173" s="8">
        <f>IF(NOT(ISNUMBER(M173)),"",IF(G173="Terreno",IF(AND(ISNUMBER(I173),I173&gt;0),M173/I173,""),IF(AND(ISNUMBER(H173),H173&gt;0),M173/H173,"")))</f>
        <v/>
      </c>
      <c r="T173" s="9">
        <f>IF(AND(ISNUMBER(M173),ISNUMBER(O173)),IF(M173&lt;=O173,"Valor ≤ venal IPTU",""),"")</f>
        <v/>
      </c>
      <c r="U173" s="10">
        <f>IF(AND(ISNUMBER(M173),ISNUMBER(N173)),IF(N173&gt;0,M173/N173,""),"")</f>
        <v/>
      </c>
      <c r="V173" s="10">
        <f>IF(AND(ISNUMBER(M173),ISNUMBER(O173)),IF(O173&gt;0,M173/O173,""),"")</f>
        <v/>
      </c>
      <c r="W173" s="10">
        <f>IF(AND(ISNUMBER(M173),ISNUMBER(R173)),IF(R173&gt;0,M173/R173,""),"")</f>
        <v/>
      </c>
      <c r="X173" s="10">
        <f>IF(AND(ISNUMBER(Q173),ISNUMBER(M173)),IF(M173&gt;0,Q173/M173,""),"")</f>
        <v/>
      </c>
      <c r="Y173" s="11">
        <f>IF(ISNUMBER(Z173),YEAR(Z173),"")</f>
        <v/>
      </c>
      <c r="Z173" s="12" t="n"/>
      <c r="AA173" s="12" t="n"/>
      <c r="AI173" s="12" t="n"/>
      <c r="AJ173" s="13">
        <f>IF(LEN(TRIM(AF173))=0,"",HYPERLINK("https://www.google.com/maps/@?api=1&amp;map_action=pano&amp;viewpoint="&amp;SUBSTITUTE(AF173," ",""),"Abrir Street View"))</f>
        <v/>
      </c>
    </row>
    <row r="174">
      <c r="H174" s="6" t="n"/>
      <c r="I174" s="6" t="n"/>
      <c r="M174" s="7" t="n"/>
      <c r="N174" s="7" t="n"/>
      <c r="O174" s="7" t="n"/>
      <c r="Q174" s="7" t="n"/>
      <c r="R174" s="7" t="n"/>
      <c r="S174" s="8">
        <f>IF(NOT(ISNUMBER(M174)),"",IF(G174="Terreno",IF(AND(ISNUMBER(I174),I174&gt;0),M174/I174,""),IF(AND(ISNUMBER(H174),H174&gt;0),M174/H174,"")))</f>
        <v/>
      </c>
      <c r="T174" s="9">
        <f>IF(AND(ISNUMBER(M174),ISNUMBER(O174)),IF(M174&lt;=O174,"Valor ≤ venal IPTU",""),"")</f>
        <v/>
      </c>
      <c r="U174" s="10">
        <f>IF(AND(ISNUMBER(M174),ISNUMBER(N174)),IF(N174&gt;0,M174/N174,""),"")</f>
        <v/>
      </c>
      <c r="V174" s="10">
        <f>IF(AND(ISNUMBER(M174),ISNUMBER(O174)),IF(O174&gt;0,M174/O174,""),"")</f>
        <v/>
      </c>
      <c r="W174" s="10">
        <f>IF(AND(ISNUMBER(M174),ISNUMBER(R174)),IF(R174&gt;0,M174/R174,""),"")</f>
        <v/>
      </c>
      <c r="X174" s="10">
        <f>IF(AND(ISNUMBER(Q174),ISNUMBER(M174)),IF(M174&gt;0,Q174/M174,""),"")</f>
        <v/>
      </c>
      <c r="Y174" s="11">
        <f>IF(ISNUMBER(Z174),YEAR(Z174),"")</f>
        <v/>
      </c>
      <c r="Z174" s="12" t="n"/>
      <c r="AA174" s="12" t="n"/>
      <c r="AI174" s="12" t="n"/>
      <c r="AJ174" s="13">
        <f>IF(LEN(TRIM(AF174))=0,"",HYPERLINK("https://www.google.com/maps/@?api=1&amp;map_action=pano&amp;viewpoint="&amp;SUBSTITUTE(AF174," ",""),"Abrir Street View"))</f>
        <v/>
      </c>
    </row>
    <row r="175">
      <c r="H175" s="6" t="n"/>
      <c r="I175" s="6" t="n"/>
      <c r="M175" s="7" t="n"/>
      <c r="N175" s="7" t="n"/>
      <c r="O175" s="7" t="n"/>
      <c r="Q175" s="7" t="n"/>
      <c r="R175" s="7" t="n"/>
      <c r="S175" s="8">
        <f>IF(NOT(ISNUMBER(M175)),"",IF(G175="Terreno",IF(AND(ISNUMBER(I175),I175&gt;0),M175/I175,""),IF(AND(ISNUMBER(H175),H175&gt;0),M175/H175,"")))</f>
        <v/>
      </c>
      <c r="T175" s="9">
        <f>IF(AND(ISNUMBER(M175),ISNUMBER(O175)),IF(M175&lt;=O175,"Valor ≤ venal IPTU",""),"")</f>
        <v/>
      </c>
      <c r="U175" s="10">
        <f>IF(AND(ISNUMBER(M175),ISNUMBER(N175)),IF(N175&gt;0,M175/N175,""),"")</f>
        <v/>
      </c>
      <c r="V175" s="10">
        <f>IF(AND(ISNUMBER(M175),ISNUMBER(O175)),IF(O175&gt;0,M175/O175,""),"")</f>
        <v/>
      </c>
      <c r="W175" s="10">
        <f>IF(AND(ISNUMBER(M175),ISNUMBER(R175)),IF(R175&gt;0,M175/R175,""),"")</f>
        <v/>
      </c>
      <c r="X175" s="10">
        <f>IF(AND(ISNUMBER(Q175),ISNUMBER(M175)),IF(M175&gt;0,Q175/M175,""),"")</f>
        <v/>
      </c>
      <c r="Y175" s="11">
        <f>IF(ISNUMBER(Z175),YEAR(Z175),"")</f>
        <v/>
      </c>
      <c r="Z175" s="12" t="n"/>
      <c r="AA175" s="12" t="n"/>
      <c r="AI175" s="12" t="n"/>
      <c r="AJ175" s="13">
        <f>IF(LEN(TRIM(AF175))=0,"",HYPERLINK("https://www.google.com/maps/@?api=1&amp;map_action=pano&amp;viewpoint="&amp;SUBSTITUTE(AF175," ",""),"Abrir Street View"))</f>
        <v/>
      </c>
    </row>
    <row r="176">
      <c r="H176" s="6" t="n"/>
      <c r="I176" s="6" t="n"/>
      <c r="M176" s="7" t="n"/>
      <c r="N176" s="7" t="n"/>
      <c r="O176" s="7" t="n"/>
      <c r="Q176" s="7" t="n"/>
      <c r="R176" s="7" t="n"/>
      <c r="S176" s="8">
        <f>IF(NOT(ISNUMBER(M176)),"",IF(G176="Terreno",IF(AND(ISNUMBER(I176),I176&gt;0),M176/I176,""),IF(AND(ISNUMBER(H176),H176&gt;0),M176/H176,"")))</f>
        <v/>
      </c>
      <c r="T176" s="9">
        <f>IF(AND(ISNUMBER(M176),ISNUMBER(O176)),IF(M176&lt;=O176,"Valor ≤ venal IPTU",""),"")</f>
        <v/>
      </c>
      <c r="U176" s="10">
        <f>IF(AND(ISNUMBER(M176),ISNUMBER(N176)),IF(N176&gt;0,M176/N176,""),"")</f>
        <v/>
      </c>
      <c r="V176" s="10">
        <f>IF(AND(ISNUMBER(M176),ISNUMBER(O176)),IF(O176&gt;0,M176/O176,""),"")</f>
        <v/>
      </c>
      <c r="W176" s="10">
        <f>IF(AND(ISNUMBER(M176),ISNUMBER(R176)),IF(R176&gt;0,M176/R176,""),"")</f>
        <v/>
      </c>
      <c r="X176" s="10">
        <f>IF(AND(ISNUMBER(Q176),ISNUMBER(M176)),IF(M176&gt;0,Q176/M176,""),"")</f>
        <v/>
      </c>
      <c r="Y176" s="11">
        <f>IF(ISNUMBER(Z176),YEAR(Z176),"")</f>
        <v/>
      </c>
      <c r="Z176" s="12" t="n"/>
      <c r="AA176" s="12" t="n"/>
      <c r="AI176" s="12" t="n"/>
      <c r="AJ176" s="13">
        <f>IF(LEN(TRIM(AF176))=0,"",HYPERLINK("https://www.google.com/maps/@?api=1&amp;map_action=pano&amp;viewpoint="&amp;SUBSTITUTE(AF176," ",""),"Abrir Street View"))</f>
        <v/>
      </c>
    </row>
    <row r="177">
      <c r="H177" s="6" t="n"/>
      <c r="I177" s="6" t="n"/>
      <c r="M177" s="7" t="n"/>
      <c r="N177" s="7" t="n"/>
      <c r="O177" s="7" t="n"/>
      <c r="Q177" s="7" t="n"/>
      <c r="R177" s="7" t="n"/>
      <c r="S177" s="8">
        <f>IF(NOT(ISNUMBER(M177)),"",IF(G177="Terreno",IF(AND(ISNUMBER(I177),I177&gt;0),M177/I177,""),IF(AND(ISNUMBER(H177),H177&gt;0),M177/H177,"")))</f>
        <v/>
      </c>
      <c r="T177" s="9">
        <f>IF(AND(ISNUMBER(M177),ISNUMBER(O177)),IF(M177&lt;=O177,"Valor ≤ venal IPTU",""),"")</f>
        <v/>
      </c>
      <c r="U177" s="10">
        <f>IF(AND(ISNUMBER(M177),ISNUMBER(N177)),IF(N177&gt;0,M177/N177,""),"")</f>
        <v/>
      </c>
      <c r="V177" s="10">
        <f>IF(AND(ISNUMBER(M177),ISNUMBER(O177)),IF(O177&gt;0,M177/O177,""),"")</f>
        <v/>
      </c>
      <c r="W177" s="10">
        <f>IF(AND(ISNUMBER(M177),ISNUMBER(R177)),IF(R177&gt;0,M177/R177,""),"")</f>
        <v/>
      </c>
      <c r="X177" s="10">
        <f>IF(AND(ISNUMBER(Q177),ISNUMBER(M177)),IF(M177&gt;0,Q177/M177,""),"")</f>
        <v/>
      </c>
      <c r="Y177" s="11">
        <f>IF(ISNUMBER(Z177),YEAR(Z177),"")</f>
        <v/>
      </c>
      <c r="Z177" s="12" t="n"/>
      <c r="AA177" s="12" t="n"/>
      <c r="AI177" s="12" t="n"/>
      <c r="AJ177" s="13">
        <f>IF(LEN(TRIM(AF177))=0,"",HYPERLINK("https://www.google.com/maps/@?api=1&amp;map_action=pano&amp;viewpoint="&amp;SUBSTITUTE(AF177," ",""),"Abrir Street View"))</f>
        <v/>
      </c>
    </row>
    <row r="178">
      <c r="H178" s="6" t="n"/>
      <c r="I178" s="6" t="n"/>
      <c r="M178" s="7" t="n"/>
      <c r="N178" s="7" t="n"/>
      <c r="O178" s="7" t="n"/>
      <c r="Q178" s="7" t="n"/>
      <c r="R178" s="7" t="n"/>
      <c r="S178" s="8">
        <f>IF(NOT(ISNUMBER(M178)),"",IF(G178="Terreno",IF(AND(ISNUMBER(I178),I178&gt;0),M178/I178,""),IF(AND(ISNUMBER(H178),H178&gt;0),M178/H178,"")))</f>
        <v/>
      </c>
      <c r="T178" s="9">
        <f>IF(AND(ISNUMBER(M178),ISNUMBER(O178)),IF(M178&lt;=O178,"Valor ≤ venal IPTU",""),"")</f>
        <v/>
      </c>
      <c r="U178" s="10">
        <f>IF(AND(ISNUMBER(M178),ISNUMBER(N178)),IF(N178&gt;0,M178/N178,""),"")</f>
        <v/>
      </c>
      <c r="V178" s="10">
        <f>IF(AND(ISNUMBER(M178),ISNUMBER(O178)),IF(O178&gt;0,M178/O178,""),"")</f>
        <v/>
      </c>
      <c r="W178" s="10">
        <f>IF(AND(ISNUMBER(M178),ISNUMBER(R178)),IF(R178&gt;0,M178/R178,""),"")</f>
        <v/>
      </c>
      <c r="X178" s="10">
        <f>IF(AND(ISNUMBER(Q178),ISNUMBER(M178)),IF(M178&gt;0,Q178/M178,""),"")</f>
        <v/>
      </c>
      <c r="Y178" s="11">
        <f>IF(ISNUMBER(Z178),YEAR(Z178),"")</f>
        <v/>
      </c>
      <c r="Z178" s="12" t="n"/>
      <c r="AA178" s="12" t="n"/>
      <c r="AI178" s="12" t="n"/>
      <c r="AJ178" s="13">
        <f>IF(LEN(TRIM(AF178))=0,"",HYPERLINK("https://www.google.com/maps/@?api=1&amp;map_action=pano&amp;viewpoint="&amp;SUBSTITUTE(AF178," ",""),"Abrir Street View"))</f>
        <v/>
      </c>
    </row>
    <row r="179">
      <c r="H179" s="6" t="n"/>
      <c r="I179" s="6" t="n"/>
      <c r="M179" s="7" t="n"/>
      <c r="N179" s="7" t="n"/>
      <c r="O179" s="7" t="n"/>
      <c r="Q179" s="7" t="n"/>
      <c r="R179" s="7" t="n"/>
      <c r="S179" s="8">
        <f>IF(NOT(ISNUMBER(M179)),"",IF(G179="Terreno",IF(AND(ISNUMBER(I179),I179&gt;0),M179/I179,""),IF(AND(ISNUMBER(H179),H179&gt;0),M179/H179,"")))</f>
        <v/>
      </c>
      <c r="T179" s="9">
        <f>IF(AND(ISNUMBER(M179),ISNUMBER(O179)),IF(M179&lt;=O179,"Valor ≤ venal IPTU",""),"")</f>
        <v/>
      </c>
      <c r="U179" s="10">
        <f>IF(AND(ISNUMBER(M179),ISNUMBER(N179)),IF(N179&gt;0,M179/N179,""),"")</f>
        <v/>
      </c>
      <c r="V179" s="10">
        <f>IF(AND(ISNUMBER(M179),ISNUMBER(O179)),IF(O179&gt;0,M179/O179,""),"")</f>
        <v/>
      </c>
      <c r="W179" s="10">
        <f>IF(AND(ISNUMBER(M179),ISNUMBER(R179)),IF(R179&gt;0,M179/R179,""),"")</f>
        <v/>
      </c>
      <c r="X179" s="10">
        <f>IF(AND(ISNUMBER(Q179),ISNUMBER(M179)),IF(M179&gt;0,Q179/M179,""),"")</f>
        <v/>
      </c>
      <c r="Y179" s="11">
        <f>IF(ISNUMBER(Z179),YEAR(Z179),"")</f>
        <v/>
      </c>
      <c r="Z179" s="12" t="n"/>
      <c r="AA179" s="12" t="n"/>
      <c r="AI179" s="12" t="n"/>
      <c r="AJ179" s="13">
        <f>IF(LEN(TRIM(AF179))=0,"",HYPERLINK("https://www.google.com/maps/@?api=1&amp;map_action=pano&amp;viewpoint="&amp;SUBSTITUTE(AF179," ",""),"Abrir Street View"))</f>
        <v/>
      </c>
    </row>
    <row r="180">
      <c r="H180" s="6" t="n"/>
      <c r="I180" s="6" t="n"/>
      <c r="M180" s="7" t="n"/>
      <c r="N180" s="7" t="n"/>
      <c r="O180" s="7" t="n"/>
      <c r="Q180" s="7" t="n"/>
      <c r="R180" s="7" t="n"/>
      <c r="S180" s="8">
        <f>IF(NOT(ISNUMBER(M180)),"",IF(G180="Terreno",IF(AND(ISNUMBER(I180),I180&gt;0),M180/I180,""),IF(AND(ISNUMBER(H180),H180&gt;0),M180/H180,"")))</f>
        <v/>
      </c>
      <c r="T180" s="9">
        <f>IF(AND(ISNUMBER(M180),ISNUMBER(O180)),IF(M180&lt;=O180,"Valor ≤ venal IPTU",""),"")</f>
        <v/>
      </c>
      <c r="U180" s="10">
        <f>IF(AND(ISNUMBER(M180),ISNUMBER(N180)),IF(N180&gt;0,M180/N180,""),"")</f>
        <v/>
      </c>
      <c r="V180" s="10">
        <f>IF(AND(ISNUMBER(M180),ISNUMBER(O180)),IF(O180&gt;0,M180/O180,""),"")</f>
        <v/>
      </c>
      <c r="W180" s="10">
        <f>IF(AND(ISNUMBER(M180),ISNUMBER(R180)),IF(R180&gt;0,M180/R180,""),"")</f>
        <v/>
      </c>
      <c r="X180" s="10">
        <f>IF(AND(ISNUMBER(Q180),ISNUMBER(M180)),IF(M180&gt;0,Q180/M180,""),"")</f>
        <v/>
      </c>
      <c r="Y180" s="11">
        <f>IF(ISNUMBER(Z180),YEAR(Z180),"")</f>
        <v/>
      </c>
      <c r="Z180" s="12" t="n"/>
      <c r="AA180" s="12" t="n"/>
      <c r="AI180" s="12" t="n"/>
      <c r="AJ180" s="13">
        <f>IF(LEN(TRIM(AF180))=0,"",HYPERLINK("https://www.google.com/maps/@?api=1&amp;map_action=pano&amp;viewpoint="&amp;SUBSTITUTE(AF180," ",""),"Abrir Street View"))</f>
        <v/>
      </c>
    </row>
    <row r="181">
      <c r="H181" s="6" t="n"/>
      <c r="I181" s="6" t="n"/>
      <c r="M181" s="7" t="n"/>
      <c r="N181" s="7" t="n"/>
      <c r="O181" s="7" t="n"/>
      <c r="Q181" s="7" t="n"/>
      <c r="R181" s="7" t="n"/>
      <c r="S181" s="8">
        <f>IF(NOT(ISNUMBER(M181)),"",IF(G181="Terreno",IF(AND(ISNUMBER(I181),I181&gt;0),M181/I181,""),IF(AND(ISNUMBER(H181),H181&gt;0),M181/H181,"")))</f>
        <v/>
      </c>
      <c r="T181" s="9">
        <f>IF(AND(ISNUMBER(M181),ISNUMBER(O181)),IF(M181&lt;=O181,"Valor ≤ venal IPTU",""),"")</f>
        <v/>
      </c>
      <c r="U181" s="10">
        <f>IF(AND(ISNUMBER(M181),ISNUMBER(N181)),IF(N181&gt;0,M181/N181,""),"")</f>
        <v/>
      </c>
      <c r="V181" s="10">
        <f>IF(AND(ISNUMBER(M181),ISNUMBER(O181)),IF(O181&gt;0,M181/O181,""),"")</f>
        <v/>
      </c>
      <c r="W181" s="10">
        <f>IF(AND(ISNUMBER(M181),ISNUMBER(R181)),IF(R181&gt;0,M181/R181,""),"")</f>
        <v/>
      </c>
      <c r="X181" s="10">
        <f>IF(AND(ISNUMBER(Q181),ISNUMBER(M181)),IF(M181&gt;0,Q181/M181,""),"")</f>
        <v/>
      </c>
      <c r="Y181" s="11">
        <f>IF(ISNUMBER(Z181),YEAR(Z181),"")</f>
        <v/>
      </c>
      <c r="Z181" s="12" t="n"/>
      <c r="AA181" s="12" t="n"/>
      <c r="AI181" s="12" t="n"/>
      <c r="AJ181" s="13">
        <f>IF(LEN(TRIM(AF181))=0,"",HYPERLINK("https://www.google.com/maps/@?api=1&amp;map_action=pano&amp;viewpoint="&amp;SUBSTITUTE(AF181," ",""),"Abrir Street View"))</f>
        <v/>
      </c>
    </row>
    <row r="182">
      <c r="H182" s="6" t="n"/>
      <c r="I182" s="6" t="n"/>
      <c r="M182" s="7" t="n"/>
      <c r="N182" s="7" t="n"/>
      <c r="O182" s="7" t="n"/>
      <c r="Q182" s="7" t="n"/>
      <c r="R182" s="7" t="n"/>
      <c r="S182" s="8">
        <f>IF(NOT(ISNUMBER(M182)),"",IF(G182="Terreno",IF(AND(ISNUMBER(I182),I182&gt;0),M182/I182,""),IF(AND(ISNUMBER(H182),H182&gt;0),M182/H182,"")))</f>
        <v/>
      </c>
      <c r="T182" s="9">
        <f>IF(AND(ISNUMBER(M182),ISNUMBER(O182)),IF(M182&lt;=O182,"Valor ≤ venal IPTU",""),"")</f>
        <v/>
      </c>
      <c r="U182" s="10">
        <f>IF(AND(ISNUMBER(M182),ISNUMBER(N182)),IF(N182&gt;0,M182/N182,""),"")</f>
        <v/>
      </c>
      <c r="V182" s="10">
        <f>IF(AND(ISNUMBER(M182),ISNUMBER(O182)),IF(O182&gt;0,M182/O182,""),"")</f>
        <v/>
      </c>
      <c r="W182" s="10">
        <f>IF(AND(ISNUMBER(M182),ISNUMBER(R182)),IF(R182&gt;0,M182/R182,""),"")</f>
        <v/>
      </c>
      <c r="X182" s="10">
        <f>IF(AND(ISNUMBER(Q182),ISNUMBER(M182)),IF(M182&gt;0,Q182/M182,""),"")</f>
        <v/>
      </c>
      <c r="Y182" s="11">
        <f>IF(ISNUMBER(Z182),YEAR(Z182),"")</f>
        <v/>
      </c>
      <c r="Z182" s="12" t="n"/>
      <c r="AA182" s="12" t="n"/>
      <c r="AI182" s="12" t="n"/>
      <c r="AJ182" s="13">
        <f>IF(LEN(TRIM(AF182))=0,"",HYPERLINK("https://www.google.com/maps/@?api=1&amp;map_action=pano&amp;viewpoint="&amp;SUBSTITUTE(AF182," ",""),"Abrir Street View"))</f>
        <v/>
      </c>
    </row>
    <row r="183">
      <c r="H183" s="6" t="n"/>
      <c r="I183" s="6" t="n"/>
      <c r="M183" s="7" t="n"/>
      <c r="N183" s="7" t="n"/>
      <c r="O183" s="7" t="n"/>
      <c r="Q183" s="7" t="n"/>
      <c r="R183" s="7" t="n"/>
      <c r="S183" s="8">
        <f>IF(NOT(ISNUMBER(M183)),"",IF(G183="Terreno",IF(AND(ISNUMBER(I183),I183&gt;0),M183/I183,""),IF(AND(ISNUMBER(H183),H183&gt;0),M183/H183,"")))</f>
        <v/>
      </c>
      <c r="T183" s="9">
        <f>IF(AND(ISNUMBER(M183),ISNUMBER(O183)),IF(M183&lt;=O183,"Valor ≤ venal IPTU",""),"")</f>
        <v/>
      </c>
      <c r="U183" s="10">
        <f>IF(AND(ISNUMBER(M183),ISNUMBER(N183)),IF(N183&gt;0,M183/N183,""),"")</f>
        <v/>
      </c>
      <c r="V183" s="10">
        <f>IF(AND(ISNUMBER(M183),ISNUMBER(O183)),IF(O183&gt;0,M183/O183,""),"")</f>
        <v/>
      </c>
      <c r="W183" s="10">
        <f>IF(AND(ISNUMBER(M183),ISNUMBER(R183)),IF(R183&gt;0,M183/R183,""),"")</f>
        <v/>
      </c>
      <c r="X183" s="10">
        <f>IF(AND(ISNUMBER(Q183),ISNUMBER(M183)),IF(M183&gt;0,Q183/M183,""),"")</f>
        <v/>
      </c>
      <c r="Y183" s="11">
        <f>IF(ISNUMBER(Z183),YEAR(Z183),"")</f>
        <v/>
      </c>
      <c r="Z183" s="12" t="n"/>
      <c r="AA183" s="12" t="n"/>
      <c r="AI183" s="12" t="n"/>
      <c r="AJ183" s="13">
        <f>IF(LEN(TRIM(AF183))=0,"",HYPERLINK("https://www.google.com/maps/@?api=1&amp;map_action=pano&amp;viewpoint="&amp;SUBSTITUTE(AF183," ",""),"Abrir Street View"))</f>
        <v/>
      </c>
    </row>
    <row r="184">
      <c r="H184" s="6" t="n"/>
      <c r="I184" s="6" t="n"/>
      <c r="M184" s="7" t="n"/>
      <c r="N184" s="7" t="n"/>
      <c r="O184" s="7" t="n"/>
      <c r="Q184" s="7" t="n"/>
      <c r="R184" s="7" t="n"/>
      <c r="S184" s="8">
        <f>IF(NOT(ISNUMBER(M184)),"",IF(G184="Terreno",IF(AND(ISNUMBER(I184),I184&gt;0),M184/I184,""),IF(AND(ISNUMBER(H184),H184&gt;0),M184/H184,"")))</f>
        <v/>
      </c>
      <c r="T184" s="9">
        <f>IF(AND(ISNUMBER(M184),ISNUMBER(O184)),IF(M184&lt;=O184,"Valor ≤ venal IPTU",""),"")</f>
        <v/>
      </c>
      <c r="U184" s="10">
        <f>IF(AND(ISNUMBER(M184),ISNUMBER(N184)),IF(N184&gt;0,M184/N184,""),"")</f>
        <v/>
      </c>
      <c r="V184" s="10">
        <f>IF(AND(ISNUMBER(M184),ISNUMBER(O184)),IF(O184&gt;0,M184/O184,""),"")</f>
        <v/>
      </c>
      <c r="W184" s="10">
        <f>IF(AND(ISNUMBER(M184),ISNUMBER(R184)),IF(R184&gt;0,M184/R184,""),"")</f>
        <v/>
      </c>
      <c r="X184" s="10">
        <f>IF(AND(ISNUMBER(Q184),ISNUMBER(M184)),IF(M184&gt;0,Q184/M184,""),"")</f>
        <v/>
      </c>
      <c r="Y184" s="11">
        <f>IF(ISNUMBER(Z184),YEAR(Z184),"")</f>
        <v/>
      </c>
      <c r="Z184" s="12" t="n"/>
      <c r="AA184" s="12" t="n"/>
      <c r="AI184" s="12" t="n"/>
      <c r="AJ184" s="13">
        <f>IF(LEN(TRIM(AF184))=0,"",HYPERLINK("https://www.google.com/maps/@?api=1&amp;map_action=pano&amp;viewpoint="&amp;SUBSTITUTE(AF184," ",""),"Abrir Street View"))</f>
        <v/>
      </c>
    </row>
    <row r="185">
      <c r="H185" s="6" t="n"/>
      <c r="I185" s="6" t="n"/>
      <c r="M185" s="7" t="n"/>
      <c r="N185" s="7" t="n"/>
      <c r="O185" s="7" t="n"/>
      <c r="Q185" s="7" t="n"/>
      <c r="R185" s="7" t="n"/>
      <c r="S185" s="8">
        <f>IF(NOT(ISNUMBER(M185)),"",IF(G185="Terreno",IF(AND(ISNUMBER(I185),I185&gt;0),M185/I185,""),IF(AND(ISNUMBER(H185),H185&gt;0),M185/H185,"")))</f>
        <v/>
      </c>
      <c r="T185" s="9">
        <f>IF(AND(ISNUMBER(M185),ISNUMBER(O185)),IF(M185&lt;=O185,"Valor ≤ venal IPTU",""),"")</f>
        <v/>
      </c>
      <c r="U185" s="10">
        <f>IF(AND(ISNUMBER(M185),ISNUMBER(N185)),IF(N185&gt;0,M185/N185,""),"")</f>
        <v/>
      </c>
      <c r="V185" s="10">
        <f>IF(AND(ISNUMBER(M185),ISNUMBER(O185)),IF(O185&gt;0,M185/O185,""),"")</f>
        <v/>
      </c>
      <c r="W185" s="10">
        <f>IF(AND(ISNUMBER(M185),ISNUMBER(R185)),IF(R185&gt;0,M185/R185,""),"")</f>
        <v/>
      </c>
      <c r="X185" s="10">
        <f>IF(AND(ISNUMBER(Q185),ISNUMBER(M185)),IF(M185&gt;0,Q185/M185,""),"")</f>
        <v/>
      </c>
      <c r="Y185" s="11">
        <f>IF(ISNUMBER(Z185),YEAR(Z185),"")</f>
        <v/>
      </c>
      <c r="Z185" s="12" t="n"/>
      <c r="AA185" s="12" t="n"/>
      <c r="AI185" s="12" t="n"/>
      <c r="AJ185" s="13">
        <f>IF(LEN(TRIM(AF185))=0,"",HYPERLINK("https://www.google.com/maps/@?api=1&amp;map_action=pano&amp;viewpoint="&amp;SUBSTITUTE(AF185," ",""),"Abrir Street View"))</f>
        <v/>
      </c>
    </row>
    <row r="186">
      <c r="H186" s="6" t="n"/>
      <c r="I186" s="6" t="n"/>
      <c r="M186" s="7" t="n"/>
      <c r="N186" s="7" t="n"/>
      <c r="O186" s="7" t="n"/>
      <c r="Q186" s="7" t="n"/>
      <c r="R186" s="7" t="n"/>
      <c r="S186" s="8">
        <f>IF(NOT(ISNUMBER(M186)),"",IF(G186="Terreno",IF(AND(ISNUMBER(I186),I186&gt;0),M186/I186,""),IF(AND(ISNUMBER(H186),H186&gt;0),M186/H186,"")))</f>
        <v/>
      </c>
      <c r="T186" s="9">
        <f>IF(AND(ISNUMBER(M186),ISNUMBER(O186)),IF(M186&lt;=O186,"Valor ≤ venal IPTU",""),"")</f>
        <v/>
      </c>
      <c r="U186" s="10">
        <f>IF(AND(ISNUMBER(M186),ISNUMBER(N186)),IF(N186&gt;0,M186/N186,""),"")</f>
        <v/>
      </c>
      <c r="V186" s="10">
        <f>IF(AND(ISNUMBER(M186),ISNUMBER(O186)),IF(O186&gt;0,M186/O186,""),"")</f>
        <v/>
      </c>
      <c r="W186" s="10">
        <f>IF(AND(ISNUMBER(M186),ISNUMBER(R186)),IF(R186&gt;0,M186/R186,""),"")</f>
        <v/>
      </c>
      <c r="X186" s="10">
        <f>IF(AND(ISNUMBER(Q186),ISNUMBER(M186)),IF(M186&gt;0,Q186/M186,""),"")</f>
        <v/>
      </c>
      <c r="Y186" s="11">
        <f>IF(ISNUMBER(Z186),YEAR(Z186),"")</f>
        <v/>
      </c>
      <c r="Z186" s="12" t="n"/>
      <c r="AA186" s="12" t="n"/>
      <c r="AI186" s="12" t="n"/>
      <c r="AJ186" s="13">
        <f>IF(LEN(TRIM(AF186))=0,"",HYPERLINK("https://www.google.com/maps/@?api=1&amp;map_action=pano&amp;viewpoint="&amp;SUBSTITUTE(AF186," ",""),"Abrir Street View"))</f>
        <v/>
      </c>
    </row>
    <row r="187">
      <c r="H187" s="6" t="n"/>
      <c r="I187" s="6" t="n"/>
      <c r="M187" s="7" t="n"/>
      <c r="N187" s="7" t="n"/>
      <c r="O187" s="7" t="n"/>
      <c r="Q187" s="7" t="n"/>
      <c r="R187" s="7" t="n"/>
      <c r="S187" s="8">
        <f>IF(NOT(ISNUMBER(M187)),"",IF(G187="Terreno",IF(AND(ISNUMBER(I187),I187&gt;0),M187/I187,""),IF(AND(ISNUMBER(H187),H187&gt;0),M187/H187,"")))</f>
        <v/>
      </c>
      <c r="T187" s="9">
        <f>IF(AND(ISNUMBER(M187),ISNUMBER(O187)),IF(M187&lt;=O187,"Valor ≤ venal IPTU",""),"")</f>
        <v/>
      </c>
      <c r="U187" s="10">
        <f>IF(AND(ISNUMBER(M187),ISNUMBER(N187)),IF(N187&gt;0,M187/N187,""),"")</f>
        <v/>
      </c>
      <c r="V187" s="10">
        <f>IF(AND(ISNUMBER(M187),ISNUMBER(O187)),IF(O187&gt;0,M187/O187,""),"")</f>
        <v/>
      </c>
      <c r="W187" s="10">
        <f>IF(AND(ISNUMBER(M187),ISNUMBER(R187)),IF(R187&gt;0,M187/R187,""),"")</f>
        <v/>
      </c>
      <c r="X187" s="10">
        <f>IF(AND(ISNUMBER(Q187),ISNUMBER(M187)),IF(M187&gt;0,Q187/M187,""),"")</f>
        <v/>
      </c>
      <c r="Y187" s="11">
        <f>IF(ISNUMBER(Z187),YEAR(Z187),"")</f>
        <v/>
      </c>
      <c r="Z187" s="12" t="n"/>
      <c r="AA187" s="12" t="n"/>
      <c r="AI187" s="12" t="n"/>
      <c r="AJ187" s="13">
        <f>IF(LEN(TRIM(AF187))=0,"",HYPERLINK("https://www.google.com/maps/@?api=1&amp;map_action=pano&amp;viewpoint="&amp;SUBSTITUTE(AF187," ",""),"Abrir Street View"))</f>
        <v/>
      </c>
    </row>
    <row r="188">
      <c r="H188" s="6" t="n"/>
      <c r="I188" s="6" t="n"/>
      <c r="M188" s="7" t="n"/>
      <c r="N188" s="7" t="n"/>
      <c r="O188" s="7" t="n"/>
      <c r="Q188" s="7" t="n"/>
      <c r="R188" s="7" t="n"/>
      <c r="S188" s="8">
        <f>IF(NOT(ISNUMBER(M188)),"",IF(G188="Terreno",IF(AND(ISNUMBER(I188),I188&gt;0),M188/I188,""),IF(AND(ISNUMBER(H188),H188&gt;0),M188/H188,"")))</f>
        <v/>
      </c>
      <c r="T188" s="9">
        <f>IF(AND(ISNUMBER(M188),ISNUMBER(O188)),IF(M188&lt;=O188,"Valor ≤ venal IPTU",""),"")</f>
        <v/>
      </c>
      <c r="U188" s="10">
        <f>IF(AND(ISNUMBER(M188),ISNUMBER(N188)),IF(N188&gt;0,M188/N188,""),"")</f>
        <v/>
      </c>
      <c r="V188" s="10">
        <f>IF(AND(ISNUMBER(M188),ISNUMBER(O188)),IF(O188&gt;0,M188/O188,""),"")</f>
        <v/>
      </c>
      <c r="W188" s="10">
        <f>IF(AND(ISNUMBER(M188),ISNUMBER(R188)),IF(R188&gt;0,M188/R188,""),"")</f>
        <v/>
      </c>
      <c r="X188" s="10">
        <f>IF(AND(ISNUMBER(Q188),ISNUMBER(M188)),IF(M188&gt;0,Q188/M188,""),"")</f>
        <v/>
      </c>
      <c r="Y188" s="11">
        <f>IF(ISNUMBER(Z188),YEAR(Z188),"")</f>
        <v/>
      </c>
      <c r="Z188" s="12" t="n"/>
      <c r="AA188" s="12" t="n"/>
      <c r="AI188" s="12" t="n"/>
      <c r="AJ188" s="13">
        <f>IF(LEN(TRIM(AF188))=0,"",HYPERLINK("https://www.google.com/maps/@?api=1&amp;map_action=pano&amp;viewpoint="&amp;SUBSTITUTE(AF188," ",""),"Abrir Street View"))</f>
        <v/>
      </c>
    </row>
    <row r="189">
      <c r="H189" s="6" t="n"/>
      <c r="I189" s="6" t="n"/>
      <c r="M189" s="7" t="n"/>
      <c r="N189" s="7" t="n"/>
      <c r="O189" s="7" t="n"/>
      <c r="Q189" s="7" t="n"/>
      <c r="R189" s="7" t="n"/>
      <c r="S189" s="8">
        <f>IF(NOT(ISNUMBER(M189)),"",IF(G189="Terreno",IF(AND(ISNUMBER(I189),I189&gt;0),M189/I189,""),IF(AND(ISNUMBER(H189),H189&gt;0),M189/H189,"")))</f>
        <v/>
      </c>
      <c r="T189" s="9">
        <f>IF(AND(ISNUMBER(M189),ISNUMBER(O189)),IF(M189&lt;=O189,"Valor ≤ venal IPTU",""),"")</f>
        <v/>
      </c>
      <c r="U189" s="10">
        <f>IF(AND(ISNUMBER(M189),ISNUMBER(N189)),IF(N189&gt;0,M189/N189,""),"")</f>
        <v/>
      </c>
      <c r="V189" s="10">
        <f>IF(AND(ISNUMBER(M189),ISNUMBER(O189)),IF(O189&gt;0,M189/O189,""),"")</f>
        <v/>
      </c>
      <c r="W189" s="10">
        <f>IF(AND(ISNUMBER(M189),ISNUMBER(R189)),IF(R189&gt;0,M189/R189,""),"")</f>
        <v/>
      </c>
      <c r="X189" s="10">
        <f>IF(AND(ISNUMBER(Q189),ISNUMBER(M189)),IF(M189&gt;0,Q189/M189,""),"")</f>
        <v/>
      </c>
      <c r="Y189" s="11">
        <f>IF(ISNUMBER(Z189),YEAR(Z189),"")</f>
        <v/>
      </c>
      <c r="Z189" s="12" t="n"/>
      <c r="AA189" s="12" t="n"/>
      <c r="AI189" s="12" t="n"/>
      <c r="AJ189" s="13">
        <f>IF(LEN(TRIM(AF189))=0,"",HYPERLINK("https://www.google.com/maps/@?api=1&amp;map_action=pano&amp;viewpoint="&amp;SUBSTITUTE(AF189," ",""),"Abrir Street View"))</f>
        <v/>
      </c>
    </row>
    <row r="190">
      <c r="H190" s="6" t="n"/>
      <c r="I190" s="6" t="n"/>
      <c r="M190" s="7" t="n"/>
      <c r="N190" s="7" t="n"/>
      <c r="O190" s="7" t="n"/>
      <c r="Q190" s="7" t="n"/>
      <c r="R190" s="7" t="n"/>
      <c r="S190" s="8">
        <f>IF(NOT(ISNUMBER(M190)),"",IF(G190="Terreno",IF(AND(ISNUMBER(I190),I190&gt;0),M190/I190,""),IF(AND(ISNUMBER(H190),H190&gt;0),M190/H190,"")))</f>
        <v/>
      </c>
      <c r="T190" s="9">
        <f>IF(AND(ISNUMBER(M190),ISNUMBER(O190)),IF(M190&lt;=O190,"Valor ≤ venal IPTU",""),"")</f>
        <v/>
      </c>
      <c r="U190" s="10">
        <f>IF(AND(ISNUMBER(M190),ISNUMBER(N190)),IF(N190&gt;0,M190/N190,""),"")</f>
        <v/>
      </c>
      <c r="V190" s="10">
        <f>IF(AND(ISNUMBER(M190),ISNUMBER(O190)),IF(O190&gt;0,M190/O190,""),"")</f>
        <v/>
      </c>
      <c r="W190" s="10">
        <f>IF(AND(ISNUMBER(M190),ISNUMBER(R190)),IF(R190&gt;0,M190/R190,""),"")</f>
        <v/>
      </c>
      <c r="X190" s="10">
        <f>IF(AND(ISNUMBER(Q190),ISNUMBER(M190)),IF(M190&gt;0,Q190/M190,""),"")</f>
        <v/>
      </c>
      <c r="Y190" s="11">
        <f>IF(ISNUMBER(Z190),YEAR(Z190),"")</f>
        <v/>
      </c>
      <c r="Z190" s="12" t="n"/>
      <c r="AA190" s="12" t="n"/>
      <c r="AI190" s="12" t="n"/>
      <c r="AJ190" s="13">
        <f>IF(LEN(TRIM(AF190))=0,"",HYPERLINK("https://www.google.com/maps/@?api=1&amp;map_action=pano&amp;viewpoint="&amp;SUBSTITUTE(AF190," ",""),"Abrir Street View"))</f>
        <v/>
      </c>
    </row>
    <row r="191">
      <c r="H191" s="6" t="n"/>
      <c r="I191" s="6" t="n"/>
      <c r="M191" s="7" t="n"/>
      <c r="N191" s="7" t="n"/>
      <c r="O191" s="7" t="n"/>
      <c r="Q191" s="7" t="n"/>
      <c r="R191" s="7" t="n"/>
      <c r="S191" s="8">
        <f>IF(NOT(ISNUMBER(M191)),"",IF(G191="Terreno",IF(AND(ISNUMBER(I191),I191&gt;0),M191/I191,""),IF(AND(ISNUMBER(H191),H191&gt;0),M191/H191,"")))</f>
        <v/>
      </c>
      <c r="T191" s="9">
        <f>IF(AND(ISNUMBER(M191),ISNUMBER(O191)),IF(M191&lt;=O191,"Valor ≤ venal IPTU",""),"")</f>
        <v/>
      </c>
      <c r="U191" s="10">
        <f>IF(AND(ISNUMBER(M191),ISNUMBER(N191)),IF(N191&gt;0,M191/N191,""),"")</f>
        <v/>
      </c>
      <c r="V191" s="10">
        <f>IF(AND(ISNUMBER(M191),ISNUMBER(O191)),IF(O191&gt;0,M191/O191,""),"")</f>
        <v/>
      </c>
      <c r="W191" s="10">
        <f>IF(AND(ISNUMBER(M191),ISNUMBER(R191)),IF(R191&gt;0,M191/R191,""),"")</f>
        <v/>
      </c>
      <c r="X191" s="10">
        <f>IF(AND(ISNUMBER(Q191),ISNUMBER(M191)),IF(M191&gt;0,Q191/M191,""),"")</f>
        <v/>
      </c>
      <c r="Y191" s="11">
        <f>IF(ISNUMBER(Z191),YEAR(Z191),"")</f>
        <v/>
      </c>
      <c r="Z191" s="12" t="n"/>
      <c r="AA191" s="12" t="n"/>
      <c r="AI191" s="12" t="n"/>
      <c r="AJ191" s="13">
        <f>IF(LEN(TRIM(AF191))=0,"",HYPERLINK("https://www.google.com/maps/@?api=1&amp;map_action=pano&amp;viewpoint="&amp;SUBSTITUTE(AF191," ",""),"Abrir Street View"))</f>
        <v/>
      </c>
    </row>
    <row r="192">
      <c r="H192" s="6" t="n"/>
      <c r="I192" s="6" t="n"/>
      <c r="M192" s="7" t="n"/>
      <c r="N192" s="7" t="n"/>
      <c r="O192" s="7" t="n"/>
      <c r="Q192" s="7" t="n"/>
      <c r="R192" s="7" t="n"/>
      <c r="S192" s="8">
        <f>IF(NOT(ISNUMBER(M192)),"",IF(G192="Terreno",IF(AND(ISNUMBER(I192),I192&gt;0),M192/I192,""),IF(AND(ISNUMBER(H192),H192&gt;0),M192/H192,"")))</f>
        <v/>
      </c>
      <c r="T192" s="9">
        <f>IF(AND(ISNUMBER(M192),ISNUMBER(O192)),IF(M192&lt;=O192,"Valor ≤ venal IPTU",""),"")</f>
        <v/>
      </c>
      <c r="U192" s="10">
        <f>IF(AND(ISNUMBER(M192),ISNUMBER(N192)),IF(N192&gt;0,M192/N192,""),"")</f>
        <v/>
      </c>
      <c r="V192" s="10">
        <f>IF(AND(ISNUMBER(M192),ISNUMBER(O192)),IF(O192&gt;0,M192/O192,""),"")</f>
        <v/>
      </c>
      <c r="W192" s="10">
        <f>IF(AND(ISNUMBER(M192),ISNUMBER(R192)),IF(R192&gt;0,M192/R192,""),"")</f>
        <v/>
      </c>
      <c r="X192" s="10">
        <f>IF(AND(ISNUMBER(Q192),ISNUMBER(M192)),IF(M192&gt;0,Q192/M192,""),"")</f>
        <v/>
      </c>
      <c r="Y192" s="11">
        <f>IF(ISNUMBER(Z192),YEAR(Z192),"")</f>
        <v/>
      </c>
      <c r="Z192" s="12" t="n"/>
      <c r="AA192" s="12" t="n"/>
      <c r="AI192" s="12" t="n"/>
      <c r="AJ192" s="13">
        <f>IF(LEN(TRIM(AF192))=0,"",HYPERLINK("https://www.google.com/maps/@?api=1&amp;map_action=pano&amp;viewpoint="&amp;SUBSTITUTE(AF192," ",""),"Abrir Street View"))</f>
        <v/>
      </c>
    </row>
    <row r="193">
      <c r="H193" s="6" t="n"/>
      <c r="I193" s="6" t="n"/>
      <c r="M193" s="7" t="n"/>
      <c r="N193" s="7" t="n"/>
      <c r="O193" s="7" t="n"/>
      <c r="Q193" s="7" t="n"/>
      <c r="R193" s="7" t="n"/>
      <c r="S193" s="8">
        <f>IF(NOT(ISNUMBER(M193)),"",IF(G193="Terreno",IF(AND(ISNUMBER(I193),I193&gt;0),M193/I193,""),IF(AND(ISNUMBER(H193),H193&gt;0),M193/H193,"")))</f>
        <v/>
      </c>
      <c r="T193" s="9">
        <f>IF(AND(ISNUMBER(M193),ISNUMBER(O193)),IF(M193&lt;=O193,"Valor ≤ venal IPTU",""),"")</f>
        <v/>
      </c>
      <c r="U193" s="10">
        <f>IF(AND(ISNUMBER(M193),ISNUMBER(N193)),IF(N193&gt;0,M193/N193,""),"")</f>
        <v/>
      </c>
      <c r="V193" s="10">
        <f>IF(AND(ISNUMBER(M193),ISNUMBER(O193)),IF(O193&gt;0,M193/O193,""),"")</f>
        <v/>
      </c>
      <c r="W193" s="10">
        <f>IF(AND(ISNUMBER(M193),ISNUMBER(R193)),IF(R193&gt;0,M193/R193,""),"")</f>
        <v/>
      </c>
      <c r="X193" s="10">
        <f>IF(AND(ISNUMBER(Q193),ISNUMBER(M193)),IF(M193&gt;0,Q193/M193,""),"")</f>
        <v/>
      </c>
      <c r="Y193" s="11">
        <f>IF(ISNUMBER(Z193),YEAR(Z193),"")</f>
        <v/>
      </c>
      <c r="Z193" s="12" t="n"/>
      <c r="AA193" s="12" t="n"/>
      <c r="AI193" s="12" t="n"/>
      <c r="AJ193" s="13">
        <f>IF(LEN(TRIM(AF193))=0,"",HYPERLINK("https://www.google.com/maps/@?api=1&amp;map_action=pano&amp;viewpoint="&amp;SUBSTITUTE(AF193," ",""),"Abrir Street View"))</f>
        <v/>
      </c>
    </row>
    <row r="194">
      <c r="H194" s="6" t="n"/>
      <c r="I194" s="6" t="n"/>
      <c r="M194" s="7" t="n"/>
      <c r="N194" s="7" t="n"/>
      <c r="O194" s="7" t="n"/>
      <c r="Q194" s="7" t="n"/>
      <c r="R194" s="7" t="n"/>
      <c r="S194" s="8">
        <f>IF(NOT(ISNUMBER(M194)),"",IF(G194="Terreno",IF(AND(ISNUMBER(I194),I194&gt;0),M194/I194,""),IF(AND(ISNUMBER(H194),H194&gt;0),M194/H194,"")))</f>
        <v/>
      </c>
      <c r="T194" s="9">
        <f>IF(AND(ISNUMBER(M194),ISNUMBER(O194)),IF(M194&lt;=O194,"Valor ≤ venal IPTU",""),"")</f>
        <v/>
      </c>
      <c r="U194" s="10">
        <f>IF(AND(ISNUMBER(M194),ISNUMBER(N194)),IF(N194&gt;0,M194/N194,""),"")</f>
        <v/>
      </c>
      <c r="V194" s="10">
        <f>IF(AND(ISNUMBER(M194),ISNUMBER(O194)),IF(O194&gt;0,M194/O194,""),"")</f>
        <v/>
      </c>
      <c r="W194" s="10">
        <f>IF(AND(ISNUMBER(M194),ISNUMBER(R194)),IF(R194&gt;0,M194/R194,""),"")</f>
        <v/>
      </c>
      <c r="X194" s="10">
        <f>IF(AND(ISNUMBER(Q194),ISNUMBER(M194)),IF(M194&gt;0,Q194/M194,""),"")</f>
        <v/>
      </c>
      <c r="Y194" s="11">
        <f>IF(ISNUMBER(Z194),YEAR(Z194),"")</f>
        <v/>
      </c>
      <c r="Z194" s="12" t="n"/>
      <c r="AA194" s="12" t="n"/>
      <c r="AI194" s="12" t="n"/>
      <c r="AJ194" s="13">
        <f>IF(LEN(TRIM(AF194))=0,"",HYPERLINK("https://www.google.com/maps/@?api=1&amp;map_action=pano&amp;viewpoint="&amp;SUBSTITUTE(AF194," ",""),"Abrir Street View"))</f>
        <v/>
      </c>
    </row>
    <row r="195">
      <c r="H195" s="6" t="n"/>
      <c r="I195" s="6" t="n"/>
      <c r="M195" s="7" t="n"/>
      <c r="N195" s="7" t="n"/>
      <c r="O195" s="7" t="n"/>
      <c r="Q195" s="7" t="n"/>
      <c r="R195" s="7" t="n"/>
      <c r="S195" s="8">
        <f>IF(NOT(ISNUMBER(M195)),"",IF(G195="Terreno",IF(AND(ISNUMBER(I195),I195&gt;0),M195/I195,""),IF(AND(ISNUMBER(H195),H195&gt;0),M195/H195,"")))</f>
        <v/>
      </c>
      <c r="T195" s="9">
        <f>IF(AND(ISNUMBER(M195),ISNUMBER(O195)),IF(M195&lt;=O195,"Valor ≤ venal IPTU",""),"")</f>
        <v/>
      </c>
      <c r="U195" s="10">
        <f>IF(AND(ISNUMBER(M195),ISNUMBER(N195)),IF(N195&gt;0,M195/N195,""),"")</f>
        <v/>
      </c>
      <c r="V195" s="10">
        <f>IF(AND(ISNUMBER(M195),ISNUMBER(O195)),IF(O195&gt;0,M195/O195,""),"")</f>
        <v/>
      </c>
      <c r="W195" s="10">
        <f>IF(AND(ISNUMBER(M195),ISNUMBER(R195)),IF(R195&gt;0,M195/R195,""),"")</f>
        <v/>
      </c>
      <c r="X195" s="10">
        <f>IF(AND(ISNUMBER(Q195),ISNUMBER(M195)),IF(M195&gt;0,Q195/M195,""),"")</f>
        <v/>
      </c>
      <c r="Y195" s="11">
        <f>IF(ISNUMBER(Z195),YEAR(Z195),"")</f>
        <v/>
      </c>
      <c r="Z195" s="12" t="n"/>
      <c r="AA195" s="12" t="n"/>
      <c r="AI195" s="12" t="n"/>
      <c r="AJ195" s="13">
        <f>IF(LEN(TRIM(AF195))=0,"",HYPERLINK("https://www.google.com/maps/@?api=1&amp;map_action=pano&amp;viewpoint="&amp;SUBSTITUTE(AF195," ",""),"Abrir Street View"))</f>
        <v/>
      </c>
    </row>
    <row r="196">
      <c r="H196" s="6" t="n"/>
      <c r="I196" s="6" t="n"/>
      <c r="M196" s="7" t="n"/>
      <c r="N196" s="7" t="n"/>
      <c r="O196" s="7" t="n"/>
      <c r="Q196" s="7" t="n"/>
      <c r="R196" s="7" t="n"/>
      <c r="S196" s="8">
        <f>IF(NOT(ISNUMBER(M196)),"",IF(G196="Terreno",IF(AND(ISNUMBER(I196),I196&gt;0),M196/I196,""),IF(AND(ISNUMBER(H196),H196&gt;0),M196/H196,"")))</f>
        <v/>
      </c>
      <c r="T196" s="9">
        <f>IF(AND(ISNUMBER(M196),ISNUMBER(O196)),IF(M196&lt;=O196,"Valor ≤ venal IPTU",""),"")</f>
        <v/>
      </c>
      <c r="U196" s="10">
        <f>IF(AND(ISNUMBER(M196),ISNUMBER(N196)),IF(N196&gt;0,M196/N196,""),"")</f>
        <v/>
      </c>
      <c r="V196" s="10">
        <f>IF(AND(ISNUMBER(M196),ISNUMBER(O196)),IF(O196&gt;0,M196/O196,""),"")</f>
        <v/>
      </c>
      <c r="W196" s="10">
        <f>IF(AND(ISNUMBER(M196),ISNUMBER(R196)),IF(R196&gt;0,M196/R196,""),"")</f>
        <v/>
      </c>
      <c r="X196" s="10">
        <f>IF(AND(ISNUMBER(Q196),ISNUMBER(M196)),IF(M196&gt;0,Q196/M196,""),"")</f>
        <v/>
      </c>
      <c r="Y196" s="11">
        <f>IF(ISNUMBER(Z196),YEAR(Z196),"")</f>
        <v/>
      </c>
      <c r="Z196" s="12" t="n"/>
      <c r="AA196" s="12" t="n"/>
      <c r="AI196" s="12" t="n"/>
      <c r="AJ196" s="13">
        <f>IF(LEN(TRIM(AF196))=0,"",HYPERLINK("https://www.google.com/maps/@?api=1&amp;map_action=pano&amp;viewpoint="&amp;SUBSTITUTE(AF196," ",""),"Abrir Street View"))</f>
        <v/>
      </c>
    </row>
    <row r="197">
      <c r="H197" s="6" t="n"/>
      <c r="I197" s="6" t="n"/>
      <c r="M197" s="7" t="n"/>
      <c r="N197" s="7" t="n"/>
      <c r="O197" s="7" t="n"/>
      <c r="Q197" s="7" t="n"/>
      <c r="R197" s="7" t="n"/>
      <c r="S197" s="8">
        <f>IF(NOT(ISNUMBER(M197)),"",IF(G197="Terreno",IF(AND(ISNUMBER(I197),I197&gt;0),M197/I197,""),IF(AND(ISNUMBER(H197),H197&gt;0),M197/H197,"")))</f>
        <v/>
      </c>
      <c r="T197" s="9">
        <f>IF(AND(ISNUMBER(M197),ISNUMBER(O197)),IF(M197&lt;=O197,"Valor ≤ venal IPTU",""),"")</f>
        <v/>
      </c>
      <c r="U197" s="10">
        <f>IF(AND(ISNUMBER(M197),ISNUMBER(N197)),IF(N197&gt;0,M197/N197,""),"")</f>
        <v/>
      </c>
      <c r="V197" s="10">
        <f>IF(AND(ISNUMBER(M197),ISNUMBER(O197)),IF(O197&gt;0,M197/O197,""),"")</f>
        <v/>
      </c>
      <c r="W197" s="10">
        <f>IF(AND(ISNUMBER(M197),ISNUMBER(R197)),IF(R197&gt;0,M197/R197,""),"")</f>
        <v/>
      </c>
      <c r="X197" s="10">
        <f>IF(AND(ISNUMBER(Q197),ISNUMBER(M197)),IF(M197&gt;0,Q197/M197,""),"")</f>
        <v/>
      </c>
      <c r="Y197" s="11">
        <f>IF(ISNUMBER(Z197),YEAR(Z197),"")</f>
        <v/>
      </c>
      <c r="Z197" s="12" t="n"/>
      <c r="AA197" s="12" t="n"/>
      <c r="AI197" s="12" t="n"/>
      <c r="AJ197" s="13">
        <f>IF(LEN(TRIM(AF197))=0,"",HYPERLINK("https://www.google.com/maps/@?api=1&amp;map_action=pano&amp;viewpoint="&amp;SUBSTITUTE(AF197," ",""),"Abrir Street View"))</f>
        <v/>
      </c>
    </row>
    <row r="198">
      <c r="H198" s="6" t="n"/>
      <c r="I198" s="6" t="n"/>
      <c r="M198" s="7" t="n"/>
      <c r="N198" s="7" t="n"/>
      <c r="O198" s="7" t="n"/>
      <c r="Q198" s="7" t="n"/>
      <c r="R198" s="7" t="n"/>
      <c r="S198" s="8">
        <f>IF(NOT(ISNUMBER(M198)),"",IF(G198="Terreno",IF(AND(ISNUMBER(I198),I198&gt;0),M198/I198,""),IF(AND(ISNUMBER(H198),H198&gt;0),M198/H198,"")))</f>
        <v/>
      </c>
      <c r="T198" s="9">
        <f>IF(AND(ISNUMBER(M198),ISNUMBER(O198)),IF(M198&lt;=O198,"Valor ≤ venal IPTU",""),"")</f>
        <v/>
      </c>
      <c r="U198" s="10">
        <f>IF(AND(ISNUMBER(M198),ISNUMBER(N198)),IF(N198&gt;0,M198/N198,""),"")</f>
        <v/>
      </c>
      <c r="V198" s="10">
        <f>IF(AND(ISNUMBER(M198),ISNUMBER(O198)),IF(O198&gt;0,M198/O198,""),"")</f>
        <v/>
      </c>
      <c r="W198" s="10">
        <f>IF(AND(ISNUMBER(M198),ISNUMBER(R198)),IF(R198&gt;0,M198/R198,""),"")</f>
        <v/>
      </c>
      <c r="X198" s="10">
        <f>IF(AND(ISNUMBER(Q198),ISNUMBER(M198)),IF(M198&gt;0,Q198/M198,""),"")</f>
        <v/>
      </c>
      <c r="Y198" s="11">
        <f>IF(ISNUMBER(Z198),YEAR(Z198),"")</f>
        <v/>
      </c>
      <c r="Z198" s="12" t="n"/>
      <c r="AA198" s="12" t="n"/>
      <c r="AI198" s="12" t="n"/>
      <c r="AJ198" s="13">
        <f>IF(LEN(TRIM(AF198))=0,"",HYPERLINK("https://www.google.com/maps/@?api=1&amp;map_action=pano&amp;viewpoint="&amp;SUBSTITUTE(AF198," ",""),"Abrir Street View"))</f>
        <v/>
      </c>
    </row>
    <row r="199">
      <c r="H199" s="6" t="n"/>
      <c r="I199" s="6" t="n"/>
      <c r="M199" s="7" t="n"/>
      <c r="N199" s="7" t="n"/>
      <c r="O199" s="7" t="n"/>
      <c r="Q199" s="7" t="n"/>
      <c r="R199" s="7" t="n"/>
      <c r="S199" s="8">
        <f>IF(NOT(ISNUMBER(M199)),"",IF(G199="Terreno",IF(AND(ISNUMBER(I199),I199&gt;0),M199/I199,""),IF(AND(ISNUMBER(H199),H199&gt;0),M199/H199,"")))</f>
        <v/>
      </c>
      <c r="T199" s="9">
        <f>IF(AND(ISNUMBER(M199),ISNUMBER(O199)),IF(M199&lt;=O199,"Valor ≤ venal IPTU",""),"")</f>
        <v/>
      </c>
      <c r="U199" s="10">
        <f>IF(AND(ISNUMBER(M199),ISNUMBER(N199)),IF(N199&gt;0,M199/N199,""),"")</f>
        <v/>
      </c>
      <c r="V199" s="10">
        <f>IF(AND(ISNUMBER(M199),ISNUMBER(O199)),IF(O199&gt;0,M199/O199,""),"")</f>
        <v/>
      </c>
      <c r="W199" s="10">
        <f>IF(AND(ISNUMBER(M199),ISNUMBER(R199)),IF(R199&gt;0,M199/R199,""),"")</f>
        <v/>
      </c>
      <c r="X199" s="10">
        <f>IF(AND(ISNUMBER(Q199),ISNUMBER(M199)),IF(M199&gt;0,Q199/M199,""),"")</f>
        <v/>
      </c>
      <c r="Y199" s="11">
        <f>IF(ISNUMBER(Z199),YEAR(Z199),"")</f>
        <v/>
      </c>
      <c r="Z199" s="12" t="n"/>
      <c r="AA199" s="12" t="n"/>
      <c r="AI199" s="12" t="n"/>
      <c r="AJ199" s="13">
        <f>IF(LEN(TRIM(AF199))=0,"",HYPERLINK("https://www.google.com/maps/@?api=1&amp;map_action=pano&amp;viewpoint="&amp;SUBSTITUTE(AF199," ",""),"Abrir Street View"))</f>
        <v/>
      </c>
    </row>
    <row r="200">
      <c r="H200" s="6" t="n"/>
      <c r="I200" s="6" t="n"/>
      <c r="M200" s="7" t="n"/>
      <c r="N200" s="7" t="n"/>
      <c r="O200" s="7" t="n"/>
      <c r="Q200" s="7" t="n"/>
      <c r="R200" s="7" t="n"/>
      <c r="S200" s="8">
        <f>IF(NOT(ISNUMBER(M200)),"",IF(G200="Terreno",IF(AND(ISNUMBER(I200),I200&gt;0),M200/I200,""),IF(AND(ISNUMBER(H200),H200&gt;0),M200/H200,"")))</f>
        <v/>
      </c>
      <c r="T200" s="9">
        <f>IF(AND(ISNUMBER(M200),ISNUMBER(O200)),IF(M200&lt;=O200,"Valor ≤ venal IPTU",""),"")</f>
        <v/>
      </c>
      <c r="U200" s="10">
        <f>IF(AND(ISNUMBER(M200),ISNUMBER(N200)),IF(N200&gt;0,M200/N200,""),"")</f>
        <v/>
      </c>
      <c r="V200" s="10">
        <f>IF(AND(ISNUMBER(M200),ISNUMBER(O200)),IF(O200&gt;0,M200/O200,""),"")</f>
        <v/>
      </c>
      <c r="W200" s="10">
        <f>IF(AND(ISNUMBER(M200),ISNUMBER(R200)),IF(R200&gt;0,M200/R200,""),"")</f>
        <v/>
      </c>
      <c r="X200" s="10">
        <f>IF(AND(ISNUMBER(Q200),ISNUMBER(M200)),IF(M200&gt;0,Q200/M200,""),"")</f>
        <v/>
      </c>
      <c r="Y200" s="11">
        <f>IF(ISNUMBER(Z200),YEAR(Z200),"")</f>
        <v/>
      </c>
      <c r="Z200" s="12" t="n"/>
      <c r="AA200" s="12" t="n"/>
      <c r="AI200" s="12" t="n"/>
      <c r="AJ200" s="13">
        <f>IF(LEN(TRIM(AF200))=0,"",HYPERLINK("https://www.google.com/maps/@?api=1&amp;map_action=pano&amp;viewpoint="&amp;SUBSTITUTE(AF200," ",""),"Abrir Street View"))</f>
        <v/>
      </c>
    </row>
    <row r="201">
      <c r="H201" s="6" t="n"/>
      <c r="I201" s="6" t="n"/>
      <c r="M201" s="7" t="n"/>
      <c r="N201" s="7" t="n"/>
      <c r="O201" s="7" t="n"/>
      <c r="Q201" s="7" t="n"/>
      <c r="R201" s="7" t="n"/>
      <c r="S201" s="8">
        <f>IF(NOT(ISNUMBER(M201)),"",IF(G201="Terreno",IF(AND(ISNUMBER(I201),I201&gt;0),M201/I201,""),IF(AND(ISNUMBER(H201),H201&gt;0),M201/H201,"")))</f>
        <v/>
      </c>
      <c r="T201" s="9">
        <f>IF(AND(ISNUMBER(M201),ISNUMBER(O201)),IF(M201&lt;=O201,"Valor ≤ venal IPTU",""),"")</f>
        <v/>
      </c>
      <c r="U201" s="10">
        <f>IF(AND(ISNUMBER(M201),ISNUMBER(N201)),IF(N201&gt;0,M201/N201,""),"")</f>
        <v/>
      </c>
      <c r="V201" s="10">
        <f>IF(AND(ISNUMBER(M201),ISNUMBER(O201)),IF(O201&gt;0,M201/O201,""),"")</f>
        <v/>
      </c>
      <c r="W201" s="10">
        <f>IF(AND(ISNUMBER(M201),ISNUMBER(R201)),IF(R201&gt;0,M201/R201,""),"")</f>
        <v/>
      </c>
      <c r="X201" s="10">
        <f>IF(AND(ISNUMBER(Q201),ISNUMBER(M201)),IF(M201&gt;0,Q201/M201,""),"")</f>
        <v/>
      </c>
      <c r="Y201" s="11">
        <f>IF(ISNUMBER(Z201),YEAR(Z201),"")</f>
        <v/>
      </c>
      <c r="Z201" s="12" t="n"/>
      <c r="AA201" s="12" t="n"/>
      <c r="AI201" s="12" t="n"/>
      <c r="AJ201" s="13">
        <f>IF(LEN(TRIM(AF201))=0,"",HYPERLINK("https://www.google.com/maps/@?api=1&amp;map_action=pano&amp;viewpoint="&amp;SUBSTITUTE(AF201," ",""),"Abrir Street View"))</f>
        <v/>
      </c>
    </row>
    <row r="202">
      <c r="H202" s="6" t="n"/>
      <c r="I202" s="6" t="n"/>
      <c r="M202" s="7" t="n"/>
      <c r="N202" s="7" t="n"/>
      <c r="O202" s="7" t="n"/>
      <c r="Q202" s="7" t="n"/>
      <c r="R202" s="7" t="n"/>
      <c r="S202" s="8">
        <f>IF(NOT(ISNUMBER(M202)),"",IF(G202="Terreno",IF(AND(ISNUMBER(I202),I202&gt;0),M202/I202,""),IF(AND(ISNUMBER(H202),H202&gt;0),M202/H202,"")))</f>
        <v/>
      </c>
      <c r="T202" s="9">
        <f>IF(AND(ISNUMBER(M202),ISNUMBER(O202)),IF(M202&lt;=O202,"Valor ≤ venal IPTU",""),"")</f>
        <v/>
      </c>
      <c r="U202" s="10">
        <f>IF(AND(ISNUMBER(M202),ISNUMBER(N202)),IF(N202&gt;0,M202/N202,""),"")</f>
        <v/>
      </c>
      <c r="V202" s="10">
        <f>IF(AND(ISNUMBER(M202),ISNUMBER(O202)),IF(O202&gt;0,M202/O202,""),"")</f>
        <v/>
      </c>
      <c r="W202" s="10">
        <f>IF(AND(ISNUMBER(M202),ISNUMBER(R202)),IF(R202&gt;0,M202/R202,""),"")</f>
        <v/>
      </c>
      <c r="X202" s="10">
        <f>IF(AND(ISNUMBER(Q202),ISNUMBER(M202)),IF(M202&gt;0,Q202/M202,""),"")</f>
        <v/>
      </c>
      <c r="Y202" s="11">
        <f>IF(ISNUMBER(Z202),YEAR(Z202),"")</f>
        <v/>
      </c>
      <c r="Z202" s="12" t="n"/>
      <c r="AA202" s="12" t="n"/>
      <c r="AI202" s="12" t="n"/>
      <c r="AJ202" s="13">
        <f>IF(LEN(TRIM(AF202))=0,"",HYPERLINK("https://www.google.com/maps/@?api=1&amp;map_action=pano&amp;viewpoint="&amp;SUBSTITUTE(AF202," ",""),"Abrir Street View"))</f>
        <v/>
      </c>
    </row>
    <row r="203">
      <c r="H203" s="6" t="n"/>
      <c r="I203" s="6" t="n"/>
      <c r="M203" s="7" t="n"/>
      <c r="N203" s="7" t="n"/>
      <c r="O203" s="7" t="n"/>
      <c r="Q203" s="7" t="n"/>
      <c r="R203" s="7" t="n"/>
      <c r="S203" s="8">
        <f>IF(NOT(ISNUMBER(M203)),"",IF(G203="Terreno",IF(AND(ISNUMBER(I203),I203&gt;0),M203/I203,""),IF(AND(ISNUMBER(H203),H203&gt;0),M203/H203,"")))</f>
        <v/>
      </c>
      <c r="T203" s="9">
        <f>IF(AND(ISNUMBER(M203),ISNUMBER(O203)),IF(M203&lt;=O203,"Valor ≤ venal IPTU",""),"")</f>
        <v/>
      </c>
      <c r="U203" s="10">
        <f>IF(AND(ISNUMBER(M203),ISNUMBER(N203)),IF(N203&gt;0,M203/N203,""),"")</f>
        <v/>
      </c>
      <c r="V203" s="10">
        <f>IF(AND(ISNUMBER(M203),ISNUMBER(O203)),IF(O203&gt;0,M203/O203,""),"")</f>
        <v/>
      </c>
      <c r="W203" s="10">
        <f>IF(AND(ISNUMBER(M203),ISNUMBER(R203)),IF(R203&gt;0,M203/R203,""),"")</f>
        <v/>
      </c>
      <c r="X203" s="10">
        <f>IF(AND(ISNUMBER(Q203),ISNUMBER(M203)),IF(M203&gt;0,Q203/M203,""),"")</f>
        <v/>
      </c>
      <c r="Y203" s="11">
        <f>IF(ISNUMBER(Z203),YEAR(Z203),"")</f>
        <v/>
      </c>
      <c r="Z203" s="12" t="n"/>
      <c r="AA203" s="12" t="n"/>
      <c r="AI203" s="12" t="n"/>
      <c r="AJ203" s="13">
        <f>IF(LEN(TRIM(AF203))=0,"",HYPERLINK("https://www.google.com/maps/@?api=1&amp;map_action=pano&amp;viewpoint="&amp;SUBSTITUTE(AF203," ",""),"Abrir Street View"))</f>
        <v/>
      </c>
    </row>
    <row r="204">
      <c r="H204" s="6" t="n"/>
      <c r="I204" s="6" t="n"/>
      <c r="M204" s="7" t="n"/>
      <c r="N204" s="7" t="n"/>
      <c r="O204" s="7" t="n"/>
      <c r="Q204" s="7" t="n"/>
      <c r="R204" s="7" t="n"/>
      <c r="S204" s="8">
        <f>IF(NOT(ISNUMBER(M204)),"",IF(G204="Terreno",IF(AND(ISNUMBER(I204),I204&gt;0),M204/I204,""),IF(AND(ISNUMBER(H204),H204&gt;0),M204/H204,"")))</f>
        <v/>
      </c>
      <c r="T204" s="9">
        <f>IF(AND(ISNUMBER(M204),ISNUMBER(O204)),IF(M204&lt;=O204,"Valor ≤ venal IPTU",""),"")</f>
        <v/>
      </c>
      <c r="U204" s="10">
        <f>IF(AND(ISNUMBER(M204),ISNUMBER(N204)),IF(N204&gt;0,M204/N204,""),"")</f>
        <v/>
      </c>
      <c r="V204" s="10">
        <f>IF(AND(ISNUMBER(M204),ISNUMBER(O204)),IF(O204&gt;0,M204/O204,""),"")</f>
        <v/>
      </c>
      <c r="W204" s="10">
        <f>IF(AND(ISNUMBER(M204),ISNUMBER(R204)),IF(R204&gt;0,M204/R204,""),"")</f>
        <v/>
      </c>
      <c r="X204" s="10">
        <f>IF(AND(ISNUMBER(Q204),ISNUMBER(M204)),IF(M204&gt;0,Q204/M204,""),"")</f>
        <v/>
      </c>
      <c r="Y204" s="11">
        <f>IF(ISNUMBER(Z204),YEAR(Z204),"")</f>
        <v/>
      </c>
      <c r="Z204" s="12" t="n"/>
      <c r="AA204" s="12" t="n"/>
      <c r="AI204" s="12" t="n"/>
      <c r="AJ204" s="13">
        <f>IF(LEN(TRIM(AF204))=0,"",HYPERLINK("https://www.google.com/maps/@?api=1&amp;map_action=pano&amp;viewpoint="&amp;SUBSTITUTE(AF204," ",""),"Abrir Street View"))</f>
        <v/>
      </c>
    </row>
    <row r="205">
      <c r="H205" s="6" t="n"/>
      <c r="I205" s="6" t="n"/>
      <c r="M205" s="7" t="n"/>
      <c r="N205" s="7" t="n"/>
      <c r="O205" s="7" t="n"/>
      <c r="Q205" s="7" t="n"/>
      <c r="R205" s="7" t="n"/>
      <c r="S205" s="8">
        <f>IF(NOT(ISNUMBER(M205)),"",IF(G205="Terreno",IF(AND(ISNUMBER(I205),I205&gt;0),M205/I205,""),IF(AND(ISNUMBER(H205),H205&gt;0),M205/H205,"")))</f>
        <v/>
      </c>
      <c r="T205" s="9">
        <f>IF(AND(ISNUMBER(M205),ISNUMBER(O205)),IF(M205&lt;=O205,"Valor ≤ venal IPTU",""),"")</f>
        <v/>
      </c>
      <c r="U205" s="10">
        <f>IF(AND(ISNUMBER(M205),ISNUMBER(N205)),IF(N205&gt;0,M205/N205,""),"")</f>
        <v/>
      </c>
      <c r="V205" s="10">
        <f>IF(AND(ISNUMBER(M205),ISNUMBER(O205)),IF(O205&gt;0,M205/O205,""),"")</f>
        <v/>
      </c>
      <c r="W205" s="10">
        <f>IF(AND(ISNUMBER(M205),ISNUMBER(R205)),IF(R205&gt;0,M205/R205,""),"")</f>
        <v/>
      </c>
      <c r="X205" s="10">
        <f>IF(AND(ISNUMBER(Q205),ISNUMBER(M205)),IF(M205&gt;0,Q205/M205,""),"")</f>
        <v/>
      </c>
      <c r="Y205" s="11">
        <f>IF(ISNUMBER(Z205),YEAR(Z205),"")</f>
        <v/>
      </c>
      <c r="Z205" s="12" t="n"/>
      <c r="AA205" s="12" t="n"/>
      <c r="AI205" s="12" t="n"/>
      <c r="AJ205" s="13">
        <f>IF(LEN(TRIM(AF205))=0,"",HYPERLINK("https://www.google.com/maps/@?api=1&amp;map_action=pano&amp;viewpoint="&amp;SUBSTITUTE(AF205," ",""),"Abrir Street View"))</f>
        <v/>
      </c>
    </row>
    <row r="206">
      <c r="H206" s="6" t="n"/>
      <c r="I206" s="6" t="n"/>
      <c r="M206" s="7" t="n"/>
      <c r="N206" s="7" t="n"/>
      <c r="O206" s="7" t="n"/>
      <c r="Q206" s="7" t="n"/>
      <c r="R206" s="7" t="n"/>
      <c r="S206" s="8">
        <f>IF(NOT(ISNUMBER(M206)),"",IF(G206="Terreno",IF(AND(ISNUMBER(I206),I206&gt;0),M206/I206,""),IF(AND(ISNUMBER(H206),H206&gt;0),M206/H206,"")))</f>
        <v/>
      </c>
      <c r="T206" s="9">
        <f>IF(AND(ISNUMBER(M206),ISNUMBER(O206)),IF(M206&lt;=O206,"Valor ≤ venal IPTU",""),"")</f>
        <v/>
      </c>
      <c r="U206" s="10">
        <f>IF(AND(ISNUMBER(M206),ISNUMBER(N206)),IF(N206&gt;0,M206/N206,""),"")</f>
        <v/>
      </c>
      <c r="V206" s="10">
        <f>IF(AND(ISNUMBER(M206),ISNUMBER(O206)),IF(O206&gt;0,M206/O206,""),"")</f>
        <v/>
      </c>
      <c r="W206" s="10">
        <f>IF(AND(ISNUMBER(M206),ISNUMBER(R206)),IF(R206&gt;0,M206/R206,""),"")</f>
        <v/>
      </c>
      <c r="X206" s="10">
        <f>IF(AND(ISNUMBER(Q206),ISNUMBER(M206)),IF(M206&gt;0,Q206/M206,""),"")</f>
        <v/>
      </c>
      <c r="Y206" s="11">
        <f>IF(ISNUMBER(Z206),YEAR(Z206),"")</f>
        <v/>
      </c>
      <c r="Z206" s="12" t="n"/>
      <c r="AA206" s="12" t="n"/>
      <c r="AI206" s="12" t="n"/>
      <c r="AJ206" s="13">
        <f>IF(LEN(TRIM(AF206))=0,"",HYPERLINK("https://www.google.com/maps/@?api=1&amp;map_action=pano&amp;viewpoint="&amp;SUBSTITUTE(AF206," ",""),"Abrir Street View"))</f>
        <v/>
      </c>
    </row>
    <row r="207">
      <c r="H207" s="6" t="n"/>
      <c r="I207" s="6" t="n"/>
      <c r="M207" s="7" t="n"/>
      <c r="N207" s="7" t="n"/>
      <c r="O207" s="7" t="n"/>
      <c r="Q207" s="7" t="n"/>
      <c r="R207" s="7" t="n"/>
      <c r="S207" s="8">
        <f>IF(NOT(ISNUMBER(M207)),"",IF(G207="Terreno",IF(AND(ISNUMBER(I207),I207&gt;0),M207/I207,""),IF(AND(ISNUMBER(H207),H207&gt;0),M207/H207,"")))</f>
        <v/>
      </c>
      <c r="T207" s="9">
        <f>IF(AND(ISNUMBER(M207),ISNUMBER(O207)),IF(M207&lt;=O207,"Valor ≤ venal IPTU",""),"")</f>
        <v/>
      </c>
      <c r="U207" s="10">
        <f>IF(AND(ISNUMBER(M207),ISNUMBER(N207)),IF(N207&gt;0,M207/N207,""),"")</f>
        <v/>
      </c>
      <c r="V207" s="10">
        <f>IF(AND(ISNUMBER(M207),ISNUMBER(O207)),IF(O207&gt;0,M207/O207,""),"")</f>
        <v/>
      </c>
      <c r="W207" s="10">
        <f>IF(AND(ISNUMBER(M207),ISNUMBER(R207)),IF(R207&gt;0,M207/R207,""),"")</f>
        <v/>
      </c>
      <c r="X207" s="10">
        <f>IF(AND(ISNUMBER(Q207),ISNUMBER(M207)),IF(M207&gt;0,Q207/M207,""),"")</f>
        <v/>
      </c>
      <c r="Y207" s="11">
        <f>IF(ISNUMBER(Z207),YEAR(Z207),"")</f>
        <v/>
      </c>
      <c r="Z207" s="12" t="n"/>
      <c r="AA207" s="12" t="n"/>
      <c r="AI207" s="12" t="n"/>
      <c r="AJ207" s="13">
        <f>IF(LEN(TRIM(AF207))=0,"",HYPERLINK("https://www.google.com/maps/@?api=1&amp;map_action=pano&amp;viewpoint="&amp;SUBSTITUTE(AF207," ",""),"Abrir Street View"))</f>
        <v/>
      </c>
    </row>
    <row r="208">
      <c r="H208" s="6" t="n"/>
      <c r="I208" s="6" t="n"/>
      <c r="M208" s="7" t="n"/>
      <c r="N208" s="7" t="n"/>
      <c r="O208" s="7" t="n"/>
      <c r="Q208" s="7" t="n"/>
      <c r="R208" s="7" t="n"/>
      <c r="S208" s="8">
        <f>IF(NOT(ISNUMBER(M208)),"",IF(G208="Terreno",IF(AND(ISNUMBER(I208),I208&gt;0),M208/I208,""),IF(AND(ISNUMBER(H208),H208&gt;0),M208/H208,"")))</f>
        <v/>
      </c>
      <c r="T208" s="9">
        <f>IF(AND(ISNUMBER(M208),ISNUMBER(O208)),IF(M208&lt;=O208,"Valor ≤ venal IPTU",""),"")</f>
        <v/>
      </c>
      <c r="U208" s="10">
        <f>IF(AND(ISNUMBER(M208),ISNUMBER(N208)),IF(N208&gt;0,M208/N208,""),"")</f>
        <v/>
      </c>
      <c r="V208" s="10">
        <f>IF(AND(ISNUMBER(M208),ISNUMBER(O208)),IF(O208&gt;0,M208/O208,""),"")</f>
        <v/>
      </c>
      <c r="W208" s="10">
        <f>IF(AND(ISNUMBER(M208),ISNUMBER(R208)),IF(R208&gt;0,M208/R208,""),"")</f>
        <v/>
      </c>
      <c r="X208" s="10">
        <f>IF(AND(ISNUMBER(Q208),ISNUMBER(M208)),IF(M208&gt;0,Q208/M208,""),"")</f>
        <v/>
      </c>
      <c r="Y208" s="11">
        <f>IF(ISNUMBER(Z208),YEAR(Z208),"")</f>
        <v/>
      </c>
      <c r="Z208" s="12" t="n"/>
      <c r="AA208" s="12" t="n"/>
      <c r="AI208" s="12" t="n"/>
      <c r="AJ208" s="13">
        <f>IF(LEN(TRIM(AF208))=0,"",HYPERLINK("https://www.google.com/maps/@?api=1&amp;map_action=pano&amp;viewpoint="&amp;SUBSTITUTE(AF208," ",""),"Abrir Street View"))</f>
        <v/>
      </c>
    </row>
    <row r="209">
      <c r="H209" s="6" t="n"/>
      <c r="I209" s="6" t="n"/>
      <c r="M209" s="7" t="n"/>
      <c r="N209" s="7" t="n"/>
      <c r="O209" s="7" t="n"/>
      <c r="Q209" s="7" t="n"/>
      <c r="R209" s="7" t="n"/>
      <c r="S209" s="8">
        <f>IF(NOT(ISNUMBER(M209)),"",IF(G209="Terreno",IF(AND(ISNUMBER(I209),I209&gt;0),M209/I209,""),IF(AND(ISNUMBER(H209),H209&gt;0),M209/H209,"")))</f>
        <v/>
      </c>
      <c r="T209" s="9">
        <f>IF(AND(ISNUMBER(M209),ISNUMBER(O209)),IF(M209&lt;=O209,"Valor ≤ venal IPTU",""),"")</f>
        <v/>
      </c>
      <c r="U209" s="10">
        <f>IF(AND(ISNUMBER(M209),ISNUMBER(N209)),IF(N209&gt;0,M209/N209,""),"")</f>
        <v/>
      </c>
      <c r="V209" s="10">
        <f>IF(AND(ISNUMBER(M209),ISNUMBER(O209)),IF(O209&gt;0,M209/O209,""),"")</f>
        <v/>
      </c>
      <c r="W209" s="10">
        <f>IF(AND(ISNUMBER(M209),ISNUMBER(R209)),IF(R209&gt;0,M209/R209,""),"")</f>
        <v/>
      </c>
      <c r="X209" s="10">
        <f>IF(AND(ISNUMBER(Q209),ISNUMBER(M209)),IF(M209&gt;0,Q209/M209,""),"")</f>
        <v/>
      </c>
      <c r="Y209" s="11">
        <f>IF(ISNUMBER(Z209),YEAR(Z209),"")</f>
        <v/>
      </c>
      <c r="Z209" s="12" t="n"/>
      <c r="AA209" s="12" t="n"/>
      <c r="AI209" s="12" t="n"/>
      <c r="AJ209" s="13">
        <f>IF(LEN(TRIM(AF209))=0,"",HYPERLINK("https://www.google.com/maps/@?api=1&amp;map_action=pano&amp;viewpoint="&amp;SUBSTITUTE(AF209," ",""),"Abrir Street View"))</f>
        <v/>
      </c>
    </row>
    <row r="210">
      <c r="H210" s="6" t="n"/>
      <c r="I210" s="6" t="n"/>
      <c r="M210" s="7" t="n"/>
      <c r="N210" s="7" t="n"/>
      <c r="O210" s="7" t="n"/>
      <c r="Q210" s="7" t="n"/>
      <c r="R210" s="7" t="n"/>
      <c r="S210" s="8">
        <f>IF(NOT(ISNUMBER(M210)),"",IF(G210="Terreno",IF(AND(ISNUMBER(I210),I210&gt;0),M210/I210,""),IF(AND(ISNUMBER(H210),H210&gt;0),M210/H210,"")))</f>
        <v/>
      </c>
      <c r="T210" s="9">
        <f>IF(AND(ISNUMBER(M210),ISNUMBER(O210)),IF(M210&lt;=O210,"Valor ≤ venal IPTU",""),"")</f>
        <v/>
      </c>
      <c r="U210" s="10">
        <f>IF(AND(ISNUMBER(M210),ISNUMBER(N210)),IF(N210&gt;0,M210/N210,""),"")</f>
        <v/>
      </c>
      <c r="V210" s="10">
        <f>IF(AND(ISNUMBER(M210),ISNUMBER(O210)),IF(O210&gt;0,M210/O210,""),"")</f>
        <v/>
      </c>
      <c r="W210" s="10">
        <f>IF(AND(ISNUMBER(M210),ISNUMBER(R210)),IF(R210&gt;0,M210/R210,""),"")</f>
        <v/>
      </c>
      <c r="X210" s="10">
        <f>IF(AND(ISNUMBER(Q210),ISNUMBER(M210)),IF(M210&gt;0,Q210/M210,""),"")</f>
        <v/>
      </c>
      <c r="Y210" s="11">
        <f>IF(ISNUMBER(Z210),YEAR(Z210),"")</f>
        <v/>
      </c>
      <c r="Z210" s="12" t="n"/>
      <c r="AA210" s="12" t="n"/>
      <c r="AI210" s="12" t="n"/>
      <c r="AJ210" s="13">
        <f>IF(LEN(TRIM(AF210))=0,"",HYPERLINK("https://www.google.com/maps/@?api=1&amp;map_action=pano&amp;viewpoint="&amp;SUBSTITUTE(AF210," ",""),"Abrir Street View"))</f>
        <v/>
      </c>
    </row>
    <row r="211">
      <c r="H211" s="6" t="n"/>
      <c r="I211" s="6" t="n"/>
      <c r="M211" s="7" t="n"/>
      <c r="N211" s="7" t="n"/>
      <c r="O211" s="7" t="n"/>
      <c r="Q211" s="7" t="n"/>
      <c r="R211" s="7" t="n"/>
      <c r="S211" s="8">
        <f>IF(NOT(ISNUMBER(M211)),"",IF(G211="Terreno",IF(AND(ISNUMBER(I211),I211&gt;0),M211/I211,""),IF(AND(ISNUMBER(H211),H211&gt;0),M211/H211,"")))</f>
        <v/>
      </c>
      <c r="T211" s="9">
        <f>IF(AND(ISNUMBER(M211),ISNUMBER(O211)),IF(M211&lt;=O211,"Valor ≤ venal IPTU",""),"")</f>
        <v/>
      </c>
      <c r="U211" s="10">
        <f>IF(AND(ISNUMBER(M211),ISNUMBER(N211)),IF(N211&gt;0,M211/N211,""),"")</f>
        <v/>
      </c>
      <c r="V211" s="10">
        <f>IF(AND(ISNUMBER(M211),ISNUMBER(O211)),IF(O211&gt;0,M211/O211,""),"")</f>
        <v/>
      </c>
      <c r="W211" s="10">
        <f>IF(AND(ISNUMBER(M211),ISNUMBER(R211)),IF(R211&gt;0,M211/R211,""),"")</f>
        <v/>
      </c>
      <c r="X211" s="10">
        <f>IF(AND(ISNUMBER(Q211),ISNUMBER(M211)),IF(M211&gt;0,Q211/M211,""),"")</f>
        <v/>
      </c>
      <c r="Y211" s="11">
        <f>IF(ISNUMBER(Z211),YEAR(Z211),"")</f>
        <v/>
      </c>
      <c r="Z211" s="12" t="n"/>
      <c r="AA211" s="12" t="n"/>
      <c r="AI211" s="12" t="n"/>
      <c r="AJ211" s="13">
        <f>IF(LEN(TRIM(AF211))=0,"",HYPERLINK("https://www.google.com/maps/@?api=1&amp;map_action=pano&amp;viewpoint="&amp;SUBSTITUTE(AF211," ",""),"Abrir Street View"))</f>
        <v/>
      </c>
    </row>
    <row r="212">
      <c r="H212" s="6" t="n"/>
      <c r="I212" s="6" t="n"/>
      <c r="M212" s="7" t="n"/>
      <c r="N212" s="7" t="n"/>
      <c r="O212" s="7" t="n"/>
      <c r="Q212" s="7" t="n"/>
      <c r="R212" s="7" t="n"/>
      <c r="S212" s="8">
        <f>IF(NOT(ISNUMBER(M212)),"",IF(G212="Terreno",IF(AND(ISNUMBER(I212),I212&gt;0),M212/I212,""),IF(AND(ISNUMBER(H212),H212&gt;0),M212/H212,"")))</f>
        <v/>
      </c>
      <c r="T212" s="9">
        <f>IF(AND(ISNUMBER(M212),ISNUMBER(O212)),IF(M212&lt;=O212,"Valor ≤ venal IPTU",""),"")</f>
        <v/>
      </c>
      <c r="U212" s="10">
        <f>IF(AND(ISNUMBER(M212),ISNUMBER(N212)),IF(N212&gt;0,M212/N212,""),"")</f>
        <v/>
      </c>
      <c r="V212" s="10">
        <f>IF(AND(ISNUMBER(M212),ISNUMBER(O212)),IF(O212&gt;0,M212/O212,""),"")</f>
        <v/>
      </c>
      <c r="W212" s="10">
        <f>IF(AND(ISNUMBER(M212),ISNUMBER(R212)),IF(R212&gt;0,M212/R212,""),"")</f>
        <v/>
      </c>
      <c r="X212" s="10">
        <f>IF(AND(ISNUMBER(Q212),ISNUMBER(M212)),IF(M212&gt;0,Q212/M212,""),"")</f>
        <v/>
      </c>
      <c r="Y212" s="11">
        <f>IF(ISNUMBER(Z212),YEAR(Z212),"")</f>
        <v/>
      </c>
      <c r="Z212" s="12" t="n"/>
      <c r="AA212" s="12" t="n"/>
      <c r="AI212" s="12" t="n"/>
      <c r="AJ212" s="13">
        <f>IF(LEN(TRIM(AF212))=0,"",HYPERLINK("https://www.google.com/maps/@?api=1&amp;map_action=pano&amp;viewpoint="&amp;SUBSTITUTE(AF212," ",""),"Abrir Street View"))</f>
        <v/>
      </c>
    </row>
    <row r="213">
      <c r="H213" s="6" t="n"/>
      <c r="I213" s="6" t="n"/>
      <c r="M213" s="7" t="n"/>
      <c r="N213" s="7" t="n"/>
      <c r="O213" s="7" t="n"/>
      <c r="Q213" s="7" t="n"/>
      <c r="R213" s="7" t="n"/>
      <c r="S213" s="8">
        <f>IF(NOT(ISNUMBER(M213)),"",IF(G213="Terreno",IF(AND(ISNUMBER(I213),I213&gt;0),M213/I213,""),IF(AND(ISNUMBER(H213),H213&gt;0),M213/H213,"")))</f>
        <v/>
      </c>
      <c r="T213" s="9">
        <f>IF(AND(ISNUMBER(M213),ISNUMBER(O213)),IF(M213&lt;=O213,"Valor ≤ venal IPTU",""),"")</f>
        <v/>
      </c>
      <c r="U213" s="10">
        <f>IF(AND(ISNUMBER(M213),ISNUMBER(N213)),IF(N213&gt;0,M213/N213,""),"")</f>
        <v/>
      </c>
      <c r="V213" s="10">
        <f>IF(AND(ISNUMBER(M213),ISNUMBER(O213)),IF(O213&gt;0,M213/O213,""),"")</f>
        <v/>
      </c>
      <c r="W213" s="10">
        <f>IF(AND(ISNUMBER(M213),ISNUMBER(R213)),IF(R213&gt;0,M213/R213,""),"")</f>
        <v/>
      </c>
      <c r="X213" s="10">
        <f>IF(AND(ISNUMBER(Q213),ISNUMBER(M213)),IF(M213&gt;0,Q213/M213,""),"")</f>
        <v/>
      </c>
      <c r="Y213" s="11">
        <f>IF(ISNUMBER(Z213),YEAR(Z213),"")</f>
        <v/>
      </c>
      <c r="Z213" s="12" t="n"/>
      <c r="AA213" s="12" t="n"/>
      <c r="AI213" s="12" t="n"/>
      <c r="AJ213" s="13">
        <f>IF(LEN(TRIM(AF213))=0,"",HYPERLINK("https://www.google.com/maps/@?api=1&amp;map_action=pano&amp;viewpoint="&amp;SUBSTITUTE(AF213," ",""),"Abrir Street View"))</f>
        <v/>
      </c>
    </row>
    <row r="214">
      <c r="H214" s="6" t="n"/>
      <c r="I214" s="6" t="n"/>
      <c r="M214" s="7" t="n"/>
      <c r="N214" s="7" t="n"/>
      <c r="O214" s="7" t="n"/>
      <c r="Q214" s="7" t="n"/>
      <c r="R214" s="7" t="n"/>
      <c r="S214" s="8">
        <f>IF(NOT(ISNUMBER(M214)),"",IF(G214="Terreno",IF(AND(ISNUMBER(I214),I214&gt;0),M214/I214,""),IF(AND(ISNUMBER(H214),H214&gt;0),M214/H214,"")))</f>
        <v/>
      </c>
      <c r="T214" s="9">
        <f>IF(AND(ISNUMBER(M214),ISNUMBER(O214)),IF(M214&lt;=O214,"Valor ≤ venal IPTU",""),"")</f>
        <v/>
      </c>
      <c r="U214" s="10">
        <f>IF(AND(ISNUMBER(M214),ISNUMBER(N214)),IF(N214&gt;0,M214/N214,""),"")</f>
        <v/>
      </c>
      <c r="V214" s="10">
        <f>IF(AND(ISNUMBER(M214),ISNUMBER(O214)),IF(O214&gt;0,M214/O214,""),"")</f>
        <v/>
      </c>
      <c r="W214" s="10">
        <f>IF(AND(ISNUMBER(M214),ISNUMBER(R214)),IF(R214&gt;0,M214/R214,""),"")</f>
        <v/>
      </c>
      <c r="X214" s="10">
        <f>IF(AND(ISNUMBER(Q214),ISNUMBER(M214)),IF(M214&gt;0,Q214/M214,""),"")</f>
        <v/>
      </c>
      <c r="Y214" s="11">
        <f>IF(ISNUMBER(Z214),YEAR(Z214),"")</f>
        <v/>
      </c>
      <c r="Z214" s="12" t="n"/>
      <c r="AA214" s="12" t="n"/>
      <c r="AI214" s="12" t="n"/>
      <c r="AJ214" s="13">
        <f>IF(LEN(TRIM(AF214))=0,"",HYPERLINK("https://www.google.com/maps/@?api=1&amp;map_action=pano&amp;viewpoint="&amp;SUBSTITUTE(AF214," ",""),"Abrir Street View"))</f>
        <v/>
      </c>
    </row>
    <row r="215">
      <c r="H215" s="6" t="n"/>
      <c r="I215" s="6" t="n"/>
      <c r="M215" s="7" t="n"/>
      <c r="N215" s="7" t="n"/>
      <c r="O215" s="7" t="n"/>
      <c r="Q215" s="7" t="n"/>
      <c r="R215" s="7" t="n"/>
      <c r="S215" s="8">
        <f>IF(NOT(ISNUMBER(M215)),"",IF(G215="Terreno",IF(AND(ISNUMBER(I215),I215&gt;0),M215/I215,""),IF(AND(ISNUMBER(H215),H215&gt;0),M215/H215,"")))</f>
        <v/>
      </c>
      <c r="T215" s="9">
        <f>IF(AND(ISNUMBER(M215),ISNUMBER(O215)),IF(M215&lt;=O215,"Valor ≤ venal IPTU",""),"")</f>
        <v/>
      </c>
      <c r="U215" s="10">
        <f>IF(AND(ISNUMBER(M215),ISNUMBER(N215)),IF(N215&gt;0,M215/N215,""),"")</f>
        <v/>
      </c>
      <c r="V215" s="10">
        <f>IF(AND(ISNUMBER(M215),ISNUMBER(O215)),IF(O215&gt;0,M215/O215,""),"")</f>
        <v/>
      </c>
      <c r="W215" s="10">
        <f>IF(AND(ISNUMBER(M215),ISNUMBER(R215)),IF(R215&gt;0,M215/R215,""),"")</f>
        <v/>
      </c>
      <c r="X215" s="10">
        <f>IF(AND(ISNUMBER(Q215),ISNUMBER(M215)),IF(M215&gt;0,Q215/M215,""),"")</f>
        <v/>
      </c>
      <c r="Y215" s="11">
        <f>IF(ISNUMBER(Z215),YEAR(Z215),"")</f>
        <v/>
      </c>
      <c r="Z215" s="12" t="n"/>
      <c r="AA215" s="12" t="n"/>
      <c r="AI215" s="12" t="n"/>
      <c r="AJ215" s="13">
        <f>IF(LEN(TRIM(AF215))=0,"",HYPERLINK("https://www.google.com/maps/@?api=1&amp;map_action=pano&amp;viewpoint="&amp;SUBSTITUTE(AF215," ",""),"Abrir Street View"))</f>
        <v/>
      </c>
    </row>
    <row r="216">
      <c r="H216" s="6" t="n"/>
      <c r="I216" s="6" t="n"/>
      <c r="M216" s="7" t="n"/>
      <c r="N216" s="7" t="n"/>
      <c r="O216" s="7" t="n"/>
      <c r="Q216" s="7" t="n"/>
      <c r="R216" s="7" t="n"/>
      <c r="S216" s="8">
        <f>IF(NOT(ISNUMBER(M216)),"",IF(G216="Terreno",IF(AND(ISNUMBER(I216),I216&gt;0),M216/I216,""),IF(AND(ISNUMBER(H216),H216&gt;0),M216/H216,"")))</f>
        <v/>
      </c>
      <c r="T216" s="9">
        <f>IF(AND(ISNUMBER(M216),ISNUMBER(O216)),IF(M216&lt;=O216,"Valor ≤ venal IPTU",""),"")</f>
        <v/>
      </c>
      <c r="U216" s="10">
        <f>IF(AND(ISNUMBER(M216),ISNUMBER(N216)),IF(N216&gt;0,M216/N216,""),"")</f>
        <v/>
      </c>
      <c r="V216" s="10">
        <f>IF(AND(ISNUMBER(M216),ISNUMBER(O216)),IF(O216&gt;0,M216/O216,""),"")</f>
        <v/>
      </c>
      <c r="W216" s="10">
        <f>IF(AND(ISNUMBER(M216),ISNUMBER(R216)),IF(R216&gt;0,M216/R216,""),"")</f>
        <v/>
      </c>
      <c r="X216" s="10">
        <f>IF(AND(ISNUMBER(Q216),ISNUMBER(M216)),IF(M216&gt;0,Q216/M216,""),"")</f>
        <v/>
      </c>
      <c r="Y216" s="11">
        <f>IF(ISNUMBER(Z216),YEAR(Z216),"")</f>
        <v/>
      </c>
      <c r="Z216" s="12" t="n"/>
      <c r="AA216" s="12" t="n"/>
      <c r="AI216" s="12" t="n"/>
      <c r="AJ216" s="13">
        <f>IF(LEN(TRIM(AF216))=0,"",HYPERLINK("https://www.google.com/maps/@?api=1&amp;map_action=pano&amp;viewpoint="&amp;SUBSTITUTE(AF216," ",""),"Abrir Street View"))</f>
        <v/>
      </c>
    </row>
    <row r="217">
      <c r="H217" s="6" t="n"/>
      <c r="I217" s="6" t="n"/>
      <c r="M217" s="7" t="n"/>
      <c r="N217" s="7" t="n"/>
      <c r="O217" s="7" t="n"/>
      <c r="Q217" s="7" t="n"/>
      <c r="R217" s="7" t="n"/>
      <c r="S217" s="8">
        <f>IF(NOT(ISNUMBER(M217)),"",IF(G217="Terreno",IF(AND(ISNUMBER(I217),I217&gt;0),M217/I217,""),IF(AND(ISNUMBER(H217),H217&gt;0),M217/H217,"")))</f>
        <v/>
      </c>
      <c r="T217" s="9">
        <f>IF(AND(ISNUMBER(M217),ISNUMBER(O217)),IF(M217&lt;=O217,"Valor ≤ venal IPTU",""),"")</f>
        <v/>
      </c>
      <c r="U217" s="10">
        <f>IF(AND(ISNUMBER(M217),ISNUMBER(N217)),IF(N217&gt;0,M217/N217,""),"")</f>
        <v/>
      </c>
      <c r="V217" s="10">
        <f>IF(AND(ISNUMBER(M217),ISNUMBER(O217)),IF(O217&gt;0,M217/O217,""),"")</f>
        <v/>
      </c>
      <c r="W217" s="10">
        <f>IF(AND(ISNUMBER(M217),ISNUMBER(R217)),IF(R217&gt;0,M217/R217,""),"")</f>
        <v/>
      </c>
      <c r="X217" s="10">
        <f>IF(AND(ISNUMBER(Q217),ISNUMBER(M217)),IF(M217&gt;0,Q217/M217,""),"")</f>
        <v/>
      </c>
      <c r="Y217" s="11">
        <f>IF(ISNUMBER(Z217),YEAR(Z217),"")</f>
        <v/>
      </c>
      <c r="Z217" s="12" t="n"/>
      <c r="AA217" s="12" t="n"/>
      <c r="AI217" s="12" t="n"/>
      <c r="AJ217" s="13">
        <f>IF(LEN(TRIM(AF217))=0,"",HYPERLINK("https://www.google.com/maps/@?api=1&amp;map_action=pano&amp;viewpoint="&amp;SUBSTITUTE(AF217," ",""),"Abrir Street View"))</f>
        <v/>
      </c>
    </row>
    <row r="218">
      <c r="H218" s="6" t="n"/>
      <c r="I218" s="6" t="n"/>
      <c r="M218" s="7" t="n"/>
      <c r="N218" s="7" t="n"/>
      <c r="O218" s="7" t="n"/>
      <c r="Q218" s="7" t="n"/>
      <c r="R218" s="7" t="n"/>
      <c r="S218" s="8">
        <f>IF(NOT(ISNUMBER(M218)),"",IF(G218="Terreno",IF(AND(ISNUMBER(I218),I218&gt;0),M218/I218,""),IF(AND(ISNUMBER(H218),H218&gt;0),M218/H218,"")))</f>
        <v/>
      </c>
      <c r="T218" s="9">
        <f>IF(AND(ISNUMBER(M218),ISNUMBER(O218)),IF(M218&lt;=O218,"Valor ≤ venal IPTU",""),"")</f>
        <v/>
      </c>
      <c r="U218" s="10">
        <f>IF(AND(ISNUMBER(M218),ISNUMBER(N218)),IF(N218&gt;0,M218/N218,""),"")</f>
        <v/>
      </c>
      <c r="V218" s="10">
        <f>IF(AND(ISNUMBER(M218),ISNUMBER(O218)),IF(O218&gt;0,M218/O218,""),"")</f>
        <v/>
      </c>
      <c r="W218" s="10">
        <f>IF(AND(ISNUMBER(M218),ISNUMBER(R218)),IF(R218&gt;0,M218/R218,""),"")</f>
        <v/>
      </c>
      <c r="X218" s="10">
        <f>IF(AND(ISNUMBER(Q218),ISNUMBER(M218)),IF(M218&gt;0,Q218/M218,""),"")</f>
        <v/>
      </c>
      <c r="Y218" s="11">
        <f>IF(ISNUMBER(Z218),YEAR(Z218),"")</f>
        <v/>
      </c>
      <c r="Z218" s="12" t="n"/>
      <c r="AA218" s="12" t="n"/>
      <c r="AI218" s="12" t="n"/>
      <c r="AJ218" s="13">
        <f>IF(LEN(TRIM(AF218))=0,"",HYPERLINK("https://www.google.com/maps/@?api=1&amp;map_action=pano&amp;viewpoint="&amp;SUBSTITUTE(AF218," ",""),"Abrir Street View"))</f>
        <v/>
      </c>
    </row>
    <row r="219">
      <c r="H219" s="6" t="n"/>
      <c r="I219" s="6" t="n"/>
      <c r="M219" s="7" t="n"/>
      <c r="N219" s="7" t="n"/>
      <c r="O219" s="7" t="n"/>
      <c r="Q219" s="7" t="n"/>
      <c r="R219" s="7" t="n"/>
      <c r="S219" s="8">
        <f>IF(NOT(ISNUMBER(M219)),"",IF(G219="Terreno",IF(AND(ISNUMBER(I219),I219&gt;0),M219/I219,""),IF(AND(ISNUMBER(H219),H219&gt;0),M219/H219,"")))</f>
        <v/>
      </c>
      <c r="T219" s="9">
        <f>IF(AND(ISNUMBER(M219),ISNUMBER(O219)),IF(M219&lt;=O219,"Valor ≤ venal IPTU",""),"")</f>
        <v/>
      </c>
      <c r="U219" s="10">
        <f>IF(AND(ISNUMBER(M219),ISNUMBER(N219)),IF(N219&gt;0,M219/N219,""),"")</f>
        <v/>
      </c>
      <c r="V219" s="10">
        <f>IF(AND(ISNUMBER(M219),ISNUMBER(O219)),IF(O219&gt;0,M219/O219,""),"")</f>
        <v/>
      </c>
      <c r="W219" s="10">
        <f>IF(AND(ISNUMBER(M219),ISNUMBER(R219)),IF(R219&gt;0,M219/R219,""),"")</f>
        <v/>
      </c>
      <c r="X219" s="10">
        <f>IF(AND(ISNUMBER(Q219),ISNUMBER(M219)),IF(M219&gt;0,Q219/M219,""),"")</f>
        <v/>
      </c>
      <c r="Y219" s="11">
        <f>IF(ISNUMBER(Z219),YEAR(Z219),"")</f>
        <v/>
      </c>
      <c r="Z219" s="12" t="n"/>
      <c r="AA219" s="12" t="n"/>
      <c r="AI219" s="12" t="n"/>
      <c r="AJ219" s="13">
        <f>IF(LEN(TRIM(AF219))=0,"",HYPERLINK("https://www.google.com/maps/@?api=1&amp;map_action=pano&amp;viewpoint="&amp;SUBSTITUTE(AF219," ",""),"Abrir Street View"))</f>
        <v/>
      </c>
    </row>
    <row r="220">
      <c r="H220" s="6" t="n"/>
      <c r="I220" s="6" t="n"/>
      <c r="M220" s="7" t="n"/>
      <c r="N220" s="7" t="n"/>
      <c r="O220" s="7" t="n"/>
      <c r="Q220" s="7" t="n"/>
      <c r="R220" s="7" t="n"/>
      <c r="S220" s="8">
        <f>IF(NOT(ISNUMBER(M220)),"",IF(G220="Terreno",IF(AND(ISNUMBER(I220),I220&gt;0),M220/I220,""),IF(AND(ISNUMBER(H220),H220&gt;0),M220/H220,"")))</f>
        <v/>
      </c>
      <c r="T220" s="9">
        <f>IF(AND(ISNUMBER(M220),ISNUMBER(O220)),IF(M220&lt;=O220,"Valor ≤ venal IPTU",""),"")</f>
        <v/>
      </c>
      <c r="U220" s="10">
        <f>IF(AND(ISNUMBER(M220),ISNUMBER(N220)),IF(N220&gt;0,M220/N220,""),"")</f>
        <v/>
      </c>
      <c r="V220" s="10">
        <f>IF(AND(ISNUMBER(M220),ISNUMBER(O220)),IF(O220&gt;0,M220/O220,""),"")</f>
        <v/>
      </c>
      <c r="W220" s="10">
        <f>IF(AND(ISNUMBER(M220),ISNUMBER(R220)),IF(R220&gt;0,M220/R220,""),"")</f>
        <v/>
      </c>
      <c r="X220" s="10">
        <f>IF(AND(ISNUMBER(Q220),ISNUMBER(M220)),IF(M220&gt;0,Q220/M220,""),"")</f>
        <v/>
      </c>
      <c r="Y220" s="11">
        <f>IF(ISNUMBER(Z220),YEAR(Z220),"")</f>
        <v/>
      </c>
      <c r="Z220" s="12" t="n"/>
      <c r="AA220" s="12" t="n"/>
      <c r="AI220" s="12" t="n"/>
      <c r="AJ220" s="13">
        <f>IF(LEN(TRIM(AF220))=0,"",HYPERLINK("https://www.google.com/maps/@?api=1&amp;map_action=pano&amp;viewpoint="&amp;SUBSTITUTE(AF220," ",""),"Abrir Street View"))</f>
        <v/>
      </c>
    </row>
    <row r="221">
      <c r="H221" s="6" t="n"/>
      <c r="I221" s="6" t="n"/>
      <c r="M221" s="7" t="n"/>
      <c r="N221" s="7" t="n"/>
      <c r="O221" s="7" t="n"/>
      <c r="Q221" s="7" t="n"/>
      <c r="R221" s="7" t="n"/>
      <c r="S221" s="8">
        <f>IF(NOT(ISNUMBER(M221)),"",IF(G221="Terreno",IF(AND(ISNUMBER(I221),I221&gt;0),M221/I221,""),IF(AND(ISNUMBER(H221),H221&gt;0),M221/H221,"")))</f>
        <v/>
      </c>
      <c r="T221" s="9">
        <f>IF(AND(ISNUMBER(M221),ISNUMBER(O221)),IF(M221&lt;=O221,"Valor ≤ venal IPTU",""),"")</f>
        <v/>
      </c>
      <c r="U221" s="10">
        <f>IF(AND(ISNUMBER(M221),ISNUMBER(N221)),IF(N221&gt;0,M221/N221,""),"")</f>
        <v/>
      </c>
      <c r="V221" s="10">
        <f>IF(AND(ISNUMBER(M221),ISNUMBER(O221)),IF(O221&gt;0,M221/O221,""),"")</f>
        <v/>
      </c>
      <c r="W221" s="10">
        <f>IF(AND(ISNUMBER(M221),ISNUMBER(R221)),IF(R221&gt;0,M221/R221,""),"")</f>
        <v/>
      </c>
      <c r="X221" s="10">
        <f>IF(AND(ISNUMBER(Q221),ISNUMBER(M221)),IF(M221&gt;0,Q221/M221,""),"")</f>
        <v/>
      </c>
      <c r="Y221" s="11">
        <f>IF(ISNUMBER(Z221),YEAR(Z221),"")</f>
        <v/>
      </c>
      <c r="Z221" s="12" t="n"/>
      <c r="AA221" s="12" t="n"/>
      <c r="AI221" s="12" t="n"/>
      <c r="AJ221" s="13">
        <f>IF(LEN(TRIM(AF221))=0,"",HYPERLINK("https://www.google.com/maps/@?api=1&amp;map_action=pano&amp;viewpoint="&amp;SUBSTITUTE(AF221," ",""),"Abrir Street View"))</f>
        <v/>
      </c>
    </row>
    <row r="222">
      <c r="H222" s="6" t="n"/>
      <c r="I222" s="6" t="n"/>
      <c r="M222" s="7" t="n"/>
      <c r="N222" s="7" t="n"/>
      <c r="O222" s="7" t="n"/>
      <c r="Q222" s="7" t="n"/>
      <c r="R222" s="7" t="n"/>
      <c r="S222" s="8">
        <f>IF(NOT(ISNUMBER(M222)),"",IF(G222="Terreno",IF(AND(ISNUMBER(I222),I222&gt;0),M222/I222,""),IF(AND(ISNUMBER(H222),H222&gt;0),M222/H222,"")))</f>
        <v/>
      </c>
      <c r="T222" s="9">
        <f>IF(AND(ISNUMBER(M222),ISNUMBER(O222)),IF(M222&lt;=O222,"Valor ≤ venal IPTU",""),"")</f>
        <v/>
      </c>
      <c r="U222" s="10">
        <f>IF(AND(ISNUMBER(M222),ISNUMBER(N222)),IF(N222&gt;0,M222/N222,""),"")</f>
        <v/>
      </c>
      <c r="V222" s="10">
        <f>IF(AND(ISNUMBER(M222),ISNUMBER(O222)),IF(O222&gt;0,M222/O222,""),"")</f>
        <v/>
      </c>
      <c r="W222" s="10">
        <f>IF(AND(ISNUMBER(M222),ISNUMBER(R222)),IF(R222&gt;0,M222/R222,""),"")</f>
        <v/>
      </c>
      <c r="X222" s="10">
        <f>IF(AND(ISNUMBER(Q222),ISNUMBER(M222)),IF(M222&gt;0,Q222/M222,""),"")</f>
        <v/>
      </c>
      <c r="Y222" s="11">
        <f>IF(ISNUMBER(Z222),YEAR(Z222),"")</f>
        <v/>
      </c>
      <c r="Z222" s="12" t="n"/>
      <c r="AA222" s="12" t="n"/>
      <c r="AI222" s="12" t="n"/>
      <c r="AJ222" s="13">
        <f>IF(LEN(TRIM(AF222))=0,"",HYPERLINK("https://www.google.com/maps/@?api=1&amp;map_action=pano&amp;viewpoint="&amp;SUBSTITUTE(AF222," ",""),"Abrir Street View"))</f>
        <v/>
      </c>
    </row>
    <row r="223">
      <c r="H223" s="6" t="n"/>
      <c r="I223" s="6" t="n"/>
      <c r="M223" s="7" t="n"/>
      <c r="N223" s="7" t="n"/>
      <c r="O223" s="7" t="n"/>
      <c r="Q223" s="7" t="n"/>
      <c r="R223" s="7" t="n"/>
      <c r="S223" s="8">
        <f>IF(NOT(ISNUMBER(M223)),"",IF(G223="Terreno",IF(AND(ISNUMBER(I223),I223&gt;0),M223/I223,""),IF(AND(ISNUMBER(H223),H223&gt;0),M223/H223,"")))</f>
        <v/>
      </c>
      <c r="T223" s="9">
        <f>IF(AND(ISNUMBER(M223),ISNUMBER(O223)),IF(M223&lt;=O223,"Valor ≤ venal IPTU",""),"")</f>
        <v/>
      </c>
      <c r="U223" s="10">
        <f>IF(AND(ISNUMBER(M223),ISNUMBER(N223)),IF(N223&gt;0,M223/N223,""),"")</f>
        <v/>
      </c>
      <c r="V223" s="10">
        <f>IF(AND(ISNUMBER(M223),ISNUMBER(O223)),IF(O223&gt;0,M223/O223,""),"")</f>
        <v/>
      </c>
      <c r="W223" s="10">
        <f>IF(AND(ISNUMBER(M223),ISNUMBER(R223)),IF(R223&gt;0,M223/R223,""),"")</f>
        <v/>
      </c>
      <c r="X223" s="10">
        <f>IF(AND(ISNUMBER(Q223),ISNUMBER(M223)),IF(M223&gt;0,Q223/M223,""),"")</f>
        <v/>
      </c>
      <c r="Y223" s="11">
        <f>IF(ISNUMBER(Z223),YEAR(Z223),"")</f>
        <v/>
      </c>
      <c r="Z223" s="12" t="n"/>
      <c r="AA223" s="12" t="n"/>
      <c r="AI223" s="12" t="n"/>
      <c r="AJ223" s="13">
        <f>IF(LEN(TRIM(AF223))=0,"",HYPERLINK("https://www.google.com/maps/@?api=1&amp;map_action=pano&amp;viewpoint="&amp;SUBSTITUTE(AF223," ",""),"Abrir Street View"))</f>
        <v/>
      </c>
    </row>
    <row r="224">
      <c r="H224" s="6" t="n"/>
      <c r="I224" s="6" t="n"/>
      <c r="M224" s="7" t="n"/>
      <c r="N224" s="7" t="n"/>
      <c r="O224" s="7" t="n"/>
      <c r="Q224" s="7" t="n"/>
      <c r="R224" s="7" t="n"/>
      <c r="S224" s="8">
        <f>IF(NOT(ISNUMBER(M224)),"",IF(G224="Terreno",IF(AND(ISNUMBER(I224),I224&gt;0),M224/I224,""),IF(AND(ISNUMBER(H224),H224&gt;0),M224/H224,"")))</f>
        <v/>
      </c>
      <c r="T224" s="9">
        <f>IF(AND(ISNUMBER(M224),ISNUMBER(O224)),IF(M224&lt;=O224,"Valor ≤ venal IPTU",""),"")</f>
        <v/>
      </c>
      <c r="U224" s="10">
        <f>IF(AND(ISNUMBER(M224),ISNUMBER(N224)),IF(N224&gt;0,M224/N224,""),"")</f>
        <v/>
      </c>
      <c r="V224" s="10">
        <f>IF(AND(ISNUMBER(M224),ISNUMBER(O224)),IF(O224&gt;0,M224/O224,""),"")</f>
        <v/>
      </c>
      <c r="W224" s="10">
        <f>IF(AND(ISNUMBER(M224),ISNUMBER(R224)),IF(R224&gt;0,M224/R224,""),"")</f>
        <v/>
      </c>
      <c r="X224" s="10">
        <f>IF(AND(ISNUMBER(Q224),ISNUMBER(M224)),IF(M224&gt;0,Q224/M224,""),"")</f>
        <v/>
      </c>
      <c r="Y224" s="11">
        <f>IF(ISNUMBER(Z224),YEAR(Z224),"")</f>
        <v/>
      </c>
      <c r="Z224" s="12" t="n"/>
      <c r="AA224" s="12" t="n"/>
      <c r="AI224" s="12" t="n"/>
      <c r="AJ224" s="13">
        <f>IF(LEN(TRIM(AF224))=0,"",HYPERLINK("https://www.google.com/maps/@?api=1&amp;map_action=pano&amp;viewpoint="&amp;SUBSTITUTE(AF224," ",""),"Abrir Street View"))</f>
        <v/>
      </c>
    </row>
    <row r="225">
      <c r="H225" s="6" t="n"/>
      <c r="I225" s="6" t="n"/>
      <c r="M225" s="7" t="n"/>
      <c r="N225" s="7" t="n"/>
      <c r="O225" s="7" t="n"/>
      <c r="Q225" s="7" t="n"/>
      <c r="R225" s="7" t="n"/>
      <c r="S225" s="8">
        <f>IF(NOT(ISNUMBER(M225)),"",IF(G225="Terreno",IF(AND(ISNUMBER(I225),I225&gt;0),M225/I225,""),IF(AND(ISNUMBER(H225),H225&gt;0),M225/H225,"")))</f>
        <v/>
      </c>
      <c r="T225" s="9">
        <f>IF(AND(ISNUMBER(M225),ISNUMBER(O225)),IF(M225&lt;=O225,"Valor ≤ venal IPTU",""),"")</f>
        <v/>
      </c>
      <c r="U225" s="10">
        <f>IF(AND(ISNUMBER(M225),ISNUMBER(N225)),IF(N225&gt;0,M225/N225,""),"")</f>
        <v/>
      </c>
      <c r="V225" s="10">
        <f>IF(AND(ISNUMBER(M225),ISNUMBER(O225)),IF(O225&gt;0,M225/O225,""),"")</f>
        <v/>
      </c>
      <c r="W225" s="10">
        <f>IF(AND(ISNUMBER(M225),ISNUMBER(R225)),IF(R225&gt;0,M225/R225,""),"")</f>
        <v/>
      </c>
      <c r="X225" s="10">
        <f>IF(AND(ISNUMBER(Q225),ISNUMBER(M225)),IF(M225&gt;0,Q225/M225,""),"")</f>
        <v/>
      </c>
      <c r="Y225" s="11">
        <f>IF(ISNUMBER(Z225),YEAR(Z225),"")</f>
        <v/>
      </c>
      <c r="Z225" s="12" t="n"/>
      <c r="AA225" s="12" t="n"/>
      <c r="AI225" s="12" t="n"/>
      <c r="AJ225" s="13">
        <f>IF(LEN(TRIM(AF225))=0,"",HYPERLINK("https://www.google.com/maps/@?api=1&amp;map_action=pano&amp;viewpoint="&amp;SUBSTITUTE(AF225," ",""),"Abrir Street View"))</f>
        <v/>
      </c>
    </row>
    <row r="226">
      <c r="H226" s="6" t="n"/>
      <c r="I226" s="6" t="n"/>
      <c r="M226" s="7" t="n"/>
      <c r="N226" s="7" t="n"/>
      <c r="O226" s="7" t="n"/>
      <c r="Q226" s="7" t="n"/>
      <c r="R226" s="7" t="n"/>
      <c r="S226" s="8">
        <f>IF(NOT(ISNUMBER(M226)),"",IF(G226="Terreno",IF(AND(ISNUMBER(I226),I226&gt;0),M226/I226,""),IF(AND(ISNUMBER(H226),H226&gt;0),M226/H226,"")))</f>
        <v/>
      </c>
      <c r="T226" s="9">
        <f>IF(AND(ISNUMBER(M226),ISNUMBER(O226)),IF(M226&lt;=O226,"Valor ≤ venal IPTU",""),"")</f>
        <v/>
      </c>
      <c r="U226" s="10">
        <f>IF(AND(ISNUMBER(M226),ISNUMBER(N226)),IF(N226&gt;0,M226/N226,""),"")</f>
        <v/>
      </c>
      <c r="V226" s="10">
        <f>IF(AND(ISNUMBER(M226),ISNUMBER(O226)),IF(O226&gt;0,M226/O226,""),"")</f>
        <v/>
      </c>
      <c r="W226" s="10">
        <f>IF(AND(ISNUMBER(M226),ISNUMBER(R226)),IF(R226&gt;0,M226/R226,""),"")</f>
        <v/>
      </c>
      <c r="X226" s="10">
        <f>IF(AND(ISNUMBER(Q226),ISNUMBER(M226)),IF(M226&gt;0,Q226/M226,""),"")</f>
        <v/>
      </c>
      <c r="Y226" s="11">
        <f>IF(ISNUMBER(Z226),YEAR(Z226),"")</f>
        <v/>
      </c>
      <c r="Z226" s="12" t="n"/>
      <c r="AA226" s="12" t="n"/>
      <c r="AI226" s="12" t="n"/>
      <c r="AJ226" s="13">
        <f>IF(LEN(TRIM(AF226))=0,"",HYPERLINK("https://www.google.com/maps/@?api=1&amp;map_action=pano&amp;viewpoint="&amp;SUBSTITUTE(AF226," ",""),"Abrir Street View"))</f>
        <v/>
      </c>
    </row>
    <row r="227">
      <c r="H227" s="6" t="n"/>
      <c r="I227" s="6" t="n"/>
      <c r="M227" s="7" t="n"/>
      <c r="N227" s="7" t="n"/>
      <c r="O227" s="7" t="n"/>
      <c r="Q227" s="7" t="n"/>
      <c r="R227" s="7" t="n"/>
      <c r="S227" s="8">
        <f>IF(NOT(ISNUMBER(M227)),"",IF(G227="Terreno",IF(AND(ISNUMBER(I227),I227&gt;0),M227/I227,""),IF(AND(ISNUMBER(H227),H227&gt;0),M227/H227,"")))</f>
        <v/>
      </c>
      <c r="T227" s="9">
        <f>IF(AND(ISNUMBER(M227),ISNUMBER(O227)),IF(M227&lt;=O227,"Valor ≤ venal IPTU",""),"")</f>
        <v/>
      </c>
      <c r="U227" s="10">
        <f>IF(AND(ISNUMBER(M227),ISNUMBER(N227)),IF(N227&gt;0,M227/N227,""),"")</f>
        <v/>
      </c>
      <c r="V227" s="10">
        <f>IF(AND(ISNUMBER(M227),ISNUMBER(O227)),IF(O227&gt;0,M227/O227,""),"")</f>
        <v/>
      </c>
      <c r="W227" s="10">
        <f>IF(AND(ISNUMBER(M227),ISNUMBER(R227)),IF(R227&gt;0,M227/R227,""),"")</f>
        <v/>
      </c>
      <c r="X227" s="10">
        <f>IF(AND(ISNUMBER(Q227),ISNUMBER(M227)),IF(M227&gt;0,Q227/M227,""),"")</f>
        <v/>
      </c>
      <c r="Y227" s="11">
        <f>IF(ISNUMBER(Z227),YEAR(Z227),"")</f>
        <v/>
      </c>
      <c r="Z227" s="12" t="n"/>
      <c r="AA227" s="12" t="n"/>
      <c r="AI227" s="12" t="n"/>
      <c r="AJ227" s="13">
        <f>IF(LEN(TRIM(AF227))=0,"",HYPERLINK("https://www.google.com/maps/@?api=1&amp;map_action=pano&amp;viewpoint="&amp;SUBSTITUTE(AF227," ",""),"Abrir Street View"))</f>
        <v/>
      </c>
    </row>
    <row r="228">
      <c r="H228" s="6" t="n"/>
      <c r="I228" s="6" t="n"/>
      <c r="M228" s="7" t="n"/>
      <c r="N228" s="7" t="n"/>
      <c r="O228" s="7" t="n"/>
      <c r="Q228" s="7" t="n"/>
      <c r="R228" s="7" t="n"/>
      <c r="S228" s="8">
        <f>IF(NOT(ISNUMBER(M228)),"",IF(G228="Terreno",IF(AND(ISNUMBER(I228),I228&gt;0),M228/I228,""),IF(AND(ISNUMBER(H228),H228&gt;0),M228/H228,"")))</f>
        <v/>
      </c>
      <c r="T228" s="9">
        <f>IF(AND(ISNUMBER(M228),ISNUMBER(O228)),IF(M228&lt;=O228,"Valor ≤ venal IPTU",""),"")</f>
        <v/>
      </c>
      <c r="U228" s="10">
        <f>IF(AND(ISNUMBER(M228),ISNUMBER(N228)),IF(N228&gt;0,M228/N228,""),"")</f>
        <v/>
      </c>
      <c r="V228" s="10">
        <f>IF(AND(ISNUMBER(M228),ISNUMBER(O228)),IF(O228&gt;0,M228/O228,""),"")</f>
        <v/>
      </c>
      <c r="W228" s="10">
        <f>IF(AND(ISNUMBER(M228),ISNUMBER(R228)),IF(R228&gt;0,M228/R228,""),"")</f>
        <v/>
      </c>
      <c r="X228" s="10">
        <f>IF(AND(ISNUMBER(Q228),ISNUMBER(M228)),IF(M228&gt;0,Q228/M228,""),"")</f>
        <v/>
      </c>
      <c r="Y228" s="11">
        <f>IF(ISNUMBER(Z228),YEAR(Z228),"")</f>
        <v/>
      </c>
      <c r="Z228" s="12" t="n"/>
      <c r="AA228" s="12" t="n"/>
      <c r="AI228" s="12" t="n"/>
      <c r="AJ228" s="13">
        <f>IF(LEN(TRIM(AF228))=0,"",HYPERLINK("https://www.google.com/maps/@?api=1&amp;map_action=pano&amp;viewpoint="&amp;SUBSTITUTE(AF228," ",""),"Abrir Street View"))</f>
        <v/>
      </c>
    </row>
    <row r="229">
      <c r="H229" s="6" t="n"/>
      <c r="I229" s="6" t="n"/>
      <c r="M229" s="7" t="n"/>
      <c r="N229" s="7" t="n"/>
      <c r="O229" s="7" t="n"/>
      <c r="Q229" s="7" t="n"/>
      <c r="R229" s="7" t="n"/>
      <c r="S229" s="8">
        <f>IF(NOT(ISNUMBER(M229)),"",IF(G229="Terreno",IF(AND(ISNUMBER(I229),I229&gt;0),M229/I229,""),IF(AND(ISNUMBER(H229),H229&gt;0),M229/H229,"")))</f>
        <v/>
      </c>
      <c r="T229" s="9">
        <f>IF(AND(ISNUMBER(M229),ISNUMBER(O229)),IF(M229&lt;=O229,"Valor ≤ venal IPTU",""),"")</f>
        <v/>
      </c>
      <c r="U229" s="10">
        <f>IF(AND(ISNUMBER(M229),ISNUMBER(N229)),IF(N229&gt;0,M229/N229,""),"")</f>
        <v/>
      </c>
      <c r="V229" s="10">
        <f>IF(AND(ISNUMBER(M229),ISNUMBER(O229)),IF(O229&gt;0,M229/O229,""),"")</f>
        <v/>
      </c>
      <c r="W229" s="10">
        <f>IF(AND(ISNUMBER(M229),ISNUMBER(R229)),IF(R229&gt;0,M229/R229,""),"")</f>
        <v/>
      </c>
      <c r="X229" s="10">
        <f>IF(AND(ISNUMBER(Q229),ISNUMBER(M229)),IF(M229&gt;0,Q229/M229,""),"")</f>
        <v/>
      </c>
      <c r="Y229" s="11">
        <f>IF(ISNUMBER(Z229),YEAR(Z229),"")</f>
        <v/>
      </c>
      <c r="Z229" s="12" t="n"/>
      <c r="AA229" s="12" t="n"/>
      <c r="AI229" s="12" t="n"/>
      <c r="AJ229" s="13">
        <f>IF(LEN(TRIM(AF229))=0,"",HYPERLINK("https://www.google.com/maps/@?api=1&amp;map_action=pano&amp;viewpoint="&amp;SUBSTITUTE(AF229," ",""),"Abrir Street View"))</f>
        <v/>
      </c>
    </row>
    <row r="230">
      <c r="H230" s="6" t="n"/>
      <c r="I230" s="6" t="n"/>
      <c r="M230" s="7" t="n"/>
      <c r="N230" s="7" t="n"/>
      <c r="O230" s="7" t="n"/>
      <c r="Q230" s="7" t="n"/>
      <c r="R230" s="7" t="n"/>
      <c r="S230" s="8">
        <f>IF(NOT(ISNUMBER(M230)),"",IF(G230="Terreno",IF(AND(ISNUMBER(I230),I230&gt;0),M230/I230,""),IF(AND(ISNUMBER(H230),H230&gt;0),M230/H230,"")))</f>
        <v/>
      </c>
      <c r="T230" s="9">
        <f>IF(AND(ISNUMBER(M230),ISNUMBER(O230)),IF(M230&lt;=O230,"Valor ≤ venal IPTU",""),"")</f>
        <v/>
      </c>
      <c r="U230" s="10">
        <f>IF(AND(ISNUMBER(M230),ISNUMBER(N230)),IF(N230&gt;0,M230/N230,""),"")</f>
        <v/>
      </c>
      <c r="V230" s="10">
        <f>IF(AND(ISNUMBER(M230),ISNUMBER(O230)),IF(O230&gt;0,M230/O230,""),"")</f>
        <v/>
      </c>
      <c r="W230" s="10">
        <f>IF(AND(ISNUMBER(M230),ISNUMBER(R230)),IF(R230&gt;0,M230/R230,""),"")</f>
        <v/>
      </c>
      <c r="X230" s="10">
        <f>IF(AND(ISNUMBER(Q230),ISNUMBER(M230)),IF(M230&gt;0,Q230/M230,""),"")</f>
        <v/>
      </c>
      <c r="Y230" s="11">
        <f>IF(ISNUMBER(Z230),YEAR(Z230),"")</f>
        <v/>
      </c>
      <c r="Z230" s="12" t="n"/>
      <c r="AA230" s="12" t="n"/>
      <c r="AI230" s="12" t="n"/>
      <c r="AJ230" s="13">
        <f>IF(LEN(TRIM(AF230))=0,"",HYPERLINK("https://www.google.com/maps/@?api=1&amp;map_action=pano&amp;viewpoint="&amp;SUBSTITUTE(AF230," ",""),"Abrir Street View"))</f>
        <v/>
      </c>
    </row>
    <row r="231">
      <c r="H231" s="6" t="n"/>
      <c r="I231" s="6" t="n"/>
      <c r="M231" s="7" t="n"/>
      <c r="N231" s="7" t="n"/>
      <c r="O231" s="7" t="n"/>
      <c r="Q231" s="7" t="n"/>
      <c r="R231" s="7" t="n"/>
      <c r="S231" s="8">
        <f>IF(NOT(ISNUMBER(M231)),"",IF(G231="Terreno",IF(AND(ISNUMBER(I231),I231&gt;0),M231/I231,""),IF(AND(ISNUMBER(H231),H231&gt;0),M231/H231,"")))</f>
        <v/>
      </c>
      <c r="T231" s="9">
        <f>IF(AND(ISNUMBER(M231),ISNUMBER(O231)),IF(M231&lt;=O231,"Valor ≤ venal IPTU",""),"")</f>
        <v/>
      </c>
      <c r="U231" s="10">
        <f>IF(AND(ISNUMBER(M231),ISNUMBER(N231)),IF(N231&gt;0,M231/N231,""),"")</f>
        <v/>
      </c>
      <c r="V231" s="10">
        <f>IF(AND(ISNUMBER(M231),ISNUMBER(O231)),IF(O231&gt;0,M231/O231,""),"")</f>
        <v/>
      </c>
      <c r="W231" s="10">
        <f>IF(AND(ISNUMBER(M231),ISNUMBER(R231)),IF(R231&gt;0,M231/R231,""),"")</f>
        <v/>
      </c>
      <c r="X231" s="10">
        <f>IF(AND(ISNUMBER(Q231),ISNUMBER(M231)),IF(M231&gt;0,Q231/M231,""),"")</f>
        <v/>
      </c>
      <c r="Y231" s="11">
        <f>IF(ISNUMBER(Z231),YEAR(Z231),"")</f>
        <v/>
      </c>
      <c r="Z231" s="12" t="n"/>
      <c r="AA231" s="12" t="n"/>
      <c r="AI231" s="12" t="n"/>
      <c r="AJ231" s="13">
        <f>IF(LEN(TRIM(AF231))=0,"",HYPERLINK("https://www.google.com/maps/@?api=1&amp;map_action=pano&amp;viewpoint="&amp;SUBSTITUTE(AF231," ",""),"Abrir Street View"))</f>
        <v/>
      </c>
    </row>
    <row r="232">
      <c r="H232" s="6" t="n"/>
      <c r="I232" s="6" t="n"/>
      <c r="M232" s="7" t="n"/>
      <c r="N232" s="7" t="n"/>
      <c r="O232" s="7" t="n"/>
      <c r="Q232" s="7" t="n"/>
      <c r="R232" s="7" t="n"/>
      <c r="S232" s="8">
        <f>IF(NOT(ISNUMBER(M232)),"",IF(G232="Terreno",IF(AND(ISNUMBER(I232),I232&gt;0),M232/I232,""),IF(AND(ISNUMBER(H232),H232&gt;0),M232/H232,"")))</f>
        <v/>
      </c>
      <c r="T232" s="9">
        <f>IF(AND(ISNUMBER(M232),ISNUMBER(O232)),IF(M232&lt;=O232,"Valor ≤ venal IPTU",""),"")</f>
        <v/>
      </c>
      <c r="U232" s="10">
        <f>IF(AND(ISNUMBER(M232),ISNUMBER(N232)),IF(N232&gt;0,M232/N232,""),"")</f>
        <v/>
      </c>
      <c r="V232" s="10">
        <f>IF(AND(ISNUMBER(M232),ISNUMBER(O232)),IF(O232&gt;0,M232/O232,""),"")</f>
        <v/>
      </c>
      <c r="W232" s="10">
        <f>IF(AND(ISNUMBER(M232),ISNUMBER(R232)),IF(R232&gt;0,M232/R232,""),"")</f>
        <v/>
      </c>
      <c r="X232" s="10">
        <f>IF(AND(ISNUMBER(Q232),ISNUMBER(M232)),IF(M232&gt;0,Q232/M232,""),"")</f>
        <v/>
      </c>
      <c r="Y232" s="11">
        <f>IF(ISNUMBER(Z232),YEAR(Z232),"")</f>
        <v/>
      </c>
      <c r="Z232" s="12" t="n"/>
      <c r="AA232" s="12" t="n"/>
      <c r="AI232" s="12" t="n"/>
      <c r="AJ232" s="13">
        <f>IF(LEN(TRIM(AF232))=0,"",HYPERLINK("https://www.google.com/maps/@?api=1&amp;map_action=pano&amp;viewpoint="&amp;SUBSTITUTE(AF232," ",""),"Abrir Street View"))</f>
        <v/>
      </c>
    </row>
    <row r="233">
      <c r="H233" s="6" t="n"/>
      <c r="I233" s="6" t="n"/>
      <c r="M233" s="7" t="n"/>
      <c r="N233" s="7" t="n"/>
      <c r="O233" s="7" t="n"/>
      <c r="Q233" s="7" t="n"/>
      <c r="R233" s="7" t="n"/>
      <c r="S233" s="8">
        <f>IF(NOT(ISNUMBER(M233)),"",IF(G233="Terreno",IF(AND(ISNUMBER(I233),I233&gt;0),M233/I233,""),IF(AND(ISNUMBER(H233),H233&gt;0),M233/H233,"")))</f>
        <v/>
      </c>
      <c r="T233" s="9">
        <f>IF(AND(ISNUMBER(M233),ISNUMBER(O233)),IF(M233&lt;=O233,"Valor ≤ venal IPTU",""),"")</f>
        <v/>
      </c>
      <c r="U233" s="10">
        <f>IF(AND(ISNUMBER(M233),ISNUMBER(N233)),IF(N233&gt;0,M233/N233,""),"")</f>
        <v/>
      </c>
      <c r="V233" s="10">
        <f>IF(AND(ISNUMBER(M233),ISNUMBER(O233)),IF(O233&gt;0,M233/O233,""),"")</f>
        <v/>
      </c>
      <c r="W233" s="10">
        <f>IF(AND(ISNUMBER(M233),ISNUMBER(R233)),IF(R233&gt;0,M233/R233,""),"")</f>
        <v/>
      </c>
      <c r="X233" s="10">
        <f>IF(AND(ISNUMBER(Q233),ISNUMBER(M233)),IF(M233&gt;0,Q233/M233,""),"")</f>
        <v/>
      </c>
      <c r="Y233" s="11">
        <f>IF(ISNUMBER(Z233),YEAR(Z233),"")</f>
        <v/>
      </c>
      <c r="Z233" s="12" t="n"/>
      <c r="AA233" s="12" t="n"/>
      <c r="AI233" s="12" t="n"/>
      <c r="AJ233" s="13">
        <f>IF(LEN(TRIM(AF233))=0,"",HYPERLINK("https://www.google.com/maps/@?api=1&amp;map_action=pano&amp;viewpoint="&amp;SUBSTITUTE(AF233," ",""),"Abrir Street View"))</f>
        <v/>
      </c>
    </row>
    <row r="234">
      <c r="H234" s="6" t="n"/>
      <c r="I234" s="6" t="n"/>
      <c r="M234" s="7" t="n"/>
      <c r="N234" s="7" t="n"/>
      <c r="O234" s="7" t="n"/>
      <c r="Q234" s="7" t="n"/>
      <c r="R234" s="7" t="n"/>
      <c r="S234" s="8">
        <f>IF(NOT(ISNUMBER(M234)),"",IF(G234="Terreno",IF(AND(ISNUMBER(I234),I234&gt;0),M234/I234,""),IF(AND(ISNUMBER(H234),H234&gt;0),M234/H234,"")))</f>
        <v/>
      </c>
      <c r="T234" s="9">
        <f>IF(AND(ISNUMBER(M234),ISNUMBER(O234)),IF(M234&lt;=O234,"Valor ≤ venal IPTU",""),"")</f>
        <v/>
      </c>
      <c r="U234" s="10">
        <f>IF(AND(ISNUMBER(M234),ISNUMBER(N234)),IF(N234&gt;0,M234/N234,""),"")</f>
        <v/>
      </c>
      <c r="V234" s="10">
        <f>IF(AND(ISNUMBER(M234),ISNUMBER(O234)),IF(O234&gt;0,M234/O234,""),"")</f>
        <v/>
      </c>
      <c r="W234" s="10">
        <f>IF(AND(ISNUMBER(M234),ISNUMBER(R234)),IF(R234&gt;0,M234/R234,""),"")</f>
        <v/>
      </c>
      <c r="X234" s="10">
        <f>IF(AND(ISNUMBER(Q234),ISNUMBER(M234)),IF(M234&gt;0,Q234/M234,""),"")</f>
        <v/>
      </c>
      <c r="Y234" s="11">
        <f>IF(ISNUMBER(Z234),YEAR(Z234),"")</f>
        <v/>
      </c>
      <c r="Z234" s="12" t="n"/>
      <c r="AA234" s="12" t="n"/>
      <c r="AI234" s="12" t="n"/>
      <c r="AJ234" s="13">
        <f>IF(LEN(TRIM(AF234))=0,"",HYPERLINK("https://www.google.com/maps/@?api=1&amp;map_action=pano&amp;viewpoint="&amp;SUBSTITUTE(AF234," ",""),"Abrir Street View"))</f>
        <v/>
      </c>
    </row>
    <row r="235">
      <c r="H235" s="6" t="n"/>
      <c r="I235" s="6" t="n"/>
      <c r="M235" s="7" t="n"/>
      <c r="N235" s="7" t="n"/>
      <c r="O235" s="7" t="n"/>
      <c r="Q235" s="7" t="n"/>
      <c r="R235" s="7" t="n"/>
      <c r="S235" s="8">
        <f>IF(NOT(ISNUMBER(M235)),"",IF(G235="Terreno",IF(AND(ISNUMBER(I235),I235&gt;0),M235/I235,""),IF(AND(ISNUMBER(H235),H235&gt;0),M235/H235,"")))</f>
        <v/>
      </c>
      <c r="T235" s="9">
        <f>IF(AND(ISNUMBER(M235),ISNUMBER(O235)),IF(M235&lt;=O235,"Valor ≤ venal IPTU",""),"")</f>
        <v/>
      </c>
      <c r="U235" s="10">
        <f>IF(AND(ISNUMBER(M235),ISNUMBER(N235)),IF(N235&gt;0,M235/N235,""),"")</f>
        <v/>
      </c>
      <c r="V235" s="10">
        <f>IF(AND(ISNUMBER(M235),ISNUMBER(O235)),IF(O235&gt;0,M235/O235,""),"")</f>
        <v/>
      </c>
      <c r="W235" s="10">
        <f>IF(AND(ISNUMBER(M235),ISNUMBER(R235)),IF(R235&gt;0,M235/R235,""),"")</f>
        <v/>
      </c>
      <c r="X235" s="10">
        <f>IF(AND(ISNUMBER(Q235),ISNUMBER(M235)),IF(M235&gt;0,Q235/M235,""),"")</f>
        <v/>
      </c>
      <c r="Y235" s="11">
        <f>IF(ISNUMBER(Z235),YEAR(Z235),"")</f>
        <v/>
      </c>
      <c r="Z235" s="12" t="n"/>
      <c r="AA235" s="12" t="n"/>
      <c r="AI235" s="12" t="n"/>
      <c r="AJ235" s="13">
        <f>IF(LEN(TRIM(AF235))=0,"",HYPERLINK("https://www.google.com/maps/@?api=1&amp;map_action=pano&amp;viewpoint="&amp;SUBSTITUTE(AF235," ",""),"Abrir Street View"))</f>
        <v/>
      </c>
    </row>
    <row r="236">
      <c r="H236" s="6" t="n"/>
      <c r="I236" s="6" t="n"/>
      <c r="M236" s="7" t="n"/>
      <c r="N236" s="7" t="n"/>
      <c r="O236" s="7" t="n"/>
      <c r="Q236" s="7" t="n"/>
      <c r="R236" s="7" t="n"/>
      <c r="S236" s="8">
        <f>IF(NOT(ISNUMBER(M236)),"",IF(G236="Terreno",IF(AND(ISNUMBER(I236),I236&gt;0),M236/I236,""),IF(AND(ISNUMBER(H236),H236&gt;0),M236/H236,"")))</f>
        <v/>
      </c>
      <c r="T236" s="9">
        <f>IF(AND(ISNUMBER(M236),ISNUMBER(O236)),IF(M236&lt;=O236,"Valor ≤ venal IPTU",""),"")</f>
        <v/>
      </c>
      <c r="U236" s="10">
        <f>IF(AND(ISNUMBER(M236),ISNUMBER(N236)),IF(N236&gt;0,M236/N236,""),"")</f>
        <v/>
      </c>
      <c r="V236" s="10">
        <f>IF(AND(ISNUMBER(M236),ISNUMBER(O236)),IF(O236&gt;0,M236/O236,""),"")</f>
        <v/>
      </c>
      <c r="W236" s="10">
        <f>IF(AND(ISNUMBER(M236),ISNUMBER(R236)),IF(R236&gt;0,M236/R236,""),"")</f>
        <v/>
      </c>
      <c r="X236" s="10">
        <f>IF(AND(ISNUMBER(Q236),ISNUMBER(M236)),IF(M236&gt;0,Q236/M236,""),"")</f>
        <v/>
      </c>
      <c r="Y236" s="11">
        <f>IF(ISNUMBER(Z236),YEAR(Z236),"")</f>
        <v/>
      </c>
      <c r="Z236" s="12" t="n"/>
      <c r="AA236" s="12" t="n"/>
      <c r="AI236" s="12" t="n"/>
      <c r="AJ236" s="13">
        <f>IF(LEN(TRIM(AF236))=0,"",HYPERLINK("https://www.google.com/maps/@?api=1&amp;map_action=pano&amp;viewpoint="&amp;SUBSTITUTE(AF236," ",""),"Abrir Street View"))</f>
        <v/>
      </c>
    </row>
    <row r="237">
      <c r="H237" s="6" t="n"/>
      <c r="I237" s="6" t="n"/>
      <c r="M237" s="7" t="n"/>
      <c r="N237" s="7" t="n"/>
      <c r="O237" s="7" t="n"/>
      <c r="Q237" s="7" t="n"/>
      <c r="R237" s="7" t="n"/>
      <c r="S237" s="8">
        <f>IF(NOT(ISNUMBER(M237)),"",IF(G237="Terreno",IF(AND(ISNUMBER(I237),I237&gt;0),M237/I237,""),IF(AND(ISNUMBER(H237),H237&gt;0),M237/H237,"")))</f>
        <v/>
      </c>
      <c r="T237" s="9">
        <f>IF(AND(ISNUMBER(M237),ISNUMBER(O237)),IF(M237&lt;=O237,"Valor ≤ venal IPTU",""),"")</f>
        <v/>
      </c>
      <c r="U237" s="10">
        <f>IF(AND(ISNUMBER(M237),ISNUMBER(N237)),IF(N237&gt;0,M237/N237,""),"")</f>
        <v/>
      </c>
      <c r="V237" s="10">
        <f>IF(AND(ISNUMBER(M237),ISNUMBER(O237)),IF(O237&gt;0,M237/O237,""),"")</f>
        <v/>
      </c>
      <c r="W237" s="10">
        <f>IF(AND(ISNUMBER(M237),ISNUMBER(R237)),IF(R237&gt;0,M237/R237,""),"")</f>
        <v/>
      </c>
      <c r="X237" s="10">
        <f>IF(AND(ISNUMBER(Q237),ISNUMBER(M237)),IF(M237&gt;0,Q237/M237,""),"")</f>
        <v/>
      </c>
      <c r="Y237" s="11">
        <f>IF(ISNUMBER(Z237),YEAR(Z237),"")</f>
        <v/>
      </c>
      <c r="Z237" s="12" t="n"/>
      <c r="AA237" s="12" t="n"/>
      <c r="AI237" s="12" t="n"/>
      <c r="AJ237" s="13">
        <f>IF(LEN(TRIM(AF237))=0,"",HYPERLINK("https://www.google.com/maps/@?api=1&amp;map_action=pano&amp;viewpoint="&amp;SUBSTITUTE(AF237," ",""),"Abrir Street View"))</f>
        <v/>
      </c>
    </row>
    <row r="238">
      <c r="H238" s="6" t="n"/>
      <c r="I238" s="6" t="n"/>
      <c r="M238" s="7" t="n"/>
      <c r="N238" s="7" t="n"/>
      <c r="O238" s="7" t="n"/>
      <c r="Q238" s="7" t="n"/>
      <c r="R238" s="7" t="n"/>
      <c r="S238" s="8">
        <f>IF(NOT(ISNUMBER(M238)),"",IF(G238="Terreno",IF(AND(ISNUMBER(I238),I238&gt;0),M238/I238,""),IF(AND(ISNUMBER(H238),H238&gt;0),M238/H238,"")))</f>
        <v/>
      </c>
      <c r="T238" s="9">
        <f>IF(AND(ISNUMBER(M238),ISNUMBER(O238)),IF(M238&lt;=O238,"Valor ≤ venal IPTU",""),"")</f>
        <v/>
      </c>
      <c r="U238" s="10">
        <f>IF(AND(ISNUMBER(M238),ISNUMBER(N238)),IF(N238&gt;0,M238/N238,""),"")</f>
        <v/>
      </c>
      <c r="V238" s="10">
        <f>IF(AND(ISNUMBER(M238),ISNUMBER(O238)),IF(O238&gt;0,M238/O238,""),"")</f>
        <v/>
      </c>
      <c r="W238" s="10">
        <f>IF(AND(ISNUMBER(M238),ISNUMBER(R238)),IF(R238&gt;0,M238/R238,""),"")</f>
        <v/>
      </c>
      <c r="X238" s="10">
        <f>IF(AND(ISNUMBER(Q238),ISNUMBER(M238)),IF(M238&gt;0,Q238/M238,""),"")</f>
        <v/>
      </c>
      <c r="Y238" s="11">
        <f>IF(ISNUMBER(Z238),YEAR(Z238),"")</f>
        <v/>
      </c>
      <c r="Z238" s="12" t="n"/>
      <c r="AA238" s="12" t="n"/>
      <c r="AI238" s="12" t="n"/>
      <c r="AJ238" s="13">
        <f>IF(LEN(TRIM(AF238))=0,"",HYPERLINK("https://www.google.com/maps/@?api=1&amp;map_action=pano&amp;viewpoint="&amp;SUBSTITUTE(AF238," ",""),"Abrir Street View"))</f>
        <v/>
      </c>
    </row>
    <row r="239">
      <c r="H239" s="6" t="n"/>
      <c r="I239" s="6" t="n"/>
      <c r="M239" s="7" t="n"/>
      <c r="N239" s="7" t="n"/>
      <c r="O239" s="7" t="n"/>
      <c r="Q239" s="7" t="n"/>
      <c r="R239" s="7" t="n"/>
      <c r="S239" s="8">
        <f>IF(NOT(ISNUMBER(M239)),"",IF(G239="Terreno",IF(AND(ISNUMBER(I239),I239&gt;0),M239/I239,""),IF(AND(ISNUMBER(H239),H239&gt;0),M239/H239,"")))</f>
        <v/>
      </c>
      <c r="T239" s="9">
        <f>IF(AND(ISNUMBER(M239),ISNUMBER(O239)),IF(M239&lt;=O239,"Valor ≤ venal IPTU",""),"")</f>
        <v/>
      </c>
      <c r="U239" s="10">
        <f>IF(AND(ISNUMBER(M239),ISNUMBER(N239)),IF(N239&gt;0,M239/N239,""),"")</f>
        <v/>
      </c>
      <c r="V239" s="10">
        <f>IF(AND(ISNUMBER(M239),ISNUMBER(O239)),IF(O239&gt;0,M239/O239,""),"")</f>
        <v/>
      </c>
      <c r="W239" s="10">
        <f>IF(AND(ISNUMBER(M239),ISNUMBER(R239)),IF(R239&gt;0,M239/R239,""),"")</f>
        <v/>
      </c>
      <c r="X239" s="10">
        <f>IF(AND(ISNUMBER(Q239),ISNUMBER(M239)),IF(M239&gt;0,Q239/M239,""),"")</f>
        <v/>
      </c>
      <c r="Y239" s="11">
        <f>IF(ISNUMBER(Z239),YEAR(Z239),"")</f>
        <v/>
      </c>
      <c r="Z239" s="12" t="n"/>
      <c r="AA239" s="12" t="n"/>
      <c r="AI239" s="12" t="n"/>
      <c r="AJ239" s="13">
        <f>IF(LEN(TRIM(AF239))=0,"",HYPERLINK("https://www.google.com/maps/@?api=1&amp;map_action=pano&amp;viewpoint="&amp;SUBSTITUTE(AF239," ",""),"Abrir Street View"))</f>
        <v/>
      </c>
    </row>
    <row r="240">
      <c r="H240" s="6" t="n"/>
      <c r="I240" s="6" t="n"/>
      <c r="M240" s="7" t="n"/>
      <c r="N240" s="7" t="n"/>
      <c r="O240" s="7" t="n"/>
      <c r="Q240" s="7" t="n"/>
      <c r="R240" s="7" t="n"/>
      <c r="S240" s="8">
        <f>IF(NOT(ISNUMBER(M240)),"",IF(G240="Terreno",IF(AND(ISNUMBER(I240),I240&gt;0),M240/I240,""),IF(AND(ISNUMBER(H240),H240&gt;0),M240/H240,"")))</f>
        <v/>
      </c>
      <c r="T240" s="9">
        <f>IF(AND(ISNUMBER(M240),ISNUMBER(O240)),IF(M240&lt;=O240,"Valor ≤ venal IPTU",""),"")</f>
        <v/>
      </c>
      <c r="U240" s="10">
        <f>IF(AND(ISNUMBER(M240),ISNUMBER(N240)),IF(N240&gt;0,M240/N240,""),"")</f>
        <v/>
      </c>
      <c r="V240" s="10">
        <f>IF(AND(ISNUMBER(M240),ISNUMBER(O240)),IF(O240&gt;0,M240/O240,""),"")</f>
        <v/>
      </c>
      <c r="W240" s="10">
        <f>IF(AND(ISNUMBER(M240),ISNUMBER(R240)),IF(R240&gt;0,M240/R240,""),"")</f>
        <v/>
      </c>
      <c r="X240" s="10">
        <f>IF(AND(ISNUMBER(Q240),ISNUMBER(M240)),IF(M240&gt;0,Q240/M240,""),"")</f>
        <v/>
      </c>
      <c r="Y240" s="11">
        <f>IF(ISNUMBER(Z240),YEAR(Z240),"")</f>
        <v/>
      </c>
      <c r="Z240" s="12" t="n"/>
      <c r="AA240" s="12" t="n"/>
      <c r="AI240" s="12" t="n"/>
      <c r="AJ240" s="13">
        <f>IF(LEN(TRIM(AF240))=0,"",HYPERLINK("https://www.google.com/maps/@?api=1&amp;map_action=pano&amp;viewpoint="&amp;SUBSTITUTE(AF240," ",""),"Abrir Street View"))</f>
        <v/>
      </c>
    </row>
    <row r="241">
      <c r="H241" s="6" t="n"/>
      <c r="I241" s="6" t="n"/>
      <c r="M241" s="7" t="n"/>
      <c r="N241" s="7" t="n"/>
      <c r="O241" s="7" t="n"/>
      <c r="Q241" s="7" t="n"/>
      <c r="R241" s="7" t="n"/>
      <c r="S241" s="8">
        <f>IF(NOT(ISNUMBER(M241)),"",IF(G241="Terreno",IF(AND(ISNUMBER(I241),I241&gt;0),M241/I241,""),IF(AND(ISNUMBER(H241),H241&gt;0),M241/H241,"")))</f>
        <v/>
      </c>
      <c r="T241" s="9">
        <f>IF(AND(ISNUMBER(M241),ISNUMBER(O241)),IF(M241&lt;=O241,"Valor ≤ venal IPTU",""),"")</f>
        <v/>
      </c>
      <c r="U241" s="10">
        <f>IF(AND(ISNUMBER(M241),ISNUMBER(N241)),IF(N241&gt;0,M241/N241,""),"")</f>
        <v/>
      </c>
      <c r="V241" s="10">
        <f>IF(AND(ISNUMBER(M241),ISNUMBER(O241)),IF(O241&gt;0,M241/O241,""),"")</f>
        <v/>
      </c>
      <c r="W241" s="10">
        <f>IF(AND(ISNUMBER(M241),ISNUMBER(R241)),IF(R241&gt;0,M241/R241,""),"")</f>
        <v/>
      </c>
      <c r="X241" s="10">
        <f>IF(AND(ISNUMBER(Q241),ISNUMBER(M241)),IF(M241&gt;0,Q241/M241,""),"")</f>
        <v/>
      </c>
      <c r="Y241" s="11">
        <f>IF(ISNUMBER(Z241),YEAR(Z241),"")</f>
        <v/>
      </c>
      <c r="Z241" s="12" t="n"/>
      <c r="AA241" s="12" t="n"/>
      <c r="AI241" s="12" t="n"/>
      <c r="AJ241" s="13">
        <f>IF(LEN(TRIM(AF241))=0,"",HYPERLINK("https://www.google.com/maps/@?api=1&amp;map_action=pano&amp;viewpoint="&amp;SUBSTITUTE(AF241," ",""),"Abrir Street View"))</f>
        <v/>
      </c>
    </row>
    <row r="242">
      <c r="H242" s="6" t="n"/>
      <c r="I242" s="6" t="n"/>
      <c r="M242" s="7" t="n"/>
      <c r="N242" s="7" t="n"/>
      <c r="O242" s="7" t="n"/>
      <c r="Q242" s="7" t="n"/>
      <c r="R242" s="7" t="n"/>
      <c r="S242" s="8">
        <f>IF(NOT(ISNUMBER(M242)),"",IF(G242="Terreno",IF(AND(ISNUMBER(I242),I242&gt;0),M242/I242,""),IF(AND(ISNUMBER(H242),H242&gt;0),M242/H242,"")))</f>
        <v/>
      </c>
      <c r="T242" s="9">
        <f>IF(AND(ISNUMBER(M242),ISNUMBER(O242)),IF(M242&lt;=O242,"Valor ≤ venal IPTU",""),"")</f>
        <v/>
      </c>
      <c r="U242" s="10">
        <f>IF(AND(ISNUMBER(M242),ISNUMBER(N242)),IF(N242&gt;0,M242/N242,""),"")</f>
        <v/>
      </c>
      <c r="V242" s="10">
        <f>IF(AND(ISNUMBER(M242),ISNUMBER(O242)),IF(O242&gt;0,M242/O242,""),"")</f>
        <v/>
      </c>
      <c r="W242" s="10">
        <f>IF(AND(ISNUMBER(M242),ISNUMBER(R242)),IF(R242&gt;0,M242/R242,""),"")</f>
        <v/>
      </c>
      <c r="X242" s="10">
        <f>IF(AND(ISNUMBER(Q242),ISNUMBER(M242)),IF(M242&gt;0,Q242/M242,""),"")</f>
        <v/>
      </c>
      <c r="Y242" s="11">
        <f>IF(ISNUMBER(Z242),YEAR(Z242),"")</f>
        <v/>
      </c>
      <c r="Z242" s="12" t="n"/>
      <c r="AA242" s="12" t="n"/>
      <c r="AI242" s="12" t="n"/>
      <c r="AJ242" s="13">
        <f>IF(LEN(TRIM(AF242))=0,"",HYPERLINK("https://www.google.com/maps/@?api=1&amp;map_action=pano&amp;viewpoint="&amp;SUBSTITUTE(AF242," ",""),"Abrir Street View"))</f>
        <v/>
      </c>
    </row>
    <row r="243">
      <c r="H243" s="6" t="n"/>
      <c r="I243" s="6" t="n"/>
      <c r="M243" s="7" t="n"/>
      <c r="N243" s="7" t="n"/>
      <c r="O243" s="7" t="n"/>
      <c r="Q243" s="7" t="n"/>
      <c r="R243" s="7" t="n"/>
      <c r="S243" s="8">
        <f>IF(NOT(ISNUMBER(M243)),"",IF(G243="Terreno",IF(AND(ISNUMBER(I243),I243&gt;0),M243/I243,""),IF(AND(ISNUMBER(H243),H243&gt;0),M243/H243,"")))</f>
        <v/>
      </c>
      <c r="T243" s="9">
        <f>IF(AND(ISNUMBER(M243),ISNUMBER(O243)),IF(M243&lt;=O243,"Valor ≤ venal IPTU",""),"")</f>
        <v/>
      </c>
      <c r="U243" s="10">
        <f>IF(AND(ISNUMBER(M243),ISNUMBER(N243)),IF(N243&gt;0,M243/N243,""),"")</f>
        <v/>
      </c>
      <c r="V243" s="10">
        <f>IF(AND(ISNUMBER(M243),ISNUMBER(O243)),IF(O243&gt;0,M243/O243,""),"")</f>
        <v/>
      </c>
      <c r="W243" s="10">
        <f>IF(AND(ISNUMBER(M243),ISNUMBER(R243)),IF(R243&gt;0,M243/R243,""),"")</f>
        <v/>
      </c>
      <c r="X243" s="10">
        <f>IF(AND(ISNUMBER(Q243),ISNUMBER(M243)),IF(M243&gt;0,Q243/M243,""),"")</f>
        <v/>
      </c>
      <c r="Y243" s="11">
        <f>IF(ISNUMBER(Z243),YEAR(Z243),"")</f>
        <v/>
      </c>
      <c r="Z243" s="12" t="n"/>
      <c r="AA243" s="12" t="n"/>
      <c r="AI243" s="12" t="n"/>
      <c r="AJ243" s="13">
        <f>IF(LEN(TRIM(AF243))=0,"",HYPERLINK("https://www.google.com/maps/@?api=1&amp;map_action=pano&amp;viewpoint="&amp;SUBSTITUTE(AF243," ",""),"Abrir Street View"))</f>
        <v/>
      </c>
    </row>
    <row r="244">
      <c r="H244" s="6" t="n"/>
      <c r="I244" s="6" t="n"/>
      <c r="M244" s="7" t="n"/>
      <c r="N244" s="7" t="n"/>
      <c r="O244" s="7" t="n"/>
      <c r="Q244" s="7" t="n"/>
      <c r="R244" s="7" t="n"/>
      <c r="S244" s="8">
        <f>IF(NOT(ISNUMBER(M244)),"",IF(G244="Terreno",IF(AND(ISNUMBER(I244),I244&gt;0),M244/I244,""),IF(AND(ISNUMBER(H244),H244&gt;0),M244/H244,"")))</f>
        <v/>
      </c>
      <c r="T244" s="9">
        <f>IF(AND(ISNUMBER(M244),ISNUMBER(O244)),IF(M244&lt;=O244,"Valor ≤ venal IPTU",""),"")</f>
        <v/>
      </c>
      <c r="U244" s="10">
        <f>IF(AND(ISNUMBER(M244),ISNUMBER(N244)),IF(N244&gt;0,M244/N244,""),"")</f>
        <v/>
      </c>
      <c r="V244" s="10">
        <f>IF(AND(ISNUMBER(M244),ISNUMBER(O244)),IF(O244&gt;0,M244/O244,""),"")</f>
        <v/>
      </c>
      <c r="W244" s="10">
        <f>IF(AND(ISNUMBER(M244),ISNUMBER(R244)),IF(R244&gt;0,M244/R244,""),"")</f>
        <v/>
      </c>
      <c r="X244" s="10">
        <f>IF(AND(ISNUMBER(Q244),ISNUMBER(M244)),IF(M244&gt;0,Q244/M244,""),"")</f>
        <v/>
      </c>
      <c r="Y244" s="11">
        <f>IF(ISNUMBER(Z244),YEAR(Z244),"")</f>
        <v/>
      </c>
      <c r="Z244" s="12" t="n"/>
      <c r="AA244" s="12" t="n"/>
      <c r="AI244" s="12" t="n"/>
      <c r="AJ244" s="13">
        <f>IF(LEN(TRIM(AF244))=0,"",HYPERLINK("https://www.google.com/maps/@?api=1&amp;map_action=pano&amp;viewpoint="&amp;SUBSTITUTE(AF244," ",""),"Abrir Street View"))</f>
        <v/>
      </c>
    </row>
    <row r="245">
      <c r="H245" s="6" t="n"/>
      <c r="I245" s="6" t="n"/>
      <c r="M245" s="7" t="n"/>
      <c r="N245" s="7" t="n"/>
      <c r="O245" s="7" t="n"/>
      <c r="Q245" s="7" t="n"/>
      <c r="R245" s="7" t="n"/>
      <c r="S245" s="8">
        <f>IF(NOT(ISNUMBER(M245)),"",IF(G245="Terreno",IF(AND(ISNUMBER(I245),I245&gt;0),M245/I245,""),IF(AND(ISNUMBER(H245),H245&gt;0),M245/H245,"")))</f>
        <v/>
      </c>
      <c r="T245" s="9">
        <f>IF(AND(ISNUMBER(M245),ISNUMBER(O245)),IF(M245&lt;=O245,"Valor ≤ venal IPTU",""),"")</f>
        <v/>
      </c>
      <c r="U245" s="10">
        <f>IF(AND(ISNUMBER(M245),ISNUMBER(N245)),IF(N245&gt;0,M245/N245,""),"")</f>
        <v/>
      </c>
      <c r="V245" s="10">
        <f>IF(AND(ISNUMBER(M245),ISNUMBER(O245)),IF(O245&gt;0,M245/O245,""),"")</f>
        <v/>
      </c>
      <c r="W245" s="10">
        <f>IF(AND(ISNUMBER(M245),ISNUMBER(R245)),IF(R245&gt;0,M245/R245,""),"")</f>
        <v/>
      </c>
      <c r="X245" s="10">
        <f>IF(AND(ISNUMBER(Q245),ISNUMBER(M245)),IF(M245&gt;0,Q245/M245,""),"")</f>
        <v/>
      </c>
      <c r="Y245" s="11">
        <f>IF(ISNUMBER(Z245),YEAR(Z245),"")</f>
        <v/>
      </c>
      <c r="Z245" s="12" t="n"/>
      <c r="AA245" s="12" t="n"/>
      <c r="AI245" s="12" t="n"/>
      <c r="AJ245" s="13">
        <f>IF(LEN(TRIM(AF245))=0,"",HYPERLINK("https://www.google.com/maps/@?api=1&amp;map_action=pano&amp;viewpoint="&amp;SUBSTITUTE(AF245," ",""),"Abrir Street View"))</f>
        <v/>
      </c>
    </row>
    <row r="246">
      <c r="H246" s="6" t="n"/>
      <c r="I246" s="6" t="n"/>
      <c r="M246" s="7" t="n"/>
      <c r="N246" s="7" t="n"/>
      <c r="O246" s="7" t="n"/>
      <c r="Q246" s="7" t="n"/>
      <c r="R246" s="7" t="n"/>
      <c r="S246" s="8">
        <f>IF(NOT(ISNUMBER(M246)),"",IF(G246="Terreno",IF(AND(ISNUMBER(I246),I246&gt;0),M246/I246,""),IF(AND(ISNUMBER(H246),H246&gt;0),M246/H246,"")))</f>
        <v/>
      </c>
      <c r="T246" s="9">
        <f>IF(AND(ISNUMBER(M246),ISNUMBER(O246)),IF(M246&lt;=O246,"Valor ≤ venal IPTU",""),"")</f>
        <v/>
      </c>
      <c r="U246" s="10">
        <f>IF(AND(ISNUMBER(M246),ISNUMBER(N246)),IF(N246&gt;0,M246/N246,""),"")</f>
        <v/>
      </c>
      <c r="V246" s="10">
        <f>IF(AND(ISNUMBER(M246),ISNUMBER(O246)),IF(O246&gt;0,M246/O246,""),"")</f>
        <v/>
      </c>
      <c r="W246" s="10">
        <f>IF(AND(ISNUMBER(M246),ISNUMBER(R246)),IF(R246&gt;0,M246/R246,""),"")</f>
        <v/>
      </c>
      <c r="X246" s="10">
        <f>IF(AND(ISNUMBER(Q246),ISNUMBER(M246)),IF(M246&gt;0,Q246/M246,""),"")</f>
        <v/>
      </c>
      <c r="Y246" s="11">
        <f>IF(ISNUMBER(Z246),YEAR(Z246),"")</f>
        <v/>
      </c>
      <c r="Z246" s="12" t="n"/>
      <c r="AA246" s="12" t="n"/>
      <c r="AI246" s="12" t="n"/>
      <c r="AJ246" s="13">
        <f>IF(LEN(TRIM(AF246))=0,"",HYPERLINK("https://www.google.com/maps/@?api=1&amp;map_action=pano&amp;viewpoint="&amp;SUBSTITUTE(AF246," ",""),"Abrir Street View"))</f>
        <v/>
      </c>
    </row>
    <row r="247">
      <c r="H247" s="6" t="n"/>
      <c r="I247" s="6" t="n"/>
      <c r="M247" s="7" t="n"/>
      <c r="N247" s="7" t="n"/>
      <c r="O247" s="7" t="n"/>
      <c r="Q247" s="7" t="n"/>
      <c r="R247" s="7" t="n"/>
      <c r="S247" s="8">
        <f>IF(NOT(ISNUMBER(M247)),"",IF(G247="Terreno",IF(AND(ISNUMBER(I247),I247&gt;0),M247/I247,""),IF(AND(ISNUMBER(H247),H247&gt;0),M247/H247,"")))</f>
        <v/>
      </c>
      <c r="T247" s="9">
        <f>IF(AND(ISNUMBER(M247),ISNUMBER(O247)),IF(M247&lt;=O247,"Valor ≤ venal IPTU",""),"")</f>
        <v/>
      </c>
      <c r="U247" s="10">
        <f>IF(AND(ISNUMBER(M247),ISNUMBER(N247)),IF(N247&gt;0,M247/N247,""),"")</f>
        <v/>
      </c>
      <c r="V247" s="10">
        <f>IF(AND(ISNUMBER(M247),ISNUMBER(O247)),IF(O247&gt;0,M247/O247,""),"")</f>
        <v/>
      </c>
      <c r="W247" s="10">
        <f>IF(AND(ISNUMBER(M247),ISNUMBER(R247)),IF(R247&gt;0,M247/R247,""),"")</f>
        <v/>
      </c>
      <c r="X247" s="10">
        <f>IF(AND(ISNUMBER(Q247),ISNUMBER(M247)),IF(M247&gt;0,Q247/M247,""),"")</f>
        <v/>
      </c>
      <c r="Y247" s="11">
        <f>IF(ISNUMBER(Z247),YEAR(Z247),"")</f>
        <v/>
      </c>
      <c r="Z247" s="12" t="n"/>
      <c r="AA247" s="12" t="n"/>
      <c r="AI247" s="12" t="n"/>
      <c r="AJ247" s="13">
        <f>IF(LEN(TRIM(AF247))=0,"",HYPERLINK("https://www.google.com/maps/@?api=1&amp;map_action=pano&amp;viewpoint="&amp;SUBSTITUTE(AF247," ",""),"Abrir Street View"))</f>
        <v/>
      </c>
    </row>
    <row r="248">
      <c r="H248" s="6" t="n"/>
      <c r="I248" s="6" t="n"/>
      <c r="M248" s="7" t="n"/>
      <c r="N248" s="7" t="n"/>
      <c r="O248" s="7" t="n"/>
      <c r="Q248" s="7" t="n"/>
      <c r="R248" s="7" t="n"/>
      <c r="S248" s="8">
        <f>IF(NOT(ISNUMBER(M248)),"",IF(G248="Terreno",IF(AND(ISNUMBER(I248),I248&gt;0),M248/I248,""),IF(AND(ISNUMBER(H248),H248&gt;0),M248/H248,"")))</f>
        <v/>
      </c>
      <c r="T248" s="9">
        <f>IF(AND(ISNUMBER(M248),ISNUMBER(O248)),IF(M248&lt;=O248,"Valor ≤ venal IPTU",""),"")</f>
        <v/>
      </c>
      <c r="U248" s="10">
        <f>IF(AND(ISNUMBER(M248),ISNUMBER(N248)),IF(N248&gt;0,M248/N248,""),"")</f>
        <v/>
      </c>
      <c r="V248" s="10">
        <f>IF(AND(ISNUMBER(M248),ISNUMBER(O248)),IF(O248&gt;0,M248/O248,""),"")</f>
        <v/>
      </c>
      <c r="W248" s="10">
        <f>IF(AND(ISNUMBER(M248),ISNUMBER(R248)),IF(R248&gt;0,M248/R248,""),"")</f>
        <v/>
      </c>
      <c r="X248" s="10">
        <f>IF(AND(ISNUMBER(Q248),ISNUMBER(M248)),IF(M248&gt;0,Q248/M248,""),"")</f>
        <v/>
      </c>
      <c r="Y248" s="11">
        <f>IF(ISNUMBER(Z248),YEAR(Z248),"")</f>
        <v/>
      </c>
      <c r="Z248" s="12" t="n"/>
      <c r="AA248" s="12" t="n"/>
      <c r="AI248" s="12" t="n"/>
      <c r="AJ248" s="13">
        <f>IF(LEN(TRIM(AF248))=0,"",HYPERLINK("https://www.google.com/maps/@?api=1&amp;map_action=pano&amp;viewpoint="&amp;SUBSTITUTE(AF248," ",""),"Abrir Street View"))</f>
        <v/>
      </c>
    </row>
    <row r="249">
      <c r="H249" s="6" t="n"/>
      <c r="I249" s="6" t="n"/>
      <c r="M249" s="7" t="n"/>
      <c r="N249" s="7" t="n"/>
      <c r="O249" s="7" t="n"/>
      <c r="Q249" s="7" t="n"/>
      <c r="R249" s="7" t="n"/>
      <c r="S249" s="8">
        <f>IF(NOT(ISNUMBER(M249)),"",IF(G249="Terreno",IF(AND(ISNUMBER(I249),I249&gt;0),M249/I249,""),IF(AND(ISNUMBER(H249),H249&gt;0),M249/H249,"")))</f>
        <v/>
      </c>
      <c r="T249" s="9">
        <f>IF(AND(ISNUMBER(M249),ISNUMBER(O249)),IF(M249&lt;=O249,"Valor ≤ venal IPTU",""),"")</f>
        <v/>
      </c>
      <c r="U249" s="10">
        <f>IF(AND(ISNUMBER(M249),ISNUMBER(N249)),IF(N249&gt;0,M249/N249,""),"")</f>
        <v/>
      </c>
      <c r="V249" s="10">
        <f>IF(AND(ISNUMBER(M249),ISNUMBER(O249)),IF(O249&gt;0,M249/O249,""),"")</f>
        <v/>
      </c>
      <c r="W249" s="10">
        <f>IF(AND(ISNUMBER(M249),ISNUMBER(R249)),IF(R249&gt;0,M249/R249,""),"")</f>
        <v/>
      </c>
      <c r="X249" s="10">
        <f>IF(AND(ISNUMBER(Q249),ISNUMBER(M249)),IF(M249&gt;0,Q249/M249,""),"")</f>
        <v/>
      </c>
      <c r="Y249" s="11">
        <f>IF(ISNUMBER(Z249),YEAR(Z249),"")</f>
        <v/>
      </c>
      <c r="Z249" s="12" t="n"/>
      <c r="AA249" s="12" t="n"/>
      <c r="AI249" s="12" t="n"/>
      <c r="AJ249" s="13">
        <f>IF(LEN(TRIM(AF249))=0,"",HYPERLINK("https://www.google.com/maps/@?api=1&amp;map_action=pano&amp;viewpoint="&amp;SUBSTITUTE(AF249," ",""),"Abrir Street View"))</f>
        <v/>
      </c>
    </row>
    <row r="250">
      <c r="H250" s="6" t="n"/>
      <c r="I250" s="6" t="n"/>
      <c r="M250" s="7" t="n"/>
      <c r="N250" s="7" t="n"/>
      <c r="O250" s="7" t="n"/>
      <c r="Q250" s="7" t="n"/>
      <c r="R250" s="7" t="n"/>
      <c r="S250" s="8">
        <f>IF(NOT(ISNUMBER(M250)),"",IF(G250="Terreno",IF(AND(ISNUMBER(I250),I250&gt;0),M250/I250,""),IF(AND(ISNUMBER(H250),H250&gt;0),M250/H250,"")))</f>
        <v/>
      </c>
      <c r="T250" s="9">
        <f>IF(AND(ISNUMBER(M250),ISNUMBER(O250)),IF(M250&lt;=O250,"Valor ≤ venal IPTU",""),"")</f>
        <v/>
      </c>
      <c r="U250" s="10">
        <f>IF(AND(ISNUMBER(M250),ISNUMBER(N250)),IF(N250&gt;0,M250/N250,""),"")</f>
        <v/>
      </c>
      <c r="V250" s="10">
        <f>IF(AND(ISNUMBER(M250),ISNUMBER(O250)),IF(O250&gt;0,M250/O250,""),"")</f>
        <v/>
      </c>
      <c r="W250" s="10">
        <f>IF(AND(ISNUMBER(M250),ISNUMBER(R250)),IF(R250&gt;0,M250/R250,""),"")</f>
        <v/>
      </c>
      <c r="X250" s="10">
        <f>IF(AND(ISNUMBER(Q250),ISNUMBER(M250)),IF(M250&gt;0,Q250/M250,""),"")</f>
        <v/>
      </c>
      <c r="Y250" s="11">
        <f>IF(ISNUMBER(Z250),YEAR(Z250),"")</f>
        <v/>
      </c>
      <c r="Z250" s="12" t="n"/>
      <c r="AA250" s="12" t="n"/>
      <c r="AI250" s="12" t="n"/>
      <c r="AJ250" s="13">
        <f>IF(LEN(TRIM(AF250))=0,"",HYPERLINK("https://www.google.com/maps/@?api=1&amp;map_action=pano&amp;viewpoint="&amp;SUBSTITUTE(AF250," ",""),"Abrir Street View"))</f>
        <v/>
      </c>
    </row>
    <row r="251">
      <c r="H251" s="6" t="n"/>
      <c r="I251" s="6" t="n"/>
      <c r="M251" s="7" t="n"/>
      <c r="N251" s="7" t="n"/>
      <c r="O251" s="7" t="n"/>
      <c r="Q251" s="7" t="n"/>
      <c r="R251" s="7" t="n"/>
      <c r="S251" s="8">
        <f>IF(NOT(ISNUMBER(M251)),"",IF(G251="Terreno",IF(AND(ISNUMBER(I251),I251&gt;0),M251/I251,""),IF(AND(ISNUMBER(H251),H251&gt;0),M251/H251,"")))</f>
        <v/>
      </c>
      <c r="T251" s="9">
        <f>IF(AND(ISNUMBER(M251),ISNUMBER(O251)),IF(M251&lt;=O251,"Valor ≤ venal IPTU",""),"")</f>
        <v/>
      </c>
      <c r="U251" s="10">
        <f>IF(AND(ISNUMBER(M251),ISNUMBER(N251)),IF(N251&gt;0,M251/N251,""),"")</f>
        <v/>
      </c>
      <c r="V251" s="10">
        <f>IF(AND(ISNUMBER(M251),ISNUMBER(O251)),IF(O251&gt;0,M251/O251,""),"")</f>
        <v/>
      </c>
      <c r="W251" s="10">
        <f>IF(AND(ISNUMBER(M251),ISNUMBER(R251)),IF(R251&gt;0,M251/R251,""),"")</f>
        <v/>
      </c>
      <c r="X251" s="10">
        <f>IF(AND(ISNUMBER(Q251),ISNUMBER(M251)),IF(M251&gt;0,Q251/M251,""),"")</f>
        <v/>
      </c>
      <c r="Y251" s="11">
        <f>IF(ISNUMBER(Z251),YEAR(Z251),"")</f>
        <v/>
      </c>
      <c r="Z251" s="12" t="n"/>
      <c r="AA251" s="12" t="n"/>
      <c r="AI251" s="12" t="n"/>
      <c r="AJ251" s="13">
        <f>IF(LEN(TRIM(AF251))=0,"",HYPERLINK("https://www.google.com/maps/@?api=1&amp;map_action=pano&amp;viewpoint="&amp;SUBSTITUTE(AF251," ",""),"Abrir Street View"))</f>
        <v/>
      </c>
    </row>
    <row r="252">
      <c r="H252" s="6" t="n"/>
      <c r="I252" s="6" t="n"/>
      <c r="M252" s="7" t="n"/>
      <c r="N252" s="7" t="n"/>
      <c r="O252" s="7" t="n"/>
      <c r="Q252" s="7" t="n"/>
      <c r="R252" s="7" t="n"/>
      <c r="S252" s="8">
        <f>IF(NOT(ISNUMBER(M252)),"",IF(G252="Terreno",IF(AND(ISNUMBER(I252),I252&gt;0),M252/I252,""),IF(AND(ISNUMBER(H252),H252&gt;0),M252/H252,"")))</f>
        <v/>
      </c>
      <c r="T252" s="9">
        <f>IF(AND(ISNUMBER(M252),ISNUMBER(O252)),IF(M252&lt;=O252,"Valor ≤ venal IPTU",""),"")</f>
        <v/>
      </c>
      <c r="U252" s="10">
        <f>IF(AND(ISNUMBER(M252),ISNUMBER(N252)),IF(N252&gt;0,M252/N252,""),"")</f>
        <v/>
      </c>
      <c r="V252" s="10">
        <f>IF(AND(ISNUMBER(M252),ISNUMBER(O252)),IF(O252&gt;0,M252/O252,""),"")</f>
        <v/>
      </c>
      <c r="W252" s="10">
        <f>IF(AND(ISNUMBER(M252),ISNUMBER(R252)),IF(R252&gt;0,M252/R252,""),"")</f>
        <v/>
      </c>
      <c r="X252" s="10">
        <f>IF(AND(ISNUMBER(Q252),ISNUMBER(M252)),IF(M252&gt;0,Q252/M252,""),"")</f>
        <v/>
      </c>
      <c r="Y252" s="11">
        <f>IF(ISNUMBER(Z252),YEAR(Z252),"")</f>
        <v/>
      </c>
      <c r="Z252" s="12" t="n"/>
      <c r="AA252" s="12" t="n"/>
      <c r="AI252" s="12" t="n"/>
      <c r="AJ252" s="13">
        <f>IF(LEN(TRIM(AF252))=0,"",HYPERLINK("https://www.google.com/maps/@?api=1&amp;map_action=pano&amp;viewpoint="&amp;SUBSTITUTE(AF252," ",""),"Abrir Street View"))</f>
        <v/>
      </c>
    </row>
    <row r="253">
      <c r="H253" s="6" t="n"/>
      <c r="I253" s="6" t="n"/>
      <c r="M253" s="7" t="n"/>
      <c r="N253" s="7" t="n"/>
      <c r="O253" s="7" t="n"/>
      <c r="Q253" s="7" t="n"/>
      <c r="R253" s="7" t="n"/>
      <c r="S253" s="8">
        <f>IF(NOT(ISNUMBER(M253)),"",IF(G253="Terreno",IF(AND(ISNUMBER(I253),I253&gt;0),M253/I253,""),IF(AND(ISNUMBER(H253),H253&gt;0),M253/H253,"")))</f>
        <v/>
      </c>
      <c r="T253" s="9">
        <f>IF(AND(ISNUMBER(M253),ISNUMBER(O253)),IF(M253&lt;=O253,"Valor ≤ venal IPTU",""),"")</f>
        <v/>
      </c>
      <c r="U253" s="10">
        <f>IF(AND(ISNUMBER(M253),ISNUMBER(N253)),IF(N253&gt;0,M253/N253,""),"")</f>
        <v/>
      </c>
      <c r="V253" s="10">
        <f>IF(AND(ISNUMBER(M253),ISNUMBER(O253)),IF(O253&gt;0,M253/O253,""),"")</f>
        <v/>
      </c>
      <c r="W253" s="10">
        <f>IF(AND(ISNUMBER(M253),ISNUMBER(R253)),IF(R253&gt;0,M253/R253,""),"")</f>
        <v/>
      </c>
      <c r="X253" s="10">
        <f>IF(AND(ISNUMBER(Q253),ISNUMBER(M253)),IF(M253&gt;0,Q253/M253,""),"")</f>
        <v/>
      </c>
      <c r="Y253" s="11">
        <f>IF(ISNUMBER(Z253),YEAR(Z253),"")</f>
        <v/>
      </c>
      <c r="Z253" s="12" t="n"/>
      <c r="AA253" s="12" t="n"/>
      <c r="AI253" s="12" t="n"/>
      <c r="AJ253" s="13">
        <f>IF(LEN(TRIM(AF253))=0,"",HYPERLINK("https://www.google.com/maps/@?api=1&amp;map_action=pano&amp;viewpoint="&amp;SUBSTITUTE(AF253," ",""),"Abrir Street View"))</f>
        <v/>
      </c>
    </row>
    <row r="254">
      <c r="H254" s="6" t="n"/>
      <c r="I254" s="6" t="n"/>
      <c r="M254" s="7" t="n"/>
      <c r="N254" s="7" t="n"/>
      <c r="O254" s="7" t="n"/>
      <c r="Q254" s="7" t="n"/>
      <c r="R254" s="7" t="n"/>
      <c r="S254" s="8">
        <f>IF(NOT(ISNUMBER(M254)),"",IF(G254="Terreno",IF(AND(ISNUMBER(I254),I254&gt;0),M254/I254,""),IF(AND(ISNUMBER(H254),H254&gt;0),M254/H254,"")))</f>
        <v/>
      </c>
      <c r="T254" s="9">
        <f>IF(AND(ISNUMBER(M254),ISNUMBER(O254)),IF(M254&lt;=O254,"Valor ≤ venal IPTU",""),"")</f>
        <v/>
      </c>
      <c r="U254" s="10">
        <f>IF(AND(ISNUMBER(M254),ISNUMBER(N254)),IF(N254&gt;0,M254/N254,""),"")</f>
        <v/>
      </c>
      <c r="V254" s="10">
        <f>IF(AND(ISNUMBER(M254),ISNUMBER(O254)),IF(O254&gt;0,M254/O254,""),"")</f>
        <v/>
      </c>
      <c r="W254" s="10">
        <f>IF(AND(ISNUMBER(M254),ISNUMBER(R254)),IF(R254&gt;0,M254/R254,""),"")</f>
        <v/>
      </c>
      <c r="X254" s="10">
        <f>IF(AND(ISNUMBER(Q254),ISNUMBER(M254)),IF(M254&gt;0,Q254/M254,""),"")</f>
        <v/>
      </c>
      <c r="Y254" s="11">
        <f>IF(ISNUMBER(Z254),YEAR(Z254),"")</f>
        <v/>
      </c>
      <c r="Z254" s="12" t="n"/>
      <c r="AA254" s="12" t="n"/>
      <c r="AI254" s="12" t="n"/>
      <c r="AJ254" s="13">
        <f>IF(LEN(TRIM(AF254))=0,"",HYPERLINK("https://www.google.com/maps/@?api=1&amp;map_action=pano&amp;viewpoint="&amp;SUBSTITUTE(AF254," ",""),"Abrir Street View"))</f>
        <v/>
      </c>
    </row>
    <row r="255">
      <c r="H255" s="6" t="n"/>
      <c r="I255" s="6" t="n"/>
      <c r="M255" s="7" t="n"/>
      <c r="N255" s="7" t="n"/>
      <c r="O255" s="7" t="n"/>
      <c r="Q255" s="7" t="n"/>
      <c r="R255" s="7" t="n"/>
      <c r="S255" s="8">
        <f>IF(NOT(ISNUMBER(M255)),"",IF(G255="Terreno",IF(AND(ISNUMBER(I255),I255&gt;0),M255/I255,""),IF(AND(ISNUMBER(H255),H255&gt;0),M255/H255,"")))</f>
        <v/>
      </c>
      <c r="T255" s="9">
        <f>IF(AND(ISNUMBER(M255),ISNUMBER(O255)),IF(M255&lt;=O255,"Valor ≤ venal IPTU",""),"")</f>
        <v/>
      </c>
      <c r="U255" s="10">
        <f>IF(AND(ISNUMBER(M255),ISNUMBER(N255)),IF(N255&gt;0,M255/N255,""),"")</f>
        <v/>
      </c>
      <c r="V255" s="10">
        <f>IF(AND(ISNUMBER(M255),ISNUMBER(O255)),IF(O255&gt;0,M255/O255,""),"")</f>
        <v/>
      </c>
      <c r="W255" s="10">
        <f>IF(AND(ISNUMBER(M255),ISNUMBER(R255)),IF(R255&gt;0,M255/R255,""),"")</f>
        <v/>
      </c>
      <c r="X255" s="10">
        <f>IF(AND(ISNUMBER(Q255),ISNUMBER(M255)),IF(M255&gt;0,Q255/M255,""),"")</f>
        <v/>
      </c>
      <c r="Y255" s="11">
        <f>IF(ISNUMBER(Z255),YEAR(Z255),"")</f>
        <v/>
      </c>
      <c r="Z255" s="12" t="n"/>
      <c r="AA255" s="12" t="n"/>
      <c r="AI255" s="12" t="n"/>
      <c r="AJ255" s="13">
        <f>IF(LEN(TRIM(AF255))=0,"",HYPERLINK("https://www.google.com/maps/@?api=1&amp;map_action=pano&amp;viewpoint="&amp;SUBSTITUTE(AF255," ",""),"Abrir Street View"))</f>
        <v/>
      </c>
    </row>
    <row r="256">
      <c r="H256" s="6" t="n"/>
      <c r="I256" s="6" t="n"/>
      <c r="M256" s="7" t="n"/>
      <c r="N256" s="7" t="n"/>
      <c r="O256" s="7" t="n"/>
      <c r="Q256" s="7" t="n"/>
      <c r="R256" s="7" t="n"/>
      <c r="S256" s="8">
        <f>IF(NOT(ISNUMBER(M256)),"",IF(G256="Terreno",IF(AND(ISNUMBER(I256),I256&gt;0),M256/I256,""),IF(AND(ISNUMBER(H256),H256&gt;0),M256/H256,"")))</f>
        <v/>
      </c>
      <c r="T256" s="9">
        <f>IF(AND(ISNUMBER(M256),ISNUMBER(O256)),IF(M256&lt;=O256,"Valor ≤ venal IPTU",""),"")</f>
        <v/>
      </c>
      <c r="U256" s="10">
        <f>IF(AND(ISNUMBER(M256),ISNUMBER(N256)),IF(N256&gt;0,M256/N256,""),"")</f>
        <v/>
      </c>
      <c r="V256" s="10">
        <f>IF(AND(ISNUMBER(M256),ISNUMBER(O256)),IF(O256&gt;0,M256/O256,""),"")</f>
        <v/>
      </c>
      <c r="W256" s="10">
        <f>IF(AND(ISNUMBER(M256),ISNUMBER(R256)),IF(R256&gt;0,M256/R256,""),"")</f>
        <v/>
      </c>
      <c r="X256" s="10">
        <f>IF(AND(ISNUMBER(Q256),ISNUMBER(M256)),IF(M256&gt;0,Q256/M256,""),"")</f>
        <v/>
      </c>
      <c r="Y256" s="11">
        <f>IF(ISNUMBER(Z256),YEAR(Z256),"")</f>
        <v/>
      </c>
      <c r="Z256" s="12" t="n"/>
      <c r="AA256" s="12" t="n"/>
      <c r="AI256" s="12" t="n"/>
      <c r="AJ256" s="13">
        <f>IF(LEN(TRIM(AF256))=0,"",HYPERLINK("https://www.google.com/maps/@?api=1&amp;map_action=pano&amp;viewpoint="&amp;SUBSTITUTE(AF256," ",""),"Abrir Street View"))</f>
        <v/>
      </c>
    </row>
    <row r="257">
      <c r="H257" s="6" t="n"/>
      <c r="I257" s="6" t="n"/>
      <c r="M257" s="7" t="n"/>
      <c r="N257" s="7" t="n"/>
      <c r="O257" s="7" t="n"/>
      <c r="Q257" s="7" t="n"/>
      <c r="R257" s="7" t="n"/>
      <c r="S257" s="8">
        <f>IF(NOT(ISNUMBER(M257)),"",IF(G257="Terreno",IF(AND(ISNUMBER(I257),I257&gt;0),M257/I257,""),IF(AND(ISNUMBER(H257),H257&gt;0),M257/H257,"")))</f>
        <v/>
      </c>
      <c r="T257" s="9">
        <f>IF(AND(ISNUMBER(M257),ISNUMBER(O257)),IF(M257&lt;=O257,"Valor ≤ venal IPTU",""),"")</f>
        <v/>
      </c>
      <c r="U257" s="10">
        <f>IF(AND(ISNUMBER(M257),ISNUMBER(N257)),IF(N257&gt;0,M257/N257,""),"")</f>
        <v/>
      </c>
      <c r="V257" s="10">
        <f>IF(AND(ISNUMBER(M257),ISNUMBER(O257)),IF(O257&gt;0,M257/O257,""),"")</f>
        <v/>
      </c>
      <c r="W257" s="10">
        <f>IF(AND(ISNUMBER(M257),ISNUMBER(R257)),IF(R257&gt;0,M257/R257,""),"")</f>
        <v/>
      </c>
      <c r="X257" s="10">
        <f>IF(AND(ISNUMBER(Q257),ISNUMBER(M257)),IF(M257&gt;0,Q257/M257,""),"")</f>
        <v/>
      </c>
      <c r="Y257" s="11">
        <f>IF(ISNUMBER(Z257),YEAR(Z257),"")</f>
        <v/>
      </c>
      <c r="Z257" s="12" t="n"/>
      <c r="AA257" s="12" t="n"/>
      <c r="AI257" s="12" t="n"/>
      <c r="AJ257" s="13">
        <f>IF(LEN(TRIM(AF257))=0,"",HYPERLINK("https://www.google.com/maps/@?api=1&amp;map_action=pano&amp;viewpoint="&amp;SUBSTITUTE(AF257," ",""),"Abrir Street View"))</f>
        <v/>
      </c>
    </row>
    <row r="258">
      <c r="H258" s="6" t="n"/>
      <c r="I258" s="6" t="n"/>
      <c r="M258" s="7" t="n"/>
      <c r="N258" s="7" t="n"/>
      <c r="O258" s="7" t="n"/>
      <c r="Q258" s="7" t="n"/>
      <c r="R258" s="7" t="n"/>
      <c r="S258" s="8">
        <f>IF(NOT(ISNUMBER(M258)),"",IF(G258="Terreno",IF(AND(ISNUMBER(I258),I258&gt;0),M258/I258,""),IF(AND(ISNUMBER(H258),H258&gt;0),M258/H258,"")))</f>
        <v/>
      </c>
      <c r="T258" s="9">
        <f>IF(AND(ISNUMBER(M258),ISNUMBER(O258)),IF(M258&lt;=O258,"Valor ≤ venal IPTU",""),"")</f>
        <v/>
      </c>
      <c r="U258" s="10">
        <f>IF(AND(ISNUMBER(M258),ISNUMBER(N258)),IF(N258&gt;0,M258/N258,""),"")</f>
        <v/>
      </c>
      <c r="V258" s="10">
        <f>IF(AND(ISNUMBER(M258),ISNUMBER(O258)),IF(O258&gt;0,M258/O258,""),"")</f>
        <v/>
      </c>
      <c r="W258" s="10">
        <f>IF(AND(ISNUMBER(M258),ISNUMBER(R258)),IF(R258&gt;0,M258/R258,""),"")</f>
        <v/>
      </c>
      <c r="X258" s="10">
        <f>IF(AND(ISNUMBER(Q258),ISNUMBER(M258)),IF(M258&gt;0,Q258/M258,""),"")</f>
        <v/>
      </c>
      <c r="Y258" s="11">
        <f>IF(ISNUMBER(Z258),YEAR(Z258),"")</f>
        <v/>
      </c>
      <c r="Z258" s="12" t="n"/>
      <c r="AA258" s="12" t="n"/>
      <c r="AI258" s="12" t="n"/>
      <c r="AJ258" s="13">
        <f>IF(LEN(TRIM(AF258))=0,"",HYPERLINK("https://www.google.com/maps/@?api=1&amp;map_action=pano&amp;viewpoint="&amp;SUBSTITUTE(AF258," ",""),"Abrir Street View"))</f>
        <v/>
      </c>
    </row>
    <row r="259">
      <c r="H259" s="6" t="n"/>
      <c r="I259" s="6" t="n"/>
      <c r="M259" s="7" t="n"/>
      <c r="N259" s="7" t="n"/>
      <c r="O259" s="7" t="n"/>
      <c r="Q259" s="7" t="n"/>
      <c r="R259" s="7" t="n"/>
      <c r="S259" s="8">
        <f>IF(NOT(ISNUMBER(M259)),"",IF(G259="Terreno",IF(AND(ISNUMBER(I259),I259&gt;0),M259/I259,""),IF(AND(ISNUMBER(H259),H259&gt;0),M259/H259,"")))</f>
        <v/>
      </c>
      <c r="T259" s="9">
        <f>IF(AND(ISNUMBER(M259),ISNUMBER(O259)),IF(M259&lt;=O259,"Valor ≤ venal IPTU",""),"")</f>
        <v/>
      </c>
      <c r="U259" s="10">
        <f>IF(AND(ISNUMBER(M259),ISNUMBER(N259)),IF(N259&gt;0,M259/N259,""),"")</f>
        <v/>
      </c>
      <c r="V259" s="10">
        <f>IF(AND(ISNUMBER(M259),ISNUMBER(O259)),IF(O259&gt;0,M259/O259,""),"")</f>
        <v/>
      </c>
      <c r="W259" s="10">
        <f>IF(AND(ISNUMBER(M259),ISNUMBER(R259)),IF(R259&gt;0,M259/R259,""),"")</f>
        <v/>
      </c>
      <c r="X259" s="10">
        <f>IF(AND(ISNUMBER(Q259),ISNUMBER(M259)),IF(M259&gt;0,Q259/M259,""),"")</f>
        <v/>
      </c>
      <c r="Y259" s="11">
        <f>IF(ISNUMBER(Z259),YEAR(Z259),"")</f>
        <v/>
      </c>
      <c r="Z259" s="12" t="n"/>
      <c r="AA259" s="12" t="n"/>
      <c r="AI259" s="12" t="n"/>
      <c r="AJ259" s="13">
        <f>IF(LEN(TRIM(AF259))=0,"",HYPERLINK("https://www.google.com/maps/@?api=1&amp;map_action=pano&amp;viewpoint="&amp;SUBSTITUTE(AF259," ",""),"Abrir Street View"))</f>
        <v/>
      </c>
    </row>
    <row r="260">
      <c r="H260" s="6" t="n"/>
      <c r="I260" s="6" t="n"/>
      <c r="M260" s="7" t="n"/>
      <c r="N260" s="7" t="n"/>
      <c r="O260" s="7" t="n"/>
      <c r="Q260" s="7" t="n"/>
      <c r="R260" s="7" t="n"/>
      <c r="S260" s="8">
        <f>IF(NOT(ISNUMBER(M260)),"",IF(G260="Terreno",IF(AND(ISNUMBER(I260),I260&gt;0),M260/I260,""),IF(AND(ISNUMBER(H260),H260&gt;0),M260/H260,"")))</f>
        <v/>
      </c>
      <c r="T260" s="9">
        <f>IF(AND(ISNUMBER(M260),ISNUMBER(O260)),IF(M260&lt;=O260,"Valor ≤ venal IPTU",""),"")</f>
        <v/>
      </c>
      <c r="U260" s="10">
        <f>IF(AND(ISNUMBER(M260),ISNUMBER(N260)),IF(N260&gt;0,M260/N260,""),"")</f>
        <v/>
      </c>
      <c r="V260" s="10">
        <f>IF(AND(ISNUMBER(M260),ISNUMBER(O260)),IF(O260&gt;0,M260/O260,""),"")</f>
        <v/>
      </c>
      <c r="W260" s="10">
        <f>IF(AND(ISNUMBER(M260),ISNUMBER(R260)),IF(R260&gt;0,M260/R260,""),"")</f>
        <v/>
      </c>
      <c r="X260" s="10">
        <f>IF(AND(ISNUMBER(Q260),ISNUMBER(M260)),IF(M260&gt;0,Q260/M260,""),"")</f>
        <v/>
      </c>
      <c r="Y260" s="11">
        <f>IF(ISNUMBER(Z260),YEAR(Z260),"")</f>
        <v/>
      </c>
      <c r="Z260" s="12" t="n"/>
      <c r="AA260" s="12" t="n"/>
      <c r="AI260" s="12" t="n"/>
      <c r="AJ260" s="13">
        <f>IF(LEN(TRIM(AF260))=0,"",HYPERLINK("https://www.google.com/maps/@?api=1&amp;map_action=pano&amp;viewpoint="&amp;SUBSTITUTE(AF260," ",""),"Abrir Street View"))</f>
        <v/>
      </c>
    </row>
    <row r="261">
      <c r="H261" s="6" t="n"/>
      <c r="I261" s="6" t="n"/>
      <c r="M261" s="7" t="n"/>
      <c r="N261" s="7" t="n"/>
      <c r="O261" s="7" t="n"/>
      <c r="Q261" s="7" t="n"/>
      <c r="R261" s="7" t="n"/>
      <c r="S261" s="8">
        <f>IF(NOT(ISNUMBER(M261)),"",IF(G261="Terreno",IF(AND(ISNUMBER(I261),I261&gt;0),M261/I261,""),IF(AND(ISNUMBER(H261),H261&gt;0),M261/H261,"")))</f>
        <v/>
      </c>
      <c r="T261" s="9">
        <f>IF(AND(ISNUMBER(M261),ISNUMBER(O261)),IF(M261&lt;=O261,"Valor ≤ venal IPTU",""),"")</f>
        <v/>
      </c>
      <c r="U261" s="10">
        <f>IF(AND(ISNUMBER(M261),ISNUMBER(N261)),IF(N261&gt;0,M261/N261,""),"")</f>
        <v/>
      </c>
      <c r="V261" s="10">
        <f>IF(AND(ISNUMBER(M261),ISNUMBER(O261)),IF(O261&gt;0,M261/O261,""),"")</f>
        <v/>
      </c>
      <c r="W261" s="10">
        <f>IF(AND(ISNUMBER(M261),ISNUMBER(R261)),IF(R261&gt;0,M261/R261,""),"")</f>
        <v/>
      </c>
      <c r="X261" s="10">
        <f>IF(AND(ISNUMBER(Q261),ISNUMBER(M261)),IF(M261&gt;0,Q261/M261,""),"")</f>
        <v/>
      </c>
      <c r="Y261" s="11">
        <f>IF(ISNUMBER(Z261),YEAR(Z261),"")</f>
        <v/>
      </c>
      <c r="Z261" s="12" t="n"/>
      <c r="AA261" s="12" t="n"/>
      <c r="AI261" s="12" t="n"/>
      <c r="AJ261" s="13">
        <f>IF(LEN(TRIM(AF261))=0,"",HYPERLINK("https://www.google.com/maps/@?api=1&amp;map_action=pano&amp;viewpoint="&amp;SUBSTITUTE(AF261," ",""),"Abrir Street View"))</f>
        <v/>
      </c>
    </row>
    <row r="262">
      <c r="H262" s="6" t="n"/>
      <c r="I262" s="6" t="n"/>
      <c r="M262" s="7" t="n"/>
      <c r="N262" s="7" t="n"/>
      <c r="O262" s="7" t="n"/>
      <c r="Q262" s="7" t="n"/>
      <c r="R262" s="7" t="n"/>
      <c r="S262" s="8">
        <f>IF(NOT(ISNUMBER(M262)),"",IF(G262="Terreno",IF(AND(ISNUMBER(I262),I262&gt;0),M262/I262,""),IF(AND(ISNUMBER(H262),H262&gt;0),M262/H262,"")))</f>
        <v/>
      </c>
      <c r="T262" s="9">
        <f>IF(AND(ISNUMBER(M262),ISNUMBER(O262)),IF(M262&lt;=O262,"Valor ≤ venal IPTU",""),"")</f>
        <v/>
      </c>
      <c r="U262" s="10">
        <f>IF(AND(ISNUMBER(M262),ISNUMBER(N262)),IF(N262&gt;0,M262/N262,""),"")</f>
        <v/>
      </c>
      <c r="V262" s="10">
        <f>IF(AND(ISNUMBER(M262),ISNUMBER(O262)),IF(O262&gt;0,M262/O262,""),"")</f>
        <v/>
      </c>
      <c r="W262" s="10">
        <f>IF(AND(ISNUMBER(M262),ISNUMBER(R262)),IF(R262&gt;0,M262/R262,""),"")</f>
        <v/>
      </c>
      <c r="X262" s="10">
        <f>IF(AND(ISNUMBER(Q262),ISNUMBER(M262)),IF(M262&gt;0,Q262/M262,""),"")</f>
        <v/>
      </c>
      <c r="Y262" s="11">
        <f>IF(ISNUMBER(Z262),YEAR(Z262),"")</f>
        <v/>
      </c>
      <c r="Z262" s="12" t="n"/>
      <c r="AA262" s="12" t="n"/>
      <c r="AI262" s="12" t="n"/>
      <c r="AJ262" s="13">
        <f>IF(LEN(TRIM(AF262))=0,"",HYPERLINK("https://www.google.com/maps/@?api=1&amp;map_action=pano&amp;viewpoint="&amp;SUBSTITUTE(AF262," ",""),"Abrir Street View"))</f>
        <v/>
      </c>
    </row>
    <row r="263">
      <c r="H263" s="6" t="n"/>
      <c r="I263" s="6" t="n"/>
      <c r="M263" s="7" t="n"/>
      <c r="N263" s="7" t="n"/>
      <c r="O263" s="7" t="n"/>
      <c r="Q263" s="7" t="n"/>
      <c r="R263" s="7" t="n"/>
      <c r="S263" s="8">
        <f>IF(NOT(ISNUMBER(M263)),"",IF(G263="Terreno",IF(AND(ISNUMBER(I263),I263&gt;0),M263/I263,""),IF(AND(ISNUMBER(H263),H263&gt;0),M263/H263,"")))</f>
        <v/>
      </c>
      <c r="T263" s="9">
        <f>IF(AND(ISNUMBER(M263),ISNUMBER(O263)),IF(M263&lt;=O263,"Valor ≤ venal IPTU",""),"")</f>
        <v/>
      </c>
      <c r="U263" s="10">
        <f>IF(AND(ISNUMBER(M263),ISNUMBER(N263)),IF(N263&gt;0,M263/N263,""),"")</f>
        <v/>
      </c>
      <c r="V263" s="10">
        <f>IF(AND(ISNUMBER(M263),ISNUMBER(O263)),IF(O263&gt;0,M263/O263,""),"")</f>
        <v/>
      </c>
      <c r="W263" s="10">
        <f>IF(AND(ISNUMBER(M263),ISNUMBER(R263)),IF(R263&gt;0,M263/R263,""),"")</f>
        <v/>
      </c>
      <c r="X263" s="10">
        <f>IF(AND(ISNUMBER(Q263),ISNUMBER(M263)),IF(M263&gt;0,Q263/M263,""),"")</f>
        <v/>
      </c>
      <c r="Y263" s="11">
        <f>IF(ISNUMBER(Z263),YEAR(Z263),"")</f>
        <v/>
      </c>
      <c r="Z263" s="12" t="n"/>
      <c r="AA263" s="12" t="n"/>
      <c r="AI263" s="12" t="n"/>
      <c r="AJ263" s="13">
        <f>IF(LEN(TRIM(AF263))=0,"",HYPERLINK("https://www.google.com/maps/@?api=1&amp;map_action=pano&amp;viewpoint="&amp;SUBSTITUTE(AF263," ",""),"Abrir Street View"))</f>
        <v/>
      </c>
    </row>
    <row r="264">
      <c r="H264" s="6" t="n"/>
      <c r="I264" s="6" t="n"/>
      <c r="M264" s="7" t="n"/>
      <c r="N264" s="7" t="n"/>
      <c r="O264" s="7" t="n"/>
      <c r="Q264" s="7" t="n"/>
      <c r="R264" s="7" t="n"/>
      <c r="S264" s="8">
        <f>IF(NOT(ISNUMBER(M264)),"",IF(G264="Terreno",IF(AND(ISNUMBER(I264),I264&gt;0),M264/I264,""),IF(AND(ISNUMBER(H264),H264&gt;0),M264/H264,"")))</f>
        <v/>
      </c>
      <c r="T264" s="9">
        <f>IF(AND(ISNUMBER(M264),ISNUMBER(O264)),IF(M264&lt;=O264,"Valor ≤ venal IPTU",""),"")</f>
        <v/>
      </c>
      <c r="U264" s="10">
        <f>IF(AND(ISNUMBER(M264),ISNUMBER(N264)),IF(N264&gt;0,M264/N264,""),"")</f>
        <v/>
      </c>
      <c r="V264" s="10">
        <f>IF(AND(ISNUMBER(M264),ISNUMBER(O264)),IF(O264&gt;0,M264/O264,""),"")</f>
        <v/>
      </c>
      <c r="W264" s="10">
        <f>IF(AND(ISNUMBER(M264),ISNUMBER(R264)),IF(R264&gt;0,M264/R264,""),"")</f>
        <v/>
      </c>
      <c r="X264" s="10">
        <f>IF(AND(ISNUMBER(Q264),ISNUMBER(M264)),IF(M264&gt;0,Q264/M264,""),"")</f>
        <v/>
      </c>
      <c r="Y264" s="11">
        <f>IF(ISNUMBER(Z264),YEAR(Z264),"")</f>
        <v/>
      </c>
      <c r="Z264" s="12" t="n"/>
      <c r="AA264" s="12" t="n"/>
      <c r="AI264" s="12" t="n"/>
      <c r="AJ264" s="13">
        <f>IF(LEN(TRIM(AF264))=0,"",HYPERLINK("https://www.google.com/maps/@?api=1&amp;map_action=pano&amp;viewpoint="&amp;SUBSTITUTE(AF264," ",""),"Abrir Street View"))</f>
        <v/>
      </c>
    </row>
    <row r="265">
      <c r="H265" s="6" t="n"/>
      <c r="I265" s="6" t="n"/>
      <c r="M265" s="7" t="n"/>
      <c r="N265" s="7" t="n"/>
      <c r="O265" s="7" t="n"/>
      <c r="Q265" s="7" t="n"/>
      <c r="R265" s="7" t="n"/>
      <c r="S265" s="8">
        <f>IF(NOT(ISNUMBER(M265)),"",IF(G265="Terreno",IF(AND(ISNUMBER(I265),I265&gt;0),M265/I265,""),IF(AND(ISNUMBER(H265),H265&gt;0),M265/H265,"")))</f>
        <v/>
      </c>
      <c r="T265" s="9">
        <f>IF(AND(ISNUMBER(M265),ISNUMBER(O265)),IF(M265&lt;=O265,"Valor ≤ venal IPTU",""),"")</f>
        <v/>
      </c>
      <c r="U265" s="10">
        <f>IF(AND(ISNUMBER(M265),ISNUMBER(N265)),IF(N265&gt;0,M265/N265,""),"")</f>
        <v/>
      </c>
      <c r="V265" s="10">
        <f>IF(AND(ISNUMBER(M265),ISNUMBER(O265)),IF(O265&gt;0,M265/O265,""),"")</f>
        <v/>
      </c>
      <c r="W265" s="10">
        <f>IF(AND(ISNUMBER(M265),ISNUMBER(R265)),IF(R265&gt;0,M265/R265,""),"")</f>
        <v/>
      </c>
      <c r="X265" s="10">
        <f>IF(AND(ISNUMBER(Q265),ISNUMBER(M265)),IF(M265&gt;0,Q265/M265,""),"")</f>
        <v/>
      </c>
      <c r="Y265" s="11">
        <f>IF(ISNUMBER(Z265),YEAR(Z265),"")</f>
        <v/>
      </c>
      <c r="Z265" s="12" t="n"/>
      <c r="AA265" s="12" t="n"/>
      <c r="AI265" s="12" t="n"/>
      <c r="AJ265" s="13">
        <f>IF(LEN(TRIM(AF265))=0,"",HYPERLINK("https://www.google.com/maps/@?api=1&amp;map_action=pano&amp;viewpoint="&amp;SUBSTITUTE(AF265," ",""),"Abrir Street View"))</f>
        <v/>
      </c>
    </row>
    <row r="266">
      <c r="H266" s="6" t="n"/>
      <c r="I266" s="6" t="n"/>
      <c r="M266" s="7" t="n"/>
      <c r="N266" s="7" t="n"/>
      <c r="O266" s="7" t="n"/>
      <c r="Q266" s="7" t="n"/>
      <c r="R266" s="7" t="n"/>
      <c r="S266" s="8">
        <f>IF(NOT(ISNUMBER(M266)),"",IF(G266="Terreno",IF(AND(ISNUMBER(I266),I266&gt;0),M266/I266,""),IF(AND(ISNUMBER(H266),H266&gt;0),M266/H266,"")))</f>
        <v/>
      </c>
      <c r="T266" s="9">
        <f>IF(AND(ISNUMBER(M266),ISNUMBER(O266)),IF(M266&lt;=O266,"Valor ≤ venal IPTU",""),"")</f>
        <v/>
      </c>
      <c r="U266" s="10">
        <f>IF(AND(ISNUMBER(M266),ISNUMBER(N266)),IF(N266&gt;0,M266/N266,""),"")</f>
        <v/>
      </c>
      <c r="V266" s="10">
        <f>IF(AND(ISNUMBER(M266),ISNUMBER(O266)),IF(O266&gt;0,M266/O266,""),"")</f>
        <v/>
      </c>
      <c r="W266" s="10">
        <f>IF(AND(ISNUMBER(M266),ISNUMBER(R266)),IF(R266&gt;0,M266/R266,""),"")</f>
        <v/>
      </c>
      <c r="X266" s="10">
        <f>IF(AND(ISNUMBER(Q266),ISNUMBER(M266)),IF(M266&gt;0,Q266/M266,""),"")</f>
        <v/>
      </c>
      <c r="Y266" s="11">
        <f>IF(ISNUMBER(Z266),YEAR(Z266),"")</f>
        <v/>
      </c>
      <c r="Z266" s="12" t="n"/>
      <c r="AA266" s="12" t="n"/>
      <c r="AI266" s="12" t="n"/>
      <c r="AJ266" s="13">
        <f>IF(LEN(TRIM(AF266))=0,"",HYPERLINK("https://www.google.com/maps/@?api=1&amp;map_action=pano&amp;viewpoint="&amp;SUBSTITUTE(AF266," ",""),"Abrir Street View"))</f>
        <v/>
      </c>
    </row>
    <row r="267">
      <c r="H267" s="6" t="n"/>
      <c r="I267" s="6" t="n"/>
      <c r="M267" s="7" t="n"/>
      <c r="N267" s="7" t="n"/>
      <c r="O267" s="7" t="n"/>
      <c r="Q267" s="7" t="n"/>
      <c r="R267" s="7" t="n"/>
      <c r="S267" s="8">
        <f>IF(NOT(ISNUMBER(M267)),"",IF(G267="Terreno",IF(AND(ISNUMBER(I267),I267&gt;0),M267/I267,""),IF(AND(ISNUMBER(H267),H267&gt;0),M267/H267,"")))</f>
        <v/>
      </c>
      <c r="T267" s="9">
        <f>IF(AND(ISNUMBER(M267),ISNUMBER(O267)),IF(M267&lt;=O267,"Valor ≤ venal IPTU",""),"")</f>
        <v/>
      </c>
      <c r="U267" s="10">
        <f>IF(AND(ISNUMBER(M267),ISNUMBER(N267)),IF(N267&gt;0,M267/N267,""),"")</f>
        <v/>
      </c>
      <c r="V267" s="10">
        <f>IF(AND(ISNUMBER(M267),ISNUMBER(O267)),IF(O267&gt;0,M267/O267,""),"")</f>
        <v/>
      </c>
      <c r="W267" s="10">
        <f>IF(AND(ISNUMBER(M267),ISNUMBER(R267)),IF(R267&gt;0,M267/R267,""),"")</f>
        <v/>
      </c>
      <c r="X267" s="10">
        <f>IF(AND(ISNUMBER(Q267),ISNUMBER(M267)),IF(M267&gt;0,Q267/M267,""),"")</f>
        <v/>
      </c>
      <c r="Y267" s="11">
        <f>IF(ISNUMBER(Z267),YEAR(Z267),"")</f>
        <v/>
      </c>
      <c r="Z267" s="12" t="n"/>
      <c r="AA267" s="12" t="n"/>
      <c r="AI267" s="12" t="n"/>
      <c r="AJ267" s="13">
        <f>IF(LEN(TRIM(AF267))=0,"",HYPERLINK("https://www.google.com/maps/@?api=1&amp;map_action=pano&amp;viewpoint="&amp;SUBSTITUTE(AF267," ",""),"Abrir Street View"))</f>
        <v/>
      </c>
    </row>
    <row r="268">
      <c r="H268" s="6" t="n"/>
      <c r="I268" s="6" t="n"/>
      <c r="M268" s="7" t="n"/>
      <c r="N268" s="7" t="n"/>
      <c r="O268" s="7" t="n"/>
      <c r="Q268" s="7" t="n"/>
      <c r="R268" s="7" t="n"/>
      <c r="S268" s="8">
        <f>IF(NOT(ISNUMBER(M268)),"",IF(G268="Terreno",IF(AND(ISNUMBER(I268),I268&gt;0),M268/I268,""),IF(AND(ISNUMBER(H268),H268&gt;0),M268/H268,"")))</f>
        <v/>
      </c>
      <c r="T268" s="9">
        <f>IF(AND(ISNUMBER(M268),ISNUMBER(O268)),IF(M268&lt;=O268,"Valor ≤ venal IPTU",""),"")</f>
        <v/>
      </c>
      <c r="U268" s="10">
        <f>IF(AND(ISNUMBER(M268),ISNUMBER(N268)),IF(N268&gt;0,M268/N268,""),"")</f>
        <v/>
      </c>
      <c r="V268" s="10">
        <f>IF(AND(ISNUMBER(M268),ISNUMBER(O268)),IF(O268&gt;0,M268/O268,""),"")</f>
        <v/>
      </c>
      <c r="W268" s="10">
        <f>IF(AND(ISNUMBER(M268),ISNUMBER(R268)),IF(R268&gt;0,M268/R268,""),"")</f>
        <v/>
      </c>
      <c r="X268" s="10">
        <f>IF(AND(ISNUMBER(Q268),ISNUMBER(M268)),IF(M268&gt;0,Q268/M268,""),"")</f>
        <v/>
      </c>
      <c r="Y268" s="11">
        <f>IF(ISNUMBER(Z268),YEAR(Z268),"")</f>
        <v/>
      </c>
      <c r="Z268" s="12" t="n"/>
      <c r="AA268" s="12" t="n"/>
      <c r="AI268" s="12" t="n"/>
      <c r="AJ268" s="13">
        <f>IF(LEN(TRIM(AF268))=0,"",HYPERLINK("https://www.google.com/maps/@?api=1&amp;map_action=pano&amp;viewpoint="&amp;SUBSTITUTE(AF268," ",""),"Abrir Street View"))</f>
        <v/>
      </c>
    </row>
    <row r="269">
      <c r="H269" s="6" t="n"/>
      <c r="I269" s="6" t="n"/>
      <c r="M269" s="7" t="n"/>
      <c r="N269" s="7" t="n"/>
      <c r="O269" s="7" t="n"/>
      <c r="Q269" s="7" t="n"/>
      <c r="R269" s="7" t="n"/>
      <c r="S269" s="8">
        <f>IF(NOT(ISNUMBER(M269)),"",IF(G269="Terreno",IF(AND(ISNUMBER(I269),I269&gt;0),M269/I269,""),IF(AND(ISNUMBER(H269),H269&gt;0),M269/H269,"")))</f>
        <v/>
      </c>
      <c r="T269" s="9">
        <f>IF(AND(ISNUMBER(M269),ISNUMBER(O269)),IF(M269&lt;=O269,"Valor ≤ venal IPTU",""),"")</f>
        <v/>
      </c>
      <c r="U269" s="10">
        <f>IF(AND(ISNUMBER(M269),ISNUMBER(N269)),IF(N269&gt;0,M269/N269,""),"")</f>
        <v/>
      </c>
      <c r="V269" s="10">
        <f>IF(AND(ISNUMBER(M269),ISNUMBER(O269)),IF(O269&gt;0,M269/O269,""),"")</f>
        <v/>
      </c>
      <c r="W269" s="10">
        <f>IF(AND(ISNUMBER(M269),ISNUMBER(R269)),IF(R269&gt;0,M269/R269,""),"")</f>
        <v/>
      </c>
      <c r="X269" s="10">
        <f>IF(AND(ISNUMBER(Q269),ISNUMBER(M269)),IF(M269&gt;0,Q269/M269,""),"")</f>
        <v/>
      </c>
      <c r="Y269" s="11">
        <f>IF(ISNUMBER(Z269),YEAR(Z269),"")</f>
        <v/>
      </c>
      <c r="Z269" s="12" t="n"/>
      <c r="AA269" s="12" t="n"/>
      <c r="AI269" s="12" t="n"/>
      <c r="AJ269" s="13">
        <f>IF(LEN(TRIM(AF269))=0,"",HYPERLINK("https://www.google.com/maps/@?api=1&amp;map_action=pano&amp;viewpoint="&amp;SUBSTITUTE(AF269," ",""),"Abrir Street View"))</f>
        <v/>
      </c>
    </row>
    <row r="270">
      <c r="H270" s="6" t="n"/>
      <c r="I270" s="6" t="n"/>
      <c r="M270" s="7" t="n"/>
      <c r="N270" s="7" t="n"/>
      <c r="O270" s="7" t="n"/>
      <c r="Q270" s="7" t="n"/>
      <c r="R270" s="7" t="n"/>
      <c r="S270" s="8">
        <f>IF(NOT(ISNUMBER(M270)),"",IF(G270="Terreno",IF(AND(ISNUMBER(I270),I270&gt;0),M270/I270,""),IF(AND(ISNUMBER(H270),H270&gt;0),M270/H270,"")))</f>
        <v/>
      </c>
      <c r="T270" s="9">
        <f>IF(AND(ISNUMBER(M270),ISNUMBER(O270)),IF(M270&lt;=O270,"Valor ≤ venal IPTU",""),"")</f>
        <v/>
      </c>
      <c r="U270" s="10">
        <f>IF(AND(ISNUMBER(M270),ISNUMBER(N270)),IF(N270&gt;0,M270/N270,""),"")</f>
        <v/>
      </c>
      <c r="V270" s="10">
        <f>IF(AND(ISNUMBER(M270),ISNUMBER(O270)),IF(O270&gt;0,M270/O270,""),"")</f>
        <v/>
      </c>
      <c r="W270" s="10">
        <f>IF(AND(ISNUMBER(M270),ISNUMBER(R270)),IF(R270&gt;0,M270/R270,""),"")</f>
        <v/>
      </c>
      <c r="X270" s="10">
        <f>IF(AND(ISNUMBER(Q270),ISNUMBER(M270)),IF(M270&gt;0,Q270/M270,""),"")</f>
        <v/>
      </c>
      <c r="Y270" s="11">
        <f>IF(ISNUMBER(Z270),YEAR(Z270),"")</f>
        <v/>
      </c>
      <c r="Z270" s="12" t="n"/>
      <c r="AA270" s="12" t="n"/>
      <c r="AI270" s="12" t="n"/>
      <c r="AJ270" s="13">
        <f>IF(LEN(TRIM(AF270))=0,"",HYPERLINK("https://www.google.com/maps/@?api=1&amp;map_action=pano&amp;viewpoint="&amp;SUBSTITUTE(AF270," ",""),"Abrir Street View"))</f>
        <v/>
      </c>
    </row>
    <row r="271">
      <c r="H271" s="6" t="n"/>
      <c r="I271" s="6" t="n"/>
      <c r="M271" s="7" t="n"/>
      <c r="N271" s="7" t="n"/>
      <c r="O271" s="7" t="n"/>
      <c r="Q271" s="7" t="n"/>
      <c r="R271" s="7" t="n"/>
      <c r="S271" s="8">
        <f>IF(NOT(ISNUMBER(M271)),"",IF(G271="Terreno",IF(AND(ISNUMBER(I271),I271&gt;0),M271/I271,""),IF(AND(ISNUMBER(H271),H271&gt;0),M271/H271,"")))</f>
        <v/>
      </c>
      <c r="T271" s="9">
        <f>IF(AND(ISNUMBER(M271),ISNUMBER(O271)),IF(M271&lt;=O271,"Valor ≤ venal IPTU",""),"")</f>
        <v/>
      </c>
      <c r="U271" s="10">
        <f>IF(AND(ISNUMBER(M271),ISNUMBER(N271)),IF(N271&gt;0,M271/N271,""),"")</f>
        <v/>
      </c>
      <c r="V271" s="10">
        <f>IF(AND(ISNUMBER(M271),ISNUMBER(O271)),IF(O271&gt;0,M271/O271,""),"")</f>
        <v/>
      </c>
      <c r="W271" s="10">
        <f>IF(AND(ISNUMBER(M271),ISNUMBER(R271)),IF(R271&gt;0,M271/R271,""),"")</f>
        <v/>
      </c>
      <c r="X271" s="10">
        <f>IF(AND(ISNUMBER(Q271),ISNUMBER(M271)),IF(M271&gt;0,Q271/M271,""),"")</f>
        <v/>
      </c>
      <c r="Y271" s="11">
        <f>IF(ISNUMBER(Z271),YEAR(Z271),"")</f>
        <v/>
      </c>
      <c r="Z271" s="12" t="n"/>
      <c r="AA271" s="12" t="n"/>
      <c r="AI271" s="12" t="n"/>
      <c r="AJ271" s="13">
        <f>IF(LEN(TRIM(AF271))=0,"",HYPERLINK("https://www.google.com/maps/@?api=1&amp;map_action=pano&amp;viewpoint="&amp;SUBSTITUTE(AF271," ",""),"Abrir Street View"))</f>
        <v/>
      </c>
    </row>
    <row r="272">
      <c r="H272" s="6" t="n"/>
      <c r="I272" s="6" t="n"/>
      <c r="M272" s="7" t="n"/>
      <c r="N272" s="7" t="n"/>
      <c r="O272" s="7" t="n"/>
      <c r="Q272" s="7" t="n"/>
      <c r="R272" s="7" t="n"/>
      <c r="S272" s="8">
        <f>IF(NOT(ISNUMBER(M272)),"",IF(G272="Terreno",IF(AND(ISNUMBER(I272),I272&gt;0),M272/I272,""),IF(AND(ISNUMBER(H272),H272&gt;0),M272/H272,"")))</f>
        <v/>
      </c>
      <c r="T272" s="9">
        <f>IF(AND(ISNUMBER(M272),ISNUMBER(O272)),IF(M272&lt;=O272,"Valor ≤ venal IPTU",""),"")</f>
        <v/>
      </c>
      <c r="U272" s="10">
        <f>IF(AND(ISNUMBER(M272),ISNUMBER(N272)),IF(N272&gt;0,M272/N272,""),"")</f>
        <v/>
      </c>
      <c r="V272" s="10">
        <f>IF(AND(ISNUMBER(M272),ISNUMBER(O272)),IF(O272&gt;0,M272/O272,""),"")</f>
        <v/>
      </c>
      <c r="W272" s="10">
        <f>IF(AND(ISNUMBER(M272),ISNUMBER(R272)),IF(R272&gt;0,M272/R272,""),"")</f>
        <v/>
      </c>
      <c r="X272" s="10">
        <f>IF(AND(ISNUMBER(Q272),ISNUMBER(M272)),IF(M272&gt;0,Q272/M272,""),"")</f>
        <v/>
      </c>
      <c r="Y272" s="11">
        <f>IF(ISNUMBER(Z272),YEAR(Z272),"")</f>
        <v/>
      </c>
      <c r="Z272" s="12" t="n"/>
      <c r="AA272" s="12" t="n"/>
      <c r="AI272" s="12" t="n"/>
      <c r="AJ272" s="13">
        <f>IF(LEN(TRIM(AF272))=0,"",HYPERLINK("https://www.google.com/maps/@?api=1&amp;map_action=pano&amp;viewpoint="&amp;SUBSTITUTE(AF272," ",""),"Abrir Street View"))</f>
        <v/>
      </c>
    </row>
    <row r="273">
      <c r="H273" s="6" t="n"/>
      <c r="I273" s="6" t="n"/>
      <c r="M273" s="7" t="n"/>
      <c r="N273" s="7" t="n"/>
      <c r="O273" s="7" t="n"/>
      <c r="Q273" s="7" t="n"/>
      <c r="R273" s="7" t="n"/>
      <c r="S273" s="8">
        <f>IF(NOT(ISNUMBER(M273)),"",IF(G273="Terreno",IF(AND(ISNUMBER(I273),I273&gt;0),M273/I273,""),IF(AND(ISNUMBER(H273),H273&gt;0),M273/H273,"")))</f>
        <v/>
      </c>
      <c r="T273" s="9">
        <f>IF(AND(ISNUMBER(M273),ISNUMBER(O273)),IF(M273&lt;=O273,"Valor ≤ venal IPTU",""),"")</f>
        <v/>
      </c>
      <c r="U273" s="10">
        <f>IF(AND(ISNUMBER(M273),ISNUMBER(N273)),IF(N273&gt;0,M273/N273,""),"")</f>
        <v/>
      </c>
      <c r="V273" s="10">
        <f>IF(AND(ISNUMBER(M273),ISNUMBER(O273)),IF(O273&gt;0,M273/O273,""),"")</f>
        <v/>
      </c>
      <c r="W273" s="10">
        <f>IF(AND(ISNUMBER(M273),ISNUMBER(R273)),IF(R273&gt;0,M273/R273,""),"")</f>
        <v/>
      </c>
      <c r="X273" s="10">
        <f>IF(AND(ISNUMBER(Q273),ISNUMBER(M273)),IF(M273&gt;0,Q273/M273,""),"")</f>
        <v/>
      </c>
      <c r="Y273" s="11">
        <f>IF(ISNUMBER(Z273),YEAR(Z273),"")</f>
        <v/>
      </c>
      <c r="Z273" s="12" t="n"/>
      <c r="AA273" s="12" t="n"/>
      <c r="AI273" s="12" t="n"/>
      <c r="AJ273" s="13">
        <f>IF(LEN(TRIM(AF273))=0,"",HYPERLINK("https://www.google.com/maps/@?api=1&amp;map_action=pano&amp;viewpoint="&amp;SUBSTITUTE(AF273," ",""),"Abrir Street View"))</f>
        <v/>
      </c>
    </row>
    <row r="274">
      <c r="H274" s="6" t="n"/>
      <c r="I274" s="6" t="n"/>
      <c r="M274" s="7" t="n"/>
      <c r="N274" s="7" t="n"/>
      <c r="O274" s="7" t="n"/>
      <c r="Q274" s="7" t="n"/>
      <c r="R274" s="7" t="n"/>
      <c r="S274" s="8">
        <f>IF(NOT(ISNUMBER(M274)),"",IF(G274="Terreno",IF(AND(ISNUMBER(I274),I274&gt;0),M274/I274,""),IF(AND(ISNUMBER(H274),H274&gt;0),M274/H274,"")))</f>
        <v/>
      </c>
      <c r="T274" s="9">
        <f>IF(AND(ISNUMBER(M274),ISNUMBER(O274)),IF(M274&lt;=O274,"Valor ≤ venal IPTU",""),"")</f>
        <v/>
      </c>
      <c r="U274" s="10">
        <f>IF(AND(ISNUMBER(M274),ISNUMBER(N274)),IF(N274&gt;0,M274/N274,""),"")</f>
        <v/>
      </c>
      <c r="V274" s="10">
        <f>IF(AND(ISNUMBER(M274),ISNUMBER(O274)),IF(O274&gt;0,M274/O274,""),"")</f>
        <v/>
      </c>
      <c r="W274" s="10">
        <f>IF(AND(ISNUMBER(M274),ISNUMBER(R274)),IF(R274&gt;0,M274/R274,""),"")</f>
        <v/>
      </c>
      <c r="X274" s="10">
        <f>IF(AND(ISNUMBER(Q274),ISNUMBER(M274)),IF(M274&gt;0,Q274/M274,""),"")</f>
        <v/>
      </c>
      <c r="Y274" s="11">
        <f>IF(ISNUMBER(Z274),YEAR(Z274),"")</f>
        <v/>
      </c>
      <c r="Z274" s="12" t="n"/>
      <c r="AA274" s="12" t="n"/>
      <c r="AI274" s="12" t="n"/>
      <c r="AJ274" s="13">
        <f>IF(LEN(TRIM(AF274))=0,"",HYPERLINK("https://www.google.com/maps/@?api=1&amp;map_action=pano&amp;viewpoint="&amp;SUBSTITUTE(AF274," ",""),"Abrir Street View"))</f>
        <v/>
      </c>
    </row>
    <row r="275">
      <c r="H275" s="6" t="n"/>
      <c r="I275" s="6" t="n"/>
      <c r="M275" s="7" t="n"/>
      <c r="N275" s="7" t="n"/>
      <c r="O275" s="7" t="n"/>
      <c r="Q275" s="7" t="n"/>
      <c r="R275" s="7" t="n"/>
      <c r="S275" s="8">
        <f>IF(NOT(ISNUMBER(M275)),"",IF(G275="Terreno",IF(AND(ISNUMBER(I275),I275&gt;0),M275/I275,""),IF(AND(ISNUMBER(H275),H275&gt;0),M275/H275,"")))</f>
        <v/>
      </c>
      <c r="T275" s="9">
        <f>IF(AND(ISNUMBER(M275),ISNUMBER(O275)),IF(M275&lt;=O275,"Valor ≤ venal IPTU",""),"")</f>
        <v/>
      </c>
      <c r="U275" s="10">
        <f>IF(AND(ISNUMBER(M275),ISNUMBER(N275)),IF(N275&gt;0,M275/N275,""),"")</f>
        <v/>
      </c>
      <c r="V275" s="10">
        <f>IF(AND(ISNUMBER(M275),ISNUMBER(O275)),IF(O275&gt;0,M275/O275,""),"")</f>
        <v/>
      </c>
      <c r="W275" s="10">
        <f>IF(AND(ISNUMBER(M275),ISNUMBER(R275)),IF(R275&gt;0,M275/R275,""),"")</f>
        <v/>
      </c>
      <c r="X275" s="10">
        <f>IF(AND(ISNUMBER(Q275),ISNUMBER(M275)),IF(M275&gt;0,Q275/M275,""),"")</f>
        <v/>
      </c>
      <c r="Y275" s="11">
        <f>IF(ISNUMBER(Z275),YEAR(Z275),"")</f>
        <v/>
      </c>
      <c r="Z275" s="12" t="n"/>
      <c r="AA275" s="12" t="n"/>
      <c r="AI275" s="12" t="n"/>
      <c r="AJ275" s="13">
        <f>IF(LEN(TRIM(AF275))=0,"",HYPERLINK("https://www.google.com/maps/@?api=1&amp;map_action=pano&amp;viewpoint="&amp;SUBSTITUTE(AF275," ",""),"Abrir Street View"))</f>
        <v/>
      </c>
    </row>
    <row r="276">
      <c r="H276" s="6" t="n"/>
      <c r="I276" s="6" t="n"/>
      <c r="M276" s="7" t="n"/>
      <c r="N276" s="7" t="n"/>
      <c r="O276" s="7" t="n"/>
      <c r="Q276" s="7" t="n"/>
      <c r="R276" s="7" t="n"/>
      <c r="S276" s="8">
        <f>IF(NOT(ISNUMBER(M276)),"",IF(G276="Terreno",IF(AND(ISNUMBER(I276),I276&gt;0),M276/I276,""),IF(AND(ISNUMBER(H276),H276&gt;0),M276/H276,"")))</f>
        <v/>
      </c>
      <c r="T276" s="9">
        <f>IF(AND(ISNUMBER(M276),ISNUMBER(O276)),IF(M276&lt;=O276,"Valor ≤ venal IPTU",""),"")</f>
        <v/>
      </c>
      <c r="U276" s="10">
        <f>IF(AND(ISNUMBER(M276),ISNUMBER(N276)),IF(N276&gt;0,M276/N276,""),"")</f>
        <v/>
      </c>
      <c r="V276" s="10">
        <f>IF(AND(ISNUMBER(M276),ISNUMBER(O276)),IF(O276&gt;0,M276/O276,""),"")</f>
        <v/>
      </c>
      <c r="W276" s="10">
        <f>IF(AND(ISNUMBER(M276),ISNUMBER(R276)),IF(R276&gt;0,M276/R276,""),"")</f>
        <v/>
      </c>
      <c r="X276" s="10">
        <f>IF(AND(ISNUMBER(Q276),ISNUMBER(M276)),IF(M276&gt;0,Q276/M276,""),"")</f>
        <v/>
      </c>
      <c r="Y276" s="11">
        <f>IF(ISNUMBER(Z276),YEAR(Z276),"")</f>
        <v/>
      </c>
      <c r="Z276" s="12" t="n"/>
      <c r="AA276" s="12" t="n"/>
      <c r="AI276" s="12" t="n"/>
      <c r="AJ276" s="13">
        <f>IF(LEN(TRIM(AF276))=0,"",HYPERLINK("https://www.google.com/maps/@?api=1&amp;map_action=pano&amp;viewpoint="&amp;SUBSTITUTE(AF276," ",""),"Abrir Street View"))</f>
        <v/>
      </c>
    </row>
    <row r="277">
      <c r="H277" s="6" t="n"/>
      <c r="I277" s="6" t="n"/>
      <c r="M277" s="7" t="n"/>
      <c r="N277" s="7" t="n"/>
      <c r="O277" s="7" t="n"/>
      <c r="Q277" s="7" t="n"/>
      <c r="R277" s="7" t="n"/>
      <c r="S277" s="8">
        <f>IF(NOT(ISNUMBER(M277)),"",IF(G277="Terreno",IF(AND(ISNUMBER(I277),I277&gt;0),M277/I277,""),IF(AND(ISNUMBER(H277),H277&gt;0),M277/H277,"")))</f>
        <v/>
      </c>
      <c r="T277" s="9">
        <f>IF(AND(ISNUMBER(M277),ISNUMBER(O277)),IF(M277&lt;=O277,"Valor ≤ venal IPTU",""),"")</f>
        <v/>
      </c>
      <c r="U277" s="10">
        <f>IF(AND(ISNUMBER(M277),ISNUMBER(N277)),IF(N277&gt;0,M277/N277,""),"")</f>
        <v/>
      </c>
      <c r="V277" s="10">
        <f>IF(AND(ISNUMBER(M277),ISNUMBER(O277)),IF(O277&gt;0,M277/O277,""),"")</f>
        <v/>
      </c>
      <c r="W277" s="10">
        <f>IF(AND(ISNUMBER(M277),ISNUMBER(R277)),IF(R277&gt;0,M277/R277,""),"")</f>
        <v/>
      </c>
      <c r="X277" s="10">
        <f>IF(AND(ISNUMBER(Q277),ISNUMBER(M277)),IF(M277&gt;0,Q277/M277,""),"")</f>
        <v/>
      </c>
      <c r="Y277" s="11">
        <f>IF(ISNUMBER(Z277),YEAR(Z277),"")</f>
        <v/>
      </c>
      <c r="Z277" s="12" t="n"/>
      <c r="AA277" s="12" t="n"/>
      <c r="AI277" s="12" t="n"/>
      <c r="AJ277" s="13">
        <f>IF(LEN(TRIM(AF277))=0,"",HYPERLINK("https://www.google.com/maps/@?api=1&amp;map_action=pano&amp;viewpoint="&amp;SUBSTITUTE(AF277," ",""),"Abrir Street View"))</f>
        <v/>
      </c>
    </row>
    <row r="278">
      <c r="H278" s="6" t="n"/>
      <c r="I278" s="6" t="n"/>
      <c r="M278" s="7" t="n"/>
      <c r="N278" s="7" t="n"/>
      <c r="O278" s="7" t="n"/>
      <c r="Q278" s="7" t="n"/>
      <c r="R278" s="7" t="n"/>
      <c r="S278" s="8">
        <f>IF(NOT(ISNUMBER(M278)),"",IF(G278="Terreno",IF(AND(ISNUMBER(I278),I278&gt;0),M278/I278,""),IF(AND(ISNUMBER(H278),H278&gt;0),M278/H278,"")))</f>
        <v/>
      </c>
      <c r="T278" s="9">
        <f>IF(AND(ISNUMBER(M278),ISNUMBER(O278)),IF(M278&lt;=O278,"Valor ≤ venal IPTU",""),"")</f>
        <v/>
      </c>
      <c r="U278" s="10">
        <f>IF(AND(ISNUMBER(M278),ISNUMBER(N278)),IF(N278&gt;0,M278/N278,""),"")</f>
        <v/>
      </c>
      <c r="V278" s="10">
        <f>IF(AND(ISNUMBER(M278),ISNUMBER(O278)),IF(O278&gt;0,M278/O278,""),"")</f>
        <v/>
      </c>
      <c r="W278" s="10">
        <f>IF(AND(ISNUMBER(M278),ISNUMBER(R278)),IF(R278&gt;0,M278/R278,""),"")</f>
        <v/>
      </c>
      <c r="X278" s="10">
        <f>IF(AND(ISNUMBER(Q278),ISNUMBER(M278)),IF(M278&gt;0,Q278/M278,""),"")</f>
        <v/>
      </c>
      <c r="Y278" s="11">
        <f>IF(ISNUMBER(Z278),YEAR(Z278),"")</f>
        <v/>
      </c>
      <c r="Z278" s="12" t="n"/>
      <c r="AA278" s="12" t="n"/>
      <c r="AI278" s="12" t="n"/>
      <c r="AJ278" s="13">
        <f>IF(LEN(TRIM(AF278))=0,"",HYPERLINK("https://www.google.com/maps/@?api=1&amp;map_action=pano&amp;viewpoint="&amp;SUBSTITUTE(AF278," ",""),"Abrir Street View"))</f>
        <v/>
      </c>
    </row>
    <row r="279">
      <c r="H279" s="6" t="n"/>
      <c r="I279" s="6" t="n"/>
      <c r="M279" s="7" t="n"/>
      <c r="N279" s="7" t="n"/>
      <c r="O279" s="7" t="n"/>
      <c r="Q279" s="7" t="n"/>
      <c r="R279" s="7" t="n"/>
      <c r="S279" s="8">
        <f>IF(NOT(ISNUMBER(M279)),"",IF(G279="Terreno",IF(AND(ISNUMBER(I279),I279&gt;0),M279/I279,""),IF(AND(ISNUMBER(H279),H279&gt;0),M279/H279,"")))</f>
        <v/>
      </c>
      <c r="T279" s="9">
        <f>IF(AND(ISNUMBER(M279),ISNUMBER(O279)),IF(M279&lt;=O279,"Valor ≤ venal IPTU",""),"")</f>
        <v/>
      </c>
      <c r="U279" s="10">
        <f>IF(AND(ISNUMBER(M279),ISNUMBER(N279)),IF(N279&gt;0,M279/N279,""),"")</f>
        <v/>
      </c>
      <c r="V279" s="10">
        <f>IF(AND(ISNUMBER(M279),ISNUMBER(O279)),IF(O279&gt;0,M279/O279,""),"")</f>
        <v/>
      </c>
      <c r="W279" s="10">
        <f>IF(AND(ISNUMBER(M279),ISNUMBER(R279)),IF(R279&gt;0,M279/R279,""),"")</f>
        <v/>
      </c>
      <c r="X279" s="10">
        <f>IF(AND(ISNUMBER(Q279),ISNUMBER(M279)),IF(M279&gt;0,Q279/M279,""),"")</f>
        <v/>
      </c>
      <c r="Y279" s="11">
        <f>IF(ISNUMBER(Z279),YEAR(Z279),"")</f>
        <v/>
      </c>
      <c r="Z279" s="12" t="n"/>
      <c r="AA279" s="12" t="n"/>
      <c r="AI279" s="12" t="n"/>
      <c r="AJ279" s="13">
        <f>IF(LEN(TRIM(AF279))=0,"",HYPERLINK("https://www.google.com/maps/@?api=1&amp;map_action=pano&amp;viewpoint="&amp;SUBSTITUTE(AF279," ",""),"Abrir Street View"))</f>
        <v/>
      </c>
    </row>
    <row r="280">
      <c r="H280" s="6" t="n"/>
      <c r="I280" s="6" t="n"/>
      <c r="M280" s="7" t="n"/>
      <c r="N280" s="7" t="n"/>
      <c r="O280" s="7" t="n"/>
      <c r="Q280" s="7" t="n"/>
      <c r="R280" s="7" t="n"/>
      <c r="S280" s="8">
        <f>IF(NOT(ISNUMBER(M280)),"",IF(G280="Terreno",IF(AND(ISNUMBER(I280),I280&gt;0),M280/I280,""),IF(AND(ISNUMBER(H280),H280&gt;0),M280/H280,"")))</f>
        <v/>
      </c>
      <c r="T280" s="9">
        <f>IF(AND(ISNUMBER(M280),ISNUMBER(O280)),IF(M280&lt;=O280,"Valor ≤ venal IPTU",""),"")</f>
        <v/>
      </c>
      <c r="U280" s="10">
        <f>IF(AND(ISNUMBER(M280),ISNUMBER(N280)),IF(N280&gt;0,M280/N280,""),"")</f>
        <v/>
      </c>
      <c r="V280" s="10">
        <f>IF(AND(ISNUMBER(M280),ISNUMBER(O280)),IF(O280&gt;0,M280/O280,""),"")</f>
        <v/>
      </c>
      <c r="W280" s="10">
        <f>IF(AND(ISNUMBER(M280),ISNUMBER(R280)),IF(R280&gt;0,M280/R280,""),"")</f>
        <v/>
      </c>
      <c r="X280" s="10">
        <f>IF(AND(ISNUMBER(Q280),ISNUMBER(M280)),IF(M280&gt;0,Q280/M280,""),"")</f>
        <v/>
      </c>
      <c r="Y280" s="11">
        <f>IF(ISNUMBER(Z280),YEAR(Z280),"")</f>
        <v/>
      </c>
      <c r="Z280" s="12" t="n"/>
      <c r="AA280" s="12" t="n"/>
      <c r="AI280" s="12" t="n"/>
      <c r="AJ280" s="13">
        <f>IF(LEN(TRIM(AF280))=0,"",HYPERLINK("https://www.google.com/maps/@?api=1&amp;map_action=pano&amp;viewpoint="&amp;SUBSTITUTE(AF280," ",""),"Abrir Street View"))</f>
        <v/>
      </c>
    </row>
    <row r="281">
      <c r="H281" s="6" t="n"/>
      <c r="I281" s="6" t="n"/>
      <c r="M281" s="7" t="n"/>
      <c r="N281" s="7" t="n"/>
      <c r="O281" s="7" t="n"/>
      <c r="Q281" s="7" t="n"/>
      <c r="R281" s="7" t="n"/>
      <c r="S281" s="8">
        <f>IF(NOT(ISNUMBER(M281)),"",IF(G281="Terreno",IF(AND(ISNUMBER(I281),I281&gt;0),M281/I281,""),IF(AND(ISNUMBER(H281),H281&gt;0),M281/H281,"")))</f>
        <v/>
      </c>
      <c r="T281" s="9">
        <f>IF(AND(ISNUMBER(M281),ISNUMBER(O281)),IF(M281&lt;=O281,"Valor ≤ venal IPTU",""),"")</f>
        <v/>
      </c>
      <c r="U281" s="10">
        <f>IF(AND(ISNUMBER(M281),ISNUMBER(N281)),IF(N281&gt;0,M281/N281,""),"")</f>
        <v/>
      </c>
      <c r="V281" s="10">
        <f>IF(AND(ISNUMBER(M281),ISNUMBER(O281)),IF(O281&gt;0,M281/O281,""),"")</f>
        <v/>
      </c>
      <c r="W281" s="10">
        <f>IF(AND(ISNUMBER(M281),ISNUMBER(R281)),IF(R281&gt;0,M281/R281,""),"")</f>
        <v/>
      </c>
      <c r="X281" s="10">
        <f>IF(AND(ISNUMBER(Q281),ISNUMBER(M281)),IF(M281&gt;0,Q281/M281,""),"")</f>
        <v/>
      </c>
      <c r="Y281" s="11">
        <f>IF(ISNUMBER(Z281),YEAR(Z281),"")</f>
        <v/>
      </c>
      <c r="Z281" s="12" t="n"/>
      <c r="AA281" s="12" t="n"/>
      <c r="AI281" s="12" t="n"/>
      <c r="AJ281" s="13">
        <f>IF(LEN(TRIM(AF281))=0,"",HYPERLINK("https://www.google.com/maps/@?api=1&amp;map_action=pano&amp;viewpoint="&amp;SUBSTITUTE(AF281," ",""),"Abrir Street View"))</f>
        <v/>
      </c>
    </row>
    <row r="282">
      <c r="H282" s="6" t="n"/>
      <c r="I282" s="6" t="n"/>
      <c r="M282" s="7" t="n"/>
      <c r="N282" s="7" t="n"/>
      <c r="O282" s="7" t="n"/>
      <c r="Q282" s="7" t="n"/>
      <c r="R282" s="7" t="n"/>
      <c r="S282" s="8">
        <f>IF(NOT(ISNUMBER(M282)),"",IF(G282="Terreno",IF(AND(ISNUMBER(I282),I282&gt;0),M282/I282,""),IF(AND(ISNUMBER(H282),H282&gt;0),M282/H282,"")))</f>
        <v/>
      </c>
      <c r="T282" s="9">
        <f>IF(AND(ISNUMBER(M282),ISNUMBER(O282)),IF(M282&lt;=O282,"Valor ≤ venal IPTU",""),"")</f>
        <v/>
      </c>
      <c r="U282" s="10">
        <f>IF(AND(ISNUMBER(M282),ISNUMBER(N282)),IF(N282&gt;0,M282/N282,""),"")</f>
        <v/>
      </c>
      <c r="V282" s="10">
        <f>IF(AND(ISNUMBER(M282),ISNUMBER(O282)),IF(O282&gt;0,M282/O282,""),"")</f>
        <v/>
      </c>
      <c r="W282" s="10">
        <f>IF(AND(ISNUMBER(M282),ISNUMBER(R282)),IF(R282&gt;0,M282/R282,""),"")</f>
        <v/>
      </c>
      <c r="X282" s="10">
        <f>IF(AND(ISNUMBER(Q282),ISNUMBER(M282)),IF(M282&gt;0,Q282/M282,""),"")</f>
        <v/>
      </c>
      <c r="Y282" s="11">
        <f>IF(ISNUMBER(Z282),YEAR(Z282),"")</f>
        <v/>
      </c>
      <c r="Z282" s="12" t="n"/>
      <c r="AA282" s="12" t="n"/>
      <c r="AI282" s="12" t="n"/>
      <c r="AJ282" s="13">
        <f>IF(LEN(TRIM(AF282))=0,"",HYPERLINK("https://www.google.com/maps/@?api=1&amp;map_action=pano&amp;viewpoint="&amp;SUBSTITUTE(AF282," ",""),"Abrir Street View"))</f>
        <v/>
      </c>
    </row>
    <row r="283">
      <c r="H283" s="6" t="n"/>
      <c r="I283" s="6" t="n"/>
      <c r="M283" s="7" t="n"/>
      <c r="N283" s="7" t="n"/>
      <c r="O283" s="7" t="n"/>
      <c r="Q283" s="7" t="n"/>
      <c r="R283" s="7" t="n"/>
      <c r="S283" s="8">
        <f>IF(NOT(ISNUMBER(M283)),"",IF(G283="Terreno",IF(AND(ISNUMBER(I283),I283&gt;0),M283/I283,""),IF(AND(ISNUMBER(H283),H283&gt;0),M283/H283,"")))</f>
        <v/>
      </c>
      <c r="T283" s="9">
        <f>IF(AND(ISNUMBER(M283),ISNUMBER(O283)),IF(M283&lt;=O283,"Valor ≤ venal IPTU",""),"")</f>
        <v/>
      </c>
      <c r="U283" s="10">
        <f>IF(AND(ISNUMBER(M283),ISNUMBER(N283)),IF(N283&gt;0,M283/N283,""),"")</f>
        <v/>
      </c>
      <c r="V283" s="10">
        <f>IF(AND(ISNUMBER(M283),ISNUMBER(O283)),IF(O283&gt;0,M283/O283,""),"")</f>
        <v/>
      </c>
      <c r="W283" s="10">
        <f>IF(AND(ISNUMBER(M283),ISNUMBER(R283)),IF(R283&gt;0,M283/R283,""),"")</f>
        <v/>
      </c>
      <c r="X283" s="10">
        <f>IF(AND(ISNUMBER(Q283),ISNUMBER(M283)),IF(M283&gt;0,Q283/M283,""),"")</f>
        <v/>
      </c>
      <c r="Y283" s="11">
        <f>IF(ISNUMBER(Z283),YEAR(Z283),"")</f>
        <v/>
      </c>
      <c r="Z283" s="12" t="n"/>
      <c r="AA283" s="12" t="n"/>
      <c r="AI283" s="12" t="n"/>
      <c r="AJ283" s="13">
        <f>IF(LEN(TRIM(AF283))=0,"",HYPERLINK("https://www.google.com/maps/@?api=1&amp;map_action=pano&amp;viewpoint="&amp;SUBSTITUTE(AF283," ",""),"Abrir Street View"))</f>
        <v/>
      </c>
    </row>
    <row r="284">
      <c r="H284" s="6" t="n"/>
      <c r="I284" s="6" t="n"/>
      <c r="M284" s="7" t="n"/>
      <c r="N284" s="7" t="n"/>
      <c r="O284" s="7" t="n"/>
      <c r="Q284" s="7" t="n"/>
      <c r="R284" s="7" t="n"/>
      <c r="S284" s="8">
        <f>IF(NOT(ISNUMBER(M284)),"",IF(G284="Terreno",IF(AND(ISNUMBER(I284),I284&gt;0),M284/I284,""),IF(AND(ISNUMBER(H284),H284&gt;0),M284/H284,"")))</f>
        <v/>
      </c>
      <c r="T284" s="9">
        <f>IF(AND(ISNUMBER(M284),ISNUMBER(O284)),IF(M284&lt;=O284,"Valor ≤ venal IPTU",""),"")</f>
        <v/>
      </c>
      <c r="U284" s="10">
        <f>IF(AND(ISNUMBER(M284),ISNUMBER(N284)),IF(N284&gt;0,M284/N284,""),"")</f>
        <v/>
      </c>
      <c r="V284" s="10">
        <f>IF(AND(ISNUMBER(M284),ISNUMBER(O284)),IF(O284&gt;0,M284/O284,""),"")</f>
        <v/>
      </c>
      <c r="W284" s="10">
        <f>IF(AND(ISNUMBER(M284),ISNUMBER(R284)),IF(R284&gt;0,M284/R284,""),"")</f>
        <v/>
      </c>
      <c r="X284" s="10">
        <f>IF(AND(ISNUMBER(Q284),ISNUMBER(M284)),IF(M284&gt;0,Q284/M284,""),"")</f>
        <v/>
      </c>
      <c r="Y284" s="11">
        <f>IF(ISNUMBER(Z284),YEAR(Z284),"")</f>
        <v/>
      </c>
      <c r="Z284" s="12" t="n"/>
      <c r="AA284" s="12" t="n"/>
      <c r="AI284" s="12" t="n"/>
      <c r="AJ284" s="13">
        <f>IF(LEN(TRIM(AF284))=0,"",HYPERLINK("https://www.google.com/maps/@?api=1&amp;map_action=pano&amp;viewpoint="&amp;SUBSTITUTE(AF284," ",""),"Abrir Street View"))</f>
        <v/>
      </c>
    </row>
    <row r="285">
      <c r="H285" s="6" t="n"/>
      <c r="I285" s="6" t="n"/>
      <c r="M285" s="7" t="n"/>
      <c r="N285" s="7" t="n"/>
      <c r="O285" s="7" t="n"/>
      <c r="Q285" s="7" t="n"/>
      <c r="R285" s="7" t="n"/>
      <c r="S285" s="8">
        <f>IF(NOT(ISNUMBER(M285)),"",IF(G285="Terreno",IF(AND(ISNUMBER(I285),I285&gt;0),M285/I285,""),IF(AND(ISNUMBER(H285),H285&gt;0),M285/H285,"")))</f>
        <v/>
      </c>
      <c r="T285" s="9">
        <f>IF(AND(ISNUMBER(M285),ISNUMBER(O285)),IF(M285&lt;=O285,"Valor ≤ venal IPTU",""),"")</f>
        <v/>
      </c>
      <c r="U285" s="10">
        <f>IF(AND(ISNUMBER(M285),ISNUMBER(N285)),IF(N285&gt;0,M285/N285,""),"")</f>
        <v/>
      </c>
      <c r="V285" s="10">
        <f>IF(AND(ISNUMBER(M285),ISNUMBER(O285)),IF(O285&gt;0,M285/O285,""),"")</f>
        <v/>
      </c>
      <c r="W285" s="10">
        <f>IF(AND(ISNUMBER(M285),ISNUMBER(R285)),IF(R285&gt;0,M285/R285,""),"")</f>
        <v/>
      </c>
      <c r="X285" s="10">
        <f>IF(AND(ISNUMBER(Q285),ISNUMBER(M285)),IF(M285&gt;0,Q285/M285,""),"")</f>
        <v/>
      </c>
      <c r="Y285" s="11">
        <f>IF(ISNUMBER(Z285),YEAR(Z285),"")</f>
        <v/>
      </c>
      <c r="Z285" s="12" t="n"/>
      <c r="AA285" s="12" t="n"/>
      <c r="AI285" s="12" t="n"/>
      <c r="AJ285" s="13">
        <f>IF(LEN(TRIM(AF285))=0,"",HYPERLINK("https://www.google.com/maps/@?api=1&amp;map_action=pano&amp;viewpoint="&amp;SUBSTITUTE(AF285," ",""),"Abrir Street View"))</f>
        <v/>
      </c>
    </row>
    <row r="286">
      <c r="H286" s="6" t="n"/>
      <c r="I286" s="6" t="n"/>
      <c r="M286" s="7" t="n"/>
      <c r="N286" s="7" t="n"/>
      <c r="O286" s="7" t="n"/>
      <c r="Q286" s="7" t="n"/>
      <c r="R286" s="7" t="n"/>
      <c r="S286" s="8">
        <f>IF(NOT(ISNUMBER(M286)),"",IF(G286="Terreno",IF(AND(ISNUMBER(I286),I286&gt;0),M286/I286,""),IF(AND(ISNUMBER(H286),H286&gt;0),M286/H286,"")))</f>
        <v/>
      </c>
      <c r="T286" s="9">
        <f>IF(AND(ISNUMBER(M286),ISNUMBER(O286)),IF(M286&lt;=O286,"Valor ≤ venal IPTU",""),"")</f>
        <v/>
      </c>
      <c r="U286" s="10">
        <f>IF(AND(ISNUMBER(M286),ISNUMBER(N286)),IF(N286&gt;0,M286/N286,""),"")</f>
        <v/>
      </c>
      <c r="V286" s="10">
        <f>IF(AND(ISNUMBER(M286),ISNUMBER(O286)),IF(O286&gt;0,M286/O286,""),"")</f>
        <v/>
      </c>
      <c r="W286" s="10">
        <f>IF(AND(ISNUMBER(M286),ISNUMBER(R286)),IF(R286&gt;0,M286/R286,""),"")</f>
        <v/>
      </c>
      <c r="X286" s="10">
        <f>IF(AND(ISNUMBER(Q286),ISNUMBER(M286)),IF(M286&gt;0,Q286/M286,""),"")</f>
        <v/>
      </c>
      <c r="Y286" s="11">
        <f>IF(ISNUMBER(Z286),YEAR(Z286),"")</f>
        <v/>
      </c>
      <c r="Z286" s="12" t="n"/>
      <c r="AA286" s="12" t="n"/>
      <c r="AI286" s="12" t="n"/>
      <c r="AJ286" s="13">
        <f>IF(LEN(TRIM(AF286))=0,"",HYPERLINK("https://www.google.com/maps/@?api=1&amp;map_action=pano&amp;viewpoint="&amp;SUBSTITUTE(AF286," ",""),"Abrir Street View"))</f>
        <v/>
      </c>
    </row>
    <row r="287">
      <c r="H287" s="6" t="n"/>
      <c r="I287" s="6" t="n"/>
      <c r="M287" s="7" t="n"/>
      <c r="N287" s="7" t="n"/>
      <c r="O287" s="7" t="n"/>
      <c r="Q287" s="7" t="n"/>
      <c r="R287" s="7" t="n"/>
      <c r="S287" s="8">
        <f>IF(NOT(ISNUMBER(M287)),"",IF(G287="Terreno",IF(AND(ISNUMBER(I287),I287&gt;0),M287/I287,""),IF(AND(ISNUMBER(H287),H287&gt;0),M287/H287,"")))</f>
        <v/>
      </c>
      <c r="T287" s="9">
        <f>IF(AND(ISNUMBER(M287),ISNUMBER(O287)),IF(M287&lt;=O287,"Valor ≤ venal IPTU",""),"")</f>
        <v/>
      </c>
      <c r="U287" s="10">
        <f>IF(AND(ISNUMBER(M287),ISNUMBER(N287)),IF(N287&gt;0,M287/N287,""),"")</f>
        <v/>
      </c>
      <c r="V287" s="10">
        <f>IF(AND(ISNUMBER(M287),ISNUMBER(O287)),IF(O287&gt;0,M287/O287,""),"")</f>
        <v/>
      </c>
      <c r="W287" s="10">
        <f>IF(AND(ISNUMBER(M287),ISNUMBER(R287)),IF(R287&gt;0,M287/R287,""),"")</f>
        <v/>
      </c>
      <c r="X287" s="10">
        <f>IF(AND(ISNUMBER(Q287),ISNUMBER(M287)),IF(M287&gt;0,Q287/M287,""),"")</f>
        <v/>
      </c>
      <c r="Y287" s="11">
        <f>IF(ISNUMBER(Z287),YEAR(Z287),"")</f>
        <v/>
      </c>
      <c r="Z287" s="12" t="n"/>
      <c r="AA287" s="12" t="n"/>
      <c r="AI287" s="12" t="n"/>
      <c r="AJ287" s="13">
        <f>IF(LEN(TRIM(AF287))=0,"",HYPERLINK("https://www.google.com/maps/@?api=1&amp;map_action=pano&amp;viewpoint="&amp;SUBSTITUTE(AF287," ",""),"Abrir Street View"))</f>
        <v/>
      </c>
    </row>
    <row r="288">
      <c r="H288" s="6" t="n"/>
      <c r="I288" s="6" t="n"/>
      <c r="M288" s="7" t="n"/>
      <c r="N288" s="7" t="n"/>
      <c r="O288" s="7" t="n"/>
      <c r="Q288" s="7" t="n"/>
      <c r="R288" s="7" t="n"/>
      <c r="S288" s="8">
        <f>IF(NOT(ISNUMBER(M288)),"",IF(G288="Terreno",IF(AND(ISNUMBER(I288),I288&gt;0),M288/I288,""),IF(AND(ISNUMBER(H288),H288&gt;0),M288/H288,"")))</f>
        <v/>
      </c>
      <c r="T288" s="9">
        <f>IF(AND(ISNUMBER(M288),ISNUMBER(O288)),IF(M288&lt;=O288,"Valor ≤ venal IPTU",""),"")</f>
        <v/>
      </c>
      <c r="U288" s="10">
        <f>IF(AND(ISNUMBER(M288),ISNUMBER(N288)),IF(N288&gt;0,M288/N288,""),"")</f>
        <v/>
      </c>
      <c r="V288" s="10">
        <f>IF(AND(ISNUMBER(M288),ISNUMBER(O288)),IF(O288&gt;0,M288/O288,""),"")</f>
        <v/>
      </c>
      <c r="W288" s="10">
        <f>IF(AND(ISNUMBER(M288),ISNUMBER(R288)),IF(R288&gt;0,M288/R288,""),"")</f>
        <v/>
      </c>
      <c r="X288" s="10">
        <f>IF(AND(ISNUMBER(Q288),ISNUMBER(M288)),IF(M288&gt;0,Q288/M288,""),"")</f>
        <v/>
      </c>
      <c r="Y288" s="11">
        <f>IF(ISNUMBER(Z288),YEAR(Z288),"")</f>
        <v/>
      </c>
      <c r="Z288" s="12" t="n"/>
      <c r="AA288" s="12" t="n"/>
      <c r="AI288" s="12" t="n"/>
      <c r="AJ288" s="13">
        <f>IF(LEN(TRIM(AF288))=0,"",HYPERLINK("https://www.google.com/maps/@?api=1&amp;map_action=pano&amp;viewpoint="&amp;SUBSTITUTE(AF288," ",""),"Abrir Street View"))</f>
        <v/>
      </c>
    </row>
    <row r="289">
      <c r="H289" s="6" t="n"/>
      <c r="I289" s="6" t="n"/>
      <c r="M289" s="7" t="n"/>
      <c r="N289" s="7" t="n"/>
      <c r="O289" s="7" t="n"/>
      <c r="Q289" s="7" t="n"/>
      <c r="R289" s="7" t="n"/>
      <c r="S289" s="8">
        <f>IF(NOT(ISNUMBER(M289)),"",IF(G289="Terreno",IF(AND(ISNUMBER(I289),I289&gt;0),M289/I289,""),IF(AND(ISNUMBER(H289),H289&gt;0),M289/H289,"")))</f>
        <v/>
      </c>
      <c r="T289" s="9">
        <f>IF(AND(ISNUMBER(M289),ISNUMBER(O289)),IF(M289&lt;=O289,"Valor ≤ venal IPTU",""),"")</f>
        <v/>
      </c>
      <c r="U289" s="10">
        <f>IF(AND(ISNUMBER(M289),ISNUMBER(N289)),IF(N289&gt;0,M289/N289,""),"")</f>
        <v/>
      </c>
      <c r="V289" s="10">
        <f>IF(AND(ISNUMBER(M289),ISNUMBER(O289)),IF(O289&gt;0,M289/O289,""),"")</f>
        <v/>
      </c>
      <c r="W289" s="10">
        <f>IF(AND(ISNUMBER(M289),ISNUMBER(R289)),IF(R289&gt;0,M289/R289,""),"")</f>
        <v/>
      </c>
      <c r="X289" s="10">
        <f>IF(AND(ISNUMBER(Q289),ISNUMBER(M289)),IF(M289&gt;0,Q289/M289,""),"")</f>
        <v/>
      </c>
      <c r="Y289" s="11">
        <f>IF(ISNUMBER(Z289),YEAR(Z289),"")</f>
        <v/>
      </c>
      <c r="Z289" s="12" t="n"/>
      <c r="AA289" s="12" t="n"/>
      <c r="AI289" s="12" t="n"/>
      <c r="AJ289" s="13">
        <f>IF(LEN(TRIM(AF289))=0,"",HYPERLINK("https://www.google.com/maps/@?api=1&amp;map_action=pano&amp;viewpoint="&amp;SUBSTITUTE(AF289," ",""),"Abrir Street View"))</f>
        <v/>
      </c>
    </row>
    <row r="290">
      <c r="H290" s="6" t="n"/>
      <c r="I290" s="6" t="n"/>
      <c r="M290" s="7" t="n"/>
      <c r="N290" s="7" t="n"/>
      <c r="O290" s="7" t="n"/>
      <c r="Q290" s="7" t="n"/>
      <c r="R290" s="7" t="n"/>
      <c r="S290" s="8">
        <f>IF(NOT(ISNUMBER(M290)),"",IF(G290="Terreno",IF(AND(ISNUMBER(I290),I290&gt;0),M290/I290,""),IF(AND(ISNUMBER(H290),H290&gt;0),M290/H290,"")))</f>
        <v/>
      </c>
      <c r="T290" s="9">
        <f>IF(AND(ISNUMBER(M290),ISNUMBER(O290)),IF(M290&lt;=O290,"Valor ≤ venal IPTU",""),"")</f>
        <v/>
      </c>
      <c r="U290" s="10">
        <f>IF(AND(ISNUMBER(M290),ISNUMBER(N290)),IF(N290&gt;0,M290/N290,""),"")</f>
        <v/>
      </c>
      <c r="V290" s="10">
        <f>IF(AND(ISNUMBER(M290),ISNUMBER(O290)),IF(O290&gt;0,M290/O290,""),"")</f>
        <v/>
      </c>
      <c r="W290" s="10">
        <f>IF(AND(ISNUMBER(M290),ISNUMBER(R290)),IF(R290&gt;0,M290/R290,""),"")</f>
        <v/>
      </c>
      <c r="X290" s="10">
        <f>IF(AND(ISNUMBER(Q290),ISNUMBER(M290)),IF(M290&gt;0,Q290/M290,""),"")</f>
        <v/>
      </c>
      <c r="Y290" s="11">
        <f>IF(ISNUMBER(Z290),YEAR(Z290),"")</f>
        <v/>
      </c>
      <c r="Z290" s="12" t="n"/>
      <c r="AA290" s="12" t="n"/>
      <c r="AI290" s="12" t="n"/>
      <c r="AJ290" s="13">
        <f>IF(LEN(TRIM(AF290))=0,"",HYPERLINK("https://www.google.com/maps/@?api=1&amp;map_action=pano&amp;viewpoint="&amp;SUBSTITUTE(AF290," ",""),"Abrir Street View"))</f>
        <v/>
      </c>
    </row>
    <row r="291">
      <c r="H291" s="6" t="n"/>
      <c r="I291" s="6" t="n"/>
      <c r="M291" s="7" t="n"/>
      <c r="N291" s="7" t="n"/>
      <c r="O291" s="7" t="n"/>
      <c r="Q291" s="7" t="n"/>
      <c r="R291" s="7" t="n"/>
      <c r="S291" s="8">
        <f>IF(NOT(ISNUMBER(M291)),"",IF(G291="Terreno",IF(AND(ISNUMBER(I291),I291&gt;0),M291/I291,""),IF(AND(ISNUMBER(H291),H291&gt;0),M291/H291,"")))</f>
        <v/>
      </c>
      <c r="T291" s="9">
        <f>IF(AND(ISNUMBER(M291),ISNUMBER(O291)),IF(M291&lt;=O291,"Valor ≤ venal IPTU",""),"")</f>
        <v/>
      </c>
      <c r="U291" s="10">
        <f>IF(AND(ISNUMBER(M291),ISNUMBER(N291)),IF(N291&gt;0,M291/N291,""),"")</f>
        <v/>
      </c>
      <c r="V291" s="10">
        <f>IF(AND(ISNUMBER(M291),ISNUMBER(O291)),IF(O291&gt;0,M291/O291,""),"")</f>
        <v/>
      </c>
      <c r="W291" s="10">
        <f>IF(AND(ISNUMBER(M291),ISNUMBER(R291)),IF(R291&gt;0,M291/R291,""),"")</f>
        <v/>
      </c>
      <c r="X291" s="10">
        <f>IF(AND(ISNUMBER(Q291),ISNUMBER(M291)),IF(M291&gt;0,Q291/M291,""),"")</f>
        <v/>
      </c>
      <c r="Y291" s="11">
        <f>IF(ISNUMBER(Z291),YEAR(Z291),"")</f>
        <v/>
      </c>
      <c r="Z291" s="12" t="n"/>
      <c r="AA291" s="12" t="n"/>
      <c r="AI291" s="12" t="n"/>
      <c r="AJ291" s="13">
        <f>IF(LEN(TRIM(AF291))=0,"",HYPERLINK("https://www.google.com/maps/@?api=1&amp;map_action=pano&amp;viewpoint="&amp;SUBSTITUTE(AF291," ",""),"Abrir Street View"))</f>
        <v/>
      </c>
    </row>
    <row r="292">
      <c r="H292" s="6" t="n"/>
      <c r="I292" s="6" t="n"/>
      <c r="M292" s="7" t="n"/>
      <c r="N292" s="7" t="n"/>
      <c r="O292" s="7" t="n"/>
      <c r="Q292" s="7" t="n"/>
      <c r="R292" s="7" t="n"/>
      <c r="S292" s="8">
        <f>IF(NOT(ISNUMBER(M292)),"",IF(G292="Terreno",IF(AND(ISNUMBER(I292),I292&gt;0),M292/I292,""),IF(AND(ISNUMBER(H292),H292&gt;0),M292/H292,"")))</f>
        <v/>
      </c>
      <c r="T292" s="9">
        <f>IF(AND(ISNUMBER(M292),ISNUMBER(O292)),IF(M292&lt;=O292,"Valor ≤ venal IPTU",""),"")</f>
        <v/>
      </c>
      <c r="U292" s="10">
        <f>IF(AND(ISNUMBER(M292),ISNUMBER(N292)),IF(N292&gt;0,M292/N292,""),"")</f>
        <v/>
      </c>
      <c r="V292" s="10">
        <f>IF(AND(ISNUMBER(M292),ISNUMBER(O292)),IF(O292&gt;0,M292/O292,""),"")</f>
        <v/>
      </c>
      <c r="W292" s="10">
        <f>IF(AND(ISNUMBER(M292),ISNUMBER(R292)),IF(R292&gt;0,M292/R292,""),"")</f>
        <v/>
      </c>
      <c r="X292" s="10">
        <f>IF(AND(ISNUMBER(Q292),ISNUMBER(M292)),IF(M292&gt;0,Q292/M292,""),"")</f>
        <v/>
      </c>
      <c r="Y292" s="11">
        <f>IF(ISNUMBER(Z292),YEAR(Z292),"")</f>
        <v/>
      </c>
      <c r="Z292" s="12" t="n"/>
      <c r="AA292" s="12" t="n"/>
      <c r="AI292" s="12" t="n"/>
      <c r="AJ292" s="13">
        <f>IF(LEN(TRIM(AF292))=0,"",HYPERLINK("https://www.google.com/maps/@?api=1&amp;map_action=pano&amp;viewpoint="&amp;SUBSTITUTE(AF292," ",""),"Abrir Street View"))</f>
        <v/>
      </c>
    </row>
    <row r="293">
      <c r="H293" s="6" t="n"/>
      <c r="I293" s="6" t="n"/>
      <c r="M293" s="7" t="n"/>
      <c r="N293" s="7" t="n"/>
      <c r="O293" s="7" t="n"/>
      <c r="Q293" s="7" t="n"/>
      <c r="R293" s="7" t="n"/>
      <c r="S293" s="8">
        <f>IF(NOT(ISNUMBER(M293)),"",IF(G293="Terreno",IF(AND(ISNUMBER(I293),I293&gt;0),M293/I293,""),IF(AND(ISNUMBER(H293),H293&gt;0),M293/H293,"")))</f>
        <v/>
      </c>
      <c r="T293" s="9">
        <f>IF(AND(ISNUMBER(M293),ISNUMBER(O293)),IF(M293&lt;=O293,"Valor ≤ venal IPTU",""),"")</f>
        <v/>
      </c>
      <c r="U293" s="10">
        <f>IF(AND(ISNUMBER(M293),ISNUMBER(N293)),IF(N293&gt;0,M293/N293,""),"")</f>
        <v/>
      </c>
      <c r="V293" s="10">
        <f>IF(AND(ISNUMBER(M293),ISNUMBER(O293)),IF(O293&gt;0,M293/O293,""),"")</f>
        <v/>
      </c>
      <c r="W293" s="10">
        <f>IF(AND(ISNUMBER(M293),ISNUMBER(R293)),IF(R293&gt;0,M293/R293,""),"")</f>
        <v/>
      </c>
      <c r="X293" s="10">
        <f>IF(AND(ISNUMBER(Q293),ISNUMBER(M293)),IF(M293&gt;0,Q293/M293,""),"")</f>
        <v/>
      </c>
      <c r="Y293" s="11">
        <f>IF(ISNUMBER(Z293),YEAR(Z293),"")</f>
        <v/>
      </c>
      <c r="Z293" s="12" t="n"/>
      <c r="AA293" s="12" t="n"/>
      <c r="AI293" s="12" t="n"/>
      <c r="AJ293" s="13">
        <f>IF(LEN(TRIM(AF293))=0,"",HYPERLINK("https://www.google.com/maps/@?api=1&amp;map_action=pano&amp;viewpoint="&amp;SUBSTITUTE(AF293," ",""),"Abrir Street View"))</f>
        <v/>
      </c>
    </row>
    <row r="294">
      <c r="H294" s="6" t="n"/>
      <c r="I294" s="6" t="n"/>
      <c r="M294" s="7" t="n"/>
      <c r="N294" s="7" t="n"/>
      <c r="O294" s="7" t="n"/>
      <c r="Q294" s="7" t="n"/>
      <c r="R294" s="7" t="n"/>
      <c r="S294" s="8">
        <f>IF(NOT(ISNUMBER(M294)),"",IF(G294="Terreno",IF(AND(ISNUMBER(I294),I294&gt;0),M294/I294,""),IF(AND(ISNUMBER(H294),H294&gt;0),M294/H294,"")))</f>
        <v/>
      </c>
      <c r="T294" s="9">
        <f>IF(AND(ISNUMBER(M294),ISNUMBER(O294)),IF(M294&lt;=O294,"Valor ≤ venal IPTU",""),"")</f>
        <v/>
      </c>
      <c r="U294" s="10">
        <f>IF(AND(ISNUMBER(M294),ISNUMBER(N294)),IF(N294&gt;0,M294/N294,""),"")</f>
        <v/>
      </c>
      <c r="V294" s="10">
        <f>IF(AND(ISNUMBER(M294),ISNUMBER(O294)),IF(O294&gt;0,M294/O294,""),"")</f>
        <v/>
      </c>
      <c r="W294" s="10">
        <f>IF(AND(ISNUMBER(M294),ISNUMBER(R294)),IF(R294&gt;0,M294/R294,""),"")</f>
        <v/>
      </c>
      <c r="X294" s="10">
        <f>IF(AND(ISNUMBER(Q294),ISNUMBER(M294)),IF(M294&gt;0,Q294/M294,""),"")</f>
        <v/>
      </c>
      <c r="Y294" s="11">
        <f>IF(ISNUMBER(Z294),YEAR(Z294),"")</f>
        <v/>
      </c>
      <c r="Z294" s="12" t="n"/>
      <c r="AA294" s="12" t="n"/>
      <c r="AI294" s="12" t="n"/>
      <c r="AJ294" s="13">
        <f>IF(LEN(TRIM(AF294))=0,"",HYPERLINK("https://www.google.com/maps/@?api=1&amp;map_action=pano&amp;viewpoint="&amp;SUBSTITUTE(AF294," ",""),"Abrir Street View"))</f>
        <v/>
      </c>
    </row>
    <row r="295">
      <c r="H295" s="6" t="n"/>
      <c r="I295" s="6" t="n"/>
      <c r="M295" s="7" t="n"/>
      <c r="N295" s="7" t="n"/>
      <c r="O295" s="7" t="n"/>
      <c r="Q295" s="7" t="n"/>
      <c r="R295" s="7" t="n"/>
      <c r="S295" s="8">
        <f>IF(NOT(ISNUMBER(M295)),"",IF(G295="Terreno",IF(AND(ISNUMBER(I295),I295&gt;0),M295/I295,""),IF(AND(ISNUMBER(H295),H295&gt;0),M295/H295,"")))</f>
        <v/>
      </c>
      <c r="T295" s="9">
        <f>IF(AND(ISNUMBER(M295),ISNUMBER(O295)),IF(M295&lt;=O295,"Valor ≤ venal IPTU",""),"")</f>
        <v/>
      </c>
      <c r="U295" s="10">
        <f>IF(AND(ISNUMBER(M295),ISNUMBER(N295)),IF(N295&gt;0,M295/N295,""),"")</f>
        <v/>
      </c>
      <c r="V295" s="10">
        <f>IF(AND(ISNUMBER(M295),ISNUMBER(O295)),IF(O295&gt;0,M295/O295,""),"")</f>
        <v/>
      </c>
      <c r="W295" s="10">
        <f>IF(AND(ISNUMBER(M295),ISNUMBER(R295)),IF(R295&gt;0,M295/R295,""),"")</f>
        <v/>
      </c>
      <c r="X295" s="10">
        <f>IF(AND(ISNUMBER(Q295),ISNUMBER(M295)),IF(M295&gt;0,Q295/M295,""),"")</f>
        <v/>
      </c>
      <c r="Y295" s="11">
        <f>IF(ISNUMBER(Z295),YEAR(Z295),"")</f>
        <v/>
      </c>
      <c r="Z295" s="12" t="n"/>
      <c r="AA295" s="12" t="n"/>
      <c r="AI295" s="12" t="n"/>
      <c r="AJ295" s="13">
        <f>IF(LEN(TRIM(AF295))=0,"",HYPERLINK("https://www.google.com/maps/@?api=1&amp;map_action=pano&amp;viewpoint="&amp;SUBSTITUTE(AF295," ",""),"Abrir Street View"))</f>
        <v/>
      </c>
    </row>
    <row r="296">
      <c r="H296" s="6" t="n"/>
      <c r="I296" s="6" t="n"/>
      <c r="M296" s="7" t="n"/>
      <c r="N296" s="7" t="n"/>
      <c r="O296" s="7" t="n"/>
      <c r="Q296" s="7" t="n"/>
      <c r="R296" s="7" t="n"/>
      <c r="S296" s="8">
        <f>IF(NOT(ISNUMBER(M296)),"",IF(G296="Terreno",IF(AND(ISNUMBER(I296),I296&gt;0),M296/I296,""),IF(AND(ISNUMBER(H296),H296&gt;0),M296/H296,"")))</f>
        <v/>
      </c>
      <c r="T296" s="9">
        <f>IF(AND(ISNUMBER(M296),ISNUMBER(O296)),IF(M296&lt;=O296,"Valor ≤ venal IPTU",""),"")</f>
        <v/>
      </c>
      <c r="U296" s="10">
        <f>IF(AND(ISNUMBER(M296),ISNUMBER(N296)),IF(N296&gt;0,M296/N296,""),"")</f>
        <v/>
      </c>
      <c r="V296" s="10">
        <f>IF(AND(ISNUMBER(M296),ISNUMBER(O296)),IF(O296&gt;0,M296/O296,""),"")</f>
        <v/>
      </c>
      <c r="W296" s="10">
        <f>IF(AND(ISNUMBER(M296),ISNUMBER(R296)),IF(R296&gt;0,M296/R296,""),"")</f>
        <v/>
      </c>
      <c r="X296" s="10">
        <f>IF(AND(ISNUMBER(Q296),ISNUMBER(M296)),IF(M296&gt;0,Q296/M296,""),"")</f>
        <v/>
      </c>
      <c r="Y296" s="11">
        <f>IF(ISNUMBER(Z296),YEAR(Z296),"")</f>
        <v/>
      </c>
      <c r="Z296" s="12" t="n"/>
      <c r="AA296" s="12" t="n"/>
      <c r="AI296" s="12" t="n"/>
      <c r="AJ296" s="13">
        <f>IF(LEN(TRIM(AF296))=0,"",HYPERLINK("https://www.google.com/maps/@?api=1&amp;map_action=pano&amp;viewpoint="&amp;SUBSTITUTE(AF296," ",""),"Abrir Street View"))</f>
        <v/>
      </c>
    </row>
    <row r="297">
      <c r="H297" s="6" t="n"/>
      <c r="I297" s="6" t="n"/>
      <c r="M297" s="7" t="n"/>
      <c r="N297" s="7" t="n"/>
      <c r="O297" s="7" t="n"/>
      <c r="Q297" s="7" t="n"/>
      <c r="R297" s="7" t="n"/>
      <c r="S297" s="8">
        <f>IF(NOT(ISNUMBER(M297)),"",IF(G297="Terreno",IF(AND(ISNUMBER(I297),I297&gt;0),M297/I297,""),IF(AND(ISNUMBER(H297),H297&gt;0),M297/H297,"")))</f>
        <v/>
      </c>
      <c r="T297" s="9">
        <f>IF(AND(ISNUMBER(M297),ISNUMBER(O297)),IF(M297&lt;=O297,"Valor ≤ venal IPTU",""),"")</f>
        <v/>
      </c>
      <c r="U297" s="10">
        <f>IF(AND(ISNUMBER(M297),ISNUMBER(N297)),IF(N297&gt;0,M297/N297,""),"")</f>
        <v/>
      </c>
      <c r="V297" s="10">
        <f>IF(AND(ISNUMBER(M297),ISNUMBER(O297)),IF(O297&gt;0,M297/O297,""),"")</f>
        <v/>
      </c>
      <c r="W297" s="10">
        <f>IF(AND(ISNUMBER(M297),ISNUMBER(R297)),IF(R297&gt;0,M297/R297,""),"")</f>
        <v/>
      </c>
      <c r="X297" s="10">
        <f>IF(AND(ISNUMBER(Q297),ISNUMBER(M297)),IF(M297&gt;0,Q297/M297,""),"")</f>
        <v/>
      </c>
      <c r="Y297" s="11">
        <f>IF(ISNUMBER(Z297),YEAR(Z297),"")</f>
        <v/>
      </c>
      <c r="Z297" s="12" t="n"/>
      <c r="AA297" s="12" t="n"/>
      <c r="AI297" s="12" t="n"/>
      <c r="AJ297" s="13">
        <f>IF(LEN(TRIM(AF297))=0,"",HYPERLINK("https://www.google.com/maps/@?api=1&amp;map_action=pano&amp;viewpoint="&amp;SUBSTITUTE(AF297," ",""),"Abrir Street View"))</f>
        <v/>
      </c>
    </row>
    <row r="298">
      <c r="H298" s="6" t="n"/>
      <c r="I298" s="6" t="n"/>
      <c r="M298" s="7" t="n"/>
      <c r="N298" s="7" t="n"/>
      <c r="O298" s="7" t="n"/>
      <c r="Q298" s="7" t="n"/>
      <c r="R298" s="7" t="n"/>
      <c r="S298" s="8">
        <f>IF(NOT(ISNUMBER(M298)),"",IF(G298="Terreno",IF(AND(ISNUMBER(I298),I298&gt;0),M298/I298,""),IF(AND(ISNUMBER(H298),H298&gt;0),M298/H298,"")))</f>
        <v/>
      </c>
      <c r="T298" s="9">
        <f>IF(AND(ISNUMBER(M298),ISNUMBER(O298)),IF(M298&lt;=O298,"Valor ≤ venal IPTU",""),"")</f>
        <v/>
      </c>
      <c r="U298" s="10">
        <f>IF(AND(ISNUMBER(M298),ISNUMBER(N298)),IF(N298&gt;0,M298/N298,""),"")</f>
        <v/>
      </c>
      <c r="V298" s="10">
        <f>IF(AND(ISNUMBER(M298),ISNUMBER(O298)),IF(O298&gt;0,M298/O298,""),"")</f>
        <v/>
      </c>
      <c r="W298" s="10">
        <f>IF(AND(ISNUMBER(M298),ISNUMBER(R298)),IF(R298&gt;0,M298/R298,""),"")</f>
        <v/>
      </c>
      <c r="X298" s="10">
        <f>IF(AND(ISNUMBER(Q298),ISNUMBER(M298)),IF(M298&gt;0,Q298/M298,""),"")</f>
        <v/>
      </c>
      <c r="Y298" s="11">
        <f>IF(ISNUMBER(Z298),YEAR(Z298),"")</f>
        <v/>
      </c>
      <c r="Z298" s="12" t="n"/>
      <c r="AA298" s="12" t="n"/>
      <c r="AI298" s="12" t="n"/>
      <c r="AJ298" s="13">
        <f>IF(LEN(TRIM(AF298))=0,"",HYPERLINK("https://www.google.com/maps/@?api=1&amp;map_action=pano&amp;viewpoint="&amp;SUBSTITUTE(AF298," ",""),"Abrir Street View"))</f>
        <v/>
      </c>
    </row>
    <row r="299">
      <c r="H299" s="6" t="n"/>
      <c r="I299" s="6" t="n"/>
      <c r="M299" s="7" t="n"/>
      <c r="N299" s="7" t="n"/>
      <c r="O299" s="7" t="n"/>
      <c r="Q299" s="7" t="n"/>
      <c r="R299" s="7" t="n"/>
      <c r="S299" s="8">
        <f>IF(NOT(ISNUMBER(M299)),"",IF(G299="Terreno",IF(AND(ISNUMBER(I299),I299&gt;0),M299/I299,""),IF(AND(ISNUMBER(H299),H299&gt;0),M299/H299,"")))</f>
        <v/>
      </c>
      <c r="T299" s="9">
        <f>IF(AND(ISNUMBER(M299),ISNUMBER(O299)),IF(M299&lt;=O299,"Valor ≤ venal IPTU",""),"")</f>
        <v/>
      </c>
      <c r="U299" s="10">
        <f>IF(AND(ISNUMBER(M299),ISNUMBER(N299)),IF(N299&gt;0,M299/N299,""),"")</f>
        <v/>
      </c>
      <c r="V299" s="10">
        <f>IF(AND(ISNUMBER(M299),ISNUMBER(O299)),IF(O299&gt;0,M299/O299,""),"")</f>
        <v/>
      </c>
      <c r="W299" s="10">
        <f>IF(AND(ISNUMBER(M299),ISNUMBER(R299)),IF(R299&gt;0,M299/R299,""),"")</f>
        <v/>
      </c>
      <c r="X299" s="10">
        <f>IF(AND(ISNUMBER(Q299),ISNUMBER(M299)),IF(M299&gt;0,Q299/M299,""),"")</f>
        <v/>
      </c>
      <c r="Y299" s="11">
        <f>IF(ISNUMBER(Z299),YEAR(Z299),"")</f>
        <v/>
      </c>
      <c r="Z299" s="12" t="n"/>
      <c r="AA299" s="12" t="n"/>
      <c r="AI299" s="12" t="n"/>
      <c r="AJ299" s="13">
        <f>IF(LEN(TRIM(AF299))=0,"",HYPERLINK("https://www.google.com/maps/@?api=1&amp;map_action=pano&amp;viewpoint="&amp;SUBSTITUTE(AF299," ",""),"Abrir Street View"))</f>
        <v/>
      </c>
    </row>
    <row r="300">
      <c r="H300" s="6" t="n"/>
      <c r="I300" s="6" t="n"/>
      <c r="M300" s="7" t="n"/>
      <c r="N300" s="7" t="n"/>
      <c r="O300" s="7" t="n"/>
      <c r="Q300" s="7" t="n"/>
      <c r="R300" s="7" t="n"/>
      <c r="S300" s="8">
        <f>IF(NOT(ISNUMBER(M300)),"",IF(G300="Terreno",IF(AND(ISNUMBER(I300),I300&gt;0),M300/I300,""),IF(AND(ISNUMBER(H300),H300&gt;0),M300/H300,"")))</f>
        <v/>
      </c>
      <c r="T300" s="9">
        <f>IF(AND(ISNUMBER(M300),ISNUMBER(O300)),IF(M300&lt;=O300,"Valor ≤ venal IPTU",""),"")</f>
        <v/>
      </c>
      <c r="U300" s="10">
        <f>IF(AND(ISNUMBER(M300),ISNUMBER(N300)),IF(N300&gt;0,M300/N300,""),"")</f>
        <v/>
      </c>
      <c r="V300" s="10">
        <f>IF(AND(ISNUMBER(M300),ISNUMBER(O300)),IF(O300&gt;0,M300/O300,""),"")</f>
        <v/>
      </c>
      <c r="W300" s="10">
        <f>IF(AND(ISNUMBER(M300),ISNUMBER(R300)),IF(R300&gt;0,M300/R300,""),"")</f>
        <v/>
      </c>
      <c r="X300" s="10">
        <f>IF(AND(ISNUMBER(Q300),ISNUMBER(M300)),IF(M300&gt;0,Q300/M300,""),"")</f>
        <v/>
      </c>
      <c r="Y300" s="11">
        <f>IF(ISNUMBER(Z300),YEAR(Z300),"")</f>
        <v/>
      </c>
      <c r="Z300" s="12" t="n"/>
      <c r="AA300" s="12" t="n"/>
      <c r="AI300" s="12" t="n"/>
      <c r="AJ300" s="13">
        <f>IF(LEN(TRIM(AF300))=0,"",HYPERLINK("https://www.google.com/maps/@?api=1&amp;map_action=pano&amp;viewpoint="&amp;SUBSTITUTE(AF300," ",""),"Abrir Street View"))</f>
        <v/>
      </c>
    </row>
    <row r="301">
      <c r="H301" s="6" t="n"/>
      <c r="I301" s="6" t="n"/>
      <c r="M301" s="7" t="n"/>
      <c r="N301" s="7" t="n"/>
      <c r="O301" s="7" t="n"/>
      <c r="Q301" s="7" t="n"/>
      <c r="R301" s="7" t="n"/>
      <c r="S301" s="8">
        <f>IF(NOT(ISNUMBER(M301)),"",IF(G301="Terreno",IF(AND(ISNUMBER(I301),I301&gt;0),M301/I301,""),IF(AND(ISNUMBER(H301),H301&gt;0),M301/H301,"")))</f>
        <v/>
      </c>
      <c r="T301" s="9">
        <f>IF(AND(ISNUMBER(M301),ISNUMBER(O301)),IF(M301&lt;=O301,"Valor ≤ venal IPTU",""),"")</f>
        <v/>
      </c>
      <c r="U301" s="10">
        <f>IF(AND(ISNUMBER(M301),ISNUMBER(N301)),IF(N301&gt;0,M301/N301,""),"")</f>
        <v/>
      </c>
      <c r="V301" s="10">
        <f>IF(AND(ISNUMBER(M301),ISNUMBER(O301)),IF(O301&gt;0,M301/O301,""),"")</f>
        <v/>
      </c>
      <c r="W301" s="10">
        <f>IF(AND(ISNUMBER(M301),ISNUMBER(R301)),IF(R301&gt;0,M301/R301,""),"")</f>
        <v/>
      </c>
      <c r="X301" s="10">
        <f>IF(AND(ISNUMBER(Q301),ISNUMBER(M301)),IF(M301&gt;0,Q301/M301,""),"")</f>
        <v/>
      </c>
      <c r="Y301" s="11">
        <f>IF(ISNUMBER(Z301),YEAR(Z301),"")</f>
        <v/>
      </c>
      <c r="Z301" s="12" t="n"/>
      <c r="AA301" s="12" t="n"/>
      <c r="AI301" s="12" t="n"/>
      <c r="AJ301" s="13">
        <f>IF(LEN(TRIM(AF301))=0,"",HYPERLINK("https://www.google.com/maps/@?api=1&amp;map_action=pano&amp;viewpoint="&amp;SUBSTITUTE(AF301," ",""),"Abrir Street View"))</f>
        <v/>
      </c>
    </row>
    <row r="302">
      <c r="H302" s="6" t="n"/>
      <c r="I302" s="6" t="n"/>
      <c r="M302" s="7" t="n"/>
      <c r="N302" s="7" t="n"/>
      <c r="O302" s="7" t="n"/>
      <c r="Q302" s="7" t="n"/>
      <c r="R302" s="7" t="n"/>
      <c r="S302" s="8">
        <f>IF(NOT(ISNUMBER(M302)),"",IF(G302="Terreno",IF(AND(ISNUMBER(I302),I302&gt;0),M302/I302,""),IF(AND(ISNUMBER(H302),H302&gt;0),M302/H302,"")))</f>
        <v/>
      </c>
      <c r="T302" s="9">
        <f>IF(AND(ISNUMBER(M302),ISNUMBER(O302)),IF(M302&lt;=O302,"Valor ≤ venal IPTU",""),"")</f>
        <v/>
      </c>
      <c r="U302" s="10">
        <f>IF(AND(ISNUMBER(M302),ISNUMBER(N302)),IF(N302&gt;0,M302/N302,""),"")</f>
        <v/>
      </c>
      <c r="V302" s="10">
        <f>IF(AND(ISNUMBER(M302),ISNUMBER(O302)),IF(O302&gt;0,M302/O302,""),"")</f>
        <v/>
      </c>
      <c r="W302" s="10">
        <f>IF(AND(ISNUMBER(M302),ISNUMBER(R302)),IF(R302&gt;0,M302/R302,""),"")</f>
        <v/>
      </c>
      <c r="X302" s="10">
        <f>IF(AND(ISNUMBER(Q302),ISNUMBER(M302)),IF(M302&gt;0,Q302/M302,""),"")</f>
        <v/>
      </c>
      <c r="Y302" s="11">
        <f>IF(ISNUMBER(Z302),YEAR(Z302),"")</f>
        <v/>
      </c>
      <c r="Z302" s="12" t="n"/>
      <c r="AA302" s="12" t="n"/>
      <c r="AI302" s="12" t="n"/>
      <c r="AJ302" s="13">
        <f>IF(LEN(TRIM(AF302))=0,"",HYPERLINK("https://www.google.com/maps/@?api=1&amp;map_action=pano&amp;viewpoint="&amp;SUBSTITUTE(AF302," ",""),"Abrir Street View"))</f>
        <v/>
      </c>
    </row>
    <row r="303">
      <c r="H303" s="6" t="n"/>
      <c r="I303" s="6" t="n"/>
      <c r="M303" s="7" t="n"/>
      <c r="N303" s="7" t="n"/>
      <c r="O303" s="7" t="n"/>
      <c r="Q303" s="7" t="n"/>
      <c r="R303" s="7" t="n"/>
      <c r="S303" s="8">
        <f>IF(NOT(ISNUMBER(M303)),"",IF(G303="Terreno",IF(AND(ISNUMBER(I303),I303&gt;0),M303/I303,""),IF(AND(ISNUMBER(H303),H303&gt;0),M303/H303,"")))</f>
        <v/>
      </c>
      <c r="T303" s="9">
        <f>IF(AND(ISNUMBER(M303),ISNUMBER(O303)),IF(M303&lt;=O303,"Valor ≤ venal IPTU",""),"")</f>
        <v/>
      </c>
      <c r="U303" s="10">
        <f>IF(AND(ISNUMBER(M303),ISNUMBER(N303)),IF(N303&gt;0,M303/N303,""),"")</f>
        <v/>
      </c>
      <c r="V303" s="10">
        <f>IF(AND(ISNUMBER(M303),ISNUMBER(O303)),IF(O303&gt;0,M303/O303,""),"")</f>
        <v/>
      </c>
      <c r="W303" s="10">
        <f>IF(AND(ISNUMBER(M303),ISNUMBER(R303)),IF(R303&gt;0,M303/R303,""),"")</f>
        <v/>
      </c>
      <c r="X303" s="10">
        <f>IF(AND(ISNUMBER(Q303),ISNUMBER(M303)),IF(M303&gt;0,Q303/M303,""),"")</f>
        <v/>
      </c>
      <c r="Y303" s="11">
        <f>IF(ISNUMBER(Z303),YEAR(Z303),"")</f>
        <v/>
      </c>
      <c r="Z303" s="12" t="n"/>
      <c r="AA303" s="12" t="n"/>
      <c r="AI303" s="12" t="n"/>
      <c r="AJ303" s="13">
        <f>IF(LEN(TRIM(AF303))=0,"",HYPERLINK("https://www.google.com/maps/@?api=1&amp;map_action=pano&amp;viewpoint="&amp;SUBSTITUTE(AF303," ",""),"Abrir Street View"))</f>
        <v/>
      </c>
    </row>
    <row r="304">
      <c r="H304" s="6" t="n"/>
      <c r="I304" s="6" t="n"/>
      <c r="M304" s="7" t="n"/>
      <c r="N304" s="7" t="n"/>
      <c r="O304" s="7" t="n"/>
      <c r="Q304" s="7" t="n"/>
      <c r="R304" s="7" t="n"/>
      <c r="S304" s="8">
        <f>IF(NOT(ISNUMBER(M304)),"",IF(G304="Terreno",IF(AND(ISNUMBER(I304),I304&gt;0),M304/I304,""),IF(AND(ISNUMBER(H304),H304&gt;0),M304/H304,"")))</f>
        <v/>
      </c>
      <c r="T304" s="9">
        <f>IF(AND(ISNUMBER(M304),ISNUMBER(O304)),IF(M304&lt;=O304,"Valor ≤ venal IPTU",""),"")</f>
        <v/>
      </c>
      <c r="U304" s="10">
        <f>IF(AND(ISNUMBER(M304),ISNUMBER(N304)),IF(N304&gt;0,M304/N304,""),"")</f>
        <v/>
      </c>
      <c r="V304" s="10">
        <f>IF(AND(ISNUMBER(M304),ISNUMBER(O304)),IF(O304&gt;0,M304/O304,""),"")</f>
        <v/>
      </c>
      <c r="W304" s="10">
        <f>IF(AND(ISNUMBER(M304),ISNUMBER(R304)),IF(R304&gt;0,M304/R304,""),"")</f>
        <v/>
      </c>
      <c r="X304" s="10">
        <f>IF(AND(ISNUMBER(Q304),ISNUMBER(M304)),IF(M304&gt;0,Q304/M304,""),"")</f>
        <v/>
      </c>
      <c r="Y304" s="11">
        <f>IF(ISNUMBER(Z304),YEAR(Z304),"")</f>
        <v/>
      </c>
      <c r="Z304" s="12" t="n"/>
      <c r="AA304" s="12" t="n"/>
      <c r="AI304" s="12" t="n"/>
      <c r="AJ304" s="13">
        <f>IF(LEN(TRIM(AF304))=0,"",HYPERLINK("https://www.google.com/maps/@?api=1&amp;map_action=pano&amp;viewpoint="&amp;SUBSTITUTE(AF304," ",""),"Abrir Street View"))</f>
        <v/>
      </c>
    </row>
    <row r="305">
      <c r="H305" s="6" t="n"/>
      <c r="I305" s="6" t="n"/>
      <c r="M305" s="7" t="n"/>
      <c r="N305" s="7" t="n"/>
      <c r="O305" s="7" t="n"/>
      <c r="Q305" s="7" t="n"/>
      <c r="R305" s="7" t="n"/>
      <c r="S305" s="8">
        <f>IF(NOT(ISNUMBER(M305)),"",IF(G305="Terreno",IF(AND(ISNUMBER(I305),I305&gt;0),M305/I305,""),IF(AND(ISNUMBER(H305),H305&gt;0),M305/H305,"")))</f>
        <v/>
      </c>
      <c r="T305" s="9">
        <f>IF(AND(ISNUMBER(M305),ISNUMBER(O305)),IF(M305&lt;=O305,"Valor ≤ venal IPTU",""),"")</f>
        <v/>
      </c>
      <c r="U305" s="10">
        <f>IF(AND(ISNUMBER(M305),ISNUMBER(N305)),IF(N305&gt;0,M305/N305,""),"")</f>
        <v/>
      </c>
      <c r="V305" s="10">
        <f>IF(AND(ISNUMBER(M305),ISNUMBER(O305)),IF(O305&gt;0,M305/O305,""),"")</f>
        <v/>
      </c>
      <c r="W305" s="10">
        <f>IF(AND(ISNUMBER(M305),ISNUMBER(R305)),IF(R305&gt;0,M305/R305,""),"")</f>
        <v/>
      </c>
      <c r="X305" s="10">
        <f>IF(AND(ISNUMBER(Q305),ISNUMBER(M305)),IF(M305&gt;0,Q305/M305,""),"")</f>
        <v/>
      </c>
      <c r="Y305" s="11">
        <f>IF(ISNUMBER(Z305),YEAR(Z305),"")</f>
        <v/>
      </c>
      <c r="Z305" s="12" t="n"/>
      <c r="AA305" s="12" t="n"/>
      <c r="AI305" s="12" t="n"/>
      <c r="AJ305" s="13">
        <f>IF(LEN(TRIM(AF305))=0,"",HYPERLINK("https://www.google.com/maps/@?api=1&amp;map_action=pano&amp;viewpoint="&amp;SUBSTITUTE(AF305," ",""),"Abrir Street View"))</f>
        <v/>
      </c>
    </row>
    <row r="306">
      <c r="H306" s="6" t="n"/>
      <c r="I306" s="6" t="n"/>
      <c r="M306" s="7" t="n"/>
      <c r="N306" s="7" t="n"/>
      <c r="O306" s="7" t="n"/>
      <c r="Q306" s="7" t="n"/>
      <c r="R306" s="7" t="n"/>
      <c r="S306" s="8">
        <f>IF(NOT(ISNUMBER(M306)),"",IF(G306="Terreno",IF(AND(ISNUMBER(I306),I306&gt;0),M306/I306,""),IF(AND(ISNUMBER(H306),H306&gt;0),M306/H306,"")))</f>
        <v/>
      </c>
      <c r="T306" s="9">
        <f>IF(AND(ISNUMBER(M306),ISNUMBER(O306)),IF(M306&lt;=O306,"Valor ≤ venal IPTU",""),"")</f>
        <v/>
      </c>
      <c r="U306" s="10">
        <f>IF(AND(ISNUMBER(M306),ISNUMBER(N306)),IF(N306&gt;0,M306/N306,""),"")</f>
        <v/>
      </c>
      <c r="V306" s="10">
        <f>IF(AND(ISNUMBER(M306),ISNUMBER(O306)),IF(O306&gt;0,M306/O306,""),"")</f>
        <v/>
      </c>
      <c r="W306" s="10">
        <f>IF(AND(ISNUMBER(M306),ISNUMBER(R306)),IF(R306&gt;0,M306/R306,""),"")</f>
        <v/>
      </c>
      <c r="X306" s="10">
        <f>IF(AND(ISNUMBER(Q306),ISNUMBER(M306)),IF(M306&gt;0,Q306/M306,""),"")</f>
        <v/>
      </c>
      <c r="Y306" s="11">
        <f>IF(ISNUMBER(Z306),YEAR(Z306),"")</f>
        <v/>
      </c>
      <c r="Z306" s="12" t="n"/>
      <c r="AA306" s="12" t="n"/>
      <c r="AI306" s="12" t="n"/>
      <c r="AJ306" s="13">
        <f>IF(LEN(TRIM(AF306))=0,"",HYPERLINK("https://www.google.com/maps/@?api=1&amp;map_action=pano&amp;viewpoint="&amp;SUBSTITUTE(AF306," ",""),"Abrir Street View"))</f>
        <v/>
      </c>
    </row>
    <row r="307">
      <c r="H307" s="6" t="n"/>
      <c r="I307" s="6" t="n"/>
      <c r="M307" s="7" t="n"/>
      <c r="N307" s="7" t="n"/>
      <c r="O307" s="7" t="n"/>
      <c r="Q307" s="7" t="n"/>
      <c r="R307" s="7" t="n"/>
      <c r="S307" s="8">
        <f>IF(NOT(ISNUMBER(M307)),"",IF(G307="Terreno",IF(AND(ISNUMBER(I307),I307&gt;0),M307/I307,""),IF(AND(ISNUMBER(H307),H307&gt;0),M307/H307,"")))</f>
        <v/>
      </c>
      <c r="T307" s="9">
        <f>IF(AND(ISNUMBER(M307),ISNUMBER(O307)),IF(M307&lt;=O307,"Valor ≤ venal IPTU",""),"")</f>
        <v/>
      </c>
      <c r="U307" s="10">
        <f>IF(AND(ISNUMBER(M307),ISNUMBER(N307)),IF(N307&gt;0,M307/N307,""),"")</f>
        <v/>
      </c>
      <c r="V307" s="10">
        <f>IF(AND(ISNUMBER(M307),ISNUMBER(O307)),IF(O307&gt;0,M307/O307,""),"")</f>
        <v/>
      </c>
      <c r="W307" s="10">
        <f>IF(AND(ISNUMBER(M307),ISNUMBER(R307)),IF(R307&gt;0,M307/R307,""),"")</f>
        <v/>
      </c>
      <c r="X307" s="10">
        <f>IF(AND(ISNUMBER(Q307),ISNUMBER(M307)),IF(M307&gt;0,Q307/M307,""),"")</f>
        <v/>
      </c>
      <c r="Y307" s="11">
        <f>IF(ISNUMBER(Z307),YEAR(Z307),"")</f>
        <v/>
      </c>
      <c r="Z307" s="12" t="n"/>
      <c r="AA307" s="12" t="n"/>
      <c r="AI307" s="12" t="n"/>
      <c r="AJ307" s="13">
        <f>IF(LEN(TRIM(AF307))=0,"",HYPERLINK("https://www.google.com/maps/@?api=1&amp;map_action=pano&amp;viewpoint="&amp;SUBSTITUTE(AF307," ",""),"Abrir Street View"))</f>
        <v/>
      </c>
    </row>
    <row r="308">
      <c r="H308" s="6" t="n"/>
      <c r="I308" s="6" t="n"/>
      <c r="M308" s="7" t="n"/>
      <c r="N308" s="7" t="n"/>
      <c r="O308" s="7" t="n"/>
      <c r="Q308" s="7" t="n"/>
      <c r="R308" s="7" t="n"/>
      <c r="S308" s="8">
        <f>IF(NOT(ISNUMBER(M308)),"",IF(G308="Terreno",IF(AND(ISNUMBER(I308),I308&gt;0),M308/I308,""),IF(AND(ISNUMBER(H308),H308&gt;0),M308/H308,"")))</f>
        <v/>
      </c>
      <c r="T308" s="9">
        <f>IF(AND(ISNUMBER(M308),ISNUMBER(O308)),IF(M308&lt;=O308,"Valor ≤ venal IPTU",""),"")</f>
        <v/>
      </c>
      <c r="U308" s="10">
        <f>IF(AND(ISNUMBER(M308),ISNUMBER(N308)),IF(N308&gt;0,M308/N308,""),"")</f>
        <v/>
      </c>
      <c r="V308" s="10">
        <f>IF(AND(ISNUMBER(M308),ISNUMBER(O308)),IF(O308&gt;0,M308/O308,""),"")</f>
        <v/>
      </c>
      <c r="W308" s="10">
        <f>IF(AND(ISNUMBER(M308),ISNUMBER(R308)),IF(R308&gt;0,M308/R308,""),"")</f>
        <v/>
      </c>
      <c r="X308" s="10">
        <f>IF(AND(ISNUMBER(Q308),ISNUMBER(M308)),IF(M308&gt;0,Q308/M308,""),"")</f>
        <v/>
      </c>
      <c r="Y308" s="11">
        <f>IF(ISNUMBER(Z308),YEAR(Z308),"")</f>
        <v/>
      </c>
      <c r="Z308" s="12" t="n"/>
      <c r="AA308" s="12" t="n"/>
      <c r="AI308" s="12" t="n"/>
      <c r="AJ308" s="13">
        <f>IF(LEN(TRIM(AF308))=0,"",HYPERLINK("https://www.google.com/maps/@?api=1&amp;map_action=pano&amp;viewpoint="&amp;SUBSTITUTE(AF308," ",""),"Abrir Street View"))</f>
        <v/>
      </c>
    </row>
    <row r="309">
      <c r="H309" s="6" t="n"/>
      <c r="I309" s="6" t="n"/>
      <c r="M309" s="7" t="n"/>
      <c r="N309" s="7" t="n"/>
      <c r="O309" s="7" t="n"/>
      <c r="Q309" s="7" t="n"/>
      <c r="R309" s="7" t="n"/>
      <c r="S309" s="8">
        <f>IF(NOT(ISNUMBER(M309)),"",IF(G309="Terreno",IF(AND(ISNUMBER(I309),I309&gt;0),M309/I309,""),IF(AND(ISNUMBER(H309),H309&gt;0),M309/H309,"")))</f>
        <v/>
      </c>
      <c r="T309" s="9">
        <f>IF(AND(ISNUMBER(M309),ISNUMBER(O309)),IF(M309&lt;=O309,"Valor ≤ venal IPTU",""),"")</f>
        <v/>
      </c>
      <c r="U309" s="10">
        <f>IF(AND(ISNUMBER(M309),ISNUMBER(N309)),IF(N309&gt;0,M309/N309,""),"")</f>
        <v/>
      </c>
      <c r="V309" s="10">
        <f>IF(AND(ISNUMBER(M309),ISNUMBER(O309)),IF(O309&gt;0,M309/O309,""),"")</f>
        <v/>
      </c>
      <c r="W309" s="10">
        <f>IF(AND(ISNUMBER(M309),ISNUMBER(R309)),IF(R309&gt;0,M309/R309,""),"")</f>
        <v/>
      </c>
      <c r="X309" s="10">
        <f>IF(AND(ISNUMBER(Q309),ISNUMBER(M309)),IF(M309&gt;0,Q309/M309,""),"")</f>
        <v/>
      </c>
      <c r="Y309" s="11">
        <f>IF(ISNUMBER(Z309),YEAR(Z309),"")</f>
        <v/>
      </c>
      <c r="Z309" s="12" t="n"/>
      <c r="AA309" s="12" t="n"/>
      <c r="AI309" s="12" t="n"/>
      <c r="AJ309" s="13">
        <f>IF(LEN(TRIM(AF309))=0,"",HYPERLINK("https://www.google.com/maps/@?api=1&amp;map_action=pano&amp;viewpoint="&amp;SUBSTITUTE(AF309," ",""),"Abrir Street View"))</f>
        <v/>
      </c>
    </row>
    <row r="310">
      <c r="H310" s="6" t="n"/>
      <c r="I310" s="6" t="n"/>
      <c r="M310" s="7" t="n"/>
      <c r="N310" s="7" t="n"/>
      <c r="O310" s="7" t="n"/>
      <c r="Q310" s="7" t="n"/>
      <c r="R310" s="7" t="n"/>
      <c r="S310" s="8">
        <f>IF(NOT(ISNUMBER(M310)),"",IF(G310="Terreno",IF(AND(ISNUMBER(I310),I310&gt;0),M310/I310,""),IF(AND(ISNUMBER(H310),H310&gt;0),M310/H310,"")))</f>
        <v/>
      </c>
      <c r="T310" s="9">
        <f>IF(AND(ISNUMBER(M310),ISNUMBER(O310)),IF(M310&lt;=O310,"Valor ≤ venal IPTU",""),"")</f>
        <v/>
      </c>
      <c r="U310" s="10">
        <f>IF(AND(ISNUMBER(M310),ISNUMBER(N310)),IF(N310&gt;0,M310/N310,""),"")</f>
        <v/>
      </c>
      <c r="V310" s="10">
        <f>IF(AND(ISNUMBER(M310),ISNUMBER(O310)),IF(O310&gt;0,M310/O310,""),"")</f>
        <v/>
      </c>
      <c r="W310" s="10">
        <f>IF(AND(ISNUMBER(M310),ISNUMBER(R310)),IF(R310&gt;0,M310/R310,""),"")</f>
        <v/>
      </c>
      <c r="X310" s="10">
        <f>IF(AND(ISNUMBER(Q310),ISNUMBER(M310)),IF(M310&gt;0,Q310/M310,""),"")</f>
        <v/>
      </c>
      <c r="Y310" s="11">
        <f>IF(ISNUMBER(Z310),YEAR(Z310),"")</f>
        <v/>
      </c>
      <c r="Z310" s="12" t="n"/>
      <c r="AA310" s="12" t="n"/>
      <c r="AI310" s="12" t="n"/>
      <c r="AJ310" s="13">
        <f>IF(LEN(TRIM(AF310))=0,"",HYPERLINK("https://www.google.com/maps/@?api=1&amp;map_action=pano&amp;viewpoint="&amp;SUBSTITUTE(AF310," ",""),"Abrir Street View"))</f>
        <v/>
      </c>
    </row>
    <row r="311">
      <c r="H311" s="6" t="n"/>
      <c r="I311" s="6" t="n"/>
      <c r="M311" s="7" t="n"/>
      <c r="N311" s="7" t="n"/>
      <c r="O311" s="7" t="n"/>
      <c r="Q311" s="7" t="n"/>
      <c r="R311" s="7" t="n"/>
      <c r="S311" s="8">
        <f>IF(NOT(ISNUMBER(M311)),"",IF(G311="Terreno",IF(AND(ISNUMBER(I311),I311&gt;0),M311/I311,""),IF(AND(ISNUMBER(H311),H311&gt;0),M311/H311,"")))</f>
        <v/>
      </c>
      <c r="T311" s="9">
        <f>IF(AND(ISNUMBER(M311),ISNUMBER(O311)),IF(M311&lt;=O311,"Valor ≤ venal IPTU",""),"")</f>
        <v/>
      </c>
      <c r="U311" s="10">
        <f>IF(AND(ISNUMBER(M311),ISNUMBER(N311)),IF(N311&gt;0,M311/N311,""),"")</f>
        <v/>
      </c>
      <c r="V311" s="10">
        <f>IF(AND(ISNUMBER(M311),ISNUMBER(O311)),IF(O311&gt;0,M311/O311,""),"")</f>
        <v/>
      </c>
      <c r="W311" s="10">
        <f>IF(AND(ISNUMBER(M311),ISNUMBER(R311)),IF(R311&gt;0,M311/R311,""),"")</f>
        <v/>
      </c>
      <c r="X311" s="10">
        <f>IF(AND(ISNUMBER(Q311),ISNUMBER(M311)),IF(M311&gt;0,Q311/M311,""),"")</f>
        <v/>
      </c>
      <c r="Y311" s="11">
        <f>IF(ISNUMBER(Z311),YEAR(Z311),"")</f>
        <v/>
      </c>
      <c r="Z311" s="12" t="n"/>
      <c r="AA311" s="12" t="n"/>
      <c r="AI311" s="12" t="n"/>
      <c r="AJ311" s="13">
        <f>IF(LEN(TRIM(AF311))=0,"",HYPERLINK("https://www.google.com/maps/@?api=1&amp;map_action=pano&amp;viewpoint="&amp;SUBSTITUTE(AF311," ",""),"Abrir Street View"))</f>
        <v/>
      </c>
    </row>
    <row r="312">
      <c r="H312" s="6" t="n"/>
      <c r="I312" s="6" t="n"/>
      <c r="M312" s="7" t="n"/>
      <c r="N312" s="7" t="n"/>
      <c r="O312" s="7" t="n"/>
      <c r="Q312" s="7" t="n"/>
      <c r="R312" s="7" t="n"/>
      <c r="S312" s="8">
        <f>IF(NOT(ISNUMBER(M312)),"",IF(G312="Terreno",IF(AND(ISNUMBER(I312),I312&gt;0),M312/I312,""),IF(AND(ISNUMBER(H312),H312&gt;0),M312/H312,"")))</f>
        <v/>
      </c>
      <c r="T312" s="9">
        <f>IF(AND(ISNUMBER(M312),ISNUMBER(O312)),IF(M312&lt;=O312,"Valor ≤ venal IPTU",""),"")</f>
        <v/>
      </c>
      <c r="U312" s="10">
        <f>IF(AND(ISNUMBER(M312),ISNUMBER(N312)),IF(N312&gt;0,M312/N312,""),"")</f>
        <v/>
      </c>
      <c r="V312" s="10">
        <f>IF(AND(ISNUMBER(M312),ISNUMBER(O312)),IF(O312&gt;0,M312/O312,""),"")</f>
        <v/>
      </c>
      <c r="W312" s="10">
        <f>IF(AND(ISNUMBER(M312),ISNUMBER(R312)),IF(R312&gt;0,M312/R312,""),"")</f>
        <v/>
      </c>
      <c r="X312" s="10">
        <f>IF(AND(ISNUMBER(Q312),ISNUMBER(M312)),IF(M312&gt;0,Q312/M312,""),"")</f>
        <v/>
      </c>
      <c r="Y312" s="11">
        <f>IF(ISNUMBER(Z312),YEAR(Z312),"")</f>
        <v/>
      </c>
      <c r="Z312" s="12" t="n"/>
      <c r="AA312" s="12" t="n"/>
      <c r="AI312" s="12" t="n"/>
      <c r="AJ312" s="13">
        <f>IF(LEN(TRIM(AF312))=0,"",HYPERLINK("https://www.google.com/maps/@?api=1&amp;map_action=pano&amp;viewpoint="&amp;SUBSTITUTE(AF312," ",""),"Abrir Street View"))</f>
        <v/>
      </c>
    </row>
    <row r="313">
      <c r="H313" s="6" t="n"/>
      <c r="I313" s="6" t="n"/>
      <c r="M313" s="7" t="n"/>
      <c r="N313" s="7" t="n"/>
      <c r="O313" s="7" t="n"/>
      <c r="Q313" s="7" t="n"/>
      <c r="R313" s="7" t="n"/>
      <c r="S313" s="8">
        <f>IF(NOT(ISNUMBER(M313)),"",IF(G313="Terreno",IF(AND(ISNUMBER(I313),I313&gt;0),M313/I313,""),IF(AND(ISNUMBER(H313),H313&gt;0),M313/H313,"")))</f>
        <v/>
      </c>
      <c r="T313" s="9">
        <f>IF(AND(ISNUMBER(M313),ISNUMBER(O313)),IF(M313&lt;=O313,"Valor ≤ venal IPTU",""),"")</f>
        <v/>
      </c>
      <c r="U313" s="10">
        <f>IF(AND(ISNUMBER(M313),ISNUMBER(N313)),IF(N313&gt;0,M313/N313,""),"")</f>
        <v/>
      </c>
      <c r="V313" s="10">
        <f>IF(AND(ISNUMBER(M313),ISNUMBER(O313)),IF(O313&gt;0,M313/O313,""),"")</f>
        <v/>
      </c>
      <c r="W313" s="10">
        <f>IF(AND(ISNUMBER(M313),ISNUMBER(R313)),IF(R313&gt;0,M313/R313,""),"")</f>
        <v/>
      </c>
      <c r="X313" s="10">
        <f>IF(AND(ISNUMBER(Q313),ISNUMBER(M313)),IF(M313&gt;0,Q313/M313,""),"")</f>
        <v/>
      </c>
      <c r="Y313" s="11">
        <f>IF(ISNUMBER(Z313),YEAR(Z313),"")</f>
        <v/>
      </c>
      <c r="Z313" s="12" t="n"/>
      <c r="AA313" s="12" t="n"/>
      <c r="AI313" s="12" t="n"/>
      <c r="AJ313" s="13">
        <f>IF(LEN(TRIM(AF313))=0,"",HYPERLINK("https://www.google.com/maps/@?api=1&amp;map_action=pano&amp;viewpoint="&amp;SUBSTITUTE(AF313," ",""),"Abrir Street View"))</f>
        <v/>
      </c>
    </row>
    <row r="314">
      <c r="H314" s="6" t="n"/>
      <c r="I314" s="6" t="n"/>
      <c r="M314" s="7" t="n"/>
      <c r="N314" s="7" t="n"/>
      <c r="O314" s="7" t="n"/>
      <c r="Q314" s="7" t="n"/>
      <c r="R314" s="7" t="n"/>
      <c r="S314" s="8">
        <f>IF(NOT(ISNUMBER(M314)),"",IF(G314="Terreno",IF(AND(ISNUMBER(I314),I314&gt;0),M314/I314,""),IF(AND(ISNUMBER(H314),H314&gt;0),M314/H314,"")))</f>
        <v/>
      </c>
      <c r="T314" s="9">
        <f>IF(AND(ISNUMBER(M314),ISNUMBER(O314)),IF(M314&lt;=O314,"Valor ≤ venal IPTU",""),"")</f>
        <v/>
      </c>
      <c r="U314" s="10">
        <f>IF(AND(ISNUMBER(M314),ISNUMBER(N314)),IF(N314&gt;0,M314/N314,""),"")</f>
        <v/>
      </c>
      <c r="V314" s="10">
        <f>IF(AND(ISNUMBER(M314),ISNUMBER(O314)),IF(O314&gt;0,M314/O314,""),"")</f>
        <v/>
      </c>
      <c r="W314" s="10">
        <f>IF(AND(ISNUMBER(M314),ISNUMBER(R314)),IF(R314&gt;0,M314/R314,""),"")</f>
        <v/>
      </c>
      <c r="X314" s="10">
        <f>IF(AND(ISNUMBER(Q314),ISNUMBER(M314)),IF(M314&gt;0,Q314/M314,""),"")</f>
        <v/>
      </c>
      <c r="Y314" s="11">
        <f>IF(ISNUMBER(Z314),YEAR(Z314),"")</f>
        <v/>
      </c>
      <c r="Z314" s="12" t="n"/>
      <c r="AA314" s="12" t="n"/>
      <c r="AI314" s="12" t="n"/>
      <c r="AJ314" s="13">
        <f>IF(LEN(TRIM(AF314))=0,"",HYPERLINK("https://www.google.com/maps/@?api=1&amp;map_action=pano&amp;viewpoint="&amp;SUBSTITUTE(AF314," ",""),"Abrir Street View"))</f>
        <v/>
      </c>
    </row>
    <row r="315">
      <c r="H315" s="6" t="n"/>
      <c r="I315" s="6" t="n"/>
      <c r="M315" s="7" t="n"/>
      <c r="N315" s="7" t="n"/>
      <c r="O315" s="7" t="n"/>
      <c r="Q315" s="7" t="n"/>
      <c r="R315" s="7" t="n"/>
      <c r="S315" s="8">
        <f>IF(NOT(ISNUMBER(M315)),"",IF(G315="Terreno",IF(AND(ISNUMBER(I315),I315&gt;0),M315/I315,""),IF(AND(ISNUMBER(H315),H315&gt;0),M315/H315,"")))</f>
        <v/>
      </c>
      <c r="T315" s="9">
        <f>IF(AND(ISNUMBER(M315),ISNUMBER(O315)),IF(M315&lt;=O315,"Valor ≤ venal IPTU",""),"")</f>
        <v/>
      </c>
      <c r="U315" s="10">
        <f>IF(AND(ISNUMBER(M315),ISNUMBER(N315)),IF(N315&gt;0,M315/N315,""),"")</f>
        <v/>
      </c>
      <c r="V315" s="10">
        <f>IF(AND(ISNUMBER(M315),ISNUMBER(O315)),IF(O315&gt;0,M315/O315,""),"")</f>
        <v/>
      </c>
      <c r="W315" s="10">
        <f>IF(AND(ISNUMBER(M315),ISNUMBER(R315)),IF(R315&gt;0,M315/R315,""),"")</f>
        <v/>
      </c>
      <c r="X315" s="10">
        <f>IF(AND(ISNUMBER(Q315),ISNUMBER(M315)),IF(M315&gt;0,Q315/M315,""),"")</f>
        <v/>
      </c>
      <c r="Y315" s="11">
        <f>IF(ISNUMBER(Z315),YEAR(Z315),"")</f>
        <v/>
      </c>
      <c r="Z315" s="12" t="n"/>
      <c r="AA315" s="12" t="n"/>
      <c r="AI315" s="12" t="n"/>
      <c r="AJ315" s="13">
        <f>IF(LEN(TRIM(AF315))=0,"",HYPERLINK("https://www.google.com/maps/@?api=1&amp;map_action=pano&amp;viewpoint="&amp;SUBSTITUTE(AF315," ",""),"Abrir Street View"))</f>
        <v/>
      </c>
    </row>
    <row r="316">
      <c r="H316" s="6" t="n"/>
      <c r="I316" s="6" t="n"/>
      <c r="M316" s="7" t="n"/>
      <c r="N316" s="7" t="n"/>
      <c r="O316" s="7" t="n"/>
      <c r="Q316" s="7" t="n"/>
      <c r="R316" s="7" t="n"/>
      <c r="S316" s="8">
        <f>IF(NOT(ISNUMBER(M316)),"",IF(G316="Terreno",IF(AND(ISNUMBER(I316),I316&gt;0),M316/I316,""),IF(AND(ISNUMBER(H316),H316&gt;0),M316/H316,"")))</f>
        <v/>
      </c>
      <c r="T316" s="9">
        <f>IF(AND(ISNUMBER(M316),ISNUMBER(O316)),IF(M316&lt;=O316,"Valor ≤ venal IPTU",""),"")</f>
        <v/>
      </c>
      <c r="U316" s="10">
        <f>IF(AND(ISNUMBER(M316),ISNUMBER(N316)),IF(N316&gt;0,M316/N316,""),"")</f>
        <v/>
      </c>
      <c r="V316" s="10">
        <f>IF(AND(ISNUMBER(M316),ISNUMBER(O316)),IF(O316&gt;0,M316/O316,""),"")</f>
        <v/>
      </c>
      <c r="W316" s="10">
        <f>IF(AND(ISNUMBER(M316),ISNUMBER(R316)),IF(R316&gt;0,M316/R316,""),"")</f>
        <v/>
      </c>
      <c r="X316" s="10">
        <f>IF(AND(ISNUMBER(Q316),ISNUMBER(M316)),IF(M316&gt;0,Q316/M316,""),"")</f>
        <v/>
      </c>
      <c r="Y316" s="11">
        <f>IF(ISNUMBER(Z316),YEAR(Z316),"")</f>
        <v/>
      </c>
      <c r="Z316" s="12" t="n"/>
      <c r="AA316" s="12" t="n"/>
      <c r="AI316" s="12" t="n"/>
      <c r="AJ316" s="13">
        <f>IF(LEN(TRIM(AF316))=0,"",HYPERLINK("https://www.google.com/maps/@?api=1&amp;map_action=pano&amp;viewpoint="&amp;SUBSTITUTE(AF316," ",""),"Abrir Street View"))</f>
        <v/>
      </c>
    </row>
    <row r="317">
      <c r="H317" s="6" t="n"/>
      <c r="I317" s="6" t="n"/>
      <c r="M317" s="7" t="n"/>
      <c r="N317" s="7" t="n"/>
      <c r="O317" s="7" t="n"/>
      <c r="Q317" s="7" t="n"/>
      <c r="R317" s="7" t="n"/>
      <c r="S317" s="8">
        <f>IF(NOT(ISNUMBER(M317)),"",IF(G317="Terreno",IF(AND(ISNUMBER(I317),I317&gt;0),M317/I317,""),IF(AND(ISNUMBER(H317),H317&gt;0),M317/H317,"")))</f>
        <v/>
      </c>
      <c r="T317" s="9">
        <f>IF(AND(ISNUMBER(M317),ISNUMBER(O317)),IF(M317&lt;=O317,"Valor ≤ venal IPTU",""),"")</f>
        <v/>
      </c>
      <c r="U317" s="10">
        <f>IF(AND(ISNUMBER(M317),ISNUMBER(N317)),IF(N317&gt;0,M317/N317,""),"")</f>
        <v/>
      </c>
      <c r="V317" s="10">
        <f>IF(AND(ISNUMBER(M317),ISNUMBER(O317)),IF(O317&gt;0,M317/O317,""),"")</f>
        <v/>
      </c>
      <c r="W317" s="10">
        <f>IF(AND(ISNUMBER(M317),ISNUMBER(R317)),IF(R317&gt;0,M317/R317,""),"")</f>
        <v/>
      </c>
      <c r="X317" s="10">
        <f>IF(AND(ISNUMBER(Q317),ISNUMBER(M317)),IF(M317&gt;0,Q317/M317,""),"")</f>
        <v/>
      </c>
      <c r="Y317" s="11">
        <f>IF(ISNUMBER(Z317),YEAR(Z317),"")</f>
        <v/>
      </c>
      <c r="Z317" s="12" t="n"/>
      <c r="AA317" s="12" t="n"/>
      <c r="AI317" s="12" t="n"/>
      <c r="AJ317" s="13">
        <f>IF(LEN(TRIM(AF317))=0,"",HYPERLINK("https://www.google.com/maps/@?api=1&amp;map_action=pano&amp;viewpoint="&amp;SUBSTITUTE(AF317," ",""),"Abrir Street View"))</f>
        <v/>
      </c>
    </row>
    <row r="318">
      <c r="H318" s="6" t="n"/>
      <c r="I318" s="6" t="n"/>
      <c r="M318" s="7" t="n"/>
      <c r="N318" s="7" t="n"/>
      <c r="O318" s="7" t="n"/>
      <c r="Q318" s="7" t="n"/>
      <c r="R318" s="7" t="n"/>
      <c r="S318" s="8">
        <f>IF(NOT(ISNUMBER(M318)),"",IF(G318="Terreno",IF(AND(ISNUMBER(I318),I318&gt;0),M318/I318,""),IF(AND(ISNUMBER(H318),H318&gt;0),M318/H318,"")))</f>
        <v/>
      </c>
      <c r="T318" s="9">
        <f>IF(AND(ISNUMBER(M318),ISNUMBER(O318)),IF(M318&lt;=O318,"Valor ≤ venal IPTU",""),"")</f>
        <v/>
      </c>
      <c r="U318" s="10">
        <f>IF(AND(ISNUMBER(M318),ISNUMBER(N318)),IF(N318&gt;0,M318/N318,""),"")</f>
        <v/>
      </c>
      <c r="V318" s="10">
        <f>IF(AND(ISNUMBER(M318),ISNUMBER(O318)),IF(O318&gt;0,M318/O318,""),"")</f>
        <v/>
      </c>
      <c r="W318" s="10">
        <f>IF(AND(ISNUMBER(M318),ISNUMBER(R318)),IF(R318&gt;0,M318/R318,""),"")</f>
        <v/>
      </c>
      <c r="X318" s="10">
        <f>IF(AND(ISNUMBER(Q318),ISNUMBER(M318)),IF(M318&gt;0,Q318/M318,""),"")</f>
        <v/>
      </c>
      <c r="Y318" s="11">
        <f>IF(ISNUMBER(Z318),YEAR(Z318),"")</f>
        <v/>
      </c>
      <c r="Z318" s="12" t="n"/>
      <c r="AA318" s="12" t="n"/>
      <c r="AI318" s="12" t="n"/>
      <c r="AJ318" s="13">
        <f>IF(LEN(TRIM(AF318))=0,"",HYPERLINK("https://www.google.com/maps/@?api=1&amp;map_action=pano&amp;viewpoint="&amp;SUBSTITUTE(AF318," ",""),"Abrir Street View"))</f>
        <v/>
      </c>
    </row>
    <row r="319">
      <c r="H319" s="6" t="n"/>
      <c r="I319" s="6" t="n"/>
      <c r="M319" s="7" t="n"/>
      <c r="N319" s="7" t="n"/>
      <c r="O319" s="7" t="n"/>
      <c r="Q319" s="7" t="n"/>
      <c r="R319" s="7" t="n"/>
      <c r="S319" s="8">
        <f>IF(NOT(ISNUMBER(M319)),"",IF(G319="Terreno",IF(AND(ISNUMBER(I319),I319&gt;0),M319/I319,""),IF(AND(ISNUMBER(H319),H319&gt;0),M319/H319,"")))</f>
        <v/>
      </c>
      <c r="T319" s="9">
        <f>IF(AND(ISNUMBER(M319),ISNUMBER(O319)),IF(M319&lt;=O319,"Valor ≤ venal IPTU",""),"")</f>
        <v/>
      </c>
      <c r="U319" s="10">
        <f>IF(AND(ISNUMBER(M319),ISNUMBER(N319)),IF(N319&gt;0,M319/N319,""),"")</f>
        <v/>
      </c>
      <c r="V319" s="10">
        <f>IF(AND(ISNUMBER(M319),ISNUMBER(O319)),IF(O319&gt;0,M319/O319,""),"")</f>
        <v/>
      </c>
      <c r="W319" s="10">
        <f>IF(AND(ISNUMBER(M319),ISNUMBER(R319)),IF(R319&gt;0,M319/R319,""),"")</f>
        <v/>
      </c>
      <c r="X319" s="10">
        <f>IF(AND(ISNUMBER(Q319),ISNUMBER(M319)),IF(M319&gt;0,Q319/M319,""),"")</f>
        <v/>
      </c>
      <c r="Y319" s="11">
        <f>IF(ISNUMBER(Z319),YEAR(Z319),"")</f>
        <v/>
      </c>
      <c r="Z319" s="12" t="n"/>
      <c r="AA319" s="12" t="n"/>
      <c r="AI319" s="12" t="n"/>
      <c r="AJ319" s="13">
        <f>IF(LEN(TRIM(AF319))=0,"",HYPERLINK("https://www.google.com/maps/@?api=1&amp;map_action=pano&amp;viewpoint="&amp;SUBSTITUTE(AF319," ",""),"Abrir Street View"))</f>
        <v/>
      </c>
    </row>
    <row r="320">
      <c r="H320" s="6" t="n"/>
      <c r="I320" s="6" t="n"/>
      <c r="M320" s="7" t="n"/>
      <c r="N320" s="7" t="n"/>
      <c r="O320" s="7" t="n"/>
      <c r="Q320" s="7" t="n"/>
      <c r="R320" s="7" t="n"/>
      <c r="S320" s="8">
        <f>IF(NOT(ISNUMBER(M320)),"",IF(G320="Terreno",IF(AND(ISNUMBER(I320),I320&gt;0),M320/I320,""),IF(AND(ISNUMBER(H320),H320&gt;0),M320/H320,"")))</f>
        <v/>
      </c>
      <c r="T320" s="9">
        <f>IF(AND(ISNUMBER(M320),ISNUMBER(O320)),IF(M320&lt;=O320,"Valor ≤ venal IPTU",""),"")</f>
        <v/>
      </c>
      <c r="U320" s="10">
        <f>IF(AND(ISNUMBER(M320),ISNUMBER(N320)),IF(N320&gt;0,M320/N320,""),"")</f>
        <v/>
      </c>
      <c r="V320" s="10">
        <f>IF(AND(ISNUMBER(M320),ISNUMBER(O320)),IF(O320&gt;0,M320/O320,""),"")</f>
        <v/>
      </c>
      <c r="W320" s="10">
        <f>IF(AND(ISNUMBER(M320),ISNUMBER(R320)),IF(R320&gt;0,M320/R320,""),"")</f>
        <v/>
      </c>
      <c r="X320" s="10">
        <f>IF(AND(ISNUMBER(Q320),ISNUMBER(M320)),IF(M320&gt;0,Q320/M320,""),"")</f>
        <v/>
      </c>
      <c r="Y320" s="11">
        <f>IF(ISNUMBER(Z320),YEAR(Z320),"")</f>
        <v/>
      </c>
      <c r="Z320" s="12" t="n"/>
      <c r="AA320" s="12" t="n"/>
      <c r="AI320" s="12" t="n"/>
      <c r="AJ320" s="13">
        <f>IF(LEN(TRIM(AF320))=0,"",HYPERLINK("https://www.google.com/maps/@?api=1&amp;map_action=pano&amp;viewpoint="&amp;SUBSTITUTE(AF320," ",""),"Abrir Street View"))</f>
        <v/>
      </c>
    </row>
    <row r="321">
      <c r="H321" s="6" t="n"/>
      <c r="I321" s="6" t="n"/>
      <c r="M321" s="7" t="n"/>
      <c r="N321" s="7" t="n"/>
      <c r="O321" s="7" t="n"/>
      <c r="Q321" s="7" t="n"/>
      <c r="R321" s="7" t="n"/>
      <c r="S321" s="8">
        <f>IF(NOT(ISNUMBER(M321)),"",IF(G321="Terreno",IF(AND(ISNUMBER(I321),I321&gt;0),M321/I321,""),IF(AND(ISNUMBER(H321),H321&gt;0),M321/H321,"")))</f>
        <v/>
      </c>
      <c r="T321" s="9">
        <f>IF(AND(ISNUMBER(M321),ISNUMBER(O321)),IF(M321&lt;=O321,"Valor ≤ venal IPTU",""),"")</f>
        <v/>
      </c>
      <c r="U321" s="10">
        <f>IF(AND(ISNUMBER(M321),ISNUMBER(N321)),IF(N321&gt;0,M321/N321,""),"")</f>
        <v/>
      </c>
      <c r="V321" s="10">
        <f>IF(AND(ISNUMBER(M321),ISNUMBER(O321)),IF(O321&gt;0,M321/O321,""),"")</f>
        <v/>
      </c>
      <c r="W321" s="10">
        <f>IF(AND(ISNUMBER(M321),ISNUMBER(R321)),IF(R321&gt;0,M321/R321,""),"")</f>
        <v/>
      </c>
      <c r="X321" s="10">
        <f>IF(AND(ISNUMBER(Q321),ISNUMBER(M321)),IF(M321&gt;0,Q321/M321,""),"")</f>
        <v/>
      </c>
      <c r="Y321" s="11">
        <f>IF(ISNUMBER(Z321),YEAR(Z321),"")</f>
        <v/>
      </c>
      <c r="Z321" s="12" t="n"/>
      <c r="AA321" s="12" t="n"/>
      <c r="AI321" s="12" t="n"/>
      <c r="AJ321" s="13">
        <f>IF(LEN(TRIM(AF321))=0,"",HYPERLINK("https://www.google.com/maps/@?api=1&amp;map_action=pano&amp;viewpoint="&amp;SUBSTITUTE(AF321," ",""),"Abrir Street View"))</f>
        <v/>
      </c>
    </row>
    <row r="322">
      <c r="H322" s="6" t="n"/>
      <c r="I322" s="6" t="n"/>
      <c r="M322" s="7" t="n"/>
      <c r="N322" s="7" t="n"/>
      <c r="O322" s="7" t="n"/>
      <c r="Q322" s="7" t="n"/>
      <c r="R322" s="7" t="n"/>
      <c r="S322" s="8">
        <f>IF(NOT(ISNUMBER(M322)),"",IF(G322="Terreno",IF(AND(ISNUMBER(I322),I322&gt;0),M322/I322,""),IF(AND(ISNUMBER(H322),H322&gt;0),M322/H322,"")))</f>
        <v/>
      </c>
      <c r="T322" s="9">
        <f>IF(AND(ISNUMBER(M322),ISNUMBER(O322)),IF(M322&lt;=O322,"Valor ≤ venal IPTU",""),"")</f>
        <v/>
      </c>
      <c r="U322" s="10">
        <f>IF(AND(ISNUMBER(M322),ISNUMBER(N322)),IF(N322&gt;0,M322/N322,""),"")</f>
        <v/>
      </c>
      <c r="V322" s="10">
        <f>IF(AND(ISNUMBER(M322),ISNUMBER(O322)),IF(O322&gt;0,M322/O322,""),"")</f>
        <v/>
      </c>
      <c r="W322" s="10">
        <f>IF(AND(ISNUMBER(M322),ISNUMBER(R322)),IF(R322&gt;0,M322/R322,""),"")</f>
        <v/>
      </c>
      <c r="X322" s="10">
        <f>IF(AND(ISNUMBER(Q322),ISNUMBER(M322)),IF(M322&gt;0,Q322/M322,""),"")</f>
        <v/>
      </c>
      <c r="Y322" s="11">
        <f>IF(ISNUMBER(Z322),YEAR(Z322),"")</f>
        <v/>
      </c>
      <c r="Z322" s="12" t="n"/>
      <c r="AA322" s="12" t="n"/>
      <c r="AI322" s="12" t="n"/>
      <c r="AJ322" s="13">
        <f>IF(LEN(TRIM(AF322))=0,"",HYPERLINK("https://www.google.com/maps/@?api=1&amp;map_action=pano&amp;viewpoint="&amp;SUBSTITUTE(AF322," ",""),"Abrir Street View"))</f>
        <v/>
      </c>
    </row>
    <row r="323">
      <c r="H323" s="6" t="n"/>
      <c r="I323" s="6" t="n"/>
      <c r="M323" s="7" t="n"/>
      <c r="N323" s="7" t="n"/>
      <c r="O323" s="7" t="n"/>
      <c r="Q323" s="7" t="n"/>
      <c r="R323" s="7" t="n"/>
      <c r="S323" s="8">
        <f>IF(NOT(ISNUMBER(M323)),"",IF(G323="Terreno",IF(AND(ISNUMBER(I323),I323&gt;0),M323/I323,""),IF(AND(ISNUMBER(H323),H323&gt;0),M323/H323,"")))</f>
        <v/>
      </c>
      <c r="T323" s="9">
        <f>IF(AND(ISNUMBER(M323),ISNUMBER(O323)),IF(M323&lt;=O323,"Valor ≤ venal IPTU",""),"")</f>
        <v/>
      </c>
      <c r="U323" s="10">
        <f>IF(AND(ISNUMBER(M323),ISNUMBER(N323)),IF(N323&gt;0,M323/N323,""),"")</f>
        <v/>
      </c>
      <c r="V323" s="10">
        <f>IF(AND(ISNUMBER(M323),ISNUMBER(O323)),IF(O323&gt;0,M323/O323,""),"")</f>
        <v/>
      </c>
      <c r="W323" s="10">
        <f>IF(AND(ISNUMBER(M323),ISNUMBER(R323)),IF(R323&gt;0,M323/R323,""),"")</f>
        <v/>
      </c>
      <c r="X323" s="10">
        <f>IF(AND(ISNUMBER(Q323),ISNUMBER(M323)),IF(M323&gt;0,Q323/M323,""),"")</f>
        <v/>
      </c>
      <c r="Y323" s="11">
        <f>IF(ISNUMBER(Z323),YEAR(Z323),"")</f>
        <v/>
      </c>
      <c r="Z323" s="12" t="n"/>
      <c r="AA323" s="12" t="n"/>
      <c r="AI323" s="12" t="n"/>
      <c r="AJ323" s="13">
        <f>IF(LEN(TRIM(AF323))=0,"",HYPERLINK("https://www.google.com/maps/@?api=1&amp;map_action=pano&amp;viewpoint="&amp;SUBSTITUTE(AF323," ",""),"Abrir Street View"))</f>
        <v/>
      </c>
    </row>
    <row r="324">
      <c r="H324" s="6" t="n"/>
      <c r="I324" s="6" t="n"/>
      <c r="M324" s="7" t="n"/>
      <c r="N324" s="7" t="n"/>
      <c r="O324" s="7" t="n"/>
      <c r="Q324" s="7" t="n"/>
      <c r="R324" s="7" t="n"/>
      <c r="S324" s="8">
        <f>IF(NOT(ISNUMBER(M324)),"",IF(G324="Terreno",IF(AND(ISNUMBER(I324),I324&gt;0),M324/I324,""),IF(AND(ISNUMBER(H324),H324&gt;0),M324/H324,"")))</f>
        <v/>
      </c>
      <c r="T324" s="9">
        <f>IF(AND(ISNUMBER(M324),ISNUMBER(O324)),IF(M324&lt;=O324,"Valor ≤ venal IPTU",""),"")</f>
        <v/>
      </c>
      <c r="U324" s="10">
        <f>IF(AND(ISNUMBER(M324),ISNUMBER(N324)),IF(N324&gt;0,M324/N324,""),"")</f>
        <v/>
      </c>
      <c r="V324" s="10">
        <f>IF(AND(ISNUMBER(M324),ISNUMBER(O324)),IF(O324&gt;0,M324/O324,""),"")</f>
        <v/>
      </c>
      <c r="W324" s="10">
        <f>IF(AND(ISNUMBER(M324),ISNUMBER(R324)),IF(R324&gt;0,M324/R324,""),"")</f>
        <v/>
      </c>
      <c r="X324" s="10">
        <f>IF(AND(ISNUMBER(Q324),ISNUMBER(M324)),IF(M324&gt;0,Q324/M324,""),"")</f>
        <v/>
      </c>
      <c r="Y324" s="11">
        <f>IF(ISNUMBER(Z324),YEAR(Z324),"")</f>
        <v/>
      </c>
      <c r="Z324" s="12" t="n"/>
      <c r="AA324" s="12" t="n"/>
      <c r="AI324" s="12" t="n"/>
      <c r="AJ324" s="13">
        <f>IF(LEN(TRIM(AF324))=0,"",HYPERLINK("https://www.google.com/maps/@?api=1&amp;map_action=pano&amp;viewpoint="&amp;SUBSTITUTE(AF324," ",""),"Abrir Street View"))</f>
        <v/>
      </c>
    </row>
    <row r="325">
      <c r="H325" s="6" t="n"/>
      <c r="I325" s="6" t="n"/>
      <c r="M325" s="7" t="n"/>
      <c r="N325" s="7" t="n"/>
      <c r="O325" s="7" t="n"/>
      <c r="Q325" s="7" t="n"/>
      <c r="R325" s="7" t="n"/>
      <c r="S325" s="8">
        <f>IF(NOT(ISNUMBER(M325)),"",IF(G325="Terreno",IF(AND(ISNUMBER(I325),I325&gt;0),M325/I325,""),IF(AND(ISNUMBER(H325),H325&gt;0),M325/H325,"")))</f>
        <v/>
      </c>
      <c r="T325" s="9">
        <f>IF(AND(ISNUMBER(M325),ISNUMBER(O325)),IF(M325&lt;=O325,"Valor ≤ venal IPTU",""),"")</f>
        <v/>
      </c>
      <c r="U325" s="10">
        <f>IF(AND(ISNUMBER(M325),ISNUMBER(N325)),IF(N325&gt;0,M325/N325,""),"")</f>
        <v/>
      </c>
      <c r="V325" s="10">
        <f>IF(AND(ISNUMBER(M325),ISNUMBER(O325)),IF(O325&gt;0,M325/O325,""),"")</f>
        <v/>
      </c>
      <c r="W325" s="10">
        <f>IF(AND(ISNUMBER(M325),ISNUMBER(R325)),IF(R325&gt;0,M325/R325,""),"")</f>
        <v/>
      </c>
      <c r="X325" s="10">
        <f>IF(AND(ISNUMBER(Q325),ISNUMBER(M325)),IF(M325&gt;0,Q325/M325,""),"")</f>
        <v/>
      </c>
      <c r="Y325" s="11">
        <f>IF(ISNUMBER(Z325),YEAR(Z325),"")</f>
        <v/>
      </c>
      <c r="Z325" s="12" t="n"/>
      <c r="AA325" s="12" t="n"/>
      <c r="AI325" s="12" t="n"/>
      <c r="AJ325" s="13">
        <f>IF(LEN(TRIM(AF325))=0,"",HYPERLINK("https://www.google.com/maps/@?api=1&amp;map_action=pano&amp;viewpoint="&amp;SUBSTITUTE(AF325," ",""),"Abrir Street View"))</f>
        <v/>
      </c>
    </row>
    <row r="326">
      <c r="H326" s="6" t="n"/>
      <c r="I326" s="6" t="n"/>
      <c r="M326" s="7" t="n"/>
      <c r="N326" s="7" t="n"/>
      <c r="O326" s="7" t="n"/>
      <c r="Q326" s="7" t="n"/>
      <c r="R326" s="7" t="n"/>
      <c r="S326" s="8">
        <f>IF(NOT(ISNUMBER(M326)),"",IF(G326="Terreno",IF(AND(ISNUMBER(I326),I326&gt;0),M326/I326,""),IF(AND(ISNUMBER(H326),H326&gt;0),M326/H326,"")))</f>
        <v/>
      </c>
      <c r="T326" s="9">
        <f>IF(AND(ISNUMBER(M326),ISNUMBER(O326)),IF(M326&lt;=O326,"Valor ≤ venal IPTU",""),"")</f>
        <v/>
      </c>
      <c r="U326" s="10">
        <f>IF(AND(ISNUMBER(M326),ISNUMBER(N326)),IF(N326&gt;0,M326/N326,""),"")</f>
        <v/>
      </c>
      <c r="V326" s="10">
        <f>IF(AND(ISNUMBER(M326),ISNUMBER(O326)),IF(O326&gt;0,M326/O326,""),"")</f>
        <v/>
      </c>
      <c r="W326" s="10">
        <f>IF(AND(ISNUMBER(M326),ISNUMBER(R326)),IF(R326&gt;0,M326/R326,""),"")</f>
        <v/>
      </c>
      <c r="X326" s="10">
        <f>IF(AND(ISNUMBER(Q326),ISNUMBER(M326)),IF(M326&gt;0,Q326/M326,""),"")</f>
        <v/>
      </c>
      <c r="Y326" s="11">
        <f>IF(ISNUMBER(Z326),YEAR(Z326),"")</f>
        <v/>
      </c>
      <c r="Z326" s="12" t="n"/>
      <c r="AA326" s="12" t="n"/>
      <c r="AI326" s="12" t="n"/>
      <c r="AJ326" s="13">
        <f>IF(LEN(TRIM(AF326))=0,"",HYPERLINK("https://www.google.com/maps/@?api=1&amp;map_action=pano&amp;viewpoint="&amp;SUBSTITUTE(AF326," ",""),"Abrir Street View"))</f>
        <v/>
      </c>
    </row>
    <row r="327">
      <c r="H327" s="6" t="n"/>
      <c r="I327" s="6" t="n"/>
      <c r="M327" s="7" t="n"/>
      <c r="N327" s="7" t="n"/>
      <c r="O327" s="7" t="n"/>
      <c r="Q327" s="7" t="n"/>
      <c r="R327" s="7" t="n"/>
      <c r="S327" s="8">
        <f>IF(NOT(ISNUMBER(M327)),"",IF(G327="Terreno",IF(AND(ISNUMBER(I327),I327&gt;0),M327/I327,""),IF(AND(ISNUMBER(H327),H327&gt;0),M327/H327,"")))</f>
        <v/>
      </c>
      <c r="T327" s="9">
        <f>IF(AND(ISNUMBER(M327),ISNUMBER(O327)),IF(M327&lt;=O327,"Valor ≤ venal IPTU",""),"")</f>
        <v/>
      </c>
      <c r="U327" s="10">
        <f>IF(AND(ISNUMBER(M327),ISNUMBER(N327)),IF(N327&gt;0,M327/N327,""),"")</f>
        <v/>
      </c>
      <c r="V327" s="10">
        <f>IF(AND(ISNUMBER(M327),ISNUMBER(O327)),IF(O327&gt;0,M327/O327,""),"")</f>
        <v/>
      </c>
      <c r="W327" s="10">
        <f>IF(AND(ISNUMBER(M327),ISNUMBER(R327)),IF(R327&gt;0,M327/R327,""),"")</f>
        <v/>
      </c>
      <c r="X327" s="10">
        <f>IF(AND(ISNUMBER(Q327),ISNUMBER(M327)),IF(M327&gt;0,Q327/M327,""),"")</f>
        <v/>
      </c>
      <c r="Y327" s="11">
        <f>IF(ISNUMBER(Z327),YEAR(Z327),"")</f>
        <v/>
      </c>
      <c r="Z327" s="12" t="n"/>
      <c r="AA327" s="12" t="n"/>
      <c r="AI327" s="12" t="n"/>
      <c r="AJ327" s="13">
        <f>IF(LEN(TRIM(AF327))=0,"",HYPERLINK("https://www.google.com/maps/@?api=1&amp;map_action=pano&amp;viewpoint="&amp;SUBSTITUTE(AF327," ",""),"Abrir Street View"))</f>
        <v/>
      </c>
    </row>
    <row r="328">
      <c r="H328" s="6" t="n"/>
      <c r="I328" s="6" t="n"/>
      <c r="M328" s="7" t="n"/>
      <c r="N328" s="7" t="n"/>
      <c r="O328" s="7" t="n"/>
      <c r="Q328" s="7" t="n"/>
      <c r="R328" s="7" t="n"/>
      <c r="S328" s="8">
        <f>IF(NOT(ISNUMBER(M328)),"",IF(G328="Terreno",IF(AND(ISNUMBER(I328),I328&gt;0),M328/I328,""),IF(AND(ISNUMBER(H328),H328&gt;0),M328/H328,"")))</f>
        <v/>
      </c>
      <c r="T328" s="9">
        <f>IF(AND(ISNUMBER(M328),ISNUMBER(O328)),IF(M328&lt;=O328,"Valor ≤ venal IPTU",""),"")</f>
        <v/>
      </c>
      <c r="U328" s="10">
        <f>IF(AND(ISNUMBER(M328),ISNUMBER(N328)),IF(N328&gt;0,M328/N328,""),"")</f>
        <v/>
      </c>
      <c r="V328" s="10">
        <f>IF(AND(ISNUMBER(M328),ISNUMBER(O328)),IF(O328&gt;0,M328/O328,""),"")</f>
        <v/>
      </c>
      <c r="W328" s="10">
        <f>IF(AND(ISNUMBER(M328),ISNUMBER(R328)),IF(R328&gt;0,M328/R328,""),"")</f>
        <v/>
      </c>
      <c r="X328" s="10">
        <f>IF(AND(ISNUMBER(Q328),ISNUMBER(M328)),IF(M328&gt;0,Q328/M328,""),"")</f>
        <v/>
      </c>
      <c r="Y328" s="11">
        <f>IF(ISNUMBER(Z328),YEAR(Z328),"")</f>
        <v/>
      </c>
      <c r="Z328" s="12" t="n"/>
      <c r="AA328" s="12" t="n"/>
      <c r="AI328" s="12" t="n"/>
      <c r="AJ328" s="13">
        <f>IF(LEN(TRIM(AF328))=0,"",HYPERLINK("https://www.google.com/maps/@?api=1&amp;map_action=pano&amp;viewpoint="&amp;SUBSTITUTE(AF328," ",""),"Abrir Street View"))</f>
        <v/>
      </c>
    </row>
    <row r="329">
      <c r="H329" s="6" t="n"/>
      <c r="I329" s="6" t="n"/>
      <c r="M329" s="7" t="n"/>
      <c r="N329" s="7" t="n"/>
      <c r="O329" s="7" t="n"/>
      <c r="Q329" s="7" t="n"/>
      <c r="R329" s="7" t="n"/>
      <c r="S329" s="8">
        <f>IF(NOT(ISNUMBER(M329)),"",IF(G329="Terreno",IF(AND(ISNUMBER(I329),I329&gt;0),M329/I329,""),IF(AND(ISNUMBER(H329),H329&gt;0),M329/H329,"")))</f>
        <v/>
      </c>
      <c r="T329" s="9">
        <f>IF(AND(ISNUMBER(M329),ISNUMBER(O329)),IF(M329&lt;=O329,"Valor ≤ venal IPTU",""),"")</f>
        <v/>
      </c>
      <c r="U329" s="10">
        <f>IF(AND(ISNUMBER(M329),ISNUMBER(N329)),IF(N329&gt;0,M329/N329,""),"")</f>
        <v/>
      </c>
      <c r="V329" s="10">
        <f>IF(AND(ISNUMBER(M329),ISNUMBER(O329)),IF(O329&gt;0,M329/O329,""),"")</f>
        <v/>
      </c>
      <c r="W329" s="10">
        <f>IF(AND(ISNUMBER(M329),ISNUMBER(R329)),IF(R329&gt;0,M329/R329,""),"")</f>
        <v/>
      </c>
      <c r="X329" s="10">
        <f>IF(AND(ISNUMBER(Q329),ISNUMBER(M329)),IF(M329&gt;0,Q329/M329,""),"")</f>
        <v/>
      </c>
      <c r="Y329" s="11">
        <f>IF(ISNUMBER(Z329),YEAR(Z329),"")</f>
        <v/>
      </c>
      <c r="Z329" s="12" t="n"/>
      <c r="AA329" s="12" t="n"/>
      <c r="AI329" s="12" t="n"/>
      <c r="AJ329" s="13">
        <f>IF(LEN(TRIM(AF329))=0,"",HYPERLINK("https://www.google.com/maps/@?api=1&amp;map_action=pano&amp;viewpoint="&amp;SUBSTITUTE(AF329," ",""),"Abrir Street View"))</f>
        <v/>
      </c>
    </row>
    <row r="330">
      <c r="H330" s="6" t="n"/>
      <c r="I330" s="6" t="n"/>
      <c r="M330" s="7" t="n"/>
      <c r="N330" s="7" t="n"/>
      <c r="O330" s="7" t="n"/>
      <c r="Q330" s="7" t="n"/>
      <c r="R330" s="7" t="n"/>
      <c r="S330" s="8">
        <f>IF(NOT(ISNUMBER(M330)),"",IF(G330="Terreno",IF(AND(ISNUMBER(I330),I330&gt;0),M330/I330,""),IF(AND(ISNUMBER(H330),H330&gt;0),M330/H330,"")))</f>
        <v/>
      </c>
      <c r="T330" s="9">
        <f>IF(AND(ISNUMBER(M330),ISNUMBER(O330)),IF(M330&lt;=O330,"Valor ≤ venal IPTU",""),"")</f>
        <v/>
      </c>
      <c r="U330" s="10">
        <f>IF(AND(ISNUMBER(M330),ISNUMBER(N330)),IF(N330&gt;0,M330/N330,""),"")</f>
        <v/>
      </c>
      <c r="V330" s="10">
        <f>IF(AND(ISNUMBER(M330),ISNUMBER(O330)),IF(O330&gt;0,M330/O330,""),"")</f>
        <v/>
      </c>
      <c r="W330" s="10">
        <f>IF(AND(ISNUMBER(M330),ISNUMBER(R330)),IF(R330&gt;0,M330/R330,""),"")</f>
        <v/>
      </c>
      <c r="X330" s="10">
        <f>IF(AND(ISNUMBER(Q330),ISNUMBER(M330)),IF(M330&gt;0,Q330/M330,""),"")</f>
        <v/>
      </c>
      <c r="Y330" s="11">
        <f>IF(ISNUMBER(Z330),YEAR(Z330),"")</f>
        <v/>
      </c>
      <c r="Z330" s="12" t="n"/>
      <c r="AA330" s="12" t="n"/>
      <c r="AI330" s="12" t="n"/>
      <c r="AJ330" s="13">
        <f>IF(LEN(TRIM(AF330))=0,"",HYPERLINK("https://www.google.com/maps/@?api=1&amp;map_action=pano&amp;viewpoint="&amp;SUBSTITUTE(AF330," ",""),"Abrir Street View"))</f>
        <v/>
      </c>
    </row>
    <row r="331">
      <c r="H331" s="6" t="n"/>
      <c r="I331" s="6" t="n"/>
      <c r="M331" s="7" t="n"/>
      <c r="N331" s="7" t="n"/>
      <c r="O331" s="7" t="n"/>
      <c r="Q331" s="7" t="n"/>
      <c r="R331" s="7" t="n"/>
      <c r="S331" s="8">
        <f>IF(NOT(ISNUMBER(M331)),"",IF(G331="Terreno",IF(AND(ISNUMBER(I331),I331&gt;0),M331/I331,""),IF(AND(ISNUMBER(H331),H331&gt;0),M331/H331,"")))</f>
        <v/>
      </c>
      <c r="T331" s="9">
        <f>IF(AND(ISNUMBER(M331),ISNUMBER(O331)),IF(M331&lt;=O331,"Valor ≤ venal IPTU",""),"")</f>
        <v/>
      </c>
      <c r="U331" s="10">
        <f>IF(AND(ISNUMBER(M331),ISNUMBER(N331)),IF(N331&gt;0,M331/N331,""),"")</f>
        <v/>
      </c>
      <c r="V331" s="10">
        <f>IF(AND(ISNUMBER(M331),ISNUMBER(O331)),IF(O331&gt;0,M331/O331,""),"")</f>
        <v/>
      </c>
      <c r="W331" s="10">
        <f>IF(AND(ISNUMBER(M331),ISNUMBER(R331)),IF(R331&gt;0,M331/R331,""),"")</f>
        <v/>
      </c>
      <c r="X331" s="10">
        <f>IF(AND(ISNUMBER(Q331),ISNUMBER(M331)),IF(M331&gt;0,Q331/M331,""),"")</f>
        <v/>
      </c>
      <c r="Y331" s="11">
        <f>IF(ISNUMBER(Z331),YEAR(Z331),"")</f>
        <v/>
      </c>
      <c r="Z331" s="12" t="n"/>
      <c r="AA331" s="12" t="n"/>
      <c r="AI331" s="12" t="n"/>
      <c r="AJ331" s="13">
        <f>IF(LEN(TRIM(AF331))=0,"",HYPERLINK("https://www.google.com/maps/@?api=1&amp;map_action=pano&amp;viewpoint="&amp;SUBSTITUTE(AF331," ",""),"Abrir Street View"))</f>
        <v/>
      </c>
    </row>
    <row r="332">
      <c r="H332" s="6" t="n"/>
      <c r="I332" s="6" t="n"/>
      <c r="M332" s="7" t="n"/>
      <c r="N332" s="7" t="n"/>
      <c r="O332" s="7" t="n"/>
      <c r="Q332" s="7" t="n"/>
      <c r="R332" s="7" t="n"/>
      <c r="S332" s="8">
        <f>IF(NOT(ISNUMBER(M332)),"",IF(G332="Terreno",IF(AND(ISNUMBER(I332),I332&gt;0),M332/I332,""),IF(AND(ISNUMBER(H332),H332&gt;0),M332/H332,"")))</f>
        <v/>
      </c>
      <c r="T332" s="9">
        <f>IF(AND(ISNUMBER(M332),ISNUMBER(O332)),IF(M332&lt;=O332,"Valor ≤ venal IPTU",""),"")</f>
        <v/>
      </c>
      <c r="U332" s="10">
        <f>IF(AND(ISNUMBER(M332),ISNUMBER(N332)),IF(N332&gt;0,M332/N332,""),"")</f>
        <v/>
      </c>
      <c r="V332" s="10">
        <f>IF(AND(ISNUMBER(M332),ISNUMBER(O332)),IF(O332&gt;0,M332/O332,""),"")</f>
        <v/>
      </c>
      <c r="W332" s="10">
        <f>IF(AND(ISNUMBER(M332),ISNUMBER(R332)),IF(R332&gt;0,M332/R332,""),"")</f>
        <v/>
      </c>
      <c r="X332" s="10">
        <f>IF(AND(ISNUMBER(Q332),ISNUMBER(M332)),IF(M332&gt;0,Q332/M332,""),"")</f>
        <v/>
      </c>
      <c r="Y332" s="11">
        <f>IF(ISNUMBER(Z332),YEAR(Z332),"")</f>
        <v/>
      </c>
      <c r="Z332" s="12" t="n"/>
      <c r="AA332" s="12" t="n"/>
      <c r="AI332" s="12" t="n"/>
      <c r="AJ332" s="13">
        <f>IF(LEN(TRIM(AF332))=0,"",HYPERLINK("https://www.google.com/maps/@?api=1&amp;map_action=pano&amp;viewpoint="&amp;SUBSTITUTE(AF332," ",""),"Abrir Street View"))</f>
        <v/>
      </c>
    </row>
    <row r="333">
      <c r="H333" s="6" t="n"/>
      <c r="I333" s="6" t="n"/>
      <c r="M333" s="7" t="n"/>
      <c r="N333" s="7" t="n"/>
      <c r="O333" s="7" t="n"/>
      <c r="Q333" s="7" t="n"/>
      <c r="R333" s="7" t="n"/>
      <c r="S333" s="8">
        <f>IF(NOT(ISNUMBER(M333)),"",IF(G333="Terreno",IF(AND(ISNUMBER(I333),I333&gt;0),M333/I333,""),IF(AND(ISNUMBER(H333),H333&gt;0),M333/H333,"")))</f>
        <v/>
      </c>
      <c r="T333" s="9">
        <f>IF(AND(ISNUMBER(M333),ISNUMBER(O333)),IF(M333&lt;=O333,"Valor ≤ venal IPTU",""),"")</f>
        <v/>
      </c>
      <c r="U333" s="10">
        <f>IF(AND(ISNUMBER(M333),ISNUMBER(N333)),IF(N333&gt;0,M333/N333,""),"")</f>
        <v/>
      </c>
      <c r="V333" s="10">
        <f>IF(AND(ISNUMBER(M333),ISNUMBER(O333)),IF(O333&gt;0,M333/O333,""),"")</f>
        <v/>
      </c>
      <c r="W333" s="10">
        <f>IF(AND(ISNUMBER(M333),ISNUMBER(R333)),IF(R333&gt;0,M333/R333,""),"")</f>
        <v/>
      </c>
      <c r="X333" s="10">
        <f>IF(AND(ISNUMBER(Q333),ISNUMBER(M333)),IF(M333&gt;0,Q333/M333,""),"")</f>
        <v/>
      </c>
      <c r="Y333" s="11">
        <f>IF(ISNUMBER(Z333),YEAR(Z333),"")</f>
        <v/>
      </c>
      <c r="Z333" s="12" t="n"/>
      <c r="AA333" s="12" t="n"/>
      <c r="AI333" s="12" t="n"/>
      <c r="AJ333" s="13">
        <f>IF(LEN(TRIM(AF333))=0,"",HYPERLINK("https://www.google.com/maps/@?api=1&amp;map_action=pano&amp;viewpoint="&amp;SUBSTITUTE(AF333," ",""),"Abrir Street View"))</f>
        <v/>
      </c>
    </row>
    <row r="334">
      <c r="H334" s="6" t="n"/>
      <c r="I334" s="6" t="n"/>
      <c r="M334" s="7" t="n"/>
      <c r="N334" s="7" t="n"/>
      <c r="O334" s="7" t="n"/>
      <c r="Q334" s="7" t="n"/>
      <c r="R334" s="7" t="n"/>
      <c r="S334" s="8">
        <f>IF(NOT(ISNUMBER(M334)),"",IF(G334="Terreno",IF(AND(ISNUMBER(I334),I334&gt;0),M334/I334,""),IF(AND(ISNUMBER(H334),H334&gt;0),M334/H334,"")))</f>
        <v/>
      </c>
      <c r="T334" s="9">
        <f>IF(AND(ISNUMBER(M334),ISNUMBER(O334)),IF(M334&lt;=O334,"Valor ≤ venal IPTU",""),"")</f>
        <v/>
      </c>
      <c r="U334" s="10">
        <f>IF(AND(ISNUMBER(M334),ISNUMBER(N334)),IF(N334&gt;0,M334/N334,""),"")</f>
        <v/>
      </c>
      <c r="V334" s="10">
        <f>IF(AND(ISNUMBER(M334),ISNUMBER(O334)),IF(O334&gt;0,M334/O334,""),"")</f>
        <v/>
      </c>
      <c r="W334" s="10">
        <f>IF(AND(ISNUMBER(M334),ISNUMBER(R334)),IF(R334&gt;0,M334/R334,""),"")</f>
        <v/>
      </c>
      <c r="X334" s="10">
        <f>IF(AND(ISNUMBER(Q334),ISNUMBER(M334)),IF(M334&gt;0,Q334/M334,""),"")</f>
        <v/>
      </c>
      <c r="Y334" s="11">
        <f>IF(ISNUMBER(Z334),YEAR(Z334),"")</f>
        <v/>
      </c>
      <c r="Z334" s="12" t="n"/>
      <c r="AA334" s="12" t="n"/>
      <c r="AI334" s="12" t="n"/>
      <c r="AJ334" s="13">
        <f>IF(LEN(TRIM(AF334))=0,"",HYPERLINK("https://www.google.com/maps/@?api=1&amp;map_action=pano&amp;viewpoint="&amp;SUBSTITUTE(AF334," ",""),"Abrir Street View"))</f>
        <v/>
      </c>
    </row>
    <row r="335">
      <c r="H335" s="6" t="n"/>
      <c r="I335" s="6" t="n"/>
      <c r="M335" s="7" t="n"/>
      <c r="N335" s="7" t="n"/>
      <c r="O335" s="7" t="n"/>
      <c r="Q335" s="7" t="n"/>
      <c r="R335" s="7" t="n"/>
      <c r="S335" s="8">
        <f>IF(NOT(ISNUMBER(M335)),"",IF(G335="Terreno",IF(AND(ISNUMBER(I335),I335&gt;0),M335/I335,""),IF(AND(ISNUMBER(H335),H335&gt;0),M335/H335,"")))</f>
        <v/>
      </c>
      <c r="T335" s="9">
        <f>IF(AND(ISNUMBER(M335),ISNUMBER(O335)),IF(M335&lt;=O335,"Valor ≤ venal IPTU",""),"")</f>
        <v/>
      </c>
      <c r="U335" s="10">
        <f>IF(AND(ISNUMBER(M335),ISNUMBER(N335)),IF(N335&gt;0,M335/N335,""),"")</f>
        <v/>
      </c>
      <c r="V335" s="10">
        <f>IF(AND(ISNUMBER(M335),ISNUMBER(O335)),IF(O335&gt;0,M335/O335,""),"")</f>
        <v/>
      </c>
      <c r="W335" s="10">
        <f>IF(AND(ISNUMBER(M335),ISNUMBER(R335)),IF(R335&gt;0,M335/R335,""),"")</f>
        <v/>
      </c>
      <c r="X335" s="10">
        <f>IF(AND(ISNUMBER(Q335),ISNUMBER(M335)),IF(M335&gt;0,Q335/M335,""),"")</f>
        <v/>
      </c>
      <c r="Y335" s="11">
        <f>IF(ISNUMBER(Z335),YEAR(Z335),"")</f>
        <v/>
      </c>
      <c r="Z335" s="12" t="n"/>
      <c r="AA335" s="12" t="n"/>
      <c r="AI335" s="12" t="n"/>
      <c r="AJ335" s="13">
        <f>IF(LEN(TRIM(AF335))=0,"",HYPERLINK("https://www.google.com/maps/@?api=1&amp;map_action=pano&amp;viewpoint="&amp;SUBSTITUTE(AF335," ",""),"Abrir Street View"))</f>
        <v/>
      </c>
    </row>
    <row r="336">
      <c r="H336" s="6" t="n"/>
      <c r="I336" s="6" t="n"/>
      <c r="M336" s="7" t="n"/>
      <c r="N336" s="7" t="n"/>
      <c r="O336" s="7" t="n"/>
      <c r="Q336" s="7" t="n"/>
      <c r="R336" s="7" t="n"/>
      <c r="S336" s="8">
        <f>IF(NOT(ISNUMBER(M336)),"",IF(G336="Terreno",IF(AND(ISNUMBER(I336),I336&gt;0),M336/I336,""),IF(AND(ISNUMBER(H336),H336&gt;0),M336/H336,"")))</f>
        <v/>
      </c>
      <c r="T336" s="9">
        <f>IF(AND(ISNUMBER(M336),ISNUMBER(O336)),IF(M336&lt;=O336,"Valor ≤ venal IPTU",""),"")</f>
        <v/>
      </c>
      <c r="U336" s="10">
        <f>IF(AND(ISNUMBER(M336),ISNUMBER(N336)),IF(N336&gt;0,M336/N336,""),"")</f>
        <v/>
      </c>
      <c r="V336" s="10">
        <f>IF(AND(ISNUMBER(M336),ISNUMBER(O336)),IF(O336&gt;0,M336/O336,""),"")</f>
        <v/>
      </c>
      <c r="W336" s="10">
        <f>IF(AND(ISNUMBER(M336),ISNUMBER(R336)),IF(R336&gt;0,M336/R336,""),"")</f>
        <v/>
      </c>
      <c r="X336" s="10">
        <f>IF(AND(ISNUMBER(Q336),ISNUMBER(M336)),IF(M336&gt;0,Q336/M336,""),"")</f>
        <v/>
      </c>
      <c r="Y336" s="11">
        <f>IF(ISNUMBER(Z336),YEAR(Z336),"")</f>
        <v/>
      </c>
      <c r="Z336" s="12" t="n"/>
      <c r="AA336" s="12" t="n"/>
      <c r="AI336" s="12" t="n"/>
      <c r="AJ336" s="13">
        <f>IF(LEN(TRIM(AF336))=0,"",HYPERLINK("https://www.google.com/maps/@?api=1&amp;map_action=pano&amp;viewpoint="&amp;SUBSTITUTE(AF336," ",""),"Abrir Street View"))</f>
        <v/>
      </c>
    </row>
    <row r="337">
      <c r="H337" s="6" t="n"/>
      <c r="I337" s="6" t="n"/>
      <c r="M337" s="7" t="n"/>
      <c r="N337" s="7" t="n"/>
      <c r="O337" s="7" t="n"/>
      <c r="Q337" s="7" t="n"/>
      <c r="R337" s="7" t="n"/>
      <c r="S337" s="8">
        <f>IF(NOT(ISNUMBER(M337)),"",IF(G337="Terreno",IF(AND(ISNUMBER(I337),I337&gt;0),M337/I337,""),IF(AND(ISNUMBER(H337),H337&gt;0),M337/H337,"")))</f>
        <v/>
      </c>
      <c r="T337" s="9">
        <f>IF(AND(ISNUMBER(M337),ISNUMBER(O337)),IF(M337&lt;=O337,"Valor ≤ venal IPTU",""),"")</f>
        <v/>
      </c>
      <c r="U337" s="10">
        <f>IF(AND(ISNUMBER(M337),ISNUMBER(N337)),IF(N337&gt;0,M337/N337,""),"")</f>
        <v/>
      </c>
      <c r="V337" s="10">
        <f>IF(AND(ISNUMBER(M337),ISNUMBER(O337)),IF(O337&gt;0,M337/O337,""),"")</f>
        <v/>
      </c>
      <c r="W337" s="10">
        <f>IF(AND(ISNUMBER(M337),ISNUMBER(R337)),IF(R337&gt;0,M337/R337,""),"")</f>
        <v/>
      </c>
      <c r="X337" s="10">
        <f>IF(AND(ISNUMBER(Q337),ISNUMBER(M337)),IF(M337&gt;0,Q337/M337,""),"")</f>
        <v/>
      </c>
      <c r="Y337" s="11">
        <f>IF(ISNUMBER(Z337),YEAR(Z337),"")</f>
        <v/>
      </c>
      <c r="Z337" s="12" t="n"/>
      <c r="AA337" s="12" t="n"/>
      <c r="AI337" s="12" t="n"/>
      <c r="AJ337" s="13">
        <f>IF(LEN(TRIM(AF337))=0,"",HYPERLINK("https://www.google.com/maps/@?api=1&amp;map_action=pano&amp;viewpoint="&amp;SUBSTITUTE(AF337," ",""),"Abrir Street View"))</f>
        <v/>
      </c>
    </row>
    <row r="338">
      <c r="H338" s="6" t="n"/>
      <c r="I338" s="6" t="n"/>
      <c r="M338" s="7" t="n"/>
      <c r="N338" s="7" t="n"/>
      <c r="O338" s="7" t="n"/>
      <c r="Q338" s="7" t="n"/>
      <c r="R338" s="7" t="n"/>
      <c r="S338" s="8">
        <f>IF(NOT(ISNUMBER(M338)),"",IF(G338="Terreno",IF(AND(ISNUMBER(I338),I338&gt;0),M338/I338,""),IF(AND(ISNUMBER(H338),H338&gt;0),M338/H338,"")))</f>
        <v/>
      </c>
      <c r="T338" s="9">
        <f>IF(AND(ISNUMBER(M338),ISNUMBER(O338)),IF(M338&lt;=O338,"Valor ≤ venal IPTU",""),"")</f>
        <v/>
      </c>
      <c r="U338" s="10">
        <f>IF(AND(ISNUMBER(M338),ISNUMBER(N338)),IF(N338&gt;0,M338/N338,""),"")</f>
        <v/>
      </c>
      <c r="V338" s="10">
        <f>IF(AND(ISNUMBER(M338),ISNUMBER(O338)),IF(O338&gt;0,M338/O338,""),"")</f>
        <v/>
      </c>
      <c r="W338" s="10">
        <f>IF(AND(ISNUMBER(M338),ISNUMBER(R338)),IF(R338&gt;0,M338/R338,""),"")</f>
        <v/>
      </c>
      <c r="X338" s="10">
        <f>IF(AND(ISNUMBER(Q338),ISNUMBER(M338)),IF(M338&gt;0,Q338/M338,""),"")</f>
        <v/>
      </c>
      <c r="Y338" s="11">
        <f>IF(ISNUMBER(Z338),YEAR(Z338),"")</f>
        <v/>
      </c>
      <c r="Z338" s="12" t="n"/>
      <c r="AA338" s="12" t="n"/>
      <c r="AI338" s="12" t="n"/>
      <c r="AJ338" s="13">
        <f>IF(LEN(TRIM(AF338))=0,"",HYPERLINK("https://www.google.com/maps/@?api=1&amp;map_action=pano&amp;viewpoint="&amp;SUBSTITUTE(AF338," ",""),"Abrir Street View"))</f>
        <v/>
      </c>
    </row>
    <row r="339">
      <c r="H339" s="6" t="n"/>
      <c r="I339" s="6" t="n"/>
      <c r="M339" s="7" t="n"/>
      <c r="N339" s="7" t="n"/>
      <c r="O339" s="7" t="n"/>
      <c r="Q339" s="7" t="n"/>
      <c r="R339" s="7" t="n"/>
      <c r="S339" s="8">
        <f>IF(NOT(ISNUMBER(M339)),"",IF(G339="Terreno",IF(AND(ISNUMBER(I339),I339&gt;0),M339/I339,""),IF(AND(ISNUMBER(H339),H339&gt;0),M339/H339,"")))</f>
        <v/>
      </c>
      <c r="T339" s="9">
        <f>IF(AND(ISNUMBER(M339),ISNUMBER(O339)),IF(M339&lt;=O339,"Valor ≤ venal IPTU",""),"")</f>
        <v/>
      </c>
      <c r="U339" s="10">
        <f>IF(AND(ISNUMBER(M339),ISNUMBER(N339)),IF(N339&gt;0,M339/N339,""),"")</f>
        <v/>
      </c>
      <c r="V339" s="10">
        <f>IF(AND(ISNUMBER(M339),ISNUMBER(O339)),IF(O339&gt;0,M339/O339,""),"")</f>
        <v/>
      </c>
      <c r="W339" s="10">
        <f>IF(AND(ISNUMBER(M339),ISNUMBER(R339)),IF(R339&gt;0,M339/R339,""),"")</f>
        <v/>
      </c>
      <c r="X339" s="10">
        <f>IF(AND(ISNUMBER(Q339),ISNUMBER(M339)),IF(M339&gt;0,Q339/M339,""),"")</f>
        <v/>
      </c>
      <c r="Y339" s="11">
        <f>IF(ISNUMBER(Z339),YEAR(Z339),"")</f>
        <v/>
      </c>
      <c r="Z339" s="12" t="n"/>
      <c r="AA339" s="12" t="n"/>
      <c r="AI339" s="12" t="n"/>
      <c r="AJ339" s="13">
        <f>IF(LEN(TRIM(AF339))=0,"",HYPERLINK("https://www.google.com/maps/@?api=1&amp;map_action=pano&amp;viewpoint="&amp;SUBSTITUTE(AF339," ",""),"Abrir Street View"))</f>
        <v/>
      </c>
    </row>
    <row r="340">
      <c r="H340" s="6" t="n"/>
      <c r="I340" s="6" t="n"/>
      <c r="M340" s="7" t="n"/>
      <c r="N340" s="7" t="n"/>
      <c r="O340" s="7" t="n"/>
      <c r="Q340" s="7" t="n"/>
      <c r="R340" s="7" t="n"/>
      <c r="S340" s="8">
        <f>IF(NOT(ISNUMBER(M340)),"",IF(G340="Terreno",IF(AND(ISNUMBER(I340),I340&gt;0),M340/I340,""),IF(AND(ISNUMBER(H340),H340&gt;0),M340/H340,"")))</f>
        <v/>
      </c>
      <c r="T340" s="9">
        <f>IF(AND(ISNUMBER(M340),ISNUMBER(O340)),IF(M340&lt;=O340,"Valor ≤ venal IPTU",""),"")</f>
        <v/>
      </c>
      <c r="U340" s="10">
        <f>IF(AND(ISNUMBER(M340),ISNUMBER(N340)),IF(N340&gt;0,M340/N340,""),"")</f>
        <v/>
      </c>
      <c r="V340" s="10">
        <f>IF(AND(ISNUMBER(M340),ISNUMBER(O340)),IF(O340&gt;0,M340/O340,""),"")</f>
        <v/>
      </c>
      <c r="W340" s="10">
        <f>IF(AND(ISNUMBER(M340),ISNUMBER(R340)),IF(R340&gt;0,M340/R340,""),"")</f>
        <v/>
      </c>
      <c r="X340" s="10">
        <f>IF(AND(ISNUMBER(Q340),ISNUMBER(M340)),IF(M340&gt;0,Q340/M340,""),"")</f>
        <v/>
      </c>
      <c r="Y340" s="11">
        <f>IF(ISNUMBER(Z340),YEAR(Z340),"")</f>
        <v/>
      </c>
      <c r="Z340" s="12" t="n"/>
      <c r="AA340" s="12" t="n"/>
      <c r="AI340" s="12" t="n"/>
      <c r="AJ340" s="13">
        <f>IF(LEN(TRIM(AF340))=0,"",HYPERLINK("https://www.google.com/maps/@?api=1&amp;map_action=pano&amp;viewpoint="&amp;SUBSTITUTE(AF340," ",""),"Abrir Street View"))</f>
        <v/>
      </c>
    </row>
    <row r="341">
      <c r="H341" s="6" t="n"/>
      <c r="I341" s="6" t="n"/>
      <c r="M341" s="7" t="n"/>
      <c r="N341" s="7" t="n"/>
      <c r="O341" s="7" t="n"/>
      <c r="Q341" s="7" t="n"/>
      <c r="R341" s="7" t="n"/>
      <c r="S341" s="8">
        <f>IF(NOT(ISNUMBER(M341)),"",IF(G341="Terreno",IF(AND(ISNUMBER(I341),I341&gt;0),M341/I341,""),IF(AND(ISNUMBER(H341),H341&gt;0),M341/H341,"")))</f>
        <v/>
      </c>
      <c r="T341" s="9">
        <f>IF(AND(ISNUMBER(M341),ISNUMBER(O341)),IF(M341&lt;=O341,"Valor ≤ venal IPTU",""),"")</f>
        <v/>
      </c>
      <c r="U341" s="10">
        <f>IF(AND(ISNUMBER(M341),ISNUMBER(N341)),IF(N341&gt;0,M341/N341,""),"")</f>
        <v/>
      </c>
      <c r="V341" s="10">
        <f>IF(AND(ISNUMBER(M341),ISNUMBER(O341)),IF(O341&gt;0,M341/O341,""),"")</f>
        <v/>
      </c>
      <c r="W341" s="10">
        <f>IF(AND(ISNUMBER(M341),ISNUMBER(R341)),IF(R341&gt;0,M341/R341,""),"")</f>
        <v/>
      </c>
      <c r="X341" s="10">
        <f>IF(AND(ISNUMBER(Q341),ISNUMBER(M341)),IF(M341&gt;0,Q341/M341,""),"")</f>
        <v/>
      </c>
      <c r="Y341" s="11">
        <f>IF(ISNUMBER(Z341),YEAR(Z341),"")</f>
        <v/>
      </c>
      <c r="Z341" s="12" t="n"/>
      <c r="AA341" s="12" t="n"/>
      <c r="AI341" s="12" t="n"/>
      <c r="AJ341" s="13">
        <f>IF(LEN(TRIM(AF341))=0,"",HYPERLINK("https://www.google.com/maps/@?api=1&amp;map_action=pano&amp;viewpoint="&amp;SUBSTITUTE(AF341," ",""),"Abrir Street View"))</f>
        <v/>
      </c>
    </row>
    <row r="342">
      <c r="H342" s="6" t="n"/>
      <c r="I342" s="6" t="n"/>
      <c r="M342" s="7" t="n"/>
      <c r="N342" s="7" t="n"/>
      <c r="O342" s="7" t="n"/>
      <c r="Q342" s="7" t="n"/>
      <c r="R342" s="7" t="n"/>
      <c r="S342" s="8">
        <f>IF(NOT(ISNUMBER(M342)),"",IF(G342="Terreno",IF(AND(ISNUMBER(I342),I342&gt;0),M342/I342,""),IF(AND(ISNUMBER(H342),H342&gt;0),M342/H342,"")))</f>
        <v/>
      </c>
      <c r="T342" s="9">
        <f>IF(AND(ISNUMBER(M342),ISNUMBER(O342)),IF(M342&lt;=O342,"Valor ≤ venal IPTU",""),"")</f>
        <v/>
      </c>
      <c r="U342" s="10">
        <f>IF(AND(ISNUMBER(M342),ISNUMBER(N342)),IF(N342&gt;0,M342/N342,""),"")</f>
        <v/>
      </c>
      <c r="V342" s="10">
        <f>IF(AND(ISNUMBER(M342),ISNUMBER(O342)),IF(O342&gt;0,M342/O342,""),"")</f>
        <v/>
      </c>
      <c r="W342" s="10">
        <f>IF(AND(ISNUMBER(M342),ISNUMBER(R342)),IF(R342&gt;0,M342/R342,""),"")</f>
        <v/>
      </c>
      <c r="X342" s="10">
        <f>IF(AND(ISNUMBER(Q342),ISNUMBER(M342)),IF(M342&gt;0,Q342/M342,""),"")</f>
        <v/>
      </c>
      <c r="Y342" s="11">
        <f>IF(ISNUMBER(Z342),YEAR(Z342),"")</f>
        <v/>
      </c>
      <c r="Z342" s="12" t="n"/>
      <c r="AA342" s="12" t="n"/>
      <c r="AI342" s="12" t="n"/>
      <c r="AJ342" s="13">
        <f>IF(LEN(TRIM(AF342))=0,"",HYPERLINK("https://www.google.com/maps/@?api=1&amp;map_action=pano&amp;viewpoint="&amp;SUBSTITUTE(AF342," ",""),"Abrir Street View"))</f>
        <v/>
      </c>
    </row>
    <row r="343">
      <c r="H343" s="6" t="n"/>
      <c r="I343" s="6" t="n"/>
      <c r="M343" s="7" t="n"/>
      <c r="N343" s="7" t="n"/>
      <c r="O343" s="7" t="n"/>
      <c r="Q343" s="7" t="n"/>
      <c r="R343" s="7" t="n"/>
      <c r="S343" s="8">
        <f>IF(NOT(ISNUMBER(M343)),"",IF(G343="Terreno",IF(AND(ISNUMBER(I343),I343&gt;0),M343/I343,""),IF(AND(ISNUMBER(H343),H343&gt;0),M343/H343,"")))</f>
        <v/>
      </c>
      <c r="T343" s="9">
        <f>IF(AND(ISNUMBER(M343),ISNUMBER(O343)),IF(M343&lt;=O343,"Valor ≤ venal IPTU",""),"")</f>
        <v/>
      </c>
      <c r="U343" s="10">
        <f>IF(AND(ISNUMBER(M343),ISNUMBER(N343)),IF(N343&gt;0,M343/N343,""),"")</f>
        <v/>
      </c>
      <c r="V343" s="10">
        <f>IF(AND(ISNUMBER(M343),ISNUMBER(O343)),IF(O343&gt;0,M343/O343,""),"")</f>
        <v/>
      </c>
      <c r="W343" s="10">
        <f>IF(AND(ISNUMBER(M343),ISNUMBER(R343)),IF(R343&gt;0,M343/R343,""),"")</f>
        <v/>
      </c>
      <c r="X343" s="10">
        <f>IF(AND(ISNUMBER(Q343),ISNUMBER(M343)),IF(M343&gt;0,Q343/M343,""),"")</f>
        <v/>
      </c>
      <c r="Y343" s="11">
        <f>IF(ISNUMBER(Z343),YEAR(Z343),"")</f>
        <v/>
      </c>
      <c r="Z343" s="12" t="n"/>
      <c r="AA343" s="12" t="n"/>
      <c r="AI343" s="12" t="n"/>
      <c r="AJ343" s="13">
        <f>IF(LEN(TRIM(AF343))=0,"",HYPERLINK("https://www.google.com/maps/@?api=1&amp;map_action=pano&amp;viewpoint="&amp;SUBSTITUTE(AF343," ",""),"Abrir Street View"))</f>
        <v/>
      </c>
    </row>
    <row r="344">
      <c r="H344" s="6" t="n"/>
      <c r="I344" s="6" t="n"/>
      <c r="M344" s="7" t="n"/>
      <c r="N344" s="7" t="n"/>
      <c r="O344" s="7" t="n"/>
      <c r="Q344" s="7" t="n"/>
      <c r="R344" s="7" t="n"/>
      <c r="S344" s="8">
        <f>IF(NOT(ISNUMBER(M344)),"",IF(G344="Terreno",IF(AND(ISNUMBER(I344),I344&gt;0),M344/I344,""),IF(AND(ISNUMBER(H344),H344&gt;0),M344/H344,"")))</f>
        <v/>
      </c>
      <c r="T344" s="9">
        <f>IF(AND(ISNUMBER(M344),ISNUMBER(O344)),IF(M344&lt;=O344,"Valor ≤ venal IPTU",""),"")</f>
        <v/>
      </c>
      <c r="U344" s="10">
        <f>IF(AND(ISNUMBER(M344),ISNUMBER(N344)),IF(N344&gt;0,M344/N344,""),"")</f>
        <v/>
      </c>
      <c r="V344" s="10">
        <f>IF(AND(ISNUMBER(M344),ISNUMBER(O344)),IF(O344&gt;0,M344/O344,""),"")</f>
        <v/>
      </c>
      <c r="W344" s="10">
        <f>IF(AND(ISNUMBER(M344),ISNUMBER(R344)),IF(R344&gt;0,M344/R344,""),"")</f>
        <v/>
      </c>
      <c r="X344" s="10">
        <f>IF(AND(ISNUMBER(Q344),ISNUMBER(M344)),IF(M344&gt;0,Q344/M344,""),"")</f>
        <v/>
      </c>
      <c r="Y344" s="11">
        <f>IF(ISNUMBER(Z344),YEAR(Z344),"")</f>
        <v/>
      </c>
      <c r="Z344" s="12" t="n"/>
      <c r="AA344" s="12" t="n"/>
      <c r="AI344" s="12" t="n"/>
      <c r="AJ344" s="13">
        <f>IF(LEN(TRIM(AF344))=0,"",HYPERLINK("https://www.google.com/maps/@?api=1&amp;map_action=pano&amp;viewpoint="&amp;SUBSTITUTE(AF344," ",""),"Abrir Street View"))</f>
        <v/>
      </c>
    </row>
    <row r="345">
      <c r="H345" s="6" t="n"/>
      <c r="I345" s="6" t="n"/>
      <c r="M345" s="7" t="n"/>
      <c r="N345" s="7" t="n"/>
      <c r="O345" s="7" t="n"/>
      <c r="Q345" s="7" t="n"/>
      <c r="R345" s="7" t="n"/>
      <c r="S345" s="8">
        <f>IF(NOT(ISNUMBER(M345)),"",IF(G345="Terreno",IF(AND(ISNUMBER(I345),I345&gt;0),M345/I345,""),IF(AND(ISNUMBER(H345),H345&gt;0),M345/H345,"")))</f>
        <v/>
      </c>
      <c r="T345" s="9">
        <f>IF(AND(ISNUMBER(M345),ISNUMBER(O345)),IF(M345&lt;=O345,"Valor ≤ venal IPTU",""),"")</f>
        <v/>
      </c>
      <c r="U345" s="10">
        <f>IF(AND(ISNUMBER(M345),ISNUMBER(N345)),IF(N345&gt;0,M345/N345,""),"")</f>
        <v/>
      </c>
      <c r="V345" s="10">
        <f>IF(AND(ISNUMBER(M345),ISNUMBER(O345)),IF(O345&gt;0,M345/O345,""),"")</f>
        <v/>
      </c>
      <c r="W345" s="10">
        <f>IF(AND(ISNUMBER(M345),ISNUMBER(R345)),IF(R345&gt;0,M345/R345,""),"")</f>
        <v/>
      </c>
      <c r="X345" s="10">
        <f>IF(AND(ISNUMBER(Q345),ISNUMBER(M345)),IF(M345&gt;0,Q345/M345,""),"")</f>
        <v/>
      </c>
      <c r="Y345" s="11">
        <f>IF(ISNUMBER(Z345),YEAR(Z345),"")</f>
        <v/>
      </c>
      <c r="Z345" s="12" t="n"/>
      <c r="AA345" s="12" t="n"/>
      <c r="AI345" s="12" t="n"/>
      <c r="AJ345" s="13">
        <f>IF(LEN(TRIM(AF345))=0,"",HYPERLINK("https://www.google.com/maps/@?api=1&amp;map_action=pano&amp;viewpoint="&amp;SUBSTITUTE(AF345," ",""),"Abrir Street View"))</f>
        <v/>
      </c>
    </row>
    <row r="346">
      <c r="H346" s="6" t="n"/>
      <c r="I346" s="6" t="n"/>
      <c r="M346" s="7" t="n"/>
      <c r="N346" s="7" t="n"/>
      <c r="O346" s="7" t="n"/>
      <c r="Q346" s="7" t="n"/>
      <c r="R346" s="7" t="n"/>
      <c r="S346" s="8">
        <f>IF(NOT(ISNUMBER(M346)),"",IF(G346="Terreno",IF(AND(ISNUMBER(I346),I346&gt;0),M346/I346,""),IF(AND(ISNUMBER(H346),H346&gt;0),M346/H346,"")))</f>
        <v/>
      </c>
      <c r="T346" s="9">
        <f>IF(AND(ISNUMBER(M346),ISNUMBER(O346)),IF(M346&lt;=O346,"Valor ≤ venal IPTU",""),"")</f>
        <v/>
      </c>
      <c r="U346" s="10">
        <f>IF(AND(ISNUMBER(M346),ISNUMBER(N346)),IF(N346&gt;0,M346/N346,""),"")</f>
        <v/>
      </c>
      <c r="V346" s="10">
        <f>IF(AND(ISNUMBER(M346),ISNUMBER(O346)),IF(O346&gt;0,M346/O346,""),"")</f>
        <v/>
      </c>
      <c r="W346" s="10">
        <f>IF(AND(ISNUMBER(M346),ISNUMBER(R346)),IF(R346&gt;0,M346/R346,""),"")</f>
        <v/>
      </c>
      <c r="X346" s="10">
        <f>IF(AND(ISNUMBER(Q346),ISNUMBER(M346)),IF(M346&gt;0,Q346/M346,""),"")</f>
        <v/>
      </c>
      <c r="Y346" s="11">
        <f>IF(ISNUMBER(Z346),YEAR(Z346),"")</f>
        <v/>
      </c>
      <c r="Z346" s="12" t="n"/>
      <c r="AA346" s="12" t="n"/>
      <c r="AI346" s="12" t="n"/>
      <c r="AJ346" s="13">
        <f>IF(LEN(TRIM(AF346))=0,"",HYPERLINK("https://www.google.com/maps/@?api=1&amp;map_action=pano&amp;viewpoint="&amp;SUBSTITUTE(AF346," ",""),"Abrir Street View"))</f>
        <v/>
      </c>
    </row>
    <row r="347">
      <c r="H347" s="6" t="n"/>
      <c r="I347" s="6" t="n"/>
      <c r="M347" s="7" t="n"/>
      <c r="N347" s="7" t="n"/>
      <c r="O347" s="7" t="n"/>
      <c r="Q347" s="7" t="n"/>
      <c r="R347" s="7" t="n"/>
      <c r="S347" s="8">
        <f>IF(NOT(ISNUMBER(M347)),"",IF(G347="Terreno",IF(AND(ISNUMBER(I347),I347&gt;0),M347/I347,""),IF(AND(ISNUMBER(H347),H347&gt;0),M347/H347,"")))</f>
        <v/>
      </c>
      <c r="T347" s="9">
        <f>IF(AND(ISNUMBER(M347),ISNUMBER(O347)),IF(M347&lt;=O347,"Valor ≤ venal IPTU",""),"")</f>
        <v/>
      </c>
      <c r="U347" s="10">
        <f>IF(AND(ISNUMBER(M347),ISNUMBER(N347)),IF(N347&gt;0,M347/N347,""),"")</f>
        <v/>
      </c>
      <c r="V347" s="10">
        <f>IF(AND(ISNUMBER(M347),ISNUMBER(O347)),IF(O347&gt;0,M347/O347,""),"")</f>
        <v/>
      </c>
      <c r="W347" s="10">
        <f>IF(AND(ISNUMBER(M347),ISNUMBER(R347)),IF(R347&gt;0,M347/R347,""),"")</f>
        <v/>
      </c>
      <c r="X347" s="10">
        <f>IF(AND(ISNUMBER(Q347),ISNUMBER(M347)),IF(M347&gt;0,Q347/M347,""),"")</f>
        <v/>
      </c>
      <c r="Y347" s="11">
        <f>IF(ISNUMBER(Z347),YEAR(Z347),"")</f>
        <v/>
      </c>
      <c r="Z347" s="12" t="n"/>
      <c r="AA347" s="12" t="n"/>
      <c r="AI347" s="12" t="n"/>
      <c r="AJ347" s="13">
        <f>IF(LEN(TRIM(AF347))=0,"",HYPERLINK("https://www.google.com/maps/@?api=1&amp;map_action=pano&amp;viewpoint="&amp;SUBSTITUTE(AF347," ",""),"Abrir Street View"))</f>
        <v/>
      </c>
    </row>
    <row r="348">
      <c r="H348" s="6" t="n"/>
      <c r="I348" s="6" t="n"/>
      <c r="M348" s="7" t="n"/>
      <c r="N348" s="7" t="n"/>
      <c r="O348" s="7" t="n"/>
      <c r="Q348" s="7" t="n"/>
      <c r="R348" s="7" t="n"/>
      <c r="S348" s="8">
        <f>IF(NOT(ISNUMBER(M348)),"",IF(G348="Terreno",IF(AND(ISNUMBER(I348),I348&gt;0),M348/I348,""),IF(AND(ISNUMBER(H348),H348&gt;0),M348/H348,"")))</f>
        <v/>
      </c>
      <c r="T348" s="9">
        <f>IF(AND(ISNUMBER(M348),ISNUMBER(O348)),IF(M348&lt;=O348,"Valor ≤ venal IPTU",""),"")</f>
        <v/>
      </c>
      <c r="U348" s="10">
        <f>IF(AND(ISNUMBER(M348),ISNUMBER(N348)),IF(N348&gt;0,M348/N348,""),"")</f>
        <v/>
      </c>
      <c r="V348" s="10">
        <f>IF(AND(ISNUMBER(M348),ISNUMBER(O348)),IF(O348&gt;0,M348/O348,""),"")</f>
        <v/>
      </c>
      <c r="W348" s="10">
        <f>IF(AND(ISNUMBER(M348),ISNUMBER(R348)),IF(R348&gt;0,M348/R348,""),"")</f>
        <v/>
      </c>
      <c r="X348" s="10">
        <f>IF(AND(ISNUMBER(Q348),ISNUMBER(M348)),IF(M348&gt;0,Q348/M348,""),"")</f>
        <v/>
      </c>
      <c r="Y348" s="11">
        <f>IF(ISNUMBER(Z348),YEAR(Z348),"")</f>
        <v/>
      </c>
      <c r="Z348" s="12" t="n"/>
      <c r="AA348" s="12" t="n"/>
      <c r="AI348" s="12" t="n"/>
      <c r="AJ348" s="13">
        <f>IF(LEN(TRIM(AF348))=0,"",HYPERLINK("https://www.google.com/maps/@?api=1&amp;map_action=pano&amp;viewpoint="&amp;SUBSTITUTE(AF348," ",""),"Abrir Street View"))</f>
        <v/>
      </c>
    </row>
    <row r="349">
      <c r="H349" s="6" t="n"/>
      <c r="I349" s="6" t="n"/>
      <c r="M349" s="7" t="n"/>
      <c r="N349" s="7" t="n"/>
      <c r="O349" s="7" t="n"/>
      <c r="Q349" s="7" t="n"/>
      <c r="R349" s="7" t="n"/>
      <c r="S349" s="8">
        <f>IF(NOT(ISNUMBER(M349)),"",IF(G349="Terreno",IF(AND(ISNUMBER(I349),I349&gt;0),M349/I349,""),IF(AND(ISNUMBER(H349),H349&gt;0),M349/H349,"")))</f>
        <v/>
      </c>
      <c r="T349" s="9">
        <f>IF(AND(ISNUMBER(M349),ISNUMBER(O349)),IF(M349&lt;=O349,"Valor ≤ venal IPTU",""),"")</f>
        <v/>
      </c>
      <c r="U349" s="10">
        <f>IF(AND(ISNUMBER(M349),ISNUMBER(N349)),IF(N349&gt;0,M349/N349,""),"")</f>
        <v/>
      </c>
      <c r="V349" s="10">
        <f>IF(AND(ISNUMBER(M349),ISNUMBER(O349)),IF(O349&gt;0,M349/O349,""),"")</f>
        <v/>
      </c>
      <c r="W349" s="10">
        <f>IF(AND(ISNUMBER(M349),ISNUMBER(R349)),IF(R349&gt;0,M349/R349,""),"")</f>
        <v/>
      </c>
      <c r="X349" s="10">
        <f>IF(AND(ISNUMBER(Q349),ISNUMBER(M349)),IF(M349&gt;0,Q349/M349,""),"")</f>
        <v/>
      </c>
      <c r="Y349" s="11">
        <f>IF(ISNUMBER(Z349),YEAR(Z349),"")</f>
        <v/>
      </c>
      <c r="Z349" s="12" t="n"/>
      <c r="AA349" s="12" t="n"/>
      <c r="AI349" s="12" t="n"/>
      <c r="AJ349" s="13">
        <f>IF(LEN(TRIM(AF349))=0,"",HYPERLINK("https://www.google.com/maps/@?api=1&amp;map_action=pano&amp;viewpoint="&amp;SUBSTITUTE(AF349," ",""),"Abrir Street View"))</f>
        <v/>
      </c>
    </row>
    <row r="350">
      <c r="H350" s="6" t="n"/>
      <c r="I350" s="6" t="n"/>
      <c r="M350" s="7" t="n"/>
      <c r="N350" s="7" t="n"/>
      <c r="O350" s="7" t="n"/>
      <c r="Q350" s="7" t="n"/>
      <c r="R350" s="7" t="n"/>
      <c r="S350" s="8">
        <f>IF(NOT(ISNUMBER(M350)),"",IF(G350="Terreno",IF(AND(ISNUMBER(I350),I350&gt;0),M350/I350,""),IF(AND(ISNUMBER(H350),H350&gt;0),M350/H350,"")))</f>
        <v/>
      </c>
      <c r="T350" s="9">
        <f>IF(AND(ISNUMBER(M350),ISNUMBER(O350)),IF(M350&lt;=O350,"Valor ≤ venal IPTU",""),"")</f>
        <v/>
      </c>
      <c r="U350" s="10">
        <f>IF(AND(ISNUMBER(M350),ISNUMBER(N350)),IF(N350&gt;0,M350/N350,""),"")</f>
        <v/>
      </c>
      <c r="V350" s="10">
        <f>IF(AND(ISNUMBER(M350),ISNUMBER(O350)),IF(O350&gt;0,M350/O350,""),"")</f>
        <v/>
      </c>
      <c r="W350" s="10">
        <f>IF(AND(ISNUMBER(M350),ISNUMBER(R350)),IF(R350&gt;0,M350/R350,""),"")</f>
        <v/>
      </c>
      <c r="X350" s="10">
        <f>IF(AND(ISNUMBER(Q350),ISNUMBER(M350)),IF(M350&gt;0,Q350/M350,""),"")</f>
        <v/>
      </c>
      <c r="Y350" s="11">
        <f>IF(ISNUMBER(Z350),YEAR(Z350),"")</f>
        <v/>
      </c>
      <c r="Z350" s="12" t="n"/>
      <c r="AA350" s="12" t="n"/>
      <c r="AI350" s="12" t="n"/>
      <c r="AJ350" s="13">
        <f>IF(LEN(TRIM(AF350))=0,"",HYPERLINK("https://www.google.com/maps/@?api=1&amp;map_action=pano&amp;viewpoint="&amp;SUBSTITUTE(AF350," ",""),"Abrir Street View"))</f>
        <v/>
      </c>
    </row>
    <row r="351">
      <c r="H351" s="6" t="n"/>
      <c r="I351" s="6" t="n"/>
      <c r="M351" s="7" t="n"/>
      <c r="N351" s="7" t="n"/>
      <c r="O351" s="7" t="n"/>
      <c r="Q351" s="7" t="n"/>
      <c r="R351" s="7" t="n"/>
      <c r="S351" s="8">
        <f>IF(NOT(ISNUMBER(M351)),"",IF(G351="Terreno",IF(AND(ISNUMBER(I351),I351&gt;0),M351/I351,""),IF(AND(ISNUMBER(H351),H351&gt;0),M351/H351,"")))</f>
        <v/>
      </c>
      <c r="T351" s="9">
        <f>IF(AND(ISNUMBER(M351),ISNUMBER(O351)),IF(M351&lt;=O351,"Valor ≤ venal IPTU",""),"")</f>
        <v/>
      </c>
      <c r="U351" s="10">
        <f>IF(AND(ISNUMBER(M351),ISNUMBER(N351)),IF(N351&gt;0,M351/N351,""),"")</f>
        <v/>
      </c>
      <c r="V351" s="10">
        <f>IF(AND(ISNUMBER(M351),ISNUMBER(O351)),IF(O351&gt;0,M351/O351,""),"")</f>
        <v/>
      </c>
      <c r="W351" s="10">
        <f>IF(AND(ISNUMBER(M351),ISNUMBER(R351)),IF(R351&gt;0,M351/R351,""),"")</f>
        <v/>
      </c>
      <c r="X351" s="10">
        <f>IF(AND(ISNUMBER(Q351),ISNUMBER(M351)),IF(M351&gt;0,Q351/M351,""),"")</f>
        <v/>
      </c>
      <c r="Y351" s="11">
        <f>IF(ISNUMBER(Z351),YEAR(Z351),"")</f>
        <v/>
      </c>
      <c r="Z351" s="12" t="n"/>
      <c r="AA351" s="12" t="n"/>
      <c r="AI351" s="12" t="n"/>
      <c r="AJ351" s="13">
        <f>IF(LEN(TRIM(AF351))=0,"",HYPERLINK("https://www.google.com/maps/@?api=1&amp;map_action=pano&amp;viewpoint="&amp;SUBSTITUTE(AF351," ",""),"Abrir Street View"))</f>
        <v/>
      </c>
    </row>
    <row r="352">
      <c r="H352" s="6" t="n"/>
      <c r="I352" s="6" t="n"/>
      <c r="M352" s="7" t="n"/>
      <c r="N352" s="7" t="n"/>
      <c r="O352" s="7" t="n"/>
      <c r="Q352" s="7" t="n"/>
      <c r="R352" s="7" t="n"/>
      <c r="S352" s="8">
        <f>IF(NOT(ISNUMBER(M352)),"",IF(G352="Terreno",IF(AND(ISNUMBER(I352),I352&gt;0),M352/I352,""),IF(AND(ISNUMBER(H352),H352&gt;0),M352/H352,"")))</f>
        <v/>
      </c>
      <c r="T352" s="9">
        <f>IF(AND(ISNUMBER(M352),ISNUMBER(O352)),IF(M352&lt;=O352,"Valor ≤ venal IPTU",""),"")</f>
        <v/>
      </c>
      <c r="U352" s="10">
        <f>IF(AND(ISNUMBER(M352),ISNUMBER(N352)),IF(N352&gt;0,M352/N352,""),"")</f>
        <v/>
      </c>
      <c r="V352" s="10">
        <f>IF(AND(ISNUMBER(M352),ISNUMBER(O352)),IF(O352&gt;0,M352/O352,""),"")</f>
        <v/>
      </c>
      <c r="W352" s="10">
        <f>IF(AND(ISNUMBER(M352),ISNUMBER(R352)),IF(R352&gt;0,M352/R352,""),"")</f>
        <v/>
      </c>
      <c r="X352" s="10">
        <f>IF(AND(ISNUMBER(Q352),ISNUMBER(M352)),IF(M352&gt;0,Q352/M352,""),"")</f>
        <v/>
      </c>
      <c r="Y352" s="11">
        <f>IF(ISNUMBER(Z352),YEAR(Z352),"")</f>
        <v/>
      </c>
      <c r="Z352" s="12" t="n"/>
      <c r="AA352" s="12" t="n"/>
      <c r="AI352" s="12" t="n"/>
      <c r="AJ352" s="13">
        <f>IF(LEN(TRIM(AF352))=0,"",HYPERLINK("https://www.google.com/maps/@?api=1&amp;map_action=pano&amp;viewpoint="&amp;SUBSTITUTE(AF352," ",""),"Abrir Street View"))</f>
        <v/>
      </c>
    </row>
    <row r="353">
      <c r="H353" s="6" t="n"/>
      <c r="I353" s="6" t="n"/>
      <c r="M353" s="7" t="n"/>
      <c r="N353" s="7" t="n"/>
      <c r="O353" s="7" t="n"/>
      <c r="Q353" s="7" t="n"/>
      <c r="R353" s="7" t="n"/>
      <c r="S353" s="8">
        <f>IF(NOT(ISNUMBER(M353)),"",IF(G353="Terreno",IF(AND(ISNUMBER(I353),I353&gt;0),M353/I353,""),IF(AND(ISNUMBER(H353),H353&gt;0),M353/H353,"")))</f>
        <v/>
      </c>
      <c r="T353" s="9">
        <f>IF(AND(ISNUMBER(M353),ISNUMBER(O353)),IF(M353&lt;=O353,"Valor ≤ venal IPTU",""),"")</f>
        <v/>
      </c>
      <c r="U353" s="10">
        <f>IF(AND(ISNUMBER(M353),ISNUMBER(N353)),IF(N353&gt;0,M353/N353,""),"")</f>
        <v/>
      </c>
      <c r="V353" s="10">
        <f>IF(AND(ISNUMBER(M353),ISNUMBER(O353)),IF(O353&gt;0,M353/O353,""),"")</f>
        <v/>
      </c>
      <c r="W353" s="10">
        <f>IF(AND(ISNUMBER(M353),ISNUMBER(R353)),IF(R353&gt;0,M353/R353,""),"")</f>
        <v/>
      </c>
      <c r="X353" s="10">
        <f>IF(AND(ISNUMBER(Q353),ISNUMBER(M353)),IF(M353&gt;0,Q353/M353,""),"")</f>
        <v/>
      </c>
      <c r="Y353" s="11">
        <f>IF(ISNUMBER(Z353),YEAR(Z353),"")</f>
        <v/>
      </c>
      <c r="Z353" s="12" t="n"/>
      <c r="AA353" s="12" t="n"/>
      <c r="AI353" s="12" t="n"/>
      <c r="AJ353" s="13">
        <f>IF(LEN(TRIM(AF353))=0,"",HYPERLINK("https://www.google.com/maps/@?api=1&amp;map_action=pano&amp;viewpoint="&amp;SUBSTITUTE(AF353," ",""),"Abrir Street View"))</f>
        <v/>
      </c>
    </row>
    <row r="354">
      <c r="H354" s="6" t="n"/>
      <c r="I354" s="6" t="n"/>
      <c r="M354" s="7" t="n"/>
      <c r="N354" s="7" t="n"/>
      <c r="O354" s="7" t="n"/>
      <c r="Q354" s="7" t="n"/>
      <c r="R354" s="7" t="n"/>
      <c r="S354" s="8">
        <f>IF(NOT(ISNUMBER(M354)),"",IF(G354="Terreno",IF(AND(ISNUMBER(I354),I354&gt;0),M354/I354,""),IF(AND(ISNUMBER(H354),H354&gt;0),M354/H354,"")))</f>
        <v/>
      </c>
      <c r="T354" s="9">
        <f>IF(AND(ISNUMBER(M354),ISNUMBER(O354)),IF(M354&lt;=O354,"Valor ≤ venal IPTU",""),"")</f>
        <v/>
      </c>
      <c r="U354" s="10">
        <f>IF(AND(ISNUMBER(M354),ISNUMBER(N354)),IF(N354&gt;0,M354/N354,""),"")</f>
        <v/>
      </c>
      <c r="V354" s="10">
        <f>IF(AND(ISNUMBER(M354),ISNUMBER(O354)),IF(O354&gt;0,M354/O354,""),"")</f>
        <v/>
      </c>
      <c r="W354" s="10">
        <f>IF(AND(ISNUMBER(M354),ISNUMBER(R354)),IF(R354&gt;0,M354/R354,""),"")</f>
        <v/>
      </c>
      <c r="X354" s="10">
        <f>IF(AND(ISNUMBER(Q354),ISNUMBER(M354)),IF(M354&gt;0,Q354/M354,""),"")</f>
        <v/>
      </c>
      <c r="Y354" s="11">
        <f>IF(ISNUMBER(Z354),YEAR(Z354),"")</f>
        <v/>
      </c>
      <c r="Z354" s="12" t="n"/>
      <c r="AA354" s="12" t="n"/>
      <c r="AI354" s="12" t="n"/>
      <c r="AJ354" s="13">
        <f>IF(LEN(TRIM(AF354))=0,"",HYPERLINK("https://www.google.com/maps/@?api=1&amp;map_action=pano&amp;viewpoint="&amp;SUBSTITUTE(AF354," ",""),"Abrir Street View"))</f>
        <v/>
      </c>
    </row>
    <row r="355">
      <c r="H355" s="6" t="n"/>
      <c r="I355" s="6" t="n"/>
      <c r="M355" s="7" t="n"/>
      <c r="N355" s="7" t="n"/>
      <c r="O355" s="7" t="n"/>
      <c r="Q355" s="7" t="n"/>
      <c r="R355" s="7" t="n"/>
      <c r="S355" s="8">
        <f>IF(NOT(ISNUMBER(M355)),"",IF(G355="Terreno",IF(AND(ISNUMBER(I355),I355&gt;0),M355/I355,""),IF(AND(ISNUMBER(H355),H355&gt;0),M355/H355,"")))</f>
        <v/>
      </c>
      <c r="T355" s="9">
        <f>IF(AND(ISNUMBER(M355),ISNUMBER(O355)),IF(M355&lt;=O355,"Valor ≤ venal IPTU",""),"")</f>
        <v/>
      </c>
      <c r="U355" s="10">
        <f>IF(AND(ISNUMBER(M355),ISNUMBER(N355)),IF(N355&gt;0,M355/N355,""),"")</f>
        <v/>
      </c>
      <c r="V355" s="10">
        <f>IF(AND(ISNUMBER(M355),ISNUMBER(O355)),IF(O355&gt;0,M355/O355,""),"")</f>
        <v/>
      </c>
      <c r="W355" s="10">
        <f>IF(AND(ISNUMBER(M355),ISNUMBER(R355)),IF(R355&gt;0,M355/R355,""),"")</f>
        <v/>
      </c>
      <c r="X355" s="10">
        <f>IF(AND(ISNUMBER(Q355),ISNUMBER(M355)),IF(M355&gt;0,Q355/M355,""),"")</f>
        <v/>
      </c>
      <c r="Y355" s="11">
        <f>IF(ISNUMBER(Z355),YEAR(Z355),"")</f>
        <v/>
      </c>
      <c r="Z355" s="12" t="n"/>
      <c r="AA355" s="12" t="n"/>
      <c r="AI355" s="12" t="n"/>
      <c r="AJ355" s="13">
        <f>IF(LEN(TRIM(AF355))=0,"",HYPERLINK("https://www.google.com/maps/@?api=1&amp;map_action=pano&amp;viewpoint="&amp;SUBSTITUTE(AF355," ",""),"Abrir Street View"))</f>
        <v/>
      </c>
    </row>
    <row r="356">
      <c r="H356" s="6" t="n"/>
      <c r="I356" s="6" t="n"/>
      <c r="M356" s="7" t="n"/>
      <c r="N356" s="7" t="n"/>
      <c r="O356" s="7" t="n"/>
      <c r="Q356" s="7" t="n"/>
      <c r="R356" s="7" t="n"/>
      <c r="S356" s="8">
        <f>IF(NOT(ISNUMBER(M356)),"",IF(G356="Terreno",IF(AND(ISNUMBER(I356),I356&gt;0),M356/I356,""),IF(AND(ISNUMBER(H356),H356&gt;0),M356/H356,"")))</f>
        <v/>
      </c>
      <c r="T356" s="9">
        <f>IF(AND(ISNUMBER(M356),ISNUMBER(O356)),IF(M356&lt;=O356,"Valor ≤ venal IPTU",""),"")</f>
        <v/>
      </c>
      <c r="U356" s="10">
        <f>IF(AND(ISNUMBER(M356),ISNUMBER(N356)),IF(N356&gt;0,M356/N356,""),"")</f>
        <v/>
      </c>
      <c r="V356" s="10">
        <f>IF(AND(ISNUMBER(M356),ISNUMBER(O356)),IF(O356&gt;0,M356/O356,""),"")</f>
        <v/>
      </c>
      <c r="W356" s="10">
        <f>IF(AND(ISNUMBER(M356),ISNUMBER(R356)),IF(R356&gt;0,M356/R356,""),"")</f>
        <v/>
      </c>
      <c r="X356" s="10">
        <f>IF(AND(ISNUMBER(Q356),ISNUMBER(M356)),IF(M356&gt;0,Q356/M356,""),"")</f>
        <v/>
      </c>
      <c r="Y356" s="11">
        <f>IF(ISNUMBER(Z356),YEAR(Z356),"")</f>
        <v/>
      </c>
      <c r="Z356" s="12" t="n"/>
      <c r="AA356" s="12" t="n"/>
      <c r="AI356" s="12" t="n"/>
      <c r="AJ356" s="13">
        <f>IF(LEN(TRIM(AF356))=0,"",HYPERLINK("https://www.google.com/maps/@?api=1&amp;map_action=pano&amp;viewpoint="&amp;SUBSTITUTE(AF356," ",""),"Abrir Street View"))</f>
        <v/>
      </c>
    </row>
    <row r="357">
      <c r="H357" s="6" t="n"/>
      <c r="I357" s="6" t="n"/>
      <c r="M357" s="7" t="n"/>
      <c r="N357" s="7" t="n"/>
      <c r="O357" s="7" t="n"/>
      <c r="Q357" s="7" t="n"/>
      <c r="R357" s="7" t="n"/>
      <c r="S357" s="8">
        <f>IF(NOT(ISNUMBER(M357)),"",IF(G357="Terreno",IF(AND(ISNUMBER(I357),I357&gt;0),M357/I357,""),IF(AND(ISNUMBER(H357),H357&gt;0),M357/H357,"")))</f>
        <v/>
      </c>
      <c r="T357" s="9">
        <f>IF(AND(ISNUMBER(M357),ISNUMBER(O357)),IF(M357&lt;=O357,"Valor ≤ venal IPTU",""),"")</f>
        <v/>
      </c>
      <c r="U357" s="10">
        <f>IF(AND(ISNUMBER(M357),ISNUMBER(N357)),IF(N357&gt;0,M357/N357,""),"")</f>
        <v/>
      </c>
      <c r="V357" s="10">
        <f>IF(AND(ISNUMBER(M357),ISNUMBER(O357)),IF(O357&gt;0,M357/O357,""),"")</f>
        <v/>
      </c>
      <c r="W357" s="10">
        <f>IF(AND(ISNUMBER(M357),ISNUMBER(R357)),IF(R357&gt;0,M357/R357,""),"")</f>
        <v/>
      </c>
      <c r="X357" s="10">
        <f>IF(AND(ISNUMBER(Q357),ISNUMBER(M357)),IF(M357&gt;0,Q357/M357,""),"")</f>
        <v/>
      </c>
      <c r="Y357" s="11">
        <f>IF(ISNUMBER(Z357),YEAR(Z357),"")</f>
        <v/>
      </c>
      <c r="Z357" s="12" t="n"/>
      <c r="AA357" s="12" t="n"/>
      <c r="AI357" s="12" t="n"/>
      <c r="AJ357" s="13">
        <f>IF(LEN(TRIM(AF357))=0,"",HYPERLINK("https://www.google.com/maps/@?api=1&amp;map_action=pano&amp;viewpoint="&amp;SUBSTITUTE(AF357," ",""),"Abrir Street View"))</f>
        <v/>
      </c>
    </row>
    <row r="358">
      <c r="H358" s="6" t="n"/>
      <c r="I358" s="6" t="n"/>
      <c r="M358" s="7" t="n"/>
      <c r="N358" s="7" t="n"/>
      <c r="O358" s="7" t="n"/>
      <c r="Q358" s="7" t="n"/>
      <c r="R358" s="7" t="n"/>
      <c r="S358" s="8">
        <f>IF(NOT(ISNUMBER(M358)),"",IF(G358="Terreno",IF(AND(ISNUMBER(I358),I358&gt;0),M358/I358,""),IF(AND(ISNUMBER(H358),H358&gt;0),M358/H358,"")))</f>
        <v/>
      </c>
      <c r="T358" s="9">
        <f>IF(AND(ISNUMBER(M358),ISNUMBER(O358)),IF(M358&lt;=O358,"Valor ≤ venal IPTU",""),"")</f>
        <v/>
      </c>
      <c r="U358" s="10">
        <f>IF(AND(ISNUMBER(M358),ISNUMBER(N358)),IF(N358&gt;0,M358/N358,""),"")</f>
        <v/>
      </c>
      <c r="V358" s="10">
        <f>IF(AND(ISNUMBER(M358),ISNUMBER(O358)),IF(O358&gt;0,M358/O358,""),"")</f>
        <v/>
      </c>
      <c r="W358" s="10">
        <f>IF(AND(ISNUMBER(M358),ISNUMBER(R358)),IF(R358&gt;0,M358/R358,""),"")</f>
        <v/>
      </c>
      <c r="X358" s="10">
        <f>IF(AND(ISNUMBER(Q358),ISNUMBER(M358)),IF(M358&gt;0,Q358/M358,""),"")</f>
        <v/>
      </c>
      <c r="Y358" s="11">
        <f>IF(ISNUMBER(Z358),YEAR(Z358),"")</f>
        <v/>
      </c>
      <c r="Z358" s="12" t="n"/>
      <c r="AA358" s="12" t="n"/>
      <c r="AI358" s="12" t="n"/>
      <c r="AJ358" s="13">
        <f>IF(LEN(TRIM(AF358))=0,"",HYPERLINK("https://www.google.com/maps/@?api=1&amp;map_action=pano&amp;viewpoint="&amp;SUBSTITUTE(AF358," ",""),"Abrir Street View"))</f>
        <v/>
      </c>
    </row>
    <row r="359">
      <c r="H359" s="6" t="n"/>
      <c r="I359" s="6" t="n"/>
      <c r="M359" s="7" t="n"/>
      <c r="N359" s="7" t="n"/>
      <c r="O359" s="7" t="n"/>
      <c r="Q359" s="7" t="n"/>
      <c r="R359" s="7" t="n"/>
      <c r="S359" s="8">
        <f>IF(NOT(ISNUMBER(M359)),"",IF(G359="Terreno",IF(AND(ISNUMBER(I359),I359&gt;0),M359/I359,""),IF(AND(ISNUMBER(H359),H359&gt;0),M359/H359,"")))</f>
        <v/>
      </c>
      <c r="T359" s="9">
        <f>IF(AND(ISNUMBER(M359),ISNUMBER(O359)),IF(M359&lt;=O359,"Valor ≤ venal IPTU",""),"")</f>
        <v/>
      </c>
      <c r="U359" s="10">
        <f>IF(AND(ISNUMBER(M359),ISNUMBER(N359)),IF(N359&gt;0,M359/N359,""),"")</f>
        <v/>
      </c>
      <c r="V359" s="10">
        <f>IF(AND(ISNUMBER(M359),ISNUMBER(O359)),IF(O359&gt;0,M359/O359,""),"")</f>
        <v/>
      </c>
      <c r="W359" s="10">
        <f>IF(AND(ISNUMBER(M359),ISNUMBER(R359)),IF(R359&gt;0,M359/R359,""),"")</f>
        <v/>
      </c>
      <c r="X359" s="10">
        <f>IF(AND(ISNUMBER(Q359),ISNUMBER(M359)),IF(M359&gt;0,Q359/M359,""),"")</f>
        <v/>
      </c>
      <c r="Y359" s="11">
        <f>IF(ISNUMBER(Z359),YEAR(Z359),"")</f>
        <v/>
      </c>
      <c r="Z359" s="12" t="n"/>
      <c r="AA359" s="12" t="n"/>
      <c r="AI359" s="12" t="n"/>
      <c r="AJ359" s="13">
        <f>IF(LEN(TRIM(AF359))=0,"",HYPERLINK("https://www.google.com/maps/@?api=1&amp;map_action=pano&amp;viewpoint="&amp;SUBSTITUTE(AF359," ",""),"Abrir Street View"))</f>
        <v/>
      </c>
    </row>
    <row r="360">
      <c r="H360" s="6" t="n"/>
      <c r="I360" s="6" t="n"/>
      <c r="M360" s="7" t="n"/>
      <c r="N360" s="7" t="n"/>
      <c r="O360" s="7" t="n"/>
      <c r="Q360" s="7" t="n"/>
      <c r="R360" s="7" t="n"/>
      <c r="S360" s="8">
        <f>IF(NOT(ISNUMBER(M360)),"",IF(G360="Terreno",IF(AND(ISNUMBER(I360),I360&gt;0),M360/I360,""),IF(AND(ISNUMBER(H360),H360&gt;0),M360/H360,"")))</f>
        <v/>
      </c>
      <c r="T360" s="9">
        <f>IF(AND(ISNUMBER(M360),ISNUMBER(O360)),IF(M360&lt;=O360,"Valor ≤ venal IPTU",""),"")</f>
        <v/>
      </c>
      <c r="U360" s="10">
        <f>IF(AND(ISNUMBER(M360),ISNUMBER(N360)),IF(N360&gt;0,M360/N360,""),"")</f>
        <v/>
      </c>
      <c r="V360" s="10">
        <f>IF(AND(ISNUMBER(M360),ISNUMBER(O360)),IF(O360&gt;0,M360/O360,""),"")</f>
        <v/>
      </c>
      <c r="W360" s="10">
        <f>IF(AND(ISNUMBER(M360),ISNUMBER(R360)),IF(R360&gt;0,M360/R360,""),"")</f>
        <v/>
      </c>
      <c r="X360" s="10">
        <f>IF(AND(ISNUMBER(Q360),ISNUMBER(M360)),IF(M360&gt;0,Q360/M360,""),"")</f>
        <v/>
      </c>
      <c r="Y360" s="11">
        <f>IF(ISNUMBER(Z360),YEAR(Z360),"")</f>
        <v/>
      </c>
      <c r="Z360" s="12" t="n"/>
      <c r="AA360" s="12" t="n"/>
      <c r="AI360" s="12" t="n"/>
      <c r="AJ360" s="13">
        <f>IF(LEN(TRIM(AF360))=0,"",HYPERLINK("https://www.google.com/maps/@?api=1&amp;map_action=pano&amp;viewpoint="&amp;SUBSTITUTE(AF360," ",""),"Abrir Street View"))</f>
        <v/>
      </c>
    </row>
    <row r="361">
      <c r="H361" s="6" t="n"/>
      <c r="I361" s="6" t="n"/>
      <c r="M361" s="7" t="n"/>
      <c r="N361" s="7" t="n"/>
      <c r="O361" s="7" t="n"/>
      <c r="Q361" s="7" t="n"/>
      <c r="R361" s="7" t="n"/>
      <c r="S361" s="8">
        <f>IF(NOT(ISNUMBER(M361)),"",IF(G361="Terreno",IF(AND(ISNUMBER(I361),I361&gt;0),M361/I361,""),IF(AND(ISNUMBER(H361),H361&gt;0),M361/H361,"")))</f>
        <v/>
      </c>
      <c r="T361" s="9">
        <f>IF(AND(ISNUMBER(M361),ISNUMBER(O361)),IF(M361&lt;=O361,"Valor ≤ venal IPTU",""),"")</f>
        <v/>
      </c>
      <c r="U361" s="10">
        <f>IF(AND(ISNUMBER(M361),ISNUMBER(N361)),IF(N361&gt;0,M361/N361,""),"")</f>
        <v/>
      </c>
      <c r="V361" s="10">
        <f>IF(AND(ISNUMBER(M361),ISNUMBER(O361)),IF(O361&gt;0,M361/O361,""),"")</f>
        <v/>
      </c>
      <c r="W361" s="10">
        <f>IF(AND(ISNUMBER(M361),ISNUMBER(R361)),IF(R361&gt;0,M361/R361,""),"")</f>
        <v/>
      </c>
      <c r="X361" s="10">
        <f>IF(AND(ISNUMBER(Q361),ISNUMBER(M361)),IF(M361&gt;0,Q361/M361,""),"")</f>
        <v/>
      </c>
      <c r="Y361" s="11">
        <f>IF(ISNUMBER(Z361),YEAR(Z361),"")</f>
        <v/>
      </c>
      <c r="Z361" s="12" t="n"/>
      <c r="AA361" s="12" t="n"/>
      <c r="AI361" s="12" t="n"/>
      <c r="AJ361" s="13">
        <f>IF(LEN(TRIM(AF361))=0,"",HYPERLINK("https://www.google.com/maps/@?api=1&amp;map_action=pano&amp;viewpoint="&amp;SUBSTITUTE(AF361," ",""),"Abrir Street View"))</f>
        <v/>
      </c>
    </row>
    <row r="362">
      <c r="H362" s="6" t="n"/>
      <c r="I362" s="6" t="n"/>
      <c r="M362" s="7" t="n"/>
      <c r="N362" s="7" t="n"/>
      <c r="O362" s="7" t="n"/>
      <c r="Q362" s="7" t="n"/>
      <c r="R362" s="7" t="n"/>
      <c r="S362" s="8">
        <f>IF(NOT(ISNUMBER(M362)),"",IF(G362="Terreno",IF(AND(ISNUMBER(I362),I362&gt;0),M362/I362,""),IF(AND(ISNUMBER(H362),H362&gt;0),M362/H362,"")))</f>
        <v/>
      </c>
      <c r="T362" s="9">
        <f>IF(AND(ISNUMBER(M362),ISNUMBER(O362)),IF(M362&lt;=O362,"Valor ≤ venal IPTU",""),"")</f>
        <v/>
      </c>
      <c r="U362" s="10">
        <f>IF(AND(ISNUMBER(M362),ISNUMBER(N362)),IF(N362&gt;0,M362/N362,""),"")</f>
        <v/>
      </c>
      <c r="V362" s="10">
        <f>IF(AND(ISNUMBER(M362),ISNUMBER(O362)),IF(O362&gt;0,M362/O362,""),"")</f>
        <v/>
      </c>
      <c r="W362" s="10">
        <f>IF(AND(ISNUMBER(M362),ISNUMBER(R362)),IF(R362&gt;0,M362/R362,""),"")</f>
        <v/>
      </c>
      <c r="X362" s="10">
        <f>IF(AND(ISNUMBER(Q362),ISNUMBER(M362)),IF(M362&gt;0,Q362/M362,""),"")</f>
        <v/>
      </c>
      <c r="Y362" s="11">
        <f>IF(ISNUMBER(Z362),YEAR(Z362),"")</f>
        <v/>
      </c>
      <c r="Z362" s="12" t="n"/>
      <c r="AA362" s="12" t="n"/>
      <c r="AI362" s="12" t="n"/>
      <c r="AJ362" s="13">
        <f>IF(LEN(TRIM(AF362))=0,"",HYPERLINK("https://www.google.com/maps/@?api=1&amp;map_action=pano&amp;viewpoint="&amp;SUBSTITUTE(AF362," ",""),"Abrir Street View"))</f>
        <v/>
      </c>
    </row>
    <row r="363">
      <c r="H363" s="6" t="n"/>
      <c r="I363" s="6" t="n"/>
      <c r="M363" s="7" t="n"/>
      <c r="N363" s="7" t="n"/>
      <c r="O363" s="7" t="n"/>
      <c r="Q363" s="7" t="n"/>
      <c r="R363" s="7" t="n"/>
      <c r="S363" s="8">
        <f>IF(NOT(ISNUMBER(M363)),"",IF(G363="Terreno",IF(AND(ISNUMBER(I363),I363&gt;0),M363/I363,""),IF(AND(ISNUMBER(H363),H363&gt;0),M363/H363,"")))</f>
        <v/>
      </c>
      <c r="T363" s="9">
        <f>IF(AND(ISNUMBER(M363),ISNUMBER(O363)),IF(M363&lt;=O363,"Valor ≤ venal IPTU",""),"")</f>
        <v/>
      </c>
      <c r="U363" s="10">
        <f>IF(AND(ISNUMBER(M363),ISNUMBER(N363)),IF(N363&gt;0,M363/N363,""),"")</f>
        <v/>
      </c>
      <c r="V363" s="10">
        <f>IF(AND(ISNUMBER(M363),ISNUMBER(O363)),IF(O363&gt;0,M363/O363,""),"")</f>
        <v/>
      </c>
      <c r="W363" s="10">
        <f>IF(AND(ISNUMBER(M363),ISNUMBER(R363)),IF(R363&gt;0,M363/R363,""),"")</f>
        <v/>
      </c>
      <c r="X363" s="10">
        <f>IF(AND(ISNUMBER(Q363),ISNUMBER(M363)),IF(M363&gt;0,Q363/M363,""),"")</f>
        <v/>
      </c>
      <c r="Y363" s="11">
        <f>IF(ISNUMBER(Z363),YEAR(Z363),"")</f>
        <v/>
      </c>
      <c r="Z363" s="12" t="n"/>
      <c r="AA363" s="12" t="n"/>
      <c r="AI363" s="12" t="n"/>
      <c r="AJ363" s="13">
        <f>IF(LEN(TRIM(AF363))=0,"",HYPERLINK("https://www.google.com/maps/@?api=1&amp;map_action=pano&amp;viewpoint="&amp;SUBSTITUTE(AF363," ",""),"Abrir Street View"))</f>
        <v/>
      </c>
    </row>
    <row r="364">
      <c r="H364" s="6" t="n"/>
      <c r="I364" s="6" t="n"/>
      <c r="M364" s="7" t="n"/>
      <c r="N364" s="7" t="n"/>
      <c r="O364" s="7" t="n"/>
      <c r="Q364" s="7" t="n"/>
      <c r="R364" s="7" t="n"/>
      <c r="S364" s="8">
        <f>IF(NOT(ISNUMBER(M364)),"",IF(G364="Terreno",IF(AND(ISNUMBER(I364),I364&gt;0),M364/I364,""),IF(AND(ISNUMBER(H364),H364&gt;0),M364/H364,"")))</f>
        <v/>
      </c>
      <c r="T364" s="9">
        <f>IF(AND(ISNUMBER(M364),ISNUMBER(O364)),IF(M364&lt;=O364,"Valor ≤ venal IPTU",""),"")</f>
        <v/>
      </c>
      <c r="U364" s="10">
        <f>IF(AND(ISNUMBER(M364),ISNUMBER(N364)),IF(N364&gt;0,M364/N364,""),"")</f>
        <v/>
      </c>
      <c r="V364" s="10">
        <f>IF(AND(ISNUMBER(M364),ISNUMBER(O364)),IF(O364&gt;0,M364/O364,""),"")</f>
        <v/>
      </c>
      <c r="W364" s="10">
        <f>IF(AND(ISNUMBER(M364),ISNUMBER(R364)),IF(R364&gt;0,M364/R364,""),"")</f>
        <v/>
      </c>
      <c r="X364" s="10">
        <f>IF(AND(ISNUMBER(Q364),ISNUMBER(M364)),IF(M364&gt;0,Q364/M364,""),"")</f>
        <v/>
      </c>
      <c r="Y364" s="11">
        <f>IF(ISNUMBER(Z364),YEAR(Z364),"")</f>
        <v/>
      </c>
      <c r="Z364" s="12" t="n"/>
      <c r="AA364" s="12" t="n"/>
      <c r="AI364" s="12" t="n"/>
      <c r="AJ364" s="13">
        <f>IF(LEN(TRIM(AF364))=0,"",HYPERLINK("https://www.google.com/maps/@?api=1&amp;map_action=pano&amp;viewpoint="&amp;SUBSTITUTE(AF364," ",""),"Abrir Street View"))</f>
        <v/>
      </c>
    </row>
    <row r="365">
      <c r="H365" s="6" t="n"/>
      <c r="I365" s="6" t="n"/>
      <c r="M365" s="7" t="n"/>
      <c r="N365" s="7" t="n"/>
      <c r="O365" s="7" t="n"/>
      <c r="Q365" s="7" t="n"/>
      <c r="R365" s="7" t="n"/>
      <c r="S365" s="8">
        <f>IF(NOT(ISNUMBER(M365)),"",IF(G365="Terreno",IF(AND(ISNUMBER(I365),I365&gt;0),M365/I365,""),IF(AND(ISNUMBER(H365),H365&gt;0),M365/H365,"")))</f>
        <v/>
      </c>
      <c r="T365" s="9">
        <f>IF(AND(ISNUMBER(M365),ISNUMBER(O365)),IF(M365&lt;=O365,"Valor ≤ venal IPTU",""),"")</f>
        <v/>
      </c>
      <c r="U365" s="10">
        <f>IF(AND(ISNUMBER(M365),ISNUMBER(N365)),IF(N365&gt;0,M365/N365,""),"")</f>
        <v/>
      </c>
      <c r="V365" s="10">
        <f>IF(AND(ISNUMBER(M365),ISNUMBER(O365)),IF(O365&gt;0,M365/O365,""),"")</f>
        <v/>
      </c>
      <c r="W365" s="10">
        <f>IF(AND(ISNUMBER(M365),ISNUMBER(R365)),IF(R365&gt;0,M365/R365,""),"")</f>
        <v/>
      </c>
      <c r="X365" s="10">
        <f>IF(AND(ISNUMBER(Q365),ISNUMBER(M365)),IF(M365&gt;0,Q365/M365,""),"")</f>
        <v/>
      </c>
      <c r="Y365" s="11">
        <f>IF(ISNUMBER(Z365),YEAR(Z365),"")</f>
        <v/>
      </c>
      <c r="Z365" s="12" t="n"/>
      <c r="AA365" s="12" t="n"/>
      <c r="AI365" s="12" t="n"/>
      <c r="AJ365" s="13">
        <f>IF(LEN(TRIM(AF365))=0,"",HYPERLINK("https://www.google.com/maps/@?api=1&amp;map_action=pano&amp;viewpoint="&amp;SUBSTITUTE(AF365," ",""),"Abrir Street View"))</f>
        <v/>
      </c>
    </row>
    <row r="366">
      <c r="H366" s="6" t="n"/>
      <c r="I366" s="6" t="n"/>
      <c r="M366" s="7" t="n"/>
      <c r="N366" s="7" t="n"/>
      <c r="O366" s="7" t="n"/>
      <c r="Q366" s="7" t="n"/>
      <c r="R366" s="7" t="n"/>
      <c r="S366" s="8">
        <f>IF(NOT(ISNUMBER(M366)),"",IF(G366="Terreno",IF(AND(ISNUMBER(I366),I366&gt;0),M366/I366,""),IF(AND(ISNUMBER(H366),H366&gt;0),M366/H366,"")))</f>
        <v/>
      </c>
      <c r="T366" s="9">
        <f>IF(AND(ISNUMBER(M366),ISNUMBER(O366)),IF(M366&lt;=O366,"Valor ≤ venal IPTU",""),"")</f>
        <v/>
      </c>
      <c r="U366" s="10">
        <f>IF(AND(ISNUMBER(M366),ISNUMBER(N366)),IF(N366&gt;0,M366/N366,""),"")</f>
        <v/>
      </c>
      <c r="V366" s="10">
        <f>IF(AND(ISNUMBER(M366),ISNUMBER(O366)),IF(O366&gt;0,M366/O366,""),"")</f>
        <v/>
      </c>
      <c r="W366" s="10">
        <f>IF(AND(ISNUMBER(M366),ISNUMBER(R366)),IF(R366&gt;0,M366/R366,""),"")</f>
        <v/>
      </c>
      <c r="X366" s="10">
        <f>IF(AND(ISNUMBER(Q366),ISNUMBER(M366)),IF(M366&gt;0,Q366/M366,""),"")</f>
        <v/>
      </c>
      <c r="Y366" s="11">
        <f>IF(ISNUMBER(Z366),YEAR(Z366),"")</f>
        <v/>
      </c>
      <c r="Z366" s="12" t="n"/>
      <c r="AA366" s="12" t="n"/>
      <c r="AI366" s="12" t="n"/>
      <c r="AJ366" s="13">
        <f>IF(LEN(TRIM(AF366))=0,"",HYPERLINK("https://www.google.com/maps/@?api=1&amp;map_action=pano&amp;viewpoint="&amp;SUBSTITUTE(AF366," ",""),"Abrir Street View"))</f>
        <v/>
      </c>
    </row>
    <row r="367">
      <c r="H367" s="6" t="n"/>
      <c r="I367" s="6" t="n"/>
      <c r="M367" s="7" t="n"/>
      <c r="N367" s="7" t="n"/>
      <c r="O367" s="7" t="n"/>
      <c r="Q367" s="7" t="n"/>
      <c r="R367" s="7" t="n"/>
      <c r="S367" s="8">
        <f>IF(NOT(ISNUMBER(M367)),"",IF(G367="Terreno",IF(AND(ISNUMBER(I367),I367&gt;0),M367/I367,""),IF(AND(ISNUMBER(H367),H367&gt;0),M367/H367,"")))</f>
        <v/>
      </c>
      <c r="T367" s="9">
        <f>IF(AND(ISNUMBER(M367),ISNUMBER(O367)),IF(M367&lt;=O367,"Valor ≤ venal IPTU",""),"")</f>
        <v/>
      </c>
      <c r="U367" s="10">
        <f>IF(AND(ISNUMBER(M367),ISNUMBER(N367)),IF(N367&gt;0,M367/N367,""),"")</f>
        <v/>
      </c>
      <c r="V367" s="10">
        <f>IF(AND(ISNUMBER(M367),ISNUMBER(O367)),IF(O367&gt;0,M367/O367,""),"")</f>
        <v/>
      </c>
      <c r="W367" s="10">
        <f>IF(AND(ISNUMBER(M367),ISNUMBER(R367)),IF(R367&gt;0,M367/R367,""),"")</f>
        <v/>
      </c>
      <c r="X367" s="10">
        <f>IF(AND(ISNUMBER(Q367),ISNUMBER(M367)),IF(M367&gt;0,Q367/M367,""),"")</f>
        <v/>
      </c>
      <c r="Y367" s="11">
        <f>IF(ISNUMBER(Z367),YEAR(Z367),"")</f>
        <v/>
      </c>
      <c r="Z367" s="12" t="n"/>
      <c r="AA367" s="12" t="n"/>
      <c r="AI367" s="12" t="n"/>
      <c r="AJ367" s="13">
        <f>IF(LEN(TRIM(AF367))=0,"",HYPERLINK("https://www.google.com/maps/@?api=1&amp;map_action=pano&amp;viewpoint="&amp;SUBSTITUTE(AF367," ",""),"Abrir Street View"))</f>
        <v/>
      </c>
    </row>
    <row r="368">
      <c r="H368" s="6" t="n"/>
      <c r="I368" s="6" t="n"/>
      <c r="M368" s="7" t="n"/>
      <c r="N368" s="7" t="n"/>
      <c r="O368" s="7" t="n"/>
      <c r="Q368" s="7" t="n"/>
      <c r="R368" s="7" t="n"/>
      <c r="S368" s="8">
        <f>IF(NOT(ISNUMBER(M368)),"",IF(G368="Terreno",IF(AND(ISNUMBER(I368),I368&gt;0),M368/I368,""),IF(AND(ISNUMBER(H368),H368&gt;0),M368/H368,"")))</f>
        <v/>
      </c>
      <c r="T368" s="9">
        <f>IF(AND(ISNUMBER(M368),ISNUMBER(O368)),IF(M368&lt;=O368,"Valor ≤ venal IPTU",""),"")</f>
        <v/>
      </c>
      <c r="U368" s="10">
        <f>IF(AND(ISNUMBER(M368),ISNUMBER(N368)),IF(N368&gt;0,M368/N368,""),"")</f>
        <v/>
      </c>
      <c r="V368" s="10">
        <f>IF(AND(ISNUMBER(M368),ISNUMBER(O368)),IF(O368&gt;0,M368/O368,""),"")</f>
        <v/>
      </c>
      <c r="W368" s="10">
        <f>IF(AND(ISNUMBER(M368),ISNUMBER(R368)),IF(R368&gt;0,M368/R368,""),"")</f>
        <v/>
      </c>
      <c r="X368" s="10">
        <f>IF(AND(ISNUMBER(Q368),ISNUMBER(M368)),IF(M368&gt;0,Q368/M368,""),"")</f>
        <v/>
      </c>
      <c r="Y368" s="11">
        <f>IF(ISNUMBER(Z368),YEAR(Z368),"")</f>
        <v/>
      </c>
      <c r="Z368" s="12" t="n"/>
      <c r="AA368" s="12" t="n"/>
      <c r="AI368" s="12" t="n"/>
      <c r="AJ368" s="13">
        <f>IF(LEN(TRIM(AF368))=0,"",HYPERLINK("https://www.google.com/maps/@?api=1&amp;map_action=pano&amp;viewpoint="&amp;SUBSTITUTE(AF368," ",""),"Abrir Street View"))</f>
        <v/>
      </c>
    </row>
    <row r="369">
      <c r="H369" s="6" t="n"/>
      <c r="I369" s="6" t="n"/>
      <c r="M369" s="7" t="n"/>
      <c r="N369" s="7" t="n"/>
      <c r="O369" s="7" t="n"/>
      <c r="Q369" s="7" t="n"/>
      <c r="R369" s="7" t="n"/>
      <c r="S369" s="8">
        <f>IF(NOT(ISNUMBER(M369)),"",IF(G369="Terreno",IF(AND(ISNUMBER(I369),I369&gt;0),M369/I369,""),IF(AND(ISNUMBER(H369),H369&gt;0),M369/H369,"")))</f>
        <v/>
      </c>
      <c r="T369" s="9">
        <f>IF(AND(ISNUMBER(M369),ISNUMBER(O369)),IF(M369&lt;=O369,"Valor ≤ venal IPTU",""),"")</f>
        <v/>
      </c>
      <c r="U369" s="10">
        <f>IF(AND(ISNUMBER(M369),ISNUMBER(N369)),IF(N369&gt;0,M369/N369,""),"")</f>
        <v/>
      </c>
      <c r="V369" s="10">
        <f>IF(AND(ISNUMBER(M369),ISNUMBER(O369)),IF(O369&gt;0,M369/O369,""),"")</f>
        <v/>
      </c>
      <c r="W369" s="10">
        <f>IF(AND(ISNUMBER(M369),ISNUMBER(R369)),IF(R369&gt;0,M369/R369,""),"")</f>
        <v/>
      </c>
      <c r="X369" s="10">
        <f>IF(AND(ISNUMBER(Q369),ISNUMBER(M369)),IF(M369&gt;0,Q369/M369,""),"")</f>
        <v/>
      </c>
      <c r="Y369" s="11">
        <f>IF(ISNUMBER(Z369),YEAR(Z369),"")</f>
        <v/>
      </c>
      <c r="Z369" s="12" t="n"/>
      <c r="AA369" s="12" t="n"/>
      <c r="AI369" s="12" t="n"/>
      <c r="AJ369" s="13">
        <f>IF(LEN(TRIM(AF369))=0,"",HYPERLINK("https://www.google.com/maps/@?api=1&amp;map_action=pano&amp;viewpoint="&amp;SUBSTITUTE(AF369," ",""),"Abrir Street View"))</f>
        <v/>
      </c>
    </row>
    <row r="370">
      <c r="H370" s="6" t="n"/>
      <c r="I370" s="6" t="n"/>
      <c r="M370" s="7" t="n"/>
      <c r="N370" s="7" t="n"/>
      <c r="O370" s="7" t="n"/>
      <c r="Q370" s="7" t="n"/>
      <c r="R370" s="7" t="n"/>
      <c r="S370" s="8">
        <f>IF(NOT(ISNUMBER(M370)),"",IF(G370="Terreno",IF(AND(ISNUMBER(I370),I370&gt;0),M370/I370,""),IF(AND(ISNUMBER(H370),H370&gt;0),M370/H370,"")))</f>
        <v/>
      </c>
      <c r="T370" s="9">
        <f>IF(AND(ISNUMBER(M370),ISNUMBER(O370)),IF(M370&lt;=O370,"Valor ≤ venal IPTU",""),"")</f>
        <v/>
      </c>
      <c r="U370" s="10">
        <f>IF(AND(ISNUMBER(M370),ISNUMBER(N370)),IF(N370&gt;0,M370/N370,""),"")</f>
        <v/>
      </c>
      <c r="V370" s="10">
        <f>IF(AND(ISNUMBER(M370),ISNUMBER(O370)),IF(O370&gt;0,M370/O370,""),"")</f>
        <v/>
      </c>
      <c r="W370" s="10">
        <f>IF(AND(ISNUMBER(M370),ISNUMBER(R370)),IF(R370&gt;0,M370/R370,""),"")</f>
        <v/>
      </c>
      <c r="X370" s="10">
        <f>IF(AND(ISNUMBER(Q370),ISNUMBER(M370)),IF(M370&gt;0,Q370/M370,""),"")</f>
        <v/>
      </c>
      <c r="Y370" s="11">
        <f>IF(ISNUMBER(Z370),YEAR(Z370),"")</f>
        <v/>
      </c>
      <c r="Z370" s="12" t="n"/>
      <c r="AA370" s="12" t="n"/>
      <c r="AI370" s="12" t="n"/>
      <c r="AJ370" s="13">
        <f>IF(LEN(TRIM(AF370))=0,"",HYPERLINK("https://www.google.com/maps/@?api=1&amp;map_action=pano&amp;viewpoint="&amp;SUBSTITUTE(AF370," ",""),"Abrir Street View"))</f>
        <v/>
      </c>
    </row>
    <row r="371">
      <c r="H371" s="6" t="n"/>
      <c r="I371" s="6" t="n"/>
      <c r="M371" s="7" t="n"/>
      <c r="N371" s="7" t="n"/>
      <c r="O371" s="7" t="n"/>
      <c r="Q371" s="7" t="n"/>
      <c r="R371" s="7" t="n"/>
      <c r="S371" s="8">
        <f>IF(NOT(ISNUMBER(M371)),"",IF(G371="Terreno",IF(AND(ISNUMBER(I371),I371&gt;0),M371/I371,""),IF(AND(ISNUMBER(H371),H371&gt;0),M371/H371,"")))</f>
        <v/>
      </c>
      <c r="T371" s="9">
        <f>IF(AND(ISNUMBER(M371),ISNUMBER(O371)),IF(M371&lt;=O371,"Valor ≤ venal IPTU",""),"")</f>
        <v/>
      </c>
      <c r="U371" s="10">
        <f>IF(AND(ISNUMBER(M371),ISNUMBER(N371)),IF(N371&gt;0,M371/N371,""),"")</f>
        <v/>
      </c>
      <c r="V371" s="10">
        <f>IF(AND(ISNUMBER(M371),ISNUMBER(O371)),IF(O371&gt;0,M371/O371,""),"")</f>
        <v/>
      </c>
      <c r="W371" s="10">
        <f>IF(AND(ISNUMBER(M371),ISNUMBER(R371)),IF(R371&gt;0,M371/R371,""),"")</f>
        <v/>
      </c>
      <c r="X371" s="10">
        <f>IF(AND(ISNUMBER(Q371),ISNUMBER(M371)),IF(M371&gt;0,Q371/M371,""),"")</f>
        <v/>
      </c>
      <c r="Y371" s="11">
        <f>IF(ISNUMBER(Z371),YEAR(Z371),"")</f>
        <v/>
      </c>
      <c r="Z371" s="12" t="n"/>
      <c r="AA371" s="12" t="n"/>
      <c r="AI371" s="12" t="n"/>
      <c r="AJ371" s="13">
        <f>IF(LEN(TRIM(AF371))=0,"",HYPERLINK("https://www.google.com/maps/@?api=1&amp;map_action=pano&amp;viewpoint="&amp;SUBSTITUTE(AF371," ",""),"Abrir Street View"))</f>
        <v/>
      </c>
    </row>
    <row r="372">
      <c r="H372" s="6" t="n"/>
      <c r="I372" s="6" t="n"/>
      <c r="M372" s="7" t="n"/>
      <c r="N372" s="7" t="n"/>
      <c r="O372" s="7" t="n"/>
      <c r="Q372" s="7" t="n"/>
      <c r="R372" s="7" t="n"/>
      <c r="S372" s="8">
        <f>IF(NOT(ISNUMBER(M372)),"",IF(G372="Terreno",IF(AND(ISNUMBER(I372),I372&gt;0),M372/I372,""),IF(AND(ISNUMBER(H372),H372&gt;0),M372/H372,"")))</f>
        <v/>
      </c>
      <c r="T372" s="9">
        <f>IF(AND(ISNUMBER(M372),ISNUMBER(O372)),IF(M372&lt;=O372,"Valor ≤ venal IPTU",""),"")</f>
        <v/>
      </c>
      <c r="U372" s="10">
        <f>IF(AND(ISNUMBER(M372),ISNUMBER(N372)),IF(N372&gt;0,M372/N372,""),"")</f>
        <v/>
      </c>
      <c r="V372" s="10">
        <f>IF(AND(ISNUMBER(M372),ISNUMBER(O372)),IF(O372&gt;0,M372/O372,""),"")</f>
        <v/>
      </c>
      <c r="W372" s="10">
        <f>IF(AND(ISNUMBER(M372),ISNUMBER(R372)),IF(R372&gt;0,M372/R372,""),"")</f>
        <v/>
      </c>
      <c r="X372" s="10">
        <f>IF(AND(ISNUMBER(Q372),ISNUMBER(M372)),IF(M372&gt;0,Q372/M372,""),"")</f>
        <v/>
      </c>
      <c r="Y372" s="11">
        <f>IF(ISNUMBER(Z372),YEAR(Z372),"")</f>
        <v/>
      </c>
      <c r="Z372" s="12" t="n"/>
      <c r="AA372" s="12" t="n"/>
      <c r="AI372" s="12" t="n"/>
      <c r="AJ372" s="13">
        <f>IF(LEN(TRIM(AF372))=0,"",HYPERLINK("https://www.google.com/maps/@?api=1&amp;map_action=pano&amp;viewpoint="&amp;SUBSTITUTE(AF372," ",""),"Abrir Street View"))</f>
        <v/>
      </c>
    </row>
    <row r="373">
      <c r="H373" s="6" t="n"/>
      <c r="I373" s="6" t="n"/>
      <c r="M373" s="7" t="n"/>
      <c r="N373" s="7" t="n"/>
      <c r="O373" s="7" t="n"/>
      <c r="Q373" s="7" t="n"/>
      <c r="R373" s="7" t="n"/>
      <c r="S373" s="8">
        <f>IF(NOT(ISNUMBER(M373)),"",IF(G373="Terreno",IF(AND(ISNUMBER(I373),I373&gt;0),M373/I373,""),IF(AND(ISNUMBER(H373),H373&gt;0),M373/H373,"")))</f>
        <v/>
      </c>
      <c r="T373" s="9">
        <f>IF(AND(ISNUMBER(M373),ISNUMBER(O373)),IF(M373&lt;=O373,"Valor ≤ venal IPTU",""),"")</f>
        <v/>
      </c>
      <c r="U373" s="10">
        <f>IF(AND(ISNUMBER(M373),ISNUMBER(N373)),IF(N373&gt;0,M373/N373,""),"")</f>
        <v/>
      </c>
      <c r="V373" s="10">
        <f>IF(AND(ISNUMBER(M373),ISNUMBER(O373)),IF(O373&gt;0,M373/O373,""),"")</f>
        <v/>
      </c>
      <c r="W373" s="10">
        <f>IF(AND(ISNUMBER(M373),ISNUMBER(R373)),IF(R373&gt;0,M373/R373,""),"")</f>
        <v/>
      </c>
      <c r="X373" s="10">
        <f>IF(AND(ISNUMBER(Q373),ISNUMBER(M373)),IF(M373&gt;0,Q373/M373,""),"")</f>
        <v/>
      </c>
      <c r="Y373" s="11">
        <f>IF(ISNUMBER(Z373),YEAR(Z373),"")</f>
        <v/>
      </c>
      <c r="Z373" s="12" t="n"/>
      <c r="AA373" s="12" t="n"/>
      <c r="AI373" s="12" t="n"/>
      <c r="AJ373" s="13">
        <f>IF(LEN(TRIM(AF373))=0,"",HYPERLINK("https://www.google.com/maps/@?api=1&amp;map_action=pano&amp;viewpoint="&amp;SUBSTITUTE(AF373," ",""),"Abrir Street View"))</f>
        <v/>
      </c>
    </row>
    <row r="374">
      <c r="H374" s="6" t="n"/>
      <c r="I374" s="6" t="n"/>
      <c r="M374" s="7" t="n"/>
      <c r="N374" s="7" t="n"/>
      <c r="O374" s="7" t="n"/>
      <c r="Q374" s="7" t="n"/>
      <c r="R374" s="7" t="n"/>
      <c r="S374" s="8">
        <f>IF(NOT(ISNUMBER(M374)),"",IF(G374="Terreno",IF(AND(ISNUMBER(I374),I374&gt;0),M374/I374,""),IF(AND(ISNUMBER(H374),H374&gt;0),M374/H374,"")))</f>
        <v/>
      </c>
      <c r="T374" s="9">
        <f>IF(AND(ISNUMBER(M374),ISNUMBER(O374)),IF(M374&lt;=O374,"Valor ≤ venal IPTU",""),"")</f>
        <v/>
      </c>
      <c r="U374" s="10">
        <f>IF(AND(ISNUMBER(M374),ISNUMBER(N374)),IF(N374&gt;0,M374/N374,""),"")</f>
        <v/>
      </c>
      <c r="V374" s="10">
        <f>IF(AND(ISNUMBER(M374),ISNUMBER(O374)),IF(O374&gt;0,M374/O374,""),"")</f>
        <v/>
      </c>
      <c r="W374" s="10">
        <f>IF(AND(ISNUMBER(M374),ISNUMBER(R374)),IF(R374&gt;0,M374/R374,""),"")</f>
        <v/>
      </c>
      <c r="X374" s="10">
        <f>IF(AND(ISNUMBER(Q374),ISNUMBER(M374)),IF(M374&gt;0,Q374/M374,""),"")</f>
        <v/>
      </c>
      <c r="Y374" s="11">
        <f>IF(ISNUMBER(Z374),YEAR(Z374),"")</f>
        <v/>
      </c>
      <c r="Z374" s="12" t="n"/>
      <c r="AA374" s="12" t="n"/>
      <c r="AI374" s="12" t="n"/>
      <c r="AJ374" s="13">
        <f>IF(LEN(TRIM(AF374))=0,"",HYPERLINK("https://www.google.com/maps/@?api=1&amp;map_action=pano&amp;viewpoint="&amp;SUBSTITUTE(AF374," ",""),"Abrir Street View"))</f>
        <v/>
      </c>
    </row>
    <row r="375">
      <c r="H375" s="6" t="n"/>
      <c r="I375" s="6" t="n"/>
      <c r="M375" s="7" t="n"/>
      <c r="N375" s="7" t="n"/>
      <c r="O375" s="7" t="n"/>
      <c r="Q375" s="7" t="n"/>
      <c r="R375" s="7" t="n"/>
      <c r="S375" s="8">
        <f>IF(NOT(ISNUMBER(M375)),"",IF(G375="Terreno",IF(AND(ISNUMBER(I375),I375&gt;0),M375/I375,""),IF(AND(ISNUMBER(H375),H375&gt;0),M375/H375,"")))</f>
        <v/>
      </c>
      <c r="T375" s="9">
        <f>IF(AND(ISNUMBER(M375),ISNUMBER(O375)),IF(M375&lt;=O375,"Valor ≤ venal IPTU",""),"")</f>
        <v/>
      </c>
      <c r="U375" s="10">
        <f>IF(AND(ISNUMBER(M375),ISNUMBER(N375)),IF(N375&gt;0,M375/N375,""),"")</f>
        <v/>
      </c>
      <c r="V375" s="10">
        <f>IF(AND(ISNUMBER(M375),ISNUMBER(O375)),IF(O375&gt;0,M375/O375,""),"")</f>
        <v/>
      </c>
      <c r="W375" s="10">
        <f>IF(AND(ISNUMBER(M375),ISNUMBER(R375)),IF(R375&gt;0,M375/R375,""),"")</f>
        <v/>
      </c>
      <c r="X375" s="10">
        <f>IF(AND(ISNUMBER(Q375),ISNUMBER(M375)),IF(M375&gt;0,Q375/M375,""),"")</f>
        <v/>
      </c>
      <c r="Y375" s="11">
        <f>IF(ISNUMBER(Z375),YEAR(Z375),"")</f>
        <v/>
      </c>
      <c r="Z375" s="12" t="n"/>
      <c r="AA375" s="12" t="n"/>
      <c r="AI375" s="12" t="n"/>
      <c r="AJ375" s="13">
        <f>IF(LEN(TRIM(AF375))=0,"",HYPERLINK("https://www.google.com/maps/@?api=1&amp;map_action=pano&amp;viewpoint="&amp;SUBSTITUTE(AF375," ",""),"Abrir Street View"))</f>
        <v/>
      </c>
    </row>
    <row r="376">
      <c r="H376" s="6" t="n"/>
      <c r="I376" s="6" t="n"/>
      <c r="M376" s="7" t="n"/>
      <c r="N376" s="7" t="n"/>
      <c r="O376" s="7" t="n"/>
      <c r="Q376" s="7" t="n"/>
      <c r="R376" s="7" t="n"/>
      <c r="S376" s="8">
        <f>IF(NOT(ISNUMBER(M376)),"",IF(G376="Terreno",IF(AND(ISNUMBER(I376),I376&gt;0),M376/I376,""),IF(AND(ISNUMBER(H376),H376&gt;0),M376/H376,"")))</f>
        <v/>
      </c>
      <c r="T376" s="9">
        <f>IF(AND(ISNUMBER(M376),ISNUMBER(O376)),IF(M376&lt;=O376,"Valor ≤ venal IPTU",""),"")</f>
        <v/>
      </c>
      <c r="U376" s="10">
        <f>IF(AND(ISNUMBER(M376),ISNUMBER(N376)),IF(N376&gt;0,M376/N376,""),"")</f>
        <v/>
      </c>
      <c r="V376" s="10">
        <f>IF(AND(ISNUMBER(M376),ISNUMBER(O376)),IF(O376&gt;0,M376/O376,""),"")</f>
        <v/>
      </c>
      <c r="W376" s="10">
        <f>IF(AND(ISNUMBER(M376),ISNUMBER(R376)),IF(R376&gt;0,M376/R376,""),"")</f>
        <v/>
      </c>
      <c r="X376" s="10">
        <f>IF(AND(ISNUMBER(Q376),ISNUMBER(M376)),IF(M376&gt;0,Q376/M376,""),"")</f>
        <v/>
      </c>
      <c r="Y376" s="11">
        <f>IF(ISNUMBER(Z376),YEAR(Z376),"")</f>
        <v/>
      </c>
      <c r="Z376" s="12" t="n"/>
      <c r="AA376" s="12" t="n"/>
      <c r="AI376" s="12" t="n"/>
      <c r="AJ376" s="13">
        <f>IF(LEN(TRIM(AF376))=0,"",HYPERLINK("https://www.google.com/maps/@?api=1&amp;map_action=pano&amp;viewpoint="&amp;SUBSTITUTE(AF376," ",""),"Abrir Street View"))</f>
        <v/>
      </c>
    </row>
    <row r="377">
      <c r="H377" s="6" t="n"/>
      <c r="I377" s="6" t="n"/>
      <c r="M377" s="7" t="n"/>
      <c r="N377" s="7" t="n"/>
      <c r="O377" s="7" t="n"/>
      <c r="Q377" s="7" t="n"/>
      <c r="R377" s="7" t="n"/>
      <c r="S377" s="8">
        <f>IF(NOT(ISNUMBER(M377)),"",IF(G377="Terreno",IF(AND(ISNUMBER(I377),I377&gt;0),M377/I377,""),IF(AND(ISNUMBER(H377),H377&gt;0),M377/H377,"")))</f>
        <v/>
      </c>
      <c r="T377" s="9">
        <f>IF(AND(ISNUMBER(M377),ISNUMBER(O377)),IF(M377&lt;=O377,"Valor ≤ venal IPTU",""),"")</f>
        <v/>
      </c>
      <c r="U377" s="10">
        <f>IF(AND(ISNUMBER(M377),ISNUMBER(N377)),IF(N377&gt;0,M377/N377,""),"")</f>
        <v/>
      </c>
      <c r="V377" s="10">
        <f>IF(AND(ISNUMBER(M377),ISNUMBER(O377)),IF(O377&gt;0,M377/O377,""),"")</f>
        <v/>
      </c>
      <c r="W377" s="10">
        <f>IF(AND(ISNUMBER(M377),ISNUMBER(R377)),IF(R377&gt;0,M377/R377,""),"")</f>
        <v/>
      </c>
      <c r="X377" s="10">
        <f>IF(AND(ISNUMBER(Q377),ISNUMBER(M377)),IF(M377&gt;0,Q377/M377,""),"")</f>
        <v/>
      </c>
      <c r="Y377" s="11">
        <f>IF(ISNUMBER(Z377),YEAR(Z377),"")</f>
        <v/>
      </c>
      <c r="Z377" s="12" t="n"/>
      <c r="AA377" s="12" t="n"/>
      <c r="AI377" s="12" t="n"/>
      <c r="AJ377" s="13">
        <f>IF(LEN(TRIM(AF377))=0,"",HYPERLINK("https://www.google.com/maps/@?api=1&amp;map_action=pano&amp;viewpoint="&amp;SUBSTITUTE(AF377," ",""),"Abrir Street View"))</f>
        <v/>
      </c>
    </row>
    <row r="378">
      <c r="H378" s="6" t="n"/>
      <c r="I378" s="6" t="n"/>
      <c r="M378" s="7" t="n"/>
      <c r="N378" s="7" t="n"/>
      <c r="O378" s="7" t="n"/>
      <c r="Q378" s="7" t="n"/>
      <c r="R378" s="7" t="n"/>
      <c r="S378" s="8">
        <f>IF(NOT(ISNUMBER(M378)),"",IF(G378="Terreno",IF(AND(ISNUMBER(I378),I378&gt;0),M378/I378,""),IF(AND(ISNUMBER(H378),H378&gt;0),M378/H378,"")))</f>
        <v/>
      </c>
      <c r="T378" s="9">
        <f>IF(AND(ISNUMBER(M378),ISNUMBER(O378)),IF(M378&lt;=O378,"Valor ≤ venal IPTU",""),"")</f>
        <v/>
      </c>
      <c r="U378" s="10">
        <f>IF(AND(ISNUMBER(M378),ISNUMBER(N378)),IF(N378&gt;0,M378/N378,""),"")</f>
        <v/>
      </c>
      <c r="V378" s="10">
        <f>IF(AND(ISNUMBER(M378),ISNUMBER(O378)),IF(O378&gt;0,M378/O378,""),"")</f>
        <v/>
      </c>
      <c r="W378" s="10">
        <f>IF(AND(ISNUMBER(M378),ISNUMBER(R378)),IF(R378&gt;0,M378/R378,""),"")</f>
        <v/>
      </c>
      <c r="X378" s="10">
        <f>IF(AND(ISNUMBER(Q378),ISNUMBER(M378)),IF(M378&gt;0,Q378/M378,""),"")</f>
        <v/>
      </c>
      <c r="Y378" s="11">
        <f>IF(ISNUMBER(Z378),YEAR(Z378),"")</f>
        <v/>
      </c>
      <c r="Z378" s="12" t="n"/>
      <c r="AA378" s="12" t="n"/>
      <c r="AI378" s="12" t="n"/>
      <c r="AJ378" s="13">
        <f>IF(LEN(TRIM(AF378))=0,"",HYPERLINK("https://www.google.com/maps/@?api=1&amp;map_action=pano&amp;viewpoint="&amp;SUBSTITUTE(AF378," ",""),"Abrir Street View"))</f>
        <v/>
      </c>
    </row>
    <row r="379">
      <c r="H379" s="6" t="n"/>
      <c r="I379" s="6" t="n"/>
      <c r="M379" s="7" t="n"/>
      <c r="N379" s="7" t="n"/>
      <c r="O379" s="7" t="n"/>
      <c r="Q379" s="7" t="n"/>
      <c r="R379" s="7" t="n"/>
      <c r="S379" s="8">
        <f>IF(NOT(ISNUMBER(M379)),"",IF(G379="Terreno",IF(AND(ISNUMBER(I379),I379&gt;0),M379/I379,""),IF(AND(ISNUMBER(H379),H379&gt;0),M379/H379,"")))</f>
        <v/>
      </c>
      <c r="T379" s="9">
        <f>IF(AND(ISNUMBER(M379),ISNUMBER(O379)),IF(M379&lt;=O379,"Valor ≤ venal IPTU",""),"")</f>
        <v/>
      </c>
      <c r="U379" s="10">
        <f>IF(AND(ISNUMBER(M379),ISNUMBER(N379)),IF(N379&gt;0,M379/N379,""),"")</f>
        <v/>
      </c>
      <c r="V379" s="10">
        <f>IF(AND(ISNUMBER(M379),ISNUMBER(O379)),IF(O379&gt;0,M379/O379,""),"")</f>
        <v/>
      </c>
      <c r="W379" s="10">
        <f>IF(AND(ISNUMBER(M379),ISNUMBER(R379)),IF(R379&gt;0,M379/R379,""),"")</f>
        <v/>
      </c>
      <c r="X379" s="10">
        <f>IF(AND(ISNUMBER(Q379),ISNUMBER(M379)),IF(M379&gt;0,Q379/M379,""),"")</f>
        <v/>
      </c>
      <c r="Y379" s="11">
        <f>IF(ISNUMBER(Z379),YEAR(Z379),"")</f>
        <v/>
      </c>
      <c r="Z379" s="12" t="n"/>
      <c r="AA379" s="12" t="n"/>
      <c r="AI379" s="12" t="n"/>
      <c r="AJ379" s="13">
        <f>IF(LEN(TRIM(AF379))=0,"",HYPERLINK("https://www.google.com/maps/@?api=1&amp;map_action=pano&amp;viewpoint="&amp;SUBSTITUTE(AF379," ",""),"Abrir Street View"))</f>
        <v/>
      </c>
    </row>
    <row r="380">
      <c r="H380" s="6" t="n"/>
      <c r="I380" s="6" t="n"/>
      <c r="M380" s="7" t="n"/>
      <c r="N380" s="7" t="n"/>
      <c r="O380" s="7" t="n"/>
      <c r="Q380" s="7" t="n"/>
      <c r="R380" s="7" t="n"/>
      <c r="S380" s="8">
        <f>IF(NOT(ISNUMBER(M380)),"",IF(G380="Terreno",IF(AND(ISNUMBER(I380),I380&gt;0),M380/I380,""),IF(AND(ISNUMBER(H380),H380&gt;0),M380/H380,"")))</f>
        <v/>
      </c>
      <c r="T380" s="9">
        <f>IF(AND(ISNUMBER(M380),ISNUMBER(O380)),IF(M380&lt;=O380,"Valor ≤ venal IPTU",""),"")</f>
        <v/>
      </c>
      <c r="U380" s="10">
        <f>IF(AND(ISNUMBER(M380),ISNUMBER(N380)),IF(N380&gt;0,M380/N380,""),"")</f>
        <v/>
      </c>
      <c r="V380" s="10">
        <f>IF(AND(ISNUMBER(M380),ISNUMBER(O380)),IF(O380&gt;0,M380/O380,""),"")</f>
        <v/>
      </c>
      <c r="W380" s="10">
        <f>IF(AND(ISNUMBER(M380),ISNUMBER(R380)),IF(R380&gt;0,M380/R380,""),"")</f>
        <v/>
      </c>
      <c r="X380" s="10">
        <f>IF(AND(ISNUMBER(Q380),ISNUMBER(M380)),IF(M380&gt;0,Q380/M380,""),"")</f>
        <v/>
      </c>
      <c r="Y380" s="11">
        <f>IF(ISNUMBER(Z380),YEAR(Z380),"")</f>
        <v/>
      </c>
      <c r="Z380" s="12" t="n"/>
      <c r="AA380" s="12" t="n"/>
      <c r="AI380" s="12" t="n"/>
      <c r="AJ380" s="13">
        <f>IF(LEN(TRIM(AF380))=0,"",HYPERLINK("https://www.google.com/maps/@?api=1&amp;map_action=pano&amp;viewpoint="&amp;SUBSTITUTE(AF380," ",""),"Abrir Street View"))</f>
        <v/>
      </c>
    </row>
    <row r="381">
      <c r="H381" s="6" t="n"/>
      <c r="I381" s="6" t="n"/>
      <c r="M381" s="7" t="n"/>
      <c r="N381" s="7" t="n"/>
      <c r="O381" s="7" t="n"/>
      <c r="Q381" s="7" t="n"/>
      <c r="R381" s="7" t="n"/>
      <c r="S381" s="8">
        <f>IF(NOT(ISNUMBER(M381)),"",IF(G381="Terreno",IF(AND(ISNUMBER(I381),I381&gt;0),M381/I381,""),IF(AND(ISNUMBER(H381),H381&gt;0),M381/H381,"")))</f>
        <v/>
      </c>
      <c r="T381" s="9">
        <f>IF(AND(ISNUMBER(M381),ISNUMBER(O381)),IF(M381&lt;=O381,"Valor ≤ venal IPTU",""),"")</f>
        <v/>
      </c>
      <c r="U381" s="10">
        <f>IF(AND(ISNUMBER(M381),ISNUMBER(N381)),IF(N381&gt;0,M381/N381,""),"")</f>
        <v/>
      </c>
      <c r="V381" s="10">
        <f>IF(AND(ISNUMBER(M381),ISNUMBER(O381)),IF(O381&gt;0,M381/O381,""),"")</f>
        <v/>
      </c>
      <c r="W381" s="10">
        <f>IF(AND(ISNUMBER(M381),ISNUMBER(R381)),IF(R381&gt;0,M381/R381,""),"")</f>
        <v/>
      </c>
      <c r="X381" s="10">
        <f>IF(AND(ISNUMBER(Q381),ISNUMBER(M381)),IF(M381&gt;0,Q381/M381,""),"")</f>
        <v/>
      </c>
      <c r="Y381" s="11">
        <f>IF(ISNUMBER(Z381),YEAR(Z381),"")</f>
        <v/>
      </c>
      <c r="Z381" s="12" t="n"/>
      <c r="AA381" s="12" t="n"/>
      <c r="AI381" s="12" t="n"/>
      <c r="AJ381" s="13">
        <f>IF(LEN(TRIM(AF381))=0,"",HYPERLINK("https://www.google.com/maps/@?api=1&amp;map_action=pano&amp;viewpoint="&amp;SUBSTITUTE(AF381," ",""),"Abrir Street View"))</f>
        <v/>
      </c>
    </row>
    <row r="382">
      <c r="H382" s="6" t="n"/>
      <c r="I382" s="6" t="n"/>
      <c r="M382" s="7" t="n"/>
      <c r="N382" s="7" t="n"/>
      <c r="O382" s="7" t="n"/>
      <c r="Q382" s="7" t="n"/>
      <c r="R382" s="7" t="n"/>
      <c r="S382" s="8">
        <f>IF(NOT(ISNUMBER(M382)),"",IF(G382="Terreno",IF(AND(ISNUMBER(I382),I382&gt;0),M382/I382,""),IF(AND(ISNUMBER(H382),H382&gt;0),M382/H382,"")))</f>
        <v/>
      </c>
      <c r="T382" s="9">
        <f>IF(AND(ISNUMBER(M382),ISNUMBER(O382)),IF(M382&lt;=O382,"Valor ≤ venal IPTU",""),"")</f>
        <v/>
      </c>
      <c r="U382" s="10">
        <f>IF(AND(ISNUMBER(M382),ISNUMBER(N382)),IF(N382&gt;0,M382/N382,""),"")</f>
        <v/>
      </c>
      <c r="V382" s="10">
        <f>IF(AND(ISNUMBER(M382),ISNUMBER(O382)),IF(O382&gt;0,M382/O382,""),"")</f>
        <v/>
      </c>
      <c r="W382" s="10">
        <f>IF(AND(ISNUMBER(M382),ISNUMBER(R382)),IF(R382&gt;0,M382/R382,""),"")</f>
        <v/>
      </c>
      <c r="X382" s="10">
        <f>IF(AND(ISNUMBER(Q382),ISNUMBER(M382)),IF(M382&gt;0,Q382/M382,""),"")</f>
        <v/>
      </c>
      <c r="Y382" s="11">
        <f>IF(ISNUMBER(Z382),YEAR(Z382),"")</f>
        <v/>
      </c>
      <c r="Z382" s="12" t="n"/>
      <c r="AA382" s="12" t="n"/>
      <c r="AI382" s="12" t="n"/>
      <c r="AJ382" s="13">
        <f>IF(LEN(TRIM(AF382))=0,"",HYPERLINK("https://www.google.com/maps/@?api=1&amp;map_action=pano&amp;viewpoint="&amp;SUBSTITUTE(AF382," ",""),"Abrir Street View"))</f>
        <v/>
      </c>
    </row>
    <row r="383">
      <c r="H383" s="6" t="n"/>
      <c r="I383" s="6" t="n"/>
      <c r="M383" s="7" t="n"/>
      <c r="N383" s="7" t="n"/>
      <c r="O383" s="7" t="n"/>
      <c r="Q383" s="7" t="n"/>
      <c r="R383" s="7" t="n"/>
      <c r="S383" s="8">
        <f>IF(NOT(ISNUMBER(M383)),"",IF(G383="Terreno",IF(AND(ISNUMBER(I383),I383&gt;0),M383/I383,""),IF(AND(ISNUMBER(H383),H383&gt;0),M383/H383,"")))</f>
        <v/>
      </c>
      <c r="T383" s="9">
        <f>IF(AND(ISNUMBER(M383),ISNUMBER(O383)),IF(M383&lt;=O383,"Valor ≤ venal IPTU",""),"")</f>
        <v/>
      </c>
      <c r="U383" s="10">
        <f>IF(AND(ISNUMBER(M383),ISNUMBER(N383)),IF(N383&gt;0,M383/N383,""),"")</f>
        <v/>
      </c>
      <c r="V383" s="10">
        <f>IF(AND(ISNUMBER(M383),ISNUMBER(O383)),IF(O383&gt;0,M383/O383,""),"")</f>
        <v/>
      </c>
      <c r="W383" s="10">
        <f>IF(AND(ISNUMBER(M383),ISNUMBER(R383)),IF(R383&gt;0,M383/R383,""),"")</f>
        <v/>
      </c>
      <c r="X383" s="10">
        <f>IF(AND(ISNUMBER(Q383),ISNUMBER(M383)),IF(M383&gt;0,Q383/M383,""),"")</f>
        <v/>
      </c>
      <c r="Y383" s="11">
        <f>IF(ISNUMBER(Z383),YEAR(Z383),"")</f>
        <v/>
      </c>
      <c r="Z383" s="12" t="n"/>
      <c r="AA383" s="12" t="n"/>
      <c r="AI383" s="12" t="n"/>
      <c r="AJ383" s="13">
        <f>IF(LEN(TRIM(AF383))=0,"",HYPERLINK("https://www.google.com/maps/@?api=1&amp;map_action=pano&amp;viewpoint="&amp;SUBSTITUTE(AF383," ",""),"Abrir Street View"))</f>
        <v/>
      </c>
    </row>
    <row r="384">
      <c r="H384" s="6" t="n"/>
      <c r="I384" s="6" t="n"/>
      <c r="M384" s="7" t="n"/>
      <c r="N384" s="7" t="n"/>
      <c r="O384" s="7" t="n"/>
      <c r="Q384" s="7" t="n"/>
      <c r="R384" s="7" t="n"/>
      <c r="S384" s="8">
        <f>IF(NOT(ISNUMBER(M384)),"",IF(G384="Terreno",IF(AND(ISNUMBER(I384),I384&gt;0),M384/I384,""),IF(AND(ISNUMBER(H384),H384&gt;0),M384/H384,"")))</f>
        <v/>
      </c>
      <c r="T384" s="9">
        <f>IF(AND(ISNUMBER(M384),ISNUMBER(O384)),IF(M384&lt;=O384,"Valor ≤ venal IPTU",""),"")</f>
        <v/>
      </c>
      <c r="U384" s="10">
        <f>IF(AND(ISNUMBER(M384),ISNUMBER(N384)),IF(N384&gt;0,M384/N384,""),"")</f>
        <v/>
      </c>
      <c r="V384" s="10">
        <f>IF(AND(ISNUMBER(M384),ISNUMBER(O384)),IF(O384&gt;0,M384/O384,""),"")</f>
        <v/>
      </c>
      <c r="W384" s="10">
        <f>IF(AND(ISNUMBER(M384),ISNUMBER(R384)),IF(R384&gt;0,M384/R384,""),"")</f>
        <v/>
      </c>
      <c r="X384" s="10">
        <f>IF(AND(ISNUMBER(Q384),ISNUMBER(M384)),IF(M384&gt;0,Q384/M384,""),"")</f>
        <v/>
      </c>
      <c r="Y384" s="11">
        <f>IF(ISNUMBER(Z384),YEAR(Z384),"")</f>
        <v/>
      </c>
      <c r="Z384" s="12" t="n"/>
      <c r="AA384" s="12" t="n"/>
      <c r="AI384" s="12" t="n"/>
      <c r="AJ384" s="13">
        <f>IF(LEN(TRIM(AF384))=0,"",HYPERLINK("https://www.google.com/maps/@?api=1&amp;map_action=pano&amp;viewpoint="&amp;SUBSTITUTE(AF384," ",""),"Abrir Street View"))</f>
        <v/>
      </c>
    </row>
    <row r="385">
      <c r="H385" s="6" t="n"/>
      <c r="I385" s="6" t="n"/>
      <c r="M385" s="7" t="n"/>
      <c r="N385" s="7" t="n"/>
      <c r="O385" s="7" t="n"/>
      <c r="Q385" s="7" t="n"/>
      <c r="R385" s="7" t="n"/>
      <c r="S385" s="8">
        <f>IF(NOT(ISNUMBER(M385)),"",IF(G385="Terreno",IF(AND(ISNUMBER(I385),I385&gt;0),M385/I385,""),IF(AND(ISNUMBER(H385),H385&gt;0),M385/H385,"")))</f>
        <v/>
      </c>
      <c r="T385" s="9">
        <f>IF(AND(ISNUMBER(M385),ISNUMBER(O385)),IF(M385&lt;=O385,"Valor ≤ venal IPTU",""),"")</f>
        <v/>
      </c>
      <c r="U385" s="10">
        <f>IF(AND(ISNUMBER(M385),ISNUMBER(N385)),IF(N385&gt;0,M385/N385,""),"")</f>
        <v/>
      </c>
      <c r="V385" s="10">
        <f>IF(AND(ISNUMBER(M385),ISNUMBER(O385)),IF(O385&gt;0,M385/O385,""),"")</f>
        <v/>
      </c>
      <c r="W385" s="10">
        <f>IF(AND(ISNUMBER(M385),ISNUMBER(R385)),IF(R385&gt;0,M385/R385,""),"")</f>
        <v/>
      </c>
      <c r="X385" s="10">
        <f>IF(AND(ISNUMBER(Q385),ISNUMBER(M385)),IF(M385&gt;0,Q385/M385,""),"")</f>
        <v/>
      </c>
      <c r="Y385" s="11">
        <f>IF(ISNUMBER(Z385),YEAR(Z385),"")</f>
        <v/>
      </c>
      <c r="Z385" s="12" t="n"/>
      <c r="AA385" s="12" t="n"/>
      <c r="AI385" s="12" t="n"/>
      <c r="AJ385" s="13">
        <f>IF(LEN(TRIM(AF385))=0,"",HYPERLINK("https://www.google.com/maps/@?api=1&amp;map_action=pano&amp;viewpoint="&amp;SUBSTITUTE(AF385," ",""),"Abrir Street View"))</f>
        <v/>
      </c>
    </row>
    <row r="386">
      <c r="H386" s="6" t="n"/>
      <c r="I386" s="6" t="n"/>
      <c r="M386" s="7" t="n"/>
      <c r="N386" s="7" t="n"/>
      <c r="O386" s="7" t="n"/>
      <c r="Q386" s="7" t="n"/>
      <c r="R386" s="7" t="n"/>
      <c r="S386" s="8">
        <f>IF(NOT(ISNUMBER(M386)),"",IF(G386="Terreno",IF(AND(ISNUMBER(I386),I386&gt;0),M386/I386,""),IF(AND(ISNUMBER(H386),H386&gt;0),M386/H386,"")))</f>
        <v/>
      </c>
      <c r="T386" s="9">
        <f>IF(AND(ISNUMBER(M386),ISNUMBER(O386)),IF(M386&lt;=O386,"Valor ≤ venal IPTU",""),"")</f>
        <v/>
      </c>
      <c r="U386" s="10">
        <f>IF(AND(ISNUMBER(M386),ISNUMBER(N386)),IF(N386&gt;0,M386/N386,""),"")</f>
        <v/>
      </c>
      <c r="V386" s="10">
        <f>IF(AND(ISNUMBER(M386),ISNUMBER(O386)),IF(O386&gt;0,M386/O386,""),"")</f>
        <v/>
      </c>
      <c r="W386" s="10">
        <f>IF(AND(ISNUMBER(M386),ISNUMBER(R386)),IF(R386&gt;0,M386/R386,""),"")</f>
        <v/>
      </c>
      <c r="X386" s="10">
        <f>IF(AND(ISNUMBER(Q386),ISNUMBER(M386)),IF(M386&gt;0,Q386/M386,""),"")</f>
        <v/>
      </c>
      <c r="Y386" s="11">
        <f>IF(ISNUMBER(Z386),YEAR(Z386),"")</f>
        <v/>
      </c>
      <c r="Z386" s="12" t="n"/>
      <c r="AA386" s="12" t="n"/>
      <c r="AI386" s="12" t="n"/>
      <c r="AJ386" s="13">
        <f>IF(LEN(TRIM(AF386))=0,"",HYPERLINK("https://www.google.com/maps/@?api=1&amp;map_action=pano&amp;viewpoint="&amp;SUBSTITUTE(AF386," ",""),"Abrir Street View"))</f>
        <v/>
      </c>
    </row>
    <row r="387">
      <c r="H387" s="6" t="n"/>
      <c r="I387" s="6" t="n"/>
      <c r="M387" s="7" t="n"/>
      <c r="N387" s="7" t="n"/>
      <c r="O387" s="7" t="n"/>
      <c r="Q387" s="7" t="n"/>
      <c r="R387" s="7" t="n"/>
      <c r="S387" s="8">
        <f>IF(NOT(ISNUMBER(M387)),"",IF(G387="Terreno",IF(AND(ISNUMBER(I387),I387&gt;0),M387/I387,""),IF(AND(ISNUMBER(H387),H387&gt;0),M387/H387,"")))</f>
        <v/>
      </c>
      <c r="T387" s="9">
        <f>IF(AND(ISNUMBER(M387),ISNUMBER(O387)),IF(M387&lt;=O387,"Valor ≤ venal IPTU",""),"")</f>
        <v/>
      </c>
      <c r="U387" s="10">
        <f>IF(AND(ISNUMBER(M387),ISNUMBER(N387)),IF(N387&gt;0,M387/N387,""),"")</f>
        <v/>
      </c>
      <c r="V387" s="10">
        <f>IF(AND(ISNUMBER(M387),ISNUMBER(O387)),IF(O387&gt;0,M387/O387,""),"")</f>
        <v/>
      </c>
      <c r="W387" s="10">
        <f>IF(AND(ISNUMBER(M387),ISNUMBER(R387)),IF(R387&gt;0,M387/R387,""),"")</f>
        <v/>
      </c>
      <c r="X387" s="10">
        <f>IF(AND(ISNUMBER(Q387),ISNUMBER(M387)),IF(M387&gt;0,Q387/M387,""),"")</f>
        <v/>
      </c>
      <c r="Y387" s="11">
        <f>IF(ISNUMBER(Z387),YEAR(Z387),"")</f>
        <v/>
      </c>
      <c r="Z387" s="12" t="n"/>
      <c r="AA387" s="12" t="n"/>
      <c r="AI387" s="12" t="n"/>
      <c r="AJ387" s="13">
        <f>IF(LEN(TRIM(AF387))=0,"",HYPERLINK("https://www.google.com/maps/@?api=1&amp;map_action=pano&amp;viewpoint="&amp;SUBSTITUTE(AF387," ",""),"Abrir Street View"))</f>
        <v/>
      </c>
    </row>
    <row r="388">
      <c r="H388" s="6" t="n"/>
      <c r="I388" s="6" t="n"/>
      <c r="M388" s="7" t="n"/>
      <c r="N388" s="7" t="n"/>
      <c r="O388" s="7" t="n"/>
      <c r="Q388" s="7" t="n"/>
      <c r="R388" s="7" t="n"/>
      <c r="S388" s="8">
        <f>IF(NOT(ISNUMBER(M388)),"",IF(G388="Terreno",IF(AND(ISNUMBER(I388),I388&gt;0),M388/I388,""),IF(AND(ISNUMBER(H388),H388&gt;0),M388/H388,"")))</f>
        <v/>
      </c>
      <c r="T388" s="9">
        <f>IF(AND(ISNUMBER(M388),ISNUMBER(O388)),IF(M388&lt;=O388,"Valor ≤ venal IPTU",""),"")</f>
        <v/>
      </c>
      <c r="U388" s="10">
        <f>IF(AND(ISNUMBER(M388),ISNUMBER(N388)),IF(N388&gt;0,M388/N388,""),"")</f>
        <v/>
      </c>
      <c r="V388" s="10">
        <f>IF(AND(ISNUMBER(M388),ISNUMBER(O388)),IF(O388&gt;0,M388/O388,""),"")</f>
        <v/>
      </c>
      <c r="W388" s="10">
        <f>IF(AND(ISNUMBER(M388),ISNUMBER(R388)),IF(R388&gt;0,M388/R388,""),"")</f>
        <v/>
      </c>
      <c r="X388" s="10">
        <f>IF(AND(ISNUMBER(Q388),ISNUMBER(M388)),IF(M388&gt;0,Q388/M388,""),"")</f>
        <v/>
      </c>
      <c r="Y388" s="11">
        <f>IF(ISNUMBER(Z388),YEAR(Z388),"")</f>
        <v/>
      </c>
      <c r="Z388" s="12" t="n"/>
      <c r="AA388" s="12" t="n"/>
      <c r="AI388" s="12" t="n"/>
      <c r="AJ388" s="13">
        <f>IF(LEN(TRIM(AF388))=0,"",HYPERLINK("https://www.google.com/maps/@?api=1&amp;map_action=pano&amp;viewpoint="&amp;SUBSTITUTE(AF388," ",""),"Abrir Street View"))</f>
        <v/>
      </c>
    </row>
    <row r="389">
      <c r="H389" s="6" t="n"/>
      <c r="I389" s="6" t="n"/>
      <c r="M389" s="7" t="n"/>
      <c r="N389" s="7" t="n"/>
      <c r="O389" s="7" t="n"/>
      <c r="Q389" s="7" t="n"/>
      <c r="R389" s="7" t="n"/>
      <c r="S389" s="8">
        <f>IF(NOT(ISNUMBER(M389)),"",IF(G389="Terreno",IF(AND(ISNUMBER(I389),I389&gt;0),M389/I389,""),IF(AND(ISNUMBER(H389),H389&gt;0),M389/H389,"")))</f>
        <v/>
      </c>
      <c r="T389" s="9">
        <f>IF(AND(ISNUMBER(M389),ISNUMBER(O389)),IF(M389&lt;=O389,"Valor ≤ venal IPTU",""),"")</f>
        <v/>
      </c>
      <c r="U389" s="10">
        <f>IF(AND(ISNUMBER(M389),ISNUMBER(N389)),IF(N389&gt;0,M389/N389,""),"")</f>
        <v/>
      </c>
      <c r="V389" s="10">
        <f>IF(AND(ISNUMBER(M389),ISNUMBER(O389)),IF(O389&gt;0,M389/O389,""),"")</f>
        <v/>
      </c>
      <c r="W389" s="10">
        <f>IF(AND(ISNUMBER(M389),ISNUMBER(R389)),IF(R389&gt;0,M389/R389,""),"")</f>
        <v/>
      </c>
      <c r="X389" s="10">
        <f>IF(AND(ISNUMBER(Q389),ISNUMBER(M389)),IF(M389&gt;0,Q389/M389,""),"")</f>
        <v/>
      </c>
      <c r="Y389" s="11">
        <f>IF(ISNUMBER(Z389),YEAR(Z389),"")</f>
        <v/>
      </c>
      <c r="Z389" s="12" t="n"/>
      <c r="AA389" s="12" t="n"/>
      <c r="AI389" s="12" t="n"/>
      <c r="AJ389" s="13">
        <f>IF(LEN(TRIM(AF389))=0,"",HYPERLINK("https://www.google.com/maps/@?api=1&amp;map_action=pano&amp;viewpoint="&amp;SUBSTITUTE(AF389," ",""),"Abrir Street View"))</f>
        <v/>
      </c>
    </row>
    <row r="390">
      <c r="H390" s="6" t="n"/>
      <c r="I390" s="6" t="n"/>
      <c r="M390" s="7" t="n"/>
      <c r="N390" s="7" t="n"/>
      <c r="O390" s="7" t="n"/>
      <c r="Q390" s="7" t="n"/>
      <c r="R390" s="7" t="n"/>
      <c r="S390" s="8">
        <f>IF(NOT(ISNUMBER(M390)),"",IF(G390="Terreno",IF(AND(ISNUMBER(I390),I390&gt;0),M390/I390,""),IF(AND(ISNUMBER(H390),H390&gt;0),M390/H390,"")))</f>
        <v/>
      </c>
      <c r="T390" s="9">
        <f>IF(AND(ISNUMBER(M390),ISNUMBER(O390)),IF(M390&lt;=O390,"Valor ≤ venal IPTU",""),"")</f>
        <v/>
      </c>
      <c r="U390" s="10">
        <f>IF(AND(ISNUMBER(M390),ISNUMBER(N390)),IF(N390&gt;0,M390/N390,""),"")</f>
        <v/>
      </c>
      <c r="V390" s="10">
        <f>IF(AND(ISNUMBER(M390),ISNUMBER(O390)),IF(O390&gt;0,M390/O390,""),"")</f>
        <v/>
      </c>
      <c r="W390" s="10">
        <f>IF(AND(ISNUMBER(M390),ISNUMBER(R390)),IF(R390&gt;0,M390/R390,""),"")</f>
        <v/>
      </c>
      <c r="X390" s="10">
        <f>IF(AND(ISNUMBER(Q390),ISNUMBER(M390)),IF(M390&gt;0,Q390/M390,""),"")</f>
        <v/>
      </c>
      <c r="Y390" s="11">
        <f>IF(ISNUMBER(Z390),YEAR(Z390),"")</f>
        <v/>
      </c>
      <c r="Z390" s="12" t="n"/>
      <c r="AA390" s="12" t="n"/>
      <c r="AI390" s="12" t="n"/>
      <c r="AJ390" s="13">
        <f>IF(LEN(TRIM(AF390))=0,"",HYPERLINK("https://www.google.com/maps/@?api=1&amp;map_action=pano&amp;viewpoint="&amp;SUBSTITUTE(AF390," ",""),"Abrir Street View"))</f>
        <v/>
      </c>
    </row>
    <row r="391">
      <c r="H391" s="6" t="n"/>
      <c r="I391" s="6" t="n"/>
      <c r="M391" s="7" t="n"/>
      <c r="N391" s="7" t="n"/>
      <c r="O391" s="7" t="n"/>
      <c r="Q391" s="7" t="n"/>
      <c r="R391" s="7" t="n"/>
      <c r="S391" s="8">
        <f>IF(NOT(ISNUMBER(M391)),"",IF(G391="Terreno",IF(AND(ISNUMBER(I391),I391&gt;0),M391/I391,""),IF(AND(ISNUMBER(H391),H391&gt;0),M391/H391,"")))</f>
        <v/>
      </c>
      <c r="T391" s="9">
        <f>IF(AND(ISNUMBER(M391),ISNUMBER(O391)),IF(M391&lt;=O391,"Valor ≤ venal IPTU",""),"")</f>
        <v/>
      </c>
      <c r="U391" s="10">
        <f>IF(AND(ISNUMBER(M391),ISNUMBER(N391)),IF(N391&gt;0,M391/N391,""),"")</f>
        <v/>
      </c>
      <c r="V391" s="10">
        <f>IF(AND(ISNUMBER(M391),ISNUMBER(O391)),IF(O391&gt;0,M391/O391,""),"")</f>
        <v/>
      </c>
      <c r="W391" s="10">
        <f>IF(AND(ISNUMBER(M391),ISNUMBER(R391)),IF(R391&gt;0,M391/R391,""),"")</f>
        <v/>
      </c>
      <c r="X391" s="10">
        <f>IF(AND(ISNUMBER(Q391),ISNUMBER(M391)),IF(M391&gt;0,Q391/M391,""),"")</f>
        <v/>
      </c>
      <c r="Y391" s="11">
        <f>IF(ISNUMBER(Z391),YEAR(Z391),"")</f>
        <v/>
      </c>
      <c r="Z391" s="12" t="n"/>
      <c r="AA391" s="12" t="n"/>
      <c r="AI391" s="12" t="n"/>
      <c r="AJ391" s="13">
        <f>IF(LEN(TRIM(AF391))=0,"",HYPERLINK("https://www.google.com/maps/@?api=1&amp;map_action=pano&amp;viewpoint="&amp;SUBSTITUTE(AF391," ",""),"Abrir Street View"))</f>
        <v/>
      </c>
    </row>
    <row r="392">
      <c r="H392" s="6" t="n"/>
      <c r="I392" s="6" t="n"/>
      <c r="M392" s="7" t="n"/>
      <c r="N392" s="7" t="n"/>
      <c r="O392" s="7" t="n"/>
      <c r="Q392" s="7" t="n"/>
      <c r="R392" s="7" t="n"/>
      <c r="S392" s="8">
        <f>IF(NOT(ISNUMBER(M392)),"",IF(G392="Terreno",IF(AND(ISNUMBER(I392),I392&gt;0),M392/I392,""),IF(AND(ISNUMBER(H392),H392&gt;0),M392/H392,"")))</f>
        <v/>
      </c>
      <c r="T392" s="9">
        <f>IF(AND(ISNUMBER(M392),ISNUMBER(O392)),IF(M392&lt;=O392,"Valor ≤ venal IPTU",""),"")</f>
        <v/>
      </c>
      <c r="U392" s="10">
        <f>IF(AND(ISNUMBER(M392),ISNUMBER(N392)),IF(N392&gt;0,M392/N392,""),"")</f>
        <v/>
      </c>
      <c r="V392" s="10">
        <f>IF(AND(ISNUMBER(M392),ISNUMBER(O392)),IF(O392&gt;0,M392/O392,""),"")</f>
        <v/>
      </c>
      <c r="W392" s="10">
        <f>IF(AND(ISNUMBER(M392),ISNUMBER(R392)),IF(R392&gt;0,M392/R392,""),"")</f>
        <v/>
      </c>
      <c r="X392" s="10">
        <f>IF(AND(ISNUMBER(Q392),ISNUMBER(M392)),IF(M392&gt;0,Q392/M392,""),"")</f>
        <v/>
      </c>
      <c r="Y392" s="11">
        <f>IF(ISNUMBER(Z392),YEAR(Z392),"")</f>
        <v/>
      </c>
      <c r="Z392" s="12" t="n"/>
      <c r="AA392" s="12" t="n"/>
      <c r="AI392" s="12" t="n"/>
      <c r="AJ392" s="13">
        <f>IF(LEN(TRIM(AF392))=0,"",HYPERLINK("https://www.google.com/maps/@?api=1&amp;map_action=pano&amp;viewpoint="&amp;SUBSTITUTE(AF392," ",""),"Abrir Street View"))</f>
        <v/>
      </c>
    </row>
    <row r="393">
      <c r="H393" s="6" t="n"/>
      <c r="I393" s="6" t="n"/>
      <c r="M393" s="7" t="n"/>
      <c r="N393" s="7" t="n"/>
      <c r="O393" s="7" t="n"/>
      <c r="Q393" s="7" t="n"/>
      <c r="R393" s="7" t="n"/>
      <c r="S393" s="8">
        <f>IF(NOT(ISNUMBER(M393)),"",IF(G393="Terreno",IF(AND(ISNUMBER(I393),I393&gt;0),M393/I393,""),IF(AND(ISNUMBER(H393),H393&gt;0),M393/H393,"")))</f>
        <v/>
      </c>
      <c r="T393" s="9">
        <f>IF(AND(ISNUMBER(M393),ISNUMBER(O393)),IF(M393&lt;=O393,"Valor ≤ venal IPTU",""),"")</f>
        <v/>
      </c>
      <c r="U393" s="10">
        <f>IF(AND(ISNUMBER(M393),ISNUMBER(N393)),IF(N393&gt;0,M393/N393,""),"")</f>
        <v/>
      </c>
      <c r="V393" s="10">
        <f>IF(AND(ISNUMBER(M393),ISNUMBER(O393)),IF(O393&gt;0,M393/O393,""),"")</f>
        <v/>
      </c>
      <c r="W393" s="10">
        <f>IF(AND(ISNUMBER(M393),ISNUMBER(R393)),IF(R393&gt;0,M393/R393,""),"")</f>
        <v/>
      </c>
      <c r="X393" s="10">
        <f>IF(AND(ISNUMBER(Q393),ISNUMBER(M393)),IF(M393&gt;0,Q393/M393,""),"")</f>
        <v/>
      </c>
      <c r="Y393" s="11">
        <f>IF(ISNUMBER(Z393),YEAR(Z393),"")</f>
        <v/>
      </c>
      <c r="Z393" s="12" t="n"/>
      <c r="AA393" s="12" t="n"/>
      <c r="AI393" s="12" t="n"/>
      <c r="AJ393" s="13">
        <f>IF(LEN(TRIM(AF393))=0,"",HYPERLINK("https://www.google.com/maps/@?api=1&amp;map_action=pano&amp;viewpoint="&amp;SUBSTITUTE(AF393," ",""),"Abrir Street View"))</f>
        <v/>
      </c>
    </row>
    <row r="394">
      <c r="H394" s="6" t="n"/>
      <c r="I394" s="6" t="n"/>
      <c r="M394" s="7" t="n"/>
      <c r="N394" s="7" t="n"/>
      <c r="O394" s="7" t="n"/>
      <c r="Q394" s="7" t="n"/>
      <c r="R394" s="7" t="n"/>
      <c r="S394" s="8">
        <f>IF(NOT(ISNUMBER(M394)),"",IF(G394="Terreno",IF(AND(ISNUMBER(I394),I394&gt;0),M394/I394,""),IF(AND(ISNUMBER(H394),H394&gt;0),M394/H394,"")))</f>
        <v/>
      </c>
      <c r="T394" s="9">
        <f>IF(AND(ISNUMBER(M394),ISNUMBER(O394)),IF(M394&lt;=O394,"Valor ≤ venal IPTU",""),"")</f>
        <v/>
      </c>
      <c r="U394" s="10">
        <f>IF(AND(ISNUMBER(M394),ISNUMBER(N394)),IF(N394&gt;0,M394/N394,""),"")</f>
        <v/>
      </c>
      <c r="V394" s="10">
        <f>IF(AND(ISNUMBER(M394),ISNUMBER(O394)),IF(O394&gt;0,M394/O394,""),"")</f>
        <v/>
      </c>
      <c r="W394" s="10">
        <f>IF(AND(ISNUMBER(M394),ISNUMBER(R394)),IF(R394&gt;0,M394/R394,""),"")</f>
        <v/>
      </c>
      <c r="X394" s="10">
        <f>IF(AND(ISNUMBER(Q394),ISNUMBER(M394)),IF(M394&gt;0,Q394/M394,""),"")</f>
        <v/>
      </c>
      <c r="Y394" s="11">
        <f>IF(ISNUMBER(Z394),YEAR(Z394),"")</f>
        <v/>
      </c>
      <c r="Z394" s="12" t="n"/>
      <c r="AA394" s="12" t="n"/>
      <c r="AI394" s="12" t="n"/>
      <c r="AJ394" s="13">
        <f>IF(LEN(TRIM(AF394))=0,"",HYPERLINK("https://www.google.com/maps/@?api=1&amp;map_action=pano&amp;viewpoint="&amp;SUBSTITUTE(AF394," ",""),"Abrir Street View"))</f>
        <v/>
      </c>
    </row>
    <row r="395">
      <c r="H395" s="6" t="n"/>
      <c r="I395" s="6" t="n"/>
      <c r="M395" s="7" t="n"/>
      <c r="N395" s="7" t="n"/>
      <c r="O395" s="7" t="n"/>
      <c r="Q395" s="7" t="n"/>
      <c r="R395" s="7" t="n"/>
      <c r="S395" s="8">
        <f>IF(NOT(ISNUMBER(M395)),"",IF(G395="Terreno",IF(AND(ISNUMBER(I395),I395&gt;0),M395/I395,""),IF(AND(ISNUMBER(H395),H395&gt;0),M395/H395,"")))</f>
        <v/>
      </c>
      <c r="T395" s="9">
        <f>IF(AND(ISNUMBER(M395),ISNUMBER(O395)),IF(M395&lt;=O395,"Valor ≤ venal IPTU",""),"")</f>
        <v/>
      </c>
      <c r="U395" s="10">
        <f>IF(AND(ISNUMBER(M395),ISNUMBER(N395)),IF(N395&gt;0,M395/N395,""),"")</f>
        <v/>
      </c>
      <c r="V395" s="10">
        <f>IF(AND(ISNUMBER(M395),ISNUMBER(O395)),IF(O395&gt;0,M395/O395,""),"")</f>
        <v/>
      </c>
      <c r="W395" s="10">
        <f>IF(AND(ISNUMBER(M395),ISNUMBER(R395)),IF(R395&gt;0,M395/R395,""),"")</f>
        <v/>
      </c>
      <c r="X395" s="10">
        <f>IF(AND(ISNUMBER(Q395),ISNUMBER(M395)),IF(M395&gt;0,Q395/M395,""),"")</f>
        <v/>
      </c>
      <c r="Y395" s="11">
        <f>IF(ISNUMBER(Z395),YEAR(Z395),"")</f>
        <v/>
      </c>
      <c r="Z395" s="12" t="n"/>
      <c r="AA395" s="12" t="n"/>
      <c r="AI395" s="12" t="n"/>
      <c r="AJ395" s="13">
        <f>IF(LEN(TRIM(AF395))=0,"",HYPERLINK("https://www.google.com/maps/@?api=1&amp;map_action=pano&amp;viewpoint="&amp;SUBSTITUTE(AF395," ",""),"Abrir Street View"))</f>
        <v/>
      </c>
    </row>
    <row r="396">
      <c r="H396" s="6" t="n"/>
      <c r="I396" s="6" t="n"/>
      <c r="M396" s="7" t="n"/>
      <c r="N396" s="7" t="n"/>
      <c r="O396" s="7" t="n"/>
      <c r="Q396" s="7" t="n"/>
      <c r="R396" s="7" t="n"/>
      <c r="S396" s="8">
        <f>IF(NOT(ISNUMBER(M396)),"",IF(G396="Terreno",IF(AND(ISNUMBER(I396),I396&gt;0),M396/I396,""),IF(AND(ISNUMBER(H396),H396&gt;0),M396/H396,"")))</f>
        <v/>
      </c>
      <c r="T396" s="9">
        <f>IF(AND(ISNUMBER(M396),ISNUMBER(O396)),IF(M396&lt;=O396,"Valor ≤ venal IPTU",""),"")</f>
        <v/>
      </c>
      <c r="U396" s="10">
        <f>IF(AND(ISNUMBER(M396),ISNUMBER(N396)),IF(N396&gt;0,M396/N396,""),"")</f>
        <v/>
      </c>
      <c r="V396" s="10">
        <f>IF(AND(ISNUMBER(M396),ISNUMBER(O396)),IF(O396&gt;0,M396/O396,""),"")</f>
        <v/>
      </c>
      <c r="W396" s="10">
        <f>IF(AND(ISNUMBER(M396),ISNUMBER(R396)),IF(R396&gt;0,M396/R396,""),"")</f>
        <v/>
      </c>
      <c r="X396" s="10">
        <f>IF(AND(ISNUMBER(Q396),ISNUMBER(M396)),IF(M396&gt;0,Q396/M396,""),"")</f>
        <v/>
      </c>
      <c r="Y396" s="11">
        <f>IF(ISNUMBER(Z396),YEAR(Z396),"")</f>
        <v/>
      </c>
      <c r="Z396" s="12" t="n"/>
      <c r="AA396" s="12" t="n"/>
      <c r="AI396" s="12" t="n"/>
      <c r="AJ396" s="13">
        <f>IF(LEN(TRIM(AF396))=0,"",HYPERLINK("https://www.google.com/maps/@?api=1&amp;map_action=pano&amp;viewpoint="&amp;SUBSTITUTE(AF396," ",""),"Abrir Street View"))</f>
        <v/>
      </c>
    </row>
    <row r="397">
      <c r="H397" s="6" t="n"/>
      <c r="I397" s="6" t="n"/>
      <c r="M397" s="7" t="n"/>
      <c r="N397" s="7" t="n"/>
      <c r="O397" s="7" t="n"/>
      <c r="Q397" s="7" t="n"/>
      <c r="R397" s="7" t="n"/>
      <c r="S397" s="8">
        <f>IF(NOT(ISNUMBER(M397)),"",IF(G397="Terreno",IF(AND(ISNUMBER(I397),I397&gt;0),M397/I397,""),IF(AND(ISNUMBER(H397),H397&gt;0),M397/H397,"")))</f>
        <v/>
      </c>
      <c r="T397" s="9">
        <f>IF(AND(ISNUMBER(M397),ISNUMBER(O397)),IF(M397&lt;=O397,"Valor ≤ venal IPTU",""),"")</f>
        <v/>
      </c>
      <c r="U397" s="10">
        <f>IF(AND(ISNUMBER(M397),ISNUMBER(N397)),IF(N397&gt;0,M397/N397,""),"")</f>
        <v/>
      </c>
      <c r="V397" s="10">
        <f>IF(AND(ISNUMBER(M397),ISNUMBER(O397)),IF(O397&gt;0,M397/O397,""),"")</f>
        <v/>
      </c>
      <c r="W397" s="10">
        <f>IF(AND(ISNUMBER(M397),ISNUMBER(R397)),IF(R397&gt;0,M397/R397,""),"")</f>
        <v/>
      </c>
      <c r="X397" s="10">
        <f>IF(AND(ISNUMBER(Q397),ISNUMBER(M397)),IF(M397&gt;0,Q397/M397,""),"")</f>
        <v/>
      </c>
      <c r="Y397" s="11">
        <f>IF(ISNUMBER(Z397),YEAR(Z397),"")</f>
        <v/>
      </c>
      <c r="Z397" s="12" t="n"/>
      <c r="AA397" s="12" t="n"/>
      <c r="AI397" s="12" t="n"/>
      <c r="AJ397" s="13">
        <f>IF(LEN(TRIM(AF397))=0,"",HYPERLINK("https://www.google.com/maps/@?api=1&amp;map_action=pano&amp;viewpoint="&amp;SUBSTITUTE(AF397," ",""),"Abrir Street View"))</f>
        <v/>
      </c>
    </row>
    <row r="398">
      <c r="H398" s="6" t="n"/>
      <c r="I398" s="6" t="n"/>
      <c r="M398" s="7" t="n"/>
      <c r="N398" s="7" t="n"/>
      <c r="O398" s="7" t="n"/>
      <c r="Q398" s="7" t="n"/>
      <c r="R398" s="7" t="n"/>
      <c r="S398" s="8">
        <f>IF(NOT(ISNUMBER(M398)),"",IF(G398="Terreno",IF(AND(ISNUMBER(I398),I398&gt;0),M398/I398,""),IF(AND(ISNUMBER(H398),H398&gt;0),M398/H398,"")))</f>
        <v/>
      </c>
      <c r="T398" s="9">
        <f>IF(AND(ISNUMBER(M398),ISNUMBER(O398)),IF(M398&lt;=O398,"Valor ≤ venal IPTU",""),"")</f>
        <v/>
      </c>
      <c r="U398" s="10">
        <f>IF(AND(ISNUMBER(M398),ISNUMBER(N398)),IF(N398&gt;0,M398/N398,""),"")</f>
        <v/>
      </c>
      <c r="V398" s="10">
        <f>IF(AND(ISNUMBER(M398),ISNUMBER(O398)),IF(O398&gt;0,M398/O398,""),"")</f>
        <v/>
      </c>
      <c r="W398" s="10">
        <f>IF(AND(ISNUMBER(M398),ISNUMBER(R398)),IF(R398&gt;0,M398/R398,""),"")</f>
        <v/>
      </c>
      <c r="X398" s="10">
        <f>IF(AND(ISNUMBER(Q398),ISNUMBER(M398)),IF(M398&gt;0,Q398/M398,""),"")</f>
        <v/>
      </c>
      <c r="Y398" s="11">
        <f>IF(ISNUMBER(Z398),YEAR(Z398),"")</f>
        <v/>
      </c>
      <c r="Z398" s="12" t="n"/>
      <c r="AA398" s="12" t="n"/>
      <c r="AI398" s="12" t="n"/>
      <c r="AJ398" s="13">
        <f>IF(LEN(TRIM(AF398))=0,"",HYPERLINK("https://www.google.com/maps/@?api=1&amp;map_action=pano&amp;viewpoint="&amp;SUBSTITUTE(AF398," ",""),"Abrir Street View"))</f>
        <v/>
      </c>
    </row>
    <row r="399">
      <c r="H399" s="6" t="n"/>
      <c r="I399" s="6" t="n"/>
      <c r="M399" s="7" t="n"/>
      <c r="N399" s="7" t="n"/>
      <c r="O399" s="7" t="n"/>
      <c r="Q399" s="7" t="n"/>
      <c r="R399" s="7" t="n"/>
      <c r="S399" s="8">
        <f>IF(NOT(ISNUMBER(M399)),"",IF(G399="Terreno",IF(AND(ISNUMBER(I399),I399&gt;0),M399/I399,""),IF(AND(ISNUMBER(H399),H399&gt;0),M399/H399,"")))</f>
        <v/>
      </c>
      <c r="T399" s="9">
        <f>IF(AND(ISNUMBER(M399),ISNUMBER(O399)),IF(M399&lt;=O399,"Valor ≤ venal IPTU",""),"")</f>
        <v/>
      </c>
      <c r="U399" s="10">
        <f>IF(AND(ISNUMBER(M399),ISNUMBER(N399)),IF(N399&gt;0,M399/N399,""),"")</f>
        <v/>
      </c>
      <c r="V399" s="10">
        <f>IF(AND(ISNUMBER(M399),ISNUMBER(O399)),IF(O399&gt;0,M399/O399,""),"")</f>
        <v/>
      </c>
      <c r="W399" s="10">
        <f>IF(AND(ISNUMBER(M399),ISNUMBER(R399)),IF(R399&gt;0,M399/R399,""),"")</f>
        <v/>
      </c>
      <c r="X399" s="10">
        <f>IF(AND(ISNUMBER(Q399),ISNUMBER(M399)),IF(M399&gt;0,Q399/M399,""),"")</f>
        <v/>
      </c>
      <c r="Y399" s="11">
        <f>IF(ISNUMBER(Z399),YEAR(Z399),"")</f>
        <v/>
      </c>
      <c r="Z399" s="12" t="n"/>
      <c r="AA399" s="12" t="n"/>
      <c r="AI399" s="12" t="n"/>
      <c r="AJ399" s="13">
        <f>IF(LEN(TRIM(AF399))=0,"",HYPERLINK("https://www.google.com/maps/@?api=1&amp;map_action=pano&amp;viewpoint="&amp;SUBSTITUTE(AF399," ",""),"Abrir Street View"))</f>
        <v/>
      </c>
    </row>
    <row r="400">
      <c r="H400" s="6" t="n"/>
      <c r="I400" s="6" t="n"/>
      <c r="M400" s="7" t="n"/>
      <c r="N400" s="7" t="n"/>
      <c r="O400" s="7" t="n"/>
      <c r="Q400" s="7" t="n"/>
      <c r="R400" s="7" t="n"/>
      <c r="S400" s="8">
        <f>IF(NOT(ISNUMBER(M400)),"",IF(G400="Terreno",IF(AND(ISNUMBER(I400),I400&gt;0),M400/I400,""),IF(AND(ISNUMBER(H400),H400&gt;0),M400/H400,"")))</f>
        <v/>
      </c>
      <c r="T400" s="9">
        <f>IF(AND(ISNUMBER(M400),ISNUMBER(O400)),IF(M400&lt;=O400,"Valor ≤ venal IPTU",""),"")</f>
        <v/>
      </c>
      <c r="U400" s="10">
        <f>IF(AND(ISNUMBER(M400),ISNUMBER(N400)),IF(N400&gt;0,M400/N400,""),"")</f>
        <v/>
      </c>
      <c r="V400" s="10">
        <f>IF(AND(ISNUMBER(M400),ISNUMBER(O400)),IF(O400&gt;0,M400/O400,""),"")</f>
        <v/>
      </c>
      <c r="W400" s="10">
        <f>IF(AND(ISNUMBER(M400),ISNUMBER(R400)),IF(R400&gt;0,M400/R400,""),"")</f>
        <v/>
      </c>
      <c r="X400" s="10">
        <f>IF(AND(ISNUMBER(Q400),ISNUMBER(M400)),IF(M400&gt;0,Q400/M400,""),"")</f>
        <v/>
      </c>
      <c r="Y400" s="11">
        <f>IF(ISNUMBER(Z400),YEAR(Z400),"")</f>
        <v/>
      </c>
      <c r="Z400" s="12" t="n"/>
      <c r="AA400" s="12" t="n"/>
      <c r="AI400" s="12" t="n"/>
      <c r="AJ400" s="13">
        <f>IF(LEN(TRIM(AF400))=0,"",HYPERLINK("https://www.google.com/maps/@?api=1&amp;map_action=pano&amp;viewpoint="&amp;SUBSTITUTE(AF400," ",""),"Abrir Street View"))</f>
        <v/>
      </c>
    </row>
    <row r="401">
      <c r="H401" s="6" t="n"/>
      <c r="I401" s="6" t="n"/>
      <c r="M401" s="7" t="n"/>
      <c r="N401" s="7" t="n"/>
      <c r="O401" s="7" t="n"/>
      <c r="Q401" s="7" t="n"/>
      <c r="R401" s="7" t="n"/>
      <c r="S401" s="8">
        <f>IF(NOT(ISNUMBER(M401)),"",IF(G401="Terreno",IF(AND(ISNUMBER(I401),I401&gt;0),M401/I401,""),IF(AND(ISNUMBER(H401),H401&gt;0),M401/H401,"")))</f>
        <v/>
      </c>
      <c r="T401" s="9">
        <f>IF(AND(ISNUMBER(M401),ISNUMBER(O401)),IF(M401&lt;=O401,"Valor ≤ venal IPTU",""),"")</f>
        <v/>
      </c>
      <c r="U401" s="10">
        <f>IF(AND(ISNUMBER(M401),ISNUMBER(N401)),IF(N401&gt;0,M401/N401,""),"")</f>
        <v/>
      </c>
      <c r="V401" s="10">
        <f>IF(AND(ISNUMBER(M401),ISNUMBER(O401)),IF(O401&gt;0,M401/O401,""),"")</f>
        <v/>
      </c>
      <c r="W401" s="10">
        <f>IF(AND(ISNUMBER(M401),ISNUMBER(R401)),IF(R401&gt;0,M401/R401,""),"")</f>
        <v/>
      </c>
      <c r="X401" s="10">
        <f>IF(AND(ISNUMBER(Q401),ISNUMBER(M401)),IF(M401&gt;0,Q401/M401,""),"")</f>
        <v/>
      </c>
      <c r="Y401" s="11">
        <f>IF(ISNUMBER(Z401),YEAR(Z401),"")</f>
        <v/>
      </c>
      <c r="Z401" s="12" t="n"/>
      <c r="AA401" s="12" t="n"/>
      <c r="AI401" s="12" t="n"/>
      <c r="AJ401" s="13">
        <f>IF(LEN(TRIM(AF401))=0,"",HYPERLINK("https://www.google.com/maps/@?api=1&amp;map_action=pano&amp;viewpoint="&amp;SUBSTITUTE(AF401," ",""),"Abrir Street View"))</f>
        <v/>
      </c>
    </row>
    <row r="402">
      <c r="H402" s="6" t="n"/>
      <c r="I402" s="6" t="n"/>
      <c r="M402" s="7" t="n"/>
      <c r="N402" s="7" t="n"/>
      <c r="O402" s="7" t="n"/>
      <c r="Q402" s="7" t="n"/>
      <c r="R402" s="7" t="n"/>
      <c r="S402" s="8">
        <f>IF(NOT(ISNUMBER(M402)),"",IF(G402="Terreno",IF(AND(ISNUMBER(I402),I402&gt;0),M402/I402,""),IF(AND(ISNUMBER(H402),H402&gt;0),M402/H402,"")))</f>
        <v/>
      </c>
      <c r="T402" s="9">
        <f>IF(AND(ISNUMBER(M402),ISNUMBER(O402)),IF(M402&lt;=O402,"Valor ≤ venal IPTU",""),"")</f>
        <v/>
      </c>
      <c r="U402" s="10">
        <f>IF(AND(ISNUMBER(M402),ISNUMBER(N402)),IF(N402&gt;0,M402/N402,""),"")</f>
        <v/>
      </c>
      <c r="V402" s="10">
        <f>IF(AND(ISNUMBER(M402),ISNUMBER(O402)),IF(O402&gt;0,M402/O402,""),"")</f>
        <v/>
      </c>
      <c r="W402" s="10">
        <f>IF(AND(ISNUMBER(M402),ISNUMBER(R402)),IF(R402&gt;0,M402/R402,""),"")</f>
        <v/>
      </c>
      <c r="X402" s="10">
        <f>IF(AND(ISNUMBER(Q402),ISNUMBER(M402)),IF(M402&gt;0,Q402/M402,""),"")</f>
        <v/>
      </c>
      <c r="Y402" s="11">
        <f>IF(ISNUMBER(Z402),YEAR(Z402),"")</f>
        <v/>
      </c>
      <c r="Z402" s="12" t="n"/>
      <c r="AA402" s="12" t="n"/>
      <c r="AI402" s="12" t="n"/>
      <c r="AJ402" s="13">
        <f>IF(LEN(TRIM(AF402))=0,"",HYPERLINK("https://www.google.com/maps/@?api=1&amp;map_action=pano&amp;viewpoint="&amp;SUBSTITUTE(AF402," ",""),"Abrir Street View"))</f>
        <v/>
      </c>
    </row>
    <row r="403">
      <c r="H403" s="6" t="n"/>
      <c r="I403" s="6" t="n"/>
      <c r="M403" s="7" t="n"/>
      <c r="N403" s="7" t="n"/>
      <c r="O403" s="7" t="n"/>
      <c r="Q403" s="7" t="n"/>
      <c r="R403" s="7" t="n"/>
      <c r="S403" s="8">
        <f>IF(NOT(ISNUMBER(M403)),"",IF(G403="Terreno",IF(AND(ISNUMBER(I403),I403&gt;0),M403/I403,""),IF(AND(ISNUMBER(H403),H403&gt;0),M403/H403,"")))</f>
        <v/>
      </c>
      <c r="T403" s="9">
        <f>IF(AND(ISNUMBER(M403),ISNUMBER(O403)),IF(M403&lt;=O403,"Valor ≤ venal IPTU",""),"")</f>
        <v/>
      </c>
      <c r="U403" s="10">
        <f>IF(AND(ISNUMBER(M403),ISNUMBER(N403)),IF(N403&gt;0,M403/N403,""),"")</f>
        <v/>
      </c>
      <c r="V403" s="10">
        <f>IF(AND(ISNUMBER(M403),ISNUMBER(O403)),IF(O403&gt;0,M403/O403,""),"")</f>
        <v/>
      </c>
      <c r="W403" s="10">
        <f>IF(AND(ISNUMBER(M403),ISNUMBER(R403)),IF(R403&gt;0,M403/R403,""),"")</f>
        <v/>
      </c>
      <c r="X403" s="10">
        <f>IF(AND(ISNUMBER(Q403),ISNUMBER(M403)),IF(M403&gt;0,Q403/M403,""),"")</f>
        <v/>
      </c>
      <c r="Y403" s="11">
        <f>IF(ISNUMBER(Z403),YEAR(Z403),"")</f>
        <v/>
      </c>
      <c r="Z403" s="12" t="n"/>
      <c r="AA403" s="12" t="n"/>
      <c r="AI403" s="12" t="n"/>
      <c r="AJ403" s="13">
        <f>IF(LEN(TRIM(AF403))=0,"",HYPERLINK("https://www.google.com/maps/@?api=1&amp;map_action=pano&amp;viewpoint="&amp;SUBSTITUTE(AF403," ",""),"Abrir Street View"))</f>
        <v/>
      </c>
    </row>
    <row r="404">
      <c r="H404" s="6" t="n"/>
      <c r="I404" s="6" t="n"/>
      <c r="M404" s="7" t="n"/>
      <c r="N404" s="7" t="n"/>
      <c r="O404" s="7" t="n"/>
      <c r="Q404" s="7" t="n"/>
      <c r="R404" s="7" t="n"/>
      <c r="S404" s="8">
        <f>IF(NOT(ISNUMBER(M404)),"",IF(G404="Terreno",IF(AND(ISNUMBER(I404),I404&gt;0),M404/I404,""),IF(AND(ISNUMBER(H404),H404&gt;0),M404/H404,"")))</f>
        <v/>
      </c>
      <c r="T404" s="9">
        <f>IF(AND(ISNUMBER(M404),ISNUMBER(O404)),IF(M404&lt;=O404,"Valor ≤ venal IPTU",""),"")</f>
        <v/>
      </c>
      <c r="U404" s="10">
        <f>IF(AND(ISNUMBER(M404),ISNUMBER(N404)),IF(N404&gt;0,M404/N404,""),"")</f>
        <v/>
      </c>
      <c r="V404" s="10">
        <f>IF(AND(ISNUMBER(M404),ISNUMBER(O404)),IF(O404&gt;0,M404/O404,""),"")</f>
        <v/>
      </c>
      <c r="W404" s="10">
        <f>IF(AND(ISNUMBER(M404),ISNUMBER(R404)),IF(R404&gt;0,M404/R404,""),"")</f>
        <v/>
      </c>
      <c r="X404" s="10">
        <f>IF(AND(ISNUMBER(Q404),ISNUMBER(M404)),IF(M404&gt;0,Q404/M404,""),"")</f>
        <v/>
      </c>
      <c r="Y404" s="11">
        <f>IF(ISNUMBER(Z404),YEAR(Z404),"")</f>
        <v/>
      </c>
      <c r="Z404" s="12" t="n"/>
      <c r="AA404" s="12" t="n"/>
      <c r="AI404" s="12" t="n"/>
      <c r="AJ404" s="13">
        <f>IF(LEN(TRIM(AF404))=0,"",HYPERLINK("https://www.google.com/maps/@?api=1&amp;map_action=pano&amp;viewpoint="&amp;SUBSTITUTE(AF404," ",""),"Abrir Street View"))</f>
        <v/>
      </c>
    </row>
    <row r="405">
      <c r="H405" s="6" t="n"/>
      <c r="I405" s="6" t="n"/>
      <c r="M405" s="7" t="n"/>
      <c r="N405" s="7" t="n"/>
      <c r="O405" s="7" t="n"/>
      <c r="Q405" s="7" t="n"/>
      <c r="R405" s="7" t="n"/>
      <c r="S405" s="8">
        <f>IF(NOT(ISNUMBER(M405)),"",IF(G405="Terreno",IF(AND(ISNUMBER(I405),I405&gt;0),M405/I405,""),IF(AND(ISNUMBER(H405),H405&gt;0),M405/H405,"")))</f>
        <v/>
      </c>
      <c r="T405" s="9">
        <f>IF(AND(ISNUMBER(M405),ISNUMBER(O405)),IF(M405&lt;=O405,"Valor ≤ venal IPTU",""),"")</f>
        <v/>
      </c>
      <c r="U405" s="10">
        <f>IF(AND(ISNUMBER(M405),ISNUMBER(N405)),IF(N405&gt;0,M405/N405,""),"")</f>
        <v/>
      </c>
      <c r="V405" s="10">
        <f>IF(AND(ISNUMBER(M405),ISNUMBER(O405)),IF(O405&gt;0,M405/O405,""),"")</f>
        <v/>
      </c>
      <c r="W405" s="10">
        <f>IF(AND(ISNUMBER(M405),ISNUMBER(R405)),IF(R405&gt;0,M405/R405,""),"")</f>
        <v/>
      </c>
      <c r="X405" s="10">
        <f>IF(AND(ISNUMBER(Q405),ISNUMBER(M405)),IF(M405&gt;0,Q405/M405,""),"")</f>
        <v/>
      </c>
      <c r="Y405" s="11">
        <f>IF(ISNUMBER(Z405),YEAR(Z405),"")</f>
        <v/>
      </c>
      <c r="Z405" s="12" t="n"/>
      <c r="AA405" s="12" t="n"/>
      <c r="AI405" s="12" t="n"/>
      <c r="AJ405" s="13">
        <f>IF(LEN(TRIM(AF405))=0,"",HYPERLINK("https://www.google.com/maps/@?api=1&amp;map_action=pano&amp;viewpoint="&amp;SUBSTITUTE(AF405," ",""),"Abrir Street View"))</f>
        <v/>
      </c>
    </row>
    <row r="406">
      <c r="H406" s="6" t="n"/>
      <c r="I406" s="6" t="n"/>
      <c r="M406" s="7" t="n"/>
      <c r="N406" s="7" t="n"/>
      <c r="O406" s="7" t="n"/>
      <c r="Q406" s="7" t="n"/>
      <c r="R406" s="7" t="n"/>
      <c r="S406" s="8">
        <f>IF(NOT(ISNUMBER(M406)),"",IF(G406="Terreno",IF(AND(ISNUMBER(I406),I406&gt;0),M406/I406,""),IF(AND(ISNUMBER(H406),H406&gt;0),M406/H406,"")))</f>
        <v/>
      </c>
      <c r="T406" s="9">
        <f>IF(AND(ISNUMBER(M406),ISNUMBER(O406)),IF(M406&lt;=O406,"Valor ≤ venal IPTU",""),"")</f>
        <v/>
      </c>
      <c r="U406" s="10">
        <f>IF(AND(ISNUMBER(M406),ISNUMBER(N406)),IF(N406&gt;0,M406/N406,""),"")</f>
        <v/>
      </c>
      <c r="V406" s="10">
        <f>IF(AND(ISNUMBER(M406),ISNUMBER(O406)),IF(O406&gt;0,M406/O406,""),"")</f>
        <v/>
      </c>
      <c r="W406" s="10">
        <f>IF(AND(ISNUMBER(M406),ISNUMBER(R406)),IF(R406&gt;0,M406/R406,""),"")</f>
        <v/>
      </c>
      <c r="X406" s="10">
        <f>IF(AND(ISNUMBER(Q406),ISNUMBER(M406)),IF(M406&gt;0,Q406/M406,""),"")</f>
        <v/>
      </c>
      <c r="Y406" s="11">
        <f>IF(ISNUMBER(Z406),YEAR(Z406),"")</f>
        <v/>
      </c>
      <c r="Z406" s="12" t="n"/>
      <c r="AA406" s="12" t="n"/>
      <c r="AI406" s="12" t="n"/>
      <c r="AJ406" s="13">
        <f>IF(LEN(TRIM(AF406))=0,"",HYPERLINK("https://www.google.com/maps/@?api=1&amp;map_action=pano&amp;viewpoint="&amp;SUBSTITUTE(AF406," ",""),"Abrir Street View"))</f>
        <v/>
      </c>
    </row>
    <row r="407">
      <c r="H407" s="6" t="n"/>
      <c r="I407" s="6" t="n"/>
      <c r="M407" s="7" t="n"/>
      <c r="N407" s="7" t="n"/>
      <c r="O407" s="7" t="n"/>
      <c r="Q407" s="7" t="n"/>
      <c r="R407" s="7" t="n"/>
      <c r="S407" s="8">
        <f>IF(NOT(ISNUMBER(M407)),"",IF(G407="Terreno",IF(AND(ISNUMBER(I407),I407&gt;0),M407/I407,""),IF(AND(ISNUMBER(H407),H407&gt;0),M407/H407,"")))</f>
        <v/>
      </c>
      <c r="T407" s="9">
        <f>IF(AND(ISNUMBER(M407),ISNUMBER(O407)),IF(M407&lt;=O407,"Valor ≤ venal IPTU",""),"")</f>
        <v/>
      </c>
      <c r="U407" s="10">
        <f>IF(AND(ISNUMBER(M407),ISNUMBER(N407)),IF(N407&gt;0,M407/N407,""),"")</f>
        <v/>
      </c>
      <c r="V407" s="10">
        <f>IF(AND(ISNUMBER(M407),ISNUMBER(O407)),IF(O407&gt;0,M407/O407,""),"")</f>
        <v/>
      </c>
      <c r="W407" s="10">
        <f>IF(AND(ISNUMBER(M407),ISNUMBER(R407)),IF(R407&gt;0,M407/R407,""),"")</f>
        <v/>
      </c>
      <c r="X407" s="10">
        <f>IF(AND(ISNUMBER(Q407),ISNUMBER(M407)),IF(M407&gt;0,Q407/M407,""),"")</f>
        <v/>
      </c>
      <c r="Y407" s="11">
        <f>IF(ISNUMBER(Z407),YEAR(Z407),"")</f>
        <v/>
      </c>
      <c r="Z407" s="12" t="n"/>
      <c r="AA407" s="12" t="n"/>
      <c r="AI407" s="12" t="n"/>
      <c r="AJ407" s="13">
        <f>IF(LEN(TRIM(AF407))=0,"",HYPERLINK("https://www.google.com/maps/@?api=1&amp;map_action=pano&amp;viewpoint="&amp;SUBSTITUTE(AF407," ",""),"Abrir Street View"))</f>
        <v/>
      </c>
    </row>
    <row r="408">
      <c r="H408" s="6" t="n"/>
      <c r="I408" s="6" t="n"/>
      <c r="M408" s="7" t="n"/>
      <c r="N408" s="7" t="n"/>
      <c r="O408" s="7" t="n"/>
      <c r="Q408" s="7" t="n"/>
      <c r="R408" s="7" t="n"/>
      <c r="S408" s="8">
        <f>IF(NOT(ISNUMBER(M408)),"",IF(G408="Terreno",IF(AND(ISNUMBER(I408),I408&gt;0),M408/I408,""),IF(AND(ISNUMBER(H408),H408&gt;0),M408/H408,"")))</f>
        <v/>
      </c>
      <c r="T408" s="9">
        <f>IF(AND(ISNUMBER(M408),ISNUMBER(O408)),IF(M408&lt;=O408,"Valor ≤ venal IPTU",""),"")</f>
        <v/>
      </c>
      <c r="U408" s="10">
        <f>IF(AND(ISNUMBER(M408),ISNUMBER(N408)),IF(N408&gt;0,M408/N408,""),"")</f>
        <v/>
      </c>
      <c r="V408" s="10">
        <f>IF(AND(ISNUMBER(M408),ISNUMBER(O408)),IF(O408&gt;0,M408/O408,""),"")</f>
        <v/>
      </c>
      <c r="W408" s="10">
        <f>IF(AND(ISNUMBER(M408),ISNUMBER(R408)),IF(R408&gt;0,M408/R408,""),"")</f>
        <v/>
      </c>
      <c r="X408" s="10">
        <f>IF(AND(ISNUMBER(Q408),ISNUMBER(M408)),IF(M408&gt;0,Q408/M408,""),"")</f>
        <v/>
      </c>
      <c r="Y408" s="11">
        <f>IF(ISNUMBER(Z408),YEAR(Z408),"")</f>
        <v/>
      </c>
      <c r="Z408" s="12" t="n"/>
      <c r="AA408" s="12" t="n"/>
      <c r="AI408" s="12" t="n"/>
      <c r="AJ408" s="13">
        <f>IF(LEN(TRIM(AF408))=0,"",HYPERLINK("https://www.google.com/maps/@?api=1&amp;map_action=pano&amp;viewpoint="&amp;SUBSTITUTE(AF408," ",""),"Abrir Street View"))</f>
        <v/>
      </c>
    </row>
    <row r="409">
      <c r="H409" s="6" t="n"/>
      <c r="I409" s="6" t="n"/>
      <c r="M409" s="7" t="n"/>
      <c r="N409" s="7" t="n"/>
      <c r="O409" s="7" t="n"/>
      <c r="Q409" s="7" t="n"/>
      <c r="R409" s="7" t="n"/>
      <c r="S409" s="8">
        <f>IF(NOT(ISNUMBER(M409)),"",IF(G409="Terreno",IF(AND(ISNUMBER(I409),I409&gt;0),M409/I409,""),IF(AND(ISNUMBER(H409),H409&gt;0),M409/H409,"")))</f>
        <v/>
      </c>
      <c r="T409" s="9">
        <f>IF(AND(ISNUMBER(M409),ISNUMBER(O409)),IF(M409&lt;=O409,"Valor ≤ venal IPTU",""),"")</f>
        <v/>
      </c>
      <c r="U409" s="10">
        <f>IF(AND(ISNUMBER(M409),ISNUMBER(N409)),IF(N409&gt;0,M409/N409,""),"")</f>
        <v/>
      </c>
      <c r="V409" s="10">
        <f>IF(AND(ISNUMBER(M409),ISNUMBER(O409)),IF(O409&gt;0,M409/O409,""),"")</f>
        <v/>
      </c>
      <c r="W409" s="10">
        <f>IF(AND(ISNUMBER(M409),ISNUMBER(R409)),IF(R409&gt;0,M409/R409,""),"")</f>
        <v/>
      </c>
      <c r="X409" s="10">
        <f>IF(AND(ISNUMBER(Q409),ISNUMBER(M409)),IF(M409&gt;0,Q409/M409,""),"")</f>
        <v/>
      </c>
      <c r="Y409" s="11">
        <f>IF(ISNUMBER(Z409),YEAR(Z409),"")</f>
        <v/>
      </c>
      <c r="Z409" s="12" t="n"/>
      <c r="AA409" s="12" t="n"/>
      <c r="AI409" s="12" t="n"/>
      <c r="AJ409" s="13">
        <f>IF(LEN(TRIM(AF409))=0,"",HYPERLINK("https://www.google.com/maps/@?api=1&amp;map_action=pano&amp;viewpoint="&amp;SUBSTITUTE(AF409," ",""),"Abrir Street View"))</f>
        <v/>
      </c>
    </row>
    <row r="410">
      <c r="H410" s="6" t="n"/>
      <c r="I410" s="6" t="n"/>
      <c r="M410" s="7" t="n"/>
      <c r="N410" s="7" t="n"/>
      <c r="O410" s="7" t="n"/>
      <c r="Q410" s="7" t="n"/>
      <c r="R410" s="7" t="n"/>
      <c r="S410" s="8">
        <f>IF(NOT(ISNUMBER(M410)),"",IF(G410="Terreno",IF(AND(ISNUMBER(I410),I410&gt;0),M410/I410,""),IF(AND(ISNUMBER(H410),H410&gt;0),M410/H410,"")))</f>
        <v/>
      </c>
      <c r="T410" s="9">
        <f>IF(AND(ISNUMBER(M410),ISNUMBER(O410)),IF(M410&lt;=O410,"Valor ≤ venal IPTU",""),"")</f>
        <v/>
      </c>
      <c r="U410" s="10">
        <f>IF(AND(ISNUMBER(M410),ISNUMBER(N410)),IF(N410&gt;0,M410/N410,""),"")</f>
        <v/>
      </c>
      <c r="V410" s="10">
        <f>IF(AND(ISNUMBER(M410),ISNUMBER(O410)),IF(O410&gt;0,M410/O410,""),"")</f>
        <v/>
      </c>
      <c r="W410" s="10">
        <f>IF(AND(ISNUMBER(M410),ISNUMBER(R410)),IF(R410&gt;0,M410/R410,""),"")</f>
        <v/>
      </c>
      <c r="X410" s="10">
        <f>IF(AND(ISNUMBER(Q410),ISNUMBER(M410)),IF(M410&gt;0,Q410/M410,""),"")</f>
        <v/>
      </c>
      <c r="Y410" s="11">
        <f>IF(ISNUMBER(Z410),YEAR(Z410),"")</f>
        <v/>
      </c>
      <c r="Z410" s="12" t="n"/>
      <c r="AA410" s="12" t="n"/>
      <c r="AI410" s="12" t="n"/>
      <c r="AJ410" s="13">
        <f>IF(LEN(TRIM(AF410))=0,"",HYPERLINK("https://www.google.com/maps/@?api=1&amp;map_action=pano&amp;viewpoint="&amp;SUBSTITUTE(AF410," ",""),"Abrir Street View"))</f>
        <v/>
      </c>
    </row>
    <row r="411">
      <c r="H411" s="6" t="n"/>
      <c r="I411" s="6" t="n"/>
      <c r="M411" s="7" t="n"/>
      <c r="N411" s="7" t="n"/>
      <c r="O411" s="7" t="n"/>
      <c r="Q411" s="7" t="n"/>
      <c r="R411" s="7" t="n"/>
      <c r="S411" s="8">
        <f>IF(NOT(ISNUMBER(M411)),"",IF(G411="Terreno",IF(AND(ISNUMBER(I411),I411&gt;0),M411/I411,""),IF(AND(ISNUMBER(H411),H411&gt;0),M411/H411,"")))</f>
        <v/>
      </c>
      <c r="T411" s="9">
        <f>IF(AND(ISNUMBER(M411),ISNUMBER(O411)),IF(M411&lt;=O411,"Valor ≤ venal IPTU",""),"")</f>
        <v/>
      </c>
      <c r="U411" s="10">
        <f>IF(AND(ISNUMBER(M411),ISNUMBER(N411)),IF(N411&gt;0,M411/N411,""),"")</f>
        <v/>
      </c>
      <c r="V411" s="10">
        <f>IF(AND(ISNUMBER(M411),ISNUMBER(O411)),IF(O411&gt;0,M411/O411,""),"")</f>
        <v/>
      </c>
      <c r="W411" s="10">
        <f>IF(AND(ISNUMBER(M411),ISNUMBER(R411)),IF(R411&gt;0,M411/R411,""),"")</f>
        <v/>
      </c>
      <c r="X411" s="10">
        <f>IF(AND(ISNUMBER(Q411),ISNUMBER(M411)),IF(M411&gt;0,Q411/M411,""),"")</f>
        <v/>
      </c>
      <c r="Y411" s="11">
        <f>IF(ISNUMBER(Z411),YEAR(Z411),"")</f>
        <v/>
      </c>
      <c r="Z411" s="12" t="n"/>
      <c r="AA411" s="12" t="n"/>
      <c r="AI411" s="12" t="n"/>
      <c r="AJ411" s="13">
        <f>IF(LEN(TRIM(AF411))=0,"",HYPERLINK("https://www.google.com/maps/@?api=1&amp;map_action=pano&amp;viewpoint="&amp;SUBSTITUTE(AF411," ",""),"Abrir Street View"))</f>
        <v/>
      </c>
    </row>
    <row r="412">
      <c r="H412" s="6" t="n"/>
      <c r="I412" s="6" t="n"/>
      <c r="M412" s="7" t="n"/>
      <c r="N412" s="7" t="n"/>
      <c r="O412" s="7" t="n"/>
      <c r="Q412" s="7" t="n"/>
      <c r="R412" s="7" t="n"/>
      <c r="S412" s="8">
        <f>IF(NOT(ISNUMBER(M412)),"",IF(G412="Terreno",IF(AND(ISNUMBER(I412),I412&gt;0),M412/I412,""),IF(AND(ISNUMBER(H412),H412&gt;0),M412/H412,"")))</f>
        <v/>
      </c>
      <c r="T412" s="9">
        <f>IF(AND(ISNUMBER(M412),ISNUMBER(O412)),IF(M412&lt;=O412,"Valor ≤ venal IPTU",""),"")</f>
        <v/>
      </c>
      <c r="U412" s="10">
        <f>IF(AND(ISNUMBER(M412),ISNUMBER(N412)),IF(N412&gt;0,M412/N412,""),"")</f>
        <v/>
      </c>
      <c r="V412" s="10">
        <f>IF(AND(ISNUMBER(M412),ISNUMBER(O412)),IF(O412&gt;0,M412/O412,""),"")</f>
        <v/>
      </c>
      <c r="W412" s="10">
        <f>IF(AND(ISNUMBER(M412),ISNUMBER(R412)),IF(R412&gt;0,M412/R412,""),"")</f>
        <v/>
      </c>
      <c r="X412" s="10">
        <f>IF(AND(ISNUMBER(Q412),ISNUMBER(M412)),IF(M412&gt;0,Q412/M412,""),"")</f>
        <v/>
      </c>
      <c r="Y412" s="11">
        <f>IF(ISNUMBER(Z412),YEAR(Z412),"")</f>
        <v/>
      </c>
      <c r="Z412" s="12" t="n"/>
      <c r="AA412" s="12" t="n"/>
      <c r="AI412" s="12" t="n"/>
      <c r="AJ412" s="13">
        <f>IF(LEN(TRIM(AF412))=0,"",HYPERLINK("https://www.google.com/maps/@?api=1&amp;map_action=pano&amp;viewpoint="&amp;SUBSTITUTE(AF412," ",""),"Abrir Street View"))</f>
        <v/>
      </c>
    </row>
    <row r="413">
      <c r="H413" s="6" t="n"/>
      <c r="I413" s="6" t="n"/>
      <c r="M413" s="7" t="n"/>
      <c r="N413" s="7" t="n"/>
      <c r="O413" s="7" t="n"/>
      <c r="Q413" s="7" t="n"/>
      <c r="R413" s="7" t="n"/>
      <c r="S413" s="8">
        <f>IF(NOT(ISNUMBER(M413)),"",IF(G413="Terreno",IF(AND(ISNUMBER(I413),I413&gt;0),M413/I413,""),IF(AND(ISNUMBER(H413),H413&gt;0),M413/H413,"")))</f>
        <v/>
      </c>
      <c r="T413" s="9">
        <f>IF(AND(ISNUMBER(M413),ISNUMBER(O413)),IF(M413&lt;=O413,"Valor ≤ venal IPTU",""),"")</f>
        <v/>
      </c>
      <c r="U413" s="10">
        <f>IF(AND(ISNUMBER(M413),ISNUMBER(N413)),IF(N413&gt;0,M413/N413,""),"")</f>
        <v/>
      </c>
      <c r="V413" s="10">
        <f>IF(AND(ISNUMBER(M413),ISNUMBER(O413)),IF(O413&gt;0,M413/O413,""),"")</f>
        <v/>
      </c>
      <c r="W413" s="10">
        <f>IF(AND(ISNUMBER(M413),ISNUMBER(R413)),IF(R413&gt;0,M413/R413,""),"")</f>
        <v/>
      </c>
      <c r="X413" s="10">
        <f>IF(AND(ISNUMBER(Q413),ISNUMBER(M413)),IF(M413&gt;0,Q413/M413,""),"")</f>
        <v/>
      </c>
      <c r="Y413" s="11">
        <f>IF(ISNUMBER(Z413),YEAR(Z413),"")</f>
        <v/>
      </c>
      <c r="Z413" s="12" t="n"/>
      <c r="AA413" s="12" t="n"/>
      <c r="AI413" s="12" t="n"/>
      <c r="AJ413" s="13">
        <f>IF(LEN(TRIM(AF413))=0,"",HYPERLINK("https://www.google.com/maps/@?api=1&amp;map_action=pano&amp;viewpoint="&amp;SUBSTITUTE(AF413," ",""),"Abrir Street View"))</f>
        <v/>
      </c>
    </row>
    <row r="414">
      <c r="H414" s="6" t="n"/>
      <c r="I414" s="6" t="n"/>
      <c r="M414" s="7" t="n"/>
      <c r="N414" s="7" t="n"/>
      <c r="O414" s="7" t="n"/>
      <c r="Q414" s="7" t="n"/>
      <c r="R414" s="7" t="n"/>
      <c r="S414" s="8">
        <f>IF(NOT(ISNUMBER(M414)),"",IF(G414="Terreno",IF(AND(ISNUMBER(I414),I414&gt;0),M414/I414,""),IF(AND(ISNUMBER(H414),H414&gt;0),M414/H414,"")))</f>
        <v/>
      </c>
      <c r="T414" s="9">
        <f>IF(AND(ISNUMBER(M414),ISNUMBER(O414)),IF(M414&lt;=O414,"Valor ≤ venal IPTU",""),"")</f>
        <v/>
      </c>
      <c r="U414" s="10">
        <f>IF(AND(ISNUMBER(M414),ISNUMBER(N414)),IF(N414&gt;0,M414/N414,""),"")</f>
        <v/>
      </c>
      <c r="V414" s="10">
        <f>IF(AND(ISNUMBER(M414),ISNUMBER(O414)),IF(O414&gt;0,M414/O414,""),"")</f>
        <v/>
      </c>
      <c r="W414" s="10">
        <f>IF(AND(ISNUMBER(M414),ISNUMBER(R414)),IF(R414&gt;0,M414/R414,""),"")</f>
        <v/>
      </c>
      <c r="X414" s="10">
        <f>IF(AND(ISNUMBER(Q414),ISNUMBER(M414)),IF(M414&gt;0,Q414/M414,""),"")</f>
        <v/>
      </c>
      <c r="Y414" s="11">
        <f>IF(ISNUMBER(Z414),YEAR(Z414),"")</f>
        <v/>
      </c>
      <c r="Z414" s="12" t="n"/>
      <c r="AA414" s="12" t="n"/>
      <c r="AI414" s="12" t="n"/>
      <c r="AJ414" s="13">
        <f>IF(LEN(TRIM(AF414))=0,"",HYPERLINK("https://www.google.com/maps/@?api=1&amp;map_action=pano&amp;viewpoint="&amp;SUBSTITUTE(AF414," ",""),"Abrir Street View"))</f>
        <v/>
      </c>
    </row>
    <row r="415">
      <c r="H415" s="6" t="n"/>
      <c r="I415" s="6" t="n"/>
      <c r="M415" s="7" t="n"/>
      <c r="N415" s="7" t="n"/>
      <c r="O415" s="7" t="n"/>
      <c r="Q415" s="7" t="n"/>
      <c r="R415" s="7" t="n"/>
      <c r="S415" s="8">
        <f>IF(NOT(ISNUMBER(M415)),"",IF(G415="Terreno",IF(AND(ISNUMBER(I415),I415&gt;0),M415/I415,""),IF(AND(ISNUMBER(H415),H415&gt;0),M415/H415,"")))</f>
        <v/>
      </c>
      <c r="T415" s="9">
        <f>IF(AND(ISNUMBER(M415),ISNUMBER(O415)),IF(M415&lt;=O415,"Valor ≤ venal IPTU",""),"")</f>
        <v/>
      </c>
      <c r="U415" s="10">
        <f>IF(AND(ISNUMBER(M415),ISNUMBER(N415)),IF(N415&gt;0,M415/N415,""),"")</f>
        <v/>
      </c>
      <c r="V415" s="10">
        <f>IF(AND(ISNUMBER(M415),ISNUMBER(O415)),IF(O415&gt;0,M415/O415,""),"")</f>
        <v/>
      </c>
      <c r="W415" s="10">
        <f>IF(AND(ISNUMBER(M415),ISNUMBER(R415)),IF(R415&gt;0,M415/R415,""),"")</f>
        <v/>
      </c>
      <c r="X415" s="10">
        <f>IF(AND(ISNUMBER(Q415),ISNUMBER(M415)),IF(M415&gt;0,Q415/M415,""),"")</f>
        <v/>
      </c>
      <c r="Y415" s="11">
        <f>IF(ISNUMBER(Z415),YEAR(Z415),"")</f>
        <v/>
      </c>
      <c r="Z415" s="12" t="n"/>
      <c r="AA415" s="12" t="n"/>
      <c r="AI415" s="12" t="n"/>
      <c r="AJ415" s="13">
        <f>IF(LEN(TRIM(AF415))=0,"",HYPERLINK("https://www.google.com/maps/@?api=1&amp;map_action=pano&amp;viewpoint="&amp;SUBSTITUTE(AF415," ",""),"Abrir Street View"))</f>
        <v/>
      </c>
    </row>
    <row r="416">
      <c r="H416" s="6" t="n"/>
      <c r="I416" s="6" t="n"/>
      <c r="M416" s="7" t="n"/>
      <c r="N416" s="7" t="n"/>
      <c r="O416" s="7" t="n"/>
      <c r="Q416" s="7" t="n"/>
      <c r="R416" s="7" t="n"/>
      <c r="S416" s="8">
        <f>IF(NOT(ISNUMBER(M416)),"",IF(G416="Terreno",IF(AND(ISNUMBER(I416),I416&gt;0),M416/I416,""),IF(AND(ISNUMBER(H416),H416&gt;0),M416/H416,"")))</f>
        <v/>
      </c>
      <c r="T416" s="9">
        <f>IF(AND(ISNUMBER(M416),ISNUMBER(O416)),IF(M416&lt;=O416,"Valor ≤ venal IPTU",""),"")</f>
        <v/>
      </c>
      <c r="U416" s="10">
        <f>IF(AND(ISNUMBER(M416),ISNUMBER(N416)),IF(N416&gt;0,M416/N416,""),"")</f>
        <v/>
      </c>
      <c r="V416" s="10">
        <f>IF(AND(ISNUMBER(M416),ISNUMBER(O416)),IF(O416&gt;0,M416/O416,""),"")</f>
        <v/>
      </c>
      <c r="W416" s="10">
        <f>IF(AND(ISNUMBER(M416),ISNUMBER(R416)),IF(R416&gt;0,M416/R416,""),"")</f>
        <v/>
      </c>
      <c r="X416" s="10">
        <f>IF(AND(ISNUMBER(Q416),ISNUMBER(M416)),IF(M416&gt;0,Q416/M416,""),"")</f>
        <v/>
      </c>
      <c r="Y416" s="11">
        <f>IF(ISNUMBER(Z416),YEAR(Z416),"")</f>
        <v/>
      </c>
      <c r="Z416" s="12" t="n"/>
      <c r="AA416" s="12" t="n"/>
      <c r="AI416" s="12" t="n"/>
      <c r="AJ416" s="13">
        <f>IF(LEN(TRIM(AF416))=0,"",HYPERLINK("https://www.google.com/maps/@?api=1&amp;map_action=pano&amp;viewpoint="&amp;SUBSTITUTE(AF416," ",""),"Abrir Street View"))</f>
        <v/>
      </c>
    </row>
    <row r="417">
      <c r="H417" s="6" t="n"/>
      <c r="I417" s="6" t="n"/>
      <c r="M417" s="7" t="n"/>
      <c r="N417" s="7" t="n"/>
      <c r="O417" s="7" t="n"/>
      <c r="Q417" s="7" t="n"/>
      <c r="R417" s="7" t="n"/>
      <c r="S417" s="8">
        <f>IF(NOT(ISNUMBER(M417)),"",IF(G417="Terreno",IF(AND(ISNUMBER(I417),I417&gt;0),M417/I417,""),IF(AND(ISNUMBER(H417),H417&gt;0),M417/H417,"")))</f>
        <v/>
      </c>
      <c r="T417" s="9">
        <f>IF(AND(ISNUMBER(M417),ISNUMBER(O417)),IF(M417&lt;=O417,"Valor ≤ venal IPTU",""),"")</f>
        <v/>
      </c>
      <c r="U417" s="10">
        <f>IF(AND(ISNUMBER(M417),ISNUMBER(N417)),IF(N417&gt;0,M417/N417,""),"")</f>
        <v/>
      </c>
      <c r="V417" s="10">
        <f>IF(AND(ISNUMBER(M417),ISNUMBER(O417)),IF(O417&gt;0,M417/O417,""),"")</f>
        <v/>
      </c>
      <c r="W417" s="10">
        <f>IF(AND(ISNUMBER(M417),ISNUMBER(R417)),IF(R417&gt;0,M417/R417,""),"")</f>
        <v/>
      </c>
      <c r="X417" s="10">
        <f>IF(AND(ISNUMBER(Q417),ISNUMBER(M417)),IF(M417&gt;0,Q417/M417,""),"")</f>
        <v/>
      </c>
      <c r="Y417" s="11">
        <f>IF(ISNUMBER(Z417),YEAR(Z417),"")</f>
        <v/>
      </c>
      <c r="Z417" s="12" t="n"/>
      <c r="AA417" s="12" t="n"/>
      <c r="AI417" s="12" t="n"/>
      <c r="AJ417" s="13">
        <f>IF(LEN(TRIM(AF417))=0,"",HYPERLINK("https://www.google.com/maps/@?api=1&amp;map_action=pano&amp;viewpoint="&amp;SUBSTITUTE(AF417," ",""),"Abrir Street View"))</f>
        <v/>
      </c>
    </row>
    <row r="418">
      <c r="H418" s="6" t="n"/>
      <c r="I418" s="6" t="n"/>
      <c r="M418" s="7" t="n"/>
      <c r="N418" s="7" t="n"/>
      <c r="O418" s="7" t="n"/>
      <c r="Q418" s="7" t="n"/>
      <c r="R418" s="7" t="n"/>
      <c r="S418" s="8">
        <f>IF(NOT(ISNUMBER(M418)),"",IF(G418="Terreno",IF(AND(ISNUMBER(I418),I418&gt;0),M418/I418,""),IF(AND(ISNUMBER(H418),H418&gt;0),M418/H418,"")))</f>
        <v/>
      </c>
      <c r="T418" s="9">
        <f>IF(AND(ISNUMBER(M418),ISNUMBER(O418)),IF(M418&lt;=O418,"Valor ≤ venal IPTU",""),"")</f>
        <v/>
      </c>
      <c r="U418" s="10">
        <f>IF(AND(ISNUMBER(M418),ISNUMBER(N418)),IF(N418&gt;0,M418/N418,""),"")</f>
        <v/>
      </c>
      <c r="V418" s="10">
        <f>IF(AND(ISNUMBER(M418),ISNUMBER(O418)),IF(O418&gt;0,M418/O418,""),"")</f>
        <v/>
      </c>
      <c r="W418" s="10">
        <f>IF(AND(ISNUMBER(M418),ISNUMBER(R418)),IF(R418&gt;0,M418/R418,""),"")</f>
        <v/>
      </c>
      <c r="X418" s="10">
        <f>IF(AND(ISNUMBER(Q418),ISNUMBER(M418)),IF(M418&gt;0,Q418/M418,""),"")</f>
        <v/>
      </c>
      <c r="Y418" s="11">
        <f>IF(ISNUMBER(Z418),YEAR(Z418),"")</f>
        <v/>
      </c>
      <c r="Z418" s="12" t="n"/>
      <c r="AA418" s="12" t="n"/>
      <c r="AI418" s="12" t="n"/>
      <c r="AJ418" s="13">
        <f>IF(LEN(TRIM(AF418))=0,"",HYPERLINK("https://www.google.com/maps/@?api=1&amp;map_action=pano&amp;viewpoint="&amp;SUBSTITUTE(AF418," ",""),"Abrir Street View"))</f>
        <v/>
      </c>
    </row>
    <row r="419">
      <c r="H419" s="6" t="n"/>
      <c r="I419" s="6" t="n"/>
      <c r="M419" s="7" t="n"/>
      <c r="N419" s="7" t="n"/>
      <c r="O419" s="7" t="n"/>
      <c r="Q419" s="7" t="n"/>
      <c r="R419" s="7" t="n"/>
      <c r="S419" s="8">
        <f>IF(NOT(ISNUMBER(M419)),"",IF(G419="Terreno",IF(AND(ISNUMBER(I419),I419&gt;0),M419/I419,""),IF(AND(ISNUMBER(H419),H419&gt;0),M419/H419,"")))</f>
        <v/>
      </c>
      <c r="T419" s="9">
        <f>IF(AND(ISNUMBER(M419),ISNUMBER(O419)),IF(M419&lt;=O419,"Valor ≤ venal IPTU",""),"")</f>
        <v/>
      </c>
      <c r="U419" s="10">
        <f>IF(AND(ISNUMBER(M419),ISNUMBER(N419)),IF(N419&gt;0,M419/N419,""),"")</f>
        <v/>
      </c>
      <c r="V419" s="10">
        <f>IF(AND(ISNUMBER(M419),ISNUMBER(O419)),IF(O419&gt;0,M419/O419,""),"")</f>
        <v/>
      </c>
      <c r="W419" s="10">
        <f>IF(AND(ISNUMBER(M419),ISNUMBER(R419)),IF(R419&gt;0,M419/R419,""),"")</f>
        <v/>
      </c>
      <c r="X419" s="10">
        <f>IF(AND(ISNUMBER(Q419),ISNUMBER(M419)),IF(M419&gt;0,Q419/M419,""),"")</f>
        <v/>
      </c>
      <c r="Y419" s="11">
        <f>IF(ISNUMBER(Z419),YEAR(Z419),"")</f>
        <v/>
      </c>
      <c r="Z419" s="12" t="n"/>
      <c r="AA419" s="12" t="n"/>
      <c r="AI419" s="12" t="n"/>
      <c r="AJ419" s="13">
        <f>IF(LEN(TRIM(AF419))=0,"",HYPERLINK("https://www.google.com/maps/@?api=1&amp;map_action=pano&amp;viewpoint="&amp;SUBSTITUTE(AF419," ",""),"Abrir Street View"))</f>
        <v/>
      </c>
    </row>
    <row r="420">
      <c r="H420" s="6" t="n"/>
      <c r="I420" s="6" t="n"/>
      <c r="M420" s="7" t="n"/>
      <c r="N420" s="7" t="n"/>
      <c r="O420" s="7" t="n"/>
      <c r="Q420" s="7" t="n"/>
      <c r="R420" s="7" t="n"/>
      <c r="S420" s="8">
        <f>IF(NOT(ISNUMBER(M420)),"",IF(G420="Terreno",IF(AND(ISNUMBER(I420),I420&gt;0),M420/I420,""),IF(AND(ISNUMBER(H420),H420&gt;0),M420/H420,"")))</f>
        <v/>
      </c>
      <c r="T420" s="9">
        <f>IF(AND(ISNUMBER(M420),ISNUMBER(O420)),IF(M420&lt;=O420,"Valor ≤ venal IPTU",""),"")</f>
        <v/>
      </c>
      <c r="U420" s="10">
        <f>IF(AND(ISNUMBER(M420),ISNUMBER(N420)),IF(N420&gt;0,M420/N420,""),"")</f>
        <v/>
      </c>
      <c r="V420" s="10">
        <f>IF(AND(ISNUMBER(M420),ISNUMBER(O420)),IF(O420&gt;0,M420/O420,""),"")</f>
        <v/>
      </c>
      <c r="W420" s="10">
        <f>IF(AND(ISNUMBER(M420),ISNUMBER(R420)),IF(R420&gt;0,M420/R420,""),"")</f>
        <v/>
      </c>
      <c r="X420" s="10">
        <f>IF(AND(ISNUMBER(Q420),ISNUMBER(M420)),IF(M420&gt;0,Q420/M420,""),"")</f>
        <v/>
      </c>
      <c r="Y420" s="11">
        <f>IF(ISNUMBER(Z420),YEAR(Z420),"")</f>
        <v/>
      </c>
      <c r="Z420" s="12" t="n"/>
      <c r="AA420" s="12" t="n"/>
      <c r="AI420" s="12" t="n"/>
      <c r="AJ420" s="13">
        <f>IF(LEN(TRIM(AF420))=0,"",HYPERLINK("https://www.google.com/maps/@?api=1&amp;map_action=pano&amp;viewpoint="&amp;SUBSTITUTE(AF420," ",""),"Abrir Street View"))</f>
        <v/>
      </c>
    </row>
    <row r="421">
      <c r="H421" s="6" t="n"/>
      <c r="I421" s="6" t="n"/>
      <c r="M421" s="7" t="n"/>
      <c r="N421" s="7" t="n"/>
      <c r="O421" s="7" t="n"/>
      <c r="Q421" s="7" t="n"/>
      <c r="R421" s="7" t="n"/>
      <c r="S421" s="8">
        <f>IF(NOT(ISNUMBER(M421)),"",IF(G421="Terreno",IF(AND(ISNUMBER(I421),I421&gt;0),M421/I421,""),IF(AND(ISNUMBER(H421),H421&gt;0),M421/H421,"")))</f>
        <v/>
      </c>
      <c r="T421" s="9">
        <f>IF(AND(ISNUMBER(M421),ISNUMBER(O421)),IF(M421&lt;=O421,"Valor ≤ venal IPTU",""),"")</f>
        <v/>
      </c>
      <c r="U421" s="10">
        <f>IF(AND(ISNUMBER(M421),ISNUMBER(N421)),IF(N421&gt;0,M421/N421,""),"")</f>
        <v/>
      </c>
      <c r="V421" s="10">
        <f>IF(AND(ISNUMBER(M421),ISNUMBER(O421)),IF(O421&gt;0,M421/O421,""),"")</f>
        <v/>
      </c>
      <c r="W421" s="10">
        <f>IF(AND(ISNUMBER(M421),ISNUMBER(R421)),IF(R421&gt;0,M421/R421,""),"")</f>
        <v/>
      </c>
      <c r="X421" s="10">
        <f>IF(AND(ISNUMBER(Q421),ISNUMBER(M421)),IF(M421&gt;0,Q421/M421,""),"")</f>
        <v/>
      </c>
      <c r="Y421" s="11">
        <f>IF(ISNUMBER(Z421),YEAR(Z421),"")</f>
        <v/>
      </c>
      <c r="Z421" s="12" t="n"/>
      <c r="AA421" s="12" t="n"/>
      <c r="AI421" s="12" t="n"/>
      <c r="AJ421" s="13">
        <f>IF(LEN(TRIM(AF421))=0,"",HYPERLINK("https://www.google.com/maps/@?api=1&amp;map_action=pano&amp;viewpoint="&amp;SUBSTITUTE(AF421," ",""),"Abrir Street View"))</f>
        <v/>
      </c>
    </row>
    <row r="422">
      <c r="H422" s="6" t="n"/>
      <c r="I422" s="6" t="n"/>
      <c r="M422" s="7" t="n"/>
      <c r="N422" s="7" t="n"/>
      <c r="O422" s="7" t="n"/>
      <c r="Q422" s="7" t="n"/>
      <c r="R422" s="7" t="n"/>
      <c r="S422" s="8">
        <f>IF(NOT(ISNUMBER(M422)),"",IF(G422="Terreno",IF(AND(ISNUMBER(I422),I422&gt;0),M422/I422,""),IF(AND(ISNUMBER(H422),H422&gt;0),M422/H422,"")))</f>
        <v/>
      </c>
      <c r="T422" s="9">
        <f>IF(AND(ISNUMBER(M422),ISNUMBER(O422)),IF(M422&lt;=O422,"Valor ≤ venal IPTU",""),"")</f>
        <v/>
      </c>
      <c r="U422" s="10">
        <f>IF(AND(ISNUMBER(M422),ISNUMBER(N422)),IF(N422&gt;0,M422/N422,""),"")</f>
        <v/>
      </c>
      <c r="V422" s="10">
        <f>IF(AND(ISNUMBER(M422),ISNUMBER(O422)),IF(O422&gt;0,M422/O422,""),"")</f>
        <v/>
      </c>
      <c r="W422" s="10">
        <f>IF(AND(ISNUMBER(M422),ISNUMBER(R422)),IF(R422&gt;0,M422/R422,""),"")</f>
        <v/>
      </c>
      <c r="X422" s="10">
        <f>IF(AND(ISNUMBER(Q422),ISNUMBER(M422)),IF(M422&gt;0,Q422/M422,""),"")</f>
        <v/>
      </c>
      <c r="Y422" s="11">
        <f>IF(ISNUMBER(Z422),YEAR(Z422),"")</f>
        <v/>
      </c>
      <c r="Z422" s="12" t="n"/>
      <c r="AA422" s="12" t="n"/>
      <c r="AI422" s="12" t="n"/>
      <c r="AJ422" s="13">
        <f>IF(LEN(TRIM(AF422))=0,"",HYPERLINK("https://www.google.com/maps/@?api=1&amp;map_action=pano&amp;viewpoint="&amp;SUBSTITUTE(AF422," ",""),"Abrir Street View"))</f>
        <v/>
      </c>
    </row>
    <row r="423">
      <c r="H423" s="6" t="n"/>
      <c r="I423" s="6" t="n"/>
      <c r="M423" s="7" t="n"/>
      <c r="N423" s="7" t="n"/>
      <c r="O423" s="7" t="n"/>
      <c r="Q423" s="7" t="n"/>
      <c r="R423" s="7" t="n"/>
      <c r="S423" s="8">
        <f>IF(NOT(ISNUMBER(M423)),"",IF(G423="Terreno",IF(AND(ISNUMBER(I423),I423&gt;0),M423/I423,""),IF(AND(ISNUMBER(H423),H423&gt;0),M423/H423,"")))</f>
        <v/>
      </c>
      <c r="T423" s="9">
        <f>IF(AND(ISNUMBER(M423),ISNUMBER(O423)),IF(M423&lt;=O423,"Valor ≤ venal IPTU",""),"")</f>
        <v/>
      </c>
      <c r="U423" s="10">
        <f>IF(AND(ISNUMBER(M423),ISNUMBER(N423)),IF(N423&gt;0,M423/N423,""),"")</f>
        <v/>
      </c>
      <c r="V423" s="10">
        <f>IF(AND(ISNUMBER(M423),ISNUMBER(O423)),IF(O423&gt;0,M423/O423,""),"")</f>
        <v/>
      </c>
      <c r="W423" s="10">
        <f>IF(AND(ISNUMBER(M423),ISNUMBER(R423)),IF(R423&gt;0,M423/R423,""),"")</f>
        <v/>
      </c>
      <c r="X423" s="10">
        <f>IF(AND(ISNUMBER(Q423),ISNUMBER(M423)),IF(M423&gt;0,Q423/M423,""),"")</f>
        <v/>
      </c>
      <c r="Y423" s="11">
        <f>IF(ISNUMBER(Z423),YEAR(Z423),"")</f>
        <v/>
      </c>
      <c r="Z423" s="12" t="n"/>
      <c r="AA423" s="12" t="n"/>
      <c r="AI423" s="12" t="n"/>
      <c r="AJ423" s="13">
        <f>IF(LEN(TRIM(AF423))=0,"",HYPERLINK("https://www.google.com/maps/@?api=1&amp;map_action=pano&amp;viewpoint="&amp;SUBSTITUTE(AF423," ",""),"Abrir Street View"))</f>
        <v/>
      </c>
    </row>
    <row r="424">
      <c r="H424" s="6" t="n"/>
      <c r="I424" s="6" t="n"/>
      <c r="M424" s="7" t="n"/>
      <c r="N424" s="7" t="n"/>
      <c r="O424" s="7" t="n"/>
      <c r="Q424" s="7" t="n"/>
      <c r="R424" s="7" t="n"/>
      <c r="S424" s="8">
        <f>IF(NOT(ISNUMBER(M424)),"",IF(G424="Terreno",IF(AND(ISNUMBER(I424),I424&gt;0),M424/I424,""),IF(AND(ISNUMBER(H424),H424&gt;0),M424/H424,"")))</f>
        <v/>
      </c>
      <c r="T424" s="9">
        <f>IF(AND(ISNUMBER(M424),ISNUMBER(O424)),IF(M424&lt;=O424,"Valor ≤ venal IPTU",""),"")</f>
        <v/>
      </c>
      <c r="U424" s="10">
        <f>IF(AND(ISNUMBER(M424),ISNUMBER(N424)),IF(N424&gt;0,M424/N424,""),"")</f>
        <v/>
      </c>
      <c r="V424" s="10">
        <f>IF(AND(ISNUMBER(M424),ISNUMBER(O424)),IF(O424&gt;0,M424/O424,""),"")</f>
        <v/>
      </c>
      <c r="W424" s="10">
        <f>IF(AND(ISNUMBER(M424),ISNUMBER(R424)),IF(R424&gt;0,M424/R424,""),"")</f>
        <v/>
      </c>
      <c r="X424" s="10">
        <f>IF(AND(ISNUMBER(Q424),ISNUMBER(M424)),IF(M424&gt;0,Q424/M424,""),"")</f>
        <v/>
      </c>
      <c r="Y424" s="11">
        <f>IF(ISNUMBER(Z424),YEAR(Z424),"")</f>
        <v/>
      </c>
      <c r="Z424" s="12" t="n"/>
      <c r="AA424" s="12" t="n"/>
      <c r="AI424" s="12" t="n"/>
      <c r="AJ424" s="13">
        <f>IF(LEN(TRIM(AF424))=0,"",HYPERLINK("https://www.google.com/maps/@?api=1&amp;map_action=pano&amp;viewpoint="&amp;SUBSTITUTE(AF424," ",""),"Abrir Street View"))</f>
        <v/>
      </c>
    </row>
    <row r="425">
      <c r="H425" s="6" t="n"/>
      <c r="I425" s="6" t="n"/>
      <c r="M425" s="7" t="n"/>
      <c r="N425" s="7" t="n"/>
      <c r="O425" s="7" t="n"/>
      <c r="Q425" s="7" t="n"/>
      <c r="R425" s="7" t="n"/>
      <c r="S425" s="8">
        <f>IF(NOT(ISNUMBER(M425)),"",IF(G425="Terreno",IF(AND(ISNUMBER(I425),I425&gt;0),M425/I425,""),IF(AND(ISNUMBER(H425),H425&gt;0),M425/H425,"")))</f>
        <v/>
      </c>
      <c r="T425" s="9">
        <f>IF(AND(ISNUMBER(M425),ISNUMBER(O425)),IF(M425&lt;=O425,"Valor ≤ venal IPTU",""),"")</f>
        <v/>
      </c>
      <c r="U425" s="10">
        <f>IF(AND(ISNUMBER(M425),ISNUMBER(N425)),IF(N425&gt;0,M425/N425,""),"")</f>
        <v/>
      </c>
      <c r="V425" s="10">
        <f>IF(AND(ISNUMBER(M425),ISNUMBER(O425)),IF(O425&gt;0,M425/O425,""),"")</f>
        <v/>
      </c>
      <c r="W425" s="10">
        <f>IF(AND(ISNUMBER(M425),ISNUMBER(R425)),IF(R425&gt;0,M425/R425,""),"")</f>
        <v/>
      </c>
      <c r="X425" s="10">
        <f>IF(AND(ISNUMBER(Q425),ISNUMBER(M425)),IF(M425&gt;0,Q425/M425,""),"")</f>
        <v/>
      </c>
      <c r="Y425" s="11">
        <f>IF(ISNUMBER(Z425),YEAR(Z425),"")</f>
        <v/>
      </c>
      <c r="Z425" s="12" t="n"/>
      <c r="AA425" s="12" t="n"/>
      <c r="AI425" s="12" t="n"/>
      <c r="AJ425" s="13">
        <f>IF(LEN(TRIM(AF425))=0,"",HYPERLINK("https://www.google.com/maps/@?api=1&amp;map_action=pano&amp;viewpoint="&amp;SUBSTITUTE(AF425," ",""),"Abrir Street View"))</f>
        <v/>
      </c>
    </row>
    <row r="426">
      <c r="H426" s="6" t="n"/>
      <c r="I426" s="6" t="n"/>
      <c r="M426" s="7" t="n"/>
      <c r="N426" s="7" t="n"/>
      <c r="O426" s="7" t="n"/>
      <c r="Q426" s="7" t="n"/>
      <c r="R426" s="7" t="n"/>
      <c r="S426" s="8">
        <f>IF(NOT(ISNUMBER(M426)),"",IF(G426="Terreno",IF(AND(ISNUMBER(I426),I426&gt;0),M426/I426,""),IF(AND(ISNUMBER(H426),H426&gt;0),M426/H426,"")))</f>
        <v/>
      </c>
      <c r="T426" s="9">
        <f>IF(AND(ISNUMBER(M426),ISNUMBER(O426)),IF(M426&lt;=O426,"Valor ≤ venal IPTU",""),"")</f>
        <v/>
      </c>
      <c r="U426" s="10">
        <f>IF(AND(ISNUMBER(M426),ISNUMBER(N426)),IF(N426&gt;0,M426/N426,""),"")</f>
        <v/>
      </c>
      <c r="V426" s="10">
        <f>IF(AND(ISNUMBER(M426),ISNUMBER(O426)),IF(O426&gt;0,M426/O426,""),"")</f>
        <v/>
      </c>
      <c r="W426" s="10">
        <f>IF(AND(ISNUMBER(M426),ISNUMBER(R426)),IF(R426&gt;0,M426/R426,""),"")</f>
        <v/>
      </c>
      <c r="X426" s="10">
        <f>IF(AND(ISNUMBER(Q426),ISNUMBER(M426)),IF(M426&gt;0,Q426/M426,""),"")</f>
        <v/>
      </c>
      <c r="Y426" s="11">
        <f>IF(ISNUMBER(Z426),YEAR(Z426),"")</f>
        <v/>
      </c>
      <c r="Z426" s="12" t="n"/>
      <c r="AA426" s="12" t="n"/>
      <c r="AI426" s="12" t="n"/>
      <c r="AJ426" s="13">
        <f>IF(LEN(TRIM(AF426))=0,"",HYPERLINK("https://www.google.com/maps/@?api=1&amp;map_action=pano&amp;viewpoint="&amp;SUBSTITUTE(AF426," ",""),"Abrir Street View"))</f>
        <v/>
      </c>
    </row>
    <row r="427">
      <c r="H427" s="6" t="n"/>
      <c r="I427" s="6" t="n"/>
      <c r="M427" s="7" t="n"/>
      <c r="N427" s="7" t="n"/>
      <c r="O427" s="7" t="n"/>
      <c r="Q427" s="7" t="n"/>
      <c r="R427" s="7" t="n"/>
      <c r="S427" s="8">
        <f>IF(NOT(ISNUMBER(M427)),"",IF(G427="Terreno",IF(AND(ISNUMBER(I427),I427&gt;0),M427/I427,""),IF(AND(ISNUMBER(H427),H427&gt;0),M427/H427,"")))</f>
        <v/>
      </c>
      <c r="T427" s="9">
        <f>IF(AND(ISNUMBER(M427),ISNUMBER(O427)),IF(M427&lt;=O427,"Valor ≤ venal IPTU",""),"")</f>
        <v/>
      </c>
      <c r="U427" s="10">
        <f>IF(AND(ISNUMBER(M427),ISNUMBER(N427)),IF(N427&gt;0,M427/N427,""),"")</f>
        <v/>
      </c>
      <c r="V427" s="10">
        <f>IF(AND(ISNUMBER(M427),ISNUMBER(O427)),IF(O427&gt;0,M427/O427,""),"")</f>
        <v/>
      </c>
      <c r="W427" s="10">
        <f>IF(AND(ISNUMBER(M427),ISNUMBER(R427)),IF(R427&gt;0,M427/R427,""),"")</f>
        <v/>
      </c>
      <c r="X427" s="10">
        <f>IF(AND(ISNUMBER(Q427),ISNUMBER(M427)),IF(M427&gt;0,Q427/M427,""),"")</f>
        <v/>
      </c>
      <c r="Y427" s="11">
        <f>IF(ISNUMBER(Z427),YEAR(Z427),"")</f>
        <v/>
      </c>
      <c r="Z427" s="12" t="n"/>
      <c r="AA427" s="12" t="n"/>
      <c r="AI427" s="12" t="n"/>
      <c r="AJ427" s="13">
        <f>IF(LEN(TRIM(AF427))=0,"",HYPERLINK("https://www.google.com/maps/@?api=1&amp;map_action=pano&amp;viewpoint="&amp;SUBSTITUTE(AF427," ",""),"Abrir Street View"))</f>
        <v/>
      </c>
    </row>
    <row r="428">
      <c r="H428" s="6" t="n"/>
      <c r="I428" s="6" t="n"/>
      <c r="M428" s="7" t="n"/>
      <c r="N428" s="7" t="n"/>
      <c r="O428" s="7" t="n"/>
      <c r="Q428" s="7" t="n"/>
      <c r="R428" s="7" t="n"/>
      <c r="S428" s="8">
        <f>IF(NOT(ISNUMBER(M428)),"",IF(G428="Terreno",IF(AND(ISNUMBER(I428),I428&gt;0),M428/I428,""),IF(AND(ISNUMBER(H428),H428&gt;0),M428/H428,"")))</f>
        <v/>
      </c>
      <c r="T428" s="9">
        <f>IF(AND(ISNUMBER(M428),ISNUMBER(O428)),IF(M428&lt;=O428,"Valor ≤ venal IPTU",""),"")</f>
        <v/>
      </c>
      <c r="U428" s="10">
        <f>IF(AND(ISNUMBER(M428),ISNUMBER(N428)),IF(N428&gt;0,M428/N428,""),"")</f>
        <v/>
      </c>
      <c r="V428" s="10">
        <f>IF(AND(ISNUMBER(M428),ISNUMBER(O428)),IF(O428&gt;0,M428/O428,""),"")</f>
        <v/>
      </c>
      <c r="W428" s="10">
        <f>IF(AND(ISNUMBER(M428),ISNUMBER(R428)),IF(R428&gt;0,M428/R428,""),"")</f>
        <v/>
      </c>
      <c r="X428" s="10">
        <f>IF(AND(ISNUMBER(Q428),ISNUMBER(M428)),IF(M428&gt;0,Q428/M428,""),"")</f>
        <v/>
      </c>
      <c r="Y428" s="11">
        <f>IF(ISNUMBER(Z428),YEAR(Z428),"")</f>
        <v/>
      </c>
      <c r="Z428" s="12" t="n"/>
      <c r="AA428" s="12" t="n"/>
      <c r="AI428" s="12" t="n"/>
      <c r="AJ428" s="13">
        <f>IF(LEN(TRIM(AF428))=0,"",HYPERLINK("https://www.google.com/maps/@?api=1&amp;map_action=pano&amp;viewpoint="&amp;SUBSTITUTE(AF428," ",""),"Abrir Street View"))</f>
        <v/>
      </c>
    </row>
    <row r="429">
      <c r="H429" s="6" t="n"/>
      <c r="I429" s="6" t="n"/>
      <c r="M429" s="7" t="n"/>
      <c r="N429" s="7" t="n"/>
      <c r="O429" s="7" t="n"/>
      <c r="Q429" s="7" t="n"/>
      <c r="R429" s="7" t="n"/>
      <c r="S429" s="8">
        <f>IF(NOT(ISNUMBER(M429)),"",IF(G429="Terreno",IF(AND(ISNUMBER(I429),I429&gt;0),M429/I429,""),IF(AND(ISNUMBER(H429),H429&gt;0),M429/H429,"")))</f>
        <v/>
      </c>
      <c r="T429" s="9">
        <f>IF(AND(ISNUMBER(M429),ISNUMBER(O429)),IF(M429&lt;=O429,"Valor ≤ venal IPTU",""),"")</f>
        <v/>
      </c>
      <c r="U429" s="10">
        <f>IF(AND(ISNUMBER(M429),ISNUMBER(N429)),IF(N429&gt;0,M429/N429,""),"")</f>
        <v/>
      </c>
      <c r="V429" s="10">
        <f>IF(AND(ISNUMBER(M429),ISNUMBER(O429)),IF(O429&gt;0,M429/O429,""),"")</f>
        <v/>
      </c>
      <c r="W429" s="10">
        <f>IF(AND(ISNUMBER(M429),ISNUMBER(R429)),IF(R429&gt;0,M429/R429,""),"")</f>
        <v/>
      </c>
      <c r="X429" s="10">
        <f>IF(AND(ISNUMBER(Q429),ISNUMBER(M429)),IF(M429&gt;0,Q429/M429,""),"")</f>
        <v/>
      </c>
      <c r="Y429" s="11">
        <f>IF(ISNUMBER(Z429),YEAR(Z429),"")</f>
        <v/>
      </c>
      <c r="Z429" s="12" t="n"/>
      <c r="AA429" s="12" t="n"/>
      <c r="AI429" s="12" t="n"/>
      <c r="AJ429" s="13">
        <f>IF(LEN(TRIM(AF429))=0,"",HYPERLINK("https://www.google.com/maps/@?api=1&amp;map_action=pano&amp;viewpoint="&amp;SUBSTITUTE(AF429," ",""),"Abrir Street View"))</f>
        <v/>
      </c>
    </row>
    <row r="430">
      <c r="H430" s="6" t="n"/>
      <c r="I430" s="6" t="n"/>
      <c r="M430" s="7" t="n"/>
      <c r="N430" s="7" t="n"/>
      <c r="O430" s="7" t="n"/>
      <c r="Q430" s="7" t="n"/>
      <c r="R430" s="7" t="n"/>
      <c r="S430" s="8">
        <f>IF(NOT(ISNUMBER(M430)),"",IF(G430="Terreno",IF(AND(ISNUMBER(I430),I430&gt;0),M430/I430,""),IF(AND(ISNUMBER(H430),H430&gt;0),M430/H430,"")))</f>
        <v/>
      </c>
      <c r="T430" s="9">
        <f>IF(AND(ISNUMBER(M430),ISNUMBER(O430)),IF(M430&lt;=O430,"Valor ≤ venal IPTU",""),"")</f>
        <v/>
      </c>
      <c r="U430" s="10">
        <f>IF(AND(ISNUMBER(M430),ISNUMBER(N430)),IF(N430&gt;0,M430/N430,""),"")</f>
        <v/>
      </c>
      <c r="V430" s="10">
        <f>IF(AND(ISNUMBER(M430),ISNUMBER(O430)),IF(O430&gt;0,M430/O430,""),"")</f>
        <v/>
      </c>
      <c r="W430" s="10">
        <f>IF(AND(ISNUMBER(M430),ISNUMBER(R430)),IF(R430&gt;0,M430/R430,""),"")</f>
        <v/>
      </c>
      <c r="X430" s="10">
        <f>IF(AND(ISNUMBER(Q430),ISNUMBER(M430)),IF(M430&gt;0,Q430/M430,""),"")</f>
        <v/>
      </c>
      <c r="Y430" s="11">
        <f>IF(ISNUMBER(Z430),YEAR(Z430),"")</f>
        <v/>
      </c>
      <c r="Z430" s="12" t="n"/>
      <c r="AA430" s="12" t="n"/>
      <c r="AI430" s="12" t="n"/>
      <c r="AJ430" s="13">
        <f>IF(LEN(TRIM(AF430))=0,"",HYPERLINK("https://www.google.com/maps/@?api=1&amp;map_action=pano&amp;viewpoint="&amp;SUBSTITUTE(AF430," ",""),"Abrir Street View"))</f>
        <v/>
      </c>
    </row>
    <row r="431">
      <c r="H431" s="6" t="n"/>
      <c r="I431" s="6" t="n"/>
      <c r="M431" s="7" t="n"/>
      <c r="N431" s="7" t="n"/>
      <c r="O431" s="7" t="n"/>
      <c r="Q431" s="7" t="n"/>
      <c r="R431" s="7" t="n"/>
      <c r="S431" s="8">
        <f>IF(NOT(ISNUMBER(M431)),"",IF(G431="Terreno",IF(AND(ISNUMBER(I431),I431&gt;0),M431/I431,""),IF(AND(ISNUMBER(H431),H431&gt;0),M431/H431,"")))</f>
        <v/>
      </c>
      <c r="T431" s="9">
        <f>IF(AND(ISNUMBER(M431),ISNUMBER(O431)),IF(M431&lt;=O431,"Valor ≤ venal IPTU",""),"")</f>
        <v/>
      </c>
      <c r="U431" s="10">
        <f>IF(AND(ISNUMBER(M431),ISNUMBER(N431)),IF(N431&gt;0,M431/N431,""),"")</f>
        <v/>
      </c>
      <c r="V431" s="10">
        <f>IF(AND(ISNUMBER(M431),ISNUMBER(O431)),IF(O431&gt;0,M431/O431,""),"")</f>
        <v/>
      </c>
      <c r="W431" s="10">
        <f>IF(AND(ISNUMBER(M431),ISNUMBER(R431)),IF(R431&gt;0,M431/R431,""),"")</f>
        <v/>
      </c>
      <c r="X431" s="10">
        <f>IF(AND(ISNUMBER(Q431),ISNUMBER(M431)),IF(M431&gt;0,Q431/M431,""),"")</f>
        <v/>
      </c>
      <c r="Y431" s="11">
        <f>IF(ISNUMBER(Z431),YEAR(Z431),"")</f>
        <v/>
      </c>
      <c r="Z431" s="12" t="n"/>
      <c r="AA431" s="12" t="n"/>
      <c r="AI431" s="12" t="n"/>
      <c r="AJ431" s="13">
        <f>IF(LEN(TRIM(AF431))=0,"",HYPERLINK("https://www.google.com/maps/@?api=1&amp;map_action=pano&amp;viewpoint="&amp;SUBSTITUTE(AF431," ",""),"Abrir Street View"))</f>
        <v/>
      </c>
    </row>
    <row r="432">
      <c r="H432" s="6" t="n"/>
      <c r="I432" s="6" t="n"/>
      <c r="M432" s="7" t="n"/>
      <c r="N432" s="7" t="n"/>
      <c r="O432" s="7" t="n"/>
      <c r="Q432" s="7" t="n"/>
      <c r="R432" s="7" t="n"/>
      <c r="S432" s="8">
        <f>IF(NOT(ISNUMBER(M432)),"",IF(G432="Terreno",IF(AND(ISNUMBER(I432),I432&gt;0),M432/I432,""),IF(AND(ISNUMBER(H432),H432&gt;0),M432/H432,"")))</f>
        <v/>
      </c>
      <c r="T432" s="9">
        <f>IF(AND(ISNUMBER(M432),ISNUMBER(O432)),IF(M432&lt;=O432,"Valor ≤ venal IPTU",""),"")</f>
        <v/>
      </c>
      <c r="U432" s="10">
        <f>IF(AND(ISNUMBER(M432),ISNUMBER(N432)),IF(N432&gt;0,M432/N432,""),"")</f>
        <v/>
      </c>
      <c r="V432" s="10">
        <f>IF(AND(ISNUMBER(M432),ISNUMBER(O432)),IF(O432&gt;0,M432/O432,""),"")</f>
        <v/>
      </c>
      <c r="W432" s="10">
        <f>IF(AND(ISNUMBER(M432),ISNUMBER(R432)),IF(R432&gt;0,M432/R432,""),"")</f>
        <v/>
      </c>
      <c r="X432" s="10">
        <f>IF(AND(ISNUMBER(Q432),ISNUMBER(M432)),IF(M432&gt;0,Q432/M432,""),"")</f>
        <v/>
      </c>
      <c r="Y432" s="11">
        <f>IF(ISNUMBER(Z432),YEAR(Z432),"")</f>
        <v/>
      </c>
      <c r="Z432" s="12" t="n"/>
      <c r="AA432" s="12" t="n"/>
      <c r="AI432" s="12" t="n"/>
      <c r="AJ432" s="13">
        <f>IF(LEN(TRIM(AF432))=0,"",HYPERLINK("https://www.google.com/maps/@?api=1&amp;map_action=pano&amp;viewpoint="&amp;SUBSTITUTE(AF432," ",""),"Abrir Street View"))</f>
        <v/>
      </c>
    </row>
    <row r="433">
      <c r="H433" s="6" t="n"/>
      <c r="I433" s="6" t="n"/>
      <c r="M433" s="7" t="n"/>
      <c r="N433" s="7" t="n"/>
      <c r="O433" s="7" t="n"/>
      <c r="Q433" s="7" t="n"/>
      <c r="R433" s="7" t="n"/>
      <c r="S433" s="8">
        <f>IF(NOT(ISNUMBER(M433)),"",IF(G433="Terreno",IF(AND(ISNUMBER(I433),I433&gt;0),M433/I433,""),IF(AND(ISNUMBER(H433),H433&gt;0),M433/H433,"")))</f>
        <v/>
      </c>
      <c r="T433" s="9">
        <f>IF(AND(ISNUMBER(M433),ISNUMBER(O433)),IF(M433&lt;=O433,"Valor ≤ venal IPTU",""),"")</f>
        <v/>
      </c>
      <c r="U433" s="10">
        <f>IF(AND(ISNUMBER(M433),ISNUMBER(N433)),IF(N433&gt;0,M433/N433,""),"")</f>
        <v/>
      </c>
      <c r="V433" s="10">
        <f>IF(AND(ISNUMBER(M433),ISNUMBER(O433)),IF(O433&gt;0,M433/O433,""),"")</f>
        <v/>
      </c>
      <c r="W433" s="10">
        <f>IF(AND(ISNUMBER(M433),ISNUMBER(R433)),IF(R433&gt;0,M433/R433,""),"")</f>
        <v/>
      </c>
      <c r="X433" s="10">
        <f>IF(AND(ISNUMBER(Q433),ISNUMBER(M433)),IF(M433&gt;0,Q433/M433,""),"")</f>
        <v/>
      </c>
      <c r="Y433" s="11">
        <f>IF(ISNUMBER(Z433),YEAR(Z433),"")</f>
        <v/>
      </c>
      <c r="Z433" s="12" t="n"/>
      <c r="AA433" s="12" t="n"/>
      <c r="AI433" s="12" t="n"/>
      <c r="AJ433" s="13">
        <f>IF(LEN(TRIM(AF433))=0,"",HYPERLINK("https://www.google.com/maps/@?api=1&amp;map_action=pano&amp;viewpoint="&amp;SUBSTITUTE(AF433," ",""),"Abrir Street View"))</f>
        <v/>
      </c>
    </row>
    <row r="434">
      <c r="H434" s="6" t="n"/>
      <c r="I434" s="6" t="n"/>
      <c r="M434" s="7" t="n"/>
      <c r="N434" s="7" t="n"/>
      <c r="O434" s="7" t="n"/>
      <c r="Q434" s="7" t="n"/>
      <c r="R434" s="7" t="n"/>
      <c r="S434" s="8">
        <f>IF(NOT(ISNUMBER(M434)),"",IF(G434="Terreno",IF(AND(ISNUMBER(I434),I434&gt;0),M434/I434,""),IF(AND(ISNUMBER(H434),H434&gt;0),M434/H434,"")))</f>
        <v/>
      </c>
      <c r="T434" s="9">
        <f>IF(AND(ISNUMBER(M434),ISNUMBER(O434)),IF(M434&lt;=O434,"Valor ≤ venal IPTU",""),"")</f>
        <v/>
      </c>
      <c r="U434" s="10">
        <f>IF(AND(ISNUMBER(M434),ISNUMBER(N434)),IF(N434&gt;0,M434/N434,""),"")</f>
        <v/>
      </c>
      <c r="V434" s="10">
        <f>IF(AND(ISNUMBER(M434),ISNUMBER(O434)),IF(O434&gt;0,M434/O434,""),"")</f>
        <v/>
      </c>
      <c r="W434" s="10">
        <f>IF(AND(ISNUMBER(M434),ISNUMBER(R434)),IF(R434&gt;0,M434/R434,""),"")</f>
        <v/>
      </c>
      <c r="X434" s="10">
        <f>IF(AND(ISNUMBER(Q434),ISNUMBER(M434)),IF(M434&gt;0,Q434/M434,""),"")</f>
        <v/>
      </c>
      <c r="Y434" s="11">
        <f>IF(ISNUMBER(Z434),YEAR(Z434),"")</f>
        <v/>
      </c>
      <c r="Z434" s="12" t="n"/>
      <c r="AA434" s="12" t="n"/>
      <c r="AI434" s="12" t="n"/>
      <c r="AJ434" s="13">
        <f>IF(LEN(TRIM(AF434))=0,"",HYPERLINK("https://www.google.com/maps/@?api=1&amp;map_action=pano&amp;viewpoint="&amp;SUBSTITUTE(AF434," ",""),"Abrir Street View"))</f>
        <v/>
      </c>
    </row>
    <row r="435">
      <c r="H435" s="6" t="n"/>
      <c r="I435" s="6" t="n"/>
      <c r="M435" s="7" t="n"/>
      <c r="N435" s="7" t="n"/>
      <c r="O435" s="7" t="n"/>
      <c r="Q435" s="7" t="n"/>
      <c r="R435" s="7" t="n"/>
      <c r="S435" s="8">
        <f>IF(NOT(ISNUMBER(M435)),"",IF(G435="Terreno",IF(AND(ISNUMBER(I435),I435&gt;0),M435/I435,""),IF(AND(ISNUMBER(H435),H435&gt;0),M435/H435,"")))</f>
        <v/>
      </c>
      <c r="T435" s="9">
        <f>IF(AND(ISNUMBER(M435),ISNUMBER(O435)),IF(M435&lt;=O435,"Valor ≤ venal IPTU",""),"")</f>
        <v/>
      </c>
      <c r="U435" s="10">
        <f>IF(AND(ISNUMBER(M435),ISNUMBER(N435)),IF(N435&gt;0,M435/N435,""),"")</f>
        <v/>
      </c>
      <c r="V435" s="10">
        <f>IF(AND(ISNUMBER(M435),ISNUMBER(O435)),IF(O435&gt;0,M435/O435,""),"")</f>
        <v/>
      </c>
      <c r="W435" s="10">
        <f>IF(AND(ISNUMBER(M435),ISNUMBER(R435)),IF(R435&gt;0,M435/R435,""),"")</f>
        <v/>
      </c>
      <c r="X435" s="10">
        <f>IF(AND(ISNUMBER(Q435),ISNUMBER(M435)),IF(M435&gt;0,Q435/M435,""),"")</f>
        <v/>
      </c>
      <c r="Y435" s="11">
        <f>IF(ISNUMBER(Z435),YEAR(Z435),"")</f>
        <v/>
      </c>
      <c r="Z435" s="12" t="n"/>
      <c r="AA435" s="12" t="n"/>
      <c r="AI435" s="12" t="n"/>
      <c r="AJ435" s="13">
        <f>IF(LEN(TRIM(AF435))=0,"",HYPERLINK("https://www.google.com/maps/@?api=1&amp;map_action=pano&amp;viewpoint="&amp;SUBSTITUTE(AF435," ",""),"Abrir Street View"))</f>
        <v/>
      </c>
    </row>
    <row r="436">
      <c r="H436" s="6" t="n"/>
      <c r="I436" s="6" t="n"/>
      <c r="M436" s="7" t="n"/>
      <c r="N436" s="7" t="n"/>
      <c r="O436" s="7" t="n"/>
      <c r="Q436" s="7" t="n"/>
      <c r="R436" s="7" t="n"/>
      <c r="S436" s="8">
        <f>IF(NOT(ISNUMBER(M436)),"",IF(G436="Terreno",IF(AND(ISNUMBER(I436),I436&gt;0),M436/I436,""),IF(AND(ISNUMBER(H436),H436&gt;0),M436/H436,"")))</f>
        <v/>
      </c>
      <c r="T436" s="9">
        <f>IF(AND(ISNUMBER(M436),ISNUMBER(O436)),IF(M436&lt;=O436,"Valor ≤ venal IPTU",""),"")</f>
        <v/>
      </c>
      <c r="U436" s="10">
        <f>IF(AND(ISNUMBER(M436),ISNUMBER(N436)),IF(N436&gt;0,M436/N436,""),"")</f>
        <v/>
      </c>
      <c r="V436" s="10">
        <f>IF(AND(ISNUMBER(M436),ISNUMBER(O436)),IF(O436&gt;0,M436/O436,""),"")</f>
        <v/>
      </c>
      <c r="W436" s="10">
        <f>IF(AND(ISNUMBER(M436),ISNUMBER(R436)),IF(R436&gt;0,M436/R436,""),"")</f>
        <v/>
      </c>
      <c r="X436" s="10">
        <f>IF(AND(ISNUMBER(Q436),ISNUMBER(M436)),IF(M436&gt;0,Q436/M436,""),"")</f>
        <v/>
      </c>
      <c r="Y436" s="11">
        <f>IF(ISNUMBER(Z436),YEAR(Z436),"")</f>
        <v/>
      </c>
      <c r="Z436" s="12" t="n"/>
      <c r="AA436" s="12" t="n"/>
      <c r="AI436" s="12" t="n"/>
      <c r="AJ436" s="13">
        <f>IF(LEN(TRIM(AF436))=0,"",HYPERLINK("https://www.google.com/maps/@?api=1&amp;map_action=pano&amp;viewpoint="&amp;SUBSTITUTE(AF436," ",""),"Abrir Street View"))</f>
        <v/>
      </c>
    </row>
    <row r="437">
      <c r="H437" s="6" t="n"/>
      <c r="I437" s="6" t="n"/>
      <c r="M437" s="7" t="n"/>
      <c r="N437" s="7" t="n"/>
      <c r="O437" s="7" t="n"/>
      <c r="Q437" s="7" t="n"/>
      <c r="R437" s="7" t="n"/>
      <c r="S437" s="8">
        <f>IF(NOT(ISNUMBER(M437)),"",IF(G437="Terreno",IF(AND(ISNUMBER(I437),I437&gt;0),M437/I437,""),IF(AND(ISNUMBER(H437),H437&gt;0),M437/H437,"")))</f>
        <v/>
      </c>
      <c r="T437" s="9">
        <f>IF(AND(ISNUMBER(M437),ISNUMBER(O437)),IF(M437&lt;=O437,"Valor ≤ venal IPTU",""),"")</f>
        <v/>
      </c>
      <c r="U437" s="10">
        <f>IF(AND(ISNUMBER(M437),ISNUMBER(N437)),IF(N437&gt;0,M437/N437,""),"")</f>
        <v/>
      </c>
      <c r="V437" s="10">
        <f>IF(AND(ISNUMBER(M437),ISNUMBER(O437)),IF(O437&gt;0,M437/O437,""),"")</f>
        <v/>
      </c>
      <c r="W437" s="10">
        <f>IF(AND(ISNUMBER(M437),ISNUMBER(R437)),IF(R437&gt;0,M437/R437,""),"")</f>
        <v/>
      </c>
      <c r="X437" s="10">
        <f>IF(AND(ISNUMBER(Q437),ISNUMBER(M437)),IF(M437&gt;0,Q437/M437,""),"")</f>
        <v/>
      </c>
      <c r="Y437" s="11">
        <f>IF(ISNUMBER(Z437),YEAR(Z437),"")</f>
        <v/>
      </c>
      <c r="Z437" s="12" t="n"/>
      <c r="AA437" s="12" t="n"/>
      <c r="AI437" s="12" t="n"/>
      <c r="AJ437" s="13">
        <f>IF(LEN(TRIM(AF437))=0,"",HYPERLINK("https://www.google.com/maps/@?api=1&amp;map_action=pano&amp;viewpoint="&amp;SUBSTITUTE(AF437," ",""),"Abrir Street View"))</f>
        <v/>
      </c>
    </row>
    <row r="438">
      <c r="H438" s="6" t="n"/>
      <c r="I438" s="6" t="n"/>
      <c r="M438" s="7" t="n"/>
      <c r="N438" s="7" t="n"/>
      <c r="O438" s="7" t="n"/>
      <c r="Q438" s="7" t="n"/>
      <c r="R438" s="7" t="n"/>
      <c r="S438" s="8">
        <f>IF(NOT(ISNUMBER(M438)),"",IF(G438="Terreno",IF(AND(ISNUMBER(I438),I438&gt;0),M438/I438,""),IF(AND(ISNUMBER(H438),H438&gt;0),M438/H438,"")))</f>
        <v/>
      </c>
      <c r="T438" s="9">
        <f>IF(AND(ISNUMBER(M438),ISNUMBER(O438)),IF(M438&lt;=O438,"Valor ≤ venal IPTU",""),"")</f>
        <v/>
      </c>
      <c r="U438" s="10">
        <f>IF(AND(ISNUMBER(M438),ISNUMBER(N438)),IF(N438&gt;0,M438/N438,""),"")</f>
        <v/>
      </c>
      <c r="V438" s="10">
        <f>IF(AND(ISNUMBER(M438),ISNUMBER(O438)),IF(O438&gt;0,M438/O438,""),"")</f>
        <v/>
      </c>
      <c r="W438" s="10">
        <f>IF(AND(ISNUMBER(M438),ISNUMBER(R438)),IF(R438&gt;0,M438/R438,""),"")</f>
        <v/>
      </c>
      <c r="X438" s="10">
        <f>IF(AND(ISNUMBER(Q438),ISNUMBER(M438)),IF(M438&gt;0,Q438/M438,""),"")</f>
        <v/>
      </c>
      <c r="Y438" s="11">
        <f>IF(ISNUMBER(Z438),YEAR(Z438),"")</f>
        <v/>
      </c>
      <c r="Z438" s="12" t="n"/>
      <c r="AA438" s="12" t="n"/>
      <c r="AI438" s="12" t="n"/>
      <c r="AJ438" s="13">
        <f>IF(LEN(TRIM(AF438))=0,"",HYPERLINK("https://www.google.com/maps/@?api=1&amp;map_action=pano&amp;viewpoint="&amp;SUBSTITUTE(AF438," ",""),"Abrir Street View"))</f>
        <v/>
      </c>
    </row>
    <row r="439">
      <c r="H439" s="6" t="n"/>
      <c r="I439" s="6" t="n"/>
      <c r="M439" s="7" t="n"/>
      <c r="N439" s="7" t="n"/>
      <c r="O439" s="7" t="n"/>
      <c r="Q439" s="7" t="n"/>
      <c r="R439" s="7" t="n"/>
      <c r="S439" s="8">
        <f>IF(NOT(ISNUMBER(M439)),"",IF(G439="Terreno",IF(AND(ISNUMBER(I439),I439&gt;0),M439/I439,""),IF(AND(ISNUMBER(H439),H439&gt;0),M439/H439,"")))</f>
        <v/>
      </c>
      <c r="T439" s="9">
        <f>IF(AND(ISNUMBER(M439),ISNUMBER(O439)),IF(M439&lt;=O439,"Valor ≤ venal IPTU",""),"")</f>
        <v/>
      </c>
      <c r="U439" s="10">
        <f>IF(AND(ISNUMBER(M439),ISNUMBER(N439)),IF(N439&gt;0,M439/N439,""),"")</f>
        <v/>
      </c>
      <c r="V439" s="10">
        <f>IF(AND(ISNUMBER(M439),ISNUMBER(O439)),IF(O439&gt;0,M439/O439,""),"")</f>
        <v/>
      </c>
      <c r="W439" s="10">
        <f>IF(AND(ISNUMBER(M439),ISNUMBER(R439)),IF(R439&gt;0,M439/R439,""),"")</f>
        <v/>
      </c>
      <c r="X439" s="10">
        <f>IF(AND(ISNUMBER(Q439),ISNUMBER(M439)),IF(M439&gt;0,Q439/M439,""),"")</f>
        <v/>
      </c>
      <c r="Y439" s="11">
        <f>IF(ISNUMBER(Z439),YEAR(Z439),"")</f>
        <v/>
      </c>
      <c r="Z439" s="12" t="n"/>
      <c r="AA439" s="12" t="n"/>
      <c r="AI439" s="12" t="n"/>
      <c r="AJ439" s="13">
        <f>IF(LEN(TRIM(AF439))=0,"",HYPERLINK("https://www.google.com/maps/@?api=1&amp;map_action=pano&amp;viewpoint="&amp;SUBSTITUTE(AF439," ",""),"Abrir Street View"))</f>
        <v/>
      </c>
    </row>
    <row r="440">
      <c r="H440" s="6" t="n"/>
      <c r="I440" s="6" t="n"/>
      <c r="M440" s="7" t="n"/>
      <c r="N440" s="7" t="n"/>
      <c r="O440" s="7" t="n"/>
      <c r="Q440" s="7" t="n"/>
      <c r="R440" s="7" t="n"/>
      <c r="S440" s="8">
        <f>IF(NOT(ISNUMBER(M440)),"",IF(G440="Terreno",IF(AND(ISNUMBER(I440),I440&gt;0),M440/I440,""),IF(AND(ISNUMBER(H440),H440&gt;0),M440/H440,"")))</f>
        <v/>
      </c>
      <c r="T440" s="9">
        <f>IF(AND(ISNUMBER(M440),ISNUMBER(O440)),IF(M440&lt;=O440,"Valor ≤ venal IPTU",""),"")</f>
        <v/>
      </c>
      <c r="U440" s="10">
        <f>IF(AND(ISNUMBER(M440),ISNUMBER(N440)),IF(N440&gt;0,M440/N440,""),"")</f>
        <v/>
      </c>
      <c r="V440" s="10">
        <f>IF(AND(ISNUMBER(M440),ISNUMBER(O440)),IF(O440&gt;0,M440/O440,""),"")</f>
        <v/>
      </c>
      <c r="W440" s="10">
        <f>IF(AND(ISNUMBER(M440),ISNUMBER(R440)),IF(R440&gt;0,M440/R440,""),"")</f>
        <v/>
      </c>
      <c r="X440" s="10">
        <f>IF(AND(ISNUMBER(Q440),ISNUMBER(M440)),IF(M440&gt;0,Q440/M440,""),"")</f>
        <v/>
      </c>
      <c r="Y440" s="11">
        <f>IF(ISNUMBER(Z440),YEAR(Z440),"")</f>
        <v/>
      </c>
      <c r="Z440" s="12" t="n"/>
      <c r="AA440" s="12" t="n"/>
      <c r="AI440" s="12" t="n"/>
      <c r="AJ440" s="13">
        <f>IF(LEN(TRIM(AF440))=0,"",HYPERLINK("https://www.google.com/maps/@?api=1&amp;map_action=pano&amp;viewpoint="&amp;SUBSTITUTE(AF440," ",""),"Abrir Street View"))</f>
        <v/>
      </c>
    </row>
    <row r="441">
      <c r="H441" s="6" t="n"/>
      <c r="I441" s="6" t="n"/>
      <c r="M441" s="7" t="n"/>
      <c r="N441" s="7" t="n"/>
      <c r="O441" s="7" t="n"/>
      <c r="Q441" s="7" t="n"/>
      <c r="R441" s="7" t="n"/>
      <c r="S441" s="8">
        <f>IF(NOT(ISNUMBER(M441)),"",IF(G441="Terreno",IF(AND(ISNUMBER(I441),I441&gt;0),M441/I441,""),IF(AND(ISNUMBER(H441),H441&gt;0),M441/H441,"")))</f>
        <v/>
      </c>
      <c r="T441" s="9">
        <f>IF(AND(ISNUMBER(M441),ISNUMBER(O441)),IF(M441&lt;=O441,"Valor ≤ venal IPTU",""),"")</f>
        <v/>
      </c>
      <c r="U441" s="10">
        <f>IF(AND(ISNUMBER(M441),ISNUMBER(N441)),IF(N441&gt;0,M441/N441,""),"")</f>
        <v/>
      </c>
      <c r="V441" s="10">
        <f>IF(AND(ISNUMBER(M441),ISNUMBER(O441)),IF(O441&gt;0,M441/O441,""),"")</f>
        <v/>
      </c>
      <c r="W441" s="10">
        <f>IF(AND(ISNUMBER(M441),ISNUMBER(R441)),IF(R441&gt;0,M441/R441,""),"")</f>
        <v/>
      </c>
      <c r="X441" s="10">
        <f>IF(AND(ISNUMBER(Q441),ISNUMBER(M441)),IF(M441&gt;0,Q441/M441,""),"")</f>
        <v/>
      </c>
      <c r="Y441" s="11">
        <f>IF(ISNUMBER(Z441),YEAR(Z441),"")</f>
        <v/>
      </c>
      <c r="Z441" s="12" t="n"/>
      <c r="AA441" s="12" t="n"/>
      <c r="AI441" s="12" t="n"/>
      <c r="AJ441" s="13">
        <f>IF(LEN(TRIM(AF441))=0,"",HYPERLINK("https://www.google.com/maps/@?api=1&amp;map_action=pano&amp;viewpoint="&amp;SUBSTITUTE(AF441," ",""),"Abrir Street View"))</f>
        <v/>
      </c>
    </row>
    <row r="442">
      <c r="H442" s="6" t="n"/>
      <c r="I442" s="6" t="n"/>
      <c r="M442" s="7" t="n"/>
      <c r="N442" s="7" t="n"/>
      <c r="O442" s="7" t="n"/>
      <c r="Q442" s="7" t="n"/>
      <c r="R442" s="7" t="n"/>
      <c r="S442" s="8">
        <f>IF(NOT(ISNUMBER(M442)),"",IF(G442="Terreno",IF(AND(ISNUMBER(I442),I442&gt;0),M442/I442,""),IF(AND(ISNUMBER(H442),H442&gt;0),M442/H442,"")))</f>
        <v/>
      </c>
      <c r="T442" s="9">
        <f>IF(AND(ISNUMBER(M442),ISNUMBER(O442)),IF(M442&lt;=O442,"Valor ≤ venal IPTU",""),"")</f>
        <v/>
      </c>
      <c r="U442" s="10">
        <f>IF(AND(ISNUMBER(M442),ISNUMBER(N442)),IF(N442&gt;0,M442/N442,""),"")</f>
        <v/>
      </c>
      <c r="V442" s="10">
        <f>IF(AND(ISNUMBER(M442),ISNUMBER(O442)),IF(O442&gt;0,M442/O442,""),"")</f>
        <v/>
      </c>
      <c r="W442" s="10">
        <f>IF(AND(ISNUMBER(M442),ISNUMBER(R442)),IF(R442&gt;0,M442/R442,""),"")</f>
        <v/>
      </c>
      <c r="X442" s="10">
        <f>IF(AND(ISNUMBER(Q442),ISNUMBER(M442)),IF(M442&gt;0,Q442/M442,""),"")</f>
        <v/>
      </c>
      <c r="Y442" s="11">
        <f>IF(ISNUMBER(Z442),YEAR(Z442),"")</f>
        <v/>
      </c>
      <c r="Z442" s="12" t="n"/>
      <c r="AA442" s="12" t="n"/>
      <c r="AI442" s="12" t="n"/>
      <c r="AJ442" s="13">
        <f>IF(LEN(TRIM(AF442))=0,"",HYPERLINK("https://www.google.com/maps/@?api=1&amp;map_action=pano&amp;viewpoint="&amp;SUBSTITUTE(AF442," ",""),"Abrir Street View"))</f>
        <v/>
      </c>
    </row>
    <row r="443">
      <c r="H443" s="6" t="n"/>
      <c r="I443" s="6" t="n"/>
      <c r="M443" s="7" t="n"/>
      <c r="N443" s="7" t="n"/>
      <c r="O443" s="7" t="n"/>
      <c r="Q443" s="7" t="n"/>
      <c r="R443" s="7" t="n"/>
      <c r="S443" s="8">
        <f>IF(NOT(ISNUMBER(M443)),"",IF(G443="Terreno",IF(AND(ISNUMBER(I443),I443&gt;0),M443/I443,""),IF(AND(ISNUMBER(H443),H443&gt;0),M443/H443,"")))</f>
        <v/>
      </c>
      <c r="T443" s="9">
        <f>IF(AND(ISNUMBER(M443),ISNUMBER(O443)),IF(M443&lt;=O443,"Valor ≤ venal IPTU",""),"")</f>
        <v/>
      </c>
      <c r="U443" s="10">
        <f>IF(AND(ISNUMBER(M443),ISNUMBER(N443)),IF(N443&gt;0,M443/N443,""),"")</f>
        <v/>
      </c>
      <c r="V443" s="10">
        <f>IF(AND(ISNUMBER(M443),ISNUMBER(O443)),IF(O443&gt;0,M443/O443,""),"")</f>
        <v/>
      </c>
      <c r="W443" s="10">
        <f>IF(AND(ISNUMBER(M443),ISNUMBER(R443)),IF(R443&gt;0,M443/R443,""),"")</f>
        <v/>
      </c>
      <c r="X443" s="10">
        <f>IF(AND(ISNUMBER(Q443),ISNUMBER(M443)),IF(M443&gt;0,Q443/M443,""),"")</f>
        <v/>
      </c>
      <c r="Y443" s="11">
        <f>IF(ISNUMBER(Z443),YEAR(Z443),"")</f>
        <v/>
      </c>
      <c r="Z443" s="12" t="n"/>
      <c r="AA443" s="12" t="n"/>
      <c r="AI443" s="12" t="n"/>
      <c r="AJ443" s="13">
        <f>IF(LEN(TRIM(AF443))=0,"",HYPERLINK("https://www.google.com/maps/@?api=1&amp;map_action=pano&amp;viewpoint="&amp;SUBSTITUTE(AF443," ",""),"Abrir Street View"))</f>
        <v/>
      </c>
    </row>
    <row r="444">
      <c r="H444" s="6" t="n"/>
      <c r="I444" s="6" t="n"/>
      <c r="M444" s="7" t="n"/>
      <c r="N444" s="7" t="n"/>
      <c r="O444" s="7" t="n"/>
      <c r="Q444" s="7" t="n"/>
      <c r="R444" s="7" t="n"/>
      <c r="S444" s="8">
        <f>IF(NOT(ISNUMBER(M444)),"",IF(G444="Terreno",IF(AND(ISNUMBER(I444),I444&gt;0),M444/I444,""),IF(AND(ISNUMBER(H444),H444&gt;0),M444/H444,"")))</f>
        <v/>
      </c>
      <c r="T444" s="9">
        <f>IF(AND(ISNUMBER(M444),ISNUMBER(O444)),IF(M444&lt;=O444,"Valor ≤ venal IPTU",""),"")</f>
        <v/>
      </c>
      <c r="U444" s="10">
        <f>IF(AND(ISNUMBER(M444),ISNUMBER(N444)),IF(N444&gt;0,M444/N444,""),"")</f>
        <v/>
      </c>
      <c r="V444" s="10">
        <f>IF(AND(ISNUMBER(M444),ISNUMBER(O444)),IF(O444&gt;0,M444/O444,""),"")</f>
        <v/>
      </c>
      <c r="W444" s="10">
        <f>IF(AND(ISNUMBER(M444),ISNUMBER(R444)),IF(R444&gt;0,M444/R444,""),"")</f>
        <v/>
      </c>
      <c r="X444" s="10">
        <f>IF(AND(ISNUMBER(Q444),ISNUMBER(M444)),IF(M444&gt;0,Q444/M444,""),"")</f>
        <v/>
      </c>
      <c r="Y444" s="11">
        <f>IF(ISNUMBER(Z444),YEAR(Z444),"")</f>
        <v/>
      </c>
      <c r="Z444" s="12" t="n"/>
      <c r="AA444" s="12" t="n"/>
      <c r="AI444" s="12" t="n"/>
      <c r="AJ444" s="13">
        <f>IF(LEN(TRIM(AF444))=0,"",HYPERLINK("https://www.google.com/maps/@?api=1&amp;map_action=pano&amp;viewpoint="&amp;SUBSTITUTE(AF444," ",""),"Abrir Street View"))</f>
        <v/>
      </c>
    </row>
    <row r="445">
      <c r="H445" s="6" t="n"/>
      <c r="I445" s="6" t="n"/>
      <c r="M445" s="7" t="n"/>
      <c r="N445" s="7" t="n"/>
      <c r="O445" s="7" t="n"/>
      <c r="Q445" s="7" t="n"/>
      <c r="R445" s="7" t="n"/>
      <c r="S445" s="8">
        <f>IF(NOT(ISNUMBER(M445)),"",IF(G445="Terreno",IF(AND(ISNUMBER(I445),I445&gt;0),M445/I445,""),IF(AND(ISNUMBER(H445),H445&gt;0),M445/H445,"")))</f>
        <v/>
      </c>
      <c r="T445" s="9">
        <f>IF(AND(ISNUMBER(M445),ISNUMBER(O445)),IF(M445&lt;=O445,"Valor ≤ venal IPTU",""),"")</f>
        <v/>
      </c>
      <c r="U445" s="10">
        <f>IF(AND(ISNUMBER(M445),ISNUMBER(N445)),IF(N445&gt;0,M445/N445,""),"")</f>
        <v/>
      </c>
      <c r="V445" s="10">
        <f>IF(AND(ISNUMBER(M445),ISNUMBER(O445)),IF(O445&gt;0,M445/O445,""),"")</f>
        <v/>
      </c>
      <c r="W445" s="10">
        <f>IF(AND(ISNUMBER(M445),ISNUMBER(R445)),IF(R445&gt;0,M445/R445,""),"")</f>
        <v/>
      </c>
      <c r="X445" s="10">
        <f>IF(AND(ISNUMBER(Q445),ISNUMBER(M445)),IF(M445&gt;0,Q445/M445,""),"")</f>
        <v/>
      </c>
      <c r="Y445" s="11">
        <f>IF(ISNUMBER(Z445),YEAR(Z445),"")</f>
        <v/>
      </c>
      <c r="Z445" s="12" t="n"/>
      <c r="AA445" s="12" t="n"/>
      <c r="AI445" s="12" t="n"/>
      <c r="AJ445" s="13">
        <f>IF(LEN(TRIM(AF445))=0,"",HYPERLINK("https://www.google.com/maps/@?api=1&amp;map_action=pano&amp;viewpoint="&amp;SUBSTITUTE(AF445," ",""),"Abrir Street View"))</f>
        <v/>
      </c>
    </row>
    <row r="446">
      <c r="H446" s="6" t="n"/>
      <c r="I446" s="6" t="n"/>
      <c r="M446" s="7" t="n"/>
      <c r="N446" s="7" t="n"/>
      <c r="O446" s="7" t="n"/>
      <c r="Q446" s="7" t="n"/>
      <c r="R446" s="7" t="n"/>
      <c r="S446" s="8">
        <f>IF(NOT(ISNUMBER(M446)),"",IF(G446="Terreno",IF(AND(ISNUMBER(I446),I446&gt;0),M446/I446,""),IF(AND(ISNUMBER(H446),H446&gt;0),M446/H446,"")))</f>
        <v/>
      </c>
      <c r="T446" s="9">
        <f>IF(AND(ISNUMBER(M446),ISNUMBER(O446)),IF(M446&lt;=O446,"Valor ≤ venal IPTU",""),"")</f>
        <v/>
      </c>
      <c r="U446" s="10">
        <f>IF(AND(ISNUMBER(M446),ISNUMBER(N446)),IF(N446&gt;0,M446/N446,""),"")</f>
        <v/>
      </c>
      <c r="V446" s="10">
        <f>IF(AND(ISNUMBER(M446),ISNUMBER(O446)),IF(O446&gt;0,M446/O446,""),"")</f>
        <v/>
      </c>
      <c r="W446" s="10">
        <f>IF(AND(ISNUMBER(M446),ISNUMBER(R446)),IF(R446&gt;0,M446/R446,""),"")</f>
        <v/>
      </c>
      <c r="X446" s="10">
        <f>IF(AND(ISNUMBER(Q446),ISNUMBER(M446)),IF(M446&gt;0,Q446/M446,""),"")</f>
        <v/>
      </c>
      <c r="Y446" s="11">
        <f>IF(ISNUMBER(Z446),YEAR(Z446),"")</f>
        <v/>
      </c>
      <c r="Z446" s="12" t="n"/>
      <c r="AA446" s="12" t="n"/>
      <c r="AI446" s="12" t="n"/>
      <c r="AJ446" s="13">
        <f>IF(LEN(TRIM(AF446))=0,"",HYPERLINK("https://www.google.com/maps/@?api=1&amp;map_action=pano&amp;viewpoint="&amp;SUBSTITUTE(AF446," ",""),"Abrir Street View"))</f>
        <v/>
      </c>
    </row>
    <row r="447">
      <c r="H447" s="6" t="n"/>
      <c r="I447" s="6" t="n"/>
      <c r="M447" s="7" t="n"/>
      <c r="N447" s="7" t="n"/>
      <c r="O447" s="7" t="n"/>
      <c r="Q447" s="7" t="n"/>
      <c r="R447" s="7" t="n"/>
      <c r="S447" s="8">
        <f>IF(NOT(ISNUMBER(M447)),"",IF(G447="Terreno",IF(AND(ISNUMBER(I447),I447&gt;0),M447/I447,""),IF(AND(ISNUMBER(H447),H447&gt;0),M447/H447,"")))</f>
        <v/>
      </c>
      <c r="T447" s="9">
        <f>IF(AND(ISNUMBER(M447),ISNUMBER(O447)),IF(M447&lt;=O447,"Valor ≤ venal IPTU",""),"")</f>
        <v/>
      </c>
      <c r="U447" s="10">
        <f>IF(AND(ISNUMBER(M447),ISNUMBER(N447)),IF(N447&gt;0,M447/N447,""),"")</f>
        <v/>
      </c>
      <c r="V447" s="10">
        <f>IF(AND(ISNUMBER(M447),ISNUMBER(O447)),IF(O447&gt;0,M447/O447,""),"")</f>
        <v/>
      </c>
      <c r="W447" s="10">
        <f>IF(AND(ISNUMBER(M447),ISNUMBER(R447)),IF(R447&gt;0,M447/R447,""),"")</f>
        <v/>
      </c>
      <c r="X447" s="10">
        <f>IF(AND(ISNUMBER(Q447),ISNUMBER(M447)),IF(M447&gt;0,Q447/M447,""),"")</f>
        <v/>
      </c>
      <c r="Y447" s="11">
        <f>IF(ISNUMBER(Z447),YEAR(Z447),"")</f>
        <v/>
      </c>
      <c r="Z447" s="12" t="n"/>
      <c r="AA447" s="12" t="n"/>
      <c r="AI447" s="12" t="n"/>
      <c r="AJ447" s="13">
        <f>IF(LEN(TRIM(AF447))=0,"",HYPERLINK("https://www.google.com/maps/@?api=1&amp;map_action=pano&amp;viewpoint="&amp;SUBSTITUTE(AF447," ",""),"Abrir Street View"))</f>
        <v/>
      </c>
    </row>
    <row r="448">
      <c r="H448" s="6" t="n"/>
      <c r="I448" s="6" t="n"/>
      <c r="M448" s="7" t="n"/>
      <c r="N448" s="7" t="n"/>
      <c r="O448" s="7" t="n"/>
      <c r="Q448" s="7" t="n"/>
      <c r="R448" s="7" t="n"/>
      <c r="S448" s="8">
        <f>IF(NOT(ISNUMBER(M448)),"",IF(G448="Terreno",IF(AND(ISNUMBER(I448),I448&gt;0),M448/I448,""),IF(AND(ISNUMBER(H448),H448&gt;0),M448/H448,"")))</f>
        <v/>
      </c>
      <c r="T448" s="9">
        <f>IF(AND(ISNUMBER(M448),ISNUMBER(O448)),IF(M448&lt;=O448,"Valor ≤ venal IPTU",""),"")</f>
        <v/>
      </c>
      <c r="U448" s="10">
        <f>IF(AND(ISNUMBER(M448),ISNUMBER(N448)),IF(N448&gt;0,M448/N448,""),"")</f>
        <v/>
      </c>
      <c r="V448" s="10">
        <f>IF(AND(ISNUMBER(M448),ISNUMBER(O448)),IF(O448&gt;0,M448/O448,""),"")</f>
        <v/>
      </c>
      <c r="W448" s="10">
        <f>IF(AND(ISNUMBER(M448),ISNUMBER(R448)),IF(R448&gt;0,M448/R448,""),"")</f>
        <v/>
      </c>
      <c r="X448" s="10">
        <f>IF(AND(ISNUMBER(Q448),ISNUMBER(M448)),IF(M448&gt;0,Q448/M448,""),"")</f>
        <v/>
      </c>
      <c r="Y448" s="11">
        <f>IF(ISNUMBER(Z448),YEAR(Z448),"")</f>
        <v/>
      </c>
      <c r="Z448" s="12" t="n"/>
      <c r="AA448" s="12" t="n"/>
      <c r="AI448" s="12" t="n"/>
      <c r="AJ448" s="13">
        <f>IF(LEN(TRIM(AF448))=0,"",HYPERLINK("https://www.google.com/maps/@?api=1&amp;map_action=pano&amp;viewpoint="&amp;SUBSTITUTE(AF448," ",""),"Abrir Street View"))</f>
        <v/>
      </c>
    </row>
    <row r="449">
      <c r="H449" s="6" t="n"/>
      <c r="I449" s="6" t="n"/>
      <c r="M449" s="7" t="n"/>
      <c r="N449" s="7" t="n"/>
      <c r="O449" s="7" t="n"/>
      <c r="Q449" s="7" t="n"/>
      <c r="R449" s="7" t="n"/>
      <c r="S449" s="8">
        <f>IF(NOT(ISNUMBER(M449)),"",IF(G449="Terreno",IF(AND(ISNUMBER(I449),I449&gt;0),M449/I449,""),IF(AND(ISNUMBER(H449),H449&gt;0),M449/H449,"")))</f>
        <v/>
      </c>
      <c r="T449" s="9">
        <f>IF(AND(ISNUMBER(M449),ISNUMBER(O449)),IF(M449&lt;=O449,"Valor ≤ venal IPTU",""),"")</f>
        <v/>
      </c>
      <c r="U449" s="10">
        <f>IF(AND(ISNUMBER(M449),ISNUMBER(N449)),IF(N449&gt;0,M449/N449,""),"")</f>
        <v/>
      </c>
      <c r="V449" s="10">
        <f>IF(AND(ISNUMBER(M449),ISNUMBER(O449)),IF(O449&gt;0,M449/O449,""),"")</f>
        <v/>
      </c>
      <c r="W449" s="10">
        <f>IF(AND(ISNUMBER(M449),ISNUMBER(R449)),IF(R449&gt;0,M449/R449,""),"")</f>
        <v/>
      </c>
      <c r="X449" s="10">
        <f>IF(AND(ISNUMBER(Q449),ISNUMBER(M449)),IF(M449&gt;0,Q449/M449,""),"")</f>
        <v/>
      </c>
      <c r="Y449" s="11">
        <f>IF(ISNUMBER(Z449),YEAR(Z449),"")</f>
        <v/>
      </c>
      <c r="Z449" s="12" t="n"/>
      <c r="AA449" s="12" t="n"/>
      <c r="AI449" s="12" t="n"/>
      <c r="AJ449" s="13">
        <f>IF(LEN(TRIM(AF449))=0,"",HYPERLINK("https://www.google.com/maps/@?api=1&amp;map_action=pano&amp;viewpoint="&amp;SUBSTITUTE(AF449," ",""),"Abrir Street View"))</f>
        <v/>
      </c>
    </row>
    <row r="450">
      <c r="H450" s="6" t="n"/>
      <c r="I450" s="6" t="n"/>
      <c r="M450" s="7" t="n"/>
      <c r="N450" s="7" t="n"/>
      <c r="O450" s="7" t="n"/>
      <c r="Q450" s="7" t="n"/>
      <c r="R450" s="7" t="n"/>
      <c r="S450" s="8">
        <f>IF(NOT(ISNUMBER(M450)),"",IF(G450="Terreno",IF(AND(ISNUMBER(I450),I450&gt;0),M450/I450,""),IF(AND(ISNUMBER(H450),H450&gt;0),M450/H450,"")))</f>
        <v/>
      </c>
      <c r="T450" s="9">
        <f>IF(AND(ISNUMBER(M450),ISNUMBER(O450)),IF(M450&lt;=O450,"Valor ≤ venal IPTU",""),"")</f>
        <v/>
      </c>
      <c r="U450" s="10">
        <f>IF(AND(ISNUMBER(M450),ISNUMBER(N450)),IF(N450&gt;0,M450/N450,""),"")</f>
        <v/>
      </c>
      <c r="V450" s="10">
        <f>IF(AND(ISNUMBER(M450),ISNUMBER(O450)),IF(O450&gt;0,M450/O450,""),"")</f>
        <v/>
      </c>
      <c r="W450" s="10">
        <f>IF(AND(ISNUMBER(M450),ISNUMBER(R450)),IF(R450&gt;0,M450/R450,""),"")</f>
        <v/>
      </c>
      <c r="X450" s="10">
        <f>IF(AND(ISNUMBER(Q450),ISNUMBER(M450)),IF(M450&gt;0,Q450/M450,""),"")</f>
        <v/>
      </c>
      <c r="Y450" s="11">
        <f>IF(ISNUMBER(Z450),YEAR(Z450),"")</f>
        <v/>
      </c>
      <c r="Z450" s="12" t="n"/>
      <c r="AA450" s="12" t="n"/>
      <c r="AI450" s="12" t="n"/>
      <c r="AJ450" s="13">
        <f>IF(LEN(TRIM(AF450))=0,"",HYPERLINK("https://www.google.com/maps/@?api=1&amp;map_action=pano&amp;viewpoint="&amp;SUBSTITUTE(AF450," ",""),"Abrir Street View"))</f>
        <v/>
      </c>
    </row>
    <row r="451">
      <c r="H451" s="6" t="n"/>
      <c r="I451" s="6" t="n"/>
      <c r="M451" s="7" t="n"/>
      <c r="N451" s="7" t="n"/>
      <c r="O451" s="7" t="n"/>
      <c r="Q451" s="7" t="n"/>
      <c r="R451" s="7" t="n"/>
      <c r="S451" s="8">
        <f>IF(NOT(ISNUMBER(M451)),"",IF(G451="Terreno",IF(AND(ISNUMBER(I451),I451&gt;0),M451/I451,""),IF(AND(ISNUMBER(H451),H451&gt;0),M451/H451,"")))</f>
        <v/>
      </c>
      <c r="T451" s="9">
        <f>IF(AND(ISNUMBER(M451),ISNUMBER(O451)),IF(M451&lt;=O451,"Valor ≤ venal IPTU",""),"")</f>
        <v/>
      </c>
      <c r="U451" s="10">
        <f>IF(AND(ISNUMBER(M451),ISNUMBER(N451)),IF(N451&gt;0,M451/N451,""),"")</f>
        <v/>
      </c>
      <c r="V451" s="10">
        <f>IF(AND(ISNUMBER(M451),ISNUMBER(O451)),IF(O451&gt;0,M451/O451,""),"")</f>
        <v/>
      </c>
      <c r="W451" s="10">
        <f>IF(AND(ISNUMBER(M451),ISNUMBER(R451)),IF(R451&gt;0,M451/R451,""),"")</f>
        <v/>
      </c>
      <c r="X451" s="10">
        <f>IF(AND(ISNUMBER(Q451),ISNUMBER(M451)),IF(M451&gt;0,Q451/M451,""),"")</f>
        <v/>
      </c>
      <c r="Y451" s="11">
        <f>IF(ISNUMBER(Z451),YEAR(Z451),"")</f>
        <v/>
      </c>
      <c r="Z451" s="12" t="n"/>
      <c r="AA451" s="12" t="n"/>
      <c r="AI451" s="12" t="n"/>
      <c r="AJ451" s="13">
        <f>IF(LEN(TRIM(AF451))=0,"",HYPERLINK("https://www.google.com/maps/@?api=1&amp;map_action=pano&amp;viewpoint="&amp;SUBSTITUTE(AF451," ",""),"Abrir Street View"))</f>
        <v/>
      </c>
    </row>
    <row r="452">
      <c r="H452" s="6" t="n"/>
      <c r="I452" s="6" t="n"/>
      <c r="M452" s="7" t="n"/>
      <c r="N452" s="7" t="n"/>
      <c r="O452" s="7" t="n"/>
      <c r="Q452" s="7" t="n"/>
      <c r="R452" s="7" t="n"/>
      <c r="S452" s="8">
        <f>IF(NOT(ISNUMBER(M452)),"",IF(G452="Terreno",IF(AND(ISNUMBER(I452),I452&gt;0),M452/I452,""),IF(AND(ISNUMBER(H452),H452&gt;0),M452/H452,"")))</f>
        <v/>
      </c>
      <c r="T452" s="9">
        <f>IF(AND(ISNUMBER(M452),ISNUMBER(O452)),IF(M452&lt;=O452,"Valor ≤ venal IPTU",""),"")</f>
        <v/>
      </c>
      <c r="U452" s="10">
        <f>IF(AND(ISNUMBER(M452),ISNUMBER(N452)),IF(N452&gt;0,M452/N452,""),"")</f>
        <v/>
      </c>
      <c r="V452" s="10">
        <f>IF(AND(ISNUMBER(M452),ISNUMBER(O452)),IF(O452&gt;0,M452/O452,""),"")</f>
        <v/>
      </c>
      <c r="W452" s="10">
        <f>IF(AND(ISNUMBER(M452),ISNUMBER(R452)),IF(R452&gt;0,M452/R452,""),"")</f>
        <v/>
      </c>
      <c r="X452" s="10">
        <f>IF(AND(ISNUMBER(Q452),ISNUMBER(M452)),IF(M452&gt;0,Q452/M452,""),"")</f>
        <v/>
      </c>
      <c r="Y452" s="11">
        <f>IF(ISNUMBER(Z452),YEAR(Z452),"")</f>
        <v/>
      </c>
      <c r="Z452" s="12" t="n"/>
      <c r="AA452" s="12" t="n"/>
      <c r="AI452" s="12" t="n"/>
      <c r="AJ452" s="13">
        <f>IF(LEN(TRIM(AF452))=0,"",HYPERLINK("https://www.google.com/maps/@?api=1&amp;map_action=pano&amp;viewpoint="&amp;SUBSTITUTE(AF452," ",""),"Abrir Street View"))</f>
        <v/>
      </c>
    </row>
    <row r="453">
      <c r="H453" s="6" t="n"/>
      <c r="I453" s="6" t="n"/>
      <c r="M453" s="7" t="n"/>
      <c r="N453" s="7" t="n"/>
      <c r="O453" s="7" t="n"/>
      <c r="Q453" s="7" t="n"/>
      <c r="R453" s="7" t="n"/>
      <c r="S453" s="8">
        <f>IF(NOT(ISNUMBER(M453)),"",IF(G453="Terreno",IF(AND(ISNUMBER(I453),I453&gt;0),M453/I453,""),IF(AND(ISNUMBER(H453),H453&gt;0),M453/H453,"")))</f>
        <v/>
      </c>
      <c r="T453" s="9">
        <f>IF(AND(ISNUMBER(M453),ISNUMBER(O453)),IF(M453&lt;=O453,"Valor ≤ venal IPTU",""),"")</f>
        <v/>
      </c>
      <c r="U453" s="10">
        <f>IF(AND(ISNUMBER(M453),ISNUMBER(N453)),IF(N453&gt;0,M453/N453,""),"")</f>
        <v/>
      </c>
      <c r="V453" s="10">
        <f>IF(AND(ISNUMBER(M453),ISNUMBER(O453)),IF(O453&gt;0,M453/O453,""),"")</f>
        <v/>
      </c>
      <c r="W453" s="10">
        <f>IF(AND(ISNUMBER(M453),ISNUMBER(R453)),IF(R453&gt;0,M453/R453,""),"")</f>
        <v/>
      </c>
      <c r="X453" s="10">
        <f>IF(AND(ISNUMBER(Q453),ISNUMBER(M453)),IF(M453&gt;0,Q453/M453,""),"")</f>
        <v/>
      </c>
      <c r="Y453" s="11">
        <f>IF(ISNUMBER(Z453),YEAR(Z453),"")</f>
        <v/>
      </c>
      <c r="Z453" s="12" t="n"/>
      <c r="AA453" s="12" t="n"/>
      <c r="AI453" s="12" t="n"/>
      <c r="AJ453" s="13">
        <f>IF(LEN(TRIM(AF453))=0,"",HYPERLINK("https://www.google.com/maps/@?api=1&amp;map_action=pano&amp;viewpoint="&amp;SUBSTITUTE(AF453," ",""),"Abrir Street View"))</f>
        <v/>
      </c>
    </row>
    <row r="454">
      <c r="H454" s="6" t="n"/>
      <c r="I454" s="6" t="n"/>
      <c r="M454" s="7" t="n"/>
      <c r="N454" s="7" t="n"/>
      <c r="O454" s="7" t="n"/>
      <c r="Q454" s="7" t="n"/>
      <c r="R454" s="7" t="n"/>
      <c r="S454" s="8">
        <f>IF(NOT(ISNUMBER(M454)),"",IF(G454="Terreno",IF(AND(ISNUMBER(I454),I454&gt;0),M454/I454,""),IF(AND(ISNUMBER(H454),H454&gt;0),M454/H454,"")))</f>
        <v/>
      </c>
      <c r="T454" s="9">
        <f>IF(AND(ISNUMBER(M454),ISNUMBER(O454)),IF(M454&lt;=O454,"Valor ≤ venal IPTU",""),"")</f>
        <v/>
      </c>
      <c r="U454" s="10">
        <f>IF(AND(ISNUMBER(M454),ISNUMBER(N454)),IF(N454&gt;0,M454/N454,""),"")</f>
        <v/>
      </c>
      <c r="V454" s="10">
        <f>IF(AND(ISNUMBER(M454),ISNUMBER(O454)),IF(O454&gt;0,M454/O454,""),"")</f>
        <v/>
      </c>
      <c r="W454" s="10">
        <f>IF(AND(ISNUMBER(M454),ISNUMBER(R454)),IF(R454&gt;0,M454/R454,""),"")</f>
        <v/>
      </c>
      <c r="X454" s="10">
        <f>IF(AND(ISNUMBER(Q454),ISNUMBER(M454)),IF(M454&gt;0,Q454/M454,""),"")</f>
        <v/>
      </c>
      <c r="Y454" s="11">
        <f>IF(ISNUMBER(Z454),YEAR(Z454),"")</f>
        <v/>
      </c>
      <c r="Z454" s="12" t="n"/>
      <c r="AA454" s="12" t="n"/>
      <c r="AI454" s="12" t="n"/>
      <c r="AJ454" s="13">
        <f>IF(LEN(TRIM(AF454))=0,"",HYPERLINK("https://www.google.com/maps/@?api=1&amp;map_action=pano&amp;viewpoint="&amp;SUBSTITUTE(AF454," ",""),"Abrir Street View"))</f>
        <v/>
      </c>
    </row>
    <row r="455">
      <c r="H455" s="6" t="n"/>
      <c r="I455" s="6" t="n"/>
      <c r="M455" s="7" t="n"/>
      <c r="N455" s="7" t="n"/>
      <c r="O455" s="7" t="n"/>
      <c r="Q455" s="7" t="n"/>
      <c r="R455" s="7" t="n"/>
      <c r="S455" s="8">
        <f>IF(NOT(ISNUMBER(M455)),"",IF(G455="Terreno",IF(AND(ISNUMBER(I455),I455&gt;0),M455/I455,""),IF(AND(ISNUMBER(H455),H455&gt;0),M455/H455,"")))</f>
        <v/>
      </c>
      <c r="T455" s="9">
        <f>IF(AND(ISNUMBER(M455),ISNUMBER(O455)),IF(M455&lt;=O455,"Valor ≤ venal IPTU",""),"")</f>
        <v/>
      </c>
      <c r="U455" s="10">
        <f>IF(AND(ISNUMBER(M455),ISNUMBER(N455)),IF(N455&gt;0,M455/N455,""),"")</f>
        <v/>
      </c>
      <c r="V455" s="10">
        <f>IF(AND(ISNUMBER(M455),ISNUMBER(O455)),IF(O455&gt;0,M455/O455,""),"")</f>
        <v/>
      </c>
      <c r="W455" s="10">
        <f>IF(AND(ISNUMBER(M455),ISNUMBER(R455)),IF(R455&gt;0,M455/R455,""),"")</f>
        <v/>
      </c>
      <c r="X455" s="10">
        <f>IF(AND(ISNUMBER(Q455),ISNUMBER(M455)),IF(M455&gt;0,Q455/M455,""),"")</f>
        <v/>
      </c>
      <c r="Y455" s="11">
        <f>IF(ISNUMBER(Z455),YEAR(Z455),"")</f>
        <v/>
      </c>
      <c r="Z455" s="12" t="n"/>
      <c r="AA455" s="12" t="n"/>
      <c r="AI455" s="12" t="n"/>
      <c r="AJ455" s="13">
        <f>IF(LEN(TRIM(AF455))=0,"",HYPERLINK("https://www.google.com/maps/@?api=1&amp;map_action=pano&amp;viewpoint="&amp;SUBSTITUTE(AF455," ",""),"Abrir Street View"))</f>
        <v/>
      </c>
    </row>
    <row r="456">
      <c r="H456" s="6" t="n"/>
      <c r="I456" s="6" t="n"/>
      <c r="M456" s="7" t="n"/>
      <c r="N456" s="7" t="n"/>
      <c r="O456" s="7" t="n"/>
      <c r="Q456" s="7" t="n"/>
      <c r="R456" s="7" t="n"/>
      <c r="S456" s="8">
        <f>IF(NOT(ISNUMBER(M456)),"",IF(G456="Terreno",IF(AND(ISNUMBER(I456),I456&gt;0),M456/I456,""),IF(AND(ISNUMBER(H456),H456&gt;0),M456/H456,"")))</f>
        <v/>
      </c>
      <c r="T456" s="9">
        <f>IF(AND(ISNUMBER(M456),ISNUMBER(O456)),IF(M456&lt;=O456,"Valor ≤ venal IPTU",""),"")</f>
        <v/>
      </c>
      <c r="U456" s="10">
        <f>IF(AND(ISNUMBER(M456),ISNUMBER(N456)),IF(N456&gt;0,M456/N456,""),"")</f>
        <v/>
      </c>
      <c r="V456" s="10">
        <f>IF(AND(ISNUMBER(M456),ISNUMBER(O456)),IF(O456&gt;0,M456/O456,""),"")</f>
        <v/>
      </c>
      <c r="W456" s="10">
        <f>IF(AND(ISNUMBER(M456),ISNUMBER(R456)),IF(R456&gt;0,M456/R456,""),"")</f>
        <v/>
      </c>
      <c r="X456" s="10">
        <f>IF(AND(ISNUMBER(Q456),ISNUMBER(M456)),IF(M456&gt;0,Q456/M456,""),"")</f>
        <v/>
      </c>
      <c r="Y456" s="11">
        <f>IF(ISNUMBER(Z456),YEAR(Z456),"")</f>
        <v/>
      </c>
      <c r="Z456" s="12" t="n"/>
      <c r="AA456" s="12" t="n"/>
      <c r="AI456" s="12" t="n"/>
      <c r="AJ456" s="13">
        <f>IF(LEN(TRIM(AF456))=0,"",HYPERLINK("https://www.google.com/maps/@?api=1&amp;map_action=pano&amp;viewpoint="&amp;SUBSTITUTE(AF456," ",""),"Abrir Street View"))</f>
        <v/>
      </c>
    </row>
    <row r="457">
      <c r="H457" s="6" t="n"/>
      <c r="I457" s="6" t="n"/>
      <c r="M457" s="7" t="n"/>
      <c r="N457" s="7" t="n"/>
      <c r="O457" s="7" t="n"/>
      <c r="Q457" s="7" t="n"/>
      <c r="R457" s="7" t="n"/>
      <c r="S457" s="8">
        <f>IF(NOT(ISNUMBER(M457)),"",IF(G457="Terreno",IF(AND(ISNUMBER(I457),I457&gt;0),M457/I457,""),IF(AND(ISNUMBER(H457),H457&gt;0),M457/H457,"")))</f>
        <v/>
      </c>
      <c r="T457" s="9">
        <f>IF(AND(ISNUMBER(M457),ISNUMBER(O457)),IF(M457&lt;=O457,"Valor ≤ venal IPTU",""),"")</f>
        <v/>
      </c>
      <c r="U457" s="10">
        <f>IF(AND(ISNUMBER(M457),ISNUMBER(N457)),IF(N457&gt;0,M457/N457,""),"")</f>
        <v/>
      </c>
      <c r="V457" s="10">
        <f>IF(AND(ISNUMBER(M457),ISNUMBER(O457)),IF(O457&gt;0,M457/O457,""),"")</f>
        <v/>
      </c>
      <c r="W457" s="10">
        <f>IF(AND(ISNUMBER(M457),ISNUMBER(R457)),IF(R457&gt;0,M457/R457,""),"")</f>
        <v/>
      </c>
      <c r="X457" s="10">
        <f>IF(AND(ISNUMBER(Q457),ISNUMBER(M457)),IF(M457&gt;0,Q457/M457,""),"")</f>
        <v/>
      </c>
      <c r="Y457" s="11">
        <f>IF(ISNUMBER(Z457),YEAR(Z457),"")</f>
        <v/>
      </c>
      <c r="Z457" s="12" t="n"/>
      <c r="AA457" s="12" t="n"/>
      <c r="AI457" s="12" t="n"/>
      <c r="AJ457" s="13">
        <f>IF(LEN(TRIM(AF457))=0,"",HYPERLINK("https://www.google.com/maps/@?api=1&amp;map_action=pano&amp;viewpoint="&amp;SUBSTITUTE(AF457," ",""),"Abrir Street View"))</f>
        <v/>
      </c>
    </row>
    <row r="458">
      <c r="H458" s="6" t="n"/>
      <c r="I458" s="6" t="n"/>
      <c r="M458" s="7" t="n"/>
      <c r="N458" s="7" t="n"/>
      <c r="O458" s="7" t="n"/>
      <c r="Q458" s="7" t="n"/>
      <c r="R458" s="7" t="n"/>
      <c r="S458" s="8">
        <f>IF(NOT(ISNUMBER(M458)),"",IF(G458="Terreno",IF(AND(ISNUMBER(I458),I458&gt;0),M458/I458,""),IF(AND(ISNUMBER(H458),H458&gt;0),M458/H458,"")))</f>
        <v/>
      </c>
      <c r="T458" s="9">
        <f>IF(AND(ISNUMBER(M458),ISNUMBER(O458)),IF(M458&lt;=O458,"Valor ≤ venal IPTU",""),"")</f>
        <v/>
      </c>
      <c r="U458" s="10">
        <f>IF(AND(ISNUMBER(M458),ISNUMBER(N458)),IF(N458&gt;0,M458/N458,""),"")</f>
        <v/>
      </c>
      <c r="V458" s="10">
        <f>IF(AND(ISNUMBER(M458),ISNUMBER(O458)),IF(O458&gt;0,M458/O458,""),"")</f>
        <v/>
      </c>
      <c r="W458" s="10">
        <f>IF(AND(ISNUMBER(M458),ISNUMBER(R458)),IF(R458&gt;0,M458/R458,""),"")</f>
        <v/>
      </c>
      <c r="X458" s="10">
        <f>IF(AND(ISNUMBER(Q458),ISNUMBER(M458)),IF(M458&gt;0,Q458/M458,""),"")</f>
        <v/>
      </c>
      <c r="Y458" s="11">
        <f>IF(ISNUMBER(Z458),YEAR(Z458),"")</f>
        <v/>
      </c>
      <c r="Z458" s="12" t="n"/>
      <c r="AA458" s="12" t="n"/>
      <c r="AI458" s="12" t="n"/>
      <c r="AJ458" s="13">
        <f>IF(LEN(TRIM(AF458))=0,"",HYPERLINK("https://www.google.com/maps/@?api=1&amp;map_action=pano&amp;viewpoint="&amp;SUBSTITUTE(AF458," ",""),"Abrir Street View"))</f>
        <v/>
      </c>
    </row>
    <row r="459">
      <c r="H459" s="6" t="n"/>
      <c r="I459" s="6" t="n"/>
      <c r="M459" s="7" t="n"/>
      <c r="N459" s="7" t="n"/>
      <c r="O459" s="7" t="n"/>
      <c r="Q459" s="7" t="n"/>
      <c r="R459" s="7" t="n"/>
      <c r="S459" s="8">
        <f>IF(NOT(ISNUMBER(M459)),"",IF(G459="Terreno",IF(AND(ISNUMBER(I459),I459&gt;0),M459/I459,""),IF(AND(ISNUMBER(H459),H459&gt;0),M459/H459,"")))</f>
        <v/>
      </c>
      <c r="T459" s="9">
        <f>IF(AND(ISNUMBER(M459),ISNUMBER(O459)),IF(M459&lt;=O459,"Valor ≤ venal IPTU",""),"")</f>
        <v/>
      </c>
      <c r="U459" s="10">
        <f>IF(AND(ISNUMBER(M459),ISNUMBER(N459)),IF(N459&gt;0,M459/N459,""),"")</f>
        <v/>
      </c>
      <c r="V459" s="10">
        <f>IF(AND(ISNUMBER(M459),ISNUMBER(O459)),IF(O459&gt;0,M459/O459,""),"")</f>
        <v/>
      </c>
      <c r="W459" s="10">
        <f>IF(AND(ISNUMBER(M459),ISNUMBER(R459)),IF(R459&gt;0,M459/R459,""),"")</f>
        <v/>
      </c>
      <c r="X459" s="10">
        <f>IF(AND(ISNUMBER(Q459),ISNUMBER(M459)),IF(M459&gt;0,Q459/M459,""),"")</f>
        <v/>
      </c>
      <c r="Y459" s="11">
        <f>IF(ISNUMBER(Z459),YEAR(Z459),"")</f>
        <v/>
      </c>
      <c r="Z459" s="12" t="n"/>
      <c r="AA459" s="12" t="n"/>
      <c r="AI459" s="12" t="n"/>
      <c r="AJ459" s="13">
        <f>IF(LEN(TRIM(AF459))=0,"",HYPERLINK("https://www.google.com/maps/@?api=1&amp;map_action=pano&amp;viewpoint="&amp;SUBSTITUTE(AF459," ",""),"Abrir Street View"))</f>
        <v/>
      </c>
    </row>
    <row r="460">
      <c r="H460" s="6" t="n"/>
      <c r="I460" s="6" t="n"/>
      <c r="M460" s="7" t="n"/>
      <c r="N460" s="7" t="n"/>
      <c r="O460" s="7" t="n"/>
      <c r="Q460" s="7" t="n"/>
      <c r="R460" s="7" t="n"/>
      <c r="S460" s="8">
        <f>IF(NOT(ISNUMBER(M460)),"",IF(G460="Terreno",IF(AND(ISNUMBER(I460),I460&gt;0),M460/I460,""),IF(AND(ISNUMBER(H460),H460&gt;0),M460/H460,"")))</f>
        <v/>
      </c>
      <c r="T460" s="9">
        <f>IF(AND(ISNUMBER(M460),ISNUMBER(O460)),IF(M460&lt;=O460,"Valor ≤ venal IPTU",""),"")</f>
        <v/>
      </c>
      <c r="U460" s="10">
        <f>IF(AND(ISNUMBER(M460),ISNUMBER(N460)),IF(N460&gt;0,M460/N460,""),"")</f>
        <v/>
      </c>
      <c r="V460" s="10">
        <f>IF(AND(ISNUMBER(M460),ISNUMBER(O460)),IF(O460&gt;0,M460/O460,""),"")</f>
        <v/>
      </c>
      <c r="W460" s="10">
        <f>IF(AND(ISNUMBER(M460),ISNUMBER(R460)),IF(R460&gt;0,M460/R460,""),"")</f>
        <v/>
      </c>
      <c r="X460" s="10">
        <f>IF(AND(ISNUMBER(Q460),ISNUMBER(M460)),IF(M460&gt;0,Q460/M460,""),"")</f>
        <v/>
      </c>
      <c r="Y460" s="11">
        <f>IF(ISNUMBER(Z460),YEAR(Z460),"")</f>
        <v/>
      </c>
      <c r="Z460" s="12" t="n"/>
      <c r="AA460" s="12" t="n"/>
      <c r="AI460" s="12" t="n"/>
      <c r="AJ460" s="13">
        <f>IF(LEN(TRIM(AF460))=0,"",HYPERLINK("https://www.google.com/maps/@?api=1&amp;map_action=pano&amp;viewpoint="&amp;SUBSTITUTE(AF460," ",""),"Abrir Street View"))</f>
        <v/>
      </c>
    </row>
    <row r="461">
      <c r="H461" s="6" t="n"/>
      <c r="I461" s="6" t="n"/>
      <c r="M461" s="7" t="n"/>
      <c r="N461" s="7" t="n"/>
      <c r="O461" s="7" t="n"/>
      <c r="Q461" s="7" t="n"/>
      <c r="R461" s="7" t="n"/>
      <c r="S461" s="8">
        <f>IF(NOT(ISNUMBER(M461)),"",IF(G461="Terreno",IF(AND(ISNUMBER(I461),I461&gt;0),M461/I461,""),IF(AND(ISNUMBER(H461),H461&gt;0),M461/H461,"")))</f>
        <v/>
      </c>
      <c r="T461" s="9">
        <f>IF(AND(ISNUMBER(M461),ISNUMBER(O461)),IF(M461&lt;=O461,"Valor ≤ venal IPTU",""),"")</f>
        <v/>
      </c>
      <c r="U461" s="10">
        <f>IF(AND(ISNUMBER(M461),ISNUMBER(N461)),IF(N461&gt;0,M461/N461,""),"")</f>
        <v/>
      </c>
      <c r="V461" s="10">
        <f>IF(AND(ISNUMBER(M461),ISNUMBER(O461)),IF(O461&gt;0,M461/O461,""),"")</f>
        <v/>
      </c>
      <c r="W461" s="10">
        <f>IF(AND(ISNUMBER(M461),ISNUMBER(R461)),IF(R461&gt;0,M461/R461,""),"")</f>
        <v/>
      </c>
      <c r="X461" s="10">
        <f>IF(AND(ISNUMBER(Q461),ISNUMBER(M461)),IF(M461&gt;0,Q461/M461,""),"")</f>
        <v/>
      </c>
      <c r="Y461" s="11">
        <f>IF(ISNUMBER(Z461),YEAR(Z461),"")</f>
        <v/>
      </c>
      <c r="Z461" s="12" t="n"/>
      <c r="AA461" s="12" t="n"/>
      <c r="AI461" s="12" t="n"/>
      <c r="AJ461" s="13">
        <f>IF(LEN(TRIM(AF461))=0,"",HYPERLINK("https://www.google.com/maps/@?api=1&amp;map_action=pano&amp;viewpoint="&amp;SUBSTITUTE(AF461," ",""),"Abrir Street View"))</f>
        <v/>
      </c>
    </row>
    <row r="462">
      <c r="H462" s="6" t="n"/>
      <c r="I462" s="6" t="n"/>
      <c r="M462" s="7" t="n"/>
      <c r="N462" s="7" t="n"/>
      <c r="O462" s="7" t="n"/>
      <c r="Q462" s="7" t="n"/>
      <c r="R462" s="7" t="n"/>
      <c r="S462" s="8">
        <f>IF(NOT(ISNUMBER(M462)),"",IF(G462="Terreno",IF(AND(ISNUMBER(I462),I462&gt;0),M462/I462,""),IF(AND(ISNUMBER(H462),H462&gt;0),M462/H462,"")))</f>
        <v/>
      </c>
      <c r="T462" s="9">
        <f>IF(AND(ISNUMBER(M462),ISNUMBER(O462)),IF(M462&lt;=O462,"Valor ≤ venal IPTU",""),"")</f>
        <v/>
      </c>
      <c r="U462" s="10">
        <f>IF(AND(ISNUMBER(M462),ISNUMBER(N462)),IF(N462&gt;0,M462/N462,""),"")</f>
        <v/>
      </c>
      <c r="V462" s="10">
        <f>IF(AND(ISNUMBER(M462),ISNUMBER(O462)),IF(O462&gt;0,M462/O462,""),"")</f>
        <v/>
      </c>
      <c r="W462" s="10">
        <f>IF(AND(ISNUMBER(M462),ISNUMBER(R462)),IF(R462&gt;0,M462/R462,""),"")</f>
        <v/>
      </c>
      <c r="X462" s="10">
        <f>IF(AND(ISNUMBER(Q462),ISNUMBER(M462)),IF(M462&gt;0,Q462/M462,""),"")</f>
        <v/>
      </c>
      <c r="Y462" s="11">
        <f>IF(ISNUMBER(Z462),YEAR(Z462),"")</f>
        <v/>
      </c>
      <c r="Z462" s="12" t="n"/>
      <c r="AA462" s="12" t="n"/>
      <c r="AI462" s="12" t="n"/>
      <c r="AJ462" s="13">
        <f>IF(LEN(TRIM(AF462))=0,"",HYPERLINK("https://www.google.com/maps/@?api=1&amp;map_action=pano&amp;viewpoint="&amp;SUBSTITUTE(AF462," ",""),"Abrir Street View"))</f>
        <v/>
      </c>
    </row>
    <row r="463">
      <c r="H463" s="6" t="n"/>
      <c r="I463" s="6" t="n"/>
      <c r="M463" s="7" t="n"/>
      <c r="N463" s="7" t="n"/>
      <c r="O463" s="7" t="n"/>
      <c r="Q463" s="7" t="n"/>
      <c r="R463" s="7" t="n"/>
      <c r="S463" s="8">
        <f>IF(NOT(ISNUMBER(M463)),"",IF(G463="Terreno",IF(AND(ISNUMBER(I463),I463&gt;0),M463/I463,""),IF(AND(ISNUMBER(H463),H463&gt;0),M463/H463,"")))</f>
        <v/>
      </c>
      <c r="T463" s="9">
        <f>IF(AND(ISNUMBER(M463),ISNUMBER(O463)),IF(M463&lt;=O463,"Valor ≤ venal IPTU",""),"")</f>
        <v/>
      </c>
      <c r="U463" s="10">
        <f>IF(AND(ISNUMBER(M463),ISNUMBER(N463)),IF(N463&gt;0,M463/N463,""),"")</f>
        <v/>
      </c>
      <c r="V463" s="10">
        <f>IF(AND(ISNUMBER(M463),ISNUMBER(O463)),IF(O463&gt;0,M463/O463,""),"")</f>
        <v/>
      </c>
      <c r="W463" s="10">
        <f>IF(AND(ISNUMBER(M463),ISNUMBER(R463)),IF(R463&gt;0,M463/R463,""),"")</f>
        <v/>
      </c>
      <c r="X463" s="10">
        <f>IF(AND(ISNUMBER(Q463),ISNUMBER(M463)),IF(M463&gt;0,Q463/M463,""),"")</f>
        <v/>
      </c>
      <c r="Y463" s="11">
        <f>IF(ISNUMBER(Z463),YEAR(Z463),"")</f>
        <v/>
      </c>
      <c r="Z463" s="12" t="n"/>
      <c r="AA463" s="12" t="n"/>
      <c r="AI463" s="12" t="n"/>
      <c r="AJ463" s="13">
        <f>IF(LEN(TRIM(AF463))=0,"",HYPERLINK("https://www.google.com/maps/@?api=1&amp;map_action=pano&amp;viewpoint="&amp;SUBSTITUTE(AF463," ",""),"Abrir Street View"))</f>
        <v/>
      </c>
    </row>
    <row r="464">
      <c r="H464" s="6" t="n"/>
      <c r="I464" s="6" t="n"/>
      <c r="M464" s="7" t="n"/>
      <c r="N464" s="7" t="n"/>
      <c r="O464" s="7" t="n"/>
      <c r="Q464" s="7" t="n"/>
      <c r="R464" s="7" t="n"/>
      <c r="S464" s="8">
        <f>IF(NOT(ISNUMBER(M464)),"",IF(G464="Terreno",IF(AND(ISNUMBER(I464),I464&gt;0),M464/I464,""),IF(AND(ISNUMBER(H464),H464&gt;0),M464/H464,"")))</f>
        <v/>
      </c>
      <c r="T464" s="9">
        <f>IF(AND(ISNUMBER(M464),ISNUMBER(O464)),IF(M464&lt;=O464,"Valor ≤ venal IPTU",""),"")</f>
        <v/>
      </c>
      <c r="U464" s="10">
        <f>IF(AND(ISNUMBER(M464),ISNUMBER(N464)),IF(N464&gt;0,M464/N464,""),"")</f>
        <v/>
      </c>
      <c r="V464" s="10">
        <f>IF(AND(ISNUMBER(M464),ISNUMBER(O464)),IF(O464&gt;0,M464/O464,""),"")</f>
        <v/>
      </c>
      <c r="W464" s="10">
        <f>IF(AND(ISNUMBER(M464),ISNUMBER(R464)),IF(R464&gt;0,M464/R464,""),"")</f>
        <v/>
      </c>
      <c r="X464" s="10">
        <f>IF(AND(ISNUMBER(Q464),ISNUMBER(M464)),IF(M464&gt;0,Q464/M464,""),"")</f>
        <v/>
      </c>
      <c r="Y464" s="11">
        <f>IF(ISNUMBER(Z464),YEAR(Z464),"")</f>
        <v/>
      </c>
      <c r="Z464" s="12" t="n"/>
      <c r="AA464" s="12" t="n"/>
      <c r="AI464" s="12" t="n"/>
      <c r="AJ464" s="13">
        <f>IF(LEN(TRIM(AF464))=0,"",HYPERLINK("https://www.google.com/maps/@?api=1&amp;map_action=pano&amp;viewpoint="&amp;SUBSTITUTE(AF464," ",""),"Abrir Street View"))</f>
        <v/>
      </c>
    </row>
    <row r="465">
      <c r="H465" s="6" t="n"/>
      <c r="I465" s="6" t="n"/>
      <c r="M465" s="7" t="n"/>
      <c r="N465" s="7" t="n"/>
      <c r="O465" s="7" t="n"/>
      <c r="Q465" s="7" t="n"/>
      <c r="R465" s="7" t="n"/>
      <c r="S465" s="8">
        <f>IF(NOT(ISNUMBER(M465)),"",IF(G465="Terreno",IF(AND(ISNUMBER(I465),I465&gt;0),M465/I465,""),IF(AND(ISNUMBER(H465),H465&gt;0),M465/H465,"")))</f>
        <v/>
      </c>
      <c r="T465" s="9">
        <f>IF(AND(ISNUMBER(M465),ISNUMBER(O465)),IF(M465&lt;=O465,"Valor ≤ venal IPTU",""),"")</f>
        <v/>
      </c>
      <c r="U465" s="10">
        <f>IF(AND(ISNUMBER(M465),ISNUMBER(N465)),IF(N465&gt;0,M465/N465,""),"")</f>
        <v/>
      </c>
      <c r="V465" s="10">
        <f>IF(AND(ISNUMBER(M465),ISNUMBER(O465)),IF(O465&gt;0,M465/O465,""),"")</f>
        <v/>
      </c>
      <c r="W465" s="10">
        <f>IF(AND(ISNUMBER(M465),ISNUMBER(R465)),IF(R465&gt;0,M465/R465,""),"")</f>
        <v/>
      </c>
      <c r="X465" s="10">
        <f>IF(AND(ISNUMBER(Q465),ISNUMBER(M465)),IF(M465&gt;0,Q465/M465,""),"")</f>
        <v/>
      </c>
      <c r="Y465" s="11">
        <f>IF(ISNUMBER(Z465),YEAR(Z465),"")</f>
        <v/>
      </c>
      <c r="Z465" s="12" t="n"/>
      <c r="AA465" s="12" t="n"/>
      <c r="AI465" s="12" t="n"/>
      <c r="AJ465" s="13">
        <f>IF(LEN(TRIM(AF465))=0,"",HYPERLINK("https://www.google.com/maps/@?api=1&amp;map_action=pano&amp;viewpoint="&amp;SUBSTITUTE(AF465," ",""),"Abrir Street View"))</f>
        <v/>
      </c>
    </row>
    <row r="466">
      <c r="H466" s="6" t="n"/>
      <c r="I466" s="6" t="n"/>
      <c r="M466" s="7" t="n"/>
      <c r="N466" s="7" t="n"/>
      <c r="O466" s="7" t="n"/>
      <c r="Q466" s="7" t="n"/>
      <c r="R466" s="7" t="n"/>
      <c r="S466" s="8">
        <f>IF(NOT(ISNUMBER(M466)),"",IF(G466="Terreno",IF(AND(ISNUMBER(I466),I466&gt;0),M466/I466,""),IF(AND(ISNUMBER(H466),H466&gt;0),M466/H466,"")))</f>
        <v/>
      </c>
      <c r="T466" s="9">
        <f>IF(AND(ISNUMBER(M466),ISNUMBER(O466)),IF(M466&lt;=O466,"Valor ≤ venal IPTU",""),"")</f>
        <v/>
      </c>
      <c r="U466" s="10">
        <f>IF(AND(ISNUMBER(M466),ISNUMBER(N466)),IF(N466&gt;0,M466/N466,""),"")</f>
        <v/>
      </c>
      <c r="V466" s="10">
        <f>IF(AND(ISNUMBER(M466),ISNUMBER(O466)),IF(O466&gt;0,M466/O466,""),"")</f>
        <v/>
      </c>
      <c r="W466" s="10">
        <f>IF(AND(ISNUMBER(M466),ISNUMBER(R466)),IF(R466&gt;0,M466/R466,""),"")</f>
        <v/>
      </c>
      <c r="X466" s="10">
        <f>IF(AND(ISNUMBER(Q466),ISNUMBER(M466)),IF(M466&gt;0,Q466/M466,""),"")</f>
        <v/>
      </c>
      <c r="Y466" s="11">
        <f>IF(ISNUMBER(Z466),YEAR(Z466),"")</f>
        <v/>
      </c>
      <c r="Z466" s="12" t="n"/>
      <c r="AA466" s="12" t="n"/>
      <c r="AI466" s="12" t="n"/>
      <c r="AJ466" s="13">
        <f>IF(LEN(TRIM(AF466))=0,"",HYPERLINK("https://www.google.com/maps/@?api=1&amp;map_action=pano&amp;viewpoint="&amp;SUBSTITUTE(AF466," ",""),"Abrir Street View"))</f>
        <v/>
      </c>
    </row>
    <row r="467">
      <c r="H467" s="6" t="n"/>
      <c r="I467" s="6" t="n"/>
      <c r="M467" s="7" t="n"/>
      <c r="N467" s="7" t="n"/>
      <c r="O467" s="7" t="n"/>
      <c r="Q467" s="7" t="n"/>
      <c r="R467" s="7" t="n"/>
      <c r="S467" s="8">
        <f>IF(NOT(ISNUMBER(M467)),"",IF(G467="Terreno",IF(AND(ISNUMBER(I467),I467&gt;0),M467/I467,""),IF(AND(ISNUMBER(H467),H467&gt;0),M467/H467,"")))</f>
        <v/>
      </c>
      <c r="T467" s="9">
        <f>IF(AND(ISNUMBER(M467),ISNUMBER(O467)),IF(M467&lt;=O467,"Valor ≤ venal IPTU",""),"")</f>
        <v/>
      </c>
      <c r="U467" s="10">
        <f>IF(AND(ISNUMBER(M467),ISNUMBER(N467)),IF(N467&gt;0,M467/N467,""),"")</f>
        <v/>
      </c>
      <c r="V467" s="10">
        <f>IF(AND(ISNUMBER(M467),ISNUMBER(O467)),IF(O467&gt;0,M467/O467,""),"")</f>
        <v/>
      </c>
      <c r="W467" s="10">
        <f>IF(AND(ISNUMBER(M467),ISNUMBER(R467)),IF(R467&gt;0,M467/R467,""),"")</f>
        <v/>
      </c>
      <c r="X467" s="10">
        <f>IF(AND(ISNUMBER(Q467),ISNUMBER(M467)),IF(M467&gt;0,Q467/M467,""),"")</f>
        <v/>
      </c>
      <c r="Y467" s="11">
        <f>IF(ISNUMBER(Z467),YEAR(Z467),"")</f>
        <v/>
      </c>
      <c r="Z467" s="12" t="n"/>
      <c r="AA467" s="12" t="n"/>
      <c r="AI467" s="12" t="n"/>
      <c r="AJ467" s="13">
        <f>IF(LEN(TRIM(AF467))=0,"",HYPERLINK("https://www.google.com/maps/@?api=1&amp;map_action=pano&amp;viewpoint="&amp;SUBSTITUTE(AF467," ",""),"Abrir Street View"))</f>
        <v/>
      </c>
    </row>
    <row r="468">
      <c r="H468" s="6" t="n"/>
      <c r="I468" s="6" t="n"/>
      <c r="M468" s="7" t="n"/>
      <c r="N468" s="7" t="n"/>
      <c r="O468" s="7" t="n"/>
      <c r="Q468" s="7" t="n"/>
      <c r="R468" s="7" t="n"/>
      <c r="S468" s="8">
        <f>IF(NOT(ISNUMBER(M468)),"",IF(G468="Terreno",IF(AND(ISNUMBER(I468),I468&gt;0),M468/I468,""),IF(AND(ISNUMBER(H468),H468&gt;0),M468/H468,"")))</f>
        <v/>
      </c>
      <c r="T468" s="9">
        <f>IF(AND(ISNUMBER(M468),ISNUMBER(O468)),IF(M468&lt;=O468,"Valor ≤ venal IPTU",""),"")</f>
        <v/>
      </c>
      <c r="U468" s="10">
        <f>IF(AND(ISNUMBER(M468),ISNUMBER(N468)),IF(N468&gt;0,M468/N468,""),"")</f>
        <v/>
      </c>
      <c r="V468" s="10">
        <f>IF(AND(ISNUMBER(M468),ISNUMBER(O468)),IF(O468&gt;0,M468/O468,""),"")</f>
        <v/>
      </c>
      <c r="W468" s="10">
        <f>IF(AND(ISNUMBER(M468),ISNUMBER(R468)),IF(R468&gt;0,M468/R468,""),"")</f>
        <v/>
      </c>
      <c r="X468" s="10">
        <f>IF(AND(ISNUMBER(Q468),ISNUMBER(M468)),IF(M468&gt;0,Q468/M468,""),"")</f>
        <v/>
      </c>
      <c r="Y468" s="11">
        <f>IF(ISNUMBER(Z468),YEAR(Z468),"")</f>
        <v/>
      </c>
      <c r="Z468" s="12" t="n"/>
      <c r="AA468" s="12" t="n"/>
      <c r="AI468" s="12" t="n"/>
      <c r="AJ468" s="13">
        <f>IF(LEN(TRIM(AF468))=0,"",HYPERLINK("https://www.google.com/maps/@?api=1&amp;map_action=pano&amp;viewpoint="&amp;SUBSTITUTE(AF468," ",""),"Abrir Street View"))</f>
        <v/>
      </c>
    </row>
    <row r="469">
      <c r="H469" s="6" t="n"/>
      <c r="I469" s="6" t="n"/>
      <c r="M469" s="7" t="n"/>
      <c r="N469" s="7" t="n"/>
      <c r="O469" s="7" t="n"/>
      <c r="Q469" s="7" t="n"/>
      <c r="R469" s="7" t="n"/>
      <c r="S469" s="8">
        <f>IF(NOT(ISNUMBER(M469)),"",IF(G469="Terreno",IF(AND(ISNUMBER(I469),I469&gt;0),M469/I469,""),IF(AND(ISNUMBER(H469),H469&gt;0),M469/H469,"")))</f>
        <v/>
      </c>
      <c r="T469" s="9">
        <f>IF(AND(ISNUMBER(M469),ISNUMBER(O469)),IF(M469&lt;=O469,"Valor ≤ venal IPTU",""),"")</f>
        <v/>
      </c>
      <c r="U469" s="10">
        <f>IF(AND(ISNUMBER(M469),ISNUMBER(N469)),IF(N469&gt;0,M469/N469,""),"")</f>
        <v/>
      </c>
      <c r="V469" s="10">
        <f>IF(AND(ISNUMBER(M469),ISNUMBER(O469)),IF(O469&gt;0,M469/O469,""),"")</f>
        <v/>
      </c>
      <c r="W469" s="10">
        <f>IF(AND(ISNUMBER(M469),ISNUMBER(R469)),IF(R469&gt;0,M469/R469,""),"")</f>
        <v/>
      </c>
      <c r="X469" s="10">
        <f>IF(AND(ISNUMBER(Q469),ISNUMBER(M469)),IF(M469&gt;0,Q469/M469,""),"")</f>
        <v/>
      </c>
      <c r="Y469" s="11">
        <f>IF(ISNUMBER(Z469),YEAR(Z469),"")</f>
        <v/>
      </c>
      <c r="Z469" s="12" t="n"/>
      <c r="AA469" s="12" t="n"/>
      <c r="AI469" s="12" t="n"/>
      <c r="AJ469" s="13">
        <f>IF(LEN(TRIM(AF469))=0,"",HYPERLINK("https://www.google.com/maps/@?api=1&amp;map_action=pano&amp;viewpoint="&amp;SUBSTITUTE(AF469," ",""),"Abrir Street View"))</f>
        <v/>
      </c>
    </row>
    <row r="470">
      <c r="H470" s="6" t="n"/>
      <c r="I470" s="6" t="n"/>
      <c r="M470" s="7" t="n"/>
      <c r="N470" s="7" t="n"/>
      <c r="O470" s="7" t="n"/>
      <c r="Q470" s="7" t="n"/>
      <c r="R470" s="7" t="n"/>
      <c r="S470" s="8">
        <f>IF(NOT(ISNUMBER(M470)),"",IF(G470="Terreno",IF(AND(ISNUMBER(I470),I470&gt;0),M470/I470,""),IF(AND(ISNUMBER(H470),H470&gt;0),M470/H470,"")))</f>
        <v/>
      </c>
      <c r="T470" s="9">
        <f>IF(AND(ISNUMBER(M470),ISNUMBER(O470)),IF(M470&lt;=O470,"Valor ≤ venal IPTU",""),"")</f>
        <v/>
      </c>
      <c r="U470" s="10">
        <f>IF(AND(ISNUMBER(M470),ISNUMBER(N470)),IF(N470&gt;0,M470/N470,""),"")</f>
        <v/>
      </c>
      <c r="V470" s="10">
        <f>IF(AND(ISNUMBER(M470),ISNUMBER(O470)),IF(O470&gt;0,M470/O470,""),"")</f>
        <v/>
      </c>
      <c r="W470" s="10">
        <f>IF(AND(ISNUMBER(M470),ISNUMBER(R470)),IF(R470&gt;0,M470/R470,""),"")</f>
        <v/>
      </c>
      <c r="X470" s="10">
        <f>IF(AND(ISNUMBER(Q470),ISNUMBER(M470)),IF(M470&gt;0,Q470/M470,""),"")</f>
        <v/>
      </c>
      <c r="Y470" s="11">
        <f>IF(ISNUMBER(Z470),YEAR(Z470),"")</f>
        <v/>
      </c>
      <c r="Z470" s="12" t="n"/>
      <c r="AA470" s="12" t="n"/>
      <c r="AI470" s="12" t="n"/>
      <c r="AJ470" s="13">
        <f>IF(LEN(TRIM(AF470))=0,"",HYPERLINK("https://www.google.com/maps/@?api=1&amp;map_action=pano&amp;viewpoint="&amp;SUBSTITUTE(AF470," ",""),"Abrir Street View"))</f>
        <v/>
      </c>
    </row>
    <row r="471">
      <c r="H471" s="6" t="n"/>
      <c r="I471" s="6" t="n"/>
      <c r="M471" s="7" t="n"/>
      <c r="N471" s="7" t="n"/>
      <c r="O471" s="7" t="n"/>
      <c r="Q471" s="7" t="n"/>
      <c r="R471" s="7" t="n"/>
      <c r="S471" s="8">
        <f>IF(NOT(ISNUMBER(M471)),"",IF(G471="Terreno",IF(AND(ISNUMBER(I471),I471&gt;0),M471/I471,""),IF(AND(ISNUMBER(H471),H471&gt;0),M471/H471,"")))</f>
        <v/>
      </c>
      <c r="T471" s="9">
        <f>IF(AND(ISNUMBER(M471),ISNUMBER(O471)),IF(M471&lt;=O471,"Valor ≤ venal IPTU",""),"")</f>
        <v/>
      </c>
      <c r="U471" s="10">
        <f>IF(AND(ISNUMBER(M471),ISNUMBER(N471)),IF(N471&gt;0,M471/N471,""),"")</f>
        <v/>
      </c>
      <c r="V471" s="10">
        <f>IF(AND(ISNUMBER(M471),ISNUMBER(O471)),IF(O471&gt;0,M471/O471,""),"")</f>
        <v/>
      </c>
      <c r="W471" s="10">
        <f>IF(AND(ISNUMBER(M471),ISNUMBER(R471)),IF(R471&gt;0,M471/R471,""),"")</f>
        <v/>
      </c>
      <c r="X471" s="10">
        <f>IF(AND(ISNUMBER(Q471),ISNUMBER(M471)),IF(M471&gt;0,Q471/M471,""),"")</f>
        <v/>
      </c>
      <c r="Y471" s="11">
        <f>IF(ISNUMBER(Z471),YEAR(Z471),"")</f>
        <v/>
      </c>
      <c r="Z471" s="12" t="n"/>
      <c r="AA471" s="12" t="n"/>
      <c r="AI471" s="12" t="n"/>
      <c r="AJ471" s="13">
        <f>IF(LEN(TRIM(AF471))=0,"",HYPERLINK("https://www.google.com/maps/@?api=1&amp;map_action=pano&amp;viewpoint="&amp;SUBSTITUTE(AF471," ",""),"Abrir Street View"))</f>
        <v/>
      </c>
    </row>
    <row r="472">
      <c r="H472" s="6" t="n"/>
      <c r="I472" s="6" t="n"/>
      <c r="M472" s="7" t="n"/>
      <c r="N472" s="7" t="n"/>
      <c r="O472" s="7" t="n"/>
      <c r="Q472" s="7" t="n"/>
      <c r="R472" s="7" t="n"/>
      <c r="S472" s="8">
        <f>IF(NOT(ISNUMBER(M472)),"",IF(G472="Terreno",IF(AND(ISNUMBER(I472),I472&gt;0),M472/I472,""),IF(AND(ISNUMBER(H472),H472&gt;0),M472/H472,"")))</f>
        <v/>
      </c>
      <c r="T472" s="9">
        <f>IF(AND(ISNUMBER(M472),ISNUMBER(O472)),IF(M472&lt;=O472,"Valor ≤ venal IPTU",""),"")</f>
        <v/>
      </c>
      <c r="U472" s="10">
        <f>IF(AND(ISNUMBER(M472),ISNUMBER(N472)),IF(N472&gt;0,M472/N472,""),"")</f>
        <v/>
      </c>
      <c r="V472" s="10">
        <f>IF(AND(ISNUMBER(M472),ISNUMBER(O472)),IF(O472&gt;0,M472/O472,""),"")</f>
        <v/>
      </c>
      <c r="W472" s="10">
        <f>IF(AND(ISNUMBER(M472),ISNUMBER(R472)),IF(R472&gt;0,M472/R472,""),"")</f>
        <v/>
      </c>
      <c r="X472" s="10">
        <f>IF(AND(ISNUMBER(Q472),ISNUMBER(M472)),IF(M472&gt;0,Q472/M472,""),"")</f>
        <v/>
      </c>
      <c r="Y472" s="11">
        <f>IF(ISNUMBER(Z472),YEAR(Z472),"")</f>
        <v/>
      </c>
      <c r="Z472" s="12" t="n"/>
      <c r="AA472" s="12" t="n"/>
      <c r="AI472" s="12" t="n"/>
      <c r="AJ472" s="13">
        <f>IF(LEN(TRIM(AF472))=0,"",HYPERLINK("https://www.google.com/maps/@?api=1&amp;map_action=pano&amp;viewpoint="&amp;SUBSTITUTE(AF472," ",""),"Abrir Street View"))</f>
        <v/>
      </c>
    </row>
    <row r="473">
      <c r="H473" s="6" t="n"/>
      <c r="I473" s="6" t="n"/>
      <c r="M473" s="7" t="n"/>
      <c r="N473" s="7" t="n"/>
      <c r="O473" s="7" t="n"/>
      <c r="Q473" s="7" t="n"/>
      <c r="R473" s="7" t="n"/>
      <c r="S473" s="8">
        <f>IF(NOT(ISNUMBER(M473)),"",IF(G473="Terreno",IF(AND(ISNUMBER(I473),I473&gt;0),M473/I473,""),IF(AND(ISNUMBER(H473),H473&gt;0),M473/H473,"")))</f>
        <v/>
      </c>
      <c r="T473" s="9">
        <f>IF(AND(ISNUMBER(M473),ISNUMBER(O473)),IF(M473&lt;=O473,"Valor ≤ venal IPTU",""),"")</f>
        <v/>
      </c>
      <c r="U473" s="10">
        <f>IF(AND(ISNUMBER(M473),ISNUMBER(N473)),IF(N473&gt;0,M473/N473,""),"")</f>
        <v/>
      </c>
      <c r="V473" s="10">
        <f>IF(AND(ISNUMBER(M473),ISNUMBER(O473)),IF(O473&gt;0,M473/O473,""),"")</f>
        <v/>
      </c>
      <c r="W473" s="10">
        <f>IF(AND(ISNUMBER(M473),ISNUMBER(R473)),IF(R473&gt;0,M473/R473,""),"")</f>
        <v/>
      </c>
      <c r="X473" s="10">
        <f>IF(AND(ISNUMBER(Q473),ISNUMBER(M473)),IF(M473&gt;0,Q473/M473,""),"")</f>
        <v/>
      </c>
      <c r="Y473" s="11">
        <f>IF(ISNUMBER(Z473),YEAR(Z473),"")</f>
        <v/>
      </c>
      <c r="Z473" s="12" t="n"/>
      <c r="AA473" s="12" t="n"/>
      <c r="AI473" s="12" t="n"/>
      <c r="AJ473" s="13">
        <f>IF(LEN(TRIM(AF473))=0,"",HYPERLINK("https://www.google.com/maps/@?api=1&amp;map_action=pano&amp;viewpoint="&amp;SUBSTITUTE(AF473," ",""),"Abrir Street View"))</f>
        <v/>
      </c>
    </row>
    <row r="474">
      <c r="H474" s="6" t="n"/>
      <c r="I474" s="6" t="n"/>
      <c r="M474" s="7" t="n"/>
      <c r="N474" s="7" t="n"/>
      <c r="O474" s="7" t="n"/>
      <c r="Q474" s="7" t="n"/>
      <c r="R474" s="7" t="n"/>
      <c r="S474" s="8">
        <f>IF(NOT(ISNUMBER(M474)),"",IF(G474="Terreno",IF(AND(ISNUMBER(I474),I474&gt;0),M474/I474,""),IF(AND(ISNUMBER(H474),H474&gt;0),M474/H474,"")))</f>
        <v/>
      </c>
      <c r="T474" s="9">
        <f>IF(AND(ISNUMBER(M474),ISNUMBER(O474)),IF(M474&lt;=O474,"Valor ≤ venal IPTU",""),"")</f>
        <v/>
      </c>
      <c r="U474" s="10">
        <f>IF(AND(ISNUMBER(M474),ISNUMBER(N474)),IF(N474&gt;0,M474/N474,""),"")</f>
        <v/>
      </c>
      <c r="V474" s="10">
        <f>IF(AND(ISNUMBER(M474),ISNUMBER(O474)),IF(O474&gt;0,M474/O474,""),"")</f>
        <v/>
      </c>
      <c r="W474" s="10">
        <f>IF(AND(ISNUMBER(M474),ISNUMBER(R474)),IF(R474&gt;0,M474/R474,""),"")</f>
        <v/>
      </c>
      <c r="X474" s="10">
        <f>IF(AND(ISNUMBER(Q474),ISNUMBER(M474)),IF(M474&gt;0,Q474/M474,""),"")</f>
        <v/>
      </c>
      <c r="Y474" s="11">
        <f>IF(ISNUMBER(Z474),YEAR(Z474),"")</f>
        <v/>
      </c>
      <c r="Z474" s="12" t="n"/>
      <c r="AA474" s="12" t="n"/>
      <c r="AI474" s="12" t="n"/>
      <c r="AJ474" s="13">
        <f>IF(LEN(TRIM(AF474))=0,"",HYPERLINK("https://www.google.com/maps/@?api=1&amp;map_action=pano&amp;viewpoint="&amp;SUBSTITUTE(AF474," ",""),"Abrir Street View"))</f>
        <v/>
      </c>
    </row>
    <row r="475">
      <c r="H475" s="6" t="n"/>
      <c r="I475" s="6" t="n"/>
      <c r="M475" s="7" t="n"/>
      <c r="N475" s="7" t="n"/>
      <c r="O475" s="7" t="n"/>
      <c r="Q475" s="7" t="n"/>
      <c r="R475" s="7" t="n"/>
      <c r="S475" s="8">
        <f>IF(NOT(ISNUMBER(M475)),"",IF(G475="Terreno",IF(AND(ISNUMBER(I475),I475&gt;0),M475/I475,""),IF(AND(ISNUMBER(H475),H475&gt;0),M475/H475,"")))</f>
        <v/>
      </c>
      <c r="T475" s="9">
        <f>IF(AND(ISNUMBER(M475),ISNUMBER(O475)),IF(M475&lt;=O475,"Valor ≤ venal IPTU",""),"")</f>
        <v/>
      </c>
      <c r="U475" s="10">
        <f>IF(AND(ISNUMBER(M475),ISNUMBER(N475)),IF(N475&gt;0,M475/N475,""),"")</f>
        <v/>
      </c>
      <c r="V475" s="10">
        <f>IF(AND(ISNUMBER(M475),ISNUMBER(O475)),IF(O475&gt;0,M475/O475,""),"")</f>
        <v/>
      </c>
      <c r="W475" s="10">
        <f>IF(AND(ISNUMBER(M475),ISNUMBER(R475)),IF(R475&gt;0,M475/R475,""),"")</f>
        <v/>
      </c>
      <c r="X475" s="10">
        <f>IF(AND(ISNUMBER(Q475),ISNUMBER(M475)),IF(M475&gt;0,Q475/M475,""),"")</f>
        <v/>
      </c>
      <c r="Y475" s="11">
        <f>IF(ISNUMBER(Z475),YEAR(Z475),"")</f>
        <v/>
      </c>
      <c r="Z475" s="12" t="n"/>
      <c r="AA475" s="12" t="n"/>
      <c r="AI475" s="12" t="n"/>
      <c r="AJ475" s="13">
        <f>IF(LEN(TRIM(AF475))=0,"",HYPERLINK("https://www.google.com/maps/@?api=1&amp;map_action=pano&amp;viewpoint="&amp;SUBSTITUTE(AF475," ",""),"Abrir Street View"))</f>
        <v/>
      </c>
    </row>
    <row r="476">
      <c r="H476" s="6" t="n"/>
      <c r="I476" s="6" t="n"/>
      <c r="M476" s="7" t="n"/>
      <c r="N476" s="7" t="n"/>
      <c r="O476" s="7" t="n"/>
      <c r="Q476" s="7" t="n"/>
      <c r="R476" s="7" t="n"/>
      <c r="S476" s="8">
        <f>IF(NOT(ISNUMBER(M476)),"",IF(G476="Terreno",IF(AND(ISNUMBER(I476),I476&gt;0),M476/I476,""),IF(AND(ISNUMBER(H476),H476&gt;0),M476/H476,"")))</f>
        <v/>
      </c>
      <c r="T476" s="9">
        <f>IF(AND(ISNUMBER(M476),ISNUMBER(O476)),IF(M476&lt;=O476,"Valor ≤ venal IPTU",""),"")</f>
        <v/>
      </c>
      <c r="U476" s="10">
        <f>IF(AND(ISNUMBER(M476),ISNUMBER(N476)),IF(N476&gt;0,M476/N476,""),"")</f>
        <v/>
      </c>
      <c r="V476" s="10">
        <f>IF(AND(ISNUMBER(M476),ISNUMBER(O476)),IF(O476&gt;0,M476/O476,""),"")</f>
        <v/>
      </c>
      <c r="W476" s="10">
        <f>IF(AND(ISNUMBER(M476),ISNUMBER(R476)),IF(R476&gt;0,M476/R476,""),"")</f>
        <v/>
      </c>
      <c r="X476" s="10">
        <f>IF(AND(ISNUMBER(Q476),ISNUMBER(M476)),IF(M476&gt;0,Q476/M476,""),"")</f>
        <v/>
      </c>
      <c r="Y476" s="11">
        <f>IF(ISNUMBER(Z476),YEAR(Z476),"")</f>
        <v/>
      </c>
      <c r="Z476" s="12" t="n"/>
      <c r="AA476" s="12" t="n"/>
      <c r="AI476" s="12" t="n"/>
      <c r="AJ476" s="13">
        <f>IF(LEN(TRIM(AF476))=0,"",HYPERLINK("https://www.google.com/maps/@?api=1&amp;map_action=pano&amp;viewpoint="&amp;SUBSTITUTE(AF476," ",""),"Abrir Street View"))</f>
        <v/>
      </c>
    </row>
    <row r="477">
      <c r="H477" s="6" t="n"/>
      <c r="I477" s="6" t="n"/>
      <c r="M477" s="7" t="n"/>
      <c r="N477" s="7" t="n"/>
      <c r="O477" s="7" t="n"/>
      <c r="Q477" s="7" t="n"/>
      <c r="R477" s="7" t="n"/>
      <c r="S477" s="8">
        <f>IF(NOT(ISNUMBER(M477)),"",IF(G477="Terreno",IF(AND(ISNUMBER(I477),I477&gt;0),M477/I477,""),IF(AND(ISNUMBER(H477),H477&gt;0),M477/H477,"")))</f>
        <v/>
      </c>
      <c r="T477" s="9">
        <f>IF(AND(ISNUMBER(M477),ISNUMBER(O477)),IF(M477&lt;=O477,"Valor ≤ venal IPTU",""),"")</f>
        <v/>
      </c>
      <c r="U477" s="10">
        <f>IF(AND(ISNUMBER(M477),ISNUMBER(N477)),IF(N477&gt;0,M477/N477,""),"")</f>
        <v/>
      </c>
      <c r="V477" s="10">
        <f>IF(AND(ISNUMBER(M477),ISNUMBER(O477)),IF(O477&gt;0,M477/O477,""),"")</f>
        <v/>
      </c>
      <c r="W477" s="10">
        <f>IF(AND(ISNUMBER(M477),ISNUMBER(R477)),IF(R477&gt;0,M477/R477,""),"")</f>
        <v/>
      </c>
      <c r="X477" s="10">
        <f>IF(AND(ISNUMBER(Q477),ISNUMBER(M477)),IF(M477&gt;0,Q477/M477,""),"")</f>
        <v/>
      </c>
      <c r="Y477" s="11">
        <f>IF(ISNUMBER(Z477),YEAR(Z477),"")</f>
        <v/>
      </c>
      <c r="Z477" s="12" t="n"/>
      <c r="AA477" s="12" t="n"/>
      <c r="AI477" s="12" t="n"/>
      <c r="AJ477" s="13">
        <f>IF(LEN(TRIM(AF477))=0,"",HYPERLINK("https://www.google.com/maps/@?api=1&amp;map_action=pano&amp;viewpoint="&amp;SUBSTITUTE(AF477," ",""),"Abrir Street View"))</f>
        <v/>
      </c>
    </row>
    <row r="478">
      <c r="H478" s="6" t="n"/>
      <c r="I478" s="6" t="n"/>
      <c r="M478" s="7" t="n"/>
      <c r="N478" s="7" t="n"/>
      <c r="O478" s="7" t="n"/>
      <c r="Q478" s="7" t="n"/>
      <c r="R478" s="7" t="n"/>
      <c r="S478" s="8">
        <f>IF(NOT(ISNUMBER(M478)),"",IF(G478="Terreno",IF(AND(ISNUMBER(I478),I478&gt;0),M478/I478,""),IF(AND(ISNUMBER(H478),H478&gt;0),M478/H478,"")))</f>
        <v/>
      </c>
      <c r="T478" s="9">
        <f>IF(AND(ISNUMBER(M478),ISNUMBER(O478)),IF(M478&lt;=O478,"Valor ≤ venal IPTU",""),"")</f>
        <v/>
      </c>
      <c r="U478" s="10">
        <f>IF(AND(ISNUMBER(M478),ISNUMBER(N478)),IF(N478&gt;0,M478/N478,""),"")</f>
        <v/>
      </c>
      <c r="V478" s="10">
        <f>IF(AND(ISNUMBER(M478),ISNUMBER(O478)),IF(O478&gt;0,M478/O478,""),"")</f>
        <v/>
      </c>
      <c r="W478" s="10">
        <f>IF(AND(ISNUMBER(M478),ISNUMBER(R478)),IF(R478&gt;0,M478/R478,""),"")</f>
        <v/>
      </c>
      <c r="X478" s="10">
        <f>IF(AND(ISNUMBER(Q478),ISNUMBER(M478)),IF(M478&gt;0,Q478/M478,""),"")</f>
        <v/>
      </c>
      <c r="Y478" s="11">
        <f>IF(ISNUMBER(Z478),YEAR(Z478),"")</f>
        <v/>
      </c>
      <c r="Z478" s="12" t="n"/>
      <c r="AA478" s="12" t="n"/>
      <c r="AI478" s="12" t="n"/>
      <c r="AJ478" s="13">
        <f>IF(LEN(TRIM(AF478))=0,"",HYPERLINK("https://www.google.com/maps/@?api=1&amp;map_action=pano&amp;viewpoint="&amp;SUBSTITUTE(AF478," ",""),"Abrir Street View"))</f>
        <v/>
      </c>
    </row>
    <row r="479">
      <c r="H479" s="6" t="n"/>
      <c r="I479" s="6" t="n"/>
      <c r="M479" s="7" t="n"/>
      <c r="N479" s="7" t="n"/>
      <c r="O479" s="7" t="n"/>
      <c r="Q479" s="7" t="n"/>
      <c r="R479" s="7" t="n"/>
      <c r="S479" s="8">
        <f>IF(NOT(ISNUMBER(M479)),"",IF(G479="Terreno",IF(AND(ISNUMBER(I479),I479&gt;0),M479/I479,""),IF(AND(ISNUMBER(H479),H479&gt;0),M479/H479,"")))</f>
        <v/>
      </c>
      <c r="T479" s="9">
        <f>IF(AND(ISNUMBER(M479),ISNUMBER(O479)),IF(M479&lt;=O479,"Valor ≤ venal IPTU",""),"")</f>
        <v/>
      </c>
      <c r="U479" s="10">
        <f>IF(AND(ISNUMBER(M479),ISNUMBER(N479)),IF(N479&gt;0,M479/N479,""),"")</f>
        <v/>
      </c>
      <c r="V479" s="10">
        <f>IF(AND(ISNUMBER(M479),ISNUMBER(O479)),IF(O479&gt;0,M479/O479,""),"")</f>
        <v/>
      </c>
      <c r="W479" s="10">
        <f>IF(AND(ISNUMBER(M479),ISNUMBER(R479)),IF(R479&gt;0,M479/R479,""),"")</f>
        <v/>
      </c>
      <c r="X479" s="10">
        <f>IF(AND(ISNUMBER(Q479),ISNUMBER(M479)),IF(M479&gt;0,Q479/M479,""),"")</f>
        <v/>
      </c>
      <c r="Y479" s="11">
        <f>IF(ISNUMBER(Z479),YEAR(Z479),"")</f>
        <v/>
      </c>
      <c r="Z479" s="12" t="n"/>
      <c r="AA479" s="12" t="n"/>
      <c r="AI479" s="12" t="n"/>
      <c r="AJ479" s="13">
        <f>IF(LEN(TRIM(AF479))=0,"",HYPERLINK("https://www.google.com/maps/@?api=1&amp;map_action=pano&amp;viewpoint="&amp;SUBSTITUTE(AF479," ",""),"Abrir Street View"))</f>
        <v/>
      </c>
    </row>
    <row r="480">
      <c r="H480" s="6" t="n"/>
      <c r="I480" s="6" t="n"/>
      <c r="M480" s="7" t="n"/>
      <c r="N480" s="7" t="n"/>
      <c r="O480" s="7" t="n"/>
      <c r="Q480" s="7" t="n"/>
      <c r="R480" s="7" t="n"/>
      <c r="S480" s="8">
        <f>IF(NOT(ISNUMBER(M480)),"",IF(G480="Terreno",IF(AND(ISNUMBER(I480),I480&gt;0),M480/I480,""),IF(AND(ISNUMBER(H480),H480&gt;0),M480/H480,"")))</f>
        <v/>
      </c>
      <c r="T480" s="9">
        <f>IF(AND(ISNUMBER(M480),ISNUMBER(O480)),IF(M480&lt;=O480,"Valor ≤ venal IPTU",""),"")</f>
        <v/>
      </c>
      <c r="U480" s="10">
        <f>IF(AND(ISNUMBER(M480),ISNUMBER(N480)),IF(N480&gt;0,M480/N480,""),"")</f>
        <v/>
      </c>
      <c r="V480" s="10">
        <f>IF(AND(ISNUMBER(M480),ISNUMBER(O480)),IF(O480&gt;0,M480/O480,""),"")</f>
        <v/>
      </c>
      <c r="W480" s="10">
        <f>IF(AND(ISNUMBER(M480),ISNUMBER(R480)),IF(R480&gt;0,M480/R480,""),"")</f>
        <v/>
      </c>
      <c r="X480" s="10">
        <f>IF(AND(ISNUMBER(Q480),ISNUMBER(M480)),IF(M480&gt;0,Q480/M480,""),"")</f>
        <v/>
      </c>
      <c r="Y480" s="11">
        <f>IF(ISNUMBER(Z480),YEAR(Z480),"")</f>
        <v/>
      </c>
      <c r="Z480" s="12" t="n"/>
      <c r="AA480" s="12" t="n"/>
      <c r="AI480" s="12" t="n"/>
      <c r="AJ480" s="13">
        <f>IF(LEN(TRIM(AF480))=0,"",HYPERLINK("https://www.google.com/maps/@?api=1&amp;map_action=pano&amp;viewpoint="&amp;SUBSTITUTE(AF480," ",""),"Abrir Street View"))</f>
        <v/>
      </c>
    </row>
    <row r="481">
      <c r="H481" s="6" t="n"/>
      <c r="I481" s="6" t="n"/>
      <c r="M481" s="7" t="n"/>
      <c r="N481" s="7" t="n"/>
      <c r="O481" s="7" t="n"/>
      <c r="Q481" s="7" t="n"/>
      <c r="R481" s="7" t="n"/>
      <c r="S481" s="8">
        <f>IF(NOT(ISNUMBER(M481)),"",IF(G481="Terreno",IF(AND(ISNUMBER(I481),I481&gt;0),M481/I481,""),IF(AND(ISNUMBER(H481),H481&gt;0),M481/H481,"")))</f>
        <v/>
      </c>
      <c r="T481" s="9">
        <f>IF(AND(ISNUMBER(M481),ISNUMBER(O481)),IF(M481&lt;=O481,"Valor ≤ venal IPTU",""),"")</f>
        <v/>
      </c>
      <c r="U481" s="10">
        <f>IF(AND(ISNUMBER(M481),ISNUMBER(N481)),IF(N481&gt;0,M481/N481,""),"")</f>
        <v/>
      </c>
      <c r="V481" s="10">
        <f>IF(AND(ISNUMBER(M481),ISNUMBER(O481)),IF(O481&gt;0,M481/O481,""),"")</f>
        <v/>
      </c>
      <c r="W481" s="10">
        <f>IF(AND(ISNUMBER(M481),ISNUMBER(R481)),IF(R481&gt;0,M481/R481,""),"")</f>
        <v/>
      </c>
      <c r="X481" s="10">
        <f>IF(AND(ISNUMBER(Q481),ISNUMBER(M481)),IF(M481&gt;0,Q481/M481,""),"")</f>
        <v/>
      </c>
      <c r="Y481" s="11">
        <f>IF(ISNUMBER(Z481),YEAR(Z481),"")</f>
        <v/>
      </c>
      <c r="Z481" s="12" t="n"/>
      <c r="AA481" s="12" t="n"/>
      <c r="AI481" s="12" t="n"/>
      <c r="AJ481" s="13">
        <f>IF(LEN(TRIM(AF481))=0,"",HYPERLINK("https://www.google.com/maps/@?api=1&amp;map_action=pano&amp;viewpoint="&amp;SUBSTITUTE(AF481," ",""),"Abrir Street View"))</f>
        <v/>
      </c>
    </row>
    <row r="482">
      <c r="H482" s="6" t="n"/>
      <c r="I482" s="6" t="n"/>
      <c r="M482" s="7" t="n"/>
      <c r="N482" s="7" t="n"/>
      <c r="O482" s="7" t="n"/>
      <c r="Q482" s="7" t="n"/>
      <c r="R482" s="7" t="n"/>
      <c r="S482" s="8">
        <f>IF(NOT(ISNUMBER(M482)),"",IF(G482="Terreno",IF(AND(ISNUMBER(I482),I482&gt;0),M482/I482,""),IF(AND(ISNUMBER(H482),H482&gt;0),M482/H482,"")))</f>
        <v/>
      </c>
      <c r="T482" s="9">
        <f>IF(AND(ISNUMBER(M482),ISNUMBER(O482)),IF(M482&lt;=O482,"Valor ≤ venal IPTU",""),"")</f>
        <v/>
      </c>
      <c r="U482" s="10">
        <f>IF(AND(ISNUMBER(M482),ISNUMBER(N482)),IF(N482&gt;0,M482/N482,""),"")</f>
        <v/>
      </c>
      <c r="V482" s="10">
        <f>IF(AND(ISNUMBER(M482),ISNUMBER(O482)),IF(O482&gt;0,M482/O482,""),"")</f>
        <v/>
      </c>
      <c r="W482" s="10">
        <f>IF(AND(ISNUMBER(M482),ISNUMBER(R482)),IF(R482&gt;0,M482/R482,""),"")</f>
        <v/>
      </c>
      <c r="X482" s="10">
        <f>IF(AND(ISNUMBER(Q482),ISNUMBER(M482)),IF(M482&gt;0,Q482/M482,""),"")</f>
        <v/>
      </c>
      <c r="Y482" s="11">
        <f>IF(ISNUMBER(Z482),YEAR(Z482),"")</f>
        <v/>
      </c>
      <c r="Z482" s="12" t="n"/>
      <c r="AA482" s="12" t="n"/>
      <c r="AI482" s="12" t="n"/>
      <c r="AJ482" s="13">
        <f>IF(LEN(TRIM(AF482))=0,"",HYPERLINK("https://www.google.com/maps/@?api=1&amp;map_action=pano&amp;viewpoint="&amp;SUBSTITUTE(AF482," ",""),"Abrir Street View"))</f>
        <v/>
      </c>
    </row>
    <row r="483">
      <c r="H483" s="6" t="n"/>
      <c r="I483" s="6" t="n"/>
      <c r="M483" s="7" t="n"/>
      <c r="N483" s="7" t="n"/>
      <c r="O483" s="7" t="n"/>
      <c r="Q483" s="7" t="n"/>
      <c r="R483" s="7" t="n"/>
      <c r="S483" s="8">
        <f>IF(NOT(ISNUMBER(M483)),"",IF(G483="Terreno",IF(AND(ISNUMBER(I483),I483&gt;0),M483/I483,""),IF(AND(ISNUMBER(H483),H483&gt;0),M483/H483,"")))</f>
        <v/>
      </c>
      <c r="T483" s="9">
        <f>IF(AND(ISNUMBER(M483),ISNUMBER(O483)),IF(M483&lt;=O483,"Valor ≤ venal IPTU",""),"")</f>
        <v/>
      </c>
      <c r="U483" s="10">
        <f>IF(AND(ISNUMBER(M483),ISNUMBER(N483)),IF(N483&gt;0,M483/N483,""),"")</f>
        <v/>
      </c>
      <c r="V483" s="10">
        <f>IF(AND(ISNUMBER(M483),ISNUMBER(O483)),IF(O483&gt;0,M483/O483,""),"")</f>
        <v/>
      </c>
      <c r="W483" s="10">
        <f>IF(AND(ISNUMBER(M483),ISNUMBER(R483)),IF(R483&gt;0,M483/R483,""),"")</f>
        <v/>
      </c>
      <c r="X483" s="10">
        <f>IF(AND(ISNUMBER(Q483),ISNUMBER(M483)),IF(M483&gt;0,Q483/M483,""),"")</f>
        <v/>
      </c>
      <c r="Y483" s="11">
        <f>IF(ISNUMBER(Z483),YEAR(Z483),"")</f>
        <v/>
      </c>
      <c r="Z483" s="12" t="n"/>
      <c r="AA483" s="12" t="n"/>
      <c r="AI483" s="12" t="n"/>
      <c r="AJ483" s="13">
        <f>IF(LEN(TRIM(AF483))=0,"",HYPERLINK("https://www.google.com/maps/@?api=1&amp;map_action=pano&amp;viewpoint="&amp;SUBSTITUTE(AF483," ",""),"Abrir Street View"))</f>
        <v/>
      </c>
    </row>
    <row r="484">
      <c r="H484" s="6" t="n"/>
      <c r="I484" s="6" t="n"/>
      <c r="M484" s="7" t="n"/>
      <c r="N484" s="7" t="n"/>
      <c r="O484" s="7" t="n"/>
      <c r="Q484" s="7" t="n"/>
      <c r="R484" s="7" t="n"/>
      <c r="S484" s="8">
        <f>IF(NOT(ISNUMBER(M484)),"",IF(G484="Terreno",IF(AND(ISNUMBER(I484),I484&gt;0),M484/I484,""),IF(AND(ISNUMBER(H484),H484&gt;0),M484/H484,"")))</f>
        <v/>
      </c>
      <c r="T484" s="9">
        <f>IF(AND(ISNUMBER(M484),ISNUMBER(O484)),IF(M484&lt;=O484,"Valor ≤ venal IPTU",""),"")</f>
        <v/>
      </c>
      <c r="U484" s="10">
        <f>IF(AND(ISNUMBER(M484),ISNUMBER(N484)),IF(N484&gt;0,M484/N484,""),"")</f>
        <v/>
      </c>
      <c r="V484" s="10">
        <f>IF(AND(ISNUMBER(M484),ISNUMBER(O484)),IF(O484&gt;0,M484/O484,""),"")</f>
        <v/>
      </c>
      <c r="W484" s="10">
        <f>IF(AND(ISNUMBER(M484),ISNUMBER(R484)),IF(R484&gt;0,M484/R484,""),"")</f>
        <v/>
      </c>
      <c r="X484" s="10">
        <f>IF(AND(ISNUMBER(Q484),ISNUMBER(M484)),IF(M484&gt;0,Q484/M484,""),"")</f>
        <v/>
      </c>
      <c r="Y484" s="11">
        <f>IF(ISNUMBER(Z484),YEAR(Z484),"")</f>
        <v/>
      </c>
      <c r="Z484" s="12" t="n"/>
      <c r="AA484" s="12" t="n"/>
      <c r="AI484" s="12" t="n"/>
      <c r="AJ484" s="13">
        <f>IF(LEN(TRIM(AF484))=0,"",HYPERLINK("https://www.google.com/maps/@?api=1&amp;map_action=pano&amp;viewpoint="&amp;SUBSTITUTE(AF484," ",""),"Abrir Street View"))</f>
        <v/>
      </c>
    </row>
    <row r="485">
      <c r="H485" s="6" t="n"/>
      <c r="I485" s="6" t="n"/>
      <c r="M485" s="7" t="n"/>
      <c r="N485" s="7" t="n"/>
      <c r="O485" s="7" t="n"/>
      <c r="Q485" s="7" t="n"/>
      <c r="R485" s="7" t="n"/>
      <c r="S485" s="8">
        <f>IF(NOT(ISNUMBER(M485)),"",IF(G485="Terreno",IF(AND(ISNUMBER(I485),I485&gt;0),M485/I485,""),IF(AND(ISNUMBER(H485),H485&gt;0),M485/H485,"")))</f>
        <v/>
      </c>
      <c r="T485" s="9">
        <f>IF(AND(ISNUMBER(M485),ISNUMBER(O485)),IF(M485&lt;=O485,"Valor ≤ venal IPTU",""),"")</f>
        <v/>
      </c>
      <c r="U485" s="10">
        <f>IF(AND(ISNUMBER(M485),ISNUMBER(N485)),IF(N485&gt;0,M485/N485,""),"")</f>
        <v/>
      </c>
      <c r="V485" s="10">
        <f>IF(AND(ISNUMBER(M485),ISNUMBER(O485)),IF(O485&gt;0,M485/O485,""),"")</f>
        <v/>
      </c>
      <c r="W485" s="10">
        <f>IF(AND(ISNUMBER(M485),ISNUMBER(R485)),IF(R485&gt;0,M485/R485,""),"")</f>
        <v/>
      </c>
      <c r="X485" s="10">
        <f>IF(AND(ISNUMBER(Q485),ISNUMBER(M485)),IF(M485&gt;0,Q485/M485,""),"")</f>
        <v/>
      </c>
      <c r="Y485" s="11">
        <f>IF(ISNUMBER(Z485),YEAR(Z485),"")</f>
        <v/>
      </c>
      <c r="Z485" s="12" t="n"/>
      <c r="AA485" s="12" t="n"/>
      <c r="AI485" s="12" t="n"/>
      <c r="AJ485" s="13">
        <f>IF(LEN(TRIM(AF485))=0,"",HYPERLINK("https://www.google.com/maps/@?api=1&amp;map_action=pano&amp;viewpoint="&amp;SUBSTITUTE(AF485," ",""),"Abrir Street View"))</f>
        <v/>
      </c>
    </row>
    <row r="486">
      <c r="H486" s="6" t="n"/>
      <c r="I486" s="6" t="n"/>
      <c r="M486" s="7" t="n"/>
      <c r="N486" s="7" t="n"/>
      <c r="O486" s="7" t="n"/>
      <c r="Q486" s="7" t="n"/>
      <c r="R486" s="7" t="n"/>
      <c r="S486" s="8">
        <f>IF(NOT(ISNUMBER(M486)),"",IF(G486="Terreno",IF(AND(ISNUMBER(I486),I486&gt;0),M486/I486,""),IF(AND(ISNUMBER(H486),H486&gt;0),M486/H486,"")))</f>
        <v/>
      </c>
      <c r="T486" s="9">
        <f>IF(AND(ISNUMBER(M486),ISNUMBER(O486)),IF(M486&lt;=O486,"Valor ≤ venal IPTU",""),"")</f>
        <v/>
      </c>
      <c r="U486" s="10">
        <f>IF(AND(ISNUMBER(M486),ISNUMBER(N486)),IF(N486&gt;0,M486/N486,""),"")</f>
        <v/>
      </c>
      <c r="V486" s="10">
        <f>IF(AND(ISNUMBER(M486),ISNUMBER(O486)),IF(O486&gt;0,M486/O486,""),"")</f>
        <v/>
      </c>
      <c r="W486" s="10">
        <f>IF(AND(ISNUMBER(M486),ISNUMBER(R486)),IF(R486&gt;0,M486/R486,""),"")</f>
        <v/>
      </c>
      <c r="X486" s="10">
        <f>IF(AND(ISNUMBER(Q486),ISNUMBER(M486)),IF(M486&gt;0,Q486/M486,""),"")</f>
        <v/>
      </c>
      <c r="Y486" s="11">
        <f>IF(ISNUMBER(Z486),YEAR(Z486),"")</f>
        <v/>
      </c>
      <c r="Z486" s="12" t="n"/>
      <c r="AA486" s="12" t="n"/>
      <c r="AI486" s="12" t="n"/>
      <c r="AJ486" s="13">
        <f>IF(LEN(TRIM(AF486))=0,"",HYPERLINK("https://www.google.com/maps/@?api=1&amp;map_action=pano&amp;viewpoint="&amp;SUBSTITUTE(AF486," ",""),"Abrir Street View"))</f>
        <v/>
      </c>
    </row>
    <row r="487">
      <c r="H487" s="6" t="n"/>
      <c r="I487" s="6" t="n"/>
      <c r="M487" s="7" t="n"/>
      <c r="N487" s="7" t="n"/>
      <c r="O487" s="7" t="n"/>
      <c r="Q487" s="7" t="n"/>
      <c r="R487" s="7" t="n"/>
      <c r="S487" s="8">
        <f>IF(NOT(ISNUMBER(M487)),"",IF(G487="Terreno",IF(AND(ISNUMBER(I487),I487&gt;0),M487/I487,""),IF(AND(ISNUMBER(H487),H487&gt;0),M487/H487,"")))</f>
        <v/>
      </c>
      <c r="T487" s="9">
        <f>IF(AND(ISNUMBER(M487),ISNUMBER(O487)),IF(M487&lt;=O487,"Valor ≤ venal IPTU",""),"")</f>
        <v/>
      </c>
      <c r="U487" s="10">
        <f>IF(AND(ISNUMBER(M487),ISNUMBER(N487)),IF(N487&gt;0,M487/N487,""),"")</f>
        <v/>
      </c>
      <c r="V487" s="10">
        <f>IF(AND(ISNUMBER(M487),ISNUMBER(O487)),IF(O487&gt;0,M487/O487,""),"")</f>
        <v/>
      </c>
      <c r="W487" s="10">
        <f>IF(AND(ISNUMBER(M487),ISNUMBER(R487)),IF(R487&gt;0,M487/R487,""),"")</f>
        <v/>
      </c>
      <c r="X487" s="10">
        <f>IF(AND(ISNUMBER(Q487),ISNUMBER(M487)),IF(M487&gt;0,Q487/M487,""),"")</f>
        <v/>
      </c>
      <c r="Y487" s="11">
        <f>IF(ISNUMBER(Z487),YEAR(Z487),"")</f>
        <v/>
      </c>
      <c r="Z487" s="12" t="n"/>
      <c r="AA487" s="12" t="n"/>
      <c r="AI487" s="12" t="n"/>
      <c r="AJ487" s="13">
        <f>IF(LEN(TRIM(AF487))=0,"",HYPERLINK("https://www.google.com/maps/@?api=1&amp;map_action=pano&amp;viewpoint="&amp;SUBSTITUTE(AF487," ",""),"Abrir Street View"))</f>
        <v/>
      </c>
    </row>
    <row r="488">
      <c r="H488" s="6" t="n"/>
      <c r="I488" s="6" t="n"/>
      <c r="M488" s="7" t="n"/>
      <c r="N488" s="7" t="n"/>
      <c r="O488" s="7" t="n"/>
      <c r="Q488" s="7" t="n"/>
      <c r="R488" s="7" t="n"/>
      <c r="S488" s="8">
        <f>IF(NOT(ISNUMBER(M488)),"",IF(G488="Terreno",IF(AND(ISNUMBER(I488),I488&gt;0),M488/I488,""),IF(AND(ISNUMBER(H488),H488&gt;0),M488/H488,"")))</f>
        <v/>
      </c>
      <c r="T488" s="9">
        <f>IF(AND(ISNUMBER(M488),ISNUMBER(O488)),IF(M488&lt;=O488,"Valor ≤ venal IPTU",""),"")</f>
        <v/>
      </c>
      <c r="U488" s="10">
        <f>IF(AND(ISNUMBER(M488),ISNUMBER(N488)),IF(N488&gt;0,M488/N488,""),"")</f>
        <v/>
      </c>
      <c r="V488" s="10">
        <f>IF(AND(ISNUMBER(M488),ISNUMBER(O488)),IF(O488&gt;0,M488/O488,""),"")</f>
        <v/>
      </c>
      <c r="W488" s="10">
        <f>IF(AND(ISNUMBER(M488),ISNUMBER(R488)),IF(R488&gt;0,M488/R488,""),"")</f>
        <v/>
      </c>
      <c r="X488" s="10">
        <f>IF(AND(ISNUMBER(Q488),ISNUMBER(M488)),IF(M488&gt;0,Q488/M488,""),"")</f>
        <v/>
      </c>
      <c r="Y488" s="11">
        <f>IF(ISNUMBER(Z488),YEAR(Z488),"")</f>
        <v/>
      </c>
      <c r="Z488" s="12" t="n"/>
      <c r="AA488" s="12" t="n"/>
      <c r="AI488" s="12" t="n"/>
      <c r="AJ488" s="13">
        <f>IF(LEN(TRIM(AF488))=0,"",HYPERLINK("https://www.google.com/maps/@?api=1&amp;map_action=pano&amp;viewpoint="&amp;SUBSTITUTE(AF488," ",""),"Abrir Street View"))</f>
        <v/>
      </c>
    </row>
    <row r="489">
      <c r="H489" s="6" t="n"/>
      <c r="I489" s="6" t="n"/>
      <c r="M489" s="7" t="n"/>
      <c r="N489" s="7" t="n"/>
      <c r="O489" s="7" t="n"/>
      <c r="Q489" s="7" t="n"/>
      <c r="R489" s="7" t="n"/>
      <c r="S489" s="8">
        <f>IF(NOT(ISNUMBER(M489)),"",IF(G489="Terreno",IF(AND(ISNUMBER(I489),I489&gt;0),M489/I489,""),IF(AND(ISNUMBER(H489),H489&gt;0),M489/H489,"")))</f>
        <v/>
      </c>
      <c r="T489" s="9">
        <f>IF(AND(ISNUMBER(M489),ISNUMBER(O489)),IF(M489&lt;=O489,"Valor ≤ venal IPTU",""),"")</f>
        <v/>
      </c>
      <c r="U489" s="10">
        <f>IF(AND(ISNUMBER(M489),ISNUMBER(N489)),IF(N489&gt;0,M489/N489,""),"")</f>
        <v/>
      </c>
      <c r="V489" s="10">
        <f>IF(AND(ISNUMBER(M489),ISNUMBER(O489)),IF(O489&gt;0,M489/O489,""),"")</f>
        <v/>
      </c>
      <c r="W489" s="10">
        <f>IF(AND(ISNUMBER(M489),ISNUMBER(R489)),IF(R489&gt;0,M489/R489,""),"")</f>
        <v/>
      </c>
      <c r="X489" s="10">
        <f>IF(AND(ISNUMBER(Q489),ISNUMBER(M489)),IF(M489&gt;0,Q489/M489,""),"")</f>
        <v/>
      </c>
      <c r="Y489" s="11">
        <f>IF(ISNUMBER(Z489),YEAR(Z489),"")</f>
        <v/>
      </c>
      <c r="Z489" s="12" t="n"/>
      <c r="AA489" s="12" t="n"/>
      <c r="AI489" s="12" t="n"/>
      <c r="AJ489" s="13">
        <f>IF(LEN(TRIM(AF489))=0,"",HYPERLINK("https://www.google.com/maps/@?api=1&amp;map_action=pano&amp;viewpoint="&amp;SUBSTITUTE(AF489," ",""),"Abrir Street View"))</f>
        <v/>
      </c>
    </row>
    <row r="490">
      <c r="H490" s="6" t="n"/>
      <c r="I490" s="6" t="n"/>
      <c r="M490" s="7" t="n"/>
      <c r="N490" s="7" t="n"/>
      <c r="O490" s="7" t="n"/>
      <c r="Q490" s="7" t="n"/>
      <c r="R490" s="7" t="n"/>
      <c r="S490" s="8">
        <f>IF(NOT(ISNUMBER(M490)),"",IF(G490="Terreno",IF(AND(ISNUMBER(I490),I490&gt;0),M490/I490,""),IF(AND(ISNUMBER(H490),H490&gt;0),M490/H490,"")))</f>
        <v/>
      </c>
      <c r="T490" s="9">
        <f>IF(AND(ISNUMBER(M490),ISNUMBER(O490)),IF(M490&lt;=O490,"Valor ≤ venal IPTU",""),"")</f>
        <v/>
      </c>
      <c r="U490" s="10">
        <f>IF(AND(ISNUMBER(M490),ISNUMBER(N490)),IF(N490&gt;0,M490/N490,""),"")</f>
        <v/>
      </c>
      <c r="V490" s="10">
        <f>IF(AND(ISNUMBER(M490),ISNUMBER(O490)),IF(O490&gt;0,M490/O490,""),"")</f>
        <v/>
      </c>
      <c r="W490" s="10">
        <f>IF(AND(ISNUMBER(M490),ISNUMBER(R490)),IF(R490&gt;0,M490/R490,""),"")</f>
        <v/>
      </c>
      <c r="X490" s="10">
        <f>IF(AND(ISNUMBER(Q490),ISNUMBER(M490)),IF(M490&gt;0,Q490/M490,""),"")</f>
        <v/>
      </c>
      <c r="Y490" s="11">
        <f>IF(ISNUMBER(Z490),YEAR(Z490),"")</f>
        <v/>
      </c>
      <c r="Z490" s="12" t="n"/>
      <c r="AA490" s="12" t="n"/>
      <c r="AI490" s="12" t="n"/>
      <c r="AJ490" s="13">
        <f>IF(LEN(TRIM(AF490))=0,"",HYPERLINK("https://www.google.com/maps/@?api=1&amp;map_action=pano&amp;viewpoint="&amp;SUBSTITUTE(AF490," ",""),"Abrir Street View"))</f>
        <v/>
      </c>
    </row>
    <row r="491">
      <c r="H491" s="6" t="n"/>
      <c r="I491" s="6" t="n"/>
      <c r="M491" s="7" t="n"/>
      <c r="N491" s="7" t="n"/>
      <c r="O491" s="7" t="n"/>
      <c r="Q491" s="7" t="n"/>
      <c r="R491" s="7" t="n"/>
      <c r="S491" s="8">
        <f>IF(NOT(ISNUMBER(M491)),"",IF(G491="Terreno",IF(AND(ISNUMBER(I491),I491&gt;0),M491/I491,""),IF(AND(ISNUMBER(H491),H491&gt;0),M491/H491,"")))</f>
        <v/>
      </c>
      <c r="T491" s="9">
        <f>IF(AND(ISNUMBER(M491),ISNUMBER(O491)),IF(M491&lt;=O491,"Valor ≤ venal IPTU",""),"")</f>
        <v/>
      </c>
      <c r="U491" s="10">
        <f>IF(AND(ISNUMBER(M491),ISNUMBER(N491)),IF(N491&gt;0,M491/N491,""),"")</f>
        <v/>
      </c>
      <c r="V491" s="10">
        <f>IF(AND(ISNUMBER(M491),ISNUMBER(O491)),IF(O491&gt;0,M491/O491,""),"")</f>
        <v/>
      </c>
      <c r="W491" s="10">
        <f>IF(AND(ISNUMBER(M491),ISNUMBER(R491)),IF(R491&gt;0,M491/R491,""),"")</f>
        <v/>
      </c>
      <c r="X491" s="10">
        <f>IF(AND(ISNUMBER(Q491),ISNUMBER(M491)),IF(M491&gt;0,Q491/M491,""),"")</f>
        <v/>
      </c>
      <c r="Y491" s="11">
        <f>IF(ISNUMBER(Z491),YEAR(Z491),"")</f>
        <v/>
      </c>
      <c r="Z491" s="12" t="n"/>
      <c r="AA491" s="12" t="n"/>
      <c r="AI491" s="12" t="n"/>
      <c r="AJ491" s="13">
        <f>IF(LEN(TRIM(AF491))=0,"",HYPERLINK("https://www.google.com/maps/@?api=1&amp;map_action=pano&amp;viewpoint="&amp;SUBSTITUTE(AF491," ",""),"Abrir Street View"))</f>
        <v/>
      </c>
    </row>
    <row r="492">
      <c r="H492" s="6" t="n"/>
      <c r="I492" s="6" t="n"/>
      <c r="M492" s="7" t="n"/>
      <c r="N492" s="7" t="n"/>
      <c r="O492" s="7" t="n"/>
      <c r="Q492" s="7" t="n"/>
      <c r="R492" s="7" t="n"/>
      <c r="S492" s="8">
        <f>IF(NOT(ISNUMBER(M492)),"",IF(G492="Terreno",IF(AND(ISNUMBER(I492),I492&gt;0),M492/I492,""),IF(AND(ISNUMBER(H492),H492&gt;0),M492/H492,"")))</f>
        <v/>
      </c>
      <c r="T492" s="9">
        <f>IF(AND(ISNUMBER(M492),ISNUMBER(O492)),IF(M492&lt;=O492,"Valor ≤ venal IPTU",""),"")</f>
        <v/>
      </c>
      <c r="U492" s="10">
        <f>IF(AND(ISNUMBER(M492),ISNUMBER(N492)),IF(N492&gt;0,M492/N492,""),"")</f>
        <v/>
      </c>
      <c r="V492" s="10">
        <f>IF(AND(ISNUMBER(M492),ISNUMBER(O492)),IF(O492&gt;0,M492/O492,""),"")</f>
        <v/>
      </c>
      <c r="W492" s="10">
        <f>IF(AND(ISNUMBER(M492),ISNUMBER(R492)),IF(R492&gt;0,M492/R492,""),"")</f>
        <v/>
      </c>
      <c r="X492" s="10">
        <f>IF(AND(ISNUMBER(Q492),ISNUMBER(M492)),IF(M492&gt;0,Q492/M492,""),"")</f>
        <v/>
      </c>
      <c r="Y492" s="11">
        <f>IF(ISNUMBER(Z492),YEAR(Z492),"")</f>
        <v/>
      </c>
      <c r="Z492" s="12" t="n"/>
      <c r="AA492" s="12" t="n"/>
      <c r="AI492" s="12" t="n"/>
      <c r="AJ492" s="13">
        <f>IF(LEN(TRIM(AF492))=0,"",HYPERLINK("https://www.google.com/maps/@?api=1&amp;map_action=pano&amp;viewpoint="&amp;SUBSTITUTE(AF492," ",""),"Abrir Street View"))</f>
        <v/>
      </c>
    </row>
    <row r="493">
      <c r="H493" s="6" t="n"/>
      <c r="I493" s="6" t="n"/>
      <c r="M493" s="7" t="n"/>
      <c r="N493" s="7" t="n"/>
      <c r="O493" s="7" t="n"/>
      <c r="Q493" s="7" t="n"/>
      <c r="R493" s="7" t="n"/>
      <c r="S493" s="8">
        <f>IF(NOT(ISNUMBER(M493)),"",IF(G493="Terreno",IF(AND(ISNUMBER(I493),I493&gt;0),M493/I493,""),IF(AND(ISNUMBER(H493),H493&gt;0),M493/H493,"")))</f>
        <v/>
      </c>
      <c r="T493" s="9">
        <f>IF(AND(ISNUMBER(M493),ISNUMBER(O493)),IF(M493&lt;=O493,"Valor ≤ venal IPTU",""),"")</f>
        <v/>
      </c>
      <c r="U493" s="10">
        <f>IF(AND(ISNUMBER(M493),ISNUMBER(N493)),IF(N493&gt;0,M493/N493,""),"")</f>
        <v/>
      </c>
      <c r="V493" s="10">
        <f>IF(AND(ISNUMBER(M493),ISNUMBER(O493)),IF(O493&gt;0,M493/O493,""),"")</f>
        <v/>
      </c>
      <c r="W493" s="10">
        <f>IF(AND(ISNUMBER(M493),ISNUMBER(R493)),IF(R493&gt;0,M493/R493,""),"")</f>
        <v/>
      </c>
      <c r="X493" s="10">
        <f>IF(AND(ISNUMBER(Q493),ISNUMBER(M493)),IF(M493&gt;0,Q493/M493,""),"")</f>
        <v/>
      </c>
      <c r="Y493" s="11">
        <f>IF(ISNUMBER(Z493),YEAR(Z493),"")</f>
        <v/>
      </c>
      <c r="Z493" s="12" t="n"/>
      <c r="AA493" s="12" t="n"/>
      <c r="AI493" s="12" t="n"/>
      <c r="AJ493" s="13">
        <f>IF(LEN(TRIM(AF493))=0,"",HYPERLINK("https://www.google.com/maps/@?api=1&amp;map_action=pano&amp;viewpoint="&amp;SUBSTITUTE(AF493," ",""),"Abrir Street View"))</f>
        <v/>
      </c>
    </row>
    <row r="494">
      <c r="H494" s="6" t="n"/>
      <c r="I494" s="6" t="n"/>
      <c r="M494" s="7" t="n"/>
      <c r="N494" s="7" t="n"/>
      <c r="O494" s="7" t="n"/>
      <c r="Q494" s="7" t="n"/>
      <c r="R494" s="7" t="n"/>
      <c r="S494" s="8">
        <f>IF(NOT(ISNUMBER(M494)),"",IF(G494="Terreno",IF(AND(ISNUMBER(I494),I494&gt;0),M494/I494,""),IF(AND(ISNUMBER(H494),H494&gt;0),M494/H494,"")))</f>
        <v/>
      </c>
      <c r="T494" s="9">
        <f>IF(AND(ISNUMBER(M494),ISNUMBER(O494)),IF(M494&lt;=O494,"Valor ≤ venal IPTU",""),"")</f>
        <v/>
      </c>
      <c r="U494" s="10">
        <f>IF(AND(ISNUMBER(M494),ISNUMBER(N494)),IF(N494&gt;0,M494/N494,""),"")</f>
        <v/>
      </c>
      <c r="V494" s="10">
        <f>IF(AND(ISNUMBER(M494),ISNUMBER(O494)),IF(O494&gt;0,M494/O494,""),"")</f>
        <v/>
      </c>
      <c r="W494" s="10">
        <f>IF(AND(ISNUMBER(M494),ISNUMBER(R494)),IF(R494&gt;0,M494/R494,""),"")</f>
        <v/>
      </c>
      <c r="X494" s="10">
        <f>IF(AND(ISNUMBER(Q494),ISNUMBER(M494)),IF(M494&gt;0,Q494/M494,""),"")</f>
        <v/>
      </c>
      <c r="Y494" s="11">
        <f>IF(ISNUMBER(Z494),YEAR(Z494),"")</f>
        <v/>
      </c>
      <c r="Z494" s="12" t="n"/>
      <c r="AA494" s="12" t="n"/>
      <c r="AI494" s="12" t="n"/>
      <c r="AJ494" s="13">
        <f>IF(LEN(TRIM(AF494))=0,"",HYPERLINK("https://www.google.com/maps/@?api=1&amp;map_action=pano&amp;viewpoint="&amp;SUBSTITUTE(AF494," ",""),"Abrir Street View"))</f>
        <v/>
      </c>
    </row>
    <row r="495">
      <c r="H495" s="6" t="n"/>
      <c r="I495" s="6" t="n"/>
      <c r="M495" s="7" t="n"/>
      <c r="N495" s="7" t="n"/>
      <c r="O495" s="7" t="n"/>
      <c r="Q495" s="7" t="n"/>
      <c r="R495" s="7" t="n"/>
      <c r="S495" s="8">
        <f>IF(NOT(ISNUMBER(M495)),"",IF(G495="Terreno",IF(AND(ISNUMBER(I495),I495&gt;0),M495/I495,""),IF(AND(ISNUMBER(H495),H495&gt;0),M495/H495,"")))</f>
        <v/>
      </c>
      <c r="T495" s="9">
        <f>IF(AND(ISNUMBER(M495),ISNUMBER(O495)),IF(M495&lt;=O495,"Valor ≤ venal IPTU",""),"")</f>
        <v/>
      </c>
      <c r="U495" s="10">
        <f>IF(AND(ISNUMBER(M495),ISNUMBER(N495)),IF(N495&gt;0,M495/N495,""),"")</f>
        <v/>
      </c>
      <c r="V495" s="10">
        <f>IF(AND(ISNUMBER(M495),ISNUMBER(O495)),IF(O495&gt;0,M495/O495,""),"")</f>
        <v/>
      </c>
      <c r="W495" s="10">
        <f>IF(AND(ISNUMBER(M495),ISNUMBER(R495)),IF(R495&gt;0,M495/R495,""),"")</f>
        <v/>
      </c>
      <c r="X495" s="10">
        <f>IF(AND(ISNUMBER(Q495),ISNUMBER(M495)),IF(M495&gt;0,Q495/M495,""),"")</f>
        <v/>
      </c>
      <c r="Y495" s="11">
        <f>IF(ISNUMBER(Z495),YEAR(Z495),"")</f>
        <v/>
      </c>
      <c r="Z495" s="12" t="n"/>
      <c r="AA495" s="12" t="n"/>
      <c r="AI495" s="12" t="n"/>
      <c r="AJ495" s="13">
        <f>IF(LEN(TRIM(AF495))=0,"",HYPERLINK("https://www.google.com/maps/@?api=1&amp;map_action=pano&amp;viewpoint="&amp;SUBSTITUTE(AF495," ",""),"Abrir Street View"))</f>
        <v/>
      </c>
    </row>
    <row r="496">
      <c r="H496" s="6" t="n"/>
      <c r="I496" s="6" t="n"/>
      <c r="M496" s="7" t="n"/>
      <c r="N496" s="7" t="n"/>
      <c r="O496" s="7" t="n"/>
      <c r="Q496" s="7" t="n"/>
      <c r="R496" s="7" t="n"/>
      <c r="S496" s="8">
        <f>IF(NOT(ISNUMBER(M496)),"",IF(G496="Terreno",IF(AND(ISNUMBER(I496),I496&gt;0),M496/I496,""),IF(AND(ISNUMBER(H496),H496&gt;0),M496/H496,"")))</f>
        <v/>
      </c>
      <c r="T496" s="9">
        <f>IF(AND(ISNUMBER(M496),ISNUMBER(O496)),IF(M496&lt;=O496,"Valor ≤ venal IPTU",""),"")</f>
        <v/>
      </c>
      <c r="U496" s="10">
        <f>IF(AND(ISNUMBER(M496),ISNUMBER(N496)),IF(N496&gt;0,M496/N496,""),"")</f>
        <v/>
      </c>
      <c r="V496" s="10">
        <f>IF(AND(ISNUMBER(M496),ISNUMBER(O496)),IF(O496&gt;0,M496/O496,""),"")</f>
        <v/>
      </c>
      <c r="W496" s="10">
        <f>IF(AND(ISNUMBER(M496),ISNUMBER(R496)),IF(R496&gt;0,M496/R496,""),"")</f>
        <v/>
      </c>
      <c r="X496" s="10">
        <f>IF(AND(ISNUMBER(Q496),ISNUMBER(M496)),IF(M496&gt;0,Q496/M496,""),"")</f>
        <v/>
      </c>
      <c r="Y496" s="11">
        <f>IF(ISNUMBER(Z496),YEAR(Z496),"")</f>
        <v/>
      </c>
      <c r="Z496" s="12" t="n"/>
      <c r="AA496" s="12" t="n"/>
      <c r="AI496" s="12" t="n"/>
      <c r="AJ496" s="13">
        <f>IF(LEN(TRIM(AF496))=0,"",HYPERLINK("https://www.google.com/maps/@?api=1&amp;map_action=pano&amp;viewpoint="&amp;SUBSTITUTE(AF496," ",""),"Abrir Street View"))</f>
        <v/>
      </c>
    </row>
    <row r="497">
      <c r="H497" s="6" t="n"/>
      <c r="I497" s="6" t="n"/>
      <c r="M497" s="7" t="n"/>
      <c r="N497" s="7" t="n"/>
      <c r="O497" s="7" t="n"/>
      <c r="Q497" s="7" t="n"/>
      <c r="R497" s="7" t="n"/>
      <c r="S497" s="8">
        <f>IF(NOT(ISNUMBER(M497)),"",IF(G497="Terreno",IF(AND(ISNUMBER(I497),I497&gt;0),M497/I497,""),IF(AND(ISNUMBER(H497),H497&gt;0),M497/H497,"")))</f>
        <v/>
      </c>
      <c r="T497" s="9">
        <f>IF(AND(ISNUMBER(M497),ISNUMBER(O497)),IF(M497&lt;=O497,"Valor ≤ venal IPTU",""),"")</f>
        <v/>
      </c>
      <c r="U497" s="10">
        <f>IF(AND(ISNUMBER(M497),ISNUMBER(N497)),IF(N497&gt;0,M497/N497,""),"")</f>
        <v/>
      </c>
      <c r="V497" s="10">
        <f>IF(AND(ISNUMBER(M497),ISNUMBER(O497)),IF(O497&gt;0,M497/O497,""),"")</f>
        <v/>
      </c>
      <c r="W497" s="10">
        <f>IF(AND(ISNUMBER(M497),ISNUMBER(R497)),IF(R497&gt;0,M497/R497,""),"")</f>
        <v/>
      </c>
      <c r="X497" s="10">
        <f>IF(AND(ISNUMBER(Q497),ISNUMBER(M497)),IF(M497&gt;0,Q497/M497,""),"")</f>
        <v/>
      </c>
      <c r="Y497" s="11">
        <f>IF(ISNUMBER(Z497),YEAR(Z497),"")</f>
        <v/>
      </c>
      <c r="Z497" s="12" t="n"/>
      <c r="AA497" s="12" t="n"/>
      <c r="AI497" s="12" t="n"/>
      <c r="AJ497" s="13">
        <f>IF(LEN(TRIM(AF497))=0,"",HYPERLINK("https://www.google.com/maps/@?api=1&amp;map_action=pano&amp;viewpoint="&amp;SUBSTITUTE(AF497," ",""),"Abrir Street View"))</f>
        <v/>
      </c>
    </row>
    <row r="498">
      <c r="H498" s="6" t="n"/>
      <c r="I498" s="6" t="n"/>
      <c r="M498" s="7" t="n"/>
      <c r="N498" s="7" t="n"/>
      <c r="O498" s="7" t="n"/>
      <c r="Q498" s="7" t="n"/>
      <c r="R498" s="7" t="n"/>
      <c r="S498" s="8">
        <f>IF(NOT(ISNUMBER(M498)),"",IF(G498="Terreno",IF(AND(ISNUMBER(I498),I498&gt;0),M498/I498,""),IF(AND(ISNUMBER(H498),H498&gt;0),M498/H498,"")))</f>
        <v/>
      </c>
      <c r="T498" s="9">
        <f>IF(AND(ISNUMBER(M498),ISNUMBER(O498)),IF(M498&lt;=O498,"Valor ≤ venal IPTU",""),"")</f>
        <v/>
      </c>
      <c r="U498" s="10">
        <f>IF(AND(ISNUMBER(M498),ISNUMBER(N498)),IF(N498&gt;0,M498/N498,""),"")</f>
        <v/>
      </c>
      <c r="V498" s="10">
        <f>IF(AND(ISNUMBER(M498),ISNUMBER(O498)),IF(O498&gt;0,M498/O498,""),"")</f>
        <v/>
      </c>
      <c r="W498" s="10">
        <f>IF(AND(ISNUMBER(M498),ISNUMBER(R498)),IF(R498&gt;0,M498/R498,""),"")</f>
        <v/>
      </c>
      <c r="X498" s="10">
        <f>IF(AND(ISNUMBER(Q498),ISNUMBER(M498)),IF(M498&gt;0,Q498/M498,""),"")</f>
        <v/>
      </c>
      <c r="Y498" s="11">
        <f>IF(ISNUMBER(Z498),YEAR(Z498),"")</f>
        <v/>
      </c>
      <c r="Z498" s="12" t="n"/>
      <c r="AA498" s="12" t="n"/>
      <c r="AI498" s="12" t="n"/>
      <c r="AJ498" s="13">
        <f>IF(LEN(TRIM(AF498))=0,"",HYPERLINK("https://www.google.com/maps/@?api=1&amp;map_action=pano&amp;viewpoint="&amp;SUBSTITUTE(AF498," ",""),"Abrir Street View"))</f>
        <v/>
      </c>
    </row>
    <row r="499">
      <c r="H499" s="6" t="n"/>
      <c r="I499" s="6" t="n"/>
      <c r="M499" s="7" t="n"/>
      <c r="N499" s="7" t="n"/>
      <c r="O499" s="7" t="n"/>
      <c r="Q499" s="7" t="n"/>
      <c r="R499" s="7" t="n"/>
      <c r="S499" s="8">
        <f>IF(NOT(ISNUMBER(M499)),"",IF(G499="Terreno",IF(AND(ISNUMBER(I499),I499&gt;0),M499/I499,""),IF(AND(ISNUMBER(H499),H499&gt;0),M499/H499,"")))</f>
        <v/>
      </c>
      <c r="T499" s="9">
        <f>IF(AND(ISNUMBER(M499),ISNUMBER(O499)),IF(M499&lt;=O499,"Valor ≤ venal IPTU",""),"")</f>
        <v/>
      </c>
      <c r="U499" s="10">
        <f>IF(AND(ISNUMBER(M499),ISNUMBER(N499)),IF(N499&gt;0,M499/N499,""),"")</f>
        <v/>
      </c>
      <c r="V499" s="10">
        <f>IF(AND(ISNUMBER(M499),ISNUMBER(O499)),IF(O499&gt;0,M499/O499,""),"")</f>
        <v/>
      </c>
      <c r="W499" s="10">
        <f>IF(AND(ISNUMBER(M499),ISNUMBER(R499)),IF(R499&gt;0,M499/R499,""),"")</f>
        <v/>
      </c>
      <c r="X499" s="10">
        <f>IF(AND(ISNUMBER(Q499),ISNUMBER(M499)),IF(M499&gt;0,Q499/M499,""),"")</f>
        <v/>
      </c>
      <c r="Y499" s="11">
        <f>IF(ISNUMBER(Z499),YEAR(Z499),"")</f>
        <v/>
      </c>
      <c r="Z499" s="12" t="n"/>
      <c r="AA499" s="12" t="n"/>
      <c r="AI499" s="12" t="n"/>
      <c r="AJ499" s="13">
        <f>IF(LEN(TRIM(AF499))=0,"",HYPERLINK("https://www.google.com/maps/@?api=1&amp;map_action=pano&amp;viewpoint="&amp;SUBSTITUTE(AF499," ",""),"Abrir Street View"))</f>
        <v/>
      </c>
    </row>
    <row r="500">
      <c r="H500" s="6" t="n"/>
      <c r="I500" s="6" t="n"/>
      <c r="M500" s="7" t="n"/>
      <c r="N500" s="7" t="n"/>
      <c r="O500" s="7" t="n"/>
      <c r="Q500" s="7" t="n"/>
      <c r="R500" s="7" t="n"/>
      <c r="S500" s="8">
        <f>IF(NOT(ISNUMBER(M500)),"",IF(G500="Terreno",IF(AND(ISNUMBER(I500),I500&gt;0),M500/I500,""),IF(AND(ISNUMBER(H500),H500&gt;0),M500/H500,"")))</f>
        <v/>
      </c>
      <c r="T500" s="9">
        <f>IF(AND(ISNUMBER(M500),ISNUMBER(O500)),IF(M500&lt;=O500,"Valor ≤ venal IPTU",""),"")</f>
        <v/>
      </c>
      <c r="U500" s="10">
        <f>IF(AND(ISNUMBER(M500),ISNUMBER(N500)),IF(N500&gt;0,M500/N500,""),"")</f>
        <v/>
      </c>
      <c r="V500" s="10">
        <f>IF(AND(ISNUMBER(M500),ISNUMBER(O500)),IF(O500&gt;0,M500/O500,""),"")</f>
        <v/>
      </c>
      <c r="W500" s="10">
        <f>IF(AND(ISNUMBER(M500),ISNUMBER(R500)),IF(R500&gt;0,M500/R500,""),"")</f>
        <v/>
      </c>
      <c r="X500" s="10">
        <f>IF(AND(ISNUMBER(Q500),ISNUMBER(M500)),IF(M500&gt;0,Q500/M500,""),"")</f>
        <v/>
      </c>
      <c r="Y500" s="11">
        <f>IF(ISNUMBER(Z500),YEAR(Z500),"")</f>
        <v/>
      </c>
      <c r="Z500" s="12" t="n"/>
      <c r="AA500" s="12" t="n"/>
      <c r="AI500" s="12" t="n"/>
      <c r="AJ500" s="13">
        <f>IF(LEN(TRIM(AF500))=0,"",HYPERLINK("https://www.google.com/maps/@?api=1&amp;map_action=pano&amp;viewpoint="&amp;SUBSTITUTE(AF500," ",""),"Abrir Street View"))</f>
        <v/>
      </c>
    </row>
    <row r="501">
      <c r="H501" s="6" t="n"/>
      <c r="I501" s="6" t="n"/>
      <c r="M501" s="7" t="n"/>
      <c r="N501" s="7" t="n"/>
      <c r="O501" s="7" t="n"/>
      <c r="Q501" s="7" t="n"/>
      <c r="R501" s="7" t="n"/>
      <c r="S501" s="8">
        <f>IF(NOT(ISNUMBER(M501)),"",IF(G501="Terreno",IF(AND(ISNUMBER(I501),I501&gt;0),M501/I501,""),IF(AND(ISNUMBER(H501),H501&gt;0),M501/H501,"")))</f>
        <v/>
      </c>
      <c r="T501" s="9">
        <f>IF(AND(ISNUMBER(M501),ISNUMBER(O501)),IF(M501&lt;=O501,"Valor ≤ venal IPTU",""),"")</f>
        <v/>
      </c>
      <c r="U501" s="10">
        <f>IF(AND(ISNUMBER(M501),ISNUMBER(N501)),IF(N501&gt;0,M501/N501,""),"")</f>
        <v/>
      </c>
      <c r="V501" s="10">
        <f>IF(AND(ISNUMBER(M501),ISNUMBER(O501)),IF(O501&gt;0,M501/O501,""),"")</f>
        <v/>
      </c>
      <c r="W501" s="10">
        <f>IF(AND(ISNUMBER(M501),ISNUMBER(R501)),IF(R501&gt;0,M501/R501,""),"")</f>
        <v/>
      </c>
      <c r="X501" s="10">
        <f>IF(AND(ISNUMBER(Q501),ISNUMBER(M501)),IF(M501&gt;0,Q501/M501,""),"")</f>
        <v/>
      </c>
      <c r="Y501" s="11">
        <f>IF(ISNUMBER(Z501),YEAR(Z501),"")</f>
        <v/>
      </c>
      <c r="Z501" s="12" t="n"/>
      <c r="AA501" s="12" t="n"/>
      <c r="AI501" s="12" t="n"/>
      <c r="AJ501" s="13">
        <f>IF(LEN(TRIM(AF501))=0,"",HYPERLINK("https://www.google.com/maps/@?api=1&amp;map_action=pano&amp;viewpoint="&amp;SUBSTITUTE(AF501," ",""),"Abrir Street View"))</f>
        <v/>
      </c>
    </row>
    <row r="502">
      <c r="H502" s="6" t="n"/>
      <c r="I502" s="6" t="n"/>
      <c r="M502" s="7" t="n"/>
      <c r="N502" s="7" t="n"/>
      <c r="O502" s="7" t="n"/>
      <c r="Q502" s="7" t="n"/>
      <c r="R502" s="7" t="n"/>
      <c r="S502" s="8">
        <f>IF(NOT(ISNUMBER(M502)),"",IF(G502="Terreno",IF(AND(ISNUMBER(I502),I502&gt;0),M502/I502,""),IF(AND(ISNUMBER(H502),H502&gt;0),M502/H502,"")))</f>
        <v/>
      </c>
      <c r="T502" s="9">
        <f>IF(AND(ISNUMBER(M502),ISNUMBER(O502)),IF(M502&lt;=O502,"Valor ≤ venal IPTU",""),"")</f>
        <v/>
      </c>
      <c r="U502" s="10">
        <f>IF(AND(ISNUMBER(M502),ISNUMBER(N502)),IF(N502&gt;0,M502/N502,""),"")</f>
        <v/>
      </c>
      <c r="V502" s="10">
        <f>IF(AND(ISNUMBER(M502),ISNUMBER(O502)),IF(O502&gt;0,M502/O502,""),"")</f>
        <v/>
      </c>
      <c r="W502" s="10">
        <f>IF(AND(ISNUMBER(M502),ISNUMBER(R502)),IF(R502&gt;0,M502/R502,""),"")</f>
        <v/>
      </c>
      <c r="X502" s="10">
        <f>IF(AND(ISNUMBER(Q502),ISNUMBER(M502)),IF(M502&gt;0,Q502/M502,""),"")</f>
        <v/>
      </c>
      <c r="Y502" s="11">
        <f>IF(ISNUMBER(Z502),YEAR(Z502),"")</f>
        <v/>
      </c>
      <c r="Z502" s="12" t="n"/>
      <c r="AA502" s="12" t="n"/>
      <c r="AI502" s="12" t="n"/>
      <c r="AJ502" s="13">
        <f>IF(LEN(TRIM(AF502))=0,"",HYPERLINK("https://www.google.com/maps/@?api=1&amp;map_action=pano&amp;viewpoint="&amp;SUBSTITUTE(AF502," ",""),"Abrir Street View"))</f>
        <v/>
      </c>
    </row>
    <row r="503">
      <c r="H503" s="6" t="n"/>
      <c r="I503" s="6" t="n"/>
      <c r="M503" s="7" t="n"/>
      <c r="N503" s="7" t="n"/>
      <c r="O503" s="7" t="n"/>
      <c r="Q503" s="7" t="n"/>
      <c r="R503" s="7" t="n"/>
      <c r="S503" s="8">
        <f>IF(NOT(ISNUMBER(M503)),"",IF(G503="Terreno",IF(AND(ISNUMBER(I503),I503&gt;0),M503/I503,""),IF(AND(ISNUMBER(H503),H503&gt;0),M503/H503,"")))</f>
        <v/>
      </c>
      <c r="T503" s="9">
        <f>IF(AND(ISNUMBER(M503),ISNUMBER(O503)),IF(M503&lt;=O503,"Valor ≤ venal IPTU",""),"")</f>
        <v/>
      </c>
      <c r="U503" s="10">
        <f>IF(AND(ISNUMBER(M503),ISNUMBER(N503)),IF(N503&gt;0,M503/N503,""),"")</f>
        <v/>
      </c>
      <c r="V503" s="10">
        <f>IF(AND(ISNUMBER(M503),ISNUMBER(O503)),IF(O503&gt;0,M503/O503,""),"")</f>
        <v/>
      </c>
      <c r="W503" s="10">
        <f>IF(AND(ISNUMBER(M503),ISNUMBER(R503)),IF(R503&gt;0,M503/R503,""),"")</f>
        <v/>
      </c>
      <c r="X503" s="10">
        <f>IF(AND(ISNUMBER(Q503),ISNUMBER(M503)),IF(M503&gt;0,Q503/M503,""),"")</f>
        <v/>
      </c>
      <c r="Y503" s="11">
        <f>IF(ISNUMBER(Z503),YEAR(Z503),"")</f>
        <v/>
      </c>
      <c r="Z503" s="12" t="n"/>
      <c r="AA503" s="12" t="n"/>
      <c r="AI503" s="12" t="n"/>
      <c r="AJ503" s="13">
        <f>IF(LEN(TRIM(AF503))=0,"",HYPERLINK("https://www.google.com/maps/@?api=1&amp;map_action=pano&amp;viewpoint="&amp;SUBSTITUTE(AF503," ",""),"Abrir Street View"))</f>
        <v/>
      </c>
    </row>
    <row r="504">
      <c r="H504" s="6" t="n"/>
      <c r="I504" s="6" t="n"/>
      <c r="M504" s="7" t="n"/>
      <c r="N504" s="7" t="n"/>
      <c r="O504" s="7" t="n"/>
      <c r="Q504" s="7" t="n"/>
      <c r="R504" s="7" t="n"/>
      <c r="S504" s="8">
        <f>IF(NOT(ISNUMBER(M504)),"",IF(G504="Terreno",IF(AND(ISNUMBER(I504),I504&gt;0),M504/I504,""),IF(AND(ISNUMBER(H504),H504&gt;0),M504/H504,"")))</f>
        <v/>
      </c>
      <c r="T504" s="9">
        <f>IF(AND(ISNUMBER(M504),ISNUMBER(O504)),IF(M504&lt;=O504,"Valor ≤ venal IPTU",""),"")</f>
        <v/>
      </c>
      <c r="U504" s="10">
        <f>IF(AND(ISNUMBER(M504),ISNUMBER(N504)),IF(N504&gt;0,M504/N504,""),"")</f>
        <v/>
      </c>
      <c r="V504" s="10">
        <f>IF(AND(ISNUMBER(M504),ISNUMBER(O504)),IF(O504&gt;0,M504/O504,""),"")</f>
        <v/>
      </c>
      <c r="W504" s="10">
        <f>IF(AND(ISNUMBER(M504),ISNUMBER(R504)),IF(R504&gt;0,M504/R504,""),"")</f>
        <v/>
      </c>
      <c r="X504" s="10">
        <f>IF(AND(ISNUMBER(Q504),ISNUMBER(M504)),IF(M504&gt;0,Q504/M504,""),"")</f>
        <v/>
      </c>
      <c r="Y504" s="11">
        <f>IF(ISNUMBER(Z504),YEAR(Z504),"")</f>
        <v/>
      </c>
      <c r="Z504" s="12" t="n"/>
      <c r="AA504" s="12" t="n"/>
      <c r="AI504" s="12" t="n"/>
      <c r="AJ504" s="13">
        <f>IF(LEN(TRIM(AF504))=0,"",HYPERLINK("https://www.google.com/maps/@?api=1&amp;map_action=pano&amp;viewpoint="&amp;SUBSTITUTE(AF504," ",""),"Abrir Street View"))</f>
        <v/>
      </c>
    </row>
    <row r="505">
      <c r="H505" s="6" t="n"/>
      <c r="I505" s="6" t="n"/>
      <c r="M505" s="7" t="n"/>
      <c r="N505" s="7" t="n"/>
      <c r="O505" s="7" t="n"/>
      <c r="Q505" s="7" t="n"/>
      <c r="R505" s="7" t="n"/>
      <c r="S505" s="8">
        <f>IF(NOT(ISNUMBER(M505)),"",IF(G505="Terreno",IF(AND(ISNUMBER(I505),I505&gt;0),M505/I505,""),IF(AND(ISNUMBER(H505),H505&gt;0),M505/H505,"")))</f>
        <v/>
      </c>
      <c r="T505" s="9">
        <f>IF(AND(ISNUMBER(M505),ISNUMBER(O505)),IF(M505&lt;=O505,"Valor ≤ venal IPTU",""),"")</f>
        <v/>
      </c>
      <c r="U505" s="10">
        <f>IF(AND(ISNUMBER(M505),ISNUMBER(N505)),IF(N505&gt;0,M505/N505,""),"")</f>
        <v/>
      </c>
      <c r="V505" s="10">
        <f>IF(AND(ISNUMBER(M505),ISNUMBER(O505)),IF(O505&gt;0,M505/O505,""),"")</f>
        <v/>
      </c>
      <c r="W505" s="10">
        <f>IF(AND(ISNUMBER(M505),ISNUMBER(R505)),IF(R505&gt;0,M505/R505,""),"")</f>
        <v/>
      </c>
      <c r="X505" s="10">
        <f>IF(AND(ISNUMBER(Q505),ISNUMBER(M505)),IF(M505&gt;0,Q505/M505,""),"")</f>
        <v/>
      </c>
      <c r="Y505" s="11">
        <f>IF(ISNUMBER(Z505),YEAR(Z505),"")</f>
        <v/>
      </c>
      <c r="Z505" s="12" t="n"/>
      <c r="AA505" s="12" t="n"/>
      <c r="AI505" s="12" t="n"/>
      <c r="AJ505" s="13">
        <f>IF(LEN(TRIM(AF505))=0,"",HYPERLINK("https://www.google.com/maps/@?api=1&amp;map_action=pano&amp;viewpoint="&amp;SUBSTITUTE(AF505," ",""),"Abrir Street View"))</f>
        <v/>
      </c>
    </row>
    <row r="506">
      <c r="H506" s="6" t="n"/>
      <c r="I506" s="6" t="n"/>
      <c r="M506" s="7" t="n"/>
      <c r="N506" s="7" t="n"/>
      <c r="O506" s="7" t="n"/>
      <c r="Q506" s="7" t="n"/>
      <c r="R506" s="7" t="n"/>
      <c r="S506" s="8">
        <f>IF(NOT(ISNUMBER(M506)),"",IF(G506="Terreno",IF(AND(ISNUMBER(I506),I506&gt;0),M506/I506,""),IF(AND(ISNUMBER(H506),H506&gt;0),M506/H506,"")))</f>
        <v/>
      </c>
      <c r="T506" s="9">
        <f>IF(AND(ISNUMBER(M506),ISNUMBER(O506)),IF(M506&lt;=O506,"Valor ≤ venal IPTU",""),"")</f>
        <v/>
      </c>
      <c r="U506" s="10">
        <f>IF(AND(ISNUMBER(M506),ISNUMBER(N506)),IF(N506&gt;0,M506/N506,""),"")</f>
        <v/>
      </c>
      <c r="V506" s="10">
        <f>IF(AND(ISNUMBER(M506),ISNUMBER(O506)),IF(O506&gt;0,M506/O506,""),"")</f>
        <v/>
      </c>
      <c r="W506" s="10">
        <f>IF(AND(ISNUMBER(M506),ISNUMBER(R506)),IF(R506&gt;0,M506/R506,""),"")</f>
        <v/>
      </c>
      <c r="X506" s="10">
        <f>IF(AND(ISNUMBER(Q506),ISNUMBER(M506)),IF(M506&gt;0,Q506/M506,""),"")</f>
        <v/>
      </c>
      <c r="Y506" s="11">
        <f>IF(ISNUMBER(Z506),YEAR(Z506),"")</f>
        <v/>
      </c>
      <c r="Z506" s="12" t="n"/>
      <c r="AA506" s="12" t="n"/>
      <c r="AI506" s="12" t="n"/>
      <c r="AJ506" s="13">
        <f>IF(LEN(TRIM(AF506))=0,"",HYPERLINK("https://www.google.com/maps/@?api=1&amp;map_action=pano&amp;viewpoint="&amp;SUBSTITUTE(AF506," ",""),"Abrir Street View"))</f>
        <v/>
      </c>
    </row>
    <row r="507">
      <c r="H507" s="6" t="n"/>
      <c r="I507" s="6" t="n"/>
      <c r="M507" s="7" t="n"/>
      <c r="N507" s="7" t="n"/>
      <c r="O507" s="7" t="n"/>
      <c r="Q507" s="7" t="n"/>
      <c r="R507" s="7" t="n"/>
      <c r="S507" s="8">
        <f>IF(NOT(ISNUMBER(M507)),"",IF(G507="Terreno",IF(AND(ISNUMBER(I507),I507&gt;0),M507/I507,""),IF(AND(ISNUMBER(H507),H507&gt;0),M507/H507,"")))</f>
        <v/>
      </c>
      <c r="T507" s="9">
        <f>IF(AND(ISNUMBER(M507),ISNUMBER(O507)),IF(M507&lt;=O507,"Valor ≤ venal IPTU",""),"")</f>
        <v/>
      </c>
      <c r="U507" s="10">
        <f>IF(AND(ISNUMBER(M507),ISNUMBER(N507)),IF(N507&gt;0,M507/N507,""),"")</f>
        <v/>
      </c>
      <c r="V507" s="10">
        <f>IF(AND(ISNUMBER(M507),ISNUMBER(O507)),IF(O507&gt;0,M507/O507,""),"")</f>
        <v/>
      </c>
      <c r="W507" s="10">
        <f>IF(AND(ISNUMBER(M507),ISNUMBER(R507)),IF(R507&gt;0,M507/R507,""),"")</f>
        <v/>
      </c>
      <c r="X507" s="10">
        <f>IF(AND(ISNUMBER(Q507),ISNUMBER(M507)),IF(M507&gt;0,Q507/M507,""),"")</f>
        <v/>
      </c>
      <c r="Y507" s="11">
        <f>IF(ISNUMBER(Z507),YEAR(Z507),"")</f>
        <v/>
      </c>
      <c r="Z507" s="12" t="n"/>
      <c r="AA507" s="12" t="n"/>
      <c r="AI507" s="12" t="n"/>
      <c r="AJ507" s="13">
        <f>IF(LEN(TRIM(AF507))=0,"",HYPERLINK("https://www.google.com/maps/@?api=1&amp;map_action=pano&amp;viewpoint="&amp;SUBSTITUTE(AF507," ",""),"Abrir Street View"))</f>
        <v/>
      </c>
    </row>
    <row r="508">
      <c r="H508" s="6" t="n"/>
      <c r="I508" s="6" t="n"/>
      <c r="M508" s="7" t="n"/>
      <c r="N508" s="7" t="n"/>
      <c r="O508" s="7" t="n"/>
      <c r="Q508" s="7" t="n"/>
      <c r="R508" s="7" t="n"/>
      <c r="S508" s="8">
        <f>IF(NOT(ISNUMBER(M508)),"",IF(G508="Terreno",IF(AND(ISNUMBER(I508),I508&gt;0),M508/I508,""),IF(AND(ISNUMBER(H508),H508&gt;0),M508/H508,"")))</f>
        <v/>
      </c>
      <c r="T508" s="9">
        <f>IF(AND(ISNUMBER(M508),ISNUMBER(O508)),IF(M508&lt;=O508,"Valor ≤ venal IPTU",""),"")</f>
        <v/>
      </c>
      <c r="U508" s="10">
        <f>IF(AND(ISNUMBER(M508),ISNUMBER(N508)),IF(N508&gt;0,M508/N508,""),"")</f>
        <v/>
      </c>
      <c r="V508" s="10">
        <f>IF(AND(ISNUMBER(M508),ISNUMBER(O508)),IF(O508&gt;0,M508/O508,""),"")</f>
        <v/>
      </c>
      <c r="W508" s="10">
        <f>IF(AND(ISNUMBER(M508),ISNUMBER(R508)),IF(R508&gt;0,M508/R508,""),"")</f>
        <v/>
      </c>
      <c r="X508" s="10">
        <f>IF(AND(ISNUMBER(Q508),ISNUMBER(M508)),IF(M508&gt;0,Q508/M508,""),"")</f>
        <v/>
      </c>
      <c r="Y508" s="11">
        <f>IF(ISNUMBER(Z508),YEAR(Z508),"")</f>
        <v/>
      </c>
      <c r="Z508" s="12" t="n"/>
      <c r="AA508" s="12" t="n"/>
      <c r="AI508" s="12" t="n"/>
      <c r="AJ508" s="13">
        <f>IF(LEN(TRIM(AF508))=0,"",HYPERLINK("https://www.google.com/maps/@?api=1&amp;map_action=pano&amp;viewpoint="&amp;SUBSTITUTE(AF508," ",""),"Abrir Street View"))</f>
        <v/>
      </c>
    </row>
    <row r="509">
      <c r="H509" s="6" t="n"/>
      <c r="I509" s="6" t="n"/>
      <c r="M509" s="7" t="n"/>
      <c r="N509" s="7" t="n"/>
      <c r="O509" s="7" t="n"/>
      <c r="Q509" s="7" t="n"/>
      <c r="R509" s="7" t="n"/>
      <c r="S509" s="8">
        <f>IF(NOT(ISNUMBER(M509)),"",IF(G509="Terreno",IF(AND(ISNUMBER(I509),I509&gt;0),M509/I509,""),IF(AND(ISNUMBER(H509),H509&gt;0),M509/H509,"")))</f>
        <v/>
      </c>
      <c r="T509" s="9">
        <f>IF(AND(ISNUMBER(M509),ISNUMBER(O509)),IF(M509&lt;=O509,"Valor ≤ venal IPTU",""),"")</f>
        <v/>
      </c>
      <c r="U509" s="10">
        <f>IF(AND(ISNUMBER(M509),ISNUMBER(N509)),IF(N509&gt;0,M509/N509,""),"")</f>
        <v/>
      </c>
      <c r="V509" s="10">
        <f>IF(AND(ISNUMBER(M509),ISNUMBER(O509)),IF(O509&gt;0,M509/O509,""),"")</f>
        <v/>
      </c>
      <c r="W509" s="10">
        <f>IF(AND(ISNUMBER(M509),ISNUMBER(R509)),IF(R509&gt;0,M509/R509,""),"")</f>
        <v/>
      </c>
      <c r="X509" s="10">
        <f>IF(AND(ISNUMBER(Q509),ISNUMBER(M509)),IF(M509&gt;0,Q509/M509,""),"")</f>
        <v/>
      </c>
      <c r="Y509" s="11">
        <f>IF(ISNUMBER(Z509),YEAR(Z509),"")</f>
        <v/>
      </c>
      <c r="Z509" s="12" t="n"/>
      <c r="AA509" s="12" t="n"/>
      <c r="AI509" s="12" t="n"/>
      <c r="AJ509" s="13">
        <f>IF(LEN(TRIM(AF509))=0,"",HYPERLINK("https://www.google.com/maps/@?api=1&amp;map_action=pano&amp;viewpoint="&amp;SUBSTITUTE(AF509," ",""),"Abrir Street View"))</f>
        <v/>
      </c>
    </row>
    <row r="510">
      <c r="H510" s="6" t="n"/>
      <c r="I510" s="6" t="n"/>
      <c r="M510" s="7" t="n"/>
      <c r="N510" s="7" t="n"/>
      <c r="O510" s="7" t="n"/>
      <c r="Q510" s="7" t="n"/>
      <c r="R510" s="7" t="n"/>
      <c r="S510" s="8">
        <f>IF(NOT(ISNUMBER(M510)),"",IF(G510="Terreno",IF(AND(ISNUMBER(I510),I510&gt;0),M510/I510,""),IF(AND(ISNUMBER(H510),H510&gt;0),M510/H510,"")))</f>
        <v/>
      </c>
      <c r="T510" s="9">
        <f>IF(AND(ISNUMBER(M510),ISNUMBER(O510)),IF(M510&lt;=O510,"Valor ≤ venal IPTU",""),"")</f>
        <v/>
      </c>
      <c r="U510" s="10">
        <f>IF(AND(ISNUMBER(M510),ISNUMBER(N510)),IF(N510&gt;0,M510/N510,""),"")</f>
        <v/>
      </c>
      <c r="V510" s="10">
        <f>IF(AND(ISNUMBER(M510),ISNUMBER(O510)),IF(O510&gt;0,M510/O510,""),"")</f>
        <v/>
      </c>
      <c r="W510" s="10">
        <f>IF(AND(ISNUMBER(M510),ISNUMBER(R510)),IF(R510&gt;0,M510/R510,""),"")</f>
        <v/>
      </c>
      <c r="X510" s="10">
        <f>IF(AND(ISNUMBER(Q510),ISNUMBER(M510)),IF(M510&gt;0,Q510/M510,""),"")</f>
        <v/>
      </c>
      <c r="Y510" s="11">
        <f>IF(ISNUMBER(Z510),YEAR(Z510),"")</f>
        <v/>
      </c>
      <c r="Z510" s="12" t="n"/>
      <c r="AA510" s="12" t="n"/>
      <c r="AI510" s="12" t="n"/>
      <c r="AJ510" s="13">
        <f>IF(LEN(TRIM(AF510))=0,"",HYPERLINK("https://www.google.com/maps/@?api=1&amp;map_action=pano&amp;viewpoint="&amp;SUBSTITUTE(AF510," ",""),"Abrir Street View"))</f>
        <v/>
      </c>
    </row>
    <row r="511">
      <c r="H511" s="6" t="n"/>
      <c r="I511" s="6" t="n"/>
      <c r="M511" s="7" t="n"/>
      <c r="N511" s="7" t="n"/>
      <c r="O511" s="7" t="n"/>
      <c r="Q511" s="7" t="n"/>
      <c r="R511" s="7" t="n"/>
      <c r="S511" s="8">
        <f>IF(NOT(ISNUMBER(M511)),"",IF(G511="Terreno",IF(AND(ISNUMBER(I511),I511&gt;0),M511/I511,""),IF(AND(ISNUMBER(H511),H511&gt;0),M511/H511,"")))</f>
        <v/>
      </c>
      <c r="T511" s="9">
        <f>IF(AND(ISNUMBER(M511),ISNUMBER(O511)),IF(M511&lt;=O511,"Valor ≤ venal IPTU",""),"")</f>
        <v/>
      </c>
      <c r="U511" s="10">
        <f>IF(AND(ISNUMBER(M511),ISNUMBER(N511)),IF(N511&gt;0,M511/N511,""),"")</f>
        <v/>
      </c>
      <c r="V511" s="10">
        <f>IF(AND(ISNUMBER(M511),ISNUMBER(O511)),IF(O511&gt;0,M511/O511,""),"")</f>
        <v/>
      </c>
      <c r="W511" s="10">
        <f>IF(AND(ISNUMBER(M511),ISNUMBER(R511)),IF(R511&gt;0,M511/R511,""),"")</f>
        <v/>
      </c>
      <c r="X511" s="10">
        <f>IF(AND(ISNUMBER(Q511),ISNUMBER(M511)),IF(M511&gt;0,Q511/M511,""),"")</f>
        <v/>
      </c>
      <c r="Y511" s="11">
        <f>IF(ISNUMBER(Z511),YEAR(Z511),"")</f>
        <v/>
      </c>
      <c r="Z511" s="12" t="n"/>
      <c r="AA511" s="12" t="n"/>
      <c r="AI511" s="12" t="n"/>
      <c r="AJ511" s="13">
        <f>IF(LEN(TRIM(AF511))=0,"",HYPERLINK("https://www.google.com/maps/@?api=1&amp;map_action=pano&amp;viewpoint="&amp;SUBSTITUTE(AF511," ",""),"Abrir Street View"))</f>
        <v/>
      </c>
    </row>
    <row r="512">
      <c r="H512" s="6" t="n"/>
      <c r="I512" s="6" t="n"/>
      <c r="M512" s="7" t="n"/>
      <c r="N512" s="7" t="n"/>
      <c r="O512" s="7" t="n"/>
      <c r="Q512" s="7" t="n"/>
      <c r="R512" s="7" t="n"/>
      <c r="S512" s="8">
        <f>IF(NOT(ISNUMBER(M512)),"",IF(G512="Terreno",IF(AND(ISNUMBER(I512),I512&gt;0),M512/I512,""),IF(AND(ISNUMBER(H512),H512&gt;0),M512/H512,"")))</f>
        <v/>
      </c>
      <c r="T512" s="9">
        <f>IF(AND(ISNUMBER(M512),ISNUMBER(O512)),IF(M512&lt;=O512,"Valor ≤ venal IPTU",""),"")</f>
        <v/>
      </c>
      <c r="U512" s="10">
        <f>IF(AND(ISNUMBER(M512),ISNUMBER(N512)),IF(N512&gt;0,M512/N512,""),"")</f>
        <v/>
      </c>
      <c r="V512" s="10">
        <f>IF(AND(ISNUMBER(M512),ISNUMBER(O512)),IF(O512&gt;0,M512/O512,""),"")</f>
        <v/>
      </c>
      <c r="W512" s="10">
        <f>IF(AND(ISNUMBER(M512),ISNUMBER(R512)),IF(R512&gt;0,M512/R512,""),"")</f>
        <v/>
      </c>
      <c r="X512" s="10">
        <f>IF(AND(ISNUMBER(Q512),ISNUMBER(M512)),IF(M512&gt;0,Q512/M512,""),"")</f>
        <v/>
      </c>
      <c r="Y512" s="11">
        <f>IF(ISNUMBER(Z512),YEAR(Z512),"")</f>
        <v/>
      </c>
      <c r="Z512" s="12" t="n"/>
      <c r="AA512" s="12" t="n"/>
      <c r="AI512" s="12" t="n"/>
      <c r="AJ512" s="13">
        <f>IF(LEN(TRIM(AF512))=0,"",HYPERLINK("https://www.google.com/maps/@?api=1&amp;map_action=pano&amp;viewpoint="&amp;SUBSTITUTE(AF512," ",""),"Abrir Street View"))</f>
        <v/>
      </c>
    </row>
    <row r="513">
      <c r="H513" s="6" t="n"/>
      <c r="I513" s="6" t="n"/>
      <c r="M513" s="7" t="n"/>
      <c r="N513" s="7" t="n"/>
      <c r="O513" s="7" t="n"/>
      <c r="Q513" s="7" t="n"/>
      <c r="R513" s="7" t="n"/>
      <c r="S513" s="8">
        <f>IF(NOT(ISNUMBER(M513)),"",IF(G513="Terreno",IF(AND(ISNUMBER(I513),I513&gt;0),M513/I513,""),IF(AND(ISNUMBER(H513),H513&gt;0),M513/H513,"")))</f>
        <v/>
      </c>
      <c r="T513" s="9">
        <f>IF(AND(ISNUMBER(M513),ISNUMBER(O513)),IF(M513&lt;=O513,"Valor ≤ venal IPTU",""),"")</f>
        <v/>
      </c>
      <c r="U513" s="10">
        <f>IF(AND(ISNUMBER(M513),ISNUMBER(N513)),IF(N513&gt;0,M513/N513,""),"")</f>
        <v/>
      </c>
      <c r="V513" s="10">
        <f>IF(AND(ISNUMBER(M513),ISNUMBER(O513)),IF(O513&gt;0,M513/O513,""),"")</f>
        <v/>
      </c>
      <c r="W513" s="10">
        <f>IF(AND(ISNUMBER(M513),ISNUMBER(R513)),IF(R513&gt;0,M513/R513,""),"")</f>
        <v/>
      </c>
      <c r="X513" s="10">
        <f>IF(AND(ISNUMBER(Q513),ISNUMBER(M513)),IF(M513&gt;0,Q513/M513,""),"")</f>
        <v/>
      </c>
      <c r="Y513" s="11">
        <f>IF(ISNUMBER(Z513),YEAR(Z513),"")</f>
        <v/>
      </c>
      <c r="Z513" s="12" t="n"/>
      <c r="AA513" s="12" t="n"/>
      <c r="AI513" s="12" t="n"/>
      <c r="AJ513" s="13">
        <f>IF(LEN(TRIM(AF513))=0,"",HYPERLINK("https://www.google.com/maps/@?api=1&amp;map_action=pano&amp;viewpoint="&amp;SUBSTITUTE(AF513," ",""),"Abrir Street View"))</f>
        <v/>
      </c>
    </row>
    <row r="514">
      <c r="H514" s="6" t="n"/>
      <c r="I514" s="6" t="n"/>
      <c r="M514" s="7" t="n"/>
      <c r="N514" s="7" t="n"/>
      <c r="O514" s="7" t="n"/>
      <c r="Q514" s="7" t="n"/>
      <c r="R514" s="7" t="n"/>
      <c r="S514" s="8">
        <f>IF(NOT(ISNUMBER(M514)),"",IF(G514="Terreno",IF(AND(ISNUMBER(I514),I514&gt;0),M514/I514,""),IF(AND(ISNUMBER(H514),H514&gt;0),M514/H514,"")))</f>
        <v/>
      </c>
      <c r="T514" s="9">
        <f>IF(AND(ISNUMBER(M514),ISNUMBER(O514)),IF(M514&lt;=O514,"Valor ≤ venal IPTU",""),"")</f>
        <v/>
      </c>
      <c r="U514" s="10">
        <f>IF(AND(ISNUMBER(M514),ISNUMBER(N514)),IF(N514&gt;0,M514/N514,""),"")</f>
        <v/>
      </c>
      <c r="V514" s="10">
        <f>IF(AND(ISNUMBER(M514),ISNUMBER(O514)),IF(O514&gt;0,M514/O514,""),"")</f>
        <v/>
      </c>
      <c r="W514" s="10">
        <f>IF(AND(ISNUMBER(M514),ISNUMBER(R514)),IF(R514&gt;0,M514/R514,""),"")</f>
        <v/>
      </c>
      <c r="X514" s="10">
        <f>IF(AND(ISNUMBER(Q514),ISNUMBER(M514)),IF(M514&gt;0,Q514/M514,""),"")</f>
        <v/>
      </c>
      <c r="Y514" s="11">
        <f>IF(ISNUMBER(Z514),YEAR(Z514),"")</f>
        <v/>
      </c>
      <c r="Z514" s="12" t="n"/>
      <c r="AA514" s="12" t="n"/>
      <c r="AI514" s="12" t="n"/>
      <c r="AJ514" s="13">
        <f>IF(LEN(TRIM(AF514))=0,"",HYPERLINK("https://www.google.com/maps/@?api=1&amp;map_action=pano&amp;viewpoint="&amp;SUBSTITUTE(AF514," ",""),"Abrir Street View"))</f>
        <v/>
      </c>
    </row>
    <row r="515">
      <c r="H515" s="6" t="n"/>
      <c r="I515" s="6" t="n"/>
      <c r="M515" s="7" t="n"/>
      <c r="N515" s="7" t="n"/>
      <c r="O515" s="7" t="n"/>
      <c r="Q515" s="7" t="n"/>
      <c r="R515" s="7" t="n"/>
      <c r="S515" s="8">
        <f>IF(NOT(ISNUMBER(M515)),"",IF(G515="Terreno",IF(AND(ISNUMBER(I515),I515&gt;0),M515/I515,""),IF(AND(ISNUMBER(H515),H515&gt;0),M515/H515,"")))</f>
        <v/>
      </c>
      <c r="T515" s="9">
        <f>IF(AND(ISNUMBER(M515),ISNUMBER(O515)),IF(M515&lt;=O515,"Valor ≤ venal IPTU",""),"")</f>
        <v/>
      </c>
      <c r="U515" s="10">
        <f>IF(AND(ISNUMBER(M515),ISNUMBER(N515)),IF(N515&gt;0,M515/N515,""),"")</f>
        <v/>
      </c>
      <c r="V515" s="10">
        <f>IF(AND(ISNUMBER(M515),ISNUMBER(O515)),IF(O515&gt;0,M515/O515,""),"")</f>
        <v/>
      </c>
      <c r="W515" s="10">
        <f>IF(AND(ISNUMBER(M515),ISNUMBER(R515)),IF(R515&gt;0,M515/R515,""),"")</f>
        <v/>
      </c>
      <c r="X515" s="10">
        <f>IF(AND(ISNUMBER(Q515),ISNUMBER(M515)),IF(M515&gt;0,Q515/M515,""),"")</f>
        <v/>
      </c>
      <c r="Y515" s="11">
        <f>IF(ISNUMBER(Z515),YEAR(Z515),"")</f>
        <v/>
      </c>
      <c r="Z515" s="12" t="n"/>
      <c r="AA515" s="12" t="n"/>
      <c r="AI515" s="12" t="n"/>
      <c r="AJ515" s="13">
        <f>IF(LEN(TRIM(AF515))=0,"",HYPERLINK("https://www.google.com/maps/@?api=1&amp;map_action=pano&amp;viewpoint="&amp;SUBSTITUTE(AF515," ",""),"Abrir Street View"))</f>
        <v/>
      </c>
    </row>
    <row r="516">
      <c r="H516" s="6" t="n"/>
      <c r="I516" s="6" t="n"/>
      <c r="M516" s="7" t="n"/>
      <c r="N516" s="7" t="n"/>
      <c r="O516" s="7" t="n"/>
      <c r="Q516" s="7" t="n"/>
      <c r="R516" s="7" t="n"/>
      <c r="S516" s="8">
        <f>IF(NOT(ISNUMBER(M516)),"",IF(G516="Terreno",IF(AND(ISNUMBER(I516),I516&gt;0),M516/I516,""),IF(AND(ISNUMBER(H516),H516&gt;0),M516/H516,"")))</f>
        <v/>
      </c>
      <c r="T516" s="9">
        <f>IF(AND(ISNUMBER(M516),ISNUMBER(O516)),IF(M516&lt;=O516,"Valor ≤ venal IPTU",""),"")</f>
        <v/>
      </c>
      <c r="U516" s="10">
        <f>IF(AND(ISNUMBER(M516),ISNUMBER(N516)),IF(N516&gt;0,M516/N516,""),"")</f>
        <v/>
      </c>
      <c r="V516" s="10">
        <f>IF(AND(ISNUMBER(M516),ISNUMBER(O516)),IF(O516&gt;0,M516/O516,""),"")</f>
        <v/>
      </c>
      <c r="W516" s="10">
        <f>IF(AND(ISNUMBER(M516),ISNUMBER(R516)),IF(R516&gt;0,M516/R516,""),"")</f>
        <v/>
      </c>
      <c r="X516" s="10">
        <f>IF(AND(ISNUMBER(Q516),ISNUMBER(M516)),IF(M516&gt;0,Q516/M516,""),"")</f>
        <v/>
      </c>
      <c r="Y516" s="11">
        <f>IF(ISNUMBER(Z516),YEAR(Z516),"")</f>
        <v/>
      </c>
      <c r="Z516" s="12" t="n"/>
      <c r="AA516" s="12" t="n"/>
      <c r="AI516" s="12" t="n"/>
      <c r="AJ516" s="13">
        <f>IF(LEN(TRIM(AF516))=0,"",HYPERLINK("https://www.google.com/maps/@?api=1&amp;map_action=pano&amp;viewpoint="&amp;SUBSTITUTE(AF516," ",""),"Abrir Street View"))</f>
        <v/>
      </c>
    </row>
    <row r="517">
      <c r="H517" s="6" t="n"/>
      <c r="I517" s="6" t="n"/>
      <c r="M517" s="7" t="n"/>
      <c r="N517" s="7" t="n"/>
      <c r="O517" s="7" t="n"/>
      <c r="Q517" s="7" t="n"/>
      <c r="R517" s="7" t="n"/>
      <c r="S517" s="8">
        <f>IF(NOT(ISNUMBER(M517)),"",IF(G517="Terreno",IF(AND(ISNUMBER(I517),I517&gt;0),M517/I517,""),IF(AND(ISNUMBER(H517),H517&gt;0),M517/H517,"")))</f>
        <v/>
      </c>
      <c r="T517" s="9">
        <f>IF(AND(ISNUMBER(M517),ISNUMBER(O517)),IF(M517&lt;=O517,"Valor ≤ venal IPTU",""),"")</f>
        <v/>
      </c>
      <c r="U517" s="10">
        <f>IF(AND(ISNUMBER(M517),ISNUMBER(N517)),IF(N517&gt;0,M517/N517,""),"")</f>
        <v/>
      </c>
      <c r="V517" s="10">
        <f>IF(AND(ISNUMBER(M517),ISNUMBER(O517)),IF(O517&gt;0,M517/O517,""),"")</f>
        <v/>
      </c>
      <c r="W517" s="10">
        <f>IF(AND(ISNUMBER(M517),ISNUMBER(R517)),IF(R517&gt;0,M517/R517,""),"")</f>
        <v/>
      </c>
      <c r="X517" s="10">
        <f>IF(AND(ISNUMBER(Q517),ISNUMBER(M517)),IF(M517&gt;0,Q517/M517,""),"")</f>
        <v/>
      </c>
      <c r="Y517" s="11">
        <f>IF(ISNUMBER(Z517),YEAR(Z517),"")</f>
        <v/>
      </c>
      <c r="Z517" s="12" t="n"/>
      <c r="AA517" s="12" t="n"/>
      <c r="AI517" s="12" t="n"/>
      <c r="AJ517" s="13">
        <f>IF(LEN(TRIM(AF517))=0,"",HYPERLINK("https://www.google.com/maps/@?api=1&amp;map_action=pano&amp;viewpoint="&amp;SUBSTITUTE(AF517," ",""),"Abrir Street View"))</f>
        <v/>
      </c>
    </row>
    <row r="518">
      <c r="H518" s="6" t="n"/>
      <c r="I518" s="6" t="n"/>
      <c r="M518" s="7" t="n"/>
      <c r="N518" s="7" t="n"/>
      <c r="O518" s="7" t="n"/>
      <c r="Q518" s="7" t="n"/>
      <c r="R518" s="7" t="n"/>
      <c r="S518" s="8">
        <f>IF(NOT(ISNUMBER(M518)),"",IF(G518="Terreno",IF(AND(ISNUMBER(I518),I518&gt;0),M518/I518,""),IF(AND(ISNUMBER(H518),H518&gt;0),M518/H518,"")))</f>
        <v/>
      </c>
      <c r="T518" s="9">
        <f>IF(AND(ISNUMBER(M518),ISNUMBER(O518)),IF(M518&lt;=O518,"Valor ≤ venal IPTU",""),"")</f>
        <v/>
      </c>
      <c r="U518" s="10">
        <f>IF(AND(ISNUMBER(M518),ISNUMBER(N518)),IF(N518&gt;0,M518/N518,""),"")</f>
        <v/>
      </c>
      <c r="V518" s="10">
        <f>IF(AND(ISNUMBER(M518),ISNUMBER(O518)),IF(O518&gt;0,M518/O518,""),"")</f>
        <v/>
      </c>
      <c r="W518" s="10">
        <f>IF(AND(ISNUMBER(M518),ISNUMBER(R518)),IF(R518&gt;0,M518/R518,""),"")</f>
        <v/>
      </c>
      <c r="X518" s="10">
        <f>IF(AND(ISNUMBER(Q518),ISNUMBER(M518)),IF(M518&gt;0,Q518/M518,""),"")</f>
        <v/>
      </c>
      <c r="Y518" s="11">
        <f>IF(ISNUMBER(Z518),YEAR(Z518),"")</f>
        <v/>
      </c>
      <c r="Z518" s="12" t="n"/>
      <c r="AA518" s="12" t="n"/>
      <c r="AI518" s="12" t="n"/>
      <c r="AJ518" s="13">
        <f>IF(LEN(TRIM(AF518))=0,"",HYPERLINK("https://www.google.com/maps/@?api=1&amp;map_action=pano&amp;viewpoint="&amp;SUBSTITUTE(AF518," ",""),"Abrir Street View"))</f>
        <v/>
      </c>
    </row>
    <row r="519">
      <c r="H519" s="6" t="n"/>
      <c r="I519" s="6" t="n"/>
      <c r="M519" s="7" t="n"/>
      <c r="N519" s="7" t="n"/>
      <c r="O519" s="7" t="n"/>
      <c r="Q519" s="7" t="n"/>
      <c r="R519" s="7" t="n"/>
      <c r="S519" s="8">
        <f>IF(NOT(ISNUMBER(M519)),"",IF(G519="Terreno",IF(AND(ISNUMBER(I519),I519&gt;0),M519/I519,""),IF(AND(ISNUMBER(H519),H519&gt;0),M519/H519,"")))</f>
        <v/>
      </c>
      <c r="T519" s="9">
        <f>IF(AND(ISNUMBER(M519),ISNUMBER(O519)),IF(M519&lt;=O519,"Valor ≤ venal IPTU",""),"")</f>
        <v/>
      </c>
      <c r="U519" s="10">
        <f>IF(AND(ISNUMBER(M519),ISNUMBER(N519)),IF(N519&gt;0,M519/N519,""),"")</f>
        <v/>
      </c>
      <c r="V519" s="10">
        <f>IF(AND(ISNUMBER(M519),ISNUMBER(O519)),IF(O519&gt;0,M519/O519,""),"")</f>
        <v/>
      </c>
      <c r="W519" s="10">
        <f>IF(AND(ISNUMBER(M519),ISNUMBER(R519)),IF(R519&gt;0,M519/R519,""),"")</f>
        <v/>
      </c>
      <c r="X519" s="10">
        <f>IF(AND(ISNUMBER(Q519),ISNUMBER(M519)),IF(M519&gt;0,Q519/M519,""),"")</f>
        <v/>
      </c>
      <c r="Y519" s="11">
        <f>IF(ISNUMBER(Z519),YEAR(Z519),"")</f>
        <v/>
      </c>
      <c r="Z519" s="12" t="n"/>
      <c r="AA519" s="12" t="n"/>
      <c r="AI519" s="12" t="n"/>
      <c r="AJ519" s="13">
        <f>IF(LEN(TRIM(AF519))=0,"",HYPERLINK("https://www.google.com/maps/@?api=1&amp;map_action=pano&amp;viewpoint="&amp;SUBSTITUTE(AF519," ",""),"Abrir Street View"))</f>
        <v/>
      </c>
    </row>
    <row r="520">
      <c r="H520" s="6" t="n"/>
      <c r="I520" s="6" t="n"/>
      <c r="M520" s="7" t="n"/>
      <c r="N520" s="7" t="n"/>
      <c r="O520" s="7" t="n"/>
      <c r="Q520" s="7" t="n"/>
      <c r="R520" s="7" t="n"/>
      <c r="S520" s="8">
        <f>IF(NOT(ISNUMBER(M520)),"",IF(G520="Terreno",IF(AND(ISNUMBER(I520),I520&gt;0),M520/I520,""),IF(AND(ISNUMBER(H520),H520&gt;0),M520/H520,"")))</f>
        <v/>
      </c>
      <c r="T520" s="9">
        <f>IF(AND(ISNUMBER(M520),ISNUMBER(O520)),IF(M520&lt;=O520,"Valor ≤ venal IPTU",""),"")</f>
        <v/>
      </c>
      <c r="U520" s="10">
        <f>IF(AND(ISNUMBER(M520),ISNUMBER(N520)),IF(N520&gt;0,M520/N520,""),"")</f>
        <v/>
      </c>
      <c r="V520" s="10">
        <f>IF(AND(ISNUMBER(M520),ISNUMBER(O520)),IF(O520&gt;0,M520/O520,""),"")</f>
        <v/>
      </c>
      <c r="W520" s="10">
        <f>IF(AND(ISNUMBER(M520),ISNUMBER(R520)),IF(R520&gt;0,M520/R520,""),"")</f>
        <v/>
      </c>
      <c r="X520" s="10">
        <f>IF(AND(ISNUMBER(Q520),ISNUMBER(M520)),IF(M520&gt;0,Q520/M520,""),"")</f>
        <v/>
      </c>
      <c r="Y520" s="11">
        <f>IF(ISNUMBER(Z520),YEAR(Z520),"")</f>
        <v/>
      </c>
      <c r="Z520" s="12" t="n"/>
      <c r="AA520" s="12" t="n"/>
      <c r="AI520" s="12" t="n"/>
      <c r="AJ520" s="13">
        <f>IF(LEN(TRIM(AF520))=0,"",HYPERLINK("https://www.google.com/maps/@?api=1&amp;map_action=pano&amp;viewpoint="&amp;SUBSTITUTE(AF520," ",""),"Abrir Street View"))</f>
        <v/>
      </c>
    </row>
    <row r="521">
      <c r="H521" s="6" t="n"/>
      <c r="I521" s="6" t="n"/>
      <c r="M521" s="7" t="n"/>
      <c r="N521" s="7" t="n"/>
      <c r="O521" s="7" t="n"/>
      <c r="Q521" s="7" t="n"/>
      <c r="R521" s="7" t="n"/>
      <c r="S521" s="8">
        <f>IF(NOT(ISNUMBER(M521)),"",IF(G521="Terreno",IF(AND(ISNUMBER(I521),I521&gt;0),M521/I521,""),IF(AND(ISNUMBER(H521),H521&gt;0),M521/H521,"")))</f>
        <v/>
      </c>
      <c r="T521" s="9">
        <f>IF(AND(ISNUMBER(M521),ISNUMBER(O521)),IF(M521&lt;=O521,"Valor ≤ venal IPTU",""),"")</f>
        <v/>
      </c>
      <c r="U521" s="10">
        <f>IF(AND(ISNUMBER(M521),ISNUMBER(N521)),IF(N521&gt;0,M521/N521,""),"")</f>
        <v/>
      </c>
      <c r="V521" s="10">
        <f>IF(AND(ISNUMBER(M521),ISNUMBER(O521)),IF(O521&gt;0,M521/O521,""),"")</f>
        <v/>
      </c>
      <c r="W521" s="10">
        <f>IF(AND(ISNUMBER(M521),ISNUMBER(R521)),IF(R521&gt;0,M521/R521,""),"")</f>
        <v/>
      </c>
      <c r="X521" s="10">
        <f>IF(AND(ISNUMBER(Q521),ISNUMBER(M521)),IF(M521&gt;0,Q521/M521,""),"")</f>
        <v/>
      </c>
      <c r="Y521" s="11">
        <f>IF(ISNUMBER(Z521),YEAR(Z521),"")</f>
        <v/>
      </c>
      <c r="Z521" s="12" t="n"/>
      <c r="AA521" s="12" t="n"/>
      <c r="AI521" s="12" t="n"/>
      <c r="AJ521" s="13">
        <f>IF(LEN(TRIM(AF521))=0,"",HYPERLINK("https://www.google.com/maps/@?api=1&amp;map_action=pano&amp;viewpoint="&amp;SUBSTITUTE(AF521," ",""),"Abrir Street View"))</f>
        <v/>
      </c>
    </row>
    <row r="522">
      <c r="H522" s="6" t="n"/>
      <c r="I522" s="6" t="n"/>
      <c r="M522" s="7" t="n"/>
      <c r="N522" s="7" t="n"/>
      <c r="O522" s="7" t="n"/>
      <c r="Q522" s="7" t="n"/>
      <c r="R522" s="7" t="n"/>
      <c r="S522" s="8">
        <f>IF(NOT(ISNUMBER(M522)),"",IF(G522="Terreno",IF(AND(ISNUMBER(I522),I522&gt;0),M522/I522,""),IF(AND(ISNUMBER(H522),H522&gt;0),M522/H522,"")))</f>
        <v/>
      </c>
      <c r="T522" s="9">
        <f>IF(AND(ISNUMBER(M522),ISNUMBER(O522)),IF(M522&lt;=O522,"Valor ≤ venal IPTU",""),"")</f>
        <v/>
      </c>
      <c r="U522" s="10">
        <f>IF(AND(ISNUMBER(M522),ISNUMBER(N522)),IF(N522&gt;0,M522/N522,""),"")</f>
        <v/>
      </c>
      <c r="V522" s="10">
        <f>IF(AND(ISNUMBER(M522),ISNUMBER(O522)),IF(O522&gt;0,M522/O522,""),"")</f>
        <v/>
      </c>
      <c r="W522" s="10">
        <f>IF(AND(ISNUMBER(M522),ISNUMBER(R522)),IF(R522&gt;0,M522/R522,""),"")</f>
        <v/>
      </c>
      <c r="X522" s="10">
        <f>IF(AND(ISNUMBER(Q522),ISNUMBER(M522)),IF(M522&gt;0,Q522/M522,""),"")</f>
        <v/>
      </c>
      <c r="Y522" s="11">
        <f>IF(ISNUMBER(Z522),YEAR(Z522),"")</f>
        <v/>
      </c>
      <c r="Z522" s="12" t="n"/>
      <c r="AA522" s="12" t="n"/>
      <c r="AI522" s="12" t="n"/>
      <c r="AJ522" s="13">
        <f>IF(LEN(TRIM(AF522))=0,"",HYPERLINK("https://www.google.com/maps/@?api=1&amp;map_action=pano&amp;viewpoint="&amp;SUBSTITUTE(AF522," ",""),"Abrir Street View"))</f>
        <v/>
      </c>
    </row>
    <row r="523">
      <c r="H523" s="6" t="n"/>
      <c r="I523" s="6" t="n"/>
      <c r="M523" s="7" t="n"/>
      <c r="N523" s="7" t="n"/>
      <c r="O523" s="7" t="n"/>
      <c r="Q523" s="7" t="n"/>
      <c r="R523" s="7" t="n"/>
      <c r="S523" s="8">
        <f>IF(NOT(ISNUMBER(M523)),"",IF(G523="Terreno",IF(AND(ISNUMBER(I523),I523&gt;0),M523/I523,""),IF(AND(ISNUMBER(H523),H523&gt;0),M523/H523,"")))</f>
        <v/>
      </c>
      <c r="T523" s="9">
        <f>IF(AND(ISNUMBER(M523),ISNUMBER(O523)),IF(M523&lt;=O523,"Valor ≤ venal IPTU",""),"")</f>
        <v/>
      </c>
      <c r="U523" s="10">
        <f>IF(AND(ISNUMBER(M523),ISNUMBER(N523)),IF(N523&gt;0,M523/N523,""),"")</f>
        <v/>
      </c>
      <c r="V523" s="10">
        <f>IF(AND(ISNUMBER(M523),ISNUMBER(O523)),IF(O523&gt;0,M523/O523,""),"")</f>
        <v/>
      </c>
      <c r="W523" s="10">
        <f>IF(AND(ISNUMBER(M523),ISNUMBER(R523)),IF(R523&gt;0,M523/R523,""),"")</f>
        <v/>
      </c>
      <c r="X523" s="10">
        <f>IF(AND(ISNUMBER(Q523),ISNUMBER(M523)),IF(M523&gt;0,Q523/M523,""),"")</f>
        <v/>
      </c>
      <c r="Y523" s="11">
        <f>IF(ISNUMBER(Z523),YEAR(Z523),"")</f>
        <v/>
      </c>
      <c r="Z523" s="12" t="n"/>
      <c r="AA523" s="12" t="n"/>
      <c r="AI523" s="12" t="n"/>
      <c r="AJ523" s="13">
        <f>IF(LEN(TRIM(AF523))=0,"",HYPERLINK("https://www.google.com/maps/@?api=1&amp;map_action=pano&amp;viewpoint="&amp;SUBSTITUTE(AF523," ",""),"Abrir Street View"))</f>
        <v/>
      </c>
    </row>
    <row r="524">
      <c r="H524" s="6" t="n"/>
      <c r="I524" s="6" t="n"/>
      <c r="M524" s="7" t="n"/>
      <c r="N524" s="7" t="n"/>
      <c r="O524" s="7" t="n"/>
      <c r="Q524" s="7" t="n"/>
      <c r="R524" s="7" t="n"/>
      <c r="S524" s="8">
        <f>IF(NOT(ISNUMBER(M524)),"",IF(G524="Terreno",IF(AND(ISNUMBER(I524),I524&gt;0),M524/I524,""),IF(AND(ISNUMBER(H524),H524&gt;0),M524/H524,"")))</f>
        <v/>
      </c>
      <c r="T524" s="9">
        <f>IF(AND(ISNUMBER(M524),ISNUMBER(O524)),IF(M524&lt;=O524,"Valor ≤ venal IPTU",""),"")</f>
        <v/>
      </c>
      <c r="U524" s="10">
        <f>IF(AND(ISNUMBER(M524),ISNUMBER(N524)),IF(N524&gt;0,M524/N524,""),"")</f>
        <v/>
      </c>
      <c r="V524" s="10">
        <f>IF(AND(ISNUMBER(M524),ISNUMBER(O524)),IF(O524&gt;0,M524/O524,""),"")</f>
        <v/>
      </c>
      <c r="W524" s="10">
        <f>IF(AND(ISNUMBER(M524),ISNUMBER(R524)),IF(R524&gt;0,M524/R524,""),"")</f>
        <v/>
      </c>
      <c r="X524" s="10">
        <f>IF(AND(ISNUMBER(Q524),ISNUMBER(M524)),IF(M524&gt;0,Q524/M524,""),"")</f>
        <v/>
      </c>
      <c r="Y524" s="11">
        <f>IF(ISNUMBER(Z524),YEAR(Z524),"")</f>
        <v/>
      </c>
      <c r="Z524" s="12" t="n"/>
      <c r="AA524" s="12" t="n"/>
      <c r="AI524" s="12" t="n"/>
      <c r="AJ524" s="13">
        <f>IF(LEN(TRIM(AF524))=0,"",HYPERLINK("https://www.google.com/maps/@?api=1&amp;map_action=pano&amp;viewpoint="&amp;SUBSTITUTE(AF524," ",""),"Abrir Street View"))</f>
        <v/>
      </c>
    </row>
    <row r="525">
      <c r="H525" s="6" t="n"/>
      <c r="I525" s="6" t="n"/>
      <c r="M525" s="7" t="n"/>
      <c r="N525" s="7" t="n"/>
      <c r="O525" s="7" t="n"/>
      <c r="Q525" s="7" t="n"/>
      <c r="R525" s="7" t="n"/>
      <c r="S525" s="8">
        <f>IF(NOT(ISNUMBER(M525)),"",IF(G525="Terreno",IF(AND(ISNUMBER(I525),I525&gt;0),M525/I525,""),IF(AND(ISNUMBER(H525),H525&gt;0),M525/H525,"")))</f>
        <v/>
      </c>
      <c r="T525" s="9">
        <f>IF(AND(ISNUMBER(M525),ISNUMBER(O525)),IF(M525&lt;=O525,"Valor ≤ venal IPTU",""),"")</f>
        <v/>
      </c>
      <c r="U525" s="10">
        <f>IF(AND(ISNUMBER(M525),ISNUMBER(N525)),IF(N525&gt;0,M525/N525,""),"")</f>
        <v/>
      </c>
      <c r="V525" s="10">
        <f>IF(AND(ISNUMBER(M525),ISNUMBER(O525)),IF(O525&gt;0,M525/O525,""),"")</f>
        <v/>
      </c>
      <c r="W525" s="10">
        <f>IF(AND(ISNUMBER(M525),ISNUMBER(R525)),IF(R525&gt;0,M525/R525,""),"")</f>
        <v/>
      </c>
      <c r="X525" s="10">
        <f>IF(AND(ISNUMBER(Q525),ISNUMBER(M525)),IF(M525&gt;0,Q525/M525,""),"")</f>
        <v/>
      </c>
      <c r="Y525" s="11">
        <f>IF(ISNUMBER(Z525),YEAR(Z525),"")</f>
        <v/>
      </c>
      <c r="Z525" s="12" t="n"/>
      <c r="AA525" s="12" t="n"/>
      <c r="AI525" s="12" t="n"/>
      <c r="AJ525" s="13">
        <f>IF(LEN(TRIM(AF525))=0,"",HYPERLINK("https://www.google.com/maps/@?api=1&amp;map_action=pano&amp;viewpoint="&amp;SUBSTITUTE(AF525," ",""),"Abrir Street View"))</f>
        <v/>
      </c>
    </row>
    <row r="526">
      <c r="H526" s="6" t="n"/>
      <c r="I526" s="6" t="n"/>
      <c r="M526" s="7" t="n"/>
      <c r="N526" s="7" t="n"/>
      <c r="O526" s="7" t="n"/>
      <c r="Q526" s="7" t="n"/>
      <c r="R526" s="7" t="n"/>
      <c r="S526" s="8">
        <f>IF(NOT(ISNUMBER(M526)),"",IF(G526="Terreno",IF(AND(ISNUMBER(I526),I526&gt;0),M526/I526,""),IF(AND(ISNUMBER(H526),H526&gt;0),M526/H526,"")))</f>
        <v/>
      </c>
      <c r="T526" s="9">
        <f>IF(AND(ISNUMBER(M526),ISNUMBER(O526)),IF(M526&lt;=O526,"Valor ≤ venal IPTU",""),"")</f>
        <v/>
      </c>
      <c r="U526" s="10">
        <f>IF(AND(ISNUMBER(M526),ISNUMBER(N526)),IF(N526&gt;0,M526/N526,""),"")</f>
        <v/>
      </c>
      <c r="V526" s="10">
        <f>IF(AND(ISNUMBER(M526),ISNUMBER(O526)),IF(O526&gt;0,M526/O526,""),"")</f>
        <v/>
      </c>
      <c r="W526" s="10">
        <f>IF(AND(ISNUMBER(M526),ISNUMBER(R526)),IF(R526&gt;0,M526/R526,""),"")</f>
        <v/>
      </c>
      <c r="X526" s="10">
        <f>IF(AND(ISNUMBER(Q526),ISNUMBER(M526)),IF(M526&gt;0,Q526/M526,""),"")</f>
        <v/>
      </c>
      <c r="Y526" s="11">
        <f>IF(ISNUMBER(Z526),YEAR(Z526),"")</f>
        <v/>
      </c>
      <c r="Z526" s="12" t="n"/>
      <c r="AA526" s="12" t="n"/>
      <c r="AI526" s="12" t="n"/>
      <c r="AJ526" s="13">
        <f>IF(LEN(TRIM(AF526))=0,"",HYPERLINK("https://www.google.com/maps/@?api=1&amp;map_action=pano&amp;viewpoint="&amp;SUBSTITUTE(AF526," ",""),"Abrir Street View"))</f>
        <v/>
      </c>
    </row>
    <row r="527">
      <c r="H527" s="6" t="n"/>
      <c r="I527" s="6" t="n"/>
      <c r="M527" s="7" t="n"/>
      <c r="N527" s="7" t="n"/>
      <c r="O527" s="7" t="n"/>
      <c r="Q527" s="7" t="n"/>
      <c r="R527" s="7" t="n"/>
      <c r="S527" s="8">
        <f>IF(NOT(ISNUMBER(M527)),"",IF(G527="Terreno",IF(AND(ISNUMBER(I527),I527&gt;0),M527/I527,""),IF(AND(ISNUMBER(H527),H527&gt;0),M527/H527,"")))</f>
        <v/>
      </c>
      <c r="T527" s="9">
        <f>IF(AND(ISNUMBER(M527),ISNUMBER(O527)),IF(M527&lt;=O527,"Valor ≤ venal IPTU",""),"")</f>
        <v/>
      </c>
      <c r="U527" s="10">
        <f>IF(AND(ISNUMBER(M527),ISNUMBER(N527)),IF(N527&gt;0,M527/N527,""),"")</f>
        <v/>
      </c>
      <c r="V527" s="10">
        <f>IF(AND(ISNUMBER(M527),ISNUMBER(O527)),IF(O527&gt;0,M527/O527,""),"")</f>
        <v/>
      </c>
      <c r="W527" s="10">
        <f>IF(AND(ISNUMBER(M527),ISNUMBER(R527)),IF(R527&gt;0,M527/R527,""),"")</f>
        <v/>
      </c>
      <c r="X527" s="10">
        <f>IF(AND(ISNUMBER(Q527),ISNUMBER(M527)),IF(M527&gt;0,Q527/M527,""),"")</f>
        <v/>
      </c>
      <c r="Y527" s="11">
        <f>IF(ISNUMBER(Z527),YEAR(Z527),"")</f>
        <v/>
      </c>
      <c r="Z527" s="12" t="n"/>
      <c r="AA527" s="12" t="n"/>
      <c r="AI527" s="12" t="n"/>
      <c r="AJ527" s="13">
        <f>IF(LEN(TRIM(AF527))=0,"",HYPERLINK("https://www.google.com/maps/@?api=1&amp;map_action=pano&amp;viewpoint="&amp;SUBSTITUTE(AF527," ",""),"Abrir Street View"))</f>
        <v/>
      </c>
    </row>
    <row r="528">
      <c r="H528" s="6" t="n"/>
      <c r="I528" s="6" t="n"/>
      <c r="M528" s="7" t="n"/>
      <c r="N528" s="7" t="n"/>
      <c r="O528" s="7" t="n"/>
      <c r="Q528" s="7" t="n"/>
      <c r="R528" s="7" t="n"/>
      <c r="S528" s="8">
        <f>IF(NOT(ISNUMBER(M528)),"",IF(G528="Terreno",IF(AND(ISNUMBER(I528),I528&gt;0),M528/I528,""),IF(AND(ISNUMBER(H528),H528&gt;0),M528/H528,"")))</f>
        <v/>
      </c>
      <c r="T528" s="9">
        <f>IF(AND(ISNUMBER(M528),ISNUMBER(O528)),IF(M528&lt;=O528,"Valor ≤ venal IPTU",""),"")</f>
        <v/>
      </c>
      <c r="U528" s="10">
        <f>IF(AND(ISNUMBER(M528),ISNUMBER(N528)),IF(N528&gt;0,M528/N528,""),"")</f>
        <v/>
      </c>
      <c r="V528" s="10">
        <f>IF(AND(ISNUMBER(M528),ISNUMBER(O528)),IF(O528&gt;0,M528/O528,""),"")</f>
        <v/>
      </c>
      <c r="W528" s="10">
        <f>IF(AND(ISNUMBER(M528),ISNUMBER(R528)),IF(R528&gt;0,M528/R528,""),"")</f>
        <v/>
      </c>
      <c r="X528" s="10">
        <f>IF(AND(ISNUMBER(Q528),ISNUMBER(M528)),IF(M528&gt;0,Q528/M528,""),"")</f>
        <v/>
      </c>
      <c r="Y528" s="11">
        <f>IF(ISNUMBER(Z528),YEAR(Z528),"")</f>
        <v/>
      </c>
      <c r="Z528" s="12" t="n"/>
      <c r="AA528" s="12" t="n"/>
      <c r="AI528" s="12" t="n"/>
      <c r="AJ528" s="13">
        <f>IF(LEN(TRIM(AF528))=0,"",HYPERLINK("https://www.google.com/maps/@?api=1&amp;map_action=pano&amp;viewpoint="&amp;SUBSTITUTE(AF528," ",""),"Abrir Street View"))</f>
        <v/>
      </c>
    </row>
    <row r="529">
      <c r="H529" s="6" t="n"/>
      <c r="I529" s="6" t="n"/>
      <c r="M529" s="7" t="n"/>
      <c r="N529" s="7" t="n"/>
      <c r="O529" s="7" t="n"/>
      <c r="Q529" s="7" t="n"/>
      <c r="R529" s="7" t="n"/>
      <c r="S529" s="8">
        <f>IF(NOT(ISNUMBER(M529)),"",IF(G529="Terreno",IF(AND(ISNUMBER(I529),I529&gt;0),M529/I529,""),IF(AND(ISNUMBER(H529),H529&gt;0),M529/H529,"")))</f>
        <v/>
      </c>
      <c r="T529" s="9">
        <f>IF(AND(ISNUMBER(M529),ISNUMBER(O529)),IF(M529&lt;=O529,"Valor ≤ venal IPTU",""),"")</f>
        <v/>
      </c>
      <c r="U529" s="10">
        <f>IF(AND(ISNUMBER(M529),ISNUMBER(N529)),IF(N529&gt;0,M529/N529,""),"")</f>
        <v/>
      </c>
      <c r="V529" s="10">
        <f>IF(AND(ISNUMBER(M529),ISNUMBER(O529)),IF(O529&gt;0,M529/O529,""),"")</f>
        <v/>
      </c>
      <c r="W529" s="10">
        <f>IF(AND(ISNUMBER(M529),ISNUMBER(R529)),IF(R529&gt;0,M529/R529,""),"")</f>
        <v/>
      </c>
      <c r="X529" s="10">
        <f>IF(AND(ISNUMBER(Q529),ISNUMBER(M529)),IF(M529&gt;0,Q529/M529,""),"")</f>
        <v/>
      </c>
      <c r="Y529" s="11">
        <f>IF(ISNUMBER(Z529),YEAR(Z529),"")</f>
        <v/>
      </c>
      <c r="Z529" s="12" t="n"/>
      <c r="AA529" s="12" t="n"/>
      <c r="AI529" s="12" t="n"/>
      <c r="AJ529" s="13">
        <f>IF(LEN(TRIM(AF529))=0,"",HYPERLINK("https://www.google.com/maps/@?api=1&amp;map_action=pano&amp;viewpoint="&amp;SUBSTITUTE(AF529," ",""),"Abrir Street View"))</f>
        <v/>
      </c>
    </row>
    <row r="530">
      <c r="H530" s="6" t="n"/>
      <c r="I530" s="6" t="n"/>
      <c r="M530" s="7" t="n"/>
      <c r="N530" s="7" t="n"/>
      <c r="O530" s="7" t="n"/>
      <c r="Q530" s="7" t="n"/>
      <c r="R530" s="7" t="n"/>
      <c r="S530" s="8">
        <f>IF(NOT(ISNUMBER(M530)),"",IF(G530="Terreno",IF(AND(ISNUMBER(I530),I530&gt;0),M530/I530,""),IF(AND(ISNUMBER(H530),H530&gt;0),M530/H530,"")))</f>
        <v/>
      </c>
      <c r="T530" s="9">
        <f>IF(AND(ISNUMBER(M530),ISNUMBER(O530)),IF(M530&lt;=O530,"Valor ≤ venal IPTU",""),"")</f>
        <v/>
      </c>
      <c r="U530" s="10">
        <f>IF(AND(ISNUMBER(M530),ISNUMBER(N530)),IF(N530&gt;0,M530/N530,""),"")</f>
        <v/>
      </c>
      <c r="V530" s="10">
        <f>IF(AND(ISNUMBER(M530),ISNUMBER(O530)),IF(O530&gt;0,M530/O530,""),"")</f>
        <v/>
      </c>
      <c r="W530" s="10">
        <f>IF(AND(ISNUMBER(M530),ISNUMBER(R530)),IF(R530&gt;0,M530/R530,""),"")</f>
        <v/>
      </c>
      <c r="X530" s="10">
        <f>IF(AND(ISNUMBER(Q530),ISNUMBER(M530)),IF(M530&gt;0,Q530/M530,""),"")</f>
        <v/>
      </c>
      <c r="Y530" s="11">
        <f>IF(ISNUMBER(Z530),YEAR(Z530),"")</f>
        <v/>
      </c>
      <c r="Z530" s="12" t="n"/>
      <c r="AA530" s="12" t="n"/>
      <c r="AI530" s="12" t="n"/>
      <c r="AJ530" s="13">
        <f>IF(LEN(TRIM(AF530))=0,"",HYPERLINK("https://www.google.com/maps/@?api=1&amp;map_action=pano&amp;viewpoint="&amp;SUBSTITUTE(AF530," ",""),"Abrir Street View"))</f>
        <v/>
      </c>
    </row>
    <row r="531">
      <c r="H531" s="6" t="n"/>
      <c r="I531" s="6" t="n"/>
      <c r="M531" s="7" t="n"/>
      <c r="N531" s="7" t="n"/>
      <c r="O531" s="7" t="n"/>
      <c r="Q531" s="7" t="n"/>
      <c r="R531" s="7" t="n"/>
      <c r="S531" s="8">
        <f>IF(NOT(ISNUMBER(M531)),"",IF(G531="Terreno",IF(AND(ISNUMBER(I531),I531&gt;0),M531/I531,""),IF(AND(ISNUMBER(H531),H531&gt;0),M531/H531,"")))</f>
        <v/>
      </c>
      <c r="T531" s="9">
        <f>IF(AND(ISNUMBER(M531),ISNUMBER(O531)),IF(M531&lt;=O531,"Valor ≤ venal IPTU",""),"")</f>
        <v/>
      </c>
      <c r="U531" s="10">
        <f>IF(AND(ISNUMBER(M531),ISNUMBER(N531)),IF(N531&gt;0,M531/N531,""),"")</f>
        <v/>
      </c>
      <c r="V531" s="10">
        <f>IF(AND(ISNUMBER(M531),ISNUMBER(O531)),IF(O531&gt;0,M531/O531,""),"")</f>
        <v/>
      </c>
      <c r="W531" s="10">
        <f>IF(AND(ISNUMBER(M531),ISNUMBER(R531)),IF(R531&gt;0,M531/R531,""),"")</f>
        <v/>
      </c>
      <c r="X531" s="10">
        <f>IF(AND(ISNUMBER(Q531),ISNUMBER(M531)),IF(M531&gt;0,Q531/M531,""),"")</f>
        <v/>
      </c>
      <c r="Y531" s="11">
        <f>IF(ISNUMBER(Z531),YEAR(Z531),"")</f>
        <v/>
      </c>
      <c r="Z531" s="12" t="n"/>
      <c r="AA531" s="12" t="n"/>
      <c r="AI531" s="12" t="n"/>
      <c r="AJ531" s="13">
        <f>IF(LEN(TRIM(AF531))=0,"",HYPERLINK("https://www.google.com/maps/@?api=1&amp;map_action=pano&amp;viewpoint="&amp;SUBSTITUTE(AF531," ",""),"Abrir Street View"))</f>
        <v/>
      </c>
    </row>
    <row r="532">
      <c r="H532" s="6" t="n"/>
      <c r="I532" s="6" t="n"/>
      <c r="M532" s="7" t="n"/>
      <c r="N532" s="7" t="n"/>
      <c r="O532" s="7" t="n"/>
      <c r="Q532" s="7" t="n"/>
      <c r="R532" s="7" t="n"/>
      <c r="S532" s="8">
        <f>IF(NOT(ISNUMBER(M532)),"",IF(G532="Terreno",IF(AND(ISNUMBER(I532),I532&gt;0),M532/I532,""),IF(AND(ISNUMBER(H532),H532&gt;0),M532/H532,"")))</f>
        <v/>
      </c>
      <c r="T532" s="9">
        <f>IF(AND(ISNUMBER(M532),ISNUMBER(O532)),IF(M532&lt;=O532,"Valor ≤ venal IPTU",""),"")</f>
        <v/>
      </c>
      <c r="U532" s="10">
        <f>IF(AND(ISNUMBER(M532),ISNUMBER(N532)),IF(N532&gt;0,M532/N532,""),"")</f>
        <v/>
      </c>
      <c r="V532" s="10">
        <f>IF(AND(ISNUMBER(M532),ISNUMBER(O532)),IF(O532&gt;0,M532/O532,""),"")</f>
        <v/>
      </c>
      <c r="W532" s="10">
        <f>IF(AND(ISNUMBER(M532),ISNUMBER(R532)),IF(R532&gt;0,M532/R532,""),"")</f>
        <v/>
      </c>
      <c r="X532" s="10">
        <f>IF(AND(ISNUMBER(Q532),ISNUMBER(M532)),IF(M532&gt;0,Q532/M532,""),"")</f>
        <v/>
      </c>
      <c r="Y532" s="11">
        <f>IF(ISNUMBER(Z532),YEAR(Z532),"")</f>
        <v/>
      </c>
      <c r="Z532" s="12" t="n"/>
      <c r="AA532" s="12" t="n"/>
      <c r="AI532" s="12" t="n"/>
      <c r="AJ532" s="13">
        <f>IF(LEN(TRIM(AF532))=0,"",HYPERLINK("https://www.google.com/maps/@?api=1&amp;map_action=pano&amp;viewpoint="&amp;SUBSTITUTE(AF532," ",""),"Abrir Street View"))</f>
        <v/>
      </c>
    </row>
    <row r="533">
      <c r="H533" s="6" t="n"/>
      <c r="I533" s="6" t="n"/>
      <c r="M533" s="7" t="n"/>
      <c r="N533" s="7" t="n"/>
      <c r="O533" s="7" t="n"/>
      <c r="Q533" s="7" t="n"/>
      <c r="R533" s="7" t="n"/>
      <c r="S533" s="8">
        <f>IF(NOT(ISNUMBER(M533)),"",IF(G533="Terreno",IF(AND(ISNUMBER(I533),I533&gt;0),M533/I533,""),IF(AND(ISNUMBER(H533),H533&gt;0),M533/H533,"")))</f>
        <v/>
      </c>
      <c r="T533" s="9">
        <f>IF(AND(ISNUMBER(M533),ISNUMBER(O533)),IF(M533&lt;=O533,"Valor ≤ venal IPTU",""),"")</f>
        <v/>
      </c>
      <c r="U533" s="10">
        <f>IF(AND(ISNUMBER(M533),ISNUMBER(N533)),IF(N533&gt;0,M533/N533,""),"")</f>
        <v/>
      </c>
      <c r="V533" s="10">
        <f>IF(AND(ISNUMBER(M533),ISNUMBER(O533)),IF(O533&gt;0,M533/O533,""),"")</f>
        <v/>
      </c>
      <c r="W533" s="10">
        <f>IF(AND(ISNUMBER(M533),ISNUMBER(R533)),IF(R533&gt;0,M533/R533,""),"")</f>
        <v/>
      </c>
      <c r="X533" s="10">
        <f>IF(AND(ISNUMBER(Q533),ISNUMBER(M533)),IF(M533&gt;0,Q533/M533,""),"")</f>
        <v/>
      </c>
      <c r="Y533" s="11">
        <f>IF(ISNUMBER(Z533),YEAR(Z533),"")</f>
        <v/>
      </c>
      <c r="Z533" s="12" t="n"/>
      <c r="AA533" s="12" t="n"/>
      <c r="AI533" s="12" t="n"/>
      <c r="AJ533" s="13">
        <f>IF(LEN(TRIM(AF533))=0,"",HYPERLINK("https://www.google.com/maps/@?api=1&amp;map_action=pano&amp;viewpoint="&amp;SUBSTITUTE(AF533," ",""),"Abrir Street View"))</f>
        <v/>
      </c>
    </row>
    <row r="534">
      <c r="H534" s="6" t="n"/>
      <c r="I534" s="6" t="n"/>
      <c r="M534" s="7" t="n"/>
      <c r="N534" s="7" t="n"/>
      <c r="O534" s="7" t="n"/>
      <c r="Q534" s="7" t="n"/>
      <c r="R534" s="7" t="n"/>
      <c r="S534" s="8">
        <f>IF(NOT(ISNUMBER(M534)),"",IF(G534="Terreno",IF(AND(ISNUMBER(I534),I534&gt;0),M534/I534,""),IF(AND(ISNUMBER(H534),H534&gt;0),M534/H534,"")))</f>
        <v/>
      </c>
      <c r="T534" s="9">
        <f>IF(AND(ISNUMBER(M534),ISNUMBER(O534)),IF(M534&lt;=O534,"Valor ≤ venal IPTU",""),"")</f>
        <v/>
      </c>
      <c r="U534" s="10">
        <f>IF(AND(ISNUMBER(M534),ISNUMBER(N534)),IF(N534&gt;0,M534/N534,""),"")</f>
        <v/>
      </c>
      <c r="V534" s="10">
        <f>IF(AND(ISNUMBER(M534),ISNUMBER(O534)),IF(O534&gt;0,M534/O534,""),"")</f>
        <v/>
      </c>
      <c r="W534" s="10">
        <f>IF(AND(ISNUMBER(M534),ISNUMBER(R534)),IF(R534&gt;0,M534/R534,""),"")</f>
        <v/>
      </c>
      <c r="X534" s="10">
        <f>IF(AND(ISNUMBER(Q534),ISNUMBER(M534)),IF(M534&gt;0,Q534/M534,""),"")</f>
        <v/>
      </c>
      <c r="Y534" s="11">
        <f>IF(ISNUMBER(Z534),YEAR(Z534),"")</f>
        <v/>
      </c>
      <c r="Z534" s="12" t="n"/>
      <c r="AA534" s="12" t="n"/>
      <c r="AI534" s="12" t="n"/>
      <c r="AJ534" s="13">
        <f>IF(LEN(TRIM(AF534))=0,"",HYPERLINK("https://www.google.com/maps/@?api=1&amp;map_action=pano&amp;viewpoint="&amp;SUBSTITUTE(AF534," ",""),"Abrir Street View"))</f>
        <v/>
      </c>
    </row>
    <row r="535">
      <c r="H535" s="6" t="n"/>
      <c r="I535" s="6" t="n"/>
      <c r="M535" s="7" t="n"/>
      <c r="N535" s="7" t="n"/>
      <c r="O535" s="7" t="n"/>
      <c r="Q535" s="7" t="n"/>
      <c r="R535" s="7" t="n"/>
      <c r="S535" s="8">
        <f>IF(NOT(ISNUMBER(M535)),"",IF(G535="Terreno",IF(AND(ISNUMBER(I535),I535&gt;0),M535/I535,""),IF(AND(ISNUMBER(H535),H535&gt;0),M535/H535,"")))</f>
        <v/>
      </c>
      <c r="T535" s="9">
        <f>IF(AND(ISNUMBER(M535),ISNUMBER(O535)),IF(M535&lt;=O535,"Valor ≤ venal IPTU",""),"")</f>
        <v/>
      </c>
      <c r="U535" s="10">
        <f>IF(AND(ISNUMBER(M535),ISNUMBER(N535)),IF(N535&gt;0,M535/N535,""),"")</f>
        <v/>
      </c>
      <c r="V535" s="10">
        <f>IF(AND(ISNUMBER(M535),ISNUMBER(O535)),IF(O535&gt;0,M535/O535,""),"")</f>
        <v/>
      </c>
      <c r="W535" s="10">
        <f>IF(AND(ISNUMBER(M535),ISNUMBER(R535)),IF(R535&gt;0,M535/R535,""),"")</f>
        <v/>
      </c>
      <c r="X535" s="10">
        <f>IF(AND(ISNUMBER(Q535),ISNUMBER(M535)),IF(M535&gt;0,Q535/M535,""),"")</f>
        <v/>
      </c>
      <c r="Y535" s="11">
        <f>IF(ISNUMBER(Z535),YEAR(Z535),"")</f>
        <v/>
      </c>
      <c r="Z535" s="12" t="n"/>
      <c r="AA535" s="12" t="n"/>
      <c r="AI535" s="12" t="n"/>
      <c r="AJ535" s="13">
        <f>IF(LEN(TRIM(AF535))=0,"",HYPERLINK("https://www.google.com/maps/@?api=1&amp;map_action=pano&amp;viewpoint="&amp;SUBSTITUTE(AF535," ",""),"Abrir Street View"))</f>
        <v/>
      </c>
    </row>
    <row r="536">
      <c r="H536" s="6" t="n"/>
      <c r="I536" s="6" t="n"/>
      <c r="M536" s="7" t="n"/>
      <c r="N536" s="7" t="n"/>
      <c r="O536" s="7" t="n"/>
      <c r="Q536" s="7" t="n"/>
      <c r="R536" s="7" t="n"/>
      <c r="S536" s="8">
        <f>IF(NOT(ISNUMBER(M536)),"",IF(G536="Terreno",IF(AND(ISNUMBER(I536),I536&gt;0),M536/I536,""),IF(AND(ISNUMBER(H536),H536&gt;0),M536/H536,"")))</f>
        <v/>
      </c>
      <c r="T536" s="9">
        <f>IF(AND(ISNUMBER(M536),ISNUMBER(O536)),IF(M536&lt;=O536,"Valor ≤ venal IPTU",""),"")</f>
        <v/>
      </c>
      <c r="U536" s="10">
        <f>IF(AND(ISNUMBER(M536),ISNUMBER(N536)),IF(N536&gt;0,M536/N536,""),"")</f>
        <v/>
      </c>
      <c r="V536" s="10">
        <f>IF(AND(ISNUMBER(M536),ISNUMBER(O536)),IF(O536&gt;0,M536/O536,""),"")</f>
        <v/>
      </c>
      <c r="W536" s="10">
        <f>IF(AND(ISNUMBER(M536),ISNUMBER(R536)),IF(R536&gt;0,M536/R536,""),"")</f>
        <v/>
      </c>
      <c r="X536" s="10">
        <f>IF(AND(ISNUMBER(Q536),ISNUMBER(M536)),IF(M536&gt;0,Q536/M536,""),"")</f>
        <v/>
      </c>
      <c r="Y536" s="11">
        <f>IF(ISNUMBER(Z536),YEAR(Z536),"")</f>
        <v/>
      </c>
      <c r="Z536" s="12" t="n"/>
      <c r="AA536" s="12" t="n"/>
      <c r="AI536" s="12" t="n"/>
      <c r="AJ536" s="13">
        <f>IF(LEN(TRIM(AF536))=0,"",HYPERLINK("https://www.google.com/maps/@?api=1&amp;map_action=pano&amp;viewpoint="&amp;SUBSTITUTE(AF536," ",""),"Abrir Street View"))</f>
        <v/>
      </c>
    </row>
    <row r="537">
      <c r="H537" s="6" t="n"/>
      <c r="I537" s="6" t="n"/>
      <c r="M537" s="7" t="n"/>
      <c r="N537" s="7" t="n"/>
      <c r="O537" s="7" t="n"/>
      <c r="Q537" s="7" t="n"/>
      <c r="R537" s="7" t="n"/>
      <c r="S537" s="8">
        <f>IF(NOT(ISNUMBER(M537)),"",IF(G537="Terreno",IF(AND(ISNUMBER(I537),I537&gt;0),M537/I537,""),IF(AND(ISNUMBER(H537),H537&gt;0),M537/H537,"")))</f>
        <v/>
      </c>
      <c r="T537" s="9">
        <f>IF(AND(ISNUMBER(M537),ISNUMBER(O537)),IF(M537&lt;=O537,"Valor ≤ venal IPTU",""),"")</f>
        <v/>
      </c>
      <c r="U537" s="10">
        <f>IF(AND(ISNUMBER(M537),ISNUMBER(N537)),IF(N537&gt;0,M537/N537,""),"")</f>
        <v/>
      </c>
      <c r="V537" s="10">
        <f>IF(AND(ISNUMBER(M537),ISNUMBER(O537)),IF(O537&gt;0,M537/O537,""),"")</f>
        <v/>
      </c>
      <c r="W537" s="10">
        <f>IF(AND(ISNUMBER(M537),ISNUMBER(R537)),IF(R537&gt;0,M537/R537,""),"")</f>
        <v/>
      </c>
      <c r="X537" s="10">
        <f>IF(AND(ISNUMBER(Q537),ISNUMBER(M537)),IF(M537&gt;0,Q537/M537,""),"")</f>
        <v/>
      </c>
      <c r="Y537" s="11">
        <f>IF(ISNUMBER(Z537),YEAR(Z537),"")</f>
        <v/>
      </c>
      <c r="Z537" s="12" t="n"/>
      <c r="AA537" s="12" t="n"/>
      <c r="AI537" s="12" t="n"/>
      <c r="AJ537" s="13">
        <f>IF(LEN(TRIM(AF537))=0,"",HYPERLINK("https://www.google.com/maps/@?api=1&amp;map_action=pano&amp;viewpoint="&amp;SUBSTITUTE(AF537," ",""),"Abrir Street View"))</f>
        <v/>
      </c>
    </row>
    <row r="538">
      <c r="H538" s="6" t="n"/>
      <c r="I538" s="6" t="n"/>
      <c r="M538" s="7" t="n"/>
      <c r="N538" s="7" t="n"/>
      <c r="O538" s="7" t="n"/>
      <c r="Q538" s="7" t="n"/>
      <c r="R538" s="7" t="n"/>
      <c r="S538" s="8">
        <f>IF(NOT(ISNUMBER(M538)),"",IF(G538="Terreno",IF(AND(ISNUMBER(I538),I538&gt;0),M538/I538,""),IF(AND(ISNUMBER(H538),H538&gt;0),M538/H538,"")))</f>
        <v/>
      </c>
      <c r="T538" s="9">
        <f>IF(AND(ISNUMBER(M538),ISNUMBER(O538)),IF(M538&lt;=O538,"Valor ≤ venal IPTU",""),"")</f>
        <v/>
      </c>
      <c r="U538" s="10">
        <f>IF(AND(ISNUMBER(M538),ISNUMBER(N538)),IF(N538&gt;0,M538/N538,""),"")</f>
        <v/>
      </c>
      <c r="V538" s="10">
        <f>IF(AND(ISNUMBER(M538),ISNUMBER(O538)),IF(O538&gt;0,M538/O538,""),"")</f>
        <v/>
      </c>
      <c r="W538" s="10">
        <f>IF(AND(ISNUMBER(M538),ISNUMBER(R538)),IF(R538&gt;0,M538/R538,""),"")</f>
        <v/>
      </c>
      <c r="X538" s="10">
        <f>IF(AND(ISNUMBER(Q538),ISNUMBER(M538)),IF(M538&gt;0,Q538/M538,""),"")</f>
        <v/>
      </c>
      <c r="Y538" s="11">
        <f>IF(ISNUMBER(Z538),YEAR(Z538),"")</f>
        <v/>
      </c>
      <c r="Z538" s="12" t="n"/>
      <c r="AA538" s="12" t="n"/>
      <c r="AI538" s="12" t="n"/>
      <c r="AJ538" s="13">
        <f>IF(LEN(TRIM(AF538))=0,"",HYPERLINK("https://www.google.com/maps/@?api=1&amp;map_action=pano&amp;viewpoint="&amp;SUBSTITUTE(AF538," ",""),"Abrir Street View"))</f>
        <v/>
      </c>
    </row>
    <row r="539">
      <c r="H539" s="6" t="n"/>
      <c r="I539" s="6" t="n"/>
      <c r="M539" s="7" t="n"/>
      <c r="N539" s="7" t="n"/>
      <c r="O539" s="7" t="n"/>
      <c r="Q539" s="7" t="n"/>
      <c r="R539" s="7" t="n"/>
      <c r="S539" s="8">
        <f>IF(NOT(ISNUMBER(M539)),"",IF(G539="Terreno",IF(AND(ISNUMBER(I539),I539&gt;0),M539/I539,""),IF(AND(ISNUMBER(H539),H539&gt;0),M539/H539,"")))</f>
        <v/>
      </c>
      <c r="T539" s="9">
        <f>IF(AND(ISNUMBER(M539),ISNUMBER(O539)),IF(M539&lt;=O539,"Valor ≤ venal IPTU",""),"")</f>
        <v/>
      </c>
      <c r="U539" s="10">
        <f>IF(AND(ISNUMBER(M539),ISNUMBER(N539)),IF(N539&gt;0,M539/N539,""),"")</f>
        <v/>
      </c>
      <c r="V539" s="10">
        <f>IF(AND(ISNUMBER(M539),ISNUMBER(O539)),IF(O539&gt;0,M539/O539,""),"")</f>
        <v/>
      </c>
      <c r="W539" s="10">
        <f>IF(AND(ISNUMBER(M539),ISNUMBER(R539)),IF(R539&gt;0,M539/R539,""),"")</f>
        <v/>
      </c>
      <c r="X539" s="10">
        <f>IF(AND(ISNUMBER(Q539),ISNUMBER(M539)),IF(M539&gt;0,Q539/M539,""),"")</f>
        <v/>
      </c>
      <c r="Y539" s="11">
        <f>IF(ISNUMBER(Z539),YEAR(Z539),"")</f>
        <v/>
      </c>
      <c r="Z539" s="12" t="n"/>
      <c r="AA539" s="12" t="n"/>
      <c r="AI539" s="12" t="n"/>
      <c r="AJ539" s="13">
        <f>IF(LEN(TRIM(AF539))=0,"",HYPERLINK("https://www.google.com/maps/@?api=1&amp;map_action=pano&amp;viewpoint="&amp;SUBSTITUTE(AF539," ",""),"Abrir Street View"))</f>
        <v/>
      </c>
    </row>
    <row r="540">
      <c r="H540" s="6" t="n"/>
      <c r="I540" s="6" t="n"/>
      <c r="M540" s="7" t="n"/>
      <c r="N540" s="7" t="n"/>
      <c r="O540" s="7" t="n"/>
      <c r="Q540" s="7" t="n"/>
      <c r="R540" s="7" t="n"/>
      <c r="S540" s="8">
        <f>IF(NOT(ISNUMBER(M540)),"",IF(G540="Terreno",IF(AND(ISNUMBER(I540),I540&gt;0),M540/I540,""),IF(AND(ISNUMBER(H540),H540&gt;0),M540/H540,"")))</f>
        <v/>
      </c>
      <c r="T540" s="9">
        <f>IF(AND(ISNUMBER(M540),ISNUMBER(O540)),IF(M540&lt;=O540,"Valor ≤ venal IPTU",""),"")</f>
        <v/>
      </c>
      <c r="U540" s="10">
        <f>IF(AND(ISNUMBER(M540),ISNUMBER(N540)),IF(N540&gt;0,M540/N540,""),"")</f>
        <v/>
      </c>
      <c r="V540" s="10">
        <f>IF(AND(ISNUMBER(M540),ISNUMBER(O540)),IF(O540&gt;0,M540/O540,""),"")</f>
        <v/>
      </c>
      <c r="W540" s="10">
        <f>IF(AND(ISNUMBER(M540),ISNUMBER(R540)),IF(R540&gt;0,M540/R540,""),"")</f>
        <v/>
      </c>
      <c r="X540" s="10">
        <f>IF(AND(ISNUMBER(Q540),ISNUMBER(M540)),IF(M540&gt;0,Q540/M540,""),"")</f>
        <v/>
      </c>
      <c r="Y540" s="11">
        <f>IF(ISNUMBER(Z540),YEAR(Z540),"")</f>
        <v/>
      </c>
      <c r="Z540" s="12" t="n"/>
      <c r="AA540" s="12" t="n"/>
      <c r="AI540" s="12" t="n"/>
      <c r="AJ540" s="13">
        <f>IF(LEN(TRIM(AF540))=0,"",HYPERLINK("https://www.google.com/maps/@?api=1&amp;map_action=pano&amp;viewpoint="&amp;SUBSTITUTE(AF540," ",""),"Abrir Street View"))</f>
        <v/>
      </c>
    </row>
    <row r="541">
      <c r="H541" s="6" t="n"/>
      <c r="I541" s="6" t="n"/>
      <c r="M541" s="7" t="n"/>
      <c r="N541" s="7" t="n"/>
      <c r="O541" s="7" t="n"/>
      <c r="Q541" s="7" t="n"/>
      <c r="R541" s="7" t="n"/>
      <c r="S541" s="8">
        <f>IF(NOT(ISNUMBER(M541)),"",IF(G541="Terreno",IF(AND(ISNUMBER(I541),I541&gt;0),M541/I541,""),IF(AND(ISNUMBER(H541),H541&gt;0),M541/H541,"")))</f>
        <v/>
      </c>
      <c r="T541" s="9">
        <f>IF(AND(ISNUMBER(M541),ISNUMBER(O541)),IF(M541&lt;=O541,"Valor ≤ venal IPTU",""),"")</f>
        <v/>
      </c>
      <c r="U541" s="10">
        <f>IF(AND(ISNUMBER(M541),ISNUMBER(N541)),IF(N541&gt;0,M541/N541,""),"")</f>
        <v/>
      </c>
      <c r="V541" s="10">
        <f>IF(AND(ISNUMBER(M541),ISNUMBER(O541)),IF(O541&gt;0,M541/O541,""),"")</f>
        <v/>
      </c>
      <c r="W541" s="10">
        <f>IF(AND(ISNUMBER(M541),ISNUMBER(R541)),IF(R541&gt;0,M541/R541,""),"")</f>
        <v/>
      </c>
      <c r="X541" s="10">
        <f>IF(AND(ISNUMBER(Q541),ISNUMBER(M541)),IF(M541&gt;0,Q541/M541,""),"")</f>
        <v/>
      </c>
      <c r="Y541" s="11">
        <f>IF(ISNUMBER(Z541),YEAR(Z541),"")</f>
        <v/>
      </c>
      <c r="Z541" s="12" t="n"/>
      <c r="AA541" s="12" t="n"/>
      <c r="AI541" s="12" t="n"/>
      <c r="AJ541" s="13">
        <f>IF(LEN(TRIM(AF541))=0,"",HYPERLINK("https://www.google.com/maps/@?api=1&amp;map_action=pano&amp;viewpoint="&amp;SUBSTITUTE(AF541," ",""),"Abrir Street View"))</f>
        <v/>
      </c>
    </row>
    <row r="542">
      <c r="H542" s="6" t="n"/>
      <c r="I542" s="6" t="n"/>
      <c r="M542" s="7" t="n"/>
      <c r="N542" s="7" t="n"/>
      <c r="O542" s="7" t="n"/>
      <c r="Q542" s="7" t="n"/>
      <c r="R542" s="7" t="n"/>
      <c r="S542" s="8">
        <f>IF(NOT(ISNUMBER(M542)),"",IF(G542="Terreno",IF(AND(ISNUMBER(I542),I542&gt;0),M542/I542,""),IF(AND(ISNUMBER(H542),H542&gt;0),M542/H542,"")))</f>
        <v/>
      </c>
      <c r="T542" s="9">
        <f>IF(AND(ISNUMBER(M542),ISNUMBER(O542)),IF(M542&lt;=O542,"Valor ≤ venal IPTU",""),"")</f>
        <v/>
      </c>
      <c r="U542" s="10">
        <f>IF(AND(ISNUMBER(M542),ISNUMBER(N542)),IF(N542&gt;0,M542/N542,""),"")</f>
        <v/>
      </c>
      <c r="V542" s="10">
        <f>IF(AND(ISNUMBER(M542),ISNUMBER(O542)),IF(O542&gt;0,M542/O542,""),"")</f>
        <v/>
      </c>
      <c r="W542" s="10">
        <f>IF(AND(ISNUMBER(M542),ISNUMBER(R542)),IF(R542&gt;0,M542/R542,""),"")</f>
        <v/>
      </c>
      <c r="X542" s="10">
        <f>IF(AND(ISNUMBER(Q542),ISNUMBER(M542)),IF(M542&gt;0,Q542/M542,""),"")</f>
        <v/>
      </c>
      <c r="Y542" s="11">
        <f>IF(ISNUMBER(Z542),YEAR(Z542),"")</f>
        <v/>
      </c>
      <c r="Z542" s="12" t="n"/>
      <c r="AA542" s="12" t="n"/>
      <c r="AI542" s="12" t="n"/>
      <c r="AJ542" s="13">
        <f>IF(LEN(TRIM(AF542))=0,"",HYPERLINK("https://www.google.com/maps/@?api=1&amp;map_action=pano&amp;viewpoint="&amp;SUBSTITUTE(AF542," ",""),"Abrir Street View"))</f>
        <v/>
      </c>
    </row>
    <row r="543">
      <c r="H543" s="6" t="n"/>
      <c r="I543" s="6" t="n"/>
      <c r="M543" s="7" t="n"/>
      <c r="N543" s="7" t="n"/>
      <c r="O543" s="7" t="n"/>
      <c r="Q543" s="7" t="n"/>
      <c r="R543" s="7" t="n"/>
      <c r="S543" s="8">
        <f>IF(NOT(ISNUMBER(M543)),"",IF(G543="Terreno",IF(AND(ISNUMBER(I543),I543&gt;0),M543/I543,""),IF(AND(ISNUMBER(H543),H543&gt;0),M543/H543,"")))</f>
        <v/>
      </c>
      <c r="T543" s="9">
        <f>IF(AND(ISNUMBER(M543),ISNUMBER(O543)),IF(M543&lt;=O543,"Valor ≤ venal IPTU",""),"")</f>
        <v/>
      </c>
      <c r="U543" s="10">
        <f>IF(AND(ISNUMBER(M543),ISNUMBER(N543)),IF(N543&gt;0,M543/N543,""),"")</f>
        <v/>
      </c>
      <c r="V543" s="10">
        <f>IF(AND(ISNUMBER(M543),ISNUMBER(O543)),IF(O543&gt;0,M543/O543,""),"")</f>
        <v/>
      </c>
      <c r="W543" s="10">
        <f>IF(AND(ISNUMBER(M543),ISNUMBER(R543)),IF(R543&gt;0,M543/R543,""),"")</f>
        <v/>
      </c>
      <c r="X543" s="10">
        <f>IF(AND(ISNUMBER(Q543),ISNUMBER(M543)),IF(M543&gt;0,Q543/M543,""),"")</f>
        <v/>
      </c>
      <c r="Y543" s="11">
        <f>IF(ISNUMBER(Z543),YEAR(Z543),"")</f>
        <v/>
      </c>
      <c r="Z543" s="12" t="n"/>
      <c r="AA543" s="12" t="n"/>
      <c r="AI543" s="12" t="n"/>
      <c r="AJ543" s="13">
        <f>IF(LEN(TRIM(AF543))=0,"",HYPERLINK("https://www.google.com/maps/@?api=1&amp;map_action=pano&amp;viewpoint="&amp;SUBSTITUTE(AF543," ",""),"Abrir Street View"))</f>
        <v/>
      </c>
    </row>
    <row r="544">
      <c r="H544" s="6" t="n"/>
      <c r="I544" s="6" t="n"/>
      <c r="M544" s="7" t="n"/>
      <c r="N544" s="7" t="n"/>
      <c r="O544" s="7" t="n"/>
      <c r="Q544" s="7" t="n"/>
      <c r="R544" s="7" t="n"/>
      <c r="S544" s="8">
        <f>IF(NOT(ISNUMBER(M544)),"",IF(G544="Terreno",IF(AND(ISNUMBER(I544),I544&gt;0),M544/I544,""),IF(AND(ISNUMBER(H544),H544&gt;0),M544/H544,"")))</f>
        <v/>
      </c>
      <c r="T544" s="9">
        <f>IF(AND(ISNUMBER(M544),ISNUMBER(O544)),IF(M544&lt;=O544,"Valor ≤ venal IPTU",""),"")</f>
        <v/>
      </c>
      <c r="U544" s="10">
        <f>IF(AND(ISNUMBER(M544),ISNUMBER(N544)),IF(N544&gt;0,M544/N544,""),"")</f>
        <v/>
      </c>
      <c r="V544" s="10">
        <f>IF(AND(ISNUMBER(M544),ISNUMBER(O544)),IF(O544&gt;0,M544/O544,""),"")</f>
        <v/>
      </c>
      <c r="W544" s="10">
        <f>IF(AND(ISNUMBER(M544),ISNUMBER(R544)),IF(R544&gt;0,M544/R544,""),"")</f>
        <v/>
      </c>
      <c r="X544" s="10">
        <f>IF(AND(ISNUMBER(Q544),ISNUMBER(M544)),IF(M544&gt;0,Q544/M544,""),"")</f>
        <v/>
      </c>
      <c r="Y544" s="11">
        <f>IF(ISNUMBER(Z544),YEAR(Z544),"")</f>
        <v/>
      </c>
      <c r="Z544" s="12" t="n"/>
      <c r="AA544" s="12" t="n"/>
      <c r="AI544" s="12" t="n"/>
      <c r="AJ544" s="13">
        <f>IF(LEN(TRIM(AF544))=0,"",HYPERLINK("https://www.google.com/maps/@?api=1&amp;map_action=pano&amp;viewpoint="&amp;SUBSTITUTE(AF544," ",""),"Abrir Street View"))</f>
        <v/>
      </c>
    </row>
    <row r="545">
      <c r="H545" s="6" t="n"/>
      <c r="I545" s="6" t="n"/>
      <c r="M545" s="7" t="n"/>
      <c r="N545" s="7" t="n"/>
      <c r="O545" s="7" t="n"/>
      <c r="Q545" s="7" t="n"/>
      <c r="R545" s="7" t="n"/>
      <c r="S545" s="8">
        <f>IF(NOT(ISNUMBER(M545)),"",IF(G545="Terreno",IF(AND(ISNUMBER(I545),I545&gt;0),M545/I545,""),IF(AND(ISNUMBER(H545),H545&gt;0),M545/H545,"")))</f>
        <v/>
      </c>
      <c r="T545" s="9">
        <f>IF(AND(ISNUMBER(M545),ISNUMBER(O545)),IF(M545&lt;=O545,"Valor ≤ venal IPTU",""),"")</f>
        <v/>
      </c>
      <c r="U545" s="10">
        <f>IF(AND(ISNUMBER(M545),ISNUMBER(N545)),IF(N545&gt;0,M545/N545,""),"")</f>
        <v/>
      </c>
      <c r="V545" s="10">
        <f>IF(AND(ISNUMBER(M545),ISNUMBER(O545)),IF(O545&gt;0,M545/O545,""),"")</f>
        <v/>
      </c>
      <c r="W545" s="10">
        <f>IF(AND(ISNUMBER(M545),ISNUMBER(R545)),IF(R545&gt;0,M545/R545,""),"")</f>
        <v/>
      </c>
      <c r="X545" s="10">
        <f>IF(AND(ISNUMBER(Q545),ISNUMBER(M545)),IF(M545&gt;0,Q545/M545,""),"")</f>
        <v/>
      </c>
      <c r="Y545" s="11">
        <f>IF(ISNUMBER(Z545),YEAR(Z545),"")</f>
        <v/>
      </c>
      <c r="Z545" s="12" t="n"/>
      <c r="AA545" s="12" t="n"/>
      <c r="AI545" s="12" t="n"/>
      <c r="AJ545" s="13">
        <f>IF(LEN(TRIM(AF545))=0,"",HYPERLINK("https://www.google.com/maps/@?api=1&amp;map_action=pano&amp;viewpoint="&amp;SUBSTITUTE(AF545," ",""),"Abrir Street View"))</f>
        <v/>
      </c>
    </row>
    <row r="546">
      <c r="H546" s="6" t="n"/>
      <c r="I546" s="6" t="n"/>
      <c r="M546" s="7" t="n"/>
      <c r="N546" s="7" t="n"/>
      <c r="O546" s="7" t="n"/>
      <c r="Q546" s="7" t="n"/>
      <c r="R546" s="7" t="n"/>
      <c r="S546" s="8">
        <f>IF(NOT(ISNUMBER(M546)),"",IF(G546="Terreno",IF(AND(ISNUMBER(I546),I546&gt;0),M546/I546,""),IF(AND(ISNUMBER(H546),H546&gt;0),M546/H546,"")))</f>
        <v/>
      </c>
      <c r="T546" s="9">
        <f>IF(AND(ISNUMBER(M546),ISNUMBER(O546)),IF(M546&lt;=O546,"Valor ≤ venal IPTU",""),"")</f>
        <v/>
      </c>
      <c r="U546" s="10">
        <f>IF(AND(ISNUMBER(M546),ISNUMBER(N546)),IF(N546&gt;0,M546/N546,""),"")</f>
        <v/>
      </c>
      <c r="V546" s="10">
        <f>IF(AND(ISNUMBER(M546),ISNUMBER(O546)),IF(O546&gt;0,M546/O546,""),"")</f>
        <v/>
      </c>
      <c r="W546" s="10">
        <f>IF(AND(ISNUMBER(M546),ISNUMBER(R546)),IF(R546&gt;0,M546/R546,""),"")</f>
        <v/>
      </c>
      <c r="X546" s="10">
        <f>IF(AND(ISNUMBER(Q546),ISNUMBER(M546)),IF(M546&gt;0,Q546/M546,""),"")</f>
        <v/>
      </c>
      <c r="Y546" s="11">
        <f>IF(ISNUMBER(Z546),YEAR(Z546),"")</f>
        <v/>
      </c>
      <c r="Z546" s="12" t="n"/>
      <c r="AA546" s="12" t="n"/>
      <c r="AI546" s="12" t="n"/>
      <c r="AJ546" s="13">
        <f>IF(LEN(TRIM(AF546))=0,"",HYPERLINK("https://www.google.com/maps/@?api=1&amp;map_action=pano&amp;viewpoint="&amp;SUBSTITUTE(AF546," ",""),"Abrir Street View"))</f>
        <v/>
      </c>
    </row>
    <row r="547">
      <c r="H547" s="6" t="n"/>
      <c r="I547" s="6" t="n"/>
      <c r="M547" s="7" t="n"/>
      <c r="N547" s="7" t="n"/>
      <c r="O547" s="7" t="n"/>
      <c r="Q547" s="7" t="n"/>
      <c r="R547" s="7" t="n"/>
      <c r="S547" s="8">
        <f>IF(NOT(ISNUMBER(M547)),"",IF(G547="Terreno",IF(AND(ISNUMBER(I547),I547&gt;0),M547/I547,""),IF(AND(ISNUMBER(H547),H547&gt;0),M547/H547,"")))</f>
        <v/>
      </c>
      <c r="T547" s="9">
        <f>IF(AND(ISNUMBER(M547),ISNUMBER(O547)),IF(M547&lt;=O547,"Valor ≤ venal IPTU",""),"")</f>
        <v/>
      </c>
      <c r="U547" s="10">
        <f>IF(AND(ISNUMBER(M547),ISNUMBER(N547)),IF(N547&gt;0,M547/N547,""),"")</f>
        <v/>
      </c>
      <c r="V547" s="10">
        <f>IF(AND(ISNUMBER(M547),ISNUMBER(O547)),IF(O547&gt;0,M547/O547,""),"")</f>
        <v/>
      </c>
      <c r="W547" s="10">
        <f>IF(AND(ISNUMBER(M547),ISNUMBER(R547)),IF(R547&gt;0,M547/R547,""),"")</f>
        <v/>
      </c>
      <c r="X547" s="10">
        <f>IF(AND(ISNUMBER(Q547),ISNUMBER(M547)),IF(M547&gt;0,Q547/M547,""),"")</f>
        <v/>
      </c>
      <c r="Y547" s="11">
        <f>IF(ISNUMBER(Z547),YEAR(Z547),"")</f>
        <v/>
      </c>
      <c r="Z547" s="12" t="n"/>
      <c r="AA547" s="12" t="n"/>
      <c r="AI547" s="12" t="n"/>
      <c r="AJ547" s="13">
        <f>IF(LEN(TRIM(AF547))=0,"",HYPERLINK("https://www.google.com/maps/@?api=1&amp;map_action=pano&amp;viewpoint="&amp;SUBSTITUTE(AF547," ",""),"Abrir Street View"))</f>
        <v/>
      </c>
    </row>
    <row r="548">
      <c r="H548" s="6" t="n"/>
      <c r="I548" s="6" t="n"/>
      <c r="M548" s="7" t="n"/>
      <c r="N548" s="7" t="n"/>
      <c r="O548" s="7" t="n"/>
      <c r="Q548" s="7" t="n"/>
      <c r="R548" s="7" t="n"/>
      <c r="S548" s="8">
        <f>IF(NOT(ISNUMBER(M548)),"",IF(G548="Terreno",IF(AND(ISNUMBER(I548),I548&gt;0),M548/I548,""),IF(AND(ISNUMBER(H548),H548&gt;0),M548/H548,"")))</f>
        <v/>
      </c>
      <c r="T548" s="9">
        <f>IF(AND(ISNUMBER(M548),ISNUMBER(O548)),IF(M548&lt;=O548,"Valor ≤ venal IPTU",""),"")</f>
        <v/>
      </c>
      <c r="U548" s="10">
        <f>IF(AND(ISNUMBER(M548),ISNUMBER(N548)),IF(N548&gt;0,M548/N548,""),"")</f>
        <v/>
      </c>
      <c r="V548" s="10">
        <f>IF(AND(ISNUMBER(M548),ISNUMBER(O548)),IF(O548&gt;0,M548/O548,""),"")</f>
        <v/>
      </c>
      <c r="W548" s="10">
        <f>IF(AND(ISNUMBER(M548),ISNUMBER(R548)),IF(R548&gt;0,M548/R548,""),"")</f>
        <v/>
      </c>
      <c r="X548" s="10">
        <f>IF(AND(ISNUMBER(Q548),ISNUMBER(M548)),IF(M548&gt;0,Q548/M548,""),"")</f>
        <v/>
      </c>
      <c r="Y548" s="11">
        <f>IF(ISNUMBER(Z548),YEAR(Z548),"")</f>
        <v/>
      </c>
      <c r="Z548" s="12" t="n"/>
      <c r="AA548" s="12" t="n"/>
      <c r="AI548" s="12" t="n"/>
      <c r="AJ548" s="13">
        <f>IF(LEN(TRIM(AF548))=0,"",HYPERLINK("https://www.google.com/maps/@?api=1&amp;map_action=pano&amp;viewpoint="&amp;SUBSTITUTE(AF548," ",""),"Abrir Street View"))</f>
        <v/>
      </c>
    </row>
    <row r="549">
      <c r="H549" s="6" t="n"/>
      <c r="I549" s="6" t="n"/>
      <c r="M549" s="7" t="n"/>
      <c r="N549" s="7" t="n"/>
      <c r="O549" s="7" t="n"/>
      <c r="Q549" s="7" t="n"/>
      <c r="R549" s="7" t="n"/>
      <c r="S549" s="8">
        <f>IF(NOT(ISNUMBER(M549)),"",IF(G549="Terreno",IF(AND(ISNUMBER(I549),I549&gt;0),M549/I549,""),IF(AND(ISNUMBER(H549),H549&gt;0),M549/H549,"")))</f>
        <v/>
      </c>
      <c r="T549" s="9">
        <f>IF(AND(ISNUMBER(M549),ISNUMBER(O549)),IF(M549&lt;=O549,"Valor ≤ venal IPTU",""),"")</f>
        <v/>
      </c>
      <c r="U549" s="10">
        <f>IF(AND(ISNUMBER(M549),ISNUMBER(N549)),IF(N549&gt;0,M549/N549,""),"")</f>
        <v/>
      </c>
      <c r="V549" s="10">
        <f>IF(AND(ISNUMBER(M549),ISNUMBER(O549)),IF(O549&gt;0,M549/O549,""),"")</f>
        <v/>
      </c>
      <c r="W549" s="10">
        <f>IF(AND(ISNUMBER(M549),ISNUMBER(R549)),IF(R549&gt;0,M549/R549,""),"")</f>
        <v/>
      </c>
      <c r="X549" s="10">
        <f>IF(AND(ISNUMBER(Q549),ISNUMBER(M549)),IF(M549&gt;0,Q549/M549,""),"")</f>
        <v/>
      </c>
      <c r="Y549" s="11">
        <f>IF(ISNUMBER(Z549),YEAR(Z549),"")</f>
        <v/>
      </c>
      <c r="Z549" s="12" t="n"/>
      <c r="AA549" s="12" t="n"/>
      <c r="AI549" s="12" t="n"/>
      <c r="AJ549" s="13">
        <f>IF(LEN(TRIM(AF549))=0,"",HYPERLINK("https://www.google.com/maps/@?api=1&amp;map_action=pano&amp;viewpoint="&amp;SUBSTITUTE(AF549," ",""),"Abrir Street View"))</f>
        <v/>
      </c>
    </row>
    <row r="550">
      <c r="H550" s="6" t="n"/>
      <c r="I550" s="6" t="n"/>
      <c r="M550" s="7" t="n"/>
      <c r="N550" s="7" t="n"/>
      <c r="O550" s="7" t="n"/>
      <c r="Q550" s="7" t="n"/>
      <c r="R550" s="7" t="n"/>
      <c r="S550" s="8">
        <f>IF(NOT(ISNUMBER(M550)),"",IF(G550="Terreno",IF(AND(ISNUMBER(I550),I550&gt;0),M550/I550,""),IF(AND(ISNUMBER(H550),H550&gt;0),M550/H550,"")))</f>
        <v/>
      </c>
      <c r="T550" s="9">
        <f>IF(AND(ISNUMBER(M550),ISNUMBER(O550)),IF(M550&lt;=O550,"Valor ≤ venal IPTU",""),"")</f>
        <v/>
      </c>
      <c r="U550" s="10">
        <f>IF(AND(ISNUMBER(M550),ISNUMBER(N550)),IF(N550&gt;0,M550/N550,""),"")</f>
        <v/>
      </c>
      <c r="V550" s="10">
        <f>IF(AND(ISNUMBER(M550),ISNUMBER(O550)),IF(O550&gt;0,M550/O550,""),"")</f>
        <v/>
      </c>
      <c r="W550" s="10">
        <f>IF(AND(ISNUMBER(M550),ISNUMBER(R550)),IF(R550&gt;0,M550/R550,""),"")</f>
        <v/>
      </c>
      <c r="X550" s="10">
        <f>IF(AND(ISNUMBER(Q550),ISNUMBER(M550)),IF(M550&gt;0,Q550/M550,""),"")</f>
        <v/>
      </c>
      <c r="Y550" s="11">
        <f>IF(ISNUMBER(Z550),YEAR(Z550),"")</f>
        <v/>
      </c>
      <c r="Z550" s="12" t="n"/>
      <c r="AA550" s="12" t="n"/>
      <c r="AI550" s="12" t="n"/>
      <c r="AJ550" s="13">
        <f>IF(LEN(TRIM(AF550))=0,"",HYPERLINK("https://www.google.com/maps/@?api=1&amp;map_action=pano&amp;viewpoint="&amp;SUBSTITUTE(AF550," ",""),"Abrir Street View"))</f>
        <v/>
      </c>
    </row>
    <row r="551">
      <c r="H551" s="6" t="n"/>
      <c r="I551" s="6" t="n"/>
      <c r="M551" s="7" t="n"/>
      <c r="N551" s="7" t="n"/>
      <c r="O551" s="7" t="n"/>
      <c r="Q551" s="7" t="n"/>
      <c r="R551" s="7" t="n"/>
      <c r="S551" s="8">
        <f>IF(NOT(ISNUMBER(M551)),"",IF(G551="Terreno",IF(AND(ISNUMBER(I551),I551&gt;0),M551/I551,""),IF(AND(ISNUMBER(H551),H551&gt;0),M551/H551,"")))</f>
        <v/>
      </c>
      <c r="T551" s="9">
        <f>IF(AND(ISNUMBER(M551),ISNUMBER(O551)),IF(M551&lt;=O551,"Valor ≤ venal IPTU",""),"")</f>
        <v/>
      </c>
      <c r="U551" s="10">
        <f>IF(AND(ISNUMBER(M551),ISNUMBER(N551)),IF(N551&gt;0,M551/N551,""),"")</f>
        <v/>
      </c>
      <c r="V551" s="10">
        <f>IF(AND(ISNUMBER(M551),ISNUMBER(O551)),IF(O551&gt;0,M551/O551,""),"")</f>
        <v/>
      </c>
      <c r="W551" s="10">
        <f>IF(AND(ISNUMBER(M551),ISNUMBER(R551)),IF(R551&gt;0,M551/R551,""),"")</f>
        <v/>
      </c>
      <c r="X551" s="10">
        <f>IF(AND(ISNUMBER(Q551),ISNUMBER(M551)),IF(M551&gt;0,Q551/M551,""),"")</f>
        <v/>
      </c>
      <c r="Y551" s="11">
        <f>IF(ISNUMBER(Z551),YEAR(Z551),"")</f>
        <v/>
      </c>
      <c r="Z551" s="12" t="n"/>
      <c r="AA551" s="12" t="n"/>
      <c r="AI551" s="12" t="n"/>
      <c r="AJ551" s="13">
        <f>IF(LEN(TRIM(AF551))=0,"",HYPERLINK("https://www.google.com/maps/@?api=1&amp;map_action=pano&amp;viewpoint="&amp;SUBSTITUTE(AF551," ",""),"Abrir Street View"))</f>
        <v/>
      </c>
    </row>
    <row r="552">
      <c r="H552" s="6" t="n"/>
      <c r="I552" s="6" t="n"/>
      <c r="M552" s="7" t="n"/>
      <c r="N552" s="7" t="n"/>
      <c r="O552" s="7" t="n"/>
      <c r="Q552" s="7" t="n"/>
      <c r="R552" s="7" t="n"/>
      <c r="S552" s="8">
        <f>IF(NOT(ISNUMBER(M552)),"",IF(G552="Terreno",IF(AND(ISNUMBER(I552),I552&gt;0),M552/I552,""),IF(AND(ISNUMBER(H552),H552&gt;0),M552/H552,"")))</f>
        <v/>
      </c>
      <c r="T552" s="9">
        <f>IF(AND(ISNUMBER(M552),ISNUMBER(O552)),IF(M552&lt;=O552,"Valor ≤ venal IPTU",""),"")</f>
        <v/>
      </c>
      <c r="U552" s="10">
        <f>IF(AND(ISNUMBER(M552),ISNUMBER(N552)),IF(N552&gt;0,M552/N552,""),"")</f>
        <v/>
      </c>
      <c r="V552" s="10">
        <f>IF(AND(ISNUMBER(M552),ISNUMBER(O552)),IF(O552&gt;0,M552/O552,""),"")</f>
        <v/>
      </c>
      <c r="W552" s="10">
        <f>IF(AND(ISNUMBER(M552),ISNUMBER(R552)),IF(R552&gt;0,M552/R552,""),"")</f>
        <v/>
      </c>
      <c r="X552" s="10">
        <f>IF(AND(ISNUMBER(Q552),ISNUMBER(M552)),IF(M552&gt;0,Q552/M552,""),"")</f>
        <v/>
      </c>
      <c r="Y552" s="11">
        <f>IF(ISNUMBER(Z552),YEAR(Z552),"")</f>
        <v/>
      </c>
      <c r="Z552" s="12" t="n"/>
      <c r="AA552" s="12" t="n"/>
      <c r="AI552" s="12" t="n"/>
      <c r="AJ552" s="13">
        <f>IF(LEN(TRIM(AF552))=0,"",HYPERLINK("https://www.google.com/maps/@?api=1&amp;map_action=pano&amp;viewpoint="&amp;SUBSTITUTE(AF552," ",""),"Abrir Street View"))</f>
        <v/>
      </c>
    </row>
    <row r="553">
      <c r="H553" s="6" t="n"/>
      <c r="I553" s="6" t="n"/>
      <c r="M553" s="7" t="n"/>
      <c r="N553" s="7" t="n"/>
      <c r="O553" s="7" t="n"/>
      <c r="Q553" s="7" t="n"/>
      <c r="R553" s="7" t="n"/>
      <c r="S553" s="8">
        <f>IF(NOT(ISNUMBER(M553)),"",IF(G553="Terreno",IF(AND(ISNUMBER(I553),I553&gt;0),M553/I553,""),IF(AND(ISNUMBER(H553),H553&gt;0),M553/H553,"")))</f>
        <v/>
      </c>
      <c r="T553" s="9">
        <f>IF(AND(ISNUMBER(M553),ISNUMBER(O553)),IF(M553&lt;=O553,"Valor ≤ venal IPTU",""),"")</f>
        <v/>
      </c>
      <c r="U553" s="10">
        <f>IF(AND(ISNUMBER(M553),ISNUMBER(N553)),IF(N553&gt;0,M553/N553,""),"")</f>
        <v/>
      </c>
      <c r="V553" s="10">
        <f>IF(AND(ISNUMBER(M553),ISNUMBER(O553)),IF(O553&gt;0,M553/O553,""),"")</f>
        <v/>
      </c>
      <c r="W553" s="10">
        <f>IF(AND(ISNUMBER(M553),ISNUMBER(R553)),IF(R553&gt;0,M553/R553,""),"")</f>
        <v/>
      </c>
      <c r="X553" s="10">
        <f>IF(AND(ISNUMBER(Q553),ISNUMBER(M553)),IF(M553&gt;0,Q553/M553,""),"")</f>
        <v/>
      </c>
      <c r="Y553" s="11">
        <f>IF(ISNUMBER(Z553),YEAR(Z553),"")</f>
        <v/>
      </c>
      <c r="Z553" s="12" t="n"/>
      <c r="AA553" s="12" t="n"/>
      <c r="AI553" s="12" t="n"/>
      <c r="AJ553" s="13">
        <f>IF(LEN(TRIM(AF553))=0,"",HYPERLINK("https://www.google.com/maps/@?api=1&amp;map_action=pano&amp;viewpoint="&amp;SUBSTITUTE(AF553," ",""),"Abrir Street View"))</f>
        <v/>
      </c>
    </row>
    <row r="554">
      <c r="H554" s="6" t="n"/>
      <c r="I554" s="6" t="n"/>
      <c r="M554" s="7" t="n"/>
      <c r="N554" s="7" t="n"/>
      <c r="O554" s="7" t="n"/>
      <c r="Q554" s="7" t="n"/>
      <c r="R554" s="7" t="n"/>
      <c r="S554" s="8">
        <f>IF(NOT(ISNUMBER(M554)),"",IF(G554="Terreno",IF(AND(ISNUMBER(I554),I554&gt;0),M554/I554,""),IF(AND(ISNUMBER(H554),H554&gt;0),M554/H554,"")))</f>
        <v/>
      </c>
      <c r="T554" s="9">
        <f>IF(AND(ISNUMBER(M554),ISNUMBER(O554)),IF(M554&lt;=O554,"Valor ≤ venal IPTU",""),"")</f>
        <v/>
      </c>
      <c r="U554" s="10">
        <f>IF(AND(ISNUMBER(M554),ISNUMBER(N554)),IF(N554&gt;0,M554/N554,""),"")</f>
        <v/>
      </c>
      <c r="V554" s="10">
        <f>IF(AND(ISNUMBER(M554),ISNUMBER(O554)),IF(O554&gt;0,M554/O554,""),"")</f>
        <v/>
      </c>
      <c r="W554" s="10">
        <f>IF(AND(ISNUMBER(M554),ISNUMBER(R554)),IF(R554&gt;0,M554/R554,""),"")</f>
        <v/>
      </c>
      <c r="X554" s="10">
        <f>IF(AND(ISNUMBER(Q554),ISNUMBER(M554)),IF(M554&gt;0,Q554/M554,""),"")</f>
        <v/>
      </c>
      <c r="Y554" s="11">
        <f>IF(ISNUMBER(Z554),YEAR(Z554),"")</f>
        <v/>
      </c>
      <c r="Z554" s="12" t="n"/>
      <c r="AA554" s="12" t="n"/>
      <c r="AI554" s="12" t="n"/>
      <c r="AJ554" s="13">
        <f>IF(LEN(TRIM(AF554))=0,"",HYPERLINK("https://www.google.com/maps/@?api=1&amp;map_action=pano&amp;viewpoint="&amp;SUBSTITUTE(AF554," ",""),"Abrir Street View"))</f>
        <v/>
      </c>
    </row>
    <row r="555">
      <c r="H555" s="6" t="n"/>
      <c r="I555" s="6" t="n"/>
      <c r="M555" s="7" t="n"/>
      <c r="N555" s="7" t="n"/>
      <c r="O555" s="7" t="n"/>
      <c r="Q555" s="7" t="n"/>
      <c r="R555" s="7" t="n"/>
      <c r="S555" s="8">
        <f>IF(NOT(ISNUMBER(M555)),"",IF(G555="Terreno",IF(AND(ISNUMBER(I555),I555&gt;0),M555/I555,""),IF(AND(ISNUMBER(H555),H555&gt;0),M555/H555,"")))</f>
        <v/>
      </c>
      <c r="T555" s="9">
        <f>IF(AND(ISNUMBER(M555),ISNUMBER(O555)),IF(M555&lt;=O555,"Valor ≤ venal IPTU",""),"")</f>
        <v/>
      </c>
      <c r="U555" s="10">
        <f>IF(AND(ISNUMBER(M555),ISNUMBER(N555)),IF(N555&gt;0,M555/N555,""),"")</f>
        <v/>
      </c>
      <c r="V555" s="10">
        <f>IF(AND(ISNUMBER(M555),ISNUMBER(O555)),IF(O555&gt;0,M555/O555,""),"")</f>
        <v/>
      </c>
      <c r="W555" s="10">
        <f>IF(AND(ISNUMBER(M555),ISNUMBER(R555)),IF(R555&gt;0,M555/R555,""),"")</f>
        <v/>
      </c>
      <c r="X555" s="10">
        <f>IF(AND(ISNUMBER(Q555),ISNUMBER(M555)),IF(M555&gt;0,Q555/M555,""),"")</f>
        <v/>
      </c>
      <c r="Y555" s="11">
        <f>IF(ISNUMBER(Z555),YEAR(Z555),"")</f>
        <v/>
      </c>
      <c r="Z555" s="12" t="n"/>
      <c r="AA555" s="12" t="n"/>
      <c r="AI555" s="12" t="n"/>
      <c r="AJ555" s="13">
        <f>IF(LEN(TRIM(AF555))=0,"",HYPERLINK("https://www.google.com/maps/@?api=1&amp;map_action=pano&amp;viewpoint="&amp;SUBSTITUTE(AF555," ",""),"Abrir Street View"))</f>
        <v/>
      </c>
    </row>
    <row r="556">
      <c r="H556" s="6" t="n"/>
      <c r="I556" s="6" t="n"/>
      <c r="M556" s="7" t="n"/>
      <c r="N556" s="7" t="n"/>
      <c r="O556" s="7" t="n"/>
      <c r="Q556" s="7" t="n"/>
      <c r="R556" s="7" t="n"/>
      <c r="S556" s="8">
        <f>IF(NOT(ISNUMBER(M556)),"",IF(G556="Terreno",IF(AND(ISNUMBER(I556),I556&gt;0),M556/I556,""),IF(AND(ISNUMBER(H556),H556&gt;0),M556/H556,"")))</f>
        <v/>
      </c>
      <c r="T556" s="9">
        <f>IF(AND(ISNUMBER(M556),ISNUMBER(O556)),IF(M556&lt;=O556,"Valor ≤ venal IPTU",""),"")</f>
        <v/>
      </c>
      <c r="U556" s="10">
        <f>IF(AND(ISNUMBER(M556),ISNUMBER(N556)),IF(N556&gt;0,M556/N556,""),"")</f>
        <v/>
      </c>
      <c r="V556" s="10">
        <f>IF(AND(ISNUMBER(M556),ISNUMBER(O556)),IF(O556&gt;0,M556/O556,""),"")</f>
        <v/>
      </c>
      <c r="W556" s="10">
        <f>IF(AND(ISNUMBER(M556),ISNUMBER(R556)),IF(R556&gt;0,M556/R556,""),"")</f>
        <v/>
      </c>
      <c r="X556" s="10">
        <f>IF(AND(ISNUMBER(Q556),ISNUMBER(M556)),IF(M556&gt;0,Q556/M556,""),"")</f>
        <v/>
      </c>
      <c r="Y556" s="11">
        <f>IF(ISNUMBER(Z556),YEAR(Z556),"")</f>
        <v/>
      </c>
      <c r="Z556" s="12" t="n"/>
      <c r="AA556" s="12" t="n"/>
      <c r="AI556" s="12" t="n"/>
      <c r="AJ556" s="13">
        <f>IF(LEN(TRIM(AF556))=0,"",HYPERLINK("https://www.google.com/maps/@?api=1&amp;map_action=pano&amp;viewpoint="&amp;SUBSTITUTE(AF556," ",""),"Abrir Street View"))</f>
        <v/>
      </c>
    </row>
    <row r="557">
      <c r="H557" s="6" t="n"/>
      <c r="I557" s="6" t="n"/>
      <c r="M557" s="7" t="n"/>
      <c r="N557" s="7" t="n"/>
      <c r="O557" s="7" t="n"/>
      <c r="Q557" s="7" t="n"/>
      <c r="R557" s="7" t="n"/>
      <c r="S557" s="8">
        <f>IF(NOT(ISNUMBER(M557)),"",IF(G557="Terreno",IF(AND(ISNUMBER(I557),I557&gt;0),M557/I557,""),IF(AND(ISNUMBER(H557),H557&gt;0),M557/H557,"")))</f>
        <v/>
      </c>
      <c r="T557" s="9">
        <f>IF(AND(ISNUMBER(M557),ISNUMBER(O557)),IF(M557&lt;=O557,"Valor ≤ venal IPTU",""),"")</f>
        <v/>
      </c>
      <c r="U557" s="10">
        <f>IF(AND(ISNUMBER(M557),ISNUMBER(N557)),IF(N557&gt;0,M557/N557,""),"")</f>
        <v/>
      </c>
      <c r="V557" s="10">
        <f>IF(AND(ISNUMBER(M557),ISNUMBER(O557)),IF(O557&gt;0,M557/O557,""),"")</f>
        <v/>
      </c>
      <c r="W557" s="10">
        <f>IF(AND(ISNUMBER(M557),ISNUMBER(R557)),IF(R557&gt;0,M557/R557,""),"")</f>
        <v/>
      </c>
      <c r="X557" s="10">
        <f>IF(AND(ISNUMBER(Q557),ISNUMBER(M557)),IF(M557&gt;0,Q557/M557,""),"")</f>
        <v/>
      </c>
      <c r="Y557" s="11">
        <f>IF(ISNUMBER(Z557),YEAR(Z557),"")</f>
        <v/>
      </c>
      <c r="Z557" s="12" t="n"/>
      <c r="AA557" s="12" t="n"/>
      <c r="AI557" s="12" t="n"/>
      <c r="AJ557" s="13">
        <f>IF(LEN(TRIM(AF557))=0,"",HYPERLINK("https://www.google.com/maps/@?api=1&amp;map_action=pano&amp;viewpoint="&amp;SUBSTITUTE(AF557," ",""),"Abrir Street View"))</f>
        <v/>
      </c>
    </row>
    <row r="558">
      <c r="H558" s="6" t="n"/>
      <c r="I558" s="6" t="n"/>
      <c r="M558" s="7" t="n"/>
      <c r="N558" s="7" t="n"/>
      <c r="O558" s="7" t="n"/>
      <c r="Q558" s="7" t="n"/>
      <c r="R558" s="7" t="n"/>
      <c r="S558" s="8">
        <f>IF(NOT(ISNUMBER(M558)),"",IF(G558="Terreno",IF(AND(ISNUMBER(I558),I558&gt;0),M558/I558,""),IF(AND(ISNUMBER(H558),H558&gt;0),M558/H558,"")))</f>
        <v/>
      </c>
      <c r="T558" s="9">
        <f>IF(AND(ISNUMBER(M558),ISNUMBER(O558)),IF(M558&lt;=O558,"Valor ≤ venal IPTU",""),"")</f>
        <v/>
      </c>
      <c r="U558" s="10">
        <f>IF(AND(ISNUMBER(M558),ISNUMBER(N558)),IF(N558&gt;0,M558/N558,""),"")</f>
        <v/>
      </c>
      <c r="V558" s="10">
        <f>IF(AND(ISNUMBER(M558),ISNUMBER(O558)),IF(O558&gt;0,M558/O558,""),"")</f>
        <v/>
      </c>
      <c r="W558" s="10">
        <f>IF(AND(ISNUMBER(M558),ISNUMBER(R558)),IF(R558&gt;0,M558/R558,""),"")</f>
        <v/>
      </c>
      <c r="X558" s="10">
        <f>IF(AND(ISNUMBER(Q558),ISNUMBER(M558)),IF(M558&gt;0,Q558/M558,""),"")</f>
        <v/>
      </c>
      <c r="Y558" s="11">
        <f>IF(ISNUMBER(Z558),YEAR(Z558),"")</f>
        <v/>
      </c>
      <c r="Z558" s="12" t="n"/>
      <c r="AA558" s="12" t="n"/>
      <c r="AI558" s="12" t="n"/>
      <c r="AJ558" s="13">
        <f>IF(LEN(TRIM(AF558))=0,"",HYPERLINK("https://www.google.com/maps/@?api=1&amp;map_action=pano&amp;viewpoint="&amp;SUBSTITUTE(AF558," ",""),"Abrir Street View"))</f>
        <v/>
      </c>
    </row>
    <row r="559">
      <c r="H559" s="6" t="n"/>
      <c r="I559" s="6" t="n"/>
      <c r="M559" s="7" t="n"/>
      <c r="N559" s="7" t="n"/>
      <c r="O559" s="7" t="n"/>
      <c r="Q559" s="7" t="n"/>
      <c r="R559" s="7" t="n"/>
      <c r="S559" s="8">
        <f>IF(NOT(ISNUMBER(M559)),"",IF(G559="Terreno",IF(AND(ISNUMBER(I559),I559&gt;0),M559/I559,""),IF(AND(ISNUMBER(H559),H559&gt;0),M559/H559,"")))</f>
        <v/>
      </c>
      <c r="T559" s="9">
        <f>IF(AND(ISNUMBER(M559),ISNUMBER(O559)),IF(M559&lt;=O559,"Valor ≤ venal IPTU",""),"")</f>
        <v/>
      </c>
      <c r="U559" s="10">
        <f>IF(AND(ISNUMBER(M559),ISNUMBER(N559)),IF(N559&gt;0,M559/N559,""),"")</f>
        <v/>
      </c>
      <c r="V559" s="10">
        <f>IF(AND(ISNUMBER(M559),ISNUMBER(O559)),IF(O559&gt;0,M559/O559,""),"")</f>
        <v/>
      </c>
      <c r="W559" s="10">
        <f>IF(AND(ISNUMBER(M559),ISNUMBER(R559)),IF(R559&gt;0,M559/R559,""),"")</f>
        <v/>
      </c>
      <c r="X559" s="10">
        <f>IF(AND(ISNUMBER(Q559),ISNUMBER(M559)),IF(M559&gt;0,Q559/M559,""),"")</f>
        <v/>
      </c>
      <c r="Y559" s="11">
        <f>IF(ISNUMBER(Z559),YEAR(Z559),"")</f>
        <v/>
      </c>
      <c r="Z559" s="12" t="n"/>
      <c r="AA559" s="12" t="n"/>
      <c r="AI559" s="12" t="n"/>
      <c r="AJ559" s="13">
        <f>IF(LEN(TRIM(AF559))=0,"",HYPERLINK("https://www.google.com/maps/@?api=1&amp;map_action=pano&amp;viewpoint="&amp;SUBSTITUTE(AF559," ",""),"Abrir Street View"))</f>
        <v/>
      </c>
    </row>
    <row r="560">
      <c r="H560" s="6" t="n"/>
      <c r="I560" s="6" t="n"/>
      <c r="M560" s="7" t="n"/>
      <c r="N560" s="7" t="n"/>
      <c r="O560" s="7" t="n"/>
      <c r="Q560" s="7" t="n"/>
      <c r="R560" s="7" t="n"/>
      <c r="S560" s="8">
        <f>IF(NOT(ISNUMBER(M560)),"",IF(G560="Terreno",IF(AND(ISNUMBER(I560),I560&gt;0),M560/I560,""),IF(AND(ISNUMBER(H560),H560&gt;0),M560/H560,"")))</f>
        <v/>
      </c>
      <c r="T560" s="9">
        <f>IF(AND(ISNUMBER(M560),ISNUMBER(O560)),IF(M560&lt;=O560,"Valor ≤ venal IPTU",""),"")</f>
        <v/>
      </c>
      <c r="U560" s="10">
        <f>IF(AND(ISNUMBER(M560),ISNUMBER(N560)),IF(N560&gt;0,M560/N560,""),"")</f>
        <v/>
      </c>
      <c r="V560" s="10">
        <f>IF(AND(ISNUMBER(M560),ISNUMBER(O560)),IF(O560&gt;0,M560/O560,""),"")</f>
        <v/>
      </c>
      <c r="W560" s="10">
        <f>IF(AND(ISNUMBER(M560),ISNUMBER(R560)),IF(R560&gt;0,M560/R560,""),"")</f>
        <v/>
      </c>
      <c r="X560" s="10">
        <f>IF(AND(ISNUMBER(Q560),ISNUMBER(M560)),IF(M560&gt;0,Q560/M560,""),"")</f>
        <v/>
      </c>
      <c r="Y560" s="11">
        <f>IF(ISNUMBER(Z560),YEAR(Z560),"")</f>
        <v/>
      </c>
      <c r="Z560" s="12" t="n"/>
      <c r="AA560" s="12" t="n"/>
      <c r="AI560" s="12" t="n"/>
      <c r="AJ560" s="13">
        <f>IF(LEN(TRIM(AF560))=0,"",HYPERLINK("https://www.google.com/maps/@?api=1&amp;map_action=pano&amp;viewpoint="&amp;SUBSTITUTE(AF560," ",""),"Abrir Street View"))</f>
        <v/>
      </c>
    </row>
    <row r="561">
      <c r="H561" s="6" t="n"/>
      <c r="I561" s="6" t="n"/>
      <c r="M561" s="7" t="n"/>
      <c r="N561" s="7" t="n"/>
      <c r="O561" s="7" t="n"/>
      <c r="Q561" s="7" t="n"/>
      <c r="R561" s="7" t="n"/>
      <c r="S561" s="8">
        <f>IF(NOT(ISNUMBER(M561)),"",IF(G561="Terreno",IF(AND(ISNUMBER(I561),I561&gt;0),M561/I561,""),IF(AND(ISNUMBER(H561),H561&gt;0),M561/H561,"")))</f>
        <v/>
      </c>
      <c r="T561" s="9">
        <f>IF(AND(ISNUMBER(M561),ISNUMBER(O561)),IF(M561&lt;=O561,"Valor ≤ venal IPTU",""),"")</f>
        <v/>
      </c>
      <c r="U561" s="10">
        <f>IF(AND(ISNUMBER(M561),ISNUMBER(N561)),IF(N561&gt;0,M561/N561,""),"")</f>
        <v/>
      </c>
      <c r="V561" s="10">
        <f>IF(AND(ISNUMBER(M561),ISNUMBER(O561)),IF(O561&gt;0,M561/O561,""),"")</f>
        <v/>
      </c>
      <c r="W561" s="10">
        <f>IF(AND(ISNUMBER(M561),ISNUMBER(R561)),IF(R561&gt;0,M561/R561,""),"")</f>
        <v/>
      </c>
      <c r="X561" s="10">
        <f>IF(AND(ISNUMBER(Q561),ISNUMBER(M561)),IF(M561&gt;0,Q561/M561,""),"")</f>
        <v/>
      </c>
      <c r="Y561" s="11">
        <f>IF(ISNUMBER(Z561),YEAR(Z561),"")</f>
        <v/>
      </c>
      <c r="Z561" s="12" t="n"/>
      <c r="AA561" s="12" t="n"/>
      <c r="AI561" s="12" t="n"/>
      <c r="AJ561" s="13">
        <f>IF(LEN(TRIM(AF561))=0,"",HYPERLINK("https://www.google.com/maps/@?api=1&amp;map_action=pano&amp;viewpoint="&amp;SUBSTITUTE(AF561," ",""),"Abrir Street View"))</f>
        <v/>
      </c>
    </row>
    <row r="562">
      <c r="H562" s="6" t="n"/>
      <c r="I562" s="6" t="n"/>
      <c r="M562" s="7" t="n"/>
      <c r="N562" s="7" t="n"/>
      <c r="O562" s="7" t="n"/>
      <c r="Q562" s="7" t="n"/>
      <c r="R562" s="7" t="n"/>
      <c r="S562" s="8">
        <f>IF(NOT(ISNUMBER(M562)),"",IF(G562="Terreno",IF(AND(ISNUMBER(I562),I562&gt;0),M562/I562,""),IF(AND(ISNUMBER(H562),H562&gt;0),M562/H562,"")))</f>
        <v/>
      </c>
      <c r="T562" s="9">
        <f>IF(AND(ISNUMBER(M562),ISNUMBER(O562)),IF(M562&lt;=O562,"Valor ≤ venal IPTU",""),"")</f>
        <v/>
      </c>
      <c r="U562" s="10">
        <f>IF(AND(ISNUMBER(M562),ISNUMBER(N562)),IF(N562&gt;0,M562/N562,""),"")</f>
        <v/>
      </c>
      <c r="V562" s="10">
        <f>IF(AND(ISNUMBER(M562),ISNUMBER(O562)),IF(O562&gt;0,M562/O562,""),"")</f>
        <v/>
      </c>
      <c r="W562" s="10">
        <f>IF(AND(ISNUMBER(M562),ISNUMBER(R562)),IF(R562&gt;0,M562/R562,""),"")</f>
        <v/>
      </c>
      <c r="X562" s="10">
        <f>IF(AND(ISNUMBER(Q562),ISNUMBER(M562)),IF(M562&gt;0,Q562/M562,""),"")</f>
        <v/>
      </c>
      <c r="Y562" s="11">
        <f>IF(ISNUMBER(Z562),YEAR(Z562),"")</f>
        <v/>
      </c>
      <c r="Z562" s="12" t="n"/>
      <c r="AA562" s="12" t="n"/>
      <c r="AI562" s="12" t="n"/>
      <c r="AJ562" s="13">
        <f>IF(LEN(TRIM(AF562))=0,"",HYPERLINK("https://www.google.com/maps/@?api=1&amp;map_action=pano&amp;viewpoint="&amp;SUBSTITUTE(AF562," ",""),"Abrir Street View"))</f>
        <v/>
      </c>
    </row>
    <row r="563">
      <c r="H563" s="6" t="n"/>
      <c r="I563" s="6" t="n"/>
      <c r="M563" s="7" t="n"/>
      <c r="N563" s="7" t="n"/>
      <c r="O563" s="7" t="n"/>
      <c r="Q563" s="7" t="n"/>
      <c r="R563" s="7" t="n"/>
      <c r="S563" s="8">
        <f>IF(NOT(ISNUMBER(M563)),"",IF(G563="Terreno",IF(AND(ISNUMBER(I563),I563&gt;0),M563/I563,""),IF(AND(ISNUMBER(H563),H563&gt;0),M563/H563,"")))</f>
        <v/>
      </c>
      <c r="T563" s="9">
        <f>IF(AND(ISNUMBER(M563),ISNUMBER(O563)),IF(M563&lt;=O563,"Valor ≤ venal IPTU",""),"")</f>
        <v/>
      </c>
      <c r="U563" s="10">
        <f>IF(AND(ISNUMBER(M563),ISNUMBER(N563)),IF(N563&gt;0,M563/N563,""),"")</f>
        <v/>
      </c>
      <c r="V563" s="10">
        <f>IF(AND(ISNUMBER(M563),ISNUMBER(O563)),IF(O563&gt;0,M563/O563,""),"")</f>
        <v/>
      </c>
      <c r="W563" s="10">
        <f>IF(AND(ISNUMBER(M563),ISNUMBER(R563)),IF(R563&gt;0,M563/R563,""),"")</f>
        <v/>
      </c>
      <c r="X563" s="10">
        <f>IF(AND(ISNUMBER(Q563),ISNUMBER(M563)),IF(M563&gt;0,Q563/M563,""),"")</f>
        <v/>
      </c>
      <c r="Y563" s="11">
        <f>IF(ISNUMBER(Z563),YEAR(Z563),"")</f>
        <v/>
      </c>
      <c r="Z563" s="12" t="n"/>
      <c r="AA563" s="12" t="n"/>
      <c r="AI563" s="12" t="n"/>
      <c r="AJ563" s="13">
        <f>IF(LEN(TRIM(AF563))=0,"",HYPERLINK("https://www.google.com/maps/@?api=1&amp;map_action=pano&amp;viewpoint="&amp;SUBSTITUTE(AF563," ",""),"Abrir Street View"))</f>
        <v/>
      </c>
    </row>
    <row r="564">
      <c r="H564" s="6" t="n"/>
      <c r="I564" s="6" t="n"/>
      <c r="M564" s="7" t="n"/>
      <c r="N564" s="7" t="n"/>
      <c r="O564" s="7" t="n"/>
      <c r="Q564" s="7" t="n"/>
      <c r="R564" s="7" t="n"/>
      <c r="S564" s="8">
        <f>IF(NOT(ISNUMBER(M564)),"",IF(G564="Terreno",IF(AND(ISNUMBER(I564),I564&gt;0),M564/I564,""),IF(AND(ISNUMBER(H564),H564&gt;0),M564/H564,"")))</f>
        <v/>
      </c>
      <c r="T564" s="9">
        <f>IF(AND(ISNUMBER(M564),ISNUMBER(O564)),IF(M564&lt;=O564,"Valor ≤ venal IPTU",""),"")</f>
        <v/>
      </c>
      <c r="U564" s="10">
        <f>IF(AND(ISNUMBER(M564),ISNUMBER(N564)),IF(N564&gt;0,M564/N564,""),"")</f>
        <v/>
      </c>
      <c r="V564" s="10">
        <f>IF(AND(ISNUMBER(M564),ISNUMBER(O564)),IF(O564&gt;0,M564/O564,""),"")</f>
        <v/>
      </c>
      <c r="W564" s="10">
        <f>IF(AND(ISNUMBER(M564),ISNUMBER(R564)),IF(R564&gt;0,M564/R564,""),"")</f>
        <v/>
      </c>
      <c r="X564" s="10">
        <f>IF(AND(ISNUMBER(Q564),ISNUMBER(M564)),IF(M564&gt;0,Q564/M564,""),"")</f>
        <v/>
      </c>
      <c r="Y564" s="11">
        <f>IF(ISNUMBER(Z564),YEAR(Z564),"")</f>
        <v/>
      </c>
      <c r="Z564" s="12" t="n"/>
      <c r="AA564" s="12" t="n"/>
      <c r="AI564" s="12" t="n"/>
      <c r="AJ564" s="13">
        <f>IF(LEN(TRIM(AF564))=0,"",HYPERLINK("https://www.google.com/maps/@?api=1&amp;map_action=pano&amp;viewpoint="&amp;SUBSTITUTE(AF564," ",""),"Abrir Street View"))</f>
        <v/>
      </c>
    </row>
    <row r="565">
      <c r="H565" s="6" t="n"/>
      <c r="I565" s="6" t="n"/>
      <c r="M565" s="7" t="n"/>
      <c r="N565" s="7" t="n"/>
      <c r="O565" s="7" t="n"/>
      <c r="Q565" s="7" t="n"/>
      <c r="R565" s="7" t="n"/>
      <c r="S565" s="8">
        <f>IF(NOT(ISNUMBER(M565)),"",IF(G565="Terreno",IF(AND(ISNUMBER(I565),I565&gt;0),M565/I565,""),IF(AND(ISNUMBER(H565),H565&gt;0),M565/H565,"")))</f>
        <v/>
      </c>
      <c r="T565" s="9">
        <f>IF(AND(ISNUMBER(M565),ISNUMBER(O565)),IF(M565&lt;=O565,"Valor ≤ venal IPTU",""),"")</f>
        <v/>
      </c>
      <c r="U565" s="10">
        <f>IF(AND(ISNUMBER(M565),ISNUMBER(N565)),IF(N565&gt;0,M565/N565,""),"")</f>
        <v/>
      </c>
      <c r="V565" s="10">
        <f>IF(AND(ISNUMBER(M565),ISNUMBER(O565)),IF(O565&gt;0,M565/O565,""),"")</f>
        <v/>
      </c>
      <c r="W565" s="10">
        <f>IF(AND(ISNUMBER(M565),ISNUMBER(R565)),IF(R565&gt;0,M565/R565,""),"")</f>
        <v/>
      </c>
      <c r="X565" s="10">
        <f>IF(AND(ISNUMBER(Q565),ISNUMBER(M565)),IF(M565&gt;0,Q565/M565,""),"")</f>
        <v/>
      </c>
      <c r="Y565" s="11">
        <f>IF(ISNUMBER(Z565),YEAR(Z565),"")</f>
        <v/>
      </c>
      <c r="Z565" s="12" t="n"/>
      <c r="AA565" s="12" t="n"/>
      <c r="AI565" s="12" t="n"/>
      <c r="AJ565" s="13">
        <f>IF(LEN(TRIM(AF565))=0,"",HYPERLINK("https://www.google.com/maps/@?api=1&amp;map_action=pano&amp;viewpoint="&amp;SUBSTITUTE(AF565," ",""),"Abrir Street View"))</f>
        <v/>
      </c>
    </row>
    <row r="566">
      <c r="H566" s="6" t="n"/>
      <c r="I566" s="6" t="n"/>
      <c r="M566" s="7" t="n"/>
      <c r="N566" s="7" t="n"/>
      <c r="O566" s="7" t="n"/>
      <c r="Q566" s="7" t="n"/>
      <c r="R566" s="7" t="n"/>
      <c r="S566" s="8">
        <f>IF(NOT(ISNUMBER(M566)),"",IF(G566="Terreno",IF(AND(ISNUMBER(I566),I566&gt;0),M566/I566,""),IF(AND(ISNUMBER(H566),H566&gt;0),M566/H566,"")))</f>
        <v/>
      </c>
      <c r="T566" s="9">
        <f>IF(AND(ISNUMBER(M566),ISNUMBER(O566)),IF(M566&lt;=O566,"Valor ≤ venal IPTU",""),"")</f>
        <v/>
      </c>
      <c r="U566" s="10">
        <f>IF(AND(ISNUMBER(M566),ISNUMBER(N566)),IF(N566&gt;0,M566/N566,""),"")</f>
        <v/>
      </c>
      <c r="V566" s="10">
        <f>IF(AND(ISNUMBER(M566),ISNUMBER(O566)),IF(O566&gt;0,M566/O566,""),"")</f>
        <v/>
      </c>
      <c r="W566" s="10">
        <f>IF(AND(ISNUMBER(M566),ISNUMBER(R566)),IF(R566&gt;0,M566/R566,""),"")</f>
        <v/>
      </c>
      <c r="X566" s="10">
        <f>IF(AND(ISNUMBER(Q566),ISNUMBER(M566)),IF(M566&gt;0,Q566/M566,""),"")</f>
        <v/>
      </c>
      <c r="Y566" s="11">
        <f>IF(ISNUMBER(Z566),YEAR(Z566),"")</f>
        <v/>
      </c>
      <c r="Z566" s="12" t="n"/>
      <c r="AA566" s="12" t="n"/>
      <c r="AI566" s="12" t="n"/>
      <c r="AJ566" s="13">
        <f>IF(LEN(TRIM(AF566))=0,"",HYPERLINK("https://www.google.com/maps/@?api=1&amp;map_action=pano&amp;viewpoint="&amp;SUBSTITUTE(AF566," ",""),"Abrir Street View"))</f>
        <v/>
      </c>
    </row>
    <row r="567">
      <c r="H567" s="6" t="n"/>
      <c r="I567" s="6" t="n"/>
      <c r="M567" s="7" t="n"/>
      <c r="N567" s="7" t="n"/>
      <c r="O567" s="7" t="n"/>
      <c r="Q567" s="7" t="n"/>
      <c r="R567" s="7" t="n"/>
      <c r="S567" s="8">
        <f>IF(NOT(ISNUMBER(M567)),"",IF(G567="Terreno",IF(AND(ISNUMBER(I567),I567&gt;0),M567/I567,""),IF(AND(ISNUMBER(H567),H567&gt;0),M567/H567,"")))</f>
        <v/>
      </c>
      <c r="T567" s="9">
        <f>IF(AND(ISNUMBER(M567),ISNUMBER(O567)),IF(M567&lt;=O567,"Valor ≤ venal IPTU",""),"")</f>
        <v/>
      </c>
      <c r="U567" s="10">
        <f>IF(AND(ISNUMBER(M567),ISNUMBER(N567)),IF(N567&gt;0,M567/N567,""),"")</f>
        <v/>
      </c>
      <c r="V567" s="10">
        <f>IF(AND(ISNUMBER(M567),ISNUMBER(O567)),IF(O567&gt;0,M567/O567,""),"")</f>
        <v/>
      </c>
      <c r="W567" s="10">
        <f>IF(AND(ISNUMBER(M567),ISNUMBER(R567)),IF(R567&gt;0,M567/R567,""),"")</f>
        <v/>
      </c>
      <c r="X567" s="10">
        <f>IF(AND(ISNUMBER(Q567),ISNUMBER(M567)),IF(M567&gt;0,Q567/M567,""),"")</f>
        <v/>
      </c>
      <c r="Y567" s="11">
        <f>IF(ISNUMBER(Z567),YEAR(Z567),"")</f>
        <v/>
      </c>
      <c r="Z567" s="12" t="n"/>
      <c r="AA567" s="12" t="n"/>
      <c r="AI567" s="12" t="n"/>
      <c r="AJ567" s="13">
        <f>IF(LEN(TRIM(AF567))=0,"",HYPERLINK("https://www.google.com/maps/@?api=1&amp;map_action=pano&amp;viewpoint="&amp;SUBSTITUTE(AF567," ",""),"Abrir Street View"))</f>
        <v/>
      </c>
    </row>
    <row r="568">
      <c r="H568" s="6" t="n"/>
      <c r="I568" s="6" t="n"/>
      <c r="M568" s="7" t="n"/>
      <c r="N568" s="7" t="n"/>
      <c r="O568" s="7" t="n"/>
      <c r="Q568" s="7" t="n"/>
      <c r="R568" s="7" t="n"/>
      <c r="S568" s="8">
        <f>IF(NOT(ISNUMBER(M568)),"",IF(G568="Terreno",IF(AND(ISNUMBER(I568),I568&gt;0),M568/I568,""),IF(AND(ISNUMBER(H568),H568&gt;0),M568/H568,"")))</f>
        <v/>
      </c>
      <c r="T568" s="9">
        <f>IF(AND(ISNUMBER(M568),ISNUMBER(O568)),IF(M568&lt;=O568,"Valor ≤ venal IPTU",""),"")</f>
        <v/>
      </c>
      <c r="U568" s="10">
        <f>IF(AND(ISNUMBER(M568),ISNUMBER(N568)),IF(N568&gt;0,M568/N568,""),"")</f>
        <v/>
      </c>
      <c r="V568" s="10">
        <f>IF(AND(ISNUMBER(M568),ISNUMBER(O568)),IF(O568&gt;0,M568/O568,""),"")</f>
        <v/>
      </c>
      <c r="W568" s="10">
        <f>IF(AND(ISNUMBER(M568),ISNUMBER(R568)),IF(R568&gt;0,M568/R568,""),"")</f>
        <v/>
      </c>
      <c r="X568" s="10">
        <f>IF(AND(ISNUMBER(Q568),ISNUMBER(M568)),IF(M568&gt;0,Q568/M568,""),"")</f>
        <v/>
      </c>
      <c r="Y568" s="11">
        <f>IF(ISNUMBER(Z568),YEAR(Z568),"")</f>
        <v/>
      </c>
      <c r="Z568" s="12" t="n"/>
      <c r="AA568" s="12" t="n"/>
      <c r="AI568" s="12" t="n"/>
      <c r="AJ568" s="13">
        <f>IF(LEN(TRIM(AF568))=0,"",HYPERLINK("https://www.google.com/maps/@?api=1&amp;map_action=pano&amp;viewpoint="&amp;SUBSTITUTE(AF568," ",""),"Abrir Street View"))</f>
        <v/>
      </c>
    </row>
    <row r="569">
      <c r="H569" s="6" t="n"/>
      <c r="I569" s="6" t="n"/>
      <c r="M569" s="7" t="n"/>
      <c r="N569" s="7" t="n"/>
      <c r="O569" s="7" t="n"/>
      <c r="Q569" s="7" t="n"/>
      <c r="R569" s="7" t="n"/>
      <c r="S569" s="8">
        <f>IF(NOT(ISNUMBER(M569)),"",IF(G569="Terreno",IF(AND(ISNUMBER(I569),I569&gt;0),M569/I569,""),IF(AND(ISNUMBER(H569),H569&gt;0),M569/H569,"")))</f>
        <v/>
      </c>
      <c r="T569" s="9">
        <f>IF(AND(ISNUMBER(M569),ISNUMBER(O569)),IF(M569&lt;=O569,"Valor ≤ venal IPTU",""),"")</f>
        <v/>
      </c>
      <c r="U569" s="10">
        <f>IF(AND(ISNUMBER(M569),ISNUMBER(N569)),IF(N569&gt;0,M569/N569,""),"")</f>
        <v/>
      </c>
      <c r="V569" s="10">
        <f>IF(AND(ISNUMBER(M569),ISNUMBER(O569)),IF(O569&gt;0,M569/O569,""),"")</f>
        <v/>
      </c>
      <c r="W569" s="10">
        <f>IF(AND(ISNUMBER(M569),ISNUMBER(R569)),IF(R569&gt;0,M569/R569,""),"")</f>
        <v/>
      </c>
      <c r="X569" s="10">
        <f>IF(AND(ISNUMBER(Q569),ISNUMBER(M569)),IF(M569&gt;0,Q569/M569,""),"")</f>
        <v/>
      </c>
      <c r="Y569" s="11">
        <f>IF(ISNUMBER(Z569),YEAR(Z569),"")</f>
        <v/>
      </c>
      <c r="Z569" s="12" t="n"/>
      <c r="AA569" s="12" t="n"/>
      <c r="AI569" s="12" t="n"/>
      <c r="AJ569" s="13">
        <f>IF(LEN(TRIM(AF569))=0,"",HYPERLINK("https://www.google.com/maps/@?api=1&amp;map_action=pano&amp;viewpoint="&amp;SUBSTITUTE(AF569," ",""),"Abrir Street View"))</f>
        <v/>
      </c>
    </row>
    <row r="570">
      <c r="H570" s="6" t="n"/>
      <c r="I570" s="6" t="n"/>
      <c r="M570" s="7" t="n"/>
      <c r="N570" s="7" t="n"/>
      <c r="O570" s="7" t="n"/>
      <c r="Q570" s="7" t="n"/>
      <c r="R570" s="7" t="n"/>
      <c r="S570" s="8">
        <f>IF(NOT(ISNUMBER(M570)),"",IF(G570="Terreno",IF(AND(ISNUMBER(I570),I570&gt;0),M570/I570,""),IF(AND(ISNUMBER(H570),H570&gt;0),M570/H570,"")))</f>
        <v/>
      </c>
      <c r="T570" s="9">
        <f>IF(AND(ISNUMBER(M570),ISNUMBER(O570)),IF(M570&lt;=O570,"Valor ≤ venal IPTU",""),"")</f>
        <v/>
      </c>
      <c r="U570" s="10">
        <f>IF(AND(ISNUMBER(M570),ISNUMBER(N570)),IF(N570&gt;0,M570/N570,""),"")</f>
        <v/>
      </c>
      <c r="V570" s="10">
        <f>IF(AND(ISNUMBER(M570),ISNUMBER(O570)),IF(O570&gt;0,M570/O570,""),"")</f>
        <v/>
      </c>
      <c r="W570" s="10">
        <f>IF(AND(ISNUMBER(M570),ISNUMBER(R570)),IF(R570&gt;0,M570/R570,""),"")</f>
        <v/>
      </c>
      <c r="X570" s="10">
        <f>IF(AND(ISNUMBER(Q570),ISNUMBER(M570)),IF(M570&gt;0,Q570/M570,""),"")</f>
        <v/>
      </c>
      <c r="Y570" s="11">
        <f>IF(ISNUMBER(Z570),YEAR(Z570),"")</f>
        <v/>
      </c>
      <c r="Z570" s="12" t="n"/>
      <c r="AA570" s="12" t="n"/>
      <c r="AI570" s="12" t="n"/>
      <c r="AJ570" s="13">
        <f>IF(LEN(TRIM(AF570))=0,"",HYPERLINK("https://www.google.com/maps/@?api=1&amp;map_action=pano&amp;viewpoint="&amp;SUBSTITUTE(AF570," ",""),"Abrir Street View"))</f>
        <v/>
      </c>
    </row>
    <row r="571">
      <c r="H571" s="6" t="n"/>
      <c r="I571" s="6" t="n"/>
      <c r="M571" s="7" t="n"/>
      <c r="N571" s="7" t="n"/>
      <c r="O571" s="7" t="n"/>
      <c r="Q571" s="7" t="n"/>
      <c r="R571" s="7" t="n"/>
      <c r="S571" s="8">
        <f>IF(NOT(ISNUMBER(M571)),"",IF(G571="Terreno",IF(AND(ISNUMBER(I571),I571&gt;0),M571/I571,""),IF(AND(ISNUMBER(H571),H571&gt;0),M571/H571,"")))</f>
        <v/>
      </c>
      <c r="T571" s="9">
        <f>IF(AND(ISNUMBER(M571),ISNUMBER(O571)),IF(M571&lt;=O571,"Valor ≤ venal IPTU",""),"")</f>
        <v/>
      </c>
      <c r="U571" s="10">
        <f>IF(AND(ISNUMBER(M571),ISNUMBER(N571)),IF(N571&gt;0,M571/N571,""),"")</f>
        <v/>
      </c>
      <c r="V571" s="10">
        <f>IF(AND(ISNUMBER(M571),ISNUMBER(O571)),IF(O571&gt;0,M571/O571,""),"")</f>
        <v/>
      </c>
      <c r="W571" s="10">
        <f>IF(AND(ISNUMBER(M571),ISNUMBER(R571)),IF(R571&gt;0,M571/R571,""),"")</f>
        <v/>
      </c>
      <c r="X571" s="10">
        <f>IF(AND(ISNUMBER(Q571),ISNUMBER(M571)),IF(M571&gt;0,Q571/M571,""),"")</f>
        <v/>
      </c>
      <c r="Y571" s="11">
        <f>IF(ISNUMBER(Z571),YEAR(Z571),"")</f>
        <v/>
      </c>
      <c r="Z571" s="12" t="n"/>
      <c r="AA571" s="12" t="n"/>
      <c r="AI571" s="12" t="n"/>
      <c r="AJ571" s="13">
        <f>IF(LEN(TRIM(AF571))=0,"",HYPERLINK("https://www.google.com/maps/@?api=1&amp;map_action=pano&amp;viewpoint="&amp;SUBSTITUTE(AF571," ",""),"Abrir Street View"))</f>
        <v/>
      </c>
    </row>
    <row r="572">
      <c r="H572" s="6" t="n"/>
      <c r="I572" s="6" t="n"/>
      <c r="M572" s="7" t="n"/>
      <c r="N572" s="7" t="n"/>
      <c r="O572" s="7" t="n"/>
      <c r="Q572" s="7" t="n"/>
      <c r="R572" s="7" t="n"/>
      <c r="S572" s="8">
        <f>IF(NOT(ISNUMBER(M572)),"",IF(G572="Terreno",IF(AND(ISNUMBER(I572),I572&gt;0),M572/I572,""),IF(AND(ISNUMBER(H572),H572&gt;0),M572/H572,"")))</f>
        <v/>
      </c>
      <c r="T572" s="9">
        <f>IF(AND(ISNUMBER(M572),ISNUMBER(O572)),IF(M572&lt;=O572,"Valor ≤ venal IPTU",""),"")</f>
        <v/>
      </c>
      <c r="U572" s="10">
        <f>IF(AND(ISNUMBER(M572),ISNUMBER(N572)),IF(N572&gt;0,M572/N572,""),"")</f>
        <v/>
      </c>
      <c r="V572" s="10">
        <f>IF(AND(ISNUMBER(M572),ISNUMBER(O572)),IF(O572&gt;0,M572/O572,""),"")</f>
        <v/>
      </c>
      <c r="W572" s="10">
        <f>IF(AND(ISNUMBER(M572),ISNUMBER(R572)),IF(R572&gt;0,M572/R572,""),"")</f>
        <v/>
      </c>
      <c r="X572" s="10">
        <f>IF(AND(ISNUMBER(Q572),ISNUMBER(M572)),IF(M572&gt;0,Q572/M572,""),"")</f>
        <v/>
      </c>
      <c r="Y572" s="11">
        <f>IF(ISNUMBER(Z572),YEAR(Z572),"")</f>
        <v/>
      </c>
      <c r="Z572" s="12" t="n"/>
      <c r="AA572" s="12" t="n"/>
      <c r="AI572" s="12" t="n"/>
      <c r="AJ572" s="13">
        <f>IF(LEN(TRIM(AF572))=0,"",HYPERLINK("https://www.google.com/maps/@?api=1&amp;map_action=pano&amp;viewpoint="&amp;SUBSTITUTE(AF572," ",""),"Abrir Street View"))</f>
        <v/>
      </c>
    </row>
    <row r="573">
      <c r="H573" s="6" t="n"/>
      <c r="I573" s="6" t="n"/>
      <c r="M573" s="7" t="n"/>
      <c r="N573" s="7" t="n"/>
      <c r="O573" s="7" t="n"/>
      <c r="Q573" s="7" t="n"/>
      <c r="R573" s="7" t="n"/>
      <c r="S573" s="8">
        <f>IF(NOT(ISNUMBER(M573)),"",IF(G573="Terreno",IF(AND(ISNUMBER(I573),I573&gt;0),M573/I573,""),IF(AND(ISNUMBER(H573),H573&gt;0),M573/H573,"")))</f>
        <v/>
      </c>
      <c r="T573" s="9">
        <f>IF(AND(ISNUMBER(M573),ISNUMBER(O573)),IF(M573&lt;=O573,"Valor ≤ venal IPTU",""),"")</f>
        <v/>
      </c>
      <c r="U573" s="10">
        <f>IF(AND(ISNUMBER(M573),ISNUMBER(N573)),IF(N573&gt;0,M573/N573,""),"")</f>
        <v/>
      </c>
      <c r="V573" s="10">
        <f>IF(AND(ISNUMBER(M573),ISNUMBER(O573)),IF(O573&gt;0,M573/O573,""),"")</f>
        <v/>
      </c>
      <c r="W573" s="10">
        <f>IF(AND(ISNUMBER(M573),ISNUMBER(R573)),IF(R573&gt;0,M573/R573,""),"")</f>
        <v/>
      </c>
      <c r="X573" s="10">
        <f>IF(AND(ISNUMBER(Q573),ISNUMBER(M573)),IF(M573&gt;0,Q573/M573,""),"")</f>
        <v/>
      </c>
      <c r="Y573" s="11">
        <f>IF(ISNUMBER(Z573),YEAR(Z573),"")</f>
        <v/>
      </c>
      <c r="Z573" s="12" t="n"/>
      <c r="AA573" s="12" t="n"/>
      <c r="AI573" s="12" t="n"/>
      <c r="AJ573" s="13">
        <f>IF(LEN(TRIM(AF573))=0,"",HYPERLINK("https://www.google.com/maps/@?api=1&amp;map_action=pano&amp;viewpoint="&amp;SUBSTITUTE(AF573," ",""),"Abrir Street View"))</f>
        <v/>
      </c>
    </row>
    <row r="574">
      <c r="H574" s="6" t="n"/>
      <c r="I574" s="6" t="n"/>
      <c r="M574" s="7" t="n"/>
      <c r="N574" s="7" t="n"/>
      <c r="O574" s="7" t="n"/>
      <c r="Q574" s="7" t="n"/>
      <c r="R574" s="7" t="n"/>
      <c r="S574" s="8">
        <f>IF(NOT(ISNUMBER(M574)),"",IF(G574="Terreno",IF(AND(ISNUMBER(I574),I574&gt;0),M574/I574,""),IF(AND(ISNUMBER(H574),H574&gt;0),M574/H574,"")))</f>
        <v/>
      </c>
      <c r="T574" s="9">
        <f>IF(AND(ISNUMBER(M574),ISNUMBER(O574)),IF(M574&lt;=O574,"Valor ≤ venal IPTU",""),"")</f>
        <v/>
      </c>
      <c r="U574" s="10">
        <f>IF(AND(ISNUMBER(M574),ISNUMBER(N574)),IF(N574&gt;0,M574/N574,""),"")</f>
        <v/>
      </c>
      <c r="V574" s="10">
        <f>IF(AND(ISNUMBER(M574),ISNUMBER(O574)),IF(O574&gt;0,M574/O574,""),"")</f>
        <v/>
      </c>
      <c r="W574" s="10">
        <f>IF(AND(ISNUMBER(M574),ISNUMBER(R574)),IF(R574&gt;0,M574/R574,""),"")</f>
        <v/>
      </c>
      <c r="X574" s="10">
        <f>IF(AND(ISNUMBER(Q574),ISNUMBER(M574)),IF(M574&gt;0,Q574/M574,""),"")</f>
        <v/>
      </c>
      <c r="Y574" s="11">
        <f>IF(ISNUMBER(Z574),YEAR(Z574),"")</f>
        <v/>
      </c>
      <c r="Z574" s="12" t="n"/>
      <c r="AA574" s="12" t="n"/>
      <c r="AI574" s="12" t="n"/>
      <c r="AJ574" s="13">
        <f>IF(LEN(TRIM(AF574))=0,"",HYPERLINK("https://www.google.com/maps/@?api=1&amp;map_action=pano&amp;viewpoint="&amp;SUBSTITUTE(AF574," ",""),"Abrir Street View"))</f>
        <v/>
      </c>
    </row>
    <row r="575">
      <c r="H575" s="6" t="n"/>
      <c r="I575" s="6" t="n"/>
      <c r="M575" s="7" t="n"/>
      <c r="N575" s="7" t="n"/>
      <c r="O575" s="7" t="n"/>
      <c r="Q575" s="7" t="n"/>
      <c r="R575" s="7" t="n"/>
      <c r="S575" s="8">
        <f>IF(NOT(ISNUMBER(M575)),"",IF(G575="Terreno",IF(AND(ISNUMBER(I575),I575&gt;0),M575/I575,""),IF(AND(ISNUMBER(H575),H575&gt;0),M575/H575,"")))</f>
        <v/>
      </c>
      <c r="T575" s="9">
        <f>IF(AND(ISNUMBER(M575),ISNUMBER(O575)),IF(M575&lt;=O575,"Valor ≤ venal IPTU",""),"")</f>
        <v/>
      </c>
      <c r="U575" s="10">
        <f>IF(AND(ISNUMBER(M575),ISNUMBER(N575)),IF(N575&gt;0,M575/N575,""),"")</f>
        <v/>
      </c>
      <c r="V575" s="10">
        <f>IF(AND(ISNUMBER(M575),ISNUMBER(O575)),IF(O575&gt;0,M575/O575,""),"")</f>
        <v/>
      </c>
      <c r="W575" s="10">
        <f>IF(AND(ISNUMBER(M575),ISNUMBER(R575)),IF(R575&gt;0,M575/R575,""),"")</f>
        <v/>
      </c>
      <c r="X575" s="10">
        <f>IF(AND(ISNUMBER(Q575),ISNUMBER(M575)),IF(M575&gt;0,Q575/M575,""),"")</f>
        <v/>
      </c>
      <c r="Y575" s="11">
        <f>IF(ISNUMBER(Z575),YEAR(Z575),"")</f>
        <v/>
      </c>
      <c r="Z575" s="12" t="n"/>
      <c r="AA575" s="12" t="n"/>
      <c r="AI575" s="12" t="n"/>
      <c r="AJ575" s="13">
        <f>IF(LEN(TRIM(AF575))=0,"",HYPERLINK("https://www.google.com/maps/@?api=1&amp;map_action=pano&amp;viewpoint="&amp;SUBSTITUTE(AF575," ",""),"Abrir Street View"))</f>
        <v/>
      </c>
    </row>
    <row r="576">
      <c r="H576" s="6" t="n"/>
      <c r="I576" s="6" t="n"/>
      <c r="M576" s="7" t="n"/>
      <c r="N576" s="7" t="n"/>
      <c r="O576" s="7" t="n"/>
      <c r="Q576" s="7" t="n"/>
      <c r="R576" s="7" t="n"/>
      <c r="S576" s="8">
        <f>IF(NOT(ISNUMBER(M576)),"",IF(G576="Terreno",IF(AND(ISNUMBER(I576),I576&gt;0),M576/I576,""),IF(AND(ISNUMBER(H576),H576&gt;0),M576/H576,"")))</f>
        <v/>
      </c>
      <c r="T576" s="9">
        <f>IF(AND(ISNUMBER(M576),ISNUMBER(O576)),IF(M576&lt;=O576,"Valor ≤ venal IPTU",""),"")</f>
        <v/>
      </c>
      <c r="U576" s="10">
        <f>IF(AND(ISNUMBER(M576),ISNUMBER(N576)),IF(N576&gt;0,M576/N576,""),"")</f>
        <v/>
      </c>
      <c r="V576" s="10">
        <f>IF(AND(ISNUMBER(M576),ISNUMBER(O576)),IF(O576&gt;0,M576/O576,""),"")</f>
        <v/>
      </c>
      <c r="W576" s="10">
        <f>IF(AND(ISNUMBER(M576),ISNUMBER(R576)),IF(R576&gt;0,M576/R576,""),"")</f>
        <v/>
      </c>
      <c r="X576" s="10">
        <f>IF(AND(ISNUMBER(Q576),ISNUMBER(M576)),IF(M576&gt;0,Q576/M576,""),"")</f>
        <v/>
      </c>
      <c r="Y576" s="11">
        <f>IF(ISNUMBER(Z576),YEAR(Z576),"")</f>
        <v/>
      </c>
      <c r="Z576" s="12" t="n"/>
      <c r="AA576" s="12" t="n"/>
      <c r="AI576" s="12" t="n"/>
      <c r="AJ576" s="13">
        <f>IF(LEN(TRIM(AF576))=0,"",HYPERLINK("https://www.google.com/maps/@?api=1&amp;map_action=pano&amp;viewpoint="&amp;SUBSTITUTE(AF576," ",""),"Abrir Street View"))</f>
        <v/>
      </c>
    </row>
    <row r="577">
      <c r="H577" s="6" t="n"/>
      <c r="I577" s="6" t="n"/>
      <c r="M577" s="7" t="n"/>
      <c r="N577" s="7" t="n"/>
      <c r="O577" s="7" t="n"/>
      <c r="Q577" s="7" t="n"/>
      <c r="R577" s="7" t="n"/>
      <c r="S577" s="8">
        <f>IF(NOT(ISNUMBER(M577)),"",IF(G577="Terreno",IF(AND(ISNUMBER(I577),I577&gt;0),M577/I577,""),IF(AND(ISNUMBER(H577),H577&gt;0),M577/H577,"")))</f>
        <v/>
      </c>
      <c r="T577" s="9">
        <f>IF(AND(ISNUMBER(M577),ISNUMBER(O577)),IF(M577&lt;=O577,"Valor ≤ venal IPTU",""),"")</f>
        <v/>
      </c>
      <c r="U577" s="10">
        <f>IF(AND(ISNUMBER(M577),ISNUMBER(N577)),IF(N577&gt;0,M577/N577,""),"")</f>
        <v/>
      </c>
      <c r="V577" s="10">
        <f>IF(AND(ISNUMBER(M577),ISNUMBER(O577)),IF(O577&gt;0,M577/O577,""),"")</f>
        <v/>
      </c>
      <c r="W577" s="10">
        <f>IF(AND(ISNUMBER(M577),ISNUMBER(R577)),IF(R577&gt;0,M577/R577,""),"")</f>
        <v/>
      </c>
      <c r="X577" s="10">
        <f>IF(AND(ISNUMBER(Q577),ISNUMBER(M577)),IF(M577&gt;0,Q577/M577,""),"")</f>
        <v/>
      </c>
      <c r="Y577" s="11">
        <f>IF(ISNUMBER(Z577),YEAR(Z577),"")</f>
        <v/>
      </c>
      <c r="Z577" s="12" t="n"/>
      <c r="AA577" s="12" t="n"/>
      <c r="AI577" s="12" t="n"/>
      <c r="AJ577" s="13">
        <f>IF(LEN(TRIM(AF577))=0,"",HYPERLINK("https://www.google.com/maps/@?api=1&amp;map_action=pano&amp;viewpoint="&amp;SUBSTITUTE(AF577," ",""),"Abrir Street View"))</f>
        <v/>
      </c>
    </row>
    <row r="578">
      <c r="H578" s="6" t="n"/>
      <c r="I578" s="6" t="n"/>
      <c r="M578" s="7" t="n"/>
      <c r="N578" s="7" t="n"/>
      <c r="O578" s="7" t="n"/>
      <c r="Q578" s="7" t="n"/>
      <c r="R578" s="7" t="n"/>
      <c r="S578" s="8">
        <f>IF(NOT(ISNUMBER(M578)),"",IF(G578="Terreno",IF(AND(ISNUMBER(I578),I578&gt;0),M578/I578,""),IF(AND(ISNUMBER(H578),H578&gt;0),M578/H578,"")))</f>
        <v/>
      </c>
      <c r="T578" s="9">
        <f>IF(AND(ISNUMBER(M578),ISNUMBER(O578)),IF(M578&lt;=O578,"Valor ≤ venal IPTU",""),"")</f>
        <v/>
      </c>
      <c r="U578" s="10">
        <f>IF(AND(ISNUMBER(M578),ISNUMBER(N578)),IF(N578&gt;0,M578/N578,""),"")</f>
        <v/>
      </c>
      <c r="V578" s="10">
        <f>IF(AND(ISNUMBER(M578),ISNUMBER(O578)),IF(O578&gt;0,M578/O578,""),"")</f>
        <v/>
      </c>
      <c r="W578" s="10">
        <f>IF(AND(ISNUMBER(M578),ISNUMBER(R578)),IF(R578&gt;0,M578/R578,""),"")</f>
        <v/>
      </c>
      <c r="X578" s="10">
        <f>IF(AND(ISNUMBER(Q578),ISNUMBER(M578)),IF(M578&gt;0,Q578/M578,""),"")</f>
        <v/>
      </c>
      <c r="Y578" s="11">
        <f>IF(ISNUMBER(Z578),YEAR(Z578),"")</f>
        <v/>
      </c>
      <c r="Z578" s="12" t="n"/>
      <c r="AA578" s="12" t="n"/>
      <c r="AI578" s="12" t="n"/>
      <c r="AJ578" s="13">
        <f>IF(LEN(TRIM(AF578))=0,"",HYPERLINK("https://www.google.com/maps/@?api=1&amp;map_action=pano&amp;viewpoint="&amp;SUBSTITUTE(AF578," ",""),"Abrir Street View"))</f>
        <v/>
      </c>
    </row>
    <row r="579">
      <c r="H579" s="6" t="n"/>
      <c r="I579" s="6" t="n"/>
      <c r="M579" s="7" t="n"/>
      <c r="N579" s="7" t="n"/>
      <c r="O579" s="7" t="n"/>
      <c r="Q579" s="7" t="n"/>
      <c r="R579" s="7" t="n"/>
      <c r="S579" s="8">
        <f>IF(NOT(ISNUMBER(M579)),"",IF(G579="Terreno",IF(AND(ISNUMBER(I579),I579&gt;0),M579/I579,""),IF(AND(ISNUMBER(H579),H579&gt;0),M579/H579,"")))</f>
        <v/>
      </c>
      <c r="T579" s="9">
        <f>IF(AND(ISNUMBER(M579),ISNUMBER(O579)),IF(M579&lt;=O579,"Valor ≤ venal IPTU",""),"")</f>
        <v/>
      </c>
      <c r="U579" s="10">
        <f>IF(AND(ISNUMBER(M579),ISNUMBER(N579)),IF(N579&gt;0,M579/N579,""),"")</f>
        <v/>
      </c>
      <c r="V579" s="10">
        <f>IF(AND(ISNUMBER(M579),ISNUMBER(O579)),IF(O579&gt;0,M579/O579,""),"")</f>
        <v/>
      </c>
      <c r="W579" s="10">
        <f>IF(AND(ISNUMBER(M579),ISNUMBER(R579)),IF(R579&gt;0,M579/R579,""),"")</f>
        <v/>
      </c>
      <c r="X579" s="10">
        <f>IF(AND(ISNUMBER(Q579),ISNUMBER(M579)),IF(M579&gt;0,Q579/M579,""),"")</f>
        <v/>
      </c>
      <c r="Y579" s="11">
        <f>IF(ISNUMBER(Z579),YEAR(Z579),"")</f>
        <v/>
      </c>
      <c r="Z579" s="12" t="n"/>
      <c r="AA579" s="12" t="n"/>
      <c r="AI579" s="12" t="n"/>
      <c r="AJ579" s="13">
        <f>IF(LEN(TRIM(AF579))=0,"",HYPERLINK("https://www.google.com/maps/@?api=1&amp;map_action=pano&amp;viewpoint="&amp;SUBSTITUTE(AF579," ",""),"Abrir Street View"))</f>
        <v/>
      </c>
    </row>
    <row r="580">
      <c r="H580" s="6" t="n"/>
      <c r="I580" s="6" t="n"/>
      <c r="M580" s="7" t="n"/>
      <c r="N580" s="7" t="n"/>
      <c r="O580" s="7" t="n"/>
      <c r="Q580" s="7" t="n"/>
      <c r="R580" s="7" t="n"/>
      <c r="S580" s="8">
        <f>IF(NOT(ISNUMBER(M580)),"",IF(G580="Terreno",IF(AND(ISNUMBER(I580),I580&gt;0),M580/I580,""),IF(AND(ISNUMBER(H580),H580&gt;0),M580/H580,"")))</f>
        <v/>
      </c>
      <c r="T580" s="9">
        <f>IF(AND(ISNUMBER(M580),ISNUMBER(O580)),IF(M580&lt;=O580,"Valor ≤ venal IPTU",""),"")</f>
        <v/>
      </c>
      <c r="U580" s="10">
        <f>IF(AND(ISNUMBER(M580),ISNUMBER(N580)),IF(N580&gt;0,M580/N580,""),"")</f>
        <v/>
      </c>
      <c r="V580" s="10">
        <f>IF(AND(ISNUMBER(M580),ISNUMBER(O580)),IF(O580&gt;0,M580/O580,""),"")</f>
        <v/>
      </c>
      <c r="W580" s="10">
        <f>IF(AND(ISNUMBER(M580),ISNUMBER(R580)),IF(R580&gt;0,M580/R580,""),"")</f>
        <v/>
      </c>
      <c r="X580" s="10">
        <f>IF(AND(ISNUMBER(Q580),ISNUMBER(M580)),IF(M580&gt;0,Q580/M580,""),"")</f>
        <v/>
      </c>
      <c r="Y580" s="11">
        <f>IF(ISNUMBER(Z580),YEAR(Z580),"")</f>
        <v/>
      </c>
      <c r="Z580" s="12" t="n"/>
      <c r="AA580" s="12" t="n"/>
      <c r="AI580" s="12" t="n"/>
      <c r="AJ580" s="13">
        <f>IF(LEN(TRIM(AF580))=0,"",HYPERLINK("https://www.google.com/maps/@?api=1&amp;map_action=pano&amp;viewpoint="&amp;SUBSTITUTE(AF580," ",""),"Abrir Street View"))</f>
        <v/>
      </c>
    </row>
    <row r="581">
      <c r="H581" s="6" t="n"/>
      <c r="I581" s="6" t="n"/>
      <c r="M581" s="7" t="n"/>
      <c r="N581" s="7" t="n"/>
      <c r="O581" s="7" t="n"/>
      <c r="Q581" s="7" t="n"/>
      <c r="R581" s="7" t="n"/>
      <c r="S581" s="8">
        <f>IF(NOT(ISNUMBER(M581)),"",IF(G581="Terreno",IF(AND(ISNUMBER(I581),I581&gt;0),M581/I581,""),IF(AND(ISNUMBER(H581),H581&gt;0),M581/H581,"")))</f>
        <v/>
      </c>
      <c r="T581" s="9">
        <f>IF(AND(ISNUMBER(M581),ISNUMBER(O581)),IF(M581&lt;=O581,"Valor ≤ venal IPTU",""),"")</f>
        <v/>
      </c>
      <c r="U581" s="10">
        <f>IF(AND(ISNUMBER(M581),ISNUMBER(N581)),IF(N581&gt;0,M581/N581,""),"")</f>
        <v/>
      </c>
      <c r="V581" s="10">
        <f>IF(AND(ISNUMBER(M581),ISNUMBER(O581)),IF(O581&gt;0,M581/O581,""),"")</f>
        <v/>
      </c>
      <c r="W581" s="10">
        <f>IF(AND(ISNUMBER(M581),ISNUMBER(R581)),IF(R581&gt;0,M581/R581,""),"")</f>
        <v/>
      </c>
      <c r="X581" s="10">
        <f>IF(AND(ISNUMBER(Q581),ISNUMBER(M581)),IF(M581&gt;0,Q581/M581,""),"")</f>
        <v/>
      </c>
      <c r="Y581" s="11">
        <f>IF(ISNUMBER(Z581),YEAR(Z581),"")</f>
        <v/>
      </c>
      <c r="Z581" s="12" t="n"/>
      <c r="AA581" s="12" t="n"/>
      <c r="AI581" s="12" t="n"/>
      <c r="AJ581" s="13">
        <f>IF(LEN(TRIM(AF581))=0,"",HYPERLINK("https://www.google.com/maps/@?api=1&amp;map_action=pano&amp;viewpoint="&amp;SUBSTITUTE(AF581," ",""),"Abrir Street View"))</f>
        <v/>
      </c>
    </row>
    <row r="582">
      <c r="H582" s="6" t="n"/>
      <c r="I582" s="6" t="n"/>
      <c r="M582" s="7" t="n"/>
      <c r="N582" s="7" t="n"/>
      <c r="O582" s="7" t="n"/>
      <c r="Q582" s="7" t="n"/>
      <c r="R582" s="7" t="n"/>
      <c r="S582" s="8">
        <f>IF(NOT(ISNUMBER(M582)),"",IF(G582="Terreno",IF(AND(ISNUMBER(I582),I582&gt;0),M582/I582,""),IF(AND(ISNUMBER(H582),H582&gt;0),M582/H582,"")))</f>
        <v/>
      </c>
      <c r="T582" s="9">
        <f>IF(AND(ISNUMBER(M582),ISNUMBER(O582)),IF(M582&lt;=O582,"Valor ≤ venal IPTU",""),"")</f>
        <v/>
      </c>
      <c r="U582" s="10">
        <f>IF(AND(ISNUMBER(M582),ISNUMBER(N582)),IF(N582&gt;0,M582/N582,""),"")</f>
        <v/>
      </c>
      <c r="V582" s="10">
        <f>IF(AND(ISNUMBER(M582),ISNUMBER(O582)),IF(O582&gt;0,M582/O582,""),"")</f>
        <v/>
      </c>
      <c r="W582" s="10">
        <f>IF(AND(ISNUMBER(M582),ISNUMBER(R582)),IF(R582&gt;0,M582/R582,""),"")</f>
        <v/>
      </c>
      <c r="X582" s="10">
        <f>IF(AND(ISNUMBER(Q582),ISNUMBER(M582)),IF(M582&gt;0,Q582/M582,""),"")</f>
        <v/>
      </c>
      <c r="Y582" s="11">
        <f>IF(ISNUMBER(Z582),YEAR(Z582),"")</f>
        <v/>
      </c>
      <c r="Z582" s="12" t="n"/>
      <c r="AA582" s="12" t="n"/>
      <c r="AI582" s="12" t="n"/>
      <c r="AJ582" s="13">
        <f>IF(LEN(TRIM(AF582))=0,"",HYPERLINK("https://www.google.com/maps/@?api=1&amp;map_action=pano&amp;viewpoint="&amp;SUBSTITUTE(AF582," ",""),"Abrir Street View"))</f>
        <v/>
      </c>
    </row>
    <row r="583">
      <c r="H583" s="6" t="n"/>
      <c r="I583" s="6" t="n"/>
      <c r="M583" s="7" t="n"/>
      <c r="N583" s="7" t="n"/>
      <c r="O583" s="7" t="n"/>
      <c r="Q583" s="7" t="n"/>
      <c r="R583" s="7" t="n"/>
      <c r="S583" s="8">
        <f>IF(NOT(ISNUMBER(M583)),"",IF(G583="Terreno",IF(AND(ISNUMBER(I583),I583&gt;0),M583/I583,""),IF(AND(ISNUMBER(H583),H583&gt;0),M583/H583,"")))</f>
        <v/>
      </c>
      <c r="T583" s="9">
        <f>IF(AND(ISNUMBER(M583),ISNUMBER(O583)),IF(M583&lt;=O583,"Valor ≤ venal IPTU",""),"")</f>
        <v/>
      </c>
      <c r="U583" s="10">
        <f>IF(AND(ISNUMBER(M583),ISNUMBER(N583)),IF(N583&gt;0,M583/N583,""),"")</f>
        <v/>
      </c>
      <c r="V583" s="10">
        <f>IF(AND(ISNUMBER(M583),ISNUMBER(O583)),IF(O583&gt;0,M583/O583,""),"")</f>
        <v/>
      </c>
      <c r="W583" s="10">
        <f>IF(AND(ISNUMBER(M583),ISNUMBER(R583)),IF(R583&gt;0,M583/R583,""),"")</f>
        <v/>
      </c>
      <c r="X583" s="10">
        <f>IF(AND(ISNUMBER(Q583),ISNUMBER(M583)),IF(M583&gt;0,Q583/M583,""),"")</f>
        <v/>
      </c>
      <c r="Y583" s="11">
        <f>IF(ISNUMBER(Z583),YEAR(Z583),"")</f>
        <v/>
      </c>
      <c r="Z583" s="12" t="n"/>
      <c r="AA583" s="12" t="n"/>
      <c r="AI583" s="12" t="n"/>
      <c r="AJ583" s="13">
        <f>IF(LEN(TRIM(AF583))=0,"",HYPERLINK("https://www.google.com/maps/@?api=1&amp;map_action=pano&amp;viewpoint="&amp;SUBSTITUTE(AF583," ",""),"Abrir Street View"))</f>
        <v/>
      </c>
    </row>
    <row r="584">
      <c r="H584" s="6" t="n"/>
      <c r="I584" s="6" t="n"/>
      <c r="M584" s="7" t="n"/>
      <c r="N584" s="7" t="n"/>
      <c r="O584" s="7" t="n"/>
      <c r="Q584" s="7" t="n"/>
      <c r="R584" s="7" t="n"/>
      <c r="S584" s="8">
        <f>IF(NOT(ISNUMBER(M584)),"",IF(G584="Terreno",IF(AND(ISNUMBER(I584),I584&gt;0),M584/I584,""),IF(AND(ISNUMBER(H584),H584&gt;0),M584/H584,"")))</f>
        <v/>
      </c>
      <c r="T584" s="9">
        <f>IF(AND(ISNUMBER(M584),ISNUMBER(O584)),IF(M584&lt;=O584,"Valor ≤ venal IPTU",""),"")</f>
        <v/>
      </c>
      <c r="U584" s="10">
        <f>IF(AND(ISNUMBER(M584),ISNUMBER(N584)),IF(N584&gt;0,M584/N584,""),"")</f>
        <v/>
      </c>
      <c r="V584" s="10">
        <f>IF(AND(ISNUMBER(M584),ISNUMBER(O584)),IF(O584&gt;0,M584/O584,""),"")</f>
        <v/>
      </c>
      <c r="W584" s="10">
        <f>IF(AND(ISNUMBER(M584),ISNUMBER(R584)),IF(R584&gt;0,M584/R584,""),"")</f>
        <v/>
      </c>
      <c r="X584" s="10">
        <f>IF(AND(ISNUMBER(Q584),ISNUMBER(M584)),IF(M584&gt;0,Q584/M584,""),"")</f>
        <v/>
      </c>
      <c r="Y584" s="11">
        <f>IF(ISNUMBER(Z584),YEAR(Z584),"")</f>
        <v/>
      </c>
      <c r="Z584" s="12" t="n"/>
      <c r="AA584" s="12" t="n"/>
      <c r="AI584" s="12" t="n"/>
      <c r="AJ584" s="13">
        <f>IF(LEN(TRIM(AF584))=0,"",HYPERLINK("https://www.google.com/maps/@?api=1&amp;map_action=pano&amp;viewpoint="&amp;SUBSTITUTE(AF584," ",""),"Abrir Street View"))</f>
        <v/>
      </c>
    </row>
    <row r="585">
      <c r="H585" s="6" t="n"/>
      <c r="I585" s="6" t="n"/>
      <c r="M585" s="7" t="n"/>
      <c r="N585" s="7" t="n"/>
      <c r="O585" s="7" t="n"/>
      <c r="Q585" s="7" t="n"/>
      <c r="R585" s="7" t="n"/>
      <c r="S585" s="8">
        <f>IF(NOT(ISNUMBER(M585)),"",IF(G585="Terreno",IF(AND(ISNUMBER(I585),I585&gt;0),M585/I585,""),IF(AND(ISNUMBER(H585),H585&gt;0),M585/H585,"")))</f>
        <v/>
      </c>
      <c r="T585" s="9">
        <f>IF(AND(ISNUMBER(M585),ISNUMBER(O585)),IF(M585&lt;=O585,"Valor ≤ venal IPTU",""),"")</f>
        <v/>
      </c>
      <c r="U585" s="10">
        <f>IF(AND(ISNUMBER(M585),ISNUMBER(N585)),IF(N585&gt;0,M585/N585,""),"")</f>
        <v/>
      </c>
      <c r="V585" s="10">
        <f>IF(AND(ISNUMBER(M585),ISNUMBER(O585)),IF(O585&gt;0,M585/O585,""),"")</f>
        <v/>
      </c>
      <c r="W585" s="10">
        <f>IF(AND(ISNUMBER(M585),ISNUMBER(R585)),IF(R585&gt;0,M585/R585,""),"")</f>
        <v/>
      </c>
      <c r="X585" s="10">
        <f>IF(AND(ISNUMBER(Q585),ISNUMBER(M585)),IF(M585&gt;0,Q585/M585,""),"")</f>
        <v/>
      </c>
      <c r="Y585" s="11">
        <f>IF(ISNUMBER(Z585),YEAR(Z585),"")</f>
        <v/>
      </c>
      <c r="Z585" s="12" t="n"/>
      <c r="AA585" s="12" t="n"/>
      <c r="AI585" s="12" t="n"/>
      <c r="AJ585" s="13">
        <f>IF(LEN(TRIM(AF585))=0,"",HYPERLINK("https://www.google.com/maps/@?api=1&amp;map_action=pano&amp;viewpoint="&amp;SUBSTITUTE(AF585," ",""),"Abrir Street View"))</f>
        <v/>
      </c>
    </row>
    <row r="586">
      <c r="H586" s="6" t="n"/>
      <c r="I586" s="6" t="n"/>
      <c r="M586" s="7" t="n"/>
      <c r="N586" s="7" t="n"/>
      <c r="O586" s="7" t="n"/>
      <c r="Q586" s="7" t="n"/>
      <c r="R586" s="7" t="n"/>
      <c r="S586" s="8">
        <f>IF(NOT(ISNUMBER(M586)),"",IF(G586="Terreno",IF(AND(ISNUMBER(I586),I586&gt;0),M586/I586,""),IF(AND(ISNUMBER(H586),H586&gt;0),M586/H586,"")))</f>
        <v/>
      </c>
      <c r="T586" s="9">
        <f>IF(AND(ISNUMBER(M586),ISNUMBER(O586)),IF(M586&lt;=O586,"Valor ≤ venal IPTU",""),"")</f>
        <v/>
      </c>
      <c r="U586" s="10">
        <f>IF(AND(ISNUMBER(M586),ISNUMBER(N586)),IF(N586&gt;0,M586/N586,""),"")</f>
        <v/>
      </c>
      <c r="V586" s="10">
        <f>IF(AND(ISNUMBER(M586),ISNUMBER(O586)),IF(O586&gt;0,M586/O586,""),"")</f>
        <v/>
      </c>
      <c r="W586" s="10">
        <f>IF(AND(ISNUMBER(M586),ISNUMBER(R586)),IF(R586&gt;0,M586/R586,""),"")</f>
        <v/>
      </c>
      <c r="X586" s="10">
        <f>IF(AND(ISNUMBER(Q586),ISNUMBER(M586)),IF(M586&gt;0,Q586/M586,""),"")</f>
        <v/>
      </c>
      <c r="Y586" s="11">
        <f>IF(ISNUMBER(Z586),YEAR(Z586),"")</f>
        <v/>
      </c>
      <c r="Z586" s="12" t="n"/>
      <c r="AA586" s="12" t="n"/>
      <c r="AI586" s="12" t="n"/>
      <c r="AJ586" s="13">
        <f>IF(LEN(TRIM(AF586))=0,"",HYPERLINK("https://www.google.com/maps/@?api=1&amp;map_action=pano&amp;viewpoint="&amp;SUBSTITUTE(AF586," ",""),"Abrir Street View"))</f>
        <v/>
      </c>
    </row>
    <row r="587">
      <c r="H587" s="6" t="n"/>
      <c r="I587" s="6" t="n"/>
      <c r="M587" s="7" t="n"/>
      <c r="N587" s="7" t="n"/>
      <c r="O587" s="7" t="n"/>
      <c r="Q587" s="7" t="n"/>
      <c r="R587" s="7" t="n"/>
      <c r="S587" s="8">
        <f>IF(NOT(ISNUMBER(M587)),"",IF(G587="Terreno",IF(AND(ISNUMBER(I587),I587&gt;0),M587/I587,""),IF(AND(ISNUMBER(H587),H587&gt;0),M587/H587,"")))</f>
        <v/>
      </c>
      <c r="T587" s="9">
        <f>IF(AND(ISNUMBER(M587),ISNUMBER(O587)),IF(M587&lt;=O587,"Valor ≤ venal IPTU",""),"")</f>
        <v/>
      </c>
      <c r="U587" s="10">
        <f>IF(AND(ISNUMBER(M587),ISNUMBER(N587)),IF(N587&gt;0,M587/N587,""),"")</f>
        <v/>
      </c>
      <c r="V587" s="10">
        <f>IF(AND(ISNUMBER(M587),ISNUMBER(O587)),IF(O587&gt;0,M587/O587,""),"")</f>
        <v/>
      </c>
      <c r="W587" s="10">
        <f>IF(AND(ISNUMBER(M587),ISNUMBER(R587)),IF(R587&gt;0,M587/R587,""),"")</f>
        <v/>
      </c>
      <c r="X587" s="10">
        <f>IF(AND(ISNUMBER(Q587),ISNUMBER(M587)),IF(M587&gt;0,Q587/M587,""),"")</f>
        <v/>
      </c>
      <c r="Y587" s="11">
        <f>IF(ISNUMBER(Z587),YEAR(Z587),"")</f>
        <v/>
      </c>
      <c r="Z587" s="12" t="n"/>
      <c r="AA587" s="12" t="n"/>
      <c r="AI587" s="12" t="n"/>
      <c r="AJ587" s="13">
        <f>IF(LEN(TRIM(AF587))=0,"",HYPERLINK("https://www.google.com/maps/@?api=1&amp;map_action=pano&amp;viewpoint="&amp;SUBSTITUTE(AF587," ",""),"Abrir Street View"))</f>
        <v/>
      </c>
    </row>
    <row r="588">
      <c r="H588" s="6" t="n"/>
      <c r="I588" s="6" t="n"/>
      <c r="M588" s="7" t="n"/>
      <c r="N588" s="7" t="n"/>
      <c r="O588" s="7" t="n"/>
      <c r="Q588" s="7" t="n"/>
      <c r="R588" s="7" t="n"/>
      <c r="S588" s="8">
        <f>IF(NOT(ISNUMBER(M588)),"",IF(G588="Terreno",IF(AND(ISNUMBER(I588),I588&gt;0),M588/I588,""),IF(AND(ISNUMBER(H588),H588&gt;0),M588/H588,"")))</f>
        <v/>
      </c>
      <c r="T588" s="9">
        <f>IF(AND(ISNUMBER(M588),ISNUMBER(O588)),IF(M588&lt;=O588,"Valor ≤ venal IPTU",""),"")</f>
        <v/>
      </c>
      <c r="U588" s="10">
        <f>IF(AND(ISNUMBER(M588),ISNUMBER(N588)),IF(N588&gt;0,M588/N588,""),"")</f>
        <v/>
      </c>
      <c r="V588" s="10">
        <f>IF(AND(ISNUMBER(M588),ISNUMBER(O588)),IF(O588&gt;0,M588/O588,""),"")</f>
        <v/>
      </c>
      <c r="W588" s="10">
        <f>IF(AND(ISNUMBER(M588),ISNUMBER(R588)),IF(R588&gt;0,M588/R588,""),"")</f>
        <v/>
      </c>
      <c r="X588" s="10">
        <f>IF(AND(ISNUMBER(Q588),ISNUMBER(M588)),IF(M588&gt;0,Q588/M588,""),"")</f>
        <v/>
      </c>
      <c r="Y588" s="11">
        <f>IF(ISNUMBER(Z588),YEAR(Z588),"")</f>
        <v/>
      </c>
      <c r="Z588" s="12" t="n"/>
      <c r="AA588" s="12" t="n"/>
      <c r="AI588" s="12" t="n"/>
      <c r="AJ588" s="13">
        <f>IF(LEN(TRIM(AF588))=0,"",HYPERLINK("https://www.google.com/maps/@?api=1&amp;map_action=pano&amp;viewpoint="&amp;SUBSTITUTE(AF588," ",""),"Abrir Street View"))</f>
        <v/>
      </c>
    </row>
    <row r="589">
      <c r="H589" s="6" t="n"/>
      <c r="I589" s="6" t="n"/>
      <c r="M589" s="7" t="n"/>
      <c r="N589" s="7" t="n"/>
      <c r="O589" s="7" t="n"/>
      <c r="Q589" s="7" t="n"/>
      <c r="R589" s="7" t="n"/>
      <c r="S589" s="8">
        <f>IF(NOT(ISNUMBER(M589)),"",IF(G589="Terreno",IF(AND(ISNUMBER(I589),I589&gt;0),M589/I589,""),IF(AND(ISNUMBER(H589),H589&gt;0),M589/H589,"")))</f>
        <v/>
      </c>
      <c r="T589" s="9">
        <f>IF(AND(ISNUMBER(M589),ISNUMBER(O589)),IF(M589&lt;=O589,"Valor ≤ venal IPTU",""),"")</f>
        <v/>
      </c>
      <c r="U589" s="10">
        <f>IF(AND(ISNUMBER(M589),ISNUMBER(N589)),IF(N589&gt;0,M589/N589,""),"")</f>
        <v/>
      </c>
      <c r="V589" s="10">
        <f>IF(AND(ISNUMBER(M589),ISNUMBER(O589)),IF(O589&gt;0,M589/O589,""),"")</f>
        <v/>
      </c>
      <c r="W589" s="10">
        <f>IF(AND(ISNUMBER(M589),ISNUMBER(R589)),IF(R589&gt;0,M589/R589,""),"")</f>
        <v/>
      </c>
      <c r="X589" s="10">
        <f>IF(AND(ISNUMBER(Q589),ISNUMBER(M589)),IF(M589&gt;0,Q589/M589,""),"")</f>
        <v/>
      </c>
      <c r="Y589" s="11">
        <f>IF(ISNUMBER(Z589),YEAR(Z589),"")</f>
        <v/>
      </c>
      <c r="Z589" s="12" t="n"/>
      <c r="AA589" s="12" t="n"/>
      <c r="AI589" s="12" t="n"/>
      <c r="AJ589" s="13">
        <f>IF(LEN(TRIM(AF589))=0,"",HYPERLINK("https://www.google.com/maps/@?api=1&amp;map_action=pano&amp;viewpoint="&amp;SUBSTITUTE(AF589," ",""),"Abrir Street View"))</f>
        <v/>
      </c>
    </row>
    <row r="590">
      <c r="H590" s="6" t="n"/>
      <c r="I590" s="6" t="n"/>
      <c r="M590" s="7" t="n"/>
      <c r="N590" s="7" t="n"/>
      <c r="O590" s="7" t="n"/>
      <c r="Q590" s="7" t="n"/>
      <c r="R590" s="7" t="n"/>
      <c r="S590" s="8">
        <f>IF(NOT(ISNUMBER(M590)),"",IF(G590="Terreno",IF(AND(ISNUMBER(I590),I590&gt;0),M590/I590,""),IF(AND(ISNUMBER(H590),H590&gt;0),M590/H590,"")))</f>
        <v/>
      </c>
      <c r="T590" s="9">
        <f>IF(AND(ISNUMBER(M590),ISNUMBER(O590)),IF(M590&lt;=O590,"Valor ≤ venal IPTU",""),"")</f>
        <v/>
      </c>
      <c r="U590" s="10">
        <f>IF(AND(ISNUMBER(M590),ISNUMBER(N590)),IF(N590&gt;0,M590/N590,""),"")</f>
        <v/>
      </c>
      <c r="V590" s="10">
        <f>IF(AND(ISNUMBER(M590),ISNUMBER(O590)),IF(O590&gt;0,M590/O590,""),"")</f>
        <v/>
      </c>
      <c r="W590" s="10">
        <f>IF(AND(ISNUMBER(M590),ISNUMBER(R590)),IF(R590&gt;0,M590/R590,""),"")</f>
        <v/>
      </c>
      <c r="X590" s="10">
        <f>IF(AND(ISNUMBER(Q590),ISNUMBER(M590)),IF(M590&gt;0,Q590/M590,""),"")</f>
        <v/>
      </c>
      <c r="Y590" s="11">
        <f>IF(ISNUMBER(Z590),YEAR(Z590),"")</f>
        <v/>
      </c>
      <c r="Z590" s="12" t="n"/>
      <c r="AA590" s="12" t="n"/>
      <c r="AI590" s="12" t="n"/>
      <c r="AJ590" s="13">
        <f>IF(LEN(TRIM(AF590))=0,"",HYPERLINK("https://www.google.com/maps/@?api=1&amp;map_action=pano&amp;viewpoint="&amp;SUBSTITUTE(AF590," ",""),"Abrir Street View"))</f>
        <v/>
      </c>
    </row>
    <row r="591">
      <c r="H591" s="6" t="n"/>
      <c r="I591" s="6" t="n"/>
      <c r="M591" s="7" t="n"/>
      <c r="N591" s="7" t="n"/>
      <c r="O591" s="7" t="n"/>
      <c r="Q591" s="7" t="n"/>
      <c r="R591" s="7" t="n"/>
      <c r="S591" s="8">
        <f>IF(NOT(ISNUMBER(M591)),"",IF(G591="Terreno",IF(AND(ISNUMBER(I591),I591&gt;0),M591/I591,""),IF(AND(ISNUMBER(H591),H591&gt;0),M591/H591,"")))</f>
        <v/>
      </c>
      <c r="T591" s="9">
        <f>IF(AND(ISNUMBER(M591),ISNUMBER(O591)),IF(M591&lt;=O591,"Valor ≤ venal IPTU",""),"")</f>
        <v/>
      </c>
      <c r="U591" s="10">
        <f>IF(AND(ISNUMBER(M591),ISNUMBER(N591)),IF(N591&gt;0,M591/N591,""),"")</f>
        <v/>
      </c>
      <c r="V591" s="10">
        <f>IF(AND(ISNUMBER(M591),ISNUMBER(O591)),IF(O591&gt;0,M591/O591,""),"")</f>
        <v/>
      </c>
      <c r="W591" s="10">
        <f>IF(AND(ISNUMBER(M591),ISNUMBER(R591)),IF(R591&gt;0,M591/R591,""),"")</f>
        <v/>
      </c>
      <c r="X591" s="10">
        <f>IF(AND(ISNUMBER(Q591),ISNUMBER(M591)),IF(M591&gt;0,Q591/M591,""),"")</f>
        <v/>
      </c>
      <c r="Y591" s="11">
        <f>IF(ISNUMBER(Z591),YEAR(Z591),"")</f>
        <v/>
      </c>
      <c r="Z591" s="12" t="n"/>
      <c r="AA591" s="12" t="n"/>
      <c r="AI591" s="12" t="n"/>
      <c r="AJ591" s="13">
        <f>IF(LEN(TRIM(AF591))=0,"",HYPERLINK("https://www.google.com/maps/@?api=1&amp;map_action=pano&amp;viewpoint="&amp;SUBSTITUTE(AF591," ",""),"Abrir Street View"))</f>
        <v/>
      </c>
    </row>
    <row r="592">
      <c r="H592" s="6" t="n"/>
      <c r="I592" s="6" t="n"/>
      <c r="M592" s="7" t="n"/>
      <c r="N592" s="7" t="n"/>
      <c r="O592" s="7" t="n"/>
      <c r="Q592" s="7" t="n"/>
      <c r="R592" s="7" t="n"/>
      <c r="S592" s="8">
        <f>IF(NOT(ISNUMBER(M592)),"",IF(G592="Terreno",IF(AND(ISNUMBER(I592),I592&gt;0),M592/I592,""),IF(AND(ISNUMBER(H592),H592&gt;0),M592/H592,"")))</f>
        <v/>
      </c>
      <c r="T592" s="9">
        <f>IF(AND(ISNUMBER(M592),ISNUMBER(O592)),IF(M592&lt;=O592,"Valor ≤ venal IPTU",""),"")</f>
        <v/>
      </c>
      <c r="U592" s="10">
        <f>IF(AND(ISNUMBER(M592),ISNUMBER(N592)),IF(N592&gt;0,M592/N592,""),"")</f>
        <v/>
      </c>
      <c r="V592" s="10">
        <f>IF(AND(ISNUMBER(M592),ISNUMBER(O592)),IF(O592&gt;0,M592/O592,""),"")</f>
        <v/>
      </c>
      <c r="W592" s="10">
        <f>IF(AND(ISNUMBER(M592),ISNUMBER(R592)),IF(R592&gt;0,M592/R592,""),"")</f>
        <v/>
      </c>
      <c r="X592" s="10">
        <f>IF(AND(ISNUMBER(Q592),ISNUMBER(M592)),IF(M592&gt;0,Q592/M592,""),"")</f>
        <v/>
      </c>
      <c r="Y592" s="11">
        <f>IF(ISNUMBER(Z592),YEAR(Z592),"")</f>
        <v/>
      </c>
      <c r="Z592" s="12" t="n"/>
      <c r="AA592" s="12" t="n"/>
      <c r="AI592" s="12" t="n"/>
      <c r="AJ592" s="13">
        <f>IF(LEN(TRIM(AF592))=0,"",HYPERLINK("https://www.google.com/maps/@?api=1&amp;map_action=pano&amp;viewpoint="&amp;SUBSTITUTE(AF592," ",""),"Abrir Street View"))</f>
        <v/>
      </c>
    </row>
    <row r="593">
      <c r="H593" s="6" t="n"/>
      <c r="I593" s="6" t="n"/>
      <c r="M593" s="7" t="n"/>
      <c r="N593" s="7" t="n"/>
      <c r="O593" s="7" t="n"/>
      <c r="Q593" s="7" t="n"/>
      <c r="R593" s="7" t="n"/>
      <c r="S593" s="8">
        <f>IF(NOT(ISNUMBER(M593)),"",IF(G593="Terreno",IF(AND(ISNUMBER(I593),I593&gt;0),M593/I593,""),IF(AND(ISNUMBER(H593),H593&gt;0),M593/H593,"")))</f>
        <v/>
      </c>
      <c r="T593" s="9">
        <f>IF(AND(ISNUMBER(M593),ISNUMBER(O593)),IF(M593&lt;=O593,"Valor ≤ venal IPTU",""),"")</f>
        <v/>
      </c>
      <c r="U593" s="10">
        <f>IF(AND(ISNUMBER(M593),ISNUMBER(N593)),IF(N593&gt;0,M593/N593,""),"")</f>
        <v/>
      </c>
      <c r="V593" s="10">
        <f>IF(AND(ISNUMBER(M593),ISNUMBER(O593)),IF(O593&gt;0,M593/O593,""),"")</f>
        <v/>
      </c>
      <c r="W593" s="10">
        <f>IF(AND(ISNUMBER(M593),ISNUMBER(R593)),IF(R593&gt;0,M593/R593,""),"")</f>
        <v/>
      </c>
      <c r="X593" s="10">
        <f>IF(AND(ISNUMBER(Q593),ISNUMBER(M593)),IF(M593&gt;0,Q593/M593,""),"")</f>
        <v/>
      </c>
      <c r="Y593" s="11">
        <f>IF(ISNUMBER(Z593),YEAR(Z593),"")</f>
        <v/>
      </c>
      <c r="Z593" s="12" t="n"/>
      <c r="AA593" s="12" t="n"/>
      <c r="AI593" s="12" t="n"/>
      <c r="AJ593" s="13">
        <f>IF(LEN(TRIM(AF593))=0,"",HYPERLINK("https://www.google.com/maps/@?api=1&amp;map_action=pano&amp;viewpoint="&amp;SUBSTITUTE(AF593," ",""),"Abrir Street View"))</f>
        <v/>
      </c>
    </row>
    <row r="594">
      <c r="H594" s="6" t="n"/>
      <c r="I594" s="6" t="n"/>
      <c r="M594" s="7" t="n"/>
      <c r="N594" s="7" t="n"/>
      <c r="O594" s="7" t="n"/>
      <c r="Q594" s="7" t="n"/>
      <c r="R594" s="7" t="n"/>
      <c r="S594" s="8">
        <f>IF(NOT(ISNUMBER(M594)),"",IF(G594="Terreno",IF(AND(ISNUMBER(I594),I594&gt;0),M594/I594,""),IF(AND(ISNUMBER(H594),H594&gt;0),M594/H594,"")))</f>
        <v/>
      </c>
      <c r="T594" s="9">
        <f>IF(AND(ISNUMBER(M594),ISNUMBER(O594)),IF(M594&lt;=O594,"Valor ≤ venal IPTU",""),"")</f>
        <v/>
      </c>
      <c r="U594" s="10">
        <f>IF(AND(ISNUMBER(M594),ISNUMBER(N594)),IF(N594&gt;0,M594/N594,""),"")</f>
        <v/>
      </c>
      <c r="V594" s="10">
        <f>IF(AND(ISNUMBER(M594),ISNUMBER(O594)),IF(O594&gt;0,M594/O594,""),"")</f>
        <v/>
      </c>
      <c r="W594" s="10">
        <f>IF(AND(ISNUMBER(M594),ISNUMBER(R594)),IF(R594&gt;0,M594/R594,""),"")</f>
        <v/>
      </c>
      <c r="X594" s="10">
        <f>IF(AND(ISNUMBER(Q594),ISNUMBER(M594)),IF(M594&gt;0,Q594/M594,""),"")</f>
        <v/>
      </c>
      <c r="Y594" s="11">
        <f>IF(ISNUMBER(Z594),YEAR(Z594),"")</f>
        <v/>
      </c>
      <c r="Z594" s="12" t="n"/>
      <c r="AA594" s="12" t="n"/>
      <c r="AI594" s="12" t="n"/>
      <c r="AJ594" s="13">
        <f>IF(LEN(TRIM(AF594))=0,"",HYPERLINK("https://www.google.com/maps/@?api=1&amp;map_action=pano&amp;viewpoint="&amp;SUBSTITUTE(AF594," ",""),"Abrir Street View"))</f>
        <v/>
      </c>
    </row>
    <row r="595">
      <c r="H595" s="6" t="n"/>
      <c r="I595" s="6" t="n"/>
      <c r="M595" s="7" t="n"/>
      <c r="N595" s="7" t="n"/>
      <c r="O595" s="7" t="n"/>
      <c r="Q595" s="7" t="n"/>
      <c r="R595" s="7" t="n"/>
      <c r="S595" s="8">
        <f>IF(NOT(ISNUMBER(M595)),"",IF(G595="Terreno",IF(AND(ISNUMBER(I595),I595&gt;0),M595/I595,""),IF(AND(ISNUMBER(H595),H595&gt;0),M595/H595,"")))</f>
        <v/>
      </c>
      <c r="T595" s="9">
        <f>IF(AND(ISNUMBER(M595),ISNUMBER(O595)),IF(M595&lt;=O595,"Valor ≤ venal IPTU",""),"")</f>
        <v/>
      </c>
      <c r="U595" s="10">
        <f>IF(AND(ISNUMBER(M595),ISNUMBER(N595)),IF(N595&gt;0,M595/N595,""),"")</f>
        <v/>
      </c>
      <c r="V595" s="10">
        <f>IF(AND(ISNUMBER(M595),ISNUMBER(O595)),IF(O595&gt;0,M595/O595,""),"")</f>
        <v/>
      </c>
      <c r="W595" s="10">
        <f>IF(AND(ISNUMBER(M595),ISNUMBER(R595)),IF(R595&gt;0,M595/R595,""),"")</f>
        <v/>
      </c>
      <c r="X595" s="10">
        <f>IF(AND(ISNUMBER(Q595),ISNUMBER(M595)),IF(M595&gt;0,Q595/M595,""),"")</f>
        <v/>
      </c>
      <c r="Y595" s="11">
        <f>IF(ISNUMBER(Z595),YEAR(Z595),"")</f>
        <v/>
      </c>
      <c r="Z595" s="12" t="n"/>
      <c r="AA595" s="12" t="n"/>
      <c r="AI595" s="12" t="n"/>
      <c r="AJ595" s="13">
        <f>IF(LEN(TRIM(AF595))=0,"",HYPERLINK("https://www.google.com/maps/@?api=1&amp;map_action=pano&amp;viewpoint="&amp;SUBSTITUTE(AF595," ",""),"Abrir Street View"))</f>
        <v/>
      </c>
    </row>
    <row r="596">
      <c r="H596" s="6" t="n"/>
      <c r="I596" s="6" t="n"/>
      <c r="M596" s="7" t="n"/>
      <c r="N596" s="7" t="n"/>
      <c r="O596" s="7" t="n"/>
      <c r="Q596" s="7" t="n"/>
      <c r="R596" s="7" t="n"/>
      <c r="S596" s="8">
        <f>IF(NOT(ISNUMBER(M596)),"",IF(G596="Terreno",IF(AND(ISNUMBER(I596),I596&gt;0),M596/I596,""),IF(AND(ISNUMBER(H596),H596&gt;0),M596/H596,"")))</f>
        <v/>
      </c>
      <c r="T596" s="9">
        <f>IF(AND(ISNUMBER(M596),ISNUMBER(O596)),IF(M596&lt;=O596,"Valor ≤ venal IPTU",""),"")</f>
        <v/>
      </c>
      <c r="U596" s="10">
        <f>IF(AND(ISNUMBER(M596),ISNUMBER(N596)),IF(N596&gt;0,M596/N596,""),"")</f>
        <v/>
      </c>
      <c r="V596" s="10">
        <f>IF(AND(ISNUMBER(M596),ISNUMBER(O596)),IF(O596&gt;0,M596/O596,""),"")</f>
        <v/>
      </c>
      <c r="W596" s="10">
        <f>IF(AND(ISNUMBER(M596),ISNUMBER(R596)),IF(R596&gt;0,M596/R596,""),"")</f>
        <v/>
      </c>
      <c r="X596" s="10">
        <f>IF(AND(ISNUMBER(Q596),ISNUMBER(M596)),IF(M596&gt;0,Q596/M596,""),"")</f>
        <v/>
      </c>
      <c r="Y596" s="11">
        <f>IF(ISNUMBER(Z596),YEAR(Z596),"")</f>
        <v/>
      </c>
      <c r="Z596" s="12" t="n"/>
      <c r="AA596" s="12" t="n"/>
      <c r="AI596" s="12" t="n"/>
      <c r="AJ596" s="13">
        <f>IF(LEN(TRIM(AF596))=0,"",HYPERLINK("https://www.google.com/maps/@?api=1&amp;map_action=pano&amp;viewpoint="&amp;SUBSTITUTE(AF596," ",""),"Abrir Street View"))</f>
        <v/>
      </c>
    </row>
    <row r="597">
      <c r="H597" s="6" t="n"/>
      <c r="I597" s="6" t="n"/>
      <c r="M597" s="7" t="n"/>
      <c r="N597" s="7" t="n"/>
      <c r="O597" s="7" t="n"/>
      <c r="Q597" s="7" t="n"/>
      <c r="R597" s="7" t="n"/>
      <c r="S597" s="8">
        <f>IF(NOT(ISNUMBER(M597)),"",IF(G597="Terreno",IF(AND(ISNUMBER(I597),I597&gt;0),M597/I597,""),IF(AND(ISNUMBER(H597),H597&gt;0),M597/H597,"")))</f>
        <v/>
      </c>
      <c r="T597" s="9">
        <f>IF(AND(ISNUMBER(M597),ISNUMBER(O597)),IF(M597&lt;=O597,"Valor ≤ venal IPTU",""),"")</f>
        <v/>
      </c>
      <c r="U597" s="10">
        <f>IF(AND(ISNUMBER(M597),ISNUMBER(N597)),IF(N597&gt;0,M597/N597,""),"")</f>
        <v/>
      </c>
      <c r="V597" s="10">
        <f>IF(AND(ISNUMBER(M597),ISNUMBER(O597)),IF(O597&gt;0,M597/O597,""),"")</f>
        <v/>
      </c>
      <c r="W597" s="10">
        <f>IF(AND(ISNUMBER(M597),ISNUMBER(R597)),IF(R597&gt;0,M597/R597,""),"")</f>
        <v/>
      </c>
      <c r="X597" s="10">
        <f>IF(AND(ISNUMBER(Q597),ISNUMBER(M597)),IF(M597&gt;0,Q597/M597,""),"")</f>
        <v/>
      </c>
      <c r="Y597" s="11">
        <f>IF(ISNUMBER(Z597),YEAR(Z597),"")</f>
        <v/>
      </c>
      <c r="Z597" s="12" t="n"/>
      <c r="AA597" s="12" t="n"/>
      <c r="AI597" s="12" t="n"/>
      <c r="AJ597" s="13">
        <f>IF(LEN(TRIM(AF597))=0,"",HYPERLINK("https://www.google.com/maps/@?api=1&amp;map_action=pano&amp;viewpoint="&amp;SUBSTITUTE(AF597," ",""),"Abrir Street View"))</f>
        <v/>
      </c>
    </row>
    <row r="598">
      <c r="H598" s="6" t="n"/>
      <c r="I598" s="6" t="n"/>
      <c r="M598" s="7" t="n"/>
      <c r="N598" s="7" t="n"/>
      <c r="O598" s="7" t="n"/>
      <c r="Q598" s="7" t="n"/>
      <c r="R598" s="7" t="n"/>
      <c r="S598" s="8">
        <f>IF(NOT(ISNUMBER(M598)),"",IF(G598="Terreno",IF(AND(ISNUMBER(I598),I598&gt;0),M598/I598,""),IF(AND(ISNUMBER(H598),H598&gt;0),M598/H598,"")))</f>
        <v/>
      </c>
      <c r="T598" s="9">
        <f>IF(AND(ISNUMBER(M598),ISNUMBER(O598)),IF(M598&lt;=O598,"Valor ≤ venal IPTU",""),"")</f>
        <v/>
      </c>
      <c r="U598" s="10">
        <f>IF(AND(ISNUMBER(M598),ISNUMBER(N598)),IF(N598&gt;0,M598/N598,""),"")</f>
        <v/>
      </c>
      <c r="V598" s="10">
        <f>IF(AND(ISNUMBER(M598),ISNUMBER(O598)),IF(O598&gt;0,M598/O598,""),"")</f>
        <v/>
      </c>
      <c r="W598" s="10">
        <f>IF(AND(ISNUMBER(M598),ISNUMBER(R598)),IF(R598&gt;0,M598/R598,""),"")</f>
        <v/>
      </c>
      <c r="X598" s="10">
        <f>IF(AND(ISNUMBER(Q598),ISNUMBER(M598)),IF(M598&gt;0,Q598/M598,""),"")</f>
        <v/>
      </c>
      <c r="Y598" s="11">
        <f>IF(ISNUMBER(Z598),YEAR(Z598),"")</f>
        <v/>
      </c>
      <c r="Z598" s="12" t="n"/>
      <c r="AA598" s="12" t="n"/>
      <c r="AI598" s="12" t="n"/>
      <c r="AJ598" s="13">
        <f>IF(LEN(TRIM(AF598))=0,"",HYPERLINK("https://www.google.com/maps/@?api=1&amp;map_action=pano&amp;viewpoint="&amp;SUBSTITUTE(AF598," ",""),"Abrir Street View"))</f>
        <v/>
      </c>
    </row>
    <row r="599">
      <c r="H599" s="6" t="n"/>
      <c r="I599" s="6" t="n"/>
      <c r="M599" s="7" t="n"/>
      <c r="N599" s="7" t="n"/>
      <c r="O599" s="7" t="n"/>
      <c r="Q599" s="7" t="n"/>
      <c r="R599" s="7" t="n"/>
      <c r="S599" s="8">
        <f>IF(NOT(ISNUMBER(M599)),"",IF(G599="Terreno",IF(AND(ISNUMBER(I599),I599&gt;0),M599/I599,""),IF(AND(ISNUMBER(H599),H599&gt;0),M599/H599,"")))</f>
        <v/>
      </c>
      <c r="T599" s="9">
        <f>IF(AND(ISNUMBER(M599),ISNUMBER(O599)),IF(M599&lt;=O599,"Valor ≤ venal IPTU",""),"")</f>
        <v/>
      </c>
      <c r="U599" s="10">
        <f>IF(AND(ISNUMBER(M599),ISNUMBER(N599)),IF(N599&gt;0,M599/N599,""),"")</f>
        <v/>
      </c>
      <c r="V599" s="10">
        <f>IF(AND(ISNUMBER(M599),ISNUMBER(O599)),IF(O599&gt;0,M599/O599,""),"")</f>
        <v/>
      </c>
      <c r="W599" s="10">
        <f>IF(AND(ISNUMBER(M599),ISNUMBER(R599)),IF(R599&gt;0,M599/R599,""),"")</f>
        <v/>
      </c>
      <c r="X599" s="10">
        <f>IF(AND(ISNUMBER(Q599),ISNUMBER(M599)),IF(M599&gt;0,Q599/M599,""),"")</f>
        <v/>
      </c>
      <c r="Y599" s="11">
        <f>IF(ISNUMBER(Z599),YEAR(Z599),"")</f>
        <v/>
      </c>
      <c r="Z599" s="12" t="n"/>
      <c r="AA599" s="12" t="n"/>
      <c r="AI599" s="12" t="n"/>
      <c r="AJ599" s="13">
        <f>IF(LEN(TRIM(AF599))=0,"",HYPERLINK("https://www.google.com/maps/@?api=1&amp;map_action=pano&amp;viewpoint="&amp;SUBSTITUTE(AF599," ",""),"Abrir Street View"))</f>
        <v/>
      </c>
    </row>
    <row r="600">
      <c r="H600" s="6" t="n"/>
      <c r="I600" s="6" t="n"/>
      <c r="M600" s="7" t="n"/>
      <c r="N600" s="7" t="n"/>
      <c r="O600" s="7" t="n"/>
      <c r="Q600" s="7" t="n"/>
      <c r="R600" s="7" t="n"/>
      <c r="S600" s="8">
        <f>IF(NOT(ISNUMBER(M600)),"",IF(G600="Terreno",IF(AND(ISNUMBER(I600),I600&gt;0),M600/I600,""),IF(AND(ISNUMBER(H600),H600&gt;0),M600/H600,"")))</f>
        <v/>
      </c>
      <c r="T600" s="9">
        <f>IF(AND(ISNUMBER(M600),ISNUMBER(O600)),IF(M600&lt;=O600,"Valor ≤ venal IPTU",""),"")</f>
        <v/>
      </c>
      <c r="U600" s="10">
        <f>IF(AND(ISNUMBER(M600),ISNUMBER(N600)),IF(N600&gt;0,M600/N600,""),"")</f>
        <v/>
      </c>
      <c r="V600" s="10">
        <f>IF(AND(ISNUMBER(M600),ISNUMBER(O600)),IF(O600&gt;0,M600/O600,""),"")</f>
        <v/>
      </c>
      <c r="W600" s="10">
        <f>IF(AND(ISNUMBER(M600),ISNUMBER(R600)),IF(R600&gt;0,M600/R600,""),"")</f>
        <v/>
      </c>
      <c r="X600" s="10">
        <f>IF(AND(ISNUMBER(Q600),ISNUMBER(M600)),IF(M600&gt;0,Q600/M600,""),"")</f>
        <v/>
      </c>
      <c r="Y600" s="11">
        <f>IF(ISNUMBER(Z600),YEAR(Z600),"")</f>
        <v/>
      </c>
      <c r="Z600" s="12" t="n"/>
      <c r="AA600" s="12" t="n"/>
      <c r="AI600" s="12" t="n"/>
      <c r="AJ600" s="13">
        <f>IF(LEN(TRIM(AF600))=0,"",HYPERLINK("https://www.google.com/maps/@?api=1&amp;map_action=pano&amp;viewpoint="&amp;SUBSTITUTE(AF600," ",""),"Abrir Street View"))</f>
        <v/>
      </c>
    </row>
    <row r="601">
      <c r="H601" s="6" t="n"/>
      <c r="I601" s="6" t="n"/>
      <c r="M601" s="7" t="n"/>
      <c r="N601" s="7" t="n"/>
      <c r="O601" s="7" t="n"/>
      <c r="Q601" s="7" t="n"/>
      <c r="R601" s="7" t="n"/>
      <c r="S601" s="8">
        <f>IF(NOT(ISNUMBER(M601)),"",IF(G601="Terreno",IF(AND(ISNUMBER(I601),I601&gt;0),M601/I601,""),IF(AND(ISNUMBER(H601),H601&gt;0),M601/H601,"")))</f>
        <v/>
      </c>
      <c r="T601" s="9">
        <f>IF(AND(ISNUMBER(M601),ISNUMBER(O601)),IF(M601&lt;=O601,"Valor ≤ venal IPTU",""),"")</f>
        <v/>
      </c>
      <c r="U601" s="10">
        <f>IF(AND(ISNUMBER(M601),ISNUMBER(N601)),IF(N601&gt;0,M601/N601,""),"")</f>
        <v/>
      </c>
      <c r="V601" s="10">
        <f>IF(AND(ISNUMBER(M601),ISNUMBER(O601)),IF(O601&gt;0,M601/O601,""),"")</f>
        <v/>
      </c>
      <c r="W601" s="10">
        <f>IF(AND(ISNUMBER(M601),ISNUMBER(R601)),IF(R601&gt;0,M601/R601,""),"")</f>
        <v/>
      </c>
      <c r="X601" s="10">
        <f>IF(AND(ISNUMBER(Q601),ISNUMBER(M601)),IF(M601&gt;0,Q601/M601,""),"")</f>
        <v/>
      </c>
      <c r="Y601" s="11">
        <f>IF(ISNUMBER(Z601),YEAR(Z601),"")</f>
        <v/>
      </c>
      <c r="Z601" s="12" t="n"/>
      <c r="AA601" s="12" t="n"/>
      <c r="AI601" s="12" t="n"/>
      <c r="AJ601" s="13">
        <f>IF(LEN(TRIM(AF601))=0,"",HYPERLINK("https://www.google.com/maps/@?api=1&amp;map_action=pano&amp;viewpoint="&amp;SUBSTITUTE(AF601," ",""),"Abrir Street View"))</f>
        <v/>
      </c>
    </row>
    <row r="602">
      <c r="H602" s="6" t="n"/>
      <c r="I602" s="6" t="n"/>
      <c r="M602" s="7" t="n"/>
      <c r="N602" s="7" t="n"/>
      <c r="O602" s="7" t="n"/>
      <c r="Q602" s="7" t="n"/>
      <c r="R602" s="7" t="n"/>
      <c r="S602" s="8">
        <f>IF(NOT(ISNUMBER(M602)),"",IF(G602="Terreno",IF(AND(ISNUMBER(I602),I602&gt;0),M602/I602,""),IF(AND(ISNUMBER(H602),H602&gt;0),M602/H602,"")))</f>
        <v/>
      </c>
      <c r="T602" s="9">
        <f>IF(AND(ISNUMBER(M602),ISNUMBER(O602)),IF(M602&lt;=O602,"Valor ≤ venal IPTU",""),"")</f>
        <v/>
      </c>
      <c r="U602" s="10">
        <f>IF(AND(ISNUMBER(M602),ISNUMBER(N602)),IF(N602&gt;0,M602/N602,""),"")</f>
        <v/>
      </c>
      <c r="V602" s="10">
        <f>IF(AND(ISNUMBER(M602),ISNUMBER(O602)),IF(O602&gt;0,M602/O602,""),"")</f>
        <v/>
      </c>
      <c r="W602" s="10">
        <f>IF(AND(ISNUMBER(M602),ISNUMBER(R602)),IF(R602&gt;0,M602/R602,""),"")</f>
        <v/>
      </c>
      <c r="X602" s="10">
        <f>IF(AND(ISNUMBER(Q602),ISNUMBER(M602)),IF(M602&gt;0,Q602/M602,""),"")</f>
        <v/>
      </c>
      <c r="Y602" s="11">
        <f>IF(ISNUMBER(Z602),YEAR(Z602),"")</f>
        <v/>
      </c>
      <c r="Z602" s="12" t="n"/>
      <c r="AA602" s="12" t="n"/>
      <c r="AI602" s="12" t="n"/>
      <c r="AJ602" s="13">
        <f>IF(LEN(TRIM(AF602))=0,"",HYPERLINK("https://www.google.com/maps/@?api=1&amp;map_action=pano&amp;viewpoint="&amp;SUBSTITUTE(AF602," ",""),"Abrir Street View"))</f>
        <v/>
      </c>
    </row>
    <row r="603">
      <c r="H603" s="6" t="n"/>
      <c r="I603" s="6" t="n"/>
      <c r="M603" s="7" t="n"/>
      <c r="N603" s="7" t="n"/>
      <c r="O603" s="7" t="n"/>
      <c r="Q603" s="7" t="n"/>
      <c r="R603" s="7" t="n"/>
      <c r="S603" s="8">
        <f>IF(NOT(ISNUMBER(M603)),"",IF(G603="Terreno",IF(AND(ISNUMBER(I603),I603&gt;0),M603/I603,""),IF(AND(ISNUMBER(H603),H603&gt;0),M603/H603,"")))</f>
        <v/>
      </c>
      <c r="T603" s="9">
        <f>IF(AND(ISNUMBER(M603),ISNUMBER(O603)),IF(M603&lt;=O603,"Valor ≤ venal IPTU",""),"")</f>
        <v/>
      </c>
      <c r="U603" s="10">
        <f>IF(AND(ISNUMBER(M603),ISNUMBER(N603)),IF(N603&gt;0,M603/N603,""),"")</f>
        <v/>
      </c>
      <c r="V603" s="10">
        <f>IF(AND(ISNUMBER(M603),ISNUMBER(O603)),IF(O603&gt;0,M603/O603,""),"")</f>
        <v/>
      </c>
      <c r="W603" s="10">
        <f>IF(AND(ISNUMBER(M603),ISNUMBER(R603)),IF(R603&gt;0,M603/R603,""),"")</f>
        <v/>
      </c>
      <c r="X603" s="10">
        <f>IF(AND(ISNUMBER(Q603),ISNUMBER(M603)),IF(M603&gt;0,Q603/M603,""),"")</f>
        <v/>
      </c>
      <c r="Y603" s="11">
        <f>IF(ISNUMBER(Z603),YEAR(Z603),"")</f>
        <v/>
      </c>
      <c r="Z603" s="12" t="n"/>
      <c r="AA603" s="12" t="n"/>
      <c r="AI603" s="12" t="n"/>
      <c r="AJ603" s="13">
        <f>IF(LEN(TRIM(AF603))=0,"",HYPERLINK("https://www.google.com/maps/@?api=1&amp;map_action=pano&amp;viewpoint="&amp;SUBSTITUTE(AF603," ",""),"Abrir Street View"))</f>
        <v/>
      </c>
    </row>
    <row r="604">
      <c r="H604" s="6" t="n"/>
      <c r="I604" s="6" t="n"/>
      <c r="M604" s="7" t="n"/>
      <c r="N604" s="7" t="n"/>
      <c r="O604" s="7" t="n"/>
      <c r="Q604" s="7" t="n"/>
      <c r="R604" s="7" t="n"/>
      <c r="S604" s="8">
        <f>IF(NOT(ISNUMBER(M604)),"",IF(G604="Terreno",IF(AND(ISNUMBER(I604),I604&gt;0),M604/I604,""),IF(AND(ISNUMBER(H604),H604&gt;0),M604/H604,"")))</f>
        <v/>
      </c>
      <c r="T604" s="9">
        <f>IF(AND(ISNUMBER(M604),ISNUMBER(O604)),IF(M604&lt;=O604,"Valor ≤ venal IPTU",""),"")</f>
        <v/>
      </c>
      <c r="U604" s="10">
        <f>IF(AND(ISNUMBER(M604),ISNUMBER(N604)),IF(N604&gt;0,M604/N604,""),"")</f>
        <v/>
      </c>
      <c r="V604" s="10">
        <f>IF(AND(ISNUMBER(M604),ISNUMBER(O604)),IF(O604&gt;0,M604/O604,""),"")</f>
        <v/>
      </c>
      <c r="W604" s="10">
        <f>IF(AND(ISNUMBER(M604),ISNUMBER(R604)),IF(R604&gt;0,M604/R604,""),"")</f>
        <v/>
      </c>
      <c r="X604" s="10">
        <f>IF(AND(ISNUMBER(Q604),ISNUMBER(M604)),IF(M604&gt;0,Q604/M604,""),"")</f>
        <v/>
      </c>
      <c r="Y604" s="11">
        <f>IF(ISNUMBER(Z604),YEAR(Z604),"")</f>
        <v/>
      </c>
      <c r="Z604" s="12" t="n"/>
      <c r="AA604" s="12" t="n"/>
      <c r="AI604" s="12" t="n"/>
      <c r="AJ604" s="13">
        <f>IF(LEN(TRIM(AF604))=0,"",HYPERLINK("https://www.google.com/maps/@?api=1&amp;map_action=pano&amp;viewpoint="&amp;SUBSTITUTE(AF604," ",""),"Abrir Street View"))</f>
        <v/>
      </c>
    </row>
    <row r="605">
      <c r="H605" s="6" t="n"/>
      <c r="I605" s="6" t="n"/>
      <c r="M605" s="7" t="n"/>
      <c r="N605" s="7" t="n"/>
      <c r="O605" s="7" t="n"/>
      <c r="Q605" s="7" t="n"/>
      <c r="R605" s="7" t="n"/>
      <c r="S605" s="8">
        <f>IF(NOT(ISNUMBER(M605)),"",IF(G605="Terreno",IF(AND(ISNUMBER(I605),I605&gt;0),M605/I605,""),IF(AND(ISNUMBER(H605),H605&gt;0),M605/H605,"")))</f>
        <v/>
      </c>
      <c r="T605" s="9">
        <f>IF(AND(ISNUMBER(M605),ISNUMBER(O605)),IF(M605&lt;=O605,"Valor ≤ venal IPTU",""),"")</f>
        <v/>
      </c>
      <c r="U605" s="10">
        <f>IF(AND(ISNUMBER(M605),ISNUMBER(N605)),IF(N605&gt;0,M605/N605,""),"")</f>
        <v/>
      </c>
      <c r="V605" s="10">
        <f>IF(AND(ISNUMBER(M605),ISNUMBER(O605)),IF(O605&gt;0,M605/O605,""),"")</f>
        <v/>
      </c>
      <c r="W605" s="10">
        <f>IF(AND(ISNUMBER(M605),ISNUMBER(R605)),IF(R605&gt;0,M605/R605,""),"")</f>
        <v/>
      </c>
      <c r="X605" s="10">
        <f>IF(AND(ISNUMBER(Q605),ISNUMBER(M605)),IF(M605&gt;0,Q605/M605,""),"")</f>
        <v/>
      </c>
      <c r="Y605" s="11">
        <f>IF(ISNUMBER(Z605),YEAR(Z605),"")</f>
        <v/>
      </c>
      <c r="Z605" s="12" t="n"/>
      <c r="AA605" s="12" t="n"/>
      <c r="AI605" s="12" t="n"/>
      <c r="AJ605" s="13">
        <f>IF(LEN(TRIM(AF605))=0,"",HYPERLINK("https://www.google.com/maps/@?api=1&amp;map_action=pano&amp;viewpoint="&amp;SUBSTITUTE(AF605," ",""),"Abrir Street View"))</f>
        <v/>
      </c>
    </row>
    <row r="606">
      <c r="H606" s="6" t="n"/>
      <c r="I606" s="6" t="n"/>
      <c r="M606" s="7" t="n"/>
      <c r="N606" s="7" t="n"/>
      <c r="O606" s="7" t="n"/>
      <c r="Q606" s="7" t="n"/>
      <c r="R606" s="7" t="n"/>
      <c r="S606" s="8">
        <f>IF(NOT(ISNUMBER(M606)),"",IF(G606="Terreno",IF(AND(ISNUMBER(I606),I606&gt;0),M606/I606,""),IF(AND(ISNUMBER(H606),H606&gt;0),M606/H606,"")))</f>
        <v/>
      </c>
      <c r="T606" s="9">
        <f>IF(AND(ISNUMBER(M606),ISNUMBER(O606)),IF(M606&lt;=O606,"Valor ≤ venal IPTU",""),"")</f>
        <v/>
      </c>
      <c r="U606" s="10">
        <f>IF(AND(ISNUMBER(M606),ISNUMBER(N606)),IF(N606&gt;0,M606/N606,""),"")</f>
        <v/>
      </c>
      <c r="V606" s="10">
        <f>IF(AND(ISNUMBER(M606),ISNUMBER(O606)),IF(O606&gt;0,M606/O606,""),"")</f>
        <v/>
      </c>
      <c r="W606" s="10">
        <f>IF(AND(ISNUMBER(M606),ISNUMBER(R606)),IF(R606&gt;0,M606/R606,""),"")</f>
        <v/>
      </c>
      <c r="X606" s="10">
        <f>IF(AND(ISNUMBER(Q606),ISNUMBER(M606)),IF(M606&gt;0,Q606/M606,""),"")</f>
        <v/>
      </c>
      <c r="Y606" s="11">
        <f>IF(ISNUMBER(Z606),YEAR(Z606),"")</f>
        <v/>
      </c>
      <c r="Z606" s="12" t="n"/>
      <c r="AA606" s="12" t="n"/>
      <c r="AI606" s="12" t="n"/>
      <c r="AJ606" s="13">
        <f>IF(LEN(TRIM(AF606))=0,"",HYPERLINK("https://www.google.com/maps/@?api=1&amp;map_action=pano&amp;viewpoint="&amp;SUBSTITUTE(AF606," ",""),"Abrir Street View"))</f>
        <v/>
      </c>
    </row>
    <row r="607">
      <c r="H607" s="6" t="n"/>
      <c r="I607" s="6" t="n"/>
      <c r="M607" s="7" t="n"/>
      <c r="N607" s="7" t="n"/>
      <c r="O607" s="7" t="n"/>
      <c r="Q607" s="7" t="n"/>
      <c r="R607" s="7" t="n"/>
      <c r="S607" s="8">
        <f>IF(NOT(ISNUMBER(M607)),"",IF(G607="Terreno",IF(AND(ISNUMBER(I607),I607&gt;0),M607/I607,""),IF(AND(ISNUMBER(H607),H607&gt;0),M607/H607,"")))</f>
        <v/>
      </c>
      <c r="T607" s="9">
        <f>IF(AND(ISNUMBER(M607),ISNUMBER(O607)),IF(M607&lt;=O607,"Valor ≤ venal IPTU",""),"")</f>
        <v/>
      </c>
      <c r="U607" s="10">
        <f>IF(AND(ISNUMBER(M607),ISNUMBER(N607)),IF(N607&gt;0,M607/N607,""),"")</f>
        <v/>
      </c>
      <c r="V607" s="10">
        <f>IF(AND(ISNUMBER(M607),ISNUMBER(O607)),IF(O607&gt;0,M607/O607,""),"")</f>
        <v/>
      </c>
      <c r="W607" s="10">
        <f>IF(AND(ISNUMBER(M607),ISNUMBER(R607)),IF(R607&gt;0,M607/R607,""),"")</f>
        <v/>
      </c>
      <c r="X607" s="10">
        <f>IF(AND(ISNUMBER(Q607),ISNUMBER(M607)),IF(M607&gt;0,Q607/M607,""),"")</f>
        <v/>
      </c>
      <c r="Y607" s="11">
        <f>IF(ISNUMBER(Z607),YEAR(Z607),"")</f>
        <v/>
      </c>
      <c r="Z607" s="12" t="n"/>
      <c r="AA607" s="12" t="n"/>
      <c r="AI607" s="12" t="n"/>
      <c r="AJ607" s="13">
        <f>IF(LEN(TRIM(AF607))=0,"",HYPERLINK("https://www.google.com/maps/@?api=1&amp;map_action=pano&amp;viewpoint="&amp;SUBSTITUTE(AF607," ",""),"Abrir Street View"))</f>
        <v/>
      </c>
    </row>
    <row r="608">
      <c r="H608" s="6" t="n"/>
      <c r="I608" s="6" t="n"/>
      <c r="M608" s="7" t="n"/>
      <c r="N608" s="7" t="n"/>
      <c r="O608" s="7" t="n"/>
      <c r="Q608" s="7" t="n"/>
      <c r="R608" s="7" t="n"/>
      <c r="S608" s="8">
        <f>IF(NOT(ISNUMBER(M608)),"",IF(G608="Terreno",IF(AND(ISNUMBER(I608),I608&gt;0),M608/I608,""),IF(AND(ISNUMBER(H608),H608&gt;0),M608/H608,"")))</f>
        <v/>
      </c>
      <c r="T608" s="9">
        <f>IF(AND(ISNUMBER(M608),ISNUMBER(O608)),IF(M608&lt;=O608,"Valor ≤ venal IPTU",""),"")</f>
        <v/>
      </c>
      <c r="U608" s="10">
        <f>IF(AND(ISNUMBER(M608),ISNUMBER(N608)),IF(N608&gt;0,M608/N608,""),"")</f>
        <v/>
      </c>
      <c r="V608" s="10">
        <f>IF(AND(ISNUMBER(M608),ISNUMBER(O608)),IF(O608&gt;0,M608/O608,""),"")</f>
        <v/>
      </c>
      <c r="W608" s="10">
        <f>IF(AND(ISNUMBER(M608),ISNUMBER(R608)),IF(R608&gt;0,M608/R608,""),"")</f>
        <v/>
      </c>
      <c r="X608" s="10">
        <f>IF(AND(ISNUMBER(Q608),ISNUMBER(M608)),IF(M608&gt;0,Q608/M608,""),"")</f>
        <v/>
      </c>
      <c r="Y608" s="11">
        <f>IF(ISNUMBER(Z608),YEAR(Z608),"")</f>
        <v/>
      </c>
      <c r="Z608" s="12" t="n"/>
      <c r="AA608" s="12" t="n"/>
      <c r="AI608" s="12" t="n"/>
      <c r="AJ608" s="13">
        <f>IF(LEN(TRIM(AF608))=0,"",HYPERLINK("https://www.google.com/maps/@?api=1&amp;map_action=pano&amp;viewpoint="&amp;SUBSTITUTE(AF608," ",""),"Abrir Street View"))</f>
        <v/>
      </c>
    </row>
    <row r="609">
      <c r="H609" s="6" t="n"/>
      <c r="I609" s="6" t="n"/>
      <c r="M609" s="7" t="n"/>
      <c r="N609" s="7" t="n"/>
      <c r="O609" s="7" t="n"/>
      <c r="Q609" s="7" t="n"/>
      <c r="R609" s="7" t="n"/>
      <c r="S609" s="8">
        <f>IF(NOT(ISNUMBER(M609)),"",IF(G609="Terreno",IF(AND(ISNUMBER(I609),I609&gt;0),M609/I609,""),IF(AND(ISNUMBER(H609),H609&gt;0),M609/H609,"")))</f>
        <v/>
      </c>
      <c r="T609" s="9">
        <f>IF(AND(ISNUMBER(M609),ISNUMBER(O609)),IF(M609&lt;=O609,"Valor ≤ venal IPTU",""),"")</f>
        <v/>
      </c>
      <c r="U609" s="10">
        <f>IF(AND(ISNUMBER(M609),ISNUMBER(N609)),IF(N609&gt;0,M609/N609,""),"")</f>
        <v/>
      </c>
      <c r="V609" s="10">
        <f>IF(AND(ISNUMBER(M609),ISNUMBER(O609)),IF(O609&gt;0,M609/O609,""),"")</f>
        <v/>
      </c>
      <c r="W609" s="10">
        <f>IF(AND(ISNUMBER(M609),ISNUMBER(R609)),IF(R609&gt;0,M609/R609,""),"")</f>
        <v/>
      </c>
      <c r="X609" s="10">
        <f>IF(AND(ISNUMBER(Q609),ISNUMBER(M609)),IF(M609&gt;0,Q609/M609,""),"")</f>
        <v/>
      </c>
      <c r="Y609" s="11">
        <f>IF(ISNUMBER(Z609),YEAR(Z609),"")</f>
        <v/>
      </c>
      <c r="Z609" s="12" t="n"/>
      <c r="AA609" s="12" t="n"/>
      <c r="AI609" s="12" t="n"/>
      <c r="AJ609" s="13">
        <f>IF(LEN(TRIM(AF609))=0,"",HYPERLINK("https://www.google.com/maps/@?api=1&amp;map_action=pano&amp;viewpoint="&amp;SUBSTITUTE(AF609," ",""),"Abrir Street View"))</f>
        <v/>
      </c>
    </row>
    <row r="610">
      <c r="H610" s="6" t="n"/>
      <c r="I610" s="6" t="n"/>
      <c r="M610" s="7" t="n"/>
      <c r="N610" s="7" t="n"/>
      <c r="O610" s="7" t="n"/>
      <c r="Q610" s="7" t="n"/>
      <c r="R610" s="7" t="n"/>
      <c r="S610" s="8">
        <f>IF(NOT(ISNUMBER(M610)),"",IF(G610="Terreno",IF(AND(ISNUMBER(I610),I610&gt;0),M610/I610,""),IF(AND(ISNUMBER(H610),H610&gt;0),M610/H610,"")))</f>
        <v/>
      </c>
      <c r="T610" s="9">
        <f>IF(AND(ISNUMBER(M610),ISNUMBER(O610)),IF(M610&lt;=O610,"Valor ≤ venal IPTU",""),"")</f>
        <v/>
      </c>
      <c r="U610" s="10">
        <f>IF(AND(ISNUMBER(M610),ISNUMBER(N610)),IF(N610&gt;0,M610/N610,""),"")</f>
        <v/>
      </c>
      <c r="V610" s="10">
        <f>IF(AND(ISNUMBER(M610),ISNUMBER(O610)),IF(O610&gt;0,M610/O610,""),"")</f>
        <v/>
      </c>
      <c r="W610" s="10">
        <f>IF(AND(ISNUMBER(M610),ISNUMBER(R610)),IF(R610&gt;0,M610/R610,""),"")</f>
        <v/>
      </c>
      <c r="X610" s="10">
        <f>IF(AND(ISNUMBER(Q610),ISNUMBER(M610)),IF(M610&gt;0,Q610/M610,""),"")</f>
        <v/>
      </c>
      <c r="Y610" s="11">
        <f>IF(ISNUMBER(Z610),YEAR(Z610),"")</f>
        <v/>
      </c>
      <c r="Z610" s="12" t="n"/>
      <c r="AA610" s="12" t="n"/>
      <c r="AI610" s="12" t="n"/>
      <c r="AJ610" s="13">
        <f>IF(LEN(TRIM(AF610))=0,"",HYPERLINK("https://www.google.com/maps/@?api=1&amp;map_action=pano&amp;viewpoint="&amp;SUBSTITUTE(AF610," ",""),"Abrir Street View"))</f>
        <v/>
      </c>
    </row>
    <row r="611">
      <c r="H611" s="6" t="n"/>
      <c r="I611" s="6" t="n"/>
      <c r="M611" s="7" t="n"/>
      <c r="N611" s="7" t="n"/>
      <c r="O611" s="7" t="n"/>
      <c r="Q611" s="7" t="n"/>
      <c r="R611" s="7" t="n"/>
      <c r="S611" s="8">
        <f>IF(NOT(ISNUMBER(M611)),"",IF(G611="Terreno",IF(AND(ISNUMBER(I611),I611&gt;0),M611/I611,""),IF(AND(ISNUMBER(H611),H611&gt;0),M611/H611,"")))</f>
        <v/>
      </c>
      <c r="T611" s="9">
        <f>IF(AND(ISNUMBER(M611),ISNUMBER(O611)),IF(M611&lt;=O611,"Valor ≤ venal IPTU",""),"")</f>
        <v/>
      </c>
      <c r="U611" s="10">
        <f>IF(AND(ISNUMBER(M611),ISNUMBER(N611)),IF(N611&gt;0,M611/N611,""),"")</f>
        <v/>
      </c>
      <c r="V611" s="10">
        <f>IF(AND(ISNUMBER(M611),ISNUMBER(O611)),IF(O611&gt;0,M611/O611,""),"")</f>
        <v/>
      </c>
      <c r="W611" s="10">
        <f>IF(AND(ISNUMBER(M611),ISNUMBER(R611)),IF(R611&gt;0,M611/R611,""),"")</f>
        <v/>
      </c>
      <c r="X611" s="10">
        <f>IF(AND(ISNUMBER(Q611),ISNUMBER(M611)),IF(M611&gt;0,Q611/M611,""),"")</f>
        <v/>
      </c>
      <c r="Y611" s="11">
        <f>IF(ISNUMBER(Z611),YEAR(Z611),"")</f>
        <v/>
      </c>
      <c r="Z611" s="12" t="n"/>
      <c r="AA611" s="12" t="n"/>
      <c r="AI611" s="12" t="n"/>
      <c r="AJ611" s="13">
        <f>IF(LEN(TRIM(AF611))=0,"",HYPERLINK("https://www.google.com/maps/@?api=1&amp;map_action=pano&amp;viewpoint="&amp;SUBSTITUTE(AF611," ",""),"Abrir Street View"))</f>
        <v/>
      </c>
    </row>
    <row r="612">
      <c r="H612" s="6" t="n"/>
      <c r="I612" s="6" t="n"/>
      <c r="M612" s="7" t="n"/>
      <c r="N612" s="7" t="n"/>
      <c r="O612" s="7" t="n"/>
      <c r="Q612" s="7" t="n"/>
      <c r="R612" s="7" t="n"/>
      <c r="S612" s="8">
        <f>IF(NOT(ISNUMBER(M612)),"",IF(G612="Terreno",IF(AND(ISNUMBER(I612),I612&gt;0),M612/I612,""),IF(AND(ISNUMBER(H612),H612&gt;0),M612/H612,"")))</f>
        <v/>
      </c>
      <c r="T612" s="9">
        <f>IF(AND(ISNUMBER(M612),ISNUMBER(O612)),IF(M612&lt;=O612,"Valor ≤ venal IPTU",""),"")</f>
        <v/>
      </c>
      <c r="U612" s="10">
        <f>IF(AND(ISNUMBER(M612),ISNUMBER(N612)),IF(N612&gt;0,M612/N612,""),"")</f>
        <v/>
      </c>
      <c r="V612" s="10">
        <f>IF(AND(ISNUMBER(M612),ISNUMBER(O612)),IF(O612&gt;0,M612/O612,""),"")</f>
        <v/>
      </c>
      <c r="W612" s="10">
        <f>IF(AND(ISNUMBER(M612),ISNUMBER(R612)),IF(R612&gt;0,M612/R612,""),"")</f>
        <v/>
      </c>
      <c r="X612" s="10">
        <f>IF(AND(ISNUMBER(Q612),ISNUMBER(M612)),IF(M612&gt;0,Q612/M612,""),"")</f>
        <v/>
      </c>
      <c r="Y612" s="11">
        <f>IF(ISNUMBER(Z612),YEAR(Z612),"")</f>
        <v/>
      </c>
      <c r="Z612" s="12" t="n"/>
      <c r="AA612" s="12" t="n"/>
      <c r="AI612" s="12" t="n"/>
      <c r="AJ612" s="13">
        <f>IF(LEN(TRIM(AF612))=0,"",HYPERLINK("https://www.google.com/maps/@?api=1&amp;map_action=pano&amp;viewpoint="&amp;SUBSTITUTE(AF612," ",""),"Abrir Street View"))</f>
        <v/>
      </c>
    </row>
    <row r="613">
      <c r="H613" s="6" t="n"/>
      <c r="I613" s="6" t="n"/>
      <c r="M613" s="7" t="n"/>
      <c r="N613" s="7" t="n"/>
      <c r="O613" s="7" t="n"/>
      <c r="Q613" s="7" t="n"/>
      <c r="R613" s="7" t="n"/>
      <c r="S613" s="8">
        <f>IF(NOT(ISNUMBER(M613)),"",IF(G613="Terreno",IF(AND(ISNUMBER(I613),I613&gt;0),M613/I613,""),IF(AND(ISNUMBER(H613),H613&gt;0),M613/H613,"")))</f>
        <v/>
      </c>
      <c r="T613" s="9">
        <f>IF(AND(ISNUMBER(M613),ISNUMBER(O613)),IF(M613&lt;=O613,"Valor ≤ venal IPTU",""),"")</f>
        <v/>
      </c>
      <c r="U613" s="10">
        <f>IF(AND(ISNUMBER(M613),ISNUMBER(N613)),IF(N613&gt;0,M613/N613,""),"")</f>
        <v/>
      </c>
      <c r="V613" s="10">
        <f>IF(AND(ISNUMBER(M613),ISNUMBER(O613)),IF(O613&gt;0,M613/O613,""),"")</f>
        <v/>
      </c>
      <c r="W613" s="10">
        <f>IF(AND(ISNUMBER(M613),ISNUMBER(R613)),IF(R613&gt;0,M613/R613,""),"")</f>
        <v/>
      </c>
      <c r="X613" s="10">
        <f>IF(AND(ISNUMBER(Q613),ISNUMBER(M613)),IF(M613&gt;0,Q613/M613,""),"")</f>
        <v/>
      </c>
      <c r="Y613" s="11">
        <f>IF(ISNUMBER(Z613),YEAR(Z613),"")</f>
        <v/>
      </c>
      <c r="Z613" s="12" t="n"/>
      <c r="AA613" s="12" t="n"/>
      <c r="AI613" s="12" t="n"/>
      <c r="AJ613" s="13">
        <f>IF(LEN(TRIM(AF613))=0,"",HYPERLINK("https://www.google.com/maps/@?api=1&amp;map_action=pano&amp;viewpoint="&amp;SUBSTITUTE(AF613," ",""),"Abrir Street View"))</f>
        <v/>
      </c>
    </row>
    <row r="614">
      <c r="H614" s="6" t="n"/>
      <c r="I614" s="6" t="n"/>
      <c r="M614" s="7" t="n"/>
      <c r="N614" s="7" t="n"/>
      <c r="O614" s="7" t="n"/>
      <c r="Q614" s="7" t="n"/>
      <c r="R614" s="7" t="n"/>
      <c r="S614" s="8">
        <f>IF(NOT(ISNUMBER(M614)),"",IF(G614="Terreno",IF(AND(ISNUMBER(I614),I614&gt;0),M614/I614,""),IF(AND(ISNUMBER(H614),H614&gt;0),M614/H614,"")))</f>
        <v/>
      </c>
      <c r="T614" s="9">
        <f>IF(AND(ISNUMBER(M614),ISNUMBER(O614)),IF(M614&lt;=O614,"Valor ≤ venal IPTU",""),"")</f>
        <v/>
      </c>
      <c r="U614" s="10">
        <f>IF(AND(ISNUMBER(M614),ISNUMBER(N614)),IF(N614&gt;0,M614/N614,""),"")</f>
        <v/>
      </c>
      <c r="V614" s="10">
        <f>IF(AND(ISNUMBER(M614),ISNUMBER(O614)),IF(O614&gt;0,M614/O614,""),"")</f>
        <v/>
      </c>
      <c r="W614" s="10">
        <f>IF(AND(ISNUMBER(M614),ISNUMBER(R614)),IF(R614&gt;0,M614/R614,""),"")</f>
        <v/>
      </c>
      <c r="X614" s="10">
        <f>IF(AND(ISNUMBER(Q614),ISNUMBER(M614)),IF(M614&gt;0,Q614/M614,""),"")</f>
        <v/>
      </c>
      <c r="Y614" s="11">
        <f>IF(ISNUMBER(Z614),YEAR(Z614),"")</f>
        <v/>
      </c>
      <c r="Z614" s="12" t="n"/>
      <c r="AA614" s="12" t="n"/>
      <c r="AI614" s="12" t="n"/>
      <c r="AJ614" s="13">
        <f>IF(LEN(TRIM(AF614))=0,"",HYPERLINK("https://www.google.com/maps/@?api=1&amp;map_action=pano&amp;viewpoint="&amp;SUBSTITUTE(AF614," ",""),"Abrir Street View"))</f>
        <v/>
      </c>
    </row>
    <row r="615">
      <c r="H615" s="6" t="n"/>
      <c r="I615" s="6" t="n"/>
      <c r="M615" s="7" t="n"/>
      <c r="N615" s="7" t="n"/>
      <c r="O615" s="7" t="n"/>
      <c r="Q615" s="7" t="n"/>
      <c r="R615" s="7" t="n"/>
      <c r="S615" s="8">
        <f>IF(NOT(ISNUMBER(M615)),"",IF(G615="Terreno",IF(AND(ISNUMBER(I615),I615&gt;0),M615/I615,""),IF(AND(ISNUMBER(H615),H615&gt;0),M615/H615,"")))</f>
        <v/>
      </c>
      <c r="T615" s="9">
        <f>IF(AND(ISNUMBER(M615),ISNUMBER(O615)),IF(M615&lt;=O615,"Valor ≤ venal IPTU",""),"")</f>
        <v/>
      </c>
      <c r="U615" s="10">
        <f>IF(AND(ISNUMBER(M615),ISNUMBER(N615)),IF(N615&gt;0,M615/N615,""),"")</f>
        <v/>
      </c>
      <c r="V615" s="10">
        <f>IF(AND(ISNUMBER(M615),ISNUMBER(O615)),IF(O615&gt;0,M615/O615,""),"")</f>
        <v/>
      </c>
      <c r="W615" s="10">
        <f>IF(AND(ISNUMBER(M615),ISNUMBER(R615)),IF(R615&gt;0,M615/R615,""),"")</f>
        <v/>
      </c>
      <c r="X615" s="10">
        <f>IF(AND(ISNUMBER(Q615),ISNUMBER(M615)),IF(M615&gt;0,Q615/M615,""),"")</f>
        <v/>
      </c>
      <c r="Y615" s="11">
        <f>IF(ISNUMBER(Z615),YEAR(Z615),"")</f>
        <v/>
      </c>
      <c r="Z615" s="12" t="n"/>
      <c r="AA615" s="12" t="n"/>
      <c r="AI615" s="12" t="n"/>
      <c r="AJ615" s="13">
        <f>IF(LEN(TRIM(AF615))=0,"",HYPERLINK("https://www.google.com/maps/@?api=1&amp;map_action=pano&amp;viewpoint="&amp;SUBSTITUTE(AF615," ",""),"Abrir Street View"))</f>
        <v/>
      </c>
    </row>
    <row r="616">
      <c r="H616" s="6" t="n"/>
      <c r="I616" s="6" t="n"/>
      <c r="M616" s="7" t="n"/>
      <c r="N616" s="7" t="n"/>
      <c r="O616" s="7" t="n"/>
      <c r="Q616" s="7" t="n"/>
      <c r="R616" s="7" t="n"/>
      <c r="S616" s="8">
        <f>IF(NOT(ISNUMBER(M616)),"",IF(G616="Terreno",IF(AND(ISNUMBER(I616),I616&gt;0),M616/I616,""),IF(AND(ISNUMBER(H616),H616&gt;0),M616/H616,"")))</f>
        <v/>
      </c>
      <c r="T616" s="9">
        <f>IF(AND(ISNUMBER(M616),ISNUMBER(O616)),IF(M616&lt;=O616,"Valor ≤ venal IPTU",""),"")</f>
        <v/>
      </c>
      <c r="U616" s="10">
        <f>IF(AND(ISNUMBER(M616),ISNUMBER(N616)),IF(N616&gt;0,M616/N616,""),"")</f>
        <v/>
      </c>
      <c r="V616" s="10">
        <f>IF(AND(ISNUMBER(M616),ISNUMBER(O616)),IF(O616&gt;0,M616/O616,""),"")</f>
        <v/>
      </c>
      <c r="W616" s="10">
        <f>IF(AND(ISNUMBER(M616),ISNUMBER(R616)),IF(R616&gt;0,M616/R616,""),"")</f>
        <v/>
      </c>
      <c r="X616" s="10">
        <f>IF(AND(ISNUMBER(Q616),ISNUMBER(M616)),IF(M616&gt;0,Q616/M616,""),"")</f>
        <v/>
      </c>
      <c r="Y616" s="11">
        <f>IF(ISNUMBER(Z616),YEAR(Z616),"")</f>
        <v/>
      </c>
      <c r="Z616" s="12" t="n"/>
      <c r="AA616" s="12" t="n"/>
      <c r="AI616" s="12" t="n"/>
      <c r="AJ616" s="13">
        <f>IF(LEN(TRIM(AF616))=0,"",HYPERLINK("https://www.google.com/maps/@?api=1&amp;map_action=pano&amp;viewpoint="&amp;SUBSTITUTE(AF616," ",""),"Abrir Street View"))</f>
        <v/>
      </c>
    </row>
    <row r="617">
      <c r="H617" s="6" t="n"/>
      <c r="I617" s="6" t="n"/>
      <c r="M617" s="7" t="n"/>
      <c r="N617" s="7" t="n"/>
      <c r="O617" s="7" t="n"/>
      <c r="Q617" s="7" t="n"/>
      <c r="R617" s="7" t="n"/>
      <c r="S617" s="8">
        <f>IF(NOT(ISNUMBER(M617)),"",IF(G617="Terreno",IF(AND(ISNUMBER(I617),I617&gt;0),M617/I617,""),IF(AND(ISNUMBER(H617),H617&gt;0),M617/H617,"")))</f>
        <v/>
      </c>
      <c r="T617" s="9">
        <f>IF(AND(ISNUMBER(M617),ISNUMBER(O617)),IF(M617&lt;=O617,"Valor ≤ venal IPTU",""),"")</f>
        <v/>
      </c>
      <c r="U617" s="10">
        <f>IF(AND(ISNUMBER(M617),ISNUMBER(N617)),IF(N617&gt;0,M617/N617,""),"")</f>
        <v/>
      </c>
      <c r="V617" s="10">
        <f>IF(AND(ISNUMBER(M617),ISNUMBER(O617)),IF(O617&gt;0,M617/O617,""),"")</f>
        <v/>
      </c>
      <c r="W617" s="10">
        <f>IF(AND(ISNUMBER(M617),ISNUMBER(R617)),IF(R617&gt;0,M617/R617,""),"")</f>
        <v/>
      </c>
      <c r="X617" s="10">
        <f>IF(AND(ISNUMBER(Q617),ISNUMBER(M617)),IF(M617&gt;0,Q617/M617,""),"")</f>
        <v/>
      </c>
      <c r="Y617" s="11">
        <f>IF(ISNUMBER(Z617),YEAR(Z617),"")</f>
        <v/>
      </c>
      <c r="Z617" s="12" t="n"/>
      <c r="AA617" s="12" t="n"/>
      <c r="AI617" s="12" t="n"/>
      <c r="AJ617" s="13">
        <f>IF(LEN(TRIM(AF617))=0,"",HYPERLINK("https://www.google.com/maps/@?api=1&amp;map_action=pano&amp;viewpoint="&amp;SUBSTITUTE(AF617," ",""),"Abrir Street View"))</f>
        <v/>
      </c>
    </row>
    <row r="618">
      <c r="H618" s="6" t="n"/>
      <c r="I618" s="6" t="n"/>
      <c r="M618" s="7" t="n"/>
      <c r="N618" s="7" t="n"/>
      <c r="O618" s="7" t="n"/>
      <c r="Q618" s="7" t="n"/>
      <c r="R618" s="7" t="n"/>
      <c r="S618" s="8">
        <f>IF(NOT(ISNUMBER(M618)),"",IF(G618="Terreno",IF(AND(ISNUMBER(I618),I618&gt;0),M618/I618,""),IF(AND(ISNUMBER(H618),H618&gt;0),M618/H618,"")))</f>
        <v/>
      </c>
      <c r="T618" s="9">
        <f>IF(AND(ISNUMBER(M618),ISNUMBER(O618)),IF(M618&lt;=O618,"Valor ≤ venal IPTU",""),"")</f>
        <v/>
      </c>
      <c r="U618" s="10">
        <f>IF(AND(ISNUMBER(M618),ISNUMBER(N618)),IF(N618&gt;0,M618/N618,""),"")</f>
        <v/>
      </c>
      <c r="V618" s="10">
        <f>IF(AND(ISNUMBER(M618),ISNUMBER(O618)),IF(O618&gt;0,M618/O618,""),"")</f>
        <v/>
      </c>
      <c r="W618" s="10">
        <f>IF(AND(ISNUMBER(M618),ISNUMBER(R618)),IF(R618&gt;0,M618/R618,""),"")</f>
        <v/>
      </c>
      <c r="X618" s="10">
        <f>IF(AND(ISNUMBER(Q618),ISNUMBER(M618)),IF(M618&gt;0,Q618/M618,""),"")</f>
        <v/>
      </c>
      <c r="Y618" s="11">
        <f>IF(ISNUMBER(Z618),YEAR(Z618),"")</f>
        <v/>
      </c>
      <c r="Z618" s="12" t="n"/>
      <c r="AA618" s="12" t="n"/>
      <c r="AI618" s="12" t="n"/>
      <c r="AJ618" s="13">
        <f>IF(LEN(TRIM(AF618))=0,"",HYPERLINK("https://www.google.com/maps/@?api=1&amp;map_action=pano&amp;viewpoint="&amp;SUBSTITUTE(AF618," ",""),"Abrir Street View"))</f>
        <v/>
      </c>
    </row>
    <row r="619">
      <c r="H619" s="6" t="n"/>
      <c r="I619" s="6" t="n"/>
      <c r="M619" s="7" t="n"/>
      <c r="N619" s="7" t="n"/>
      <c r="O619" s="7" t="n"/>
      <c r="Q619" s="7" t="n"/>
      <c r="R619" s="7" t="n"/>
      <c r="S619" s="8">
        <f>IF(NOT(ISNUMBER(M619)),"",IF(G619="Terreno",IF(AND(ISNUMBER(I619),I619&gt;0),M619/I619,""),IF(AND(ISNUMBER(H619),H619&gt;0),M619/H619,"")))</f>
        <v/>
      </c>
      <c r="T619" s="9">
        <f>IF(AND(ISNUMBER(M619),ISNUMBER(O619)),IF(M619&lt;=O619,"Valor ≤ venal IPTU",""),"")</f>
        <v/>
      </c>
      <c r="U619" s="10">
        <f>IF(AND(ISNUMBER(M619),ISNUMBER(N619)),IF(N619&gt;0,M619/N619,""),"")</f>
        <v/>
      </c>
      <c r="V619" s="10">
        <f>IF(AND(ISNUMBER(M619),ISNUMBER(O619)),IF(O619&gt;0,M619/O619,""),"")</f>
        <v/>
      </c>
      <c r="W619" s="10">
        <f>IF(AND(ISNUMBER(M619),ISNUMBER(R619)),IF(R619&gt;0,M619/R619,""),"")</f>
        <v/>
      </c>
      <c r="X619" s="10">
        <f>IF(AND(ISNUMBER(Q619),ISNUMBER(M619)),IF(M619&gt;0,Q619/M619,""),"")</f>
        <v/>
      </c>
      <c r="Y619" s="11">
        <f>IF(ISNUMBER(Z619),YEAR(Z619),"")</f>
        <v/>
      </c>
      <c r="Z619" s="12" t="n"/>
      <c r="AA619" s="12" t="n"/>
      <c r="AI619" s="12" t="n"/>
      <c r="AJ619" s="13">
        <f>IF(LEN(TRIM(AF619))=0,"",HYPERLINK("https://www.google.com/maps/@?api=1&amp;map_action=pano&amp;viewpoint="&amp;SUBSTITUTE(AF619," ",""),"Abrir Street View"))</f>
        <v/>
      </c>
    </row>
    <row r="620">
      <c r="H620" s="6" t="n"/>
      <c r="I620" s="6" t="n"/>
      <c r="M620" s="7" t="n"/>
      <c r="N620" s="7" t="n"/>
      <c r="O620" s="7" t="n"/>
      <c r="Q620" s="7" t="n"/>
      <c r="R620" s="7" t="n"/>
      <c r="S620" s="8">
        <f>IF(NOT(ISNUMBER(M620)),"",IF(G620="Terreno",IF(AND(ISNUMBER(I620),I620&gt;0),M620/I620,""),IF(AND(ISNUMBER(H620),H620&gt;0),M620/H620,"")))</f>
        <v/>
      </c>
      <c r="T620" s="9">
        <f>IF(AND(ISNUMBER(M620),ISNUMBER(O620)),IF(M620&lt;=O620,"Valor ≤ venal IPTU",""),"")</f>
        <v/>
      </c>
      <c r="U620" s="10">
        <f>IF(AND(ISNUMBER(M620),ISNUMBER(N620)),IF(N620&gt;0,M620/N620,""),"")</f>
        <v/>
      </c>
      <c r="V620" s="10">
        <f>IF(AND(ISNUMBER(M620),ISNUMBER(O620)),IF(O620&gt;0,M620/O620,""),"")</f>
        <v/>
      </c>
      <c r="W620" s="10">
        <f>IF(AND(ISNUMBER(M620),ISNUMBER(R620)),IF(R620&gt;0,M620/R620,""),"")</f>
        <v/>
      </c>
      <c r="X620" s="10">
        <f>IF(AND(ISNUMBER(Q620),ISNUMBER(M620)),IF(M620&gt;0,Q620/M620,""),"")</f>
        <v/>
      </c>
      <c r="Y620" s="11">
        <f>IF(ISNUMBER(Z620),YEAR(Z620),"")</f>
        <v/>
      </c>
      <c r="Z620" s="12" t="n"/>
      <c r="AA620" s="12" t="n"/>
      <c r="AI620" s="12" t="n"/>
      <c r="AJ620" s="13">
        <f>IF(LEN(TRIM(AF620))=0,"",HYPERLINK("https://www.google.com/maps/@?api=1&amp;map_action=pano&amp;viewpoint="&amp;SUBSTITUTE(AF620," ",""),"Abrir Street View"))</f>
        <v/>
      </c>
    </row>
    <row r="621">
      <c r="H621" s="6" t="n"/>
      <c r="I621" s="6" t="n"/>
      <c r="M621" s="7" t="n"/>
      <c r="N621" s="7" t="n"/>
      <c r="O621" s="7" t="n"/>
      <c r="Q621" s="7" t="n"/>
      <c r="R621" s="7" t="n"/>
      <c r="S621" s="8">
        <f>IF(NOT(ISNUMBER(M621)),"",IF(G621="Terreno",IF(AND(ISNUMBER(I621),I621&gt;0),M621/I621,""),IF(AND(ISNUMBER(H621),H621&gt;0),M621/H621,"")))</f>
        <v/>
      </c>
      <c r="T621" s="9">
        <f>IF(AND(ISNUMBER(M621),ISNUMBER(O621)),IF(M621&lt;=O621,"Valor ≤ venal IPTU",""),"")</f>
        <v/>
      </c>
      <c r="U621" s="10">
        <f>IF(AND(ISNUMBER(M621),ISNUMBER(N621)),IF(N621&gt;0,M621/N621,""),"")</f>
        <v/>
      </c>
      <c r="V621" s="10">
        <f>IF(AND(ISNUMBER(M621),ISNUMBER(O621)),IF(O621&gt;0,M621/O621,""),"")</f>
        <v/>
      </c>
      <c r="W621" s="10">
        <f>IF(AND(ISNUMBER(M621),ISNUMBER(R621)),IF(R621&gt;0,M621/R621,""),"")</f>
        <v/>
      </c>
      <c r="X621" s="10">
        <f>IF(AND(ISNUMBER(Q621),ISNUMBER(M621)),IF(M621&gt;0,Q621/M621,""),"")</f>
        <v/>
      </c>
      <c r="Y621" s="11">
        <f>IF(ISNUMBER(Z621),YEAR(Z621),"")</f>
        <v/>
      </c>
      <c r="Z621" s="12" t="n"/>
      <c r="AA621" s="12" t="n"/>
      <c r="AI621" s="12" t="n"/>
      <c r="AJ621" s="13">
        <f>IF(LEN(TRIM(AF621))=0,"",HYPERLINK("https://www.google.com/maps/@?api=1&amp;map_action=pano&amp;viewpoint="&amp;SUBSTITUTE(AF621," ",""),"Abrir Street View"))</f>
        <v/>
      </c>
    </row>
    <row r="622">
      <c r="H622" s="6" t="n"/>
      <c r="I622" s="6" t="n"/>
      <c r="M622" s="7" t="n"/>
      <c r="N622" s="7" t="n"/>
      <c r="O622" s="7" t="n"/>
      <c r="Q622" s="7" t="n"/>
      <c r="R622" s="7" t="n"/>
      <c r="S622" s="8">
        <f>IF(NOT(ISNUMBER(M622)),"",IF(G622="Terreno",IF(AND(ISNUMBER(I622),I622&gt;0),M622/I622,""),IF(AND(ISNUMBER(H622),H622&gt;0),M622/H622,"")))</f>
        <v/>
      </c>
      <c r="T622" s="9">
        <f>IF(AND(ISNUMBER(M622),ISNUMBER(O622)),IF(M622&lt;=O622,"Valor ≤ venal IPTU",""),"")</f>
        <v/>
      </c>
      <c r="U622" s="10">
        <f>IF(AND(ISNUMBER(M622),ISNUMBER(N622)),IF(N622&gt;0,M622/N622,""),"")</f>
        <v/>
      </c>
      <c r="V622" s="10">
        <f>IF(AND(ISNUMBER(M622),ISNUMBER(O622)),IF(O622&gt;0,M622/O622,""),"")</f>
        <v/>
      </c>
      <c r="W622" s="10">
        <f>IF(AND(ISNUMBER(M622),ISNUMBER(R622)),IF(R622&gt;0,M622/R622,""),"")</f>
        <v/>
      </c>
      <c r="X622" s="10">
        <f>IF(AND(ISNUMBER(Q622),ISNUMBER(M622)),IF(M622&gt;0,Q622/M622,""),"")</f>
        <v/>
      </c>
      <c r="Y622" s="11">
        <f>IF(ISNUMBER(Z622),YEAR(Z622),"")</f>
        <v/>
      </c>
      <c r="Z622" s="12" t="n"/>
      <c r="AA622" s="12" t="n"/>
      <c r="AI622" s="12" t="n"/>
      <c r="AJ622" s="13">
        <f>IF(LEN(TRIM(AF622))=0,"",HYPERLINK("https://www.google.com/maps/@?api=1&amp;map_action=pano&amp;viewpoint="&amp;SUBSTITUTE(AF622," ",""),"Abrir Street View"))</f>
        <v/>
      </c>
    </row>
    <row r="623">
      <c r="H623" s="6" t="n"/>
      <c r="I623" s="6" t="n"/>
      <c r="M623" s="7" t="n"/>
      <c r="N623" s="7" t="n"/>
      <c r="O623" s="7" t="n"/>
      <c r="Q623" s="7" t="n"/>
      <c r="R623" s="7" t="n"/>
      <c r="S623" s="8">
        <f>IF(NOT(ISNUMBER(M623)),"",IF(G623="Terreno",IF(AND(ISNUMBER(I623),I623&gt;0),M623/I623,""),IF(AND(ISNUMBER(H623),H623&gt;0),M623/H623,"")))</f>
        <v/>
      </c>
      <c r="T623" s="9">
        <f>IF(AND(ISNUMBER(M623),ISNUMBER(O623)),IF(M623&lt;=O623,"Valor ≤ venal IPTU",""),"")</f>
        <v/>
      </c>
      <c r="U623" s="10">
        <f>IF(AND(ISNUMBER(M623),ISNUMBER(N623)),IF(N623&gt;0,M623/N623,""),"")</f>
        <v/>
      </c>
      <c r="V623" s="10">
        <f>IF(AND(ISNUMBER(M623),ISNUMBER(O623)),IF(O623&gt;0,M623/O623,""),"")</f>
        <v/>
      </c>
      <c r="W623" s="10">
        <f>IF(AND(ISNUMBER(M623),ISNUMBER(R623)),IF(R623&gt;0,M623/R623,""),"")</f>
        <v/>
      </c>
      <c r="X623" s="10">
        <f>IF(AND(ISNUMBER(Q623),ISNUMBER(M623)),IF(M623&gt;0,Q623/M623,""),"")</f>
        <v/>
      </c>
      <c r="Y623" s="11">
        <f>IF(ISNUMBER(Z623),YEAR(Z623),"")</f>
        <v/>
      </c>
      <c r="Z623" s="12" t="n"/>
      <c r="AA623" s="12" t="n"/>
      <c r="AI623" s="12" t="n"/>
      <c r="AJ623" s="13">
        <f>IF(LEN(TRIM(AF623))=0,"",HYPERLINK("https://www.google.com/maps/@?api=1&amp;map_action=pano&amp;viewpoint="&amp;SUBSTITUTE(AF623," ",""),"Abrir Street View"))</f>
        <v/>
      </c>
    </row>
    <row r="624">
      <c r="H624" s="6" t="n"/>
      <c r="I624" s="6" t="n"/>
      <c r="M624" s="7" t="n"/>
      <c r="N624" s="7" t="n"/>
      <c r="O624" s="7" t="n"/>
      <c r="Q624" s="7" t="n"/>
      <c r="R624" s="7" t="n"/>
      <c r="S624" s="8">
        <f>IF(NOT(ISNUMBER(M624)),"",IF(G624="Terreno",IF(AND(ISNUMBER(I624),I624&gt;0),M624/I624,""),IF(AND(ISNUMBER(H624),H624&gt;0),M624/H624,"")))</f>
        <v/>
      </c>
      <c r="T624" s="9">
        <f>IF(AND(ISNUMBER(M624),ISNUMBER(O624)),IF(M624&lt;=O624,"Valor ≤ venal IPTU",""),"")</f>
        <v/>
      </c>
      <c r="U624" s="10">
        <f>IF(AND(ISNUMBER(M624),ISNUMBER(N624)),IF(N624&gt;0,M624/N624,""),"")</f>
        <v/>
      </c>
      <c r="V624" s="10">
        <f>IF(AND(ISNUMBER(M624),ISNUMBER(O624)),IF(O624&gt;0,M624/O624,""),"")</f>
        <v/>
      </c>
      <c r="W624" s="10">
        <f>IF(AND(ISNUMBER(M624),ISNUMBER(R624)),IF(R624&gt;0,M624/R624,""),"")</f>
        <v/>
      </c>
      <c r="X624" s="10">
        <f>IF(AND(ISNUMBER(Q624),ISNUMBER(M624)),IF(M624&gt;0,Q624/M624,""),"")</f>
        <v/>
      </c>
      <c r="Y624" s="11">
        <f>IF(ISNUMBER(Z624),YEAR(Z624),"")</f>
        <v/>
      </c>
      <c r="Z624" s="12" t="n"/>
      <c r="AA624" s="12" t="n"/>
      <c r="AI624" s="12" t="n"/>
      <c r="AJ624" s="13">
        <f>IF(LEN(TRIM(AF624))=0,"",HYPERLINK("https://www.google.com/maps/@?api=1&amp;map_action=pano&amp;viewpoint="&amp;SUBSTITUTE(AF624," ",""),"Abrir Street View"))</f>
        <v/>
      </c>
    </row>
    <row r="625">
      <c r="H625" s="6" t="n"/>
      <c r="I625" s="6" t="n"/>
      <c r="M625" s="7" t="n"/>
      <c r="N625" s="7" t="n"/>
      <c r="O625" s="7" t="n"/>
      <c r="Q625" s="7" t="n"/>
      <c r="R625" s="7" t="n"/>
      <c r="S625" s="8">
        <f>IF(NOT(ISNUMBER(M625)),"",IF(G625="Terreno",IF(AND(ISNUMBER(I625),I625&gt;0),M625/I625,""),IF(AND(ISNUMBER(H625),H625&gt;0),M625/H625,"")))</f>
        <v/>
      </c>
      <c r="T625" s="9">
        <f>IF(AND(ISNUMBER(M625),ISNUMBER(O625)),IF(M625&lt;=O625,"Valor ≤ venal IPTU",""),"")</f>
        <v/>
      </c>
      <c r="U625" s="10">
        <f>IF(AND(ISNUMBER(M625),ISNUMBER(N625)),IF(N625&gt;0,M625/N625,""),"")</f>
        <v/>
      </c>
      <c r="V625" s="10">
        <f>IF(AND(ISNUMBER(M625),ISNUMBER(O625)),IF(O625&gt;0,M625/O625,""),"")</f>
        <v/>
      </c>
      <c r="W625" s="10">
        <f>IF(AND(ISNUMBER(M625),ISNUMBER(R625)),IF(R625&gt;0,M625/R625,""),"")</f>
        <v/>
      </c>
      <c r="X625" s="10">
        <f>IF(AND(ISNUMBER(Q625),ISNUMBER(M625)),IF(M625&gt;0,Q625/M625,""),"")</f>
        <v/>
      </c>
      <c r="Y625" s="11">
        <f>IF(ISNUMBER(Z625),YEAR(Z625),"")</f>
        <v/>
      </c>
      <c r="Z625" s="12" t="n"/>
      <c r="AA625" s="12" t="n"/>
      <c r="AI625" s="12" t="n"/>
      <c r="AJ625" s="13">
        <f>IF(LEN(TRIM(AF625))=0,"",HYPERLINK("https://www.google.com/maps/@?api=1&amp;map_action=pano&amp;viewpoint="&amp;SUBSTITUTE(AF625," ",""),"Abrir Street View"))</f>
        <v/>
      </c>
    </row>
    <row r="626">
      <c r="H626" s="6" t="n"/>
      <c r="I626" s="6" t="n"/>
      <c r="M626" s="7" t="n"/>
      <c r="N626" s="7" t="n"/>
      <c r="O626" s="7" t="n"/>
      <c r="Q626" s="7" t="n"/>
      <c r="R626" s="7" t="n"/>
      <c r="S626" s="8">
        <f>IF(NOT(ISNUMBER(M626)),"",IF(G626="Terreno",IF(AND(ISNUMBER(I626),I626&gt;0),M626/I626,""),IF(AND(ISNUMBER(H626),H626&gt;0),M626/H626,"")))</f>
        <v/>
      </c>
      <c r="T626" s="9">
        <f>IF(AND(ISNUMBER(M626),ISNUMBER(O626)),IF(M626&lt;=O626,"Valor ≤ venal IPTU",""),"")</f>
        <v/>
      </c>
      <c r="U626" s="10">
        <f>IF(AND(ISNUMBER(M626),ISNUMBER(N626)),IF(N626&gt;0,M626/N626,""),"")</f>
        <v/>
      </c>
      <c r="V626" s="10">
        <f>IF(AND(ISNUMBER(M626),ISNUMBER(O626)),IF(O626&gt;0,M626/O626,""),"")</f>
        <v/>
      </c>
      <c r="W626" s="10">
        <f>IF(AND(ISNUMBER(M626),ISNUMBER(R626)),IF(R626&gt;0,M626/R626,""),"")</f>
        <v/>
      </c>
      <c r="X626" s="10">
        <f>IF(AND(ISNUMBER(Q626),ISNUMBER(M626)),IF(M626&gt;0,Q626/M626,""),"")</f>
        <v/>
      </c>
      <c r="Y626" s="11">
        <f>IF(ISNUMBER(Z626),YEAR(Z626),"")</f>
        <v/>
      </c>
      <c r="Z626" s="12" t="n"/>
      <c r="AA626" s="12" t="n"/>
      <c r="AI626" s="12" t="n"/>
      <c r="AJ626" s="13">
        <f>IF(LEN(TRIM(AF626))=0,"",HYPERLINK("https://www.google.com/maps/@?api=1&amp;map_action=pano&amp;viewpoint="&amp;SUBSTITUTE(AF626," ",""),"Abrir Street View"))</f>
        <v/>
      </c>
    </row>
    <row r="627">
      <c r="H627" s="6" t="n"/>
      <c r="I627" s="6" t="n"/>
      <c r="M627" s="7" t="n"/>
      <c r="N627" s="7" t="n"/>
      <c r="O627" s="7" t="n"/>
      <c r="Q627" s="7" t="n"/>
      <c r="R627" s="7" t="n"/>
      <c r="S627" s="8">
        <f>IF(NOT(ISNUMBER(M627)),"",IF(G627="Terreno",IF(AND(ISNUMBER(I627),I627&gt;0),M627/I627,""),IF(AND(ISNUMBER(H627),H627&gt;0),M627/H627,"")))</f>
        <v/>
      </c>
      <c r="T627" s="9">
        <f>IF(AND(ISNUMBER(M627),ISNUMBER(O627)),IF(M627&lt;=O627,"Valor ≤ venal IPTU",""),"")</f>
        <v/>
      </c>
      <c r="U627" s="10">
        <f>IF(AND(ISNUMBER(M627),ISNUMBER(N627)),IF(N627&gt;0,M627/N627,""),"")</f>
        <v/>
      </c>
      <c r="V627" s="10">
        <f>IF(AND(ISNUMBER(M627),ISNUMBER(O627)),IF(O627&gt;0,M627/O627,""),"")</f>
        <v/>
      </c>
      <c r="W627" s="10">
        <f>IF(AND(ISNUMBER(M627),ISNUMBER(R627)),IF(R627&gt;0,M627/R627,""),"")</f>
        <v/>
      </c>
      <c r="X627" s="10">
        <f>IF(AND(ISNUMBER(Q627),ISNUMBER(M627)),IF(M627&gt;0,Q627/M627,""),"")</f>
        <v/>
      </c>
      <c r="Y627" s="11">
        <f>IF(ISNUMBER(Z627),YEAR(Z627),"")</f>
        <v/>
      </c>
      <c r="Z627" s="12" t="n"/>
      <c r="AA627" s="12" t="n"/>
      <c r="AI627" s="12" t="n"/>
      <c r="AJ627" s="13">
        <f>IF(LEN(TRIM(AF627))=0,"",HYPERLINK("https://www.google.com/maps/@?api=1&amp;map_action=pano&amp;viewpoint="&amp;SUBSTITUTE(AF627," ",""),"Abrir Street View"))</f>
        <v/>
      </c>
    </row>
    <row r="628">
      <c r="H628" s="6" t="n"/>
      <c r="I628" s="6" t="n"/>
      <c r="M628" s="7" t="n"/>
      <c r="N628" s="7" t="n"/>
      <c r="O628" s="7" t="n"/>
      <c r="Q628" s="7" t="n"/>
      <c r="R628" s="7" t="n"/>
      <c r="S628" s="8">
        <f>IF(NOT(ISNUMBER(M628)),"",IF(G628="Terreno",IF(AND(ISNUMBER(I628),I628&gt;0),M628/I628,""),IF(AND(ISNUMBER(H628),H628&gt;0),M628/H628,"")))</f>
        <v/>
      </c>
      <c r="T628" s="9">
        <f>IF(AND(ISNUMBER(M628),ISNUMBER(O628)),IF(M628&lt;=O628,"Valor ≤ venal IPTU",""),"")</f>
        <v/>
      </c>
      <c r="U628" s="10">
        <f>IF(AND(ISNUMBER(M628),ISNUMBER(N628)),IF(N628&gt;0,M628/N628,""),"")</f>
        <v/>
      </c>
      <c r="V628" s="10">
        <f>IF(AND(ISNUMBER(M628),ISNUMBER(O628)),IF(O628&gt;0,M628/O628,""),"")</f>
        <v/>
      </c>
      <c r="W628" s="10">
        <f>IF(AND(ISNUMBER(M628),ISNUMBER(R628)),IF(R628&gt;0,M628/R628,""),"")</f>
        <v/>
      </c>
      <c r="X628" s="10">
        <f>IF(AND(ISNUMBER(Q628),ISNUMBER(M628)),IF(M628&gt;0,Q628/M628,""),"")</f>
        <v/>
      </c>
      <c r="Y628" s="11">
        <f>IF(ISNUMBER(Z628),YEAR(Z628),"")</f>
        <v/>
      </c>
      <c r="Z628" s="12" t="n"/>
      <c r="AA628" s="12" t="n"/>
      <c r="AI628" s="12" t="n"/>
      <c r="AJ628" s="13">
        <f>IF(LEN(TRIM(AF628))=0,"",HYPERLINK("https://www.google.com/maps/@?api=1&amp;map_action=pano&amp;viewpoint="&amp;SUBSTITUTE(AF628," ",""),"Abrir Street View"))</f>
        <v/>
      </c>
    </row>
    <row r="629">
      <c r="H629" s="6" t="n"/>
      <c r="I629" s="6" t="n"/>
      <c r="M629" s="7" t="n"/>
      <c r="N629" s="7" t="n"/>
      <c r="O629" s="7" t="n"/>
      <c r="Q629" s="7" t="n"/>
      <c r="R629" s="7" t="n"/>
      <c r="S629" s="8">
        <f>IF(NOT(ISNUMBER(M629)),"",IF(G629="Terreno",IF(AND(ISNUMBER(I629),I629&gt;0),M629/I629,""),IF(AND(ISNUMBER(H629),H629&gt;0),M629/H629,"")))</f>
        <v/>
      </c>
      <c r="T629" s="9">
        <f>IF(AND(ISNUMBER(M629),ISNUMBER(O629)),IF(M629&lt;=O629,"Valor ≤ venal IPTU",""),"")</f>
        <v/>
      </c>
      <c r="U629" s="10">
        <f>IF(AND(ISNUMBER(M629),ISNUMBER(N629)),IF(N629&gt;0,M629/N629,""),"")</f>
        <v/>
      </c>
      <c r="V629" s="10">
        <f>IF(AND(ISNUMBER(M629),ISNUMBER(O629)),IF(O629&gt;0,M629/O629,""),"")</f>
        <v/>
      </c>
      <c r="W629" s="10">
        <f>IF(AND(ISNUMBER(M629),ISNUMBER(R629)),IF(R629&gt;0,M629/R629,""),"")</f>
        <v/>
      </c>
      <c r="X629" s="10">
        <f>IF(AND(ISNUMBER(Q629),ISNUMBER(M629)),IF(M629&gt;0,Q629/M629,""),"")</f>
        <v/>
      </c>
      <c r="Y629" s="11">
        <f>IF(ISNUMBER(Z629),YEAR(Z629),"")</f>
        <v/>
      </c>
      <c r="Z629" s="12" t="n"/>
      <c r="AA629" s="12" t="n"/>
      <c r="AI629" s="12" t="n"/>
      <c r="AJ629" s="13">
        <f>IF(LEN(TRIM(AF629))=0,"",HYPERLINK("https://www.google.com/maps/@?api=1&amp;map_action=pano&amp;viewpoint="&amp;SUBSTITUTE(AF629," ",""),"Abrir Street View"))</f>
        <v/>
      </c>
    </row>
    <row r="630">
      <c r="H630" s="6" t="n"/>
      <c r="I630" s="6" t="n"/>
      <c r="M630" s="7" t="n"/>
      <c r="N630" s="7" t="n"/>
      <c r="O630" s="7" t="n"/>
      <c r="Q630" s="7" t="n"/>
      <c r="R630" s="7" t="n"/>
      <c r="S630" s="8">
        <f>IF(NOT(ISNUMBER(M630)),"",IF(G630="Terreno",IF(AND(ISNUMBER(I630),I630&gt;0),M630/I630,""),IF(AND(ISNUMBER(H630),H630&gt;0),M630/H630,"")))</f>
        <v/>
      </c>
      <c r="T630" s="9">
        <f>IF(AND(ISNUMBER(M630),ISNUMBER(O630)),IF(M630&lt;=O630,"Valor ≤ venal IPTU",""),"")</f>
        <v/>
      </c>
      <c r="U630" s="10">
        <f>IF(AND(ISNUMBER(M630),ISNUMBER(N630)),IF(N630&gt;0,M630/N630,""),"")</f>
        <v/>
      </c>
      <c r="V630" s="10">
        <f>IF(AND(ISNUMBER(M630),ISNUMBER(O630)),IF(O630&gt;0,M630/O630,""),"")</f>
        <v/>
      </c>
      <c r="W630" s="10">
        <f>IF(AND(ISNUMBER(M630),ISNUMBER(R630)),IF(R630&gt;0,M630/R630,""),"")</f>
        <v/>
      </c>
      <c r="X630" s="10">
        <f>IF(AND(ISNUMBER(Q630),ISNUMBER(M630)),IF(M630&gt;0,Q630/M630,""),"")</f>
        <v/>
      </c>
      <c r="Y630" s="11">
        <f>IF(ISNUMBER(Z630),YEAR(Z630),"")</f>
        <v/>
      </c>
      <c r="Z630" s="12" t="n"/>
      <c r="AA630" s="12" t="n"/>
      <c r="AI630" s="12" t="n"/>
      <c r="AJ630" s="13">
        <f>IF(LEN(TRIM(AF630))=0,"",HYPERLINK("https://www.google.com/maps/@?api=1&amp;map_action=pano&amp;viewpoint="&amp;SUBSTITUTE(AF630," ",""),"Abrir Street View"))</f>
        <v/>
      </c>
    </row>
    <row r="631">
      <c r="H631" s="6" t="n"/>
      <c r="I631" s="6" t="n"/>
      <c r="M631" s="7" t="n"/>
      <c r="N631" s="7" t="n"/>
      <c r="O631" s="7" t="n"/>
      <c r="Q631" s="7" t="n"/>
      <c r="R631" s="7" t="n"/>
      <c r="S631" s="8">
        <f>IF(NOT(ISNUMBER(M631)),"",IF(G631="Terreno",IF(AND(ISNUMBER(I631),I631&gt;0),M631/I631,""),IF(AND(ISNUMBER(H631),H631&gt;0),M631/H631,"")))</f>
        <v/>
      </c>
      <c r="T631" s="9">
        <f>IF(AND(ISNUMBER(M631),ISNUMBER(O631)),IF(M631&lt;=O631,"Valor ≤ venal IPTU",""),"")</f>
        <v/>
      </c>
      <c r="U631" s="10">
        <f>IF(AND(ISNUMBER(M631),ISNUMBER(N631)),IF(N631&gt;0,M631/N631,""),"")</f>
        <v/>
      </c>
      <c r="V631" s="10">
        <f>IF(AND(ISNUMBER(M631),ISNUMBER(O631)),IF(O631&gt;0,M631/O631,""),"")</f>
        <v/>
      </c>
      <c r="W631" s="10">
        <f>IF(AND(ISNUMBER(M631),ISNUMBER(R631)),IF(R631&gt;0,M631/R631,""),"")</f>
        <v/>
      </c>
      <c r="X631" s="10">
        <f>IF(AND(ISNUMBER(Q631),ISNUMBER(M631)),IF(M631&gt;0,Q631/M631,""),"")</f>
        <v/>
      </c>
      <c r="Y631" s="11">
        <f>IF(ISNUMBER(Z631),YEAR(Z631),"")</f>
        <v/>
      </c>
      <c r="Z631" s="12" t="n"/>
      <c r="AA631" s="12" t="n"/>
      <c r="AI631" s="12" t="n"/>
      <c r="AJ631" s="13">
        <f>IF(LEN(TRIM(AF631))=0,"",HYPERLINK("https://www.google.com/maps/@?api=1&amp;map_action=pano&amp;viewpoint="&amp;SUBSTITUTE(AF631," ",""),"Abrir Street View"))</f>
        <v/>
      </c>
    </row>
    <row r="632">
      <c r="H632" s="6" t="n"/>
      <c r="I632" s="6" t="n"/>
      <c r="M632" s="7" t="n"/>
      <c r="N632" s="7" t="n"/>
      <c r="O632" s="7" t="n"/>
      <c r="Q632" s="7" t="n"/>
      <c r="R632" s="7" t="n"/>
      <c r="S632" s="8">
        <f>IF(NOT(ISNUMBER(M632)),"",IF(G632="Terreno",IF(AND(ISNUMBER(I632),I632&gt;0),M632/I632,""),IF(AND(ISNUMBER(H632),H632&gt;0),M632/H632,"")))</f>
        <v/>
      </c>
      <c r="T632" s="9">
        <f>IF(AND(ISNUMBER(M632),ISNUMBER(O632)),IF(M632&lt;=O632,"Valor ≤ venal IPTU",""),"")</f>
        <v/>
      </c>
      <c r="U632" s="10">
        <f>IF(AND(ISNUMBER(M632),ISNUMBER(N632)),IF(N632&gt;0,M632/N632,""),"")</f>
        <v/>
      </c>
      <c r="V632" s="10">
        <f>IF(AND(ISNUMBER(M632),ISNUMBER(O632)),IF(O632&gt;0,M632/O632,""),"")</f>
        <v/>
      </c>
      <c r="W632" s="10">
        <f>IF(AND(ISNUMBER(M632),ISNUMBER(R632)),IF(R632&gt;0,M632/R632,""),"")</f>
        <v/>
      </c>
      <c r="X632" s="10">
        <f>IF(AND(ISNUMBER(Q632),ISNUMBER(M632)),IF(M632&gt;0,Q632/M632,""),"")</f>
        <v/>
      </c>
      <c r="Y632" s="11">
        <f>IF(ISNUMBER(Z632),YEAR(Z632),"")</f>
        <v/>
      </c>
      <c r="Z632" s="12" t="n"/>
      <c r="AA632" s="12" t="n"/>
      <c r="AI632" s="12" t="n"/>
      <c r="AJ632" s="13">
        <f>IF(LEN(TRIM(AF632))=0,"",HYPERLINK("https://www.google.com/maps/@?api=1&amp;map_action=pano&amp;viewpoint="&amp;SUBSTITUTE(AF632," ",""),"Abrir Street View"))</f>
        <v/>
      </c>
    </row>
    <row r="633">
      <c r="H633" s="6" t="n"/>
      <c r="I633" s="6" t="n"/>
      <c r="M633" s="7" t="n"/>
      <c r="N633" s="7" t="n"/>
      <c r="O633" s="7" t="n"/>
      <c r="Q633" s="7" t="n"/>
      <c r="R633" s="7" t="n"/>
      <c r="S633" s="8">
        <f>IF(NOT(ISNUMBER(M633)),"",IF(G633="Terreno",IF(AND(ISNUMBER(I633),I633&gt;0),M633/I633,""),IF(AND(ISNUMBER(H633),H633&gt;0),M633/H633,"")))</f>
        <v/>
      </c>
      <c r="T633" s="9">
        <f>IF(AND(ISNUMBER(M633),ISNUMBER(O633)),IF(M633&lt;=O633,"Valor ≤ venal IPTU",""),"")</f>
        <v/>
      </c>
      <c r="U633" s="10">
        <f>IF(AND(ISNUMBER(M633),ISNUMBER(N633)),IF(N633&gt;0,M633/N633,""),"")</f>
        <v/>
      </c>
      <c r="V633" s="10">
        <f>IF(AND(ISNUMBER(M633),ISNUMBER(O633)),IF(O633&gt;0,M633/O633,""),"")</f>
        <v/>
      </c>
      <c r="W633" s="10">
        <f>IF(AND(ISNUMBER(M633),ISNUMBER(R633)),IF(R633&gt;0,M633/R633,""),"")</f>
        <v/>
      </c>
      <c r="X633" s="10">
        <f>IF(AND(ISNUMBER(Q633),ISNUMBER(M633)),IF(M633&gt;0,Q633/M633,""),"")</f>
        <v/>
      </c>
      <c r="Y633" s="11">
        <f>IF(ISNUMBER(Z633),YEAR(Z633),"")</f>
        <v/>
      </c>
      <c r="Z633" s="12" t="n"/>
      <c r="AA633" s="12" t="n"/>
      <c r="AI633" s="12" t="n"/>
      <c r="AJ633" s="13">
        <f>IF(LEN(TRIM(AF633))=0,"",HYPERLINK("https://www.google.com/maps/@?api=1&amp;map_action=pano&amp;viewpoint="&amp;SUBSTITUTE(AF633," ",""),"Abrir Street View"))</f>
        <v/>
      </c>
    </row>
    <row r="634">
      <c r="H634" s="6" t="n"/>
      <c r="I634" s="6" t="n"/>
      <c r="M634" s="7" t="n"/>
      <c r="N634" s="7" t="n"/>
      <c r="O634" s="7" t="n"/>
      <c r="Q634" s="7" t="n"/>
      <c r="R634" s="7" t="n"/>
      <c r="S634" s="8">
        <f>IF(NOT(ISNUMBER(M634)),"",IF(G634="Terreno",IF(AND(ISNUMBER(I634),I634&gt;0),M634/I634,""),IF(AND(ISNUMBER(H634),H634&gt;0),M634/H634,"")))</f>
        <v/>
      </c>
      <c r="T634" s="9">
        <f>IF(AND(ISNUMBER(M634),ISNUMBER(O634)),IF(M634&lt;=O634,"Valor ≤ venal IPTU",""),"")</f>
        <v/>
      </c>
      <c r="U634" s="10">
        <f>IF(AND(ISNUMBER(M634),ISNUMBER(N634)),IF(N634&gt;0,M634/N634,""),"")</f>
        <v/>
      </c>
      <c r="V634" s="10">
        <f>IF(AND(ISNUMBER(M634),ISNUMBER(O634)),IF(O634&gt;0,M634/O634,""),"")</f>
        <v/>
      </c>
      <c r="W634" s="10">
        <f>IF(AND(ISNUMBER(M634),ISNUMBER(R634)),IF(R634&gt;0,M634/R634,""),"")</f>
        <v/>
      </c>
      <c r="X634" s="10">
        <f>IF(AND(ISNUMBER(Q634),ISNUMBER(M634)),IF(M634&gt;0,Q634/M634,""),"")</f>
        <v/>
      </c>
      <c r="Y634" s="11">
        <f>IF(ISNUMBER(Z634),YEAR(Z634),"")</f>
        <v/>
      </c>
      <c r="Z634" s="12" t="n"/>
      <c r="AA634" s="12" t="n"/>
      <c r="AI634" s="12" t="n"/>
      <c r="AJ634" s="13">
        <f>IF(LEN(TRIM(AF634))=0,"",HYPERLINK("https://www.google.com/maps/@?api=1&amp;map_action=pano&amp;viewpoint="&amp;SUBSTITUTE(AF634," ",""),"Abrir Street View"))</f>
        <v/>
      </c>
    </row>
    <row r="635">
      <c r="H635" s="6" t="n"/>
      <c r="I635" s="6" t="n"/>
      <c r="M635" s="7" t="n"/>
      <c r="N635" s="7" t="n"/>
      <c r="O635" s="7" t="n"/>
      <c r="Q635" s="7" t="n"/>
      <c r="R635" s="7" t="n"/>
      <c r="S635" s="8">
        <f>IF(NOT(ISNUMBER(M635)),"",IF(G635="Terreno",IF(AND(ISNUMBER(I635),I635&gt;0),M635/I635,""),IF(AND(ISNUMBER(H635),H635&gt;0),M635/H635,"")))</f>
        <v/>
      </c>
      <c r="T635" s="9">
        <f>IF(AND(ISNUMBER(M635),ISNUMBER(O635)),IF(M635&lt;=O635,"Valor ≤ venal IPTU",""),"")</f>
        <v/>
      </c>
      <c r="U635" s="10">
        <f>IF(AND(ISNUMBER(M635),ISNUMBER(N635)),IF(N635&gt;0,M635/N635,""),"")</f>
        <v/>
      </c>
      <c r="V635" s="10">
        <f>IF(AND(ISNUMBER(M635),ISNUMBER(O635)),IF(O635&gt;0,M635/O635,""),"")</f>
        <v/>
      </c>
      <c r="W635" s="10">
        <f>IF(AND(ISNUMBER(M635),ISNUMBER(R635)),IF(R635&gt;0,M635/R635,""),"")</f>
        <v/>
      </c>
      <c r="X635" s="10">
        <f>IF(AND(ISNUMBER(Q635),ISNUMBER(M635)),IF(M635&gt;0,Q635/M635,""),"")</f>
        <v/>
      </c>
      <c r="Y635" s="11">
        <f>IF(ISNUMBER(Z635),YEAR(Z635),"")</f>
        <v/>
      </c>
      <c r="Z635" s="12" t="n"/>
      <c r="AA635" s="12" t="n"/>
      <c r="AI635" s="12" t="n"/>
      <c r="AJ635" s="13">
        <f>IF(LEN(TRIM(AF635))=0,"",HYPERLINK("https://www.google.com/maps/@?api=1&amp;map_action=pano&amp;viewpoint="&amp;SUBSTITUTE(AF635," ",""),"Abrir Street View"))</f>
        <v/>
      </c>
    </row>
    <row r="636">
      <c r="H636" s="6" t="n"/>
      <c r="I636" s="6" t="n"/>
      <c r="M636" s="7" t="n"/>
      <c r="N636" s="7" t="n"/>
      <c r="O636" s="7" t="n"/>
      <c r="Q636" s="7" t="n"/>
      <c r="R636" s="7" t="n"/>
      <c r="S636" s="8">
        <f>IF(NOT(ISNUMBER(M636)),"",IF(G636="Terreno",IF(AND(ISNUMBER(I636),I636&gt;0),M636/I636,""),IF(AND(ISNUMBER(H636),H636&gt;0),M636/H636,"")))</f>
        <v/>
      </c>
      <c r="T636" s="9">
        <f>IF(AND(ISNUMBER(M636),ISNUMBER(O636)),IF(M636&lt;=O636,"Valor ≤ venal IPTU",""),"")</f>
        <v/>
      </c>
      <c r="U636" s="10">
        <f>IF(AND(ISNUMBER(M636),ISNUMBER(N636)),IF(N636&gt;0,M636/N636,""),"")</f>
        <v/>
      </c>
      <c r="V636" s="10">
        <f>IF(AND(ISNUMBER(M636),ISNUMBER(O636)),IF(O636&gt;0,M636/O636,""),"")</f>
        <v/>
      </c>
      <c r="W636" s="10">
        <f>IF(AND(ISNUMBER(M636),ISNUMBER(R636)),IF(R636&gt;0,M636/R636,""),"")</f>
        <v/>
      </c>
      <c r="X636" s="10">
        <f>IF(AND(ISNUMBER(Q636),ISNUMBER(M636)),IF(M636&gt;0,Q636/M636,""),"")</f>
        <v/>
      </c>
      <c r="Y636" s="11">
        <f>IF(ISNUMBER(Z636),YEAR(Z636),"")</f>
        <v/>
      </c>
      <c r="Z636" s="12" t="n"/>
      <c r="AA636" s="12" t="n"/>
      <c r="AI636" s="12" t="n"/>
      <c r="AJ636" s="13">
        <f>IF(LEN(TRIM(AF636))=0,"",HYPERLINK("https://www.google.com/maps/@?api=1&amp;map_action=pano&amp;viewpoint="&amp;SUBSTITUTE(AF636," ",""),"Abrir Street View"))</f>
        <v/>
      </c>
    </row>
    <row r="637">
      <c r="H637" s="6" t="n"/>
      <c r="I637" s="6" t="n"/>
      <c r="M637" s="7" t="n"/>
      <c r="N637" s="7" t="n"/>
      <c r="O637" s="7" t="n"/>
      <c r="Q637" s="7" t="n"/>
      <c r="R637" s="7" t="n"/>
      <c r="S637" s="8">
        <f>IF(NOT(ISNUMBER(M637)),"",IF(G637="Terreno",IF(AND(ISNUMBER(I637),I637&gt;0),M637/I637,""),IF(AND(ISNUMBER(H637),H637&gt;0),M637/H637,"")))</f>
        <v/>
      </c>
      <c r="T637" s="9">
        <f>IF(AND(ISNUMBER(M637),ISNUMBER(O637)),IF(M637&lt;=O637,"Valor ≤ venal IPTU",""),"")</f>
        <v/>
      </c>
      <c r="U637" s="10">
        <f>IF(AND(ISNUMBER(M637),ISNUMBER(N637)),IF(N637&gt;0,M637/N637,""),"")</f>
        <v/>
      </c>
      <c r="V637" s="10">
        <f>IF(AND(ISNUMBER(M637),ISNUMBER(O637)),IF(O637&gt;0,M637/O637,""),"")</f>
        <v/>
      </c>
      <c r="W637" s="10">
        <f>IF(AND(ISNUMBER(M637),ISNUMBER(R637)),IF(R637&gt;0,M637/R637,""),"")</f>
        <v/>
      </c>
      <c r="X637" s="10">
        <f>IF(AND(ISNUMBER(Q637),ISNUMBER(M637)),IF(M637&gt;0,Q637/M637,""),"")</f>
        <v/>
      </c>
      <c r="Y637" s="11">
        <f>IF(ISNUMBER(Z637),YEAR(Z637),"")</f>
        <v/>
      </c>
      <c r="Z637" s="12" t="n"/>
      <c r="AA637" s="12" t="n"/>
      <c r="AI637" s="12" t="n"/>
      <c r="AJ637" s="13">
        <f>IF(LEN(TRIM(AF637))=0,"",HYPERLINK("https://www.google.com/maps/@?api=1&amp;map_action=pano&amp;viewpoint="&amp;SUBSTITUTE(AF637," ",""),"Abrir Street View"))</f>
        <v/>
      </c>
    </row>
    <row r="638">
      <c r="H638" s="6" t="n"/>
      <c r="I638" s="6" t="n"/>
      <c r="M638" s="7" t="n"/>
      <c r="N638" s="7" t="n"/>
      <c r="O638" s="7" t="n"/>
      <c r="Q638" s="7" t="n"/>
      <c r="R638" s="7" t="n"/>
      <c r="S638" s="8">
        <f>IF(NOT(ISNUMBER(M638)),"",IF(G638="Terreno",IF(AND(ISNUMBER(I638),I638&gt;0),M638/I638,""),IF(AND(ISNUMBER(H638),H638&gt;0),M638/H638,"")))</f>
        <v/>
      </c>
      <c r="T638" s="9">
        <f>IF(AND(ISNUMBER(M638),ISNUMBER(O638)),IF(M638&lt;=O638,"Valor ≤ venal IPTU",""),"")</f>
        <v/>
      </c>
      <c r="U638" s="10">
        <f>IF(AND(ISNUMBER(M638),ISNUMBER(N638)),IF(N638&gt;0,M638/N638,""),"")</f>
        <v/>
      </c>
      <c r="V638" s="10">
        <f>IF(AND(ISNUMBER(M638),ISNUMBER(O638)),IF(O638&gt;0,M638/O638,""),"")</f>
        <v/>
      </c>
      <c r="W638" s="10">
        <f>IF(AND(ISNUMBER(M638),ISNUMBER(R638)),IF(R638&gt;0,M638/R638,""),"")</f>
        <v/>
      </c>
      <c r="X638" s="10">
        <f>IF(AND(ISNUMBER(Q638),ISNUMBER(M638)),IF(M638&gt;0,Q638/M638,""),"")</f>
        <v/>
      </c>
      <c r="Y638" s="11">
        <f>IF(ISNUMBER(Z638),YEAR(Z638),"")</f>
        <v/>
      </c>
      <c r="Z638" s="12" t="n"/>
      <c r="AA638" s="12" t="n"/>
      <c r="AI638" s="12" t="n"/>
      <c r="AJ638" s="13">
        <f>IF(LEN(TRIM(AF638))=0,"",HYPERLINK("https://www.google.com/maps/@?api=1&amp;map_action=pano&amp;viewpoint="&amp;SUBSTITUTE(AF638," ",""),"Abrir Street View"))</f>
        <v/>
      </c>
    </row>
    <row r="639">
      <c r="H639" s="6" t="n"/>
      <c r="I639" s="6" t="n"/>
      <c r="M639" s="7" t="n"/>
      <c r="N639" s="7" t="n"/>
      <c r="O639" s="7" t="n"/>
      <c r="Q639" s="7" t="n"/>
      <c r="R639" s="7" t="n"/>
      <c r="S639" s="8">
        <f>IF(NOT(ISNUMBER(M639)),"",IF(G639="Terreno",IF(AND(ISNUMBER(I639),I639&gt;0),M639/I639,""),IF(AND(ISNUMBER(H639),H639&gt;0),M639/H639,"")))</f>
        <v/>
      </c>
      <c r="T639" s="9">
        <f>IF(AND(ISNUMBER(M639),ISNUMBER(O639)),IF(M639&lt;=O639,"Valor ≤ venal IPTU",""),"")</f>
        <v/>
      </c>
      <c r="U639" s="10">
        <f>IF(AND(ISNUMBER(M639),ISNUMBER(N639)),IF(N639&gt;0,M639/N639,""),"")</f>
        <v/>
      </c>
      <c r="V639" s="10">
        <f>IF(AND(ISNUMBER(M639),ISNUMBER(O639)),IF(O639&gt;0,M639/O639,""),"")</f>
        <v/>
      </c>
      <c r="W639" s="10">
        <f>IF(AND(ISNUMBER(M639),ISNUMBER(R639)),IF(R639&gt;0,M639/R639,""),"")</f>
        <v/>
      </c>
      <c r="X639" s="10">
        <f>IF(AND(ISNUMBER(Q639),ISNUMBER(M639)),IF(M639&gt;0,Q639/M639,""),"")</f>
        <v/>
      </c>
      <c r="Y639" s="11">
        <f>IF(ISNUMBER(Z639),YEAR(Z639),"")</f>
        <v/>
      </c>
      <c r="Z639" s="12" t="n"/>
      <c r="AA639" s="12" t="n"/>
      <c r="AI639" s="12" t="n"/>
      <c r="AJ639" s="13">
        <f>IF(LEN(TRIM(AF639))=0,"",HYPERLINK("https://www.google.com/maps/@?api=1&amp;map_action=pano&amp;viewpoint="&amp;SUBSTITUTE(AF639," ",""),"Abrir Street View"))</f>
        <v/>
      </c>
    </row>
    <row r="640">
      <c r="H640" s="6" t="n"/>
      <c r="I640" s="6" t="n"/>
      <c r="M640" s="7" t="n"/>
      <c r="N640" s="7" t="n"/>
      <c r="O640" s="7" t="n"/>
      <c r="Q640" s="7" t="n"/>
      <c r="R640" s="7" t="n"/>
      <c r="S640" s="8">
        <f>IF(NOT(ISNUMBER(M640)),"",IF(G640="Terreno",IF(AND(ISNUMBER(I640),I640&gt;0),M640/I640,""),IF(AND(ISNUMBER(H640),H640&gt;0),M640/H640,"")))</f>
        <v/>
      </c>
      <c r="T640" s="9">
        <f>IF(AND(ISNUMBER(M640),ISNUMBER(O640)),IF(M640&lt;=O640,"Valor ≤ venal IPTU",""),"")</f>
        <v/>
      </c>
      <c r="U640" s="10">
        <f>IF(AND(ISNUMBER(M640),ISNUMBER(N640)),IF(N640&gt;0,M640/N640,""),"")</f>
        <v/>
      </c>
      <c r="V640" s="10">
        <f>IF(AND(ISNUMBER(M640),ISNUMBER(O640)),IF(O640&gt;0,M640/O640,""),"")</f>
        <v/>
      </c>
      <c r="W640" s="10">
        <f>IF(AND(ISNUMBER(M640),ISNUMBER(R640)),IF(R640&gt;0,M640/R640,""),"")</f>
        <v/>
      </c>
      <c r="X640" s="10">
        <f>IF(AND(ISNUMBER(Q640),ISNUMBER(M640)),IF(M640&gt;0,Q640/M640,""),"")</f>
        <v/>
      </c>
      <c r="Y640" s="11">
        <f>IF(ISNUMBER(Z640),YEAR(Z640),"")</f>
        <v/>
      </c>
      <c r="Z640" s="12" t="n"/>
      <c r="AA640" s="12" t="n"/>
      <c r="AI640" s="12" t="n"/>
      <c r="AJ640" s="13">
        <f>IF(LEN(TRIM(AF640))=0,"",HYPERLINK("https://www.google.com/maps/@?api=1&amp;map_action=pano&amp;viewpoint="&amp;SUBSTITUTE(AF640," ",""),"Abrir Street View"))</f>
        <v/>
      </c>
    </row>
    <row r="641">
      <c r="H641" s="6" t="n"/>
      <c r="I641" s="6" t="n"/>
      <c r="M641" s="7" t="n"/>
      <c r="N641" s="7" t="n"/>
      <c r="O641" s="7" t="n"/>
      <c r="Q641" s="7" t="n"/>
      <c r="R641" s="7" t="n"/>
      <c r="S641" s="8">
        <f>IF(NOT(ISNUMBER(M641)),"",IF(G641="Terreno",IF(AND(ISNUMBER(I641),I641&gt;0),M641/I641,""),IF(AND(ISNUMBER(H641),H641&gt;0),M641/H641,"")))</f>
        <v/>
      </c>
      <c r="T641" s="9">
        <f>IF(AND(ISNUMBER(M641),ISNUMBER(O641)),IF(M641&lt;=O641,"Valor ≤ venal IPTU",""),"")</f>
        <v/>
      </c>
      <c r="U641" s="10">
        <f>IF(AND(ISNUMBER(M641),ISNUMBER(N641)),IF(N641&gt;0,M641/N641,""),"")</f>
        <v/>
      </c>
      <c r="V641" s="10">
        <f>IF(AND(ISNUMBER(M641),ISNUMBER(O641)),IF(O641&gt;0,M641/O641,""),"")</f>
        <v/>
      </c>
      <c r="W641" s="10">
        <f>IF(AND(ISNUMBER(M641),ISNUMBER(R641)),IF(R641&gt;0,M641/R641,""),"")</f>
        <v/>
      </c>
      <c r="X641" s="10">
        <f>IF(AND(ISNUMBER(Q641),ISNUMBER(M641)),IF(M641&gt;0,Q641/M641,""),"")</f>
        <v/>
      </c>
      <c r="Y641" s="11">
        <f>IF(ISNUMBER(Z641),YEAR(Z641),"")</f>
        <v/>
      </c>
      <c r="Z641" s="12" t="n"/>
      <c r="AA641" s="12" t="n"/>
      <c r="AI641" s="12" t="n"/>
      <c r="AJ641" s="13">
        <f>IF(LEN(TRIM(AF641))=0,"",HYPERLINK("https://www.google.com/maps/@?api=1&amp;map_action=pano&amp;viewpoint="&amp;SUBSTITUTE(AF641," ",""),"Abrir Street View"))</f>
        <v/>
      </c>
    </row>
    <row r="642">
      <c r="H642" s="6" t="n"/>
      <c r="I642" s="6" t="n"/>
      <c r="M642" s="7" t="n"/>
      <c r="N642" s="7" t="n"/>
      <c r="O642" s="7" t="n"/>
      <c r="Q642" s="7" t="n"/>
      <c r="R642" s="7" t="n"/>
      <c r="S642" s="8">
        <f>IF(NOT(ISNUMBER(M642)),"",IF(G642="Terreno",IF(AND(ISNUMBER(I642),I642&gt;0),M642/I642,""),IF(AND(ISNUMBER(H642),H642&gt;0),M642/H642,"")))</f>
        <v/>
      </c>
      <c r="T642" s="9">
        <f>IF(AND(ISNUMBER(M642),ISNUMBER(O642)),IF(M642&lt;=O642,"Valor ≤ venal IPTU",""),"")</f>
        <v/>
      </c>
      <c r="U642" s="10">
        <f>IF(AND(ISNUMBER(M642),ISNUMBER(N642)),IF(N642&gt;0,M642/N642,""),"")</f>
        <v/>
      </c>
      <c r="V642" s="10">
        <f>IF(AND(ISNUMBER(M642),ISNUMBER(O642)),IF(O642&gt;0,M642/O642,""),"")</f>
        <v/>
      </c>
      <c r="W642" s="10">
        <f>IF(AND(ISNUMBER(M642),ISNUMBER(R642)),IF(R642&gt;0,M642/R642,""),"")</f>
        <v/>
      </c>
      <c r="X642" s="10">
        <f>IF(AND(ISNUMBER(Q642),ISNUMBER(M642)),IF(M642&gt;0,Q642/M642,""),"")</f>
        <v/>
      </c>
      <c r="Y642" s="11">
        <f>IF(ISNUMBER(Z642),YEAR(Z642),"")</f>
        <v/>
      </c>
      <c r="Z642" s="12" t="n"/>
      <c r="AA642" s="12" t="n"/>
      <c r="AI642" s="12" t="n"/>
      <c r="AJ642" s="13">
        <f>IF(LEN(TRIM(AF642))=0,"",HYPERLINK("https://www.google.com/maps/@?api=1&amp;map_action=pano&amp;viewpoint="&amp;SUBSTITUTE(AF642," ",""),"Abrir Street View"))</f>
        <v/>
      </c>
    </row>
    <row r="643">
      <c r="H643" s="6" t="n"/>
      <c r="I643" s="6" t="n"/>
      <c r="M643" s="7" t="n"/>
      <c r="N643" s="7" t="n"/>
      <c r="O643" s="7" t="n"/>
      <c r="Q643" s="7" t="n"/>
      <c r="R643" s="7" t="n"/>
      <c r="S643" s="8">
        <f>IF(NOT(ISNUMBER(M643)),"",IF(G643="Terreno",IF(AND(ISNUMBER(I643),I643&gt;0),M643/I643,""),IF(AND(ISNUMBER(H643),H643&gt;0),M643/H643,"")))</f>
        <v/>
      </c>
      <c r="T643" s="9">
        <f>IF(AND(ISNUMBER(M643),ISNUMBER(O643)),IF(M643&lt;=O643,"Valor ≤ venal IPTU",""),"")</f>
        <v/>
      </c>
      <c r="U643" s="10">
        <f>IF(AND(ISNUMBER(M643),ISNUMBER(N643)),IF(N643&gt;0,M643/N643,""),"")</f>
        <v/>
      </c>
      <c r="V643" s="10">
        <f>IF(AND(ISNUMBER(M643),ISNUMBER(O643)),IF(O643&gt;0,M643/O643,""),"")</f>
        <v/>
      </c>
      <c r="W643" s="10">
        <f>IF(AND(ISNUMBER(M643),ISNUMBER(R643)),IF(R643&gt;0,M643/R643,""),"")</f>
        <v/>
      </c>
      <c r="X643" s="10">
        <f>IF(AND(ISNUMBER(Q643),ISNUMBER(M643)),IF(M643&gt;0,Q643/M643,""),"")</f>
        <v/>
      </c>
      <c r="Y643" s="11">
        <f>IF(ISNUMBER(Z643),YEAR(Z643),"")</f>
        <v/>
      </c>
      <c r="Z643" s="12" t="n"/>
      <c r="AA643" s="12" t="n"/>
      <c r="AI643" s="12" t="n"/>
      <c r="AJ643" s="13">
        <f>IF(LEN(TRIM(AF643))=0,"",HYPERLINK("https://www.google.com/maps/@?api=1&amp;map_action=pano&amp;viewpoint="&amp;SUBSTITUTE(AF643," ",""),"Abrir Street View"))</f>
        <v/>
      </c>
    </row>
    <row r="644">
      <c r="H644" s="6" t="n"/>
      <c r="I644" s="6" t="n"/>
      <c r="M644" s="7" t="n"/>
      <c r="N644" s="7" t="n"/>
      <c r="O644" s="7" t="n"/>
      <c r="Q644" s="7" t="n"/>
      <c r="R644" s="7" t="n"/>
      <c r="S644" s="8">
        <f>IF(NOT(ISNUMBER(M644)),"",IF(G644="Terreno",IF(AND(ISNUMBER(I644),I644&gt;0),M644/I644,""),IF(AND(ISNUMBER(H644),H644&gt;0),M644/H644,"")))</f>
        <v/>
      </c>
      <c r="T644" s="9">
        <f>IF(AND(ISNUMBER(M644),ISNUMBER(O644)),IF(M644&lt;=O644,"Valor ≤ venal IPTU",""),"")</f>
        <v/>
      </c>
      <c r="U644" s="10">
        <f>IF(AND(ISNUMBER(M644),ISNUMBER(N644)),IF(N644&gt;0,M644/N644,""),"")</f>
        <v/>
      </c>
      <c r="V644" s="10">
        <f>IF(AND(ISNUMBER(M644),ISNUMBER(O644)),IF(O644&gt;0,M644/O644,""),"")</f>
        <v/>
      </c>
      <c r="W644" s="10">
        <f>IF(AND(ISNUMBER(M644),ISNUMBER(R644)),IF(R644&gt;0,M644/R644,""),"")</f>
        <v/>
      </c>
      <c r="X644" s="10">
        <f>IF(AND(ISNUMBER(Q644),ISNUMBER(M644)),IF(M644&gt;0,Q644/M644,""),"")</f>
        <v/>
      </c>
      <c r="Y644" s="11">
        <f>IF(ISNUMBER(Z644),YEAR(Z644),"")</f>
        <v/>
      </c>
      <c r="Z644" s="12" t="n"/>
      <c r="AA644" s="12" t="n"/>
      <c r="AI644" s="12" t="n"/>
      <c r="AJ644" s="13">
        <f>IF(LEN(TRIM(AF644))=0,"",HYPERLINK("https://www.google.com/maps/@?api=1&amp;map_action=pano&amp;viewpoint="&amp;SUBSTITUTE(AF644," ",""),"Abrir Street View"))</f>
        <v/>
      </c>
    </row>
    <row r="645">
      <c r="H645" s="6" t="n"/>
      <c r="I645" s="6" t="n"/>
      <c r="M645" s="7" t="n"/>
      <c r="N645" s="7" t="n"/>
      <c r="O645" s="7" t="n"/>
      <c r="Q645" s="7" t="n"/>
      <c r="R645" s="7" t="n"/>
      <c r="S645" s="8">
        <f>IF(NOT(ISNUMBER(M645)),"",IF(G645="Terreno",IF(AND(ISNUMBER(I645),I645&gt;0),M645/I645,""),IF(AND(ISNUMBER(H645),H645&gt;0),M645/H645,"")))</f>
        <v/>
      </c>
      <c r="T645" s="9">
        <f>IF(AND(ISNUMBER(M645),ISNUMBER(O645)),IF(M645&lt;=O645,"Valor ≤ venal IPTU",""),"")</f>
        <v/>
      </c>
      <c r="U645" s="10">
        <f>IF(AND(ISNUMBER(M645),ISNUMBER(N645)),IF(N645&gt;0,M645/N645,""),"")</f>
        <v/>
      </c>
      <c r="V645" s="10">
        <f>IF(AND(ISNUMBER(M645),ISNUMBER(O645)),IF(O645&gt;0,M645/O645,""),"")</f>
        <v/>
      </c>
      <c r="W645" s="10">
        <f>IF(AND(ISNUMBER(M645),ISNUMBER(R645)),IF(R645&gt;0,M645/R645,""),"")</f>
        <v/>
      </c>
      <c r="X645" s="10">
        <f>IF(AND(ISNUMBER(Q645),ISNUMBER(M645)),IF(M645&gt;0,Q645/M645,""),"")</f>
        <v/>
      </c>
      <c r="Y645" s="11">
        <f>IF(ISNUMBER(Z645),YEAR(Z645),"")</f>
        <v/>
      </c>
      <c r="Z645" s="12" t="n"/>
      <c r="AA645" s="12" t="n"/>
      <c r="AI645" s="12" t="n"/>
      <c r="AJ645" s="13">
        <f>IF(LEN(TRIM(AF645))=0,"",HYPERLINK("https://www.google.com/maps/@?api=1&amp;map_action=pano&amp;viewpoint="&amp;SUBSTITUTE(AF645," ",""),"Abrir Street View"))</f>
        <v/>
      </c>
    </row>
    <row r="646">
      <c r="H646" s="6" t="n"/>
      <c r="I646" s="6" t="n"/>
      <c r="M646" s="7" t="n"/>
      <c r="N646" s="7" t="n"/>
      <c r="O646" s="7" t="n"/>
      <c r="Q646" s="7" t="n"/>
      <c r="R646" s="7" t="n"/>
      <c r="S646" s="8">
        <f>IF(NOT(ISNUMBER(M646)),"",IF(G646="Terreno",IF(AND(ISNUMBER(I646),I646&gt;0),M646/I646,""),IF(AND(ISNUMBER(H646),H646&gt;0),M646/H646,"")))</f>
        <v/>
      </c>
      <c r="T646" s="9">
        <f>IF(AND(ISNUMBER(M646),ISNUMBER(O646)),IF(M646&lt;=O646,"Valor ≤ venal IPTU",""),"")</f>
        <v/>
      </c>
      <c r="U646" s="10">
        <f>IF(AND(ISNUMBER(M646),ISNUMBER(N646)),IF(N646&gt;0,M646/N646,""),"")</f>
        <v/>
      </c>
      <c r="V646" s="10">
        <f>IF(AND(ISNUMBER(M646),ISNUMBER(O646)),IF(O646&gt;0,M646/O646,""),"")</f>
        <v/>
      </c>
      <c r="W646" s="10">
        <f>IF(AND(ISNUMBER(M646),ISNUMBER(R646)),IF(R646&gt;0,M646/R646,""),"")</f>
        <v/>
      </c>
      <c r="X646" s="10">
        <f>IF(AND(ISNUMBER(Q646),ISNUMBER(M646)),IF(M646&gt;0,Q646/M646,""),"")</f>
        <v/>
      </c>
      <c r="Y646" s="11">
        <f>IF(ISNUMBER(Z646),YEAR(Z646),"")</f>
        <v/>
      </c>
      <c r="Z646" s="12" t="n"/>
      <c r="AA646" s="12" t="n"/>
      <c r="AI646" s="12" t="n"/>
      <c r="AJ646" s="13">
        <f>IF(LEN(TRIM(AF646))=0,"",HYPERLINK("https://www.google.com/maps/@?api=1&amp;map_action=pano&amp;viewpoint="&amp;SUBSTITUTE(AF646," ",""),"Abrir Street View"))</f>
        <v/>
      </c>
    </row>
    <row r="647">
      <c r="H647" s="6" t="n"/>
      <c r="I647" s="6" t="n"/>
      <c r="M647" s="7" t="n"/>
      <c r="N647" s="7" t="n"/>
      <c r="O647" s="7" t="n"/>
      <c r="Q647" s="7" t="n"/>
      <c r="R647" s="7" t="n"/>
      <c r="S647" s="8">
        <f>IF(NOT(ISNUMBER(M647)),"",IF(G647="Terreno",IF(AND(ISNUMBER(I647),I647&gt;0),M647/I647,""),IF(AND(ISNUMBER(H647),H647&gt;0),M647/H647,"")))</f>
        <v/>
      </c>
      <c r="T647" s="9">
        <f>IF(AND(ISNUMBER(M647),ISNUMBER(O647)),IF(M647&lt;=O647,"Valor ≤ venal IPTU",""),"")</f>
        <v/>
      </c>
      <c r="U647" s="10">
        <f>IF(AND(ISNUMBER(M647),ISNUMBER(N647)),IF(N647&gt;0,M647/N647,""),"")</f>
        <v/>
      </c>
      <c r="V647" s="10">
        <f>IF(AND(ISNUMBER(M647),ISNUMBER(O647)),IF(O647&gt;0,M647/O647,""),"")</f>
        <v/>
      </c>
      <c r="W647" s="10">
        <f>IF(AND(ISNUMBER(M647),ISNUMBER(R647)),IF(R647&gt;0,M647/R647,""),"")</f>
        <v/>
      </c>
      <c r="X647" s="10">
        <f>IF(AND(ISNUMBER(Q647),ISNUMBER(M647)),IF(M647&gt;0,Q647/M647,""),"")</f>
        <v/>
      </c>
      <c r="Y647" s="11">
        <f>IF(ISNUMBER(Z647),YEAR(Z647),"")</f>
        <v/>
      </c>
      <c r="Z647" s="12" t="n"/>
      <c r="AA647" s="12" t="n"/>
      <c r="AI647" s="12" t="n"/>
      <c r="AJ647" s="13">
        <f>IF(LEN(TRIM(AF647))=0,"",HYPERLINK("https://www.google.com/maps/@?api=1&amp;map_action=pano&amp;viewpoint="&amp;SUBSTITUTE(AF647," ",""),"Abrir Street View"))</f>
        <v/>
      </c>
    </row>
    <row r="648">
      <c r="H648" s="6" t="n"/>
      <c r="I648" s="6" t="n"/>
      <c r="M648" s="7" t="n"/>
      <c r="N648" s="7" t="n"/>
      <c r="O648" s="7" t="n"/>
      <c r="Q648" s="7" t="n"/>
      <c r="R648" s="7" t="n"/>
      <c r="S648" s="8">
        <f>IF(NOT(ISNUMBER(M648)),"",IF(G648="Terreno",IF(AND(ISNUMBER(I648),I648&gt;0),M648/I648,""),IF(AND(ISNUMBER(H648),H648&gt;0),M648/H648,"")))</f>
        <v/>
      </c>
      <c r="T648" s="9">
        <f>IF(AND(ISNUMBER(M648),ISNUMBER(O648)),IF(M648&lt;=O648,"Valor ≤ venal IPTU",""),"")</f>
        <v/>
      </c>
      <c r="U648" s="10">
        <f>IF(AND(ISNUMBER(M648),ISNUMBER(N648)),IF(N648&gt;0,M648/N648,""),"")</f>
        <v/>
      </c>
      <c r="V648" s="10">
        <f>IF(AND(ISNUMBER(M648),ISNUMBER(O648)),IF(O648&gt;0,M648/O648,""),"")</f>
        <v/>
      </c>
      <c r="W648" s="10">
        <f>IF(AND(ISNUMBER(M648),ISNUMBER(R648)),IF(R648&gt;0,M648/R648,""),"")</f>
        <v/>
      </c>
      <c r="X648" s="10">
        <f>IF(AND(ISNUMBER(Q648),ISNUMBER(M648)),IF(M648&gt;0,Q648/M648,""),"")</f>
        <v/>
      </c>
      <c r="Y648" s="11">
        <f>IF(ISNUMBER(Z648),YEAR(Z648),"")</f>
        <v/>
      </c>
      <c r="Z648" s="12" t="n"/>
      <c r="AA648" s="12" t="n"/>
      <c r="AI648" s="12" t="n"/>
      <c r="AJ648" s="13">
        <f>IF(LEN(TRIM(AF648))=0,"",HYPERLINK("https://www.google.com/maps/@?api=1&amp;map_action=pano&amp;viewpoint="&amp;SUBSTITUTE(AF648," ",""),"Abrir Street View"))</f>
        <v/>
      </c>
    </row>
    <row r="649">
      <c r="H649" s="6" t="n"/>
      <c r="I649" s="6" t="n"/>
      <c r="M649" s="7" t="n"/>
      <c r="N649" s="7" t="n"/>
      <c r="O649" s="7" t="n"/>
      <c r="Q649" s="7" t="n"/>
      <c r="R649" s="7" t="n"/>
      <c r="S649" s="8">
        <f>IF(NOT(ISNUMBER(M649)),"",IF(G649="Terreno",IF(AND(ISNUMBER(I649),I649&gt;0),M649/I649,""),IF(AND(ISNUMBER(H649),H649&gt;0),M649/H649,"")))</f>
        <v/>
      </c>
      <c r="T649" s="9">
        <f>IF(AND(ISNUMBER(M649),ISNUMBER(O649)),IF(M649&lt;=O649,"Valor ≤ venal IPTU",""),"")</f>
        <v/>
      </c>
      <c r="U649" s="10">
        <f>IF(AND(ISNUMBER(M649),ISNUMBER(N649)),IF(N649&gt;0,M649/N649,""),"")</f>
        <v/>
      </c>
      <c r="V649" s="10">
        <f>IF(AND(ISNUMBER(M649),ISNUMBER(O649)),IF(O649&gt;0,M649/O649,""),"")</f>
        <v/>
      </c>
      <c r="W649" s="10">
        <f>IF(AND(ISNUMBER(M649),ISNUMBER(R649)),IF(R649&gt;0,M649/R649,""),"")</f>
        <v/>
      </c>
      <c r="X649" s="10">
        <f>IF(AND(ISNUMBER(Q649),ISNUMBER(M649)),IF(M649&gt;0,Q649/M649,""),"")</f>
        <v/>
      </c>
      <c r="Y649" s="11">
        <f>IF(ISNUMBER(Z649),YEAR(Z649),"")</f>
        <v/>
      </c>
      <c r="Z649" s="12" t="n"/>
      <c r="AA649" s="12" t="n"/>
      <c r="AI649" s="12" t="n"/>
      <c r="AJ649" s="13">
        <f>IF(LEN(TRIM(AF649))=0,"",HYPERLINK("https://www.google.com/maps/@?api=1&amp;map_action=pano&amp;viewpoint="&amp;SUBSTITUTE(AF649," ",""),"Abrir Street View"))</f>
        <v/>
      </c>
    </row>
    <row r="650">
      <c r="H650" s="6" t="n"/>
      <c r="I650" s="6" t="n"/>
      <c r="M650" s="7" t="n"/>
      <c r="N650" s="7" t="n"/>
      <c r="O650" s="7" t="n"/>
      <c r="Q650" s="7" t="n"/>
      <c r="R650" s="7" t="n"/>
      <c r="S650" s="8">
        <f>IF(NOT(ISNUMBER(M650)),"",IF(G650="Terreno",IF(AND(ISNUMBER(I650),I650&gt;0),M650/I650,""),IF(AND(ISNUMBER(H650),H650&gt;0),M650/H650,"")))</f>
        <v/>
      </c>
      <c r="T650" s="9">
        <f>IF(AND(ISNUMBER(M650),ISNUMBER(O650)),IF(M650&lt;=O650,"Valor ≤ venal IPTU",""),"")</f>
        <v/>
      </c>
      <c r="U650" s="10">
        <f>IF(AND(ISNUMBER(M650),ISNUMBER(N650)),IF(N650&gt;0,M650/N650,""),"")</f>
        <v/>
      </c>
      <c r="V650" s="10">
        <f>IF(AND(ISNUMBER(M650),ISNUMBER(O650)),IF(O650&gt;0,M650/O650,""),"")</f>
        <v/>
      </c>
      <c r="W650" s="10">
        <f>IF(AND(ISNUMBER(M650),ISNUMBER(R650)),IF(R650&gt;0,M650/R650,""),"")</f>
        <v/>
      </c>
      <c r="X650" s="10">
        <f>IF(AND(ISNUMBER(Q650),ISNUMBER(M650)),IF(M650&gt;0,Q650/M650,""),"")</f>
        <v/>
      </c>
      <c r="Y650" s="11">
        <f>IF(ISNUMBER(Z650),YEAR(Z650),"")</f>
        <v/>
      </c>
      <c r="Z650" s="12" t="n"/>
      <c r="AA650" s="12" t="n"/>
      <c r="AI650" s="12" t="n"/>
      <c r="AJ650" s="13">
        <f>IF(LEN(TRIM(AF650))=0,"",HYPERLINK("https://www.google.com/maps/@?api=1&amp;map_action=pano&amp;viewpoint="&amp;SUBSTITUTE(AF650," ",""),"Abrir Street View"))</f>
        <v/>
      </c>
    </row>
    <row r="651">
      <c r="H651" s="6" t="n"/>
      <c r="I651" s="6" t="n"/>
      <c r="M651" s="7" t="n"/>
      <c r="N651" s="7" t="n"/>
      <c r="O651" s="7" t="n"/>
      <c r="Q651" s="7" t="n"/>
      <c r="R651" s="7" t="n"/>
      <c r="S651" s="8">
        <f>IF(NOT(ISNUMBER(M651)),"",IF(G651="Terreno",IF(AND(ISNUMBER(I651),I651&gt;0),M651/I651,""),IF(AND(ISNUMBER(H651),H651&gt;0),M651/H651,"")))</f>
        <v/>
      </c>
      <c r="T651" s="9">
        <f>IF(AND(ISNUMBER(M651),ISNUMBER(O651)),IF(M651&lt;=O651,"Valor ≤ venal IPTU",""),"")</f>
        <v/>
      </c>
      <c r="U651" s="10">
        <f>IF(AND(ISNUMBER(M651),ISNUMBER(N651)),IF(N651&gt;0,M651/N651,""),"")</f>
        <v/>
      </c>
      <c r="V651" s="10">
        <f>IF(AND(ISNUMBER(M651),ISNUMBER(O651)),IF(O651&gt;0,M651/O651,""),"")</f>
        <v/>
      </c>
      <c r="W651" s="10">
        <f>IF(AND(ISNUMBER(M651),ISNUMBER(R651)),IF(R651&gt;0,M651/R651,""),"")</f>
        <v/>
      </c>
      <c r="X651" s="10">
        <f>IF(AND(ISNUMBER(Q651),ISNUMBER(M651)),IF(M651&gt;0,Q651/M651,""),"")</f>
        <v/>
      </c>
      <c r="Y651" s="11">
        <f>IF(ISNUMBER(Z651),YEAR(Z651),"")</f>
        <v/>
      </c>
      <c r="Z651" s="12" t="n"/>
      <c r="AA651" s="12" t="n"/>
      <c r="AI651" s="12" t="n"/>
      <c r="AJ651" s="13">
        <f>IF(LEN(TRIM(AF651))=0,"",HYPERLINK("https://www.google.com/maps/@?api=1&amp;map_action=pano&amp;viewpoint="&amp;SUBSTITUTE(AF651," ",""),"Abrir Street View"))</f>
        <v/>
      </c>
    </row>
    <row r="652">
      <c r="H652" s="6" t="n"/>
      <c r="I652" s="6" t="n"/>
      <c r="M652" s="7" t="n"/>
      <c r="N652" s="7" t="n"/>
      <c r="O652" s="7" t="n"/>
      <c r="Q652" s="7" t="n"/>
      <c r="R652" s="7" t="n"/>
      <c r="S652" s="8">
        <f>IF(NOT(ISNUMBER(M652)),"",IF(G652="Terreno",IF(AND(ISNUMBER(I652),I652&gt;0),M652/I652,""),IF(AND(ISNUMBER(H652),H652&gt;0),M652/H652,"")))</f>
        <v/>
      </c>
      <c r="T652" s="9">
        <f>IF(AND(ISNUMBER(M652),ISNUMBER(O652)),IF(M652&lt;=O652,"Valor ≤ venal IPTU",""),"")</f>
        <v/>
      </c>
      <c r="U652" s="10">
        <f>IF(AND(ISNUMBER(M652),ISNUMBER(N652)),IF(N652&gt;0,M652/N652,""),"")</f>
        <v/>
      </c>
      <c r="V652" s="10">
        <f>IF(AND(ISNUMBER(M652),ISNUMBER(O652)),IF(O652&gt;0,M652/O652,""),"")</f>
        <v/>
      </c>
      <c r="W652" s="10">
        <f>IF(AND(ISNUMBER(M652),ISNUMBER(R652)),IF(R652&gt;0,M652/R652,""),"")</f>
        <v/>
      </c>
      <c r="X652" s="10">
        <f>IF(AND(ISNUMBER(Q652),ISNUMBER(M652)),IF(M652&gt;0,Q652/M652,""),"")</f>
        <v/>
      </c>
      <c r="Y652" s="11">
        <f>IF(ISNUMBER(Z652),YEAR(Z652),"")</f>
        <v/>
      </c>
      <c r="Z652" s="12" t="n"/>
      <c r="AA652" s="12" t="n"/>
      <c r="AI652" s="12" t="n"/>
      <c r="AJ652" s="13">
        <f>IF(LEN(TRIM(AF652))=0,"",HYPERLINK("https://www.google.com/maps/@?api=1&amp;map_action=pano&amp;viewpoint="&amp;SUBSTITUTE(AF652," ",""),"Abrir Street View"))</f>
        <v/>
      </c>
    </row>
    <row r="653">
      <c r="H653" s="6" t="n"/>
      <c r="I653" s="6" t="n"/>
      <c r="M653" s="7" t="n"/>
      <c r="N653" s="7" t="n"/>
      <c r="O653" s="7" t="n"/>
      <c r="Q653" s="7" t="n"/>
      <c r="R653" s="7" t="n"/>
      <c r="S653" s="8">
        <f>IF(NOT(ISNUMBER(M653)),"",IF(G653="Terreno",IF(AND(ISNUMBER(I653),I653&gt;0),M653/I653,""),IF(AND(ISNUMBER(H653),H653&gt;0),M653/H653,"")))</f>
        <v/>
      </c>
      <c r="T653" s="9">
        <f>IF(AND(ISNUMBER(M653),ISNUMBER(O653)),IF(M653&lt;=O653,"Valor ≤ venal IPTU",""),"")</f>
        <v/>
      </c>
      <c r="U653" s="10">
        <f>IF(AND(ISNUMBER(M653),ISNUMBER(N653)),IF(N653&gt;0,M653/N653,""),"")</f>
        <v/>
      </c>
      <c r="V653" s="10">
        <f>IF(AND(ISNUMBER(M653),ISNUMBER(O653)),IF(O653&gt;0,M653/O653,""),"")</f>
        <v/>
      </c>
      <c r="W653" s="10">
        <f>IF(AND(ISNUMBER(M653),ISNUMBER(R653)),IF(R653&gt;0,M653/R653,""),"")</f>
        <v/>
      </c>
      <c r="X653" s="10">
        <f>IF(AND(ISNUMBER(Q653),ISNUMBER(M653)),IF(M653&gt;0,Q653/M653,""),"")</f>
        <v/>
      </c>
      <c r="Y653" s="11">
        <f>IF(ISNUMBER(Z653),YEAR(Z653),"")</f>
        <v/>
      </c>
      <c r="Z653" s="12" t="n"/>
      <c r="AA653" s="12" t="n"/>
      <c r="AI653" s="12" t="n"/>
      <c r="AJ653" s="13">
        <f>IF(LEN(TRIM(AF653))=0,"",HYPERLINK("https://www.google.com/maps/@?api=1&amp;map_action=pano&amp;viewpoint="&amp;SUBSTITUTE(AF653," ",""),"Abrir Street View"))</f>
        <v/>
      </c>
    </row>
    <row r="654">
      <c r="H654" s="6" t="n"/>
      <c r="I654" s="6" t="n"/>
      <c r="M654" s="7" t="n"/>
      <c r="N654" s="7" t="n"/>
      <c r="O654" s="7" t="n"/>
      <c r="Q654" s="7" t="n"/>
      <c r="R654" s="7" t="n"/>
      <c r="S654" s="8">
        <f>IF(NOT(ISNUMBER(M654)),"",IF(G654="Terreno",IF(AND(ISNUMBER(I654),I654&gt;0),M654/I654,""),IF(AND(ISNUMBER(H654),H654&gt;0),M654/H654,"")))</f>
        <v/>
      </c>
      <c r="T654" s="9">
        <f>IF(AND(ISNUMBER(M654),ISNUMBER(O654)),IF(M654&lt;=O654,"Valor ≤ venal IPTU",""),"")</f>
        <v/>
      </c>
      <c r="U654" s="10">
        <f>IF(AND(ISNUMBER(M654),ISNUMBER(N654)),IF(N654&gt;0,M654/N654,""),"")</f>
        <v/>
      </c>
      <c r="V654" s="10">
        <f>IF(AND(ISNUMBER(M654),ISNUMBER(O654)),IF(O654&gt;0,M654/O654,""),"")</f>
        <v/>
      </c>
      <c r="W654" s="10">
        <f>IF(AND(ISNUMBER(M654),ISNUMBER(R654)),IF(R654&gt;0,M654/R654,""),"")</f>
        <v/>
      </c>
      <c r="X654" s="10">
        <f>IF(AND(ISNUMBER(Q654),ISNUMBER(M654)),IF(M654&gt;0,Q654/M654,""),"")</f>
        <v/>
      </c>
      <c r="Y654" s="11">
        <f>IF(ISNUMBER(Z654),YEAR(Z654),"")</f>
        <v/>
      </c>
      <c r="Z654" s="12" t="n"/>
      <c r="AA654" s="12" t="n"/>
      <c r="AI654" s="12" t="n"/>
      <c r="AJ654" s="13">
        <f>IF(LEN(TRIM(AF654))=0,"",HYPERLINK("https://www.google.com/maps/@?api=1&amp;map_action=pano&amp;viewpoint="&amp;SUBSTITUTE(AF654," ",""),"Abrir Street View"))</f>
        <v/>
      </c>
    </row>
    <row r="655">
      <c r="H655" s="6" t="n"/>
      <c r="I655" s="6" t="n"/>
      <c r="M655" s="7" t="n"/>
      <c r="N655" s="7" t="n"/>
      <c r="O655" s="7" t="n"/>
      <c r="Q655" s="7" t="n"/>
      <c r="R655" s="7" t="n"/>
      <c r="S655" s="8">
        <f>IF(NOT(ISNUMBER(M655)),"",IF(G655="Terreno",IF(AND(ISNUMBER(I655),I655&gt;0),M655/I655,""),IF(AND(ISNUMBER(H655),H655&gt;0),M655/H655,"")))</f>
        <v/>
      </c>
      <c r="T655" s="9">
        <f>IF(AND(ISNUMBER(M655),ISNUMBER(O655)),IF(M655&lt;=O655,"Valor ≤ venal IPTU",""),"")</f>
        <v/>
      </c>
      <c r="U655" s="10">
        <f>IF(AND(ISNUMBER(M655),ISNUMBER(N655)),IF(N655&gt;0,M655/N655,""),"")</f>
        <v/>
      </c>
      <c r="V655" s="10">
        <f>IF(AND(ISNUMBER(M655),ISNUMBER(O655)),IF(O655&gt;0,M655/O655,""),"")</f>
        <v/>
      </c>
      <c r="W655" s="10">
        <f>IF(AND(ISNUMBER(M655),ISNUMBER(R655)),IF(R655&gt;0,M655/R655,""),"")</f>
        <v/>
      </c>
      <c r="X655" s="10">
        <f>IF(AND(ISNUMBER(Q655),ISNUMBER(M655)),IF(M655&gt;0,Q655/M655,""),"")</f>
        <v/>
      </c>
      <c r="Y655" s="11">
        <f>IF(ISNUMBER(Z655),YEAR(Z655),"")</f>
        <v/>
      </c>
      <c r="Z655" s="12" t="n"/>
      <c r="AA655" s="12" t="n"/>
      <c r="AI655" s="12" t="n"/>
      <c r="AJ655" s="13">
        <f>IF(LEN(TRIM(AF655))=0,"",HYPERLINK("https://www.google.com/maps/@?api=1&amp;map_action=pano&amp;viewpoint="&amp;SUBSTITUTE(AF655," ",""),"Abrir Street View"))</f>
        <v/>
      </c>
    </row>
    <row r="656">
      <c r="H656" s="6" t="n"/>
      <c r="I656" s="6" t="n"/>
      <c r="M656" s="7" t="n"/>
      <c r="N656" s="7" t="n"/>
      <c r="O656" s="7" t="n"/>
      <c r="Q656" s="7" t="n"/>
      <c r="R656" s="7" t="n"/>
      <c r="S656" s="8">
        <f>IF(NOT(ISNUMBER(M656)),"",IF(G656="Terreno",IF(AND(ISNUMBER(I656),I656&gt;0),M656/I656,""),IF(AND(ISNUMBER(H656),H656&gt;0),M656/H656,"")))</f>
        <v/>
      </c>
      <c r="T656" s="9">
        <f>IF(AND(ISNUMBER(M656),ISNUMBER(O656)),IF(M656&lt;=O656,"Valor ≤ venal IPTU",""),"")</f>
        <v/>
      </c>
      <c r="U656" s="10">
        <f>IF(AND(ISNUMBER(M656),ISNUMBER(N656)),IF(N656&gt;0,M656/N656,""),"")</f>
        <v/>
      </c>
      <c r="V656" s="10">
        <f>IF(AND(ISNUMBER(M656),ISNUMBER(O656)),IF(O656&gt;0,M656/O656,""),"")</f>
        <v/>
      </c>
      <c r="W656" s="10">
        <f>IF(AND(ISNUMBER(M656),ISNUMBER(R656)),IF(R656&gt;0,M656/R656,""),"")</f>
        <v/>
      </c>
      <c r="X656" s="10">
        <f>IF(AND(ISNUMBER(Q656),ISNUMBER(M656)),IF(M656&gt;0,Q656/M656,""),"")</f>
        <v/>
      </c>
      <c r="Y656" s="11">
        <f>IF(ISNUMBER(Z656),YEAR(Z656),"")</f>
        <v/>
      </c>
      <c r="Z656" s="12" t="n"/>
      <c r="AA656" s="12" t="n"/>
      <c r="AI656" s="12" t="n"/>
      <c r="AJ656" s="13">
        <f>IF(LEN(TRIM(AF656))=0,"",HYPERLINK("https://www.google.com/maps/@?api=1&amp;map_action=pano&amp;viewpoint="&amp;SUBSTITUTE(AF656," ",""),"Abrir Street View"))</f>
        <v/>
      </c>
    </row>
    <row r="657">
      <c r="H657" s="6" t="n"/>
      <c r="I657" s="6" t="n"/>
      <c r="M657" s="7" t="n"/>
      <c r="N657" s="7" t="n"/>
      <c r="O657" s="7" t="n"/>
      <c r="Q657" s="7" t="n"/>
      <c r="R657" s="7" t="n"/>
      <c r="S657" s="8">
        <f>IF(NOT(ISNUMBER(M657)),"",IF(G657="Terreno",IF(AND(ISNUMBER(I657),I657&gt;0),M657/I657,""),IF(AND(ISNUMBER(H657),H657&gt;0),M657/H657,"")))</f>
        <v/>
      </c>
      <c r="T657" s="9">
        <f>IF(AND(ISNUMBER(M657),ISNUMBER(O657)),IF(M657&lt;=O657,"Valor ≤ venal IPTU",""),"")</f>
        <v/>
      </c>
      <c r="U657" s="10">
        <f>IF(AND(ISNUMBER(M657),ISNUMBER(N657)),IF(N657&gt;0,M657/N657,""),"")</f>
        <v/>
      </c>
      <c r="V657" s="10">
        <f>IF(AND(ISNUMBER(M657),ISNUMBER(O657)),IF(O657&gt;0,M657/O657,""),"")</f>
        <v/>
      </c>
      <c r="W657" s="10">
        <f>IF(AND(ISNUMBER(M657),ISNUMBER(R657)),IF(R657&gt;0,M657/R657,""),"")</f>
        <v/>
      </c>
      <c r="X657" s="10">
        <f>IF(AND(ISNUMBER(Q657),ISNUMBER(M657)),IF(M657&gt;0,Q657/M657,""),"")</f>
        <v/>
      </c>
      <c r="Y657" s="11">
        <f>IF(ISNUMBER(Z657),YEAR(Z657),"")</f>
        <v/>
      </c>
      <c r="Z657" s="12" t="n"/>
      <c r="AA657" s="12" t="n"/>
      <c r="AI657" s="12" t="n"/>
      <c r="AJ657" s="13">
        <f>IF(LEN(TRIM(AF657))=0,"",HYPERLINK("https://www.google.com/maps/@?api=1&amp;map_action=pano&amp;viewpoint="&amp;SUBSTITUTE(AF657," ",""),"Abrir Street View"))</f>
        <v/>
      </c>
    </row>
    <row r="658">
      <c r="H658" s="6" t="n"/>
      <c r="I658" s="6" t="n"/>
      <c r="M658" s="7" t="n"/>
      <c r="N658" s="7" t="n"/>
      <c r="O658" s="7" t="n"/>
      <c r="Q658" s="7" t="n"/>
      <c r="R658" s="7" t="n"/>
      <c r="S658" s="8">
        <f>IF(NOT(ISNUMBER(M658)),"",IF(G658="Terreno",IF(AND(ISNUMBER(I658),I658&gt;0),M658/I658,""),IF(AND(ISNUMBER(H658),H658&gt;0),M658/H658,"")))</f>
        <v/>
      </c>
      <c r="T658" s="9">
        <f>IF(AND(ISNUMBER(M658),ISNUMBER(O658)),IF(M658&lt;=O658,"Valor ≤ venal IPTU",""),"")</f>
        <v/>
      </c>
      <c r="U658" s="10">
        <f>IF(AND(ISNUMBER(M658),ISNUMBER(N658)),IF(N658&gt;0,M658/N658,""),"")</f>
        <v/>
      </c>
      <c r="V658" s="10">
        <f>IF(AND(ISNUMBER(M658),ISNUMBER(O658)),IF(O658&gt;0,M658/O658,""),"")</f>
        <v/>
      </c>
      <c r="W658" s="10">
        <f>IF(AND(ISNUMBER(M658),ISNUMBER(R658)),IF(R658&gt;0,M658/R658,""),"")</f>
        <v/>
      </c>
      <c r="X658" s="10">
        <f>IF(AND(ISNUMBER(Q658),ISNUMBER(M658)),IF(M658&gt;0,Q658/M658,""),"")</f>
        <v/>
      </c>
      <c r="Y658" s="11">
        <f>IF(ISNUMBER(Z658),YEAR(Z658),"")</f>
        <v/>
      </c>
      <c r="Z658" s="12" t="n"/>
      <c r="AA658" s="12" t="n"/>
      <c r="AI658" s="12" t="n"/>
      <c r="AJ658" s="13">
        <f>IF(LEN(TRIM(AF658))=0,"",HYPERLINK("https://www.google.com/maps/@?api=1&amp;map_action=pano&amp;viewpoint="&amp;SUBSTITUTE(AF658," ",""),"Abrir Street View"))</f>
        <v/>
      </c>
    </row>
    <row r="659">
      <c r="H659" s="6" t="n"/>
      <c r="I659" s="6" t="n"/>
      <c r="M659" s="7" t="n"/>
      <c r="N659" s="7" t="n"/>
      <c r="O659" s="7" t="n"/>
      <c r="Q659" s="7" t="n"/>
      <c r="R659" s="7" t="n"/>
      <c r="S659" s="8">
        <f>IF(NOT(ISNUMBER(M659)),"",IF(G659="Terreno",IF(AND(ISNUMBER(I659),I659&gt;0),M659/I659,""),IF(AND(ISNUMBER(H659),H659&gt;0),M659/H659,"")))</f>
        <v/>
      </c>
      <c r="T659" s="9">
        <f>IF(AND(ISNUMBER(M659),ISNUMBER(O659)),IF(M659&lt;=O659,"Valor ≤ venal IPTU",""),"")</f>
        <v/>
      </c>
      <c r="U659" s="10">
        <f>IF(AND(ISNUMBER(M659),ISNUMBER(N659)),IF(N659&gt;0,M659/N659,""),"")</f>
        <v/>
      </c>
      <c r="V659" s="10">
        <f>IF(AND(ISNUMBER(M659),ISNUMBER(O659)),IF(O659&gt;0,M659/O659,""),"")</f>
        <v/>
      </c>
      <c r="W659" s="10">
        <f>IF(AND(ISNUMBER(M659),ISNUMBER(R659)),IF(R659&gt;0,M659/R659,""),"")</f>
        <v/>
      </c>
      <c r="X659" s="10">
        <f>IF(AND(ISNUMBER(Q659),ISNUMBER(M659)),IF(M659&gt;0,Q659/M659,""),"")</f>
        <v/>
      </c>
      <c r="Y659" s="11">
        <f>IF(ISNUMBER(Z659),YEAR(Z659),"")</f>
        <v/>
      </c>
      <c r="Z659" s="12" t="n"/>
      <c r="AA659" s="12" t="n"/>
      <c r="AI659" s="12" t="n"/>
      <c r="AJ659" s="13">
        <f>IF(LEN(TRIM(AF659))=0,"",HYPERLINK("https://www.google.com/maps/@?api=1&amp;map_action=pano&amp;viewpoint="&amp;SUBSTITUTE(AF659," ",""),"Abrir Street View"))</f>
        <v/>
      </c>
    </row>
    <row r="660">
      <c r="H660" s="6" t="n"/>
      <c r="I660" s="6" t="n"/>
      <c r="M660" s="7" t="n"/>
      <c r="N660" s="7" t="n"/>
      <c r="O660" s="7" t="n"/>
      <c r="Q660" s="7" t="n"/>
      <c r="R660" s="7" t="n"/>
      <c r="S660" s="8">
        <f>IF(NOT(ISNUMBER(M660)),"",IF(G660="Terreno",IF(AND(ISNUMBER(I660),I660&gt;0),M660/I660,""),IF(AND(ISNUMBER(H660),H660&gt;0),M660/H660,"")))</f>
        <v/>
      </c>
      <c r="T660" s="9">
        <f>IF(AND(ISNUMBER(M660),ISNUMBER(O660)),IF(M660&lt;=O660,"Valor ≤ venal IPTU",""),"")</f>
        <v/>
      </c>
      <c r="U660" s="10">
        <f>IF(AND(ISNUMBER(M660),ISNUMBER(N660)),IF(N660&gt;0,M660/N660,""),"")</f>
        <v/>
      </c>
      <c r="V660" s="10">
        <f>IF(AND(ISNUMBER(M660),ISNUMBER(O660)),IF(O660&gt;0,M660/O660,""),"")</f>
        <v/>
      </c>
      <c r="W660" s="10">
        <f>IF(AND(ISNUMBER(M660),ISNUMBER(R660)),IF(R660&gt;0,M660/R660,""),"")</f>
        <v/>
      </c>
      <c r="X660" s="10">
        <f>IF(AND(ISNUMBER(Q660),ISNUMBER(M660)),IF(M660&gt;0,Q660/M660,""),"")</f>
        <v/>
      </c>
      <c r="Y660" s="11">
        <f>IF(ISNUMBER(Z660),YEAR(Z660),"")</f>
        <v/>
      </c>
      <c r="Z660" s="12" t="n"/>
      <c r="AA660" s="12" t="n"/>
      <c r="AI660" s="12" t="n"/>
      <c r="AJ660" s="13">
        <f>IF(LEN(TRIM(AF660))=0,"",HYPERLINK("https://www.google.com/maps/@?api=1&amp;map_action=pano&amp;viewpoint="&amp;SUBSTITUTE(AF660," ",""),"Abrir Street View"))</f>
        <v/>
      </c>
    </row>
    <row r="661">
      <c r="H661" s="6" t="n"/>
      <c r="I661" s="6" t="n"/>
      <c r="M661" s="7" t="n"/>
      <c r="N661" s="7" t="n"/>
      <c r="O661" s="7" t="n"/>
      <c r="Q661" s="7" t="n"/>
      <c r="R661" s="7" t="n"/>
      <c r="S661" s="8">
        <f>IF(NOT(ISNUMBER(M661)),"",IF(G661="Terreno",IF(AND(ISNUMBER(I661),I661&gt;0),M661/I661,""),IF(AND(ISNUMBER(H661),H661&gt;0),M661/H661,"")))</f>
        <v/>
      </c>
      <c r="T661" s="9">
        <f>IF(AND(ISNUMBER(M661),ISNUMBER(O661)),IF(M661&lt;=O661,"Valor ≤ venal IPTU",""),"")</f>
        <v/>
      </c>
      <c r="U661" s="10">
        <f>IF(AND(ISNUMBER(M661),ISNUMBER(N661)),IF(N661&gt;0,M661/N661,""),"")</f>
        <v/>
      </c>
      <c r="V661" s="10">
        <f>IF(AND(ISNUMBER(M661),ISNUMBER(O661)),IF(O661&gt;0,M661/O661,""),"")</f>
        <v/>
      </c>
      <c r="W661" s="10">
        <f>IF(AND(ISNUMBER(M661),ISNUMBER(R661)),IF(R661&gt;0,M661/R661,""),"")</f>
        <v/>
      </c>
      <c r="X661" s="10">
        <f>IF(AND(ISNUMBER(Q661),ISNUMBER(M661)),IF(M661&gt;0,Q661/M661,""),"")</f>
        <v/>
      </c>
      <c r="Y661" s="11">
        <f>IF(ISNUMBER(Z661),YEAR(Z661),"")</f>
        <v/>
      </c>
      <c r="Z661" s="12" t="n"/>
      <c r="AA661" s="12" t="n"/>
      <c r="AI661" s="12" t="n"/>
      <c r="AJ661" s="13">
        <f>IF(LEN(TRIM(AF661))=0,"",HYPERLINK("https://www.google.com/maps/@?api=1&amp;map_action=pano&amp;viewpoint="&amp;SUBSTITUTE(AF661," ",""),"Abrir Street View"))</f>
        <v/>
      </c>
    </row>
    <row r="662">
      <c r="H662" s="6" t="n"/>
      <c r="I662" s="6" t="n"/>
      <c r="M662" s="7" t="n"/>
      <c r="N662" s="7" t="n"/>
      <c r="O662" s="7" t="n"/>
      <c r="Q662" s="7" t="n"/>
      <c r="R662" s="7" t="n"/>
      <c r="S662" s="8">
        <f>IF(NOT(ISNUMBER(M662)),"",IF(G662="Terreno",IF(AND(ISNUMBER(I662),I662&gt;0),M662/I662,""),IF(AND(ISNUMBER(H662),H662&gt;0),M662/H662,"")))</f>
        <v/>
      </c>
      <c r="T662" s="9">
        <f>IF(AND(ISNUMBER(M662),ISNUMBER(O662)),IF(M662&lt;=O662,"Valor ≤ venal IPTU",""),"")</f>
        <v/>
      </c>
      <c r="U662" s="10">
        <f>IF(AND(ISNUMBER(M662),ISNUMBER(N662)),IF(N662&gt;0,M662/N662,""),"")</f>
        <v/>
      </c>
      <c r="V662" s="10">
        <f>IF(AND(ISNUMBER(M662),ISNUMBER(O662)),IF(O662&gt;0,M662/O662,""),"")</f>
        <v/>
      </c>
      <c r="W662" s="10">
        <f>IF(AND(ISNUMBER(M662),ISNUMBER(R662)),IF(R662&gt;0,M662/R662,""),"")</f>
        <v/>
      </c>
      <c r="X662" s="10">
        <f>IF(AND(ISNUMBER(Q662),ISNUMBER(M662)),IF(M662&gt;0,Q662/M662,""),"")</f>
        <v/>
      </c>
      <c r="Y662" s="11">
        <f>IF(ISNUMBER(Z662),YEAR(Z662),"")</f>
        <v/>
      </c>
      <c r="Z662" s="12" t="n"/>
      <c r="AA662" s="12" t="n"/>
      <c r="AI662" s="12" t="n"/>
      <c r="AJ662" s="13">
        <f>IF(LEN(TRIM(AF662))=0,"",HYPERLINK("https://www.google.com/maps/@?api=1&amp;map_action=pano&amp;viewpoint="&amp;SUBSTITUTE(AF662," ",""),"Abrir Street View"))</f>
        <v/>
      </c>
    </row>
    <row r="663">
      <c r="H663" s="6" t="n"/>
      <c r="I663" s="6" t="n"/>
      <c r="M663" s="7" t="n"/>
      <c r="N663" s="7" t="n"/>
      <c r="O663" s="7" t="n"/>
      <c r="Q663" s="7" t="n"/>
      <c r="R663" s="7" t="n"/>
      <c r="S663" s="8">
        <f>IF(NOT(ISNUMBER(M663)),"",IF(G663="Terreno",IF(AND(ISNUMBER(I663),I663&gt;0),M663/I663,""),IF(AND(ISNUMBER(H663),H663&gt;0),M663/H663,"")))</f>
        <v/>
      </c>
      <c r="T663" s="9">
        <f>IF(AND(ISNUMBER(M663),ISNUMBER(O663)),IF(M663&lt;=O663,"Valor ≤ venal IPTU",""),"")</f>
        <v/>
      </c>
      <c r="U663" s="10">
        <f>IF(AND(ISNUMBER(M663),ISNUMBER(N663)),IF(N663&gt;0,M663/N663,""),"")</f>
        <v/>
      </c>
      <c r="V663" s="10">
        <f>IF(AND(ISNUMBER(M663),ISNUMBER(O663)),IF(O663&gt;0,M663/O663,""),"")</f>
        <v/>
      </c>
      <c r="W663" s="10">
        <f>IF(AND(ISNUMBER(M663),ISNUMBER(R663)),IF(R663&gt;0,M663/R663,""),"")</f>
        <v/>
      </c>
      <c r="X663" s="10">
        <f>IF(AND(ISNUMBER(Q663),ISNUMBER(M663)),IF(M663&gt;0,Q663/M663,""),"")</f>
        <v/>
      </c>
      <c r="Y663" s="11">
        <f>IF(ISNUMBER(Z663),YEAR(Z663),"")</f>
        <v/>
      </c>
      <c r="Z663" s="12" t="n"/>
      <c r="AA663" s="12" t="n"/>
      <c r="AI663" s="12" t="n"/>
      <c r="AJ663" s="13">
        <f>IF(LEN(TRIM(AF663))=0,"",HYPERLINK("https://www.google.com/maps/@?api=1&amp;map_action=pano&amp;viewpoint="&amp;SUBSTITUTE(AF663," ",""),"Abrir Street View"))</f>
        <v/>
      </c>
    </row>
    <row r="664">
      <c r="H664" s="6" t="n"/>
      <c r="I664" s="6" t="n"/>
      <c r="M664" s="7" t="n"/>
      <c r="N664" s="7" t="n"/>
      <c r="O664" s="7" t="n"/>
      <c r="Q664" s="7" t="n"/>
      <c r="R664" s="7" t="n"/>
      <c r="S664" s="8">
        <f>IF(NOT(ISNUMBER(M664)),"",IF(G664="Terreno",IF(AND(ISNUMBER(I664),I664&gt;0),M664/I664,""),IF(AND(ISNUMBER(H664),H664&gt;0),M664/H664,"")))</f>
        <v/>
      </c>
      <c r="T664" s="9">
        <f>IF(AND(ISNUMBER(M664),ISNUMBER(O664)),IF(M664&lt;=O664,"Valor ≤ venal IPTU",""),"")</f>
        <v/>
      </c>
      <c r="U664" s="10">
        <f>IF(AND(ISNUMBER(M664),ISNUMBER(N664)),IF(N664&gt;0,M664/N664,""),"")</f>
        <v/>
      </c>
      <c r="V664" s="10">
        <f>IF(AND(ISNUMBER(M664),ISNUMBER(O664)),IF(O664&gt;0,M664/O664,""),"")</f>
        <v/>
      </c>
      <c r="W664" s="10">
        <f>IF(AND(ISNUMBER(M664),ISNUMBER(R664)),IF(R664&gt;0,M664/R664,""),"")</f>
        <v/>
      </c>
      <c r="X664" s="10">
        <f>IF(AND(ISNUMBER(Q664),ISNUMBER(M664)),IF(M664&gt;0,Q664/M664,""),"")</f>
        <v/>
      </c>
      <c r="Y664" s="11">
        <f>IF(ISNUMBER(Z664),YEAR(Z664),"")</f>
        <v/>
      </c>
      <c r="Z664" s="12" t="n"/>
      <c r="AA664" s="12" t="n"/>
      <c r="AI664" s="12" t="n"/>
      <c r="AJ664" s="13">
        <f>IF(LEN(TRIM(AF664))=0,"",HYPERLINK("https://www.google.com/maps/@?api=1&amp;map_action=pano&amp;viewpoint="&amp;SUBSTITUTE(AF664," ",""),"Abrir Street View"))</f>
        <v/>
      </c>
    </row>
    <row r="665">
      <c r="H665" s="6" t="n"/>
      <c r="I665" s="6" t="n"/>
      <c r="M665" s="7" t="n"/>
      <c r="N665" s="7" t="n"/>
      <c r="O665" s="7" t="n"/>
      <c r="Q665" s="7" t="n"/>
      <c r="R665" s="7" t="n"/>
      <c r="S665" s="8">
        <f>IF(NOT(ISNUMBER(M665)),"",IF(G665="Terreno",IF(AND(ISNUMBER(I665),I665&gt;0),M665/I665,""),IF(AND(ISNUMBER(H665),H665&gt;0),M665/H665,"")))</f>
        <v/>
      </c>
      <c r="T665" s="9">
        <f>IF(AND(ISNUMBER(M665),ISNUMBER(O665)),IF(M665&lt;=O665,"Valor ≤ venal IPTU",""),"")</f>
        <v/>
      </c>
      <c r="U665" s="10">
        <f>IF(AND(ISNUMBER(M665),ISNUMBER(N665)),IF(N665&gt;0,M665/N665,""),"")</f>
        <v/>
      </c>
      <c r="V665" s="10">
        <f>IF(AND(ISNUMBER(M665),ISNUMBER(O665)),IF(O665&gt;0,M665/O665,""),"")</f>
        <v/>
      </c>
      <c r="W665" s="10">
        <f>IF(AND(ISNUMBER(M665),ISNUMBER(R665)),IF(R665&gt;0,M665/R665,""),"")</f>
        <v/>
      </c>
      <c r="X665" s="10">
        <f>IF(AND(ISNUMBER(Q665),ISNUMBER(M665)),IF(M665&gt;0,Q665/M665,""),"")</f>
        <v/>
      </c>
      <c r="Y665" s="11">
        <f>IF(ISNUMBER(Z665),YEAR(Z665),"")</f>
        <v/>
      </c>
      <c r="Z665" s="12" t="n"/>
      <c r="AA665" s="12" t="n"/>
      <c r="AI665" s="12" t="n"/>
      <c r="AJ665" s="13">
        <f>IF(LEN(TRIM(AF665))=0,"",HYPERLINK("https://www.google.com/maps/@?api=1&amp;map_action=pano&amp;viewpoint="&amp;SUBSTITUTE(AF665," ",""),"Abrir Street View"))</f>
        <v/>
      </c>
    </row>
    <row r="666">
      <c r="H666" s="6" t="n"/>
      <c r="I666" s="6" t="n"/>
      <c r="M666" s="7" t="n"/>
      <c r="N666" s="7" t="n"/>
      <c r="O666" s="7" t="n"/>
      <c r="Q666" s="7" t="n"/>
      <c r="R666" s="7" t="n"/>
      <c r="S666" s="8">
        <f>IF(NOT(ISNUMBER(M666)),"",IF(G666="Terreno",IF(AND(ISNUMBER(I666),I666&gt;0),M666/I666,""),IF(AND(ISNUMBER(H666),H666&gt;0),M666/H666,"")))</f>
        <v/>
      </c>
      <c r="T666" s="9">
        <f>IF(AND(ISNUMBER(M666),ISNUMBER(O666)),IF(M666&lt;=O666,"Valor ≤ venal IPTU",""),"")</f>
        <v/>
      </c>
      <c r="U666" s="10">
        <f>IF(AND(ISNUMBER(M666),ISNUMBER(N666)),IF(N666&gt;0,M666/N666,""),"")</f>
        <v/>
      </c>
      <c r="V666" s="10">
        <f>IF(AND(ISNUMBER(M666),ISNUMBER(O666)),IF(O666&gt;0,M666/O666,""),"")</f>
        <v/>
      </c>
      <c r="W666" s="10">
        <f>IF(AND(ISNUMBER(M666),ISNUMBER(R666)),IF(R666&gt;0,M666/R666,""),"")</f>
        <v/>
      </c>
      <c r="X666" s="10">
        <f>IF(AND(ISNUMBER(Q666),ISNUMBER(M666)),IF(M666&gt;0,Q666/M666,""),"")</f>
        <v/>
      </c>
      <c r="Y666" s="11">
        <f>IF(ISNUMBER(Z666),YEAR(Z666),"")</f>
        <v/>
      </c>
      <c r="Z666" s="12" t="n"/>
      <c r="AA666" s="12" t="n"/>
      <c r="AI666" s="12" t="n"/>
      <c r="AJ666" s="13">
        <f>IF(LEN(TRIM(AF666))=0,"",HYPERLINK("https://www.google.com/maps/@?api=1&amp;map_action=pano&amp;viewpoint="&amp;SUBSTITUTE(AF666," ",""),"Abrir Street View"))</f>
        <v/>
      </c>
    </row>
    <row r="667">
      <c r="H667" s="6" t="n"/>
      <c r="I667" s="6" t="n"/>
      <c r="M667" s="7" t="n"/>
      <c r="N667" s="7" t="n"/>
      <c r="O667" s="7" t="n"/>
      <c r="Q667" s="7" t="n"/>
      <c r="R667" s="7" t="n"/>
      <c r="S667" s="8">
        <f>IF(NOT(ISNUMBER(M667)),"",IF(G667="Terreno",IF(AND(ISNUMBER(I667),I667&gt;0),M667/I667,""),IF(AND(ISNUMBER(H667),H667&gt;0),M667/H667,"")))</f>
        <v/>
      </c>
      <c r="T667" s="9">
        <f>IF(AND(ISNUMBER(M667),ISNUMBER(O667)),IF(M667&lt;=O667,"Valor ≤ venal IPTU",""),"")</f>
        <v/>
      </c>
      <c r="U667" s="10">
        <f>IF(AND(ISNUMBER(M667),ISNUMBER(N667)),IF(N667&gt;0,M667/N667,""),"")</f>
        <v/>
      </c>
      <c r="V667" s="10">
        <f>IF(AND(ISNUMBER(M667),ISNUMBER(O667)),IF(O667&gt;0,M667/O667,""),"")</f>
        <v/>
      </c>
      <c r="W667" s="10">
        <f>IF(AND(ISNUMBER(M667),ISNUMBER(R667)),IF(R667&gt;0,M667/R667,""),"")</f>
        <v/>
      </c>
      <c r="X667" s="10">
        <f>IF(AND(ISNUMBER(Q667),ISNUMBER(M667)),IF(M667&gt;0,Q667/M667,""),"")</f>
        <v/>
      </c>
      <c r="Y667" s="11">
        <f>IF(ISNUMBER(Z667),YEAR(Z667),"")</f>
        <v/>
      </c>
      <c r="Z667" s="12" t="n"/>
      <c r="AA667" s="12" t="n"/>
      <c r="AI667" s="12" t="n"/>
      <c r="AJ667" s="13">
        <f>IF(LEN(TRIM(AF667))=0,"",HYPERLINK("https://www.google.com/maps/@?api=1&amp;map_action=pano&amp;viewpoint="&amp;SUBSTITUTE(AF667," ",""),"Abrir Street View"))</f>
        <v/>
      </c>
    </row>
    <row r="668">
      <c r="H668" s="6" t="n"/>
      <c r="I668" s="6" t="n"/>
      <c r="M668" s="7" t="n"/>
      <c r="N668" s="7" t="n"/>
      <c r="O668" s="7" t="n"/>
      <c r="Q668" s="7" t="n"/>
      <c r="R668" s="7" t="n"/>
      <c r="S668" s="8">
        <f>IF(NOT(ISNUMBER(M668)),"",IF(G668="Terreno",IF(AND(ISNUMBER(I668),I668&gt;0),M668/I668,""),IF(AND(ISNUMBER(H668),H668&gt;0),M668/H668,"")))</f>
        <v/>
      </c>
      <c r="T668" s="9">
        <f>IF(AND(ISNUMBER(M668),ISNUMBER(O668)),IF(M668&lt;=O668,"Valor ≤ venal IPTU",""),"")</f>
        <v/>
      </c>
      <c r="U668" s="10">
        <f>IF(AND(ISNUMBER(M668),ISNUMBER(N668)),IF(N668&gt;0,M668/N668,""),"")</f>
        <v/>
      </c>
      <c r="V668" s="10">
        <f>IF(AND(ISNUMBER(M668),ISNUMBER(O668)),IF(O668&gt;0,M668/O668,""),"")</f>
        <v/>
      </c>
      <c r="W668" s="10">
        <f>IF(AND(ISNUMBER(M668),ISNUMBER(R668)),IF(R668&gt;0,M668/R668,""),"")</f>
        <v/>
      </c>
      <c r="X668" s="10">
        <f>IF(AND(ISNUMBER(Q668),ISNUMBER(M668)),IF(M668&gt;0,Q668/M668,""),"")</f>
        <v/>
      </c>
      <c r="Y668" s="11">
        <f>IF(ISNUMBER(Z668),YEAR(Z668),"")</f>
        <v/>
      </c>
      <c r="Z668" s="12" t="n"/>
      <c r="AA668" s="12" t="n"/>
      <c r="AI668" s="12" t="n"/>
      <c r="AJ668" s="13">
        <f>IF(LEN(TRIM(AF668))=0,"",HYPERLINK("https://www.google.com/maps/@?api=1&amp;map_action=pano&amp;viewpoint="&amp;SUBSTITUTE(AF668," ",""),"Abrir Street View"))</f>
        <v/>
      </c>
    </row>
    <row r="669">
      <c r="H669" s="6" t="n"/>
      <c r="I669" s="6" t="n"/>
      <c r="M669" s="7" t="n"/>
      <c r="N669" s="7" t="n"/>
      <c r="O669" s="7" t="n"/>
      <c r="Q669" s="7" t="n"/>
      <c r="R669" s="7" t="n"/>
      <c r="S669" s="8">
        <f>IF(NOT(ISNUMBER(M669)),"",IF(G669="Terreno",IF(AND(ISNUMBER(I669),I669&gt;0),M669/I669,""),IF(AND(ISNUMBER(H669),H669&gt;0),M669/H669,"")))</f>
        <v/>
      </c>
      <c r="T669" s="9">
        <f>IF(AND(ISNUMBER(M669),ISNUMBER(O669)),IF(M669&lt;=O669,"Valor ≤ venal IPTU",""),"")</f>
        <v/>
      </c>
      <c r="U669" s="10">
        <f>IF(AND(ISNUMBER(M669),ISNUMBER(N669)),IF(N669&gt;0,M669/N669,""),"")</f>
        <v/>
      </c>
      <c r="V669" s="10">
        <f>IF(AND(ISNUMBER(M669),ISNUMBER(O669)),IF(O669&gt;0,M669/O669,""),"")</f>
        <v/>
      </c>
      <c r="W669" s="10">
        <f>IF(AND(ISNUMBER(M669),ISNUMBER(R669)),IF(R669&gt;0,M669/R669,""),"")</f>
        <v/>
      </c>
      <c r="X669" s="10">
        <f>IF(AND(ISNUMBER(Q669),ISNUMBER(M669)),IF(M669&gt;0,Q669/M669,""),"")</f>
        <v/>
      </c>
      <c r="Y669" s="11">
        <f>IF(ISNUMBER(Z669),YEAR(Z669),"")</f>
        <v/>
      </c>
      <c r="Z669" s="12" t="n"/>
      <c r="AA669" s="12" t="n"/>
      <c r="AI669" s="12" t="n"/>
      <c r="AJ669" s="13">
        <f>IF(LEN(TRIM(AF669))=0,"",HYPERLINK("https://www.google.com/maps/@?api=1&amp;map_action=pano&amp;viewpoint="&amp;SUBSTITUTE(AF669," ",""),"Abrir Street View"))</f>
        <v/>
      </c>
    </row>
    <row r="670">
      <c r="H670" s="6" t="n"/>
      <c r="I670" s="6" t="n"/>
      <c r="M670" s="7" t="n"/>
      <c r="N670" s="7" t="n"/>
      <c r="O670" s="7" t="n"/>
      <c r="Q670" s="7" t="n"/>
      <c r="R670" s="7" t="n"/>
      <c r="S670" s="8">
        <f>IF(NOT(ISNUMBER(M670)),"",IF(G670="Terreno",IF(AND(ISNUMBER(I670),I670&gt;0),M670/I670,""),IF(AND(ISNUMBER(H670),H670&gt;0),M670/H670,"")))</f>
        <v/>
      </c>
      <c r="T670" s="9">
        <f>IF(AND(ISNUMBER(M670),ISNUMBER(O670)),IF(M670&lt;=O670,"Valor ≤ venal IPTU",""),"")</f>
        <v/>
      </c>
      <c r="U670" s="10">
        <f>IF(AND(ISNUMBER(M670),ISNUMBER(N670)),IF(N670&gt;0,M670/N670,""),"")</f>
        <v/>
      </c>
      <c r="V670" s="10">
        <f>IF(AND(ISNUMBER(M670),ISNUMBER(O670)),IF(O670&gt;0,M670/O670,""),"")</f>
        <v/>
      </c>
      <c r="W670" s="10">
        <f>IF(AND(ISNUMBER(M670),ISNUMBER(R670)),IF(R670&gt;0,M670/R670,""),"")</f>
        <v/>
      </c>
      <c r="X670" s="10">
        <f>IF(AND(ISNUMBER(Q670),ISNUMBER(M670)),IF(M670&gt;0,Q670/M670,""),"")</f>
        <v/>
      </c>
      <c r="Y670" s="11">
        <f>IF(ISNUMBER(Z670),YEAR(Z670),"")</f>
        <v/>
      </c>
      <c r="Z670" s="12" t="n"/>
      <c r="AA670" s="12" t="n"/>
      <c r="AI670" s="12" t="n"/>
      <c r="AJ670" s="13">
        <f>IF(LEN(TRIM(AF670))=0,"",HYPERLINK("https://www.google.com/maps/@?api=1&amp;map_action=pano&amp;viewpoint="&amp;SUBSTITUTE(AF670," ",""),"Abrir Street View"))</f>
        <v/>
      </c>
    </row>
    <row r="671">
      <c r="H671" s="6" t="n"/>
      <c r="I671" s="6" t="n"/>
      <c r="M671" s="7" t="n"/>
      <c r="N671" s="7" t="n"/>
      <c r="O671" s="7" t="n"/>
      <c r="Q671" s="7" t="n"/>
      <c r="R671" s="7" t="n"/>
      <c r="S671" s="8">
        <f>IF(NOT(ISNUMBER(M671)),"",IF(G671="Terreno",IF(AND(ISNUMBER(I671),I671&gt;0),M671/I671,""),IF(AND(ISNUMBER(H671),H671&gt;0),M671/H671,"")))</f>
        <v/>
      </c>
      <c r="T671" s="9">
        <f>IF(AND(ISNUMBER(M671),ISNUMBER(O671)),IF(M671&lt;=O671,"Valor ≤ venal IPTU",""),"")</f>
        <v/>
      </c>
      <c r="U671" s="10">
        <f>IF(AND(ISNUMBER(M671),ISNUMBER(N671)),IF(N671&gt;0,M671/N671,""),"")</f>
        <v/>
      </c>
      <c r="V671" s="10">
        <f>IF(AND(ISNUMBER(M671),ISNUMBER(O671)),IF(O671&gt;0,M671/O671,""),"")</f>
        <v/>
      </c>
      <c r="W671" s="10">
        <f>IF(AND(ISNUMBER(M671),ISNUMBER(R671)),IF(R671&gt;0,M671/R671,""),"")</f>
        <v/>
      </c>
      <c r="X671" s="10">
        <f>IF(AND(ISNUMBER(Q671),ISNUMBER(M671)),IF(M671&gt;0,Q671/M671,""),"")</f>
        <v/>
      </c>
      <c r="Y671" s="11">
        <f>IF(ISNUMBER(Z671),YEAR(Z671),"")</f>
        <v/>
      </c>
      <c r="Z671" s="12" t="n"/>
      <c r="AA671" s="12" t="n"/>
      <c r="AI671" s="12" t="n"/>
      <c r="AJ671" s="13">
        <f>IF(LEN(TRIM(AF671))=0,"",HYPERLINK("https://www.google.com/maps/@?api=1&amp;map_action=pano&amp;viewpoint="&amp;SUBSTITUTE(AF671," ",""),"Abrir Street View"))</f>
        <v/>
      </c>
    </row>
    <row r="672">
      <c r="H672" s="6" t="n"/>
      <c r="I672" s="6" t="n"/>
      <c r="M672" s="7" t="n"/>
      <c r="N672" s="7" t="n"/>
      <c r="O672" s="7" t="n"/>
      <c r="Q672" s="7" t="n"/>
      <c r="R672" s="7" t="n"/>
      <c r="S672" s="8">
        <f>IF(NOT(ISNUMBER(M672)),"",IF(G672="Terreno",IF(AND(ISNUMBER(I672),I672&gt;0),M672/I672,""),IF(AND(ISNUMBER(H672),H672&gt;0),M672/H672,"")))</f>
        <v/>
      </c>
      <c r="T672" s="9">
        <f>IF(AND(ISNUMBER(M672),ISNUMBER(O672)),IF(M672&lt;=O672,"Valor ≤ venal IPTU",""),"")</f>
        <v/>
      </c>
      <c r="U672" s="10">
        <f>IF(AND(ISNUMBER(M672),ISNUMBER(N672)),IF(N672&gt;0,M672/N672,""),"")</f>
        <v/>
      </c>
      <c r="V672" s="10">
        <f>IF(AND(ISNUMBER(M672),ISNUMBER(O672)),IF(O672&gt;0,M672/O672,""),"")</f>
        <v/>
      </c>
      <c r="W672" s="10">
        <f>IF(AND(ISNUMBER(M672),ISNUMBER(R672)),IF(R672&gt;0,M672/R672,""),"")</f>
        <v/>
      </c>
      <c r="X672" s="10">
        <f>IF(AND(ISNUMBER(Q672),ISNUMBER(M672)),IF(M672&gt;0,Q672/M672,""),"")</f>
        <v/>
      </c>
      <c r="Y672" s="11">
        <f>IF(ISNUMBER(Z672),YEAR(Z672),"")</f>
        <v/>
      </c>
      <c r="Z672" s="12" t="n"/>
      <c r="AA672" s="12" t="n"/>
      <c r="AI672" s="12" t="n"/>
      <c r="AJ672" s="13">
        <f>IF(LEN(TRIM(AF672))=0,"",HYPERLINK("https://www.google.com/maps/@?api=1&amp;map_action=pano&amp;viewpoint="&amp;SUBSTITUTE(AF672," ",""),"Abrir Street View"))</f>
        <v/>
      </c>
    </row>
    <row r="673">
      <c r="H673" s="6" t="n"/>
      <c r="I673" s="6" t="n"/>
      <c r="M673" s="7" t="n"/>
      <c r="N673" s="7" t="n"/>
      <c r="O673" s="7" t="n"/>
      <c r="Q673" s="7" t="n"/>
      <c r="R673" s="7" t="n"/>
      <c r="S673" s="8">
        <f>IF(NOT(ISNUMBER(M673)),"",IF(G673="Terreno",IF(AND(ISNUMBER(I673),I673&gt;0),M673/I673,""),IF(AND(ISNUMBER(H673),H673&gt;0),M673/H673,"")))</f>
        <v/>
      </c>
      <c r="T673" s="9">
        <f>IF(AND(ISNUMBER(M673),ISNUMBER(O673)),IF(M673&lt;=O673,"Valor ≤ venal IPTU",""),"")</f>
        <v/>
      </c>
      <c r="U673" s="10">
        <f>IF(AND(ISNUMBER(M673),ISNUMBER(N673)),IF(N673&gt;0,M673/N673,""),"")</f>
        <v/>
      </c>
      <c r="V673" s="10">
        <f>IF(AND(ISNUMBER(M673),ISNUMBER(O673)),IF(O673&gt;0,M673/O673,""),"")</f>
        <v/>
      </c>
      <c r="W673" s="10">
        <f>IF(AND(ISNUMBER(M673),ISNUMBER(R673)),IF(R673&gt;0,M673/R673,""),"")</f>
        <v/>
      </c>
      <c r="X673" s="10">
        <f>IF(AND(ISNUMBER(Q673),ISNUMBER(M673)),IF(M673&gt;0,Q673/M673,""),"")</f>
        <v/>
      </c>
      <c r="Y673" s="11">
        <f>IF(ISNUMBER(Z673),YEAR(Z673),"")</f>
        <v/>
      </c>
      <c r="Z673" s="12" t="n"/>
      <c r="AA673" s="12" t="n"/>
      <c r="AI673" s="12" t="n"/>
      <c r="AJ673" s="13">
        <f>IF(LEN(TRIM(AF673))=0,"",HYPERLINK("https://www.google.com/maps/@?api=1&amp;map_action=pano&amp;viewpoint="&amp;SUBSTITUTE(AF673," ",""),"Abrir Street View"))</f>
        <v/>
      </c>
    </row>
    <row r="674">
      <c r="H674" s="6" t="n"/>
      <c r="I674" s="6" t="n"/>
      <c r="M674" s="7" t="n"/>
      <c r="N674" s="7" t="n"/>
      <c r="O674" s="7" t="n"/>
      <c r="Q674" s="7" t="n"/>
      <c r="R674" s="7" t="n"/>
      <c r="S674" s="8">
        <f>IF(NOT(ISNUMBER(M674)),"",IF(G674="Terreno",IF(AND(ISNUMBER(I674),I674&gt;0),M674/I674,""),IF(AND(ISNUMBER(H674),H674&gt;0),M674/H674,"")))</f>
        <v/>
      </c>
      <c r="T674" s="9">
        <f>IF(AND(ISNUMBER(M674),ISNUMBER(O674)),IF(M674&lt;=O674,"Valor ≤ venal IPTU",""),"")</f>
        <v/>
      </c>
      <c r="U674" s="10">
        <f>IF(AND(ISNUMBER(M674),ISNUMBER(N674)),IF(N674&gt;0,M674/N674,""),"")</f>
        <v/>
      </c>
      <c r="V674" s="10">
        <f>IF(AND(ISNUMBER(M674),ISNUMBER(O674)),IF(O674&gt;0,M674/O674,""),"")</f>
        <v/>
      </c>
      <c r="W674" s="10">
        <f>IF(AND(ISNUMBER(M674),ISNUMBER(R674)),IF(R674&gt;0,M674/R674,""),"")</f>
        <v/>
      </c>
      <c r="X674" s="10">
        <f>IF(AND(ISNUMBER(Q674),ISNUMBER(M674)),IF(M674&gt;0,Q674/M674,""),"")</f>
        <v/>
      </c>
      <c r="Y674" s="11">
        <f>IF(ISNUMBER(Z674),YEAR(Z674),"")</f>
        <v/>
      </c>
      <c r="Z674" s="12" t="n"/>
      <c r="AA674" s="12" t="n"/>
      <c r="AI674" s="12" t="n"/>
      <c r="AJ674" s="13">
        <f>IF(LEN(TRIM(AF674))=0,"",HYPERLINK("https://www.google.com/maps/@?api=1&amp;map_action=pano&amp;viewpoint="&amp;SUBSTITUTE(AF674," ",""),"Abrir Street View"))</f>
        <v/>
      </c>
    </row>
    <row r="675">
      <c r="H675" s="6" t="n"/>
      <c r="I675" s="6" t="n"/>
      <c r="M675" s="7" t="n"/>
      <c r="N675" s="7" t="n"/>
      <c r="O675" s="7" t="n"/>
      <c r="Q675" s="7" t="n"/>
      <c r="R675" s="7" t="n"/>
      <c r="S675" s="8">
        <f>IF(NOT(ISNUMBER(M675)),"",IF(G675="Terreno",IF(AND(ISNUMBER(I675),I675&gt;0),M675/I675,""),IF(AND(ISNUMBER(H675),H675&gt;0),M675/H675,"")))</f>
        <v/>
      </c>
      <c r="T675" s="9">
        <f>IF(AND(ISNUMBER(M675),ISNUMBER(O675)),IF(M675&lt;=O675,"Valor ≤ venal IPTU",""),"")</f>
        <v/>
      </c>
      <c r="U675" s="10">
        <f>IF(AND(ISNUMBER(M675),ISNUMBER(N675)),IF(N675&gt;0,M675/N675,""),"")</f>
        <v/>
      </c>
      <c r="V675" s="10">
        <f>IF(AND(ISNUMBER(M675),ISNUMBER(O675)),IF(O675&gt;0,M675/O675,""),"")</f>
        <v/>
      </c>
      <c r="W675" s="10">
        <f>IF(AND(ISNUMBER(M675),ISNUMBER(R675)),IF(R675&gt;0,M675/R675,""),"")</f>
        <v/>
      </c>
      <c r="X675" s="10">
        <f>IF(AND(ISNUMBER(Q675),ISNUMBER(M675)),IF(M675&gt;0,Q675/M675,""),"")</f>
        <v/>
      </c>
      <c r="Y675" s="11">
        <f>IF(ISNUMBER(Z675),YEAR(Z675),"")</f>
        <v/>
      </c>
      <c r="Z675" s="12" t="n"/>
      <c r="AA675" s="12" t="n"/>
      <c r="AI675" s="12" t="n"/>
      <c r="AJ675" s="13">
        <f>IF(LEN(TRIM(AF675))=0,"",HYPERLINK("https://www.google.com/maps/@?api=1&amp;map_action=pano&amp;viewpoint="&amp;SUBSTITUTE(AF675," ",""),"Abrir Street View"))</f>
        <v/>
      </c>
    </row>
    <row r="676">
      <c r="H676" s="6" t="n"/>
      <c r="I676" s="6" t="n"/>
      <c r="M676" s="7" t="n"/>
      <c r="N676" s="7" t="n"/>
      <c r="O676" s="7" t="n"/>
      <c r="Q676" s="7" t="n"/>
      <c r="R676" s="7" t="n"/>
      <c r="S676" s="8">
        <f>IF(NOT(ISNUMBER(M676)),"",IF(G676="Terreno",IF(AND(ISNUMBER(I676),I676&gt;0),M676/I676,""),IF(AND(ISNUMBER(H676),H676&gt;0),M676/H676,"")))</f>
        <v/>
      </c>
      <c r="T676" s="9">
        <f>IF(AND(ISNUMBER(M676),ISNUMBER(O676)),IF(M676&lt;=O676,"Valor ≤ venal IPTU",""),"")</f>
        <v/>
      </c>
      <c r="U676" s="10">
        <f>IF(AND(ISNUMBER(M676),ISNUMBER(N676)),IF(N676&gt;0,M676/N676,""),"")</f>
        <v/>
      </c>
      <c r="V676" s="10">
        <f>IF(AND(ISNUMBER(M676),ISNUMBER(O676)),IF(O676&gt;0,M676/O676,""),"")</f>
        <v/>
      </c>
      <c r="W676" s="10">
        <f>IF(AND(ISNUMBER(M676),ISNUMBER(R676)),IF(R676&gt;0,M676/R676,""),"")</f>
        <v/>
      </c>
      <c r="X676" s="10">
        <f>IF(AND(ISNUMBER(Q676),ISNUMBER(M676)),IF(M676&gt;0,Q676/M676,""),"")</f>
        <v/>
      </c>
      <c r="Y676" s="11">
        <f>IF(ISNUMBER(Z676),YEAR(Z676),"")</f>
        <v/>
      </c>
      <c r="Z676" s="12" t="n"/>
      <c r="AA676" s="12" t="n"/>
      <c r="AI676" s="12" t="n"/>
      <c r="AJ676" s="13">
        <f>IF(LEN(TRIM(AF676))=0,"",HYPERLINK("https://www.google.com/maps/@?api=1&amp;map_action=pano&amp;viewpoint="&amp;SUBSTITUTE(AF676," ",""),"Abrir Street View"))</f>
        <v/>
      </c>
    </row>
    <row r="677">
      <c r="H677" s="6" t="n"/>
      <c r="I677" s="6" t="n"/>
      <c r="M677" s="7" t="n"/>
      <c r="N677" s="7" t="n"/>
      <c r="O677" s="7" t="n"/>
      <c r="Q677" s="7" t="n"/>
      <c r="R677" s="7" t="n"/>
      <c r="S677" s="8">
        <f>IF(NOT(ISNUMBER(M677)),"",IF(G677="Terreno",IF(AND(ISNUMBER(I677),I677&gt;0),M677/I677,""),IF(AND(ISNUMBER(H677),H677&gt;0),M677/H677,"")))</f>
        <v/>
      </c>
      <c r="T677" s="9">
        <f>IF(AND(ISNUMBER(M677),ISNUMBER(O677)),IF(M677&lt;=O677,"Valor ≤ venal IPTU",""),"")</f>
        <v/>
      </c>
      <c r="U677" s="10">
        <f>IF(AND(ISNUMBER(M677),ISNUMBER(N677)),IF(N677&gt;0,M677/N677,""),"")</f>
        <v/>
      </c>
      <c r="V677" s="10">
        <f>IF(AND(ISNUMBER(M677),ISNUMBER(O677)),IF(O677&gt;0,M677/O677,""),"")</f>
        <v/>
      </c>
      <c r="W677" s="10">
        <f>IF(AND(ISNUMBER(M677),ISNUMBER(R677)),IF(R677&gt;0,M677/R677,""),"")</f>
        <v/>
      </c>
      <c r="X677" s="10">
        <f>IF(AND(ISNUMBER(Q677),ISNUMBER(M677)),IF(M677&gt;0,Q677/M677,""),"")</f>
        <v/>
      </c>
      <c r="Y677" s="11">
        <f>IF(ISNUMBER(Z677),YEAR(Z677),"")</f>
        <v/>
      </c>
      <c r="Z677" s="12" t="n"/>
      <c r="AA677" s="12" t="n"/>
      <c r="AI677" s="12" t="n"/>
      <c r="AJ677" s="13">
        <f>IF(LEN(TRIM(AF677))=0,"",HYPERLINK("https://www.google.com/maps/@?api=1&amp;map_action=pano&amp;viewpoint="&amp;SUBSTITUTE(AF677," ",""),"Abrir Street View"))</f>
        <v/>
      </c>
    </row>
    <row r="678">
      <c r="H678" s="6" t="n"/>
      <c r="I678" s="6" t="n"/>
      <c r="M678" s="7" t="n"/>
      <c r="N678" s="7" t="n"/>
      <c r="O678" s="7" t="n"/>
      <c r="Q678" s="7" t="n"/>
      <c r="R678" s="7" t="n"/>
      <c r="S678" s="8">
        <f>IF(NOT(ISNUMBER(M678)),"",IF(G678="Terreno",IF(AND(ISNUMBER(I678),I678&gt;0),M678/I678,""),IF(AND(ISNUMBER(H678),H678&gt;0),M678/H678,"")))</f>
        <v/>
      </c>
      <c r="T678" s="9">
        <f>IF(AND(ISNUMBER(M678),ISNUMBER(O678)),IF(M678&lt;=O678,"Valor ≤ venal IPTU",""),"")</f>
        <v/>
      </c>
      <c r="U678" s="10">
        <f>IF(AND(ISNUMBER(M678),ISNUMBER(N678)),IF(N678&gt;0,M678/N678,""),"")</f>
        <v/>
      </c>
      <c r="V678" s="10">
        <f>IF(AND(ISNUMBER(M678),ISNUMBER(O678)),IF(O678&gt;0,M678/O678,""),"")</f>
        <v/>
      </c>
      <c r="W678" s="10">
        <f>IF(AND(ISNUMBER(M678),ISNUMBER(R678)),IF(R678&gt;0,M678/R678,""),"")</f>
        <v/>
      </c>
      <c r="X678" s="10">
        <f>IF(AND(ISNUMBER(Q678),ISNUMBER(M678)),IF(M678&gt;0,Q678/M678,""),"")</f>
        <v/>
      </c>
      <c r="Y678" s="11">
        <f>IF(ISNUMBER(Z678),YEAR(Z678),"")</f>
        <v/>
      </c>
      <c r="Z678" s="12" t="n"/>
      <c r="AA678" s="12" t="n"/>
      <c r="AI678" s="12" t="n"/>
      <c r="AJ678" s="13">
        <f>IF(LEN(TRIM(AF678))=0,"",HYPERLINK("https://www.google.com/maps/@?api=1&amp;map_action=pano&amp;viewpoint="&amp;SUBSTITUTE(AF678," ",""),"Abrir Street View"))</f>
        <v/>
      </c>
    </row>
    <row r="679">
      <c r="H679" s="6" t="n"/>
      <c r="I679" s="6" t="n"/>
      <c r="M679" s="7" t="n"/>
      <c r="N679" s="7" t="n"/>
      <c r="O679" s="7" t="n"/>
      <c r="Q679" s="7" t="n"/>
      <c r="R679" s="7" t="n"/>
      <c r="S679" s="8">
        <f>IF(NOT(ISNUMBER(M679)),"",IF(G679="Terreno",IF(AND(ISNUMBER(I679),I679&gt;0),M679/I679,""),IF(AND(ISNUMBER(H679),H679&gt;0),M679/H679,"")))</f>
        <v/>
      </c>
      <c r="T679" s="9">
        <f>IF(AND(ISNUMBER(M679),ISNUMBER(O679)),IF(M679&lt;=O679,"Valor ≤ venal IPTU",""),"")</f>
        <v/>
      </c>
      <c r="U679" s="10">
        <f>IF(AND(ISNUMBER(M679),ISNUMBER(N679)),IF(N679&gt;0,M679/N679,""),"")</f>
        <v/>
      </c>
      <c r="V679" s="10">
        <f>IF(AND(ISNUMBER(M679),ISNUMBER(O679)),IF(O679&gt;0,M679/O679,""),"")</f>
        <v/>
      </c>
      <c r="W679" s="10">
        <f>IF(AND(ISNUMBER(M679),ISNUMBER(R679)),IF(R679&gt;0,M679/R679,""),"")</f>
        <v/>
      </c>
      <c r="X679" s="10">
        <f>IF(AND(ISNUMBER(Q679),ISNUMBER(M679)),IF(M679&gt;0,Q679/M679,""),"")</f>
        <v/>
      </c>
      <c r="Y679" s="11">
        <f>IF(ISNUMBER(Z679),YEAR(Z679),"")</f>
        <v/>
      </c>
      <c r="Z679" s="12" t="n"/>
      <c r="AA679" s="12" t="n"/>
      <c r="AI679" s="12" t="n"/>
      <c r="AJ679" s="13">
        <f>IF(LEN(TRIM(AF679))=0,"",HYPERLINK("https://www.google.com/maps/@?api=1&amp;map_action=pano&amp;viewpoint="&amp;SUBSTITUTE(AF679," ",""),"Abrir Street View"))</f>
        <v/>
      </c>
    </row>
    <row r="680">
      <c r="H680" s="6" t="n"/>
      <c r="I680" s="6" t="n"/>
      <c r="M680" s="7" t="n"/>
      <c r="N680" s="7" t="n"/>
      <c r="O680" s="7" t="n"/>
      <c r="Q680" s="7" t="n"/>
      <c r="R680" s="7" t="n"/>
      <c r="S680" s="8">
        <f>IF(NOT(ISNUMBER(M680)),"",IF(G680="Terreno",IF(AND(ISNUMBER(I680),I680&gt;0),M680/I680,""),IF(AND(ISNUMBER(H680),H680&gt;0),M680/H680,"")))</f>
        <v/>
      </c>
      <c r="T680" s="9">
        <f>IF(AND(ISNUMBER(M680),ISNUMBER(O680)),IF(M680&lt;=O680,"Valor ≤ venal IPTU",""),"")</f>
        <v/>
      </c>
      <c r="U680" s="10">
        <f>IF(AND(ISNUMBER(M680),ISNUMBER(N680)),IF(N680&gt;0,M680/N680,""),"")</f>
        <v/>
      </c>
      <c r="V680" s="10">
        <f>IF(AND(ISNUMBER(M680),ISNUMBER(O680)),IF(O680&gt;0,M680/O680,""),"")</f>
        <v/>
      </c>
      <c r="W680" s="10">
        <f>IF(AND(ISNUMBER(M680),ISNUMBER(R680)),IF(R680&gt;0,M680/R680,""),"")</f>
        <v/>
      </c>
      <c r="X680" s="10">
        <f>IF(AND(ISNUMBER(Q680),ISNUMBER(M680)),IF(M680&gt;0,Q680/M680,""),"")</f>
        <v/>
      </c>
      <c r="Y680" s="11">
        <f>IF(ISNUMBER(Z680),YEAR(Z680),"")</f>
        <v/>
      </c>
      <c r="Z680" s="12" t="n"/>
      <c r="AA680" s="12" t="n"/>
      <c r="AI680" s="12" t="n"/>
      <c r="AJ680" s="13">
        <f>IF(LEN(TRIM(AF680))=0,"",HYPERLINK("https://www.google.com/maps/@?api=1&amp;map_action=pano&amp;viewpoint="&amp;SUBSTITUTE(AF680," ",""),"Abrir Street View"))</f>
        <v/>
      </c>
    </row>
    <row r="681">
      <c r="H681" s="6" t="n"/>
      <c r="I681" s="6" t="n"/>
      <c r="M681" s="7" t="n"/>
      <c r="N681" s="7" t="n"/>
      <c r="O681" s="7" t="n"/>
      <c r="Q681" s="7" t="n"/>
      <c r="R681" s="7" t="n"/>
      <c r="S681" s="8">
        <f>IF(NOT(ISNUMBER(M681)),"",IF(G681="Terreno",IF(AND(ISNUMBER(I681),I681&gt;0),M681/I681,""),IF(AND(ISNUMBER(H681),H681&gt;0),M681/H681,"")))</f>
        <v/>
      </c>
      <c r="T681" s="9">
        <f>IF(AND(ISNUMBER(M681),ISNUMBER(O681)),IF(M681&lt;=O681,"Valor ≤ venal IPTU",""),"")</f>
        <v/>
      </c>
      <c r="U681" s="10">
        <f>IF(AND(ISNUMBER(M681),ISNUMBER(N681)),IF(N681&gt;0,M681/N681,""),"")</f>
        <v/>
      </c>
      <c r="V681" s="10">
        <f>IF(AND(ISNUMBER(M681),ISNUMBER(O681)),IF(O681&gt;0,M681/O681,""),"")</f>
        <v/>
      </c>
      <c r="W681" s="10">
        <f>IF(AND(ISNUMBER(M681),ISNUMBER(R681)),IF(R681&gt;0,M681/R681,""),"")</f>
        <v/>
      </c>
      <c r="X681" s="10">
        <f>IF(AND(ISNUMBER(Q681),ISNUMBER(M681)),IF(M681&gt;0,Q681/M681,""),"")</f>
        <v/>
      </c>
      <c r="Y681" s="11">
        <f>IF(ISNUMBER(Z681),YEAR(Z681),"")</f>
        <v/>
      </c>
      <c r="Z681" s="12" t="n"/>
      <c r="AA681" s="12" t="n"/>
      <c r="AI681" s="12" t="n"/>
      <c r="AJ681" s="13">
        <f>IF(LEN(TRIM(AF681))=0,"",HYPERLINK("https://www.google.com/maps/@?api=1&amp;map_action=pano&amp;viewpoint="&amp;SUBSTITUTE(AF681," ",""),"Abrir Street View"))</f>
        <v/>
      </c>
    </row>
    <row r="682">
      <c r="H682" s="6" t="n"/>
      <c r="I682" s="6" t="n"/>
      <c r="M682" s="7" t="n"/>
      <c r="N682" s="7" t="n"/>
      <c r="O682" s="7" t="n"/>
      <c r="Q682" s="7" t="n"/>
      <c r="R682" s="7" t="n"/>
      <c r="S682" s="8">
        <f>IF(NOT(ISNUMBER(M682)),"",IF(G682="Terreno",IF(AND(ISNUMBER(I682),I682&gt;0),M682/I682,""),IF(AND(ISNUMBER(H682),H682&gt;0),M682/H682,"")))</f>
        <v/>
      </c>
      <c r="T682" s="9">
        <f>IF(AND(ISNUMBER(M682),ISNUMBER(O682)),IF(M682&lt;=O682,"Valor ≤ venal IPTU",""),"")</f>
        <v/>
      </c>
      <c r="U682" s="10">
        <f>IF(AND(ISNUMBER(M682),ISNUMBER(N682)),IF(N682&gt;0,M682/N682,""),"")</f>
        <v/>
      </c>
      <c r="V682" s="10">
        <f>IF(AND(ISNUMBER(M682),ISNUMBER(O682)),IF(O682&gt;0,M682/O682,""),"")</f>
        <v/>
      </c>
      <c r="W682" s="10">
        <f>IF(AND(ISNUMBER(M682),ISNUMBER(R682)),IF(R682&gt;0,M682/R682,""),"")</f>
        <v/>
      </c>
      <c r="X682" s="10">
        <f>IF(AND(ISNUMBER(Q682),ISNUMBER(M682)),IF(M682&gt;0,Q682/M682,""),"")</f>
        <v/>
      </c>
      <c r="Y682" s="11">
        <f>IF(ISNUMBER(Z682),YEAR(Z682),"")</f>
        <v/>
      </c>
      <c r="Z682" s="12" t="n"/>
      <c r="AA682" s="12" t="n"/>
      <c r="AI682" s="12" t="n"/>
      <c r="AJ682" s="13">
        <f>IF(LEN(TRIM(AF682))=0,"",HYPERLINK("https://www.google.com/maps/@?api=1&amp;map_action=pano&amp;viewpoint="&amp;SUBSTITUTE(AF682," ",""),"Abrir Street View"))</f>
        <v/>
      </c>
    </row>
    <row r="683">
      <c r="H683" s="6" t="n"/>
      <c r="I683" s="6" t="n"/>
      <c r="M683" s="7" t="n"/>
      <c r="N683" s="7" t="n"/>
      <c r="O683" s="7" t="n"/>
      <c r="Q683" s="7" t="n"/>
      <c r="R683" s="7" t="n"/>
      <c r="S683" s="8">
        <f>IF(NOT(ISNUMBER(M683)),"",IF(G683="Terreno",IF(AND(ISNUMBER(I683),I683&gt;0),M683/I683,""),IF(AND(ISNUMBER(H683),H683&gt;0),M683/H683,"")))</f>
        <v/>
      </c>
      <c r="T683" s="9">
        <f>IF(AND(ISNUMBER(M683),ISNUMBER(O683)),IF(M683&lt;=O683,"Valor ≤ venal IPTU",""),"")</f>
        <v/>
      </c>
      <c r="U683" s="10">
        <f>IF(AND(ISNUMBER(M683),ISNUMBER(N683)),IF(N683&gt;0,M683/N683,""),"")</f>
        <v/>
      </c>
      <c r="V683" s="10">
        <f>IF(AND(ISNUMBER(M683),ISNUMBER(O683)),IF(O683&gt;0,M683/O683,""),"")</f>
        <v/>
      </c>
      <c r="W683" s="10">
        <f>IF(AND(ISNUMBER(M683),ISNUMBER(R683)),IF(R683&gt;0,M683/R683,""),"")</f>
        <v/>
      </c>
      <c r="X683" s="10">
        <f>IF(AND(ISNUMBER(Q683),ISNUMBER(M683)),IF(M683&gt;0,Q683/M683,""),"")</f>
        <v/>
      </c>
      <c r="Y683" s="11">
        <f>IF(ISNUMBER(Z683),YEAR(Z683),"")</f>
        <v/>
      </c>
      <c r="Z683" s="12" t="n"/>
      <c r="AA683" s="12" t="n"/>
      <c r="AI683" s="12" t="n"/>
      <c r="AJ683" s="13">
        <f>IF(LEN(TRIM(AF683))=0,"",HYPERLINK("https://www.google.com/maps/@?api=1&amp;map_action=pano&amp;viewpoint="&amp;SUBSTITUTE(AF683," ",""),"Abrir Street View"))</f>
        <v/>
      </c>
    </row>
    <row r="684">
      <c r="H684" s="6" t="n"/>
      <c r="I684" s="6" t="n"/>
      <c r="M684" s="7" t="n"/>
      <c r="N684" s="7" t="n"/>
      <c r="O684" s="7" t="n"/>
      <c r="Q684" s="7" t="n"/>
      <c r="R684" s="7" t="n"/>
      <c r="S684" s="8">
        <f>IF(NOT(ISNUMBER(M684)),"",IF(G684="Terreno",IF(AND(ISNUMBER(I684),I684&gt;0),M684/I684,""),IF(AND(ISNUMBER(H684),H684&gt;0),M684/H684,"")))</f>
        <v/>
      </c>
      <c r="T684" s="9">
        <f>IF(AND(ISNUMBER(M684),ISNUMBER(O684)),IF(M684&lt;=O684,"Valor ≤ venal IPTU",""),"")</f>
        <v/>
      </c>
      <c r="U684" s="10">
        <f>IF(AND(ISNUMBER(M684),ISNUMBER(N684)),IF(N684&gt;0,M684/N684,""),"")</f>
        <v/>
      </c>
      <c r="V684" s="10">
        <f>IF(AND(ISNUMBER(M684),ISNUMBER(O684)),IF(O684&gt;0,M684/O684,""),"")</f>
        <v/>
      </c>
      <c r="W684" s="10">
        <f>IF(AND(ISNUMBER(M684),ISNUMBER(R684)),IF(R684&gt;0,M684/R684,""),"")</f>
        <v/>
      </c>
      <c r="X684" s="10">
        <f>IF(AND(ISNUMBER(Q684),ISNUMBER(M684)),IF(M684&gt;0,Q684/M684,""),"")</f>
        <v/>
      </c>
      <c r="Y684" s="11">
        <f>IF(ISNUMBER(Z684),YEAR(Z684),"")</f>
        <v/>
      </c>
      <c r="Z684" s="12" t="n"/>
      <c r="AA684" s="12" t="n"/>
      <c r="AI684" s="12" t="n"/>
      <c r="AJ684" s="13">
        <f>IF(LEN(TRIM(AF684))=0,"",HYPERLINK("https://www.google.com/maps/@?api=1&amp;map_action=pano&amp;viewpoint="&amp;SUBSTITUTE(AF684," ",""),"Abrir Street View"))</f>
        <v/>
      </c>
    </row>
    <row r="685">
      <c r="H685" s="6" t="n"/>
      <c r="I685" s="6" t="n"/>
      <c r="M685" s="7" t="n"/>
      <c r="N685" s="7" t="n"/>
      <c r="O685" s="7" t="n"/>
      <c r="Q685" s="7" t="n"/>
      <c r="R685" s="7" t="n"/>
      <c r="S685" s="8">
        <f>IF(NOT(ISNUMBER(M685)),"",IF(G685="Terreno",IF(AND(ISNUMBER(I685),I685&gt;0),M685/I685,""),IF(AND(ISNUMBER(H685),H685&gt;0),M685/H685,"")))</f>
        <v/>
      </c>
      <c r="T685" s="9">
        <f>IF(AND(ISNUMBER(M685),ISNUMBER(O685)),IF(M685&lt;=O685,"Valor ≤ venal IPTU",""),"")</f>
        <v/>
      </c>
      <c r="U685" s="10">
        <f>IF(AND(ISNUMBER(M685),ISNUMBER(N685)),IF(N685&gt;0,M685/N685,""),"")</f>
        <v/>
      </c>
      <c r="V685" s="10">
        <f>IF(AND(ISNUMBER(M685),ISNUMBER(O685)),IF(O685&gt;0,M685/O685,""),"")</f>
        <v/>
      </c>
      <c r="W685" s="10">
        <f>IF(AND(ISNUMBER(M685),ISNUMBER(R685)),IF(R685&gt;0,M685/R685,""),"")</f>
        <v/>
      </c>
      <c r="X685" s="10">
        <f>IF(AND(ISNUMBER(Q685),ISNUMBER(M685)),IF(M685&gt;0,Q685/M685,""),"")</f>
        <v/>
      </c>
      <c r="Y685" s="11">
        <f>IF(ISNUMBER(Z685),YEAR(Z685),"")</f>
        <v/>
      </c>
      <c r="Z685" s="12" t="n"/>
      <c r="AA685" s="12" t="n"/>
      <c r="AI685" s="12" t="n"/>
      <c r="AJ685" s="13">
        <f>IF(LEN(TRIM(AF685))=0,"",HYPERLINK("https://www.google.com/maps/@?api=1&amp;map_action=pano&amp;viewpoint="&amp;SUBSTITUTE(AF685," ",""),"Abrir Street View"))</f>
        <v/>
      </c>
    </row>
    <row r="686">
      <c r="H686" s="6" t="n"/>
      <c r="I686" s="6" t="n"/>
      <c r="M686" s="7" t="n"/>
      <c r="N686" s="7" t="n"/>
      <c r="O686" s="7" t="n"/>
      <c r="Q686" s="7" t="n"/>
      <c r="R686" s="7" t="n"/>
      <c r="S686" s="8">
        <f>IF(NOT(ISNUMBER(M686)),"",IF(G686="Terreno",IF(AND(ISNUMBER(I686),I686&gt;0),M686/I686,""),IF(AND(ISNUMBER(H686),H686&gt;0),M686/H686,"")))</f>
        <v/>
      </c>
      <c r="T686" s="9">
        <f>IF(AND(ISNUMBER(M686),ISNUMBER(O686)),IF(M686&lt;=O686,"Valor ≤ venal IPTU",""),"")</f>
        <v/>
      </c>
      <c r="U686" s="10">
        <f>IF(AND(ISNUMBER(M686),ISNUMBER(N686)),IF(N686&gt;0,M686/N686,""),"")</f>
        <v/>
      </c>
      <c r="V686" s="10">
        <f>IF(AND(ISNUMBER(M686),ISNUMBER(O686)),IF(O686&gt;0,M686/O686,""),"")</f>
        <v/>
      </c>
      <c r="W686" s="10">
        <f>IF(AND(ISNUMBER(M686),ISNUMBER(R686)),IF(R686&gt;0,M686/R686,""),"")</f>
        <v/>
      </c>
      <c r="X686" s="10">
        <f>IF(AND(ISNUMBER(Q686),ISNUMBER(M686)),IF(M686&gt;0,Q686/M686,""),"")</f>
        <v/>
      </c>
      <c r="Y686" s="11">
        <f>IF(ISNUMBER(Z686),YEAR(Z686),"")</f>
        <v/>
      </c>
      <c r="Z686" s="12" t="n"/>
      <c r="AA686" s="12" t="n"/>
      <c r="AI686" s="12" t="n"/>
      <c r="AJ686" s="13">
        <f>IF(LEN(TRIM(AF686))=0,"",HYPERLINK("https://www.google.com/maps/@?api=1&amp;map_action=pano&amp;viewpoint="&amp;SUBSTITUTE(AF686," ",""),"Abrir Street View"))</f>
        <v/>
      </c>
    </row>
    <row r="687">
      <c r="H687" s="6" t="n"/>
      <c r="I687" s="6" t="n"/>
      <c r="M687" s="7" t="n"/>
      <c r="N687" s="7" t="n"/>
      <c r="O687" s="7" t="n"/>
      <c r="Q687" s="7" t="n"/>
      <c r="R687" s="7" t="n"/>
      <c r="S687" s="8">
        <f>IF(NOT(ISNUMBER(M687)),"",IF(G687="Terreno",IF(AND(ISNUMBER(I687),I687&gt;0),M687/I687,""),IF(AND(ISNUMBER(H687),H687&gt;0),M687/H687,"")))</f>
        <v/>
      </c>
      <c r="T687" s="9">
        <f>IF(AND(ISNUMBER(M687),ISNUMBER(O687)),IF(M687&lt;=O687,"Valor ≤ venal IPTU",""),"")</f>
        <v/>
      </c>
      <c r="U687" s="10">
        <f>IF(AND(ISNUMBER(M687),ISNUMBER(N687)),IF(N687&gt;0,M687/N687,""),"")</f>
        <v/>
      </c>
      <c r="V687" s="10">
        <f>IF(AND(ISNUMBER(M687),ISNUMBER(O687)),IF(O687&gt;0,M687/O687,""),"")</f>
        <v/>
      </c>
      <c r="W687" s="10">
        <f>IF(AND(ISNUMBER(M687),ISNUMBER(R687)),IF(R687&gt;0,M687/R687,""),"")</f>
        <v/>
      </c>
      <c r="X687" s="10">
        <f>IF(AND(ISNUMBER(Q687),ISNUMBER(M687)),IF(M687&gt;0,Q687/M687,""),"")</f>
        <v/>
      </c>
      <c r="Y687" s="11">
        <f>IF(ISNUMBER(Z687),YEAR(Z687),"")</f>
        <v/>
      </c>
      <c r="Z687" s="12" t="n"/>
      <c r="AA687" s="12" t="n"/>
      <c r="AI687" s="12" t="n"/>
      <c r="AJ687" s="13">
        <f>IF(LEN(TRIM(AF687))=0,"",HYPERLINK("https://www.google.com/maps/@?api=1&amp;map_action=pano&amp;viewpoint="&amp;SUBSTITUTE(AF687," ",""),"Abrir Street View"))</f>
        <v/>
      </c>
    </row>
    <row r="688">
      <c r="H688" s="6" t="n"/>
      <c r="I688" s="6" t="n"/>
      <c r="M688" s="7" t="n"/>
      <c r="N688" s="7" t="n"/>
      <c r="O688" s="7" t="n"/>
      <c r="Q688" s="7" t="n"/>
      <c r="R688" s="7" t="n"/>
      <c r="S688" s="8">
        <f>IF(NOT(ISNUMBER(M688)),"",IF(G688="Terreno",IF(AND(ISNUMBER(I688),I688&gt;0),M688/I688,""),IF(AND(ISNUMBER(H688),H688&gt;0),M688/H688,"")))</f>
        <v/>
      </c>
      <c r="T688" s="9">
        <f>IF(AND(ISNUMBER(M688),ISNUMBER(O688)),IF(M688&lt;=O688,"Valor ≤ venal IPTU",""),"")</f>
        <v/>
      </c>
      <c r="U688" s="10">
        <f>IF(AND(ISNUMBER(M688),ISNUMBER(N688)),IF(N688&gt;0,M688/N688,""),"")</f>
        <v/>
      </c>
      <c r="V688" s="10">
        <f>IF(AND(ISNUMBER(M688),ISNUMBER(O688)),IF(O688&gt;0,M688/O688,""),"")</f>
        <v/>
      </c>
      <c r="W688" s="10">
        <f>IF(AND(ISNUMBER(M688),ISNUMBER(R688)),IF(R688&gt;0,M688/R688,""),"")</f>
        <v/>
      </c>
      <c r="X688" s="10">
        <f>IF(AND(ISNUMBER(Q688),ISNUMBER(M688)),IF(M688&gt;0,Q688/M688,""),"")</f>
        <v/>
      </c>
      <c r="Y688" s="11">
        <f>IF(ISNUMBER(Z688),YEAR(Z688),"")</f>
        <v/>
      </c>
      <c r="Z688" s="12" t="n"/>
      <c r="AA688" s="12" t="n"/>
      <c r="AI688" s="12" t="n"/>
      <c r="AJ688" s="13">
        <f>IF(LEN(TRIM(AF688))=0,"",HYPERLINK("https://www.google.com/maps/@?api=1&amp;map_action=pano&amp;viewpoint="&amp;SUBSTITUTE(AF688," ",""),"Abrir Street View"))</f>
        <v/>
      </c>
    </row>
    <row r="689">
      <c r="H689" s="6" t="n"/>
      <c r="I689" s="6" t="n"/>
      <c r="M689" s="7" t="n"/>
      <c r="N689" s="7" t="n"/>
      <c r="O689" s="7" t="n"/>
      <c r="Q689" s="7" t="n"/>
      <c r="R689" s="7" t="n"/>
      <c r="S689" s="8">
        <f>IF(NOT(ISNUMBER(M689)),"",IF(G689="Terreno",IF(AND(ISNUMBER(I689),I689&gt;0),M689/I689,""),IF(AND(ISNUMBER(H689),H689&gt;0),M689/H689,"")))</f>
        <v/>
      </c>
      <c r="T689" s="9">
        <f>IF(AND(ISNUMBER(M689),ISNUMBER(O689)),IF(M689&lt;=O689,"Valor ≤ venal IPTU",""),"")</f>
        <v/>
      </c>
      <c r="U689" s="10">
        <f>IF(AND(ISNUMBER(M689),ISNUMBER(N689)),IF(N689&gt;0,M689/N689,""),"")</f>
        <v/>
      </c>
      <c r="V689" s="10">
        <f>IF(AND(ISNUMBER(M689),ISNUMBER(O689)),IF(O689&gt;0,M689/O689,""),"")</f>
        <v/>
      </c>
      <c r="W689" s="10">
        <f>IF(AND(ISNUMBER(M689),ISNUMBER(R689)),IF(R689&gt;0,M689/R689,""),"")</f>
        <v/>
      </c>
      <c r="X689" s="10">
        <f>IF(AND(ISNUMBER(Q689),ISNUMBER(M689)),IF(M689&gt;0,Q689/M689,""),"")</f>
        <v/>
      </c>
      <c r="Y689" s="11">
        <f>IF(ISNUMBER(Z689),YEAR(Z689),"")</f>
        <v/>
      </c>
      <c r="Z689" s="12" t="n"/>
      <c r="AA689" s="12" t="n"/>
      <c r="AI689" s="12" t="n"/>
      <c r="AJ689" s="13">
        <f>IF(LEN(TRIM(AF689))=0,"",HYPERLINK("https://www.google.com/maps/@?api=1&amp;map_action=pano&amp;viewpoint="&amp;SUBSTITUTE(AF689," ",""),"Abrir Street View"))</f>
        <v/>
      </c>
    </row>
    <row r="690">
      <c r="H690" s="6" t="n"/>
      <c r="I690" s="6" t="n"/>
      <c r="M690" s="7" t="n"/>
      <c r="N690" s="7" t="n"/>
      <c r="O690" s="7" t="n"/>
      <c r="Q690" s="7" t="n"/>
      <c r="R690" s="7" t="n"/>
      <c r="S690" s="8">
        <f>IF(NOT(ISNUMBER(M690)),"",IF(G690="Terreno",IF(AND(ISNUMBER(I690),I690&gt;0),M690/I690,""),IF(AND(ISNUMBER(H690),H690&gt;0),M690/H690,"")))</f>
        <v/>
      </c>
      <c r="T690" s="9">
        <f>IF(AND(ISNUMBER(M690),ISNUMBER(O690)),IF(M690&lt;=O690,"Valor ≤ venal IPTU",""),"")</f>
        <v/>
      </c>
      <c r="U690" s="10">
        <f>IF(AND(ISNUMBER(M690),ISNUMBER(N690)),IF(N690&gt;0,M690/N690,""),"")</f>
        <v/>
      </c>
      <c r="V690" s="10">
        <f>IF(AND(ISNUMBER(M690),ISNUMBER(O690)),IF(O690&gt;0,M690/O690,""),"")</f>
        <v/>
      </c>
      <c r="W690" s="10">
        <f>IF(AND(ISNUMBER(M690),ISNUMBER(R690)),IF(R690&gt;0,M690/R690,""),"")</f>
        <v/>
      </c>
      <c r="X690" s="10">
        <f>IF(AND(ISNUMBER(Q690),ISNUMBER(M690)),IF(M690&gt;0,Q690/M690,""),"")</f>
        <v/>
      </c>
      <c r="Y690" s="11">
        <f>IF(ISNUMBER(Z690),YEAR(Z690),"")</f>
        <v/>
      </c>
      <c r="Z690" s="12" t="n"/>
      <c r="AA690" s="12" t="n"/>
      <c r="AI690" s="12" t="n"/>
      <c r="AJ690" s="13">
        <f>IF(LEN(TRIM(AF690))=0,"",HYPERLINK("https://www.google.com/maps/@?api=1&amp;map_action=pano&amp;viewpoint="&amp;SUBSTITUTE(AF690," ",""),"Abrir Street View"))</f>
        <v/>
      </c>
    </row>
    <row r="691">
      <c r="H691" s="6" t="n"/>
      <c r="I691" s="6" t="n"/>
      <c r="M691" s="7" t="n"/>
      <c r="N691" s="7" t="n"/>
      <c r="O691" s="7" t="n"/>
      <c r="Q691" s="7" t="n"/>
      <c r="R691" s="7" t="n"/>
      <c r="S691" s="8">
        <f>IF(NOT(ISNUMBER(M691)),"",IF(G691="Terreno",IF(AND(ISNUMBER(I691),I691&gt;0),M691/I691,""),IF(AND(ISNUMBER(H691),H691&gt;0),M691/H691,"")))</f>
        <v/>
      </c>
      <c r="T691" s="9">
        <f>IF(AND(ISNUMBER(M691),ISNUMBER(O691)),IF(M691&lt;=O691,"Valor ≤ venal IPTU",""),"")</f>
        <v/>
      </c>
      <c r="U691" s="10">
        <f>IF(AND(ISNUMBER(M691),ISNUMBER(N691)),IF(N691&gt;0,M691/N691,""),"")</f>
        <v/>
      </c>
      <c r="V691" s="10">
        <f>IF(AND(ISNUMBER(M691),ISNUMBER(O691)),IF(O691&gt;0,M691/O691,""),"")</f>
        <v/>
      </c>
      <c r="W691" s="10">
        <f>IF(AND(ISNUMBER(M691),ISNUMBER(R691)),IF(R691&gt;0,M691/R691,""),"")</f>
        <v/>
      </c>
      <c r="X691" s="10">
        <f>IF(AND(ISNUMBER(Q691),ISNUMBER(M691)),IF(M691&gt;0,Q691/M691,""),"")</f>
        <v/>
      </c>
      <c r="Y691" s="11">
        <f>IF(ISNUMBER(Z691),YEAR(Z691),"")</f>
        <v/>
      </c>
      <c r="Z691" s="12" t="n"/>
      <c r="AA691" s="12" t="n"/>
      <c r="AI691" s="12" t="n"/>
      <c r="AJ691" s="13">
        <f>IF(LEN(TRIM(AF691))=0,"",HYPERLINK("https://www.google.com/maps/@?api=1&amp;map_action=pano&amp;viewpoint="&amp;SUBSTITUTE(AF691," ",""),"Abrir Street View"))</f>
        <v/>
      </c>
    </row>
    <row r="692">
      <c r="H692" s="6" t="n"/>
      <c r="I692" s="6" t="n"/>
      <c r="M692" s="7" t="n"/>
      <c r="N692" s="7" t="n"/>
      <c r="O692" s="7" t="n"/>
      <c r="Q692" s="7" t="n"/>
      <c r="R692" s="7" t="n"/>
      <c r="S692" s="8">
        <f>IF(NOT(ISNUMBER(M692)),"",IF(G692="Terreno",IF(AND(ISNUMBER(I692),I692&gt;0),M692/I692,""),IF(AND(ISNUMBER(H692),H692&gt;0),M692/H692,"")))</f>
        <v/>
      </c>
      <c r="T692" s="9">
        <f>IF(AND(ISNUMBER(M692),ISNUMBER(O692)),IF(M692&lt;=O692,"Valor ≤ venal IPTU",""),"")</f>
        <v/>
      </c>
      <c r="U692" s="10">
        <f>IF(AND(ISNUMBER(M692),ISNUMBER(N692)),IF(N692&gt;0,M692/N692,""),"")</f>
        <v/>
      </c>
      <c r="V692" s="10">
        <f>IF(AND(ISNUMBER(M692),ISNUMBER(O692)),IF(O692&gt;0,M692/O692,""),"")</f>
        <v/>
      </c>
      <c r="W692" s="10">
        <f>IF(AND(ISNUMBER(M692),ISNUMBER(R692)),IF(R692&gt;0,M692/R692,""),"")</f>
        <v/>
      </c>
      <c r="X692" s="10">
        <f>IF(AND(ISNUMBER(Q692),ISNUMBER(M692)),IF(M692&gt;0,Q692/M692,""),"")</f>
        <v/>
      </c>
      <c r="Y692" s="11">
        <f>IF(ISNUMBER(Z692),YEAR(Z692),"")</f>
        <v/>
      </c>
      <c r="Z692" s="12" t="n"/>
      <c r="AA692" s="12" t="n"/>
      <c r="AI692" s="12" t="n"/>
      <c r="AJ692" s="13">
        <f>IF(LEN(TRIM(AF692))=0,"",HYPERLINK("https://www.google.com/maps/@?api=1&amp;map_action=pano&amp;viewpoint="&amp;SUBSTITUTE(AF692," ",""),"Abrir Street View"))</f>
        <v/>
      </c>
    </row>
    <row r="693">
      <c r="H693" s="6" t="n"/>
      <c r="I693" s="6" t="n"/>
      <c r="M693" s="7" t="n"/>
      <c r="N693" s="7" t="n"/>
      <c r="O693" s="7" t="n"/>
      <c r="Q693" s="7" t="n"/>
      <c r="R693" s="7" t="n"/>
      <c r="S693" s="8">
        <f>IF(NOT(ISNUMBER(M693)),"",IF(G693="Terreno",IF(AND(ISNUMBER(I693),I693&gt;0),M693/I693,""),IF(AND(ISNUMBER(H693),H693&gt;0),M693/H693,"")))</f>
        <v/>
      </c>
      <c r="T693" s="9">
        <f>IF(AND(ISNUMBER(M693),ISNUMBER(O693)),IF(M693&lt;=O693,"Valor ≤ venal IPTU",""),"")</f>
        <v/>
      </c>
      <c r="U693" s="10">
        <f>IF(AND(ISNUMBER(M693),ISNUMBER(N693)),IF(N693&gt;0,M693/N693,""),"")</f>
        <v/>
      </c>
      <c r="V693" s="10">
        <f>IF(AND(ISNUMBER(M693),ISNUMBER(O693)),IF(O693&gt;0,M693/O693,""),"")</f>
        <v/>
      </c>
      <c r="W693" s="10">
        <f>IF(AND(ISNUMBER(M693),ISNUMBER(R693)),IF(R693&gt;0,M693/R693,""),"")</f>
        <v/>
      </c>
      <c r="X693" s="10">
        <f>IF(AND(ISNUMBER(Q693),ISNUMBER(M693)),IF(M693&gt;0,Q693/M693,""),"")</f>
        <v/>
      </c>
      <c r="Y693" s="11">
        <f>IF(ISNUMBER(Z693),YEAR(Z693),"")</f>
        <v/>
      </c>
      <c r="Z693" s="12" t="n"/>
      <c r="AA693" s="12" t="n"/>
      <c r="AI693" s="12" t="n"/>
      <c r="AJ693" s="13">
        <f>IF(LEN(TRIM(AF693))=0,"",HYPERLINK("https://www.google.com/maps/@?api=1&amp;map_action=pano&amp;viewpoint="&amp;SUBSTITUTE(AF693," ",""),"Abrir Street View"))</f>
        <v/>
      </c>
    </row>
    <row r="694">
      <c r="H694" s="6" t="n"/>
      <c r="I694" s="6" t="n"/>
      <c r="M694" s="7" t="n"/>
      <c r="N694" s="7" t="n"/>
      <c r="O694" s="7" t="n"/>
      <c r="Q694" s="7" t="n"/>
      <c r="R694" s="7" t="n"/>
      <c r="S694" s="8">
        <f>IF(NOT(ISNUMBER(M694)),"",IF(G694="Terreno",IF(AND(ISNUMBER(I694),I694&gt;0),M694/I694,""),IF(AND(ISNUMBER(H694),H694&gt;0),M694/H694,"")))</f>
        <v/>
      </c>
      <c r="T694" s="9">
        <f>IF(AND(ISNUMBER(M694),ISNUMBER(O694)),IF(M694&lt;=O694,"Valor ≤ venal IPTU",""),"")</f>
        <v/>
      </c>
      <c r="U694" s="10">
        <f>IF(AND(ISNUMBER(M694),ISNUMBER(N694)),IF(N694&gt;0,M694/N694,""),"")</f>
        <v/>
      </c>
      <c r="V694" s="10">
        <f>IF(AND(ISNUMBER(M694),ISNUMBER(O694)),IF(O694&gt;0,M694/O694,""),"")</f>
        <v/>
      </c>
      <c r="W694" s="10">
        <f>IF(AND(ISNUMBER(M694),ISNUMBER(R694)),IF(R694&gt;0,M694/R694,""),"")</f>
        <v/>
      </c>
      <c r="X694" s="10">
        <f>IF(AND(ISNUMBER(Q694),ISNUMBER(M694)),IF(M694&gt;0,Q694/M694,""),"")</f>
        <v/>
      </c>
      <c r="Y694" s="11">
        <f>IF(ISNUMBER(Z694),YEAR(Z694),"")</f>
        <v/>
      </c>
      <c r="Z694" s="12" t="n"/>
      <c r="AA694" s="12" t="n"/>
      <c r="AI694" s="12" t="n"/>
      <c r="AJ694" s="13">
        <f>IF(LEN(TRIM(AF694))=0,"",HYPERLINK("https://www.google.com/maps/@?api=1&amp;map_action=pano&amp;viewpoint="&amp;SUBSTITUTE(AF694," ",""),"Abrir Street View"))</f>
        <v/>
      </c>
    </row>
    <row r="695">
      <c r="H695" s="6" t="n"/>
      <c r="I695" s="6" t="n"/>
      <c r="M695" s="7" t="n"/>
      <c r="N695" s="7" t="n"/>
      <c r="O695" s="7" t="n"/>
      <c r="Q695" s="7" t="n"/>
      <c r="R695" s="7" t="n"/>
      <c r="S695" s="8">
        <f>IF(NOT(ISNUMBER(M695)),"",IF(G695="Terreno",IF(AND(ISNUMBER(I695),I695&gt;0),M695/I695,""),IF(AND(ISNUMBER(H695),H695&gt;0),M695/H695,"")))</f>
        <v/>
      </c>
      <c r="T695" s="9">
        <f>IF(AND(ISNUMBER(M695),ISNUMBER(O695)),IF(M695&lt;=O695,"Valor ≤ venal IPTU",""),"")</f>
        <v/>
      </c>
      <c r="U695" s="10">
        <f>IF(AND(ISNUMBER(M695),ISNUMBER(N695)),IF(N695&gt;0,M695/N695,""),"")</f>
        <v/>
      </c>
      <c r="V695" s="10">
        <f>IF(AND(ISNUMBER(M695),ISNUMBER(O695)),IF(O695&gt;0,M695/O695,""),"")</f>
        <v/>
      </c>
      <c r="W695" s="10">
        <f>IF(AND(ISNUMBER(M695),ISNUMBER(R695)),IF(R695&gt;0,M695/R695,""),"")</f>
        <v/>
      </c>
      <c r="X695" s="10">
        <f>IF(AND(ISNUMBER(Q695),ISNUMBER(M695)),IF(M695&gt;0,Q695/M695,""),"")</f>
        <v/>
      </c>
      <c r="Y695" s="11">
        <f>IF(ISNUMBER(Z695),YEAR(Z695),"")</f>
        <v/>
      </c>
      <c r="Z695" s="12" t="n"/>
      <c r="AA695" s="12" t="n"/>
      <c r="AI695" s="12" t="n"/>
      <c r="AJ695" s="13">
        <f>IF(LEN(TRIM(AF695))=0,"",HYPERLINK("https://www.google.com/maps/@?api=1&amp;map_action=pano&amp;viewpoint="&amp;SUBSTITUTE(AF695," ",""),"Abrir Street View"))</f>
        <v/>
      </c>
    </row>
    <row r="696">
      <c r="H696" s="6" t="n"/>
      <c r="I696" s="6" t="n"/>
      <c r="M696" s="7" t="n"/>
      <c r="N696" s="7" t="n"/>
      <c r="O696" s="7" t="n"/>
      <c r="Q696" s="7" t="n"/>
      <c r="R696" s="7" t="n"/>
      <c r="S696" s="8">
        <f>IF(NOT(ISNUMBER(M696)),"",IF(G696="Terreno",IF(AND(ISNUMBER(I696),I696&gt;0),M696/I696,""),IF(AND(ISNUMBER(H696),H696&gt;0),M696/H696,"")))</f>
        <v/>
      </c>
      <c r="T696" s="9">
        <f>IF(AND(ISNUMBER(M696),ISNUMBER(O696)),IF(M696&lt;=O696,"Valor ≤ venal IPTU",""),"")</f>
        <v/>
      </c>
      <c r="U696" s="10">
        <f>IF(AND(ISNUMBER(M696),ISNUMBER(N696)),IF(N696&gt;0,M696/N696,""),"")</f>
        <v/>
      </c>
      <c r="V696" s="10">
        <f>IF(AND(ISNUMBER(M696),ISNUMBER(O696)),IF(O696&gt;0,M696/O696,""),"")</f>
        <v/>
      </c>
      <c r="W696" s="10">
        <f>IF(AND(ISNUMBER(M696),ISNUMBER(R696)),IF(R696&gt;0,M696/R696,""),"")</f>
        <v/>
      </c>
      <c r="X696" s="10">
        <f>IF(AND(ISNUMBER(Q696),ISNUMBER(M696)),IF(M696&gt;0,Q696/M696,""),"")</f>
        <v/>
      </c>
      <c r="Y696" s="11">
        <f>IF(ISNUMBER(Z696),YEAR(Z696),"")</f>
        <v/>
      </c>
      <c r="Z696" s="12" t="n"/>
      <c r="AA696" s="12" t="n"/>
      <c r="AI696" s="12" t="n"/>
      <c r="AJ696" s="13">
        <f>IF(LEN(TRIM(AF696))=0,"",HYPERLINK("https://www.google.com/maps/@?api=1&amp;map_action=pano&amp;viewpoint="&amp;SUBSTITUTE(AF696," ",""),"Abrir Street View"))</f>
        <v/>
      </c>
    </row>
    <row r="697">
      <c r="H697" s="6" t="n"/>
      <c r="I697" s="6" t="n"/>
      <c r="M697" s="7" t="n"/>
      <c r="N697" s="7" t="n"/>
      <c r="O697" s="7" t="n"/>
      <c r="Q697" s="7" t="n"/>
      <c r="R697" s="7" t="n"/>
      <c r="S697" s="8">
        <f>IF(NOT(ISNUMBER(M697)),"",IF(G697="Terreno",IF(AND(ISNUMBER(I697),I697&gt;0),M697/I697,""),IF(AND(ISNUMBER(H697),H697&gt;0),M697/H697,"")))</f>
        <v/>
      </c>
      <c r="T697" s="9">
        <f>IF(AND(ISNUMBER(M697),ISNUMBER(O697)),IF(M697&lt;=O697,"Valor ≤ venal IPTU",""),"")</f>
        <v/>
      </c>
      <c r="U697" s="10">
        <f>IF(AND(ISNUMBER(M697),ISNUMBER(N697)),IF(N697&gt;0,M697/N697,""),"")</f>
        <v/>
      </c>
      <c r="V697" s="10">
        <f>IF(AND(ISNUMBER(M697),ISNUMBER(O697)),IF(O697&gt;0,M697/O697,""),"")</f>
        <v/>
      </c>
      <c r="W697" s="10">
        <f>IF(AND(ISNUMBER(M697),ISNUMBER(R697)),IF(R697&gt;0,M697/R697,""),"")</f>
        <v/>
      </c>
      <c r="X697" s="10">
        <f>IF(AND(ISNUMBER(Q697),ISNUMBER(M697)),IF(M697&gt;0,Q697/M697,""),"")</f>
        <v/>
      </c>
      <c r="Y697" s="11">
        <f>IF(ISNUMBER(Z697),YEAR(Z697),"")</f>
        <v/>
      </c>
      <c r="Z697" s="12" t="n"/>
      <c r="AA697" s="12" t="n"/>
      <c r="AI697" s="12" t="n"/>
      <c r="AJ697" s="13">
        <f>IF(LEN(TRIM(AF697))=0,"",HYPERLINK("https://www.google.com/maps/@?api=1&amp;map_action=pano&amp;viewpoint="&amp;SUBSTITUTE(AF697," ",""),"Abrir Street View"))</f>
        <v/>
      </c>
    </row>
    <row r="698">
      <c r="H698" s="6" t="n"/>
      <c r="I698" s="6" t="n"/>
      <c r="M698" s="7" t="n"/>
      <c r="N698" s="7" t="n"/>
      <c r="O698" s="7" t="n"/>
      <c r="Q698" s="7" t="n"/>
      <c r="R698" s="7" t="n"/>
      <c r="S698" s="8">
        <f>IF(NOT(ISNUMBER(M698)),"",IF(G698="Terreno",IF(AND(ISNUMBER(I698),I698&gt;0),M698/I698,""),IF(AND(ISNUMBER(H698),H698&gt;0),M698/H698,"")))</f>
        <v/>
      </c>
      <c r="T698" s="9">
        <f>IF(AND(ISNUMBER(M698),ISNUMBER(O698)),IF(M698&lt;=O698,"Valor ≤ venal IPTU",""),"")</f>
        <v/>
      </c>
      <c r="U698" s="10">
        <f>IF(AND(ISNUMBER(M698),ISNUMBER(N698)),IF(N698&gt;0,M698/N698,""),"")</f>
        <v/>
      </c>
      <c r="V698" s="10">
        <f>IF(AND(ISNUMBER(M698),ISNUMBER(O698)),IF(O698&gt;0,M698/O698,""),"")</f>
        <v/>
      </c>
      <c r="W698" s="10">
        <f>IF(AND(ISNUMBER(M698),ISNUMBER(R698)),IF(R698&gt;0,M698/R698,""),"")</f>
        <v/>
      </c>
      <c r="X698" s="10">
        <f>IF(AND(ISNUMBER(Q698),ISNUMBER(M698)),IF(M698&gt;0,Q698/M698,""),"")</f>
        <v/>
      </c>
      <c r="Y698" s="11">
        <f>IF(ISNUMBER(Z698),YEAR(Z698),"")</f>
        <v/>
      </c>
      <c r="Z698" s="12" t="n"/>
      <c r="AA698" s="12" t="n"/>
      <c r="AI698" s="12" t="n"/>
      <c r="AJ698" s="13">
        <f>IF(LEN(TRIM(AF698))=0,"",HYPERLINK("https://www.google.com/maps/@?api=1&amp;map_action=pano&amp;viewpoint="&amp;SUBSTITUTE(AF698," ",""),"Abrir Street View"))</f>
        <v/>
      </c>
    </row>
    <row r="699">
      <c r="H699" s="6" t="n"/>
      <c r="I699" s="6" t="n"/>
      <c r="M699" s="7" t="n"/>
      <c r="N699" s="7" t="n"/>
      <c r="O699" s="7" t="n"/>
      <c r="Q699" s="7" t="n"/>
      <c r="R699" s="7" t="n"/>
      <c r="S699" s="8">
        <f>IF(NOT(ISNUMBER(M699)),"",IF(G699="Terreno",IF(AND(ISNUMBER(I699),I699&gt;0),M699/I699,""),IF(AND(ISNUMBER(H699),H699&gt;0),M699/H699,"")))</f>
        <v/>
      </c>
      <c r="T699" s="9">
        <f>IF(AND(ISNUMBER(M699),ISNUMBER(O699)),IF(M699&lt;=O699,"Valor ≤ venal IPTU",""),"")</f>
        <v/>
      </c>
      <c r="U699" s="10">
        <f>IF(AND(ISNUMBER(M699),ISNUMBER(N699)),IF(N699&gt;0,M699/N699,""),"")</f>
        <v/>
      </c>
      <c r="V699" s="10">
        <f>IF(AND(ISNUMBER(M699),ISNUMBER(O699)),IF(O699&gt;0,M699/O699,""),"")</f>
        <v/>
      </c>
      <c r="W699" s="10">
        <f>IF(AND(ISNUMBER(M699),ISNUMBER(R699)),IF(R699&gt;0,M699/R699,""),"")</f>
        <v/>
      </c>
      <c r="X699" s="10">
        <f>IF(AND(ISNUMBER(Q699),ISNUMBER(M699)),IF(M699&gt;0,Q699/M699,""),"")</f>
        <v/>
      </c>
      <c r="Y699" s="11">
        <f>IF(ISNUMBER(Z699),YEAR(Z699),"")</f>
        <v/>
      </c>
      <c r="Z699" s="12" t="n"/>
      <c r="AA699" s="12" t="n"/>
      <c r="AI699" s="12" t="n"/>
      <c r="AJ699" s="13">
        <f>IF(LEN(TRIM(AF699))=0,"",HYPERLINK("https://www.google.com/maps/@?api=1&amp;map_action=pano&amp;viewpoint="&amp;SUBSTITUTE(AF699," ",""),"Abrir Street View"))</f>
        <v/>
      </c>
    </row>
    <row r="700">
      <c r="H700" s="6" t="n"/>
      <c r="I700" s="6" t="n"/>
      <c r="M700" s="7" t="n"/>
      <c r="N700" s="7" t="n"/>
      <c r="O700" s="7" t="n"/>
      <c r="Q700" s="7" t="n"/>
      <c r="R700" s="7" t="n"/>
      <c r="S700" s="8">
        <f>IF(NOT(ISNUMBER(M700)),"",IF(G700="Terreno",IF(AND(ISNUMBER(I700),I700&gt;0),M700/I700,""),IF(AND(ISNUMBER(H700),H700&gt;0),M700/H700,"")))</f>
        <v/>
      </c>
      <c r="T700" s="9">
        <f>IF(AND(ISNUMBER(M700),ISNUMBER(O700)),IF(M700&lt;=O700,"Valor ≤ venal IPTU",""),"")</f>
        <v/>
      </c>
      <c r="U700" s="10">
        <f>IF(AND(ISNUMBER(M700),ISNUMBER(N700)),IF(N700&gt;0,M700/N700,""),"")</f>
        <v/>
      </c>
      <c r="V700" s="10">
        <f>IF(AND(ISNUMBER(M700),ISNUMBER(O700)),IF(O700&gt;0,M700/O700,""),"")</f>
        <v/>
      </c>
      <c r="W700" s="10">
        <f>IF(AND(ISNUMBER(M700),ISNUMBER(R700)),IF(R700&gt;0,M700/R700,""),"")</f>
        <v/>
      </c>
      <c r="X700" s="10">
        <f>IF(AND(ISNUMBER(Q700),ISNUMBER(M700)),IF(M700&gt;0,Q700/M700,""),"")</f>
        <v/>
      </c>
      <c r="Y700" s="11">
        <f>IF(ISNUMBER(Z700),YEAR(Z700),"")</f>
        <v/>
      </c>
      <c r="Z700" s="12" t="n"/>
      <c r="AA700" s="12" t="n"/>
      <c r="AI700" s="12" t="n"/>
      <c r="AJ700" s="13">
        <f>IF(LEN(TRIM(AF700))=0,"",HYPERLINK("https://www.google.com/maps/@?api=1&amp;map_action=pano&amp;viewpoint="&amp;SUBSTITUTE(AF700," ",""),"Abrir Street View"))</f>
        <v/>
      </c>
    </row>
    <row r="701">
      <c r="H701" s="6" t="n"/>
      <c r="I701" s="6" t="n"/>
      <c r="M701" s="7" t="n"/>
      <c r="N701" s="7" t="n"/>
      <c r="O701" s="7" t="n"/>
      <c r="Q701" s="7" t="n"/>
      <c r="R701" s="7" t="n"/>
      <c r="S701" s="8">
        <f>IF(NOT(ISNUMBER(M701)),"",IF(G701="Terreno",IF(AND(ISNUMBER(I701),I701&gt;0),M701/I701,""),IF(AND(ISNUMBER(H701),H701&gt;0),M701/H701,"")))</f>
        <v/>
      </c>
      <c r="T701" s="9">
        <f>IF(AND(ISNUMBER(M701),ISNUMBER(O701)),IF(M701&lt;=O701,"Valor ≤ venal IPTU",""),"")</f>
        <v/>
      </c>
      <c r="U701" s="10">
        <f>IF(AND(ISNUMBER(M701),ISNUMBER(N701)),IF(N701&gt;0,M701/N701,""),"")</f>
        <v/>
      </c>
      <c r="V701" s="10">
        <f>IF(AND(ISNUMBER(M701),ISNUMBER(O701)),IF(O701&gt;0,M701/O701,""),"")</f>
        <v/>
      </c>
      <c r="W701" s="10">
        <f>IF(AND(ISNUMBER(M701),ISNUMBER(R701)),IF(R701&gt;0,M701/R701,""),"")</f>
        <v/>
      </c>
      <c r="X701" s="10">
        <f>IF(AND(ISNUMBER(Q701),ISNUMBER(M701)),IF(M701&gt;0,Q701/M701,""),"")</f>
        <v/>
      </c>
      <c r="Y701" s="11">
        <f>IF(ISNUMBER(Z701),YEAR(Z701),"")</f>
        <v/>
      </c>
      <c r="Z701" s="12" t="n"/>
      <c r="AA701" s="12" t="n"/>
      <c r="AI701" s="12" t="n"/>
      <c r="AJ701" s="13">
        <f>IF(LEN(TRIM(AF701))=0,"",HYPERLINK("https://www.google.com/maps/@?api=1&amp;map_action=pano&amp;viewpoint="&amp;SUBSTITUTE(AF701," ",""),"Abrir Street View"))</f>
        <v/>
      </c>
    </row>
    <row r="702">
      <c r="H702" s="6" t="n"/>
      <c r="I702" s="6" t="n"/>
      <c r="M702" s="7" t="n"/>
      <c r="N702" s="7" t="n"/>
      <c r="O702" s="7" t="n"/>
      <c r="Q702" s="7" t="n"/>
      <c r="R702" s="7" t="n"/>
      <c r="S702" s="8">
        <f>IF(NOT(ISNUMBER(M702)),"",IF(G702="Terreno",IF(AND(ISNUMBER(I702),I702&gt;0),M702/I702,""),IF(AND(ISNUMBER(H702),H702&gt;0),M702/H702,"")))</f>
        <v/>
      </c>
      <c r="T702" s="9">
        <f>IF(AND(ISNUMBER(M702),ISNUMBER(O702)),IF(M702&lt;=O702,"Valor ≤ venal IPTU",""),"")</f>
        <v/>
      </c>
      <c r="U702" s="10">
        <f>IF(AND(ISNUMBER(M702),ISNUMBER(N702)),IF(N702&gt;0,M702/N702,""),"")</f>
        <v/>
      </c>
      <c r="V702" s="10">
        <f>IF(AND(ISNUMBER(M702),ISNUMBER(O702)),IF(O702&gt;0,M702/O702,""),"")</f>
        <v/>
      </c>
      <c r="W702" s="10">
        <f>IF(AND(ISNUMBER(M702),ISNUMBER(R702)),IF(R702&gt;0,M702/R702,""),"")</f>
        <v/>
      </c>
      <c r="X702" s="10">
        <f>IF(AND(ISNUMBER(Q702),ISNUMBER(M702)),IF(M702&gt;0,Q702/M702,""),"")</f>
        <v/>
      </c>
      <c r="Y702" s="11">
        <f>IF(ISNUMBER(Z702),YEAR(Z702),"")</f>
        <v/>
      </c>
      <c r="Z702" s="12" t="n"/>
      <c r="AA702" s="12" t="n"/>
      <c r="AI702" s="12" t="n"/>
      <c r="AJ702" s="13">
        <f>IF(LEN(TRIM(AF702))=0,"",HYPERLINK("https://www.google.com/maps/@?api=1&amp;map_action=pano&amp;viewpoint="&amp;SUBSTITUTE(AF702," ",""),"Abrir Street View"))</f>
        <v/>
      </c>
    </row>
    <row r="703">
      <c r="H703" s="6" t="n"/>
      <c r="I703" s="6" t="n"/>
      <c r="M703" s="7" t="n"/>
      <c r="N703" s="7" t="n"/>
      <c r="O703" s="7" t="n"/>
      <c r="Q703" s="7" t="n"/>
      <c r="R703" s="7" t="n"/>
      <c r="S703" s="8">
        <f>IF(NOT(ISNUMBER(M703)),"",IF(G703="Terreno",IF(AND(ISNUMBER(I703),I703&gt;0),M703/I703,""),IF(AND(ISNUMBER(H703),H703&gt;0),M703/H703,"")))</f>
        <v/>
      </c>
      <c r="T703" s="9">
        <f>IF(AND(ISNUMBER(M703),ISNUMBER(O703)),IF(M703&lt;=O703,"Valor ≤ venal IPTU",""),"")</f>
        <v/>
      </c>
      <c r="U703" s="10">
        <f>IF(AND(ISNUMBER(M703),ISNUMBER(N703)),IF(N703&gt;0,M703/N703,""),"")</f>
        <v/>
      </c>
      <c r="V703" s="10">
        <f>IF(AND(ISNUMBER(M703),ISNUMBER(O703)),IF(O703&gt;0,M703/O703,""),"")</f>
        <v/>
      </c>
      <c r="W703" s="10">
        <f>IF(AND(ISNUMBER(M703),ISNUMBER(R703)),IF(R703&gt;0,M703/R703,""),"")</f>
        <v/>
      </c>
      <c r="X703" s="10">
        <f>IF(AND(ISNUMBER(Q703),ISNUMBER(M703)),IF(M703&gt;0,Q703/M703,""),"")</f>
        <v/>
      </c>
      <c r="Y703" s="11">
        <f>IF(ISNUMBER(Z703),YEAR(Z703),"")</f>
        <v/>
      </c>
      <c r="Z703" s="12" t="n"/>
      <c r="AA703" s="12" t="n"/>
      <c r="AI703" s="12" t="n"/>
      <c r="AJ703" s="13">
        <f>IF(LEN(TRIM(AF703))=0,"",HYPERLINK("https://www.google.com/maps/@?api=1&amp;map_action=pano&amp;viewpoint="&amp;SUBSTITUTE(AF703," ",""),"Abrir Street View"))</f>
        <v/>
      </c>
    </row>
    <row r="704">
      <c r="H704" s="6" t="n"/>
      <c r="I704" s="6" t="n"/>
      <c r="M704" s="7" t="n"/>
      <c r="N704" s="7" t="n"/>
      <c r="O704" s="7" t="n"/>
      <c r="Q704" s="7" t="n"/>
      <c r="R704" s="7" t="n"/>
      <c r="S704" s="8">
        <f>IF(NOT(ISNUMBER(M704)),"",IF(G704="Terreno",IF(AND(ISNUMBER(I704),I704&gt;0),M704/I704,""),IF(AND(ISNUMBER(H704),H704&gt;0),M704/H704,"")))</f>
        <v/>
      </c>
      <c r="T704" s="9">
        <f>IF(AND(ISNUMBER(M704),ISNUMBER(O704)),IF(M704&lt;=O704,"Valor ≤ venal IPTU",""),"")</f>
        <v/>
      </c>
      <c r="U704" s="10">
        <f>IF(AND(ISNUMBER(M704),ISNUMBER(N704)),IF(N704&gt;0,M704/N704,""),"")</f>
        <v/>
      </c>
      <c r="V704" s="10">
        <f>IF(AND(ISNUMBER(M704),ISNUMBER(O704)),IF(O704&gt;0,M704/O704,""),"")</f>
        <v/>
      </c>
      <c r="W704" s="10">
        <f>IF(AND(ISNUMBER(M704),ISNUMBER(R704)),IF(R704&gt;0,M704/R704,""),"")</f>
        <v/>
      </c>
      <c r="X704" s="10">
        <f>IF(AND(ISNUMBER(Q704),ISNUMBER(M704)),IF(M704&gt;0,Q704/M704,""),"")</f>
        <v/>
      </c>
      <c r="Y704" s="11">
        <f>IF(ISNUMBER(Z704),YEAR(Z704),"")</f>
        <v/>
      </c>
      <c r="Z704" s="12" t="n"/>
      <c r="AA704" s="12" t="n"/>
      <c r="AI704" s="12" t="n"/>
      <c r="AJ704" s="13">
        <f>IF(LEN(TRIM(AF704))=0,"",HYPERLINK("https://www.google.com/maps/@?api=1&amp;map_action=pano&amp;viewpoint="&amp;SUBSTITUTE(AF704," ",""),"Abrir Street View"))</f>
        <v/>
      </c>
    </row>
    <row r="705">
      <c r="H705" s="6" t="n"/>
      <c r="I705" s="6" t="n"/>
      <c r="M705" s="7" t="n"/>
      <c r="N705" s="7" t="n"/>
      <c r="O705" s="7" t="n"/>
      <c r="Q705" s="7" t="n"/>
      <c r="R705" s="7" t="n"/>
      <c r="S705" s="8">
        <f>IF(NOT(ISNUMBER(M705)),"",IF(G705="Terreno",IF(AND(ISNUMBER(I705),I705&gt;0),M705/I705,""),IF(AND(ISNUMBER(H705),H705&gt;0),M705/H705,"")))</f>
        <v/>
      </c>
      <c r="T705" s="9">
        <f>IF(AND(ISNUMBER(M705),ISNUMBER(O705)),IF(M705&lt;=O705,"Valor ≤ venal IPTU",""),"")</f>
        <v/>
      </c>
      <c r="U705" s="10">
        <f>IF(AND(ISNUMBER(M705),ISNUMBER(N705)),IF(N705&gt;0,M705/N705,""),"")</f>
        <v/>
      </c>
      <c r="V705" s="10">
        <f>IF(AND(ISNUMBER(M705),ISNUMBER(O705)),IF(O705&gt;0,M705/O705,""),"")</f>
        <v/>
      </c>
      <c r="W705" s="10">
        <f>IF(AND(ISNUMBER(M705),ISNUMBER(R705)),IF(R705&gt;0,M705/R705,""),"")</f>
        <v/>
      </c>
      <c r="X705" s="10">
        <f>IF(AND(ISNUMBER(Q705),ISNUMBER(M705)),IF(M705&gt;0,Q705/M705,""),"")</f>
        <v/>
      </c>
      <c r="Y705" s="11">
        <f>IF(ISNUMBER(Z705),YEAR(Z705),"")</f>
        <v/>
      </c>
      <c r="Z705" s="12" t="n"/>
      <c r="AA705" s="12" t="n"/>
      <c r="AI705" s="12" t="n"/>
      <c r="AJ705" s="13">
        <f>IF(LEN(TRIM(AF705))=0,"",HYPERLINK("https://www.google.com/maps/@?api=1&amp;map_action=pano&amp;viewpoint="&amp;SUBSTITUTE(AF705," ",""),"Abrir Street View"))</f>
        <v/>
      </c>
    </row>
    <row r="706">
      <c r="H706" s="6" t="n"/>
      <c r="I706" s="6" t="n"/>
      <c r="M706" s="7" t="n"/>
      <c r="N706" s="7" t="n"/>
      <c r="O706" s="7" t="n"/>
      <c r="Q706" s="7" t="n"/>
      <c r="R706" s="7" t="n"/>
      <c r="S706" s="8">
        <f>IF(NOT(ISNUMBER(M706)),"",IF(G706="Terreno",IF(AND(ISNUMBER(I706),I706&gt;0),M706/I706,""),IF(AND(ISNUMBER(H706),H706&gt;0),M706/H706,"")))</f>
        <v/>
      </c>
      <c r="T706" s="9">
        <f>IF(AND(ISNUMBER(M706),ISNUMBER(O706)),IF(M706&lt;=O706,"Valor ≤ venal IPTU",""),"")</f>
        <v/>
      </c>
      <c r="U706" s="10">
        <f>IF(AND(ISNUMBER(M706),ISNUMBER(N706)),IF(N706&gt;0,M706/N706,""),"")</f>
        <v/>
      </c>
      <c r="V706" s="10">
        <f>IF(AND(ISNUMBER(M706),ISNUMBER(O706)),IF(O706&gt;0,M706/O706,""),"")</f>
        <v/>
      </c>
      <c r="W706" s="10">
        <f>IF(AND(ISNUMBER(M706),ISNUMBER(R706)),IF(R706&gt;0,M706/R706,""),"")</f>
        <v/>
      </c>
      <c r="X706" s="10">
        <f>IF(AND(ISNUMBER(Q706),ISNUMBER(M706)),IF(M706&gt;0,Q706/M706,""),"")</f>
        <v/>
      </c>
      <c r="Y706" s="11">
        <f>IF(ISNUMBER(Z706),YEAR(Z706),"")</f>
        <v/>
      </c>
      <c r="Z706" s="12" t="n"/>
      <c r="AA706" s="12" t="n"/>
      <c r="AI706" s="12" t="n"/>
      <c r="AJ706" s="13">
        <f>IF(LEN(TRIM(AF706))=0,"",HYPERLINK("https://www.google.com/maps/@?api=1&amp;map_action=pano&amp;viewpoint="&amp;SUBSTITUTE(AF706," ",""),"Abrir Street View"))</f>
        <v/>
      </c>
    </row>
    <row r="707">
      <c r="H707" s="6" t="n"/>
      <c r="I707" s="6" t="n"/>
      <c r="M707" s="7" t="n"/>
      <c r="N707" s="7" t="n"/>
      <c r="O707" s="7" t="n"/>
      <c r="Q707" s="7" t="n"/>
      <c r="R707" s="7" t="n"/>
      <c r="S707" s="8">
        <f>IF(NOT(ISNUMBER(M707)),"",IF(G707="Terreno",IF(AND(ISNUMBER(I707),I707&gt;0),M707/I707,""),IF(AND(ISNUMBER(H707),H707&gt;0),M707/H707,"")))</f>
        <v/>
      </c>
      <c r="T707" s="9">
        <f>IF(AND(ISNUMBER(M707),ISNUMBER(O707)),IF(M707&lt;=O707,"Valor ≤ venal IPTU",""),"")</f>
        <v/>
      </c>
      <c r="U707" s="10">
        <f>IF(AND(ISNUMBER(M707),ISNUMBER(N707)),IF(N707&gt;0,M707/N707,""),"")</f>
        <v/>
      </c>
      <c r="V707" s="10">
        <f>IF(AND(ISNUMBER(M707),ISNUMBER(O707)),IF(O707&gt;0,M707/O707,""),"")</f>
        <v/>
      </c>
      <c r="W707" s="10">
        <f>IF(AND(ISNUMBER(M707),ISNUMBER(R707)),IF(R707&gt;0,M707/R707,""),"")</f>
        <v/>
      </c>
      <c r="X707" s="10">
        <f>IF(AND(ISNUMBER(Q707),ISNUMBER(M707)),IF(M707&gt;0,Q707/M707,""),"")</f>
        <v/>
      </c>
      <c r="Y707" s="11">
        <f>IF(ISNUMBER(Z707),YEAR(Z707),"")</f>
        <v/>
      </c>
      <c r="Z707" s="12" t="n"/>
      <c r="AA707" s="12" t="n"/>
      <c r="AI707" s="12" t="n"/>
      <c r="AJ707" s="13">
        <f>IF(LEN(TRIM(AF707))=0,"",HYPERLINK("https://www.google.com/maps/@?api=1&amp;map_action=pano&amp;viewpoint="&amp;SUBSTITUTE(AF707," ",""),"Abrir Street View"))</f>
        <v/>
      </c>
    </row>
    <row r="708">
      <c r="H708" s="6" t="n"/>
      <c r="I708" s="6" t="n"/>
      <c r="M708" s="7" t="n"/>
      <c r="N708" s="7" t="n"/>
      <c r="O708" s="7" t="n"/>
      <c r="Q708" s="7" t="n"/>
      <c r="R708" s="7" t="n"/>
      <c r="S708" s="8">
        <f>IF(NOT(ISNUMBER(M708)),"",IF(G708="Terreno",IF(AND(ISNUMBER(I708),I708&gt;0),M708/I708,""),IF(AND(ISNUMBER(H708),H708&gt;0),M708/H708,"")))</f>
        <v/>
      </c>
      <c r="T708" s="9">
        <f>IF(AND(ISNUMBER(M708),ISNUMBER(O708)),IF(M708&lt;=O708,"Valor ≤ venal IPTU",""),"")</f>
        <v/>
      </c>
      <c r="U708" s="10">
        <f>IF(AND(ISNUMBER(M708),ISNUMBER(N708)),IF(N708&gt;0,M708/N708,""),"")</f>
        <v/>
      </c>
      <c r="V708" s="10">
        <f>IF(AND(ISNUMBER(M708),ISNUMBER(O708)),IF(O708&gt;0,M708/O708,""),"")</f>
        <v/>
      </c>
      <c r="W708" s="10">
        <f>IF(AND(ISNUMBER(M708),ISNUMBER(R708)),IF(R708&gt;0,M708/R708,""),"")</f>
        <v/>
      </c>
      <c r="X708" s="10">
        <f>IF(AND(ISNUMBER(Q708),ISNUMBER(M708)),IF(M708&gt;0,Q708/M708,""),"")</f>
        <v/>
      </c>
      <c r="Y708" s="11">
        <f>IF(ISNUMBER(Z708),YEAR(Z708),"")</f>
        <v/>
      </c>
      <c r="Z708" s="12" t="n"/>
      <c r="AA708" s="12" t="n"/>
      <c r="AI708" s="12" t="n"/>
      <c r="AJ708" s="13">
        <f>IF(LEN(TRIM(AF708))=0,"",HYPERLINK("https://www.google.com/maps/@?api=1&amp;map_action=pano&amp;viewpoint="&amp;SUBSTITUTE(AF708," ",""),"Abrir Street View"))</f>
        <v/>
      </c>
    </row>
    <row r="709">
      <c r="H709" s="6" t="n"/>
      <c r="I709" s="6" t="n"/>
      <c r="M709" s="7" t="n"/>
      <c r="N709" s="7" t="n"/>
      <c r="O709" s="7" t="n"/>
      <c r="Q709" s="7" t="n"/>
      <c r="R709" s="7" t="n"/>
      <c r="S709" s="8">
        <f>IF(NOT(ISNUMBER(M709)),"",IF(G709="Terreno",IF(AND(ISNUMBER(I709),I709&gt;0),M709/I709,""),IF(AND(ISNUMBER(H709),H709&gt;0),M709/H709,"")))</f>
        <v/>
      </c>
      <c r="T709" s="9">
        <f>IF(AND(ISNUMBER(M709),ISNUMBER(O709)),IF(M709&lt;=O709,"Valor ≤ venal IPTU",""),"")</f>
        <v/>
      </c>
      <c r="U709" s="10">
        <f>IF(AND(ISNUMBER(M709),ISNUMBER(N709)),IF(N709&gt;0,M709/N709,""),"")</f>
        <v/>
      </c>
      <c r="V709" s="10">
        <f>IF(AND(ISNUMBER(M709),ISNUMBER(O709)),IF(O709&gt;0,M709/O709,""),"")</f>
        <v/>
      </c>
      <c r="W709" s="10">
        <f>IF(AND(ISNUMBER(M709),ISNUMBER(R709)),IF(R709&gt;0,M709/R709,""),"")</f>
        <v/>
      </c>
      <c r="X709" s="10">
        <f>IF(AND(ISNUMBER(Q709),ISNUMBER(M709)),IF(M709&gt;0,Q709/M709,""),"")</f>
        <v/>
      </c>
      <c r="Y709" s="11">
        <f>IF(ISNUMBER(Z709),YEAR(Z709),"")</f>
        <v/>
      </c>
      <c r="Z709" s="12" t="n"/>
      <c r="AA709" s="12" t="n"/>
      <c r="AI709" s="12" t="n"/>
      <c r="AJ709" s="13">
        <f>IF(LEN(TRIM(AF709))=0,"",HYPERLINK("https://www.google.com/maps/@?api=1&amp;map_action=pano&amp;viewpoint="&amp;SUBSTITUTE(AF709," ",""),"Abrir Street View"))</f>
        <v/>
      </c>
    </row>
    <row r="710">
      <c r="H710" s="6" t="n"/>
      <c r="I710" s="6" t="n"/>
      <c r="M710" s="7" t="n"/>
      <c r="N710" s="7" t="n"/>
      <c r="O710" s="7" t="n"/>
      <c r="Q710" s="7" t="n"/>
      <c r="R710" s="7" t="n"/>
      <c r="S710" s="8">
        <f>IF(NOT(ISNUMBER(M710)),"",IF(G710="Terreno",IF(AND(ISNUMBER(I710),I710&gt;0),M710/I710,""),IF(AND(ISNUMBER(H710),H710&gt;0),M710/H710,"")))</f>
        <v/>
      </c>
      <c r="T710" s="9">
        <f>IF(AND(ISNUMBER(M710),ISNUMBER(O710)),IF(M710&lt;=O710,"Valor ≤ venal IPTU",""),"")</f>
        <v/>
      </c>
      <c r="U710" s="10">
        <f>IF(AND(ISNUMBER(M710),ISNUMBER(N710)),IF(N710&gt;0,M710/N710,""),"")</f>
        <v/>
      </c>
      <c r="V710" s="10">
        <f>IF(AND(ISNUMBER(M710),ISNUMBER(O710)),IF(O710&gt;0,M710/O710,""),"")</f>
        <v/>
      </c>
      <c r="W710" s="10">
        <f>IF(AND(ISNUMBER(M710),ISNUMBER(R710)),IF(R710&gt;0,M710/R710,""),"")</f>
        <v/>
      </c>
      <c r="X710" s="10">
        <f>IF(AND(ISNUMBER(Q710),ISNUMBER(M710)),IF(M710&gt;0,Q710/M710,""),"")</f>
        <v/>
      </c>
      <c r="Y710" s="11">
        <f>IF(ISNUMBER(Z710),YEAR(Z710),"")</f>
        <v/>
      </c>
      <c r="Z710" s="12" t="n"/>
      <c r="AA710" s="12" t="n"/>
      <c r="AI710" s="12" t="n"/>
      <c r="AJ710" s="13">
        <f>IF(LEN(TRIM(AF710))=0,"",HYPERLINK("https://www.google.com/maps/@?api=1&amp;map_action=pano&amp;viewpoint="&amp;SUBSTITUTE(AF710," ",""),"Abrir Street View"))</f>
        <v/>
      </c>
    </row>
    <row r="711">
      <c r="H711" s="6" t="n"/>
      <c r="I711" s="6" t="n"/>
      <c r="M711" s="7" t="n"/>
      <c r="N711" s="7" t="n"/>
      <c r="O711" s="7" t="n"/>
      <c r="Q711" s="7" t="n"/>
      <c r="R711" s="7" t="n"/>
      <c r="S711" s="8">
        <f>IF(NOT(ISNUMBER(M711)),"",IF(G711="Terreno",IF(AND(ISNUMBER(I711),I711&gt;0),M711/I711,""),IF(AND(ISNUMBER(H711),H711&gt;0),M711/H711,"")))</f>
        <v/>
      </c>
      <c r="T711" s="9">
        <f>IF(AND(ISNUMBER(M711),ISNUMBER(O711)),IF(M711&lt;=O711,"Valor ≤ venal IPTU",""),"")</f>
        <v/>
      </c>
      <c r="U711" s="10">
        <f>IF(AND(ISNUMBER(M711),ISNUMBER(N711)),IF(N711&gt;0,M711/N711,""),"")</f>
        <v/>
      </c>
      <c r="V711" s="10">
        <f>IF(AND(ISNUMBER(M711),ISNUMBER(O711)),IF(O711&gt;0,M711/O711,""),"")</f>
        <v/>
      </c>
      <c r="W711" s="10">
        <f>IF(AND(ISNUMBER(M711),ISNUMBER(R711)),IF(R711&gt;0,M711/R711,""),"")</f>
        <v/>
      </c>
      <c r="X711" s="10">
        <f>IF(AND(ISNUMBER(Q711),ISNUMBER(M711)),IF(M711&gt;0,Q711/M711,""),"")</f>
        <v/>
      </c>
      <c r="Y711" s="11">
        <f>IF(ISNUMBER(Z711),YEAR(Z711),"")</f>
        <v/>
      </c>
      <c r="Z711" s="12" t="n"/>
      <c r="AA711" s="12" t="n"/>
      <c r="AI711" s="12" t="n"/>
      <c r="AJ711" s="13">
        <f>IF(LEN(TRIM(AF711))=0,"",HYPERLINK("https://www.google.com/maps/@?api=1&amp;map_action=pano&amp;viewpoint="&amp;SUBSTITUTE(AF711," ",""),"Abrir Street View"))</f>
        <v/>
      </c>
    </row>
    <row r="712">
      <c r="H712" s="6" t="n"/>
      <c r="I712" s="6" t="n"/>
      <c r="M712" s="7" t="n"/>
      <c r="N712" s="7" t="n"/>
      <c r="O712" s="7" t="n"/>
      <c r="Q712" s="7" t="n"/>
      <c r="R712" s="7" t="n"/>
      <c r="S712" s="8">
        <f>IF(NOT(ISNUMBER(M712)),"",IF(G712="Terreno",IF(AND(ISNUMBER(I712),I712&gt;0),M712/I712,""),IF(AND(ISNUMBER(H712),H712&gt;0),M712/H712,"")))</f>
        <v/>
      </c>
      <c r="T712" s="9">
        <f>IF(AND(ISNUMBER(M712),ISNUMBER(O712)),IF(M712&lt;=O712,"Valor ≤ venal IPTU",""),"")</f>
        <v/>
      </c>
      <c r="U712" s="10">
        <f>IF(AND(ISNUMBER(M712),ISNUMBER(N712)),IF(N712&gt;0,M712/N712,""),"")</f>
        <v/>
      </c>
      <c r="V712" s="10">
        <f>IF(AND(ISNUMBER(M712),ISNUMBER(O712)),IF(O712&gt;0,M712/O712,""),"")</f>
        <v/>
      </c>
      <c r="W712" s="10">
        <f>IF(AND(ISNUMBER(M712),ISNUMBER(R712)),IF(R712&gt;0,M712/R712,""),"")</f>
        <v/>
      </c>
      <c r="X712" s="10">
        <f>IF(AND(ISNUMBER(Q712),ISNUMBER(M712)),IF(M712&gt;0,Q712/M712,""),"")</f>
        <v/>
      </c>
      <c r="Y712" s="11">
        <f>IF(ISNUMBER(Z712),YEAR(Z712),"")</f>
        <v/>
      </c>
      <c r="Z712" s="12" t="n"/>
      <c r="AA712" s="12" t="n"/>
      <c r="AI712" s="12" t="n"/>
      <c r="AJ712" s="13">
        <f>IF(LEN(TRIM(AF712))=0,"",HYPERLINK("https://www.google.com/maps/@?api=1&amp;map_action=pano&amp;viewpoint="&amp;SUBSTITUTE(AF712," ",""),"Abrir Street View"))</f>
        <v/>
      </c>
    </row>
    <row r="713">
      <c r="H713" s="6" t="n"/>
      <c r="I713" s="6" t="n"/>
      <c r="M713" s="7" t="n"/>
      <c r="N713" s="7" t="n"/>
      <c r="O713" s="7" t="n"/>
      <c r="Q713" s="7" t="n"/>
      <c r="R713" s="7" t="n"/>
      <c r="S713" s="8">
        <f>IF(NOT(ISNUMBER(M713)),"",IF(G713="Terreno",IF(AND(ISNUMBER(I713),I713&gt;0),M713/I713,""),IF(AND(ISNUMBER(H713),H713&gt;0),M713/H713,"")))</f>
        <v/>
      </c>
      <c r="T713" s="9">
        <f>IF(AND(ISNUMBER(M713),ISNUMBER(O713)),IF(M713&lt;=O713,"Valor ≤ venal IPTU",""),"")</f>
        <v/>
      </c>
      <c r="U713" s="10">
        <f>IF(AND(ISNUMBER(M713),ISNUMBER(N713)),IF(N713&gt;0,M713/N713,""),"")</f>
        <v/>
      </c>
      <c r="V713" s="10">
        <f>IF(AND(ISNUMBER(M713),ISNUMBER(O713)),IF(O713&gt;0,M713/O713,""),"")</f>
        <v/>
      </c>
      <c r="W713" s="10">
        <f>IF(AND(ISNUMBER(M713),ISNUMBER(R713)),IF(R713&gt;0,M713/R713,""),"")</f>
        <v/>
      </c>
      <c r="X713" s="10">
        <f>IF(AND(ISNUMBER(Q713),ISNUMBER(M713)),IF(M713&gt;0,Q713/M713,""),"")</f>
        <v/>
      </c>
      <c r="Y713" s="11">
        <f>IF(ISNUMBER(Z713),YEAR(Z713),"")</f>
        <v/>
      </c>
      <c r="Z713" s="12" t="n"/>
      <c r="AA713" s="12" t="n"/>
      <c r="AI713" s="12" t="n"/>
      <c r="AJ713" s="13">
        <f>IF(LEN(TRIM(AF713))=0,"",HYPERLINK("https://www.google.com/maps/@?api=1&amp;map_action=pano&amp;viewpoint="&amp;SUBSTITUTE(AF713," ",""),"Abrir Street View"))</f>
        <v/>
      </c>
    </row>
    <row r="714">
      <c r="H714" s="6" t="n"/>
      <c r="I714" s="6" t="n"/>
      <c r="M714" s="7" t="n"/>
      <c r="N714" s="7" t="n"/>
      <c r="O714" s="7" t="n"/>
      <c r="Q714" s="7" t="n"/>
      <c r="R714" s="7" t="n"/>
      <c r="S714" s="8">
        <f>IF(NOT(ISNUMBER(M714)),"",IF(G714="Terreno",IF(AND(ISNUMBER(I714),I714&gt;0),M714/I714,""),IF(AND(ISNUMBER(H714),H714&gt;0),M714/H714,"")))</f>
        <v/>
      </c>
      <c r="T714" s="9">
        <f>IF(AND(ISNUMBER(M714),ISNUMBER(O714)),IF(M714&lt;=O714,"Valor ≤ venal IPTU",""),"")</f>
        <v/>
      </c>
      <c r="U714" s="10">
        <f>IF(AND(ISNUMBER(M714),ISNUMBER(N714)),IF(N714&gt;0,M714/N714,""),"")</f>
        <v/>
      </c>
      <c r="V714" s="10">
        <f>IF(AND(ISNUMBER(M714),ISNUMBER(O714)),IF(O714&gt;0,M714/O714,""),"")</f>
        <v/>
      </c>
      <c r="W714" s="10">
        <f>IF(AND(ISNUMBER(M714),ISNUMBER(R714)),IF(R714&gt;0,M714/R714,""),"")</f>
        <v/>
      </c>
      <c r="X714" s="10">
        <f>IF(AND(ISNUMBER(Q714),ISNUMBER(M714)),IF(M714&gt;0,Q714/M714,""),"")</f>
        <v/>
      </c>
      <c r="Y714" s="11">
        <f>IF(ISNUMBER(Z714),YEAR(Z714),"")</f>
        <v/>
      </c>
      <c r="Z714" s="12" t="n"/>
      <c r="AA714" s="12" t="n"/>
      <c r="AI714" s="12" t="n"/>
      <c r="AJ714" s="13">
        <f>IF(LEN(TRIM(AF714))=0,"",HYPERLINK("https://www.google.com/maps/@?api=1&amp;map_action=pano&amp;viewpoint="&amp;SUBSTITUTE(AF714," ",""),"Abrir Street View"))</f>
        <v/>
      </c>
    </row>
    <row r="715">
      <c r="H715" s="6" t="n"/>
      <c r="I715" s="6" t="n"/>
      <c r="M715" s="7" t="n"/>
      <c r="N715" s="7" t="n"/>
      <c r="O715" s="7" t="n"/>
      <c r="Q715" s="7" t="n"/>
      <c r="R715" s="7" t="n"/>
      <c r="S715" s="8">
        <f>IF(NOT(ISNUMBER(M715)),"",IF(G715="Terreno",IF(AND(ISNUMBER(I715),I715&gt;0),M715/I715,""),IF(AND(ISNUMBER(H715),H715&gt;0),M715/H715,"")))</f>
        <v/>
      </c>
      <c r="T715" s="9">
        <f>IF(AND(ISNUMBER(M715),ISNUMBER(O715)),IF(M715&lt;=O715,"Valor ≤ venal IPTU",""),"")</f>
        <v/>
      </c>
      <c r="U715" s="10">
        <f>IF(AND(ISNUMBER(M715),ISNUMBER(N715)),IF(N715&gt;0,M715/N715,""),"")</f>
        <v/>
      </c>
      <c r="V715" s="10">
        <f>IF(AND(ISNUMBER(M715),ISNUMBER(O715)),IF(O715&gt;0,M715/O715,""),"")</f>
        <v/>
      </c>
      <c r="W715" s="10">
        <f>IF(AND(ISNUMBER(M715),ISNUMBER(R715)),IF(R715&gt;0,M715/R715,""),"")</f>
        <v/>
      </c>
      <c r="X715" s="10">
        <f>IF(AND(ISNUMBER(Q715),ISNUMBER(M715)),IF(M715&gt;0,Q715/M715,""),"")</f>
        <v/>
      </c>
      <c r="Y715" s="11">
        <f>IF(ISNUMBER(Z715),YEAR(Z715),"")</f>
        <v/>
      </c>
      <c r="Z715" s="12" t="n"/>
      <c r="AA715" s="12" t="n"/>
      <c r="AI715" s="12" t="n"/>
      <c r="AJ715" s="13">
        <f>IF(LEN(TRIM(AF715))=0,"",HYPERLINK("https://www.google.com/maps/@?api=1&amp;map_action=pano&amp;viewpoint="&amp;SUBSTITUTE(AF715," ",""),"Abrir Street View"))</f>
        <v/>
      </c>
    </row>
    <row r="716">
      <c r="H716" s="6" t="n"/>
      <c r="I716" s="6" t="n"/>
      <c r="M716" s="7" t="n"/>
      <c r="N716" s="7" t="n"/>
      <c r="O716" s="7" t="n"/>
      <c r="Q716" s="7" t="n"/>
      <c r="R716" s="7" t="n"/>
      <c r="S716" s="8">
        <f>IF(NOT(ISNUMBER(M716)),"",IF(G716="Terreno",IF(AND(ISNUMBER(I716),I716&gt;0),M716/I716,""),IF(AND(ISNUMBER(H716),H716&gt;0),M716/H716,"")))</f>
        <v/>
      </c>
      <c r="T716" s="9">
        <f>IF(AND(ISNUMBER(M716),ISNUMBER(O716)),IF(M716&lt;=O716,"Valor ≤ venal IPTU",""),"")</f>
        <v/>
      </c>
      <c r="U716" s="10">
        <f>IF(AND(ISNUMBER(M716),ISNUMBER(N716)),IF(N716&gt;0,M716/N716,""),"")</f>
        <v/>
      </c>
      <c r="V716" s="10">
        <f>IF(AND(ISNUMBER(M716),ISNUMBER(O716)),IF(O716&gt;0,M716/O716,""),"")</f>
        <v/>
      </c>
      <c r="W716" s="10">
        <f>IF(AND(ISNUMBER(M716),ISNUMBER(R716)),IF(R716&gt;0,M716/R716,""),"")</f>
        <v/>
      </c>
      <c r="X716" s="10">
        <f>IF(AND(ISNUMBER(Q716),ISNUMBER(M716)),IF(M716&gt;0,Q716/M716,""),"")</f>
        <v/>
      </c>
      <c r="Y716" s="11">
        <f>IF(ISNUMBER(Z716),YEAR(Z716),"")</f>
        <v/>
      </c>
      <c r="Z716" s="12" t="n"/>
      <c r="AA716" s="12" t="n"/>
      <c r="AI716" s="12" t="n"/>
      <c r="AJ716" s="13">
        <f>IF(LEN(TRIM(AF716))=0,"",HYPERLINK("https://www.google.com/maps/@?api=1&amp;map_action=pano&amp;viewpoint="&amp;SUBSTITUTE(AF716," ",""),"Abrir Street View"))</f>
        <v/>
      </c>
    </row>
    <row r="717">
      <c r="H717" s="6" t="n"/>
      <c r="I717" s="6" t="n"/>
      <c r="M717" s="7" t="n"/>
      <c r="N717" s="7" t="n"/>
      <c r="O717" s="7" t="n"/>
      <c r="Q717" s="7" t="n"/>
      <c r="R717" s="7" t="n"/>
      <c r="S717" s="8">
        <f>IF(NOT(ISNUMBER(M717)),"",IF(G717="Terreno",IF(AND(ISNUMBER(I717),I717&gt;0),M717/I717,""),IF(AND(ISNUMBER(H717),H717&gt;0),M717/H717,"")))</f>
        <v/>
      </c>
      <c r="T717" s="9">
        <f>IF(AND(ISNUMBER(M717),ISNUMBER(O717)),IF(M717&lt;=O717,"Valor ≤ venal IPTU",""),"")</f>
        <v/>
      </c>
      <c r="U717" s="10">
        <f>IF(AND(ISNUMBER(M717),ISNUMBER(N717)),IF(N717&gt;0,M717/N717,""),"")</f>
        <v/>
      </c>
      <c r="V717" s="10">
        <f>IF(AND(ISNUMBER(M717),ISNUMBER(O717)),IF(O717&gt;0,M717/O717,""),"")</f>
        <v/>
      </c>
      <c r="W717" s="10">
        <f>IF(AND(ISNUMBER(M717),ISNUMBER(R717)),IF(R717&gt;0,M717/R717,""),"")</f>
        <v/>
      </c>
      <c r="X717" s="10">
        <f>IF(AND(ISNUMBER(Q717),ISNUMBER(M717)),IF(M717&gt;0,Q717/M717,""),"")</f>
        <v/>
      </c>
      <c r="Y717" s="11">
        <f>IF(ISNUMBER(Z717),YEAR(Z717),"")</f>
        <v/>
      </c>
      <c r="Z717" s="12" t="n"/>
      <c r="AA717" s="12" t="n"/>
      <c r="AI717" s="12" t="n"/>
      <c r="AJ717" s="13">
        <f>IF(LEN(TRIM(AF717))=0,"",HYPERLINK("https://www.google.com/maps/@?api=1&amp;map_action=pano&amp;viewpoint="&amp;SUBSTITUTE(AF717," ",""),"Abrir Street View"))</f>
        <v/>
      </c>
    </row>
    <row r="718">
      <c r="H718" s="6" t="n"/>
      <c r="I718" s="6" t="n"/>
      <c r="M718" s="7" t="n"/>
      <c r="N718" s="7" t="n"/>
      <c r="O718" s="7" t="n"/>
      <c r="Q718" s="7" t="n"/>
      <c r="R718" s="7" t="n"/>
      <c r="S718" s="8">
        <f>IF(NOT(ISNUMBER(M718)),"",IF(G718="Terreno",IF(AND(ISNUMBER(I718),I718&gt;0),M718/I718,""),IF(AND(ISNUMBER(H718),H718&gt;0),M718/H718,"")))</f>
        <v/>
      </c>
      <c r="T718" s="9">
        <f>IF(AND(ISNUMBER(M718),ISNUMBER(O718)),IF(M718&lt;=O718,"Valor ≤ venal IPTU",""),"")</f>
        <v/>
      </c>
      <c r="U718" s="10">
        <f>IF(AND(ISNUMBER(M718),ISNUMBER(N718)),IF(N718&gt;0,M718/N718,""),"")</f>
        <v/>
      </c>
      <c r="V718" s="10">
        <f>IF(AND(ISNUMBER(M718),ISNUMBER(O718)),IF(O718&gt;0,M718/O718,""),"")</f>
        <v/>
      </c>
      <c r="W718" s="10">
        <f>IF(AND(ISNUMBER(M718),ISNUMBER(R718)),IF(R718&gt;0,M718/R718,""),"")</f>
        <v/>
      </c>
      <c r="X718" s="10">
        <f>IF(AND(ISNUMBER(Q718),ISNUMBER(M718)),IF(M718&gt;0,Q718/M718,""),"")</f>
        <v/>
      </c>
      <c r="Y718" s="11">
        <f>IF(ISNUMBER(Z718),YEAR(Z718),"")</f>
        <v/>
      </c>
      <c r="Z718" s="12" t="n"/>
      <c r="AA718" s="12" t="n"/>
      <c r="AI718" s="12" t="n"/>
      <c r="AJ718" s="13">
        <f>IF(LEN(TRIM(AF718))=0,"",HYPERLINK("https://www.google.com/maps/@?api=1&amp;map_action=pano&amp;viewpoint="&amp;SUBSTITUTE(AF718," ",""),"Abrir Street View"))</f>
        <v/>
      </c>
    </row>
    <row r="719">
      <c r="H719" s="6" t="n"/>
      <c r="I719" s="6" t="n"/>
      <c r="M719" s="7" t="n"/>
      <c r="N719" s="7" t="n"/>
      <c r="O719" s="7" t="n"/>
      <c r="Q719" s="7" t="n"/>
      <c r="R719" s="7" t="n"/>
      <c r="S719" s="8">
        <f>IF(NOT(ISNUMBER(M719)),"",IF(G719="Terreno",IF(AND(ISNUMBER(I719),I719&gt;0),M719/I719,""),IF(AND(ISNUMBER(H719),H719&gt;0),M719/H719,"")))</f>
        <v/>
      </c>
      <c r="T719" s="9">
        <f>IF(AND(ISNUMBER(M719),ISNUMBER(O719)),IF(M719&lt;=O719,"Valor ≤ venal IPTU",""),"")</f>
        <v/>
      </c>
      <c r="U719" s="10">
        <f>IF(AND(ISNUMBER(M719),ISNUMBER(N719)),IF(N719&gt;0,M719/N719,""),"")</f>
        <v/>
      </c>
      <c r="V719" s="10">
        <f>IF(AND(ISNUMBER(M719),ISNUMBER(O719)),IF(O719&gt;0,M719/O719,""),"")</f>
        <v/>
      </c>
      <c r="W719" s="10">
        <f>IF(AND(ISNUMBER(M719),ISNUMBER(R719)),IF(R719&gt;0,M719/R719,""),"")</f>
        <v/>
      </c>
      <c r="X719" s="10">
        <f>IF(AND(ISNUMBER(Q719),ISNUMBER(M719)),IF(M719&gt;0,Q719/M719,""),"")</f>
        <v/>
      </c>
      <c r="Y719" s="11">
        <f>IF(ISNUMBER(Z719),YEAR(Z719),"")</f>
        <v/>
      </c>
      <c r="Z719" s="12" t="n"/>
      <c r="AA719" s="12" t="n"/>
      <c r="AI719" s="12" t="n"/>
      <c r="AJ719" s="13">
        <f>IF(LEN(TRIM(AF719))=0,"",HYPERLINK("https://www.google.com/maps/@?api=1&amp;map_action=pano&amp;viewpoint="&amp;SUBSTITUTE(AF719," ",""),"Abrir Street View"))</f>
        <v/>
      </c>
    </row>
    <row r="720">
      <c r="H720" s="6" t="n"/>
      <c r="I720" s="6" t="n"/>
      <c r="M720" s="7" t="n"/>
      <c r="N720" s="7" t="n"/>
      <c r="O720" s="7" t="n"/>
      <c r="Q720" s="7" t="n"/>
      <c r="R720" s="7" t="n"/>
      <c r="S720" s="8">
        <f>IF(NOT(ISNUMBER(M720)),"",IF(G720="Terreno",IF(AND(ISNUMBER(I720),I720&gt;0),M720/I720,""),IF(AND(ISNUMBER(H720),H720&gt;0),M720/H720,"")))</f>
        <v/>
      </c>
      <c r="T720" s="9">
        <f>IF(AND(ISNUMBER(M720),ISNUMBER(O720)),IF(M720&lt;=O720,"Valor ≤ venal IPTU",""),"")</f>
        <v/>
      </c>
      <c r="U720" s="10">
        <f>IF(AND(ISNUMBER(M720),ISNUMBER(N720)),IF(N720&gt;0,M720/N720,""),"")</f>
        <v/>
      </c>
      <c r="V720" s="10">
        <f>IF(AND(ISNUMBER(M720),ISNUMBER(O720)),IF(O720&gt;0,M720/O720,""),"")</f>
        <v/>
      </c>
      <c r="W720" s="10">
        <f>IF(AND(ISNUMBER(M720),ISNUMBER(R720)),IF(R720&gt;0,M720/R720,""),"")</f>
        <v/>
      </c>
      <c r="X720" s="10">
        <f>IF(AND(ISNUMBER(Q720),ISNUMBER(M720)),IF(M720&gt;0,Q720/M720,""),"")</f>
        <v/>
      </c>
      <c r="Y720" s="11">
        <f>IF(ISNUMBER(Z720),YEAR(Z720),"")</f>
        <v/>
      </c>
      <c r="Z720" s="12" t="n"/>
      <c r="AA720" s="12" t="n"/>
      <c r="AI720" s="12" t="n"/>
      <c r="AJ720" s="13">
        <f>IF(LEN(TRIM(AF720))=0,"",HYPERLINK("https://www.google.com/maps/@?api=1&amp;map_action=pano&amp;viewpoint="&amp;SUBSTITUTE(AF720," ",""),"Abrir Street View"))</f>
        <v/>
      </c>
    </row>
    <row r="721">
      <c r="H721" s="6" t="n"/>
      <c r="I721" s="6" t="n"/>
      <c r="M721" s="7" t="n"/>
      <c r="N721" s="7" t="n"/>
      <c r="O721" s="7" t="n"/>
      <c r="Q721" s="7" t="n"/>
      <c r="R721" s="7" t="n"/>
      <c r="S721" s="8">
        <f>IF(NOT(ISNUMBER(M721)),"",IF(G721="Terreno",IF(AND(ISNUMBER(I721),I721&gt;0),M721/I721,""),IF(AND(ISNUMBER(H721),H721&gt;0),M721/H721,"")))</f>
        <v/>
      </c>
      <c r="T721" s="9">
        <f>IF(AND(ISNUMBER(M721),ISNUMBER(O721)),IF(M721&lt;=O721,"Valor ≤ venal IPTU",""),"")</f>
        <v/>
      </c>
      <c r="U721" s="10">
        <f>IF(AND(ISNUMBER(M721),ISNUMBER(N721)),IF(N721&gt;0,M721/N721,""),"")</f>
        <v/>
      </c>
      <c r="V721" s="10">
        <f>IF(AND(ISNUMBER(M721),ISNUMBER(O721)),IF(O721&gt;0,M721/O721,""),"")</f>
        <v/>
      </c>
      <c r="W721" s="10">
        <f>IF(AND(ISNUMBER(M721),ISNUMBER(R721)),IF(R721&gt;0,M721/R721,""),"")</f>
        <v/>
      </c>
      <c r="X721" s="10">
        <f>IF(AND(ISNUMBER(Q721),ISNUMBER(M721)),IF(M721&gt;0,Q721/M721,""),"")</f>
        <v/>
      </c>
      <c r="Y721" s="11">
        <f>IF(ISNUMBER(Z721),YEAR(Z721),"")</f>
        <v/>
      </c>
      <c r="Z721" s="12" t="n"/>
      <c r="AA721" s="12" t="n"/>
      <c r="AI721" s="12" t="n"/>
      <c r="AJ721" s="13">
        <f>IF(LEN(TRIM(AF721))=0,"",HYPERLINK("https://www.google.com/maps/@?api=1&amp;map_action=pano&amp;viewpoint="&amp;SUBSTITUTE(AF721," ",""),"Abrir Street View"))</f>
        <v/>
      </c>
    </row>
    <row r="722">
      <c r="H722" s="6" t="n"/>
      <c r="I722" s="6" t="n"/>
      <c r="M722" s="7" t="n"/>
      <c r="N722" s="7" t="n"/>
      <c r="O722" s="7" t="n"/>
      <c r="Q722" s="7" t="n"/>
      <c r="R722" s="7" t="n"/>
      <c r="S722" s="8">
        <f>IF(NOT(ISNUMBER(M722)),"",IF(G722="Terreno",IF(AND(ISNUMBER(I722),I722&gt;0),M722/I722,""),IF(AND(ISNUMBER(H722),H722&gt;0),M722/H722,"")))</f>
        <v/>
      </c>
      <c r="T722" s="9">
        <f>IF(AND(ISNUMBER(M722),ISNUMBER(O722)),IF(M722&lt;=O722,"Valor ≤ venal IPTU",""),"")</f>
        <v/>
      </c>
      <c r="U722" s="10">
        <f>IF(AND(ISNUMBER(M722),ISNUMBER(N722)),IF(N722&gt;0,M722/N722,""),"")</f>
        <v/>
      </c>
      <c r="V722" s="10">
        <f>IF(AND(ISNUMBER(M722),ISNUMBER(O722)),IF(O722&gt;0,M722/O722,""),"")</f>
        <v/>
      </c>
      <c r="W722" s="10">
        <f>IF(AND(ISNUMBER(M722),ISNUMBER(R722)),IF(R722&gt;0,M722/R722,""),"")</f>
        <v/>
      </c>
      <c r="X722" s="10">
        <f>IF(AND(ISNUMBER(Q722),ISNUMBER(M722)),IF(M722&gt;0,Q722/M722,""),"")</f>
        <v/>
      </c>
      <c r="Y722" s="11">
        <f>IF(ISNUMBER(Z722),YEAR(Z722),"")</f>
        <v/>
      </c>
      <c r="Z722" s="12" t="n"/>
      <c r="AA722" s="12" t="n"/>
      <c r="AI722" s="12" t="n"/>
      <c r="AJ722" s="13">
        <f>IF(LEN(TRIM(AF722))=0,"",HYPERLINK("https://www.google.com/maps/@?api=1&amp;map_action=pano&amp;viewpoint="&amp;SUBSTITUTE(AF722," ",""),"Abrir Street View"))</f>
        <v/>
      </c>
    </row>
    <row r="723">
      <c r="H723" s="6" t="n"/>
      <c r="I723" s="6" t="n"/>
      <c r="M723" s="7" t="n"/>
      <c r="N723" s="7" t="n"/>
      <c r="O723" s="7" t="n"/>
      <c r="Q723" s="7" t="n"/>
      <c r="R723" s="7" t="n"/>
      <c r="S723" s="8">
        <f>IF(NOT(ISNUMBER(M723)),"",IF(G723="Terreno",IF(AND(ISNUMBER(I723),I723&gt;0),M723/I723,""),IF(AND(ISNUMBER(H723),H723&gt;0),M723/H723,"")))</f>
        <v/>
      </c>
      <c r="T723" s="9">
        <f>IF(AND(ISNUMBER(M723),ISNUMBER(O723)),IF(M723&lt;=O723,"Valor ≤ venal IPTU",""),"")</f>
        <v/>
      </c>
      <c r="U723" s="10">
        <f>IF(AND(ISNUMBER(M723),ISNUMBER(N723)),IF(N723&gt;0,M723/N723,""),"")</f>
        <v/>
      </c>
      <c r="V723" s="10">
        <f>IF(AND(ISNUMBER(M723),ISNUMBER(O723)),IF(O723&gt;0,M723/O723,""),"")</f>
        <v/>
      </c>
      <c r="W723" s="10">
        <f>IF(AND(ISNUMBER(M723),ISNUMBER(R723)),IF(R723&gt;0,M723/R723,""),"")</f>
        <v/>
      </c>
      <c r="X723" s="10">
        <f>IF(AND(ISNUMBER(Q723),ISNUMBER(M723)),IF(M723&gt;0,Q723/M723,""),"")</f>
        <v/>
      </c>
      <c r="Y723" s="11">
        <f>IF(ISNUMBER(Z723),YEAR(Z723),"")</f>
        <v/>
      </c>
      <c r="Z723" s="12" t="n"/>
      <c r="AA723" s="12" t="n"/>
      <c r="AI723" s="12" t="n"/>
      <c r="AJ723" s="13">
        <f>IF(LEN(TRIM(AF723))=0,"",HYPERLINK("https://www.google.com/maps/@?api=1&amp;map_action=pano&amp;viewpoint="&amp;SUBSTITUTE(AF723," ",""),"Abrir Street View"))</f>
        <v/>
      </c>
    </row>
    <row r="724">
      <c r="H724" s="6" t="n"/>
      <c r="I724" s="6" t="n"/>
      <c r="M724" s="7" t="n"/>
      <c r="N724" s="7" t="n"/>
      <c r="O724" s="7" t="n"/>
      <c r="Q724" s="7" t="n"/>
      <c r="R724" s="7" t="n"/>
      <c r="S724" s="8">
        <f>IF(NOT(ISNUMBER(M724)),"",IF(G724="Terreno",IF(AND(ISNUMBER(I724),I724&gt;0),M724/I724,""),IF(AND(ISNUMBER(H724),H724&gt;0),M724/H724,"")))</f>
        <v/>
      </c>
      <c r="T724" s="9">
        <f>IF(AND(ISNUMBER(M724),ISNUMBER(O724)),IF(M724&lt;=O724,"Valor ≤ venal IPTU",""),"")</f>
        <v/>
      </c>
      <c r="U724" s="10">
        <f>IF(AND(ISNUMBER(M724),ISNUMBER(N724)),IF(N724&gt;0,M724/N724,""),"")</f>
        <v/>
      </c>
      <c r="V724" s="10">
        <f>IF(AND(ISNUMBER(M724),ISNUMBER(O724)),IF(O724&gt;0,M724/O724,""),"")</f>
        <v/>
      </c>
      <c r="W724" s="10">
        <f>IF(AND(ISNUMBER(M724),ISNUMBER(R724)),IF(R724&gt;0,M724/R724,""),"")</f>
        <v/>
      </c>
      <c r="X724" s="10">
        <f>IF(AND(ISNUMBER(Q724),ISNUMBER(M724)),IF(M724&gt;0,Q724/M724,""),"")</f>
        <v/>
      </c>
      <c r="Y724" s="11">
        <f>IF(ISNUMBER(Z724),YEAR(Z724),"")</f>
        <v/>
      </c>
      <c r="Z724" s="12" t="n"/>
      <c r="AA724" s="12" t="n"/>
      <c r="AI724" s="12" t="n"/>
      <c r="AJ724" s="13">
        <f>IF(LEN(TRIM(AF724))=0,"",HYPERLINK("https://www.google.com/maps/@?api=1&amp;map_action=pano&amp;viewpoint="&amp;SUBSTITUTE(AF724," ",""),"Abrir Street View"))</f>
        <v/>
      </c>
    </row>
    <row r="725">
      <c r="H725" s="6" t="n"/>
      <c r="I725" s="6" t="n"/>
      <c r="M725" s="7" t="n"/>
      <c r="N725" s="7" t="n"/>
      <c r="O725" s="7" t="n"/>
      <c r="Q725" s="7" t="n"/>
      <c r="R725" s="7" t="n"/>
      <c r="S725" s="8">
        <f>IF(NOT(ISNUMBER(M725)),"",IF(G725="Terreno",IF(AND(ISNUMBER(I725),I725&gt;0),M725/I725,""),IF(AND(ISNUMBER(H725),H725&gt;0),M725/H725,"")))</f>
        <v/>
      </c>
      <c r="T725" s="9">
        <f>IF(AND(ISNUMBER(M725),ISNUMBER(O725)),IF(M725&lt;=O725,"Valor ≤ venal IPTU",""),"")</f>
        <v/>
      </c>
      <c r="U725" s="10">
        <f>IF(AND(ISNUMBER(M725),ISNUMBER(N725)),IF(N725&gt;0,M725/N725,""),"")</f>
        <v/>
      </c>
      <c r="V725" s="10">
        <f>IF(AND(ISNUMBER(M725),ISNUMBER(O725)),IF(O725&gt;0,M725/O725,""),"")</f>
        <v/>
      </c>
      <c r="W725" s="10">
        <f>IF(AND(ISNUMBER(M725),ISNUMBER(R725)),IF(R725&gt;0,M725/R725,""),"")</f>
        <v/>
      </c>
      <c r="X725" s="10">
        <f>IF(AND(ISNUMBER(Q725),ISNUMBER(M725)),IF(M725&gt;0,Q725/M725,""),"")</f>
        <v/>
      </c>
      <c r="Y725" s="11">
        <f>IF(ISNUMBER(Z725),YEAR(Z725),"")</f>
        <v/>
      </c>
      <c r="Z725" s="12" t="n"/>
      <c r="AA725" s="12" t="n"/>
      <c r="AI725" s="12" t="n"/>
      <c r="AJ725" s="13">
        <f>IF(LEN(TRIM(AF725))=0,"",HYPERLINK("https://www.google.com/maps/@?api=1&amp;map_action=pano&amp;viewpoint="&amp;SUBSTITUTE(AF725," ",""),"Abrir Street View"))</f>
        <v/>
      </c>
    </row>
    <row r="726">
      <c r="H726" s="6" t="n"/>
      <c r="I726" s="6" t="n"/>
      <c r="M726" s="7" t="n"/>
      <c r="N726" s="7" t="n"/>
      <c r="O726" s="7" t="n"/>
      <c r="Q726" s="7" t="n"/>
      <c r="R726" s="7" t="n"/>
      <c r="S726" s="8">
        <f>IF(NOT(ISNUMBER(M726)),"",IF(G726="Terreno",IF(AND(ISNUMBER(I726),I726&gt;0),M726/I726,""),IF(AND(ISNUMBER(H726),H726&gt;0),M726/H726,"")))</f>
        <v/>
      </c>
      <c r="T726" s="9">
        <f>IF(AND(ISNUMBER(M726),ISNUMBER(O726)),IF(M726&lt;=O726,"Valor ≤ venal IPTU",""),"")</f>
        <v/>
      </c>
      <c r="U726" s="10">
        <f>IF(AND(ISNUMBER(M726),ISNUMBER(N726)),IF(N726&gt;0,M726/N726,""),"")</f>
        <v/>
      </c>
      <c r="V726" s="10">
        <f>IF(AND(ISNUMBER(M726),ISNUMBER(O726)),IF(O726&gt;0,M726/O726,""),"")</f>
        <v/>
      </c>
      <c r="W726" s="10">
        <f>IF(AND(ISNUMBER(M726),ISNUMBER(R726)),IF(R726&gt;0,M726/R726,""),"")</f>
        <v/>
      </c>
      <c r="X726" s="10">
        <f>IF(AND(ISNUMBER(Q726),ISNUMBER(M726)),IF(M726&gt;0,Q726/M726,""),"")</f>
        <v/>
      </c>
      <c r="Y726" s="11">
        <f>IF(ISNUMBER(Z726),YEAR(Z726),"")</f>
        <v/>
      </c>
      <c r="Z726" s="12" t="n"/>
      <c r="AA726" s="12" t="n"/>
      <c r="AI726" s="12" t="n"/>
      <c r="AJ726" s="13">
        <f>IF(LEN(TRIM(AF726))=0,"",HYPERLINK("https://www.google.com/maps/@?api=1&amp;map_action=pano&amp;viewpoint="&amp;SUBSTITUTE(AF726," ",""),"Abrir Street View"))</f>
        <v/>
      </c>
    </row>
    <row r="727">
      <c r="H727" s="6" t="n"/>
      <c r="I727" s="6" t="n"/>
      <c r="M727" s="7" t="n"/>
      <c r="N727" s="7" t="n"/>
      <c r="O727" s="7" t="n"/>
      <c r="Q727" s="7" t="n"/>
      <c r="R727" s="7" t="n"/>
      <c r="S727" s="8">
        <f>IF(NOT(ISNUMBER(M727)),"",IF(G727="Terreno",IF(AND(ISNUMBER(I727),I727&gt;0),M727/I727,""),IF(AND(ISNUMBER(H727),H727&gt;0),M727/H727,"")))</f>
        <v/>
      </c>
      <c r="T727" s="9">
        <f>IF(AND(ISNUMBER(M727),ISNUMBER(O727)),IF(M727&lt;=O727,"Valor ≤ venal IPTU",""),"")</f>
        <v/>
      </c>
      <c r="U727" s="10">
        <f>IF(AND(ISNUMBER(M727),ISNUMBER(N727)),IF(N727&gt;0,M727/N727,""),"")</f>
        <v/>
      </c>
      <c r="V727" s="10">
        <f>IF(AND(ISNUMBER(M727),ISNUMBER(O727)),IF(O727&gt;0,M727/O727,""),"")</f>
        <v/>
      </c>
      <c r="W727" s="10">
        <f>IF(AND(ISNUMBER(M727),ISNUMBER(R727)),IF(R727&gt;0,M727/R727,""),"")</f>
        <v/>
      </c>
      <c r="X727" s="10">
        <f>IF(AND(ISNUMBER(Q727),ISNUMBER(M727)),IF(M727&gt;0,Q727/M727,""),"")</f>
        <v/>
      </c>
      <c r="Y727" s="11">
        <f>IF(ISNUMBER(Z727),YEAR(Z727),"")</f>
        <v/>
      </c>
      <c r="Z727" s="12" t="n"/>
      <c r="AA727" s="12" t="n"/>
      <c r="AI727" s="12" t="n"/>
      <c r="AJ727" s="13">
        <f>IF(LEN(TRIM(AF727))=0,"",HYPERLINK("https://www.google.com/maps/@?api=1&amp;map_action=pano&amp;viewpoint="&amp;SUBSTITUTE(AF727," ",""),"Abrir Street View"))</f>
        <v/>
      </c>
    </row>
    <row r="728">
      <c r="H728" s="6" t="n"/>
      <c r="I728" s="6" t="n"/>
      <c r="M728" s="7" t="n"/>
      <c r="N728" s="7" t="n"/>
      <c r="O728" s="7" t="n"/>
      <c r="Q728" s="7" t="n"/>
      <c r="R728" s="7" t="n"/>
      <c r="S728" s="8">
        <f>IF(NOT(ISNUMBER(M728)),"",IF(G728="Terreno",IF(AND(ISNUMBER(I728),I728&gt;0),M728/I728,""),IF(AND(ISNUMBER(H728),H728&gt;0),M728/H728,"")))</f>
        <v/>
      </c>
      <c r="T728" s="9">
        <f>IF(AND(ISNUMBER(M728),ISNUMBER(O728)),IF(M728&lt;=O728,"Valor ≤ venal IPTU",""),"")</f>
        <v/>
      </c>
      <c r="U728" s="10">
        <f>IF(AND(ISNUMBER(M728),ISNUMBER(N728)),IF(N728&gt;0,M728/N728,""),"")</f>
        <v/>
      </c>
      <c r="V728" s="10">
        <f>IF(AND(ISNUMBER(M728),ISNUMBER(O728)),IF(O728&gt;0,M728/O728,""),"")</f>
        <v/>
      </c>
      <c r="W728" s="10">
        <f>IF(AND(ISNUMBER(M728),ISNUMBER(R728)),IF(R728&gt;0,M728/R728,""),"")</f>
        <v/>
      </c>
      <c r="X728" s="10">
        <f>IF(AND(ISNUMBER(Q728),ISNUMBER(M728)),IF(M728&gt;0,Q728/M728,""),"")</f>
        <v/>
      </c>
      <c r="Y728" s="11">
        <f>IF(ISNUMBER(Z728),YEAR(Z728),"")</f>
        <v/>
      </c>
      <c r="Z728" s="12" t="n"/>
      <c r="AA728" s="12" t="n"/>
      <c r="AI728" s="12" t="n"/>
      <c r="AJ728" s="13">
        <f>IF(LEN(TRIM(AF728))=0,"",HYPERLINK("https://www.google.com/maps/@?api=1&amp;map_action=pano&amp;viewpoint="&amp;SUBSTITUTE(AF728," ",""),"Abrir Street View"))</f>
        <v/>
      </c>
    </row>
    <row r="729">
      <c r="H729" s="6" t="n"/>
      <c r="I729" s="6" t="n"/>
      <c r="M729" s="7" t="n"/>
      <c r="N729" s="7" t="n"/>
      <c r="O729" s="7" t="n"/>
      <c r="Q729" s="7" t="n"/>
      <c r="R729" s="7" t="n"/>
      <c r="S729" s="8">
        <f>IF(NOT(ISNUMBER(M729)),"",IF(G729="Terreno",IF(AND(ISNUMBER(I729),I729&gt;0),M729/I729,""),IF(AND(ISNUMBER(H729),H729&gt;0),M729/H729,"")))</f>
        <v/>
      </c>
      <c r="T729" s="9">
        <f>IF(AND(ISNUMBER(M729),ISNUMBER(O729)),IF(M729&lt;=O729,"Valor ≤ venal IPTU",""),"")</f>
        <v/>
      </c>
      <c r="U729" s="10">
        <f>IF(AND(ISNUMBER(M729),ISNUMBER(N729)),IF(N729&gt;0,M729/N729,""),"")</f>
        <v/>
      </c>
      <c r="V729" s="10">
        <f>IF(AND(ISNUMBER(M729),ISNUMBER(O729)),IF(O729&gt;0,M729/O729,""),"")</f>
        <v/>
      </c>
      <c r="W729" s="10">
        <f>IF(AND(ISNUMBER(M729),ISNUMBER(R729)),IF(R729&gt;0,M729/R729,""),"")</f>
        <v/>
      </c>
      <c r="X729" s="10">
        <f>IF(AND(ISNUMBER(Q729),ISNUMBER(M729)),IF(M729&gt;0,Q729/M729,""),"")</f>
        <v/>
      </c>
      <c r="Y729" s="11">
        <f>IF(ISNUMBER(Z729),YEAR(Z729),"")</f>
        <v/>
      </c>
      <c r="Z729" s="12" t="n"/>
      <c r="AA729" s="12" t="n"/>
      <c r="AI729" s="12" t="n"/>
      <c r="AJ729" s="13">
        <f>IF(LEN(TRIM(AF729))=0,"",HYPERLINK("https://www.google.com/maps/@?api=1&amp;map_action=pano&amp;viewpoint="&amp;SUBSTITUTE(AF729," ",""),"Abrir Street View"))</f>
        <v/>
      </c>
    </row>
    <row r="730">
      <c r="H730" s="6" t="n"/>
      <c r="I730" s="6" t="n"/>
      <c r="M730" s="7" t="n"/>
      <c r="N730" s="7" t="n"/>
      <c r="O730" s="7" t="n"/>
      <c r="Q730" s="7" t="n"/>
      <c r="R730" s="7" t="n"/>
      <c r="S730" s="8">
        <f>IF(NOT(ISNUMBER(M730)),"",IF(G730="Terreno",IF(AND(ISNUMBER(I730),I730&gt;0),M730/I730,""),IF(AND(ISNUMBER(H730),H730&gt;0),M730/H730,"")))</f>
        <v/>
      </c>
      <c r="T730" s="9">
        <f>IF(AND(ISNUMBER(M730),ISNUMBER(O730)),IF(M730&lt;=O730,"Valor ≤ venal IPTU",""),"")</f>
        <v/>
      </c>
      <c r="U730" s="10">
        <f>IF(AND(ISNUMBER(M730),ISNUMBER(N730)),IF(N730&gt;0,M730/N730,""),"")</f>
        <v/>
      </c>
      <c r="V730" s="10">
        <f>IF(AND(ISNUMBER(M730),ISNUMBER(O730)),IF(O730&gt;0,M730/O730,""),"")</f>
        <v/>
      </c>
      <c r="W730" s="10">
        <f>IF(AND(ISNUMBER(M730),ISNUMBER(R730)),IF(R730&gt;0,M730/R730,""),"")</f>
        <v/>
      </c>
      <c r="X730" s="10">
        <f>IF(AND(ISNUMBER(Q730),ISNUMBER(M730)),IF(M730&gt;0,Q730/M730,""),"")</f>
        <v/>
      </c>
      <c r="Y730" s="11">
        <f>IF(ISNUMBER(Z730),YEAR(Z730),"")</f>
        <v/>
      </c>
      <c r="Z730" s="12" t="n"/>
      <c r="AA730" s="12" t="n"/>
      <c r="AI730" s="12" t="n"/>
      <c r="AJ730" s="13">
        <f>IF(LEN(TRIM(AF730))=0,"",HYPERLINK("https://www.google.com/maps/@?api=1&amp;map_action=pano&amp;viewpoint="&amp;SUBSTITUTE(AF730," ",""),"Abrir Street View"))</f>
        <v/>
      </c>
    </row>
    <row r="731">
      <c r="H731" s="6" t="n"/>
      <c r="I731" s="6" t="n"/>
      <c r="M731" s="7" t="n"/>
      <c r="N731" s="7" t="n"/>
      <c r="O731" s="7" t="n"/>
      <c r="Q731" s="7" t="n"/>
      <c r="R731" s="7" t="n"/>
      <c r="S731" s="8">
        <f>IF(NOT(ISNUMBER(M731)),"",IF(G731="Terreno",IF(AND(ISNUMBER(I731),I731&gt;0),M731/I731,""),IF(AND(ISNUMBER(H731),H731&gt;0),M731/H731,"")))</f>
        <v/>
      </c>
      <c r="T731" s="9">
        <f>IF(AND(ISNUMBER(M731),ISNUMBER(O731)),IF(M731&lt;=O731,"Valor ≤ venal IPTU",""),"")</f>
        <v/>
      </c>
      <c r="U731" s="10">
        <f>IF(AND(ISNUMBER(M731),ISNUMBER(N731)),IF(N731&gt;0,M731/N731,""),"")</f>
        <v/>
      </c>
      <c r="V731" s="10">
        <f>IF(AND(ISNUMBER(M731),ISNUMBER(O731)),IF(O731&gt;0,M731/O731,""),"")</f>
        <v/>
      </c>
      <c r="W731" s="10">
        <f>IF(AND(ISNUMBER(M731),ISNUMBER(R731)),IF(R731&gt;0,M731/R731,""),"")</f>
        <v/>
      </c>
      <c r="X731" s="10">
        <f>IF(AND(ISNUMBER(Q731),ISNUMBER(M731)),IF(M731&gt;0,Q731/M731,""),"")</f>
        <v/>
      </c>
      <c r="Y731" s="11">
        <f>IF(ISNUMBER(Z731),YEAR(Z731),"")</f>
        <v/>
      </c>
      <c r="Z731" s="12" t="n"/>
      <c r="AA731" s="12" t="n"/>
      <c r="AI731" s="12" t="n"/>
      <c r="AJ731" s="13">
        <f>IF(LEN(TRIM(AF731))=0,"",HYPERLINK("https://www.google.com/maps/@?api=1&amp;map_action=pano&amp;viewpoint="&amp;SUBSTITUTE(AF731," ",""),"Abrir Street View"))</f>
        <v/>
      </c>
    </row>
    <row r="732">
      <c r="H732" s="6" t="n"/>
      <c r="I732" s="6" t="n"/>
      <c r="M732" s="7" t="n"/>
      <c r="N732" s="7" t="n"/>
      <c r="O732" s="7" t="n"/>
      <c r="Q732" s="7" t="n"/>
      <c r="R732" s="7" t="n"/>
      <c r="S732" s="8">
        <f>IF(NOT(ISNUMBER(M732)),"",IF(G732="Terreno",IF(AND(ISNUMBER(I732),I732&gt;0),M732/I732,""),IF(AND(ISNUMBER(H732),H732&gt;0),M732/H732,"")))</f>
        <v/>
      </c>
      <c r="T732" s="9">
        <f>IF(AND(ISNUMBER(M732),ISNUMBER(O732)),IF(M732&lt;=O732,"Valor ≤ venal IPTU",""),"")</f>
        <v/>
      </c>
      <c r="U732" s="10">
        <f>IF(AND(ISNUMBER(M732),ISNUMBER(N732)),IF(N732&gt;0,M732/N732,""),"")</f>
        <v/>
      </c>
      <c r="V732" s="10">
        <f>IF(AND(ISNUMBER(M732),ISNUMBER(O732)),IF(O732&gt;0,M732/O732,""),"")</f>
        <v/>
      </c>
      <c r="W732" s="10">
        <f>IF(AND(ISNUMBER(M732),ISNUMBER(R732)),IF(R732&gt;0,M732/R732,""),"")</f>
        <v/>
      </c>
      <c r="X732" s="10">
        <f>IF(AND(ISNUMBER(Q732),ISNUMBER(M732)),IF(M732&gt;0,Q732/M732,""),"")</f>
        <v/>
      </c>
      <c r="Y732" s="11">
        <f>IF(ISNUMBER(Z732),YEAR(Z732),"")</f>
        <v/>
      </c>
      <c r="Z732" s="12" t="n"/>
      <c r="AA732" s="12" t="n"/>
      <c r="AI732" s="12" t="n"/>
      <c r="AJ732" s="13">
        <f>IF(LEN(TRIM(AF732))=0,"",HYPERLINK("https://www.google.com/maps/@?api=1&amp;map_action=pano&amp;viewpoint="&amp;SUBSTITUTE(AF732," ",""),"Abrir Street View"))</f>
        <v/>
      </c>
    </row>
    <row r="733">
      <c r="H733" s="6" t="n"/>
      <c r="I733" s="6" t="n"/>
      <c r="M733" s="7" t="n"/>
      <c r="N733" s="7" t="n"/>
      <c r="O733" s="7" t="n"/>
      <c r="Q733" s="7" t="n"/>
      <c r="R733" s="7" t="n"/>
      <c r="S733" s="8">
        <f>IF(NOT(ISNUMBER(M733)),"",IF(G733="Terreno",IF(AND(ISNUMBER(I733),I733&gt;0),M733/I733,""),IF(AND(ISNUMBER(H733),H733&gt;0),M733/H733,"")))</f>
        <v/>
      </c>
      <c r="T733" s="9">
        <f>IF(AND(ISNUMBER(M733),ISNUMBER(O733)),IF(M733&lt;=O733,"Valor ≤ venal IPTU",""),"")</f>
        <v/>
      </c>
      <c r="U733" s="10">
        <f>IF(AND(ISNUMBER(M733),ISNUMBER(N733)),IF(N733&gt;0,M733/N733,""),"")</f>
        <v/>
      </c>
      <c r="V733" s="10">
        <f>IF(AND(ISNUMBER(M733),ISNUMBER(O733)),IF(O733&gt;0,M733/O733,""),"")</f>
        <v/>
      </c>
      <c r="W733" s="10">
        <f>IF(AND(ISNUMBER(M733),ISNUMBER(R733)),IF(R733&gt;0,M733/R733,""),"")</f>
        <v/>
      </c>
      <c r="X733" s="10">
        <f>IF(AND(ISNUMBER(Q733),ISNUMBER(M733)),IF(M733&gt;0,Q733/M733,""),"")</f>
        <v/>
      </c>
      <c r="Y733" s="11">
        <f>IF(ISNUMBER(Z733),YEAR(Z733),"")</f>
        <v/>
      </c>
      <c r="Z733" s="12" t="n"/>
      <c r="AA733" s="12" t="n"/>
      <c r="AI733" s="12" t="n"/>
      <c r="AJ733" s="13">
        <f>IF(LEN(TRIM(AF733))=0,"",HYPERLINK("https://www.google.com/maps/@?api=1&amp;map_action=pano&amp;viewpoint="&amp;SUBSTITUTE(AF733," ",""),"Abrir Street View"))</f>
        <v/>
      </c>
    </row>
    <row r="734">
      <c r="H734" s="6" t="n"/>
      <c r="I734" s="6" t="n"/>
      <c r="M734" s="7" t="n"/>
      <c r="N734" s="7" t="n"/>
      <c r="O734" s="7" t="n"/>
      <c r="Q734" s="7" t="n"/>
      <c r="R734" s="7" t="n"/>
      <c r="S734" s="8">
        <f>IF(NOT(ISNUMBER(M734)),"",IF(G734="Terreno",IF(AND(ISNUMBER(I734),I734&gt;0),M734/I734,""),IF(AND(ISNUMBER(H734),H734&gt;0),M734/H734,"")))</f>
        <v/>
      </c>
      <c r="T734" s="9">
        <f>IF(AND(ISNUMBER(M734),ISNUMBER(O734)),IF(M734&lt;=O734,"Valor ≤ venal IPTU",""),"")</f>
        <v/>
      </c>
      <c r="U734" s="10">
        <f>IF(AND(ISNUMBER(M734),ISNUMBER(N734)),IF(N734&gt;0,M734/N734,""),"")</f>
        <v/>
      </c>
      <c r="V734" s="10">
        <f>IF(AND(ISNUMBER(M734),ISNUMBER(O734)),IF(O734&gt;0,M734/O734,""),"")</f>
        <v/>
      </c>
      <c r="W734" s="10">
        <f>IF(AND(ISNUMBER(M734),ISNUMBER(R734)),IF(R734&gt;0,M734/R734,""),"")</f>
        <v/>
      </c>
      <c r="X734" s="10">
        <f>IF(AND(ISNUMBER(Q734),ISNUMBER(M734)),IF(M734&gt;0,Q734/M734,""),"")</f>
        <v/>
      </c>
      <c r="Y734" s="11">
        <f>IF(ISNUMBER(Z734),YEAR(Z734),"")</f>
        <v/>
      </c>
      <c r="Z734" s="12" t="n"/>
      <c r="AA734" s="12" t="n"/>
      <c r="AI734" s="12" t="n"/>
      <c r="AJ734" s="13">
        <f>IF(LEN(TRIM(AF734))=0,"",HYPERLINK("https://www.google.com/maps/@?api=1&amp;map_action=pano&amp;viewpoint="&amp;SUBSTITUTE(AF734," ",""),"Abrir Street View"))</f>
        <v/>
      </c>
    </row>
    <row r="735">
      <c r="H735" s="6" t="n"/>
      <c r="I735" s="6" t="n"/>
      <c r="M735" s="7" t="n"/>
      <c r="N735" s="7" t="n"/>
      <c r="O735" s="7" t="n"/>
      <c r="Q735" s="7" t="n"/>
      <c r="R735" s="7" t="n"/>
      <c r="S735" s="8">
        <f>IF(NOT(ISNUMBER(M735)),"",IF(G735="Terreno",IF(AND(ISNUMBER(I735),I735&gt;0),M735/I735,""),IF(AND(ISNUMBER(H735),H735&gt;0),M735/H735,"")))</f>
        <v/>
      </c>
      <c r="T735" s="9">
        <f>IF(AND(ISNUMBER(M735),ISNUMBER(O735)),IF(M735&lt;=O735,"Valor ≤ venal IPTU",""),"")</f>
        <v/>
      </c>
      <c r="U735" s="10">
        <f>IF(AND(ISNUMBER(M735),ISNUMBER(N735)),IF(N735&gt;0,M735/N735,""),"")</f>
        <v/>
      </c>
      <c r="V735" s="10">
        <f>IF(AND(ISNUMBER(M735),ISNUMBER(O735)),IF(O735&gt;0,M735/O735,""),"")</f>
        <v/>
      </c>
      <c r="W735" s="10">
        <f>IF(AND(ISNUMBER(M735),ISNUMBER(R735)),IF(R735&gt;0,M735/R735,""),"")</f>
        <v/>
      </c>
      <c r="X735" s="10">
        <f>IF(AND(ISNUMBER(Q735),ISNUMBER(M735)),IF(M735&gt;0,Q735/M735,""),"")</f>
        <v/>
      </c>
      <c r="Y735" s="11">
        <f>IF(ISNUMBER(Z735),YEAR(Z735),"")</f>
        <v/>
      </c>
      <c r="Z735" s="12" t="n"/>
      <c r="AA735" s="12" t="n"/>
      <c r="AI735" s="12" t="n"/>
      <c r="AJ735" s="13">
        <f>IF(LEN(TRIM(AF735))=0,"",HYPERLINK("https://www.google.com/maps/@?api=1&amp;map_action=pano&amp;viewpoint="&amp;SUBSTITUTE(AF735," ",""),"Abrir Street View"))</f>
        <v/>
      </c>
    </row>
    <row r="736">
      <c r="H736" s="6" t="n"/>
      <c r="I736" s="6" t="n"/>
      <c r="M736" s="7" t="n"/>
      <c r="N736" s="7" t="n"/>
      <c r="O736" s="7" t="n"/>
      <c r="Q736" s="7" t="n"/>
      <c r="R736" s="7" t="n"/>
      <c r="S736" s="8">
        <f>IF(NOT(ISNUMBER(M736)),"",IF(G736="Terreno",IF(AND(ISNUMBER(I736),I736&gt;0),M736/I736,""),IF(AND(ISNUMBER(H736),H736&gt;0),M736/H736,"")))</f>
        <v/>
      </c>
      <c r="T736" s="9">
        <f>IF(AND(ISNUMBER(M736),ISNUMBER(O736)),IF(M736&lt;=O736,"Valor ≤ venal IPTU",""),"")</f>
        <v/>
      </c>
      <c r="U736" s="10">
        <f>IF(AND(ISNUMBER(M736),ISNUMBER(N736)),IF(N736&gt;0,M736/N736,""),"")</f>
        <v/>
      </c>
      <c r="V736" s="10">
        <f>IF(AND(ISNUMBER(M736),ISNUMBER(O736)),IF(O736&gt;0,M736/O736,""),"")</f>
        <v/>
      </c>
      <c r="W736" s="10">
        <f>IF(AND(ISNUMBER(M736),ISNUMBER(R736)),IF(R736&gt;0,M736/R736,""),"")</f>
        <v/>
      </c>
      <c r="X736" s="10">
        <f>IF(AND(ISNUMBER(Q736),ISNUMBER(M736)),IF(M736&gt;0,Q736/M736,""),"")</f>
        <v/>
      </c>
      <c r="Y736" s="11">
        <f>IF(ISNUMBER(Z736),YEAR(Z736),"")</f>
        <v/>
      </c>
      <c r="Z736" s="12" t="n"/>
      <c r="AA736" s="12" t="n"/>
      <c r="AI736" s="12" t="n"/>
      <c r="AJ736" s="13">
        <f>IF(LEN(TRIM(AF736))=0,"",HYPERLINK("https://www.google.com/maps/@?api=1&amp;map_action=pano&amp;viewpoint="&amp;SUBSTITUTE(AF736," ",""),"Abrir Street View"))</f>
        <v/>
      </c>
    </row>
    <row r="737">
      <c r="H737" s="6" t="n"/>
      <c r="I737" s="6" t="n"/>
      <c r="M737" s="7" t="n"/>
      <c r="N737" s="7" t="n"/>
      <c r="O737" s="7" t="n"/>
      <c r="Q737" s="7" t="n"/>
      <c r="R737" s="7" t="n"/>
      <c r="S737" s="8">
        <f>IF(NOT(ISNUMBER(M737)),"",IF(G737="Terreno",IF(AND(ISNUMBER(I737),I737&gt;0),M737/I737,""),IF(AND(ISNUMBER(H737),H737&gt;0),M737/H737,"")))</f>
        <v/>
      </c>
      <c r="T737" s="9">
        <f>IF(AND(ISNUMBER(M737),ISNUMBER(O737)),IF(M737&lt;=O737,"Valor ≤ venal IPTU",""),"")</f>
        <v/>
      </c>
      <c r="U737" s="10">
        <f>IF(AND(ISNUMBER(M737),ISNUMBER(N737)),IF(N737&gt;0,M737/N737,""),"")</f>
        <v/>
      </c>
      <c r="V737" s="10">
        <f>IF(AND(ISNUMBER(M737),ISNUMBER(O737)),IF(O737&gt;0,M737/O737,""),"")</f>
        <v/>
      </c>
      <c r="W737" s="10">
        <f>IF(AND(ISNUMBER(M737),ISNUMBER(R737)),IF(R737&gt;0,M737/R737,""),"")</f>
        <v/>
      </c>
      <c r="X737" s="10">
        <f>IF(AND(ISNUMBER(Q737),ISNUMBER(M737)),IF(M737&gt;0,Q737/M737,""),"")</f>
        <v/>
      </c>
      <c r="Y737" s="11">
        <f>IF(ISNUMBER(Z737),YEAR(Z737),"")</f>
        <v/>
      </c>
      <c r="Z737" s="12" t="n"/>
      <c r="AA737" s="12" t="n"/>
      <c r="AI737" s="12" t="n"/>
      <c r="AJ737" s="13">
        <f>IF(LEN(TRIM(AF737))=0,"",HYPERLINK("https://www.google.com/maps/@?api=1&amp;map_action=pano&amp;viewpoint="&amp;SUBSTITUTE(AF737," ",""),"Abrir Street View"))</f>
        <v/>
      </c>
    </row>
    <row r="738">
      <c r="H738" s="6" t="n"/>
      <c r="I738" s="6" t="n"/>
      <c r="M738" s="7" t="n"/>
      <c r="N738" s="7" t="n"/>
      <c r="O738" s="7" t="n"/>
      <c r="Q738" s="7" t="n"/>
      <c r="R738" s="7" t="n"/>
      <c r="S738" s="8">
        <f>IF(NOT(ISNUMBER(M738)),"",IF(G738="Terreno",IF(AND(ISNUMBER(I738),I738&gt;0),M738/I738,""),IF(AND(ISNUMBER(H738),H738&gt;0),M738/H738,"")))</f>
        <v/>
      </c>
      <c r="T738" s="9">
        <f>IF(AND(ISNUMBER(M738),ISNUMBER(O738)),IF(M738&lt;=O738,"Valor ≤ venal IPTU",""),"")</f>
        <v/>
      </c>
      <c r="U738" s="10">
        <f>IF(AND(ISNUMBER(M738),ISNUMBER(N738)),IF(N738&gt;0,M738/N738,""),"")</f>
        <v/>
      </c>
      <c r="V738" s="10">
        <f>IF(AND(ISNUMBER(M738),ISNUMBER(O738)),IF(O738&gt;0,M738/O738,""),"")</f>
        <v/>
      </c>
      <c r="W738" s="10">
        <f>IF(AND(ISNUMBER(M738),ISNUMBER(R738)),IF(R738&gt;0,M738/R738,""),"")</f>
        <v/>
      </c>
      <c r="X738" s="10">
        <f>IF(AND(ISNUMBER(Q738),ISNUMBER(M738)),IF(M738&gt;0,Q738/M738,""),"")</f>
        <v/>
      </c>
      <c r="Y738" s="11">
        <f>IF(ISNUMBER(Z738),YEAR(Z738),"")</f>
        <v/>
      </c>
      <c r="Z738" s="12" t="n"/>
      <c r="AA738" s="12" t="n"/>
      <c r="AI738" s="12" t="n"/>
      <c r="AJ738" s="13">
        <f>IF(LEN(TRIM(AF738))=0,"",HYPERLINK("https://www.google.com/maps/@?api=1&amp;map_action=pano&amp;viewpoint="&amp;SUBSTITUTE(AF738," ",""),"Abrir Street View"))</f>
        <v/>
      </c>
    </row>
    <row r="739">
      <c r="H739" s="6" t="n"/>
      <c r="I739" s="6" t="n"/>
      <c r="M739" s="7" t="n"/>
      <c r="N739" s="7" t="n"/>
      <c r="O739" s="7" t="n"/>
      <c r="Q739" s="7" t="n"/>
      <c r="R739" s="7" t="n"/>
      <c r="S739" s="8">
        <f>IF(NOT(ISNUMBER(M739)),"",IF(G739="Terreno",IF(AND(ISNUMBER(I739),I739&gt;0),M739/I739,""),IF(AND(ISNUMBER(H739),H739&gt;0),M739/H739,"")))</f>
        <v/>
      </c>
      <c r="T739" s="9">
        <f>IF(AND(ISNUMBER(M739),ISNUMBER(O739)),IF(M739&lt;=O739,"Valor ≤ venal IPTU",""),"")</f>
        <v/>
      </c>
      <c r="U739" s="10">
        <f>IF(AND(ISNUMBER(M739),ISNUMBER(N739)),IF(N739&gt;0,M739/N739,""),"")</f>
        <v/>
      </c>
      <c r="V739" s="10">
        <f>IF(AND(ISNUMBER(M739),ISNUMBER(O739)),IF(O739&gt;0,M739/O739,""),"")</f>
        <v/>
      </c>
      <c r="W739" s="10">
        <f>IF(AND(ISNUMBER(M739),ISNUMBER(R739)),IF(R739&gt;0,M739/R739,""),"")</f>
        <v/>
      </c>
      <c r="X739" s="10">
        <f>IF(AND(ISNUMBER(Q739),ISNUMBER(M739)),IF(M739&gt;0,Q739/M739,""),"")</f>
        <v/>
      </c>
      <c r="Y739" s="11">
        <f>IF(ISNUMBER(Z739),YEAR(Z739),"")</f>
        <v/>
      </c>
      <c r="Z739" s="12" t="n"/>
      <c r="AA739" s="12" t="n"/>
      <c r="AI739" s="12" t="n"/>
      <c r="AJ739" s="13">
        <f>IF(LEN(TRIM(AF739))=0,"",HYPERLINK("https://www.google.com/maps/@?api=1&amp;map_action=pano&amp;viewpoint="&amp;SUBSTITUTE(AF739," ",""),"Abrir Street View"))</f>
        <v/>
      </c>
    </row>
    <row r="740">
      <c r="H740" s="6" t="n"/>
      <c r="I740" s="6" t="n"/>
      <c r="M740" s="7" t="n"/>
      <c r="N740" s="7" t="n"/>
      <c r="O740" s="7" t="n"/>
      <c r="Q740" s="7" t="n"/>
      <c r="R740" s="7" t="n"/>
      <c r="S740" s="8">
        <f>IF(NOT(ISNUMBER(M740)),"",IF(G740="Terreno",IF(AND(ISNUMBER(I740),I740&gt;0),M740/I740,""),IF(AND(ISNUMBER(H740),H740&gt;0),M740/H740,"")))</f>
        <v/>
      </c>
      <c r="T740" s="9">
        <f>IF(AND(ISNUMBER(M740),ISNUMBER(O740)),IF(M740&lt;=O740,"Valor ≤ venal IPTU",""),"")</f>
        <v/>
      </c>
      <c r="U740" s="10">
        <f>IF(AND(ISNUMBER(M740),ISNUMBER(N740)),IF(N740&gt;0,M740/N740,""),"")</f>
        <v/>
      </c>
      <c r="V740" s="10">
        <f>IF(AND(ISNUMBER(M740),ISNUMBER(O740)),IF(O740&gt;0,M740/O740,""),"")</f>
        <v/>
      </c>
      <c r="W740" s="10">
        <f>IF(AND(ISNUMBER(M740),ISNUMBER(R740)),IF(R740&gt;0,M740/R740,""),"")</f>
        <v/>
      </c>
      <c r="X740" s="10">
        <f>IF(AND(ISNUMBER(Q740),ISNUMBER(M740)),IF(M740&gt;0,Q740/M740,""),"")</f>
        <v/>
      </c>
      <c r="Y740" s="11">
        <f>IF(ISNUMBER(Z740),YEAR(Z740),"")</f>
        <v/>
      </c>
      <c r="Z740" s="12" t="n"/>
      <c r="AA740" s="12" t="n"/>
      <c r="AI740" s="12" t="n"/>
      <c r="AJ740" s="13">
        <f>IF(LEN(TRIM(AF740))=0,"",HYPERLINK("https://www.google.com/maps/@?api=1&amp;map_action=pano&amp;viewpoint="&amp;SUBSTITUTE(AF740," ",""),"Abrir Street View"))</f>
        <v/>
      </c>
    </row>
    <row r="741">
      <c r="H741" s="6" t="n"/>
      <c r="I741" s="6" t="n"/>
      <c r="M741" s="7" t="n"/>
      <c r="N741" s="7" t="n"/>
      <c r="O741" s="7" t="n"/>
      <c r="Q741" s="7" t="n"/>
      <c r="R741" s="7" t="n"/>
      <c r="S741" s="8">
        <f>IF(NOT(ISNUMBER(M741)),"",IF(G741="Terreno",IF(AND(ISNUMBER(I741),I741&gt;0),M741/I741,""),IF(AND(ISNUMBER(H741),H741&gt;0),M741/H741,"")))</f>
        <v/>
      </c>
      <c r="T741" s="9">
        <f>IF(AND(ISNUMBER(M741),ISNUMBER(O741)),IF(M741&lt;=O741,"Valor ≤ venal IPTU",""),"")</f>
        <v/>
      </c>
      <c r="U741" s="10">
        <f>IF(AND(ISNUMBER(M741),ISNUMBER(N741)),IF(N741&gt;0,M741/N741,""),"")</f>
        <v/>
      </c>
      <c r="V741" s="10">
        <f>IF(AND(ISNUMBER(M741),ISNUMBER(O741)),IF(O741&gt;0,M741/O741,""),"")</f>
        <v/>
      </c>
      <c r="W741" s="10">
        <f>IF(AND(ISNUMBER(M741),ISNUMBER(R741)),IF(R741&gt;0,M741/R741,""),"")</f>
        <v/>
      </c>
      <c r="X741" s="10">
        <f>IF(AND(ISNUMBER(Q741),ISNUMBER(M741)),IF(M741&gt;0,Q741/M741,""),"")</f>
        <v/>
      </c>
      <c r="Y741" s="11">
        <f>IF(ISNUMBER(Z741),YEAR(Z741),"")</f>
        <v/>
      </c>
      <c r="Z741" s="12" t="n"/>
      <c r="AA741" s="12" t="n"/>
      <c r="AI741" s="12" t="n"/>
      <c r="AJ741" s="13">
        <f>IF(LEN(TRIM(AF741))=0,"",HYPERLINK("https://www.google.com/maps/@?api=1&amp;map_action=pano&amp;viewpoint="&amp;SUBSTITUTE(AF741," ",""),"Abrir Street View"))</f>
        <v/>
      </c>
    </row>
    <row r="742">
      <c r="H742" s="6" t="n"/>
      <c r="I742" s="6" t="n"/>
      <c r="M742" s="7" t="n"/>
      <c r="N742" s="7" t="n"/>
      <c r="O742" s="7" t="n"/>
      <c r="Q742" s="7" t="n"/>
      <c r="R742" s="7" t="n"/>
      <c r="S742" s="8">
        <f>IF(NOT(ISNUMBER(M742)),"",IF(G742="Terreno",IF(AND(ISNUMBER(I742),I742&gt;0),M742/I742,""),IF(AND(ISNUMBER(H742),H742&gt;0),M742/H742,"")))</f>
        <v/>
      </c>
      <c r="T742" s="9">
        <f>IF(AND(ISNUMBER(M742),ISNUMBER(O742)),IF(M742&lt;=O742,"Valor ≤ venal IPTU",""),"")</f>
        <v/>
      </c>
      <c r="U742" s="10">
        <f>IF(AND(ISNUMBER(M742),ISNUMBER(N742)),IF(N742&gt;0,M742/N742,""),"")</f>
        <v/>
      </c>
      <c r="V742" s="10">
        <f>IF(AND(ISNUMBER(M742),ISNUMBER(O742)),IF(O742&gt;0,M742/O742,""),"")</f>
        <v/>
      </c>
      <c r="W742" s="10">
        <f>IF(AND(ISNUMBER(M742),ISNUMBER(R742)),IF(R742&gt;0,M742/R742,""),"")</f>
        <v/>
      </c>
      <c r="X742" s="10">
        <f>IF(AND(ISNUMBER(Q742),ISNUMBER(M742)),IF(M742&gt;0,Q742/M742,""),"")</f>
        <v/>
      </c>
      <c r="Y742" s="11">
        <f>IF(ISNUMBER(Z742),YEAR(Z742),"")</f>
        <v/>
      </c>
      <c r="Z742" s="12" t="n"/>
      <c r="AA742" s="12" t="n"/>
      <c r="AI742" s="12" t="n"/>
      <c r="AJ742" s="13">
        <f>IF(LEN(TRIM(AF742))=0,"",HYPERLINK("https://www.google.com/maps/@?api=1&amp;map_action=pano&amp;viewpoint="&amp;SUBSTITUTE(AF742," ",""),"Abrir Street View"))</f>
        <v/>
      </c>
    </row>
    <row r="743">
      <c r="H743" s="6" t="n"/>
      <c r="I743" s="6" t="n"/>
      <c r="M743" s="7" t="n"/>
      <c r="N743" s="7" t="n"/>
      <c r="O743" s="7" t="n"/>
      <c r="Q743" s="7" t="n"/>
      <c r="R743" s="7" t="n"/>
      <c r="S743" s="8">
        <f>IF(NOT(ISNUMBER(M743)),"",IF(G743="Terreno",IF(AND(ISNUMBER(I743),I743&gt;0),M743/I743,""),IF(AND(ISNUMBER(H743),H743&gt;0),M743/H743,"")))</f>
        <v/>
      </c>
      <c r="T743" s="9">
        <f>IF(AND(ISNUMBER(M743),ISNUMBER(O743)),IF(M743&lt;=O743,"Valor ≤ venal IPTU",""),"")</f>
        <v/>
      </c>
      <c r="U743" s="10">
        <f>IF(AND(ISNUMBER(M743),ISNUMBER(N743)),IF(N743&gt;0,M743/N743,""),"")</f>
        <v/>
      </c>
      <c r="V743" s="10">
        <f>IF(AND(ISNUMBER(M743),ISNUMBER(O743)),IF(O743&gt;0,M743/O743,""),"")</f>
        <v/>
      </c>
      <c r="W743" s="10">
        <f>IF(AND(ISNUMBER(M743),ISNUMBER(R743)),IF(R743&gt;0,M743/R743,""),"")</f>
        <v/>
      </c>
      <c r="X743" s="10">
        <f>IF(AND(ISNUMBER(Q743),ISNUMBER(M743)),IF(M743&gt;0,Q743/M743,""),"")</f>
        <v/>
      </c>
      <c r="Y743" s="11">
        <f>IF(ISNUMBER(Z743),YEAR(Z743),"")</f>
        <v/>
      </c>
      <c r="Z743" s="12" t="n"/>
      <c r="AA743" s="12" t="n"/>
      <c r="AI743" s="12" t="n"/>
      <c r="AJ743" s="13">
        <f>IF(LEN(TRIM(AF743))=0,"",HYPERLINK("https://www.google.com/maps/@?api=1&amp;map_action=pano&amp;viewpoint="&amp;SUBSTITUTE(AF743," ",""),"Abrir Street View"))</f>
        <v/>
      </c>
    </row>
    <row r="744">
      <c r="H744" s="6" t="n"/>
      <c r="I744" s="6" t="n"/>
      <c r="M744" s="7" t="n"/>
      <c r="N744" s="7" t="n"/>
      <c r="O744" s="7" t="n"/>
      <c r="Q744" s="7" t="n"/>
      <c r="R744" s="7" t="n"/>
      <c r="S744" s="8">
        <f>IF(NOT(ISNUMBER(M744)),"",IF(G744="Terreno",IF(AND(ISNUMBER(I744),I744&gt;0),M744/I744,""),IF(AND(ISNUMBER(H744),H744&gt;0),M744/H744,"")))</f>
        <v/>
      </c>
      <c r="T744" s="9">
        <f>IF(AND(ISNUMBER(M744),ISNUMBER(O744)),IF(M744&lt;=O744,"Valor ≤ venal IPTU",""),"")</f>
        <v/>
      </c>
      <c r="U744" s="10">
        <f>IF(AND(ISNUMBER(M744),ISNUMBER(N744)),IF(N744&gt;0,M744/N744,""),"")</f>
        <v/>
      </c>
      <c r="V744" s="10">
        <f>IF(AND(ISNUMBER(M744),ISNUMBER(O744)),IF(O744&gt;0,M744/O744,""),"")</f>
        <v/>
      </c>
      <c r="W744" s="10">
        <f>IF(AND(ISNUMBER(M744),ISNUMBER(R744)),IF(R744&gt;0,M744/R744,""),"")</f>
        <v/>
      </c>
      <c r="X744" s="10">
        <f>IF(AND(ISNUMBER(Q744),ISNUMBER(M744)),IF(M744&gt;0,Q744/M744,""),"")</f>
        <v/>
      </c>
      <c r="Y744" s="11">
        <f>IF(ISNUMBER(Z744),YEAR(Z744),"")</f>
        <v/>
      </c>
      <c r="Z744" s="12" t="n"/>
      <c r="AA744" s="12" t="n"/>
      <c r="AI744" s="12" t="n"/>
      <c r="AJ744" s="13">
        <f>IF(LEN(TRIM(AF744))=0,"",HYPERLINK("https://www.google.com/maps/@?api=1&amp;map_action=pano&amp;viewpoint="&amp;SUBSTITUTE(AF744," ",""),"Abrir Street View"))</f>
        <v/>
      </c>
    </row>
    <row r="745">
      <c r="H745" s="6" t="n"/>
      <c r="I745" s="6" t="n"/>
      <c r="M745" s="7" t="n"/>
      <c r="N745" s="7" t="n"/>
      <c r="O745" s="7" t="n"/>
      <c r="Q745" s="7" t="n"/>
      <c r="R745" s="7" t="n"/>
      <c r="S745" s="8">
        <f>IF(NOT(ISNUMBER(M745)),"",IF(G745="Terreno",IF(AND(ISNUMBER(I745),I745&gt;0),M745/I745,""),IF(AND(ISNUMBER(H745),H745&gt;0),M745/H745,"")))</f>
        <v/>
      </c>
      <c r="T745" s="9">
        <f>IF(AND(ISNUMBER(M745),ISNUMBER(O745)),IF(M745&lt;=O745,"Valor ≤ venal IPTU",""),"")</f>
        <v/>
      </c>
      <c r="U745" s="10">
        <f>IF(AND(ISNUMBER(M745),ISNUMBER(N745)),IF(N745&gt;0,M745/N745,""),"")</f>
        <v/>
      </c>
      <c r="V745" s="10">
        <f>IF(AND(ISNUMBER(M745),ISNUMBER(O745)),IF(O745&gt;0,M745/O745,""),"")</f>
        <v/>
      </c>
      <c r="W745" s="10">
        <f>IF(AND(ISNUMBER(M745),ISNUMBER(R745)),IF(R745&gt;0,M745/R745,""),"")</f>
        <v/>
      </c>
      <c r="X745" s="10">
        <f>IF(AND(ISNUMBER(Q745),ISNUMBER(M745)),IF(M745&gt;0,Q745/M745,""),"")</f>
        <v/>
      </c>
      <c r="Y745" s="11">
        <f>IF(ISNUMBER(Z745),YEAR(Z745),"")</f>
        <v/>
      </c>
      <c r="Z745" s="12" t="n"/>
      <c r="AA745" s="12" t="n"/>
      <c r="AI745" s="12" t="n"/>
      <c r="AJ745" s="13">
        <f>IF(LEN(TRIM(AF745))=0,"",HYPERLINK("https://www.google.com/maps/@?api=1&amp;map_action=pano&amp;viewpoint="&amp;SUBSTITUTE(AF745," ",""),"Abrir Street View"))</f>
        <v/>
      </c>
    </row>
    <row r="746">
      <c r="H746" s="6" t="n"/>
      <c r="I746" s="6" t="n"/>
      <c r="M746" s="7" t="n"/>
      <c r="N746" s="7" t="n"/>
      <c r="O746" s="7" t="n"/>
      <c r="Q746" s="7" t="n"/>
      <c r="R746" s="7" t="n"/>
      <c r="S746" s="8">
        <f>IF(NOT(ISNUMBER(M746)),"",IF(G746="Terreno",IF(AND(ISNUMBER(I746),I746&gt;0),M746/I746,""),IF(AND(ISNUMBER(H746),H746&gt;0),M746/H746,"")))</f>
        <v/>
      </c>
      <c r="T746" s="9">
        <f>IF(AND(ISNUMBER(M746),ISNUMBER(O746)),IF(M746&lt;=O746,"Valor ≤ venal IPTU",""),"")</f>
        <v/>
      </c>
      <c r="U746" s="10">
        <f>IF(AND(ISNUMBER(M746),ISNUMBER(N746)),IF(N746&gt;0,M746/N746,""),"")</f>
        <v/>
      </c>
      <c r="V746" s="10">
        <f>IF(AND(ISNUMBER(M746),ISNUMBER(O746)),IF(O746&gt;0,M746/O746,""),"")</f>
        <v/>
      </c>
      <c r="W746" s="10">
        <f>IF(AND(ISNUMBER(M746),ISNUMBER(R746)),IF(R746&gt;0,M746/R746,""),"")</f>
        <v/>
      </c>
      <c r="X746" s="10">
        <f>IF(AND(ISNUMBER(Q746),ISNUMBER(M746)),IF(M746&gt;0,Q746/M746,""),"")</f>
        <v/>
      </c>
      <c r="Y746" s="11">
        <f>IF(ISNUMBER(Z746),YEAR(Z746),"")</f>
        <v/>
      </c>
      <c r="Z746" s="12" t="n"/>
      <c r="AA746" s="12" t="n"/>
      <c r="AI746" s="12" t="n"/>
      <c r="AJ746" s="13">
        <f>IF(LEN(TRIM(AF746))=0,"",HYPERLINK("https://www.google.com/maps/@?api=1&amp;map_action=pano&amp;viewpoint="&amp;SUBSTITUTE(AF746," ",""),"Abrir Street View"))</f>
        <v/>
      </c>
    </row>
    <row r="747">
      <c r="H747" s="6" t="n"/>
      <c r="I747" s="6" t="n"/>
      <c r="M747" s="7" t="n"/>
      <c r="N747" s="7" t="n"/>
      <c r="O747" s="7" t="n"/>
      <c r="Q747" s="7" t="n"/>
      <c r="R747" s="7" t="n"/>
      <c r="S747" s="8">
        <f>IF(NOT(ISNUMBER(M747)),"",IF(G747="Terreno",IF(AND(ISNUMBER(I747),I747&gt;0),M747/I747,""),IF(AND(ISNUMBER(H747),H747&gt;0),M747/H747,"")))</f>
        <v/>
      </c>
      <c r="T747" s="9">
        <f>IF(AND(ISNUMBER(M747),ISNUMBER(O747)),IF(M747&lt;=O747,"Valor ≤ venal IPTU",""),"")</f>
        <v/>
      </c>
      <c r="U747" s="10">
        <f>IF(AND(ISNUMBER(M747),ISNUMBER(N747)),IF(N747&gt;0,M747/N747,""),"")</f>
        <v/>
      </c>
      <c r="V747" s="10">
        <f>IF(AND(ISNUMBER(M747),ISNUMBER(O747)),IF(O747&gt;0,M747/O747,""),"")</f>
        <v/>
      </c>
      <c r="W747" s="10">
        <f>IF(AND(ISNUMBER(M747),ISNUMBER(R747)),IF(R747&gt;0,M747/R747,""),"")</f>
        <v/>
      </c>
      <c r="X747" s="10">
        <f>IF(AND(ISNUMBER(Q747),ISNUMBER(M747)),IF(M747&gt;0,Q747/M747,""),"")</f>
        <v/>
      </c>
      <c r="Y747" s="11">
        <f>IF(ISNUMBER(Z747),YEAR(Z747),"")</f>
        <v/>
      </c>
      <c r="Z747" s="12" t="n"/>
      <c r="AA747" s="12" t="n"/>
      <c r="AI747" s="12" t="n"/>
      <c r="AJ747" s="13">
        <f>IF(LEN(TRIM(AF747))=0,"",HYPERLINK("https://www.google.com/maps/@?api=1&amp;map_action=pano&amp;viewpoint="&amp;SUBSTITUTE(AF747," ",""),"Abrir Street View"))</f>
        <v/>
      </c>
    </row>
    <row r="748">
      <c r="H748" s="6" t="n"/>
      <c r="I748" s="6" t="n"/>
      <c r="M748" s="7" t="n"/>
      <c r="N748" s="7" t="n"/>
      <c r="O748" s="7" t="n"/>
      <c r="Q748" s="7" t="n"/>
      <c r="R748" s="7" t="n"/>
      <c r="S748" s="8">
        <f>IF(NOT(ISNUMBER(M748)),"",IF(G748="Terreno",IF(AND(ISNUMBER(I748),I748&gt;0),M748/I748,""),IF(AND(ISNUMBER(H748),H748&gt;0),M748/H748,"")))</f>
        <v/>
      </c>
      <c r="T748" s="9">
        <f>IF(AND(ISNUMBER(M748),ISNUMBER(O748)),IF(M748&lt;=O748,"Valor ≤ venal IPTU",""),"")</f>
        <v/>
      </c>
      <c r="U748" s="10">
        <f>IF(AND(ISNUMBER(M748),ISNUMBER(N748)),IF(N748&gt;0,M748/N748,""),"")</f>
        <v/>
      </c>
      <c r="V748" s="10">
        <f>IF(AND(ISNUMBER(M748),ISNUMBER(O748)),IF(O748&gt;0,M748/O748,""),"")</f>
        <v/>
      </c>
      <c r="W748" s="10">
        <f>IF(AND(ISNUMBER(M748),ISNUMBER(R748)),IF(R748&gt;0,M748/R748,""),"")</f>
        <v/>
      </c>
      <c r="X748" s="10">
        <f>IF(AND(ISNUMBER(Q748),ISNUMBER(M748)),IF(M748&gt;0,Q748/M748,""),"")</f>
        <v/>
      </c>
      <c r="Y748" s="11">
        <f>IF(ISNUMBER(Z748),YEAR(Z748),"")</f>
        <v/>
      </c>
      <c r="Z748" s="12" t="n"/>
      <c r="AA748" s="12" t="n"/>
      <c r="AI748" s="12" t="n"/>
      <c r="AJ748" s="13">
        <f>IF(LEN(TRIM(AF748))=0,"",HYPERLINK("https://www.google.com/maps/@?api=1&amp;map_action=pano&amp;viewpoint="&amp;SUBSTITUTE(AF748," ",""),"Abrir Street View"))</f>
        <v/>
      </c>
    </row>
    <row r="749">
      <c r="H749" s="6" t="n"/>
      <c r="I749" s="6" t="n"/>
      <c r="M749" s="7" t="n"/>
      <c r="N749" s="7" t="n"/>
      <c r="O749" s="7" t="n"/>
      <c r="Q749" s="7" t="n"/>
      <c r="R749" s="7" t="n"/>
      <c r="S749" s="8">
        <f>IF(NOT(ISNUMBER(M749)),"",IF(G749="Terreno",IF(AND(ISNUMBER(I749),I749&gt;0),M749/I749,""),IF(AND(ISNUMBER(H749),H749&gt;0),M749/H749,"")))</f>
        <v/>
      </c>
      <c r="T749" s="9">
        <f>IF(AND(ISNUMBER(M749),ISNUMBER(O749)),IF(M749&lt;=O749,"Valor ≤ venal IPTU",""),"")</f>
        <v/>
      </c>
      <c r="U749" s="10">
        <f>IF(AND(ISNUMBER(M749),ISNUMBER(N749)),IF(N749&gt;0,M749/N749,""),"")</f>
        <v/>
      </c>
      <c r="V749" s="10">
        <f>IF(AND(ISNUMBER(M749),ISNUMBER(O749)),IF(O749&gt;0,M749/O749,""),"")</f>
        <v/>
      </c>
      <c r="W749" s="10">
        <f>IF(AND(ISNUMBER(M749),ISNUMBER(R749)),IF(R749&gt;0,M749/R749,""),"")</f>
        <v/>
      </c>
      <c r="X749" s="10">
        <f>IF(AND(ISNUMBER(Q749),ISNUMBER(M749)),IF(M749&gt;0,Q749/M749,""),"")</f>
        <v/>
      </c>
      <c r="Y749" s="11">
        <f>IF(ISNUMBER(Z749),YEAR(Z749),"")</f>
        <v/>
      </c>
      <c r="Z749" s="12" t="n"/>
      <c r="AA749" s="12" t="n"/>
      <c r="AI749" s="12" t="n"/>
      <c r="AJ749" s="13">
        <f>IF(LEN(TRIM(AF749))=0,"",HYPERLINK("https://www.google.com/maps/@?api=1&amp;map_action=pano&amp;viewpoint="&amp;SUBSTITUTE(AF749," ",""),"Abrir Street View"))</f>
        <v/>
      </c>
    </row>
    <row r="750">
      <c r="H750" s="6" t="n"/>
      <c r="I750" s="6" t="n"/>
      <c r="M750" s="7" t="n"/>
      <c r="N750" s="7" t="n"/>
      <c r="O750" s="7" t="n"/>
      <c r="Q750" s="7" t="n"/>
      <c r="R750" s="7" t="n"/>
      <c r="S750" s="8">
        <f>IF(NOT(ISNUMBER(M750)),"",IF(G750="Terreno",IF(AND(ISNUMBER(I750),I750&gt;0),M750/I750,""),IF(AND(ISNUMBER(H750),H750&gt;0),M750/H750,"")))</f>
        <v/>
      </c>
      <c r="T750" s="9">
        <f>IF(AND(ISNUMBER(M750),ISNUMBER(O750)),IF(M750&lt;=O750,"Valor ≤ venal IPTU",""),"")</f>
        <v/>
      </c>
      <c r="U750" s="10">
        <f>IF(AND(ISNUMBER(M750),ISNUMBER(N750)),IF(N750&gt;0,M750/N750,""),"")</f>
        <v/>
      </c>
      <c r="V750" s="10">
        <f>IF(AND(ISNUMBER(M750),ISNUMBER(O750)),IF(O750&gt;0,M750/O750,""),"")</f>
        <v/>
      </c>
      <c r="W750" s="10">
        <f>IF(AND(ISNUMBER(M750),ISNUMBER(R750)),IF(R750&gt;0,M750/R750,""),"")</f>
        <v/>
      </c>
      <c r="X750" s="10">
        <f>IF(AND(ISNUMBER(Q750),ISNUMBER(M750)),IF(M750&gt;0,Q750/M750,""),"")</f>
        <v/>
      </c>
      <c r="Y750" s="11">
        <f>IF(ISNUMBER(Z750),YEAR(Z750),"")</f>
        <v/>
      </c>
      <c r="Z750" s="12" t="n"/>
      <c r="AA750" s="12" t="n"/>
      <c r="AI750" s="12" t="n"/>
      <c r="AJ750" s="13">
        <f>IF(LEN(TRIM(AF750))=0,"",HYPERLINK("https://www.google.com/maps/@?api=1&amp;map_action=pano&amp;viewpoint="&amp;SUBSTITUTE(AF750," ",""),"Abrir Street View"))</f>
        <v/>
      </c>
    </row>
    <row r="751">
      <c r="H751" s="6" t="n"/>
      <c r="I751" s="6" t="n"/>
      <c r="M751" s="7" t="n"/>
      <c r="N751" s="7" t="n"/>
      <c r="O751" s="7" t="n"/>
      <c r="Q751" s="7" t="n"/>
      <c r="R751" s="7" t="n"/>
      <c r="S751" s="8">
        <f>IF(NOT(ISNUMBER(M751)),"",IF(G751="Terreno",IF(AND(ISNUMBER(I751),I751&gt;0),M751/I751,""),IF(AND(ISNUMBER(H751),H751&gt;0),M751/H751,"")))</f>
        <v/>
      </c>
      <c r="T751" s="9">
        <f>IF(AND(ISNUMBER(M751),ISNUMBER(O751)),IF(M751&lt;=O751,"Valor ≤ venal IPTU",""),"")</f>
        <v/>
      </c>
      <c r="U751" s="10">
        <f>IF(AND(ISNUMBER(M751),ISNUMBER(N751)),IF(N751&gt;0,M751/N751,""),"")</f>
        <v/>
      </c>
      <c r="V751" s="10">
        <f>IF(AND(ISNUMBER(M751),ISNUMBER(O751)),IF(O751&gt;0,M751/O751,""),"")</f>
        <v/>
      </c>
      <c r="W751" s="10">
        <f>IF(AND(ISNUMBER(M751),ISNUMBER(R751)),IF(R751&gt;0,M751/R751,""),"")</f>
        <v/>
      </c>
      <c r="X751" s="10">
        <f>IF(AND(ISNUMBER(Q751),ISNUMBER(M751)),IF(M751&gt;0,Q751/M751,""),"")</f>
        <v/>
      </c>
      <c r="Y751" s="11">
        <f>IF(ISNUMBER(Z751),YEAR(Z751),"")</f>
        <v/>
      </c>
      <c r="Z751" s="12" t="n"/>
      <c r="AA751" s="12" t="n"/>
      <c r="AI751" s="12" t="n"/>
      <c r="AJ751" s="13">
        <f>IF(LEN(TRIM(AF751))=0,"",HYPERLINK("https://www.google.com/maps/@?api=1&amp;map_action=pano&amp;viewpoint="&amp;SUBSTITUTE(AF751," ",""),"Abrir Street View"))</f>
        <v/>
      </c>
    </row>
    <row r="752">
      <c r="H752" s="6" t="n"/>
      <c r="I752" s="6" t="n"/>
      <c r="M752" s="7" t="n"/>
      <c r="N752" s="7" t="n"/>
      <c r="O752" s="7" t="n"/>
      <c r="Q752" s="7" t="n"/>
      <c r="R752" s="7" t="n"/>
      <c r="S752" s="8">
        <f>IF(NOT(ISNUMBER(M752)),"",IF(G752="Terreno",IF(AND(ISNUMBER(I752),I752&gt;0),M752/I752,""),IF(AND(ISNUMBER(H752),H752&gt;0),M752/H752,"")))</f>
        <v/>
      </c>
      <c r="T752" s="9">
        <f>IF(AND(ISNUMBER(M752),ISNUMBER(O752)),IF(M752&lt;=O752,"Valor ≤ venal IPTU",""),"")</f>
        <v/>
      </c>
      <c r="U752" s="10">
        <f>IF(AND(ISNUMBER(M752),ISNUMBER(N752)),IF(N752&gt;0,M752/N752,""),"")</f>
        <v/>
      </c>
      <c r="V752" s="10">
        <f>IF(AND(ISNUMBER(M752),ISNUMBER(O752)),IF(O752&gt;0,M752/O752,""),"")</f>
        <v/>
      </c>
      <c r="W752" s="10">
        <f>IF(AND(ISNUMBER(M752),ISNUMBER(R752)),IF(R752&gt;0,M752/R752,""),"")</f>
        <v/>
      </c>
      <c r="X752" s="10">
        <f>IF(AND(ISNUMBER(Q752),ISNUMBER(M752)),IF(M752&gt;0,Q752/M752,""),"")</f>
        <v/>
      </c>
      <c r="Y752" s="11">
        <f>IF(ISNUMBER(Z752),YEAR(Z752),"")</f>
        <v/>
      </c>
      <c r="Z752" s="12" t="n"/>
      <c r="AA752" s="12" t="n"/>
      <c r="AI752" s="12" t="n"/>
      <c r="AJ752" s="13">
        <f>IF(LEN(TRIM(AF752))=0,"",HYPERLINK("https://www.google.com/maps/@?api=1&amp;map_action=pano&amp;viewpoint="&amp;SUBSTITUTE(AF752," ",""),"Abrir Street View"))</f>
        <v/>
      </c>
    </row>
    <row r="753">
      <c r="H753" s="6" t="n"/>
      <c r="I753" s="6" t="n"/>
      <c r="M753" s="7" t="n"/>
      <c r="N753" s="7" t="n"/>
      <c r="O753" s="7" t="n"/>
      <c r="Q753" s="7" t="n"/>
      <c r="R753" s="7" t="n"/>
      <c r="S753" s="8">
        <f>IF(NOT(ISNUMBER(M753)),"",IF(G753="Terreno",IF(AND(ISNUMBER(I753),I753&gt;0),M753/I753,""),IF(AND(ISNUMBER(H753),H753&gt;0),M753/H753,"")))</f>
        <v/>
      </c>
      <c r="T753" s="9">
        <f>IF(AND(ISNUMBER(M753),ISNUMBER(O753)),IF(M753&lt;=O753,"Valor ≤ venal IPTU",""),"")</f>
        <v/>
      </c>
      <c r="U753" s="10">
        <f>IF(AND(ISNUMBER(M753),ISNUMBER(N753)),IF(N753&gt;0,M753/N753,""),"")</f>
        <v/>
      </c>
      <c r="V753" s="10">
        <f>IF(AND(ISNUMBER(M753),ISNUMBER(O753)),IF(O753&gt;0,M753/O753,""),"")</f>
        <v/>
      </c>
      <c r="W753" s="10">
        <f>IF(AND(ISNUMBER(M753),ISNUMBER(R753)),IF(R753&gt;0,M753/R753,""),"")</f>
        <v/>
      </c>
      <c r="X753" s="10">
        <f>IF(AND(ISNUMBER(Q753),ISNUMBER(M753)),IF(M753&gt;0,Q753/M753,""),"")</f>
        <v/>
      </c>
      <c r="Y753" s="11">
        <f>IF(ISNUMBER(Z753),YEAR(Z753),"")</f>
        <v/>
      </c>
      <c r="Z753" s="12" t="n"/>
      <c r="AA753" s="12" t="n"/>
      <c r="AI753" s="12" t="n"/>
      <c r="AJ753" s="13">
        <f>IF(LEN(TRIM(AF753))=0,"",HYPERLINK("https://www.google.com/maps/@?api=1&amp;map_action=pano&amp;viewpoint="&amp;SUBSTITUTE(AF753," ",""),"Abrir Street View"))</f>
        <v/>
      </c>
    </row>
    <row r="754">
      <c r="H754" s="6" t="n"/>
      <c r="I754" s="6" t="n"/>
      <c r="M754" s="7" t="n"/>
      <c r="N754" s="7" t="n"/>
      <c r="O754" s="7" t="n"/>
      <c r="Q754" s="7" t="n"/>
      <c r="R754" s="7" t="n"/>
      <c r="S754" s="8">
        <f>IF(NOT(ISNUMBER(M754)),"",IF(G754="Terreno",IF(AND(ISNUMBER(I754),I754&gt;0),M754/I754,""),IF(AND(ISNUMBER(H754),H754&gt;0),M754/H754,"")))</f>
        <v/>
      </c>
      <c r="T754" s="9">
        <f>IF(AND(ISNUMBER(M754),ISNUMBER(O754)),IF(M754&lt;=O754,"Valor ≤ venal IPTU",""),"")</f>
        <v/>
      </c>
      <c r="U754" s="10">
        <f>IF(AND(ISNUMBER(M754),ISNUMBER(N754)),IF(N754&gt;0,M754/N754,""),"")</f>
        <v/>
      </c>
      <c r="V754" s="10">
        <f>IF(AND(ISNUMBER(M754),ISNUMBER(O754)),IF(O754&gt;0,M754/O754,""),"")</f>
        <v/>
      </c>
      <c r="W754" s="10">
        <f>IF(AND(ISNUMBER(M754),ISNUMBER(R754)),IF(R754&gt;0,M754/R754,""),"")</f>
        <v/>
      </c>
      <c r="X754" s="10">
        <f>IF(AND(ISNUMBER(Q754),ISNUMBER(M754)),IF(M754&gt;0,Q754/M754,""),"")</f>
        <v/>
      </c>
      <c r="Y754" s="11">
        <f>IF(ISNUMBER(Z754),YEAR(Z754),"")</f>
        <v/>
      </c>
      <c r="Z754" s="12" t="n"/>
      <c r="AA754" s="12" t="n"/>
      <c r="AI754" s="12" t="n"/>
      <c r="AJ754" s="13">
        <f>IF(LEN(TRIM(AF754))=0,"",HYPERLINK("https://www.google.com/maps/@?api=1&amp;map_action=pano&amp;viewpoint="&amp;SUBSTITUTE(AF754," ",""),"Abrir Street View"))</f>
        <v/>
      </c>
    </row>
    <row r="755">
      <c r="H755" s="6" t="n"/>
      <c r="I755" s="6" t="n"/>
      <c r="M755" s="7" t="n"/>
      <c r="N755" s="7" t="n"/>
      <c r="O755" s="7" t="n"/>
      <c r="Q755" s="7" t="n"/>
      <c r="R755" s="7" t="n"/>
      <c r="S755" s="8">
        <f>IF(NOT(ISNUMBER(M755)),"",IF(G755="Terreno",IF(AND(ISNUMBER(I755),I755&gt;0),M755/I755,""),IF(AND(ISNUMBER(H755),H755&gt;0),M755/H755,"")))</f>
        <v/>
      </c>
      <c r="T755" s="9">
        <f>IF(AND(ISNUMBER(M755),ISNUMBER(O755)),IF(M755&lt;=O755,"Valor ≤ venal IPTU",""),"")</f>
        <v/>
      </c>
      <c r="U755" s="10">
        <f>IF(AND(ISNUMBER(M755),ISNUMBER(N755)),IF(N755&gt;0,M755/N755,""),"")</f>
        <v/>
      </c>
      <c r="V755" s="10">
        <f>IF(AND(ISNUMBER(M755),ISNUMBER(O755)),IF(O755&gt;0,M755/O755,""),"")</f>
        <v/>
      </c>
      <c r="W755" s="10">
        <f>IF(AND(ISNUMBER(M755),ISNUMBER(R755)),IF(R755&gt;0,M755/R755,""),"")</f>
        <v/>
      </c>
      <c r="X755" s="10">
        <f>IF(AND(ISNUMBER(Q755),ISNUMBER(M755)),IF(M755&gt;0,Q755/M755,""),"")</f>
        <v/>
      </c>
      <c r="Y755" s="11">
        <f>IF(ISNUMBER(Z755),YEAR(Z755),"")</f>
        <v/>
      </c>
      <c r="Z755" s="12" t="n"/>
      <c r="AA755" s="12" t="n"/>
      <c r="AI755" s="12" t="n"/>
      <c r="AJ755" s="13">
        <f>IF(LEN(TRIM(AF755))=0,"",HYPERLINK("https://www.google.com/maps/@?api=1&amp;map_action=pano&amp;viewpoint="&amp;SUBSTITUTE(AF755," ",""),"Abrir Street View"))</f>
        <v/>
      </c>
    </row>
    <row r="756">
      <c r="H756" s="6" t="n"/>
      <c r="I756" s="6" t="n"/>
      <c r="M756" s="7" t="n"/>
      <c r="N756" s="7" t="n"/>
      <c r="O756" s="7" t="n"/>
      <c r="Q756" s="7" t="n"/>
      <c r="R756" s="7" t="n"/>
      <c r="S756" s="8">
        <f>IF(NOT(ISNUMBER(M756)),"",IF(G756="Terreno",IF(AND(ISNUMBER(I756),I756&gt;0),M756/I756,""),IF(AND(ISNUMBER(H756),H756&gt;0),M756/H756,"")))</f>
        <v/>
      </c>
      <c r="T756" s="9">
        <f>IF(AND(ISNUMBER(M756),ISNUMBER(O756)),IF(M756&lt;=O756,"Valor ≤ venal IPTU",""),"")</f>
        <v/>
      </c>
      <c r="U756" s="10">
        <f>IF(AND(ISNUMBER(M756),ISNUMBER(N756)),IF(N756&gt;0,M756/N756,""),"")</f>
        <v/>
      </c>
      <c r="V756" s="10">
        <f>IF(AND(ISNUMBER(M756),ISNUMBER(O756)),IF(O756&gt;0,M756/O756,""),"")</f>
        <v/>
      </c>
      <c r="W756" s="10">
        <f>IF(AND(ISNUMBER(M756),ISNUMBER(R756)),IF(R756&gt;0,M756/R756,""),"")</f>
        <v/>
      </c>
      <c r="X756" s="10">
        <f>IF(AND(ISNUMBER(Q756),ISNUMBER(M756)),IF(M756&gt;0,Q756/M756,""),"")</f>
        <v/>
      </c>
      <c r="Y756" s="11">
        <f>IF(ISNUMBER(Z756),YEAR(Z756),"")</f>
        <v/>
      </c>
      <c r="Z756" s="12" t="n"/>
      <c r="AA756" s="12" t="n"/>
      <c r="AI756" s="12" t="n"/>
      <c r="AJ756" s="13">
        <f>IF(LEN(TRIM(AF756))=0,"",HYPERLINK("https://www.google.com/maps/@?api=1&amp;map_action=pano&amp;viewpoint="&amp;SUBSTITUTE(AF756," ",""),"Abrir Street View"))</f>
        <v/>
      </c>
    </row>
    <row r="757">
      <c r="H757" s="6" t="n"/>
      <c r="I757" s="6" t="n"/>
      <c r="M757" s="7" t="n"/>
      <c r="N757" s="7" t="n"/>
      <c r="O757" s="7" t="n"/>
      <c r="Q757" s="7" t="n"/>
      <c r="R757" s="7" t="n"/>
      <c r="S757" s="8">
        <f>IF(NOT(ISNUMBER(M757)),"",IF(G757="Terreno",IF(AND(ISNUMBER(I757),I757&gt;0),M757/I757,""),IF(AND(ISNUMBER(H757),H757&gt;0),M757/H757,"")))</f>
        <v/>
      </c>
      <c r="T757" s="9">
        <f>IF(AND(ISNUMBER(M757),ISNUMBER(O757)),IF(M757&lt;=O757,"Valor ≤ venal IPTU",""),"")</f>
        <v/>
      </c>
      <c r="U757" s="10">
        <f>IF(AND(ISNUMBER(M757),ISNUMBER(N757)),IF(N757&gt;0,M757/N757,""),"")</f>
        <v/>
      </c>
      <c r="V757" s="10">
        <f>IF(AND(ISNUMBER(M757),ISNUMBER(O757)),IF(O757&gt;0,M757/O757,""),"")</f>
        <v/>
      </c>
      <c r="W757" s="10">
        <f>IF(AND(ISNUMBER(M757),ISNUMBER(R757)),IF(R757&gt;0,M757/R757,""),"")</f>
        <v/>
      </c>
      <c r="X757" s="10">
        <f>IF(AND(ISNUMBER(Q757),ISNUMBER(M757)),IF(M757&gt;0,Q757/M757,""),"")</f>
        <v/>
      </c>
      <c r="Y757" s="11">
        <f>IF(ISNUMBER(Z757),YEAR(Z757),"")</f>
        <v/>
      </c>
      <c r="Z757" s="12" t="n"/>
      <c r="AA757" s="12" t="n"/>
      <c r="AI757" s="12" t="n"/>
      <c r="AJ757" s="13">
        <f>IF(LEN(TRIM(AF757))=0,"",HYPERLINK("https://www.google.com/maps/@?api=1&amp;map_action=pano&amp;viewpoint="&amp;SUBSTITUTE(AF757," ",""),"Abrir Street View"))</f>
        <v/>
      </c>
    </row>
    <row r="758">
      <c r="H758" s="6" t="n"/>
      <c r="I758" s="6" t="n"/>
      <c r="M758" s="7" t="n"/>
      <c r="N758" s="7" t="n"/>
      <c r="O758" s="7" t="n"/>
      <c r="Q758" s="7" t="n"/>
      <c r="R758" s="7" t="n"/>
      <c r="S758" s="8">
        <f>IF(NOT(ISNUMBER(M758)),"",IF(G758="Terreno",IF(AND(ISNUMBER(I758),I758&gt;0),M758/I758,""),IF(AND(ISNUMBER(H758),H758&gt;0),M758/H758,"")))</f>
        <v/>
      </c>
      <c r="T758" s="9">
        <f>IF(AND(ISNUMBER(M758),ISNUMBER(O758)),IF(M758&lt;=O758,"Valor ≤ venal IPTU",""),"")</f>
        <v/>
      </c>
      <c r="U758" s="10">
        <f>IF(AND(ISNUMBER(M758),ISNUMBER(N758)),IF(N758&gt;0,M758/N758,""),"")</f>
        <v/>
      </c>
      <c r="V758" s="10">
        <f>IF(AND(ISNUMBER(M758),ISNUMBER(O758)),IF(O758&gt;0,M758/O758,""),"")</f>
        <v/>
      </c>
      <c r="W758" s="10">
        <f>IF(AND(ISNUMBER(M758),ISNUMBER(R758)),IF(R758&gt;0,M758/R758,""),"")</f>
        <v/>
      </c>
      <c r="X758" s="10">
        <f>IF(AND(ISNUMBER(Q758),ISNUMBER(M758)),IF(M758&gt;0,Q758/M758,""),"")</f>
        <v/>
      </c>
      <c r="Y758" s="11">
        <f>IF(ISNUMBER(Z758),YEAR(Z758),"")</f>
        <v/>
      </c>
      <c r="Z758" s="12" t="n"/>
      <c r="AA758" s="12" t="n"/>
      <c r="AI758" s="12" t="n"/>
      <c r="AJ758" s="13">
        <f>IF(LEN(TRIM(AF758))=0,"",HYPERLINK("https://www.google.com/maps/@?api=1&amp;map_action=pano&amp;viewpoint="&amp;SUBSTITUTE(AF758," ",""),"Abrir Street View"))</f>
        <v/>
      </c>
    </row>
    <row r="759">
      <c r="H759" s="6" t="n"/>
      <c r="I759" s="6" t="n"/>
      <c r="M759" s="7" t="n"/>
      <c r="N759" s="7" t="n"/>
      <c r="O759" s="7" t="n"/>
      <c r="Q759" s="7" t="n"/>
      <c r="R759" s="7" t="n"/>
      <c r="S759" s="8">
        <f>IF(NOT(ISNUMBER(M759)),"",IF(G759="Terreno",IF(AND(ISNUMBER(I759),I759&gt;0),M759/I759,""),IF(AND(ISNUMBER(H759),H759&gt;0),M759/H759,"")))</f>
        <v/>
      </c>
      <c r="T759" s="9">
        <f>IF(AND(ISNUMBER(M759),ISNUMBER(O759)),IF(M759&lt;=O759,"Valor ≤ venal IPTU",""),"")</f>
        <v/>
      </c>
      <c r="U759" s="10">
        <f>IF(AND(ISNUMBER(M759),ISNUMBER(N759)),IF(N759&gt;0,M759/N759,""),"")</f>
        <v/>
      </c>
      <c r="V759" s="10">
        <f>IF(AND(ISNUMBER(M759),ISNUMBER(O759)),IF(O759&gt;0,M759/O759,""),"")</f>
        <v/>
      </c>
      <c r="W759" s="10">
        <f>IF(AND(ISNUMBER(M759),ISNUMBER(R759)),IF(R759&gt;0,M759/R759,""),"")</f>
        <v/>
      </c>
      <c r="X759" s="10">
        <f>IF(AND(ISNUMBER(Q759),ISNUMBER(M759)),IF(M759&gt;0,Q759/M759,""),"")</f>
        <v/>
      </c>
      <c r="Y759" s="11">
        <f>IF(ISNUMBER(Z759),YEAR(Z759),"")</f>
        <v/>
      </c>
      <c r="Z759" s="12" t="n"/>
      <c r="AA759" s="12" t="n"/>
      <c r="AI759" s="12" t="n"/>
      <c r="AJ759" s="13">
        <f>IF(LEN(TRIM(AF759))=0,"",HYPERLINK("https://www.google.com/maps/@?api=1&amp;map_action=pano&amp;viewpoint="&amp;SUBSTITUTE(AF759," ",""),"Abrir Street View"))</f>
        <v/>
      </c>
    </row>
    <row r="760">
      <c r="H760" s="6" t="n"/>
      <c r="I760" s="6" t="n"/>
      <c r="M760" s="7" t="n"/>
      <c r="N760" s="7" t="n"/>
      <c r="O760" s="7" t="n"/>
      <c r="Q760" s="7" t="n"/>
      <c r="R760" s="7" t="n"/>
      <c r="S760" s="8">
        <f>IF(NOT(ISNUMBER(M760)),"",IF(G760="Terreno",IF(AND(ISNUMBER(I760),I760&gt;0),M760/I760,""),IF(AND(ISNUMBER(H760),H760&gt;0),M760/H760,"")))</f>
        <v/>
      </c>
      <c r="T760" s="9">
        <f>IF(AND(ISNUMBER(M760),ISNUMBER(O760)),IF(M760&lt;=O760,"Valor ≤ venal IPTU",""),"")</f>
        <v/>
      </c>
      <c r="U760" s="10">
        <f>IF(AND(ISNUMBER(M760),ISNUMBER(N760)),IF(N760&gt;0,M760/N760,""),"")</f>
        <v/>
      </c>
      <c r="V760" s="10">
        <f>IF(AND(ISNUMBER(M760),ISNUMBER(O760)),IF(O760&gt;0,M760/O760,""),"")</f>
        <v/>
      </c>
      <c r="W760" s="10">
        <f>IF(AND(ISNUMBER(M760),ISNUMBER(R760)),IF(R760&gt;0,M760/R760,""),"")</f>
        <v/>
      </c>
      <c r="X760" s="10">
        <f>IF(AND(ISNUMBER(Q760),ISNUMBER(M760)),IF(M760&gt;0,Q760/M760,""),"")</f>
        <v/>
      </c>
      <c r="Y760" s="11">
        <f>IF(ISNUMBER(Z760),YEAR(Z760),"")</f>
        <v/>
      </c>
      <c r="Z760" s="12" t="n"/>
      <c r="AA760" s="12" t="n"/>
      <c r="AI760" s="12" t="n"/>
      <c r="AJ760" s="13">
        <f>IF(LEN(TRIM(AF760))=0,"",HYPERLINK("https://www.google.com/maps/@?api=1&amp;map_action=pano&amp;viewpoint="&amp;SUBSTITUTE(AF760," ",""),"Abrir Street View"))</f>
        <v/>
      </c>
    </row>
    <row r="761">
      <c r="H761" s="6" t="n"/>
      <c r="I761" s="6" t="n"/>
      <c r="M761" s="7" t="n"/>
      <c r="N761" s="7" t="n"/>
      <c r="O761" s="7" t="n"/>
      <c r="Q761" s="7" t="n"/>
      <c r="R761" s="7" t="n"/>
      <c r="S761" s="8">
        <f>IF(NOT(ISNUMBER(M761)),"",IF(G761="Terreno",IF(AND(ISNUMBER(I761),I761&gt;0),M761/I761,""),IF(AND(ISNUMBER(H761),H761&gt;0),M761/H761,"")))</f>
        <v/>
      </c>
      <c r="T761" s="9">
        <f>IF(AND(ISNUMBER(M761),ISNUMBER(O761)),IF(M761&lt;=O761,"Valor ≤ venal IPTU",""),"")</f>
        <v/>
      </c>
      <c r="U761" s="10">
        <f>IF(AND(ISNUMBER(M761),ISNUMBER(N761)),IF(N761&gt;0,M761/N761,""),"")</f>
        <v/>
      </c>
      <c r="V761" s="10">
        <f>IF(AND(ISNUMBER(M761),ISNUMBER(O761)),IF(O761&gt;0,M761/O761,""),"")</f>
        <v/>
      </c>
      <c r="W761" s="10">
        <f>IF(AND(ISNUMBER(M761),ISNUMBER(R761)),IF(R761&gt;0,M761/R761,""),"")</f>
        <v/>
      </c>
      <c r="X761" s="10">
        <f>IF(AND(ISNUMBER(Q761),ISNUMBER(M761)),IF(M761&gt;0,Q761/M761,""),"")</f>
        <v/>
      </c>
      <c r="Y761" s="11">
        <f>IF(ISNUMBER(Z761),YEAR(Z761),"")</f>
        <v/>
      </c>
      <c r="Z761" s="12" t="n"/>
      <c r="AA761" s="12" t="n"/>
      <c r="AI761" s="12" t="n"/>
      <c r="AJ761" s="13">
        <f>IF(LEN(TRIM(AF761))=0,"",HYPERLINK("https://www.google.com/maps/@?api=1&amp;map_action=pano&amp;viewpoint="&amp;SUBSTITUTE(AF761," ",""),"Abrir Street View"))</f>
        <v/>
      </c>
    </row>
    <row r="762">
      <c r="H762" s="6" t="n"/>
      <c r="I762" s="6" t="n"/>
      <c r="M762" s="7" t="n"/>
      <c r="N762" s="7" t="n"/>
      <c r="O762" s="7" t="n"/>
      <c r="Q762" s="7" t="n"/>
      <c r="R762" s="7" t="n"/>
      <c r="S762" s="8">
        <f>IF(NOT(ISNUMBER(M762)),"",IF(G762="Terreno",IF(AND(ISNUMBER(I762),I762&gt;0),M762/I762,""),IF(AND(ISNUMBER(H762),H762&gt;0),M762/H762,"")))</f>
        <v/>
      </c>
      <c r="T762" s="9">
        <f>IF(AND(ISNUMBER(M762),ISNUMBER(O762)),IF(M762&lt;=O762,"Valor ≤ venal IPTU",""),"")</f>
        <v/>
      </c>
      <c r="U762" s="10">
        <f>IF(AND(ISNUMBER(M762),ISNUMBER(N762)),IF(N762&gt;0,M762/N762,""),"")</f>
        <v/>
      </c>
      <c r="V762" s="10">
        <f>IF(AND(ISNUMBER(M762),ISNUMBER(O762)),IF(O762&gt;0,M762/O762,""),"")</f>
        <v/>
      </c>
      <c r="W762" s="10">
        <f>IF(AND(ISNUMBER(M762),ISNUMBER(R762)),IF(R762&gt;0,M762/R762,""),"")</f>
        <v/>
      </c>
      <c r="X762" s="10">
        <f>IF(AND(ISNUMBER(Q762),ISNUMBER(M762)),IF(M762&gt;0,Q762/M762,""),"")</f>
        <v/>
      </c>
      <c r="Y762" s="11">
        <f>IF(ISNUMBER(Z762),YEAR(Z762),"")</f>
        <v/>
      </c>
      <c r="Z762" s="12" t="n"/>
      <c r="AA762" s="12" t="n"/>
      <c r="AI762" s="12" t="n"/>
      <c r="AJ762" s="13">
        <f>IF(LEN(TRIM(AF762))=0,"",HYPERLINK("https://www.google.com/maps/@?api=1&amp;map_action=pano&amp;viewpoint="&amp;SUBSTITUTE(AF762," ",""),"Abrir Street View"))</f>
        <v/>
      </c>
    </row>
    <row r="763">
      <c r="H763" s="6" t="n"/>
      <c r="I763" s="6" t="n"/>
      <c r="M763" s="7" t="n"/>
      <c r="N763" s="7" t="n"/>
      <c r="O763" s="7" t="n"/>
      <c r="Q763" s="7" t="n"/>
      <c r="R763" s="7" t="n"/>
      <c r="S763" s="8">
        <f>IF(NOT(ISNUMBER(M763)),"",IF(G763="Terreno",IF(AND(ISNUMBER(I763),I763&gt;0),M763/I763,""),IF(AND(ISNUMBER(H763),H763&gt;0),M763/H763,"")))</f>
        <v/>
      </c>
      <c r="T763" s="9">
        <f>IF(AND(ISNUMBER(M763),ISNUMBER(O763)),IF(M763&lt;=O763,"Valor ≤ venal IPTU",""),"")</f>
        <v/>
      </c>
      <c r="U763" s="10">
        <f>IF(AND(ISNUMBER(M763),ISNUMBER(N763)),IF(N763&gt;0,M763/N763,""),"")</f>
        <v/>
      </c>
      <c r="V763" s="10">
        <f>IF(AND(ISNUMBER(M763),ISNUMBER(O763)),IF(O763&gt;0,M763/O763,""),"")</f>
        <v/>
      </c>
      <c r="W763" s="10">
        <f>IF(AND(ISNUMBER(M763),ISNUMBER(R763)),IF(R763&gt;0,M763/R763,""),"")</f>
        <v/>
      </c>
      <c r="X763" s="10">
        <f>IF(AND(ISNUMBER(Q763),ISNUMBER(M763)),IF(M763&gt;0,Q763/M763,""),"")</f>
        <v/>
      </c>
      <c r="Y763" s="11">
        <f>IF(ISNUMBER(Z763),YEAR(Z763),"")</f>
        <v/>
      </c>
      <c r="Z763" s="12" t="n"/>
      <c r="AA763" s="12" t="n"/>
      <c r="AI763" s="12" t="n"/>
      <c r="AJ763" s="13">
        <f>IF(LEN(TRIM(AF763))=0,"",HYPERLINK("https://www.google.com/maps/@?api=1&amp;map_action=pano&amp;viewpoint="&amp;SUBSTITUTE(AF763," ",""),"Abrir Street View"))</f>
        <v/>
      </c>
    </row>
    <row r="764">
      <c r="H764" s="6" t="n"/>
      <c r="I764" s="6" t="n"/>
      <c r="M764" s="7" t="n"/>
      <c r="N764" s="7" t="n"/>
      <c r="O764" s="7" t="n"/>
      <c r="Q764" s="7" t="n"/>
      <c r="R764" s="7" t="n"/>
      <c r="S764" s="8">
        <f>IF(NOT(ISNUMBER(M764)),"",IF(G764="Terreno",IF(AND(ISNUMBER(I764),I764&gt;0),M764/I764,""),IF(AND(ISNUMBER(H764),H764&gt;0),M764/H764,"")))</f>
        <v/>
      </c>
      <c r="T764" s="9">
        <f>IF(AND(ISNUMBER(M764),ISNUMBER(O764)),IF(M764&lt;=O764,"Valor ≤ venal IPTU",""),"")</f>
        <v/>
      </c>
      <c r="U764" s="10">
        <f>IF(AND(ISNUMBER(M764),ISNUMBER(N764)),IF(N764&gt;0,M764/N764,""),"")</f>
        <v/>
      </c>
      <c r="V764" s="10">
        <f>IF(AND(ISNUMBER(M764),ISNUMBER(O764)),IF(O764&gt;0,M764/O764,""),"")</f>
        <v/>
      </c>
      <c r="W764" s="10">
        <f>IF(AND(ISNUMBER(M764),ISNUMBER(R764)),IF(R764&gt;0,M764/R764,""),"")</f>
        <v/>
      </c>
      <c r="X764" s="10">
        <f>IF(AND(ISNUMBER(Q764),ISNUMBER(M764)),IF(M764&gt;0,Q764/M764,""),"")</f>
        <v/>
      </c>
      <c r="Y764" s="11">
        <f>IF(ISNUMBER(Z764),YEAR(Z764),"")</f>
        <v/>
      </c>
      <c r="Z764" s="12" t="n"/>
      <c r="AA764" s="12" t="n"/>
      <c r="AI764" s="12" t="n"/>
      <c r="AJ764" s="13">
        <f>IF(LEN(TRIM(AF764))=0,"",HYPERLINK("https://www.google.com/maps/@?api=1&amp;map_action=pano&amp;viewpoint="&amp;SUBSTITUTE(AF764," ",""),"Abrir Street View"))</f>
        <v/>
      </c>
    </row>
    <row r="765">
      <c r="H765" s="6" t="n"/>
      <c r="I765" s="6" t="n"/>
      <c r="M765" s="7" t="n"/>
      <c r="N765" s="7" t="n"/>
      <c r="O765" s="7" t="n"/>
      <c r="Q765" s="7" t="n"/>
      <c r="R765" s="7" t="n"/>
      <c r="S765" s="8">
        <f>IF(NOT(ISNUMBER(M765)),"",IF(G765="Terreno",IF(AND(ISNUMBER(I765),I765&gt;0),M765/I765,""),IF(AND(ISNUMBER(H765),H765&gt;0),M765/H765,"")))</f>
        <v/>
      </c>
      <c r="T765" s="9">
        <f>IF(AND(ISNUMBER(M765),ISNUMBER(O765)),IF(M765&lt;=O765,"Valor ≤ venal IPTU",""),"")</f>
        <v/>
      </c>
      <c r="U765" s="10">
        <f>IF(AND(ISNUMBER(M765),ISNUMBER(N765)),IF(N765&gt;0,M765/N765,""),"")</f>
        <v/>
      </c>
      <c r="V765" s="10">
        <f>IF(AND(ISNUMBER(M765),ISNUMBER(O765)),IF(O765&gt;0,M765/O765,""),"")</f>
        <v/>
      </c>
      <c r="W765" s="10">
        <f>IF(AND(ISNUMBER(M765),ISNUMBER(R765)),IF(R765&gt;0,M765/R765,""),"")</f>
        <v/>
      </c>
      <c r="X765" s="10">
        <f>IF(AND(ISNUMBER(Q765),ISNUMBER(M765)),IF(M765&gt;0,Q765/M765,""),"")</f>
        <v/>
      </c>
      <c r="Y765" s="11">
        <f>IF(ISNUMBER(Z765),YEAR(Z765),"")</f>
        <v/>
      </c>
      <c r="Z765" s="12" t="n"/>
      <c r="AA765" s="12" t="n"/>
      <c r="AI765" s="12" t="n"/>
      <c r="AJ765" s="13">
        <f>IF(LEN(TRIM(AF765))=0,"",HYPERLINK("https://www.google.com/maps/@?api=1&amp;map_action=pano&amp;viewpoint="&amp;SUBSTITUTE(AF765," ",""),"Abrir Street View"))</f>
        <v/>
      </c>
    </row>
    <row r="766">
      <c r="H766" s="6" t="n"/>
      <c r="I766" s="6" t="n"/>
      <c r="M766" s="7" t="n"/>
      <c r="N766" s="7" t="n"/>
      <c r="O766" s="7" t="n"/>
      <c r="Q766" s="7" t="n"/>
      <c r="R766" s="7" t="n"/>
      <c r="S766" s="8">
        <f>IF(NOT(ISNUMBER(M766)),"",IF(G766="Terreno",IF(AND(ISNUMBER(I766),I766&gt;0),M766/I766,""),IF(AND(ISNUMBER(H766),H766&gt;0),M766/H766,"")))</f>
        <v/>
      </c>
      <c r="T766" s="9">
        <f>IF(AND(ISNUMBER(M766),ISNUMBER(O766)),IF(M766&lt;=O766,"Valor ≤ venal IPTU",""),"")</f>
        <v/>
      </c>
      <c r="U766" s="10">
        <f>IF(AND(ISNUMBER(M766),ISNUMBER(N766)),IF(N766&gt;0,M766/N766,""),"")</f>
        <v/>
      </c>
      <c r="V766" s="10">
        <f>IF(AND(ISNUMBER(M766),ISNUMBER(O766)),IF(O766&gt;0,M766/O766,""),"")</f>
        <v/>
      </c>
      <c r="W766" s="10">
        <f>IF(AND(ISNUMBER(M766),ISNUMBER(R766)),IF(R766&gt;0,M766/R766,""),"")</f>
        <v/>
      </c>
      <c r="X766" s="10">
        <f>IF(AND(ISNUMBER(Q766),ISNUMBER(M766)),IF(M766&gt;0,Q766/M766,""),"")</f>
        <v/>
      </c>
      <c r="Y766" s="11">
        <f>IF(ISNUMBER(Z766),YEAR(Z766),"")</f>
        <v/>
      </c>
      <c r="Z766" s="12" t="n"/>
      <c r="AA766" s="12" t="n"/>
      <c r="AI766" s="12" t="n"/>
      <c r="AJ766" s="13">
        <f>IF(LEN(TRIM(AF766))=0,"",HYPERLINK("https://www.google.com/maps/@?api=1&amp;map_action=pano&amp;viewpoint="&amp;SUBSTITUTE(AF766," ",""),"Abrir Street View"))</f>
        <v/>
      </c>
    </row>
    <row r="767">
      <c r="H767" s="6" t="n"/>
      <c r="I767" s="6" t="n"/>
      <c r="M767" s="7" t="n"/>
      <c r="N767" s="7" t="n"/>
      <c r="O767" s="7" t="n"/>
      <c r="Q767" s="7" t="n"/>
      <c r="R767" s="7" t="n"/>
      <c r="S767" s="8">
        <f>IF(NOT(ISNUMBER(M767)),"",IF(G767="Terreno",IF(AND(ISNUMBER(I767),I767&gt;0),M767/I767,""),IF(AND(ISNUMBER(H767),H767&gt;0),M767/H767,"")))</f>
        <v/>
      </c>
      <c r="T767" s="9">
        <f>IF(AND(ISNUMBER(M767),ISNUMBER(O767)),IF(M767&lt;=O767,"Valor ≤ venal IPTU",""),"")</f>
        <v/>
      </c>
      <c r="U767" s="10">
        <f>IF(AND(ISNUMBER(M767),ISNUMBER(N767)),IF(N767&gt;0,M767/N767,""),"")</f>
        <v/>
      </c>
      <c r="V767" s="10">
        <f>IF(AND(ISNUMBER(M767),ISNUMBER(O767)),IF(O767&gt;0,M767/O767,""),"")</f>
        <v/>
      </c>
      <c r="W767" s="10">
        <f>IF(AND(ISNUMBER(M767),ISNUMBER(R767)),IF(R767&gt;0,M767/R767,""),"")</f>
        <v/>
      </c>
      <c r="X767" s="10">
        <f>IF(AND(ISNUMBER(Q767),ISNUMBER(M767)),IF(M767&gt;0,Q767/M767,""),"")</f>
        <v/>
      </c>
      <c r="Y767" s="11">
        <f>IF(ISNUMBER(Z767),YEAR(Z767),"")</f>
        <v/>
      </c>
      <c r="Z767" s="12" t="n"/>
      <c r="AA767" s="12" t="n"/>
      <c r="AI767" s="12" t="n"/>
      <c r="AJ767" s="13">
        <f>IF(LEN(TRIM(AF767))=0,"",HYPERLINK("https://www.google.com/maps/@?api=1&amp;map_action=pano&amp;viewpoint="&amp;SUBSTITUTE(AF767," ",""),"Abrir Street View"))</f>
        <v/>
      </c>
    </row>
    <row r="768">
      <c r="H768" s="6" t="n"/>
      <c r="I768" s="6" t="n"/>
      <c r="M768" s="7" t="n"/>
      <c r="N768" s="7" t="n"/>
      <c r="O768" s="7" t="n"/>
      <c r="Q768" s="7" t="n"/>
      <c r="R768" s="7" t="n"/>
      <c r="S768" s="8">
        <f>IF(NOT(ISNUMBER(M768)),"",IF(G768="Terreno",IF(AND(ISNUMBER(I768),I768&gt;0),M768/I768,""),IF(AND(ISNUMBER(H768),H768&gt;0),M768/H768,"")))</f>
        <v/>
      </c>
      <c r="T768" s="9">
        <f>IF(AND(ISNUMBER(M768),ISNUMBER(O768)),IF(M768&lt;=O768,"Valor ≤ venal IPTU",""),"")</f>
        <v/>
      </c>
      <c r="U768" s="10">
        <f>IF(AND(ISNUMBER(M768),ISNUMBER(N768)),IF(N768&gt;0,M768/N768,""),"")</f>
        <v/>
      </c>
      <c r="V768" s="10">
        <f>IF(AND(ISNUMBER(M768),ISNUMBER(O768)),IF(O768&gt;0,M768/O768,""),"")</f>
        <v/>
      </c>
      <c r="W768" s="10">
        <f>IF(AND(ISNUMBER(M768),ISNUMBER(R768)),IF(R768&gt;0,M768/R768,""),"")</f>
        <v/>
      </c>
      <c r="X768" s="10">
        <f>IF(AND(ISNUMBER(Q768),ISNUMBER(M768)),IF(M768&gt;0,Q768/M768,""),"")</f>
        <v/>
      </c>
      <c r="Y768" s="11">
        <f>IF(ISNUMBER(Z768),YEAR(Z768),"")</f>
        <v/>
      </c>
      <c r="Z768" s="12" t="n"/>
      <c r="AA768" s="12" t="n"/>
      <c r="AI768" s="12" t="n"/>
      <c r="AJ768" s="13">
        <f>IF(LEN(TRIM(AF768))=0,"",HYPERLINK("https://www.google.com/maps/@?api=1&amp;map_action=pano&amp;viewpoint="&amp;SUBSTITUTE(AF768," ",""),"Abrir Street View"))</f>
        <v/>
      </c>
    </row>
    <row r="769">
      <c r="H769" s="6" t="n"/>
      <c r="I769" s="6" t="n"/>
      <c r="M769" s="7" t="n"/>
      <c r="N769" s="7" t="n"/>
      <c r="O769" s="7" t="n"/>
      <c r="Q769" s="7" t="n"/>
      <c r="R769" s="7" t="n"/>
      <c r="S769" s="8">
        <f>IF(NOT(ISNUMBER(M769)),"",IF(G769="Terreno",IF(AND(ISNUMBER(I769),I769&gt;0),M769/I769,""),IF(AND(ISNUMBER(H769),H769&gt;0),M769/H769,"")))</f>
        <v/>
      </c>
      <c r="T769" s="9">
        <f>IF(AND(ISNUMBER(M769),ISNUMBER(O769)),IF(M769&lt;=O769,"Valor ≤ venal IPTU",""),"")</f>
        <v/>
      </c>
      <c r="U769" s="10">
        <f>IF(AND(ISNUMBER(M769),ISNUMBER(N769)),IF(N769&gt;0,M769/N769,""),"")</f>
        <v/>
      </c>
      <c r="V769" s="10">
        <f>IF(AND(ISNUMBER(M769),ISNUMBER(O769)),IF(O769&gt;0,M769/O769,""),"")</f>
        <v/>
      </c>
      <c r="W769" s="10">
        <f>IF(AND(ISNUMBER(M769),ISNUMBER(R769)),IF(R769&gt;0,M769/R769,""),"")</f>
        <v/>
      </c>
      <c r="X769" s="10">
        <f>IF(AND(ISNUMBER(Q769),ISNUMBER(M769)),IF(M769&gt;0,Q769/M769,""),"")</f>
        <v/>
      </c>
      <c r="Y769" s="11">
        <f>IF(ISNUMBER(Z769),YEAR(Z769),"")</f>
        <v/>
      </c>
      <c r="Z769" s="12" t="n"/>
      <c r="AA769" s="12" t="n"/>
      <c r="AI769" s="12" t="n"/>
      <c r="AJ769" s="13">
        <f>IF(LEN(TRIM(AF769))=0,"",HYPERLINK("https://www.google.com/maps/@?api=1&amp;map_action=pano&amp;viewpoint="&amp;SUBSTITUTE(AF769," ",""),"Abrir Street View"))</f>
        <v/>
      </c>
    </row>
    <row r="770">
      <c r="H770" s="6" t="n"/>
      <c r="I770" s="6" t="n"/>
      <c r="M770" s="7" t="n"/>
      <c r="N770" s="7" t="n"/>
      <c r="O770" s="7" t="n"/>
      <c r="Q770" s="7" t="n"/>
      <c r="R770" s="7" t="n"/>
      <c r="S770" s="8">
        <f>IF(NOT(ISNUMBER(M770)),"",IF(G770="Terreno",IF(AND(ISNUMBER(I770),I770&gt;0),M770/I770,""),IF(AND(ISNUMBER(H770),H770&gt;0),M770/H770,"")))</f>
        <v/>
      </c>
      <c r="T770" s="9">
        <f>IF(AND(ISNUMBER(M770),ISNUMBER(O770)),IF(M770&lt;=O770,"Valor ≤ venal IPTU",""),"")</f>
        <v/>
      </c>
      <c r="U770" s="10">
        <f>IF(AND(ISNUMBER(M770),ISNUMBER(N770)),IF(N770&gt;0,M770/N770,""),"")</f>
        <v/>
      </c>
      <c r="V770" s="10">
        <f>IF(AND(ISNUMBER(M770),ISNUMBER(O770)),IF(O770&gt;0,M770/O770,""),"")</f>
        <v/>
      </c>
      <c r="W770" s="10">
        <f>IF(AND(ISNUMBER(M770),ISNUMBER(R770)),IF(R770&gt;0,M770/R770,""),"")</f>
        <v/>
      </c>
      <c r="X770" s="10">
        <f>IF(AND(ISNUMBER(Q770),ISNUMBER(M770)),IF(M770&gt;0,Q770/M770,""),"")</f>
        <v/>
      </c>
      <c r="Y770" s="11">
        <f>IF(ISNUMBER(Z770),YEAR(Z770),"")</f>
        <v/>
      </c>
      <c r="Z770" s="12" t="n"/>
      <c r="AA770" s="12" t="n"/>
      <c r="AI770" s="12" t="n"/>
      <c r="AJ770" s="13">
        <f>IF(LEN(TRIM(AF770))=0,"",HYPERLINK("https://www.google.com/maps/@?api=1&amp;map_action=pano&amp;viewpoint="&amp;SUBSTITUTE(AF770," ",""),"Abrir Street View"))</f>
        <v/>
      </c>
    </row>
    <row r="771">
      <c r="H771" s="6" t="n"/>
      <c r="I771" s="6" t="n"/>
      <c r="M771" s="7" t="n"/>
      <c r="N771" s="7" t="n"/>
      <c r="O771" s="7" t="n"/>
      <c r="Q771" s="7" t="n"/>
      <c r="R771" s="7" t="n"/>
      <c r="S771" s="8">
        <f>IF(NOT(ISNUMBER(M771)),"",IF(G771="Terreno",IF(AND(ISNUMBER(I771),I771&gt;0),M771/I771,""),IF(AND(ISNUMBER(H771),H771&gt;0),M771/H771,"")))</f>
        <v/>
      </c>
      <c r="T771" s="9">
        <f>IF(AND(ISNUMBER(M771),ISNUMBER(O771)),IF(M771&lt;=O771,"Valor ≤ venal IPTU",""),"")</f>
        <v/>
      </c>
      <c r="U771" s="10">
        <f>IF(AND(ISNUMBER(M771),ISNUMBER(N771)),IF(N771&gt;0,M771/N771,""),"")</f>
        <v/>
      </c>
      <c r="V771" s="10">
        <f>IF(AND(ISNUMBER(M771),ISNUMBER(O771)),IF(O771&gt;0,M771/O771,""),"")</f>
        <v/>
      </c>
      <c r="W771" s="10">
        <f>IF(AND(ISNUMBER(M771),ISNUMBER(R771)),IF(R771&gt;0,M771/R771,""),"")</f>
        <v/>
      </c>
      <c r="X771" s="10">
        <f>IF(AND(ISNUMBER(Q771),ISNUMBER(M771)),IF(M771&gt;0,Q771/M771,""),"")</f>
        <v/>
      </c>
      <c r="Y771" s="11">
        <f>IF(ISNUMBER(Z771),YEAR(Z771),"")</f>
        <v/>
      </c>
      <c r="Z771" s="12" t="n"/>
      <c r="AA771" s="12" t="n"/>
      <c r="AI771" s="12" t="n"/>
      <c r="AJ771" s="13">
        <f>IF(LEN(TRIM(AF771))=0,"",HYPERLINK("https://www.google.com/maps/@?api=1&amp;map_action=pano&amp;viewpoint="&amp;SUBSTITUTE(AF771," ",""),"Abrir Street View"))</f>
        <v/>
      </c>
    </row>
    <row r="772">
      <c r="H772" s="6" t="n"/>
      <c r="I772" s="6" t="n"/>
      <c r="M772" s="7" t="n"/>
      <c r="N772" s="7" t="n"/>
      <c r="O772" s="7" t="n"/>
      <c r="Q772" s="7" t="n"/>
      <c r="R772" s="7" t="n"/>
      <c r="S772" s="8">
        <f>IF(NOT(ISNUMBER(M772)),"",IF(G772="Terreno",IF(AND(ISNUMBER(I772),I772&gt;0),M772/I772,""),IF(AND(ISNUMBER(H772),H772&gt;0),M772/H772,"")))</f>
        <v/>
      </c>
      <c r="T772" s="9">
        <f>IF(AND(ISNUMBER(M772),ISNUMBER(O772)),IF(M772&lt;=O772,"Valor ≤ venal IPTU",""),"")</f>
        <v/>
      </c>
      <c r="U772" s="10">
        <f>IF(AND(ISNUMBER(M772),ISNUMBER(N772)),IF(N772&gt;0,M772/N772,""),"")</f>
        <v/>
      </c>
      <c r="V772" s="10">
        <f>IF(AND(ISNUMBER(M772),ISNUMBER(O772)),IF(O772&gt;0,M772/O772,""),"")</f>
        <v/>
      </c>
      <c r="W772" s="10">
        <f>IF(AND(ISNUMBER(M772),ISNUMBER(R772)),IF(R772&gt;0,M772/R772,""),"")</f>
        <v/>
      </c>
      <c r="X772" s="10">
        <f>IF(AND(ISNUMBER(Q772),ISNUMBER(M772)),IF(M772&gt;0,Q772/M772,""),"")</f>
        <v/>
      </c>
      <c r="Y772" s="11">
        <f>IF(ISNUMBER(Z772),YEAR(Z772),"")</f>
        <v/>
      </c>
      <c r="Z772" s="12" t="n"/>
      <c r="AA772" s="12" t="n"/>
      <c r="AI772" s="12" t="n"/>
      <c r="AJ772" s="13">
        <f>IF(LEN(TRIM(AF772))=0,"",HYPERLINK("https://www.google.com/maps/@?api=1&amp;map_action=pano&amp;viewpoint="&amp;SUBSTITUTE(AF772," ",""),"Abrir Street View"))</f>
        <v/>
      </c>
    </row>
    <row r="773">
      <c r="H773" s="6" t="n"/>
      <c r="I773" s="6" t="n"/>
      <c r="M773" s="7" t="n"/>
      <c r="N773" s="7" t="n"/>
      <c r="O773" s="7" t="n"/>
      <c r="Q773" s="7" t="n"/>
      <c r="R773" s="7" t="n"/>
      <c r="S773" s="8">
        <f>IF(NOT(ISNUMBER(M773)),"",IF(G773="Terreno",IF(AND(ISNUMBER(I773),I773&gt;0),M773/I773,""),IF(AND(ISNUMBER(H773),H773&gt;0),M773/H773,"")))</f>
        <v/>
      </c>
      <c r="T773" s="9">
        <f>IF(AND(ISNUMBER(M773),ISNUMBER(O773)),IF(M773&lt;=O773,"Valor ≤ venal IPTU",""),"")</f>
        <v/>
      </c>
      <c r="U773" s="10">
        <f>IF(AND(ISNUMBER(M773),ISNUMBER(N773)),IF(N773&gt;0,M773/N773,""),"")</f>
        <v/>
      </c>
      <c r="V773" s="10">
        <f>IF(AND(ISNUMBER(M773),ISNUMBER(O773)),IF(O773&gt;0,M773/O773,""),"")</f>
        <v/>
      </c>
      <c r="W773" s="10">
        <f>IF(AND(ISNUMBER(M773),ISNUMBER(R773)),IF(R773&gt;0,M773/R773,""),"")</f>
        <v/>
      </c>
      <c r="X773" s="10">
        <f>IF(AND(ISNUMBER(Q773),ISNUMBER(M773)),IF(M773&gt;0,Q773/M773,""),"")</f>
        <v/>
      </c>
      <c r="Y773" s="11">
        <f>IF(ISNUMBER(Z773),YEAR(Z773),"")</f>
        <v/>
      </c>
      <c r="Z773" s="12" t="n"/>
      <c r="AA773" s="12" t="n"/>
      <c r="AI773" s="12" t="n"/>
      <c r="AJ773" s="13">
        <f>IF(LEN(TRIM(AF773))=0,"",HYPERLINK("https://www.google.com/maps/@?api=1&amp;map_action=pano&amp;viewpoint="&amp;SUBSTITUTE(AF773," ",""),"Abrir Street View"))</f>
        <v/>
      </c>
    </row>
    <row r="774">
      <c r="H774" s="6" t="n"/>
      <c r="I774" s="6" t="n"/>
      <c r="M774" s="7" t="n"/>
      <c r="N774" s="7" t="n"/>
      <c r="O774" s="7" t="n"/>
      <c r="Q774" s="7" t="n"/>
      <c r="R774" s="7" t="n"/>
      <c r="S774" s="8">
        <f>IF(NOT(ISNUMBER(M774)),"",IF(G774="Terreno",IF(AND(ISNUMBER(I774),I774&gt;0),M774/I774,""),IF(AND(ISNUMBER(H774),H774&gt;0),M774/H774,"")))</f>
        <v/>
      </c>
      <c r="T774" s="9">
        <f>IF(AND(ISNUMBER(M774),ISNUMBER(O774)),IF(M774&lt;=O774,"Valor ≤ venal IPTU",""),"")</f>
        <v/>
      </c>
      <c r="U774" s="10">
        <f>IF(AND(ISNUMBER(M774),ISNUMBER(N774)),IF(N774&gt;0,M774/N774,""),"")</f>
        <v/>
      </c>
      <c r="V774" s="10">
        <f>IF(AND(ISNUMBER(M774),ISNUMBER(O774)),IF(O774&gt;0,M774/O774,""),"")</f>
        <v/>
      </c>
      <c r="W774" s="10">
        <f>IF(AND(ISNUMBER(M774),ISNUMBER(R774)),IF(R774&gt;0,M774/R774,""),"")</f>
        <v/>
      </c>
      <c r="X774" s="10">
        <f>IF(AND(ISNUMBER(Q774),ISNUMBER(M774)),IF(M774&gt;0,Q774/M774,""),"")</f>
        <v/>
      </c>
      <c r="Y774" s="11">
        <f>IF(ISNUMBER(Z774),YEAR(Z774),"")</f>
        <v/>
      </c>
      <c r="Z774" s="12" t="n"/>
      <c r="AA774" s="12" t="n"/>
      <c r="AI774" s="12" t="n"/>
      <c r="AJ774" s="13">
        <f>IF(LEN(TRIM(AF774))=0,"",HYPERLINK("https://www.google.com/maps/@?api=1&amp;map_action=pano&amp;viewpoint="&amp;SUBSTITUTE(AF774," ",""),"Abrir Street View"))</f>
        <v/>
      </c>
    </row>
    <row r="775">
      <c r="H775" s="6" t="n"/>
      <c r="I775" s="6" t="n"/>
      <c r="M775" s="7" t="n"/>
      <c r="N775" s="7" t="n"/>
      <c r="O775" s="7" t="n"/>
      <c r="Q775" s="7" t="n"/>
      <c r="R775" s="7" t="n"/>
      <c r="S775" s="8">
        <f>IF(NOT(ISNUMBER(M775)),"",IF(G775="Terreno",IF(AND(ISNUMBER(I775),I775&gt;0),M775/I775,""),IF(AND(ISNUMBER(H775),H775&gt;0),M775/H775,"")))</f>
        <v/>
      </c>
      <c r="T775" s="9">
        <f>IF(AND(ISNUMBER(M775),ISNUMBER(O775)),IF(M775&lt;=O775,"Valor ≤ venal IPTU",""),"")</f>
        <v/>
      </c>
      <c r="U775" s="10">
        <f>IF(AND(ISNUMBER(M775),ISNUMBER(N775)),IF(N775&gt;0,M775/N775,""),"")</f>
        <v/>
      </c>
      <c r="V775" s="10">
        <f>IF(AND(ISNUMBER(M775),ISNUMBER(O775)),IF(O775&gt;0,M775/O775,""),"")</f>
        <v/>
      </c>
      <c r="W775" s="10">
        <f>IF(AND(ISNUMBER(M775),ISNUMBER(R775)),IF(R775&gt;0,M775/R775,""),"")</f>
        <v/>
      </c>
      <c r="X775" s="10">
        <f>IF(AND(ISNUMBER(Q775),ISNUMBER(M775)),IF(M775&gt;0,Q775/M775,""),"")</f>
        <v/>
      </c>
      <c r="Y775" s="11">
        <f>IF(ISNUMBER(Z775),YEAR(Z775),"")</f>
        <v/>
      </c>
      <c r="Z775" s="12" t="n"/>
      <c r="AA775" s="12" t="n"/>
      <c r="AI775" s="12" t="n"/>
      <c r="AJ775" s="13">
        <f>IF(LEN(TRIM(AF775))=0,"",HYPERLINK("https://www.google.com/maps/@?api=1&amp;map_action=pano&amp;viewpoint="&amp;SUBSTITUTE(AF775," ",""),"Abrir Street View"))</f>
        <v/>
      </c>
    </row>
    <row r="776">
      <c r="H776" s="6" t="n"/>
      <c r="I776" s="6" t="n"/>
      <c r="M776" s="7" t="n"/>
      <c r="N776" s="7" t="n"/>
      <c r="O776" s="7" t="n"/>
      <c r="Q776" s="7" t="n"/>
      <c r="R776" s="7" t="n"/>
      <c r="S776" s="8">
        <f>IF(NOT(ISNUMBER(M776)),"",IF(G776="Terreno",IF(AND(ISNUMBER(I776),I776&gt;0),M776/I776,""),IF(AND(ISNUMBER(H776),H776&gt;0),M776/H776,"")))</f>
        <v/>
      </c>
      <c r="T776" s="9">
        <f>IF(AND(ISNUMBER(M776),ISNUMBER(O776)),IF(M776&lt;=O776,"Valor ≤ venal IPTU",""),"")</f>
        <v/>
      </c>
      <c r="U776" s="10">
        <f>IF(AND(ISNUMBER(M776),ISNUMBER(N776)),IF(N776&gt;0,M776/N776,""),"")</f>
        <v/>
      </c>
      <c r="V776" s="10">
        <f>IF(AND(ISNUMBER(M776),ISNUMBER(O776)),IF(O776&gt;0,M776/O776,""),"")</f>
        <v/>
      </c>
      <c r="W776" s="10">
        <f>IF(AND(ISNUMBER(M776),ISNUMBER(R776)),IF(R776&gt;0,M776/R776,""),"")</f>
        <v/>
      </c>
      <c r="X776" s="10">
        <f>IF(AND(ISNUMBER(Q776),ISNUMBER(M776)),IF(M776&gt;0,Q776/M776,""),"")</f>
        <v/>
      </c>
      <c r="Y776" s="11">
        <f>IF(ISNUMBER(Z776),YEAR(Z776),"")</f>
        <v/>
      </c>
      <c r="Z776" s="12" t="n"/>
      <c r="AA776" s="12" t="n"/>
      <c r="AI776" s="12" t="n"/>
      <c r="AJ776" s="13">
        <f>IF(LEN(TRIM(AF776))=0,"",HYPERLINK("https://www.google.com/maps/@?api=1&amp;map_action=pano&amp;viewpoint="&amp;SUBSTITUTE(AF776," ",""),"Abrir Street View"))</f>
        <v/>
      </c>
    </row>
    <row r="777">
      <c r="H777" s="6" t="n"/>
      <c r="I777" s="6" t="n"/>
      <c r="M777" s="7" t="n"/>
      <c r="N777" s="7" t="n"/>
      <c r="O777" s="7" t="n"/>
      <c r="Q777" s="7" t="n"/>
      <c r="R777" s="7" t="n"/>
      <c r="S777" s="8">
        <f>IF(NOT(ISNUMBER(M777)),"",IF(G777="Terreno",IF(AND(ISNUMBER(I777),I777&gt;0),M777/I777,""),IF(AND(ISNUMBER(H777),H777&gt;0),M777/H777,"")))</f>
        <v/>
      </c>
      <c r="T777" s="9">
        <f>IF(AND(ISNUMBER(M777),ISNUMBER(O777)),IF(M777&lt;=O777,"Valor ≤ venal IPTU",""),"")</f>
        <v/>
      </c>
      <c r="U777" s="10">
        <f>IF(AND(ISNUMBER(M777),ISNUMBER(N777)),IF(N777&gt;0,M777/N777,""),"")</f>
        <v/>
      </c>
      <c r="V777" s="10">
        <f>IF(AND(ISNUMBER(M777),ISNUMBER(O777)),IF(O777&gt;0,M777/O777,""),"")</f>
        <v/>
      </c>
      <c r="W777" s="10">
        <f>IF(AND(ISNUMBER(M777),ISNUMBER(R777)),IF(R777&gt;0,M777/R777,""),"")</f>
        <v/>
      </c>
      <c r="X777" s="10">
        <f>IF(AND(ISNUMBER(Q777),ISNUMBER(M777)),IF(M777&gt;0,Q777/M777,""),"")</f>
        <v/>
      </c>
      <c r="Y777" s="11">
        <f>IF(ISNUMBER(Z777),YEAR(Z777),"")</f>
        <v/>
      </c>
      <c r="Z777" s="12" t="n"/>
      <c r="AA777" s="12" t="n"/>
      <c r="AI777" s="12" t="n"/>
      <c r="AJ777" s="13">
        <f>IF(LEN(TRIM(AF777))=0,"",HYPERLINK("https://www.google.com/maps/@?api=1&amp;map_action=pano&amp;viewpoint="&amp;SUBSTITUTE(AF777," ",""),"Abrir Street View"))</f>
        <v/>
      </c>
    </row>
    <row r="778">
      <c r="H778" s="6" t="n"/>
      <c r="I778" s="6" t="n"/>
      <c r="M778" s="7" t="n"/>
      <c r="N778" s="7" t="n"/>
      <c r="O778" s="7" t="n"/>
      <c r="Q778" s="7" t="n"/>
      <c r="R778" s="7" t="n"/>
      <c r="S778" s="8">
        <f>IF(NOT(ISNUMBER(M778)),"",IF(G778="Terreno",IF(AND(ISNUMBER(I778),I778&gt;0),M778/I778,""),IF(AND(ISNUMBER(H778),H778&gt;0),M778/H778,"")))</f>
        <v/>
      </c>
      <c r="T778" s="9">
        <f>IF(AND(ISNUMBER(M778),ISNUMBER(O778)),IF(M778&lt;=O778,"Valor ≤ venal IPTU",""),"")</f>
        <v/>
      </c>
      <c r="U778" s="10">
        <f>IF(AND(ISNUMBER(M778),ISNUMBER(N778)),IF(N778&gt;0,M778/N778,""),"")</f>
        <v/>
      </c>
      <c r="V778" s="10">
        <f>IF(AND(ISNUMBER(M778),ISNUMBER(O778)),IF(O778&gt;0,M778/O778,""),"")</f>
        <v/>
      </c>
      <c r="W778" s="10">
        <f>IF(AND(ISNUMBER(M778),ISNUMBER(R778)),IF(R778&gt;0,M778/R778,""),"")</f>
        <v/>
      </c>
      <c r="X778" s="10">
        <f>IF(AND(ISNUMBER(Q778),ISNUMBER(M778)),IF(M778&gt;0,Q778/M778,""),"")</f>
        <v/>
      </c>
      <c r="Y778" s="11">
        <f>IF(ISNUMBER(Z778),YEAR(Z778),"")</f>
        <v/>
      </c>
      <c r="Z778" s="12" t="n"/>
      <c r="AA778" s="12" t="n"/>
      <c r="AI778" s="12" t="n"/>
      <c r="AJ778" s="13">
        <f>IF(LEN(TRIM(AF778))=0,"",HYPERLINK("https://www.google.com/maps/@?api=1&amp;map_action=pano&amp;viewpoint="&amp;SUBSTITUTE(AF778," ",""),"Abrir Street View"))</f>
        <v/>
      </c>
    </row>
    <row r="779">
      <c r="H779" s="6" t="n"/>
      <c r="I779" s="6" t="n"/>
      <c r="M779" s="7" t="n"/>
      <c r="N779" s="7" t="n"/>
      <c r="O779" s="7" t="n"/>
      <c r="Q779" s="7" t="n"/>
      <c r="R779" s="7" t="n"/>
      <c r="S779" s="8">
        <f>IF(NOT(ISNUMBER(M779)),"",IF(G779="Terreno",IF(AND(ISNUMBER(I779),I779&gt;0),M779/I779,""),IF(AND(ISNUMBER(H779),H779&gt;0),M779/H779,"")))</f>
        <v/>
      </c>
      <c r="T779" s="9">
        <f>IF(AND(ISNUMBER(M779),ISNUMBER(O779)),IF(M779&lt;=O779,"Valor ≤ venal IPTU",""),"")</f>
        <v/>
      </c>
      <c r="U779" s="10">
        <f>IF(AND(ISNUMBER(M779),ISNUMBER(N779)),IF(N779&gt;0,M779/N779,""),"")</f>
        <v/>
      </c>
      <c r="V779" s="10">
        <f>IF(AND(ISNUMBER(M779),ISNUMBER(O779)),IF(O779&gt;0,M779/O779,""),"")</f>
        <v/>
      </c>
      <c r="W779" s="10">
        <f>IF(AND(ISNUMBER(M779),ISNUMBER(R779)),IF(R779&gt;0,M779/R779,""),"")</f>
        <v/>
      </c>
      <c r="X779" s="10">
        <f>IF(AND(ISNUMBER(Q779),ISNUMBER(M779)),IF(M779&gt;0,Q779/M779,""),"")</f>
        <v/>
      </c>
      <c r="Y779" s="11">
        <f>IF(ISNUMBER(Z779),YEAR(Z779),"")</f>
        <v/>
      </c>
      <c r="Z779" s="12" t="n"/>
      <c r="AA779" s="12" t="n"/>
      <c r="AI779" s="12" t="n"/>
      <c r="AJ779" s="13">
        <f>IF(LEN(TRIM(AF779))=0,"",HYPERLINK("https://www.google.com/maps/@?api=1&amp;map_action=pano&amp;viewpoint="&amp;SUBSTITUTE(AF779," ",""),"Abrir Street View"))</f>
        <v/>
      </c>
    </row>
    <row r="780">
      <c r="H780" s="6" t="n"/>
      <c r="I780" s="6" t="n"/>
      <c r="M780" s="7" t="n"/>
      <c r="N780" s="7" t="n"/>
      <c r="O780" s="7" t="n"/>
      <c r="Q780" s="7" t="n"/>
      <c r="R780" s="7" t="n"/>
      <c r="S780" s="8">
        <f>IF(NOT(ISNUMBER(M780)),"",IF(G780="Terreno",IF(AND(ISNUMBER(I780),I780&gt;0),M780/I780,""),IF(AND(ISNUMBER(H780),H780&gt;0),M780/H780,"")))</f>
        <v/>
      </c>
      <c r="T780" s="9">
        <f>IF(AND(ISNUMBER(M780),ISNUMBER(O780)),IF(M780&lt;=O780,"Valor ≤ venal IPTU",""),"")</f>
        <v/>
      </c>
      <c r="U780" s="10">
        <f>IF(AND(ISNUMBER(M780),ISNUMBER(N780)),IF(N780&gt;0,M780/N780,""),"")</f>
        <v/>
      </c>
      <c r="V780" s="10">
        <f>IF(AND(ISNUMBER(M780),ISNUMBER(O780)),IF(O780&gt;0,M780/O780,""),"")</f>
        <v/>
      </c>
      <c r="W780" s="10">
        <f>IF(AND(ISNUMBER(M780),ISNUMBER(R780)),IF(R780&gt;0,M780/R780,""),"")</f>
        <v/>
      </c>
      <c r="X780" s="10">
        <f>IF(AND(ISNUMBER(Q780),ISNUMBER(M780)),IF(M780&gt;0,Q780/M780,""),"")</f>
        <v/>
      </c>
      <c r="Y780" s="11">
        <f>IF(ISNUMBER(Z780),YEAR(Z780),"")</f>
        <v/>
      </c>
      <c r="Z780" s="12" t="n"/>
      <c r="AA780" s="12" t="n"/>
      <c r="AI780" s="12" t="n"/>
      <c r="AJ780" s="13">
        <f>IF(LEN(TRIM(AF780))=0,"",HYPERLINK("https://www.google.com/maps/@?api=1&amp;map_action=pano&amp;viewpoint="&amp;SUBSTITUTE(AF780," ",""),"Abrir Street View"))</f>
        <v/>
      </c>
    </row>
    <row r="781">
      <c r="H781" s="6" t="n"/>
      <c r="I781" s="6" t="n"/>
      <c r="M781" s="7" t="n"/>
      <c r="N781" s="7" t="n"/>
      <c r="O781" s="7" t="n"/>
      <c r="Q781" s="7" t="n"/>
      <c r="R781" s="7" t="n"/>
      <c r="S781" s="8">
        <f>IF(NOT(ISNUMBER(M781)),"",IF(G781="Terreno",IF(AND(ISNUMBER(I781),I781&gt;0),M781/I781,""),IF(AND(ISNUMBER(H781),H781&gt;0),M781/H781,"")))</f>
        <v/>
      </c>
      <c r="T781" s="9">
        <f>IF(AND(ISNUMBER(M781),ISNUMBER(O781)),IF(M781&lt;=O781,"Valor ≤ venal IPTU",""),"")</f>
        <v/>
      </c>
      <c r="U781" s="10">
        <f>IF(AND(ISNUMBER(M781),ISNUMBER(N781)),IF(N781&gt;0,M781/N781,""),"")</f>
        <v/>
      </c>
      <c r="V781" s="10">
        <f>IF(AND(ISNUMBER(M781),ISNUMBER(O781)),IF(O781&gt;0,M781/O781,""),"")</f>
        <v/>
      </c>
      <c r="W781" s="10">
        <f>IF(AND(ISNUMBER(M781),ISNUMBER(R781)),IF(R781&gt;0,M781/R781,""),"")</f>
        <v/>
      </c>
      <c r="X781" s="10">
        <f>IF(AND(ISNUMBER(Q781),ISNUMBER(M781)),IF(M781&gt;0,Q781/M781,""),"")</f>
        <v/>
      </c>
      <c r="Y781" s="11">
        <f>IF(ISNUMBER(Z781),YEAR(Z781),"")</f>
        <v/>
      </c>
      <c r="Z781" s="12" t="n"/>
      <c r="AA781" s="12" t="n"/>
      <c r="AI781" s="12" t="n"/>
      <c r="AJ781" s="13">
        <f>IF(LEN(TRIM(AF781))=0,"",HYPERLINK("https://www.google.com/maps/@?api=1&amp;map_action=pano&amp;viewpoint="&amp;SUBSTITUTE(AF781," ",""),"Abrir Street View"))</f>
        <v/>
      </c>
    </row>
    <row r="782">
      <c r="H782" s="6" t="n"/>
      <c r="I782" s="6" t="n"/>
      <c r="M782" s="7" t="n"/>
      <c r="N782" s="7" t="n"/>
      <c r="O782" s="7" t="n"/>
      <c r="Q782" s="7" t="n"/>
      <c r="R782" s="7" t="n"/>
      <c r="S782" s="8">
        <f>IF(NOT(ISNUMBER(M782)),"",IF(G782="Terreno",IF(AND(ISNUMBER(I782),I782&gt;0),M782/I782,""),IF(AND(ISNUMBER(H782),H782&gt;0),M782/H782,"")))</f>
        <v/>
      </c>
      <c r="T782" s="9">
        <f>IF(AND(ISNUMBER(M782),ISNUMBER(O782)),IF(M782&lt;=O782,"Valor ≤ venal IPTU",""),"")</f>
        <v/>
      </c>
      <c r="U782" s="10">
        <f>IF(AND(ISNUMBER(M782),ISNUMBER(N782)),IF(N782&gt;0,M782/N782,""),"")</f>
        <v/>
      </c>
      <c r="V782" s="10">
        <f>IF(AND(ISNUMBER(M782),ISNUMBER(O782)),IF(O782&gt;0,M782/O782,""),"")</f>
        <v/>
      </c>
      <c r="W782" s="10">
        <f>IF(AND(ISNUMBER(M782),ISNUMBER(R782)),IF(R782&gt;0,M782/R782,""),"")</f>
        <v/>
      </c>
      <c r="X782" s="10">
        <f>IF(AND(ISNUMBER(Q782),ISNUMBER(M782)),IF(M782&gt;0,Q782/M782,""),"")</f>
        <v/>
      </c>
      <c r="Y782" s="11">
        <f>IF(ISNUMBER(Z782),YEAR(Z782),"")</f>
        <v/>
      </c>
      <c r="Z782" s="12" t="n"/>
      <c r="AA782" s="12" t="n"/>
      <c r="AI782" s="12" t="n"/>
      <c r="AJ782" s="13">
        <f>IF(LEN(TRIM(AF782))=0,"",HYPERLINK("https://www.google.com/maps/@?api=1&amp;map_action=pano&amp;viewpoint="&amp;SUBSTITUTE(AF782," ",""),"Abrir Street View"))</f>
        <v/>
      </c>
    </row>
    <row r="783">
      <c r="H783" s="6" t="n"/>
      <c r="I783" s="6" t="n"/>
      <c r="M783" s="7" t="n"/>
      <c r="N783" s="7" t="n"/>
      <c r="O783" s="7" t="n"/>
      <c r="Q783" s="7" t="n"/>
      <c r="R783" s="7" t="n"/>
      <c r="S783" s="8">
        <f>IF(NOT(ISNUMBER(M783)),"",IF(G783="Terreno",IF(AND(ISNUMBER(I783),I783&gt;0),M783/I783,""),IF(AND(ISNUMBER(H783),H783&gt;0),M783/H783,"")))</f>
        <v/>
      </c>
      <c r="T783" s="9">
        <f>IF(AND(ISNUMBER(M783),ISNUMBER(O783)),IF(M783&lt;=O783,"Valor ≤ venal IPTU",""),"")</f>
        <v/>
      </c>
      <c r="U783" s="10">
        <f>IF(AND(ISNUMBER(M783),ISNUMBER(N783)),IF(N783&gt;0,M783/N783,""),"")</f>
        <v/>
      </c>
      <c r="V783" s="10">
        <f>IF(AND(ISNUMBER(M783),ISNUMBER(O783)),IF(O783&gt;0,M783/O783,""),"")</f>
        <v/>
      </c>
      <c r="W783" s="10">
        <f>IF(AND(ISNUMBER(M783),ISNUMBER(R783)),IF(R783&gt;0,M783/R783,""),"")</f>
        <v/>
      </c>
      <c r="X783" s="10">
        <f>IF(AND(ISNUMBER(Q783),ISNUMBER(M783)),IF(M783&gt;0,Q783/M783,""),"")</f>
        <v/>
      </c>
      <c r="Y783" s="11">
        <f>IF(ISNUMBER(Z783),YEAR(Z783),"")</f>
        <v/>
      </c>
      <c r="Z783" s="12" t="n"/>
      <c r="AA783" s="12" t="n"/>
      <c r="AI783" s="12" t="n"/>
      <c r="AJ783" s="13">
        <f>IF(LEN(TRIM(AF783))=0,"",HYPERLINK("https://www.google.com/maps/@?api=1&amp;map_action=pano&amp;viewpoint="&amp;SUBSTITUTE(AF783," ",""),"Abrir Street View"))</f>
        <v/>
      </c>
    </row>
    <row r="784">
      <c r="H784" s="6" t="n"/>
      <c r="I784" s="6" t="n"/>
      <c r="M784" s="7" t="n"/>
      <c r="N784" s="7" t="n"/>
      <c r="O784" s="7" t="n"/>
      <c r="Q784" s="7" t="n"/>
      <c r="R784" s="7" t="n"/>
      <c r="S784" s="8">
        <f>IF(NOT(ISNUMBER(M784)),"",IF(G784="Terreno",IF(AND(ISNUMBER(I784),I784&gt;0),M784/I784,""),IF(AND(ISNUMBER(H784),H784&gt;0),M784/H784,"")))</f>
        <v/>
      </c>
      <c r="T784" s="9">
        <f>IF(AND(ISNUMBER(M784),ISNUMBER(O784)),IF(M784&lt;=O784,"Valor ≤ venal IPTU",""),"")</f>
        <v/>
      </c>
      <c r="U784" s="10">
        <f>IF(AND(ISNUMBER(M784),ISNUMBER(N784)),IF(N784&gt;0,M784/N784,""),"")</f>
        <v/>
      </c>
      <c r="V784" s="10">
        <f>IF(AND(ISNUMBER(M784),ISNUMBER(O784)),IF(O784&gt;0,M784/O784,""),"")</f>
        <v/>
      </c>
      <c r="W784" s="10">
        <f>IF(AND(ISNUMBER(M784),ISNUMBER(R784)),IF(R784&gt;0,M784/R784,""),"")</f>
        <v/>
      </c>
      <c r="X784" s="10">
        <f>IF(AND(ISNUMBER(Q784),ISNUMBER(M784)),IF(M784&gt;0,Q784/M784,""),"")</f>
        <v/>
      </c>
      <c r="Y784" s="11">
        <f>IF(ISNUMBER(Z784),YEAR(Z784),"")</f>
        <v/>
      </c>
      <c r="Z784" s="12" t="n"/>
      <c r="AA784" s="12" t="n"/>
      <c r="AI784" s="12" t="n"/>
      <c r="AJ784" s="13">
        <f>IF(LEN(TRIM(AF784))=0,"",HYPERLINK("https://www.google.com/maps/@?api=1&amp;map_action=pano&amp;viewpoint="&amp;SUBSTITUTE(AF784," ",""),"Abrir Street View"))</f>
        <v/>
      </c>
    </row>
    <row r="785">
      <c r="H785" s="6" t="n"/>
      <c r="I785" s="6" t="n"/>
      <c r="M785" s="7" t="n"/>
      <c r="N785" s="7" t="n"/>
      <c r="O785" s="7" t="n"/>
      <c r="Q785" s="7" t="n"/>
      <c r="R785" s="7" t="n"/>
      <c r="S785" s="8">
        <f>IF(NOT(ISNUMBER(M785)),"",IF(G785="Terreno",IF(AND(ISNUMBER(I785),I785&gt;0),M785/I785,""),IF(AND(ISNUMBER(H785),H785&gt;0),M785/H785,"")))</f>
        <v/>
      </c>
      <c r="T785" s="9">
        <f>IF(AND(ISNUMBER(M785),ISNUMBER(O785)),IF(M785&lt;=O785,"Valor ≤ venal IPTU",""),"")</f>
        <v/>
      </c>
      <c r="U785" s="10">
        <f>IF(AND(ISNUMBER(M785),ISNUMBER(N785)),IF(N785&gt;0,M785/N785,""),"")</f>
        <v/>
      </c>
      <c r="V785" s="10">
        <f>IF(AND(ISNUMBER(M785),ISNUMBER(O785)),IF(O785&gt;0,M785/O785,""),"")</f>
        <v/>
      </c>
      <c r="W785" s="10">
        <f>IF(AND(ISNUMBER(M785),ISNUMBER(R785)),IF(R785&gt;0,M785/R785,""),"")</f>
        <v/>
      </c>
      <c r="X785" s="10">
        <f>IF(AND(ISNUMBER(Q785),ISNUMBER(M785)),IF(M785&gt;0,Q785/M785,""),"")</f>
        <v/>
      </c>
      <c r="Y785" s="11">
        <f>IF(ISNUMBER(Z785),YEAR(Z785),"")</f>
        <v/>
      </c>
      <c r="Z785" s="12" t="n"/>
      <c r="AA785" s="12" t="n"/>
      <c r="AI785" s="12" t="n"/>
      <c r="AJ785" s="13">
        <f>IF(LEN(TRIM(AF785))=0,"",HYPERLINK("https://www.google.com/maps/@?api=1&amp;map_action=pano&amp;viewpoint="&amp;SUBSTITUTE(AF785," ",""),"Abrir Street View"))</f>
        <v/>
      </c>
    </row>
    <row r="786">
      <c r="H786" s="6" t="n"/>
      <c r="I786" s="6" t="n"/>
      <c r="M786" s="7" t="n"/>
      <c r="N786" s="7" t="n"/>
      <c r="O786" s="7" t="n"/>
      <c r="Q786" s="7" t="n"/>
      <c r="R786" s="7" t="n"/>
      <c r="S786" s="8">
        <f>IF(NOT(ISNUMBER(M786)),"",IF(G786="Terreno",IF(AND(ISNUMBER(I786),I786&gt;0),M786/I786,""),IF(AND(ISNUMBER(H786),H786&gt;0),M786/H786,"")))</f>
        <v/>
      </c>
      <c r="T786" s="9">
        <f>IF(AND(ISNUMBER(M786),ISNUMBER(O786)),IF(M786&lt;=O786,"Valor ≤ venal IPTU",""),"")</f>
        <v/>
      </c>
      <c r="U786" s="10">
        <f>IF(AND(ISNUMBER(M786),ISNUMBER(N786)),IF(N786&gt;0,M786/N786,""),"")</f>
        <v/>
      </c>
      <c r="V786" s="10">
        <f>IF(AND(ISNUMBER(M786),ISNUMBER(O786)),IF(O786&gt;0,M786/O786,""),"")</f>
        <v/>
      </c>
      <c r="W786" s="10">
        <f>IF(AND(ISNUMBER(M786),ISNUMBER(R786)),IF(R786&gt;0,M786/R786,""),"")</f>
        <v/>
      </c>
      <c r="X786" s="10">
        <f>IF(AND(ISNUMBER(Q786),ISNUMBER(M786)),IF(M786&gt;0,Q786/M786,""),"")</f>
        <v/>
      </c>
      <c r="Y786" s="11">
        <f>IF(ISNUMBER(Z786),YEAR(Z786),"")</f>
        <v/>
      </c>
      <c r="Z786" s="12" t="n"/>
      <c r="AA786" s="12" t="n"/>
      <c r="AI786" s="12" t="n"/>
      <c r="AJ786" s="13">
        <f>IF(LEN(TRIM(AF786))=0,"",HYPERLINK("https://www.google.com/maps/@?api=1&amp;map_action=pano&amp;viewpoint="&amp;SUBSTITUTE(AF786," ",""),"Abrir Street View"))</f>
        <v/>
      </c>
    </row>
    <row r="787">
      <c r="H787" s="6" t="n"/>
      <c r="I787" s="6" t="n"/>
      <c r="M787" s="7" t="n"/>
      <c r="N787" s="7" t="n"/>
      <c r="O787" s="7" t="n"/>
      <c r="Q787" s="7" t="n"/>
      <c r="R787" s="7" t="n"/>
      <c r="S787" s="8">
        <f>IF(NOT(ISNUMBER(M787)),"",IF(G787="Terreno",IF(AND(ISNUMBER(I787),I787&gt;0),M787/I787,""),IF(AND(ISNUMBER(H787),H787&gt;0),M787/H787,"")))</f>
        <v/>
      </c>
      <c r="T787" s="9">
        <f>IF(AND(ISNUMBER(M787),ISNUMBER(O787)),IF(M787&lt;=O787,"Valor ≤ venal IPTU",""),"")</f>
        <v/>
      </c>
      <c r="U787" s="10">
        <f>IF(AND(ISNUMBER(M787),ISNUMBER(N787)),IF(N787&gt;0,M787/N787,""),"")</f>
        <v/>
      </c>
      <c r="V787" s="10">
        <f>IF(AND(ISNUMBER(M787),ISNUMBER(O787)),IF(O787&gt;0,M787/O787,""),"")</f>
        <v/>
      </c>
      <c r="W787" s="10">
        <f>IF(AND(ISNUMBER(M787),ISNUMBER(R787)),IF(R787&gt;0,M787/R787,""),"")</f>
        <v/>
      </c>
      <c r="X787" s="10">
        <f>IF(AND(ISNUMBER(Q787),ISNUMBER(M787)),IF(M787&gt;0,Q787/M787,""),"")</f>
        <v/>
      </c>
      <c r="Y787" s="11">
        <f>IF(ISNUMBER(Z787),YEAR(Z787),"")</f>
        <v/>
      </c>
      <c r="Z787" s="12" t="n"/>
      <c r="AA787" s="12" t="n"/>
      <c r="AI787" s="12" t="n"/>
      <c r="AJ787" s="13">
        <f>IF(LEN(TRIM(AF787))=0,"",HYPERLINK("https://www.google.com/maps/@?api=1&amp;map_action=pano&amp;viewpoint="&amp;SUBSTITUTE(AF787," ",""),"Abrir Street View"))</f>
        <v/>
      </c>
    </row>
    <row r="788">
      <c r="H788" s="6" t="n"/>
      <c r="I788" s="6" t="n"/>
      <c r="M788" s="7" t="n"/>
      <c r="N788" s="7" t="n"/>
      <c r="O788" s="7" t="n"/>
      <c r="Q788" s="7" t="n"/>
      <c r="R788" s="7" t="n"/>
      <c r="S788" s="8">
        <f>IF(NOT(ISNUMBER(M788)),"",IF(G788="Terreno",IF(AND(ISNUMBER(I788),I788&gt;0),M788/I788,""),IF(AND(ISNUMBER(H788),H788&gt;0),M788/H788,"")))</f>
        <v/>
      </c>
      <c r="T788" s="9">
        <f>IF(AND(ISNUMBER(M788),ISNUMBER(O788)),IF(M788&lt;=O788,"Valor ≤ venal IPTU",""),"")</f>
        <v/>
      </c>
      <c r="U788" s="10">
        <f>IF(AND(ISNUMBER(M788),ISNUMBER(N788)),IF(N788&gt;0,M788/N788,""),"")</f>
        <v/>
      </c>
      <c r="V788" s="10">
        <f>IF(AND(ISNUMBER(M788),ISNUMBER(O788)),IF(O788&gt;0,M788/O788,""),"")</f>
        <v/>
      </c>
      <c r="W788" s="10">
        <f>IF(AND(ISNUMBER(M788),ISNUMBER(R788)),IF(R788&gt;0,M788/R788,""),"")</f>
        <v/>
      </c>
      <c r="X788" s="10">
        <f>IF(AND(ISNUMBER(Q788),ISNUMBER(M788)),IF(M788&gt;0,Q788/M788,""),"")</f>
        <v/>
      </c>
      <c r="Y788" s="11">
        <f>IF(ISNUMBER(Z788),YEAR(Z788),"")</f>
        <v/>
      </c>
      <c r="Z788" s="12" t="n"/>
      <c r="AA788" s="12" t="n"/>
      <c r="AI788" s="12" t="n"/>
      <c r="AJ788" s="13">
        <f>IF(LEN(TRIM(AF788))=0,"",HYPERLINK("https://www.google.com/maps/@?api=1&amp;map_action=pano&amp;viewpoint="&amp;SUBSTITUTE(AF788," ",""),"Abrir Street View"))</f>
        <v/>
      </c>
    </row>
    <row r="789">
      <c r="H789" s="6" t="n"/>
      <c r="I789" s="6" t="n"/>
      <c r="M789" s="7" t="n"/>
      <c r="N789" s="7" t="n"/>
      <c r="O789" s="7" t="n"/>
      <c r="Q789" s="7" t="n"/>
      <c r="R789" s="7" t="n"/>
      <c r="S789" s="8">
        <f>IF(NOT(ISNUMBER(M789)),"",IF(G789="Terreno",IF(AND(ISNUMBER(I789),I789&gt;0),M789/I789,""),IF(AND(ISNUMBER(H789),H789&gt;0),M789/H789,"")))</f>
        <v/>
      </c>
      <c r="T789" s="9">
        <f>IF(AND(ISNUMBER(M789),ISNUMBER(O789)),IF(M789&lt;=O789,"Valor ≤ venal IPTU",""),"")</f>
        <v/>
      </c>
      <c r="U789" s="10">
        <f>IF(AND(ISNUMBER(M789),ISNUMBER(N789)),IF(N789&gt;0,M789/N789,""),"")</f>
        <v/>
      </c>
      <c r="V789" s="10">
        <f>IF(AND(ISNUMBER(M789),ISNUMBER(O789)),IF(O789&gt;0,M789/O789,""),"")</f>
        <v/>
      </c>
      <c r="W789" s="10">
        <f>IF(AND(ISNUMBER(M789),ISNUMBER(R789)),IF(R789&gt;0,M789/R789,""),"")</f>
        <v/>
      </c>
      <c r="X789" s="10">
        <f>IF(AND(ISNUMBER(Q789),ISNUMBER(M789)),IF(M789&gt;0,Q789/M789,""),"")</f>
        <v/>
      </c>
      <c r="Y789" s="11">
        <f>IF(ISNUMBER(Z789),YEAR(Z789),"")</f>
        <v/>
      </c>
      <c r="Z789" s="12" t="n"/>
      <c r="AA789" s="12" t="n"/>
      <c r="AI789" s="12" t="n"/>
      <c r="AJ789" s="13">
        <f>IF(LEN(TRIM(AF789))=0,"",HYPERLINK("https://www.google.com/maps/@?api=1&amp;map_action=pano&amp;viewpoint="&amp;SUBSTITUTE(AF789," ",""),"Abrir Street View"))</f>
        <v/>
      </c>
    </row>
    <row r="790">
      <c r="H790" s="6" t="n"/>
      <c r="I790" s="6" t="n"/>
      <c r="M790" s="7" t="n"/>
      <c r="N790" s="7" t="n"/>
      <c r="O790" s="7" t="n"/>
      <c r="Q790" s="7" t="n"/>
      <c r="R790" s="7" t="n"/>
      <c r="S790" s="8">
        <f>IF(NOT(ISNUMBER(M790)),"",IF(G790="Terreno",IF(AND(ISNUMBER(I790),I790&gt;0),M790/I790,""),IF(AND(ISNUMBER(H790),H790&gt;0),M790/H790,"")))</f>
        <v/>
      </c>
      <c r="T790" s="9">
        <f>IF(AND(ISNUMBER(M790),ISNUMBER(O790)),IF(M790&lt;=O790,"Valor ≤ venal IPTU",""),"")</f>
        <v/>
      </c>
      <c r="U790" s="10">
        <f>IF(AND(ISNUMBER(M790),ISNUMBER(N790)),IF(N790&gt;0,M790/N790,""),"")</f>
        <v/>
      </c>
      <c r="V790" s="10">
        <f>IF(AND(ISNUMBER(M790),ISNUMBER(O790)),IF(O790&gt;0,M790/O790,""),"")</f>
        <v/>
      </c>
      <c r="W790" s="10">
        <f>IF(AND(ISNUMBER(M790),ISNUMBER(R790)),IF(R790&gt;0,M790/R790,""),"")</f>
        <v/>
      </c>
      <c r="X790" s="10">
        <f>IF(AND(ISNUMBER(Q790),ISNUMBER(M790)),IF(M790&gt;0,Q790/M790,""),"")</f>
        <v/>
      </c>
      <c r="Y790" s="11">
        <f>IF(ISNUMBER(Z790),YEAR(Z790),"")</f>
        <v/>
      </c>
      <c r="Z790" s="12" t="n"/>
      <c r="AA790" s="12" t="n"/>
      <c r="AI790" s="12" t="n"/>
      <c r="AJ790" s="13">
        <f>IF(LEN(TRIM(AF790))=0,"",HYPERLINK("https://www.google.com/maps/@?api=1&amp;map_action=pano&amp;viewpoint="&amp;SUBSTITUTE(AF790," ",""),"Abrir Street View"))</f>
        <v/>
      </c>
    </row>
    <row r="791">
      <c r="H791" s="6" t="n"/>
      <c r="I791" s="6" t="n"/>
      <c r="M791" s="7" t="n"/>
      <c r="N791" s="7" t="n"/>
      <c r="O791" s="7" t="n"/>
      <c r="Q791" s="7" t="n"/>
      <c r="R791" s="7" t="n"/>
      <c r="S791" s="8">
        <f>IF(NOT(ISNUMBER(M791)),"",IF(G791="Terreno",IF(AND(ISNUMBER(I791),I791&gt;0),M791/I791,""),IF(AND(ISNUMBER(H791),H791&gt;0),M791/H791,"")))</f>
        <v/>
      </c>
      <c r="T791" s="9">
        <f>IF(AND(ISNUMBER(M791),ISNUMBER(O791)),IF(M791&lt;=O791,"Valor ≤ venal IPTU",""),"")</f>
        <v/>
      </c>
      <c r="U791" s="10">
        <f>IF(AND(ISNUMBER(M791),ISNUMBER(N791)),IF(N791&gt;0,M791/N791,""),"")</f>
        <v/>
      </c>
      <c r="V791" s="10">
        <f>IF(AND(ISNUMBER(M791),ISNUMBER(O791)),IF(O791&gt;0,M791/O791,""),"")</f>
        <v/>
      </c>
      <c r="W791" s="10">
        <f>IF(AND(ISNUMBER(M791),ISNUMBER(R791)),IF(R791&gt;0,M791/R791,""),"")</f>
        <v/>
      </c>
      <c r="X791" s="10">
        <f>IF(AND(ISNUMBER(Q791),ISNUMBER(M791)),IF(M791&gt;0,Q791/M791,""),"")</f>
        <v/>
      </c>
      <c r="Y791" s="11">
        <f>IF(ISNUMBER(Z791),YEAR(Z791),"")</f>
        <v/>
      </c>
      <c r="Z791" s="12" t="n"/>
      <c r="AA791" s="12" t="n"/>
      <c r="AI791" s="12" t="n"/>
      <c r="AJ791" s="13">
        <f>IF(LEN(TRIM(AF791))=0,"",HYPERLINK("https://www.google.com/maps/@?api=1&amp;map_action=pano&amp;viewpoint="&amp;SUBSTITUTE(AF791," ",""),"Abrir Street View"))</f>
        <v/>
      </c>
    </row>
    <row r="792">
      <c r="H792" s="6" t="n"/>
      <c r="I792" s="6" t="n"/>
      <c r="M792" s="7" t="n"/>
      <c r="N792" s="7" t="n"/>
      <c r="O792" s="7" t="n"/>
      <c r="Q792" s="7" t="n"/>
      <c r="R792" s="7" t="n"/>
      <c r="S792" s="8">
        <f>IF(NOT(ISNUMBER(M792)),"",IF(G792="Terreno",IF(AND(ISNUMBER(I792),I792&gt;0),M792/I792,""),IF(AND(ISNUMBER(H792),H792&gt;0),M792/H792,"")))</f>
        <v/>
      </c>
      <c r="T792" s="9">
        <f>IF(AND(ISNUMBER(M792),ISNUMBER(O792)),IF(M792&lt;=O792,"Valor ≤ venal IPTU",""),"")</f>
        <v/>
      </c>
      <c r="U792" s="10">
        <f>IF(AND(ISNUMBER(M792),ISNUMBER(N792)),IF(N792&gt;0,M792/N792,""),"")</f>
        <v/>
      </c>
      <c r="V792" s="10">
        <f>IF(AND(ISNUMBER(M792),ISNUMBER(O792)),IF(O792&gt;0,M792/O792,""),"")</f>
        <v/>
      </c>
      <c r="W792" s="10">
        <f>IF(AND(ISNUMBER(M792),ISNUMBER(R792)),IF(R792&gt;0,M792/R792,""),"")</f>
        <v/>
      </c>
      <c r="X792" s="10">
        <f>IF(AND(ISNUMBER(Q792),ISNUMBER(M792)),IF(M792&gt;0,Q792/M792,""),"")</f>
        <v/>
      </c>
      <c r="Y792" s="11">
        <f>IF(ISNUMBER(Z792),YEAR(Z792),"")</f>
        <v/>
      </c>
      <c r="Z792" s="12" t="n"/>
      <c r="AA792" s="12" t="n"/>
      <c r="AI792" s="12" t="n"/>
      <c r="AJ792" s="13">
        <f>IF(LEN(TRIM(AF792))=0,"",HYPERLINK("https://www.google.com/maps/@?api=1&amp;map_action=pano&amp;viewpoint="&amp;SUBSTITUTE(AF792," ",""),"Abrir Street View"))</f>
        <v/>
      </c>
    </row>
    <row r="793">
      <c r="H793" s="6" t="n"/>
      <c r="I793" s="6" t="n"/>
      <c r="M793" s="7" t="n"/>
      <c r="N793" s="7" t="n"/>
      <c r="O793" s="7" t="n"/>
      <c r="Q793" s="7" t="n"/>
      <c r="R793" s="7" t="n"/>
      <c r="S793" s="8">
        <f>IF(NOT(ISNUMBER(M793)),"",IF(G793="Terreno",IF(AND(ISNUMBER(I793),I793&gt;0),M793/I793,""),IF(AND(ISNUMBER(H793),H793&gt;0),M793/H793,"")))</f>
        <v/>
      </c>
      <c r="T793" s="9">
        <f>IF(AND(ISNUMBER(M793),ISNUMBER(O793)),IF(M793&lt;=O793,"Valor ≤ venal IPTU",""),"")</f>
        <v/>
      </c>
      <c r="U793" s="10">
        <f>IF(AND(ISNUMBER(M793),ISNUMBER(N793)),IF(N793&gt;0,M793/N793,""),"")</f>
        <v/>
      </c>
      <c r="V793" s="10">
        <f>IF(AND(ISNUMBER(M793),ISNUMBER(O793)),IF(O793&gt;0,M793/O793,""),"")</f>
        <v/>
      </c>
      <c r="W793" s="10">
        <f>IF(AND(ISNUMBER(M793),ISNUMBER(R793)),IF(R793&gt;0,M793/R793,""),"")</f>
        <v/>
      </c>
      <c r="X793" s="10">
        <f>IF(AND(ISNUMBER(Q793),ISNUMBER(M793)),IF(M793&gt;0,Q793/M793,""),"")</f>
        <v/>
      </c>
      <c r="Y793" s="11">
        <f>IF(ISNUMBER(Z793),YEAR(Z793),"")</f>
        <v/>
      </c>
      <c r="Z793" s="12" t="n"/>
      <c r="AA793" s="12" t="n"/>
      <c r="AI793" s="12" t="n"/>
      <c r="AJ793" s="13">
        <f>IF(LEN(TRIM(AF793))=0,"",HYPERLINK("https://www.google.com/maps/@?api=1&amp;map_action=pano&amp;viewpoint="&amp;SUBSTITUTE(AF793," ",""),"Abrir Street View"))</f>
        <v/>
      </c>
    </row>
    <row r="794">
      <c r="H794" s="6" t="n"/>
      <c r="I794" s="6" t="n"/>
      <c r="M794" s="7" t="n"/>
      <c r="N794" s="7" t="n"/>
      <c r="O794" s="7" t="n"/>
      <c r="Q794" s="7" t="n"/>
      <c r="R794" s="7" t="n"/>
      <c r="S794" s="8">
        <f>IF(NOT(ISNUMBER(M794)),"",IF(G794="Terreno",IF(AND(ISNUMBER(I794),I794&gt;0),M794/I794,""),IF(AND(ISNUMBER(H794),H794&gt;0),M794/H794,"")))</f>
        <v/>
      </c>
      <c r="T794" s="9">
        <f>IF(AND(ISNUMBER(M794),ISNUMBER(O794)),IF(M794&lt;=O794,"Valor ≤ venal IPTU",""),"")</f>
        <v/>
      </c>
      <c r="U794" s="10">
        <f>IF(AND(ISNUMBER(M794),ISNUMBER(N794)),IF(N794&gt;0,M794/N794,""),"")</f>
        <v/>
      </c>
      <c r="V794" s="10">
        <f>IF(AND(ISNUMBER(M794),ISNUMBER(O794)),IF(O794&gt;0,M794/O794,""),"")</f>
        <v/>
      </c>
      <c r="W794" s="10">
        <f>IF(AND(ISNUMBER(M794),ISNUMBER(R794)),IF(R794&gt;0,M794/R794,""),"")</f>
        <v/>
      </c>
      <c r="X794" s="10">
        <f>IF(AND(ISNUMBER(Q794),ISNUMBER(M794)),IF(M794&gt;0,Q794/M794,""),"")</f>
        <v/>
      </c>
      <c r="Y794" s="11">
        <f>IF(ISNUMBER(Z794),YEAR(Z794),"")</f>
        <v/>
      </c>
      <c r="Z794" s="12" t="n"/>
      <c r="AA794" s="12" t="n"/>
      <c r="AI794" s="12" t="n"/>
      <c r="AJ794" s="13">
        <f>IF(LEN(TRIM(AF794))=0,"",HYPERLINK("https://www.google.com/maps/@?api=1&amp;map_action=pano&amp;viewpoint="&amp;SUBSTITUTE(AF794," ",""),"Abrir Street View"))</f>
        <v/>
      </c>
    </row>
    <row r="795">
      <c r="H795" s="6" t="n"/>
      <c r="I795" s="6" t="n"/>
      <c r="M795" s="7" t="n"/>
      <c r="N795" s="7" t="n"/>
      <c r="O795" s="7" t="n"/>
      <c r="Q795" s="7" t="n"/>
      <c r="R795" s="7" t="n"/>
      <c r="S795" s="8">
        <f>IF(NOT(ISNUMBER(M795)),"",IF(G795="Terreno",IF(AND(ISNUMBER(I795),I795&gt;0),M795/I795,""),IF(AND(ISNUMBER(H795),H795&gt;0),M795/H795,"")))</f>
        <v/>
      </c>
      <c r="T795" s="9">
        <f>IF(AND(ISNUMBER(M795),ISNUMBER(O795)),IF(M795&lt;=O795,"Valor ≤ venal IPTU",""),"")</f>
        <v/>
      </c>
      <c r="U795" s="10">
        <f>IF(AND(ISNUMBER(M795),ISNUMBER(N795)),IF(N795&gt;0,M795/N795,""),"")</f>
        <v/>
      </c>
      <c r="V795" s="10">
        <f>IF(AND(ISNUMBER(M795),ISNUMBER(O795)),IF(O795&gt;0,M795/O795,""),"")</f>
        <v/>
      </c>
      <c r="W795" s="10">
        <f>IF(AND(ISNUMBER(M795),ISNUMBER(R795)),IF(R795&gt;0,M795/R795,""),"")</f>
        <v/>
      </c>
      <c r="X795" s="10">
        <f>IF(AND(ISNUMBER(Q795),ISNUMBER(M795)),IF(M795&gt;0,Q795/M795,""),"")</f>
        <v/>
      </c>
      <c r="Y795" s="11">
        <f>IF(ISNUMBER(Z795),YEAR(Z795),"")</f>
        <v/>
      </c>
      <c r="Z795" s="12" t="n"/>
      <c r="AA795" s="12" t="n"/>
      <c r="AI795" s="12" t="n"/>
      <c r="AJ795" s="13">
        <f>IF(LEN(TRIM(AF795))=0,"",HYPERLINK("https://www.google.com/maps/@?api=1&amp;map_action=pano&amp;viewpoint="&amp;SUBSTITUTE(AF795," ",""),"Abrir Street View"))</f>
        <v/>
      </c>
    </row>
    <row r="796">
      <c r="H796" s="6" t="n"/>
      <c r="I796" s="6" t="n"/>
      <c r="M796" s="7" t="n"/>
      <c r="N796" s="7" t="n"/>
      <c r="O796" s="7" t="n"/>
      <c r="Q796" s="7" t="n"/>
      <c r="R796" s="7" t="n"/>
      <c r="S796" s="8">
        <f>IF(NOT(ISNUMBER(M796)),"",IF(G796="Terreno",IF(AND(ISNUMBER(I796),I796&gt;0),M796/I796,""),IF(AND(ISNUMBER(H796),H796&gt;0),M796/H796,"")))</f>
        <v/>
      </c>
      <c r="T796" s="9">
        <f>IF(AND(ISNUMBER(M796),ISNUMBER(O796)),IF(M796&lt;=O796,"Valor ≤ venal IPTU",""),"")</f>
        <v/>
      </c>
      <c r="U796" s="10">
        <f>IF(AND(ISNUMBER(M796),ISNUMBER(N796)),IF(N796&gt;0,M796/N796,""),"")</f>
        <v/>
      </c>
      <c r="V796" s="10">
        <f>IF(AND(ISNUMBER(M796),ISNUMBER(O796)),IF(O796&gt;0,M796/O796,""),"")</f>
        <v/>
      </c>
      <c r="W796" s="10">
        <f>IF(AND(ISNUMBER(M796),ISNUMBER(R796)),IF(R796&gt;0,M796/R796,""),"")</f>
        <v/>
      </c>
      <c r="X796" s="10">
        <f>IF(AND(ISNUMBER(Q796),ISNUMBER(M796)),IF(M796&gt;0,Q796/M796,""),"")</f>
        <v/>
      </c>
      <c r="Y796" s="11">
        <f>IF(ISNUMBER(Z796),YEAR(Z796),"")</f>
        <v/>
      </c>
      <c r="Z796" s="12" t="n"/>
      <c r="AA796" s="12" t="n"/>
      <c r="AI796" s="12" t="n"/>
      <c r="AJ796" s="13">
        <f>IF(LEN(TRIM(AF796))=0,"",HYPERLINK("https://www.google.com/maps/@?api=1&amp;map_action=pano&amp;viewpoint="&amp;SUBSTITUTE(AF796," ",""),"Abrir Street View"))</f>
        <v/>
      </c>
    </row>
    <row r="797">
      <c r="H797" s="6" t="n"/>
      <c r="I797" s="6" t="n"/>
      <c r="M797" s="7" t="n"/>
      <c r="N797" s="7" t="n"/>
      <c r="O797" s="7" t="n"/>
      <c r="Q797" s="7" t="n"/>
      <c r="R797" s="7" t="n"/>
      <c r="S797" s="8">
        <f>IF(NOT(ISNUMBER(M797)),"",IF(G797="Terreno",IF(AND(ISNUMBER(I797),I797&gt;0),M797/I797,""),IF(AND(ISNUMBER(H797),H797&gt;0),M797/H797,"")))</f>
        <v/>
      </c>
      <c r="T797" s="9">
        <f>IF(AND(ISNUMBER(M797),ISNUMBER(O797)),IF(M797&lt;=O797,"Valor ≤ venal IPTU",""),"")</f>
        <v/>
      </c>
      <c r="U797" s="10">
        <f>IF(AND(ISNUMBER(M797),ISNUMBER(N797)),IF(N797&gt;0,M797/N797,""),"")</f>
        <v/>
      </c>
      <c r="V797" s="10">
        <f>IF(AND(ISNUMBER(M797),ISNUMBER(O797)),IF(O797&gt;0,M797/O797,""),"")</f>
        <v/>
      </c>
      <c r="W797" s="10">
        <f>IF(AND(ISNUMBER(M797),ISNUMBER(R797)),IF(R797&gt;0,M797/R797,""),"")</f>
        <v/>
      </c>
      <c r="X797" s="10">
        <f>IF(AND(ISNUMBER(Q797),ISNUMBER(M797)),IF(M797&gt;0,Q797/M797,""),"")</f>
        <v/>
      </c>
      <c r="Y797" s="11">
        <f>IF(ISNUMBER(Z797),YEAR(Z797),"")</f>
        <v/>
      </c>
      <c r="Z797" s="12" t="n"/>
      <c r="AA797" s="12" t="n"/>
      <c r="AI797" s="12" t="n"/>
      <c r="AJ797" s="13">
        <f>IF(LEN(TRIM(AF797))=0,"",HYPERLINK("https://www.google.com/maps/@?api=1&amp;map_action=pano&amp;viewpoint="&amp;SUBSTITUTE(AF797," ",""),"Abrir Street View"))</f>
        <v/>
      </c>
    </row>
    <row r="798">
      <c r="H798" s="6" t="n"/>
      <c r="I798" s="6" t="n"/>
      <c r="M798" s="7" t="n"/>
      <c r="N798" s="7" t="n"/>
      <c r="O798" s="7" t="n"/>
      <c r="Q798" s="7" t="n"/>
      <c r="R798" s="7" t="n"/>
      <c r="S798" s="8">
        <f>IF(NOT(ISNUMBER(M798)),"",IF(G798="Terreno",IF(AND(ISNUMBER(I798),I798&gt;0),M798/I798,""),IF(AND(ISNUMBER(H798),H798&gt;0),M798/H798,"")))</f>
        <v/>
      </c>
      <c r="T798" s="9">
        <f>IF(AND(ISNUMBER(M798),ISNUMBER(O798)),IF(M798&lt;=O798,"Valor ≤ venal IPTU",""),"")</f>
        <v/>
      </c>
      <c r="U798" s="10">
        <f>IF(AND(ISNUMBER(M798),ISNUMBER(N798)),IF(N798&gt;0,M798/N798,""),"")</f>
        <v/>
      </c>
      <c r="V798" s="10">
        <f>IF(AND(ISNUMBER(M798),ISNUMBER(O798)),IF(O798&gt;0,M798/O798,""),"")</f>
        <v/>
      </c>
      <c r="W798" s="10">
        <f>IF(AND(ISNUMBER(M798),ISNUMBER(R798)),IF(R798&gt;0,M798/R798,""),"")</f>
        <v/>
      </c>
      <c r="X798" s="10">
        <f>IF(AND(ISNUMBER(Q798),ISNUMBER(M798)),IF(M798&gt;0,Q798/M798,""),"")</f>
        <v/>
      </c>
      <c r="Y798" s="11">
        <f>IF(ISNUMBER(Z798),YEAR(Z798),"")</f>
        <v/>
      </c>
      <c r="Z798" s="12" t="n"/>
      <c r="AA798" s="12" t="n"/>
      <c r="AI798" s="12" t="n"/>
      <c r="AJ798" s="13">
        <f>IF(LEN(TRIM(AF798))=0,"",HYPERLINK("https://www.google.com/maps/@?api=1&amp;map_action=pano&amp;viewpoint="&amp;SUBSTITUTE(AF798," ",""),"Abrir Street View"))</f>
        <v/>
      </c>
    </row>
    <row r="799">
      <c r="H799" s="6" t="n"/>
      <c r="I799" s="6" t="n"/>
      <c r="M799" s="7" t="n"/>
      <c r="N799" s="7" t="n"/>
      <c r="O799" s="7" t="n"/>
      <c r="Q799" s="7" t="n"/>
      <c r="R799" s="7" t="n"/>
      <c r="S799" s="8">
        <f>IF(NOT(ISNUMBER(M799)),"",IF(G799="Terreno",IF(AND(ISNUMBER(I799),I799&gt;0),M799/I799,""),IF(AND(ISNUMBER(H799),H799&gt;0),M799/H799,"")))</f>
        <v/>
      </c>
      <c r="T799" s="9">
        <f>IF(AND(ISNUMBER(M799),ISNUMBER(O799)),IF(M799&lt;=O799,"Valor ≤ venal IPTU",""),"")</f>
        <v/>
      </c>
      <c r="U799" s="10">
        <f>IF(AND(ISNUMBER(M799),ISNUMBER(N799)),IF(N799&gt;0,M799/N799,""),"")</f>
        <v/>
      </c>
      <c r="V799" s="10">
        <f>IF(AND(ISNUMBER(M799),ISNUMBER(O799)),IF(O799&gt;0,M799/O799,""),"")</f>
        <v/>
      </c>
      <c r="W799" s="10">
        <f>IF(AND(ISNUMBER(M799),ISNUMBER(R799)),IF(R799&gt;0,M799/R799,""),"")</f>
        <v/>
      </c>
      <c r="X799" s="10">
        <f>IF(AND(ISNUMBER(Q799),ISNUMBER(M799)),IF(M799&gt;0,Q799/M799,""),"")</f>
        <v/>
      </c>
      <c r="Y799" s="11">
        <f>IF(ISNUMBER(Z799),YEAR(Z799),"")</f>
        <v/>
      </c>
      <c r="Z799" s="12" t="n"/>
      <c r="AA799" s="12" t="n"/>
      <c r="AI799" s="12" t="n"/>
      <c r="AJ799" s="13">
        <f>IF(LEN(TRIM(AF799))=0,"",HYPERLINK("https://www.google.com/maps/@?api=1&amp;map_action=pano&amp;viewpoint="&amp;SUBSTITUTE(AF799," ",""),"Abrir Street View"))</f>
        <v/>
      </c>
    </row>
    <row r="800">
      <c r="H800" s="6" t="n"/>
      <c r="I800" s="6" t="n"/>
      <c r="M800" s="7" t="n"/>
      <c r="N800" s="7" t="n"/>
      <c r="O800" s="7" t="n"/>
      <c r="Q800" s="7" t="n"/>
      <c r="R800" s="7" t="n"/>
      <c r="S800" s="8">
        <f>IF(NOT(ISNUMBER(M800)),"",IF(G800="Terreno",IF(AND(ISNUMBER(I800),I800&gt;0),M800/I800,""),IF(AND(ISNUMBER(H800),H800&gt;0),M800/H800,"")))</f>
        <v/>
      </c>
      <c r="T800" s="9">
        <f>IF(AND(ISNUMBER(M800),ISNUMBER(O800)),IF(M800&lt;=O800,"Valor ≤ venal IPTU",""),"")</f>
        <v/>
      </c>
      <c r="U800" s="10">
        <f>IF(AND(ISNUMBER(M800),ISNUMBER(N800)),IF(N800&gt;0,M800/N800,""),"")</f>
        <v/>
      </c>
      <c r="V800" s="10">
        <f>IF(AND(ISNUMBER(M800),ISNUMBER(O800)),IF(O800&gt;0,M800/O800,""),"")</f>
        <v/>
      </c>
      <c r="W800" s="10">
        <f>IF(AND(ISNUMBER(M800),ISNUMBER(R800)),IF(R800&gt;0,M800/R800,""),"")</f>
        <v/>
      </c>
      <c r="X800" s="10">
        <f>IF(AND(ISNUMBER(Q800),ISNUMBER(M800)),IF(M800&gt;0,Q800/M800,""),"")</f>
        <v/>
      </c>
      <c r="Y800" s="11">
        <f>IF(ISNUMBER(Z800),YEAR(Z800),"")</f>
        <v/>
      </c>
      <c r="Z800" s="12" t="n"/>
      <c r="AA800" s="12" t="n"/>
      <c r="AI800" s="12" t="n"/>
      <c r="AJ800" s="13">
        <f>IF(LEN(TRIM(AF800))=0,"",HYPERLINK("https://www.google.com/maps/@?api=1&amp;map_action=pano&amp;viewpoint="&amp;SUBSTITUTE(AF800," ",""),"Abrir Street View"))</f>
        <v/>
      </c>
    </row>
    <row r="801">
      <c r="H801" s="6" t="n"/>
      <c r="I801" s="6" t="n"/>
      <c r="M801" s="7" t="n"/>
      <c r="N801" s="7" t="n"/>
      <c r="O801" s="7" t="n"/>
      <c r="Q801" s="7" t="n"/>
      <c r="R801" s="7" t="n"/>
      <c r="S801" s="8">
        <f>IF(NOT(ISNUMBER(M801)),"",IF(G801="Terreno",IF(AND(ISNUMBER(I801),I801&gt;0),M801/I801,""),IF(AND(ISNUMBER(H801),H801&gt;0),M801/H801,"")))</f>
        <v/>
      </c>
      <c r="T801" s="9">
        <f>IF(AND(ISNUMBER(M801),ISNUMBER(O801)),IF(M801&lt;=O801,"Valor ≤ venal IPTU",""),"")</f>
        <v/>
      </c>
      <c r="U801" s="10">
        <f>IF(AND(ISNUMBER(M801),ISNUMBER(N801)),IF(N801&gt;0,M801/N801,""),"")</f>
        <v/>
      </c>
      <c r="V801" s="10">
        <f>IF(AND(ISNUMBER(M801),ISNUMBER(O801)),IF(O801&gt;0,M801/O801,""),"")</f>
        <v/>
      </c>
      <c r="W801" s="10">
        <f>IF(AND(ISNUMBER(M801),ISNUMBER(R801)),IF(R801&gt;0,M801/R801,""),"")</f>
        <v/>
      </c>
      <c r="X801" s="10">
        <f>IF(AND(ISNUMBER(Q801),ISNUMBER(M801)),IF(M801&gt;0,Q801/M801,""),"")</f>
        <v/>
      </c>
      <c r="Y801" s="11">
        <f>IF(ISNUMBER(Z801),YEAR(Z801),"")</f>
        <v/>
      </c>
      <c r="Z801" s="12" t="n"/>
      <c r="AA801" s="12" t="n"/>
      <c r="AI801" s="12" t="n"/>
      <c r="AJ801" s="13">
        <f>IF(LEN(TRIM(AF801))=0,"",HYPERLINK("https://www.google.com/maps/@?api=1&amp;map_action=pano&amp;viewpoint="&amp;SUBSTITUTE(AF801," ",""),"Abrir Street View"))</f>
        <v/>
      </c>
    </row>
    <row r="802">
      <c r="H802" s="6" t="n"/>
      <c r="I802" s="6" t="n"/>
      <c r="M802" s="7" t="n"/>
      <c r="N802" s="7" t="n"/>
      <c r="O802" s="7" t="n"/>
      <c r="Q802" s="7" t="n"/>
      <c r="R802" s="7" t="n"/>
      <c r="S802" s="8">
        <f>IF(NOT(ISNUMBER(M802)),"",IF(G802="Terreno",IF(AND(ISNUMBER(I802),I802&gt;0),M802/I802,""),IF(AND(ISNUMBER(H802),H802&gt;0),M802/H802,"")))</f>
        <v/>
      </c>
      <c r="T802" s="9">
        <f>IF(AND(ISNUMBER(M802),ISNUMBER(O802)),IF(M802&lt;=O802,"Valor ≤ venal IPTU",""),"")</f>
        <v/>
      </c>
      <c r="U802" s="10">
        <f>IF(AND(ISNUMBER(M802),ISNUMBER(N802)),IF(N802&gt;0,M802/N802,""),"")</f>
        <v/>
      </c>
      <c r="V802" s="10">
        <f>IF(AND(ISNUMBER(M802),ISNUMBER(O802)),IF(O802&gt;0,M802/O802,""),"")</f>
        <v/>
      </c>
      <c r="W802" s="10">
        <f>IF(AND(ISNUMBER(M802),ISNUMBER(R802)),IF(R802&gt;0,M802/R802,""),"")</f>
        <v/>
      </c>
      <c r="X802" s="10">
        <f>IF(AND(ISNUMBER(Q802),ISNUMBER(M802)),IF(M802&gt;0,Q802/M802,""),"")</f>
        <v/>
      </c>
      <c r="Y802" s="11">
        <f>IF(ISNUMBER(Z802),YEAR(Z802),"")</f>
        <v/>
      </c>
      <c r="Z802" s="12" t="n"/>
      <c r="AA802" s="12" t="n"/>
      <c r="AI802" s="12" t="n"/>
      <c r="AJ802" s="13">
        <f>IF(LEN(TRIM(AF802))=0,"",HYPERLINK("https://www.google.com/maps/@?api=1&amp;map_action=pano&amp;viewpoint="&amp;SUBSTITUTE(AF802," ",""),"Abrir Street View"))</f>
        <v/>
      </c>
    </row>
    <row r="803">
      <c r="H803" s="6" t="n"/>
      <c r="I803" s="6" t="n"/>
      <c r="M803" s="7" t="n"/>
      <c r="N803" s="7" t="n"/>
      <c r="O803" s="7" t="n"/>
      <c r="Q803" s="7" t="n"/>
      <c r="R803" s="7" t="n"/>
      <c r="S803" s="8">
        <f>IF(NOT(ISNUMBER(M803)),"",IF(G803="Terreno",IF(AND(ISNUMBER(I803),I803&gt;0),M803/I803,""),IF(AND(ISNUMBER(H803),H803&gt;0),M803/H803,"")))</f>
        <v/>
      </c>
      <c r="T803" s="9">
        <f>IF(AND(ISNUMBER(M803),ISNUMBER(O803)),IF(M803&lt;=O803,"Valor ≤ venal IPTU",""),"")</f>
        <v/>
      </c>
      <c r="U803" s="10">
        <f>IF(AND(ISNUMBER(M803),ISNUMBER(N803)),IF(N803&gt;0,M803/N803,""),"")</f>
        <v/>
      </c>
      <c r="V803" s="10">
        <f>IF(AND(ISNUMBER(M803),ISNUMBER(O803)),IF(O803&gt;0,M803/O803,""),"")</f>
        <v/>
      </c>
      <c r="W803" s="10">
        <f>IF(AND(ISNUMBER(M803),ISNUMBER(R803)),IF(R803&gt;0,M803/R803,""),"")</f>
        <v/>
      </c>
      <c r="X803" s="10">
        <f>IF(AND(ISNUMBER(Q803),ISNUMBER(M803)),IF(M803&gt;0,Q803/M803,""),"")</f>
        <v/>
      </c>
      <c r="Y803" s="11">
        <f>IF(ISNUMBER(Z803),YEAR(Z803),"")</f>
        <v/>
      </c>
      <c r="Z803" s="12" t="n"/>
      <c r="AA803" s="12" t="n"/>
      <c r="AI803" s="12" t="n"/>
      <c r="AJ803" s="13">
        <f>IF(LEN(TRIM(AF803))=0,"",HYPERLINK("https://www.google.com/maps/@?api=1&amp;map_action=pano&amp;viewpoint="&amp;SUBSTITUTE(AF803," ",""),"Abrir Street View"))</f>
        <v/>
      </c>
    </row>
    <row r="804">
      <c r="H804" s="6" t="n"/>
      <c r="I804" s="6" t="n"/>
      <c r="M804" s="7" t="n"/>
      <c r="N804" s="7" t="n"/>
      <c r="O804" s="7" t="n"/>
      <c r="Q804" s="7" t="n"/>
      <c r="R804" s="7" t="n"/>
      <c r="S804" s="8">
        <f>IF(NOT(ISNUMBER(M804)),"",IF(G804="Terreno",IF(AND(ISNUMBER(I804),I804&gt;0),M804/I804,""),IF(AND(ISNUMBER(H804),H804&gt;0),M804/H804,"")))</f>
        <v/>
      </c>
      <c r="T804" s="9">
        <f>IF(AND(ISNUMBER(M804),ISNUMBER(O804)),IF(M804&lt;=O804,"Valor ≤ venal IPTU",""),"")</f>
        <v/>
      </c>
      <c r="U804" s="10">
        <f>IF(AND(ISNUMBER(M804),ISNUMBER(N804)),IF(N804&gt;0,M804/N804,""),"")</f>
        <v/>
      </c>
      <c r="V804" s="10">
        <f>IF(AND(ISNUMBER(M804),ISNUMBER(O804)),IF(O804&gt;0,M804/O804,""),"")</f>
        <v/>
      </c>
      <c r="W804" s="10">
        <f>IF(AND(ISNUMBER(M804),ISNUMBER(R804)),IF(R804&gt;0,M804/R804,""),"")</f>
        <v/>
      </c>
      <c r="X804" s="10">
        <f>IF(AND(ISNUMBER(Q804),ISNUMBER(M804)),IF(M804&gt;0,Q804/M804,""),"")</f>
        <v/>
      </c>
      <c r="Y804" s="11">
        <f>IF(ISNUMBER(Z804),YEAR(Z804),"")</f>
        <v/>
      </c>
      <c r="Z804" s="12" t="n"/>
      <c r="AA804" s="12" t="n"/>
      <c r="AI804" s="12" t="n"/>
      <c r="AJ804" s="13">
        <f>IF(LEN(TRIM(AF804))=0,"",HYPERLINK("https://www.google.com/maps/@?api=1&amp;map_action=pano&amp;viewpoint="&amp;SUBSTITUTE(AF804," ",""),"Abrir Street View"))</f>
        <v/>
      </c>
    </row>
    <row r="805">
      <c r="H805" s="6" t="n"/>
      <c r="I805" s="6" t="n"/>
      <c r="M805" s="7" t="n"/>
      <c r="N805" s="7" t="n"/>
      <c r="O805" s="7" t="n"/>
      <c r="Q805" s="7" t="n"/>
      <c r="R805" s="7" t="n"/>
      <c r="S805" s="8">
        <f>IF(NOT(ISNUMBER(M805)),"",IF(G805="Terreno",IF(AND(ISNUMBER(I805),I805&gt;0),M805/I805,""),IF(AND(ISNUMBER(H805),H805&gt;0),M805/H805,"")))</f>
        <v/>
      </c>
      <c r="T805" s="9">
        <f>IF(AND(ISNUMBER(M805),ISNUMBER(O805)),IF(M805&lt;=O805,"Valor ≤ venal IPTU",""),"")</f>
        <v/>
      </c>
      <c r="U805" s="10">
        <f>IF(AND(ISNUMBER(M805),ISNUMBER(N805)),IF(N805&gt;0,M805/N805,""),"")</f>
        <v/>
      </c>
      <c r="V805" s="10">
        <f>IF(AND(ISNUMBER(M805),ISNUMBER(O805)),IF(O805&gt;0,M805/O805,""),"")</f>
        <v/>
      </c>
      <c r="W805" s="10">
        <f>IF(AND(ISNUMBER(M805),ISNUMBER(R805)),IF(R805&gt;0,M805/R805,""),"")</f>
        <v/>
      </c>
      <c r="X805" s="10">
        <f>IF(AND(ISNUMBER(Q805),ISNUMBER(M805)),IF(M805&gt;0,Q805/M805,""),"")</f>
        <v/>
      </c>
      <c r="Y805" s="11">
        <f>IF(ISNUMBER(Z805),YEAR(Z805),"")</f>
        <v/>
      </c>
      <c r="Z805" s="12" t="n"/>
      <c r="AA805" s="12" t="n"/>
      <c r="AI805" s="12" t="n"/>
      <c r="AJ805" s="13">
        <f>IF(LEN(TRIM(AF805))=0,"",HYPERLINK("https://www.google.com/maps/@?api=1&amp;map_action=pano&amp;viewpoint="&amp;SUBSTITUTE(AF805," ",""),"Abrir Street View"))</f>
        <v/>
      </c>
    </row>
    <row r="806">
      <c r="H806" s="6" t="n"/>
      <c r="I806" s="6" t="n"/>
      <c r="M806" s="7" t="n"/>
      <c r="N806" s="7" t="n"/>
      <c r="O806" s="7" t="n"/>
      <c r="Q806" s="7" t="n"/>
      <c r="R806" s="7" t="n"/>
      <c r="S806" s="8">
        <f>IF(NOT(ISNUMBER(M806)),"",IF(G806="Terreno",IF(AND(ISNUMBER(I806),I806&gt;0),M806/I806,""),IF(AND(ISNUMBER(H806),H806&gt;0),M806/H806,"")))</f>
        <v/>
      </c>
      <c r="T806" s="9">
        <f>IF(AND(ISNUMBER(M806),ISNUMBER(O806)),IF(M806&lt;=O806,"Valor ≤ venal IPTU",""),"")</f>
        <v/>
      </c>
      <c r="U806" s="10">
        <f>IF(AND(ISNUMBER(M806),ISNUMBER(N806)),IF(N806&gt;0,M806/N806,""),"")</f>
        <v/>
      </c>
      <c r="V806" s="10">
        <f>IF(AND(ISNUMBER(M806),ISNUMBER(O806)),IF(O806&gt;0,M806/O806,""),"")</f>
        <v/>
      </c>
      <c r="W806" s="10">
        <f>IF(AND(ISNUMBER(M806),ISNUMBER(R806)),IF(R806&gt;0,M806/R806,""),"")</f>
        <v/>
      </c>
      <c r="X806" s="10">
        <f>IF(AND(ISNUMBER(Q806),ISNUMBER(M806)),IF(M806&gt;0,Q806/M806,""),"")</f>
        <v/>
      </c>
      <c r="Y806" s="11">
        <f>IF(ISNUMBER(Z806),YEAR(Z806),"")</f>
        <v/>
      </c>
      <c r="Z806" s="12" t="n"/>
      <c r="AA806" s="12" t="n"/>
      <c r="AI806" s="12" t="n"/>
      <c r="AJ806" s="13">
        <f>IF(LEN(TRIM(AF806))=0,"",HYPERLINK("https://www.google.com/maps/@?api=1&amp;map_action=pano&amp;viewpoint="&amp;SUBSTITUTE(AF806," ",""),"Abrir Street View"))</f>
        <v/>
      </c>
    </row>
    <row r="807">
      <c r="H807" s="6" t="n"/>
      <c r="I807" s="6" t="n"/>
      <c r="M807" s="7" t="n"/>
      <c r="N807" s="7" t="n"/>
      <c r="O807" s="7" t="n"/>
      <c r="Q807" s="7" t="n"/>
      <c r="R807" s="7" t="n"/>
      <c r="S807" s="8">
        <f>IF(NOT(ISNUMBER(M807)),"",IF(G807="Terreno",IF(AND(ISNUMBER(I807),I807&gt;0),M807/I807,""),IF(AND(ISNUMBER(H807),H807&gt;0),M807/H807,"")))</f>
        <v/>
      </c>
      <c r="T807" s="9">
        <f>IF(AND(ISNUMBER(M807),ISNUMBER(O807)),IF(M807&lt;=O807,"Valor ≤ venal IPTU",""),"")</f>
        <v/>
      </c>
      <c r="U807" s="10">
        <f>IF(AND(ISNUMBER(M807),ISNUMBER(N807)),IF(N807&gt;0,M807/N807,""),"")</f>
        <v/>
      </c>
      <c r="V807" s="10">
        <f>IF(AND(ISNUMBER(M807),ISNUMBER(O807)),IF(O807&gt;0,M807/O807,""),"")</f>
        <v/>
      </c>
      <c r="W807" s="10">
        <f>IF(AND(ISNUMBER(M807),ISNUMBER(R807)),IF(R807&gt;0,M807/R807,""),"")</f>
        <v/>
      </c>
      <c r="X807" s="10">
        <f>IF(AND(ISNUMBER(Q807),ISNUMBER(M807)),IF(M807&gt;0,Q807/M807,""),"")</f>
        <v/>
      </c>
      <c r="Y807" s="11">
        <f>IF(ISNUMBER(Z807),YEAR(Z807),"")</f>
        <v/>
      </c>
      <c r="Z807" s="12" t="n"/>
      <c r="AA807" s="12" t="n"/>
      <c r="AI807" s="12" t="n"/>
      <c r="AJ807" s="13">
        <f>IF(LEN(TRIM(AF807))=0,"",HYPERLINK("https://www.google.com/maps/@?api=1&amp;map_action=pano&amp;viewpoint="&amp;SUBSTITUTE(AF807," ",""),"Abrir Street View"))</f>
        <v/>
      </c>
    </row>
    <row r="808">
      <c r="H808" s="6" t="n"/>
      <c r="I808" s="6" t="n"/>
      <c r="M808" s="7" t="n"/>
      <c r="N808" s="7" t="n"/>
      <c r="O808" s="7" t="n"/>
      <c r="Q808" s="7" t="n"/>
      <c r="R808" s="7" t="n"/>
      <c r="S808" s="8">
        <f>IF(NOT(ISNUMBER(M808)),"",IF(G808="Terreno",IF(AND(ISNUMBER(I808),I808&gt;0),M808/I808,""),IF(AND(ISNUMBER(H808),H808&gt;0),M808/H808,"")))</f>
        <v/>
      </c>
      <c r="T808" s="9">
        <f>IF(AND(ISNUMBER(M808),ISNUMBER(O808)),IF(M808&lt;=O808,"Valor ≤ venal IPTU",""),"")</f>
        <v/>
      </c>
      <c r="U808" s="10">
        <f>IF(AND(ISNUMBER(M808),ISNUMBER(N808)),IF(N808&gt;0,M808/N808,""),"")</f>
        <v/>
      </c>
      <c r="V808" s="10">
        <f>IF(AND(ISNUMBER(M808),ISNUMBER(O808)),IF(O808&gt;0,M808/O808,""),"")</f>
        <v/>
      </c>
      <c r="W808" s="10">
        <f>IF(AND(ISNUMBER(M808),ISNUMBER(R808)),IF(R808&gt;0,M808/R808,""),"")</f>
        <v/>
      </c>
      <c r="X808" s="10">
        <f>IF(AND(ISNUMBER(Q808),ISNUMBER(M808)),IF(M808&gt;0,Q808/M808,""),"")</f>
        <v/>
      </c>
      <c r="Y808" s="11">
        <f>IF(ISNUMBER(Z808),YEAR(Z808),"")</f>
        <v/>
      </c>
      <c r="Z808" s="12" t="n"/>
      <c r="AA808" s="12" t="n"/>
      <c r="AI808" s="12" t="n"/>
      <c r="AJ808" s="13">
        <f>IF(LEN(TRIM(AF808))=0,"",HYPERLINK("https://www.google.com/maps/@?api=1&amp;map_action=pano&amp;viewpoint="&amp;SUBSTITUTE(AF808," ",""),"Abrir Street View"))</f>
        <v/>
      </c>
    </row>
    <row r="809">
      <c r="H809" s="6" t="n"/>
      <c r="I809" s="6" t="n"/>
      <c r="M809" s="7" t="n"/>
      <c r="N809" s="7" t="n"/>
      <c r="O809" s="7" t="n"/>
      <c r="Q809" s="7" t="n"/>
      <c r="R809" s="7" t="n"/>
      <c r="S809" s="8">
        <f>IF(NOT(ISNUMBER(M809)),"",IF(G809="Terreno",IF(AND(ISNUMBER(I809),I809&gt;0),M809/I809,""),IF(AND(ISNUMBER(H809),H809&gt;0),M809/H809,"")))</f>
        <v/>
      </c>
      <c r="T809" s="9">
        <f>IF(AND(ISNUMBER(M809),ISNUMBER(O809)),IF(M809&lt;=O809,"Valor ≤ venal IPTU",""),"")</f>
        <v/>
      </c>
      <c r="U809" s="10">
        <f>IF(AND(ISNUMBER(M809),ISNUMBER(N809)),IF(N809&gt;0,M809/N809,""),"")</f>
        <v/>
      </c>
      <c r="V809" s="10">
        <f>IF(AND(ISNUMBER(M809),ISNUMBER(O809)),IF(O809&gt;0,M809/O809,""),"")</f>
        <v/>
      </c>
      <c r="W809" s="10">
        <f>IF(AND(ISNUMBER(M809),ISNUMBER(R809)),IF(R809&gt;0,M809/R809,""),"")</f>
        <v/>
      </c>
      <c r="X809" s="10">
        <f>IF(AND(ISNUMBER(Q809),ISNUMBER(M809)),IF(M809&gt;0,Q809/M809,""),"")</f>
        <v/>
      </c>
      <c r="Y809" s="11">
        <f>IF(ISNUMBER(Z809),YEAR(Z809),"")</f>
        <v/>
      </c>
      <c r="Z809" s="12" t="n"/>
      <c r="AA809" s="12" t="n"/>
      <c r="AI809" s="12" t="n"/>
      <c r="AJ809" s="13">
        <f>IF(LEN(TRIM(AF809))=0,"",HYPERLINK("https://www.google.com/maps/@?api=1&amp;map_action=pano&amp;viewpoint="&amp;SUBSTITUTE(AF809," ",""),"Abrir Street View"))</f>
        <v/>
      </c>
    </row>
    <row r="810">
      <c r="H810" s="6" t="n"/>
      <c r="I810" s="6" t="n"/>
      <c r="M810" s="7" t="n"/>
      <c r="N810" s="7" t="n"/>
      <c r="O810" s="7" t="n"/>
      <c r="Q810" s="7" t="n"/>
      <c r="R810" s="7" t="n"/>
      <c r="S810" s="8">
        <f>IF(NOT(ISNUMBER(M810)),"",IF(G810="Terreno",IF(AND(ISNUMBER(I810),I810&gt;0),M810/I810,""),IF(AND(ISNUMBER(H810),H810&gt;0),M810/H810,"")))</f>
        <v/>
      </c>
      <c r="T810" s="9">
        <f>IF(AND(ISNUMBER(M810),ISNUMBER(O810)),IF(M810&lt;=O810,"Valor ≤ venal IPTU",""),"")</f>
        <v/>
      </c>
      <c r="U810" s="10">
        <f>IF(AND(ISNUMBER(M810),ISNUMBER(N810)),IF(N810&gt;0,M810/N810,""),"")</f>
        <v/>
      </c>
      <c r="V810" s="10">
        <f>IF(AND(ISNUMBER(M810),ISNUMBER(O810)),IF(O810&gt;0,M810/O810,""),"")</f>
        <v/>
      </c>
      <c r="W810" s="10">
        <f>IF(AND(ISNUMBER(M810),ISNUMBER(R810)),IF(R810&gt;0,M810/R810,""),"")</f>
        <v/>
      </c>
      <c r="X810" s="10">
        <f>IF(AND(ISNUMBER(Q810),ISNUMBER(M810)),IF(M810&gt;0,Q810/M810,""),"")</f>
        <v/>
      </c>
      <c r="Y810" s="11">
        <f>IF(ISNUMBER(Z810),YEAR(Z810),"")</f>
        <v/>
      </c>
      <c r="Z810" s="12" t="n"/>
      <c r="AA810" s="12" t="n"/>
      <c r="AI810" s="12" t="n"/>
      <c r="AJ810" s="13">
        <f>IF(LEN(TRIM(AF810))=0,"",HYPERLINK("https://www.google.com/maps/@?api=1&amp;map_action=pano&amp;viewpoint="&amp;SUBSTITUTE(AF810," ",""),"Abrir Street View"))</f>
        <v/>
      </c>
    </row>
    <row r="811">
      <c r="H811" s="6" t="n"/>
      <c r="I811" s="6" t="n"/>
      <c r="M811" s="7" t="n"/>
      <c r="N811" s="7" t="n"/>
      <c r="O811" s="7" t="n"/>
      <c r="Q811" s="7" t="n"/>
      <c r="R811" s="7" t="n"/>
      <c r="S811" s="8">
        <f>IF(NOT(ISNUMBER(M811)),"",IF(G811="Terreno",IF(AND(ISNUMBER(I811),I811&gt;0),M811/I811,""),IF(AND(ISNUMBER(H811),H811&gt;0),M811/H811,"")))</f>
        <v/>
      </c>
      <c r="T811" s="9">
        <f>IF(AND(ISNUMBER(M811),ISNUMBER(O811)),IF(M811&lt;=O811,"Valor ≤ venal IPTU",""),"")</f>
        <v/>
      </c>
      <c r="U811" s="10">
        <f>IF(AND(ISNUMBER(M811),ISNUMBER(N811)),IF(N811&gt;0,M811/N811,""),"")</f>
        <v/>
      </c>
      <c r="V811" s="10">
        <f>IF(AND(ISNUMBER(M811),ISNUMBER(O811)),IF(O811&gt;0,M811/O811,""),"")</f>
        <v/>
      </c>
      <c r="W811" s="10">
        <f>IF(AND(ISNUMBER(M811),ISNUMBER(R811)),IF(R811&gt;0,M811/R811,""),"")</f>
        <v/>
      </c>
      <c r="X811" s="10">
        <f>IF(AND(ISNUMBER(Q811),ISNUMBER(M811)),IF(M811&gt;0,Q811/M811,""),"")</f>
        <v/>
      </c>
      <c r="Y811" s="11">
        <f>IF(ISNUMBER(Z811),YEAR(Z811),"")</f>
        <v/>
      </c>
      <c r="Z811" s="12" t="n"/>
      <c r="AA811" s="12" t="n"/>
      <c r="AI811" s="12" t="n"/>
      <c r="AJ811" s="13">
        <f>IF(LEN(TRIM(AF811))=0,"",HYPERLINK("https://www.google.com/maps/@?api=1&amp;map_action=pano&amp;viewpoint="&amp;SUBSTITUTE(AF811," ",""),"Abrir Street View"))</f>
        <v/>
      </c>
    </row>
    <row r="812">
      <c r="H812" s="6" t="n"/>
      <c r="I812" s="6" t="n"/>
      <c r="M812" s="7" t="n"/>
      <c r="N812" s="7" t="n"/>
      <c r="O812" s="7" t="n"/>
      <c r="Q812" s="7" t="n"/>
      <c r="R812" s="7" t="n"/>
      <c r="S812" s="8">
        <f>IF(NOT(ISNUMBER(M812)),"",IF(G812="Terreno",IF(AND(ISNUMBER(I812),I812&gt;0),M812/I812,""),IF(AND(ISNUMBER(H812),H812&gt;0),M812/H812,"")))</f>
        <v/>
      </c>
      <c r="T812" s="9">
        <f>IF(AND(ISNUMBER(M812),ISNUMBER(O812)),IF(M812&lt;=O812,"Valor ≤ venal IPTU",""),"")</f>
        <v/>
      </c>
      <c r="U812" s="10">
        <f>IF(AND(ISNUMBER(M812),ISNUMBER(N812)),IF(N812&gt;0,M812/N812,""),"")</f>
        <v/>
      </c>
      <c r="V812" s="10">
        <f>IF(AND(ISNUMBER(M812),ISNUMBER(O812)),IF(O812&gt;0,M812/O812,""),"")</f>
        <v/>
      </c>
      <c r="W812" s="10">
        <f>IF(AND(ISNUMBER(M812),ISNUMBER(R812)),IF(R812&gt;0,M812/R812,""),"")</f>
        <v/>
      </c>
      <c r="X812" s="10">
        <f>IF(AND(ISNUMBER(Q812),ISNUMBER(M812)),IF(M812&gt;0,Q812/M812,""),"")</f>
        <v/>
      </c>
      <c r="Y812" s="11">
        <f>IF(ISNUMBER(Z812),YEAR(Z812),"")</f>
        <v/>
      </c>
      <c r="Z812" s="12" t="n"/>
      <c r="AA812" s="12" t="n"/>
      <c r="AI812" s="12" t="n"/>
      <c r="AJ812" s="13">
        <f>IF(LEN(TRIM(AF812))=0,"",HYPERLINK("https://www.google.com/maps/@?api=1&amp;map_action=pano&amp;viewpoint="&amp;SUBSTITUTE(AF812," ",""),"Abrir Street View"))</f>
        <v/>
      </c>
    </row>
    <row r="813">
      <c r="H813" s="6" t="n"/>
      <c r="I813" s="6" t="n"/>
      <c r="M813" s="7" t="n"/>
      <c r="N813" s="7" t="n"/>
      <c r="O813" s="7" t="n"/>
      <c r="Q813" s="7" t="n"/>
      <c r="R813" s="7" t="n"/>
      <c r="S813" s="8">
        <f>IF(NOT(ISNUMBER(M813)),"",IF(G813="Terreno",IF(AND(ISNUMBER(I813),I813&gt;0),M813/I813,""),IF(AND(ISNUMBER(H813),H813&gt;0),M813/H813,"")))</f>
        <v/>
      </c>
      <c r="T813" s="9">
        <f>IF(AND(ISNUMBER(M813),ISNUMBER(O813)),IF(M813&lt;=O813,"Valor ≤ venal IPTU",""),"")</f>
        <v/>
      </c>
      <c r="U813" s="10">
        <f>IF(AND(ISNUMBER(M813),ISNUMBER(N813)),IF(N813&gt;0,M813/N813,""),"")</f>
        <v/>
      </c>
      <c r="V813" s="10">
        <f>IF(AND(ISNUMBER(M813),ISNUMBER(O813)),IF(O813&gt;0,M813/O813,""),"")</f>
        <v/>
      </c>
      <c r="W813" s="10">
        <f>IF(AND(ISNUMBER(M813),ISNUMBER(R813)),IF(R813&gt;0,M813/R813,""),"")</f>
        <v/>
      </c>
      <c r="X813" s="10">
        <f>IF(AND(ISNUMBER(Q813),ISNUMBER(M813)),IF(M813&gt;0,Q813/M813,""),"")</f>
        <v/>
      </c>
      <c r="Y813" s="11">
        <f>IF(ISNUMBER(Z813),YEAR(Z813),"")</f>
        <v/>
      </c>
      <c r="Z813" s="12" t="n"/>
      <c r="AA813" s="12" t="n"/>
      <c r="AI813" s="12" t="n"/>
      <c r="AJ813" s="13">
        <f>IF(LEN(TRIM(AF813))=0,"",HYPERLINK("https://www.google.com/maps/@?api=1&amp;map_action=pano&amp;viewpoint="&amp;SUBSTITUTE(AF813," ",""),"Abrir Street View"))</f>
        <v/>
      </c>
    </row>
    <row r="814">
      <c r="H814" s="6" t="n"/>
      <c r="I814" s="6" t="n"/>
      <c r="M814" s="7" t="n"/>
      <c r="N814" s="7" t="n"/>
      <c r="O814" s="7" t="n"/>
      <c r="Q814" s="7" t="n"/>
      <c r="R814" s="7" t="n"/>
      <c r="S814" s="8">
        <f>IF(NOT(ISNUMBER(M814)),"",IF(G814="Terreno",IF(AND(ISNUMBER(I814),I814&gt;0),M814/I814,""),IF(AND(ISNUMBER(H814),H814&gt;0),M814/H814,"")))</f>
        <v/>
      </c>
      <c r="T814" s="9">
        <f>IF(AND(ISNUMBER(M814),ISNUMBER(O814)),IF(M814&lt;=O814,"Valor ≤ venal IPTU",""),"")</f>
        <v/>
      </c>
      <c r="U814" s="10">
        <f>IF(AND(ISNUMBER(M814),ISNUMBER(N814)),IF(N814&gt;0,M814/N814,""),"")</f>
        <v/>
      </c>
      <c r="V814" s="10">
        <f>IF(AND(ISNUMBER(M814),ISNUMBER(O814)),IF(O814&gt;0,M814/O814,""),"")</f>
        <v/>
      </c>
      <c r="W814" s="10">
        <f>IF(AND(ISNUMBER(M814),ISNUMBER(R814)),IF(R814&gt;0,M814/R814,""),"")</f>
        <v/>
      </c>
      <c r="X814" s="10">
        <f>IF(AND(ISNUMBER(Q814),ISNUMBER(M814)),IF(M814&gt;0,Q814/M814,""),"")</f>
        <v/>
      </c>
      <c r="Y814" s="11">
        <f>IF(ISNUMBER(Z814),YEAR(Z814),"")</f>
        <v/>
      </c>
      <c r="Z814" s="12" t="n"/>
      <c r="AA814" s="12" t="n"/>
      <c r="AI814" s="12" t="n"/>
      <c r="AJ814" s="13">
        <f>IF(LEN(TRIM(AF814))=0,"",HYPERLINK("https://www.google.com/maps/@?api=1&amp;map_action=pano&amp;viewpoint="&amp;SUBSTITUTE(AF814," ",""),"Abrir Street View"))</f>
        <v/>
      </c>
    </row>
    <row r="815">
      <c r="H815" s="6" t="n"/>
      <c r="I815" s="6" t="n"/>
      <c r="M815" s="7" t="n"/>
      <c r="N815" s="7" t="n"/>
      <c r="O815" s="7" t="n"/>
      <c r="Q815" s="7" t="n"/>
      <c r="R815" s="7" t="n"/>
      <c r="S815" s="8">
        <f>IF(NOT(ISNUMBER(M815)),"",IF(G815="Terreno",IF(AND(ISNUMBER(I815),I815&gt;0),M815/I815,""),IF(AND(ISNUMBER(H815),H815&gt;0),M815/H815,"")))</f>
        <v/>
      </c>
      <c r="T815" s="9">
        <f>IF(AND(ISNUMBER(M815),ISNUMBER(O815)),IF(M815&lt;=O815,"Valor ≤ venal IPTU",""),"")</f>
        <v/>
      </c>
      <c r="U815" s="10">
        <f>IF(AND(ISNUMBER(M815),ISNUMBER(N815)),IF(N815&gt;0,M815/N815,""),"")</f>
        <v/>
      </c>
      <c r="V815" s="10">
        <f>IF(AND(ISNUMBER(M815),ISNUMBER(O815)),IF(O815&gt;0,M815/O815,""),"")</f>
        <v/>
      </c>
      <c r="W815" s="10">
        <f>IF(AND(ISNUMBER(M815),ISNUMBER(R815)),IF(R815&gt;0,M815/R815,""),"")</f>
        <v/>
      </c>
      <c r="X815" s="10">
        <f>IF(AND(ISNUMBER(Q815),ISNUMBER(M815)),IF(M815&gt;0,Q815/M815,""),"")</f>
        <v/>
      </c>
      <c r="Y815" s="11">
        <f>IF(ISNUMBER(Z815),YEAR(Z815),"")</f>
        <v/>
      </c>
      <c r="Z815" s="12" t="n"/>
      <c r="AA815" s="12" t="n"/>
      <c r="AI815" s="12" t="n"/>
      <c r="AJ815" s="13">
        <f>IF(LEN(TRIM(AF815))=0,"",HYPERLINK("https://www.google.com/maps/@?api=1&amp;map_action=pano&amp;viewpoint="&amp;SUBSTITUTE(AF815," ",""),"Abrir Street View"))</f>
        <v/>
      </c>
    </row>
    <row r="816">
      <c r="H816" s="6" t="n"/>
      <c r="I816" s="6" t="n"/>
      <c r="M816" s="7" t="n"/>
      <c r="N816" s="7" t="n"/>
      <c r="O816" s="7" t="n"/>
      <c r="Q816" s="7" t="n"/>
      <c r="R816" s="7" t="n"/>
      <c r="S816" s="8">
        <f>IF(NOT(ISNUMBER(M816)),"",IF(G816="Terreno",IF(AND(ISNUMBER(I816),I816&gt;0),M816/I816,""),IF(AND(ISNUMBER(H816),H816&gt;0),M816/H816,"")))</f>
        <v/>
      </c>
      <c r="T816" s="9">
        <f>IF(AND(ISNUMBER(M816),ISNUMBER(O816)),IF(M816&lt;=O816,"Valor ≤ venal IPTU",""),"")</f>
        <v/>
      </c>
      <c r="U816" s="10">
        <f>IF(AND(ISNUMBER(M816),ISNUMBER(N816)),IF(N816&gt;0,M816/N816,""),"")</f>
        <v/>
      </c>
      <c r="V816" s="10">
        <f>IF(AND(ISNUMBER(M816),ISNUMBER(O816)),IF(O816&gt;0,M816/O816,""),"")</f>
        <v/>
      </c>
      <c r="W816" s="10">
        <f>IF(AND(ISNUMBER(M816),ISNUMBER(R816)),IF(R816&gt;0,M816/R816,""),"")</f>
        <v/>
      </c>
      <c r="X816" s="10">
        <f>IF(AND(ISNUMBER(Q816),ISNUMBER(M816)),IF(M816&gt;0,Q816/M816,""),"")</f>
        <v/>
      </c>
      <c r="Y816" s="11">
        <f>IF(ISNUMBER(Z816),YEAR(Z816),"")</f>
        <v/>
      </c>
      <c r="Z816" s="12" t="n"/>
      <c r="AA816" s="12" t="n"/>
      <c r="AI816" s="12" t="n"/>
      <c r="AJ816" s="13">
        <f>IF(LEN(TRIM(AF816))=0,"",HYPERLINK("https://www.google.com/maps/@?api=1&amp;map_action=pano&amp;viewpoint="&amp;SUBSTITUTE(AF816," ",""),"Abrir Street View"))</f>
        <v/>
      </c>
    </row>
    <row r="817">
      <c r="H817" s="6" t="n"/>
      <c r="I817" s="6" t="n"/>
      <c r="M817" s="7" t="n"/>
      <c r="N817" s="7" t="n"/>
      <c r="O817" s="7" t="n"/>
      <c r="Q817" s="7" t="n"/>
      <c r="R817" s="7" t="n"/>
      <c r="S817" s="8">
        <f>IF(NOT(ISNUMBER(M817)),"",IF(G817="Terreno",IF(AND(ISNUMBER(I817),I817&gt;0),M817/I817,""),IF(AND(ISNUMBER(H817),H817&gt;0),M817/H817,"")))</f>
        <v/>
      </c>
      <c r="T817" s="9">
        <f>IF(AND(ISNUMBER(M817),ISNUMBER(O817)),IF(M817&lt;=O817,"Valor ≤ venal IPTU",""),"")</f>
        <v/>
      </c>
      <c r="U817" s="10">
        <f>IF(AND(ISNUMBER(M817),ISNUMBER(N817)),IF(N817&gt;0,M817/N817,""),"")</f>
        <v/>
      </c>
      <c r="V817" s="10">
        <f>IF(AND(ISNUMBER(M817),ISNUMBER(O817)),IF(O817&gt;0,M817/O817,""),"")</f>
        <v/>
      </c>
      <c r="W817" s="10">
        <f>IF(AND(ISNUMBER(M817),ISNUMBER(R817)),IF(R817&gt;0,M817/R817,""),"")</f>
        <v/>
      </c>
      <c r="X817" s="10">
        <f>IF(AND(ISNUMBER(Q817),ISNUMBER(M817)),IF(M817&gt;0,Q817/M817,""),"")</f>
        <v/>
      </c>
      <c r="Y817" s="11">
        <f>IF(ISNUMBER(Z817),YEAR(Z817),"")</f>
        <v/>
      </c>
      <c r="Z817" s="12" t="n"/>
      <c r="AA817" s="12" t="n"/>
      <c r="AI817" s="12" t="n"/>
      <c r="AJ817" s="13">
        <f>IF(LEN(TRIM(AF817))=0,"",HYPERLINK("https://www.google.com/maps/@?api=1&amp;map_action=pano&amp;viewpoint="&amp;SUBSTITUTE(AF817," ",""),"Abrir Street View"))</f>
        <v/>
      </c>
    </row>
    <row r="818">
      <c r="H818" s="6" t="n"/>
      <c r="I818" s="6" t="n"/>
      <c r="M818" s="7" t="n"/>
      <c r="N818" s="7" t="n"/>
      <c r="O818" s="7" t="n"/>
      <c r="Q818" s="7" t="n"/>
      <c r="R818" s="7" t="n"/>
      <c r="S818" s="8">
        <f>IF(NOT(ISNUMBER(M818)),"",IF(G818="Terreno",IF(AND(ISNUMBER(I818),I818&gt;0),M818/I818,""),IF(AND(ISNUMBER(H818),H818&gt;0),M818/H818,"")))</f>
        <v/>
      </c>
      <c r="T818" s="9">
        <f>IF(AND(ISNUMBER(M818),ISNUMBER(O818)),IF(M818&lt;=O818,"Valor ≤ venal IPTU",""),"")</f>
        <v/>
      </c>
      <c r="U818" s="10">
        <f>IF(AND(ISNUMBER(M818),ISNUMBER(N818)),IF(N818&gt;0,M818/N818,""),"")</f>
        <v/>
      </c>
      <c r="V818" s="10">
        <f>IF(AND(ISNUMBER(M818),ISNUMBER(O818)),IF(O818&gt;0,M818/O818,""),"")</f>
        <v/>
      </c>
      <c r="W818" s="10">
        <f>IF(AND(ISNUMBER(M818),ISNUMBER(R818)),IF(R818&gt;0,M818/R818,""),"")</f>
        <v/>
      </c>
      <c r="X818" s="10">
        <f>IF(AND(ISNUMBER(Q818),ISNUMBER(M818)),IF(M818&gt;0,Q818/M818,""),"")</f>
        <v/>
      </c>
      <c r="Y818" s="11">
        <f>IF(ISNUMBER(Z818),YEAR(Z818),"")</f>
        <v/>
      </c>
      <c r="Z818" s="12" t="n"/>
      <c r="AA818" s="12" t="n"/>
      <c r="AI818" s="12" t="n"/>
      <c r="AJ818" s="13">
        <f>IF(LEN(TRIM(AF818))=0,"",HYPERLINK("https://www.google.com/maps/@?api=1&amp;map_action=pano&amp;viewpoint="&amp;SUBSTITUTE(AF818," ",""),"Abrir Street View"))</f>
        <v/>
      </c>
    </row>
    <row r="819">
      <c r="H819" s="6" t="n"/>
      <c r="I819" s="6" t="n"/>
      <c r="M819" s="7" t="n"/>
      <c r="N819" s="7" t="n"/>
      <c r="O819" s="7" t="n"/>
      <c r="Q819" s="7" t="n"/>
      <c r="R819" s="7" t="n"/>
      <c r="S819" s="8">
        <f>IF(NOT(ISNUMBER(M819)),"",IF(G819="Terreno",IF(AND(ISNUMBER(I819),I819&gt;0),M819/I819,""),IF(AND(ISNUMBER(H819),H819&gt;0),M819/H819,"")))</f>
        <v/>
      </c>
      <c r="T819" s="9">
        <f>IF(AND(ISNUMBER(M819),ISNUMBER(O819)),IF(M819&lt;=O819,"Valor ≤ venal IPTU",""),"")</f>
        <v/>
      </c>
      <c r="U819" s="10">
        <f>IF(AND(ISNUMBER(M819),ISNUMBER(N819)),IF(N819&gt;0,M819/N819,""),"")</f>
        <v/>
      </c>
      <c r="V819" s="10">
        <f>IF(AND(ISNUMBER(M819),ISNUMBER(O819)),IF(O819&gt;0,M819/O819,""),"")</f>
        <v/>
      </c>
      <c r="W819" s="10">
        <f>IF(AND(ISNUMBER(M819),ISNUMBER(R819)),IF(R819&gt;0,M819/R819,""),"")</f>
        <v/>
      </c>
      <c r="X819" s="10">
        <f>IF(AND(ISNUMBER(Q819),ISNUMBER(M819)),IF(M819&gt;0,Q819/M819,""),"")</f>
        <v/>
      </c>
      <c r="Y819" s="11">
        <f>IF(ISNUMBER(Z819),YEAR(Z819),"")</f>
        <v/>
      </c>
      <c r="Z819" s="12" t="n"/>
      <c r="AA819" s="12" t="n"/>
      <c r="AI819" s="12" t="n"/>
      <c r="AJ819" s="13">
        <f>IF(LEN(TRIM(AF819))=0,"",HYPERLINK("https://www.google.com/maps/@?api=1&amp;map_action=pano&amp;viewpoint="&amp;SUBSTITUTE(AF819," ",""),"Abrir Street View"))</f>
        <v/>
      </c>
    </row>
    <row r="820">
      <c r="H820" s="6" t="n"/>
      <c r="I820" s="6" t="n"/>
      <c r="M820" s="7" t="n"/>
      <c r="N820" s="7" t="n"/>
      <c r="O820" s="7" t="n"/>
      <c r="Q820" s="7" t="n"/>
      <c r="R820" s="7" t="n"/>
      <c r="S820" s="8">
        <f>IF(NOT(ISNUMBER(M820)),"",IF(G820="Terreno",IF(AND(ISNUMBER(I820),I820&gt;0),M820/I820,""),IF(AND(ISNUMBER(H820),H820&gt;0),M820/H820,"")))</f>
        <v/>
      </c>
      <c r="T820" s="9">
        <f>IF(AND(ISNUMBER(M820),ISNUMBER(O820)),IF(M820&lt;=O820,"Valor ≤ venal IPTU",""),"")</f>
        <v/>
      </c>
      <c r="U820" s="10">
        <f>IF(AND(ISNUMBER(M820),ISNUMBER(N820)),IF(N820&gt;0,M820/N820,""),"")</f>
        <v/>
      </c>
      <c r="V820" s="10">
        <f>IF(AND(ISNUMBER(M820),ISNUMBER(O820)),IF(O820&gt;0,M820/O820,""),"")</f>
        <v/>
      </c>
      <c r="W820" s="10">
        <f>IF(AND(ISNUMBER(M820),ISNUMBER(R820)),IF(R820&gt;0,M820/R820,""),"")</f>
        <v/>
      </c>
      <c r="X820" s="10">
        <f>IF(AND(ISNUMBER(Q820),ISNUMBER(M820)),IF(M820&gt;0,Q820/M820,""),"")</f>
        <v/>
      </c>
      <c r="Y820" s="11">
        <f>IF(ISNUMBER(Z820),YEAR(Z820),"")</f>
        <v/>
      </c>
      <c r="Z820" s="12" t="n"/>
      <c r="AA820" s="12" t="n"/>
      <c r="AI820" s="12" t="n"/>
      <c r="AJ820" s="13">
        <f>IF(LEN(TRIM(AF820))=0,"",HYPERLINK("https://www.google.com/maps/@?api=1&amp;map_action=pano&amp;viewpoint="&amp;SUBSTITUTE(AF820," ",""),"Abrir Street View"))</f>
        <v/>
      </c>
    </row>
    <row r="821">
      <c r="H821" s="6" t="n"/>
      <c r="I821" s="6" t="n"/>
      <c r="M821" s="7" t="n"/>
      <c r="N821" s="7" t="n"/>
      <c r="O821" s="7" t="n"/>
      <c r="Q821" s="7" t="n"/>
      <c r="R821" s="7" t="n"/>
      <c r="S821" s="8">
        <f>IF(NOT(ISNUMBER(M821)),"",IF(G821="Terreno",IF(AND(ISNUMBER(I821),I821&gt;0),M821/I821,""),IF(AND(ISNUMBER(H821),H821&gt;0),M821/H821,"")))</f>
        <v/>
      </c>
      <c r="T821" s="9">
        <f>IF(AND(ISNUMBER(M821),ISNUMBER(O821)),IF(M821&lt;=O821,"Valor ≤ venal IPTU",""),"")</f>
        <v/>
      </c>
      <c r="U821" s="10">
        <f>IF(AND(ISNUMBER(M821),ISNUMBER(N821)),IF(N821&gt;0,M821/N821,""),"")</f>
        <v/>
      </c>
      <c r="V821" s="10">
        <f>IF(AND(ISNUMBER(M821),ISNUMBER(O821)),IF(O821&gt;0,M821/O821,""),"")</f>
        <v/>
      </c>
      <c r="W821" s="10">
        <f>IF(AND(ISNUMBER(M821),ISNUMBER(R821)),IF(R821&gt;0,M821/R821,""),"")</f>
        <v/>
      </c>
      <c r="X821" s="10">
        <f>IF(AND(ISNUMBER(Q821),ISNUMBER(M821)),IF(M821&gt;0,Q821/M821,""),"")</f>
        <v/>
      </c>
      <c r="Y821" s="11">
        <f>IF(ISNUMBER(Z821),YEAR(Z821),"")</f>
        <v/>
      </c>
      <c r="Z821" s="12" t="n"/>
      <c r="AA821" s="12" t="n"/>
      <c r="AI821" s="12" t="n"/>
      <c r="AJ821" s="13">
        <f>IF(LEN(TRIM(AF821))=0,"",HYPERLINK("https://www.google.com/maps/@?api=1&amp;map_action=pano&amp;viewpoint="&amp;SUBSTITUTE(AF821," ",""),"Abrir Street View"))</f>
        <v/>
      </c>
    </row>
    <row r="822">
      <c r="H822" s="6" t="n"/>
      <c r="I822" s="6" t="n"/>
      <c r="M822" s="7" t="n"/>
      <c r="N822" s="7" t="n"/>
      <c r="O822" s="7" t="n"/>
      <c r="Q822" s="7" t="n"/>
      <c r="R822" s="7" t="n"/>
      <c r="S822" s="8">
        <f>IF(NOT(ISNUMBER(M822)),"",IF(G822="Terreno",IF(AND(ISNUMBER(I822),I822&gt;0),M822/I822,""),IF(AND(ISNUMBER(H822),H822&gt;0),M822/H822,"")))</f>
        <v/>
      </c>
      <c r="T822" s="9">
        <f>IF(AND(ISNUMBER(M822),ISNUMBER(O822)),IF(M822&lt;=O822,"Valor ≤ venal IPTU",""),"")</f>
        <v/>
      </c>
      <c r="U822" s="10">
        <f>IF(AND(ISNUMBER(M822),ISNUMBER(N822)),IF(N822&gt;0,M822/N822,""),"")</f>
        <v/>
      </c>
      <c r="V822" s="10">
        <f>IF(AND(ISNUMBER(M822),ISNUMBER(O822)),IF(O822&gt;0,M822/O822,""),"")</f>
        <v/>
      </c>
      <c r="W822" s="10">
        <f>IF(AND(ISNUMBER(M822),ISNUMBER(R822)),IF(R822&gt;0,M822/R822,""),"")</f>
        <v/>
      </c>
      <c r="X822" s="10">
        <f>IF(AND(ISNUMBER(Q822),ISNUMBER(M822)),IF(M822&gt;0,Q822/M822,""),"")</f>
        <v/>
      </c>
      <c r="Y822" s="11">
        <f>IF(ISNUMBER(Z822),YEAR(Z822),"")</f>
        <v/>
      </c>
      <c r="Z822" s="12" t="n"/>
      <c r="AA822" s="12" t="n"/>
      <c r="AI822" s="12" t="n"/>
      <c r="AJ822" s="13">
        <f>IF(LEN(TRIM(AF822))=0,"",HYPERLINK("https://www.google.com/maps/@?api=1&amp;map_action=pano&amp;viewpoint="&amp;SUBSTITUTE(AF822," ",""),"Abrir Street View"))</f>
        <v/>
      </c>
    </row>
    <row r="823">
      <c r="H823" s="6" t="n"/>
      <c r="I823" s="6" t="n"/>
      <c r="M823" s="7" t="n"/>
      <c r="N823" s="7" t="n"/>
      <c r="O823" s="7" t="n"/>
      <c r="Q823" s="7" t="n"/>
      <c r="R823" s="7" t="n"/>
      <c r="S823" s="8">
        <f>IF(NOT(ISNUMBER(M823)),"",IF(G823="Terreno",IF(AND(ISNUMBER(I823),I823&gt;0),M823/I823,""),IF(AND(ISNUMBER(H823),H823&gt;0),M823/H823,"")))</f>
        <v/>
      </c>
      <c r="T823" s="9">
        <f>IF(AND(ISNUMBER(M823),ISNUMBER(O823)),IF(M823&lt;=O823,"Valor ≤ venal IPTU",""),"")</f>
        <v/>
      </c>
      <c r="U823" s="10">
        <f>IF(AND(ISNUMBER(M823),ISNUMBER(N823)),IF(N823&gt;0,M823/N823,""),"")</f>
        <v/>
      </c>
      <c r="V823" s="10">
        <f>IF(AND(ISNUMBER(M823),ISNUMBER(O823)),IF(O823&gt;0,M823/O823,""),"")</f>
        <v/>
      </c>
      <c r="W823" s="10">
        <f>IF(AND(ISNUMBER(M823),ISNUMBER(R823)),IF(R823&gt;0,M823/R823,""),"")</f>
        <v/>
      </c>
      <c r="X823" s="10">
        <f>IF(AND(ISNUMBER(Q823),ISNUMBER(M823)),IF(M823&gt;0,Q823/M823,""),"")</f>
        <v/>
      </c>
      <c r="Y823" s="11">
        <f>IF(ISNUMBER(Z823),YEAR(Z823),"")</f>
        <v/>
      </c>
      <c r="Z823" s="12" t="n"/>
      <c r="AA823" s="12" t="n"/>
      <c r="AI823" s="12" t="n"/>
      <c r="AJ823" s="13">
        <f>IF(LEN(TRIM(AF823))=0,"",HYPERLINK("https://www.google.com/maps/@?api=1&amp;map_action=pano&amp;viewpoint="&amp;SUBSTITUTE(AF823," ",""),"Abrir Street View"))</f>
        <v/>
      </c>
    </row>
    <row r="824">
      <c r="H824" s="6" t="n"/>
      <c r="I824" s="6" t="n"/>
      <c r="M824" s="7" t="n"/>
      <c r="N824" s="7" t="n"/>
      <c r="O824" s="7" t="n"/>
      <c r="Q824" s="7" t="n"/>
      <c r="R824" s="7" t="n"/>
      <c r="S824" s="8">
        <f>IF(NOT(ISNUMBER(M824)),"",IF(G824="Terreno",IF(AND(ISNUMBER(I824),I824&gt;0),M824/I824,""),IF(AND(ISNUMBER(H824),H824&gt;0),M824/H824,"")))</f>
        <v/>
      </c>
      <c r="T824" s="9">
        <f>IF(AND(ISNUMBER(M824),ISNUMBER(O824)),IF(M824&lt;=O824,"Valor ≤ venal IPTU",""),"")</f>
        <v/>
      </c>
      <c r="U824" s="10">
        <f>IF(AND(ISNUMBER(M824),ISNUMBER(N824)),IF(N824&gt;0,M824/N824,""),"")</f>
        <v/>
      </c>
      <c r="V824" s="10">
        <f>IF(AND(ISNUMBER(M824),ISNUMBER(O824)),IF(O824&gt;0,M824/O824,""),"")</f>
        <v/>
      </c>
      <c r="W824" s="10">
        <f>IF(AND(ISNUMBER(M824),ISNUMBER(R824)),IF(R824&gt;0,M824/R824,""),"")</f>
        <v/>
      </c>
      <c r="X824" s="10">
        <f>IF(AND(ISNUMBER(Q824),ISNUMBER(M824)),IF(M824&gt;0,Q824/M824,""),"")</f>
        <v/>
      </c>
      <c r="Y824" s="11">
        <f>IF(ISNUMBER(Z824),YEAR(Z824),"")</f>
        <v/>
      </c>
      <c r="Z824" s="12" t="n"/>
      <c r="AA824" s="12" t="n"/>
      <c r="AI824" s="12" t="n"/>
      <c r="AJ824" s="13">
        <f>IF(LEN(TRIM(AF824))=0,"",HYPERLINK("https://www.google.com/maps/@?api=1&amp;map_action=pano&amp;viewpoint="&amp;SUBSTITUTE(AF824," ",""),"Abrir Street View"))</f>
        <v/>
      </c>
    </row>
    <row r="825">
      <c r="H825" s="6" t="n"/>
      <c r="I825" s="6" t="n"/>
      <c r="M825" s="7" t="n"/>
      <c r="N825" s="7" t="n"/>
      <c r="O825" s="7" t="n"/>
      <c r="Q825" s="7" t="n"/>
      <c r="R825" s="7" t="n"/>
      <c r="S825" s="8">
        <f>IF(NOT(ISNUMBER(M825)),"",IF(G825="Terreno",IF(AND(ISNUMBER(I825),I825&gt;0),M825/I825,""),IF(AND(ISNUMBER(H825),H825&gt;0),M825/H825,"")))</f>
        <v/>
      </c>
      <c r="T825" s="9">
        <f>IF(AND(ISNUMBER(M825),ISNUMBER(O825)),IF(M825&lt;=O825,"Valor ≤ venal IPTU",""),"")</f>
        <v/>
      </c>
      <c r="U825" s="10">
        <f>IF(AND(ISNUMBER(M825),ISNUMBER(N825)),IF(N825&gt;0,M825/N825,""),"")</f>
        <v/>
      </c>
      <c r="V825" s="10">
        <f>IF(AND(ISNUMBER(M825),ISNUMBER(O825)),IF(O825&gt;0,M825/O825,""),"")</f>
        <v/>
      </c>
      <c r="W825" s="10">
        <f>IF(AND(ISNUMBER(M825),ISNUMBER(R825)),IF(R825&gt;0,M825/R825,""),"")</f>
        <v/>
      </c>
      <c r="X825" s="10">
        <f>IF(AND(ISNUMBER(Q825),ISNUMBER(M825)),IF(M825&gt;0,Q825/M825,""),"")</f>
        <v/>
      </c>
      <c r="Y825" s="11">
        <f>IF(ISNUMBER(Z825),YEAR(Z825),"")</f>
        <v/>
      </c>
      <c r="Z825" s="12" t="n"/>
      <c r="AA825" s="12" t="n"/>
      <c r="AI825" s="12" t="n"/>
      <c r="AJ825" s="13">
        <f>IF(LEN(TRIM(AF825))=0,"",HYPERLINK("https://www.google.com/maps/@?api=1&amp;map_action=pano&amp;viewpoint="&amp;SUBSTITUTE(AF825," ",""),"Abrir Street View"))</f>
        <v/>
      </c>
    </row>
    <row r="826">
      <c r="H826" s="6" t="n"/>
      <c r="I826" s="6" t="n"/>
      <c r="M826" s="7" t="n"/>
      <c r="N826" s="7" t="n"/>
      <c r="O826" s="7" t="n"/>
      <c r="Q826" s="7" t="n"/>
      <c r="R826" s="7" t="n"/>
      <c r="S826" s="8">
        <f>IF(NOT(ISNUMBER(M826)),"",IF(G826="Terreno",IF(AND(ISNUMBER(I826),I826&gt;0),M826/I826,""),IF(AND(ISNUMBER(H826),H826&gt;0),M826/H826,"")))</f>
        <v/>
      </c>
      <c r="T826" s="9">
        <f>IF(AND(ISNUMBER(M826),ISNUMBER(O826)),IF(M826&lt;=O826,"Valor ≤ venal IPTU",""),"")</f>
        <v/>
      </c>
      <c r="U826" s="10">
        <f>IF(AND(ISNUMBER(M826),ISNUMBER(N826)),IF(N826&gt;0,M826/N826,""),"")</f>
        <v/>
      </c>
      <c r="V826" s="10">
        <f>IF(AND(ISNUMBER(M826),ISNUMBER(O826)),IF(O826&gt;0,M826/O826,""),"")</f>
        <v/>
      </c>
      <c r="W826" s="10">
        <f>IF(AND(ISNUMBER(M826),ISNUMBER(R826)),IF(R826&gt;0,M826/R826,""),"")</f>
        <v/>
      </c>
      <c r="X826" s="10">
        <f>IF(AND(ISNUMBER(Q826),ISNUMBER(M826)),IF(M826&gt;0,Q826/M826,""),"")</f>
        <v/>
      </c>
      <c r="Y826" s="11">
        <f>IF(ISNUMBER(Z826),YEAR(Z826),"")</f>
        <v/>
      </c>
      <c r="Z826" s="12" t="n"/>
      <c r="AA826" s="12" t="n"/>
      <c r="AI826" s="12" t="n"/>
      <c r="AJ826" s="13">
        <f>IF(LEN(TRIM(AF826))=0,"",HYPERLINK("https://www.google.com/maps/@?api=1&amp;map_action=pano&amp;viewpoint="&amp;SUBSTITUTE(AF826," ",""),"Abrir Street View"))</f>
        <v/>
      </c>
    </row>
    <row r="827">
      <c r="H827" s="6" t="n"/>
      <c r="I827" s="6" t="n"/>
      <c r="M827" s="7" t="n"/>
      <c r="N827" s="7" t="n"/>
      <c r="O827" s="7" t="n"/>
      <c r="Q827" s="7" t="n"/>
      <c r="R827" s="7" t="n"/>
      <c r="S827" s="8">
        <f>IF(NOT(ISNUMBER(M827)),"",IF(G827="Terreno",IF(AND(ISNUMBER(I827),I827&gt;0),M827/I827,""),IF(AND(ISNUMBER(H827),H827&gt;0),M827/H827,"")))</f>
        <v/>
      </c>
      <c r="T827" s="9">
        <f>IF(AND(ISNUMBER(M827),ISNUMBER(O827)),IF(M827&lt;=O827,"Valor ≤ venal IPTU",""),"")</f>
        <v/>
      </c>
      <c r="U827" s="10">
        <f>IF(AND(ISNUMBER(M827),ISNUMBER(N827)),IF(N827&gt;0,M827/N827,""),"")</f>
        <v/>
      </c>
      <c r="V827" s="10">
        <f>IF(AND(ISNUMBER(M827),ISNUMBER(O827)),IF(O827&gt;0,M827/O827,""),"")</f>
        <v/>
      </c>
      <c r="W827" s="10">
        <f>IF(AND(ISNUMBER(M827),ISNUMBER(R827)),IF(R827&gt;0,M827/R827,""),"")</f>
        <v/>
      </c>
      <c r="X827" s="10">
        <f>IF(AND(ISNUMBER(Q827),ISNUMBER(M827)),IF(M827&gt;0,Q827/M827,""),"")</f>
        <v/>
      </c>
      <c r="Y827" s="11">
        <f>IF(ISNUMBER(Z827),YEAR(Z827),"")</f>
        <v/>
      </c>
      <c r="Z827" s="12" t="n"/>
      <c r="AA827" s="12" t="n"/>
      <c r="AI827" s="12" t="n"/>
      <c r="AJ827" s="13">
        <f>IF(LEN(TRIM(AF827))=0,"",HYPERLINK("https://www.google.com/maps/@?api=1&amp;map_action=pano&amp;viewpoint="&amp;SUBSTITUTE(AF827," ",""),"Abrir Street View"))</f>
        <v/>
      </c>
    </row>
    <row r="828">
      <c r="H828" s="6" t="n"/>
      <c r="I828" s="6" t="n"/>
      <c r="M828" s="7" t="n"/>
      <c r="N828" s="7" t="n"/>
      <c r="O828" s="7" t="n"/>
      <c r="Q828" s="7" t="n"/>
      <c r="R828" s="7" t="n"/>
      <c r="S828" s="8">
        <f>IF(NOT(ISNUMBER(M828)),"",IF(G828="Terreno",IF(AND(ISNUMBER(I828),I828&gt;0),M828/I828,""),IF(AND(ISNUMBER(H828),H828&gt;0),M828/H828,"")))</f>
        <v/>
      </c>
      <c r="T828" s="9">
        <f>IF(AND(ISNUMBER(M828),ISNUMBER(O828)),IF(M828&lt;=O828,"Valor ≤ venal IPTU",""),"")</f>
        <v/>
      </c>
      <c r="U828" s="10">
        <f>IF(AND(ISNUMBER(M828),ISNUMBER(N828)),IF(N828&gt;0,M828/N828,""),"")</f>
        <v/>
      </c>
      <c r="V828" s="10">
        <f>IF(AND(ISNUMBER(M828),ISNUMBER(O828)),IF(O828&gt;0,M828/O828,""),"")</f>
        <v/>
      </c>
      <c r="W828" s="10">
        <f>IF(AND(ISNUMBER(M828),ISNUMBER(R828)),IF(R828&gt;0,M828/R828,""),"")</f>
        <v/>
      </c>
      <c r="X828" s="10">
        <f>IF(AND(ISNUMBER(Q828),ISNUMBER(M828)),IF(M828&gt;0,Q828/M828,""),"")</f>
        <v/>
      </c>
      <c r="Y828" s="11">
        <f>IF(ISNUMBER(Z828),YEAR(Z828),"")</f>
        <v/>
      </c>
      <c r="Z828" s="12" t="n"/>
      <c r="AA828" s="12" t="n"/>
      <c r="AI828" s="12" t="n"/>
      <c r="AJ828" s="13">
        <f>IF(LEN(TRIM(AF828))=0,"",HYPERLINK("https://www.google.com/maps/@?api=1&amp;map_action=pano&amp;viewpoint="&amp;SUBSTITUTE(AF828," ",""),"Abrir Street View"))</f>
        <v/>
      </c>
    </row>
    <row r="829">
      <c r="H829" s="6" t="n"/>
      <c r="I829" s="6" t="n"/>
      <c r="M829" s="7" t="n"/>
      <c r="N829" s="7" t="n"/>
      <c r="O829" s="7" t="n"/>
      <c r="Q829" s="7" t="n"/>
      <c r="R829" s="7" t="n"/>
      <c r="S829" s="8">
        <f>IF(NOT(ISNUMBER(M829)),"",IF(G829="Terreno",IF(AND(ISNUMBER(I829),I829&gt;0),M829/I829,""),IF(AND(ISNUMBER(H829),H829&gt;0),M829/H829,"")))</f>
        <v/>
      </c>
      <c r="T829" s="9">
        <f>IF(AND(ISNUMBER(M829),ISNUMBER(O829)),IF(M829&lt;=O829,"Valor ≤ venal IPTU",""),"")</f>
        <v/>
      </c>
      <c r="U829" s="10">
        <f>IF(AND(ISNUMBER(M829),ISNUMBER(N829)),IF(N829&gt;0,M829/N829,""),"")</f>
        <v/>
      </c>
      <c r="V829" s="10">
        <f>IF(AND(ISNUMBER(M829),ISNUMBER(O829)),IF(O829&gt;0,M829/O829,""),"")</f>
        <v/>
      </c>
      <c r="W829" s="10">
        <f>IF(AND(ISNUMBER(M829),ISNUMBER(R829)),IF(R829&gt;0,M829/R829,""),"")</f>
        <v/>
      </c>
      <c r="X829" s="10">
        <f>IF(AND(ISNUMBER(Q829),ISNUMBER(M829)),IF(M829&gt;0,Q829/M829,""),"")</f>
        <v/>
      </c>
      <c r="Y829" s="11">
        <f>IF(ISNUMBER(Z829),YEAR(Z829),"")</f>
        <v/>
      </c>
      <c r="Z829" s="12" t="n"/>
      <c r="AA829" s="12" t="n"/>
      <c r="AI829" s="12" t="n"/>
      <c r="AJ829" s="13">
        <f>IF(LEN(TRIM(AF829))=0,"",HYPERLINK("https://www.google.com/maps/@?api=1&amp;map_action=pano&amp;viewpoint="&amp;SUBSTITUTE(AF829," ",""),"Abrir Street View"))</f>
        <v/>
      </c>
    </row>
    <row r="830">
      <c r="H830" s="6" t="n"/>
      <c r="I830" s="6" t="n"/>
      <c r="M830" s="7" t="n"/>
      <c r="N830" s="7" t="n"/>
      <c r="O830" s="7" t="n"/>
      <c r="Q830" s="7" t="n"/>
      <c r="R830" s="7" t="n"/>
      <c r="S830" s="8">
        <f>IF(NOT(ISNUMBER(M830)),"",IF(G830="Terreno",IF(AND(ISNUMBER(I830),I830&gt;0),M830/I830,""),IF(AND(ISNUMBER(H830),H830&gt;0),M830/H830,"")))</f>
        <v/>
      </c>
      <c r="T830" s="9">
        <f>IF(AND(ISNUMBER(M830),ISNUMBER(O830)),IF(M830&lt;=O830,"Valor ≤ venal IPTU",""),"")</f>
        <v/>
      </c>
      <c r="U830" s="10">
        <f>IF(AND(ISNUMBER(M830),ISNUMBER(N830)),IF(N830&gt;0,M830/N830,""),"")</f>
        <v/>
      </c>
      <c r="V830" s="10">
        <f>IF(AND(ISNUMBER(M830),ISNUMBER(O830)),IF(O830&gt;0,M830/O830,""),"")</f>
        <v/>
      </c>
      <c r="W830" s="10">
        <f>IF(AND(ISNUMBER(M830),ISNUMBER(R830)),IF(R830&gt;0,M830/R830,""),"")</f>
        <v/>
      </c>
      <c r="X830" s="10">
        <f>IF(AND(ISNUMBER(Q830),ISNUMBER(M830)),IF(M830&gt;0,Q830/M830,""),"")</f>
        <v/>
      </c>
      <c r="Y830" s="11">
        <f>IF(ISNUMBER(Z830),YEAR(Z830),"")</f>
        <v/>
      </c>
      <c r="Z830" s="12" t="n"/>
      <c r="AA830" s="12" t="n"/>
      <c r="AI830" s="12" t="n"/>
      <c r="AJ830" s="13">
        <f>IF(LEN(TRIM(AF830))=0,"",HYPERLINK("https://www.google.com/maps/@?api=1&amp;map_action=pano&amp;viewpoint="&amp;SUBSTITUTE(AF830," ",""),"Abrir Street View"))</f>
        <v/>
      </c>
    </row>
    <row r="831">
      <c r="H831" s="6" t="n"/>
      <c r="I831" s="6" t="n"/>
      <c r="M831" s="7" t="n"/>
      <c r="N831" s="7" t="n"/>
      <c r="O831" s="7" t="n"/>
      <c r="Q831" s="7" t="n"/>
      <c r="R831" s="7" t="n"/>
      <c r="S831" s="8">
        <f>IF(NOT(ISNUMBER(M831)),"",IF(G831="Terreno",IF(AND(ISNUMBER(I831),I831&gt;0),M831/I831,""),IF(AND(ISNUMBER(H831),H831&gt;0),M831/H831,"")))</f>
        <v/>
      </c>
      <c r="T831" s="9">
        <f>IF(AND(ISNUMBER(M831),ISNUMBER(O831)),IF(M831&lt;=O831,"Valor ≤ venal IPTU",""),"")</f>
        <v/>
      </c>
      <c r="U831" s="10">
        <f>IF(AND(ISNUMBER(M831),ISNUMBER(N831)),IF(N831&gt;0,M831/N831,""),"")</f>
        <v/>
      </c>
      <c r="V831" s="10">
        <f>IF(AND(ISNUMBER(M831),ISNUMBER(O831)),IF(O831&gt;0,M831/O831,""),"")</f>
        <v/>
      </c>
      <c r="W831" s="10">
        <f>IF(AND(ISNUMBER(M831),ISNUMBER(R831)),IF(R831&gt;0,M831/R831,""),"")</f>
        <v/>
      </c>
      <c r="X831" s="10">
        <f>IF(AND(ISNUMBER(Q831),ISNUMBER(M831)),IF(M831&gt;0,Q831/M831,""),"")</f>
        <v/>
      </c>
      <c r="Y831" s="11">
        <f>IF(ISNUMBER(Z831),YEAR(Z831),"")</f>
        <v/>
      </c>
      <c r="Z831" s="12" t="n"/>
      <c r="AA831" s="12" t="n"/>
      <c r="AI831" s="12" t="n"/>
      <c r="AJ831" s="13">
        <f>IF(LEN(TRIM(AF831))=0,"",HYPERLINK("https://www.google.com/maps/@?api=1&amp;map_action=pano&amp;viewpoint="&amp;SUBSTITUTE(AF831," ",""),"Abrir Street View"))</f>
        <v/>
      </c>
    </row>
    <row r="832">
      <c r="H832" s="6" t="n"/>
      <c r="I832" s="6" t="n"/>
      <c r="M832" s="7" t="n"/>
      <c r="N832" s="7" t="n"/>
      <c r="O832" s="7" t="n"/>
      <c r="Q832" s="7" t="n"/>
      <c r="R832" s="7" t="n"/>
      <c r="S832" s="8">
        <f>IF(NOT(ISNUMBER(M832)),"",IF(G832="Terreno",IF(AND(ISNUMBER(I832),I832&gt;0),M832/I832,""),IF(AND(ISNUMBER(H832),H832&gt;0),M832/H832,"")))</f>
        <v/>
      </c>
      <c r="T832" s="9">
        <f>IF(AND(ISNUMBER(M832),ISNUMBER(O832)),IF(M832&lt;=O832,"Valor ≤ venal IPTU",""),"")</f>
        <v/>
      </c>
      <c r="U832" s="10">
        <f>IF(AND(ISNUMBER(M832),ISNUMBER(N832)),IF(N832&gt;0,M832/N832,""),"")</f>
        <v/>
      </c>
      <c r="V832" s="10">
        <f>IF(AND(ISNUMBER(M832),ISNUMBER(O832)),IF(O832&gt;0,M832/O832,""),"")</f>
        <v/>
      </c>
      <c r="W832" s="10">
        <f>IF(AND(ISNUMBER(M832),ISNUMBER(R832)),IF(R832&gt;0,M832/R832,""),"")</f>
        <v/>
      </c>
      <c r="X832" s="10">
        <f>IF(AND(ISNUMBER(Q832),ISNUMBER(M832)),IF(M832&gt;0,Q832/M832,""),"")</f>
        <v/>
      </c>
      <c r="Y832" s="11">
        <f>IF(ISNUMBER(Z832),YEAR(Z832),"")</f>
        <v/>
      </c>
      <c r="Z832" s="12" t="n"/>
      <c r="AA832" s="12" t="n"/>
      <c r="AI832" s="12" t="n"/>
      <c r="AJ832" s="13">
        <f>IF(LEN(TRIM(AF832))=0,"",HYPERLINK("https://www.google.com/maps/@?api=1&amp;map_action=pano&amp;viewpoint="&amp;SUBSTITUTE(AF832," ",""),"Abrir Street View"))</f>
        <v/>
      </c>
    </row>
    <row r="833">
      <c r="H833" s="6" t="n"/>
      <c r="I833" s="6" t="n"/>
      <c r="M833" s="7" t="n"/>
      <c r="N833" s="7" t="n"/>
      <c r="O833" s="7" t="n"/>
      <c r="Q833" s="7" t="n"/>
      <c r="R833" s="7" t="n"/>
      <c r="S833" s="8">
        <f>IF(NOT(ISNUMBER(M833)),"",IF(G833="Terreno",IF(AND(ISNUMBER(I833),I833&gt;0),M833/I833,""),IF(AND(ISNUMBER(H833),H833&gt;0),M833/H833,"")))</f>
        <v/>
      </c>
      <c r="T833" s="9">
        <f>IF(AND(ISNUMBER(M833),ISNUMBER(O833)),IF(M833&lt;=O833,"Valor ≤ venal IPTU",""),"")</f>
        <v/>
      </c>
      <c r="U833" s="10">
        <f>IF(AND(ISNUMBER(M833),ISNUMBER(N833)),IF(N833&gt;0,M833/N833,""),"")</f>
        <v/>
      </c>
      <c r="V833" s="10">
        <f>IF(AND(ISNUMBER(M833),ISNUMBER(O833)),IF(O833&gt;0,M833/O833,""),"")</f>
        <v/>
      </c>
      <c r="W833" s="10">
        <f>IF(AND(ISNUMBER(M833),ISNUMBER(R833)),IF(R833&gt;0,M833/R833,""),"")</f>
        <v/>
      </c>
      <c r="X833" s="10">
        <f>IF(AND(ISNUMBER(Q833),ISNUMBER(M833)),IF(M833&gt;0,Q833/M833,""),"")</f>
        <v/>
      </c>
      <c r="Y833" s="11">
        <f>IF(ISNUMBER(Z833),YEAR(Z833),"")</f>
        <v/>
      </c>
      <c r="Z833" s="12" t="n"/>
      <c r="AA833" s="12" t="n"/>
      <c r="AI833" s="12" t="n"/>
      <c r="AJ833" s="13">
        <f>IF(LEN(TRIM(AF833))=0,"",HYPERLINK("https://www.google.com/maps/@?api=1&amp;map_action=pano&amp;viewpoint="&amp;SUBSTITUTE(AF833," ",""),"Abrir Street View"))</f>
        <v/>
      </c>
    </row>
    <row r="834">
      <c r="H834" s="6" t="n"/>
      <c r="I834" s="6" t="n"/>
      <c r="M834" s="7" t="n"/>
      <c r="N834" s="7" t="n"/>
      <c r="O834" s="7" t="n"/>
      <c r="Q834" s="7" t="n"/>
      <c r="R834" s="7" t="n"/>
      <c r="S834" s="8">
        <f>IF(NOT(ISNUMBER(M834)),"",IF(G834="Terreno",IF(AND(ISNUMBER(I834),I834&gt;0),M834/I834,""),IF(AND(ISNUMBER(H834),H834&gt;0),M834/H834,"")))</f>
        <v/>
      </c>
      <c r="T834" s="9">
        <f>IF(AND(ISNUMBER(M834),ISNUMBER(O834)),IF(M834&lt;=O834,"Valor ≤ venal IPTU",""),"")</f>
        <v/>
      </c>
      <c r="U834" s="10">
        <f>IF(AND(ISNUMBER(M834),ISNUMBER(N834)),IF(N834&gt;0,M834/N834,""),"")</f>
        <v/>
      </c>
      <c r="V834" s="10">
        <f>IF(AND(ISNUMBER(M834),ISNUMBER(O834)),IF(O834&gt;0,M834/O834,""),"")</f>
        <v/>
      </c>
      <c r="W834" s="10">
        <f>IF(AND(ISNUMBER(M834),ISNUMBER(R834)),IF(R834&gt;0,M834/R834,""),"")</f>
        <v/>
      </c>
      <c r="X834" s="10">
        <f>IF(AND(ISNUMBER(Q834),ISNUMBER(M834)),IF(M834&gt;0,Q834/M834,""),"")</f>
        <v/>
      </c>
      <c r="Y834" s="11">
        <f>IF(ISNUMBER(Z834),YEAR(Z834),"")</f>
        <v/>
      </c>
      <c r="Z834" s="12" t="n"/>
      <c r="AA834" s="12" t="n"/>
      <c r="AI834" s="12" t="n"/>
      <c r="AJ834" s="13">
        <f>IF(LEN(TRIM(AF834))=0,"",HYPERLINK("https://www.google.com/maps/@?api=1&amp;map_action=pano&amp;viewpoint="&amp;SUBSTITUTE(AF834," ",""),"Abrir Street View"))</f>
        <v/>
      </c>
    </row>
    <row r="835">
      <c r="H835" s="6" t="n"/>
      <c r="I835" s="6" t="n"/>
      <c r="M835" s="7" t="n"/>
      <c r="N835" s="7" t="n"/>
      <c r="O835" s="7" t="n"/>
      <c r="Q835" s="7" t="n"/>
      <c r="R835" s="7" t="n"/>
      <c r="S835" s="8">
        <f>IF(NOT(ISNUMBER(M835)),"",IF(G835="Terreno",IF(AND(ISNUMBER(I835),I835&gt;0),M835/I835,""),IF(AND(ISNUMBER(H835),H835&gt;0),M835/H835,"")))</f>
        <v/>
      </c>
      <c r="T835" s="9">
        <f>IF(AND(ISNUMBER(M835),ISNUMBER(O835)),IF(M835&lt;=O835,"Valor ≤ venal IPTU",""),"")</f>
        <v/>
      </c>
      <c r="U835" s="10">
        <f>IF(AND(ISNUMBER(M835),ISNUMBER(N835)),IF(N835&gt;0,M835/N835,""),"")</f>
        <v/>
      </c>
      <c r="V835" s="10">
        <f>IF(AND(ISNUMBER(M835),ISNUMBER(O835)),IF(O835&gt;0,M835/O835,""),"")</f>
        <v/>
      </c>
      <c r="W835" s="10">
        <f>IF(AND(ISNUMBER(M835),ISNUMBER(R835)),IF(R835&gt;0,M835/R835,""),"")</f>
        <v/>
      </c>
      <c r="X835" s="10">
        <f>IF(AND(ISNUMBER(Q835),ISNUMBER(M835)),IF(M835&gt;0,Q835/M835,""),"")</f>
        <v/>
      </c>
      <c r="Y835" s="11">
        <f>IF(ISNUMBER(Z835),YEAR(Z835),"")</f>
        <v/>
      </c>
      <c r="Z835" s="12" t="n"/>
      <c r="AA835" s="12" t="n"/>
      <c r="AI835" s="12" t="n"/>
      <c r="AJ835" s="13">
        <f>IF(LEN(TRIM(AF835))=0,"",HYPERLINK("https://www.google.com/maps/@?api=1&amp;map_action=pano&amp;viewpoint="&amp;SUBSTITUTE(AF835," ",""),"Abrir Street View"))</f>
        <v/>
      </c>
    </row>
    <row r="836">
      <c r="H836" s="6" t="n"/>
      <c r="I836" s="6" t="n"/>
      <c r="M836" s="7" t="n"/>
      <c r="N836" s="7" t="n"/>
      <c r="O836" s="7" t="n"/>
      <c r="Q836" s="7" t="n"/>
      <c r="R836" s="7" t="n"/>
      <c r="S836" s="8">
        <f>IF(NOT(ISNUMBER(M836)),"",IF(G836="Terreno",IF(AND(ISNUMBER(I836),I836&gt;0),M836/I836,""),IF(AND(ISNUMBER(H836),H836&gt;0),M836/H836,"")))</f>
        <v/>
      </c>
      <c r="T836" s="9">
        <f>IF(AND(ISNUMBER(M836),ISNUMBER(O836)),IF(M836&lt;=O836,"Valor ≤ venal IPTU",""),"")</f>
        <v/>
      </c>
      <c r="U836" s="10">
        <f>IF(AND(ISNUMBER(M836),ISNUMBER(N836)),IF(N836&gt;0,M836/N836,""),"")</f>
        <v/>
      </c>
      <c r="V836" s="10">
        <f>IF(AND(ISNUMBER(M836),ISNUMBER(O836)),IF(O836&gt;0,M836/O836,""),"")</f>
        <v/>
      </c>
      <c r="W836" s="10">
        <f>IF(AND(ISNUMBER(M836),ISNUMBER(R836)),IF(R836&gt;0,M836/R836,""),"")</f>
        <v/>
      </c>
      <c r="X836" s="10">
        <f>IF(AND(ISNUMBER(Q836),ISNUMBER(M836)),IF(M836&gt;0,Q836/M836,""),"")</f>
        <v/>
      </c>
      <c r="Y836" s="11">
        <f>IF(ISNUMBER(Z836),YEAR(Z836),"")</f>
        <v/>
      </c>
      <c r="Z836" s="12" t="n"/>
      <c r="AA836" s="12" t="n"/>
      <c r="AI836" s="12" t="n"/>
      <c r="AJ836" s="13">
        <f>IF(LEN(TRIM(AF836))=0,"",HYPERLINK("https://www.google.com/maps/@?api=1&amp;map_action=pano&amp;viewpoint="&amp;SUBSTITUTE(AF836," ",""),"Abrir Street View"))</f>
        <v/>
      </c>
    </row>
    <row r="837">
      <c r="H837" s="6" t="n"/>
      <c r="I837" s="6" t="n"/>
      <c r="M837" s="7" t="n"/>
      <c r="N837" s="7" t="n"/>
      <c r="O837" s="7" t="n"/>
      <c r="Q837" s="7" t="n"/>
      <c r="R837" s="7" t="n"/>
      <c r="S837" s="8">
        <f>IF(NOT(ISNUMBER(M837)),"",IF(G837="Terreno",IF(AND(ISNUMBER(I837),I837&gt;0),M837/I837,""),IF(AND(ISNUMBER(H837),H837&gt;0),M837/H837,"")))</f>
        <v/>
      </c>
      <c r="T837" s="9">
        <f>IF(AND(ISNUMBER(M837),ISNUMBER(O837)),IF(M837&lt;=O837,"Valor ≤ venal IPTU",""),"")</f>
        <v/>
      </c>
      <c r="U837" s="10">
        <f>IF(AND(ISNUMBER(M837),ISNUMBER(N837)),IF(N837&gt;0,M837/N837,""),"")</f>
        <v/>
      </c>
      <c r="V837" s="10">
        <f>IF(AND(ISNUMBER(M837),ISNUMBER(O837)),IF(O837&gt;0,M837/O837,""),"")</f>
        <v/>
      </c>
      <c r="W837" s="10">
        <f>IF(AND(ISNUMBER(M837),ISNUMBER(R837)),IF(R837&gt;0,M837/R837,""),"")</f>
        <v/>
      </c>
      <c r="X837" s="10">
        <f>IF(AND(ISNUMBER(Q837),ISNUMBER(M837)),IF(M837&gt;0,Q837/M837,""),"")</f>
        <v/>
      </c>
      <c r="Y837" s="11">
        <f>IF(ISNUMBER(Z837),YEAR(Z837),"")</f>
        <v/>
      </c>
      <c r="Z837" s="12" t="n"/>
      <c r="AA837" s="12" t="n"/>
      <c r="AI837" s="12" t="n"/>
      <c r="AJ837" s="13">
        <f>IF(LEN(TRIM(AF837))=0,"",HYPERLINK("https://www.google.com/maps/@?api=1&amp;map_action=pano&amp;viewpoint="&amp;SUBSTITUTE(AF837," ",""),"Abrir Street View"))</f>
        <v/>
      </c>
    </row>
    <row r="838">
      <c r="H838" s="6" t="n"/>
      <c r="I838" s="6" t="n"/>
      <c r="M838" s="7" t="n"/>
      <c r="N838" s="7" t="n"/>
      <c r="O838" s="7" t="n"/>
      <c r="Q838" s="7" t="n"/>
      <c r="R838" s="7" t="n"/>
      <c r="S838" s="8">
        <f>IF(NOT(ISNUMBER(M838)),"",IF(G838="Terreno",IF(AND(ISNUMBER(I838),I838&gt;0),M838/I838,""),IF(AND(ISNUMBER(H838),H838&gt;0),M838/H838,"")))</f>
        <v/>
      </c>
      <c r="T838" s="9">
        <f>IF(AND(ISNUMBER(M838),ISNUMBER(O838)),IF(M838&lt;=O838,"Valor ≤ venal IPTU",""),"")</f>
        <v/>
      </c>
      <c r="U838" s="10">
        <f>IF(AND(ISNUMBER(M838),ISNUMBER(N838)),IF(N838&gt;0,M838/N838,""),"")</f>
        <v/>
      </c>
      <c r="V838" s="10">
        <f>IF(AND(ISNUMBER(M838),ISNUMBER(O838)),IF(O838&gt;0,M838/O838,""),"")</f>
        <v/>
      </c>
      <c r="W838" s="10">
        <f>IF(AND(ISNUMBER(M838),ISNUMBER(R838)),IF(R838&gt;0,M838/R838,""),"")</f>
        <v/>
      </c>
      <c r="X838" s="10">
        <f>IF(AND(ISNUMBER(Q838),ISNUMBER(M838)),IF(M838&gt;0,Q838/M838,""),"")</f>
        <v/>
      </c>
      <c r="Y838" s="11">
        <f>IF(ISNUMBER(Z838),YEAR(Z838),"")</f>
        <v/>
      </c>
      <c r="Z838" s="12" t="n"/>
      <c r="AA838" s="12" t="n"/>
      <c r="AI838" s="12" t="n"/>
      <c r="AJ838" s="13">
        <f>IF(LEN(TRIM(AF838))=0,"",HYPERLINK("https://www.google.com/maps/@?api=1&amp;map_action=pano&amp;viewpoint="&amp;SUBSTITUTE(AF838," ",""),"Abrir Street View"))</f>
        <v/>
      </c>
    </row>
    <row r="839">
      <c r="H839" s="6" t="n"/>
      <c r="I839" s="6" t="n"/>
      <c r="M839" s="7" t="n"/>
      <c r="N839" s="7" t="n"/>
      <c r="O839" s="7" t="n"/>
      <c r="Q839" s="7" t="n"/>
      <c r="R839" s="7" t="n"/>
      <c r="S839" s="8">
        <f>IF(NOT(ISNUMBER(M839)),"",IF(G839="Terreno",IF(AND(ISNUMBER(I839),I839&gt;0),M839/I839,""),IF(AND(ISNUMBER(H839),H839&gt;0),M839/H839,"")))</f>
        <v/>
      </c>
      <c r="T839" s="9">
        <f>IF(AND(ISNUMBER(M839),ISNUMBER(O839)),IF(M839&lt;=O839,"Valor ≤ venal IPTU",""),"")</f>
        <v/>
      </c>
      <c r="U839" s="10">
        <f>IF(AND(ISNUMBER(M839),ISNUMBER(N839)),IF(N839&gt;0,M839/N839,""),"")</f>
        <v/>
      </c>
      <c r="V839" s="10">
        <f>IF(AND(ISNUMBER(M839),ISNUMBER(O839)),IF(O839&gt;0,M839/O839,""),"")</f>
        <v/>
      </c>
      <c r="W839" s="10">
        <f>IF(AND(ISNUMBER(M839),ISNUMBER(R839)),IF(R839&gt;0,M839/R839,""),"")</f>
        <v/>
      </c>
      <c r="X839" s="10">
        <f>IF(AND(ISNUMBER(Q839),ISNUMBER(M839)),IF(M839&gt;0,Q839/M839,""),"")</f>
        <v/>
      </c>
      <c r="Y839" s="11">
        <f>IF(ISNUMBER(Z839),YEAR(Z839),"")</f>
        <v/>
      </c>
      <c r="Z839" s="12" t="n"/>
      <c r="AA839" s="12" t="n"/>
      <c r="AI839" s="12" t="n"/>
      <c r="AJ839" s="13">
        <f>IF(LEN(TRIM(AF839))=0,"",HYPERLINK("https://www.google.com/maps/@?api=1&amp;map_action=pano&amp;viewpoint="&amp;SUBSTITUTE(AF839," ",""),"Abrir Street View"))</f>
        <v/>
      </c>
    </row>
    <row r="840">
      <c r="H840" s="6" t="n"/>
      <c r="I840" s="6" t="n"/>
      <c r="M840" s="7" t="n"/>
      <c r="N840" s="7" t="n"/>
      <c r="O840" s="7" t="n"/>
      <c r="Q840" s="7" t="n"/>
      <c r="R840" s="7" t="n"/>
      <c r="S840" s="8">
        <f>IF(NOT(ISNUMBER(M840)),"",IF(G840="Terreno",IF(AND(ISNUMBER(I840),I840&gt;0),M840/I840,""),IF(AND(ISNUMBER(H840),H840&gt;0),M840/H840,"")))</f>
        <v/>
      </c>
      <c r="T840" s="9">
        <f>IF(AND(ISNUMBER(M840),ISNUMBER(O840)),IF(M840&lt;=O840,"Valor ≤ venal IPTU",""),"")</f>
        <v/>
      </c>
      <c r="U840" s="10">
        <f>IF(AND(ISNUMBER(M840),ISNUMBER(N840)),IF(N840&gt;0,M840/N840,""),"")</f>
        <v/>
      </c>
      <c r="V840" s="10">
        <f>IF(AND(ISNUMBER(M840),ISNUMBER(O840)),IF(O840&gt;0,M840/O840,""),"")</f>
        <v/>
      </c>
      <c r="W840" s="10">
        <f>IF(AND(ISNUMBER(M840),ISNUMBER(R840)),IF(R840&gt;0,M840/R840,""),"")</f>
        <v/>
      </c>
      <c r="X840" s="10">
        <f>IF(AND(ISNUMBER(Q840),ISNUMBER(M840)),IF(M840&gt;0,Q840/M840,""),"")</f>
        <v/>
      </c>
      <c r="Y840" s="11">
        <f>IF(ISNUMBER(Z840),YEAR(Z840),"")</f>
        <v/>
      </c>
      <c r="Z840" s="12" t="n"/>
      <c r="AA840" s="12" t="n"/>
      <c r="AI840" s="12" t="n"/>
      <c r="AJ840" s="13">
        <f>IF(LEN(TRIM(AF840))=0,"",HYPERLINK("https://www.google.com/maps/@?api=1&amp;map_action=pano&amp;viewpoint="&amp;SUBSTITUTE(AF840," ",""),"Abrir Street View"))</f>
        <v/>
      </c>
    </row>
    <row r="841">
      <c r="H841" s="6" t="n"/>
      <c r="I841" s="6" t="n"/>
      <c r="M841" s="7" t="n"/>
      <c r="N841" s="7" t="n"/>
      <c r="O841" s="7" t="n"/>
      <c r="Q841" s="7" t="n"/>
      <c r="R841" s="7" t="n"/>
      <c r="S841" s="8">
        <f>IF(NOT(ISNUMBER(M841)),"",IF(G841="Terreno",IF(AND(ISNUMBER(I841),I841&gt;0),M841/I841,""),IF(AND(ISNUMBER(H841),H841&gt;0),M841/H841,"")))</f>
        <v/>
      </c>
      <c r="T841" s="9">
        <f>IF(AND(ISNUMBER(M841),ISNUMBER(O841)),IF(M841&lt;=O841,"Valor ≤ venal IPTU",""),"")</f>
        <v/>
      </c>
      <c r="U841" s="10">
        <f>IF(AND(ISNUMBER(M841),ISNUMBER(N841)),IF(N841&gt;0,M841/N841,""),"")</f>
        <v/>
      </c>
      <c r="V841" s="10">
        <f>IF(AND(ISNUMBER(M841),ISNUMBER(O841)),IF(O841&gt;0,M841/O841,""),"")</f>
        <v/>
      </c>
      <c r="W841" s="10">
        <f>IF(AND(ISNUMBER(M841),ISNUMBER(R841)),IF(R841&gt;0,M841/R841,""),"")</f>
        <v/>
      </c>
      <c r="X841" s="10">
        <f>IF(AND(ISNUMBER(Q841),ISNUMBER(M841)),IF(M841&gt;0,Q841/M841,""),"")</f>
        <v/>
      </c>
      <c r="Y841" s="11">
        <f>IF(ISNUMBER(Z841),YEAR(Z841),"")</f>
        <v/>
      </c>
      <c r="Z841" s="12" t="n"/>
      <c r="AA841" s="12" t="n"/>
      <c r="AI841" s="12" t="n"/>
      <c r="AJ841" s="13">
        <f>IF(LEN(TRIM(AF841))=0,"",HYPERLINK("https://www.google.com/maps/@?api=1&amp;map_action=pano&amp;viewpoint="&amp;SUBSTITUTE(AF841," ",""),"Abrir Street View"))</f>
        <v/>
      </c>
    </row>
    <row r="842">
      <c r="H842" s="6" t="n"/>
      <c r="I842" s="6" t="n"/>
      <c r="M842" s="7" t="n"/>
      <c r="N842" s="7" t="n"/>
      <c r="O842" s="7" t="n"/>
      <c r="Q842" s="7" t="n"/>
      <c r="R842" s="7" t="n"/>
      <c r="S842" s="8">
        <f>IF(NOT(ISNUMBER(M842)),"",IF(G842="Terreno",IF(AND(ISNUMBER(I842),I842&gt;0),M842/I842,""),IF(AND(ISNUMBER(H842),H842&gt;0),M842/H842,"")))</f>
        <v/>
      </c>
      <c r="T842" s="9">
        <f>IF(AND(ISNUMBER(M842),ISNUMBER(O842)),IF(M842&lt;=O842,"Valor ≤ venal IPTU",""),"")</f>
        <v/>
      </c>
      <c r="U842" s="10">
        <f>IF(AND(ISNUMBER(M842),ISNUMBER(N842)),IF(N842&gt;0,M842/N842,""),"")</f>
        <v/>
      </c>
      <c r="V842" s="10">
        <f>IF(AND(ISNUMBER(M842),ISNUMBER(O842)),IF(O842&gt;0,M842/O842,""),"")</f>
        <v/>
      </c>
      <c r="W842" s="10">
        <f>IF(AND(ISNUMBER(M842),ISNUMBER(R842)),IF(R842&gt;0,M842/R842,""),"")</f>
        <v/>
      </c>
      <c r="X842" s="10">
        <f>IF(AND(ISNUMBER(Q842),ISNUMBER(M842)),IF(M842&gt;0,Q842/M842,""),"")</f>
        <v/>
      </c>
      <c r="Y842" s="11">
        <f>IF(ISNUMBER(Z842),YEAR(Z842),"")</f>
        <v/>
      </c>
      <c r="Z842" s="12" t="n"/>
      <c r="AA842" s="12" t="n"/>
      <c r="AI842" s="12" t="n"/>
      <c r="AJ842" s="13">
        <f>IF(LEN(TRIM(AF842))=0,"",HYPERLINK("https://www.google.com/maps/@?api=1&amp;map_action=pano&amp;viewpoint="&amp;SUBSTITUTE(AF842," ",""),"Abrir Street View"))</f>
        <v/>
      </c>
    </row>
    <row r="843">
      <c r="H843" s="6" t="n"/>
      <c r="I843" s="6" t="n"/>
      <c r="M843" s="7" t="n"/>
      <c r="N843" s="7" t="n"/>
      <c r="O843" s="7" t="n"/>
      <c r="Q843" s="7" t="n"/>
      <c r="R843" s="7" t="n"/>
      <c r="S843" s="8">
        <f>IF(NOT(ISNUMBER(M843)),"",IF(G843="Terreno",IF(AND(ISNUMBER(I843),I843&gt;0),M843/I843,""),IF(AND(ISNUMBER(H843),H843&gt;0),M843/H843,"")))</f>
        <v/>
      </c>
      <c r="T843" s="9">
        <f>IF(AND(ISNUMBER(M843),ISNUMBER(O843)),IF(M843&lt;=O843,"Valor ≤ venal IPTU",""),"")</f>
        <v/>
      </c>
      <c r="U843" s="10">
        <f>IF(AND(ISNUMBER(M843),ISNUMBER(N843)),IF(N843&gt;0,M843/N843,""),"")</f>
        <v/>
      </c>
      <c r="V843" s="10">
        <f>IF(AND(ISNUMBER(M843),ISNUMBER(O843)),IF(O843&gt;0,M843/O843,""),"")</f>
        <v/>
      </c>
      <c r="W843" s="10">
        <f>IF(AND(ISNUMBER(M843),ISNUMBER(R843)),IF(R843&gt;0,M843/R843,""),"")</f>
        <v/>
      </c>
      <c r="X843" s="10">
        <f>IF(AND(ISNUMBER(Q843),ISNUMBER(M843)),IF(M843&gt;0,Q843/M843,""),"")</f>
        <v/>
      </c>
      <c r="Y843" s="11">
        <f>IF(ISNUMBER(Z843),YEAR(Z843),"")</f>
        <v/>
      </c>
      <c r="Z843" s="12" t="n"/>
      <c r="AA843" s="12" t="n"/>
      <c r="AI843" s="12" t="n"/>
      <c r="AJ843" s="13">
        <f>IF(LEN(TRIM(AF843))=0,"",HYPERLINK("https://www.google.com/maps/@?api=1&amp;map_action=pano&amp;viewpoint="&amp;SUBSTITUTE(AF843," ",""),"Abrir Street View"))</f>
        <v/>
      </c>
    </row>
    <row r="844">
      <c r="H844" s="6" t="n"/>
      <c r="I844" s="6" t="n"/>
      <c r="M844" s="7" t="n"/>
      <c r="N844" s="7" t="n"/>
      <c r="O844" s="7" t="n"/>
      <c r="Q844" s="7" t="n"/>
      <c r="R844" s="7" t="n"/>
      <c r="S844" s="8">
        <f>IF(NOT(ISNUMBER(M844)),"",IF(G844="Terreno",IF(AND(ISNUMBER(I844),I844&gt;0),M844/I844,""),IF(AND(ISNUMBER(H844),H844&gt;0),M844/H844,"")))</f>
        <v/>
      </c>
      <c r="T844" s="9">
        <f>IF(AND(ISNUMBER(M844),ISNUMBER(O844)),IF(M844&lt;=O844,"Valor ≤ venal IPTU",""),"")</f>
        <v/>
      </c>
      <c r="U844" s="10">
        <f>IF(AND(ISNUMBER(M844),ISNUMBER(N844)),IF(N844&gt;0,M844/N844,""),"")</f>
        <v/>
      </c>
      <c r="V844" s="10">
        <f>IF(AND(ISNUMBER(M844),ISNUMBER(O844)),IF(O844&gt;0,M844/O844,""),"")</f>
        <v/>
      </c>
      <c r="W844" s="10">
        <f>IF(AND(ISNUMBER(M844),ISNUMBER(R844)),IF(R844&gt;0,M844/R844,""),"")</f>
        <v/>
      </c>
      <c r="X844" s="10">
        <f>IF(AND(ISNUMBER(Q844),ISNUMBER(M844)),IF(M844&gt;0,Q844/M844,""),"")</f>
        <v/>
      </c>
      <c r="Y844" s="11">
        <f>IF(ISNUMBER(Z844),YEAR(Z844),"")</f>
        <v/>
      </c>
      <c r="Z844" s="12" t="n"/>
      <c r="AA844" s="12" t="n"/>
      <c r="AI844" s="12" t="n"/>
      <c r="AJ844" s="13">
        <f>IF(LEN(TRIM(AF844))=0,"",HYPERLINK("https://www.google.com/maps/@?api=1&amp;map_action=pano&amp;viewpoint="&amp;SUBSTITUTE(AF844," ",""),"Abrir Street View"))</f>
        <v/>
      </c>
    </row>
    <row r="845">
      <c r="H845" s="6" t="n"/>
      <c r="I845" s="6" t="n"/>
      <c r="M845" s="7" t="n"/>
      <c r="N845" s="7" t="n"/>
      <c r="O845" s="7" t="n"/>
      <c r="Q845" s="7" t="n"/>
      <c r="R845" s="7" t="n"/>
      <c r="S845" s="8">
        <f>IF(NOT(ISNUMBER(M845)),"",IF(G845="Terreno",IF(AND(ISNUMBER(I845),I845&gt;0),M845/I845,""),IF(AND(ISNUMBER(H845),H845&gt;0),M845/H845,"")))</f>
        <v/>
      </c>
      <c r="T845" s="9">
        <f>IF(AND(ISNUMBER(M845),ISNUMBER(O845)),IF(M845&lt;=O845,"Valor ≤ venal IPTU",""),"")</f>
        <v/>
      </c>
      <c r="U845" s="10">
        <f>IF(AND(ISNUMBER(M845),ISNUMBER(N845)),IF(N845&gt;0,M845/N845,""),"")</f>
        <v/>
      </c>
      <c r="V845" s="10">
        <f>IF(AND(ISNUMBER(M845),ISNUMBER(O845)),IF(O845&gt;0,M845/O845,""),"")</f>
        <v/>
      </c>
      <c r="W845" s="10">
        <f>IF(AND(ISNUMBER(M845),ISNUMBER(R845)),IF(R845&gt;0,M845/R845,""),"")</f>
        <v/>
      </c>
      <c r="X845" s="10">
        <f>IF(AND(ISNUMBER(Q845),ISNUMBER(M845)),IF(M845&gt;0,Q845/M845,""),"")</f>
        <v/>
      </c>
      <c r="Y845" s="11">
        <f>IF(ISNUMBER(Z845),YEAR(Z845),"")</f>
        <v/>
      </c>
      <c r="Z845" s="12" t="n"/>
      <c r="AA845" s="12" t="n"/>
      <c r="AI845" s="12" t="n"/>
      <c r="AJ845" s="13">
        <f>IF(LEN(TRIM(AF845))=0,"",HYPERLINK("https://www.google.com/maps/@?api=1&amp;map_action=pano&amp;viewpoint="&amp;SUBSTITUTE(AF845," ",""),"Abrir Street View"))</f>
        <v/>
      </c>
    </row>
    <row r="846">
      <c r="H846" s="6" t="n"/>
      <c r="I846" s="6" t="n"/>
      <c r="M846" s="7" t="n"/>
      <c r="N846" s="7" t="n"/>
      <c r="O846" s="7" t="n"/>
      <c r="Q846" s="7" t="n"/>
      <c r="R846" s="7" t="n"/>
      <c r="S846" s="8">
        <f>IF(NOT(ISNUMBER(M846)),"",IF(G846="Terreno",IF(AND(ISNUMBER(I846),I846&gt;0),M846/I846,""),IF(AND(ISNUMBER(H846),H846&gt;0),M846/H846,"")))</f>
        <v/>
      </c>
      <c r="T846" s="9">
        <f>IF(AND(ISNUMBER(M846),ISNUMBER(O846)),IF(M846&lt;=O846,"Valor ≤ venal IPTU",""),"")</f>
        <v/>
      </c>
      <c r="U846" s="10">
        <f>IF(AND(ISNUMBER(M846),ISNUMBER(N846)),IF(N846&gt;0,M846/N846,""),"")</f>
        <v/>
      </c>
      <c r="V846" s="10">
        <f>IF(AND(ISNUMBER(M846),ISNUMBER(O846)),IF(O846&gt;0,M846/O846,""),"")</f>
        <v/>
      </c>
      <c r="W846" s="10">
        <f>IF(AND(ISNUMBER(M846),ISNUMBER(R846)),IF(R846&gt;0,M846/R846,""),"")</f>
        <v/>
      </c>
      <c r="X846" s="10">
        <f>IF(AND(ISNUMBER(Q846),ISNUMBER(M846)),IF(M846&gt;0,Q846/M846,""),"")</f>
        <v/>
      </c>
      <c r="Y846" s="11">
        <f>IF(ISNUMBER(Z846),YEAR(Z846),"")</f>
        <v/>
      </c>
      <c r="Z846" s="12" t="n"/>
      <c r="AA846" s="12" t="n"/>
      <c r="AI846" s="12" t="n"/>
      <c r="AJ846" s="13">
        <f>IF(LEN(TRIM(AF846))=0,"",HYPERLINK("https://www.google.com/maps/@?api=1&amp;map_action=pano&amp;viewpoint="&amp;SUBSTITUTE(AF846," ",""),"Abrir Street View"))</f>
        <v/>
      </c>
    </row>
    <row r="847">
      <c r="H847" s="6" t="n"/>
      <c r="I847" s="6" t="n"/>
      <c r="M847" s="7" t="n"/>
      <c r="N847" s="7" t="n"/>
      <c r="O847" s="7" t="n"/>
      <c r="Q847" s="7" t="n"/>
      <c r="R847" s="7" t="n"/>
      <c r="S847" s="8">
        <f>IF(NOT(ISNUMBER(M847)),"",IF(G847="Terreno",IF(AND(ISNUMBER(I847),I847&gt;0),M847/I847,""),IF(AND(ISNUMBER(H847),H847&gt;0),M847/H847,"")))</f>
        <v/>
      </c>
      <c r="T847" s="9">
        <f>IF(AND(ISNUMBER(M847),ISNUMBER(O847)),IF(M847&lt;=O847,"Valor ≤ venal IPTU",""),"")</f>
        <v/>
      </c>
      <c r="U847" s="10">
        <f>IF(AND(ISNUMBER(M847),ISNUMBER(N847)),IF(N847&gt;0,M847/N847,""),"")</f>
        <v/>
      </c>
      <c r="V847" s="10">
        <f>IF(AND(ISNUMBER(M847),ISNUMBER(O847)),IF(O847&gt;0,M847/O847,""),"")</f>
        <v/>
      </c>
      <c r="W847" s="10">
        <f>IF(AND(ISNUMBER(M847),ISNUMBER(R847)),IF(R847&gt;0,M847/R847,""),"")</f>
        <v/>
      </c>
      <c r="X847" s="10">
        <f>IF(AND(ISNUMBER(Q847),ISNUMBER(M847)),IF(M847&gt;0,Q847/M847,""),"")</f>
        <v/>
      </c>
      <c r="Y847" s="11">
        <f>IF(ISNUMBER(Z847),YEAR(Z847),"")</f>
        <v/>
      </c>
      <c r="Z847" s="12" t="n"/>
      <c r="AA847" s="12" t="n"/>
      <c r="AI847" s="12" t="n"/>
      <c r="AJ847" s="13">
        <f>IF(LEN(TRIM(AF847))=0,"",HYPERLINK("https://www.google.com/maps/@?api=1&amp;map_action=pano&amp;viewpoint="&amp;SUBSTITUTE(AF847," ",""),"Abrir Street View"))</f>
        <v/>
      </c>
    </row>
    <row r="848">
      <c r="H848" s="6" t="n"/>
      <c r="I848" s="6" t="n"/>
      <c r="M848" s="7" t="n"/>
      <c r="N848" s="7" t="n"/>
      <c r="O848" s="7" t="n"/>
      <c r="Q848" s="7" t="n"/>
      <c r="R848" s="7" t="n"/>
      <c r="S848" s="8">
        <f>IF(NOT(ISNUMBER(M848)),"",IF(G848="Terreno",IF(AND(ISNUMBER(I848),I848&gt;0),M848/I848,""),IF(AND(ISNUMBER(H848),H848&gt;0),M848/H848,"")))</f>
        <v/>
      </c>
      <c r="T848" s="9">
        <f>IF(AND(ISNUMBER(M848),ISNUMBER(O848)),IF(M848&lt;=O848,"Valor ≤ venal IPTU",""),"")</f>
        <v/>
      </c>
      <c r="U848" s="10">
        <f>IF(AND(ISNUMBER(M848),ISNUMBER(N848)),IF(N848&gt;0,M848/N848,""),"")</f>
        <v/>
      </c>
      <c r="V848" s="10">
        <f>IF(AND(ISNUMBER(M848),ISNUMBER(O848)),IF(O848&gt;0,M848/O848,""),"")</f>
        <v/>
      </c>
      <c r="W848" s="10">
        <f>IF(AND(ISNUMBER(M848),ISNUMBER(R848)),IF(R848&gt;0,M848/R848,""),"")</f>
        <v/>
      </c>
      <c r="X848" s="10">
        <f>IF(AND(ISNUMBER(Q848),ISNUMBER(M848)),IF(M848&gt;0,Q848/M848,""),"")</f>
        <v/>
      </c>
      <c r="Y848" s="11">
        <f>IF(ISNUMBER(Z848),YEAR(Z848),"")</f>
        <v/>
      </c>
      <c r="Z848" s="12" t="n"/>
      <c r="AA848" s="12" t="n"/>
      <c r="AI848" s="12" t="n"/>
      <c r="AJ848" s="13">
        <f>IF(LEN(TRIM(AF848))=0,"",HYPERLINK("https://www.google.com/maps/@?api=1&amp;map_action=pano&amp;viewpoint="&amp;SUBSTITUTE(AF848," ",""),"Abrir Street View"))</f>
        <v/>
      </c>
    </row>
    <row r="849">
      <c r="H849" s="6" t="n"/>
      <c r="I849" s="6" t="n"/>
      <c r="M849" s="7" t="n"/>
      <c r="N849" s="7" t="n"/>
      <c r="O849" s="7" t="n"/>
      <c r="Q849" s="7" t="n"/>
      <c r="R849" s="7" t="n"/>
      <c r="S849" s="8">
        <f>IF(NOT(ISNUMBER(M849)),"",IF(G849="Terreno",IF(AND(ISNUMBER(I849),I849&gt;0),M849/I849,""),IF(AND(ISNUMBER(H849),H849&gt;0),M849/H849,"")))</f>
        <v/>
      </c>
      <c r="T849" s="9">
        <f>IF(AND(ISNUMBER(M849),ISNUMBER(O849)),IF(M849&lt;=O849,"Valor ≤ venal IPTU",""),"")</f>
        <v/>
      </c>
      <c r="U849" s="10">
        <f>IF(AND(ISNUMBER(M849),ISNUMBER(N849)),IF(N849&gt;0,M849/N849,""),"")</f>
        <v/>
      </c>
      <c r="V849" s="10">
        <f>IF(AND(ISNUMBER(M849),ISNUMBER(O849)),IF(O849&gt;0,M849/O849,""),"")</f>
        <v/>
      </c>
      <c r="W849" s="10">
        <f>IF(AND(ISNUMBER(M849),ISNUMBER(R849)),IF(R849&gt;0,M849/R849,""),"")</f>
        <v/>
      </c>
      <c r="X849" s="10">
        <f>IF(AND(ISNUMBER(Q849),ISNUMBER(M849)),IF(M849&gt;0,Q849/M849,""),"")</f>
        <v/>
      </c>
      <c r="Y849" s="11">
        <f>IF(ISNUMBER(Z849),YEAR(Z849),"")</f>
        <v/>
      </c>
      <c r="Z849" s="12" t="n"/>
      <c r="AA849" s="12" t="n"/>
      <c r="AI849" s="12" t="n"/>
      <c r="AJ849" s="13">
        <f>IF(LEN(TRIM(AF849))=0,"",HYPERLINK("https://www.google.com/maps/@?api=1&amp;map_action=pano&amp;viewpoint="&amp;SUBSTITUTE(AF849," ",""),"Abrir Street View"))</f>
        <v/>
      </c>
    </row>
    <row r="850">
      <c r="H850" s="6" t="n"/>
      <c r="I850" s="6" t="n"/>
      <c r="M850" s="7" t="n"/>
      <c r="N850" s="7" t="n"/>
      <c r="O850" s="7" t="n"/>
      <c r="Q850" s="7" t="n"/>
      <c r="R850" s="7" t="n"/>
      <c r="S850" s="8">
        <f>IF(NOT(ISNUMBER(M850)),"",IF(G850="Terreno",IF(AND(ISNUMBER(I850),I850&gt;0),M850/I850,""),IF(AND(ISNUMBER(H850),H850&gt;0),M850/H850,"")))</f>
        <v/>
      </c>
      <c r="T850" s="9">
        <f>IF(AND(ISNUMBER(M850),ISNUMBER(O850)),IF(M850&lt;=O850,"Valor ≤ venal IPTU",""),"")</f>
        <v/>
      </c>
      <c r="U850" s="10">
        <f>IF(AND(ISNUMBER(M850),ISNUMBER(N850)),IF(N850&gt;0,M850/N850,""),"")</f>
        <v/>
      </c>
      <c r="V850" s="10">
        <f>IF(AND(ISNUMBER(M850),ISNUMBER(O850)),IF(O850&gt;0,M850/O850,""),"")</f>
        <v/>
      </c>
      <c r="W850" s="10">
        <f>IF(AND(ISNUMBER(M850),ISNUMBER(R850)),IF(R850&gt;0,M850/R850,""),"")</f>
        <v/>
      </c>
      <c r="X850" s="10">
        <f>IF(AND(ISNUMBER(Q850),ISNUMBER(M850)),IF(M850&gt;0,Q850/M850,""),"")</f>
        <v/>
      </c>
      <c r="Y850" s="11">
        <f>IF(ISNUMBER(Z850),YEAR(Z850),"")</f>
        <v/>
      </c>
      <c r="Z850" s="12" t="n"/>
      <c r="AA850" s="12" t="n"/>
      <c r="AI850" s="12" t="n"/>
      <c r="AJ850" s="13">
        <f>IF(LEN(TRIM(AF850))=0,"",HYPERLINK("https://www.google.com/maps/@?api=1&amp;map_action=pano&amp;viewpoint="&amp;SUBSTITUTE(AF850," ",""),"Abrir Street View"))</f>
        <v/>
      </c>
    </row>
    <row r="851">
      <c r="H851" s="6" t="n"/>
      <c r="I851" s="6" t="n"/>
      <c r="M851" s="7" t="n"/>
      <c r="N851" s="7" t="n"/>
      <c r="O851" s="7" t="n"/>
      <c r="Q851" s="7" t="n"/>
      <c r="R851" s="7" t="n"/>
      <c r="S851" s="8">
        <f>IF(NOT(ISNUMBER(M851)),"",IF(G851="Terreno",IF(AND(ISNUMBER(I851),I851&gt;0),M851/I851,""),IF(AND(ISNUMBER(H851),H851&gt;0),M851/H851,"")))</f>
        <v/>
      </c>
      <c r="T851" s="9">
        <f>IF(AND(ISNUMBER(M851),ISNUMBER(O851)),IF(M851&lt;=O851,"Valor ≤ venal IPTU",""),"")</f>
        <v/>
      </c>
      <c r="U851" s="10">
        <f>IF(AND(ISNUMBER(M851),ISNUMBER(N851)),IF(N851&gt;0,M851/N851,""),"")</f>
        <v/>
      </c>
      <c r="V851" s="10">
        <f>IF(AND(ISNUMBER(M851),ISNUMBER(O851)),IF(O851&gt;0,M851/O851,""),"")</f>
        <v/>
      </c>
      <c r="W851" s="10">
        <f>IF(AND(ISNUMBER(M851),ISNUMBER(R851)),IF(R851&gt;0,M851/R851,""),"")</f>
        <v/>
      </c>
      <c r="X851" s="10">
        <f>IF(AND(ISNUMBER(Q851),ISNUMBER(M851)),IF(M851&gt;0,Q851/M851,""),"")</f>
        <v/>
      </c>
      <c r="Y851" s="11">
        <f>IF(ISNUMBER(Z851),YEAR(Z851),"")</f>
        <v/>
      </c>
      <c r="Z851" s="12" t="n"/>
      <c r="AA851" s="12" t="n"/>
      <c r="AI851" s="12" t="n"/>
      <c r="AJ851" s="13">
        <f>IF(LEN(TRIM(AF851))=0,"",HYPERLINK("https://www.google.com/maps/@?api=1&amp;map_action=pano&amp;viewpoint="&amp;SUBSTITUTE(AF851," ",""),"Abrir Street View"))</f>
        <v/>
      </c>
    </row>
    <row r="852">
      <c r="H852" s="6" t="n"/>
      <c r="I852" s="6" t="n"/>
      <c r="M852" s="7" t="n"/>
      <c r="N852" s="7" t="n"/>
      <c r="O852" s="7" t="n"/>
      <c r="Q852" s="7" t="n"/>
      <c r="R852" s="7" t="n"/>
      <c r="S852" s="8">
        <f>IF(NOT(ISNUMBER(M852)),"",IF(G852="Terreno",IF(AND(ISNUMBER(I852),I852&gt;0),M852/I852,""),IF(AND(ISNUMBER(H852),H852&gt;0),M852/H852,"")))</f>
        <v/>
      </c>
      <c r="T852" s="9">
        <f>IF(AND(ISNUMBER(M852),ISNUMBER(O852)),IF(M852&lt;=O852,"Valor ≤ venal IPTU",""),"")</f>
        <v/>
      </c>
      <c r="U852" s="10">
        <f>IF(AND(ISNUMBER(M852),ISNUMBER(N852)),IF(N852&gt;0,M852/N852,""),"")</f>
        <v/>
      </c>
      <c r="V852" s="10">
        <f>IF(AND(ISNUMBER(M852),ISNUMBER(O852)),IF(O852&gt;0,M852/O852,""),"")</f>
        <v/>
      </c>
      <c r="W852" s="10">
        <f>IF(AND(ISNUMBER(M852),ISNUMBER(R852)),IF(R852&gt;0,M852/R852,""),"")</f>
        <v/>
      </c>
      <c r="X852" s="10">
        <f>IF(AND(ISNUMBER(Q852),ISNUMBER(M852)),IF(M852&gt;0,Q852/M852,""),"")</f>
        <v/>
      </c>
      <c r="Y852" s="11">
        <f>IF(ISNUMBER(Z852),YEAR(Z852),"")</f>
        <v/>
      </c>
      <c r="Z852" s="12" t="n"/>
      <c r="AA852" s="12" t="n"/>
      <c r="AI852" s="12" t="n"/>
      <c r="AJ852" s="13">
        <f>IF(LEN(TRIM(AF852))=0,"",HYPERLINK("https://www.google.com/maps/@?api=1&amp;map_action=pano&amp;viewpoint="&amp;SUBSTITUTE(AF852," ",""),"Abrir Street View"))</f>
        <v/>
      </c>
    </row>
    <row r="853">
      <c r="H853" s="6" t="n"/>
      <c r="I853" s="6" t="n"/>
      <c r="M853" s="7" t="n"/>
      <c r="N853" s="7" t="n"/>
      <c r="O853" s="7" t="n"/>
      <c r="Q853" s="7" t="n"/>
      <c r="R853" s="7" t="n"/>
      <c r="S853" s="8">
        <f>IF(NOT(ISNUMBER(M853)),"",IF(G853="Terreno",IF(AND(ISNUMBER(I853),I853&gt;0),M853/I853,""),IF(AND(ISNUMBER(H853),H853&gt;0),M853/H853,"")))</f>
        <v/>
      </c>
      <c r="T853" s="9">
        <f>IF(AND(ISNUMBER(M853),ISNUMBER(O853)),IF(M853&lt;=O853,"Valor ≤ venal IPTU",""),"")</f>
        <v/>
      </c>
      <c r="U853" s="10">
        <f>IF(AND(ISNUMBER(M853),ISNUMBER(N853)),IF(N853&gt;0,M853/N853,""),"")</f>
        <v/>
      </c>
      <c r="V853" s="10">
        <f>IF(AND(ISNUMBER(M853),ISNUMBER(O853)),IF(O853&gt;0,M853/O853,""),"")</f>
        <v/>
      </c>
      <c r="W853" s="10">
        <f>IF(AND(ISNUMBER(M853),ISNUMBER(R853)),IF(R853&gt;0,M853/R853,""),"")</f>
        <v/>
      </c>
      <c r="X853" s="10">
        <f>IF(AND(ISNUMBER(Q853),ISNUMBER(M853)),IF(M853&gt;0,Q853/M853,""),"")</f>
        <v/>
      </c>
      <c r="Y853" s="11">
        <f>IF(ISNUMBER(Z853),YEAR(Z853),"")</f>
        <v/>
      </c>
      <c r="Z853" s="12" t="n"/>
      <c r="AA853" s="12" t="n"/>
      <c r="AI853" s="12" t="n"/>
      <c r="AJ853" s="13">
        <f>IF(LEN(TRIM(AF853))=0,"",HYPERLINK("https://www.google.com/maps/@?api=1&amp;map_action=pano&amp;viewpoint="&amp;SUBSTITUTE(AF853," ",""),"Abrir Street View"))</f>
        <v/>
      </c>
    </row>
    <row r="854">
      <c r="H854" s="6" t="n"/>
      <c r="I854" s="6" t="n"/>
      <c r="M854" s="7" t="n"/>
      <c r="N854" s="7" t="n"/>
      <c r="O854" s="7" t="n"/>
      <c r="Q854" s="7" t="n"/>
      <c r="R854" s="7" t="n"/>
      <c r="S854" s="8">
        <f>IF(NOT(ISNUMBER(M854)),"",IF(G854="Terreno",IF(AND(ISNUMBER(I854),I854&gt;0),M854/I854,""),IF(AND(ISNUMBER(H854),H854&gt;0),M854/H854,"")))</f>
        <v/>
      </c>
      <c r="T854" s="9">
        <f>IF(AND(ISNUMBER(M854),ISNUMBER(O854)),IF(M854&lt;=O854,"Valor ≤ venal IPTU",""),"")</f>
        <v/>
      </c>
      <c r="U854" s="10">
        <f>IF(AND(ISNUMBER(M854),ISNUMBER(N854)),IF(N854&gt;0,M854/N854,""),"")</f>
        <v/>
      </c>
      <c r="V854" s="10">
        <f>IF(AND(ISNUMBER(M854),ISNUMBER(O854)),IF(O854&gt;0,M854/O854,""),"")</f>
        <v/>
      </c>
      <c r="W854" s="10">
        <f>IF(AND(ISNUMBER(M854),ISNUMBER(R854)),IF(R854&gt;0,M854/R854,""),"")</f>
        <v/>
      </c>
      <c r="X854" s="10">
        <f>IF(AND(ISNUMBER(Q854),ISNUMBER(M854)),IF(M854&gt;0,Q854/M854,""),"")</f>
        <v/>
      </c>
      <c r="Y854" s="11">
        <f>IF(ISNUMBER(Z854),YEAR(Z854),"")</f>
        <v/>
      </c>
      <c r="Z854" s="12" t="n"/>
      <c r="AA854" s="12" t="n"/>
      <c r="AI854" s="12" t="n"/>
      <c r="AJ854" s="13">
        <f>IF(LEN(TRIM(AF854))=0,"",HYPERLINK("https://www.google.com/maps/@?api=1&amp;map_action=pano&amp;viewpoint="&amp;SUBSTITUTE(AF854," ",""),"Abrir Street View"))</f>
        <v/>
      </c>
    </row>
    <row r="855">
      <c r="H855" s="6" t="n"/>
      <c r="I855" s="6" t="n"/>
      <c r="M855" s="7" t="n"/>
      <c r="N855" s="7" t="n"/>
      <c r="O855" s="7" t="n"/>
      <c r="Q855" s="7" t="n"/>
      <c r="R855" s="7" t="n"/>
      <c r="S855" s="8">
        <f>IF(NOT(ISNUMBER(M855)),"",IF(G855="Terreno",IF(AND(ISNUMBER(I855),I855&gt;0),M855/I855,""),IF(AND(ISNUMBER(H855),H855&gt;0),M855/H855,"")))</f>
        <v/>
      </c>
      <c r="T855" s="9">
        <f>IF(AND(ISNUMBER(M855),ISNUMBER(O855)),IF(M855&lt;=O855,"Valor ≤ venal IPTU",""),"")</f>
        <v/>
      </c>
      <c r="U855" s="10">
        <f>IF(AND(ISNUMBER(M855),ISNUMBER(N855)),IF(N855&gt;0,M855/N855,""),"")</f>
        <v/>
      </c>
      <c r="V855" s="10">
        <f>IF(AND(ISNUMBER(M855),ISNUMBER(O855)),IF(O855&gt;0,M855/O855,""),"")</f>
        <v/>
      </c>
      <c r="W855" s="10">
        <f>IF(AND(ISNUMBER(M855),ISNUMBER(R855)),IF(R855&gt;0,M855/R855,""),"")</f>
        <v/>
      </c>
      <c r="X855" s="10">
        <f>IF(AND(ISNUMBER(Q855),ISNUMBER(M855)),IF(M855&gt;0,Q855/M855,""),"")</f>
        <v/>
      </c>
      <c r="Y855" s="11">
        <f>IF(ISNUMBER(Z855),YEAR(Z855),"")</f>
        <v/>
      </c>
      <c r="Z855" s="12" t="n"/>
      <c r="AA855" s="12" t="n"/>
      <c r="AI855" s="12" t="n"/>
      <c r="AJ855" s="13">
        <f>IF(LEN(TRIM(AF855))=0,"",HYPERLINK("https://www.google.com/maps/@?api=1&amp;map_action=pano&amp;viewpoint="&amp;SUBSTITUTE(AF855," ",""),"Abrir Street View"))</f>
        <v/>
      </c>
    </row>
    <row r="856">
      <c r="H856" s="6" t="n"/>
      <c r="I856" s="6" t="n"/>
      <c r="M856" s="7" t="n"/>
      <c r="N856" s="7" t="n"/>
      <c r="O856" s="7" t="n"/>
      <c r="Q856" s="7" t="n"/>
      <c r="R856" s="7" t="n"/>
      <c r="S856" s="8">
        <f>IF(NOT(ISNUMBER(M856)),"",IF(G856="Terreno",IF(AND(ISNUMBER(I856),I856&gt;0),M856/I856,""),IF(AND(ISNUMBER(H856),H856&gt;0),M856/H856,"")))</f>
        <v/>
      </c>
      <c r="T856" s="9">
        <f>IF(AND(ISNUMBER(M856),ISNUMBER(O856)),IF(M856&lt;=O856,"Valor ≤ venal IPTU",""),"")</f>
        <v/>
      </c>
      <c r="U856" s="10">
        <f>IF(AND(ISNUMBER(M856),ISNUMBER(N856)),IF(N856&gt;0,M856/N856,""),"")</f>
        <v/>
      </c>
      <c r="V856" s="10">
        <f>IF(AND(ISNUMBER(M856),ISNUMBER(O856)),IF(O856&gt;0,M856/O856,""),"")</f>
        <v/>
      </c>
      <c r="W856" s="10">
        <f>IF(AND(ISNUMBER(M856),ISNUMBER(R856)),IF(R856&gt;0,M856/R856,""),"")</f>
        <v/>
      </c>
      <c r="X856" s="10">
        <f>IF(AND(ISNUMBER(Q856),ISNUMBER(M856)),IF(M856&gt;0,Q856/M856,""),"")</f>
        <v/>
      </c>
      <c r="Y856" s="11">
        <f>IF(ISNUMBER(Z856),YEAR(Z856),"")</f>
        <v/>
      </c>
      <c r="Z856" s="12" t="n"/>
      <c r="AA856" s="12" t="n"/>
      <c r="AI856" s="12" t="n"/>
      <c r="AJ856" s="13">
        <f>IF(LEN(TRIM(AF856))=0,"",HYPERLINK("https://www.google.com/maps/@?api=1&amp;map_action=pano&amp;viewpoint="&amp;SUBSTITUTE(AF856," ",""),"Abrir Street View"))</f>
        <v/>
      </c>
    </row>
    <row r="857">
      <c r="H857" s="6" t="n"/>
      <c r="I857" s="6" t="n"/>
      <c r="M857" s="7" t="n"/>
      <c r="N857" s="7" t="n"/>
      <c r="O857" s="7" t="n"/>
      <c r="Q857" s="7" t="n"/>
      <c r="R857" s="7" t="n"/>
      <c r="S857" s="8">
        <f>IF(NOT(ISNUMBER(M857)),"",IF(G857="Terreno",IF(AND(ISNUMBER(I857),I857&gt;0),M857/I857,""),IF(AND(ISNUMBER(H857),H857&gt;0),M857/H857,"")))</f>
        <v/>
      </c>
      <c r="T857" s="9">
        <f>IF(AND(ISNUMBER(M857),ISNUMBER(O857)),IF(M857&lt;=O857,"Valor ≤ venal IPTU",""),"")</f>
        <v/>
      </c>
      <c r="U857" s="10">
        <f>IF(AND(ISNUMBER(M857),ISNUMBER(N857)),IF(N857&gt;0,M857/N857,""),"")</f>
        <v/>
      </c>
      <c r="V857" s="10">
        <f>IF(AND(ISNUMBER(M857),ISNUMBER(O857)),IF(O857&gt;0,M857/O857,""),"")</f>
        <v/>
      </c>
      <c r="W857" s="10">
        <f>IF(AND(ISNUMBER(M857),ISNUMBER(R857)),IF(R857&gt;0,M857/R857,""),"")</f>
        <v/>
      </c>
      <c r="X857" s="10">
        <f>IF(AND(ISNUMBER(Q857),ISNUMBER(M857)),IF(M857&gt;0,Q857/M857,""),"")</f>
        <v/>
      </c>
      <c r="Y857" s="11">
        <f>IF(ISNUMBER(Z857),YEAR(Z857),"")</f>
        <v/>
      </c>
      <c r="Z857" s="12" t="n"/>
      <c r="AA857" s="12" t="n"/>
      <c r="AI857" s="12" t="n"/>
      <c r="AJ857" s="13">
        <f>IF(LEN(TRIM(AF857))=0,"",HYPERLINK("https://www.google.com/maps/@?api=1&amp;map_action=pano&amp;viewpoint="&amp;SUBSTITUTE(AF857," ",""),"Abrir Street View"))</f>
        <v/>
      </c>
    </row>
    <row r="858">
      <c r="H858" s="6" t="n"/>
      <c r="I858" s="6" t="n"/>
      <c r="M858" s="7" t="n"/>
      <c r="N858" s="7" t="n"/>
      <c r="O858" s="7" t="n"/>
      <c r="Q858" s="7" t="n"/>
      <c r="R858" s="7" t="n"/>
      <c r="S858" s="8">
        <f>IF(NOT(ISNUMBER(M858)),"",IF(G858="Terreno",IF(AND(ISNUMBER(I858),I858&gt;0),M858/I858,""),IF(AND(ISNUMBER(H858),H858&gt;0),M858/H858,"")))</f>
        <v/>
      </c>
      <c r="T858" s="9">
        <f>IF(AND(ISNUMBER(M858),ISNUMBER(O858)),IF(M858&lt;=O858,"Valor ≤ venal IPTU",""),"")</f>
        <v/>
      </c>
      <c r="U858" s="10">
        <f>IF(AND(ISNUMBER(M858),ISNUMBER(N858)),IF(N858&gt;0,M858/N858,""),"")</f>
        <v/>
      </c>
      <c r="V858" s="10">
        <f>IF(AND(ISNUMBER(M858),ISNUMBER(O858)),IF(O858&gt;0,M858/O858,""),"")</f>
        <v/>
      </c>
      <c r="W858" s="10">
        <f>IF(AND(ISNUMBER(M858),ISNUMBER(R858)),IF(R858&gt;0,M858/R858,""),"")</f>
        <v/>
      </c>
      <c r="X858" s="10">
        <f>IF(AND(ISNUMBER(Q858),ISNUMBER(M858)),IF(M858&gt;0,Q858/M858,""),"")</f>
        <v/>
      </c>
      <c r="Y858" s="11">
        <f>IF(ISNUMBER(Z858),YEAR(Z858),"")</f>
        <v/>
      </c>
      <c r="Z858" s="12" t="n"/>
      <c r="AA858" s="12" t="n"/>
      <c r="AI858" s="12" t="n"/>
      <c r="AJ858" s="13">
        <f>IF(LEN(TRIM(AF858))=0,"",HYPERLINK("https://www.google.com/maps/@?api=1&amp;map_action=pano&amp;viewpoint="&amp;SUBSTITUTE(AF858," ",""),"Abrir Street View"))</f>
        <v/>
      </c>
    </row>
    <row r="859">
      <c r="H859" s="6" t="n"/>
      <c r="I859" s="6" t="n"/>
      <c r="M859" s="7" t="n"/>
      <c r="N859" s="7" t="n"/>
      <c r="O859" s="7" t="n"/>
      <c r="Q859" s="7" t="n"/>
      <c r="R859" s="7" t="n"/>
      <c r="S859" s="8">
        <f>IF(NOT(ISNUMBER(M859)),"",IF(G859="Terreno",IF(AND(ISNUMBER(I859),I859&gt;0),M859/I859,""),IF(AND(ISNUMBER(H859),H859&gt;0),M859/H859,"")))</f>
        <v/>
      </c>
      <c r="T859" s="9">
        <f>IF(AND(ISNUMBER(M859),ISNUMBER(O859)),IF(M859&lt;=O859,"Valor ≤ venal IPTU",""),"")</f>
        <v/>
      </c>
      <c r="U859" s="10">
        <f>IF(AND(ISNUMBER(M859),ISNUMBER(N859)),IF(N859&gt;0,M859/N859,""),"")</f>
        <v/>
      </c>
      <c r="V859" s="10">
        <f>IF(AND(ISNUMBER(M859),ISNUMBER(O859)),IF(O859&gt;0,M859/O859,""),"")</f>
        <v/>
      </c>
      <c r="W859" s="10">
        <f>IF(AND(ISNUMBER(M859),ISNUMBER(R859)),IF(R859&gt;0,M859/R859,""),"")</f>
        <v/>
      </c>
      <c r="X859" s="10">
        <f>IF(AND(ISNUMBER(Q859),ISNUMBER(M859)),IF(M859&gt;0,Q859/M859,""),"")</f>
        <v/>
      </c>
      <c r="Y859" s="11">
        <f>IF(ISNUMBER(Z859),YEAR(Z859),"")</f>
        <v/>
      </c>
      <c r="Z859" s="12" t="n"/>
      <c r="AA859" s="12" t="n"/>
      <c r="AI859" s="12" t="n"/>
      <c r="AJ859" s="13">
        <f>IF(LEN(TRIM(AF859))=0,"",HYPERLINK("https://www.google.com/maps/@?api=1&amp;map_action=pano&amp;viewpoint="&amp;SUBSTITUTE(AF859," ",""),"Abrir Street View"))</f>
        <v/>
      </c>
    </row>
    <row r="860">
      <c r="H860" s="6" t="n"/>
      <c r="I860" s="6" t="n"/>
      <c r="M860" s="7" t="n"/>
      <c r="N860" s="7" t="n"/>
      <c r="O860" s="7" t="n"/>
      <c r="Q860" s="7" t="n"/>
      <c r="R860" s="7" t="n"/>
      <c r="S860" s="8">
        <f>IF(NOT(ISNUMBER(M860)),"",IF(G860="Terreno",IF(AND(ISNUMBER(I860),I860&gt;0),M860/I860,""),IF(AND(ISNUMBER(H860),H860&gt;0),M860/H860,"")))</f>
        <v/>
      </c>
      <c r="T860" s="9">
        <f>IF(AND(ISNUMBER(M860),ISNUMBER(O860)),IF(M860&lt;=O860,"Valor ≤ venal IPTU",""),"")</f>
        <v/>
      </c>
      <c r="U860" s="10">
        <f>IF(AND(ISNUMBER(M860),ISNUMBER(N860)),IF(N860&gt;0,M860/N860,""),"")</f>
        <v/>
      </c>
      <c r="V860" s="10">
        <f>IF(AND(ISNUMBER(M860),ISNUMBER(O860)),IF(O860&gt;0,M860/O860,""),"")</f>
        <v/>
      </c>
      <c r="W860" s="10">
        <f>IF(AND(ISNUMBER(M860),ISNUMBER(R860)),IF(R860&gt;0,M860/R860,""),"")</f>
        <v/>
      </c>
      <c r="X860" s="10">
        <f>IF(AND(ISNUMBER(Q860),ISNUMBER(M860)),IF(M860&gt;0,Q860/M860,""),"")</f>
        <v/>
      </c>
      <c r="Y860" s="11">
        <f>IF(ISNUMBER(Z860),YEAR(Z860),"")</f>
        <v/>
      </c>
      <c r="Z860" s="12" t="n"/>
      <c r="AA860" s="12" t="n"/>
      <c r="AI860" s="12" t="n"/>
      <c r="AJ860" s="13">
        <f>IF(LEN(TRIM(AF860))=0,"",HYPERLINK("https://www.google.com/maps/@?api=1&amp;map_action=pano&amp;viewpoint="&amp;SUBSTITUTE(AF860," ",""),"Abrir Street View"))</f>
        <v/>
      </c>
    </row>
    <row r="861">
      <c r="H861" s="6" t="n"/>
      <c r="I861" s="6" t="n"/>
      <c r="M861" s="7" t="n"/>
      <c r="N861" s="7" t="n"/>
      <c r="O861" s="7" t="n"/>
      <c r="Q861" s="7" t="n"/>
      <c r="R861" s="7" t="n"/>
      <c r="S861" s="8">
        <f>IF(NOT(ISNUMBER(M861)),"",IF(G861="Terreno",IF(AND(ISNUMBER(I861),I861&gt;0),M861/I861,""),IF(AND(ISNUMBER(H861),H861&gt;0),M861/H861,"")))</f>
        <v/>
      </c>
      <c r="T861" s="9">
        <f>IF(AND(ISNUMBER(M861),ISNUMBER(O861)),IF(M861&lt;=O861,"Valor ≤ venal IPTU",""),"")</f>
        <v/>
      </c>
      <c r="U861" s="10">
        <f>IF(AND(ISNUMBER(M861),ISNUMBER(N861)),IF(N861&gt;0,M861/N861,""),"")</f>
        <v/>
      </c>
      <c r="V861" s="10">
        <f>IF(AND(ISNUMBER(M861),ISNUMBER(O861)),IF(O861&gt;0,M861/O861,""),"")</f>
        <v/>
      </c>
      <c r="W861" s="10">
        <f>IF(AND(ISNUMBER(M861),ISNUMBER(R861)),IF(R861&gt;0,M861/R861,""),"")</f>
        <v/>
      </c>
      <c r="X861" s="10">
        <f>IF(AND(ISNUMBER(Q861),ISNUMBER(M861)),IF(M861&gt;0,Q861/M861,""),"")</f>
        <v/>
      </c>
      <c r="Y861" s="11">
        <f>IF(ISNUMBER(Z861),YEAR(Z861),"")</f>
        <v/>
      </c>
      <c r="Z861" s="12" t="n"/>
      <c r="AA861" s="12" t="n"/>
      <c r="AI861" s="12" t="n"/>
      <c r="AJ861" s="13">
        <f>IF(LEN(TRIM(AF861))=0,"",HYPERLINK("https://www.google.com/maps/@?api=1&amp;map_action=pano&amp;viewpoint="&amp;SUBSTITUTE(AF861," ",""),"Abrir Street View"))</f>
        <v/>
      </c>
    </row>
    <row r="862">
      <c r="H862" s="6" t="n"/>
      <c r="I862" s="6" t="n"/>
      <c r="M862" s="7" t="n"/>
      <c r="N862" s="7" t="n"/>
      <c r="O862" s="7" t="n"/>
      <c r="Q862" s="7" t="n"/>
      <c r="R862" s="7" t="n"/>
      <c r="S862" s="8">
        <f>IF(NOT(ISNUMBER(M862)),"",IF(G862="Terreno",IF(AND(ISNUMBER(I862),I862&gt;0),M862/I862,""),IF(AND(ISNUMBER(H862),H862&gt;0),M862/H862,"")))</f>
        <v/>
      </c>
      <c r="T862" s="9">
        <f>IF(AND(ISNUMBER(M862),ISNUMBER(O862)),IF(M862&lt;=O862,"Valor ≤ venal IPTU",""),"")</f>
        <v/>
      </c>
      <c r="U862" s="10">
        <f>IF(AND(ISNUMBER(M862),ISNUMBER(N862)),IF(N862&gt;0,M862/N862,""),"")</f>
        <v/>
      </c>
      <c r="V862" s="10">
        <f>IF(AND(ISNUMBER(M862),ISNUMBER(O862)),IF(O862&gt;0,M862/O862,""),"")</f>
        <v/>
      </c>
      <c r="W862" s="10">
        <f>IF(AND(ISNUMBER(M862),ISNUMBER(R862)),IF(R862&gt;0,M862/R862,""),"")</f>
        <v/>
      </c>
      <c r="X862" s="10">
        <f>IF(AND(ISNUMBER(Q862),ISNUMBER(M862)),IF(M862&gt;0,Q862/M862,""),"")</f>
        <v/>
      </c>
      <c r="Y862" s="11">
        <f>IF(ISNUMBER(Z862),YEAR(Z862),"")</f>
        <v/>
      </c>
      <c r="Z862" s="12" t="n"/>
      <c r="AA862" s="12" t="n"/>
      <c r="AI862" s="12" t="n"/>
      <c r="AJ862" s="13">
        <f>IF(LEN(TRIM(AF862))=0,"",HYPERLINK("https://www.google.com/maps/@?api=1&amp;map_action=pano&amp;viewpoint="&amp;SUBSTITUTE(AF862," ",""),"Abrir Street View"))</f>
        <v/>
      </c>
    </row>
    <row r="863">
      <c r="H863" s="6" t="n"/>
      <c r="I863" s="6" t="n"/>
      <c r="M863" s="7" t="n"/>
      <c r="N863" s="7" t="n"/>
      <c r="O863" s="7" t="n"/>
      <c r="Q863" s="7" t="n"/>
      <c r="R863" s="7" t="n"/>
      <c r="S863" s="8">
        <f>IF(NOT(ISNUMBER(M863)),"",IF(G863="Terreno",IF(AND(ISNUMBER(I863),I863&gt;0),M863/I863,""),IF(AND(ISNUMBER(H863),H863&gt;0),M863/H863,"")))</f>
        <v/>
      </c>
      <c r="T863" s="9">
        <f>IF(AND(ISNUMBER(M863),ISNUMBER(O863)),IF(M863&lt;=O863,"Valor ≤ venal IPTU",""),"")</f>
        <v/>
      </c>
      <c r="U863" s="10">
        <f>IF(AND(ISNUMBER(M863),ISNUMBER(N863)),IF(N863&gt;0,M863/N863,""),"")</f>
        <v/>
      </c>
      <c r="V863" s="10">
        <f>IF(AND(ISNUMBER(M863),ISNUMBER(O863)),IF(O863&gt;0,M863/O863,""),"")</f>
        <v/>
      </c>
      <c r="W863" s="10">
        <f>IF(AND(ISNUMBER(M863),ISNUMBER(R863)),IF(R863&gt;0,M863/R863,""),"")</f>
        <v/>
      </c>
      <c r="X863" s="10">
        <f>IF(AND(ISNUMBER(Q863),ISNUMBER(M863)),IF(M863&gt;0,Q863/M863,""),"")</f>
        <v/>
      </c>
      <c r="Y863" s="11">
        <f>IF(ISNUMBER(Z863),YEAR(Z863),"")</f>
        <v/>
      </c>
      <c r="Z863" s="12" t="n"/>
      <c r="AA863" s="12" t="n"/>
      <c r="AI863" s="12" t="n"/>
      <c r="AJ863" s="13">
        <f>IF(LEN(TRIM(AF863))=0,"",HYPERLINK("https://www.google.com/maps/@?api=1&amp;map_action=pano&amp;viewpoint="&amp;SUBSTITUTE(AF863," ",""),"Abrir Street View"))</f>
        <v/>
      </c>
    </row>
    <row r="864">
      <c r="H864" s="6" t="n"/>
      <c r="I864" s="6" t="n"/>
      <c r="M864" s="7" t="n"/>
      <c r="N864" s="7" t="n"/>
      <c r="O864" s="7" t="n"/>
      <c r="Q864" s="7" t="n"/>
      <c r="R864" s="7" t="n"/>
      <c r="S864" s="8">
        <f>IF(NOT(ISNUMBER(M864)),"",IF(G864="Terreno",IF(AND(ISNUMBER(I864),I864&gt;0),M864/I864,""),IF(AND(ISNUMBER(H864),H864&gt;0),M864/H864,"")))</f>
        <v/>
      </c>
      <c r="T864" s="9">
        <f>IF(AND(ISNUMBER(M864),ISNUMBER(O864)),IF(M864&lt;=O864,"Valor ≤ venal IPTU",""),"")</f>
        <v/>
      </c>
      <c r="U864" s="10">
        <f>IF(AND(ISNUMBER(M864),ISNUMBER(N864)),IF(N864&gt;0,M864/N864,""),"")</f>
        <v/>
      </c>
      <c r="V864" s="10">
        <f>IF(AND(ISNUMBER(M864),ISNUMBER(O864)),IF(O864&gt;0,M864/O864,""),"")</f>
        <v/>
      </c>
      <c r="W864" s="10">
        <f>IF(AND(ISNUMBER(M864),ISNUMBER(R864)),IF(R864&gt;0,M864/R864,""),"")</f>
        <v/>
      </c>
      <c r="X864" s="10">
        <f>IF(AND(ISNUMBER(Q864),ISNUMBER(M864)),IF(M864&gt;0,Q864/M864,""),"")</f>
        <v/>
      </c>
      <c r="Y864" s="11">
        <f>IF(ISNUMBER(Z864),YEAR(Z864),"")</f>
        <v/>
      </c>
      <c r="Z864" s="12" t="n"/>
      <c r="AA864" s="12" t="n"/>
      <c r="AI864" s="12" t="n"/>
      <c r="AJ864" s="13">
        <f>IF(LEN(TRIM(AF864))=0,"",HYPERLINK("https://www.google.com/maps/@?api=1&amp;map_action=pano&amp;viewpoint="&amp;SUBSTITUTE(AF864," ",""),"Abrir Street View"))</f>
        <v/>
      </c>
    </row>
    <row r="865">
      <c r="H865" s="6" t="n"/>
      <c r="I865" s="6" t="n"/>
      <c r="M865" s="7" t="n"/>
      <c r="N865" s="7" t="n"/>
      <c r="O865" s="7" t="n"/>
      <c r="Q865" s="7" t="n"/>
      <c r="R865" s="7" t="n"/>
      <c r="S865" s="8">
        <f>IF(NOT(ISNUMBER(M865)),"",IF(G865="Terreno",IF(AND(ISNUMBER(I865),I865&gt;0),M865/I865,""),IF(AND(ISNUMBER(H865),H865&gt;0),M865/H865,"")))</f>
        <v/>
      </c>
      <c r="T865" s="9">
        <f>IF(AND(ISNUMBER(M865),ISNUMBER(O865)),IF(M865&lt;=O865,"Valor ≤ venal IPTU",""),"")</f>
        <v/>
      </c>
      <c r="U865" s="10">
        <f>IF(AND(ISNUMBER(M865),ISNUMBER(N865)),IF(N865&gt;0,M865/N865,""),"")</f>
        <v/>
      </c>
      <c r="V865" s="10">
        <f>IF(AND(ISNUMBER(M865),ISNUMBER(O865)),IF(O865&gt;0,M865/O865,""),"")</f>
        <v/>
      </c>
      <c r="W865" s="10">
        <f>IF(AND(ISNUMBER(M865),ISNUMBER(R865)),IF(R865&gt;0,M865/R865,""),"")</f>
        <v/>
      </c>
      <c r="X865" s="10">
        <f>IF(AND(ISNUMBER(Q865),ISNUMBER(M865)),IF(M865&gt;0,Q865/M865,""),"")</f>
        <v/>
      </c>
      <c r="Y865" s="11">
        <f>IF(ISNUMBER(Z865),YEAR(Z865),"")</f>
        <v/>
      </c>
      <c r="Z865" s="12" t="n"/>
      <c r="AA865" s="12" t="n"/>
      <c r="AI865" s="12" t="n"/>
      <c r="AJ865" s="13">
        <f>IF(LEN(TRIM(AF865))=0,"",HYPERLINK("https://www.google.com/maps/@?api=1&amp;map_action=pano&amp;viewpoint="&amp;SUBSTITUTE(AF865," ",""),"Abrir Street View"))</f>
        <v/>
      </c>
    </row>
    <row r="866">
      <c r="H866" s="6" t="n"/>
      <c r="I866" s="6" t="n"/>
      <c r="M866" s="7" t="n"/>
      <c r="N866" s="7" t="n"/>
      <c r="O866" s="7" t="n"/>
      <c r="Q866" s="7" t="n"/>
      <c r="R866" s="7" t="n"/>
      <c r="S866" s="8">
        <f>IF(NOT(ISNUMBER(M866)),"",IF(G866="Terreno",IF(AND(ISNUMBER(I866),I866&gt;0),M866/I866,""),IF(AND(ISNUMBER(H866),H866&gt;0),M866/H866,"")))</f>
        <v/>
      </c>
      <c r="T866" s="9">
        <f>IF(AND(ISNUMBER(M866),ISNUMBER(O866)),IF(M866&lt;=O866,"Valor ≤ venal IPTU",""),"")</f>
        <v/>
      </c>
      <c r="U866" s="10">
        <f>IF(AND(ISNUMBER(M866),ISNUMBER(N866)),IF(N866&gt;0,M866/N866,""),"")</f>
        <v/>
      </c>
      <c r="V866" s="10">
        <f>IF(AND(ISNUMBER(M866),ISNUMBER(O866)),IF(O866&gt;0,M866/O866,""),"")</f>
        <v/>
      </c>
      <c r="W866" s="10">
        <f>IF(AND(ISNUMBER(M866),ISNUMBER(R866)),IF(R866&gt;0,M866/R866,""),"")</f>
        <v/>
      </c>
      <c r="X866" s="10">
        <f>IF(AND(ISNUMBER(Q866),ISNUMBER(M866)),IF(M866&gt;0,Q866/M866,""),"")</f>
        <v/>
      </c>
      <c r="Y866" s="11">
        <f>IF(ISNUMBER(Z866),YEAR(Z866),"")</f>
        <v/>
      </c>
      <c r="Z866" s="12" t="n"/>
      <c r="AA866" s="12" t="n"/>
      <c r="AI866" s="12" t="n"/>
      <c r="AJ866" s="13">
        <f>IF(LEN(TRIM(AF866))=0,"",HYPERLINK("https://www.google.com/maps/@?api=1&amp;map_action=pano&amp;viewpoint="&amp;SUBSTITUTE(AF866," ",""),"Abrir Street View"))</f>
        <v/>
      </c>
    </row>
    <row r="867">
      <c r="H867" s="6" t="n"/>
      <c r="I867" s="6" t="n"/>
      <c r="M867" s="7" t="n"/>
      <c r="N867" s="7" t="n"/>
      <c r="O867" s="7" t="n"/>
      <c r="Q867" s="7" t="n"/>
      <c r="R867" s="7" t="n"/>
      <c r="S867" s="8">
        <f>IF(NOT(ISNUMBER(M867)),"",IF(G867="Terreno",IF(AND(ISNUMBER(I867),I867&gt;0),M867/I867,""),IF(AND(ISNUMBER(H867),H867&gt;0),M867/H867,"")))</f>
        <v/>
      </c>
      <c r="T867" s="9">
        <f>IF(AND(ISNUMBER(M867),ISNUMBER(O867)),IF(M867&lt;=O867,"Valor ≤ venal IPTU",""),"")</f>
        <v/>
      </c>
      <c r="U867" s="10">
        <f>IF(AND(ISNUMBER(M867),ISNUMBER(N867)),IF(N867&gt;0,M867/N867,""),"")</f>
        <v/>
      </c>
      <c r="V867" s="10">
        <f>IF(AND(ISNUMBER(M867),ISNUMBER(O867)),IF(O867&gt;0,M867/O867,""),"")</f>
        <v/>
      </c>
      <c r="W867" s="10">
        <f>IF(AND(ISNUMBER(M867),ISNUMBER(R867)),IF(R867&gt;0,M867/R867,""),"")</f>
        <v/>
      </c>
      <c r="X867" s="10">
        <f>IF(AND(ISNUMBER(Q867),ISNUMBER(M867)),IF(M867&gt;0,Q867/M867,""),"")</f>
        <v/>
      </c>
      <c r="Y867" s="11">
        <f>IF(ISNUMBER(Z867),YEAR(Z867),"")</f>
        <v/>
      </c>
      <c r="Z867" s="12" t="n"/>
      <c r="AA867" s="12" t="n"/>
      <c r="AI867" s="12" t="n"/>
      <c r="AJ867" s="13">
        <f>IF(LEN(TRIM(AF867))=0,"",HYPERLINK("https://www.google.com/maps/@?api=1&amp;map_action=pano&amp;viewpoint="&amp;SUBSTITUTE(AF867," ",""),"Abrir Street View"))</f>
        <v/>
      </c>
    </row>
    <row r="868">
      <c r="H868" s="6" t="n"/>
      <c r="I868" s="6" t="n"/>
      <c r="M868" s="7" t="n"/>
      <c r="N868" s="7" t="n"/>
      <c r="O868" s="7" t="n"/>
      <c r="Q868" s="7" t="n"/>
      <c r="R868" s="7" t="n"/>
      <c r="S868" s="8">
        <f>IF(NOT(ISNUMBER(M868)),"",IF(G868="Terreno",IF(AND(ISNUMBER(I868),I868&gt;0),M868/I868,""),IF(AND(ISNUMBER(H868),H868&gt;0),M868/H868,"")))</f>
        <v/>
      </c>
      <c r="T868" s="9">
        <f>IF(AND(ISNUMBER(M868),ISNUMBER(O868)),IF(M868&lt;=O868,"Valor ≤ venal IPTU",""),"")</f>
        <v/>
      </c>
      <c r="U868" s="10">
        <f>IF(AND(ISNUMBER(M868),ISNUMBER(N868)),IF(N868&gt;0,M868/N868,""),"")</f>
        <v/>
      </c>
      <c r="V868" s="10">
        <f>IF(AND(ISNUMBER(M868),ISNUMBER(O868)),IF(O868&gt;0,M868/O868,""),"")</f>
        <v/>
      </c>
      <c r="W868" s="10">
        <f>IF(AND(ISNUMBER(M868),ISNUMBER(R868)),IF(R868&gt;0,M868/R868,""),"")</f>
        <v/>
      </c>
      <c r="X868" s="10">
        <f>IF(AND(ISNUMBER(Q868),ISNUMBER(M868)),IF(M868&gt;0,Q868/M868,""),"")</f>
        <v/>
      </c>
      <c r="Y868" s="11">
        <f>IF(ISNUMBER(Z868),YEAR(Z868),"")</f>
        <v/>
      </c>
      <c r="Z868" s="12" t="n"/>
      <c r="AA868" s="12" t="n"/>
      <c r="AI868" s="12" t="n"/>
      <c r="AJ868" s="13">
        <f>IF(LEN(TRIM(AF868))=0,"",HYPERLINK("https://www.google.com/maps/@?api=1&amp;map_action=pano&amp;viewpoint="&amp;SUBSTITUTE(AF868," ",""),"Abrir Street View"))</f>
        <v/>
      </c>
    </row>
    <row r="869">
      <c r="H869" s="6" t="n"/>
      <c r="I869" s="6" t="n"/>
      <c r="M869" s="7" t="n"/>
      <c r="N869" s="7" t="n"/>
      <c r="O869" s="7" t="n"/>
      <c r="Q869" s="7" t="n"/>
      <c r="R869" s="7" t="n"/>
      <c r="S869" s="8">
        <f>IF(NOT(ISNUMBER(M869)),"",IF(G869="Terreno",IF(AND(ISNUMBER(I869),I869&gt;0),M869/I869,""),IF(AND(ISNUMBER(H869),H869&gt;0),M869/H869,"")))</f>
        <v/>
      </c>
      <c r="T869" s="9">
        <f>IF(AND(ISNUMBER(M869),ISNUMBER(O869)),IF(M869&lt;=O869,"Valor ≤ venal IPTU",""),"")</f>
        <v/>
      </c>
      <c r="U869" s="10">
        <f>IF(AND(ISNUMBER(M869),ISNUMBER(N869)),IF(N869&gt;0,M869/N869,""),"")</f>
        <v/>
      </c>
      <c r="V869" s="10">
        <f>IF(AND(ISNUMBER(M869),ISNUMBER(O869)),IF(O869&gt;0,M869/O869,""),"")</f>
        <v/>
      </c>
      <c r="W869" s="10">
        <f>IF(AND(ISNUMBER(M869),ISNUMBER(R869)),IF(R869&gt;0,M869/R869,""),"")</f>
        <v/>
      </c>
      <c r="X869" s="10">
        <f>IF(AND(ISNUMBER(Q869),ISNUMBER(M869)),IF(M869&gt;0,Q869/M869,""),"")</f>
        <v/>
      </c>
      <c r="Y869" s="11">
        <f>IF(ISNUMBER(Z869),YEAR(Z869),"")</f>
        <v/>
      </c>
      <c r="Z869" s="12" t="n"/>
      <c r="AA869" s="12" t="n"/>
      <c r="AI869" s="12" t="n"/>
      <c r="AJ869" s="13">
        <f>IF(LEN(TRIM(AF869))=0,"",HYPERLINK("https://www.google.com/maps/@?api=1&amp;map_action=pano&amp;viewpoint="&amp;SUBSTITUTE(AF869," ",""),"Abrir Street View"))</f>
        <v/>
      </c>
    </row>
    <row r="870">
      <c r="H870" s="6" t="n"/>
      <c r="I870" s="6" t="n"/>
      <c r="M870" s="7" t="n"/>
      <c r="N870" s="7" t="n"/>
      <c r="O870" s="7" t="n"/>
      <c r="Q870" s="7" t="n"/>
      <c r="R870" s="7" t="n"/>
      <c r="S870" s="8">
        <f>IF(NOT(ISNUMBER(M870)),"",IF(G870="Terreno",IF(AND(ISNUMBER(I870),I870&gt;0),M870/I870,""),IF(AND(ISNUMBER(H870),H870&gt;0),M870/H870,"")))</f>
        <v/>
      </c>
      <c r="T870" s="9">
        <f>IF(AND(ISNUMBER(M870),ISNUMBER(O870)),IF(M870&lt;=O870,"Valor ≤ venal IPTU",""),"")</f>
        <v/>
      </c>
      <c r="U870" s="10">
        <f>IF(AND(ISNUMBER(M870),ISNUMBER(N870)),IF(N870&gt;0,M870/N870,""),"")</f>
        <v/>
      </c>
      <c r="V870" s="10">
        <f>IF(AND(ISNUMBER(M870),ISNUMBER(O870)),IF(O870&gt;0,M870/O870,""),"")</f>
        <v/>
      </c>
      <c r="W870" s="10">
        <f>IF(AND(ISNUMBER(M870),ISNUMBER(R870)),IF(R870&gt;0,M870/R870,""),"")</f>
        <v/>
      </c>
      <c r="X870" s="10">
        <f>IF(AND(ISNUMBER(Q870),ISNUMBER(M870)),IF(M870&gt;0,Q870/M870,""),"")</f>
        <v/>
      </c>
      <c r="Y870" s="11">
        <f>IF(ISNUMBER(Z870),YEAR(Z870),"")</f>
        <v/>
      </c>
      <c r="Z870" s="12" t="n"/>
      <c r="AA870" s="12" t="n"/>
      <c r="AI870" s="12" t="n"/>
      <c r="AJ870" s="13">
        <f>IF(LEN(TRIM(AF870))=0,"",HYPERLINK("https://www.google.com/maps/@?api=1&amp;map_action=pano&amp;viewpoint="&amp;SUBSTITUTE(AF870," ",""),"Abrir Street View"))</f>
        <v/>
      </c>
    </row>
    <row r="871">
      <c r="H871" s="6" t="n"/>
      <c r="I871" s="6" t="n"/>
      <c r="M871" s="7" t="n"/>
      <c r="N871" s="7" t="n"/>
      <c r="O871" s="7" t="n"/>
      <c r="Q871" s="7" t="n"/>
      <c r="R871" s="7" t="n"/>
      <c r="S871" s="8">
        <f>IF(NOT(ISNUMBER(M871)),"",IF(G871="Terreno",IF(AND(ISNUMBER(I871),I871&gt;0),M871/I871,""),IF(AND(ISNUMBER(H871),H871&gt;0),M871/H871,"")))</f>
        <v/>
      </c>
      <c r="T871" s="9">
        <f>IF(AND(ISNUMBER(M871),ISNUMBER(O871)),IF(M871&lt;=O871,"Valor ≤ venal IPTU",""),"")</f>
        <v/>
      </c>
      <c r="U871" s="10">
        <f>IF(AND(ISNUMBER(M871),ISNUMBER(N871)),IF(N871&gt;0,M871/N871,""),"")</f>
        <v/>
      </c>
      <c r="V871" s="10">
        <f>IF(AND(ISNUMBER(M871),ISNUMBER(O871)),IF(O871&gt;0,M871/O871,""),"")</f>
        <v/>
      </c>
      <c r="W871" s="10">
        <f>IF(AND(ISNUMBER(M871),ISNUMBER(R871)),IF(R871&gt;0,M871/R871,""),"")</f>
        <v/>
      </c>
      <c r="X871" s="10">
        <f>IF(AND(ISNUMBER(Q871),ISNUMBER(M871)),IF(M871&gt;0,Q871/M871,""),"")</f>
        <v/>
      </c>
      <c r="Y871" s="11">
        <f>IF(ISNUMBER(Z871),YEAR(Z871),"")</f>
        <v/>
      </c>
      <c r="Z871" s="12" t="n"/>
      <c r="AA871" s="12" t="n"/>
      <c r="AI871" s="12" t="n"/>
      <c r="AJ871" s="13">
        <f>IF(LEN(TRIM(AF871))=0,"",HYPERLINK("https://www.google.com/maps/@?api=1&amp;map_action=pano&amp;viewpoint="&amp;SUBSTITUTE(AF871," ",""),"Abrir Street View"))</f>
        <v/>
      </c>
    </row>
    <row r="872">
      <c r="H872" s="6" t="n"/>
      <c r="I872" s="6" t="n"/>
      <c r="M872" s="7" t="n"/>
      <c r="N872" s="7" t="n"/>
      <c r="O872" s="7" t="n"/>
      <c r="Q872" s="7" t="n"/>
      <c r="R872" s="7" t="n"/>
      <c r="S872" s="8">
        <f>IF(NOT(ISNUMBER(M872)),"",IF(G872="Terreno",IF(AND(ISNUMBER(I872),I872&gt;0),M872/I872,""),IF(AND(ISNUMBER(H872),H872&gt;0),M872/H872,"")))</f>
        <v/>
      </c>
      <c r="T872" s="9">
        <f>IF(AND(ISNUMBER(M872),ISNUMBER(O872)),IF(M872&lt;=O872,"Valor ≤ venal IPTU",""),"")</f>
        <v/>
      </c>
      <c r="U872" s="10">
        <f>IF(AND(ISNUMBER(M872),ISNUMBER(N872)),IF(N872&gt;0,M872/N872,""),"")</f>
        <v/>
      </c>
      <c r="V872" s="10">
        <f>IF(AND(ISNUMBER(M872),ISNUMBER(O872)),IF(O872&gt;0,M872/O872,""),"")</f>
        <v/>
      </c>
      <c r="W872" s="10">
        <f>IF(AND(ISNUMBER(M872),ISNUMBER(R872)),IF(R872&gt;0,M872/R872,""),"")</f>
        <v/>
      </c>
      <c r="X872" s="10">
        <f>IF(AND(ISNUMBER(Q872),ISNUMBER(M872)),IF(M872&gt;0,Q872/M872,""),"")</f>
        <v/>
      </c>
      <c r="Y872" s="11">
        <f>IF(ISNUMBER(Z872),YEAR(Z872),"")</f>
        <v/>
      </c>
      <c r="Z872" s="12" t="n"/>
      <c r="AA872" s="12" t="n"/>
      <c r="AI872" s="12" t="n"/>
      <c r="AJ872" s="13">
        <f>IF(LEN(TRIM(AF872))=0,"",HYPERLINK("https://www.google.com/maps/@?api=1&amp;map_action=pano&amp;viewpoint="&amp;SUBSTITUTE(AF872," ",""),"Abrir Street View"))</f>
        <v/>
      </c>
    </row>
    <row r="873">
      <c r="H873" s="6" t="n"/>
      <c r="I873" s="6" t="n"/>
      <c r="M873" s="7" t="n"/>
      <c r="N873" s="7" t="n"/>
      <c r="O873" s="7" t="n"/>
      <c r="Q873" s="7" t="n"/>
      <c r="R873" s="7" t="n"/>
      <c r="S873" s="8">
        <f>IF(NOT(ISNUMBER(M873)),"",IF(G873="Terreno",IF(AND(ISNUMBER(I873),I873&gt;0),M873/I873,""),IF(AND(ISNUMBER(H873),H873&gt;0),M873/H873,"")))</f>
        <v/>
      </c>
      <c r="T873" s="9">
        <f>IF(AND(ISNUMBER(M873),ISNUMBER(O873)),IF(M873&lt;=O873,"Valor ≤ venal IPTU",""),"")</f>
        <v/>
      </c>
      <c r="U873" s="10">
        <f>IF(AND(ISNUMBER(M873),ISNUMBER(N873)),IF(N873&gt;0,M873/N873,""),"")</f>
        <v/>
      </c>
      <c r="V873" s="10">
        <f>IF(AND(ISNUMBER(M873),ISNUMBER(O873)),IF(O873&gt;0,M873/O873,""),"")</f>
        <v/>
      </c>
      <c r="W873" s="10">
        <f>IF(AND(ISNUMBER(M873),ISNUMBER(R873)),IF(R873&gt;0,M873/R873,""),"")</f>
        <v/>
      </c>
      <c r="X873" s="10">
        <f>IF(AND(ISNUMBER(Q873),ISNUMBER(M873)),IF(M873&gt;0,Q873/M873,""),"")</f>
        <v/>
      </c>
      <c r="Y873" s="11">
        <f>IF(ISNUMBER(Z873),YEAR(Z873),"")</f>
        <v/>
      </c>
      <c r="Z873" s="12" t="n"/>
      <c r="AA873" s="12" t="n"/>
      <c r="AI873" s="12" t="n"/>
      <c r="AJ873" s="13">
        <f>IF(LEN(TRIM(AF873))=0,"",HYPERLINK("https://www.google.com/maps/@?api=1&amp;map_action=pano&amp;viewpoint="&amp;SUBSTITUTE(AF873," ",""),"Abrir Street View"))</f>
        <v/>
      </c>
    </row>
    <row r="874">
      <c r="H874" s="6" t="n"/>
      <c r="I874" s="6" t="n"/>
      <c r="M874" s="7" t="n"/>
      <c r="N874" s="7" t="n"/>
      <c r="O874" s="7" t="n"/>
      <c r="Q874" s="7" t="n"/>
      <c r="R874" s="7" t="n"/>
      <c r="S874" s="8">
        <f>IF(NOT(ISNUMBER(M874)),"",IF(G874="Terreno",IF(AND(ISNUMBER(I874),I874&gt;0),M874/I874,""),IF(AND(ISNUMBER(H874),H874&gt;0),M874/H874,"")))</f>
        <v/>
      </c>
      <c r="T874" s="9">
        <f>IF(AND(ISNUMBER(M874),ISNUMBER(O874)),IF(M874&lt;=O874,"Valor ≤ venal IPTU",""),"")</f>
        <v/>
      </c>
      <c r="U874" s="10">
        <f>IF(AND(ISNUMBER(M874),ISNUMBER(N874)),IF(N874&gt;0,M874/N874,""),"")</f>
        <v/>
      </c>
      <c r="V874" s="10">
        <f>IF(AND(ISNUMBER(M874),ISNUMBER(O874)),IF(O874&gt;0,M874/O874,""),"")</f>
        <v/>
      </c>
      <c r="W874" s="10">
        <f>IF(AND(ISNUMBER(M874),ISNUMBER(R874)),IF(R874&gt;0,M874/R874,""),"")</f>
        <v/>
      </c>
      <c r="X874" s="10">
        <f>IF(AND(ISNUMBER(Q874),ISNUMBER(M874)),IF(M874&gt;0,Q874/M874,""),"")</f>
        <v/>
      </c>
      <c r="Y874" s="11">
        <f>IF(ISNUMBER(Z874),YEAR(Z874),"")</f>
        <v/>
      </c>
      <c r="Z874" s="12" t="n"/>
      <c r="AA874" s="12" t="n"/>
      <c r="AI874" s="12" t="n"/>
      <c r="AJ874" s="13">
        <f>IF(LEN(TRIM(AF874))=0,"",HYPERLINK("https://www.google.com/maps/@?api=1&amp;map_action=pano&amp;viewpoint="&amp;SUBSTITUTE(AF874," ",""),"Abrir Street View"))</f>
        <v/>
      </c>
    </row>
    <row r="875">
      <c r="H875" s="6" t="n"/>
      <c r="I875" s="6" t="n"/>
      <c r="M875" s="7" t="n"/>
      <c r="N875" s="7" t="n"/>
      <c r="O875" s="7" t="n"/>
      <c r="Q875" s="7" t="n"/>
      <c r="R875" s="7" t="n"/>
      <c r="S875" s="8">
        <f>IF(NOT(ISNUMBER(M875)),"",IF(G875="Terreno",IF(AND(ISNUMBER(I875),I875&gt;0),M875/I875,""),IF(AND(ISNUMBER(H875),H875&gt;0),M875/H875,"")))</f>
        <v/>
      </c>
      <c r="T875" s="9">
        <f>IF(AND(ISNUMBER(M875),ISNUMBER(O875)),IF(M875&lt;=O875,"Valor ≤ venal IPTU",""),"")</f>
        <v/>
      </c>
      <c r="U875" s="10">
        <f>IF(AND(ISNUMBER(M875),ISNUMBER(N875)),IF(N875&gt;0,M875/N875,""),"")</f>
        <v/>
      </c>
      <c r="V875" s="10">
        <f>IF(AND(ISNUMBER(M875),ISNUMBER(O875)),IF(O875&gt;0,M875/O875,""),"")</f>
        <v/>
      </c>
      <c r="W875" s="10">
        <f>IF(AND(ISNUMBER(M875),ISNUMBER(R875)),IF(R875&gt;0,M875/R875,""),"")</f>
        <v/>
      </c>
      <c r="X875" s="10">
        <f>IF(AND(ISNUMBER(Q875),ISNUMBER(M875)),IF(M875&gt;0,Q875/M875,""),"")</f>
        <v/>
      </c>
      <c r="Y875" s="11">
        <f>IF(ISNUMBER(Z875),YEAR(Z875),"")</f>
        <v/>
      </c>
      <c r="Z875" s="12" t="n"/>
      <c r="AA875" s="12" t="n"/>
      <c r="AI875" s="12" t="n"/>
      <c r="AJ875" s="13">
        <f>IF(LEN(TRIM(AF875))=0,"",HYPERLINK("https://www.google.com/maps/@?api=1&amp;map_action=pano&amp;viewpoint="&amp;SUBSTITUTE(AF875," ",""),"Abrir Street View"))</f>
        <v/>
      </c>
    </row>
    <row r="876">
      <c r="H876" s="6" t="n"/>
      <c r="I876" s="6" t="n"/>
      <c r="M876" s="7" t="n"/>
      <c r="N876" s="7" t="n"/>
      <c r="O876" s="7" t="n"/>
      <c r="Q876" s="7" t="n"/>
      <c r="R876" s="7" t="n"/>
      <c r="S876" s="8">
        <f>IF(NOT(ISNUMBER(M876)),"",IF(G876="Terreno",IF(AND(ISNUMBER(I876),I876&gt;0),M876/I876,""),IF(AND(ISNUMBER(H876),H876&gt;0),M876/H876,"")))</f>
        <v/>
      </c>
      <c r="T876" s="9">
        <f>IF(AND(ISNUMBER(M876),ISNUMBER(O876)),IF(M876&lt;=O876,"Valor ≤ venal IPTU",""),"")</f>
        <v/>
      </c>
      <c r="U876" s="10">
        <f>IF(AND(ISNUMBER(M876),ISNUMBER(N876)),IF(N876&gt;0,M876/N876,""),"")</f>
        <v/>
      </c>
      <c r="V876" s="10">
        <f>IF(AND(ISNUMBER(M876),ISNUMBER(O876)),IF(O876&gt;0,M876/O876,""),"")</f>
        <v/>
      </c>
      <c r="W876" s="10">
        <f>IF(AND(ISNUMBER(M876),ISNUMBER(R876)),IF(R876&gt;0,M876/R876,""),"")</f>
        <v/>
      </c>
      <c r="X876" s="10">
        <f>IF(AND(ISNUMBER(Q876),ISNUMBER(M876)),IF(M876&gt;0,Q876/M876,""),"")</f>
        <v/>
      </c>
      <c r="Y876" s="11">
        <f>IF(ISNUMBER(Z876),YEAR(Z876),"")</f>
        <v/>
      </c>
      <c r="Z876" s="12" t="n"/>
      <c r="AA876" s="12" t="n"/>
      <c r="AI876" s="12" t="n"/>
      <c r="AJ876" s="13">
        <f>IF(LEN(TRIM(AF876))=0,"",HYPERLINK("https://www.google.com/maps/@?api=1&amp;map_action=pano&amp;viewpoint="&amp;SUBSTITUTE(AF876," ",""),"Abrir Street View"))</f>
        <v/>
      </c>
    </row>
    <row r="877">
      <c r="H877" s="6" t="n"/>
      <c r="I877" s="6" t="n"/>
      <c r="M877" s="7" t="n"/>
      <c r="N877" s="7" t="n"/>
      <c r="O877" s="7" t="n"/>
      <c r="Q877" s="7" t="n"/>
      <c r="R877" s="7" t="n"/>
      <c r="S877" s="8">
        <f>IF(NOT(ISNUMBER(M877)),"",IF(G877="Terreno",IF(AND(ISNUMBER(I877),I877&gt;0),M877/I877,""),IF(AND(ISNUMBER(H877),H877&gt;0),M877/H877,"")))</f>
        <v/>
      </c>
      <c r="T877" s="9">
        <f>IF(AND(ISNUMBER(M877),ISNUMBER(O877)),IF(M877&lt;=O877,"Valor ≤ venal IPTU",""),"")</f>
        <v/>
      </c>
      <c r="U877" s="10">
        <f>IF(AND(ISNUMBER(M877),ISNUMBER(N877)),IF(N877&gt;0,M877/N877,""),"")</f>
        <v/>
      </c>
      <c r="V877" s="10">
        <f>IF(AND(ISNUMBER(M877),ISNUMBER(O877)),IF(O877&gt;0,M877/O877,""),"")</f>
        <v/>
      </c>
      <c r="W877" s="10">
        <f>IF(AND(ISNUMBER(M877),ISNUMBER(R877)),IF(R877&gt;0,M877/R877,""),"")</f>
        <v/>
      </c>
      <c r="X877" s="10">
        <f>IF(AND(ISNUMBER(Q877),ISNUMBER(M877)),IF(M877&gt;0,Q877/M877,""),"")</f>
        <v/>
      </c>
      <c r="Y877" s="11">
        <f>IF(ISNUMBER(Z877),YEAR(Z877),"")</f>
        <v/>
      </c>
      <c r="Z877" s="12" t="n"/>
      <c r="AA877" s="12" t="n"/>
      <c r="AI877" s="12" t="n"/>
      <c r="AJ877" s="13">
        <f>IF(LEN(TRIM(AF877))=0,"",HYPERLINK("https://www.google.com/maps/@?api=1&amp;map_action=pano&amp;viewpoint="&amp;SUBSTITUTE(AF877," ",""),"Abrir Street View"))</f>
        <v/>
      </c>
    </row>
    <row r="878">
      <c r="H878" s="6" t="n"/>
      <c r="I878" s="6" t="n"/>
      <c r="M878" s="7" t="n"/>
      <c r="N878" s="7" t="n"/>
      <c r="O878" s="7" t="n"/>
      <c r="Q878" s="7" t="n"/>
      <c r="R878" s="7" t="n"/>
      <c r="S878" s="8">
        <f>IF(NOT(ISNUMBER(M878)),"",IF(G878="Terreno",IF(AND(ISNUMBER(I878),I878&gt;0),M878/I878,""),IF(AND(ISNUMBER(H878),H878&gt;0),M878/H878,"")))</f>
        <v/>
      </c>
      <c r="T878" s="9">
        <f>IF(AND(ISNUMBER(M878),ISNUMBER(O878)),IF(M878&lt;=O878,"Valor ≤ venal IPTU",""),"")</f>
        <v/>
      </c>
      <c r="U878" s="10">
        <f>IF(AND(ISNUMBER(M878),ISNUMBER(N878)),IF(N878&gt;0,M878/N878,""),"")</f>
        <v/>
      </c>
      <c r="V878" s="10">
        <f>IF(AND(ISNUMBER(M878),ISNUMBER(O878)),IF(O878&gt;0,M878/O878,""),"")</f>
        <v/>
      </c>
      <c r="W878" s="10">
        <f>IF(AND(ISNUMBER(M878),ISNUMBER(R878)),IF(R878&gt;0,M878/R878,""),"")</f>
        <v/>
      </c>
      <c r="X878" s="10">
        <f>IF(AND(ISNUMBER(Q878),ISNUMBER(M878)),IF(M878&gt;0,Q878/M878,""),"")</f>
        <v/>
      </c>
      <c r="Y878" s="11">
        <f>IF(ISNUMBER(Z878),YEAR(Z878),"")</f>
        <v/>
      </c>
      <c r="Z878" s="12" t="n"/>
      <c r="AA878" s="12" t="n"/>
      <c r="AI878" s="12" t="n"/>
      <c r="AJ878" s="13">
        <f>IF(LEN(TRIM(AF878))=0,"",HYPERLINK("https://www.google.com/maps/@?api=1&amp;map_action=pano&amp;viewpoint="&amp;SUBSTITUTE(AF878," ",""),"Abrir Street View"))</f>
        <v/>
      </c>
    </row>
    <row r="879">
      <c r="H879" s="6" t="n"/>
      <c r="I879" s="6" t="n"/>
      <c r="M879" s="7" t="n"/>
      <c r="N879" s="7" t="n"/>
      <c r="O879" s="7" t="n"/>
      <c r="Q879" s="7" t="n"/>
      <c r="R879" s="7" t="n"/>
      <c r="S879" s="8">
        <f>IF(NOT(ISNUMBER(M879)),"",IF(G879="Terreno",IF(AND(ISNUMBER(I879),I879&gt;0),M879/I879,""),IF(AND(ISNUMBER(H879),H879&gt;0),M879/H879,"")))</f>
        <v/>
      </c>
      <c r="T879" s="9">
        <f>IF(AND(ISNUMBER(M879),ISNUMBER(O879)),IF(M879&lt;=O879,"Valor ≤ venal IPTU",""),"")</f>
        <v/>
      </c>
      <c r="U879" s="10">
        <f>IF(AND(ISNUMBER(M879),ISNUMBER(N879)),IF(N879&gt;0,M879/N879,""),"")</f>
        <v/>
      </c>
      <c r="V879" s="10">
        <f>IF(AND(ISNUMBER(M879),ISNUMBER(O879)),IF(O879&gt;0,M879/O879,""),"")</f>
        <v/>
      </c>
      <c r="W879" s="10">
        <f>IF(AND(ISNUMBER(M879),ISNUMBER(R879)),IF(R879&gt;0,M879/R879,""),"")</f>
        <v/>
      </c>
      <c r="X879" s="10">
        <f>IF(AND(ISNUMBER(Q879),ISNUMBER(M879)),IF(M879&gt;0,Q879/M879,""),"")</f>
        <v/>
      </c>
      <c r="Y879" s="11">
        <f>IF(ISNUMBER(Z879),YEAR(Z879),"")</f>
        <v/>
      </c>
      <c r="Z879" s="12" t="n"/>
      <c r="AA879" s="12" t="n"/>
      <c r="AI879" s="12" t="n"/>
      <c r="AJ879" s="13">
        <f>IF(LEN(TRIM(AF879))=0,"",HYPERLINK("https://www.google.com/maps/@?api=1&amp;map_action=pano&amp;viewpoint="&amp;SUBSTITUTE(AF879," ",""),"Abrir Street View"))</f>
        <v/>
      </c>
    </row>
    <row r="880">
      <c r="H880" s="6" t="n"/>
      <c r="I880" s="6" t="n"/>
      <c r="M880" s="7" t="n"/>
      <c r="N880" s="7" t="n"/>
      <c r="O880" s="7" t="n"/>
      <c r="Q880" s="7" t="n"/>
      <c r="R880" s="7" t="n"/>
      <c r="S880" s="8">
        <f>IF(NOT(ISNUMBER(M880)),"",IF(G880="Terreno",IF(AND(ISNUMBER(I880),I880&gt;0),M880/I880,""),IF(AND(ISNUMBER(H880),H880&gt;0),M880/H880,"")))</f>
        <v/>
      </c>
      <c r="T880" s="9">
        <f>IF(AND(ISNUMBER(M880),ISNUMBER(O880)),IF(M880&lt;=O880,"Valor ≤ venal IPTU",""),"")</f>
        <v/>
      </c>
      <c r="U880" s="10">
        <f>IF(AND(ISNUMBER(M880),ISNUMBER(N880)),IF(N880&gt;0,M880/N880,""),"")</f>
        <v/>
      </c>
      <c r="V880" s="10">
        <f>IF(AND(ISNUMBER(M880),ISNUMBER(O880)),IF(O880&gt;0,M880/O880,""),"")</f>
        <v/>
      </c>
      <c r="W880" s="10">
        <f>IF(AND(ISNUMBER(M880),ISNUMBER(R880)),IF(R880&gt;0,M880/R880,""),"")</f>
        <v/>
      </c>
      <c r="X880" s="10">
        <f>IF(AND(ISNUMBER(Q880),ISNUMBER(M880)),IF(M880&gt;0,Q880/M880,""),"")</f>
        <v/>
      </c>
      <c r="Y880" s="11">
        <f>IF(ISNUMBER(Z880),YEAR(Z880),"")</f>
        <v/>
      </c>
      <c r="Z880" s="12" t="n"/>
      <c r="AA880" s="12" t="n"/>
      <c r="AI880" s="12" t="n"/>
      <c r="AJ880" s="13">
        <f>IF(LEN(TRIM(AF880))=0,"",HYPERLINK("https://www.google.com/maps/@?api=1&amp;map_action=pano&amp;viewpoint="&amp;SUBSTITUTE(AF880," ",""),"Abrir Street View"))</f>
        <v/>
      </c>
    </row>
    <row r="881">
      <c r="H881" s="6" t="n"/>
      <c r="I881" s="6" t="n"/>
      <c r="M881" s="7" t="n"/>
      <c r="N881" s="7" t="n"/>
      <c r="O881" s="7" t="n"/>
      <c r="Q881" s="7" t="n"/>
      <c r="R881" s="7" t="n"/>
      <c r="S881" s="8">
        <f>IF(NOT(ISNUMBER(M881)),"",IF(G881="Terreno",IF(AND(ISNUMBER(I881),I881&gt;0),M881/I881,""),IF(AND(ISNUMBER(H881),H881&gt;0),M881/H881,"")))</f>
        <v/>
      </c>
      <c r="T881" s="9">
        <f>IF(AND(ISNUMBER(M881),ISNUMBER(O881)),IF(M881&lt;=O881,"Valor ≤ venal IPTU",""),"")</f>
        <v/>
      </c>
      <c r="U881" s="10">
        <f>IF(AND(ISNUMBER(M881),ISNUMBER(N881)),IF(N881&gt;0,M881/N881,""),"")</f>
        <v/>
      </c>
      <c r="V881" s="10">
        <f>IF(AND(ISNUMBER(M881),ISNUMBER(O881)),IF(O881&gt;0,M881/O881,""),"")</f>
        <v/>
      </c>
      <c r="W881" s="10">
        <f>IF(AND(ISNUMBER(M881),ISNUMBER(R881)),IF(R881&gt;0,M881/R881,""),"")</f>
        <v/>
      </c>
      <c r="X881" s="10">
        <f>IF(AND(ISNUMBER(Q881),ISNUMBER(M881)),IF(M881&gt;0,Q881/M881,""),"")</f>
        <v/>
      </c>
      <c r="Y881" s="11">
        <f>IF(ISNUMBER(Z881),YEAR(Z881),"")</f>
        <v/>
      </c>
      <c r="Z881" s="12" t="n"/>
      <c r="AA881" s="12" t="n"/>
      <c r="AI881" s="12" t="n"/>
      <c r="AJ881" s="13">
        <f>IF(LEN(TRIM(AF881))=0,"",HYPERLINK("https://www.google.com/maps/@?api=1&amp;map_action=pano&amp;viewpoint="&amp;SUBSTITUTE(AF881," ",""),"Abrir Street View"))</f>
        <v/>
      </c>
    </row>
    <row r="882">
      <c r="H882" s="6" t="n"/>
      <c r="I882" s="6" t="n"/>
      <c r="M882" s="7" t="n"/>
      <c r="N882" s="7" t="n"/>
      <c r="O882" s="7" t="n"/>
      <c r="Q882" s="7" t="n"/>
      <c r="R882" s="7" t="n"/>
      <c r="S882" s="8">
        <f>IF(NOT(ISNUMBER(M882)),"",IF(G882="Terreno",IF(AND(ISNUMBER(I882),I882&gt;0),M882/I882,""),IF(AND(ISNUMBER(H882),H882&gt;0),M882/H882,"")))</f>
        <v/>
      </c>
      <c r="T882" s="9">
        <f>IF(AND(ISNUMBER(M882),ISNUMBER(O882)),IF(M882&lt;=O882,"Valor ≤ venal IPTU",""),"")</f>
        <v/>
      </c>
      <c r="U882" s="10">
        <f>IF(AND(ISNUMBER(M882),ISNUMBER(N882)),IF(N882&gt;0,M882/N882,""),"")</f>
        <v/>
      </c>
      <c r="V882" s="10">
        <f>IF(AND(ISNUMBER(M882),ISNUMBER(O882)),IF(O882&gt;0,M882/O882,""),"")</f>
        <v/>
      </c>
      <c r="W882" s="10">
        <f>IF(AND(ISNUMBER(M882),ISNUMBER(R882)),IF(R882&gt;0,M882/R882,""),"")</f>
        <v/>
      </c>
      <c r="X882" s="10">
        <f>IF(AND(ISNUMBER(Q882),ISNUMBER(M882)),IF(M882&gt;0,Q882/M882,""),"")</f>
        <v/>
      </c>
      <c r="Y882" s="11">
        <f>IF(ISNUMBER(Z882),YEAR(Z882),"")</f>
        <v/>
      </c>
      <c r="Z882" s="12" t="n"/>
      <c r="AA882" s="12" t="n"/>
      <c r="AI882" s="12" t="n"/>
      <c r="AJ882" s="13">
        <f>IF(LEN(TRIM(AF882))=0,"",HYPERLINK("https://www.google.com/maps/@?api=1&amp;map_action=pano&amp;viewpoint="&amp;SUBSTITUTE(AF882," ",""),"Abrir Street View"))</f>
        <v/>
      </c>
    </row>
    <row r="883">
      <c r="H883" s="6" t="n"/>
      <c r="I883" s="6" t="n"/>
      <c r="M883" s="7" t="n"/>
      <c r="N883" s="7" t="n"/>
      <c r="O883" s="7" t="n"/>
      <c r="Q883" s="7" t="n"/>
      <c r="R883" s="7" t="n"/>
      <c r="S883" s="8">
        <f>IF(NOT(ISNUMBER(M883)),"",IF(G883="Terreno",IF(AND(ISNUMBER(I883),I883&gt;0),M883/I883,""),IF(AND(ISNUMBER(H883),H883&gt;0),M883/H883,"")))</f>
        <v/>
      </c>
      <c r="T883" s="9">
        <f>IF(AND(ISNUMBER(M883),ISNUMBER(O883)),IF(M883&lt;=O883,"Valor ≤ venal IPTU",""),"")</f>
        <v/>
      </c>
      <c r="U883" s="10">
        <f>IF(AND(ISNUMBER(M883),ISNUMBER(N883)),IF(N883&gt;0,M883/N883,""),"")</f>
        <v/>
      </c>
      <c r="V883" s="10">
        <f>IF(AND(ISNUMBER(M883),ISNUMBER(O883)),IF(O883&gt;0,M883/O883,""),"")</f>
        <v/>
      </c>
      <c r="W883" s="10">
        <f>IF(AND(ISNUMBER(M883),ISNUMBER(R883)),IF(R883&gt;0,M883/R883,""),"")</f>
        <v/>
      </c>
      <c r="X883" s="10">
        <f>IF(AND(ISNUMBER(Q883),ISNUMBER(M883)),IF(M883&gt;0,Q883/M883,""),"")</f>
        <v/>
      </c>
      <c r="Y883" s="11">
        <f>IF(ISNUMBER(Z883),YEAR(Z883),"")</f>
        <v/>
      </c>
      <c r="Z883" s="12" t="n"/>
      <c r="AA883" s="12" t="n"/>
      <c r="AI883" s="12" t="n"/>
      <c r="AJ883" s="13">
        <f>IF(LEN(TRIM(AF883))=0,"",HYPERLINK("https://www.google.com/maps/@?api=1&amp;map_action=pano&amp;viewpoint="&amp;SUBSTITUTE(AF883," ",""),"Abrir Street View"))</f>
        <v/>
      </c>
    </row>
    <row r="884">
      <c r="H884" s="6" t="n"/>
      <c r="I884" s="6" t="n"/>
      <c r="M884" s="7" t="n"/>
      <c r="N884" s="7" t="n"/>
      <c r="O884" s="7" t="n"/>
      <c r="Q884" s="7" t="n"/>
      <c r="R884" s="7" t="n"/>
      <c r="S884" s="8">
        <f>IF(NOT(ISNUMBER(M884)),"",IF(G884="Terreno",IF(AND(ISNUMBER(I884),I884&gt;0),M884/I884,""),IF(AND(ISNUMBER(H884),H884&gt;0),M884/H884,"")))</f>
        <v/>
      </c>
      <c r="T884" s="9">
        <f>IF(AND(ISNUMBER(M884),ISNUMBER(O884)),IF(M884&lt;=O884,"Valor ≤ venal IPTU",""),"")</f>
        <v/>
      </c>
      <c r="U884" s="10">
        <f>IF(AND(ISNUMBER(M884),ISNUMBER(N884)),IF(N884&gt;0,M884/N884,""),"")</f>
        <v/>
      </c>
      <c r="V884" s="10">
        <f>IF(AND(ISNUMBER(M884),ISNUMBER(O884)),IF(O884&gt;0,M884/O884,""),"")</f>
        <v/>
      </c>
      <c r="W884" s="10">
        <f>IF(AND(ISNUMBER(M884),ISNUMBER(R884)),IF(R884&gt;0,M884/R884,""),"")</f>
        <v/>
      </c>
      <c r="X884" s="10">
        <f>IF(AND(ISNUMBER(Q884),ISNUMBER(M884)),IF(M884&gt;0,Q884/M884,""),"")</f>
        <v/>
      </c>
      <c r="Y884" s="11">
        <f>IF(ISNUMBER(Z884),YEAR(Z884),"")</f>
        <v/>
      </c>
      <c r="Z884" s="12" t="n"/>
      <c r="AA884" s="12" t="n"/>
      <c r="AI884" s="12" t="n"/>
      <c r="AJ884" s="13">
        <f>IF(LEN(TRIM(AF884))=0,"",HYPERLINK("https://www.google.com/maps/@?api=1&amp;map_action=pano&amp;viewpoint="&amp;SUBSTITUTE(AF884," ",""),"Abrir Street View"))</f>
        <v/>
      </c>
    </row>
    <row r="885">
      <c r="H885" s="6" t="n"/>
      <c r="I885" s="6" t="n"/>
      <c r="M885" s="7" t="n"/>
      <c r="N885" s="7" t="n"/>
      <c r="O885" s="7" t="n"/>
      <c r="Q885" s="7" t="n"/>
      <c r="R885" s="7" t="n"/>
      <c r="S885" s="8">
        <f>IF(NOT(ISNUMBER(M885)),"",IF(G885="Terreno",IF(AND(ISNUMBER(I885),I885&gt;0),M885/I885,""),IF(AND(ISNUMBER(H885),H885&gt;0),M885/H885,"")))</f>
        <v/>
      </c>
      <c r="T885" s="9">
        <f>IF(AND(ISNUMBER(M885),ISNUMBER(O885)),IF(M885&lt;=O885,"Valor ≤ venal IPTU",""),"")</f>
        <v/>
      </c>
      <c r="U885" s="10">
        <f>IF(AND(ISNUMBER(M885),ISNUMBER(N885)),IF(N885&gt;0,M885/N885,""),"")</f>
        <v/>
      </c>
      <c r="V885" s="10">
        <f>IF(AND(ISNUMBER(M885),ISNUMBER(O885)),IF(O885&gt;0,M885/O885,""),"")</f>
        <v/>
      </c>
      <c r="W885" s="10">
        <f>IF(AND(ISNUMBER(M885),ISNUMBER(R885)),IF(R885&gt;0,M885/R885,""),"")</f>
        <v/>
      </c>
      <c r="X885" s="10">
        <f>IF(AND(ISNUMBER(Q885),ISNUMBER(M885)),IF(M885&gt;0,Q885/M885,""),"")</f>
        <v/>
      </c>
      <c r="Y885" s="11">
        <f>IF(ISNUMBER(Z885),YEAR(Z885),"")</f>
        <v/>
      </c>
      <c r="Z885" s="12" t="n"/>
      <c r="AA885" s="12" t="n"/>
      <c r="AI885" s="12" t="n"/>
      <c r="AJ885" s="13">
        <f>IF(LEN(TRIM(AF885))=0,"",HYPERLINK("https://www.google.com/maps/@?api=1&amp;map_action=pano&amp;viewpoint="&amp;SUBSTITUTE(AF885," ",""),"Abrir Street View"))</f>
        <v/>
      </c>
    </row>
    <row r="886">
      <c r="H886" s="6" t="n"/>
      <c r="I886" s="6" t="n"/>
      <c r="M886" s="7" t="n"/>
      <c r="N886" s="7" t="n"/>
      <c r="O886" s="7" t="n"/>
      <c r="Q886" s="7" t="n"/>
      <c r="R886" s="7" t="n"/>
      <c r="S886" s="8">
        <f>IF(NOT(ISNUMBER(M886)),"",IF(G886="Terreno",IF(AND(ISNUMBER(I886),I886&gt;0),M886/I886,""),IF(AND(ISNUMBER(H886),H886&gt;0),M886/H886,"")))</f>
        <v/>
      </c>
      <c r="T886" s="9">
        <f>IF(AND(ISNUMBER(M886),ISNUMBER(O886)),IF(M886&lt;=O886,"Valor ≤ venal IPTU",""),"")</f>
        <v/>
      </c>
      <c r="U886" s="10">
        <f>IF(AND(ISNUMBER(M886),ISNUMBER(N886)),IF(N886&gt;0,M886/N886,""),"")</f>
        <v/>
      </c>
      <c r="V886" s="10">
        <f>IF(AND(ISNUMBER(M886),ISNUMBER(O886)),IF(O886&gt;0,M886/O886,""),"")</f>
        <v/>
      </c>
      <c r="W886" s="10">
        <f>IF(AND(ISNUMBER(M886),ISNUMBER(R886)),IF(R886&gt;0,M886/R886,""),"")</f>
        <v/>
      </c>
      <c r="X886" s="10">
        <f>IF(AND(ISNUMBER(Q886),ISNUMBER(M886)),IF(M886&gt;0,Q886/M886,""),"")</f>
        <v/>
      </c>
      <c r="Y886" s="11">
        <f>IF(ISNUMBER(Z886),YEAR(Z886),"")</f>
        <v/>
      </c>
      <c r="Z886" s="12" t="n"/>
      <c r="AA886" s="12" t="n"/>
      <c r="AI886" s="12" t="n"/>
      <c r="AJ886" s="13">
        <f>IF(LEN(TRIM(AF886))=0,"",HYPERLINK("https://www.google.com/maps/@?api=1&amp;map_action=pano&amp;viewpoint="&amp;SUBSTITUTE(AF886," ",""),"Abrir Street View"))</f>
        <v/>
      </c>
    </row>
    <row r="887">
      <c r="H887" s="6" t="n"/>
      <c r="I887" s="6" t="n"/>
      <c r="M887" s="7" t="n"/>
      <c r="N887" s="7" t="n"/>
      <c r="O887" s="7" t="n"/>
      <c r="Q887" s="7" t="n"/>
      <c r="R887" s="7" t="n"/>
      <c r="S887" s="8">
        <f>IF(NOT(ISNUMBER(M887)),"",IF(G887="Terreno",IF(AND(ISNUMBER(I887),I887&gt;0),M887/I887,""),IF(AND(ISNUMBER(H887),H887&gt;0),M887/H887,"")))</f>
        <v/>
      </c>
      <c r="T887" s="9">
        <f>IF(AND(ISNUMBER(M887),ISNUMBER(O887)),IF(M887&lt;=O887,"Valor ≤ venal IPTU",""),"")</f>
        <v/>
      </c>
      <c r="U887" s="10">
        <f>IF(AND(ISNUMBER(M887),ISNUMBER(N887)),IF(N887&gt;0,M887/N887,""),"")</f>
        <v/>
      </c>
      <c r="V887" s="10">
        <f>IF(AND(ISNUMBER(M887),ISNUMBER(O887)),IF(O887&gt;0,M887/O887,""),"")</f>
        <v/>
      </c>
      <c r="W887" s="10">
        <f>IF(AND(ISNUMBER(M887),ISNUMBER(R887)),IF(R887&gt;0,M887/R887,""),"")</f>
        <v/>
      </c>
      <c r="X887" s="10">
        <f>IF(AND(ISNUMBER(Q887),ISNUMBER(M887)),IF(M887&gt;0,Q887/M887,""),"")</f>
        <v/>
      </c>
      <c r="Y887" s="11">
        <f>IF(ISNUMBER(Z887),YEAR(Z887),"")</f>
        <v/>
      </c>
      <c r="Z887" s="12" t="n"/>
      <c r="AA887" s="12" t="n"/>
      <c r="AI887" s="12" t="n"/>
      <c r="AJ887" s="13">
        <f>IF(LEN(TRIM(AF887))=0,"",HYPERLINK("https://www.google.com/maps/@?api=1&amp;map_action=pano&amp;viewpoint="&amp;SUBSTITUTE(AF887," ",""),"Abrir Street View"))</f>
        <v/>
      </c>
    </row>
    <row r="888">
      <c r="H888" s="6" t="n"/>
      <c r="I888" s="6" t="n"/>
      <c r="M888" s="7" t="n"/>
      <c r="N888" s="7" t="n"/>
      <c r="O888" s="7" t="n"/>
      <c r="Q888" s="7" t="n"/>
      <c r="R888" s="7" t="n"/>
      <c r="S888" s="8">
        <f>IF(NOT(ISNUMBER(M888)),"",IF(G888="Terreno",IF(AND(ISNUMBER(I888),I888&gt;0),M888/I888,""),IF(AND(ISNUMBER(H888),H888&gt;0),M888/H888,"")))</f>
        <v/>
      </c>
      <c r="T888" s="9">
        <f>IF(AND(ISNUMBER(M888),ISNUMBER(O888)),IF(M888&lt;=O888,"Valor ≤ venal IPTU",""),"")</f>
        <v/>
      </c>
      <c r="U888" s="10">
        <f>IF(AND(ISNUMBER(M888),ISNUMBER(N888)),IF(N888&gt;0,M888/N888,""),"")</f>
        <v/>
      </c>
      <c r="V888" s="10">
        <f>IF(AND(ISNUMBER(M888),ISNUMBER(O888)),IF(O888&gt;0,M888/O888,""),"")</f>
        <v/>
      </c>
      <c r="W888" s="10">
        <f>IF(AND(ISNUMBER(M888),ISNUMBER(R888)),IF(R888&gt;0,M888/R888,""),"")</f>
        <v/>
      </c>
      <c r="X888" s="10">
        <f>IF(AND(ISNUMBER(Q888),ISNUMBER(M888)),IF(M888&gt;0,Q888/M888,""),"")</f>
        <v/>
      </c>
      <c r="Y888" s="11">
        <f>IF(ISNUMBER(Z888),YEAR(Z888),"")</f>
        <v/>
      </c>
      <c r="Z888" s="12" t="n"/>
      <c r="AA888" s="12" t="n"/>
      <c r="AI888" s="12" t="n"/>
      <c r="AJ888" s="13">
        <f>IF(LEN(TRIM(AF888))=0,"",HYPERLINK("https://www.google.com/maps/@?api=1&amp;map_action=pano&amp;viewpoint="&amp;SUBSTITUTE(AF888," ",""),"Abrir Street View"))</f>
        <v/>
      </c>
    </row>
    <row r="889">
      <c r="H889" s="6" t="n"/>
      <c r="I889" s="6" t="n"/>
      <c r="M889" s="7" t="n"/>
      <c r="N889" s="7" t="n"/>
      <c r="O889" s="7" t="n"/>
      <c r="Q889" s="7" t="n"/>
      <c r="R889" s="7" t="n"/>
      <c r="S889" s="8">
        <f>IF(NOT(ISNUMBER(M889)),"",IF(G889="Terreno",IF(AND(ISNUMBER(I889),I889&gt;0),M889/I889,""),IF(AND(ISNUMBER(H889),H889&gt;0),M889/H889,"")))</f>
        <v/>
      </c>
      <c r="T889" s="9">
        <f>IF(AND(ISNUMBER(M889),ISNUMBER(O889)),IF(M889&lt;=O889,"Valor ≤ venal IPTU",""),"")</f>
        <v/>
      </c>
      <c r="U889" s="10">
        <f>IF(AND(ISNUMBER(M889),ISNUMBER(N889)),IF(N889&gt;0,M889/N889,""),"")</f>
        <v/>
      </c>
      <c r="V889" s="10">
        <f>IF(AND(ISNUMBER(M889),ISNUMBER(O889)),IF(O889&gt;0,M889/O889,""),"")</f>
        <v/>
      </c>
      <c r="W889" s="10">
        <f>IF(AND(ISNUMBER(M889),ISNUMBER(R889)),IF(R889&gt;0,M889/R889,""),"")</f>
        <v/>
      </c>
      <c r="X889" s="10">
        <f>IF(AND(ISNUMBER(Q889),ISNUMBER(M889)),IF(M889&gt;0,Q889/M889,""),"")</f>
        <v/>
      </c>
      <c r="Y889" s="11">
        <f>IF(ISNUMBER(Z889),YEAR(Z889),"")</f>
        <v/>
      </c>
      <c r="Z889" s="12" t="n"/>
      <c r="AA889" s="12" t="n"/>
      <c r="AI889" s="12" t="n"/>
      <c r="AJ889" s="13">
        <f>IF(LEN(TRIM(AF889))=0,"",HYPERLINK("https://www.google.com/maps/@?api=1&amp;map_action=pano&amp;viewpoint="&amp;SUBSTITUTE(AF889," ",""),"Abrir Street View"))</f>
        <v/>
      </c>
    </row>
    <row r="890">
      <c r="H890" s="6" t="n"/>
      <c r="I890" s="6" t="n"/>
      <c r="M890" s="7" t="n"/>
      <c r="N890" s="7" t="n"/>
      <c r="O890" s="7" t="n"/>
      <c r="Q890" s="7" t="n"/>
      <c r="R890" s="7" t="n"/>
      <c r="S890" s="8">
        <f>IF(NOT(ISNUMBER(M890)),"",IF(G890="Terreno",IF(AND(ISNUMBER(I890),I890&gt;0),M890/I890,""),IF(AND(ISNUMBER(H890),H890&gt;0),M890/H890,"")))</f>
        <v/>
      </c>
      <c r="T890" s="9">
        <f>IF(AND(ISNUMBER(M890),ISNUMBER(O890)),IF(M890&lt;=O890,"Valor ≤ venal IPTU",""),"")</f>
        <v/>
      </c>
      <c r="U890" s="10">
        <f>IF(AND(ISNUMBER(M890),ISNUMBER(N890)),IF(N890&gt;0,M890/N890,""),"")</f>
        <v/>
      </c>
      <c r="V890" s="10">
        <f>IF(AND(ISNUMBER(M890),ISNUMBER(O890)),IF(O890&gt;0,M890/O890,""),"")</f>
        <v/>
      </c>
      <c r="W890" s="10">
        <f>IF(AND(ISNUMBER(M890),ISNUMBER(R890)),IF(R890&gt;0,M890/R890,""),"")</f>
        <v/>
      </c>
      <c r="X890" s="10">
        <f>IF(AND(ISNUMBER(Q890),ISNUMBER(M890)),IF(M890&gt;0,Q890/M890,""),"")</f>
        <v/>
      </c>
      <c r="Y890" s="11">
        <f>IF(ISNUMBER(Z890),YEAR(Z890),"")</f>
        <v/>
      </c>
      <c r="Z890" s="12" t="n"/>
      <c r="AA890" s="12" t="n"/>
      <c r="AI890" s="12" t="n"/>
      <c r="AJ890" s="13">
        <f>IF(LEN(TRIM(AF890))=0,"",HYPERLINK("https://www.google.com/maps/@?api=1&amp;map_action=pano&amp;viewpoint="&amp;SUBSTITUTE(AF890," ",""),"Abrir Street View"))</f>
        <v/>
      </c>
    </row>
    <row r="891">
      <c r="H891" s="6" t="n"/>
      <c r="I891" s="6" t="n"/>
      <c r="M891" s="7" t="n"/>
      <c r="N891" s="7" t="n"/>
      <c r="O891" s="7" t="n"/>
      <c r="Q891" s="7" t="n"/>
      <c r="R891" s="7" t="n"/>
      <c r="S891" s="8">
        <f>IF(NOT(ISNUMBER(M891)),"",IF(G891="Terreno",IF(AND(ISNUMBER(I891),I891&gt;0),M891/I891,""),IF(AND(ISNUMBER(H891),H891&gt;0),M891/H891,"")))</f>
        <v/>
      </c>
      <c r="T891" s="9">
        <f>IF(AND(ISNUMBER(M891),ISNUMBER(O891)),IF(M891&lt;=O891,"Valor ≤ venal IPTU",""),"")</f>
        <v/>
      </c>
      <c r="U891" s="10">
        <f>IF(AND(ISNUMBER(M891),ISNUMBER(N891)),IF(N891&gt;0,M891/N891,""),"")</f>
        <v/>
      </c>
      <c r="V891" s="10">
        <f>IF(AND(ISNUMBER(M891),ISNUMBER(O891)),IF(O891&gt;0,M891/O891,""),"")</f>
        <v/>
      </c>
      <c r="W891" s="10">
        <f>IF(AND(ISNUMBER(M891),ISNUMBER(R891)),IF(R891&gt;0,M891/R891,""),"")</f>
        <v/>
      </c>
      <c r="X891" s="10">
        <f>IF(AND(ISNUMBER(Q891),ISNUMBER(M891)),IF(M891&gt;0,Q891/M891,""),"")</f>
        <v/>
      </c>
      <c r="Y891" s="11">
        <f>IF(ISNUMBER(Z891),YEAR(Z891),"")</f>
        <v/>
      </c>
      <c r="Z891" s="12" t="n"/>
      <c r="AA891" s="12" t="n"/>
      <c r="AI891" s="12" t="n"/>
      <c r="AJ891" s="13">
        <f>IF(LEN(TRIM(AF891))=0,"",HYPERLINK("https://www.google.com/maps/@?api=1&amp;map_action=pano&amp;viewpoint="&amp;SUBSTITUTE(AF891," ",""),"Abrir Street View"))</f>
        <v/>
      </c>
    </row>
    <row r="892">
      <c r="H892" s="6" t="n"/>
      <c r="I892" s="6" t="n"/>
      <c r="M892" s="7" t="n"/>
      <c r="N892" s="7" t="n"/>
      <c r="O892" s="7" t="n"/>
      <c r="Q892" s="7" t="n"/>
      <c r="R892" s="7" t="n"/>
      <c r="S892" s="8">
        <f>IF(NOT(ISNUMBER(M892)),"",IF(G892="Terreno",IF(AND(ISNUMBER(I892),I892&gt;0),M892/I892,""),IF(AND(ISNUMBER(H892),H892&gt;0),M892/H892,"")))</f>
        <v/>
      </c>
      <c r="T892" s="9">
        <f>IF(AND(ISNUMBER(M892),ISNUMBER(O892)),IF(M892&lt;=O892,"Valor ≤ venal IPTU",""),"")</f>
        <v/>
      </c>
      <c r="U892" s="10">
        <f>IF(AND(ISNUMBER(M892),ISNUMBER(N892)),IF(N892&gt;0,M892/N892,""),"")</f>
        <v/>
      </c>
      <c r="V892" s="10">
        <f>IF(AND(ISNUMBER(M892),ISNUMBER(O892)),IF(O892&gt;0,M892/O892,""),"")</f>
        <v/>
      </c>
      <c r="W892" s="10">
        <f>IF(AND(ISNUMBER(M892),ISNUMBER(R892)),IF(R892&gt;0,M892/R892,""),"")</f>
        <v/>
      </c>
      <c r="X892" s="10">
        <f>IF(AND(ISNUMBER(Q892),ISNUMBER(M892)),IF(M892&gt;0,Q892/M892,""),"")</f>
        <v/>
      </c>
      <c r="Y892" s="11">
        <f>IF(ISNUMBER(Z892),YEAR(Z892),"")</f>
        <v/>
      </c>
      <c r="Z892" s="12" t="n"/>
      <c r="AA892" s="12" t="n"/>
      <c r="AI892" s="12" t="n"/>
      <c r="AJ892" s="13">
        <f>IF(LEN(TRIM(AF892))=0,"",HYPERLINK("https://www.google.com/maps/@?api=1&amp;map_action=pano&amp;viewpoint="&amp;SUBSTITUTE(AF892," ",""),"Abrir Street View"))</f>
        <v/>
      </c>
    </row>
    <row r="893">
      <c r="H893" s="6" t="n"/>
      <c r="I893" s="6" t="n"/>
      <c r="M893" s="7" t="n"/>
      <c r="N893" s="7" t="n"/>
      <c r="O893" s="7" t="n"/>
      <c r="Q893" s="7" t="n"/>
      <c r="R893" s="7" t="n"/>
      <c r="S893" s="8">
        <f>IF(NOT(ISNUMBER(M893)),"",IF(G893="Terreno",IF(AND(ISNUMBER(I893),I893&gt;0),M893/I893,""),IF(AND(ISNUMBER(H893),H893&gt;0),M893/H893,"")))</f>
        <v/>
      </c>
      <c r="T893" s="9">
        <f>IF(AND(ISNUMBER(M893),ISNUMBER(O893)),IF(M893&lt;=O893,"Valor ≤ venal IPTU",""),"")</f>
        <v/>
      </c>
      <c r="U893" s="10">
        <f>IF(AND(ISNUMBER(M893),ISNUMBER(N893)),IF(N893&gt;0,M893/N893,""),"")</f>
        <v/>
      </c>
      <c r="V893" s="10">
        <f>IF(AND(ISNUMBER(M893),ISNUMBER(O893)),IF(O893&gt;0,M893/O893,""),"")</f>
        <v/>
      </c>
      <c r="W893" s="10">
        <f>IF(AND(ISNUMBER(M893),ISNUMBER(R893)),IF(R893&gt;0,M893/R893,""),"")</f>
        <v/>
      </c>
      <c r="X893" s="10">
        <f>IF(AND(ISNUMBER(Q893),ISNUMBER(M893)),IF(M893&gt;0,Q893/M893,""),"")</f>
        <v/>
      </c>
      <c r="Y893" s="11">
        <f>IF(ISNUMBER(Z893),YEAR(Z893),"")</f>
        <v/>
      </c>
      <c r="Z893" s="12" t="n"/>
      <c r="AA893" s="12" t="n"/>
      <c r="AI893" s="12" t="n"/>
      <c r="AJ893" s="13">
        <f>IF(LEN(TRIM(AF893))=0,"",HYPERLINK("https://www.google.com/maps/@?api=1&amp;map_action=pano&amp;viewpoint="&amp;SUBSTITUTE(AF893," ",""),"Abrir Street View"))</f>
        <v/>
      </c>
    </row>
    <row r="894">
      <c r="H894" s="6" t="n"/>
      <c r="I894" s="6" t="n"/>
      <c r="M894" s="7" t="n"/>
      <c r="N894" s="7" t="n"/>
      <c r="O894" s="7" t="n"/>
      <c r="Q894" s="7" t="n"/>
      <c r="R894" s="7" t="n"/>
      <c r="S894" s="8">
        <f>IF(NOT(ISNUMBER(M894)),"",IF(G894="Terreno",IF(AND(ISNUMBER(I894),I894&gt;0),M894/I894,""),IF(AND(ISNUMBER(H894),H894&gt;0),M894/H894,"")))</f>
        <v/>
      </c>
      <c r="T894" s="9">
        <f>IF(AND(ISNUMBER(M894),ISNUMBER(O894)),IF(M894&lt;=O894,"Valor ≤ venal IPTU",""),"")</f>
        <v/>
      </c>
      <c r="U894" s="10">
        <f>IF(AND(ISNUMBER(M894),ISNUMBER(N894)),IF(N894&gt;0,M894/N894,""),"")</f>
        <v/>
      </c>
      <c r="V894" s="10">
        <f>IF(AND(ISNUMBER(M894),ISNUMBER(O894)),IF(O894&gt;0,M894/O894,""),"")</f>
        <v/>
      </c>
      <c r="W894" s="10">
        <f>IF(AND(ISNUMBER(M894),ISNUMBER(R894)),IF(R894&gt;0,M894/R894,""),"")</f>
        <v/>
      </c>
      <c r="X894" s="10">
        <f>IF(AND(ISNUMBER(Q894),ISNUMBER(M894)),IF(M894&gt;0,Q894/M894,""),"")</f>
        <v/>
      </c>
      <c r="Y894" s="11">
        <f>IF(ISNUMBER(Z894),YEAR(Z894),"")</f>
        <v/>
      </c>
      <c r="Z894" s="12" t="n"/>
      <c r="AA894" s="12" t="n"/>
      <c r="AI894" s="12" t="n"/>
      <c r="AJ894" s="13">
        <f>IF(LEN(TRIM(AF894))=0,"",HYPERLINK("https://www.google.com/maps/@?api=1&amp;map_action=pano&amp;viewpoint="&amp;SUBSTITUTE(AF894," ",""),"Abrir Street View"))</f>
        <v/>
      </c>
    </row>
    <row r="895">
      <c r="H895" s="6" t="n"/>
      <c r="I895" s="6" t="n"/>
      <c r="M895" s="7" t="n"/>
      <c r="N895" s="7" t="n"/>
      <c r="O895" s="7" t="n"/>
      <c r="Q895" s="7" t="n"/>
      <c r="R895" s="7" t="n"/>
      <c r="S895" s="8">
        <f>IF(NOT(ISNUMBER(M895)),"",IF(G895="Terreno",IF(AND(ISNUMBER(I895),I895&gt;0),M895/I895,""),IF(AND(ISNUMBER(H895),H895&gt;0),M895/H895,"")))</f>
        <v/>
      </c>
      <c r="T895" s="9">
        <f>IF(AND(ISNUMBER(M895),ISNUMBER(O895)),IF(M895&lt;=O895,"Valor ≤ venal IPTU",""),"")</f>
        <v/>
      </c>
      <c r="U895" s="10">
        <f>IF(AND(ISNUMBER(M895),ISNUMBER(N895)),IF(N895&gt;0,M895/N895,""),"")</f>
        <v/>
      </c>
      <c r="V895" s="10">
        <f>IF(AND(ISNUMBER(M895),ISNUMBER(O895)),IF(O895&gt;0,M895/O895,""),"")</f>
        <v/>
      </c>
      <c r="W895" s="10">
        <f>IF(AND(ISNUMBER(M895),ISNUMBER(R895)),IF(R895&gt;0,M895/R895,""),"")</f>
        <v/>
      </c>
      <c r="X895" s="10">
        <f>IF(AND(ISNUMBER(Q895),ISNUMBER(M895)),IF(M895&gt;0,Q895/M895,""),"")</f>
        <v/>
      </c>
      <c r="Y895" s="11">
        <f>IF(ISNUMBER(Z895),YEAR(Z895),"")</f>
        <v/>
      </c>
      <c r="Z895" s="12" t="n"/>
      <c r="AA895" s="12" t="n"/>
      <c r="AI895" s="12" t="n"/>
      <c r="AJ895" s="13">
        <f>IF(LEN(TRIM(AF895))=0,"",HYPERLINK("https://www.google.com/maps/@?api=1&amp;map_action=pano&amp;viewpoint="&amp;SUBSTITUTE(AF895," ",""),"Abrir Street View"))</f>
        <v/>
      </c>
    </row>
    <row r="896">
      <c r="H896" s="6" t="n"/>
      <c r="I896" s="6" t="n"/>
      <c r="M896" s="7" t="n"/>
      <c r="N896" s="7" t="n"/>
      <c r="O896" s="7" t="n"/>
      <c r="Q896" s="7" t="n"/>
      <c r="R896" s="7" t="n"/>
      <c r="S896" s="8">
        <f>IF(NOT(ISNUMBER(M896)),"",IF(G896="Terreno",IF(AND(ISNUMBER(I896),I896&gt;0),M896/I896,""),IF(AND(ISNUMBER(H896),H896&gt;0),M896/H896,"")))</f>
        <v/>
      </c>
      <c r="T896" s="9">
        <f>IF(AND(ISNUMBER(M896),ISNUMBER(O896)),IF(M896&lt;=O896,"Valor ≤ venal IPTU",""),"")</f>
        <v/>
      </c>
      <c r="U896" s="10">
        <f>IF(AND(ISNUMBER(M896),ISNUMBER(N896)),IF(N896&gt;0,M896/N896,""),"")</f>
        <v/>
      </c>
      <c r="V896" s="10">
        <f>IF(AND(ISNUMBER(M896),ISNUMBER(O896)),IF(O896&gt;0,M896/O896,""),"")</f>
        <v/>
      </c>
      <c r="W896" s="10">
        <f>IF(AND(ISNUMBER(M896),ISNUMBER(R896)),IF(R896&gt;0,M896/R896,""),"")</f>
        <v/>
      </c>
      <c r="X896" s="10">
        <f>IF(AND(ISNUMBER(Q896),ISNUMBER(M896)),IF(M896&gt;0,Q896/M896,""),"")</f>
        <v/>
      </c>
      <c r="Y896" s="11">
        <f>IF(ISNUMBER(Z896),YEAR(Z896),"")</f>
        <v/>
      </c>
      <c r="Z896" s="12" t="n"/>
      <c r="AA896" s="12" t="n"/>
      <c r="AI896" s="12" t="n"/>
      <c r="AJ896" s="13">
        <f>IF(LEN(TRIM(AF896))=0,"",HYPERLINK("https://www.google.com/maps/@?api=1&amp;map_action=pano&amp;viewpoint="&amp;SUBSTITUTE(AF896," ",""),"Abrir Street View"))</f>
        <v/>
      </c>
    </row>
    <row r="897">
      <c r="H897" s="6" t="n"/>
      <c r="I897" s="6" t="n"/>
      <c r="M897" s="7" t="n"/>
      <c r="N897" s="7" t="n"/>
      <c r="O897" s="7" t="n"/>
      <c r="Q897" s="7" t="n"/>
      <c r="R897" s="7" t="n"/>
      <c r="S897" s="8">
        <f>IF(NOT(ISNUMBER(M897)),"",IF(G897="Terreno",IF(AND(ISNUMBER(I897),I897&gt;0),M897/I897,""),IF(AND(ISNUMBER(H897),H897&gt;0),M897/H897,"")))</f>
        <v/>
      </c>
      <c r="T897" s="9">
        <f>IF(AND(ISNUMBER(M897),ISNUMBER(O897)),IF(M897&lt;=O897,"Valor ≤ venal IPTU",""),"")</f>
        <v/>
      </c>
      <c r="U897" s="10">
        <f>IF(AND(ISNUMBER(M897),ISNUMBER(N897)),IF(N897&gt;0,M897/N897,""),"")</f>
        <v/>
      </c>
      <c r="V897" s="10">
        <f>IF(AND(ISNUMBER(M897),ISNUMBER(O897)),IF(O897&gt;0,M897/O897,""),"")</f>
        <v/>
      </c>
      <c r="W897" s="10">
        <f>IF(AND(ISNUMBER(M897),ISNUMBER(R897)),IF(R897&gt;0,M897/R897,""),"")</f>
        <v/>
      </c>
      <c r="X897" s="10">
        <f>IF(AND(ISNUMBER(Q897),ISNUMBER(M897)),IF(M897&gt;0,Q897/M897,""),"")</f>
        <v/>
      </c>
      <c r="Y897" s="11">
        <f>IF(ISNUMBER(Z897),YEAR(Z897),"")</f>
        <v/>
      </c>
      <c r="Z897" s="12" t="n"/>
      <c r="AA897" s="12" t="n"/>
      <c r="AI897" s="12" t="n"/>
      <c r="AJ897" s="13">
        <f>IF(LEN(TRIM(AF897))=0,"",HYPERLINK("https://www.google.com/maps/@?api=1&amp;map_action=pano&amp;viewpoint="&amp;SUBSTITUTE(AF897," ",""),"Abrir Street View"))</f>
        <v/>
      </c>
    </row>
    <row r="898">
      <c r="H898" s="6" t="n"/>
      <c r="I898" s="6" t="n"/>
      <c r="M898" s="7" t="n"/>
      <c r="N898" s="7" t="n"/>
      <c r="O898" s="7" t="n"/>
      <c r="Q898" s="7" t="n"/>
      <c r="R898" s="7" t="n"/>
      <c r="S898" s="8">
        <f>IF(NOT(ISNUMBER(M898)),"",IF(G898="Terreno",IF(AND(ISNUMBER(I898),I898&gt;0),M898/I898,""),IF(AND(ISNUMBER(H898),H898&gt;0),M898/H898,"")))</f>
        <v/>
      </c>
      <c r="T898" s="9">
        <f>IF(AND(ISNUMBER(M898),ISNUMBER(O898)),IF(M898&lt;=O898,"Valor ≤ venal IPTU",""),"")</f>
        <v/>
      </c>
      <c r="U898" s="10">
        <f>IF(AND(ISNUMBER(M898),ISNUMBER(N898)),IF(N898&gt;0,M898/N898,""),"")</f>
        <v/>
      </c>
      <c r="V898" s="10">
        <f>IF(AND(ISNUMBER(M898),ISNUMBER(O898)),IF(O898&gt;0,M898/O898,""),"")</f>
        <v/>
      </c>
      <c r="W898" s="10">
        <f>IF(AND(ISNUMBER(M898),ISNUMBER(R898)),IF(R898&gt;0,M898/R898,""),"")</f>
        <v/>
      </c>
      <c r="X898" s="10">
        <f>IF(AND(ISNUMBER(Q898),ISNUMBER(M898)),IF(M898&gt;0,Q898/M898,""),"")</f>
        <v/>
      </c>
      <c r="Y898" s="11">
        <f>IF(ISNUMBER(Z898),YEAR(Z898),"")</f>
        <v/>
      </c>
      <c r="Z898" s="12" t="n"/>
      <c r="AA898" s="12" t="n"/>
      <c r="AI898" s="12" t="n"/>
      <c r="AJ898" s="13">
        <f>IF(LEN(TRIM(AF898))=0,"",HYPERLINK("https://www.google.com/maps/@?api=1&amp;map_action=pano&amp;viewpoint="&amp;SUBSTITUTE(AF898," ",""),"Abrir Street View"))</f>
        <v/>
      </c>
    </row>
    <row r="899">
      <c r="H899" s="6" t="n"/>
      <c r="I899" s="6" t="n"/>
      <c r="M899" s="7" t="n"/>
      <c r="N899" s="7" t="n"/>
      <c r="O899" s="7" t="n"/>
      <c r="Q899" s="7" t="n"/>
      <c r="R899" s="7" t="n"/>
      <c r="S899" s="8">
        <f>IF(NOT(ISNUMBER(M899)),"",IF(G899="Terreno",IF(AND(ISNUMBER(I899),I899&gt;0),M899/I899,""),IF(AND(ISNUMBER(H899),H899&gt;0),M899/H899,"")))</f>
        <v/>
      </c>
      <c r="T899" s="9">
        <f>IF(AND(ISNUMBER(M899),ISNUMBER(O899)),IF(M899&lt;=O899,"Valor ≤ venal IPTU",""),"")</f>
        <v/>
      </c>
      <c r="U899" s="10">
        <f>IF(AND(ISNUMBER(M899),ISNUMBER(N899)),IF(N899&gt;0,M899/N899,""),"")</f>
        <v/>
      </c>
      <c r="V899" s="10">
        <f>IF(AND(ISNUMBER(M899),ISNUMBER(O899)),IF(O899&gt;0,M899/O899,""),"")</f>
        <v/>
      </c>
      <c r="W899" s="10">
        <f>IF(AND(ISNUMBER(M899),ISNUMBER(R899)),IF(R899&gt;0,M899/R899,""),"")</f>
        <v/>
      </c>
      <c r="X899" s="10">
        <f>IF(AND(ISNUMBER(Q899),ISNUMBER(M899)),IF(M899&gt;0,Q899/M899,""),"")</f>
        <v/>
      </c>
      <c r="Y899" s="11">
        <f>IF(ISNUMBER(Z899),YEAR(Z899),"")</f>
        <v/>
      </c>
      <c r="Z899" s="12" t="n"/>
      <c r="AA899" s="12" t="n"/>
      <c r="AI899" s="12" t="n"/>
      <c r="AJ899" s="13">
        <f>IF(LEN(TRIM(AF899))=0,"",HYPERLINK("https://www.google.com/maps/@?api=1&amp;map_action=pano&amp;viewpoint="&amp;SUBSTITUTE(AF899," ",""),"Abrir Street View"))</f>
        <v/>
      </c>
    </row>
    <row r="900">
      <c r="H900" s="6" t="n"/>
      <c r="I900" s="6" t="n"/>
      <c r="M900" s="7" t="n"/>
      <c r="N900" s="7" t="n"/>
      <c r="O900" s="7" t="n"/>
      <c r="Q900" s="7" t="n"/>
      <c r="R900" s="7" t="n"/>
      <c r="S900" s="8">
        <f>IF(NOT(ISNUMBER(M900)),"",IF(G900="Terreno",IF(AND(ISNUMBER(I900),I900&gt;0),M900/I900,""),IF(AND(ISNUMBER(H900),H900&gt;0),M900/H900,"")))</f>
        <v/>
      </c>
      <c r="T900" s="9">
        <f>IF(AND(ISNUMBER(M900),ISNUMBER(O900)),IF(M900&lt;=O900,"Valor ≤ venal IPTU",""),"")</f>
        <v/>
      </c>
      <c r="U900" s="10">
        <f>IF(AND(ISNUMBER(M900),ISNUMBER(N900)),IF(N900&gt;0,M900/N900,""),"")</f>
        <v/>
      </c>
      <c r="V900" s="10">
        <f>IF(AND(ISNUMBER(M900),ISNUMBER(O900)),IF(O900&gt;0,M900/O900,""),"")</f>
        <v/>
      </c>
      <c r="W900" s="10">
        <f>IF(AND(ISNUMBER(M900),ISNUMBER(R900)),IF(R900&gt;0,M900/R900,""),"")</f>
        <v/>
      </c>
      <c r="X900" s="10">
        <f>IF(AND(ISNUMBER(Q900),ISNUMBER(M900)),IF(M900&gt;0,Q900/M900,""),"")</f>
        <v/>
      </c>
      <c r="Y900" s="11">
        <f>IF(ISNUMBER(Z900),YEAR(Z900),"")</f>
        <v/>
      </c>
      <c r="Z900" s="12" t="n"/>
      <c r="AA900" s="12" t="n"/>
      <c r="AI900" s="12" t="n"/>
      <c r="AJ900" s="13">
        <f>IF(LEN(TRIM(AF900))=0,"",HYPERLINK("https://www.google.com/maps/@?api=1&amp;map_action=pano&amp;viewpoint="&amp;SUBSTITUTE(AF900," ",""),"Abrir Street View"))</f>
        <v/>
      </c>
    </row>
    <row r="901">
      <c r="H901" s="6" t="n"/>
      <c r="I901" s="6" t="n"/>
      <c r="M901" s="7" t="n"/>
      <c r="N901" s="7" t="n"/>
      <c r="O901" s="7" t="n"/>
      <c r="Q901" s="7" t="n"/>
      <c r="R901" s="7" t="n"/>
      <c r="S901" s="8">
        <f>IF(NOT(ISNUMBER(M901)),"",IF(G901="Terreno",IF(AND(ISNUMBER(I901),I901&gt;0),M901/I901,""),IF(AND(ISNUMBER(H901),H901&gt;0),M901/H901,"")))</f>
        <v/>
      </c>
      <c r="T901" s="9">
        <f>IF(AND(ISNUMBER(M901),ISNUMBER(O901)),IF(M901&lt;=O901,"Valor ≤ venal IPTU",""),"")</f>
        <v/>
      </c>
      <c r="U901" s="10">
        <f>IF(AND(ISNUMBER(M901),ISNUMBER(N901)),IF(N901&gt;0,M901/N901,""),"")</f>
        <v/>
      </c>
      <c r="V901" s="10">
        <f>IF(AND(ISNUMBER(M901),ISNUMBER(O901)),IF(O901&gt;0,M901/O901,""),"")</f>
        <v/>
      </c>
      <c r="W901" s="10">
        <f>IF(AND(ISNUMBER(M901),ISNUMBER(R901)),IF(R901&gt;0,M901/R901,""),"")</f>
        <v/>
      </c>
      <c r="X901" s="10">
        <f>IF(AND(ISNUMBER(Q901),ISNUMBER(M901)),IF(M901&gt;0,Q901/M901,""),"")</f>
        <v/>
      </c>
      <c r="Y901" s="11">
        <f>IF(ISNUMBER(Z901),YEAR(Z901),"")</f>
        <v/>
      </c>
      <c r="Z901" s="12" t="n"/>
      <c r="AA901" s="12" t="n"/>
      <c r="AI901" s="12" t="n"/>
      <c r="AJ901" s="13">
        <f>IF(LEN(TRIM(AF901))=0,"",HYPERLINK("https://www.google.com/maps/@?api=1&amp;map_action=pano&amp;viewpoint="&amp;SUBSTITUTE(AF901," ",""),"Abrir Street View"))</f>
        <v/>
      </c>
    </row>
    <row r="902">
      <c r="H902" s="6" t="n"/>
      <c r="I902" s="6" t="n"/>
      <c r="M902" s="7" t="n"/>
      <c r="N902" s="7" t="n"/>
      <c r="O902" s="7" t="n"/>
      <c r="Q902" s="7" t="n"/>
      <c r="R902" s="7" t="n"/>
      <c r="S902" s="8">
        <f>IF(NOT(ISNUMBER(M902)),"",IF(G902="Terreno",IF(AND(ISNUMBER(I902),I902&gt;0),M902/I902,""),IF(AND(ISNUMBER(H902),H902&gt;0),M902/H902,"")))</f>
        <v/>
      </c>
      <c r="T902" s="9">
        <f>IF(AND(ISNUMBER(M902),ISNUMBER(O902)),IF(M902&lt;=O902,"Valor ≤ venal IPTU",""),"")</f>
        <v/>
      </c>
      <c r="U902" s="10">
        <f>IF(AND(ISNUMBER(M902),ISNUMBER(N902)),IF(N902&gt;0,M902/N902,""),"")</f>
        <v/>
      </c>
      <c r="V902" s="10">
        <f>IF(AND(ISNUMBER(M902),ISNUMBER(O902)),IF(O902&gt;0,M902/O902,""),"")</f>
        <v/>
      </c>
      <c r="W902" s="10">
        <f>IF(AND(ISNUMBER(M902),ISNUMBER(R902)),IF(R902&gt;0,M902/R902,""),"")</f>
        <v/>
      </c>
      <c r="X902" s="10">
        <f>IF(AND(ISNUMBER(Q902),ISNUMBER(M902)),IF(M902&gt;0,Q902/M902,""),"")</f>
        <v/>
      </c>
      <c r="Y902" s="11">
        <f>IF(ISNUMBER(Z902),YEAR(Z902),"")</f>
        <v/>
      </c>
      <c r="Z902" s="12" t="n"/>
      <c r="AA902" s="12" t="n"/>
      <c r="AI902" s="12" t="n"/>
      <c r="AJ902" s="13">
        <f>IF(LEN(TRIM(AF902))=0,"",HYPERLINK("https://www.google.com/maps/@?api=1&amp;map_action=pano&amp;viewpoint="&amp;SUBSTITUTE(AF902," ",""),"Abrir Street View"))</f>
        <v/>
      </c>
    </row>
    <row r="903">
      <c r="H903" s="6" t="n"/>
      <c r="I903" s="6" t="n"/>
      <c r="M903" s="7" t="n"/>
      <c r="N903" s="7" t="n"/>
      <c r="O903" s="7" t="n"/>
      <c r="Q903" s="7" t="n"/>
      <c r="R903" s="7" t="n"/>
      <c r="S903" s="8">
        <f>IF(NOT(ISNUMBER(M903)),"",IF(G903="Terreno",IF(AND(ISNUMBER(I903),I903&gt;0),M903/I903,""),IF(AND(ISNUMBER(H903),H903&gt;0),M903/H903,"")))</f>
        <v/>
      </c>
      <c r="T903" s="9">
        <f>IF(AND(ISNUMBER(M903),ISNUMBER(O903)),IF(M903&lt;=O903,"Valor ≤ venal IPTU",""),"")</f>
        <v/>
      </c>
      <c r="U903" s="10">
        <f>IF(AND(ISNUMBER(M903),ISNUMBER(N903)),IF(N903&gt;0,M903/N903,""),"")</f>
        <v/>
      </c>
      <c r="V903" s="10">
        <f>IF(AND(ISNUMBER(M903),ISNUMBER(O903)),IF(O903&gt;0,M903/O903,""),"")</f>
        <v/>
      </c>
      <c r="W903" s="10">
        <f>IF(AND(ISNUMBER(M903),ISNUMBER(R903)),IF(R903&gt;0,M903/R903,""),"")</f>
        <v/>
      </c>
      <c r="X903" s="10">
        <f>IF(AND(ISNUMBER(Q903),ISNUMBER(M903)),IF(M903&gt;0,Q903/M903,""),"")</f>
        <v/>
      </c>
      <c r="Y903" s="11">
        <f>IF(ISNUMBER(Z903),YEAR(Z903),"")</f>
        <v/>
      </c>
      <c r="Z903" s="12" t="n"/>
      <c r="AA903" s="12" t="n"/>
      <c r="AI903" s="12" t="n"/>
      <c r="AJ903" s="13">
        <f>IF(LEN(TRIM(AF903))=0,"",HYPERLINK("https://www.google.com/maps/@?api=1&amp;map_action=pano&amp;viewpoint="&amp;SUBSTITUTE(AF903," ",""),"Abrir Street View"))</f>
        <v/>
      </c>
    </row>
    <row r="904">
      <c r="H904" s="6" t="n"/>
      <c r="I904" s="6" t="n"/>
      <c r="M904" s="7" t="n"/>
      <c r="N904" s="7" t="n"/>
      <c r="O904" s="7" t="n"/>
      <c r="Q904" s="7" t="n"/>
      <c r="R904" s="7" t="n"/>
      <c r="S904" s="8">
        <f>IF(NOT(ISNUMBER(M904)),"",IF(G904="Terreno",IF(AND(ISNUMBER(I904),I904&gt;0),M904/I904,""),IF(AND(ISNUMBER(H904),H904&gt;0),M904/H904,"")))</f>
        <v/>
      </c>
      <c r="T904" s="9">
        <f>IF(AND(ISNUMBER(M904),ISNUMBER(O904)),IF(M904&lt;=O904,"Valor ≤ venal IPTU",""),"")</f>
        <v/>
      </c>
      <c r="U904" s="10">
        <f>IF(AND(ISNUMBER(M904),ISNUMBER(N904)),IF(N904&gt;0,M904/N904,""),"")</f>
        <v/>
      </c>
      <c r="V904" s="10">
        <f>IF(AND(ISNUMBER(M904),ISNUMBER(O904)),IF(O904&gt;0,M904/O904,""),"")</f>
        <v/>
      </c>
      <c r="W904" s="10">
        <f>IF(AND(ISNUMBER(M904),ISNUMBER(R904)),IF(R904&gt;0,M904/R904,""),"")</f>
        <v/>
      </c>
      <c r="X904" s="10">
        <f>IF(AND(ISNUMBER(Q904),ISNUMBER(M904)),IF(M904&gt;0,Q904/M904,""),"")</f>
        <v/>
      </c>
      <c r="Y904" s="11">
        <f>IF(ISNUMBER(Z904),YEAR(Z904),"")</f>
        <v/>
      </c>
      <c r="Z904" s="12" t="n"/>
      <c r="AA904" s="12" t="n"/>
      <c r="AI904" s="12" t="n"/>
      <c r="AJ904" s="13">
        <f>IF(LEN(TRIM(AF904))=0,"",HYPERLINK("https://www.google.com/maps/@?api=1&amp;map_action=pano&amp;viewpoint="&amp;SUBSTITUTE(AF904," ",""),"Abrir Street View"))</f>
        <v/>
      </c>
    </row>
    <row r="905">
      <c r="H905" s="6" t="n"/>
      <c r="I905" s="6" t="n"/>
      <c r="M905" s="7" t="n"/>
      <c r="N905" s="7" t="n"/>
      <c r="O905" s="7" t="n"/>
      <c r="Q905" s="7" t="n"/>
      <c r="R905" s="7" t="n"/>
      <c r="S905" s="8">
        <f>IF(NOT(ISNUMBER(M905)),"",IF(G905="Terreno",IF(AND(ISNUMBER(I905),I905&gt;0),M905/I905,""),IF(AND(ISNUMBER(H905),H905&gt;0),M905/H905,"")))</f>
        <v/>
      </c>
      <c r="T905" s="9">
        <f>IF(AND(ISNUMBER(M905),ISNUMBER(O905)),IF(M905&lt;=O905,"Valor ≤ venal IPTU",""),"")</f>
        <v/>
      </c>
      <c r="U905" s="10">
        <f>IF(AND(ISNUMBER(M905),ISNUMBER(N905)),IF(N905&gt;0,M905/N905,""),"")</f>
        <v/>
      </c>
      <c r="V905" s="10">
        <f>IF(AND(ISNUMBER(M905),ISNUMBER(O905)),IF(O905&gt;0,M905/O905,""),"")</f>
        <v/>
      </c>
      <c r="W905" s="10">
        <f>IF(AND(ISNUMBER(M905),ISNUMBER(R905)),IF(R905&gt;0,M905/R905,""),"")</f>
        <v/>
      </c>
      <c r="X905" s="10">
        <f>IF(AND(ISNUMBER(Q905),ISNUMBER(M905)),IF(M905&gt;0,Q905/M905,""),"")</f>
        <v/>
      </c>
      <c r="Y905" s="11">
        <f>IF(ISNUMBER(Z905),YEAR(Z905),"")</f>
        <v/>
      </c>
      <c r="Z905" s="12" t="n"/>
      <c r="AA905" s="12" t="n"/>
      <c r="AI905" s="12" t="n"/>
      <c r="AJ905" s="13">
        <f>IF(LEN(TRIM(AF905))=0,"",HYPERLINK("https://www.google.com/maps/@?api=1&amp;map_action=pano&amp;viewpoint="&amp;SUBSTITUTE(AF905," ",""),"Abrir Street View"))</f>
        <v/>
      </c>
    </row>
    <row r="906">
      <c r="H906" s="6" t="n"/>
      <c r="I906" s="6" t="n"/>
      <c r="M906" s="7" t="n"/>
      <c r="N906" s="7" t="n"/>
      <c r="O906" s="7" t="n"/>
      <c r="Q906" s="7" t="n"/>
      <c r="R906" s="7" t="n"/>
      <c r="S906" s="8">
        <f>IF(NOT(ISNUMBER(M906)),"",IF(G906="Terreno",IF(AND(ISNUMBER(I906),I906&gt;0),M906/I906,""),IF(AND(ISNUMBER(H906),H906&gt;0),M906/H906,"")))</f>
        <v/>
      </c>
      <c r="T906" s="9">
        <f>IF(AND(ISNUMBER(M906),ISNUMBER(O906)),IF(M906&lt;=O906,"Valor ≤ venal IPTU",""),"")</f>
        <v/>
      </c>
      <c r="U906" s="10">
        <f>IF(AND(ISNUMBER(M906),ISNUMBER(N906)),IF(N906&gt;0,M906/N906,""),"")</f>
        <v/>
      </c>
      <c r="V906" s="10">
        <f>IF(AND(ISNUMBER(M906),ISNUMBER(O906)),IF(O906&gt;0,M906/O906,""),"")</f>
        <v/>
      </c>
      <c r="W906" s="10">
        <f>IF(AND(ISNUMBER(M906),ISNUMBER(R906)),IF(R906&gt;0,M906/R906,""),"")</f>
        <v/>
      </c>
      <c r="X906" s="10">
        <f>IF(AND(ISNUMBER(Q906),ISNUMBER(M906)),IF(M906&gt;0,Q906/M906,""),"")</f>
        <v/>
      </c>
      <c r="Y906" s="11">
        <f>IF(ISNUMBER(Z906),YEAR(Z906),"")</f>
        <v/>
      </c>
      <c r="Z906" s="12" t="n"/>
      <c r="AA906" s="12" t="n"/>
      <c r="AI906" s="12" t="n"/>
      <c r="AJ906" s="13">
        <f>IF(LEN(TRIM(AF906))=0,"",HYPERLINK("https://www.google.com/maps/@?api=1&amp;map_action=pano&amp;viewpoint="&amp;SUBSTITUTE(AF906," ",""),"Abrir Street View"))</f>
        <v/>
      </c>
    </row>
    <row r="907">
      <c r="H907" s="6" t="n"/>
      <c r="I907" s="6" t="n"/>
      <c r="M907" s="7" t="n"/>
      <c r="N907" s="7" t="n"/>
      <c r="O907" s="7" t="n"/>
      <c r="Q907" s="7" t="n"/>
      <c r="R907" s="7" t="n"/>
      <c r="S907" s="8">
        <f>IF(NOT(ISNUMBER(M907)),"",IF(G907="Terreno",IF(AND(ISNUMBER(I907),I907&gt;0),M907/I907,""),IF(AND(ISNUMBER(H907),H907&gt;0),M907/H907,"")))</f>
        <v/>
      </c>
      <c r="T907" s="9">
        <f>IF(AND(ISNUMBER(M907),ISNUMBER(O907)),IF(M907&lt;=O907,"Valor ≤ venal IPTU",""),"")</f>
        <v/>
      </c>
      <c r="U907" s="10">
        <f>IF(AND(ISNUMBER(M907),ISNUMBER(N907)),IF(N907&gt;0,M907/N907,""),"")</f>
        <v/>
      </c>
      <c r="V907" s="10">
        <f>IF(AND(ISNUMBER(M907),ISNUMBER(O907)),IF(O907&gt;0,M907/O907,""),"")</f>
        <v/>
      </c>
      <c r="W907" s="10">
        <f>IF(AND(ISNUMBER(M907),ISNUMBER(R907)),IF(R907&gt;0,M907/R907,""),"")</f>
        <v/>
      </c>
      <c r="X907" s="10">
        <f>IF(AND(ISNUMBER(Q907),ISNUMBER(M907)),IF(M907&gt;0,Q907/M907,""),"")</f>
        <v/>
      </c>
      <c r="Y907" s="11">
        <f>IF(ISNUMBER(Z907),YEAR(Z907),"")</f>
        <v/>
      </c>
      <c r="Z907" s="12" t="n"/>
      <c r="AA907" s="12" t="n"/>
      <c r="AI907" s="12" t="n"/>
      <c r="AJ907" s="13">
        <f>IF(LEN(TRIM(AF907))=0,"",HYPERLINK("https://www.google.com/maps/@?api=1&amp;map_action=pano&amp;viewpoint="&amp;SUBSTITUTE(AF907," ",""),"Abrir Street View"))</f>
        <v/>
      </c>
    </row>
    <row r="908">
      <c r="H908" s="6" t="n"/>
      <c r="I908" s="6" t="n"/>
      <c r="M908" s="7" t="n"/>
      <c r="N908" s="7" t="n"/>
      <c r="O908" s="7" t="n"/>
      <c r="Q908" s="7" t="n"/>
      <c r="R908" s="7" t="n"/>
      <c r="S908" s="8">
        <f>IF(NOT(ISNUMBER(M908)),"",IF(G908="Terreno",IF(AND(ISNUMBER(I908),I908&gt;0),M908/I908,""),IF(AND(ISNUMBER(H908),H908&gt;0),M908/H908,"")))</f>
        <v/>
      </c>
      <c r="T908" s="9">
        <f>IF(AND(ISNUMBER(M908),ISNUMBER(O908)),IF(M908&lt;=O908,"Valor ≤ venal IPTU",""),"")</f>
        <v/>
      </c>
      <c r="U908" s="10">
        <f>IF(AND(ISNUMBER(M908),ISNUMBER(N908)),IF(N908&gt;0,M908/N908,""),"")</f>
        <v/>
      </c>
      <c r="V908" s="10">
        <f>IF(AND(ISNUMBER(M908),ISNUMBER(O908)),IF(O908&gt;0,M908/O908,""),"")</f>
        <v/>
      </c>
      <c r="W908" s="10">
        <f>IF(AND(ISNUMBER(M908),ISNUMBER(R908)),IF(R908&gt;0,M908/R908,""),"")</f>
        <v/>
      </c>
      <c r="X908" s="10">
        <f>IF(AND(ISNUMBER(Q908),ISNUMBER(M908)),IF(M908&gt;0,Q908/M908,""),"")</f>
        <v/>
      </c>
      <c r="Y908" s="11">
        <f>IF(ISNUMBER(Z908),YEAR(Z908),"")</f>
        <v/>
      </c>
      <c r="Z908" s="12" t="n"/>
      <c r="AA908" s="12" t="n"/>
      <c r="AI908" s="12" t="n"/>
      <c r="AJ908" s="13">
        <f>IF(LEN(TRIM(AF908))=0,"",HYPERLINK("https://www.google.com/maps/@?api=1&amp;map_action=pano&amp;viewpoint="&amp;SUBSTITUTE(AF908," ",""),"Abrir Street View"))</f>
        <v/>
      </c>
    </row>
    <row r="909">
      <c r="H909" s="6" t="n"/>
      <c r="I909" s="6" t="n"/>
      <c r="M909" s="7" t="n"/>
      <c r="N909" s="7" t="n"/>
      <c r="O909" s="7" t="n"/>
      <c r="Q909" s="7" t="n"/>
      <c r="R909" s="7" t="n"/>
      <c r="S909" s="8">
        <f>IF(NOT(ISNUMBER(M909)),"",IF(G909="Terreno",IF(AND(ISNUMBER(I909),I909&gt;0),M909/I909,""),IF(AND(ISNUMBER(H909),H909&gt;0),M909/H909,"")))</f>
        <v/>
      </c>
      <c r="T909" s="9">
        <f>IF(AND(ISNUMBER(M909),ISNUMBER(O909)),IF(M909&lt;=O909,"Valor ≤ venal IPTU",""),"")</f>
        <v/>
      </c>
      <c r="U909" s="10">
        <f>IF(AND(ISNUMBER(M909),ISNUMBER(N909)),IF(N909&gt;0,M909/N909,""),"")</f>
        <v/>
      </c>
      <c r="V909" s="10">
        <f>IF(AND(ISNUMBER(M909),ISNUMBER(O909)),IF(O909&gt;0,M909/O909,""),"")</f>
        <v/>
      </c>
      <c r="W909" s="10">
        <f>IF(AND(ISNUMBER(M909),ISNUMBER(R909)),IF(R909&gt;0,M909/R909,""),"")</f>
        <v/>
      </c>
      <c r="X909" s="10">
        <f>IF(AND(ISNUMBER(Q909),ISNUMBER(M909)),IF(M909&gt;0,Q909/M909,""),"")</f>
        <v/>
      </c>
      <c r="Y909" s="11">
        <f>IF(ISNUMBER(Z909),YEAR(Z909),"")</f>
        <v/>
      </c>
      <c r="Z909" s="12" t="n"/>
      <c r="AA909" s="12" t="n"/>
      <c r="AI909" s="12" t="n"/>
      <c r="AJ909" s="13">
        <f>IF(LEN(TRIM(AF909))=0,"",HYPERLINK("https://www.google.com/maps/@?api=1&amp;map_action=pano&amp;viewpoint="&amp;SUBSTITUTE(AF909," ",""),"Abrir Street View"))</f>
        <v/>
      </c>
    </row>
    <row r="910">
      <c r="H910" s="6" t="n"/>
      <c r="I910" s="6" t="n"/>
      <c r="M910" s="7" t="n"/>
      <c r="N910" s="7" t="n"/>
      <c r="O910" s="7" t="n"/>
      <c r="Q910" s="7" t="n"/>
      <c r="R910" s="7" t="n"/>
      <c r="S910" s="8">
        <f>IF(NOT(ISNUMBER(M910)),"",IF(G910="Terreno",IF(AND(ISNUMBER(I910),I910&gt;0),M910/I910,""),IF(AND(ISNUMBER(H910),H910&gt;0),M910/H910,"")))</f>
        <v/>
      </c>
      <c r="T910" s="9">
        <f>IF(AND(ISNUMBER(M910),ISNUMBER(O910)),IF(M910&lt;=O910,"Valor ≤ venal IPTU",""),"")</f>
        <v/>
      </c>
      <c r="U910" s="10">
        <f>IF(AND(ISNUMBER(M910),ISNUMBER(N910)),IF(N910&gt;0,M910/N910,""),"")</f>
        <v/>
      </c>
      <c r="V910" s="10">
        <f>IF(AND(ISNUMBER(M910),ISNUMBER(O910)),IF(O910&gt;0,M910/O910,""),"")</f>
        <v/>
      </c>
      <c r="W910" s="10">
        <f>IF(AND(ISNUMBER(M910),ISNUMBER(R910)),IF(R910&gt;0,M910/R910,""),"")</f>
        <v/>
      </c>
      <c r="X910" s="10">
        <f>IF(AND(ISNUMBER(Q910),ISNUMBER(M910)),IF(M910&gt;0,Q910/M910,""),"")</f>
        <v/>
      </c>
      <c r="Y910" s="11">
        <f>IF(ISNUMBER(Z910),YEAR(Z910),"")</f>
        <v/>
      </c>
      <c r="Z910" s="12" t="n"/>
      <c r="AA910" s="12" t="n"/>
      <c r="AI910" s="12" t="n"/>
      <c r="AJ910" s="13">
        <f>IF(LEN(TRIM(AF910))=0,"",HYPERLINK("https://www.google.com/maps/@?api=1&amp;map_action=pano&amp;viewpoint="&amp;SUBSTITUTE(AF910," ",""),"Abrir Street View"))</f>
        <v/>
      </c>
    </row>
    <row r="911">
      <c r="H911" s="6" t="n"/>
      <c r="I911" s="6" t="n"/>
      <c r="M911" s="7" t="n"/>
      <c r="N911" s="7" t="n"/>
      <c r="O911" s="7" t="n"/>
      <c r="Q911" s="7" t="n"/>
      <c r="R911" s="7" t="n"/>
      <c r="S911" s="8">
        <f>IF(NOT(ISNUMBER(M911)),"",IF(G911="Terreno",IF(AND(ISNUMBER(I911),I911&gt;0),M911/I911,""),IF(AND(ISNUMBER(H911),H911&gt;0),M911/H911,"")))</f>
        <v/>
      </c>
      <c r="T911" s="9">
        <f>IF(AND(ISNUMBER(M911),ISNUMBER(O911)),IF(M911&lt;=O911,"Valor ≤ venal IPTU",""),"")</f>
        <v/>
      </c>
      <c r="U911" s="10">
        <f>IF(AND(ISNUMBER(M911),ISNUMBER(N911)),IF(N911&gt;0,M911/N911,""),"")</f>
        <v/>
      </c>
      <c r="V911" s="10">
        <f>IF(AND(ISNUMBER(M911),ISNUMBER(O911)),IF(O911&gt;0,M911/O911,""),"")</f>
        <v/>
      </c>
      <c r="W911" s="10">
        <f>IF(AND(ISNUMBER(M911),ISNUMBER(R911)),IF(R911&gt;0,M911/R911,""),"")</f>
        <v/>
      </c>
      <c r="X911" s="10">
        <f>IF(AND(ISNUMBER(Q911),ISNUMBER(M911)),IF(M911&gt;0,Q911/M911,""),"")</f>
        <v/>
      </c>
      <c r="Y911" s="11">
        <f>IF(ISNUMBER(Z911),YEAR(Z911),"")</f>
        <v/>
      </c>
      <c r="Z911" s="12" t="n"/>
      <c r="AA911" s="12" t="n"/>
      <c r="AI911" s="12" t="n"/>
      <c r="AJ911" s="13">
        <f>IF(LEN(TRIM(AF911))=0,"",HYPERLINK("https://www.google.com/maps/@?api=1&amp;map_action=pano&amp;viewpoint="&amp;SUBSTITUTE(AF911," ",""),"Abrir Street View"))</f>
        <v/>
      </c>
    </row>
    <row r="912">
      <c r="H912" s="6" t="n"/>
      <c r="I912" s="6" t="n"/>
      <c r="M912" s="7" t="n"/>
      <c r="N912" s="7" t="n"/>
      <c r="O912" s="7" t="n"/>
      <c r="Q912" s="7" t="n"/>
      <c r="R912" s="7" t="n"/>
      <c r="S912" s="8">
        <f>IF(NOT(ISNUMBER(M912)),"",IF(G912="Terreno",IF(AND(ISNUMBER(I912),I912&gt;0),M912/I912,""),IF(AND(ISNUMBER(H912),H912&gt;0),M912/H912,"")))</f>
        <v/>
      </c>
      <c r="T912" s="9">
        <f>IF(AND(ISNUMBER(M912),ISNUMBER(O912)),IF(M912&lt;=O912,"Valor ≤ venal IPTU",""),"")</f>
        <v/>
      </c>
      <c r="U912" s="10">
        <f>IF(AND(ISNUMBER(M912),ISNUMBER(N912)),IF(N912&gt;0,M912/N912,""),"")</f>
        <v/>
      </c>
      <c r="V912" s="10">
        <f>IF(AND(ISNUMBER(M912),ISNUMBER(O912)),IF(O912&gt;0,M912/O912,""),"")</f>
        <v/>
      </c>
      <c r="W912" s="10">
        <f>IF(AND(ISNUMBER(M912),ISNUMBER(R912)),IF(R912&gt;0,M912/R912,""),"")</f>
        <v/>
      </c>
      <c r="X912" s="10">
        <f>IF(AND(ISNUMBER(Q912),ISNUMBER(M912)),IF(M912&gt;0,Q912/M912,""),"")</f>
        <v/>
      </c>
      <c r="Y912" s="11">
        <f>IF(ISNUMBER(Z912),YEAR(Z912),"")</f>
        <v/>
      </c>
      <c r="Z912" s="12" t="n"/>
      <c r="AA912" s="12" t="n"/>
      <c r="AI912" s="12" t="n"/>
      <c r="AJ912" s="13">
        <f>IF(LEN(TRIM(AF912))=0,"",HYPERLINK("https://www.google.com/maps/@?api=1&amp;map_action=pano&amp;viewpoint="&amp;SUBSTITUTE(AF912," ",""),"Abrir Street View"))</f>
        <v/>
      </c>
    </row>
    <row r="913">
      <c r="H913" s="6" t="n"/>
      <c r="I913" s="6" t="n"/>
      <c r="M913" s="7" t="n"/>
      <c r="N913" s="7" t="n"/>
      <c r="O913" s="7" t="n"/>
      <c r="Q913" s="7" t="n"/>
      <c r="R913" s="7" t="n"/>
      <c r="S913" s="8">
        <f>IF(NOT(ISNUMBER(M913)),"",IF(G913="Terreno",IF(AND(ISNUMBER(I913),I913&gt;0),M913/I913,""),IF(AND(ISNUMBER(H913),H913&gt;0),M913/H913,"")))</f>
        <v/>
      </c>
      <c r="T913" s="9">
        <f>IF(AND(ISNUMBER(M913),ISNUMBER(O913)),IF(M913&lt;=O913,"Valor ≤ venal IPTU",""),"")</f>
        <v/>
      </c>
      <c r="U913" s="10">
        <f>IF(AND(ISNUMBER(M913),ISNUMBER(N913)),IF(N913&gt;0,M913/N913,""),"")</f>
        <v/>
      </c>
      <c r="V913" s="10">
        <f>IF(AND(ISNUMBER(M913),ISNUMBER(O913)),IF(O913&gt;0,M913/O913,""),"")</f>
        <v/>
      </c>
      <c r="W913" s="10">
        <f>IF(AND(ISNUMBER(M913),ISNUMBER(R913)),IF(R913&gt;0,M913/R913,""),"")</f>
        <v/>
      </c>
      <c r="X913" s="10">
        <f>IF(AND(ISNUMBER(Q913),ISNUMBER(M913)),IF(M913&gt;0,Q913/M913,""),"")</f>
        <v/>
      </c>
      <c r="Y913" s="11">
        <f>IF(ISNUMBER(Z913),YEAR(Z913),"")</f>
        <v/>
      </c>
      <c r="Z913" s="12" t="n"/>
      <c r="AA913" s="12" t="n"/>
      <c r="AI913" s="12" t="n"/>
      <c r="AJ913" s="13">
        <f>IF(LEN(TRIM(AF913))=0,"",HYPERLINK("https://www.google.com/maps/@?api=1&amp;map_action=pano&amp;viewpoint="&amp;SUBSTITUTE(AF913," ",""),"Abrir Street View"))</f>
        <v/>
      </c>
    </row>
    <row r="914">
      <c r="H914" s="6" t="n"/>
      <c r="I914" s="6" t="n"/>
      <c r="M914" s="7" t="n"/>
      <c r="N914" s="7" t="n"/>
      <c r="O914" s="7" t="n"/>
      <c r="Q914" s="7" t="n"/>
      <c r="R914" s="7" t="n"/>
      <c r="S914" s="8">
        <f>IF(NOT(ISNUMBER(M914)),"",IF(G914="Terreno",IF(AND(ISNUMBER(I914),I914&gt;0),M914/I914,""),IF(AND(ISNUMBER(H914),H914&gt;0),M914/H914,"")))</f>
        <v/>
      </c>
      <c r="T914" s="9">
        <f>IF(AND(ISNUMBER(M914),ISNUMBER(O914)),IF(M914&lt;=O914,"Valor ≤ venal IPTU",""),"")</f>
        <v/>
      </c>
      <c r="U914" s="10">
        <f>IF(AND(ISNUMBER(M914),ISNUMBER(N914)),IF(N914&gt;0,M914/N914,""),"")</f>
        <v/>
      </c>
      <c r="V914" s="10">
        <f>IF(AND(ISNUMBER(M914),ISNUMBER(O914)),IF(O914&gt;0,M914/O914,""),"")</f>
        <v/>
      </c>
      <c r="W914" s="10">
        <f>IF(AND(ISNUMBER(M914),ISNUMBER(R914)),IF(R914&gt;0,M914/R914,""),"")</f>
        <v/>
      </c>
      <c r="X914" s="10">
        <f>IF(AND(ISNUMBER(Q914),ISNUMBER(M914)),IF(M914&gt;0,Q914/M914,""),"")</f>
        <v/>
      </c>
      <c r="Y914" s="11">
        <f>IF(ISNUMBER(Z914),YEAR(Z914),"")</f>
        <v/>
      </c>
      <c r="Z914" s="12" t="n"/>
      <c r="AA914" s="12" t="n"/>
      <c r="AI914" s="12" t="n"/>
      <c r="AJ914" s="13">
        <f>IF(LEN(TRIM(AF914))=0,"",HYPERLINK("https://www.google.com/maps/@?api=1&amp;map_action=pano&amp;viewpoint="&amp;SUBSTITUTE(AF914," ",""),"Abrir Street View"))</f>
        <v/>
      </c>
    </row>
    <row r="915">
      <c r="H915" s="6" t="n"/>
      <c r="I915" s="6" t="n"/>
      <c r="M915" s="7" t="n"/>
      <c r="N915" s="7" t="n"/>
      <c r="O915" s="7" t="n"/>
      <c r="Q915" s="7" t="n"/>
      <c r="R915" s="7" t="n"/>
      <c r="S915" s="8">
        <f>IF(NOT(ISNUMBER(M915)),"",IF(G915="Terreno",IF(AND(ISNUMBER(I915),I915&gt;0),M915/I915,""),IF(AND(ISNUMBER(H915),H915&gt;0),M915/H915,"")))</f>
        <v/>
      </c>
      <c r="T915" s="9">
        <f>IF(AND(ISNUMBER(M915),ISNUMBER(O915)),IF(M915&lt;=O915,"Valor ≤ venal IPTU",""),"")</f>
        <v/>
      </c>
      <c r="U915" s="10">
        <f>IF(AND(ISNUMBER(M915),ISNUMBER(N915)),IF(N915&gt;0,M915/N915,""),"")</f>
        <v/>
      </c>
      <c r="V915" s="10">
        <f>IF(AND(ISNUMBER(M915),ISNUMBER(O915)),IF(O915&gt;0,M915/O915,""),"")</f>
        <v/>
      </c>
      <c r="W915" s="10">
        <f>IF(AND(ISNUMBER(M915),ISNUMBER(R915)),IF(R915&gt;0,M915/R915,""),"")</f>
        <v/>
      </c>
      <c r="X915" s="10">
        <f>IF(AND(ISNUMBER(Q915),ISNUMBER(M915)),IF(M915&gt;0,Q915/M915,""),"")</f>
        <v/>
      </c>
      <c r="Y915" s="11">
        <f>IF(ISNUMBER(Z915),YEAR(Z915),"")</f>
        <v/>
      </c>
      <c r="Z915" s="12" t="n"/>
      <c r="AA915" s="12" t="n"/>
      <c r="AI915" s="12" t="n"/>
      <c r="AJ915" s="13">
        <f>IF(LEN(TRIM(AF915))=0,"",HYPERLINK("https://www.google.com/maps/@?api=1&amp;map_action=pano&amp;viewpoint="&amp;SUBSTITUTE(AF915," ",""),"Abrir Street View"))</f>
        <v/>
      </c>
    </row>
    <row r="916">
      <c r="H916" s="6" t="n"/>
      <c r="I916" s="6" t="n"/>
      <c r="M916" s="7" t="n"/>
      <c r="N916" s="7" t="n"/>
      <c r="O916" s="7" t="n"/>
      <c r="Q916" s="7" t="n"/>
      <c r="R916" s="7" t="n"/>
      <c r="S916" s="8">
        <f>IF(NOT(ISNUMBER(M916)),"",IF(G916="Terreno",IF(AND(ISNUMBER(I916),I916&gt;0),M916/I916,""),IF(AND(ISNUMBER(H916),H916&gt;0),M916/H916,"")))</f>
        <v/>
      </c>
      <c r="T916" s="9">
        <f>IF(AND(ISNUMBER(M916),ISNUMBER(O916)),IF(M916&lt;=O916,"Valor ≤ venal IPTU",""),"")</f>
        <v/>
      </c>
      <c r="U916" s="10">
        <f>IF(AND(ISNUMBER(M916),ISNUMBER(N916)),IF(N916&gt;0,M916/N916,""),"")</f>
        <v/>
      </c>
      <c r="V916" s="10">
        <f>IF(AND(ISNUMBER(M916),ISNUMBER(O916)),IF(O916&gt;0,M916/O916,""),"")</f>
        <v/>
      </c>
      <c r="W916" s="10">
        <f>IF(AND(ISNUMBER(M916),ISNUMBER(R916)),IF(R916&gt;0,M916/R916,""),"")</f>
        <v/>
      </c>
      <c r="X916" s="10">
        <f>IF(AND(ISNUMBER(Q916),ISNUMBER(M916)),IF(M916&gt;0,Q916/M916,""),"")</f>
        <v/>
      </c>
      <c r="Y916" s="11">
        <f>IF(ISNUMBER(Z916),YEAR(Z916),"")</f>
        <v/>
      </c>
      <c r="Z916" s="12" t="n"/>
      <c r="AA916" s="12" t="n"/>
      <c r="AI916" s="12" t="n"/>
      <c r="AJ916" s="13">
        <f>IF(LEN(TRIM(AF916))=0,"",HYPERLINK("https://www.google.com/maps/@?api=1&amp;map_action=pano&amp;viewpoint="&amp;SUBSTITUTE(AF916," ",""),"Abrir Street View"))</f>
        <v/>
      </c>
    </row>
    <row r="917">
      <c r="H917" s="6" t="n"/>
      <c r="I917" s="6" t="n"/>
      <c r="M917" s="7" t="n"/>
      <c r="N917" s="7" t="n"/>
      <c r="O917" s="7" t="n"/>
      <c r="Q917" s="7" t="n"/>
      <c r="R917" s="7" t="n"/>
      <c r="S917" s="8">
        <f>IF(NOT(ISNUMBER(M917)),"",IF(G917="Terreno",IF(AND(ISNUMBER(I917),I917&gt;0),M917/I917,""),IF(AND(ISNUMBER(H917),H917&gt;0),M917/H917,"")))</f>
        <v/>
      </c>
      <c r="T917" s="9">
        <f>IF(AND(ISNUMBER(M917),ISNUMBER(O917)),IF(M917&lt;=O917,"Valor ≤ venal IPTU",""),"")</f>
        <v/>
      </c>
      <c r="U917" s="10">
        <f>IF(AND(ISNUMBER(M917),ISNUMBER(N917)),IF(N917&gt;0,M917/N917,""),"")</f>
        <v/>
      </c>
      <c r="V917" s="10">
        <f>IF(AND(ISNUMBER(M917),ISNUMBER(O917)),IF(O917&gt;0,M917/O917,""),"")</f>
        <v/>
      </c>
      <c r="W917" s="10">
        <f>IF(AND(ISNUMBER(M917),ISNUMBER(R917)),IF(R917&gt;0,M917/R917,""),"")</f>
        <v/>
      </c>
      <c r="X917" s="10">
        <f>IF(AND(ISNUMBER(Q917),ISNUMBER(M917)),IF(M917&gt;0,Q917/M917,""),"")</f>
        <v/>
      </c>
      <c r="Y917" s="11">
        <f>IF(ISNUMBER(Z917),YEAR(Z917),"")</f>
        <v/>
      </c>
      <c r="Z917" s="12" t="n"/>
      <c r="AA917" s="12" t="n"/>
      <c r="AI917" s="12" t="n"/>
      <c r="AJ917" s="13">
        <f>IF(LEN(TRIM(AF917))=0,"",HYPERLINK("https://www.google.com/maps/@?api=1&amp;map_action=pano&amp;viewpoint="&amp;SUBSTITUTE(AF917," ",""),"Abrir Street View"))</f>
        <v/>
      </c>
    </row>
    <row r="918">
      <c r="H918" s="6" t="n"/>
      <c r="I918" s="6" t="n"/>
      <c r="M918" s="7" t="n"/>
      <c r="N918" s="7" t="n"/>
      <c r="O918" s="7" t="n"/>
      <c r="Q918" s="7" t="n"/>
      <c r="R918" s="7" t="n"/>
      <c r="S918" s="8">
        <f>IF(NOT(ISNUMBER(M918)),"",IF(G918="Terreno",IF(AND(ISNUMBER(I918),I918&gt;0),M918/I918,""),IF(AND(ISNUMBER(H918),H918&gt;0),M918/H918,"")))</f>
        <v/>
      </c>
      <c r="T918" s="9">
        <f>IF(AND(ISNUMBER(M918),ISNUMBER(O918)),IF(M918&lt;=O918,"Valor ≤ venal IPTU",""),"")</f>
        <v/>
      </c>
      <c r="U918" s="10">
        <f>IF(AND(ISNUMBER(M918),ISNUMBER(N918)),IF(N918&gt;0,M918/N918,""),"")</f>
        <v/>
      </c>
      <c r="V918" s="10">
        <f>IF(AND(ISNUMBER(M918),ISNUMBER(O918)),IF(O918&gt;0,M918/O918,""),"")</f>
        <v/>
      </c>
      <c r="W918" s="10">
        <f>IF(AND(ISNUMBER(M918),ISNUMBER(R918)),IF(R918&gt;0,M918/R918,""),"")</f>
        <v/>
      </c>
      <c r="X918" s="10">
        <f>IF(AND(ISNUMBER(Q918),ISNUMBER(M918)),IF(M918&gt;0,Q918/M918,""),"")</f>
        <v/>
      </c>
      <c r="Y918" s="11">
        <f>IF(ISNUMBER(Z918),YEAR(Z918),"")</f>
        <v/>
      </c>
      <c r="Z918" s="12" t="n"/>
      <c r="AA918" s="12" t="n"/>
      <c r="AI918" s="12" t="n"/>
      <c r="AJ918" s="13">
        <f>IF(LEN(TRIM(AF918))=0,"",HYPERLINK("https://www.google.com/maps/@?api=1&amp;map_action=pano&amp;viewpoint="&amp;SUBSTITUTE(AF918," ",""),"Abrir Street View"))</f>
        <v/>
      </c>
    </row>
    <row r="919">
      <c r="H919" s="6" t="n"/>
      <c r="I919" s="6" t="n"/>
      <c r="M919" s="7" t="n"/>
      <c r="N919" s="7" t="n"/>
      <c r="O919" s="7" t="n"/>
      <c r="Q919" s="7" t="n"/>
      <c r="R919" s="7" t="n"/>
      <c r="S919" s="8">
        <f>IF(NOT(ISNUMBER(M919)),"",IF(G919="Terreno",IF(AND(ISNUMBER(I919),I919&gt;0),M919/I919,""),IF(AND(ISNUMBER(H919),H919&gt;0),M919/H919,"")))</f>
        <v/>
      </c>
      <c r="T919" s="9">
        <f>IF(AND(ISNUMBER(M919),ISNUMBER(O919)),IF(M919&lt;=O919,"Valor ≤ venal IPTU",""),"")</f>
        <v/>
      </c>
      <c r="U919" s="10">
        <f>IF(AND(ISNUMBER(M919),ISNUMBER(N919)),IF(N919&gt;0,M919/N919,""),"")</f>
        <v/>
      </c>
      <c r="V919" s="10">
        <f>IF(AND(ISNUMBER(M919),ISNUMBER(O919)),IF(O919&gt;0,M919/O919,""),"")</f>
        <v/>
      </c>
      <c r="W919" s="10">
        <f>IF(AND(ISNUMBER(M919),ISNUMBER(R919)),IF(R919&gt;0,M919/R919,""),"")</f>
        <v/>
      </c>
      <c r="X919" s="10">
        <f>IF(AND(ISNUMBER(Q919),ISNUMBER(M919)),IF(M919&gt;0,Q919/M919,""),"")</f>
        <v/>
      </c>
      <c r="Y919" s="11">
        <f>IF(ISNUMBER(Z919),YEAR(Z919),"")</f>
        <v/>
      </c>
      <c r="Z919" s="12" t="n"/>
      <c r="AA919" s="12" t="n"/>
      <c r="AI919" s="12" t="n"/>
      <c r="AJ919" s="13">
        <f>IF(LEN(TRIM(AF919))=0,"",HYPERLINK("https://www.google.com/maps/@?api=1&amp;map_action=pano&amp;viewpoint="&amp;SUBSTITUTE(AF919," ",""),"Abrir Street View"))</f>
        <v/>
      </c>
    </row>
    <row r="920">
      <c r="H920" s="6" t="n"/>
      <c r="I920" s="6" t="n"/>
      <c r="M920" s="7" t="n"/>
      <c r="N920" s="7" t="n"/>
      <c r="O920" s="7" t="n"/>
      <c r="Q920" s="7" t="n"/>
      <c r="R920" s="7" t="n"/>
      <c r="S920" s="8">
        <f>IF(NOT(ISNUMBER(M920)),"",IF(G920="Terreno",IF(AND(ISNUMBER(I920),I920&gt;0),M920/I920,""),IF(AND(ISNUMBER(H920),H920&gt;0),M920/H920,"")))</f>
        <v/>
      </c>
      <c r="T920" s="9">
        <f>IF(AND(ISNUMBER(M920),ISNUMBER(O920)),IF(M920&lt;=O920,"Valor ≤ venal IPTU",""),"")</f>
        <v/>
      </c>
      <c r="U920" s="10">
        <f>IF(AND(ISNUMBER(M920),ISNUMBER(N920)),IF(N920&gt;0,M920/N920,""),"")</f>
        <v/>
      </c>
      <c r="V920" s="10">
        <f>IF(AND(ISNUMBER(M920),ISNUMBER(O920)),IF(O920&gt;0,M920/O920,""),"")</f>
        <v/>
      </c>
      <c r="W920" s="10">
        <f>IF(AND(ISNUMBER(M920),ISNUMBER(R920)),IF(R920&gt;0,M920/R920,""),"")</f>
        <v/>
      </c>
      <c r="X920" s="10">
        <f>IF(AND(ISNUMBER(Q920),ISNUMBER(M920)),IF(M920&gt;0,Q920/M920,""),"")</f>
        <v/>
      </c>
      <c r="Y920" s="11">
        <f>IF(ISNUMBER(Z920),YEAR(Z920),"")</f>
        <v/>
      </c>
      <c r="Z920" s="12" t="n"/>
      <c r="AA920" s="12" t="n"/>
      <c r="AI920" s="12" t="n"/>
      <c r="AJ920" s="13">
        <f>IF(LEN(TRIM(AF920))=0,"",HYPERLINK("https://www.google.com/maps/@?api=1&amp;map_action=pano&amp;viewpoint="&amp;SUBSTITUTE(AF920," ",""),"Abrir Street View"))</f>
        <v/>
      </c>
    </row>
    <row r="921">
      <c r="H921" s="6" t="n"/>
      <c r="I921" s="6" t="n"/>
      <c r="M921" s="7" t="n"/>
      <c r="N921" s="7" t="n"/>
      <c r="O921" s="7" t="n"/>
      <c r="Q921" s="7" t="n"/>
      <c r="R921" s="7" t="n"/>
      <c r="S921" s="8">
        <f>IF(NOT(ISNUMBER(M921)),"",IF(G921="Terreno",IF(AND(ISNUMBER(I921),I921&gt;0),M921/I921,""),IF(AND(ISNUMBER(H921),H921&gt;0),M921/H921,"")))</f>
        <v/>
      </c>
      <c r="T921" s="9">
        <f>IF(AND(ISNUMBER(M921),ISNUMBER(O921)),IF(M921&lt;=O921,"Valor ≤ venal IPTU",""),"")</f>
        <v/>
      </c>
      <c r="U921" s="10">
        <f>IF(AND(ISNUMBER(M921),ISNUMBER(N921)),IF(N921&gt;0,M921/N921,""),"")</f>
        <v/>
      </c>
      <c r="V921" s="10">
        <f>IF(AND(ISNUMBER(M921),ISNUMBER(O921)),IF(O921&gt;0,M921/O921,""),"")</f>
        <v/>
      </c>
      <c r="W921" s="10">
        <f>IF(AND(ISNUMBER(M921),ISNUMBER(R921)),IF(R921&gt;0,M921/R921,""),"")</f>
        <v/>
      </c>
      <c r="X921" s="10">
        <f>IF(AND(ISNUMBER(Q921),ISNUMBER(M921)),IF(M921&gt;0,Q921/M921,""),"")</f>
        <v/>
      </c>
      <c r="Y921" s="11">
        <f>IF(ISNUMBER(Z921),YEAR(Z921),"")</f>
        <v/>
      </c>
      <c r="Z921" s="12" t="n"/>
      <c r="AA921" s="12" t="n"/>
      <c r="AI921" s="12" t="n"/>
      <c r="AJ921" s="13">
        <f>IF(LEN(TRIM(AF921))=0,"",HYPERLINK("https://www.google.com/maps/@?api=1&amp;map_action=pano&amp;viewpoint="&amp;SUBSTITUTE(AF921," ",""),"Abrir Street View"))</f>
        <v/>
      </c>
    </row>
    <row r="922">
      <c r="H922" s="6" t="n"/>
      <c r="I922" s="6" t="n"/>
      <c r="M922" s="7" t="n"/>
      <c r="N922" s="7" t="n"/>
      <c r="O922" s="7" t="n"/>
      <c r="Q922" s="7" t="n"/>
      <c r="R922" s="7" t="n"/>
      <c r="S922" s="8">
        <f>IF(NOT(ISNUMBER(M922)),"",IF(G922="Terreno",IF(AND(ISNUMBER(I922),I922&gt;0),M922/I922,""),IF(AND(ISNUMBER(H922),H922&gt;0),M922/H922,"")))</f>
        <v/>
      </c>
      <c r="T922" s="9">
        <f>IF(AND(ISNUMBER(M922),ISNUMBER(O922)),IF(M922&lt;=O922,"Valor ≤ venal IPTU",""),"")</f>
        <v/>
      </c>
      <c r="U922" s="10">
        <f>IF(AND(ISNUMBER(M922),ISNUMBER(N922)),IF(N922&gt;0,M922/N922,""),"")</f>
        <v/>
      </c>
      <c r="V922" s="10">
        <f>IF(AND(ISNUMBER(M922),ISNUMBER(O922)),IF(O922&gt;0,M922/O922,""),"")</f>
        <v/>
      </c>
      <c r="W922" s="10">
        <f>IF(AND(ISNUMBER(M922),ISNUMBER(R922)),IF(R922&gt;0,M922/R922,""),"")</f>
        <v/>
      </c>
      <c r="X922" s="10">
        <f>IF(AND(ISNUMBER(Q922),ISNUMBER(M922)),IF(M922&gt;0,Q922/M922,""),"")</f>
        <v/>
      </c>
      <c r="Y922" s="11">
        <f>IF(ISNUMBER(Z922),YEAR(Z922),"")</f>
        <v/>
      </c>
      <c r="Z922" s="12" t="n"/>
      <c r="AA922" s="12" t="n"/>
      <c r="AI922" s="12" t="n"/>
      <c r="AJ922" s="13">
        <f>IF(LEN(TRIM(AF922))=0,"",HYPERLINK("https://www.google.com/maps/@?api=1&amp;map_action=pano&amp;viewpoint="&amp;SUBSTITUTE(AF922," ",""),"Abrir Street View"))</f>
        <v/>
      </c>
    </row>
    <row r="923">
      <c r="H923" s="6" t="n"/>
      <c r="I923" s="6" t="n"/>
      <c r="M923" s="7" t="n"/>
      <c r="N923" s="7" t="n"/>
      <c r="O923" s="7" t="n"/>
      <c r="Q923" s="7" t="n"/>
      <c r="R923" s="7" t="n"/>
      <c r="S923" s="8">
        <f>IF(NOT(ISNUMBER(M923)),"",IF(G923="Terreno",IF(AND(ISNUMBER(I923),I923&gt;0),M923/I923,""),IF(AND(ISNUMBER(H923),H923&gt;0),M923/H923,"")))</f>
        <v/>
      </c>
      <c r="T923" s="9">
        <f>IF(AND(ISNUMBER(M923),ISNUMBER(O923)),IF(M923&lt;=O923,"Valor ≤ venal IPTU",""),"")</f>
        <v/>
      </c>
      <c r="U923" s="10">
        <f>IF(AND(ISNUMBER(M923),ISNUMBER(N923)),IF(N923&gt;0,M923/N923,""),"")</f>
        <v/>
      </c>
      <c r="V923" s="10">
        <f>IF(AND(ISNUMBER(M923),ISNUMBER(O923)),IF(O923&gt;0,M923/O923,""),"")</f>
        <v/>
      </c>
      <c r="W923" s="10">
        <f>IF(AND(ISNUMBER(M923),ISNUMBER(R923)),IF(R923&gt;0,M923/R923,""),"")</f>
        <v/>
      </c>
      <c r="X923" s="10">
        <f>IF(AND(ISNUMBER(Q923),ISNUMBER(M923)),IF(M923&gt;0,Q923/M923,""),"")</f>
        <v/>
      </c>
      <c r="Y923" s="11">
        <f>IF(ISNUMBER(Z923),YEAR(Z923),"")</f>
        <v/>
      </c>
      <c r="Z923" s="12" t="n"/>
      <c r="AA923" s="12" t="n"/>
      <c r="AI923" s="12" t="n"/>
      <c r="AJ923" s="13">
        <f>IF(LEN(TRIM(AF923))=0,"",HYPERLINK("https://www.google.com/maps/@?api=1&amp;map_action=pano&amp;viewpoint="&amp;SUBSTITUTE(AF923," ",""),"Abrir Street View"))</f>
        <v/>
      </c>
    </row>
    <row r="924">
      <c r="H924" s="6" t="n"/>
      <c r="I924" s="6" t="n"/>
      <c r="M924" s="7" t="n"/>
      <c r="N924" s="7" t="n"/>
      <c r="O924" s="7" t="n"/>
      <c r="Q924" s="7" t="n"/>
      <c r="R924" s="7" t="n"/>
      <c r="S924" s="8">
        <f>IF(NOT(ISNUMBER(M924)),"",IF(G924="Terreno",IF(AND(ISNUMBER(I924),I924&gt;0),M924/I924,""),IF(AND(ISNUMBER(H924),H924&gt;0),M924/H924,"")))</f>
        <v/>
      </c>
      <c r="T924" s="9">
        <f>IF(AND(ISNUMBER(M924),ISNUMBER(O924)),IF(M924&lt;=O924,"Valor ≤ venal IPTU",""),"")</f>
        <v/>
      </c>
      <c r="U924" s="10">
        <f>IF(AND(ISNUMBER(M924),ISNUMBER(N924)),IF(N924&gt;0,M924/N924,""),"")</f>
        <v/>
      </c>
      <c r="V924" s="10">
        <f>IF(AND(ISNUMBER(M924),ISNUMBER(O924)),IF(O924&gt;0,M924/O924,""),"")</f>
        <v/>
      </c>
      <c r="W924" s="10">
        <f>IF(AND(ISNUMBER(M924),ISNUMBER(R924)),IF(R924&gt;0,M924/R924,""),"")</f>
        <v/>
      </c>
      <c r="X924" s="10">
        <f>IF(AND(ISNUMBER(Q924),ISNUMBER(M924)),IF(M924&gt;0,Q924/M924,""),"")</f>
        <v/>
      </c>
      <c r="Y924" s="11">
        <f>IF(ISNUMBER(Z924),YEAR(Z924),"")</f>
        <v/>
      </c>
      <c r="Z924" s="12" t="n"/>
      <c r="AA924" s="12" t="n"/>
      <c r="AI924" s="12" t="n"/>
      <c r="AJ924" s="13">
        <f>IF(LEN(TRIM(AF924))=0,"",HYPERLINK("https://www.google.com/maps/@?api=1&amp;map_action=pano&amp;viewpoint="&amp;SUBSTITUTE(AF924," ",""),"Abrir Street View"))</f>
        <v/>
      </c>
    </row>
    <row r="925">
      <c r="H925" s="6" t="n"/>
      <c r="I925" s="6" t="n"/>
      <c r="M925" s="7" t="n"/>
      <c r="N925" s="7" t="n"/>
      <c r="O925" s="7" t="n"/>
      <c r="Q925" s="7" t="n"/>
      <c r="R925" s="7" t="n"/>
      <c r="S925" s="8">
        <f>IF(NOT(ISNUMBER(M925)),"",IF(G925="Terreno",IF(AND(ISNUMBER(I925),I925&gt;0),M925/I925,""),IF(AND(ISNUMBER(H925),H925&gt;0),M925/H925,"")))</f>
        <v/>
      </c>
      <c r="T925" s="9">
        <f>IF(AND(ISNUMBER(M925),ISNUMBER(O925)),IF(M925&lt;=O925,"Valor ≤ venal IPTU",""),"")</f>
        <v/>
      </c>
      <c r="U925" s="10">
        <f>IF(AND(ISNUMBER(M925),ISNUMBER(N925)),IF(N925&gt;0,M925/N925,""),"")</f>
        <v/>
      </c>
      <c r="V925" s="10">
        <f>IF(AND(ISNUMBER(M925),ISNUMBER(O925)),IF(O925&gt;0,M925/O925,""),"")</f>
        <v/>
      </c>
      <c r="W925" s="10">
        <f>IF(AND(ISNUMBER(M925),ISNUMBER(R925)),IF(R925&gt;0,M925/R925,""),"")</f>
        <v/>
      </c>
      <c r="X925" s="10">
        <f>IF(AND(ISNUMBER(Q925),ISNUMBER(M925)),IF(M925&gt;0,Q925/M925,""),"")</f>
        <v/>
      </c>
      <c r="Y925" s="11">
        <f>IF(ISNUMBER(Z925),YEAR(Z925),"")</f>
        <v/>
      </c>
      <c r="Z925" s="12" t="n"/>
      <c r="AA925" s="12" t="n"/>
      <c r="AI925" s="12" t="n"/>
      <c r="AJ925" s="13">
        <f>IF(LEN(TRIM(AF925))=0,"",HYPERLINK("https://www.google.com/maps/@?api=1&amp;map_action=pano&amp;viewpoint="&amp;SUBSTITUTE(AF925," ",""),"Abrir Street View"))</f>
        <v/>
      </c>
    </row>
    <row r="926">
      <c r="H926" s="6" t="n"/>
      <c r="I926" s="6" t="n"/>
      <c r="M926" s="7" t="n"/>
      <c r="N926" s="7" t="n"/>
      <c r="O926" s="7" t="n"/>
      <c r="Q926" s="7" t="n"/>
      <c r="R926" s="7" t="n"/>
      <c r="S926" s="8">
        <f>IF(NOT(ISNUMBER(M926)),"",IF(G926="Terreno",IF(AND(ISNUMBER(I926),I926&gt;0),M926/I926,""),IF(AND(ISNUMBER(H926),H926&gt;0),M926/H926,"")))</f>
        <v/>
      </c>
      <c r="T926" s="9">
        <f>IF(AND(ISNUMBER(M926),ISNUMBER(O926)),IF(M926&lt;=O926,"Valor ≤ venal IPTU",""),"")</f>
        <v/>
      </c>
      <c r="U926" s="10">
        <f>IF(AND(ISNUMBER(M926),ISNUMBER(N926)),IF(N926&gt;0,M926/N926,""),"")</f>
        <v/>
      </c>
      <c r="V926" s="10">
        <f>IF(AND(ISNUMBER(M926),ISNUMBER(O926)),IF(O926&gt;0,M926/O926,""),"")</f>
        <v/>
      </c>
      <c r="W926" s="10">
        <f>IF(AND(ISNUMBER(M926),ISNUMBER(R926)),IF(R926&gt;0,M926/R926,""),"")</f>
        <v/>
      </c>
      <c r="X926" s="10">
        <f>IF(AND(ISNUMBER(Q926),ISNUMBER(M926)),IF(M926&gt;0,Q926/M926,""),"")</f>
        <v/>
      </c>
      <c r="Y926" s="11">
        <f>IF(ISNUMBER(Z926),YEAR(Z926),"")</f>
        <v/>
      </c>
      <c r="Z926" s="12" t="n"/>
      <c r="AA926" s="12" t="n"/>
      <c r="AI926" s="12" t="n"/>
      <c r="AJ926" s="13">
        <f>IF(LEN(TRIM(AF926))=0,"",HYPERLINK("https://www.google.com/maps/@?api=1&amp;map_action=pano&amp;viewpoint="&amp;SUBSTITUTE(AF926," ",""),"Abrir Street View"))</f>
        <v/>
      </c>
    </row>
    <row r="927">
      <c r="H927" s="6" t="n"/>
      <c r="I927" s="6" t="n"/>
      <c r="M927" s="7" t="n"/>
      <c r="N927" s="7" t="n"/>
      <c r="O927" s="7" t="n"/>
      <c r="Q927" s="7" t="n"/>
      <c r="R927" s="7" t="n"/>
      <c r="S927" s="8">
        <f>IF(NOT(ISNUMBER(M927)),"",IF(G927="Terreno",IF(AND(ISNUMBER(I927),I927&gt;0),M927/I927,""),IF(AND(ISNUMBER(H927),H927&gt;0),M927/H927,"")))</f>
        <v/>
      </c>
      <c r="T927" s="9">
        <f>IF(AND(ISNUMBER(M927),ISNUMBER(O927)),IF(M927&lt;=O927,"Valor ≤ venal IPTU",""),"")</f>
        <v/>
      </c>
      <c r="U927" s="10">
        <f>IF(AND(ISNUMBER(M927),ISNUMBER(N927)),IF(N927&gt;0,M927/N927,""),"")</f>
        <v/>
      </c>
      <c r="V927" s="10">
        <f>IF(AND(ISNUMBER(M927),ISNUMBER(O927)),IF(O927&gt;0,M927/O927,""),"")</f>
        <v/>
      </c>
      <c r="W927" s="10">
        <f>IF(AND(ISNUMBER(M927),ISNUMBER(R927)),IF(R927&gt;0,M927/R927,""),"")</f>
        <v/>
      </c>
      <c r="X927" s="10">
        <f>IF(AND(ISNUMBER(Q927),ISNUMBER(M927)),IF(M927&gt;0,Q927/M927,""),"")</f>
        <v/>
      </c>
      <c r="Y927" s="11">
        <f>IF(ISNUMBER(Z927),YEAR(Z927),"")</f>
        <v/>
      </c>
      <c r="Z927" s="12" t="n"/>
      <c r="AA927" s="12" t="n"/>
      <c r="AI927" s="12" t="n"/>
      <c r="AJ927" s="13">
        <f>IF(LEN(TRIM(AF927))=0,"",HYPERLINK("https://www.google.com/maps/@?api=1&amp;map_action=pano&amp;viewpoint="&amp;SUBSTITUTE(AF927," ",""),"Abrir Street View"))</f>
        <v/>
      </c>
    </row>
    <row r="928">
      <c r="H928" s="6" t="n"/>
      <c r="I928" s="6" t="n"/>
      <c r="M928" s="7" t="n"/>
      <c r="N928" s="7" t="n"/>
      <c r="O928" s="7" t="n"/>
      <c r="Q928" s="7" t="n"/>
      <c r="R928" s="7" t="n"/>
      <c r="S928" s="8">
        <f>IF(NOT(ISNUMBER(M928)),"",IF(G928="Terreno",IF(AND(ISNUMBER(I928),I928&gt;0),M928/I928,""),IF(AND(ISNUMBER(H928),H928&gt;0),M928/H928,"")))</f>
        <v/>
      </c>
      <c r="T928" s="9">
        <f>IF(AND(ISNUMBER(M928),ISNUMBER(O928)),IF(M928&lt;=O928,"Valor ≤ venal IPTU",""),"")</f>
        <v/>
      </c>
      <c r="U928" s="10">
        <f>IF(AND(ISNUMBER(M928),ISNUMBER(N928)),IF(N928&gt;0,M928/N928,""),"")</f>
        <v/>
      </c>
      <c r="V928" s="10">
        <f>IF(AND(ISNUMBER(M928),ISNUMBER(O928)),IF(O928&gt;0,M928/O928,""),"")</f>
        <v/>
      </c>
      <c r="W928" s="10">
        <f>IF(AND(ISNUMBER(M928),ISNUMBER(R928)),IF(R928&gt;0,M928/R928,""),"")</f>
        <v/>
      </c>
      <c r="X928" s="10">
        <f>IF(AND(ISNUMBER(Q928),ISNUMBER(M928)),IF(M928&gt;0,Q928/M928,""),"")</f>
        <v/>
      </c>
      <c r="Y928" s="11">
        <f>IF(ISNUMBER(Z928),YEAR(Z928),"")</f>
        <v/>
      </c>
      <c r="Z928" s="12" t="n"/>
      <c r="AA928" s="12" t="n"/>
      <c r="AI928" s="12" t="n"/>
      <c r="AJ928" s="13">
        <f>IF(LEN(TRIM(AF928))=0,"",HYPERLINK("https://www.google.com/maps/@?api=1&amp;map_action=pano&amp;viewpoint="&amp;SUBSTITUTE(AF928," ",""),"Abrir Street View"))</f>
        <v/>
      </c>
    </row>
    <row r="929">
      <c r="H929" s="6" t="n"/>
      <c r="I929" s="6" t="n"/>
      <c r="M929" s="7" t="n"/>
      <c r="N929" s="7" t="n"/>
      <c r="O929" s="7" t="n"/>
      <c r="Q929" s="7" t="n"/>
      <c r="R929" s="7" t="n"/>
      <c r="S929" s="8">
        <f>IF(NOT(ISNUMBER(M929)),"",IF(G929="Terreno",IF(AND(ISNUMBER(I929),I929&gt;0),M929/I929,""),IF(AND(ISNUMBER(H929),H929&gt;0),M929/H929,"")))</f>
        <v/>
      </c>
      <c r="T929" s="9">
        <f>IF(AND(ISNUMBER(M929),ISNUMBER(O929)),IF(M929&lt;=O929,"Valor ≤ venal IPTU",""),"")</f>
        <v/>
      </c>
      <c r="U929" s="10">
        <f>IF(AND(ISNUMBER(M929),ISNUMBER(N929)),IF(N929&gt;0,M929/N929,""),"")</f>
        <v/>
      </c>
      <c r="V929" s="10">
        <f>IF(AND(ISNUMBER(M929),ISNUMBER(O929)),IF(O929&gt;0,M929/O929,""),"")</f>
        <v/>
      </c>
      <c r="W929" s="10">
        <f>IF(AND(ISNUMBER(M929),ISNUMBER(R929)),IF(R929&gt;0,M929/R929,""),"")</f>
        <v/>
      </c>
      <c r="X929" s="10">
        <f>IF(AND(ISNUMBER(Q929),ISNUMBER(M929)),IF(M929&gt;0,Q929/M929,""),"")</f>
        <v/>
      </c>
      <c r="Y929" s="11">
        <f>IF(ISNUMBER(Z929),YEAR(Z929),"")</f>
        <v/>
      </c>
      <c r="Z929" s="12" t="n"/>
      <c r="AA929" s="12" t="n"/>
      <c r="AI929" s="12" t="n"/>
      <c r="AJ929" s="13">
        <f>IF(LEN(TRIM(AF929))=0,"",HYPERLINK("https://www.google.com/maps/@?api=1&amp;map_action=pano&amp;viewpoint="&amp;SUBSTITUTE(AF929," ",""),"Abrir Street View"))</f>
        <v/>
      </c>
    </row>
    <row r="930">
      <c r="H930" s="6" t="n"/>
      <c r="I930" s="6" t="n"/>
      <c r="M930" s="7" t="n"/>
      <c r="N930" s="7" t="n"/>
      <c r="O930" s="7" t="n"/>
      <c r="Q930" s="7" t="n"/>
      <c r="R930" s="7" t="n"/>
      <c r="S930" s="8">
        <f>IF(NOT(ISNUMBER(M930)),"",IF(G930="Terreno",IF(AND(ISNUMBER(I930),I930&gt;0),M930/I930,""),IF(AND(ISNUMBER(H930),H930&gt;0),M930/H930,"")))</f>
        <v/>
      </c>
      <c r="T930" s="9">
        <f>IF(AND(ISNUMBER(M930),ISNUMBER(O930)),IF(M930&lt;=O930,"Valor ≤ venal IPTU",""),"")</f>
        <v/>
      </c>
      <c r="U930" s="10">
        <f>IF(AND(ISNUMBER(M930),ISNUMBER(N930)),IF(N930&gt;0,M930/N930,""),"")</f>
        <v/>
      </c>
      <c r="V930" s="10">
        <f>IF(AND(ISNUMBER(M930),ISNUMBER(O930)),IF(O930&gt;0,M930/O930,""),"")</f>
        <v/>
      </c>
      <c r="W930" s="10">
        <f>IF(AND(ISNUMBER(M930),ISNUMBER(R930)),IF(R930&gt;0,M930/R930,""),"")</f>
        <v/>
      </c>
      <c r="X930" s="10">
        <f>IF(AND(ISNUMBER(Q930),ISNUMBER(M930)),IF(M930&gt;0,Q930/M930,""),"")</f>
        <v/>
      </c>
      <c r="Y930" s="11">
        <f>IF(ISNUMBER(Z930),YEAR(Z930),"")</f>
        <v/>
      </c>
      <c r="Z930" s="12" t="n"/>
      <c r="AA930" s="12" t="n"/>
      <c r="AI930" s="12" t="n"/>
      <c r="AJ930" s="13">
        <f>IF(LEN(TRIM(AF930))=0,"",HYPERLINK("https://www.google.com/maps/@?api=1&amp;map_action=pano&amp;viewpoint="&amp;SUBSTITUTE(AF930," ",""),"Abrir Street View"))</f>
        <v/>
      </c>
    </row>
    <row r="931">
      <c r="H931" s="6" t="n"/>
      <c r="I931" s="6" t="n"/>
      <c r="M931" s="7" t="n"/>
      <c r="N931" s="7" t="n"/>
      <c r="O931" s="7" t="n"/>
      <c r="Q931" s="7" t="n"/>
      <c r="R931" s="7" t="n"/>
      <c r="S931" s="8">
        <f>IF(NOT(ISNUMBER(M931)),"",IF(G931="Terreno",IF(AND(ISNUMBER(I931),I931&gt;0),M931/I931,""),IF(AND(ISNUMBER(H931),H931&gt;0),M931/H931,"")))</f>
        <v/>
      </c>
      <c r="T931" s="9">
        <f>IF(AND(ISNUMBER(M931),ISNUMBER(O931)),IF(M931&lt;=O931,"Valor ≤ venal IPTU",""),"")</f>
        <v/>
      </c>
      <c r="U931" s="10">
        <f>IF(AND(ISNUMBER(M931),ISNUMBER(N931)),IF(N931&gt;0,M931/N931,""),"")</f>
        <v/>
      </c>
      <c r="V931" s="10">
        <f>IF(AND(ISNUMBER(M931),ISNUMBER(O931)),IF(O931&gt;0,M931/O931,""),"")</f>
        <v/>
      </c>
      <c r="W931" s="10">
        <f>IF(AND(ISNUMBER(M931),ISNUMBER(R931)),IF(R931&gt;0,M931/R931,""),"")</f>
        <v/>
      </c>
      <c r="X931" s="10">
        <f>IF(AND(ISNUMBER(Q931),ISNUMBER(M931)),IF(M931&gt;0,Q931/M931,""),"")</f>
        <v/>
      </c>
      <c r="Y931" s="11">
        <f>IF(ISNUMBER(Z931),YEAR(Z931),"")</f>
        <v/>
      </c>
      <c r="Z931" s="12" t="n"/>
      <c r="AA931" s="12" t="n"/>
      <c r="AI931" s="12" t="n"/>
      <c r="AJ931" s="13">
        <f>IF(LEN(TRIM(AF931))=0,"",HYPERLINK("https://www.google.com/maps/@?api=1&amp;map_action=pano&amp;viewpoint="&amp;SUBSTITUTE(AF931," ",""),"Abrir Street View"))</f>
        <v/>
      </c>
    </row>
    <row r="932">
      <c r="H932" s="6" t="n"/>
      <c r="I932" s="6" t="n"/>
      <c r="M932" s="7" t="n"/>
      <c r="N932" s="7" t="n"/>
      <c r="O932" s="7" t="n"/>
      <c r="Q932" s="7" t="n"/>
      <c r="R932" s="7" t="n"/>
      <c r="S932" s="8">
        <f>IF(NOT(ISNUMBER(M932)),"",IF(G932="Terreno",IF(AND(ISNUMBER(I932),I932&gt;0),M932/I932,""),IF(AND(ISNUMBER(H932),H932&gt;0),M932/H932,"")))</f>
        <v/>
      </c>
      <c r="T932" s="9">
        <f>IF(AND(ISNUMBER(M932),ISNUMBER(O932)),IF(M932&lt;=O932,"Valor ≤ venal IPTU",""),"")</f>
        <v/>
      </c>
      <c r="U932" s="10">
        <f>IF(AND(ISNUMBER(M932),ISNUMBER(N932)),IF(N932&gt;0,M932/N932,""),"")</f>
        <v/>
      </c>
      <c r="V932" s="10">
        <f>IF(AND(ISNUMBER(M932),ISNUMBER(O932)),IF(O932&gt;0,M932/O932,""),"")</f>
        <v/>
      </c>
      <c r="W932" s="10">
        <f>IF(AND(ISNUMBER(M932),ISNUMBER(R932)),IF(R932&gt;0,M932/R932,""),"")</f>
        <v/>
      </c>
      <c r="X932" s="10">
        <f>IF(AND(ISNUMBER(Q932),ISNUMBER(M932)),IF(M932&gt;0,Q932/M932,""),"")</f>
        <v/>
      </c>
      <c r="Y932" s="11">
        <f>IF(ISNUMBER(Z932),YEAR(Z932),"")</f>
        <v/>
      </c>
      <c r="Z932" s="12" t="n"/>
      <c r="AA932" s="12" t="n"/>
      <c r="AI932" s="12" t="n"/>
      <c r="AJ932" s="13">
        <f>IF(LEN(TRIM(AF932))=0,"",HYPERLINK("https://www.google.com/maps/@?api=1&amp;map_action=pano&amp;viewpoint="&amp;SUBSTITUTE(AF932," ",""),"Abrir Street View"))</f>
        <v/>
      </c>
    </row>
    <row r="933">
      <c r="H933" s="6" t="n"/>
      <c r="I933" s="6" t="n"/>
      <c r="M933" s="7" t="n"/>
      <c r="N933" s="7" t="n"/>
      <c r="O933" s="7" t="n"/>
      <c r="Q933" s="7" t="n"/>
      <c r="R933" s="7" t="n"/>
      <c r="S933" s="8">
        <f>IF(NOT(ISNUMBER(M933)),"",IF(G933="Terreno",IF(AND(ISNUMBER(I933),I933&gt;0),M933/I933,""),IF(AND(ISNUMBER(H933),H933&gt;0),M933/H933,"")))</f>
        <v/>
      </c>
      <c r="T933" s="9">
        <f>IF(AND(ISNUMBER(M933),ISNUMBER(O933)),IF(M933&lt;=O933,"Valor ≤ venal IPTU",""),"")</f>
        <v/>
      </c>
      <c r="U933" s="10">
        <f>IF(AND(ISNUMBER(M933),ISNUMBER(N933)),IF(N933&gt;0,M933/N933,""),"")</f>
        <v/>
      </c>
      <c r="V933" s="10">
        <f>IF(AND(ISNUMBER(M933),ISNUMBER(O933)),IF(O933&gt;0,M933/O933,""),"")</f>
        <v/>
      </c>
      <c r="W933" s="10">
        <f>IF(AND(ISNUMBER(M933),ISNUMBER(R933)),IF(R933&gt;0,M933/R933,""),"")</f>
        <v/>
      </c>
      <c r="X933" s="10">
        <f>IF(AND(ISNUMBER(Q933),ISNUMBER(M933)),IF(M933&gt;0,Q933/M933,""),"")</f>
        <v/>
      </c>
      <c r="Y933" s="11">
        <f>IF(ISNUMBER(Z933),YEAR(Z933),"")</f>
        <v/>
      </c>
      <c r="Z933" s="12" t="n"/>
      <c r="AA933" s="12" t="n"/>
      <c r="AI933" s="12" t="n"/>
      <c r="AJ933" s="13">
        <f>IF(LEN(TRIM(AF933))=0,"",HYPERLINK("https://www.google.com/maps/@?api=1&amp;map_action=pano&amp;viewpoint="&amp;SUBSTITUTE(AF933," ",""),"Abrir Street View"))</f>
        <v/>
      </c>
    </row>
    <row r="934">
      <c r="H934" s="6" t="n"/>
      <c r="I934" s="6" t="n"/>
      <c r="M934" s="7" t="n"/>
      <c r="N934" s="7" t="n"/>
      <c r="O934" s="7" t="n"/>
      <c r="Q934" s="7" t="n"/>
      <c r="R934" s="7" t="n"/>
      <c r="S934" s="8">
        <f>IF(NOT(ISNUMBER(M934)),"",IF(G934="Terreno",IF(AND(ISNUMBER(I934),I934&gt;0),M934/I934,""),IF(AND(ISNUMBER(H934),H934&gt;0),M934/H934,"")))</f>
        <v/>
      </c>
      <c r="T934" s="9">
        <f>IF(AND(ISNUMBER(M934),ISNUMBER(O934)),IF(M934&lt;=O934,"Valor ≤ venal IPTU",""),"")</f>
        <v/>
      </c>
      <c r="U934" s="10">
        <f>IF(AND(ISNUMBER(M934),ISNUMBER(N934)),IF(N934&gt;0,M934/N934,""),"")</f>
        <v/>
      </c>
      <c r="V934" s="10">
        <f>IF(AND(ISNUMBER(M934),ISNUMBER(O934)),IF(O934&gt;0,M934/O934,""),"")</f>
        <v/>
      </c>
      <c r="W934" s="10">
        <f>IF(AND(ISNUMBER(M934),ISNUMBER(R934)),IF(R934&gt;0,M934/R934,""),"")</f>
        <v/>
      </c>
      <c r="X934" s="10">
        <f>IF(AND(ISNUMBER(Q934),ISNUMBER(M934)),IF(M934&gt;0,Q934/M934,""),"")</f>
        <v/>
      </c>
      <c r="Y934" s="11">
        <f>IF(ISNUMBER(Z934),YEAR(Z934),"")</f>
        <v/>
      </c>
      <c r="Z934" s="12" t="n"/>
      <c r="AA934" s="12" t="n"/>
      <c r="AI934" s="12" t="n"/>
      <c r="AJ934" s="13">
        <f>IF(LEN(TRIM(AF934))=0,"",HYPERLINK("https://www.google.com/maps/@?api=1&amp;map_action=pano&amp;viewpoint="&amp;SUBSTITUTE(AF934," ",""),"Abrir Street View"))</f>
        <v/>
      </c>
    </row>
    <row r="935">
      <c r="H935" s="6" t="n"/>
      <c r="I935" s="6" t="n"/>
      <c r="M935" s="7" t="n"/>
      <c r="N935" s="7" t="n"/>
      <c r="O935" s="7" t="n"/>
      <c r="Q935" s="7" t="n"/>
      <c r="R935" s="7" t="n"/>
      <c r="S935" s="8">
        <f>IF(NOT(ISNUMBER(M935)),"",IF(G935="Terreno",IF(AND(ISNUMBER(I935),I935&gt;0),M935/I935,""),IF(AND(ISNUMBER(H935),H935&gt;0),M935/H935,"")))</f>
        <v/>
      </c>
      <c r="T935" s="9">
        <f>IF(AND(ISNUMBER(M935),ISNUMBER(O935)),IF(M935&lt;=O935,"Valor ≤ venal IPTU",""),"")</f>
        <v/>
      </c>
      <c r="U935" s="10">
        <f>IF(AND(ISNUMBER(M935),ISNUMBER(N935)),IF(N935&gt;0,M935/N935,""),"")</f>
        <v/>
      </c>
      <c r="V935" s="10">
        <f>IF(AND(ISNUMBER(M935),ISNUMBER(O935)),IF(O935&gt;0,M935/O935,""),"")</f>
        <v/>
      </c>
      <c r="W935" s="10">
        <f>IF(AND(ISNUMBER(M935),ISNUMBER(R935)),IF(R935&gt;0,M935/R935,""),"")</f>
        <v/>
      </c>
      <c r="X935" s="10">
        <f>IF(AND(ISNUMBER(Q935),ISNUMBER(M935)),IF(M935&gt;0,Q935/M935,""),"")</f>
        <v/>
      </c>
      <c r="Y935" s="11">
        <f>IF(ISNUMBER(Z935),YEAR(Z935),"")</f>
        <v/>
      </c>
      <c r="Z935" s="12" t="n"/>
      <c r="AA935" s="12" t="n"/>
      <c r="AI935" s="12" t="n"/>
      <c r="AJ935" s="13">
        <f>IF(LEN(TRIM(AF935))=0,"",HYPERLINK("https://www.google.com/maps/@?api=1&amp;map_action=pano&amp;viewpoint="&amp;SUBSTITUTE(AF935," ",""),"Abrir Street View"))</f>
        <v/>
      </c>
    </row>
    <row r="936">
      <c r="H936" s="6" t="n"/>
      <c r="I936" s="6" t="n"/>
      <c r="M936" s="7" t="n"/>
      <c r="N936" s="7" t="n"/>
      <c r="O936" s="7" t="n"/>
      <c r="Q936" s="7" t="n"/>
      <c r="R936" s="7" t="n"/>
      <c r="S936" s="8">
        <f>IF(NOT(ISNUMBER(M936)),"",IF(G936="Terreno",IF(AND(ISNUMBER(I936),I936&gt;0),M936/I936,""),IF(AND(ISNUMBER(H936),H936&gt;0),M936/H936,"")))</f>
        <v/>
      </c>
      <c r="T936" s="9">
        <f>IF(AND(ISNUMBER(M936),ISNUMBER(O936)),IF(M936&lt;=O936,"Valor ≤ venal IPTU",""),"")</f>
        <v/>
      </c>
      <c r="U936" s="10">
        <f>IF(AND(ISNUMBER(M936),ISNUMBER(N936)),IF(N936&gt;0,M936/N936,""),"")</f>
        <v/>
      </c>
      <c r="V936" s="10">
        <f>IF(AND(ISNUMBER(M936),ISNUMBER(O936)),IF(O936&gt;0,M936/O936,""),"")</f>
        <v/>
      </c>
      <c r="W936" s="10">
        <f>IF(AND(ISNUMBER(M936),ISNUMBER(R936)),IF(R936&gt;0,M936/R936,""),"")</f>
        <v/>
      </c>
      <c r="X936" s="10">
        <f>IF(AND(ISNUMBER(Q936),ISNUMBER(M936)),IF(M936&gt;0,Q936/M936,""),"")</f>
        <v/>
      </c>
      <c r="Y936" s="11">
        <f>IF(ISNUMBER(Z936),YEAR(Z936),"")</f>
        <v/>
      </c>
      <c r="Z936" s="12" t="n"/>
      <c r="AA936" s="12" t="n"/>
      <c r="AI936" s="12" t="n"/>
      <c r="AJ936" s="13">
        <f>IF(LEN(TRIM(AF936))=0,"",HYPERLINK("https://www.google.com/maps/@?api=1&amp;map_action=pano&amp;viewpoint="&amp;SUBSTITUTE(AF936," ",""),"Abrir Street View"))</f>
        <v/>
      </c>
    </row>
    <row r="937">
      <c r="H937" s="6" t="n"/>
      <c r="I937" s="6" t="n"/>
      <c r="M937" s="7" t="n"/>
      <c r="N937" s="7" t="n"/>
      <c r="O937" s="7" t="n"/>
      <c r="Q937" s="7" t="n"/>
      <c r="R937" s="7" t="n"/>
      <c r="S937" s="8">
        <f>IF(NOT(ISNUMBER(M937)),"",IF(G937="Terreno",IF(AND(ISNUMBER(I937),I937&gt;0),M937/I937,""),IF(AND(ISNUMBER(H937),H937&gt;0),M937/H937,"")))</f>
        <v/>
      </c>
      <c r="T937" s="9">
        <f>IF(AND(ISNUMBER(M937),ISNUMBER(O937)),IF(M937&lt;=O937,"Valor ≤ venal IPTU",""),"")</f>
        <v/>
      </c>
      <c r="U937" s="10">
        <f>IF(AND(ISNUMBER(M937),ISNUMBER(N937)),IF(N937&gt;0,M937/N937,""),"")</f>
        <v/>
      </c>
      <c r="V937" s="10">
        <f>IF(AND(ISNUMBER(M937),ISNUMBER(O937)),IF(O937&gt;0,M937/O937,""),"")</f>
        <v/>
      </c>
      <c r="W937" s="10">
        <f>IF(AND(ISNUMBER(M937),ISNUMBER(R937)),IF(R937&gt;0,M937/R937,""),"")</f>
        <v/>
      </c>
      <c r="X937" s="10">
        <f>IF(AND(ISNUMBER(Q937),ISNUMBER(M937)),IF(M937&gt;0,Q937/M937,""),"")</f>
        <v/>
      </c>
      <c r="Y937" s="11">
        <f>IF(ISNUMBER(Z937),YEAR(Z937),"")</f>
        <v/>
      </c>
      <c r="Z937" s="12" t="n"/>
      <c r="AA937" s="12" t="n"/>
      <c r="AI937" s="12" t="n"/>
      <c r="AJ937" s="13">
        <f>IF(LEN(TRIM(AF937))=0,"",HYPERLINK("https://www.google.com/maps/@?api=1&amp;map_action=pano&amp;viewpoint="&amp;SUBSTITUTE(AF937," ",""),"Abrir Street View"))</f>
        <v/>
      </c>
    </row>
    <row r="938">
      <c r="H938" s="6" t="n"/>
      <c r="I938" s="6" t="n"/>
      <c r="M938" s="7" t="n"/>
      <c r="N938" s="7" t="n"/>
      <c r="O938" s="7" t="n"/>
      <c r="Q938" s="7" t="n"/>
      <c r="R938" s="7" t="n"/>
      <c r="S938" s="8">
        <f>IF(NOT(ISNUMBER(M938)),"",IF(G938="Terreno",IF(AND(ISNUMBER(I938),I938&gt;0),M938/I938,""),IF(AND(ISNUMBER(H938),H938&gt;0),M938/H938,"")))</f>
        <v/>
      </c>
      <c r="T938" s="9">
        <f>IF(AND(ISNUMBER(M938),ISNUMBER(O938)),IF(M938&lt;=O938,"Valor ≤ venal IPTU",""),"")</f>
        <v/>
      </c>
      <c r="U938" s="10">
        <f>IF(AND(ISNUMBER(M938),ISNUMBER(N938)),IF(N938&gt;0,M938/N938,""),"")</f>
        <v/>
      </c>
      <c r="V938" s="10">
        <f>IF(AND(ISNUMBER(M938),ISNUMBER(O938)),IF(O938&gt;0,M938/O938,""),"")</f>
        <v/>
      </c>
      <c r="W938" s="10">
        <f>IF(AND(ISNUMBER(M938),ISNUMBER(R938)),IF(R938&gt;0,M938/R938,""),"")</f>
        <v/>
      </c>
      <c r="X938" s="10">
        <f>IF(AND(ISNUMBER(Q938),ISNUMBER(M938)),IF(M938&gt;0,Q938/M938,""),"")</f>
        <v/>
      </c>
      <c r="Y938" s="11">
        <f>IF(ISNUMBER(Z938),YEAR(Z938),"")</f>
        <v/>
      </c>
      <c r="Z938" s="12" t="n"/>
      <c r="AA938" s="12" t="n"/>
      <c r="AI938" s="12" t="n"/>
      <c r="AJ938" s="13">
        <f>IF(LEN(TRIM(AF938))=0,"",HYPERLINK("https://www.google.com/maps/@?api=1&amp;map_action=pano&amp;viewpoint="&amp;SUBSTITUTE(AF938," ",""),"Abrir Street View"))</f>
        <v/>
      </c>
    </row>
    <row r="939">
      <c r="H939" s="6" t="n"/>
      <c r="I939" s="6" t="n"/>
      <c r="M939" s="7" t="n"/>
      <c r="N939" s="7" t="n"/>
      <c r="O939" s="7" t="n"/>
      <c r="Q939" s="7" t="n"/>
      <c r="R939" s="7" t="n"/>
      <c r="S939" s="8">
        <f>IF(NOT(ISNUMBER(M939)),"",IF(G939="Terreno",IF(AND(ISNUMBER(I939),I939&gt;0),M939/I939,""),IF(AND(ISNUMBER(H939),H939&gt;0),M939/H939,"")))</f>
        <v/>
      </c>
      <c r="T939" s="9">
        <f>IF(AND(ISNUMBER(M939),ISNUMBER(O939)),IF(M939&lt;=O939,"Valor ≤ venal IPTU",""),"")</f>
        <v/>
      </c>
      <c r="U939" s="10">
        <f>IF(AND(ISNUMBER(M939),ISNUMBER(N939)),IF(N939&gt;0,M939/N939,""),"")</f>
        <v/>
      </c>
      <c r="V939" s="10">
        <f>IF(AND(ISNUMBER(M939),ISNUMBER(O939)),IF(O939&gt;0,M939/O939,""),"")</f>
        <v/>
      </c>
      <c r="W939" s="10">
        <f>IF(AND(ISNUMBER(M939),ISNUMBER(R939)),IF(R939&gt;0,M939/R939,""),"")</f>
        <v/>
      </c>
      <c r="X939" s="10">
        <f>IF(AND(ISNUMBER(Q939),ISNUMBER(M939)),IF(M939&gt;0,Q939/M939,""),"")</f>
        <v/>
      </c>
      <c r="Y939" s="11">
        <f>IF(ISNUMBER(Z939),YEAR(Z939),"")</f>
        <v/>
      </c>
      <c r="Z939" s="12" t="n"/>
      <c r="AA939" s="12" t="n"/>
      <c r="AI939" s="12" t="n"/>
      <c r="AJ939" s="13">
        <f>IF(LEN(TRIM(AF939))=0,"",HYPERLINK("https://www.google.com/maps/@?api=1&amp;map_action=pano&amp;viewpoint="&amp;SUBSTITUTE(AF939," ",""),"Abrir Street View"))</f>
        <v/>
      </c>
    </row>
    <row r="940">
      <c r="H940" s="6" t="n"/>
      <c r="I940" s="6" t="n"/>
      <c r="M940" s="7" t="n"/>
      <c r="N940" s="7" t="n"/>
      <c r="O940" s="7" t="n"/>
      <c r="Q940" s="7" t="n"/>
      <c r="R940" s="7" t="n"/>
      <c r="S940" s="8">
        <f>IF(NOT(ISNUMBER(M940)),"",IF(G940="Terreno",IF(AND(ISNUMBER(I940),I940&gt;0),M940/I940,""),IF(AND(ISNUMBER(H940),H940&gt;0),M940/H940,"")))</f>
        <v/>
      </c>
      <c r="T940" s="9">
        <f>IF(AND(ISNUMBER(M940),ISNUMBER(O940)),IF(M940&lt;=O940,"Valor ≤ venal IPTU",""),"")</f>
        <v/>
      </c>
      <c r="U940" s="10">
        <f>IF(AND(ISNUMBER(M940),ISNUMBER(N940)),IF(N940&gt;0,M940/N940,""),"")</f>
        <v/>
      </c>
      <c r="V940" s="10">
        <f>IF(AND(ISNUMBER(M940),ISNUMBER(O940)),IF(O940&gt;0,M940/O940,""),"")</f>
        <v/>
      </c>
      <c r="W940" s="10">
        <f>IF(AND(ISNUMBER(M940),ISNUMBER(R940)),IF(R940&gt;0,M940/R940,""),"")</f>
        <v/>
      </c>
      <c r="X940" s="10">
        <f>IF(AND(ISNUMBER(Q940),ISNUMBER(M940)),IF(M940&gt;0,Q940/M940,""),"")</f>
        <v/>
      </c>
      <c r="Y940" s="11">
        <f>IF(ISNUMBER(Z940),YEAR(Z940),"")</f>
        <v/>
      </c>
      <c r="Z940" s="12" t="n"/>
      <c r="AA940" s="12" t="n"/>
      <c r="AI940" s="12" t="n"/>
      <c r="AJ940" s="13">
        <f>IF(LEN(TRIM(AF940))=0,"",HYPERLINK("https://www.google.com/maps/@?api=1&amp;map_action=pano&amp;viewpoint="&amp;SUBSTITUTE(AF940," ",""),"Abrir Street View"))</f>
        <v/>
      </c>
    </row>
    <row r="941">
      <c r="H941" s="6" t="n"/>
      <c r="I941" s="6" t="n"/>
      <c r="M941" s="7" t="n"/>
      <c r="N941" s="7" t="n"/>
      <c r="O941" s="7" t="n"/>
      <c r="Q941" s="7" t="n"/>
      <c r="R941" s="7" t="n"/>
      <c r="S941" s="8">
        <f>IF(NOT(ISNUMBER(M941)),"",IF(G941="Terreno",IF(AND(ISNUMBER(I941),I941&gt;0),M941/I941,""),IF(AND(ISNUMBER(H941),H941&gt;0),M941/H941,"")))</f>
        <v/>
      </c>
      <c r="T941" s="9">
        <f>IF(AND(ISNUMBER(M941),ISNUMBER(O941)),IF(M941&lt;=O941,"Valor ≤ venal IPTU",""),"")</f>
        <v/>
      </c>
      <c r="U941" s="10">
        <f>IF(AND(ISNUMBER(M941),ISNUMBER(N941)),IF(N941&gt;0,M941/N941,""),"")</f>
        <v/>
      </c>
      <c r="V941" s="10">
        <f>IF(AND(ISNUMBER(M941),ISNUMBER(O941)),IF(O941&gt;0,M941/O941,""),"")</f>
        <v/>
      </c>
      <c r="W941" s="10">
        <f>IF(AND(ISNUMBER(M941),ISNUMBER(R941)),IF(R941&gt;0,M941/R941,""),"")</f>
        <v/>
      </c>
      <c r="X941" s="10">
        <f>IF(AND(ISNUMBER(Q941),ISNUMBER(M941)),IF(M941&gt;0,Q941/M941,""),"")</f>
        <v/>
      </c>
      <c r="Y941" s="11">
        <f>IF(ISNUMBER(Z941),YEAR(Z941),"")</f>
        <v/>
      </c>
      <c r="Z941" s="12" t="n"/>
      <c r="AA941" s="12" t="n"/>
      <c r="AI941" s="12" t="n"/>
      <c r="AJ941" s="13">
        <f>IF(LEN(TRIM(AF941))=0,"",HYPERLINK("https://www.google.com/maps/@?api=1&amp;map_action=pano&amp;viewpoint="&amp;SUBSTITUTE(AF941," ",""),"Abrir Street View"))</f>
        <v/>
      </c>
    </row>
    <row r="942">
      <c r="H942" s="6" t="n"/>
      <c r="I942" s="6" t="n"/>
      <c r="M942" s="7" t="n"/>
      <c r="N942" s="7" t="n"/>
      <c r="O942" s="7" t="n"/>
      <c r="Q942" s="7" t="n"/>
      <c r="R942" s="7" t="n"/>
      <c r="S942" s="8">
        <f>IF(NOT(ISNUMBER(M942)),"",IF(G942="Terreno",IF(AND(ISNUMBER(I942),I942&gt;0),M942/I942,""),IF(AND(ISNUMBER(H942),H942&gt;0),M942/H942,"")))</f>
        <v/>
      </c>
      <c r="T942" s="9">
        <f>IF(AND(ISNUMBER(M942),ISNUMBER(O942)),IF(M942&lt;=O942,"Valor ≤ venal IPTU",""),"")</f>
        <v/>
      </c>
      <c r="U942" s="10">
        <f>IF(AND(ISNUMBER(M942),ISNUMBER(N942)),IF(N942&gt;0,M942/N942,""),"")</f>
        <v/>
      </c>
      <c r="V942" s="10">
        <f>IF(AND(ISNUMBER(M942),ISNUMBER(O942)),IF(O942&gt;0,M942/O942,""),"")</f>
        <v/>
      </c>
      <c r="W942" s="10">
        <f>IF(AND(ISNUMBER(M942),ISNUMBER(R942)),IF(R942&gt;0,M942/R942,""),"")</f>
        <v/>
      </c>
      <c r="X942" s="10">
        <f>IF(AND(ISNUMBER(Q942),ISNUMBER(M942)),IF(M942&gt;0,Q942/M942,""),"")</f>
        <v/>
      </c>
      <c r="Y942" s="11">
        <f>IF(ISNUMBER(Z942),YEAR(Z942),"")</f>
        <v/>
      </c>
      <c r="Z942" s="12" t="n"/>
      <c r="AA942" s="12" t="n"/>
      <c r="AI942" s="12" t="n"/>
      <c r="AJ942" s="13">
        <f>IF(LEN(TRIM(AF942))=0,"",HYPERLINK("https://www.google.com/maps/@?api=1&amp;map_action=pano&amp;viewpoint="&amp;SUBSTITUTE(AF942," ",""),"Abrir Street View"))</f>
        <v/>
      </c>
    </row>
    <row r="943">
      <c r="H943" s="6" t="n"/>
      <c r="I943" s="6" t="n"/>
      <c r="M943" s="7" t="n"/>
      <c r="N943" s="7" t="n"/>
      <c r="O943" s="7" t="n"/>
      <c r="Q943" s="7" t="n"/>
      <c r="R943" s="7" t="n"/>
      <c r="S943" s="8">
        <f>IF(NOT(ISNUMBER(M943)),"",IF(G943="Terreno",IF(AND(ISNUMBER(I943),I943&gt;0),M943/I943,""),IF(AND(ISNUMBER(H943),H943&gt;0),M943/H943,"")))</f>
        <v/>
      </c>
      <c r="T943" s="9">
        <f>IF(AND(ISNUMBER(M943),ISNUMBER(O943)),IF(M943&lt;=O943,"Valor ≤ venal IPTU",""),"")</f>
        <v/>
      </c>
      <c r="U943" s="10">
        <f>IF(AND(ISNUMBER(M943),ISNUMBER(N943)),IF(N943&gt;0,M943/N943,""),"")</f>
        <v/>
      </c>
      <c r="V943" s="10">
        <f>IF(AND(ISNUMBER(M943),ISNUMBER(O943)),IF(O943&gt;0,M943/O943,""),"")</f>
        <v/>
      </c>
      <c r="W943" s="10">
        <f>IF(AND(ISNUMBER(M943),ISNUMBER(R943)),IF(R943&gt;0,M943/R943,""),"")</f>
        <v/>
      </c>
      <c r="X943" s="10">
        <f>IF(AND(ISNUMBER(Q943),ISNUMBER(M943)),IF(M943&gt;0,Q943/M943,""),"")</f>
        <v/>
      </c>
      <c r="Y943" s="11">
        <f>IF(ISNUMBER(Z943),YEAR(Z943),"")</f>
        <v/>
      </c>
      <c r="Z943" s="12" t="n"/>
      <c r="AA943" s="12" t="n"/>
      <c r="AI943" s="12" t="n"/>
      <c r="AJ943" s="13">
        <f>IF(LEN(TRIM(AF943))=0,"",HYPERLINK("https://www.google.com/maps/@?api=1&amp;map_action=pano&amp;viewpoint="&amp;SUBSTITUTE(AF943," ",""),"Abrir Street View"))</f>
        <v/>
      </c>
    </row>
    <row r="944">
      <c r="H944" s="6" t="n"/>
      <c r="I944" s="6" t="n"/>
      <c r="M944" s="7" t="n"/>
      <c r="N944" s="7" t="n"/>
      <c r="O944" s="7" t="n"/>
      <c r="Q944" s="7" t="n"/>
      <c r="R944" s="7" t="n"/>
      <c r="S944" s="8">
        <f>IF(NOT(ISNUMBER(M944)),"",IF(G944="Terreno",IF(AND(ISNUMBER(I944),I944&gt;0),M944/I944,""),IF(AND(ISNUMBER(H944),H944&gt;0),M944/H944,"")))</f>
        <v/>
      </c>
      <c r="T944" s="9">
        <f>IF(AND(ISNUMBER(M944),ISNUMBER(O944)),IF(M944&lt;=O944,"Valor ≤ venal IPTU",""),"")</f>
        <v/>
      </c>
      <c r="U944" s="10">
        <f>IF(AND(ISNUMBER(M944),ISNUMBER(N944)),IF(N944&gt;0,M944/N944,""),"")</f>
        <v/>
      </c>
      <c r="V944" s="10">
        <f>IF(AND(ISNUMBER(M944),ISNUMBER(O944)),IF(O944&gt;0,M944/O944,""),"")</f>
        <v/>
      </c>
      <c r="W944" s="10">
        <f>IF(AND(ISNUMBER(M944),ISNUMBER(R944)),IF(R944&gt;0,M944/R944,""),"")</f>
        <v/>
      </c>
      <c r="X944" s="10">
        <f>IF(AND(ISNUMBER(Q944),ISNUMBER(M944)),IF(M944&gt;0,Q944/M944,""),"")</f>
        <v/>
      </c>
      <c r="Y944" s="11">
        <f>IF(ISNUMBER(Z944),YEAR(Z944),"")</f>
        <v/>
      </c>
      <c r="Z944" s="12" t="n"/>
      <c r="AA944" s="12" t="n"/>
      <c r="AI944" s="12" t="n"/>
      <c r="AJ944" s="13">
        <f>IF(LEN(TRIM(AF944))=0,"",HYPERLINK("https://www.google.com/maps/@?api=1&amp;map_action=pano&amp;viewpoint="&amp;SUBSTITUTE(AF944," ",""),"Abrir Street View"))</f>
        <v/>
      </c>
    </row>
    <row r="945">
      <c r="H945" s="6" t="n"/>
      <c r="I945" s="6" t="n"/>
      <c r="M945" s="7" t="n"/>
      <c r="N945" s="7" t="n"/>
      <c r="O945" s="7" t="n"/>
      <c r="Q945" s="7" t="n"/>
      <c r="R945" s="7" t="n"/>
      <c r="S945" s="8">
        <f>IF(NOT(ISNUMBER(M945)),"",IF(G945="Terreno",IF(AND(ISNUMBER(I945),I945&gt;0),M945/I945,""),IF(AND(ISNUMBER(H945),H945&gt;0),M945/H945,"")))</f>
        <v/>
      </c>
      <c r="T945" s="9">
        <f>IF(AND(ISNUMBER(M945),ISNUMBER(O945)),IF(M945&lt;=O945,"Valor ≤ venal IPTU",""),"")</f>
        <v/>
      </c>
      <c r="U945" s="10">
        <f>IF(AND(ISNUMBER(M945),ISNUMBER(N945)),IF(N945&gt;0,M945/N945,""),"")</f>
        <v/>
      </c>
      <c r="V945" s="10">
        <f>IF(AND(ISNUMBER(M945),ISNUMBER(O945)),IF(O945&gt;0,M945/O945,""),"")</f>
        <v/>
      </c>
      <c r="W945" s="10">
        <f>IF(AND(ISNUMBER(M945),ISNUMBER(R945)),IF(R945&gt;0,M945/R945,""),"")</f>
        <v/>
      </c>
      <c r="X945" s="10">
        <f>IF(AND(ISNUMBER(Q945),ISNUMBER(M945)),IF(M945&gt;0,Q945/M945,""),"")</f>
        <v/>
      </c>
      <c r="Y945" s="11">
        <f>IF(ISNUMBER(Z945),YEAR(Z945),"")</f>
        <v/>
      </c>
      <c r="Z945" s="12" t="n"/>
      <c r="AA945" s="12" t="n"/>
      <c r="AI945" s="12" t="n"/>
      <c r="AJ945" s="13">
        <f>IF(LEN(TRIM(AF945))=0,"",HYPERLINK("https://www.google.com/maps/@?api=1&amp;map_action=pano&amp;viewpoint="&amp;SUBSTITUTE(AF945," ",""),"Abrir Street View"))</f>
        <v/>
      </c>
    </row>
    <row r="946">
      <c r="H946" s="6" t="n"/>
      <c r="I946" s="6" t="n"/>
      <c r="M946" s="7" t="n"/>
      <c r="N946" s="7" t="n"/>
      <c r="O946" s="7" t="n"/>
      <c r="Q946" s="7" t="n"/>
      <c r="R946" s="7" t="n"/>
      <c r="S946" s="8">
        <f>IF(NOT(ISNUMBER(M946)),"",IF(G946="Terreno",IF(AND(ISNUMBER(I946),I946&gt;0),M946/I946,""),IF(AND(ISNUMBER(H946),H946&gt;0),M946/H946,"")))</f>
        <v/>
      </c>
      <c r="T946" s="9">
        <f>IF(AND(ISNUMBER(M946),ISNUMBER(O946)),IF(M946&lt;=O946,"Valor ≤ venal IPTU",""),"")</f>
        <v/>
      </c>
      <c r="U946" s="10">
        <f>IF(AND(ISNUMBER(M946),ISNUMBER(N946)),IF(N946&gt;0,M946/N946,""),"")</f>
        <v/>
      </c>
      <c r="V946" s="10">
        <f>IF(AND(ISNUMBER(M946),ISNUMBER(O946)),IF(O946&gt;0,M946/O946,""),"")</f>
        <v/>
      </c>
      <c r="W946" s="10">
        <f>IF(AND(ISNUMBER(M946),ISNUMBER(R946)),IF(R946&gt;0,M946/R946,""),"")</f>
        <v/>
      </c>
      <c r="X946" s="10">
        <f>IF(AND(ISNUMBER(Q946),ISNUMBER(M946)),IF(M946&gt;0,Q946/M946,""),"")</f>
        <v/>
      </c>
      <c r="Y946" s="11">
        <f>IF(ISNUMBER(Z946),YEAR(Z946),"")</f>
        <v/>
      </c>
      <c r="Z946" s="12" t="n"/>
      <c r="AA946" s="12" t="n"/>
      <c r="AI946" s="12" t="n"/>
      <c r="AJ946" s="13">
        <f>IF(LEN(TRIM(AF946))=0,"",HYPERLINK("https://www.google.com/maps/@?api=1&amp;map_action=pano&amp;viewpoint="&amp;SUBSTITUTE(AF946," ",""),"Abrir Street View"))</f>
        <v/>
      </c>
    </row>
    <row r="947">
      <c r="H947" s="6" t="n"/>
      <c r="I947" s="6" t="n"/>
      <c r="M947" s="7" t="n"/>
      <c r="N947" s="7" t="n"/>
      <c r="O947" s="7" t="n"/>
      <c r="Q947" s="7" t="n"/>
      <c r="R947" s="7" t="n"/>
      <c r="S947" s="8">
        <f>IF(NOT(ISNUMBER(M947)),"",IF(G947="Terreno",IF(AND(ISNUMBER(I947),I947&gt;0),M947/I947,""),IF(AND(ISNUMBER(H947),H947&gt;0),M947/H947,"")))</f>
        <v/>
      </c>
      <c r="T947" s="9">
        <f>IF(AND(ISNUMBER(M947),ISNUMBER(O947)),IF(M947&lt;=O947,"Valor ≤ venal IPTU",""),"")</f>
        <v/>
      </c>
      <c r="U947" s="10">
        <f>IF(AND(ISNUMBER(M947),ISNUMBER(N947)),IF(N947&gt;0,M947/N947,""),"")</f>
        <v/>
      </c>
      <c r="V947" s="10">
        <f>IF(AND(ISNUMBER(M947),ISNUMBER(O947)),IF(O947&gt;0,M947/O947,""),"")</f>
        <v/>
      </c>
      <c r="W947" s="10">
        <f>IF(AND(ISNUMBER(M947),ISNUMBER(R947)),IF(R947&gt;0,M947/R947,""),"")</f>
        <v/>
      </c>
      <c r="X947" s="10">
        <f>IF(AND(ISNUMBER(Q947),ISNUMBER(M947)),IF(M947&gt;0,Q947/M947,""),"")</f>
        <v/>
      </c>
      <c r="Y947" s="11">
        <f>IF(ISNUMBER(Z947),YEAR(Z947),"")</f>
        <v/>
      </c>
      <c r="Z947" s="12" t="n"/>
      <c r="AA947" s="12" t="n"/>
      <c r="AI947" s="12" t="n"/>
      <c r="AJ947" s="13">
        <f>IF(LEN(TRIM(AF947))=0,"",HYPERLINK("https://www.google.com/maps/@?api=1&amp;map_action=pano&amp;viewpoint="&amp;SUBSTITUTE(AF947," ",""),"Abrir Street View"))</f>
        <v/>
      </c>
    </row>
    <row r="948">
      <c r="H948" s="6" t="n"/>
      <c r="I948" s="6" t="n"/>
      <c r="M948" s="7" t="n"/>
      <c r="N948" s="7" t="n"/>
      <c r="O948" s="7" t="n"/>
      <c r="Q948" s="7" t="n"/>
      <c r="R948" s="7" t="n"/>
      <c r="S948" s="8">
        <f>IF(NOT(ISNUMBER(M948)),"",IF(G948="Terreno",IF(AND(ISNUMBER(I948),I948&gt;0),M948/I948,""),IF(AND(ISNUMBER(H948),H948&gt;0),M948/H948,"")))</f>
        <v/>
      </c>
      <c r="T948" s="9">
        <f>IF(AND(ISNUMBER(M948),ISNUMBER(O948)),IF(M948&lt;=O948,"Valor ≤ venal IPTU",""),"")</f>
        <v/>
      </c>
      <c r="U948" s="10">
        <f>IF(AND(ISNUMBER(M948),ISNUMBER(N948)),IF(N948&gt;0,M948/N948,""),"")</f>
        <v/>
      </c>
      <c r="V948" s="10">
        <f>IF(AND(ISNUMBER(M948),ISNUMBER(O948)),IF(O948&gt;0,M948/O948,""),"")</f>
        <v/>
      </c>
      <c r="W948" s="10">
        <f>IF(AND(ISNUMBER(M948),ISNUMBER(R948)),IF(R948&gt;0,M948/R948,""),"")</f>
        <v/>
      </c>
      <c r="X948" s="10">
        <f>IF(AND(ISNUMBER(Q948),ISNUMBER(M948)),IF(M948&gt;0,Q948/M948,""),"")</f>
        <v/>
      </c>
      <c r="Y948" s="11">
        <f>IF(ISNUMBER(Z948),YEAR(Z948),"")</f>
        <v/>
      </c>
      <c r="Z948" s="12" t="n"/>
      <c r="AA948" s="12" t="n"/>
      <c r="AI948" s="12" t="n"/>
      <c r="AJ948" s="13">
        <f>IF(LEN(TRIM(AF948))=0,"",HYPERLINK("https://www.google.com/maps/@?api=1&amp;map_action=pano&amp;viewpoint="&amp;SUBSTITUTE(AF948," ",""),"Abrir Street View"))</f>
        <v/>
      </c>
    </row>
    <row r="949">
      <c r="H949" s="6" t="n"/>
      <c r="I949" s="6" t="n"/>
      <c r="M949" s="7" t="n"/>
      <c r="N949" s="7" t="n"/>
      <c r="O949" s="7" t="n"/>
      <c r="Q949" s="7" t="n"/>
      <c r="R949" s="7" t="n"/>
      <c r="S949" s="8">
        <f>IF(NOT(ISNUMBER(M949)),"",IF(G949="Terreno",IF(AND(ISNUMBER(I949),I949&gt;0),M949/I949,""),IF(AND(ISNUMBER(H949),H949&gt;0),M949/H949,"")))</f>
        <v/>
      </c>
      <c r="T949" s="9">
        <f>IF(AND(ISNUMBER(M949),ISNUMBER(O949)),IF(M949&lt;=O949,"Valor ≤ venal IPTU",""),"")</f>
        <v/>
      </c>
      <c r="U949" s="10">
        <f>IF(AND(ISNUMBER(M949),ISNUMBER(N949)),IF(N949&gt;0,M949/N949,""),"")</f>
        <v/>
      </c>
      <c r="V949" s="10">
        <f>IF(AND(ISNUMBER(M949),ISNUMBER(O949)),IF(O949&gt;0,M949/O949,""),"")</f>
        <v/>
      </c>
      <c r="W949" s="10">
        <f>IF(AND(ISNUMBER(M949),ISNUMBER(R949)),IF(R949&gt;0,M949/R949,""),"")</f>
        <v/>
      </c>
      <c r="X949" s="10">
        <f>IF(AND(ISNUMBER(Q949),ISNUMBER(M949)),IF(M949&gt;0,Q949/M949,""),"")</f>
        <v/>
      </c>
      <c r="Y949" s="11">
        <f>IF(ISNUMBER(Z949),YEAR(Z949),"")</f>
        <v/>
      </c>
      <c r="Z949" s="12" t="n"/>
      <c r="AA949" s="12" t="n"/>
      <c r="AI949" s="12" t="n"/>
      <c r="AJ949" s="13">
        <f>IF(LEN(TRIM(AF949))=0,"",HYPERLINK("https://www.google.com/maps/@?api=1&amp;map_action=pano&amp;viewpoint="&amp;SUBSTITUTE(AF949," ",""),"Abrir Street View"))</f>
        <v/>
      </c>
    </row>
    <row r="950">
      <c r="H950" s="6" t="n"/>
      <c r="I950" s="6" t="n"/>
      <c r="M950" s="7" t="n"/>
      <c r="N950" s="7" t="n"/>
      <c r="O950" s="7" t="n"/>
      <c r="Q950" s="7" t="n"/>
      <c r="R950" s="7" t="n"/>
      <c r="S950" s="8">
        <f>IF(NOT(ISNUMBER(M950)),"",IF(G950="Terreno",IF(AND(ISNUMBER(I950),I950&gt;0),M950/I950,""),IF(AND(ISNUMBER(H950),H950&gt;0),M950/H950,"")))</f>
        <v/>
      </c>
      <c r="T950" s="9">
        <f>IF(AND(ISNUMBER(M950),ISNUMBER(O950)),IF(M950&lt;=O950,"Valor ≤ venal IPTU",""),"")</f>
        <v/>
      </c>
      <c r="U950" s="10">
        <f>IF(AND(ISNUMBER(M950),ISNUMBER(N950)),IF(N950&gt;0,M950/N950,""),"")</f>
        <v/>
      </c>
      <c r="V950" s="10">
        <f>IF(AND(ISNUMBER(M950),ISNUMBER(O950)),IF(O950&gt;0,M950/O950,""),"")</f>
        <v/>
      </c>
      <c r="W950" s="10">
        <f>IF(AND(ISNUMBER(M950),ISNUMBER(R950)),IF(R950&gt;0,M950/R950,""),"")</f>
        <v/>
      </c>
      <c r="X950" s="10">
        <f>IF(AND(ISNUMBER(Q950),ISNUMBER(M950)),IF(M950&gt;0,Q950/M950,""),"")</f>
        <v/>
      </c>
      <c r="Y950" s="11">
        <f>IF(ISNUMBER(Z950),YEAR(Z950),"")</f>
        <v/>
      </c>
      <c r="Z950" s="12" t="n"/>
      <c r="AA950" s="12" t="n"/>
      <c r="AI950" s="12" t="n"/>
      <c r="AJ950" s="13">
        <f>IF(LEN(TRIM(AF950))=0,"",HYPERLINK("https://www.google.com/maps/@?api=1&amp;map_action=pano&amp;viewpoint="&amp;SUBSTITUTE(AF950," ",""),"Abrir Street View"))</f>
        <v/>
      </c>
    </row>
    <row r="951">
      <c r="H951" s="6" t="n"/>
      <c r="I951" s="6" t="n"/>
      <c r="M951" s="7" t="n"/>
      <c r="N951" s="7" t="n"/>
      <c r="O951" s="7" t="n"/>
      <c r="Q951" s="7" t="n"/>
      <c r="R951" s="7" t="n"/>
      <c r="S951" s="8">
        <f>IF(NOT(ISNUMBER(M951)),"",IF(G951="Terreno",IF(AND(ISNUMBER(I951),I951&gt;0),M951/I951,""),IF(AND(ISNUMBER(H951),H951&gt;0),M951/H951,"")))</f>
        <v/>
      </c>
      <c r="T951" s="9">
        <f>IF(AND(ISNUMBER(M951),ISNUMBER(O951)),IF(M951&lt;=O951,"Valor ≤ venal IPTU",""),"")</f>
        <v/>
      </c>
      <c r="U951" s="10">
        <f>IF(AND(ISNUMBER(M951),ISNUMBER(N951)),IF(N951&gt;0,M951/N951,""),"")</f>
        <v/>
      </c>
      <c r="V951" s="10">
        <f>IF(AND(ISNUMBER(M951),ISNUMBER(O951)),IF(O951&gt;0,M951/O951,""),"")</f>
        <v/>
      </c>
      <c r="W951" s="10">
        <f>IF(AND(ISNUMBER(M951),ISNUMBER(R951)),IF(R951&gt;0,M951/R951,""),"")</f>
        <v/>
      </c>
      <c r="X951" s="10">
        <f>IF(AND(ISNUMBER(Q951),ISNUMBER(M951)),IF(M951&gt;0,Q951/M951,""),"")</f>
        <v/>
      </c>
      <c r="Y951" s="11">
        <f>IF(ISNUMBER(Z951),YEAR(Z951),"")</f>
        <v/>
      </c>
      <c r="Z951" s="12" t="n"/>
      <c r="AA951" s="12" t="n"/>
      <c r="AI951" s="12" t="n"/>
      <c r="AJ951" s="13">
        <f>IF(LEN(TRIM(AF951))=0,"",HYPERLINK("https://www.google.com/maps/@?api=1&amp;map_action=pano&amp;viewpoint="&amp;SUBSTITUTE(AF951," ",""),"Abrir Street View"))</f>
        <v/>
      </c>
    </row>
    <row r="952">
      <c r="H952" s="6" t="n"/>
      <c r="I952" s="6" t="n"/>
      <c r="M952" s="7" t="n"/>
      <c r="N952" s="7" t="n"/>
      <c r="O952" s="7" t="n"/>
      <c r="Q952" s="7" t="n"/>
      <c r="R952" s="7" t="n"/>
      <c r="S952" s="8">
        <f>IF(NOT(ISNUMBER(M952)),"",IF(G952="Terreno",IF(AND(ISNUMBER(I952),I952&gt;0),M952/I952,""),IF(AND(ISNUMBER(H952),H952&gt;0),M952/H952,"")))</f>
        <v/>
      </c>
      <c r="T952" s="9">
        <f>IF(AND(ISNUMBER(M952),ISNUMBER(O952)),IF(M952&lt;=O952,"Valor ≤ venal IPTU",""),"")</f>
        <v/>
      </c>
      <c r="U952" s="10">
        <f>IF(AND(ISNUMBER(M952),ISNUMBER(N952)),IF(N952&gt;0,M952/N952,""),"")</f>
        <v/>
      </c>
      <c r="V952" s="10">
        <f>IF(AND(ISNUMBER(M952),ISNUMBER(O952)),IF(O952&gt;0,M952/O952,""),"")</f>
        <v/>
      </c>
      <c r="W952" s="10">
        <f>IF(AND(ISNUMBER(M952),ISNUMBER(R952)),IF(R952&gt;0,M952/R952,""),"")</f>
        <v/>
      </c>
      <c r="X952" s="10">
        <f>IF(AND(ISNUMBER(Q952),ISNUMBER(M952)),IF(M952&gt;0,Q952/M952,""),"")</f>
        <v/>
      </c>
      <c r="Y952" s="11">
        <f>IF(ISNUMBER(Z952),YEAR(Z952),"")</f>
        <v/>
      </c>
      <c r="Z952" s="12" t="n"/>
      <c r="AA952" s="12" t="n"/>
      <c r="AI952" s="12" t="n"/>
      <c r="AJ952" s="13">
        <f>IF(LEN(TRIM(AF952))=0,"",HYPERLINK("https://www.google.com/maps/@?api=1&amp;map_action=pano&amp;viewpoint="&amp;SUBSTITUTE(AF952," ",""),"Abrir Street View"))</f>
        <v/>
      </c>
    </row>
    <row r="953">
      <c r="H953" s="6" t="n"/>
      <c r="I953" s="6" t="n"/>
      <c r="M953" s="7" t="n"/>
      <c r="N953" s="7" t="n"/>
      <c r="O953" s="7" t="n"/>
      <c r="Q953" s="7" t="n"/>
      <c r="R953" s="7" t="n"/>
      <c r="S953" s="8">
        <f>IF(NOT(ISNUMBER(M953)),"",IF(G953="Terreno",IF(AND(ISNUMBER(I953),I953&gt;0),M953/I953,""),IF(AND(ISNUMBER(H953),H953&gt;0),M953/H953,"")))</f>
        <v/>
      </c>
      <c r="T953" s="9">
        <f>IF(AND(ISNUMBER(M953),ISNUMBER(O953)),IF(M953&lt;=O953,"Valor ≤ venal IPTU",""),"")</f>
        <v/>
      </c>
      <c r="U953" s="10">
        <f>IF(AND(ISNUMBER(M953),ISNUMBER(N953)),IF(N953&gt;0,M953/N953,""),"")</f>
        <v/>
      </c>
      <c r="V953" s="10">
        <f>IF(AND(ISNUMBER(M953),ISNUMBER(O953)),IF(O953&gt;0,M953/O953,""),"")</f>
        <v/>
      </c>
      <c r="W953" s="10">
        <f>IF(AND(ISNUMBER(M953),ISNUMBER(R953)),IF(R953&gt;0,M953/R953,""),"")</f>
        <v/>
      </c>
      <c r="X953" s="10">
        <f>IF(AND(ISNUMBER(Q953),ISNUMBER(M953)),IF(M953&gt;0,Q953/M953,""),"")</f>
        <v/>
      </c>
      <c r="Y953" s="11">
        <f>IF(ISNUMBER(Z953),YEAR(Z953),"")</f>
        <v/>
      </c>
      <c r="Z953" s="12" t="n"/>
      <c r="AA953" s="12" t="n"/>
      <c r="AI953" s="12" t="n"/>
      <c r="AJ953" s="13">
        <f>IF(LEN(TRIM(AF953))=0,"",HYPERLINK("https://www.google.com/maps/@?api=1&amp;map_action=pano&amp;viewpoint="&amp;SUBSTITUTE(AF953," ",""),"Abrir Street View"))</f>
        <v/>
      </c>
    </row>
    <row r="954">
      <c r="H954" s="6" t="n"/>
      <c r="I954" s="6" t="n"/>
      <c r="M954" s="7" t="n"/>
      <c r="N954" s="7" t="n"/>
      <c r="O954" s="7" t="n"/>
      <c r="Q954" s="7" t="n"/>
      <c r="R954" s="7" t="n"/>
      <c r="S954" s="8">
        <f>IF(NOT(ISNUMBER(M954)),"",IF(G954="Terreno",IF(AND(ISNUMBER(I954),I954&gt;0),M954/I954,""),IF(AND(ISNUMBER(H954),H954&gt;0),M954/H954,"")))</f>
        <v/>
      </c>
      <c r="T954" s="9">
        <f>IF(AND(ISNUMBER(M954),ISNUMBER(O954)),IF(M954&lt;=O954,"Valor ≤ venal IPTU",""),"")</f>
        <v/>
      </c>
      <c r="U954" s="10">
        <f>IF(AND(ISNUMBER(M954),ISNUMBER(N954)),IF(N954&gt;0,M954/N954,""),"")</f>
        <v/>
      </c>
      <c r="V954" s="10">
        <f>IF(AND(ISNUMBER(M954),ISNUMBER(O954)),IF(O954&gt;0,M954/O954,""),"")</f>
        <v/>
      </c>
      <c r="W954" s="10">
        <f>IF(AND(ISNUMBER(M954),ISNUMBER(R954)),IF(R954&gt;0,M954/R954,""),"")</f>
        <v/>
      </c>
      <c r="X954" s="10">
        <f>IF(AND(ISNUMBER(Q954),ISNUMBER(M954)),IF(M954&gt;0,Q954/M954,""),"")</f>
        <v/>
      </c>
      <c r="Y954" s="11">
        <f>IF(ISNUMBER(Z954),YEAR(Z954),"")</f>
        <v/>
      </c>
      <c r="Z954" s="12" t="n"/>
      <c r="AA954" s="12" t="n"/>
      <c r="AI954" s="12" t="n"/>
      <c r="AJ954" s="13">
        <f>IF(LEN(TRIM(AF954))=0,"",HYPERLINK("https://www.google.com/maps/@?api=1&amp;map_action=pano&amp;viewpoint="&amp;SUBSTITUTE(AF954," ",""),"Abrir Street View"))</f>
        <v/>
      </c>
    </row>
    <row r="955">
      <c r="H955" s="6" t="n"/>
      <c r="I955" s="6" t="n"/>
      <c r="M955" s="7" t="n"/>
      <c r="N955" s="7" t="n"/>
      <c r="O955" s="7" t="n"/>
      <c r="Q955" s="7" t="n"/>
      <c r="R955" s="7" t="n"/>
      <c r="S955" s="8">
        <f>IF(NOT(ISNUMBER(M955)),"",IF(G955="Terreno",IF(AND(ISNUMBER(I955),I955&gt;0),M955/I955,""),IF(AND(ISNUMBER(H955),H955&gt;0),M955/H955,"")))</f>
        <v/>
      </c>
      <c r="T955" s="9">
        <f>IF(AND(ISNUMBER(M955),ISNUMBER(O955)),IF(M955&lt;=O955,"Valor ≤ venal IPTU",""),"")</f>
        <v/>
      </c>
      <c r="U955" s="10">
        <f>IF(AND(ISNUMBER(M955),ISNUMBER(N955)),IF(N955&gt;0,M955/N955,""),"")</f>
        <v/>
      </c>
      <c r="V955" s="10">
        <f>IF(AND(ISNUMBER(M955),ISNUMBER(O955)),IF(O955&gt;0,M955/O955,""),"")</f>
        <v/>
      </c>
      <c r="W955" s="10">
        <f>IF(AND(ISNUMBER(M955),ISNUMBER(R955)),IF(R955&gt;0,M955/R955,""),"")</f>
        <v/>
      </c>
      <c r="X955" s="10">
        <f>IF(AND(ISNUMBER(Q955),ISNUMBER(M955)),IF(M955&gt;0,Q955/M955,""),"")</f>
        <v/>
      </c>
      <c r="Y955" s="11">
        <f>IF(ISNUMBER(Z955),YEAR(Z955),"")</f>
        <v/>
      </c>
      <c r="Z955" s="12" t="n"/>
      <c r="AA955" s="12" t="n"/>
      <c r="AI955" s="12" t="n"/>
      <c r="AJ955" s="13">
        <f>IF(LEN(TRIM(AF955))=0,"",HYPERLINK("https://www.google.com/maps/@?api=1&amp;map_action=pano&amp;viewpoint="&amp;SUBSTITUTE(AF955," ",""),"Abrir Street View"))</f>
        <v/>
      </c>
    </row>
    <row r="956">
      <c r="H956" s="6" t="n"/>
      <c r="I956" s="6" t="n"/>
      <c r="M956" s="7" t="n"/>
      <c r="N956" s="7" t="n"/>
      <c r="O956" s="7" t="n"/>
      <c r="Q956" s="7" t="n"/>
      <c r="R956" s="7" t="n"/>
      <c r="S956" s="8">
        <f>IF(NOT(ISNUMBER(M956)),"",IF(G956="Terreno",IF(AND(ISNUMBER(I956),I956&gt;0),M956/I956,""),IF(AND(ISNUMBER(H956),H956&gt;0),M956/H956,"")))</f>
        <v/>
      </c>
      <c r="T956" s="9">
        <f>IF(AND(ISNUMBER(M956),ISNUMBER(O956)),IF(M956&lt;=O956,"Valor ≤ venal IPTU",""),"")</f>
        <v/>
      </c>
      <c r="U956" s="10">
        <f>IF(AND(ISNUMBER(M956),ISNUMBER(N956)),IF(N956&gt;0,M956/N956,""),"")</f>
        <v/>
      </c>
      <c r="V956" s="10">
        <f>IF(AND(ISNUMBER(M956),ISNUMBER(O956)),IF(O956&gt;0,M956/O956,""),"")</f>
        <v/>
      </c>
      <c r="W956" s="10">
        <f>IF(AND(ISNUMBER(M956),ISNUMBER(R956)),IF(R956&gt;0,M956/R956,""),"")</f>
        <v/>
      </c>
      <c r="X956" s="10">
        <f>IF(AND(ISNUMBER(Q956),ISNUMBER(M956)),IF(M956&gt;0,Q956/M956,""),"")</f>
        <v/>
      </c>
      <c r="Y956" s="11">
        <f>IF(ISNUMBER(Z956),YEAR(Z956),"")</f>
        <v/>
      </c>
      <c r="Z956" s="12" t="n"/>
      <c r="AA956" s="12" t="n"/>
      <c r="AI956" s="12" t="n"/>
      <c r="AJ956" s="13">
        <f>IF(LEN(TRIM(AF956))=0,"",HYPERLINK("https://www.google.com/maps/@?api=1&amp;map_action=pano&amp;viewpoint="&amp;SUBSTITUTE(AF956," ",""),"Abrir Street View"))</f>
        <v/>
      </c>
    </row>
    <row r="957">
      <c r="H957" s="6" t="n"/>
      <c r="I957" s="6" t="n"/>
      <c r="M957" s="7" t="n"/>
      <c r="N957" s="7" t="n"/>
      <c r="O957" s="7" t="n"/>
      <c r="Q957" s="7" t="n"/>
      <c r="R957" s="7" t="n"/>
      <c r="S957" s="8">
        <f>IF(NOT(ISNUMBER(M957)),"",IF(G957="Terreno",IF(AND(ISNUMBER(I957),I957&gt;0),M957/I957,""),IF(AND(ISNUMBER(H957),H957&gt;0),M957/H957,"")))</f>
        <v/>
      </c>
      <c r="T957" s="9">
        <f>IF(AND(ISNUMBER(M957),ISNUMBER(O957)),IF(M957&lt;=O957,"Valor ≤ venal IPTU",""),"")</f>
        <v/>
      </c>
      <c r="U957" s="10">
        <f>IF(AND(ISNUMBER(M957),ISNUMBER(N957)),IF(N957&gt;0,M957/N957,""),"")</f>
        <v/>
      </c>
      <c r="V957" s="10">
        <f>IF(AND(ISNUMBER(M957),ISNUMBER(O957)),IF(O957&gt;0,M957/O957,""),"")</f>
        <v/>
      </c>
      <c r="W957" s="10">
        <f>IF(AND(ISNUMBER(M957),ISNUMBER(R957)),IF(R957&gt;0,M957/R957,""),"")</f>
        <v/>
      </c>
      <c r="X957" s="10">
        <f>IF(AND(ISNUMBER(Q957),ISNUMBER(M957)),IF(M957&gt;0,Q957/M957,""),"")</f>
        <v/>
      </c>
      <c r="Y957" s="11">
        <f>IF(ISNUMBER(Z957),YEAR(Z957),"")</f>
        <v/>
      </c>
      <c r="Z957" s="12" t="n"/>
      <c r="AA957" s="12" t="n"/>
      <c r="AI957" s="12" t="n"/>
      <c r="AJ957" s="13">
        <f>IF(LEN(TRIM(AF957))=0,"",HYPERLINK("https://www.google.com/maps/@?api=1&amp;map_action=pano&amp;viewpoint="&amp;SUBSTITUTE(AF957," ",""),"Abrir Street View"))</f>
        <v/>
      </c>
    </row>
    <row r="958">
      <c r="H958" s="6" t="n"/>
      <c r="I958" s="6" t="n"/>
      <c r="M958" s="7" t="n"/>
      <c r="N958" s="7" t="n"/>
      <c r="O958" s="7" t="n"/>
      <c r="Q958" s="7" t="n"/>
      <c r="R958" s="7" t="n"/>
      <c r="S958" s="8">
        <f>IF(NOT(ISNUMBER(M958)),"",IF(G958="Terreno",IF(AND(ISNUMBER(I958),I958&gt;0),M958/I958,""),IF(AND(ISNUMBER(H958),H958&gt;0),M958/H958,"")))</f>
        <v/>
      </c>
      <c r="T958" s="9">
        <f>IF(AND(ISNUMBER(M958),ISNUMBER(O958)),IF(M958&lt;=O958,"Valor ≤ venal IPTU",""),"")</f>
        <v/>
      </c>
      <c r="U958" s="10">
        <f>IF(AND(ISNUMBER(M958),ISNUMBER(N958)),IF(N958&gt;0,M958/N958,""),"")</f>
        <v/>
      </c>
      <c r="V958" s="10">
        <f>IF(AND(ISNUMBER(M958),ISNUMBER(O958)),IF(O958&gt;0,M958/O958,""),"")</f>
        <v/>
      </c>
      <c r="W958" s="10">
        <f>IF(AND(ISNUMBER(M958),ISNUMBER(R958)),IF(R958&gt;0,M958/R958,""),"")</f>
        <v/>
      </c>
      <c r="X958" s="10">
        <f>IF(AND(ISNUMBER(Q958),ISNUMBER(M958)),IF(M958&gt;0,Q958/M958,""),"")</f>
        <v/>
      </c>
      <c r="Y958" s="11">
        <f>IF(ISNUMBER(Z958),YEAR(Z958),"")</f>
        <v/>
      </c>
      <c r="Z958" s="12" t="n"/>
      <c r="AA958" s="12" t="n"/>
      <c r="AI958" s="12" t="n"/>
      <c r="AJ958" s="13">
        <f>IF(LEN(TRIM(AF958))=0,"",HYPERLINK("https://www.google.com/maps/@?api=1&amp;map_action=pano&amp;viewpoint="&amp;SUBSTITUTE(AF958," ",""),"Abrir Street View"))</f>
        <v/>
      </c>
    </row>
    <row r="959">
      <c r="H959" s="6" t="n"/>
      <c r="I959" s="6" t="n"/>
      <c r="M959" s="7" t="n"/>
      <c r="N959" s="7" t="n"/>
      <c r="O959" s="7" t="n"/>
      <c r="Q959" s="7" t="n"/>
      <c r="R959" s="7" t="n"/>
      <c r="S959" s="8">
        <f>IF(NOT(ISNUMBER(M959)),"",IF(G959="Terreno",IF(AND(ISNUMBER(I959),I959&gt;0),M959/I959,""),IF(AND(ISNUMBER(H959),H959&gt;0),M959/H959,"")))</f>
        <v/>
      </c>
      <c r="T959" s="9">
        <f>IF(AND(ISNUMBER(M959),ISNUMBER(O959)),IF(M959&lt;=O959,"Valor ≤ venal IPTU",""),"")</f>
        <v/>
      </c>
      <c r="U959" s="10">
        <f>IF(AND(ISNUMBER(M959),ISNUMBER(N959)),IF(N959&gt;0,M959/N959,""),"")</f>
        <v/>
      </c>
      <c r="V959" s="10">
        <f>IF(AND(ISNUMBER(M959),ISNUMBER(O959)),IF(O959&gt;0,M959/O959,""),"")</f>
        <v/>
      </c>
      <c r="W959" s="10">
        <f>IF(AND(ISNUMBER(M959),ISNUMBER(R959)),IF(R959&gt;0,M959/R959,""),"")</f>
        <v/>
      </c>
      <c r="X959" s="10">
        <f>IF(AND(ISNUMBER(Q959),ISNUMBER(M959)),IF(M959&gt;0,Q959/M959,""),"")</f>
        <v/>
      </c>
      <c r="Y959" s="11">
        <f>IF(ISNUMBER(Z959),YEAR(Z959),"")</f>
        <v/>
      </c>
      <c r="Z959" s="12" t="n"/>
      <c r="AA959" s="12" t="n"/>
      <c r="AI959" s="12" t="n"/>
      <c r="AJ959" s="13">
        <f>IF(LEN(TRIM(AF959))=0,"",HYPERLINK("https://www.google.com/maps/@?api=1&amp;map_action=pano&amp;viewpoint="&amp;SUBSTITUTE(AF959," ",""),"Abrir Street View"))</f>
        <v/>
      </c>
    </row>
    <row r="960">
      <c r="H960" s="6" t="n"/>
      <c r="I960" s="6" t="n"/>
      <c r="M960" s="7" t="n"/>
      <c r="N960" s="7" t="n"/>
      <c r="O960" s="7" t="n"/>
      <c r="Q960" s="7" t="n"/>
      <c r="R960" s="7" t="n"/>
      <c r="S960" s="8">
        <f>IF(NOT(ISNUMBER(M960)),"",IF(G960="Terreno",IF(AND(ISNUMBER(I960),I960&gt;0),M960/I960,""),IF(AND(ISNUMBER(H960),H960&gt;0),M960/H960,"")))</f>
        <v/>
      </c>
      <c r="T960" s="9">
        <f>IF(AND(ISNUMBER(M960),ISNUMBER(O960)),IF(M960&lt;=O960,"Valor ≤ venal IPTU",""),"")</f>
        <v/>
      </c>
      <c r="U960" s="10">
        <f>IF(AND(ISNUMBER(M960),ISNUMBER(N960)),IF(N960&gt;0,M960/N960,""),"")</f>
        <v/>
      </c>
      <c r="V960" s="10">
        <f>IF(AND(ISNUMBER(M960),ISNUMBER(O960)),IF(O960&gt;0,M960/O960,""),"")</f>
        <v/>
      </c>
      <c r="W960" s="10">
        <f>IF(AND(ISNUMBER(M960),ISNUMBER(R960)),IF(R960&gt;0,M960/R960,""),"")</f>
        <v/>
      </c>
      <c r="X960" s="10">
        <f>IF(AND(ISNUMBER(Q960),ISNUMBER(M960)),IF(M960&gt;0,Q960/M960,""),"")</f>
        <v/>
      </c>
      <c r="Y960" s="11">
        <f>IF(ISNUMBER(Z960),YEAR(Z960),"")</f>
        <v/>
      </c>
      <c r="Z960" s="12" t="n"/>
      <c r="AA960" s="12" t="n"/>
      <c r="AI960" s="12" t="n"/>
      <c r="AJ960" s="13">
        <f>IF(LEN(TRIM(AF960))=0,"",HYPERLINK("https://www.google.com/maps/@?api=1&amp;map_action=pano&amp;viewpoint="&amp;SUBSTITUTE(AF960," ",""),"Abrir Street View"))</f>
        <v/>
      </c>
    </row>
    <row r="961">
      <c r="H961" s="6" t="n"/>
      <c r="I961" s="6" t="n"/>
      <c r="M961" s="7" t="n"/>
      <c r="N961" s="7" t="n"/>
      <c r="O961" s="7" t="n"/>
      <c r="Q961" s="7" t="n"/>
      <c r="R961" s="7" t="n"/>
      <c r="S961" s="8">
        <f>IF(NOT(ISNUMBER(M961)),"",IF(G961="Terreno",IF(AND(ISNUMBER(I961),I961&gt;0),M961/I961,""),IF(AND(ISNUMBER(H961),H961&gt;0),M961/H961,"")))</f>
        <v/>
      </c>
      <c r="T961" s="9">
        <f>IF(AND(ISNUMBER(M961),ISNUMBER(O961)),IF(M961&lt;=O961,"Valor ≤ venal IPTU",""),"")</f>
        <v/>
      </c>
      <c r="U961" s="10">
        <f>IF(AND(ISNUMBER(M961),ISNUMBER(N961)),IF(N961&gt;0,M961/N961,""),"")</f>
        <v/>
      </c>
      <c r="V961" s="10">
        <f>IF(AND(ISNUMBER(M961),ISNUMBER(O961)),IF(O961&gt;0,M961/O961,""),"")</f>
        <v/>
      </c>
      <c r="W961" s="10">
        <f>IF(AND(ISNUMBER(M961),ISNUMBER(R961)),IF(R961&gt;0,M961/R961,""),"")</f>
        <v/>
      </c>
      <c r="X961" s="10">
        <f>IF(AND(ISNUMBER(Q961),ISNUMBER(M961)),IF(M961&gt;0,Q961/M961,""),"")</f>
        <v/>
      </c>
      <c r="Y961" s="11">
        <f>IF(ISNUMBER(Z961),YEAR(Z961),"")</f>
        <v/>
      </c>
      <c r="Z961" s="12" t="n"/>
      <c r="AA961" s="12" t="n"/>
      <c r="AI961" s="12" t="n"/>
      <c r="AJ961" s="13">
        <f>IF(LEN(TRIM(AF961))=0,"",HYPERLINK("https://www.google.com/maps/@?api=1&amp;map_action=pano&amp;viewpoint="&amp;SUBSTITUTE(AF961," ",""),"Abrir Street View"))</f>
        <v/>
      </c>
    </row>
    <row r="962">
      <c r="H962" s="6" t="n"/>
      <c r="I962" s="6" t="n"/>
      <c r="M962" s="7" t="n"/>
      <c r="N962" s="7" t="n"/>
      <c r="O962" s="7" t="n"/>
      <c r="Q962" s="7" t="n"/>
      <c r="R962" s="7" t="n"/>
      <c r="S962" s="8">
        <f>IF(NOT(ISNUMBER(M962)),"",IF(G962="Terreno",IF(AND(ISNUMBER(I962),I962&gt;0),M962/I962,""),IF(AND(ISNUMBER(H962),H962&gt;0),M962/H962,"")))</f>
        <v/>
      </c>
      <c r="T962" s="9">
        <f>IF(AND(ISNUMBER(M962),ISNUMBER(O962)),IF(M962&lt;=O962,"Valor ≤ venal IPTU",""),"")</f>
        <v/>
      </c>
      <c r="U962" s="10">
        <f>IF(AND(ISNUMBER(M962),ISNUMBER(N962)),IF(N962&gt;0,M962/N962,""),"")</f>
        <v/>
      </c>
      <c r="V962" s="10">
        <f>IF(AND(ISNUMBER(M962),ISNUMBER(O962)),IF(O962&gt;0,M962/O962,""),"")</f>
        <v/>
      </c>
      <c r="W962" s="10">
        <f>IF(AND(ISNUMBER(M962),ISNUMBER(R962)),IF(R962&gt;0,M962/R962,""),"")</f>
        <v/>
      </c>
      <c r="X962" s="10">
        <f>IF(AND(ISNUMBER(Q962),ISNUMBER(M962)),IF(M962&gt;0,Q962/M962,""),"")</f>
        <v/>
      </c>
      <c r="Y962" s="11">
        <f>IF(ISNUMBER(Z962),YEAR(Z962),"")</f>
        <v/>
      </c>
      <c r="Z962" s="12" t="n"/>
      <c r="AA962" s="12" t="n"/>
      <c r="AI962" s="12" t="n"/>
      <c r="AJ962" s="13">
        <f>IF(LEN(TRIM(AF962))=0,"",HYPERLINK("https://www.google.com/maps/@?api=1&amp;map_action=pano&amp;viewpoint="&amp;SUBSTITUTE(AF962," ",""),"Abrir Street View"))</f>
        <v/>
      </c>
    </row>
    <row r="963">
      <c r="H963" s="6" t="n"/>
      <c r="I963" s="6" t="n"/>
      <c r="M963" s="7" t="n"/>
      <c r="N963" s="7" t="n"/>
      <c r="O963" s="7" t="n"/>
      <c r="Q963" s="7" t="n"/>
      <c r="R963" s="7" t="n"/>
      <c r="S963" s="8">
        <f>IF(NOT(ISNUMBER(M963)),"",IF(G963="Terreno",IF(AND(ISNUMBER(I963),I963&gt;0),M963/I963,""),IF(AND(ISNUMBER(H963),H963&gt;0),M963/H963,"")))</f>
        <v/>
      </c>
      <c r="T963" s="9">
        <f>IF(AND(ISNUMBER(M963),ISNUMBER(O963)),IF(M963&lt;=O963,"Valor ≤ venal IPTU",""),"")</f>
        <v/>
      </c>
      <c r="U963" s="10">
        <f>IF(AND(ISNUMBER(M963),ISNUMBER(N963)),IF(N963&gt;0,M963/N963,""),"")</f>
        <v/>
      </c>
      <c r="V963" s="10">
        <f>IF(AND(ISNUMBER(M963),ISNUMBER(O963)),IF(O963&gt;0,M963/O963,""),"")</f>
        <v/>
      </c>
      <c r="W963" s="10">
        <f>IF(AND(ISNUMBER(M963),ISNUMBER(R963)),IF(R963&gt;0,M963/R963,""),"")</f>
        <v/>
      </c>
      <c r="X963" s="10">
        <f>IF(AND(ISNUMBER(Q963),ISNUMBER(M963)),IF(M963&gt;0,Q963/M963,""),"")</f>
        <v/>
      </c>
      <c r="Y963" s="11">
        <f>IF(ISNUMBER(Z963),YEAR(Z963),"")</f>
        <v/>
      </c>
      <c r="Z963" s="12" t="n"/>
      <c r="AA963" s="12" t="n"/>
      <c r="AI963" s="12" t="n"/>
      <c r="AJ963" s="13">
        <f>IF(LEN(TRIM(AF963))=0,"",HYPERLINK("https://www.google.com/maps/@?api=1&amp;map_action=pano&amp;viewpoint="&amp;SUBSTITUTE(AF963," ",""),"Abrir Street View"))</f>
        <v/>
      </c>
    </row>
    <row r="964">
      <c r="H964" s="6" t="n"/>
      <c r="I964" s="6" t="n"/>
      <c r="M964" s="7" t="n"/>
      <c r="N964" s="7" t="n"/>
      <c r="O964" s="7" t="n"/>
      <c r="Q964" s="7" t="n"/>
      <c r="R964" s="7" t="n"/>
      <c r="S964" s="8">
        <f>IF(NOT(ISNUMBER(M964)),"",IF(G964="Terreno",IF(AND(ISNUMBER(I964),I964&gt;0),M964/I964,""),IF(AND(ISNUMBER(H964),H964&gt;0),M964/H964,"")))</f>
        <v/>
      </c>
      <c r="T964" s="9">
        <f>IF(AND(ISNUMBER(M964),ISNUMBER(O964)),IF(M964&lt;=O964,"Valor ≤ venal IPTU",""),"")</f>
        <v/>
      </c>
      <c r="U964" s="10">
        <f>IF(AND(ISNUMBER(M964),ISNUMBER(N964)),IF(N964&gt;0,M964/N964,""),"")</f>
        <v/>
      </c>
      <c r="V964" s="10">
        <f>IF(AND(ISNUMBER(M964),ISNUMBER(O964)),IF(O964&gt;0,M964/O964,""),"")</f>
        <v/>
      </c>
      <c r="W964" s="10">
        <f>IF(AND(ISNUMBER(M964),ISNUMBER(R964)),IF(R964&gt;0,M964/R964,""),"")</f>
        <v/>
      </c>
      <c r="X964" s="10">
        <f>IF(AND(ISNUMBER(Q964),ISNUMBER(M964)),IF(M964&gt;0,Q964/M964,""),"")</f>
        <v/>
      </c>
      <c r="Y964" s="11">
        <f>IF(ISNUMBER(Z964),YEAR(Z964),"")</f>
        <v/>
      </c>
      <c r="Z964" s="12" t="n"/>
      <c r="AA964" s="12" t="n"/>
      <c r="AI964" s="12" t="n"/>
      <c r="AJ964" s="13">
        <f>IF(LEN(TRIM(AF964))=0,"",HYPERLINK("https://www.google.com/maps/@?api=1&amp;map_action=pano&amp;viewpoint="&amp;SUBSTITUTE(AF964," ",""),"Abrir Street View"))</f>
        <v/>
      </c>
    </row>
    <row r="965">
      <c r="H965" s="6" t="n"/>
      <c r="I965" s="6" t="n"/>
      <c r="M965" s="7" t="n"/>
      <c r="N965" s="7" t="n"/>
      <c r="O965" s="7" t="n"/>
      <c r="Q965" s="7" t="n"/>
      <c r="R965" s="7" t="n"/>
      <c r="S965" s="8">
        <f>IF(NOT(ISNUMBER(M965)),"",IF(G965="Terreno",IF(AND(ISNUMBER(I965),I965&gt;0),M965/I965,""),IF(AND(ISNUMBER(H965),H965&gt;0),M965/H965,"")))</f>
        <v/>
      </c>
      <c r="T965" s="9">
        <f>IF(AND(ISNUMBER(M965),ISNUMBER(O965)),IF(M965&lt;=O965,"Valor ≤ venal IPTU",""),"")</f>
        <v/>
      </c>
      <c r="U965" s="10">
        <f>IF(AND(ISNUMBER(M965),ISNUMBER(N965)),IF(N965&gt;0,M965/N965,""),"")</f>
        <v/>
      </c>
      <c r="V965" s="10">
        <f>IF(AND(ISNUMBER(M965),ISNUMBER(O965)),IF(O965&gt;0,M965/O965,""),"")</f>
        <v/>
      </c>
      <c r="W965" s="10">
        <f>IF(AND(ISNUMBER(M965),ISNUMBER(R965)),IF(R965&gt;0,M965/R965,""),"")</f>
        <v/>
      </c>
      <c r="X965" s="10">
        <f>IF(AND(ISNUMBER(Q965),ISNUMBER(M965)),IF(M965&gt;0,Q965/M965,""),"")</f>
        <v/>
      </c>
      <c r="Y965" s="11">
        <f>IF(ISNUMBER(Z965),YEAR(Z965),"")</f>
        <v/>
      </c>
      <c r="Z965" s="12" t="n"/>
      <c r="AA965" s="12" t="n"/>
      <c r="AI965" s="12" t="n"/>
      <c r="AJ965" s="13">
        <f>IF(LEN(TRIM(AF965))=0,"",HYPERLINK("https://www.google.com/maps/@?api=1&amp;map_action=pano&amp;viewpoint="&amp;SUBSTITUTE(AF965," ",""),"Abrir Street View"))</f>
        <v/>
      </c>
    </row>
    <row r="966">
      <c r="H966" s="6" t="n"/>
      <c r="I966" s="6" t="n"/>
      <c r="M966" s="7" t="n"/>
      <c r="N966" s="7" t="n"/>
      <c r="O966" s="7" t="n"/>
      <c r="Q966" s="7" t="n"/>
      <c r="R966" s="7" t="n"/>
      <c r="S966" s="8">
        <f>IF(NOT(ISNUMBER(M966)),"",IF(G966="Terreno",IF(AND(ISNUMBER(I966),I966&gt;0),M966/I966,""),IF(AND(ISNUMBER(H966),H966&gt;0),M966/H966,"")))</f>
        <v/>
      </c>
      <c r="T966" s="9">
        <f>IF(AND(ISNUMBER(M966),ISNUMBER(O966)),IF(M966&lt;=O966,"Valor ≤ venal IPTU",""),"")</f>
        <v/>
      </c>
      <c r="U966" s="10">
        <f>IF(AND(ISNUMBER(M966),ISNUMBER(N966)),IF(N966&gt;0,M966/N966,""),"")</f>
        <v/>
      </c>
      <c r="V966" s="10">
        <f>IF(AND(ISNUMBER(M966),ISNUMBER(O966)),IF(O966&gt;0,M966/O966,""),"")</f>
        <v/>
      </c>
      <c r="W966" s="10">
        <f>IF(AND(ISNUMBER(M966),ISNUMBER(R966)),IF(R966&gt;0,M966/R966,""),"")</f>
        <v/>
      </c>
      <c r="X966" s="10">
        <f>IF(AND(ISNUMBER(Q966),ISNUMBER(M966)),IF(M966&gt;0,Q966/M966,""),"")</f>
        <v/>
      </c>
      <c r="Y966" s="11">
        <f>IF(ISNUMBER(Z966),YEAR(Z966),"")</f>
        <v/>
      </c>
      <c r="Z966" s="12" t="n"/>
      <c r="AA966" s="12" t="n"/>
      <c r="AI966" s="12" t="n"/>
      <c r="AJ966" s="13">
        <f>IF(LEN(TRIM(AF966))=0,"",HYPERLINK("https://www.google.com/maps/@?api=1&amp;map_action=pano&amp;viewpoint="&amp;SUBSTITUTE(AF966," ",""),"Abrir Street View"))</f>
        <v/>
      </c>
    </row>
    <row r="967">
      <c r="H967" s="6" t="n"/>
      <c r="I967" s="6" t="n"/>
      <c r="M967" s="7" t="n"/>
      <c r="N967" s="7" t="n"/>
      <c r="O967" s="7" t="n"/>
      <c r="Q967" s="7" t="n"/>
      <c r="R967" s="7" t="n"/>
      <c r="S967" s="8">
        <f>IF(NOT(ISNUMBER(M967)),"",IF(G967="Terreno",IF(AND(ISNUMBER(I967),I967&gt;0),M967/I967,""),IF(AND(ISNUMBER(H967),H967&gt;0),M967/H967,"")))</f>
        <v/>
      </c>
      <c r="T967" s="9">
        <f>IF(AND(ISNUMBER(M967),ISNUMBER(O967)),IF(M967&lt;=O967,"Valor ≤ venal IPTU",""),"")</f>
        <v/>
      </c>
      <c r="U967" s="10">
        <f>IF(AND(ISNUMBER(M967),ISNUMBER(N967)),IF(N967&gt;0,M967/N967,""),"")</f>
        <v/>
      </c>
      <c r="V967" s="10">
        <f>IF(AND(ISNUMBER(M967),ISNUMBER(O967)),IF(O967&gt;0,M967/O967,""),"")</f>
        <v/>
      </c>
      <c r="W967" s="10">
        <f>IF(AND(ISNUMBER(M967),ISNUMBER(R967)),IF(R967&gt;0,M967/R967,""),"")</f>
        <v/>
      </c>
      <c r="X967" s="10">
        <f>IF(AND(ISNUMBER(Q967),ISNUMBER(M967)),IF(M967&gt;0,Q967/M967,""),"")</f>
        <v/>
      </c>
      <c r="Y967" s="11">
        <f>IF(ISNUMBER(Z967),YEAR(Z967),"")</f>
        <v/>
      </c>
      <c r="Z967" s="12" t="n"/>
      <c r="AA967" s="12" t="n"/>
      <c r="AI967" s="12" t="n"/>
      <c r="AJ967" s="13">
        <f>IF(LEN(TRIM(AF967))=0,"",HYPERLINK("https://www.google.com/maps/@?api=1&amp;map_action=pano&amp;viewpoint="&amp;SUBSTITUTE(AF967," ",""),"Abrir Street View"))</f>
        <v/>
      </c>
    </row>
    <row r="968">
      <c r="H968" s="6" t="n"/>
      <c r="I968" s="6" t="n"/>
      <c r="M968" s="7" t="n"/>
      <c r="N968" s="7" t="n"/>
      <c r="O968" s="7" t="n"/>
      <c r="Q968" s="7" t="n"/>
      <c r="R968" s="7" t="n"/>
      <c r="S968" s="8">
        <f>IF(NOT(ISNUMBER(M968)),"",IF(G968="Terreno",IF(AND(ISNUMBER(I968),I968&gt;0),M968/I968,""),IF(AND(ISNUMBER(H968),H968&gt;0),M968/H968,"")))</f>
        <v/>
      </c>
      <c r="T968" s="9">
        <f>IF(AND(ISNUMBER(M968),ISNUMBER(O968)),IF(M968&lt;=O968,"Valor ≤ venal IPTU",""),"")</f>
        <v/>
      </c>
      <c r="U968" s="10">
        <f>IF(AND(ISNUMBER(M968),ISNUMBER(N968)),IF(N968&gt;0,M968/N968,""),"")</f>
        <v/>
      </c>
      <c r="V968" s="10">
        <f>IF(AND(ISNUMBER(M968),ISNUMBER(O968)),IF(O968&gt;0,M968/O968,""),"")</f>
        <v/>
      </c>
      <c r="W968" s="10">
        <f>IF(AND(ISNUMBER(M968),ISNUMBER(R968)),IF(R968&gt;0,M968/R968,""),"")</f>
        <v/>
      </c>
      <c r="X968" s="10">
        <f>IF(AND(ISNUMBER(Q968),ISNUMBER(M968)),IF(M968&gt;0,Q968/M968,""),"")</f>
        <v/>
      </c>
      <c r="Y968" s="11">
        <f>IF(ISNUMBER(Z968),YEAR(Z968),"")</f>
        <v/>
      </c>
      <c r="Z968" s="12" t="n"/>
      <c r="AA968" s="12" t="n"/>
      <c r="AI968" s="12" t="n"/>
      <c r="AJ968" s="13">
        <f>IF(LEN(TRIM(AF968))=0,"",HYPERLINK("https://www.google.com/maps/@?api=1&amp;map_action=pano&amp;viewpoint="&amp;SUBSTITUTE(AF968," ",""),"Abrir Street View"))</f>
        <v/>
      </c>
    </row>
    <row r="969">
      <c r="H969" s="6" t="n"/>
      <c r="I969" s="6" t="n"/>
      <c r="M969" s="7" t="n"/>
      <c r="N969" s="7" t="n"/>
      <c r="O969" s="7" t="n"/>
      <c r="Q969" s="7" t="n"/>
      <c r="R969" s="7" t="n"/>
      <c r="S969" s="8">
        <f>IF(NOT(ISNUMBER(M969)),"",IF(G969="Terreno",IF(AND(ISNUMBER(I969),I969&gt;0),M969/I969,""),IF(AND(ISNUMBER(H969),H969&gt;0),M969/H969,"")))</f>
        <v/>
      </c>
      <c r="T969" s="9">
        <f>IF(AND(ISNUMBER(M969),ISNUMBER(O969)),IF(M969&lt;=O969,"Valor ≤ venal IPTU",""),"")</f>
        <v/>
      </c>
      <c r="U969" s="10">
        <f>IF(AND(ISNUMBER(M969),ISNUMBER(N969)),IF(N969&gt;0,M969/N969,""),"")</f>
        <v/>
      </c>
      <c r="V969" s="10">
        <f>IF(AND(ISNUMBER(M969),ISNUMBER(O969)),IF(O969&gt;0,M969/O969,""),"")</f>
        <v/>
      </c>
      <c r="W969" s="10">
        <f>IF(AND(ISNUMBER(M969),ISNUMBER(R969)),IF(R969&gt;0,M969/R969,""),"")</f>
        <v/>
      </c>
      <c r="X969" s="10">
        <f>IF(AND(ISNUMBER(Q969),ISNUMBER(M969)),IF(M969&gt;0,Q969/M969,""),"")</f>
        <v/>
      </c>
      <c r="Y969" s="11">
        <f>IF(ISNUMBER(Z969),YEAR(Z969),"")</f>
        <v/>
      </c>
      <c r="Z969" s="12" t="n"/>
      <c r="AA969" s="12" t="n"/>
      <c r="AI969" s="12" t="n"/>
      <c r="AJ969" s="13">
        <f>IF(LEN(TRIM(AF969))=0,"",HYPERLINK("https://www.google.com/maps/@?api=1&amp;map_action=pano&amp;viewpoint="&amp;SUBSTITUTE(AF969," ",""),"Abrir Street View"))</f>
        <v/>
      </c>
    </row>
    <row r="970">
      <c r="H970" s="6" t="n"/>
      <c r="I970" s="6" t="n"/>
      <c r="M970" s="7" t="n"/>
      <c r="N970" s="7" t="n"/>
      <c r="O970" s="7" t="n"/>
      <c r="Q970" s="7" t="n"/>
      <c r="R970" s="7" t="n"/>
      <c r="S970" s="8">
        <f>IF(NOT(ISNUMBER(M970)),"",IF(G970="Terreno",IF(AND(ISNUMBER(I970),I970&gt;0),M970/I970,""),IF(AND(ISNUMBER(H970),H970&gt;0),M970/H970,"")))</f>
        <v/>
      </c>
      <c r="T970" s="9">
        <f>IF(AND(ISNUMBER(M970),ISNUMBER(O970)),IF(M970&lt;=O970,"Valor ≤ venal IPTU",""),"")</f>
        <v/>
      </c>
      <c r="U970" s="10">
        <f>IF(AND(ISNUMBER(M970),ISNUMBER(N970)),IF(N970&gt;0,M970/N970,""),"")</f>
        <v/>
      </c>
      <c r="V970" s="10">
        <f>IF(AND(ISNUMBER(M970),ISNUMBER(O970)),IF(O970&gt;0,M970/O970,""),"")</f>
        <v/>
      </c>
      <c r="W970" s="10">
        <f>IF(AND(ISNUMBER(M970),ISNUMBER(R970)),IF(R970&gt;0,M970/R970,""),"")</f>
        <v/>
      </c>
      <c r="X970" s="10">
        <f>IF(AND(ISNUMBER(Q970),ISNUMBER(M970)),IF(M970&gt;0,Q970/M970,""),"")</f>
        <v/>
      </c>
      <c r="Y970" s="11">
        <f>IF(ISNUMBER(Z970),YEAR(Z970),"")</f>
        <v/>
      </c>
      <c r="Z970" s="12" t="n"/>
      <c r="AA970" s="12" t="n"/>
      <c r="AI970" s="12" t="n"/>
      <c r="AJ970" s="13">
        <f>IF(LEN(TRIM(AF970))=0,"",HYPERLINK("https://www.google.com/maps/@?api=1&amp;map_action=pano&amp;viewpoint="&amp;SUBSTITUTE(AF970," ",""),"Abrir Street View"))</f>
        <v/>
      </c>
    </row>
    <row r="971">
      <c r="H971" s="6" t="n"/>
      <c r="I971" s="6" t="n"/>
      <c r="M971" s="7" t="n"/>
      <c r="N971" s="7" t="n"/>
      <c r="O971" s="7" t="n"/>
      <c r="Q971" s="7" t="n"/>
      <c r="R971" s="7" t="n"/>
      <c r="S971" s="8">
        <f>IF(NOT(ISNUMBER(M971)),"",IF(G971="Terreno",IF(AND(ISNUMBER(I971),I971&gt;0),M971/I971,""),IF(AND(ISNUMBER(H971),H971&gt;0),M971/H971,"")))</f>
        <v/>
      </c>
      <c r="T971" s="9">
        <f>IF(AND(ISNUMBER(M971),ISNUMBER(O971)),IF(M971&lt;=O971,"Valor ≤ venal IPTU",""),"")</f>
        <v/>
      </c>
      <c r="U971" s="10">
        <f>IF(AND(ISNUMBER(M971),ISNUMBER(N971)),IF(N971&gt;0,M971/N971,""),"")</f>
        <v/>
      </c>
      <c r="V971" s="10">
        <f>IF(AND(ISNUMBER(M971),ISNUMBER(O971)),IF(O971&gt;0,M971/O971,""),"")</f>
        <v/>
      </c>
      <c r="W971" s="10">
        <f>IF(AND(ISNUMBER(M971),ISNUMBER(R971)),IF(R971&gt;0,M971/R971,""),"")</f>
        <v/>
      </c>
      <c r="X971" s="10">
        <f>IF(AND(ISNUMBER(Q971),ISNUMBER(M971)),IF(M971&gt;0,Q971/M971,""),"")</f>
        <v/>
      </c>
      <c r="Y971" s="11">
        <f>IF(ISNUMBER(Z971),YEAR(Z971),"")</f>
        <v/>
      </c>
      <c r="Z971" s="12" t="n"/>
      <c r="AA971" s="12" t="n"/>
      <c r="AI971" s="12" t="n"/>
      <c r="AJ971" s="13">
        <f>IF(LEN(TRIM(AF971))=0,"",HYPERLINK("https://www.google.com/maps/@?api=1&amp;map_action=pano&amp;viewpoint="&amp;SUBSTITUTE(AF971," ",""),"Abrir Street View"))</f>
        <v/>
      </c>
    </row>
    <row r="972">
      <c r="H972" s="6" t="n"/>
      <c r="I972" s="6" t="n"/>
      <c r="M972" s="7" t="n"/>
      <c r="N972" s="7" t="n"/>
      <c r="O972" s="7" t="n"/>
      <c r="Q972" s="7" t="n"/>
      <c r="R972" s="7" t="n"/>
      <c r="S972" s="8">
        <f>IF(NOT(ISNUMBER(M972)),"",IF(G972="Terreno",IF(AND(ISNUMBER(I972),I972&gt;0),M972/I972,""),IF(AND(ISNUMBER(H972),H972&gt;0),M972/H972,"")))</f>
        <v/>
      </c>
      <c r="T972" s="9">
        <f>IF(AND(ISNUMBER(M972),ISNUMBER(O972)),IF(M972&lt;=O972,"Valor ≤ venal IPTU",""),"")</f>
        <v/>
      </c>
      <c r="U972" s="10">
        <f>IF(AND(ISNUMBER(M972),ISNUMBER(N972)),IF(N972&gt;0,M972/N972,""),"")</f>
        <v/>
      </c>
      <c r="V972" s="10">
        <f>IF(AND(ISNUMBER(M972),ISNUMBER(O972)),IF(O972&gt;0,M972/O972,""),"")</f>
        <v/>
      </c>
      <c r="W972" s="10">
        <f>IF(AND(ISNUMBER(M972),ISNUMBER(R972)),IF(R972&gt;0,M972/R972,""),"")</f>
        <v/>
      </c>
      <c r="X972" s="10">
        <f>IF(AND(ISNUMBER(Q972),ISNUMBER(M972)),IF(M972&gt;0,Q972/M972,""),"")</f>
        <v/>
      </c>
      <c r="Y972" s="11">
        <f>IF(ISNUMBER(Z972),YEAR(Z972),"")</f>
        <v/>
      </c>
      <c r="Z972" s="12" t="n"/>
      <c r="AA972" s="12" t="n"/>
      <c r="AI972" s="12" t="n"/>
      <c r="AJ972" s="13">
        <f>IF(LEN(TRIM(AF972))=0,"",HYPERLINK("https://www.google.com/maps/@?api=1&amp;map_action=pano&amp;viewpoint="&amp;SUBSTITUTE(AF972," ",""),"Abrir Street View"))</f>
        <v/>
      </c>
    </row>
    <row r="973">
      <c r="H973" s="6" t="n"/>
      <c r="I973" s="6" t="n"/>
      <c r="M973" s="7" t="n"/>
      <c r="N973" s="7" t="n"/>
      <c r="O973" s="7" t="n"/>
      <c r="Q973" s="7" t="n"/>
      <c r="R973" s="7" t="n"/>
      <c r="S973" s="8">
        <f>IF(NOT(ISNUMBER(M973)),"",IF(G973="Terreno",IF(AND(ISNUMBER(I973),I973&gt;0),M973/I973,""),IF(AND(ISNUMBER(H973),H973&gt;0),M973/H973,"")))</f>
        <v/>
      </c>
      <c r="T973" s="9">
        <f>IF(AND(ISNUMBER(M973),ISNUMBER(O973)),IF(M973&lt;=O973,"Valor ≤ venal IPTU",""),"")</f>
        <v/>
      </c>
      <c r="U973" s="10">
        <f>IF(AND(ISNUMBER(M973),ISNUMBER(N973)),IF(N973&gt;0,M973/N973,""),"")</f>
        <v/>
      </c>
      <c r="V973" s="10">
        <f>IF(AND(ISNUMBER(M973),ISNUMBER(O973)),IF(O973&gt;0,M973/O973,""),"")</f>
        <v/>
      </c>
      <c r="W973" s="10">
        <f>IF(AND(ISNUMBER(M973),ISNUMBER(R973)),IF(R973&gt;0,M973/R973,""),"")</f>
        <v/>
      </c>
      <c r="X973" s="10">
        <f>IF(AND(ISNUMBER(Q973),ISNUMBER(M973)),IF(M973&gt;0,Q973/M973,""),"")</f>
        <v/>
      </c>
      <c r="Y973" s="11">
        <f>IF(ISNUMBER(Z973),YEAR(Z973),"")</f>
        <v/>
      </c>
      <c r="Z973" s="12" t="n"/>
      <c r="AA973" s="12" t="n"/>
      <c r="AI973" s="12" t="n"/>
      <c r="AJ973" s="13">
        <f>IF(LEN(TRIM(AF973))=0,"",HYPERLINK("https://www.google.com/maps/@?api=1&amp;map_action=pano&amp;viewpoint="&amp;SUBSTITUTE(AF973," ",""),"Abrir Street View"))</f>
        <v/>
      </c>
    </row>
    <row r="974">
      <c r="H974" s="6" t="n"/>
      <c r="I974" s="6" t="n"/>
      <c r="M974" s="7" t="n"/>
      <c r="N974" s="7" t="n"/>
      <c r="O974" s="7" t="n"/>
      <c r="Q974" s="7" t="n"/>
      <c r="R974" s="7" t="n"/>
      <c r="S974" s="8">
        <f>IF(NOT(ISNUMBER(M974)),"",IF(G974="Terreno",IF(AND(ISNUMBER(I974),I974&gt;0),M974/I974,""),IF(AND(ISNUMBER(H974),H974&gt;0),M974/H974,"")))</f>
        <v/>
      </c>
      <c r="T974" s="9">
        <f>IF(AND(ISNUMBER(M974),ISNUMBER(O974)),IF(M974&lt;=O974,"Valor ≤ venal IPTU",""),"")</f>
        <v/>
      </c>
      <c r="U974" s="10">
        <f>IF(AND(ISNUMBER(M974),ISNUMBER(N974)),IF(N974&gt;0,M974/N974,""),"")</f>
        <v/>
      </c>
      <c r="V974" s="10">
        <f>IF(AND(ISNUMBER(M974),ISNUMBER(O974)),IF(O974&gt;0,M974/O974,""),"")</f>
        <v/>
      </c>
      <c r="W974" s="10">
        <f>IF(AND(ISNUMBER(M974),ISNUMBER(R974)),IF(R974&gt;0,M974/R974,""),"")</f>
        <v/>
      </c>
      <c r="X974" s="10">
        <f>IF(AND(ISNUMBER(Q974),ISNUMBER(M974)),IF(M974&gt;0,Q974/M974,""),"")</f>
        <v/>
      </c>
      <c r="Y974" s="11">
        <f>IF(ISNUMBER(Z974),YEAR(Z974),"")</f>
        <v/>
      </c>
      <c r="Z974" s="12" t="n"/>
      <c r="AA974" s="12" t="n"/>
      <c r="AI974" s="12" t="n"/>
      <c r="AJ974" s="13">
        <f>IF(LEN(TRIM(AF974))=0,"",HYPERLINK("https://www.google.com/maps/@?api=1&amp;map_action=pano&amp;viewpoint="&amp;SUBSTITUTE(AF974," ",""),"Abrir Street View"))</f>
        <v/>
      </c>
    </row>
    <row r="975">
      <c r="H975" s="6" t="n"/>
      <c r="I975" s="6" t="n"/>
      <c r="M975" s="7" t="n"/>
      <c r="N975" s="7" t="n"/>
      <c r="O975" s="7" t="n"/>
      <c r="Q975" s="7" t="n"/>
      <c r="R975" s="7" t="n"/>
      <c r="S975" s="8">
        <f>IF(NOT(ISNUMBER(M975)),"",IF(G975="Terreno",IF(AND(ISNUMBER(I975),I975&gt;0),M975/I975,""),IF(AND(ISNUMBER(H975),H975&gt;0),M975/H975,"")))</f>
        <v/>
      </c>
      <c r="T975" s="9">
        <f>IF(AND(ISNUMBER(M975),ISNUMBER(O975)),IF(M975&lt;=O975,"Valor ≤ venal IPTU",""),"")</f>
        <v/>
      </c>
      <c r="U975" s="10">
        <f>IF(AND(ISNUMBER(M975),ISNUMBER(N975)),IF(N975&gt;0,M975/N975,""),"")</f>
        <v/>
      </c>
      <c r="V975" s="10">
        <f>IF(AND(ISNUMBER(M975),ISNUMBER(O975)),IF(O975&gt;0,M975/O975,""),"")</f>
        <v/>
      </c>
      <c r="W975" s="10">
        <f>IF(AND(ISNUMBER(M975),ISNUMBER(R975)),IF(R975&gt;0,M975/R975,""),"")</f>
        <v/>
      </c>
      <c r="X975" s="10">
        <f>IF(AND(ISNUMBER(Q975),ISNUMBER(M975)),IF(M975&gt;0,Q975/M975,""),"")</f>
        <v/>
      </c>
      <c r="Y975" s="11">
        <f>IF(ISNUMBER(Z975),YEAR(Z975),"")</f>
        <v/>
      </c>
      <c r="Z975" s="12" t="n"/>
      <c r="AA975" s="12" t="n"/>
      <c r="AI975" s="12" t="n"/>
      <c r="AJ975" s="13">
        <f>IF(LEN(TRIM(AF975))=0,"",HYPERLINK("https://www.google.com/maps/@?api=1&amp;map_action=pano&amp;viewpoint="&amp;SUBSTITUTE(AF975," ",""),"Abrir Street View"))</f>
        <v/>
      </c>
    </row>
    <row r="976">
      <c r="H976" s="6" t="n"/>
      <c r="I976" s="6" t="n"/>
      <c r="M976" s="7" t="n"/>
      <c r="N976" s="7" t="n"/>
      <c r="O976" s="7" t="n"/>
      <c r="Q976" s="7" t="n"/>
      <c r="R976" s="7" t="n"/>
      <c r="S976" s="8">
        <f>IF(NOT(ISNUMBER(M976)),"",IF(G976="Terreno",IF(AND(ISNUMBER(I976),I976&gt;0),M976/I976,""),IF(AND(ISNUMBER(H976),H976&gt;0),M976/H976,"")))</f>
        <v/>
      </c>
      <c r="T976" s="9">
        <f>IF(AND(ISNUMBER(M976),ISNUMBER(O976)),IF(M976&lt;=O976,"Valor ≤ venal IPTU",""),"")</f>
        <v/>
      </c>
      <c r="U976" s="10">
        <f>IF(AND(ISNUMBER(M976),ISNUMBER(N976)),IF(N976&gt;0,M976/N976,""),"")</f>
        <v/>
      </c>
      <c r="V976" s="10">
        <f>IF(AND(ISNUMBER(M976),ISNUMBER(O976)),IF(O976&gt;0,M976/O976,""),"")</f>
        <v/>
      </c>
      <c r="W976" s="10">
        <f>IF(AND(ISNUMBER(M976),ISNUMBER(R976)),IF(R976&gt;0,M976/R976,""),"")</f>
        <v/>
      </c>
      <c r="X976" s="10">
        <f>IF(AND(ISNUMBER(Q976),ISNUMBER(M976)),IF(M976&gt;0,Q976/M976,""),"")</f>
        <v/>
      </c>
      <c r="Y976" s="11">
        <f>IF(ISNUMBER(Z976),YEAR(Z976),"")</f>
        <v/>
      </c>
      <c r="Z976" s="12" t="n"/>
      <c r="AA976" s="12" t="n"/>
      <c r="AI976" s="12" t="n"/>
      <c r="AJ976" s="13">
        <f>IF(LEN(TRIM(AF976))=0,"",HYPERLINK("https://www.google.com/maps/@?api=1&amp;map_action=pano&amp;viewpoint="&amp;SUBSTITUTE(AF976," ",""),"Abrir Street View"))</f>
        <v/>
      </c>
    </row>
    <row r="977">
      <c r="H977" s="6" t="n"/>
      <c r="I977" s="6" t="n"/>
      <c r="M977" s="7" t="n"/>
      <c r="N977" s="7" t="n"/>
      <c r="O977" s="7" t="n"/>
      <c r="Q977" s="7" t="n"/>
      <c r="R977" s="7" t="n"/>
      <c r="S977" s="8">
        <f>IF(NOT(ISNUMBER(M977)),"",IF(G977="Terreno",IF(AND(ISNUMBER(I977),I977&gt;0),M977/I977,""),IF(AND(ISNUMBER(H977),H977&gt;0),M977/H977,"")))</f>
        <v/>
      </c>
      <c r="T977" s="9">
        <f>IF(AND(ISNUMBER(M977),ISNUMBER(O977)),IF(M977&lt;=O977,"Valor ≤ venal IPTU",""),"")</f>
        <v/>
      </c>
      <c r="U977" s="10">
        <f>IF(AND(ISNUMBER(M977),ISNUMBER(N977)),IF(N977&gt;0,M977/N977,""),"")</f>
        <v/>
      </c>
      <c r="V977" s="10">
        <f>IF(AND(ISNUMBER(M977),ISNUMBER(O977)),IF(O977&gt;0,M977/O977,""),"")</f>
        <v/>
      </c>
      <c r="W977" s="10">
        <f>IF(AND(ISNUMBER(M977),ISNUMBER(R977)),IF(R977&gt;0,M977/R977,""),"")</f>
        <v/>
      </c>
      <c r="X977" s="10">
        <f>IF(AND(ISNUMBER(Q977),ISNUMBER(M977)),IF(M977&gt;0,Q977/M977,""),"")</f>
        <v/>
      </c>
      <c r="Y977" s="11">
        <f>IF(ISNUMBER(Z977),YEAR(Z977),"")</f>
        <v/>
      </c>
      <c r="Z977" s="12" t="n"/>
      <c r="AA977" s="12" t="n"/>
      <c r="AI977" s="12" t="n"/>
      <c r="AJ977" s="13">
        <f>IF(LEN(TRIM(AF977))=0,"",HYPERLINK("https://www.google.com/maps/@?api=1&amp;map_action=pano&amp;viewpoint="&amp;SUBSTITUTE(AF977," ",""),"Abrir Street View"))</f>
        <v/>
      </c>
    </row>
    <row r="978">
      <c r="H978" s="6" t="n"/>
      <c r="I978" s="6" t="n"/>
      <c r="M978" s="7" t="n"/>
      <c r="N978" s="7" t="n"/>
      <c r="O978" s="7" t="n"/>
      <c r="Q978" s="7" t="n"/>
      <c r="R978" s="7" t="n"/>
      <c r="S978" s="8">
        <f>IF(NOT(ISNUMBER(M978)),"",IF(G978="Terreno",IF(AND(ISNUMBER(I978),I978&gt;0),M978/I978,""),IF(AND(ISNUMBER(H978),H978&gt;0),M978/H978,"")))</f>
        <v/>
      </c>
      <c r="T978" s="9">
        <f>IF(AND(ISNUMBER(M978),ISNUMBER(O978)),IF(M978&lt;=O978,"Valor ≤ venal IPTU",""),"")</f>
        <v/>
      </c>
      <c r="U978" s="10">
        <f>IF(AND(ISNUMBER(M978),ISNUMBER(N978)),IF(N978&gt;0,M978/N978,""),"")</f>
        <v/>
      </c>
      <c r="V978" s="10">
        <f>IF(AND(ISNUMBER(M978),ISNUMBER(O978)),IF(O978&gt;0,M978/O978,""),"")</f>
        <v/>
      </c>
      <c r="W978" s="10">
        <f>IF(AND(ISNUMBER(M978),ISNUMBER(R978)),IF(R978&gt;0,M978/R978,""),"")</f>
        <v/>
      </c>
      <c r="X978" s="10">
        <f>IF(AND(ISNUMBER(Q978),ISNUMBER(M978)),IF(M978&gt;0,Q978/M978,""),"")</f>
        <v/>
      </c>
      <c r="Y978" s="11">
        <f>IF(ISNUMBER(Z978),YEAR(Z978),"")</f>
        <v/>
      </c>
      <c r="Z978" s="12" t="n"/>
      <c r="AA978" s="12" t="n"/>
      <c r="AI978" s="12" t="n"/>
      <c r="AJ978" s="13">
        <f>IF(LEN(TRIM(AF978))=0,"",HYPERLINK("https://www.google.com/maps/@?api=1&amp;map_action=pano&amp;viewpoint="&amp;SUBSTITUTE(AF978," ",""),"Abrir Street View"))</f>
        <v/>
      </c>
    </row>
    <row r="979">
      <c r="H979" s="6" t="n"/>
      <c r="I979" s="6" t="n"/>
      <c r="M979" s="7" t="n"/>
      <c r="N979" s="7" t="n"/>
      <c r="O979" s="7" t="n"/>
      <c r="Q979" s="7" t="n"/>
      <c r="R979" s="7" t="n"/>
      <c r="S979" s="8">
        <f>IF(NOT(ISNUMBER(M979)),"",IF(G979="Terreno",IF(AND(ISNUMBER(I979),I979&gt;0),M979/I979,""),IF(AND(ISNUMBER(H979),H979&gt;0),M979/H979,"")))</f>
        <v/>
      </c>
      <c r="T979" s="9">
        <f>IF(AND(ISNUMBER(M979),ISNUMBER(O979)),IF(M979&lt;=O979,"Valor ≤ venal IPTU",""),"")</f>
        <v/>
      </c>
      <c r="U979" s="10">
        <f>IF(AND(ISNUMBER(M979),ISNUMBER(N979)),IF(N979&gt;0,M979/N979,""),"")</f>
        <v/>
      </c>
      <c r="V979" s="10">
        <f>IF(AND(ISNUMBER(M979),ISNUMBER(O979)),IF(O979&gt;0,M979/O979,""),"")</f>
        <v/>
      </c>
      <c r="W979" s="10">
        <f>IF(AND(ISNUMBER(M979),ISNUMBER(R979)),IF(R979&gt;0,M979/R979,""),"")</f>
        <v/>
      </c>
      <c r="X979" s="10">
        <f>IF(AND(ISNUMBER(Q979),ISNUMBER(M979)),IF(M979&gt;0,Q979/M979,""),"")</f>
        <v/>
      </c>
      <c r="Y979" s="11">
        <f>IF(ISNUMBER(Z979),YEAR(Z979),"")</f>
        <v/>
      </c>
      <c r="Z979" s="12" t="n"/>
      <c r="AA979" s="12" t="n"/>
      <c r="AI979" s="12" t="n"/>
      <c r="AJ979" s="13">
        <f>IF(LEN(TRIM(AF979))=0,"",HYPERLINK("https://www.google.com/maps/@?api=1&amp;map_action=pano&amp;viewpoint="&amp;SUBSTITUTE(AF979," ",""),"Abrir Street View"))</f>
        <v/>
      </c>
    </row>
    <row r="980">
      <c r="H980" s="6" t="n"/>
      <c r="I980" s="6" t="n"/>
      <c r="M980" s="7" t="n"/>
      <c r="N980" s="7" t="n"/>
      <c r="O980" s="7" t="n"/>
      <c r="Q980" s="7" t="n"/>
      <c r="R980" s="7" t="n"/>
      <c r="S980" s="8">
        <f>IF(NOT(ISNUMBER(M980)),"",IF(G980="Terreno",IF(AND(ISNUMBER(I980),I980&gt;0),M980/I980,""),IF(AND(ISNUMBER(H980),H980&gt;0),M980/H980,"")))</f>
        <v/>
      </c>
      <c r="T980" s="9">
        <f>IF(AND(ISNUMBER(M980),ISNUMBER(O980)),IF(M980&lt;=O980,"Valor ≤ venal IPTU",""),"")</f>
        <v/>
      </c>
      <c r="U980" s="10">
        <f>IF(AND(ISNUMBER(M980),ISNUMBER(N980)),IF(N980&gt;0,M980/N980,""),"")</f>
        <v/>
      </c>
      <c r="V980" s="10">
        <f>IF(AND(ISNUMBER(M980),ISNUMBER(O980)),IF(O980&gt;0,M980/O980,""),"")</f>
        <v/>
      </c>
      <c r="W980" s="10">
        <f>IF(AND(ISNUMBER(M980),ISNUMBER(R980)),IF(R980&gt;0,M980/R980,""),"")</f>
        <v/>
      </c>
      <c r="X980" s="10">
        <f>IF(AND(ISNUMBER(Q980),ISNUMBER(M980)),IF(M980&gt;0,Q980/M980,""),"")</f>
        <v/>
      </c>
      <c r="Y980" s="11">
        <f>IF(ISNUMBER(Z980),YEAR(Z980),"")</f>
        <v/>
      </c>
      <c r="Z980" s="12" t="n"/>
      <c r="AA980" s="12" t="n"/>
      <c r="AI980" s="12" t="n"/>
      <c r="AJ980" s="13">
        <f>IF(LEN(TRIM(AF980))=0,"",HYPERLINK("https://www.google.com/maps/@?api=1&amp;map_action=pano&amp;viewpoint="&amp;SUBSTITUTE(AF980," ",""),"Abrir Street View"))</f>
        <v/>
      </c>
    </row>
    <row r="981">
      <c r="H981" s="6" t="n"/>
      <c r="I981" s="6" t="n"/>
      <c r="M981" s="7" t="n"/>
      <c r="N981" s="7" t="n"/>
      <c r="O981" s="7" t="n"/>
      <c r="Q981" s="7" t="n"/>
      <c r="R981" s="7" t="n"/>
      <c r="S981" s="8">
        <f>IF(NOT(ISNUMBER(M981)),"",IF(G981="Terreno",IF(AND(ISNUMBER(I981),I981&gt;0),M981/I981,""),IF(AND(ISNUMBER(H981),H981&gt;0),M981/H981,"")))</f>
        <v/>
      </c>
      <c r="T981" s="9">
        <f>IF(AND(ISNUMBER(M981),ISNUMBER(O981)),IF(M981&lt;=O981,"Valor ≤ venal IPTU",""),"")</f>
        <v/>
      </c>
      <c r="U981" s="10">
        <f>IF(AND(ISNUMBER(M981),ISNUMBER(N981)),IF(N981&gt;0,M981/N981,""),"")</f>
        <v/>
      </c>
      <c r="V981" s="10">
        <f>IF(AND(ISNUMBER(M981),ISNUMBER(O981)),IF(O981&gt;0,M981/O981,""),"")</f>
        <v/>
      </c>
      <c r="W981" s="10">
        <f>IF(AND(ISNUMBER(M981),ISNUMBER(R981)),IF(R981&gt;0,M981/R981,""),"")</f>
        <v/>
      </c>
      <c r="X981" s="10">
        <f>IF(AND(ISNUMBER(Q981),ISNUMBER(M981)),IF(M981&gt;0,Q981/M981,""),"")</f>
        <v/>
      </c>
      <c r="Y981" s="11">
        <f>IF(ISNUMBER(Z981),YEAR(Z981),"")</f>
        <v/>
      </c>
      <c r="Z981" s="12" t="n"/>
      <c r="AA981" s="12" t="n"/>
      <c r="AI981" s="12" t="n"/>
      <c r="AJ981" s="13">
        <f>IF(LEN(TRIM(AF981))=0,"",HYPERLINK("https://www.google.com/maps/@?api=1&amp;map_action=pano&amp;viewpoint="&amp;SUBSTITUTE(AF981," ",""),"Abrir Street View"))</f>
        <v/>
      </c>
    </row>
    <row r="982">
      <c r="H982" s="6" t="n"/>
      <c r="I982" s="6" t="n"/>
      <c r="M982" s="7" t="n"/>
      <c r="N982" s="7" t="n"/>
      <c r="O982" s="7" t="n"/>
      <c r="Q982" s="7" t="n"/>
      <c r="R982" s="7" t="n"/>
      <c r="S982" s="8">
        <f>IF(NOT(ISNUMBER(M982)),"",IF(G982="Terreno",IF(AND(ISNUMBER(I982),I982&gt;0),M982/I982,""),IF(AND(ISNUMBER(H982),H982&gt;0),M982/H982,"")))</f>
        <v/>
      </c>
      <c r="T982" s="9">
        <f>IF(AND(ISNUMBER(M982),ISNUMBER(O982)),IF(M982&lt;=O982,"Valor ≤ venal IPTU",""),"")</f>
        <v/>
      </c>
      <c r="U982" s="10">
        <f>IF(AND(ISNUMBER(M982),ISNUMBER(N982)),IF(N982&gt;0,M982/N982,""),"")</f>
        <v/>
      </c>
      <c r="V982" s="10">
        <f>IF(AND(ISNUMBER(M982),ISNUMBER(O982)),IF(O982&gt;0,M982/O982,""),"")</f>
        <v/>
      </c>
      <c r="W982" s="10">
        <f>IF(AND(ISNUMBER(M982),ISNUMBER(R982)),IF(R982&gt;0,M982/R982,""),"")</f>
        <v/>
      </c>
      <c r="X982" s="10">
        <f>IF(AND(ISNUMBER(Q982),ISNUMBER(M982)),IF(M982&gt;0,Q982/M982,""),"")</f>
        <v/>
      </c>
      <c r="Y982" s="11">
        <f>IF(ISNUMBER(Z982),YEAR(Z982),"")</f>
        <v/>
      </c>
      <c r="Z982" s="12" t="n"/>
      <c r="AA982" s="12" t="n"/>
      <c r="AI982" s="12" t="n"/>
      <c r="AJ982" s="13">
        <f>IF(LEN(TRIM(AF982))=0,"",HYPERLINK("https://www.google.com/maps/@?api=1&amp;map_action=pano&amp;viewpoint="&amp;SUBSTITUTE(AF982," ",""),"Abrir Street View"))</f>
        <v/>
      </c>
    </row>
    <row r="983">
      <c r="H983" s="6" t="n"/>
      <c r="I983" s="6" t="n"/>
      <c r="M983" s="7" t="n"/>
      <c r="N983" s="7" t="n"/>
      <c r="O983" s="7" t="n"/>
      <c r="Q983" s="7" t="n"/>
      <c r="R983" s="7" t="n"/>
      <c r="S983" s="8">
        <f>IF(NOT(ISNUMBER(M983)),"",IF(G983="Terreno",IF(AND(ISNUMBER(I983),I983&gt;0),M983/I983,""),IF(AND(ISNUMBER(H983),H983&gt;0),M983/H983,"")))</f>
        <v/>
      </c>
      <c r="T983" s="9">
        <f>IF(AND(ISNUMBER(M983),ISNUMBER(O983)),IF(M983&lt;=O983,"Valor ≤ venal IPTU",""),"")</f>
        <v/>
      </c>
      <c r="U983" s="10">
        <f>IF(AND(ISNUMBER(M983),ISNUMBER(N983)),IF(N983&gt;0,M983/N983,""),"")</f>
        <v/>
      </c>
      <c r="V983" s="10">
        <f>IF(AND(ISNUMBER(M983),ISNUMBER(O983)),IF(O983&gt;0,M983/O983,""),"")</f>
        <v/>
      </c>
      <c r="W983" s="10">
        <f>IF(AND(ISNUMBER(M983),ISNUMBER(R983)),IF(R983&gt;0,M983/R983,""),"")</f>
        <v/>
      </c>
      <c r="X983" s="10">
        <f>IF(AND(ISNUMBER(Q983),ISNUMBER(M983)),IF(M983&gt;0,Q983/M983,""),"")</f>
        <v/>
      </c>
      <c r="Y983" s="11">
        <f>IF(ISNUMBER(Z983),YEAR(Z983),"")</f>
        <v/>
      </c>
      <c r="Z983" s="12" t="n"/>
      <c r="AA983" s="12" t="n"/>
      <c r="AI983" s="12" t="n"/>
      <c r="AJ983" s="13">
        <f>IF(LEN(TRIM(AF983))=0,"",HYPERLINK("https://www.google.com/maps/@?api=1&amp;map_action=pano&amp;viewpoint="&amp;SUBSTITUTE(AF983," ",""),"Abrir Street View"))</f>
        <v/>
      </c>
    </row>
    <row r="984">
      <c r="H984" s="6" t="n"/>
      <c r="I984" s="6" t="n"/>
      <c r="M984" s="7" t="n"/>
      <c r="N984" s="7" t="n"/>
      <c r="O984" s="7" t="n"/>
      <c r="Q984" s="7" t="n"/>
      <c r="R984" s="7" t="n"/>
      <c r="S984" s="8">
        <f>IF(NOT(ISNUMBER(M984)),"",IF(G984="Terreno",IF(AND(ISNUMBER(I984),I984&gt;0),M984/I984,""),IF(AND(ISNUMBER(H984),H984&gt;0),M984/H984,"")))</f>
        <v/>
      </c>
      <c r="T984" s="9">
        <f>IF(AND(ISNUMBER(M984),ISNUMBER(O984)),IF(M984&lt;=O984,"Valor ≤ venal IPTU",""),"")</f>
        <v/>
      </c>
      <c r="U984" s="10">
        <f>IF(AND(ISNUMBER(M984),ISNUMBER(N984)),IF(N984&gt;0,M984/N984,""),"")</f>
        <v/>
      </c>
      <c r="V984" s="10">
        <f>IF(AND(ISNUMBER(M984),ISNUMBER(O984)),IF(O984&gt;0,M984/O984,""),"")</f>
        <v/>
      </c>
      <c r="W984" s="10">
        <f>IF(AND(ISNUMBER(M984),ISNUMBER(R984)),IF(R984&gt;0,M984/R984,""),"")</f>
        <v/>
      </c>
      <c r="X984" s="10">
        <f>IF(AND(ISNUMBER(Q984),ISNUMBER(M984)),IF(M984&gt;0,Q984/M984,""),"")</f>
        <v/>
      </c>
      <c r="Y984" s="11">
        <f>IF(ISNUMBER(Z984),YEAR(Z984),"")</f>
        <v/>
      </c>
      <c r="Z984" s="12" t="n"/>
      <c r="AA984" s="12" t="n"/>
      <c r="AI984" s="12" t="n"/>
      <c r="AJ984" s="13">
        <f>IF(LEN(TRIM(AF984))=0,"",HYPERLINK("https://www.google.com/maps/@?api=1&amp;map_action=pano&amp;viewpoint="&amp;SUBSTITUTE(AF984," ",""),"Abrir Street View"))</f>
        <v/>
      </c>
    </row>
    <row r="985">
      <c r="H985" s="6" t="n"/>
      <c r="I985" s="6" t="n"/>
      <c r="M985" s="7" t="n"/>
      <c r="N985" s="7" t="n"/>
      <c r="O985" s="7" t="n"/>
      <c r="Q985" s="7" t="n"/>
      <c r="R985" s="7" t="n"/>
      <c r="S985" s="8">
        <f>IF(NOT(ISNUMBER(M985)),"",IF(G985="Terreno",IF(AND(ISNUMBER(I985),I985&gt;0),M985/I985,""),IF(AND(ISNUMBER(H985),H985&gt;0),M985/H985,"")))</f>
        <v/>
      </c>
      <c r="T985" s="9">
        <f>IF(AND(ISNUMBER(M985),ISNUMBER(O985)),IF(M985&lt;=O985,"Valor ≤ venal IPTU",""),"")</f>
        <v/>
      </c>
      <c r="U985" s="10">
        <f>IF(AND(ISNUMBER(M985),ISNUMBER(N985)),IF(N985&gt;0,M985/N985,""),"")</f>
        <v/>
      </c>
      <c r="V985" s="10">
        <f>IF(AND(ISNUMBER(M985),ISNUMBER(O985)),IF(O985&gt;0,M985/O985,""),"")</f>
        <v/>
      </c>
      <c r="W985" s="10">
        <f>IF(AND(ISNUMBER(M985),ISNUMBER(R985)),IF(R985&gt;0,M985/R985,""),"")</f>
        <v/>
      </c>
      <c r="X985" s="10">
        <f>IF(AND(ISNUMBER(Q985),ISNUMBER(M985)),IF(M985&gt;0,Q985/M985,""),"")</f>
        <v/>
      </c>
      <c r="Y985" s="11">
        <f>IF(ISNUMBER(Z985),YEAR(Z985),"")</f>
        <v/>
      </c>
      <c r="Z985" s="12" t="n"/>
      <c r="AA985" s="12" t="n"/>
      <c r="AI985" s="12" t="n"/>
      <c r="AJ985" s="13">
        <f>IF(LEN(TRIM(AF985))=0,"",HYPERLINK("https://www.google.com/maps/@?api=1&amp;map_action=pano&amp;viewpoint="&amp;SUBSTITUTE(AF985," ",""),"Abrir Street View"))</f>
        <v/>
      </c>
    </row>
    <row r="986">
      <c r="H986" s="6" t="n"/>
      <c r="I986" s="6" t="n"/>
      <c r="M986" s="7" t="n"/>
      <c r="N986" s="7" t="n"/>
      <c r="O986" s="7" t="n"/>
      <c r="Q986" s="7" t="n"/>
      <c r="R986" s="7" t="n"/>
      <c r="S986" s="8">
        <f>IF(NOT(ISNUMBER(M986)),"",IF(G986="Terreno",IF(AND(ISNUMBER(I986),I986&gt;0),M986/I986,""),IF(AND(ISNUMBER(H986),H986&gt;0),M986/H986,"")))</f>
        <v/>
      </c>
      <c r="T986" s="9">
        <f>IF(AND(ISNUMBER(M986),ISNUMBER(O986)),IF(M986&lt;=O986,"Valor ≤ venal IPTU",""),"")</f>
        <v/>
      </c>
      <c r="U986" s="10">
        <f>IF(AND(ISNUMBER(M986),ISNUMBER(N986)),IF(N986&gt;0,M986/N986,""),"")</f>
        <v/>
      </c>
      <c r="V986" s="10">
        <f>IF(AND(ISNUMBER(M986),ISNUMBER(O986)),IF(O986&gt;0,M986/O986,""),"")</f>
        <v/>
      </c>
      <c r="W986" s="10">
        <f>IF(AND(ISNUMBER(M986),ISNUMBER(R986)),IF(R986&gt;0,M986/R986,""),"")</f>
        <v/>
      </c>
      <c r="X986" s="10">
        <f>IF(AND(ISNUMBER(Q986),ISNUMBER(M986)),IF(M986&gt;0,Q986/M986,""),"")</f>
        <v/>
      </c>
      <c r="Y986" s="11">
        <f>IF(ISNUMBER(Z986),YEAR(Z986),"")</f>
        <v/>
      </c>
      <c r="Z986" s="12" t="n"/>
      <c r="AA986" s="12" t="n"/>
      <c r="AI986" s="12" t="n"/>
      <c r="AJ986" s="13">
        <f>IF(LEN(TRIM(AF986))=0,"",HYPERLINK("https://www.google.com/maps/@?api=1&amp;map_action=pano&amp;viewpoint="&amp;SUBSTITUTE(AF986," ",""),"Abrir Street View"))</f>
        <v/>
      </c>
    </row>
    <row r="987">
      <c r="H987" s="6" t="n"/>
      <c r="I987" s="6" t="n"/>
      <c r="M987" s="7" t="n"/>
      <c r="N987" s="7" t="n"/>
      <c r="O987" s="7" t="n"/>
      <c r="Q987" s="7" t="n"/>
      <c r="R987" s="7" t="n"/>
      <c r="S987" s="8">
        <f>IF(NOT(ISNUMBER(M987)),"",IF(G987="Terreno",IF(AND(ISNUMBER(I987),I987&gt;0),M987/I987,""),IF(AND(ISNUMBER(H987),H987&gt;0),M987/H987,"")))</f>
        <v/>
      </c>
      <c r="T987" s="9">
        <f>IF(AND(ISNUMBER(M987),ISNUMBER(O987)),IF(M987&lt;=O987,"Valor ≤ venal IPTU",""),"")</f>
        <v/>
      </c>
      <c r="U987" s="10">
        <f>IF(AND(ISNUMBER(M987),ISNUMBER(N987)),IF(N987&gt;0,M987/N987,""),"")</f>
        <v/>
      </c>
      <c r="V987" s="10">
        <f>IF(AND(ISNUMBER(M987),ISNUMBER(O987)),IF(O987&gt;0,M987/O987,""),"")</f>
        <v/>
      </c>
      <c r="W987" s="10">
        <f>IF(AND(ISNUMBER(M987),ISNUMBER(R987)),IF(R987&gt;0,M987/R987,""),"")</f>
        <v/>
      </c>
      <c r="X987" s="10">
        <f>IF(AND(ISNUMBER(Q987),ISNUMBER(M987)),IF(M987&gt;0,Q987/M987,""),"")</f>
        <v/>
      </c>
      <c r="Y987" s="11">
        <f>IF(ISNUMBER(Z987),YEAR(Z987),"")</f>
        <v/>
      </c>
      <c r="Z987" s="12" t="n"/>
      <c r="AA987" s="12" t="n"/>
      <c r="AI987" s="12" t="n"/>
      <c r="AJ987" s="13">
        <f>IF(LEN(TRIM(AF987))=0,"",HYPERLINK("https://www.google.com/maps/@?api=1&amp;map_action=pano&amp;viewpoint="&amp;SUBSTITUTE(AF987," ",""),"Abrir Street View"))</f>
        <v/>
      </c>
    </row>
    <row r="988">
      <c r="H988" s="6" t="n"/>
      <c r="I988" s="6" t="n"/>
      <c r="M988" s="7" t="n"/>
      <c r="N988" s="7" t="n"/>
      <c r="O988" s="7" t="n"/>
      <c r="Q988" s="7" t="n"/>
      <c r="R988" s="7" t="n"/>
      <c r="S988" s="8">
        <f>IF(NOT(ISNUMBER(M988)),"",IF(G988="Terreno",IF(AND(ISNUMBER(I988),I988&gt;0),M988/I988,""),IF(AND(ISNUMBER(H988),H988&gt;0),M988/H988,"")))</f>
        <v/>
      </c>
      <c r="T988" s="9">
        <f>IF(AND(ISNUMBER(M988),ISNUMBER(O988)),IF(M988&lt;=O988,"Valor ≤ venal IPTU",""),"")</f>
        <v/>
      </c>
      <c r="U988" s="10">
        <f>IF(AND(ISNUMBER(M988),ISNUMBER(N988)),IF(N988&gt;0,M988/N988,""),"")</f>
        <v/>
      </c>
      <c r="V988" s="10">
        <f>IF(AND(ISNUMBER(M988),ISNUMBER(O988)),IF(O988&gt;0,M988/O988,""),"")</f>
        <v/>
      </c>
      <c r="W988" s="10">
        <f>IF(AND(ISNUMBER(M988),ISNUMBER(R988)),IF(R988&gt;0,M988/R988,""),"")</f>
        <v/>
      </c>
      <c r="X988" s="10">
        <f>IF(AND(ISNUMBER(Q988),ISNUMBER(M988)),IF(M988&gt;0,Q988/M988,""),"")</f>
        <v/>
      </c>
      <c r="Y988" s="11">
        <f>IF(ISNUMBER(Z988),YEAR(Z988),"")</f>
        <v/>
      </c>
      <c r="Z988" s="12" t="n"/>
      <c r="AA988" s="12" t="n"/>
      <c r="AI988" s="12" t="n"/>
      <c r="AJ988" s="13">
        <f>IF(LEN(TRIM(AF988))=0,"",HYPERLINK("https://www.google.com/maps/@?api=1&amp;map_action=pano&amp;viewpoint="&amp;SUBSTITUTE(AF988," ",""),"Abrir Street View"))</f>
        <v/>
      </c>
    </row>
    <row r="989">
      <c r="H989" s="6" t="n"/>
      <c r="I989" s="6" t="n"/>
      <c r="M989" s="7" t="n"/>
      <c r="N989" s="7" t="n"/>
      <c r="O989" s="7" t="n"/>
      <c r="Q989" s="7" t="n"/>
      <c r="R989" s="7" t="n"/>
      <c r="S989" s="8">
        <f>IF(NOT(ISNUMBER(M989)),"",IF(G989="Terreno",IF(AND(ISNUMBER(I989),I989&gt;0),M989/I989,""),IF(AND(ISNUMBER(H989),H989&gt;0),M989/H989,"")))</f>
        <v/>
      </c>
      <c r="T989" s="9">
        <f>IF(AND(ISNUMBER(M989),ISNUMBER(O989)),IF(M989&lt;=O989,"Valor ≤ venal IPTU",""),"")</f>
        <v/>
      </c>
      <c r="U989" s="10">
        <f>IF(AND(ISNUMBER(M989),ISNUMBER(N989)),IF(N989&gt;0,M989/N989,""),"")</f>
        <v/>
      </c>
      <c r="V989" s="10">
        <f>IF(AND(ISNUMBER(M989),ISNUMBER(O989)),IF(O989&gt;0,M989/O989,""),"")</f>
        <v/>
      </c>
      <c r="W989" s="10">
        <f>IF(AND(ISNUMBER(M989),ISNUMBER(R989)),IF(R989&gt;0,M989/R989,""),"")</f>
        <v/>
      </c>
      <c r="X989" s="10">
        <f>IF(AND(ISNUMBER(Q989),ISNUMBER(M989)),IF(M989&gt;0,Q989/M989,""),"")</f>
        <v/>
      </c>
      <c r="Y989" s="11">
        <f>IF(ISNUMBER(Z989),YEAR(Z989),"")</f>
        <v/>
      </c>
      <c r="Z989" s="12" t="n"/>
      <c r="AA989" s="12" t="n"/>
      <c r="AI989" s="12" t="n"/>
      <c r="AJ989" s="13">
        <f>IF(LEN(TRIM(AF989))=0,"",HYPERLINK("https://www.google.com/maps/@?api=1&amp;map_action=pano&amp;viewpoint="&amp;SUBSTITUTE(AF989," ",""),"Abrir Street View"))</f>
        <v/>
      </c>
    </row>
    <row r="990">
      <c r="H990" s="6" t="n"/>
      <c r="I990" s="6" t="n"/>
      <c r="M990" s="7" t="n"/>
      <c r="N990" s="7" t="n"/>
      <c r="O990" s="7" t="n"/>
      <c r="Q990" s="7" t="n"/>
      <c r="R990" s="7" t="n"/>
      <c r="S990" s="8">
        <f>IF(NOT(ISNUMBER(M990)),"",IF(G990="Terreno",IF(AND(ISNUMBER(I990),I990&gt;0),M990/I990,""),IF(AND(ISNUMBER(H990),H990&gt;0),M990/H990,"")))</f>
        <v/>
      </c>
      <c r="T990" s="9">
        <f>IF(AND(ISNUMBER(M990),ISNUMBER(O990)),IF(M990&lt;=O990,"Valor ≤ venal IPTU",""),"")</f>
        <v/>
      </c>
      <c r="U990" s="10">
        <f>IF(AND(ISNUMBER(M990),ISNUMBER(N990)),IF(N990&gt;0,M990/N990,""),"")</f>
        <v/>
      </c>
      <c r="V990" s="10">
        <f>IF(AND(ISNUMBER(M990),ISNUMBER(O990)),IF(O990&gt;0,M990/O990,""),"")</f>
        <v/>
      </c>
      <c r="W990" s="10">
        <f>IF(AND(ISNUMBER(M990),ISNUMBER(R990)),IF(R990&gt;0,M990/R990,""),"")</f>
        <v/>
      </c>
      <c r="X990" s="10">
        <f>IF(AND(ISNUMBER(Q990),ISNUMBER(M990)),IF(M990&gt;0,Q990/M990,""),"")</f>
        <v/>
      </c>
      <c r="Y990" s="11">
        <f>IF(ISNUMBER(Z990),YEAR(Z990),"")</f>
        <v/>
      </c>
      <c r="Z990" s="12" t="n"/>
      <c r="AA990" s="12" t="n"/>
      <c r="AI990" s="12" t="n"/>
      <c r="AJ990" s="13">
        <f>IF(LEN(TRIM(AF990))=0,"",HYPERLINK("https://www.google.com/maps/@?api=1&amp;map_action=pano&amp;viewpoint="&amp;SUBSTITUTE(AF990," ",""),"Abrir Street View"))</f>
        <v/>
      </c>
    </row>
    <row r="991">
      <c r="H991" s="6" t="n"/>
      <c r="I991" s="6" t="n"/>
      <c r="M991" s="7" t="n"/>
      <c r="N991" s="7" t="n"/>
      <c r="O991" s="7" t="n"/>
      <c r="Q991" s="7" t="n"/>
      <c r="R991" s="7" t="n"/>
      <c r="S991" s="8">
        <f>IF(NOT(ISNUMBER(M991)),"",IF(G991="Terreno",IF(AND(ISNUMBER(I991),I991&gt;0),M991/I991,""),IF(AND(ISNUMBER(H991),H991&gt;0),M991/H991,"")))</f>
        <v/>
      </c>
      <c r="T991" s="9">
        <f>IF(AND(ISNUMBER(M991),ISNUMBER(O991)),IF(M991&lt;=O991,"Valor ≤ venal IPTU",""),"")</f>
        <v/>
      </c>
      <c r="U991" s="10">
        <f>IF(AND(ISNUMBER(M991),ISNUMBER(N991)),IF(N991&gt;0,M991/N991,""),"")</f>
        <v/>
      </c>
      <c r="V991" s="10">
        <f>IF(AND(ISNUMBER(M991),ISNUMBER(O991)),IF(O991&gt;0,M991/O991,""),"")</f>
        <v/>
      </c>
      <c r="W991" s="10">
        <f>IF(AND(ISNUMBER(M991),ISNUMBER(R991)),IF(R991&gt;0,M991/R991,""),"")</f>
        <v/>
      </c>
      <c r="X991" s="10">
        <f>IF(AND(ISNUMBER(Q991),ISNUMBER(M991)),IF(M991&gt;0,Q991/M991,""),"")</f>
        <v/>
      </c>
      <c r="Y991" s="11">
        <f>IF(ISNUMBER(Z991),YEAR(Z991),"")</f>
        <v/>
      </c>
      <c r="Z991" s="12" t="n"/>
      <c r="AA991" s="12" t="n"/>
      <c r="AI991" s="12" t="n"/>
      <c r="AJ991" s="13">
        <f>IF(LEN(TRIM(AF991))=0,"",HYPERLINK("https://www.google.com/maps/@?api=1&amp;map_action=pano&amp;viewpoint="&amp;SUBSTITUTE(AF991," ",""),"Abrir Street View"))</f>
        <v/>
      </c>
    </row>
    <row r="992">
      <c r="H992" s="6" t="n"/>
      <c r="I992" s="6" t="n"/>
      <c r="M992" s="7" t="n"/>
      <c r="N992" s="7" t="n"/>
      <c r="O992" s="7" t="n"/>
      <c r="Q992" s="7" t="n"/>
      <c r="R992" s="7" t="n"/>
      <c r="S992" s="8">
        <f>IF(NOT(ISNUMBER(M992)),"",IF(G992="Terreno",IF(AND(ISNUMBER(I992),I992&gt;0),M992/I992,""),IF(AND(ISNUMBER(H992),H992&gt;0),M992/H992,"")))</f>
        <v/>
      </c>
      <c r="T992" s="9">
        <f>IF(AND(ISNUMBER(M992),ISNUMBER(O992)),IF(M992&lt;=O992,"Valor ≤ venal IPTU",""),"")</f>
        <v/>
      </c>
      <c r="U992" s="10">
        <f>IF(AND(ISNUMBER(M992),ISNUMBER(N992)),IF(N992&gt;0,M992/N992,""),"")</f>
        <v/>
      </c>
      <c r="V992" s="10">
        <f>IF(AND(ISNUMBER(M992),ISNUMBER(O992)),IF(O992&gt;0,M992/O992,""),"")</f>
        <v/>
      </c>
      <c r="W992" s="10">
        <f>IF(AND(ISNUMBER(M992),ISNUMBER(R992)),IF(R992&gt;0,M992/R992,""),"")</f>
        <v/>
      </c>
      <c r="X992" s="10">
        <f>IF(AND(ISNUMBER(Q992),ISNUMBER(M992)),IF(M992&gt;0,Q992/M992,""),"")</f>
        <v/>
      </c>
      <c r="Y992" s="11">
        <f>IF(ISNUMBER(Z992),YEAR(Z992),"")</f>
        <v/>
      </c>
      <c r="Z992" s="12" t="n"/>
      <c r="AA992" s="12" t="n"/>
      <c r="AI992" s="12" t="n"/>
      <c r="AJ992" s="13">
        <f>IF(LEN(TRIM(AF992))=0,"",HYPERLINK("https://www.google.com/maps/@?api=1&amp;map_action=pano&amp;viewpoint="&amp;SUBSTITUTE(AF992," ",""),"Abrir Street View"))</f>
        <v/>
      </c>
    </row>
    <row r="993">
      <c r="H993" s="6" t="n"/>
      <c r="I993" s="6" t="n"/>
      <c r="M993" s="7" t="n"/>
      <c r="N993" s="7" t="n"/>
      <c r="O993" s="7" t="n"/>
      <c r="Q993" s="7" t="n"/>
      <c r="R993" s="7" t="n"/>
      <c r="S993" s="8">
        <f>IF(NOT(ISNUMBER(M993)),"",IF(G993="Terreno",IF(AND(ISNUMBER(I993),I993&gt;0),M993/I993,""),IF(AND(ISNUMBER(H993),H993&gt;0),M993/H993,"")))</f>
        <v/>
      </c>
      <c r="T993" s="9">
        <f>IF(AND(ISNUMBER(M993),ISNUMBER(O993)),IF(M993&lt;=O993,"Valor ≤ venal IPTU",""),"")</f>
        <v/>
      </c>
      <c r="U993" s="10">
        <f>IF(AND(ISNUMBER(M993),ISNUMBER(N993)),IF(N993&gt;0,M993/N993,""),"")</f>
        <v/>
      </c>
      <c r="V993" s="10">
        <f>IF(AND(ISNUMBER(M993),ISNUMBER(O993)),IF(O993&gt;0,M993/O993,""),"")</f>
        <v/>
      </c>
      <c r="W993" s="10">
        <f>IF(AND(ISNUMBER(M993),ISNUMBER(R993)),IF(R993&gt;0,M993/R993,""),"")</f>
        <v/>
      </c>
      <c r="X993" s="10">
        <f>IF(AND(ISNUMBER(Q993),ISNUMBER(M993)),IF(M993&gt;0,Q993/M993,""),"")</f>
        <v/>
      </c>
      <c r="Y993" s="11">
        <f>IF(ISNUMBER(Z993),YEAR(Z993),"")</f>
        <v/>
      </c>
      <c r="Z993" s="12" t="n"/>
      <c r="AA993" s="12" t="n"/>
      <c r="AI993" s="12" t="n"/>
      <c r="AJ993" s="13">
        <f>IF(LEN(TRIM(AF993))=0,"",HYPERLINK("https://www.google.com/maps/@?api=1&amp;map_action=pano&amp;viewpoint="&amp;SUBSTITUTE(AF993," ",""),"Abrir Street View"))</f>
        <v/>
      </c>
    </row>
    <row r="994">
      <c r="H994" s="6" t="n"/>
      <c r="I994" s="6" t="n"/>
      <c r="M994" s="7" t="n"/>
      <c r="N994" s="7" t="n"/>
      <c r="O994" s="7" t="n"/>
      <c r="Q994" s="7" t="n"/>
      <c r="R994" s="7" t="n"/>
      <c r="S994" s="8">
        <f>IF(NOT(ISNUMBER(M994)),"",IF(G994="Terreno",IF(AND(ISNUMBER(I994),I994&gt;0),M994/I994,""),IF(AND(ISNUMBER(H994),H994&gt;0),M994/H994,"")))</f>
        <v/>
      </c>
      <c r="T994" s="9">
        <f>IF(AND(ISNUMBER(M994),ISNUMBER(O994)),IF(M994&lt;=O994,"Valor ≤ venal IPTU",""),"")</f>
        <v/>
      </c>
      <c r="U994" s="10">
        <f>IF(AND(ISNUMBER(M994),ISNUMBER(N994)),IF(N994&gt;0,M994/N994,""),"")</f>
        <v/>
      </c>
      <c r="V994" s="10">
        <f>IF(AND(ISNUMBER(M994),ISNUMBER(O994)),IF(O994&gt;0,M994/O994,""),"")</f>
        <v/>
      </c>
      <c r="W994" s="10">
        <f>IF(AND(ISNUMBER(M994),ISNUMBER(R994)),IF(R994&gt;0,M994/R994,""),"")</f>
        <v/>
      </c>
      <c r="X994" s="10">
        <f>IF(AND(ISNUMBER(Q994),ISNUMBER(M994)),IF(M994&gt;0,Q994/M994,""),"")</f>
        <v/>
      </c>
      <c r="Y994" s="11">
        <f>IF(ISNUMBER(Z994),YEAR(Z994),"")</f>
        <v/>
      </c>
      <c r="Z994" s="12" t="n"/>
      <c r="AA994" s="12" t="n"/>
      <c r="AI994" s="12" t="n"/>
      <c r="AJ994" s="13">
        <f>IF(LEN(TRIM(AF994))=0,"",HYPERLINK("https://www.google.com/maps/@?api=1&amp;map_action=pano&amp;viewpoint="&amp;SUBSTITUTE(AF994," ",""),"Abrir Street View"))</f>
        <v/>
      </c>
    </row>
    <row r="995">
      <c r="H995" s="6" t="n"/>
      <c r="I995" s="6" t="n"/>
      <c r="M995" s="7" t="n"/>
      <c r="N995" s="7" t="n"/>
      <c r="O995" s="7" t="n"/>
      <c r="Q995" s="7" t="n"/>
      <c r="R995" s="7" t="n"/>
      <c r="S995" s="8">
        <f>IF(NOT(ISNUMBER(M995)),"",IF(G995="Terreno",IF(AND(ISNUMBER(I995),I995&gt;0),M995/I995,""),IF(AND(ISNUMBER(H995),H995&gt;0),M995/H995,"")))</f>
        <v/>
      </c>
      <c r="T995" s="9">
        <f>IF(AND(ISNUMBER(M995),ISNUMBER(O995)),IF(M995&lt;=O995,"Valor ≤ venal IPTU",""),"")</f>
        <v/>
      </c>
      <c r="U995" s="10">
        <f>IF(AND(ISNUMBER(M995),ISNUMBER(N995)),IF(N995&gt;0,M995/N995,""),"")</f>
        <v/>
      </c>
      <c r="V995" s="10">
        <f>IF(AND(ISNUMBER(M995),ISNUMBER(O995)),IF(O995&gt;0,M995/O995,""),"")</f>
        <v/>
      </c>
      <c r="W995" s="10">
        <f>IF(AND(ISNUMBER(M995),ISNUMBER(R995)),IF(R995&gt;0,M995/R995,""),"")</f>
        <v/>
      </c>
      <c r="X995" s="10">
        <f>IF(AND(ISNUMBER(Q995),ISNUMBER(M995)),IF(M995&gt;0,Q995/M995,""),"")</f>
        <v/>
      </c>
      <c r="Y995" s="11">
        <f>IF(ISNUMBER(Z995),YEAR(Z995),"")</f>
        <v/>
      </c>
      <c r="Z995" s="12" t="n"/>
      <c r="AA995" s="12" t="n"/>
      <c r="AI995" s="12" t="n"/>
      <c r="AJ995" s="13">
        <f>IF(LEN(TRIM(AF995))=0,"",HYPERLINK("https://www.google.com/maps/@?api=1&amp;map_action=pano&amp;viewpoint="&amp;SUBSTITUTE(AF995," ",""),"Abrir Street View"))</f>
        <v/>
      </c>
    </row>
    <row r="996">
      <c r="H996" s="6" t="n"/>
      <c r="I996" s="6" t="n"/>
      <c r="M996" s="7" t="n"/>
      <c r="N996" s="7" t="n"/>
      <c r="O996" s="7" t="n"/>
      <c r="Q996" s="7" t="n"/>
      <c r="R996" s="7" t="n"/>
      <c r="S996" s="8">
        <f>IF(NOT(ISNUMBER(M996)),"",IF(G996="Terreno",IF(AND(ISNUMBER(I996),I996&gt;0),M996/I996,""),IF(AND(ISNUMBER(H996),H996&gt;0),M996/H996,"")))</f>
        <v/>
      </c>
      <c r="T996" s="9">
        <f>IF(AND(ISNUMBER(M996),ISNUMBER(O996)),IF(M996&lt;=O996,"Valor ≤ venal IPTU",""),"")</f>
        <v/>
      </c>
      <c r="U996" s="10">
        <f>IF(AND(ISNUMBER(M996),ISNUMBER(N996)),IF(N996&gt;0,M996/N996,""),"")</f>
        <v/>
      </c>
      <c r="V996" s="10">
        <f>IF(AND(ISNUMBER(M996),ISNUMBER(O996)),IF(O996&gt;0,M996/O996,""),"")</f>
        <v/>
      </c>
      <c r="W996" s="10">
        <f>IF(AND(ISNUMBER(M996),ISNUMBER(R996)),IF(R996&gt;0,M996/R996,""),"")</f>
        <v/>
      </c>
      <c r="X996" s="10">
        <f>IF(AND(ISNUMBER(Q996),ISNUMBER(M996)),IF(M996&gt;0,Q996/M996,""),"")</f>
        <v/>
      </c>
      <c r="Y996" s="11">
        <f>IF(ISNUMBER(Z996),YEAR(Z996),"")</f>
        <v/>
      </c>
      <c r="Z996" s="12" t="n"/>
      <c r="AA996" s="12" t="n"/>
      <c r="AI996" s="12" t="n"/>
      <c r="AJ996" s="13">
        <f>IF(LEN(TRIM(AF996))=0,"",HYPERLINK("https://www.google.com/maps/@?api=1&amp;map_action=pano&amp;viewpoint="&amp;SUBSTITUTE(AF996," ",""),"Abrir Street View"))</f>
        <v/>
      </c>
    </row>
    <row r="997">
      <c r="H997" s="6" t="n"/>
      <c r="I997" s="6" t="n"/>
      <c r="M997" s="7" t="n"/>
      <c r="N997" s="7" t="n"/>
      <c r="O997" s="7" t="n"/>
      <c r="Q997" s="7" t="n"/>
      <c r="R997" s="7" t="n"/>
      <c r="S997" s="8">
        <f>IF(NOT(ISNUMBER(M997)),"",IF(G997="Terreno",IF(AND(ISNUMBER(I997),I997&gt;0),M997/I997,""),IF(AND(ISNUMBER(H997),H997&gt;0),M997/H997,"")))</f>
        <v/>
      </c>
      <c r="T997" s="9">
        <f>IF(AND(ISNUMBER(M997),ISNUMBER(O997)),IF(M997&lt;=O997,"Valor ≤ venal IPTU",""),"")</f>
        <v/>
      </c>
      <c r="U997" s="10">
        <f>IF(AND(ISNUMBER(M997),ISNUMBER(N997)),IF(N997&gt;0,M997/N997,""),"")</f>
        <v/>
      </c>
      <c r="V997" s="10">
        <f>IF(AND(ISNUMBER(M997),ISNUMBER(O997)),IF(O997&gt;0,M997/O997,""),"")</f>
        <v/>
      </c>
      <c r="W997" s="10">
        <f>IF(AND(ISNUMBER(M997),ISNUMBER(R997)),IF(R997&gt;0,M997/R997,""),"")</f>
        <v/>
      </c>
      <c r="X997" s="10">
        <f>IF(AND(ISNUMBER(Q997),ISNUMBER(M997)),IF(M997&gt;0,Q997/M997,""),"")</f>
        <v/>
      </c>
      <c r="Y997" s="11">
        <f>IF(ISNUMBER(Z997),YEAR(Z997),"")</f>
        <v/>
      </c>
      <c r="Z997" s="12" t="n"/>
      <c r="AA997" s="12" t="n"/>
      <c r="AI997" s="12" t="n"/>
      <c r="AJ997" s="13">
        <f>IF(LEN(TRIM(AF997))=0,"",HYPERLINK("https://www.google.com/maps/@?api=1&amp;map_action=pano&amp;viewpoint="&amp;SUBSTITUTE(AF997," ",""),"Abrir Street View"))</f>
        <v/>
      </c>
    </row>
    <row r="998">
      <c r="H998" s="6" t="n"/>
      <c r="I998" s="6" t="n"/>
      <c r="M998" s="7" t="n"/>
      <c r="N998" s="7" t="n"/>
      <c r="O998" s="7" t="n"/>
      <c r="Q998" s="7" t="n"/>
      <c r="R998" s="7" t="n"/>
      <c r="S998" s="8">
        <f>IF(NOT(ISNUMBER(M998)),"",IF(G998="Terreno",IF(AND(ISNUMBER(I998),I998&gt;0),M998/I998,""),IF(AND(ISNUMBER(H998),H998&gt;0),M998/H998,"")))</f>
        <v/>
      </c>
      <c r="T998" s="9">
        <f>IF(AND(ISNUMBER(M998),ISNUMBER(O998)),IF(M998&lt;=O998,"Valor ≤ venal IPTU",""),"")</f>
        <v/>
      </c>
      <c r="U998" s="10">
        <f>IF(AND(ISNUMBER(M998),ISNUMBER(N998)),IF(N998&gt;0,M998/N998,""),"")</f>
        <v/>
      </c>
      <c r="V998" s="10">
        <f>IF(AND(ISNUMBER(M998),ISNUMBER(O998)),IF(O998&gt;0,M998/O998,""),"")</f>
        <v/>
      </c>
      <c r="W998" s="10">
        <f>IF(AND(ISNUMBER(M998),ISNUMBER(R998)),IF(R998&gt;0,M998/R998,""),"")</f>
        <v/>
      </c>
      <c r="X998" s="10">
        <f>IF(AND(ISNUMBER(Q998),ISNUMBER(M998)),IF(M998&gt;0,Q998/M998,""),"")</f>
        <v/>
      </c>
      <c r="Y998" s="11">
        <f>IF(ISNUMBER(Z998),YEAR(Z998),"")</f>
        <v/>
      </c>
      <c r="Z998" s="12" t="n"/>
      <c r="AA998" s="12" t="n"/>
      <c r="AI998" s="12" t="n"/>
      <c r="AJ998" s="13">
        <f>IF(LEN(TRIM(AF998))=0,"",HYPERLINK("https://www.google.com/maps/@?api=1&amp;map_action=pano&amp;viewpoint="&amp;SUBSTITUTE(AF998," ",""),"Abrir Street View"))</f>
        <v/>
      </c>
    </row>
    <row r="999">
      <c r="H999" s="6" t="n"/>
      <c r="I999" s="6" t="n"/>
      <c r="M999" s="7" t="n"/>
      <c r="N999" s="7" t="n"/>
      <c r="O999" s="7" t="n"/>
      <c r="Q999" s="7" t="n"/>
      <c r="R999" s="7" t="n"/>
      <c r="S999" s="8">
        <f>IF(NOT(ISNUMBER(M999)),"",IF(G999="Terreno",IF(AND(ISNUMBER(I999),I999&gt;0),M999/I999,""),IF(AND(ISNUMBER(H999),H999&gt;0),M999/H999,"")))</f>
        <v/>
      </c>
      <c r="T999" s="9">
        <f>IF(AND(ISNUMBER(M999),ISNUMBER(O999)),IF(M999&lt;=O999,"Valor ≤ venal IPTU",""),"")</f>
        <v/>
      </c>
      <c r="U999" s="10">
        <f>IF(AND(ISNUMBER(M999),ISNUMBER(N999)),IF(N999&gt;0,M999/N999,""),"")</f>
        <v/>
      </c>
      <c r="V999" s="10">
        <f>IF(AND(ISNUMBER(M999),ISNUMBER(O999)),IF(O999&gt;0,M999/O999,""),"")</f>
        <v/>
      </c>
      <c r="W999" s="10">
        <f>IF(AND(ISNUMBER(M999),ISNUMBER(R999)),IF(R999&gt;0,M999/R999,""),"")</f>
        <v/>
      </c>
      <c r="X999" s="10">
        <f>IF(AND(ISNUMBER(Q999),ISNUMBER(M999)),IF(M999&gt;0,Q999/M999,""),"")</f>
        <v/>
      </c>
      <c r="Y999" s="11">
        <f>IF(ISNUMBER(Z999),YEAR(Z999),"")</f>
        <v/>
      </c>
      <c r="Z999" s="12" t="n"/>
      <c r="AA999" s="12" t="n"/>
      <c r="AI999" s="12" t="n"/>
      <c r="AJ999" s="13">
        <f>IF(LEN(TRIM(AF999))=0,"",HYPERLINK("https://www.google.com/maps/@?api=1&amp;map_action=pano&amp;viewpoint="&amp;SUBSTITUTE(AF999," ",""),"Abrir Street View"))</f>
        <v/>
      </c>
    </row>
    <row r="1000">
      <c r="H1000" s="6" t="n"/>
      <c r="I1000" s="6" t="n"/>
      <c r="M1000" s="7" t="n"/>
      <c r="N1000" s="7" t="n"/>
      <c r="O1000" s="7" t="n"/>
      <c r="Q1000" s="7" t="n"/>
      <c r="R1000" s="7" t="n"/>
      <c r="S1000" s="8">
        <f>IF(NOT(ISNUMBER(M1000)),"",IF(G1000="Terreno",IF(AND(ISNUMBER(I1000),I1000&gt;0),M1000/I1000,""),IF(AND(ISNUMBER(H1000),H1000&gt;0),M1000/H1000,"")))</f>
        <v/>
      </c>
      <c r="T1000" s="9">
        <f>IF(AND(ISNUMBER(M1000),ISNUMBER(O1000)),IF(M1000&lt;=O1000,"Valor ≤ venal IPTU",""),"")</f>
        <v/>
      </c>
      <c r="U1000" s="10">
        <f>IF(AND(ISNUMBER(M1000),ISNUMBER(N1000)),IF(N1000&gt;0,M1000/N1000,""),"")</f>
        <v/>
      </c>
      <c r="V1000" s="10">
        <f>IF(AND(ISNUMBER(M1000),ISNUMBER(O1000)),IF(O1000&gt;0,M1000/O1000,""),"")</f>
        <v/>
      </c>
      <c r="W1000" s="10">
        <f>IF(AND(ISNUMBER(M1000),ISNUMBER(R1000)),IF(R1000&gt;0,M1000/R1000,""),"")</f>
        <v/>
      </c>
      <c r="X1000" s="10">
        <f>IF(AND(ISNUMBER(Q1000),ISNUMBER(M1000)),IF(M1000&gt;0,Q1000/M1000,""),"")</f>
        <v/>
      </c>
      <c r="Y1000" s="11">
        <f>IF(ISNUMBER(Z1000),YEAR(Z1000),"")</f>
        <v/>
      </c>
      <c r="Z1000" s="12" t="n"/>
      <c r="AA1000" s="12" t="n"/>
      <c r="AI1000" s="12" t="n"/>
      <c r="AJ1000" s="13">
        <f>IF(LEN(TRIM(AF1000))=0,"",HYPERLINK("https://www.google.com/maps/@?api=1&amp;map_action=pano&amp;viewpoint="&amp;SUBSTITUTE(AF1000," ",""),"Abrir Street View"))</f>
        <v/>
      </c>
    </row>
    <row r="1001">
      <c r="H1001" s="6" t="n"/>
      <c r="I1001" s="6" t="n"/>
      <c r="M1001" s="7" t="n"/>
      <c r="N1001" s="7" t="n"/>
      <c r="O1001" s="7" t="n"/>
      <c r="Q1001" s="7" t="n"/>
      <c r="R1001" s="7" t="n"/>
      <c r="S1001" s="8">
        <f>IF(NOT(ISNUMBER(M1001)),"",IF(G1001="Terreno",IF(AND(ISNUMBER(I1001),I1001&gt;0),M1001/I1001,""),IF(AND(ISNUMBER(H1001),H1001&gt;0),M1001/H1001,"")))</f>
        <v/>
      </c>
      <c r="T1001" s="9">
        <f>IF(AND(ISNUMBER(M1001),ISNUMBER(O1001)),IF(M1001&lt;=O1001,"Valor ≤ venal IPTU",""),"")</f>
        <v/>
      </c>
      <c r="U1001" s="10">
        <f>IF(AND(ISNUMBER(M1001),ISNUMBER(N1001)),IF(N1001&gt;0,M1001/N1001,""),"")</f>
        <v/>
      </c>
      <c r="V1001" s="10">
        <f>IF(AND(ISNUMBER(M1001),ISNUMBER(O1001)),IF(O1001&gt;0,M1001/O1001,""),"")</f>
        <v/>
      </c>
      <c r="W1001" s="10">
        <f>IF(AND(ISNUMBER(M1001),ISNUMBER(R1001)),IF(R1001&gt;0,M1001/R1001,""),"")</f>
        <v/>
      </c>
      <c r="X1001" s="10">
        <f>IF(AND(ISNUMBER(Q1001),ISNUMBER(M1001)),IF(M1001&gt;0,Q1001/M1001,""),"")</f>
        <v/>
      </c>
      <c r="Y1001" s="11">
        <f>IF(ISNUMBER(Z1001),YEAR(Z1001),"")</f>
        <v/>
      </c>
      <c r="Z1001" s="12" t="n"/>
      <c r="AA1001" s="12" t="n"/>
      <c r="AI1001" s="12" t="n"/>
      <c r="AJ1001" s="13">
        <f>IF(LEN(TRIM(AF1001))=0,"",HYPERLINK("https://www.google.com/maps/@?api=1&amp;map_action=pano&amp;viewpoint="&amp;SUBSTITUTE(AF1001," ",""),"Abrir Street View"))</f>
        <v/>
      </c>
    </row>
    <row r="1002">
      <c r="H1002" s="6" t="n"/>
      <c r="I1002" s="6" t="n"/>
      <c r="M1002" s="7" t="n"/>
      <c r="N1002" s="7" t="n"/>
      <c r="O1002" s="7" t="n"/>
      <c r="Q1002" s="7" t="n"/>
      <c r="R1002" s="7" t="n"/>
      <c r="S1002" s="8">
        <f>IF(NOT(ISNUMBER(M1002)),"",IF(G1002="Terreno",IF(AND(ISNUMBER(I1002),I1002&gt;0),M1002/I1002,""),IF(AND(ISNUMBER(H1002),H1002&gt;0),M1002/H1002,"")))</f>
        <v/>
      </c>
      <c r="T1002" s="9">
        <f>IF(AND(ISNUMBER(M1002),ISNUMBER(O1002)),IF(M1002&lt;=O1002,"Valor ≤ venal IPTU",""),"")</f>
        <v/>
      </c>
      <c r="U1002" s="10">
        <f>IF(AND(ISNUMBER(M1002),ISNUMBER(N1002)),IF(N1002&gt;0,M1002/N1002,""),"")</f>
        <v/>
      </c>
      <c r="V1002" s="10">
        <f>IF(AND(ISNUMBER(M1002),ISNUMBER(O1002)),IF(O1002&gt;0,M1002/O1002,""),"")</f>
        <v/>
      </c>
      <c r="W1002" s="10">
        <f>IF(AND(ISNUMBER(M1002),ISNUMBER(R1002)),IF(R1002&gt;0,M1002/R1002,""),"")</f>
        <v/>
      </c>
      <c r="X1002" s="10">
        <f>IF(AND(ISNUMBER(Q1002),ISNUMBER(M1002)),IF(M1002&gt;0,Q1002/M1002,""),"")</f>
        <v/>
      </c>
      <c r="Y1002" s="11">
        <f>IF(ISNUMBER(Z1002),YEAR(Z1002),"")</f>
        <v/>
      </c>
      <c r="Z1002" s="12" t="n"/>
      <c r="AA1002" s="12" t="n"/>
      <c r="AI1002" s="12" t="n"/>
      <c r="AJ1002" s="13">
        <f>IF(LEN(TRIM(AF1002))=0,"",HYPERLINK("https://www.google.com/maps/@?api=1&amp;map_action=pano&amp;viewpoint="&amp;SUBSTITUTE(AF1002," ",""),"Abrir Street View"))</f>
        <v/>
      </c>
    </row>
    <row r="1003">
      <c r="H1003" s="6" t="n"/>
      <c r="I1003" s="6" t="n"/>
      <c r="M1003" s="7" t="n"/>
      <c r="N1003" s="7" t="n"/>
      <c r="O1003" s="7" t="n"/>
      <c r="Q1003" s="7" t="n"/>
      <c r="R1003" s="7" t="n"/>
      <c r="S1003" s="8">
        <f>IF(NOT(ISNUMBER(M1003)),"",IF(G1003="Terreno",IF(AND(ISNUMBER(I1003),I1003&gt;0),M1003/I1003,""),IF(AND(ISNUMBER(H1003),H1003&gt;0),M1003/H1003,"")))</f>
        <v/>
      </c>
      <c r="T1003" s="9">
        <f>IF(AND(ISNUMBER(M1003),ISNUMBER(O1003)),IF(M1003&lt;=O1003,"Valor ≤ venal IPTU",""),"")</f>
        <v/>
      </c>
      <c r="U1003" s="10">
        <f>IF(AND(ISNUMBER(M1003),ISNUMBER(N1003)),IF(N1003&gt;0,M1003/N1003,""),"")</f>
        <v/>
      </c>
      <c r="V1003" s="10">
        <f>IF(AND(ISNUMBER(M1003),ISNUMBER(O1003)),IF(O1003&gt;0,M1003/O1003,""),"")</f>
        <v/>
      </c>
      <c r="W1003" s="10">
        <f>IF(AND(ISNUMBER(M1003),ISNUMBER(R1003)),IF(R1003&gt;0,M1003/R1003,""),"")</f>
        <v/>
      </c>
      <c r="X1003" s="10">
        <f>IF(AND(ISNUMBER(Q1003),ISNUMBER(M1003)),IF(M1003&gt;0,Q1003/M1003,""),"")</f>
        <v/>
      </c>
      <c r="Y1003" s="11">
        <f>IF(ISNUMBER(Z1003),YEAR(Z1003),"")</f>
        <v/>
      </c>
      <c r="Z1003" s="12" t="n"/>
      <c r="AA1003" s="12" t="n"/>
      <c r="AI1003" s="12" t="n"/>
      <c r="AJ1003" s="13">
        <f>IF(LEN(TRIM(AF1003))=0,"",HYPERLINK("https://www.google.com/maps/@?api=1&amp;map_action=pano&amp;viewpoint="&amp;SUBSTITUTE(AF1003," ",""),"Abrir Street View"))</f>
        <v/>
      </c>
    </row>
    <row r="1004">
      <c r="H1004" s="6" t="n"/>
      <c r="I1004" s="6" t="n"/>
      <c r="M1004" s="7" t="n"/>
      <c r="N1004" s="7" t="n"/>
      <c r="O1004" s="7" t="n"/>
      <c r="Q1004" s="7" t="n"/>
      <c r="R1004" s="7" t="n"/>
      <c r="S1004" s="8">
        <f>IF(NOT(ISNUMBER(M1004)),"",IF(G1004="Terreno",IF(AND(ISNUMBER(I1004),I1004&gt;0),M1004/I1004,""),IF(AND(ISNUMBER(H1004),H1004&gt;0),M1004/H1004,"")))</f>
        <v/>
      </c>
      <c r="T1004" s="9">
        <f>IF(AND(ISNUMBER(M1004),ISNUMBER(O1004)),IF(M1004&lt;=O1004,"Valor ≤ venal IPTU",""),"")</f>
        <v/>
      </c>
      <c r="U1004" s="10">
        <f>IF(AND(ISNUMBER(M1004),ISNUMBER(N1004)),IF(N1004&gt;0,M1004/N1004,""),"")</f>
        <v/>
      </c>
      <c r="V1004" s="10">
        <f>IF(AND(ISNUMBER(M1004),ISNUMBER(O1004)),IF(O1004&gt;0,M1004/O1004,""),"")</f>
        <v/>
      </c>
      <c r="W1004" s="10">
        <f>IF(AND(ISNUMBER(M1004),ISNUMBER(R1004)),IF(R1004&gt;0,M1004/R1004,""),"")</f>
        <v/>
      </c>
      <c r="X1004" s="10">
        <f>IF(AND(ISNUMBER(Q1004),ISNUMBER(M1004)),IF(M1004&gt;0,Q1004/M1004,""),"")</f>
        <v/>
      </c>
      <c r="Y1004" s="11">
        <f>IF(ISNUMBER(Z1004),YEAR(Z1004),"")</f>
        <v/>
      </c>
      <c r="Z1004" s="12" t="n"/>
      <c r="AA1004" s="12" t="n"/>
      <c r="AI1004" s="12" t="n"/>
      <c r="AJ1004" s="13">
        <f>IF(LEN(TRIM(AF1004))=0,"",HYPERLINK("https://www.google.com/maps/@?api=1&amp;map_action=pano&amp;viewpoint="&amp;SUBSTITUTE(AF1004," ",""),"Abrir Street View"))</f>
        <v/>
      </c>
    </row>
    <row r="1005">
      <c r="H1005" s="6" t="n"/>
      <c r="I1005" s="6" t="n"/>
      <c r="M1005" s="7" t="n"/>
      <c r="N1005" s="7" t="n"/>
      <c r="O1005" s="7" t="n"/>
      <c r="Q1005" s="7" t="n"/>
      <c r="R1005" s="7" t="n"/>
      <c r="S1005" s="8">
        <f>IF(NOT(ISNUMBER(M1005)),"",IF(G1005="Terreno",IF(AND(ISNUMBER(I1005),I1005&gt;0),M1005/I1005,""),IF(AND(ISNUMBER(H1005),H1005&gt;0),M1005/H1005,"")))</f>
        <v/>
      </c>
      <c r="T1005" s="9">
        <f>IF(AND(ISNUMBER(M1005),ISNUMBER(O1005)),IF(M1005&lt;=O1005,"Valor ≤ venal IPTU",""),"")</f>
        <v/>
      </c>
      <c r="U1005" s="10">
        <f>IF(AND(ISNUMBER(M1005),ISNUMBER(N1005)),IF(N1005&gt;0,M1005/N1005,""),"")</f>
        <v/>
      </c>
      <c r="V1005" s="10">
        <f>IF(AND(ISNUMBER(M1005),ISNUMBER(O1005)),IF(O1005&gt;0,M1005/O1005,""),"")</f>
        <v/>
      </c>
      <c r="W1005" s="10">
        <f>IF(AND(ISNUMBER(M1005),ISNUMBER(R1005)),IF(R1005&gt;0,M1005/R1005,""),"")</f>
        <v/>
      </c>
      <c r="X1005" s="10">
        <f>IF(AND(ISNUMBER(Q1005),ISNUMBER(M1005)),IF(M1005&gt;0,Q1005/M1005,""),"")</f>
        <v/>
      </c>
      <c r="Y1005" s="11">
        <f>IF(ISNUMBER(Z1005),YEAR(Z1005),"")</f>
        <v/>
      </c>
      <c r="Z1005" s="12" t="n"/>
      <c r="AA1005" s="12" t="n"/>
      <c r="AI1005" s="12" t="n"/>
      <c r="AJ1005" s="13">
        <f>IF(LEN(TRIM(AF1005))=0,"",HYPERLINK("https://www.google.com/maps/@?api=1&amp;map_action=pano&amp;viewpoint="&amp;SUBSTITUTE(AF1005," ",""),"Abrir Street View"))</f>
        <v/>
      </c>
    </row>
    <row r="1006">
      <c r="H1006" s="6" t="n"/>
      <c r="I1006" s="6" t="n"/>
      <c r="M1006" s="7" t="n"/>
      <c r="N1006" s="7" t="n"/>
      <c r="O1006" s="7" t="n"/>
      <c r="Q1006" s="7" t="n"/>
      <c r="R1006" s="7" t="n"/>
      <c r="S1006" s="8">
        <f>IF(NOT(ISNUMBER(M1006)),"",IF(G1006="Terreno",IF(AND(ISNUMBER(I1006),I1006&gt;0),M1006/I1006,""),IF(AND(ISNUMBER(H1006),H1006&gt;0),M1006/H1006,"")))</f>
        <v/>
      </c>
      <c r="T1006" s="9">
        <f>IF(AND(ISNUMBER(M1006),ISNUMBER(O1006)),IF(M1006&lt;=O1006,"Valor ≤ venal IPTU",""),"")</f>
        <v/>
      </c>
      <c r="U1006" s="10">
        <f>IF(AND(ISNUMBER(M1006),ISNUMBER(N1006)),IF(N1006&gt;0,M1006/N1006,""),"")</f>
        <v/>
      </c>
      <c r="V1006" s="10">
        <f>IF(AND(ISNUMBER(M1006),ISNUMBER(O1006)),IF(O1006&gt;0,M1006/O1006,""),"")</f>
        <v/>
      </c>
      <c r="W1006" s="10">
        <f>IF(AND(ISNUMBER(M1006),ISNUMBER(R1006)),IF(R1006&gt;0,M1006/R1006,""),"")</f>
        <v/>
      </c>
      <c r="X1006" s="10">
        <f>IF(AND(ISNUMBER(Q1006),ISNUMBER(M1006)),IF(M1006&gt;0,Q1006/M1006,""),"")</f>
        <v/>
      </c>
      <c r="Y1006" s="11">
        <f>IF(ISNUMBER(Z1006),YEAR(Z1006),"")</f>
        <v/>
      </c>
      <c r="Z1006" s="12" t="n"/>
      <c r="AA1006" s="12" t="n"/>
      <c r="AI1006" s="12" t="n"/>
      <c r="AJ1006" s="13">
        <f>IF(LEN(TRIM(AF1006))=0,"",HYPERLINK("https://www.google.com/maps/@?api=1&amp;map_action=pano&amp;viewpoint="&amp;SUBSTITUTE(AF1006," ",""),"Abrir Street View"))</f>
        <v/>
      </c>
    </row>
    <row r="1007">
      <c r="H1007" s="6" t="n"/>
      <c r="I1007" s="6" t="n"/>
      <c r="M1007" s="7" t="n"/>
      <c r="N1007" s="7" t="n"/>
      <c r="O1007" s="7" t="n"/>
      <c r="Q1007" s="7" t="n"/>
      <c r="R1007" s="7" t="n"/>
      <c r="S1007" s="8">
        <f>IF(NOT(ISNUMBER(M1007)),"",IF(G1007="Terreno",IF(AND(ISNUMBER(I1007),I1007&gt;0),M1007/I1007,""),IF(AND(ISNUMBER(H1007),H1007&gt;0),M1007/H1007,"")))</f>
        <v/>
      </c>
      <c r="T1007" s="9">
        <f>IF(AND(ISNUMBER(M1007),ISNUMBER(O1007)),IF(M1007&lt;=O1007,"Valor ≤ venal IPTU",""),"")</f>
        <v/>
      </c>
      <c r="U1007" s="10">
        <f>IF(AND(ISNUMBER(M1007),ISNUMBER(N1007)),IF(N1007&gt;0,M1007/N1007,""),"")</f>
        <v/>
      </c>
      <c r="V1007" s="10">
        <f>IF(AND(ISNUMBER(M1007),ISNUMBER(O1007)),IF(O1007&gt;0,M1007/O1007,""),"")</f>
        <v/>
      </c>
      <c r="W1007" s="10">
        <f>IF(AND(ISNUMBER(M1007),ISNUMBER(R1007)),IF(R1007&gt;0,M1007/R1007,""),"")</f>
        <v/>
      </c>
      <c r="X1007" s="10">
        <f>IF(AND(ISNUMBER(Q1007),ISNUMBER(M1007)),IF(M1007&gt;0,Q1007/M1007,""),"")</f>
        <v/>
      </c>
      <c r="Y1007" s="11">
        <f>IF(ISNUMBER(Z1007),YEAR(Z1007),"")</f>
        <v/>
      </c>
      <c r="Z1007" s="12" t="n"/>
      <c r="AA1007" s="12" t="n"/>
      <c r="AI1007" s="12" t="n"/>
      <c r="AJ1007" s="13">
        <f>IF(LEN(TRIM(AF1007))=0,"",HYPERLINK("https://www.google.com/maps/@?api=1&amp;map_action=pano&amp;viewpoint="&amp;SUBSTITUTE(AF1007," ",""),"Abrir Street View"))</f>
        <v/>
      </c>
    </row>
    <row r="1008">
      <c r="H1008" s="6" t="n"/>
      <c r="I1008" s="6" t="n"/>
      <c r="M1008" s="7" t="n"/>
      <c r="N1008" s="7" t="n"/>
      <c r="O1008" s="7" t="n"/>
      <c r="Q1008" s="7" t="n"/>
      <c r="R1008" s="7" t="n"/>
      <c r="S1008" s="8">
        <f>IF(NOT(ISNUMBER(M1008)),"",IF(G1008="Terreno",IF(AND(ISNUMBER(I1008),I1008&gt;0),M1008/I1008,""),IF(AND(ISNUMBER(H1008),H1008&gt;0),M1008/H1008,"")))</f>
        <v/>
      </c>
      <c r="T1008" s="9">
        <f>IF(AND(ISNUMBER(M1008),ISNUMBER(O1008)),IF(M1008&lt;=O1008,"Valor ≤ venal IPTU",""),"")</f>
        <v/>
      </c>
      <c r="U1008" s="10">
        <f>IF(AND(ISNUMBER(M1008),ISNUMBER(N1008)),IF(N1008&gt;0,M1008/N1008,""),"")</f>
        <v/>
      </c>
      <c r="V1008" s="10">
        <f>IF(AND(ISNUMBER(M1008),ISNUMBER(O1008)),IF(O1008&gt;0,M1008/O1008,""),"")</f>
        <v/>
      </c>
      <c r="W1008" s="10">
        <f>IF(AND(ISNUMBER(M1008),ISNUMBER(R1008)),IF(R1008&gt;0,M1008/R1008,""),"")</f>
        <v/>
      </c>
      <c r="X1008" s="10">
        <f>IF(AND(ISNUMBER(Q1008),ISNUMBER(M1008)),IF(M1008&gt;0,Q1008/M1008,""),"")</f>
        <v/>
      </c>
      <c r="Y1008" s="11">
        <f>IF(ISNUMBER(Z1008),YEAR(Z1008),"")</f>
        <v/>
      </c>
      <c r="Z1008" s="12" t="n"/>
      <c r="AA1008" s="12" t="n"/>
      <c r="AI1008" s="12" t="n"/>
      <c r="AJ1008" s="13">
        <f>IF(LEN(TRIM(AF1008))=0,"",HYPERLINK("https://www.google.com/maps/@?api=1&amp;map_action=pano&amp;viewpoint="&amp;SUBSTITUTE(AF1008," ",""),"Abrir Street View"))</f>
        <v/>
      </c>
    </row>
    <row r="1009">
      <c r="H1009" s="6" t="n"/>
      <c r="I1009" s="6" t="n"/>
      <c r="M1009" s="7" t="n"/>
      <c r="N1009" s="7" t="n"/>
      <c r="O1009" s="7" t="n"/>
      <c r="Q1009" s="7" t="n"/>
      <c r="R1009" s="7" t="n"/>
      <c r="S1009" s="8">
        <f>IF(NOT(ISNUMBER(M1009)),"",IF(G1009="Terreno",IF(AND(ISNUMBER(I1009),I1009&gt;0),M1009/I1009,""),IF(AND(ISNUMBER(H1009),H1009&gt;0),M1009/H1009,"")))</f>
        <v/>
      </c>
      <c r="T1009" s="9">
        <f>IF(AND(ISNUMBER(M1009),ISNUMBER(O1009)),IF(M1009&lt;=O1009,"Valor ≤ venal IPTU",""),"")</f>
        <v/>
      </c>
      <c r="U1009" s="10">
        <f>IF(AND(ISNUMBER(M1009),ISNUMBER(N1009)),IF(N1009&gt;0,M1009/N1009,""),"")</f>
        <v/>
      </c>
      <c r="V1009" s="10">
        <f>IF(AND(ISNUMBER(M1009),ISNUMBER(O1009)),IF(O1009&gt;0,M1009/O1009,""),"")</f>
        <v/>
      </c>
      <c r="W1009" s="10">
        <f>IF(AND(ISNUMBER(M1009),ISNUMBER(R1009)),IF(R1009&gt;0,M1009/R1009,""),"")</f>
        <v/>
      </c>
      <c r="X1009" s="10">
        <f>IF(AND(ISNUMBER(Q1009),ISNUMBER(M1009)),IF(M1009&gt;0,Q1009/M1009,""),"")</f>
        <v/>
      </c>
      <c r="Y1009" s="11">
        <f>IF(ISNUMBER(Z1009),YEAR(Z1009),"")</f>
        <v/>
      </c>
      <c r="Z1009" s="12" t="n"/>
      <c r="AA1009" s="12" t="n"/>
      <c r="AI1009" s="12" t="n"/>
      <c r="AJ1009" s="13">
        <f>IF(LEN(TRIM(AF1009))=0,"",HYPERLINK("https://www.google.com/maps/@?api=1&amp;map_action=pano&amp;viewpoint="&amp;SUBSTITUTE(AF1009," ",""),"Abrir Street View"))</f>
        <v/>
      </c>
    </row>
    <row r="1010">
      <c r="H1010" s="6" t="n"/>
      <c r="I1010" s="6" t="n"/>
      <c r="M1010" s="7" t="n"/>
      <c r="N1010" s="7" t="n"/>
      <c r="O1010" s="7" t="n"/>
      <c r="Q1010" s="7" t="n"/>
      <c r="R1010" s="7" t="n"/>
      <c r="S1010" s="8">
        <f>IF(NOT(ISNUMBER(M1010)),"",IF(G1010="Terreno",IF(AND(ISNUMBER(I1010),I1010&gt;0),M1010/I1010,""),IF(AND(ISNUMBER(H1010),H1010&gt;0),M1010/H1010,"")))</f>
        <v/>
      </c>
      <c r="T1010" s="9">
        <f>IF(AND(ISNUMBER(M1010),ISNUMBER(O1010)),IF(M1010&lt;=O1010,"Valor ≤ venal IPTU",""),"")</f>
        <v/>
      </c>
      <c r="U1010" s="10">
        <f>IF(AND(ISNUMBER(M1010),ISNUMBER(N1010)),IF(N1010&gt;0,M1010/N1010,""),"")</f>
        <v/>
      </c>
      <c r="V1010" s="10">
        <f>IF(AND(ISNUMBER(M1010),ISNUMBER(O1010)),IF(O1010&gt;0,M1010/O1010,""),"")</f>
        <v/>
      </c>
      <c r="W1010" s="10">
        <f>IF(AND(ISNUMBER(M1010),ISNUMBER(R1010)),IF(R1010&gt;0,M1010/R1010,""),"")</f>
        <v/>
      </c>
      <c r="X1010" s="10">
        <f>IF(AND(ISNUMBER(Q1010),ISNUMBER(M1010)),IF(M1010&gt;0,Q1010/M1010,""),"")</f>
        <v/>
      </c>
      <c r="Y1010" s="11">
        <f>IF(ISNUMBER(Z1010),YEAR(Z1010),"")</f>
        <v/>
      </c>
      <c r="Z1010" s="12" t="n"/>
      <c r="AA1010" s="12" t="n"/>
      <c r="AI1010" s="12" t="n"/>
      <c r="AJ1010" s="13">
        <f>IF(LEN(TRIM(AF1010))=0,"",HYPERLINK("https://www.google.com/maps/@?api=1&amp;map_action=pano&amp;viewpoint="&amp;SUBSTITUTE(AF1010," ",""),"Abrir Street View"))</f>
        <v/>
      </c>
    </row>
    <row r="1011">
      <c r="H1011" s="6" t="n"/>
      <c r="I1011" s="6" t="n"/>
      <c r="M1011" s="7" t="n"/>
      <c r="N1011" s="7" t="n"/>
      <c r="O1011" s="7" t="n"/>
      <c r="Q1011" s="7" t="n"/>
      <c r="R1011" s="7" t="n"/>
      <c r="S1011" s="8">
        <f>IF(NOT(ISNUMBER(M1011)),"",IF(G1011="Terreno",IF(AND(ISNUMBER(I1011),I1011&gt;0),M1011/I1011,""),IF(AND(ISNUMBER(H1011),H1011&gt;0),M1011/H1011,"")))</f>
        <v/>
      </c>
      <c r="T1011" s="9">
        <f>IF(AND(ISNUMBER(M1011),ISNUMBER(O1011)),IF(M1011&lt;=O1011,"Valor ≤ venal IPTU",""),"")</f>
        <v/>
      </c>
      <c r="U1011" s="10">
        <f>IF(AND(ISNUMBER(M1011),ISNUMBER(N1011)),IF(N1011&gt;0,M1011/N1011,""),"")</f>
        <v/>
      </c>
      <c r="V1011" s="10">
        <f>IF(AND(ISNUMBER(M1011),ISNUMBER(O1011)),IF(O1011&gt;0,M1011/O1011,""),"")</f>
        <v/>
      </c>
      <c r="W1011" s="10">
        <f>IF(AND(ISNUMBER(M1011),ISNUMBER(R1011)),IF(R1011&gt;0,M1011/R1011,""),"")</f>
        <v/>
      </c>
      <c r="X1011" s="10">
        <f>IF(AND(ISNUMBER(Q1011),ISNUMBER(M1011)),IF(M1011&gt;0,Q1011/M1011,""),"")</f>
        <v/>
      </c>
      <c r="Y1011" s="11">
        <f>IF(ISNUMBER(Z1011),YEAR(Z1011),"")</f>
        <v/>
      </c>
      <c r="Z1011" s="12" t="n"/>
      <c r="AA1011" s="12" t="n"/>
      <c r="AI1011" s="12" t="n"/>
      <c r="AJ1011" s="13">
        <f>IF(LEN(TRIM(AF1011))=0,"",HYPERLINK("https://www.google.com/maps/@?api=1&amp;map_action=pano&amp;viewpoint="&amp;SUBSTITUTE(AF1011," ",""),"Abrir Street View"))</f>
        <v/>
      </c>
    </row>
    <row r="1012">
      <c r="H1012" s="6" t="n"/>
      <c r="I1012" s="6" t="n"/>
      <c r="M1012" s="7" t="n"/>
      <c r="N1012" s="7" t="n"/>
      <c r="O1012" s="7" t="n"/>
      <c r="Q1012" s="7" t="n"/>
      <c r="R1012" s="7" t="n"/>
      <c r="S1012" s="8">
        <f>IF(NOT(ISNUMBER(M1012)),"",IF(G1012="Terreno",IF(AND(ISNUMBER(I1012),I1012&gt;0),M1012/I1012,""),IF(AND(ISNUMBER(H1012),H1012&gt;0),M1012/H1012,"")))</f>
        <v/>
      </c>
      <c r="T1012" s="9">
        <f>IF(AND(ISNUMBER(M1012),ISNUMBER(O1012)),IF(M1012&lt;=O1012,"Valor ≤ venal IPTU",""),"")</f>
        <v/>
      </c>
      <c r="U1012" s="10">
        <f>IF(AND(ISNUMBER(M1012),ISNUMBER(N1012)),IF(N1012&gt;0,M1012/N1012,""),"")</f>
        <v/>
      </c>
      <c r="V1012" s="10">
        <f>IF(AND(ISNUMBER(M1012),ISNUMBER(O1012)),IF(O1012&gt;0,M1012/O1012,""),"")</f>
        <v/>
      </c>
      <c r="W1012" s="10">
        <f>IF(AND(ISNUMBER(M1012),ISNUMBER(R1012)),IF(R1012&gt;0,M1012/R1012,""),"")</f>
        <v/>
      </c>
      <c r="X1012" s="10">
        <f>IF(AND(ISNUMBER(Q1012),ISNUMBER(M1012)),IF(M1012&gt;0,Q1012/M1012,""),"")</f>
        <v/>
      </c>
      <c r="Y1012" s="11">
        <f>IF(ISNUMBER(Z1012),YEAR(Z1012),"")</f>
        <v/>
      </c>
      <c r="Z1012" s="12" t="n"/>
      <c r="AA1012" s="12" t="n"/>
      <c r="AI1012" s="12" t="n"/>
      <c r="AJ1012" s="13">
        <f>IF(LEN(TRIM(AF1012))=0,"",HYPERLINK("https://www.google.com/maps/@?api=1&amp;map_action=pano&amp;viewpoint="&amp;SUBSTITUTE(AF1012," ",""),"Abrir Street View"))</f>
        <v/>
      </c>
    </row>
    <row r="1013">
      <c r="H1013" s="6" t="n"/>
      <c r="I1013" s="6" t="n"/>
      <c r="M1013" s="7" t="n"/>
      <c r="N1013" s="7" t="n"/>
      <c r="O1013" s="7" t="n"/>
      <c r="Q1013" s="7" t="n"/>
      <c r="R1013" s="7" t="n"/>
      <c r="S1013" s="8">
        <f>IF(NOT(ISNUMBER(M1013)),"",IF(G1013="Terreno",IF(AND(ISNUMBER(I1013),I1013&gt;0),M1013/I1013,""),IF(AND(ISNUMBER(H1013),H1013&gt;0),M1013/H1013,"")))</f>
        <v/>
      </c>
      <c r="T1013" s="9">
        <f>IF(AND(ISNUMBER(M1013),ISNUMBER(O1013)),IF(M1013&lt;=O1013,"Valor ≤ venal IPTU",""),"")</f>
        <v/>
      </c>
      <c r="U1013" s="10">
        <f>IF(AND(ISNUMBER(M1013),ISNUMBER(N1013)),IF(N1013&gt;0,M1013/N1013,""),"")</f>
        <v/>
      </c>
      <c r="V1013" s="10">
        <f>IF(AND(ISNUMBER(M1013),ISNUMBER(O1013)),IF(O1013&gt;0,M1013/O1013,""),"")</f>
        <v/>
      </c>
      <c r="W1013" s="10">
        <f>IF(AND(ISNUMBER(M1013),ISNUMBER(R1013)),IF(R1013&gt;0,M1013/R1013,""),"")</f>
        <v/>
      </c>
      <c r="X1013" s="10">
        <f>IF(AND(ISNUMBER(Q1013),ISNUMBER(M1013)),IF(M1013&gt;0,Q1013/M1013,""),"")</f>
        <v/>
      </c>
      <c r="Y1013" s="11">
        <f>IF(ISNUMBER(Z1013),YEAR(Z1013),"")</f>
        <v/>
      </c>
      <c r="Z1013" s="12" t="n"/>
      <c r="AA1013" s="12" t="n"/>
      <c r="AI1013" s="12" t="n"/>
      <c r="AJ1013" s="13">
        <f>IF(LEN(TRIM(AF1013))=0,"",HYPERLINK("https://www.google.com/maps/@?api=1&amp;map_action=pano&amp;viewpoint="&amp;SUBSTITUTE(AF1013," ",""),"Abrir Street View"))</f>
        <v/>
      </c>
    </row>
    <row r="1014">
      <c r="H1014" s="6" t="n"/>
      <c r="I1014" s="6" t="n"/>
      <c r="M1014" s="7" t="n"/>
      <c r="N1014" s="7" t="n"/>
      <c r="O1014" s="7" t="n"/>
      <c r="Q1014" s="7" t="n"/>
      <c r="R1014" s="7" t="n"/>
      <c r="S1014" s="8">
        <f>IF(NOT(ISNUMBER(M1014)),"",IF(G1014="Terreno",IF(AND(ISNUMBER(I1014),I1014&gt;0),M1014/I1014,""),IF(AND(ISNUMBER(H1014),H1014&gt;0),M1014/H1014,"")))</f>
        <v/>
      </c>
      <c r="T1014" s="9">
        <f>IF(AND(ISNUMBER(M1014),ISNUMBER(O1014)),IF(M1014&lt;=O1014,"Valor ≤ venal IPTU",""),"")</f>
        <v/>
      </c>
      <c r="U1014" s="10">
        <f>IF(AND(ISNUMBER(M1014),ISNUMBER(N1014)),IF(N1014&gt;0,M1014/N1014,""),"")</f>
        <v/>
      </c>
      <c r="V1014" s="10">
        <f>IF(AND(ISNUMBER(M1014),ISNUMBER(O1014)),IF(O1014&gt;0,M1014/O1014,""),"")</f>
        <v/>
      </c>
      <c r="W1014" s="10">
        <f>IF(AND(ISNUMBER(M1014),ISNUMBER(R1014)),IF(R1014&gt;0,M1014/R1014,""),"")</f>
        <v/>
      </c>
      <c r="X1014" s="10">
        <f>IF(AND(ISNUMBER(Q1014),ISNUMBER(M1014)),IF(M1014&gt;0,Q1014/M1014,""),"")</f>
        <v/>
      </c>
      <c r="Y1014" s="11">
        <f>IF(ISNUMBER(Z1014),YEAR(Z1014),"")</f>
        <v/>
      </c>
      <c r="Z1014" s="12" t="n"/>
      <c r="AA1014" s="12" t="n"/>
      <c r="AI1014" s="12" t="n"/>
      <c r="AJ1014" s="13">
        <f>IF(LEN(TRIM(AF1014))=0,"",HYPERLINK("https://www.google.com/maps/@?api=1&amp;map_action=pano&amp;viewpoint="&amp;SUBSTITUTE(AF1014," ",""),"Abrir Street View"))</f>
        <v/>
      </c>
    </row>
    <row r="1015">
      <c r="H1015" s="6" t="n"/>
      <c r="I1015" s="6" t="n"/>
      <c r="M1015" s="7" t="n"/>
      <c r="N1015" s="7" t="n"/>
      <c r="O1015" s="7" t="n"/>
      <c r="Q1015" s="7" t="n"/>
      <c r="R1015" s="7" t="n"/>
      <c r="S1015" s="8">
        <f>IF(NOT(ISNUMBER(M1015)),"",IF(G1015="Terreno",IF(AND(ISNUMBER(I1015),I1015&gt;0),M1015/I1015,""),IF(AND(ISNUMBER(H1015),H1015&gt;0),M1015/H1015,"")))</f>
        <v/>
      </c>
      <c r="T1015" s="9">
        <f>IF(AND(ISNUMBER(M1015),ISNUMBER(O1015)),IF(M1015&lt;=O1015,"Valor ≤ venal IPTU",""),"")</f>
        <v/>
      </c>
      <c r="U1015" s="10">
        <f>IF(AND(ISNUMBER(M1015),ISNUMBER(N1015)),IF(N1015&gt;0,M1015/N1015,""),"")</f>
        <v/>
      </c>
      <c r="V1015" s="10">
        <f>IF(AND(ISNUMBER(M1015),ISNUMBER(O1015)),IF(O1015&gt;0,M1015/O1015,""),"")</f>
        <v/>
      </c>
      <c r="W1015" s="10">
        <f>IF(AND(ISNUMBER(M1015),ISNUMBER(R1015)),IF(R1015&gt;0,M1015/R1015,""),"")</f>
        <v/>
      </c>
      <c r="X1015" s="10">
        <f>IF(AND(ISNUMBER(Q1015),ISNUMBER(M1015)),IF(M1015&gt;0,Q1015/M1015,""),"")</f>
        <v/>
      </c>
      <c r="Y1015" s="11">
        <f>IF(ISNUMBER(Z1015),YEAR(Z1015),"")</f>
        <v/>
      </c>
      <c r="Z1015" s="12" t="n"/>
      <c r="AA1015" s="12" t="n"/>
      <c r="AI1015" s="12" t="n"/>
      <c r="AJ1015" s="13">
        <f>IF(LEN(TRIM(AF1015))=0,"",HYPERLINK("https://www.google.com/maps/@?api=1&amp;map_action=pano&amp;viewpoint="&amp;SUBSTITUTE(AF1015," ",""),"Abrir Street View"))</f>
        <v/>
      </c>
    </row>
    <row r="1016">
      <c r="H1016" s="6" t="n"/>
      <c r="I1016" s="6" t="n"/>
      <c r="M1016" s="7" t="n"/>
      <c r="N1016" s="7" t="n"/>
      <c r="O1016" s="7" t="n"/>
      <c r="Q1016" s="7" t="n"/>
      <c r="R1016" s="7" t="n"/>
      <c r="S1016" s="8">
        <f>IF(NOT(ISNUMBER(M1016)),"",IF(G1016="Terreno",IF(AND(ISNUMBER(I1016),I1016&gt;0),M1016/I1016,""),IF(AND(ISNUMBER(H1016),H1016&gt;0),M1016/H1016,"")))</f>
        <v/>
      </c>
      <c r="T1016" s="9">
        <f>IF(AND(ISNUMBER(M1016),ISNUMBER(O1016)),IF(M1016&lt;=O1016,"Valor ≤ venal IPTU",""),"")</f>
        <v/>
      </c>
      <c r="U1016" s="10">
        <f>IF(AND(ISNUMBER(M1016),ISNUMBER(N1016)),IF(N1016&gt;0,M1016/N1016,""),"")</f>
        <v/>
      </c>
      <c r="V1016" s="10">
        <f>IF(AND(ISNUMBER(M1016),ISNUMBER(O1016)),IF(O1016&gt;0,M1016/O1016,""),"")</f>
        <v/>
      </c>
      <c r="W1016" s="10">
        <f>IF(AND(ISNUMBER(M1016),ISNUMBER(R1016)),IF(R1016&gt;0,M1016/R1016,""),"")</f>
        <v/>
      </c>
      <c r="X1016" s="10">
        <f>IF(AND(ISNUMBER(Q1016),ISNUMBER(M1016)),IF(M1016&gt;0,Q1016/M1016,""),"")</f>
        <v/>
      </c>
      <c r="Y1016" s="11">
        <f>IF(ISNUMBER(Z1016),YEAR(Z1016),"")</f>
        <v/>
      </c>
      <c r="Z1016" s="12" t="n"/>
      <c r="AA1016" s="12" t="n"/>
      <c r="AI1016" s="12" t="n"/>
      <c r="AJ1016" s="13">
        <f>IF(LEN(TRIM(AF1016))=0,"",HYPERLINK("https://www.google.com/maps/@?api=1&amp;map_action=pano&amp;viewpoint="&amp;SUBSTITUTE(AF1016," ",""),"Abrir Street View"))</f>
        <v/>
      </c>
    </row>
    <row r="1017">
      <c r="H1017" s="6" t="n"/>
      <c r="I1017" s="6" t="n"/>
      <c r="M1017" s="7" t="n"/>
      <c r="N1017" s="7" t="n"/>
      <c r="O1017" s="7" t="n"/>
      <c r="Q1017" s="7" t="n"/>
      <c r="R1017" s="7" t="n"/>
      <c r="S1017" s="8">
        <f>IF(NOT(ISNUMBER(M1017)),"",IF(G1017="Terreno",IF(AND(ISNUMBER(I1017),I1017&gt;0),M1017/I1017,""),IF(AND(ISNUMBER(H1017),H1017&gt;0),M1017/H1017,"")))</f>
        <v/>
      </c>
      <c r="T1017" s="9">
        <f>IF(AND(ISNUMBER(M1017),ISNUMBER(O1017)),IF(M1017&lt;=O1017,"Valor ≤ venal IPTU",""),"")</f>
        <v/>
      </c>
      <c r="U1017" s="10">
        <f>IF(AND(ISNUMBER(M1017),ISNUMBER(N1017)),IF(N1017&gt;0,M1017/N1017,""),"")</f>
        <v/>
      </c>
      <c r="V1017" s="10">
        <f>IF(AND(ISNUMBER(M1017),ISNUMBER(O1017)),IF(O1017&gt;0,M1017/O1017,""),"")</f>
        <v/>
      </c>
      <c r="W1017" s="10">
        <f>IF(AND(ISNUMBER(M1017),ISNUMBER(R1017)),IF(R1017&gt;0,M1017/R1017,""),"")</f>
        <v/>
      </c>
      <c r="X1017" s="10">
        <f>IF(AND(ISNUMBER(Q1017),ISNUMBER(M1017)),IF(M1017&gt;0,Q1017/M1017,""),"")</f>
        <v/>
      </c>
      <c r="Y1017" s="11">
        <f>IF(ISNUMBER(Z1017),YEAR(Z1017),"")</f>
        <v/>
      </c>
      <c r="Z1017" s="12" t="n"/>
      <c r="AA1017" s="12" t="n"/>
      <c r="AI1017" s="12" t="n"/>
      <c r="AJ1017" s="13">
        <f>IF(LEN(TRIM(AF1017))=0,"",HYPERLINK("https://www.google.com/maps/@?api=1&amp;map_action=pano&amp;viewpoint="&amp;SUBSTITUTE(AF1017," ",""),"Abrir Street View"))</f>
        <v/>
      </c>
    </row>
    <row r="1018">
      <c r="H1018" s="6" t="n"/>
      <c r="I1018" s="6" t="n"/>
      <c r="M1018" s="7" t="n"/>
      <c r="N1018" s="7" t="n"/>
      <c r="O1018" s="7" t="n"/>
      <c r="Q1018" s="7" t="n"/>
      <c r="R1018" s="7" t="n"/>
      <c r="S1018" s="8">
        <f>IF(NOT(ISNUMBER(M1018)),"",IF(G1018="Terreno",IF(AND(ISNUMBER(I1018),I1018&gt;0),M1018/I1018,""),IF(AND(ISNUMBER(H1018),H1018&gt;0),M1018/H1018,"")))</f>
        <v/>
      </c>
      <c r="T1018" s="9">
        <f>IF(AND(ISNUMBER(M1018),ISNUMBER(O1018)),IF(M1018&lt;=O1018,"Valor ≤ venal IPTU",""),"")</f>
        <v/>
      </c>
      <c r="U1018" s="10">
        <f>IF(AND(ISNUMBER(M1018),ISNUMBER(N1018)),IF(N1018&gt;0,M1018/N1018,""),"")</f>
        <v/>
      </c>
      <c r="V1018" s="10">
        <f>IF(AND(ISNUMBER(M1018),ISNUMBER(O1018)),IF(O1018&gt;0,M1018/O1018,""),"")</f>
        <v/>
      </c>
      <c r="W1018" s="10">
        <f>IF(AND(ISNUMBER(M1018),ISNUMBER(R1018)),IF(R1018&gt;0,M1018/R1018,""),"")</f>
        <v/>
      </c>
      <c r="X1018" s="10">
        <f>IF(AND(ISNUMBER(Q1018),ISNUMBER(M1018)),IF(M1018&gt;0,Q1018/M1018,""),"")</f>
        <v/>
      </c>
      <c r="Y1018" s="11">
        <f>IF(ISNUMBER(Z1018),YEAR(Z1018),"")</f>
        <v/>
      </c>
      <c r="Z1018" s="12" t="n"/>
      <c r="AA1018" s="12" t="n"/>
      <c r="AI1018" s="12" t="n"/>
      <c r="AJ1018" s="13">
        <f>IF(LEN(TRIM(AF1018))=0,"",HYPERLINK("https://www.google.com/maps/@?api=1&amp;map_action=pano&amp;viewpoint="&amp;SUBSTITUTE(AF1018," ",""),"Abrir Street View"))</f>
        <v/>
      </c>
    </row>
    <row r="1019">
      <c r="H1019" s="6" t="n"/>
      <c r="I1019" s="6" t="n"/>
      <c r="M1019" s="7" t="n"/>
      <c r="N1019" s="7" t="n"/>
      <c r="O1019" s="7" t="n"/>
      <c r="Q1019" s="7" t="n"/>
      <c r="R1019" s="7" t="n"/>
      <c r="S1019" s="8">
        <f>IF(NOT(ISNUMBER(M1019)),"",IF(G1019="Terreno",IF(AND(ISNUMBER(I1019),I1019&gt;0),M1019/I1019,""),IF(AND(ISNUMBER(H1019),H1019&gt;0),M1019/H1019,"")))</f>
        <v/>
      </c>
      <c r="T1019" s="9">
        <f>IF(AND(ISNUMBER(M1019),ISNUMBER(O1019)),IF(M1019&lt;=O1019,"Valor ≤ venal IPTU",""),"")</f>
        <v/>
      </c>
      <c r="U1019" s="10">
        <f>IF(AND(ISNUMBER(M1019),ISNUMBER(N1019)),IF(N1019&gt;0,M1019/N1019,""),"")</f>
        <v/>
      </c>
      <c r="V1019" s="10">
        <f>IF(AND(ISNUMBER(M1019),ISNUMBER(O1019)),IF(O1019&gt;0,M1019/O1019,""),"")</f>
        <v/>
      </c>
      <c r="W1019" s="10">
        <f>IF(AND(ISNUMBER(M1019),ISNUMBER(R1019)),IF(R1019&gt;0,M1019/R1019,""),"")</f>
        <v/>
      </c>
      <c r="X1019" s="10">
        <f>IF(AND(ISNUMBER(Q1019),ISNUMBER(M1019)),IF(M1019&gt;0,Q1019/M1019,""),"")</f>
        <v/>
      </c>
      <c r="Y1019" s="11">
        <f>IF(ISNUMBER(Z1019),YEAR(Z1019),"")</f>
        <v/>
      </c>
      <c r="Z1019" s="12" t="n"/>
      <c r="AA1019" s="12" t="n"/>
      <c r="AI1019" s="12" t="n"/>
      <c r="AJ1019" s="13">
        <f>IF(LEN(TRIM(AF1019))=0,"",HYPERLINK("https://www.google.com/maps/@?api=1&amp;map_action=pano&amp;viewpoint="&amp;SUBSTITUTE(AF1019," ",""),"Abrir Street View"))</f>
        <v/>
      </c>
    </row>
    <row r="1020">
      <c r="H1020" s="6" t="n"/>
      <c r="I1020" s="6" t="n"/>
      <c r="M1020" s="7" t="n"/>
      <c r="N1020" s="7" t="n"/>
      <c r="O1020" s="7" t="n"/>
      <c r="Q1020" s="7" t="n"/>
      <c r="R1020" s="7" t="n"/>
      <c r="S1020" s="8">
        <f>IF(NOT(ISNUMBER(M1020)),"",IF(G1020="Terreno",IF(AND(ISNUMBER(I1020),I1020&gt;0),M1020/I1020,""),IF(AND(ISNUMBER(H1020),H1020&gt;0),M1020/H1020,"")))</f>
        <v/>
      </c>
      <c r="T1020" s="9">
        <f>IF(AND(ISNUMBER(M1020),ISNUMBER(O1020)),IF(M1020&lt;=O1020,"Valor ≤ venal IPTU",""),"")</f>
        <v/>
      </c>
      <c r="U1020" s="10">
        <f>IF(AND(ISNUMBER(M1020),ISNUMBER(N1020)),IF(N1020&gt;0,M1020/N1020,""),"")</f>
        <v/>
      </c>
      <c r="V1020" s="10">
        <f>IF(AND(ISNUMBER(M1020),ISNUMBER(O1020)),IF(O1020&gt;0,M1020/O1020,""),"")</f>
        <v/>
      </c>
      <c r="W1020" s="10">
        <f>IF(AND(ISNUMBER(M1020),ISNUMBER(R1020)),IF(R1020&gt;0,M1020/R1020,""),"")</f>
        <v/>
      </c>
      <c r="X1020" s="10">
        <f>IF(AND(ISNUMBER(Q1020),ISNUMBER(M1020)),IF(M1020&gt;0,Q1020/M1020,""),"")</f>
        <v/>
      </c>
      <c r="Y1020" s="11">
        <f>IF(ISNUMBER(Z1020),YEAR(Z1020),"")</f>
        <v/>
      </c>
      <c r="Z1020" s="12" t="n"/>
      <c r="AA1020" s="12" t="n"/>
      <c r="AI1020" s="12" t="n"/>
      <c r="AJ1020" s="13">
        <f>IF(LEN(TRIM(AF1020))=0,"",HYPERLINK("https://www.google.com/maps/@?api=1&amp;map_action=pano&amp;viewpoint="&amp;SUBSTITUTE(AF1020," ",""),"Abrir Street View"))</f>
        <v/>
      </c>
    </row>
    <row r="1021">
      <c r="H1021" s="6" t="n"/>
      <c r="I1021" s="6" t="n"/>
      <c r="M1021" s="7" t="n"/>
      <c r="N1021" s="7" t="n"/>
      <c r="O1021" s="7" t="n"/>
      <c r="Q1021" s="7" t="n"/>
      <c r="R1021" s="7" t="n"/>
      <c r="S1021" s="8">
        <f>IF(NOT(ISNUMBER(M1021)),"",IF(G1021="Terreno",IF(AND(ISNUMBER(I1021),I1021&gt;0),M1021/I1021,""),IF(AND(ISNUMBER(H1021),H1021&gt;0),M1021/H1021,"")))</f>
        <v/>
      </c>
      <c r="T1021" s="9">
        <f>IF(AND(ISNUMBER(M1021),ISNUMBER(O1021)),IF(M1021&lt;=O1021,"Valor ≤ venal IPTU",""),"")</f>
        <v/>
      </c>
      <c r="U1021" s="10">
        <f>IF(AND(ISNUMBER(M1021),ISNUMBER(N1021)),IF(N1021&gt;0,M1021/N1021,""),"")</f>
        <v/>
      </c>
      <c r="V1021" s="10">
        <f>IF(AND(ISNUMBER(M1021),ISNUMBER(O1021)),IF(O1021&gt;0,M1021/O1021,""),"")</f>
        <v/>
      </c>
      <c r="W1021" s="10">
        <f>IF(AND(ISNUMBER(M1021),ISNUMBER(R1021)),IF(R1021&gt;0,M1021/R1021,""),"")</f>
        <v/>
      </c>
      <c r="X1021" s="10">
        <f>IF(AND(ISNUMBER(Q1021),ISNUMBER(M1021)),IF(M1021&gt;0,Q1021/M1021,""),"")</f>
        <v/>
      </c>
      <c r="Y1021" s="11">
        <f>IF(ISNUMBER(Z1021),YEAR(Z1021),"")</f>
        <v/>
      </c>
      <c r="Z1021" s="12" t="n"/>
      <c r="AA1021" s="12" t="n"/>
      <c r="AI1021" s="12" t="n"/>
      <c r="AJ1021" s="13">
        <f>IF(LEN(TRIM(AF1021))=0,"",HYPERLINK("https://www.google.com/maps/@?api=1&amp;map_action=pano&amp;viewpoint="&amp;SUBSTITUTE(AF1021," ",""),"Abrir Street View"))</f>
        <v/>
      </c>
    </row>
    <row r="1022">
      <c r="H1022" s="6" t="n"/>
      <c r="I1022" s="6" t="n"/>
      <c r="M1022" s="7" t="n"/>
      <c r="N1022" s="7" t="n"/>
      <c r="O1022" s="7" t="n"/>
      <c r="Q1022" s="7" t="n"/>
      <c r="R1022" s="7" t="n"/>
      <c r="S1022" s="8">
        <f>IF(NOT(ISNUMBER(M1022)),"",IF(G1022="Terreno",IF(AND(ISNUMBER(I1022),I1022&gt;0),M1022/I1022,""),IF(AND(ISNUMBER(H1022),H1022&gt;0),M1022/H1022,"")))</f>
        <v/>
      </c>
      <c r="T1022" s="9">
        <f>IF(AND(ISNUMBER(M1022),ISNUMBER(O1022)),IF(M1022&lt;=O1022,"Valor ≤ venal IPTU",""),"")</f>
        <v/>
      </c>
      <c r="U1022" s="10">
        <f>IF(AND(ISNUMBER(M1022),ISNUMBER(N1022)),IF(N1022&gt;0,M1022/N1022,""),"")</f>
        <v/>
      </c>
      <c r="V1022" s="10">
        <f>IF(AND(ISNUMBER(M1022),ISNUMBER(O1022)),IF(O1022&gt;0,M1022/O1022,""),"")</f>
        <v/>
      </c>
      <c r="W1022" s="10">
        <f>IF(AND(ISNUMBER(M1022),ISNUMBER(R1022)),IF(R1022&gt;0,M1022/R1022,""),"")</f>
        <v/>
      </c>
      <c r="X1022" s="10">
        <f>IF(AND(ISNUMBER(Q1022),ISNUMBER(M1022)),IF(M1022&gt;0,Q1022/M1022,""),"")</f>
        <v/>
      </c>
      <c r="Y1022" s="11">
        <f>IF(ISNUMBER(Z1022),YEAR(Z1022),"")</f>
        <v/>
      </c>
      <c r="Z1022" s="12" t="n"/>
      <c r="AA1022" s="12" t="n"/>
      <c r="AI1022" s="12" t="n"/>
      <c r="AJ1022" s="13">
        <f>IF(LEN(TRIM(AF1022))=0,"",HYPERLINK("https://www.google.com/maps/@?api=1&amp;map_action=pano&amp;viewpoint="&amp;SUBSTITUTE(AF1022," ",""),"Abrir Street View"))</f>
        <v/>
      </c>
    </row>
    <row r="1023">
      <c r="H1023" s="6" t="n"/>
      <c r="I1023" s="6" t="n"/>
      <c r="M1023" s="7" t="n"/>
      <c r="N1023" s="7" t="n"/>
      <c r="O1023" s="7" t="n"/>
      <c r="Q1023" s="7" t="n"/>
      <c r="R1023" s="7" t="n"/>
      <c r="S1023" s="8">
        <f>IF(NOT(ISNUMBER(M1023)),"",IF(G1023="Terreno",IF(AND(ISNUMBER(I1023),I1023&gt;0),M1023/I1023,""),IF(AND(ISNUMBER(H1023),H1023&gt;0),M1023/H1023,"")))</f>
        <v/>
      </c>
      <c r="T1023" s="9">
        <f>IF(AND(ISNUMBER(M1023),ISNUMBER(O1023)),IF(M1023&lt;=O1023,"Valor ≤ venal IPTU",""),"")</f>
        <v/>
      </c>
      <c r="U1023" s="10">
        <f>IF(AND(ISNUMBER(M1023),ISNUMBER(N1023)),IF(N1023&gt;0,M1023/N1023,""),"")</f>
        <v/>
      </c>
      <c r="V1023" s="10">
        <f>IF(AND(ISNUMBER(M1023),ISNUMBER(O1023)),IF(O1023&gt;0,M1023/O1023,""),"")</f>
        <v/>
      </c>
      <c r="W1023" s="10">
        <f>IF(AND(ISNUMBER(M1023),ISNUMBER(R1023)),IF(R1023&gt;0,M1023/R1023,""),"")</f>
        <v/>
      </c>
      <c r="X1023" s="10">
        <f>IF(AND(ISNUMBER(Q1023),ISNUMBER(M1023)),IF(M1023&gt;0,Q1023/M1023,""),"")</f>
        <v/>
      </c>
      <c r="Y1023" s="11">
        <f>IF(ISNUMBER(Z1023),YEAR(Z1023),"")</f>
        <v/>
      </c>
      <c r="Z1023" s="12" t="n"/>
      <c r="AA1023" s="12" t="n"/>
      <c r="AI1023" s="12" t="n"/>
      <c r="AJ1023" s="13">
        <f>IF(LEN(TRIM(AF1023))=0,"",HYPERLINK("https://www.google.com/maps/@?api=1&amp;map_action=pano&amp;viewpoint="&amp;SUBSTITUTE(AF1023," ",""),"Abrir Street View"))</f>
        <v/>
      </c>
    </row>
    <row r="1024">
      <c r="H1024" s="6" t="n"/>
      <c r="I1024" s="6" t="n"/>
      <c r="M1024" s="7" t="n"/>
      <c r="N1024" s="7" t="n"/>
      <c r="O1024" s="7" t="n"/>
      <c r="Q1024" s="7" t="n"/>
      <c r="R1024" s="7" t="n"/>
      <c r="S1024" s="8">
        <f>IF(NOT(ISNUMBER(M1024)),"",IF(G1024="Terreno",IF(AND(ISNUMBER(I1024),I1024&gt;0),M1024/I1024,""),IF(AND(ISNUMBER(H1024),H1024&gt;0),M1024/H1024,"")))</f>
        <v/>
      </c>
      <c r="T1024" s="9">
        <f>IF(AND(ISNUMBER(M1024),ISNUMBER(O1024)),IF(M1024&lt;=O1024,"Valor ≤ venal IPTU",""),"")</f>
        <v/>
      </c>
      <c r="U1024" s="10">
        <f>IF(AND(ISNUMBER(M1024),ISNUMBER(N1024)),IF(N1024&gt;0,M1024/N1024,""),"")</f>
        <v/>
      </c>
      <c r="V1024" s="10">
        <f>IF(AND(ISNUMBER(M1024),ISNUMBER(O1024)),IF(O1024&gt;0,M1024/O1024,""),"")</f>
        <v/>
      </c>
      <c r="W1024" s="10">
        <f>IF(AND(ISNUMBER(M1024),ISNUMBER(R1024)),IF(R1024&gt;0,M1024/R1024,""),"")</f>
        <v/>
      </c>
      <c r="X1024" s="10">
        <f>IF(AND(ISNUMBER(Q1024),ISNUMBER(M1024)),IF(M1024&gt;0,Q1024/M1024,""),"")</f>
        <v/>
      </c>
      <c r="Y1024" s="11">
        <f>IF(ISNUMBER(Z1024),YEAR(Z1024),"")</f>
        <v/>
      </c>
      <c r="Z1024" s="12" t="n"/>
      <c r="AA1024" s="12" t="n"/>
      <c r="AI1024" s="12" t="n"/>
      <c r="AJ1024" s="13">
        <f>IF(LEN(TRIM(AF1024))=0,"",HYPERLINK("https://www.google.com/maps/@?api=1&amp;map_action=pano&amp;viewpoint="&amp;SUBSTITUTE(AF1024," ",""),"Abrir Street View"))</f>
        <v/>
      </c>
    </row>
    <row r="1025">
      <c r="H1025" s="6" t="n"/>
      <c r="I1025" s="6" t="n"/>
      <c r="M1025" s="7" t="n"/>
      <c r="N1025" s="7" t="n"/>
      <c r="O1025" s="7" t="n"/>
      <c r="Q1025" s="7" t="n"/>
      <c r="R1025" s="7" t="n"/>
      <c r="S1025" s="8">
        <f>IF(NOT(ISNUMBER(M1025)),"",IF(G1025="Terreno",IF(AND(ISNUMBER(I1025),I1025&gt;0),M1025/I1025,""),IF(AND(ISNUMBER(H1025),H1025&gt;0),M1025/H1025,"")))</f>
        <v/>
      </c>
      <c r="T1025" s="9">
        <f>IF(AND(ISNUMBER(M1025),ISNUMBER(O1025)),IF(M1025&lt;=O1025,"Valor ≤ venal IPTU",""),"")</f>
        <v/>
      </c>
      <c r="U1025" s="10">
        <f>IF(AND(ISNUMBER(M1025),ISNUMBER(N1025)),IF(N1025&gt;0,M1025/N1025,""),"")</f>
        <v/>
      </c>
      <c r="V1025" s="10">
        <f>IF(AND(ISNUMBER(M1025),ISNUMBER(O1025)),IF(O1025&gt;0,M1025/O1025,""),"")</f>
        <v/>
      </c>
      <c r="W1025" s="10">
        <f>IF(AND(ISNUMBER(M1025),ISNUMBER(R1025)),IF(R1025&gt;0,M1025/R1025,""),"")</f>
        <v/>
      </c>
      <c r="X1025" s="10">
        <f>IF(AND(ISNUMBER(Q1025),ISNUMBER(M1025)),IF(M1025&gt;0,Q1025/M1025,""),"")</f>
        <v/>
      </c>
      <c r="Y1025" s="11">
        <f>IF(ISNUMBER(Z1025),YEAR(Z1025),"")</f>
        <v/>
      </c>
      <c r="Z1025" s="12" t="n"/>
      <c r="AA1025" s="12" t="n"/>
      <c r="AI1025" s="12" t="n"/>
      <c r="AJ1025" s="13">
        <f>IF(LEN(TRIM(AF1025))=0,"",HYPERLINK("https://www.google.com/maps/@?api=1&amp;map_action=pano&amp;viewpoint="&amp;SUBSTITUTE(AF1025," ",""),"Abrir Street View"))</f>
        <v/>
      </c>
    </row>
    <row r="1026">
      <c r="H1026" s="6" t="n"/>
      <c r="I1026" s="6" t="n"/>
      <c r="M1026" s="7" t="n"/>
      <c r="N1026" s="7" t="n"/>
      <c r="O1026" s="7" t="n"/>
      <c r="Q1026" s="7" t="n"/>
      <c r="R1026" s="7" t="n"/>
      <c r="S1026" s="8">
        <f>IF(NOT(ISNUMBER(M1026)),"",IF(G1026="Terreno",IF(AND(ISNUMBER(I1026),I1026&gt;0),M1026/I1026,""),IF(AND(ISNUMBER(H1026),H1026&gt;0),M1026/H1026,"")))</f>
        <v/>
      </c>
      <c r="T1026" s="9">
        <f>IF(AND(ISNUMBER(M1026),ISNUMBER(O1026)),IF(M1026&lt;=O1026,"Valor ≤ venal IPTU",""),"")</f>
        <v/>
      </c>
      <c r="U1026" s="10">
        <f>IF(AND(ISNUMBER(M1026),ISNUMBER(N1026)),IF(N1026&gt;0,M1026/N1026,""),"")</f>
        <v/>
      </c>
      <c r="V1026" s="10">
        <f>IF(AND(ISNUMBER(M1026),ISNUMBER(O1026)),IF(O1026&gt;0,M1026/O1026,""),"")</f>
        <v/>
      </c>
      <c r="W1026" s="10">
        <f>IF(AND(ISNUMBER(M1026),ISNUMBER(R1026)),IF(R1026&gt;0,M1026/R1026,""),"")</f>
        <v/>
      </c>
      <c r="X1026" s="10">
        <f>IF(AND(ISNUMBER(Q1026),ISNUMBER(M1026)),IF(M1026&gt;0,Q1026/M1026,""),"")</f>
        <v/>
      </c>
      <c r="Y1026" s="11">
        <f>IF(ISNUMBER(Z1026),YEAR(Z1026),"")</f>
        <v/>
      </c>
      <c r="Z1026" s="12" t="n"/>
      <c r="AA1026" s="12" t="n"/>
      <c r="AI1026" s="12" t="n"/>
      <c r="AJ1026" s="13">
        <f>IF(LEN(TRIM(AF1026))=0,"",HYPERLINK("https://www.google.com/maps/@?api=1&amp;map_action=pano&amp;viewpoint="&amp;SUBSTITUTE(AF1026," ",""),"Abrir Street View"))</f>
        <v/>
      </c>
    </row>
    <row r="1027">
      <c r="H1027" s="6" t="n"/>
      <c r="I1027" s="6" t="n"/>
      <c r="M1027" s="7" t="n"/>
      <c r="N1027" s="7" t="n"/>
      <c r="O1027" s="7" t="n"/>
      <c r="Q1027" s="7" t="n"/>
      <c r="R1027" s="7" t="n"/>
      <c r="S1027" s="8">
        <f>IF(NOT(ISNUMBER(M1027)),"",IF(G1027="Terreno",IF(AND(ISNUMBER(I1027),I1027&gt;0),M1027/I1027,""),IF(AND(ISNUMBER(H1027),H1027&gt;0),M1027/H1027,"")))</f>
        <v/>
      </c>
      <c r="T1027" s="9">
        <f>IF(AND(ISNUMBER(M1027),ISNUMBER(O1027)),IF(M1027&lt;=O1027,"Valor ≤ venal IPTU",""),"")</f>
        <v/>
      </c>
      <c r="U1027" s="10">
        <f>IF(AND(ISNUMBER(M1027),ISNUMBER(N1027)),IF(N1027&gt;0,M1027/N1027,""),"")</f>
        <v/>
      </c>
      <c r="V1027" s="10">
        <f>IF(AND(ISNUMBER(M1027),ISNUMBER(O1027)),IF(O1027&gt;0,M1027/O1027,""),"")</f>
        <v/>
      </c>
      <c r="W1027" s="10">
        <f>IF(AND(ISNUMBER(M1027),ISNUMBER(R1027)),IF(R1027&gt;0,M1027/R1027,""),"")</f>
        <v/>
      </c>
      <c r="X1027" s="10">
        <f>IF(AND(ISNUMBER(Q1027),ISNUMBER(M1027)),IF(M1027&gt;0,Q1027/M1027,""),"")</f>
        <v/>
      </c>
      <c r="Y1027" s="11">
        <f>IF(ISNUMBER(Z1027),YEAR(Z1027),"")</f>
        <v/>
      </c>
      <c r="Z1027" s="12" t="n"/>
      <c r="AA1027" s="12" t="n"/>
      <c r="AI1027" s="12" t="n"/>
      <c r="AJ1027" s="13">
        <f>IF(LEN(TRIM(AF1027))=0,"",HYPERLINK("https://www.google.com/maps/@?api=1&amp;map_action=pano&amp;viewpoint="&amp;SUBSTITUTE(AF1027," ",""),"Abrir Street View"))</f>
        <v/>
      </c>
    </row>
    <row r="1028">
      <c r="H1028" s="6" t="n"/>
      <c r="I1028" s="6" t="n"/>
      <c r="M1028" s="7" t="n"/>
      <c r="N1028" s="7" t="n"/>
      <c r="O1028" s="7" t="n"/>
      <c r="Q1028" s="7" t="n"/>
      <c r="R1028" s="7" t="n"/>
      <c r="S1028" s="8">
        <f>IF(NOT(ISNUMBER(M1028)),"",IF(G1028="Terreno",IF(AND(ISNUMBER(I1028),I1028&gt;0),M1028/I1028,""),IF(AND(ISNUMBER(H1028),H1028&gt;0),M1028/H1028,"")))</f>
        <v/>
      </c>
      <c r="T1028" s="9">
        <f>IF(AND(ISNUMBER(M1028),ISNUMBER(O1028)),IF(M1028&lt;=O1028,"Valor ≤ venal IPTU",""),"")</f>
        <v/>
      </c>
      <c r="U1028" s="10">
        <f>IF(AND(ISNUMBER(M1028),ISNUMBER(N1028)),IF(N1028&gt;0,M1028/N1028,""),"")</f>
        <v/>
      </c>
      <c r="V1028" s="10">
        <f>IF(AND(ISNUMBER(M1028),ISNUMBER(O1028)),IF(O1028&gt;0,M1028/O1028,""),"")</f>
        <v/>
      </c>
      <c r="W1028" s="10">
        <f>IF(AND(ISNUMBER(M1028),ISNUMBER(R1028)),IF(R1028&gt;0,M1028/R1028,""),"")</f>
        <v/>
      </c>
      <c r="X1028" s="10">
        <f>IF(AND(ISNUMBER(Q1028),ISNUMBER(M1028)),IF(M1028&gt;0,Q1028/M1028,""),"")</f>
        <v/>
      </c>
      <c r="Y1028" s="11">
        <f>IF(ISNUMBER(Z1028),YEAR(Z1028),"")</f>
        <v/>
      </c>
      <c r="Z1028" s="12" t="n"/>
      <c r="AA1028" s="12" t="n"/>
      <c r="AI1028" s="12" t="n"/>
      <c r="AJ1028" s="13">
        <f>IF(LEN(TRIM(AF1028))=0,"",HYPERLINK("https://www.google.com/maps/@?api=1&amp;map_action=pano&amp;viewpoint="&amp;SUBSTITUTE(AF1028," ",""),"Abrir Street View"))</f>
        <v/>
      </c>
    </row>
    <row r="1029">
      <c r="H1029" s="6" t="n"/>
      <c r="I1029" s="6" t="n"/>
      <c r="M1029" s="7" t="n"/>
      <c r="N1029" s="7" t="n"/>
      <c r="O1029" s="7" t="n"/>
      <c r="Q1029" s="7" t="n"/>
      <c r="R1029" s="7" t="n"/>
      <c r="S1029" s="8">
        <f>IF(NOT(ISNUMBER(M1029)),"",IF(G1029="Terreno",IF(AND(ISNUMBER(I1029),I1029&gt;0),M1029/I1029,""),IF(AND(ISNUMBER(H1029),H1029&gt;0),M1029/H1029,"")))</f>
        <v/>
      </c>
      <c r="T1029" s="9">
        <f>IF(AND(ISNUMBER(M1029),ISNUMBER(O1029)),IF(M1029&lt;=O1029,"Valor ≤ venal IPTU",""),"")</f>
        <v/>
      </c>
      <c r="U1029" s="10">
        <f>IF(AND(ISNUMBER(M1029),ISNUMBER(N1029)),IF(N1029&gt;0,M1029/N1029,""),"")</f>
        <v/>
      </c>
      <c r="V1029" s="10">
        <f>IF(AND(ISNUMBER(M1029),ISNUMBER(O1029)),IF(O1029&gt;0,M1029/O1029,""),"")</f>
        <v/>
      </c>
      <c r="W1029" s="10">
        <f>IF(AND(ISNUMBER(M1029),ISNUMBER(R1029)),IF(R1029&gt;0,M1029/R1029,""),"")</f>
        <v/>
      </c>
      <c r="X1029" s="10">
        <f>IF(AND(ISNUMBER(Q1029),ISNUMBER(M1029)),IF(M1029&gt;0,Q1029/M1029,""),"")</f>
        <v/>
      </c>
      <c r="Y1029" s="11">
        <f>IF(ISNUMBER(Z1029),YEAR(Z1029),"")</f>
        <v/>
      </c>
      <c r="Z1029" s="12" t="n"/>
      <c r="AA1029" s="12" t="n"/>
      <c r="AI1029" s="12" t="n"/>
      <c r="AJ1029" s="13">
        <f>IF(LEN(TRIM(AF1029))=0,"",HYPERLINK("https://www.google.com/maps/@?api=1&amp;map_action=pano&amp;viewpoint="&amp;SUBSTITUTE(AF1029," ",""),"Abrir Street View"))</f>
        <v/>
      </c>
    </row>
    <row r="1030">
      <c r="H1030" s="6" t="n"/>
      <c r="I1030" s="6" t="n"/>
      <c r="M1030" s="7" t="n"/>
      <c r="N1030" s="7" t="n"/>
      <c r="O1030" s="7" t="n"/>
      <c r="Q1030" s="7" t="n"/>
      <c r="R1030" s="7" t="n"/>
      <c r="S1030" s="8">
        <f>IF(NOT(ISNUMBER(M1030)),"",IF(G1030="Terreno",IF(AND(ISNUMBER(I1030),I1030&gt;0),M1030/I1030,""),IF(AND(ISNUMBER(H1030),H1030&gt;0),M1030/H1030,"")))</f>
        <v/>
      </c>
      <c r="T1030" s="9">
        <f>IF(AND(ISNUMBER(M1030),ISNUMBER(O1030)),IF(M1030&lt;=O1030,"Valor ≤ venal IPTU",""),"")</f>
        <v/>
      </c>
      <c r="U1030" s="10">
        <f>IF(AND(ISNUMBER(M1030),ISNUMBER(N1030)),IF(N1030&gt;0,M1030/N1030,""),"")</f>
        <v/>
      </c>
      <c r="V1030" s="10">
        <f>IF(AND(ISNUMBER(M1030),ISNUMBER(O1030)),IF(O1030&gt;0,M1030/O1030,""),"")</f>
        <v/>
      </c>
      <c r="W1030" s="10">
        <f>IF(AND(ISNUMBER(M1030),ISNUMBER(R1030)),IF(R1030&gt;0,M1030/R1030,""),"")</f>
        <v/>
      </c>
      <c r="X1030" s="10">
        <f>IF(AND(ISNUMBER(Q1030),ISNUMBER(M1030)),IF(M1030&gt;0,Q1030/M1030,""),"")</f>
        <v/>
      </c>
      <c r="Y1030" s="11">
        <f>IF(ISNUMBER(Z1030),YEAR(Z1030),"")</f>
        <v/>
      </c>
      <c r="Z1030" s="12" t="n"/>
      <c r="AA1030" s="12" t="n"/>
      <c r="AI1030" s="12" t="n"/>
      <c r="AJ1030" s="13">
        <f>IF(LEN(TRIM(AF1030))=0,"",HYPERLINK("https://www.google.com/maps/@?api=1&amp;map_action=pano&amp;viewpoint="&amp;SUBSTITUTE(AF1030," ",""),"Abrir Street View"))</f>
        <v/>
      </c>
    </row>
    <row r="1031">
      <c r="H1031" s="6" t="n"/>
      <c r="I1031" s="6" t="n"/>
      <c r="M1031" s="7" t="n"/>
      <c r="N1031" s="7" t="n"/>
      <c r="O1031" s="7" t="n"/>
      <c r="Q1031" s="7" t="n"/>
      <c r="R1031" s="7" t="n"/>
      <c r="S1031" s="8">
        <f>IF(NOT(ISNUMBER(M1031)),"",IF(G1031="Terreno",IF(AND(ISNUMBER(I1031),I1031&gt;0),M1031/I1031,""),IF(AND(ISNUMBER(H1031),H1031&gt;0),M1031/H1031,"")))</f>
        <v/>
      </c>
      <c r="T1031" s="9">
        <f>IF(AND(ISNUMBER(M1031),ISNUMBER(O1031)),IF(M1031&lt;=O1031,"Valor ≤ venal IPTU",""),"")</f>
        <v/>
      </c>
      <c r="U1031" s="10">
        <f>IF(AND(ISNUMBER(M1031),ISNUMBER(N1031)),IF(N1031&gt;0,M1031/N1031,""),"")</f>
        <v/>
      </c>
      <c r="V1031" s="10">
        <f>IF(AND(ISNUMBER(M1031),ISNUMBER(O1031)),IF(O1031&gt;0,M1031/O1031,""),"")</f>
        <v/>
      </c>
      <c r="W1031" s="10">
        <f>IF(AND(ISNUMBER(M1031),ISNUMBER(R1031)),IF(R1031&gt;0,M1031/R1031,""),"")</f>
        <v/>
      </c>
      <c r="X1031" s="10">
        <f>IF(AND(ISNUMBER(Q1031),ISNUMBER(M1031)),IF(M1031&gt;0,Q1031/M1031,""),"")</f>
        <v/>
      </c>
      <c r="Y1031" s="11">
        <f>IF(ISNUMBER(Z1031),YEAR(Z1031),"")</f>
        <v/>
      </c>
      <c r="Z1031" s="12" t="n"/>
      <c r="AA1031" s="12" t="n"/>
      <c r="AI1031" s="12" t="n"/>
      <c r="AJ1031" s="13">
        <f>IF(LEN(TRIM(AF1031))=0,"",HYPERLINK("https://www.google.com/maps/@?api=1&amp;map_action=pano&amp;viewpoint="&amp;SUBSTITUTE(AF1031," ",""),"Abrir Street View"))</f>
        <v/>
      </c>
    </row>
    <row r="1032">
      <c r="H1032" s="6" t="n"/>
      <c r="I1032" s="6" t="n"/>
      <c r="M1032" s="7" t="n"/>
      <c r="N1032" s="7" t="n"/>
      <c r="O1032" s="7" t="n"/>
      <c r="Q1032" s="7" t="n"/>
      <c r="R1032" s="7" t="n"/>
      <c r="S1032" s="8">
        <f>IF(NOT(ISNUMBER(M1032)),"",IF(G1032="Terreno",IF(AND(ISNUMBER(I1032),I1032&gt;0),M1032/I1032,""),IF(AND(ISNUMBER(H1032),H1032&gt;0),M1032/H1032,"")))</f>
        <v/>
      </c>
      <c r="T1032" s="9">
        <f>IF(AND(ISNUMBER(M1032),ISNUMBER(O1032)),IF(M1032&lt;=O1032,"Valor ≤ venal IPTU",""),"")</f>
        <v/>
      </c>
      <c r="U1032" s="10">
        <f>IF(AND(ISNUMBER(M1032),ISNUMBER(N1032)),IF(N1032&gt;0,M1032/N1032,""),"")</f>
        <v/>
      </c>
      <c r="V1032" s="10">
        <f>IF(AND(ISNUMBER(M1032),ISNUMBER(O1032)),IF(O1032&gt;0,M1032/O1032,""),"")</f>
        <v/>
      </c>
      <c r="W1032" s="10">
        <f>IF(AND(ISNUMBER(M1032),ISNUMBER(R1032)),IF(R1032&gt;0,M1032/R1032,""),"")</f>
        <v/>
      </c>
      <c r="X1032" s="10">
        <f>IF(AND(ISNUMBER(Q1032),ISNUMBER(M1032)),IF(M1032&gt;0,Q1032/M1032,""),"")</f>
        <v/>
      </c>
      <c r="Y1032" s="11">
        <f>IF(ISNUMBER(Z1032),YEAR(Z1032),"")</f>
        <v/>
      </c>
      <c r="Z1032" s="12" t="n"/>
      <c r="AA1032" s="12" t="n"/>
      <c r="AI1032" s="12" t="n"/>
      <c r="AJ1032" s="13">
        <f>IF(LEN(TRIM(AF1032))=0,"",HYPERLINK("https://www.google.com/maps/@?api=1&amp;map_action=pano&amp;viewpoint="&amp;SUBSTITUTE(AF1032," ",""),"Abrir Street View"))</f>
        <v/>
      </c>
    </row>
    <row r="1033">
      <c r="H1033" s="6" t="n"/>
      <c r="I1033" s="6" t="n"/>
      <c r="M1033" s="7" t="n"/>
      <c r="N1033" s="7" t="n"/>
      <c r="O1033" s="7" t="n"/>
      <c r="Q1033" s="7" t="n"/>
      <c r="R1033" s="7" t="n"/>
      <c r="S1033" s="8">
        <f>IF(NOT(ISNUMBER(M1033)),"",IF(G1033="Terreno",IF(AND(ISNUMBER(I1033),I1033&gt;0),M1033/I1033,""),IF(AND(ISNUMBER(H1033),H1033&gt;0),M1033/H1033,"")))</f>
        <v/>
      </c>
      <c r="T1033" s="9">
        <f>IF(AND(ISNUMBER(M1033),ISNUMBER(O1033)),IF(M1033&lt;=O1033,"Valor ≤ venal IPTU",""),"")</f>
        <v/>
      </c>
      <c r="U1033" s="10">
        <f>IF(AND(ISNUMBER(M1033),ISNUMBER(N1033)),IF(N1033&gt;0,M1033/N1033,""),"")</f>
        <v/>
      </c>
      <c r="V1033" s="10">
        <f>IF(AND(ISNUMBER(M1033),ISNUMBER(O1033)),IF(O1033&gt;0,M1033/O1033,""),"")</f>
        <v/>
      </c>
      <c r="W1033" s="10">
        <f>IF(AND(ISNUMBER(M1033),ISNUMBER(R1033)),IF(R1033&gt;0,M1033/R1033,""),"")</f>
        <v/>
      </c>
      <c r="X1033" s="10">
        <f>IF(AND(ISNUMBER(Q1033),ISNUMBER(M1033)),IF(M1033&gt;0,Q1033/M1033,""),"")</f>
        <v/>
      </c>
      <c r="Y1033" s="11">
        <f>IF(ISNUMBER(Z1033),YEAR(Z1033),"")</f>
        <v/>
      </c>
      <c r="Z1033" s="12" t="n"/>
      <c r="AA1033" s="12" t="n"/>
      <c r="AI1033" s="12" t="n"/>
      <c r="AJ1033" s="13">
        <f>IF(LEN(TRIM(AF1033))=0,"",HYPERLINK("https://www.google.com/maps/@?api=1&amp;map_action=pano&amp;viewpoint="&amp;SUBSTITUTE(AF1033," ",""),"Abrir Street View"))</f>
        <v/>
      </c>
    </row>
    <row r="1034">
      <c r="H1034" s="6" t="n"/>
      <c r="I1034" s="6" t="n"/>
      <c r="M1034" s="7" t="n"/>
      <c r="N1034" s="7" t="n"/>
      <c r="O1034" s="7" t="n"/>
      <c r="Q1034" s="7" t="n"/>
      <c r="R1034" s="7" t="n"/>
      <c r="S1034" s="8">
        <f>IF(NOT(ISNUMBER(M1034)),"",IF(G1034="Terreno",IF(AND(ISNUMBER(I1034),I1034&gt;0),M1034/I1034,""),IF(AND(ISNUMBER(H1034),H1034&gt;0),M1034/H1034,"")))</f>
        <v/>
      </c>
      <c r="T1034" s="9">
        <f>IF(AND(ISNUMBER(M1034),ISNUMBER(O1034)),IF(M1034&lt;=O1034,"Valor ≤ venal IPTU",""),"")</f>
        <v/>
      </c>
      <c r="U1034" s="10">
        <f>IF(AND(ISNUMBER(M1034),ISNUMBER(N1034)),IF(N1034&gt;0,M1034/N1034,""),"")</f>
        <v/>
      </c>
      <c r="V1034" s="10">
        <f>IF(AND(ISNUMBER(M1034),ISNUMBER(O1034)),IF(O1034&gt;0,M1034/O1034,""),"")</f>
        <v/>
      </c>
      <c r="W1034" s="10">
        <f>IF(AND(ISNUMBER(M1034),ISNUMBER(R1034)),IF(R1034&gt;0,M1034/R1034,""),"")</f>
        <v/>
      </c>
      <c r="X1034" s="10">
        <f>IF(AND(ISNUMBER(Q1034),ISNUMBER(M1034)),IF(M1034&gt;0,Q1034/M1034,""),"")</f>
        <v/>
      </c>
      <c r="Y1034" s="11">
        <f>IF(ISNUMBER(Z1034),YEAR(Z1034),"")</f>
        <v/>
      </c>
      <c r="Z1034" s="12" t="n"/>
      <c r="AA1034" s="12" t="n"/>
      <c r="AI1034" s="12" t="n"/>
      <c r="AJ1034" s="13">
        <f>IF(LEN(TRIM(AF1034))=0,"",HYPERLINK("https://www.google.com/maps/@?api=1&amp;map_action=pano&amp;viewpoint="&amp;SUBSTITUTE(AF1034," ",""),"Abrir Street View"))</f>
        <v/>
      </c>
    </row>
    <row r="1035">
      <c r="H1035" s="6" t="n"/>
      <c r="I1035" s="6" t="n"/>
      <c r="M1035" s="7" t="n"/>
      <c r="N1035" s="7" t="n"/>
      <c r="O1035" s="7" t="n"/>
      <c r="Q1035" s="7" t="n"/>
      <c r="R1035" s="7" t="n"/>
      <c r="S1035" s="8">
        <f>IF(NOT(ISNUMBER(M1035)),"",IF(G1035="Terreno",IF(AND(ISNUMBER(I1035),I1035&gt;0),M1035/I1035,""),IF(AND(ISNUMBER(H1035),H1035&gt;0),M1035/H1035,"")))</f>
        <v/>
      </c>
      <c r="T1035" s="9">
        <f>IF(AND(ISNUMBER(M1035),ISNUMBER(O1035)),IF(M1035&lt;=O1035,"Valor ≤ venal IPTU",""),"")</f>
        <v/>
      </c>
      <c r="U1035" s="10">
        <f>IF(AND(ISNUMBER(M1035),ISNUMBER(N1035)),IF(N1035&gt;0,M1035/N1035,""),"")</f>
        <v/>
      </c>
      <c r="V1035" s="10">
        <f>IF(AND(ISNUMBER(M1035),ISNUMBER(O1035)),IF(O1035&gt;0,M1035/O1035,""),"")</f>
        <v/>
      </c>
      <c r="W1035" s="10">
        <f>IF(AND(ISNUMBER(M1035),ISNUMBER(R1035)),IF(R1035&gt;0,M1035/R1035,""),"")</f>
        <v/>
      </c>
      <c r="X1035" s="10">
        <f>IF(AND(ISNUMBER(Q1035),ISNUMBER(M1035)),IF(M1035&gt;0,Q1035/M1035,""),"")</f>
        <v/>
      </c>
      <c r="Y1035" s="11">
        <f>IF(ISNUMBER(Z1035),YEAR(Z1035),"")</f>
        <v/>
      </c>
      <c r="Z1035" s="12" t="n"/>
      <c r="AA1035" s="12" t="n"/>
      <c r="AI1035" s="12" t="n"/>
      <c r="AJ1035" s="13">
        <f>IF(LEN(TRIM(AF1035))=0,"",HYPERLINK("https://www.google.com/maps/@?api=1&amp;map_action=pano&amp;viewpoint="&amp;SUBSTITUTE(AF1035," ",""),"Abrir Street View"))</f>
        <v/>
      </c>
    </row>
    <row r="1036">
      <c r="H1036" s="6" t="n"/>
      <c r="I1036" s="6" t="n"/>
      <c r="M1036" s="7" t="n"/>
      <c r="N1036" s="7" t="n"/>
      <c r="O1036" s="7" t="n"/>
      <c r="Q1036" s="7" t="n"/>
      <c r="R1036" s="7" t="n"/>
      <c r="S1036" s="8">
        <f>IF(NOT(ISNUMBER(M1036)),"",IF(G1036="Terreno",IF(AND(ISNUMBER(I1036),I1036&gt;0),M1036/I1036,""),IF(AND(ISNUMBER(H1036),H1036&gt;0),M1036/H1036,"")))</f>
        <v/>
      </c>
      <c r="T1036" s="9">
        <f>IF(AND(ISNUMBER(M1036),ISNUMBER(O1036)),IF(M1036&lt;=O1036,"Valor ≤ venal IPTU",""),"")</f>
        <v/>
      </c>
      <c r="U1036" s="10">
        <f>IF(AND(ISNUMBER(M1036),ISNUMBER(N1036)),IF(N1036&gt;0,M1036/N1036,""),"")</f>
        <v/>
      </c>
      <c r="V1036" s="10">
        <f>IF(AND(ISNUMBER(M1036),ISNUMBER(O1036)),IF(O1036&gt;0,M1036/O1036,""),"")</f>
        <v/>
      </c>
      <c r="W1036" s="10">
        <f>IF(AND(ISNUMBER(M1036),ISNUMBER(R1036)),IF(R1036&gt;0,M1036/R1036,""),"")</f>
        <v/>
      </c>
      <c r="X1036" s="10">
        <f>IF(AND(ISNUMBER(Q1036),ISNUMBER(M1036)),IF(M1036&gt;0,Q1036/M1036,""),"")</f>
        <v/>
      </c>
      <c r="Y1036" s="11">
        <f>IF(ISNUMBER(Z1036),YEAR(Z1036),"")</f>
        <v/>
      </c>
      <c r="Z1036" s="12" t="n"/>
      <c r="AA1036" s="12" t="n"/>
      <c r="AI1036" s="12" t="n"/>
      <c r="AJ1036" s="13">
        <f>IF(LEN(TRIM(AF1036))=0,"",HYPERLINK("https://www.google.com/maps/@?api=1&amp;map_action=pano&amp;viewpoint="&amp;SUBSTITUTE(AF1036," ",""),"Abrir Street View"))</f>
        <v/>
      </c>
    </row>
    <row r="1037">
      <c r="H1037" s="6" t="n"/>
      <c r="I1037" s="6" t="n"/>
      <c r="M1037" s="7" t="n"/>
      <c r="N1037" s="7" t="n"/>
      <c r="O1037" s="7" t="n"/>
      <c r="Q1037" s="7" t="n"/>
      <c r="R1037" s="7" t="n"/>
      <c r="S1037" s="8">
        <f>IF(NOT(ISNUMBER(M1037)),"",IF(G1037="Terreno",IF(AND(ISNUMBER(I1037),I1037&gt;0),M1037/I1037,""),IF(AND(ISNUMBER(H1037),H1037&gt;0),M1037/H1037,"")))</f>
        <v/>
      </c>
      <c r="T1037" s="9">
        <f>IF(AND(ISNUMBER(M1037),ISNUMBER(O1037)),IF(M1037&lt;=O1037,"Valor ≤ venal IPTU",""),"")</f>
        <v/>
      </c>
      <c r="U1037" s="10">
        <f>IF(AND(ISNUMBER(M1037),ISNUMBER(N1037)),IF(N1037&gt;0,M1037/N1037,""),"")</f>
        <v/>
      </c>
      <c r="V1037" s="10">
        <f>IF(AND(ISNUMBER(M1037),ISNUMBER(O1037)),IF(O1037&gt;0,M1037/O1037,""),"")</f>
        <v/>
      </c>
      <c r="W1037" s="10">
        <f>IF(AND(ISNUMBER(M1037),ISNUMBER(R1037)),IF(R1037&gt;0,M1037/R1037,""),"")</f>
        <v/>
      </c>
      <c r="X1037" s="10">
        <f>IF(AND(ISNUMBER(Q1037),ISNUMBER(M1037)),IF(M1037&gt;0,Q1037/M1037,""),"")</f>
        <v/>
      </c>
      <c r="Y1037" s="11">
        <f>IF(ISNUMBER(Z1037),YEAR(Z1037),"")</f>
        <v/>
      </c>
      <c r="Z1037" s="12" t="n"/>
      <c r="AA1037" s="12" t="n"/>
      <c r="AI1037" s="12" t="n"/>
      <c r="AJ1037" s="13">
        <f>IF(LEN(TRIM(AF1037))=0,"",HYPERLINK("https://www.google.com/maps/@?api=1&amp;map_action=pano&amp;viewpoint="&amp;SUBSTITUTE(AF1037," ",""),"Abrir Street View"))</f>
        <v/>
      </c>
    </row>
    <row r="1038">
      <c r="H1038" s="6" t="n"/>
      <c r="I1038" s="6" t="n"/>
      <c r="M1038" s="7" t="n"/>
      <c r="N1038" s="7" t="n"/>
      <c r="O1038" s="7" t="n"/>
      <c r="Q1038" s="7" t="n"/>
      <c r="R1038" s="7" t="n"/>
      <c r="S1038" s="8">
        <f>IF(NOT(ISNUMBER(M1038)),"",IF(G1038="Terreno",IF(AND(ISNUMBER(I1038),I1038&gt;0),M1038/I1038,""),IF(AND(ISNUMBER(H1038),H1038&gt;0),M1038/H1038,"")))</f>
        <v/>
      </c>
      <c r="T1038" s="9">
        <f>IF(AND(ISNUMBER(M1038),ISNUMBER(O1038)),IF(M1038&lt;=O1038,"Valor ≤ venal IPTU",""),"")</f>
        <v/>
      </c>
      <c r="U1038" s="10">
        <f>IF(AND(ISNUMBER(M1038),ISNUMBER(N1038)),IF(N1038&gt;0,M1038/N1038,""),"")</f>
        <v/>
      </c>
      <c r="V1038" s="10">
        <f>IF(AND(ISNUMBER(M1038),ISNUMBER(O1038)),IF(O1038&gt;0,M1038/O1038,""),"")</f>
        <v/>
      </c>
      <c r="W1038" s="10">
        <f>IF(AND(ISNUMBER(M1038),ISNUMBER(R1038)),IF(R1038&gt;0,M1038/R1038,""),"")</f>
        <v/>
      </c>
      <c r="X1038" s="10">
        <f>IF(AND(ISNUMBER(Q1038),ISNUMBER(M1038)),IF(M1038&gt;0,Q1038/M1038,""),"")</f>
        <v/>
      </c>
      <c r="Y1038" s="11">
        <f>IF(ISNUMBER(Z1038),YEAR(Z1038),"")</f>
        <v/>
      </c>
      <c r="Z1038" s="12" t="n"/>
      <c r="AA1038" s="12" t="n"/>
      <c r="AI1038" s="12" t="n"/>
      <c r="AJ1038" s="13">
        <f>IF(LEN(TRIM(AF1038))=0,"",HYPERLINK("https://www.google.com/maps/@?api=1&amp;map_action=pano&amp;viewpoint="&amp;SUBSTITUTE(AF1038," ",""),"Abrir Street View"))</f>
        <v/>
      </c>
    </row>
    <row r="1039">
      <c r="H1039" s="6" t="n"/>
      <c r="I1039" s="6" t="n"/>
      <c r="M1039" s="7" t="n"/>
      <c r="N1039" s="7" t="n"/>
      <c r="O1039" s="7" t="n"/>
      <c r="Q1039" s="7" t="n"/>
      <c r="R1039" s="7" t="n"/>
      <c r="S1039" s="8">
        <f>IF(NOT(ISNUMBER(M1039)),"",IF(G1039="Terreno",IF(AND(ISNUMBER(I1039),I1039&gt;0),M1039/I1039,""),IF(AND(ISNUMBER(H1039),H1039&gt;0),M1039/H1039,"")))</f>
        <v/>
      </c>
      <c r="T1039" s="9">
        <f>IF(AND(ISNUMBER(M1039),ISNUMBER(O1039)),IF(M1039&lt;=O1039,"Valor ≤ venal IPTU",""),"")</f>
        <v/>
      </c>
      <c r="U1039" s="10">
        <f>IF(AND(ISNUMBER(M1039),ISNUMBER(N1039)),IF(N1039&gt;0,M1039/N1039,""),"")</f>
        <v/>
      </c>
      <c r="V1039" s="10">
        <f>IF(AND(ISNUMBER(M1039),ISNUMBER(O1039)),IF(O1039&gt;0,M1039/O1039,""),"")</f>
        <v/>
      </c>
      <c r="W1039" s="10">
        <f>IF(AND(ISNUMBER(M1039),ISNUMBER(R1039)),IF(R1039&gt;0,M1039/R1039,""),"")</f>
        <v/>
      </c>
      <c r="X1039" s="10">
        <f>IF(AND(ISNUMBER(Q1039),ISNUMBER(M1039)),IF(M1039&gt;0,Q1039/M1039,""),"")</f>
        <v/>
      </c>
      <c r="Y1039" s="11">
        <f>IF(ISNUMBER(Z1039),YEAR(Z1039),"")</f>
        <v/>
      </c>
      <c r="Z1039" s="12" t="n"/>
      <c r="AA1039" s="12" t="n"/>
      <c r="AI1039" s="12" t="n"/>
      <c r="AJ1039" s="13">
        <f>IF(LEN(TRIM(AF1039))=0,"",HYPERLINK("https://www.google.com/maps/@?api=1&amp;map_action=pano&amp;viewpoint="&amp;SUBSTITUTE(AF1039," ",""),"Abrir Street View"))</f>
        <v/>
      </c>
    </row>
    <row r="1040">
      <c r="H1040" s="6" t="n"/>
      <c r="I1040" s="6" t="n"/>
      <c r="M1040" s="7" t="n"/>
      <c r="N1040" s="7" t="n"/>
      <c r="O1040" s="7" t="n"/>
      <c r="Q1040" s="7" t="n"/>
      <c r="R1040" s="7" t="n"/>
      <c r="S1040" s="8">
        <f>IF(NOT(ISNUMBER(M1040)),"",IF(G1040="Terreno",IF(AND(ISNUMBER(I1040),I1040&gt;0),M1040/I1040,""),IF(AND(ISNUMBER(H1040),H1040&gt;0),M1040/H1040,"")))</f>
        <v/>
      </c>
      <c r="T1040" s="9">
        <f>IF(AND(ISNUMBER(M1040),ISNUMBER(O1040)),IF(M1040&lt;=O1040,"Valor ≤ venal IPTU",""),"")</f>
        <v/>
      </c>
      <c r="U1040" s="10">
        <f>IF(AND(ISNUMBER(M1040),ISNUMBER(N1040)),IF(N1040&gt;0,M1040/N1040,""),"")</f>
        <v/>
      </c>
      <c r="V1040" s="10">
        <f>IF(AND(ISNUMBER(M1040),ISNUMBER(O1040)),IF(O1040&gt;0,M1040/O1040,""),"")</f>
        <v/>
      </c>
      <c r="W1040" s="10">
        <f>IF(AND(ISNUMBER(M1040),ISNUMBER(R1040)),IF(R1040&gt;0,M1040/R1040,""),"")</f>
        <v/>
      </c>
      <c r="X1040" s="10">
        <f>IF(AND(ISNUMBER(Q1040),ISNUMBER(M1040)),IF(M1040&gt;0,Q1040/M1040,""),"")</f>
        <v/>
      </c>
      <c r="Y1040" s="11">
        <f>IF(ISNUMBER(Z1040),YEAR(Z1040),"")</f>
        <v/>
      </c>
      <c r="Z1040" s="12" t="n"/>
      <c r="AA1040" s="12" t="n"/>
      <c r="AI1040" s="12" t="n"/>
      <c r="AJ1040" s="13">
        <f>IF(LEN(TRIM(AF1040))=0,"",HYPERLINK("https://www.google.com/maps/@?api=1&amp;map_action=pano&amp;viewpoint="&amp;SUBSTITUTE(AF1040," ",""),"Abrir Street View"))</f>
        <v/>
      </c>
    </row>
    <row r="1041">
      <c r="H1041" s="6" t="n"/>
      <c r="I1041" s="6" t="n"/>
      <c r="M1041" s="7" t="n"/>
      <c r="N1041" s="7" t="n"/>
      <c r="O1041" s="7" t="n"/>
      <c r="Q1041" s="7" t="n"/>
      <c r="R1041" s="7" t="n"/>
      <c r="S1041" s="8">
        <f>IF(NOT(ISNUMBER(M1041)),"",IF(G1041="Terreno",IF(AND(ISNUMBER(I1041),I1041&gt;0),M1041/I1041,""),IF(AND(ISNUMBER(H1041),H1041&gt;0),M1041/H1041,"")))</f>
        <v/>
      </c>
      <c r="T1041" s="9">
        <f>IF(AND(ISNUMBER(M1041),ISNUMBER(O1041)),IF(M1041&lt;=O1041,"Valor ≤ venal IPTU",""),"")</f>
        <v/>
      </c>
      <c r="U1041" s="10">
        <f>IF(AND(ISNUMBER(M1041),ISNUMBER(N1041)),IF(N1041&gt;0,M1041/N1041,""),"")</f>
        <v/>
      </c>
      <c r="V1041" s="10">
        <f>IF(AND(ISNUMBER(M1041),ISNUMBER(O1041)),IF(O1041&gt;0,M1041/O1041,""),"")</f>
        <v/>
      </c>
      <c r="W1041" s="10">
        <f>IF(AND(ISNUMBER(M1041),ISNUMBER(R1041)),IF(R1041&gt;0,M1041/R1041,""),"")</f>
        <v/>
      </c>
      <c r="X1041" s="10">
        <f>IF(AND(ISNUMBER(Q1041),ISNUMBER(M1041)),IF(M1041&gt;0,Q1041/M1041,""),"")</f>
        <v/>
      </c>
      <c r="Y1041" s="11">
        <f>IF(ISNUMBER(Z1041),YEAR(Z1041),"")</f>
        <v/>
      </c>
      <c r="Z1041" s="12" t="n"/>
      <c r="AA1041" s="12" t="n"/>
      <c r="AI1041" s="12" t="n"/>
      <c r="AJ1041" s="13">
        <f>IF(LEN(TRIM(AF1041))=0,"",HYPERLINK("https://www.google.com/maps/@?api=1&amp;map_action=pano&amp;viewpoint="&amp;SUBSTITUTE(AF1041," ",""),"Abrir Street View"))</f>
        <v/>
      </c>
    </row>
    <row r="1042">
      <c r="H1042" s="6" t="n"/>
      <c r="I1042" s="6" t="n"/>
      <c r="M1042" s="7" t="n"/>
      <c r="N1042" s="7" t="n"/>
      <c r="O1042" s="7" t="n"/>
      <c r="Q1042" s="7" t="n"/>
      <c r="R1042" s="7" t="n"/>
      <c r="S1042" s="8">
        <f>IF(NOT(ISNUMBER(M1042)),"",IF(G1042="Terreno",IF(AND(ISNUMBER(I1042),I1042&gt;0),M1042/I1042,""),IF(AND(ISNUMBER(H1042),H1042&gt;0),M1042/H1042,"")))</f>
        <v/>
      </c>
      <c r="T1042" s="9">
        <f>IF(AND(ISNUMBER(M1042),ISNUMBER(O1042)),IF(M1042&lt;=O1042,"Valor ≤ venal IPTU",""),"")</f>
        <v/>
      </c>
      <c r="U1042" s="10">
        <f>IF(AND(ISNUMBER(M1042),ISNUMBER(N1042)),IF(N1042&gt;0,M1042/N1042,""),"")</f>
        <v/>
      </c>
      <c r="V1042" s="10">
        <f>IF(AND(ISNUMBER(M1042),ISNUMBER(O1042)),IF(O1042&gt;0,M1042/O1042,""),"")</f>
        <v/>
      </c>
      <c r="W1042" s="10">
        <f>IF(AND(ISNUMBER(M1042),ISNUMBER(R1042)),IF(R1042&gt;0,M1042/R1042,""),"")</f>
        <v/>
      </c>
      <c r="X1042" s="10">
        <f>IF(AND(ISNUMBER(Q1042),ISNUMBER(M1042)),IF(M1042&gt;0,Q1042/M1042,""),"")</f>
        <v/>
      </c>
      <c r="Y1042" s="11">
        <f>IF(ISNUMBER(Z1042),YEAR(Z1042),"")</f>
        <v/>
      </c>
      <c r="Z1042" s="12" t="n"/>
      <c r="AA1042" s="12" t="n"/>
      <c r="AI1042" s="12" t="n"/>
      <c r="AJ1042" s="13">
        <f>IF(LEN(TRIM(AF1042))=0,"",HYPERLINK("https://www.google.com/maps/@?api=1&amp;map_action=pano&amp;viewpoint="&amp;SUBSTITUTE(AF1042," ",""),"Abrir Street View"))</f>
        <v/>
      </c>
    </row>
    <row r="1043">
      <c r="H1043" s="6" t="n"/>
      <c r="I1043" s="6" t="n"/>
      <c r="M1043" s="7" t="n"/>
      <c r="N1043" s="7" t="n"/>
      <c r="O1043" s="7" t="n"/>
      <c r="Q1043" s="7" t="n"/>
      <c r="R1043" s="7" t="n"/>
      <c r="S1043" s="8">
        <f>IF(NOT(ISNUMBER(M1043)),"",IF(G1043="Terreno",IF(AND(ISNUMBER(I1043),I1043&gt;0),M1043/I1043,""),IF(AND(ISNUMBER(H1043),H1043&gt;0),M1043/H1043,"")))</f>
        <v/>
      </c>
      <c r="T1043" s="9">
        <f>IF(AND(ISNUMBER(M1043),ISNUMBER(O1043)),IF(M1043&lt;=O1043,"Valor ≤ venal IPTU",""),"")</f>
        <v/>
      </c>
      <c r="U1043" s="10">
        <f>IF(AND(ISNUMBER(M1043),ISNUMBER(N1043)),IF(N1043&gt;0,M1043/N1043,""),"")</f>
        <v/>
      </c>
      <c r="V1043" s="10">
        <f>IF(AND(ISNUMBER(M1043),ISNUMBER(O1043)),IF(O1043&gt;0,M1043/O1043,""),"")</f>
        <v/>
      </c>
      <c r="W1043" s="10">
        <f>IF(AND(ISNUMBER(M1043),ISNUMBER(R1043)),IF(R1043&gt;0,M1043/R1043,""),"")</f>
        <v/>
      </c>
      <c r="X1043" s="10">
        <f>IF(AND(ISNUMBER(Q1043),ISNUMBER(M1043)),IF(M1043&gt;0,Q1043/M1043,""),"")</f>
        <v/>
      </c>
      <c r="Y1043" s="11">
        <f>IF(ISNUMBER(Z1043),YEAR(Z1043),"")</f>
        <v/>
      </c>
      <c r="Z1043" s="12" t="n"/>
      <c r="AA1043" s="12" t="n"/>
      <c r="AI1043" s="12" t="n"/>
      <c r="AJ1043" s="13">
        <f>IF(LEN(TRIM(AF1043))=0,"",HYPERLINK("https://www.google.com/maps/@?api=1&amp;map_action=pano&amp;viewpoint="&amp;SUBSTITUTE(AF1043," ",""),"Abrir Street View"))</f>
        <v/>
      </c>
    </row>
    <row r="1044">
      <c r="H1044" s="6" t="n"/>
      <c r="I1044" s="6" t="n"/>
      <c r="M1044" s="7" t="n"/>
      <c r="N1044" s="7" t="n"/>
      <c r="O1044" s="7" t="n"/>
      <c r="Q1044" s="7" t="n"/>
      <c r="R1044" s="7" t="n"/>
      <c r="S1044" s="8">
        <f>IF(NOT(ISNUMBER(M1044)),"",IF(G1044="Terreno",IF(AND(ISNUMBER(I1044),I1044&gt;0),M1044/I1044,""),IF(AND(ISNUMBER(H1044),H1044&gt;0),M1044/H1044,"")))</f>
        <v/>
      </c>
      <c r="T1044" s="9">
        <f>IF(AND(ISNUMBER(M1044),ISNUMBER(O1044)),IF(M1044&lt;=O1044,"Valor ≤ venal IPTU",""),"")</f>
        <v/>
      </c>
      <c r="U1044" s="10">
        <f>IF(AND(ISNUMBER(M1044),ISNUMBER(N1044)),IF(N1044&gt;0,M1044/N1044,""),"")</f>
        <v/>
      </c>
      <c r="V1044" s="10">
        <f>IF(AND(ISNUMBER(M1044),ISNUMBER(O1044)),IF(O1044&gt;0,M1044/O1044,""),"")</f>
        <v/>
      </c>
      <c r="W1044" s="10">
        <f>IF(AND(ISNUMBER(M1044),ISNUMBER(R1044)),IF(R1044&gt;0,M1044/R1044,""),"")</f>
        <v/>
      </c>
      <c r="X1044" s="10">
        <f>IF(AND(ISNUMBER(Q1044),ISNUMBER(M1044)),IF(M1044&gt;0,Q1044/M1044,""),"")</f>
        <v/>
      </c>
      <c r="Y1044" s="11">
        <f>IF(ISNUMBER(Z1044),YEAR(Z1044),"")</f>
        <v/>
      </c>
      <c r="Z1044" s="12" t="n"/>
      <c r="AA1044" s="12" t="n"/>
      <c r="AI1044" s="12" t="n"/>
      <c r="AJ1044" s="13">
        <f>IF(LEN(TRIM(AF1044))=0,"",HYPERLINK("https://www.google.com/maps/@?api=1&amp;map_action=pano&amp;viewpoint="&amp;SUBSTITUTE(AF1044," ",""),"Abrir Street View"))</f>
        <v/>
      </c>
    </row>
    <row r="1045">
      <c r="H1045" s="6" t="n"/>
      <c r="I1045" s="6" t="n"/>
      <c r="M1045" s="7" t="n"/>
      <c r="N1045" s="7" t="n"/>
      <c r="O1045" s="7" t="n"/>
      <c r="Q1045" s="7" t="n"/>
      <c r="R1045" s="7" t="n"/>
      <c r="S1045" s="8">
        <f>IF(NOT(ISNUMBER(M1045)),"",IF(G1045="Terreno",IF(AND(ISNUMBER(I1045),I1045&gt;0),M1045/I1045,""),IF(AND(ISNUMBER(H1045),H1045&gt;0),M1045/H1045,"")))</f>
        <v/>
      </c>
      <c r="T1045" s="9">
        <f>IF(AND(ISNUMBER(M1045),ISNUMBER(O1045)),IF(M1045&lt;=O1045,"Valor ≤ venal IPTU",""),"")</f>
        <v/>
      </c>
      <c r="U1045" s="10">
        <f>IF(AND(ISNUMBER(M1045),ISNUMBER(N1045)),IF(N1045&gt;0,M1045/N1045,""),"")</f>
        <v/>
      </c>
      <c r="V1045" s="10">
        <f>IF(AND(ISNUMBER(M1045),ISNUMBER(O1045)),IF(O1045&gt;0,M1045/O1045,""),"")</f>
        <v/>
      </c>
      <c r="W1045" s="10">
        <f>IF(AND(ISNUMBER(M1045),ISNUMBER(R1045)),IF(R1045&gt;0,M1045/R1045,""),"")</f>
        <v/>
      </c>
      <c r="X1045" s="10">
        <f>IF(AND(ISNUMBER(Q1045),ISNUMBER(M1045)),IF(M1045&gt;0,Q1045/M1045,""),"")</f>
        <v/>
      </c>
      <c r="Y1045" s="11">
        <f>IF(ISNUMBER(Z1045),YEAR(Z1045),"")</f>
        <v/>
      </c>
      <c r="Z1045" s="12" t="n"/>
      <c r="AA1045" s="12" t="n"/>
      <c r="AI1045" s="12" t="n"/>
      <c r="AJ1045" s="13">
        <f>IF(LEN(TRIM(AF1045))=0,"",HYPERLINK("https://www.google.com/maps/@?api=1&amp;map_action=pano&amp;viewpoint="&amp;SUBSTITUTE(AF1045," ",""),"Abrir Street View"))</f>
        <v/>
      </c>
    </row>
    <row r="1046">
      <c r="H1046" s="6" t="n"/>
      <c r="I1046" s="6" t="n"/>
      <c r="M1046" s="7" t="n"/>
      <c r="N1046" s="7" t="n"/>
      <c r="O1046" s="7" t="n"/>
      <c r="Q1046" s="7" t="n"/>
      <c r="R1046" s="7" t="n"/>
      <c r="S1046" s="8">
        <f>IF(NOT(ISNUMBER(M1046)),"",IF(G1046="Terreno",IF(AND(ISNUMBER(I1046),I1046&gt;0),M1046/I1046,""),IF(AND(ISNUMBER(H1046),H1046&gt;0),M1046/H1046,"")))</f>
        <v/>
      </c>
      <c r="T1046" s="9">
        <f>IF(AND(ISNUMBER(M1046),ISNUMBER(O1046)),IF(M1046&lt;=O1046,"Valor ≤ venal IPTU",""),"")</f>
        <v/>
      </c>
      <c r="U1046" s="10">
        <f>IF(AND(ISNUMBER(M1046),ISNUMBER(N1046)),IF(N1046&gt;0,M1046/N1046,""),"")</f>
        <v/>
      </c>
      <c r="V1046" s="10">
        <f>IF(AND(ISNUMBER(M1046),ISNUMBER(O1046)),IF(O1046&gt;0,M1046/O1046,""),"")</f>
        <v/>
      </c>
      <c r="W1046" s="10">
        <f>IF(AND(ISNUMBER(M1046),ISNUMBER(R1046)),IF(R1046&gt;0,M1046/R1046,""),"")</f>
        <v/>
      </c>
      <c r="X1046" s="10">
        <f>IF(AND(ISNUMBER(Q1046),ISNUMBER(M1046)),IF(M1046&gt;0,Q1046/M1046,""),"")</f>
        <v/>
      </c>
      <c r="Y1046" s="11">
        <f>IF(ISNUMBER(Z1046),YEAR(Z1046),"")</f>
        <v/>
      </c>
      <c r="Z1046" s="12" t="n"/>
      <c r="AA1046" s="12" t="n"/>
      <c r="AI1046" s="12" t="n"/>
      <c r="AJ1046" s="13">
        <f>IF(LEN(TRIM(AF1046))=0,"",HYPERLINK("https://www.google.com/maps/@?api=1&amp;map_action=pano&amp;viewpoint="&amp;SUBSTITUTE(AF1046," ",""),"Abrir Street View"))</f>
        <v/>
      </c>
    </row>
    <row r="1047">
      <c r="H1047" s="6" t="n"/>
      <c r="I1047" s="6" t="n"/>
      <c r="M1047" s="7" t="n"/>
      <c r="N1047" s="7" t="n"/>
      <c r="O1047" s="7" t="n"/>
      <c r="Q1047" s="7" t="n"/>
      <c r="R1047" s="7" t="n"/>
      <c r="S1047" s="8">
        <f>IF(NOT(ISNUMBER(M1047)),"",IF(G1047="Terreno",IF(AND(ISNUMBER(I1047),I1047&gt;0),M1047/I1047,""),IF(AND(ISNUMBER(H1047),H1047&gt;0),M1047/H1047,"")))</f>
        <v/>
      </c>
      <c r="T1047" s="9">
        <f>IF(AND(ISNUMBER(M1047),ISNUMBER(O1047)),IF(M1047&lt;=O1047,"Valor ≤ venal IPTU",""),"")</f>
        <v/>
      </c>
      <c r="U1047" s="10">
        <f>IF(AND(ISNUMBER(M1047),ISNUMBER(N1047)),IF(N1047&gt;0,M1047/N1047,""),"")</f>
        <v/>
      </c>
      <c r="V1047" s="10">
        <f>IF(AND(ISNUMBER(M1047),ISNUMBER(O1047)),IF(O1047&gt;0,M1047/O1047,""),"")</f>
        <v/>
      </c>
      <c r="W1047" s="10">
        <f>IF(AND(ISNUMBER(M1047),ISNUMBER(R1047)),IF(R1047&gt;0,M1047/R1047,""),"")</f>
        <v/>
      </c>
      <c r="X1047" s="10">
        <f>IF(AND(ISNUMBER(Q1047),ISNUMBER(M1047)),IF(M1047&gt;0,Q1047/M1047,""),"")</f>
        <v/>
      </c>
      <c r="Y1047" s="11">
        <f>IF(ISNUMBER(Z1047),YEAR(Z1047),"")</f>
        <v/>
      </c>
      <c r="Z1047" s="12" t="n"/>
      <c r="AA1047" s="12" t="n"/>
      <c r="AI1047" s="12" t="n"/>
      <c r="AJ1047" s="13">
        <f>IF(LEN(TRIM(AF1047))=0,"",HYPERLINK("https://www.google.com/maps/@?api=1&amp;map_action=pano&amp;viewpoint="&amp;SUBSTITUTE(AF1047," ",""),"Abrir Street View"))</f>
        <v/>
      </c>
    </row>
    <row r="1048">
      <c r="H1048" s="6" t="n"/>
      <c r="I1048" s="6" t="n"/>
      <c r="M1048" s="7" t="n"/>
      <c r="N1048" s="7" t="n"/>
      <c r="O1048" s="7" t="n"/>
      <c r="Q1048" s="7" t="n"/>
      <c r="R1048" s="7" t="n"/>
      <c r="S1048" s="8">
        <f>IF(NOT(ISNUMBER(M1048)),"",IF(G1048="Terreno",IF(AND(ISNUMBER(I1048),I1048&gt;0),M1048/I1048,""),IF(AND(ISNUMBER(H1048),H1048&gt;0),M1048/H1048,"")))</f>
        <v/>
      </c>
      <c r="T1048" s="9">
        <f>IF(AND(ISNUMBER(M1048),ISNUMBER(O1048)),IF(M1048&lt;=O1048,"Valor ≤ venal IPTU",""),"")</f>
        <v/>
      </c>
      <c r="U1048" s="10">
        <f>IF(AND(ISNUMBER(M1048),ISNUMBER(N1048)),IF(N1048&gt;0,M1048/N1048,""),"")</f>
        <v/>
      </c>
      <c r="V1048" s="10">
        <f>IF(AND(ISNUMBER(M1048),ISNUMBER(O1048)),IF(O1048&gt;0,M1048/O1048,""),"")</f>
        <v/>
      </c>
      <c r="W1048" s="10">
        <f>IF(AND(ISNUMBER(M1048),ISNUMBER(R1048)),IF(R1048&gt;0,M1048/R1048,""),"")</f>
        <v/>
      </c>
      <c r="X1048" s="10">
        <f>IF(AND(ISNUMBER(Q1048),ISNUMBER(M1048)),IF(M1048&gt;0,Q1048/M1048,""),"")</f>
        <v/>
      </c>
      <c r="Y1048" s="11">
        <f>IF(ISNUMBER(Z1048),YEAR(Z1048),"")</f>
        <v/>
      </c>
      <c r="Z1048" s="12" t="n"/>
      <c r="AA1048" s="12" t="n"/>
      <c r="AI1048" s="12" t="n"/>
      <c r="AJ1048" s="13">
        <f>IF(LEN(TRIM(AF1048))=0,"",HYPERLINK("https://www.google.com/maps/@?api=1&amp;map_action=pano&amp;viewpoint="&amp;SUBSTITUTE(AF1048," ",""),"Abrir Street View"))</f>
        <v/>
      </c>
    </row>
    <row r="1049">
      <c r="H1049" s="6" t="n"/>
      <c r="I1049" s="6" t="n"/>
      <c r="M1049" s="7" t="n"/>
      <c r="N1049" s="7" t="n"/>
      <c r="O1049" s="7" t="n"/>
      <c r="Q1049" s="7" t="n"/>
      <c r="R1049" s="7" t="n"/>
      <c r="S1049" s="8">
        <f>IF(NOT(ISNUMBER(M1049)),"",IF(G1049="Terreno",IF(AND(ISNUMBER(I1049),I1049&gt;0),M1049/I1049,""),IF(AND(ISNUMBER(H1049),H1049&gt;0),M1049/H1049,"")))</f>
        <v/>
      </c>
      <c r="T1049" s="9">
        <f>IF(AND(ISNUMBER(M1049),ISNUMBER(O1049)),IF(M1049&lt;=O1049,"Valor ≤ venal IPTU",""),"")</f>
        <v/>
      </c>
      <c r="U1049" s="10">
        <f>IF(AND(ISNUMBER(M1049),ISNUMBER(N1049)),IF(N1049&gt;0,M1049/N1049,""),"")</f>
        <v/>
      </c>
      <c r="V1049" s="10">
        <f>IF(AND(ISNUMBER(M1049),ISNUMBER(O1049)),IF(O1049&gt;0,M1049/O1049,""),"")</f>
        <v/>
      </c>
      <c r="W1049" s="10">
        <f>IF(AND(ISNUMBER(M1049),ISNUMBER(R1049)),IF(R1049&gt;0,M1049/R1049,""),"")</f>
        <v/>
      </c>
      <c r="X1049" s="10">
        <f>IF(AND(ISNUMBER(Q1049),ISNUMBER(M1049)),IF(M1049&gt;0,Q1049/M1049,""),"")</f>
        <v/>
      </c>
      <c r="Y1049" s="11">
        <f>IF(ISNUMBER(Z1049),YEAR(Z1049),"")</f>
        <v/>
      </c>
      <c r="Z1049" s="12" t="n"/>
      <c r="AA1049" s="12" t="n"/>
      <c r="AI1049" s="12" t="n"/>
      <c r="AJ1049" s="13">
        <f>IF(LEN(TRIM(AF1049))=0,"",HYPERLINK("https://www.google.com/maps/@?api=1&amp;map_action=pano&amp;viewpoint="&amp;SUBSTITUTE(AF1049," ",""),"Abrir Street View"))</f>
        <v/>
      </c>
    </row>
    <row r="1050">
      <c r="H1050" s="6" t="n"/>
      <c r="I1050" s="6" t="n"/>
      <c r="M1050" s="7" t="n"/>
      <c r="N1050" s="7" t="n"/>
      <c r="O1050" s="7" t="n"/>
      <c r="Q1050" s="7" t="n"/>
      <c r="R1050" s="7" t="n"/>
      <c r="S1050" s="8">
        <f>IF(NOT(ISNUMBER(M1050)),"",IF(G1050="Terreno",IF(AND(ISNUMBER(I1050),I1050&gt;0),M1050/I1050,""),IF(AND(ISNUMBER(H1050),H1050&gt;0),M1050/H1050,"")))</f>
        <v/>
      </c>
      <c r="T1050" s="9">
        <f>IF(AND(ISNUMBER(M1050),ISNUMBER(O1050)),IF(M1050&lt;=O1050,"Valor ≤ venal IPTU",""),"")</f>
        <v/>
      </c>
      <c r="U1050" s="10">
        <f>IF(AND(ISNUMBER(M1050),ISNUMBER(N1050)),IF(N1050&gt;0,M1050/N1050,""),"")</f>
        <v/>
      </c>
      <c r="V1050" s="10">
        <f>IF(AND(ISNUMBER(M1050),ISNUMBER(O1050)),IF(O1050&gt;0,M1050/O1050,""),"")</f>
        <v/>
      </c>
      <c r="W1050" s="10">
        <f>IF(AND(ISNUMBER(M1050),ISNUMBER(R1050)),IF(R1050&gt;0,M1050/R1050,""),"")</f>
        <v/>
      </c>
      <c r="X1050" s="10">
        <f>IF(AND(ISNUMBER(Q1050),ISNUMBER(M1050)),IF(M1050&gt;0,Q1050/M1050,""),"")</f>
        <v/>
      </c>
      <c r="Y1050" s="11">
        <f>IF(ISNUMBER(Z1050),YEAR(Z1050),"")</f>
        <v/>
      </c>
      <c r="Z1050" s="12" t="n"/>
      <c r="AA1050" s="12" t="n"/>
      <c r="AI1050" s="12" t="n"/>
      <c r="AJ1050" s="13">
        <f>IF(LEN(TRIM(AF1050))=0,"",HYPERLINK("https://www.google.com/maps/@?api=1&amp;map_action=pano&amp;viewpoint="&amp;SUBSTITUTE(AF1050," ",""),"Abrir Street View"))</f>
        <v/>
      </c>
    </row>
    <row r="1051">
      <c r="H1051" s="6" t="n"/>
      <c r="I1051" s="6" t="n"/>
      <c r="M1051" s="7" t="n"/>
      <c r="N1051" s="7" t="n"/>
      <c r="O1051" s="7" t="n"/>
      <c r="Q1051" s="7" t="n"/>
      <c r="R1051" s="7" t="n"/>
      <c r="S1051" s="8">
        <f>IF(NOT(ISNUMBER(M1051)),"",IF(G1051="Terreno",IF(AND(ISNUMBER(I1051),I1051&gt;0),M1051/I1051,""),IF(AND(ISNUMBER(H1051),H1051&gt;0),M1051/H1051,"")))</f>
        <v/>
      </c>
      <c r="T1051" s="9">
        <f>IF(AND(ISNUMBER(M1051),ISNUMBER(O1051)),IF(M1051&lt;=O1051,"Valor ≤ venal IPTU",""),"")</f>
        <v/>
      </c>
      <c r="U1051" s="10">
        <f>IF(AND(ISNUMBER(M1051),ISNUMBER(N1051)),IF(N1051&gt;0,M1051/N1051,""),"")</f>
        <v/>
      </c>
      <c r="V1051" s="10">
        <f>IF(AND(ISNUMBER(M1051),ISNUMBER(O1051)),IF(O1051&gt;0,M1051/O1051,""),"")</f>
        <v/>
      </c>
      <c r="W1051" s="10">
        <f>IF(AND(ISNUMBER(M1051),ISNUMBER(R1051)),IF(R1051&gt;0,M1051/R1051,""),"")</f>
        <v/>
      </c>
      <c r="X1051" s="10">
        <f>IF(AND(ISNUMBER(Q1051),ISNUMBER(M1051)),IF(M1051&gt;0,Q1051/M1051,""),"")</f>
        <v/>
      </c>
      <c r="Y1051" s="11">
        <f>IF(ISNUMBER(Z1051),YEAR(Z1051),"")</f>
        <v/>
      </c>
      <c r="Z1051" s="12" t="n"/>
      <c r="AA1051" s="12" t="n"/>
      <c r="AI1051" s="12" t="n"/>
      <c r="AJ1051" s="13">
        <f>IF(LEN(TRIM(AF1051))=0,"",HYPERLINK("https://www.google.com/maps/@?api=1&amp;map_action=pano&amp;viewpoint="&amp;SUBSTITUTE(AF1051," ",""),"Abrir Street View"))</f>
        <v/>
      </c>
    </row>
    <row r="1052">
      <c r="H1052" s="6" t="n"/>
      <c r="I1052" s="6" t="n"/>
      <c r="M1052" s="7" t="n"/>
      <c r="N1052" s="7" t="n"/>
      <c r="O1052" s="7" t="n"/>
      <c r="Q1052" s="7" t="n"/>
      <c r="R1052" s="7" t="n"/>
      <c r="S1052" s="8">
        <f>IF(NOT(ISNUMBER(M1052)),"",IF(G1052="Terreno",IF(AND(ISNUMBER(I1052),I1052&gt;0),M1052/I1052,""),IF(AND(ISNUMBER(H1052),H1052&gt;0),M1052/H1052,"")))</f>
        <v/>
      </c>
      <c r="T1052" s="9">
        <f>IF(AND(ISNUMBER(M1052),ISNUMBER(O1052)),IF(M1052&lt;=O1052,"Valor ≤ venal IPTU",""),"")</f>
        <v/>
      </c>
      <c r="U1052" s="10">
        <f>IF(AND(ISNUMBER(M1052),ISNUMBER(N1052)),IF(N1052&gt;0,M1052/N1052,""),"")</f>
        <v/>
      </c>
      <c r="V1052" s="10">
        <f>IF(AND(ISNUMBER(M1052),ISNUMBER(O1052)),IF(O1052&gt;0,M1052/O1052,""),"")</f>
        <v/>
      </c>
      <c r="W1052" s="10">
        <f>IF(AND(ISNUMBER(M1052),ISNUMBER(R1052)),IF(R1052&gt;0,M1052/R1052,""),"")</f>
        <v/>
      </c>
      <c r="X1052" s="10">
        <f>IF(AND(ISNUMBER(Q1052),ISNUMBER(M1052)),IF(M1052&gt;0,Q1052/M1052,""),"")</f>
        <v/>
      </c>
      <c r="Y1052" s="11">
        <f>IF(ISNUMBER(Z1052),YEAR(Z1052),"")</f>
        <v/>
      </c>
      <c r="Z1052" s="12" t="n"/>
      <c r="AA1052" s="12" t="n"/>
      <c r="AI1052" s="12" t="n"/>
      <c r="AJ1052" s="13">
        <f>IF(LEN(TRIM(AF1052))=0,"",HYPERLINK("https://www.google.com/maps/@?api=1&amp;map_action=pano&amp;viewpoint="&amp;SUBSTITUTE(AF1052," ",""),"Abrir Street View"))</f>
        <v/>
      </c>
    </row>
    <row r="1053">
      <c r="H1053" s="6" t="n"/>
      <c r="I1053" s="6" t="n"/>
      <c r="M1053" s="7" t="n"/>
      <c r="N1053" s="7" t="n"/>
      <c r="O1053" s="7" t="n"/>
      <c r="Q1053" s="7" t="n"/>
      <c r="R1053" s="7" t="n"/>
      <c r="S1053" s="8">
        <f>IF(NOT(ISNUMBER(M1053)),"",IF(G1053="Terreno",IF(AND(ISNUMBER(I1053),I1053&gt;0),M1053/I1053,""),IF(AND(ISNUMBER(H1053),H1053&gt;0),M1053/H1053,"")))</f>
        <v/>
      </c>
      <c r="T1053" s="9">
        <f>IF(AND(ISNUMBER(M1053),ISNUMBER(O1053)),IF(M1053&lt;=O1053,"Valor ≤ venal IPTU",""),"")</f>
        <v/>
      </c>
      <c r="U1053" s="10">
        <f>IF(AND(ISNUMBER(M1053),ISNUMBER(N1053)),IF(N1053&gt;0,M1053/N1053,""),"")</f>
        <v/>
      </c>
      <c r="V1053" s="10">
        <f>IF(AND(ISNUMBER(M1053),ISNUMBER(O1053)),IF(O1053&gt;0,M1053/O1053,""),"")</f>
        <v/>
      </c>
      <c r="W1053" s="10">
        <f>IF(AND(ISNUMBER(M1053),ISNUMBER(R1053)),IF(R1053&gt;0,M1053/R1053,""),"")</f>
        <v/>
      </c>
      <c r="X1053" s="10">
        <f>IF(AND(ISNUMBER(Q1053),ISNUMBER(M1053)),IF(M1053&gt;0,Q1053/M1053,""),"")</f>
        <v/>
      </c>
      <c r="Y1053" s="11">
        <f>IF(ISNUMBER(Z1053),YEAR(Z1053),"")</f>
        <v/>
      </c>
      <c r="Z1053" s="12" t="n"/>
      <c r="AA1053" s="12" t="n"/>
      <c r="AI1053" s="12" t="n"/>
      <c r="AJ1053" s="13">
        <f>IF(LEN(TRIM(AF1053))=0,"",HYPERLINK("https://www.google.com/maps/@?api=1&amp;map_action=pano&amp;viewpoint="&amp;SUBSTITUTE(AF1053," ",""),"Abrir Street View"))</f>
        <v/>
      </c>
    </row>
    <row r="1054">
      <c r="H1054" s="6" t="n"/>
      <c r="I1054" s="6" t="n"/>
      <c r="M1054" s="7" t="n"/>
      <c r="N1054" s="7" t="n"/>
      <c r="O1054" s="7" t="n"/>
      <c r="Q1054" s="7" t="n"/>
      <c r="R1054" s="7" t="n"/>
      <c r="S1054" s="8">
        <f>IF(NOT(ISNUMBER(M1054)),"",IF(G1054="Terreno",IF(AND(ISNUMBER(I1054),I1054&gt;0),M1054/I1054,""),IF(AND(ISNUMBER(H1054),H1054&gt;0),M1054/H1054,"")))</f>
        <v/>
      </c>
      <c r="T1054" s="9">
        <f>IF(AND(ISNUMBER(M1054),ISNUMBER(O1054)),IF(M1054&lt;=O1054,"Valor ≤ venal IPTU",""),"")</f>
        <v/>
      </c>
      <c r="U1054" s="10">
        <f>IF(AND(ISNUMBER(M1054),ISNUMBER(N1054)),IF(N1054&gt;0,M1054/N1054,""),"")</f>
        <v/>
      </c>
      <c r="V1054" s="10">
        <f>IF(AND(ISNUMBER(M1054),ISNUMBER(O1054)),IF(O1054&gt;0,M1054/O1054,""),"")</f>
        <v/>
      </c>
      <c r="W1054" s="10">
        <f>IF(AND(ISNUMBER(M1054),ISNUMBER(R1054)),IF(R1054&gt;0,M1054/R1054,""),"")</f>
        <v/>
      </c>
      <c r="X1054" s="10">
        <f>IF(AND(ISNUMBER(Q1054),ISNUMBER(M1054)),IF(M1054&gt;0,Q1054/M1054,""),"")</f>
        <v/>
      </c>
      <c r="Y1054" s="11">
        <f>IF(ISNUMBER(Z1054),YEAR(Z1054),"")</f>
        <v/>
      </c>
      <c r="Z1054" s="12" t="n"/>
      <c r="AA1054" s="12" t="n"/>
      <c r="AI1054" s="12" t="n"/>
      <c r="AJ1054" s="13">
        <f>IF(LEN(TRIM(AF1054))=0,"",HYPERLINK("https://www.google.com/maps/@?api=1&amp;map_action=pano&amp;viewpoint="&amp;SUBSTITUTE(AF1054," ",""),"Abrir Street View"))</f>
        <v/>
      </c>
    </row>
    <row r="1055">
      <c r="H1055" s="6" t="n"/>
      <c r="I1055" s="6" t="n"/>
      <c r="M1055" s="7" t="n"/>
      <c r="N1055" s="7" t="n"/>
      <c r="O1055" s="7" t="n"/>
      <c r="Q1055" s="7" t="n"/>
      <c r="R1055" s="7" t="n"/>
      <c r="S1055" s="8">
        <f>IF(NOT(ISNUMBER(M1055)),"",IF(G1055="Terreno",IF(AND(ISNUMBER(I1055),I1055&gt;0),M1055/I1055,""),IF(AND(ISNUMBER(H1055),H1055&gt;0),M1055/H1055,"")))</f>
        <v/>
      </c>
      <c r="T1055" s="9">
        <f>IF(AND(ISNUMBER(M1055),ISNUMBER(O1055)),IF(M1055&lt;=O1055,"Valor ≤ venal IPTU",""),"")</f>
        <v/>
      </c>
      <c r="U1055" s="10">
        <f>IF(AND(ISNUMBER(M1055),ISNUMBER(N1055)),IF(N1055&gt;0,M1055/N1055,""),"")</f>
        <v/>
      </c>
      <c r="V1055" s="10">
        <f>IF(AND(ISNUMBER(M1055),ISNUMBER(O1055)),IF(O1055&gt;0,M1055/O1055,""),"")</f>
        <v/>
      </c>
      <c r="W1055" s="10">
        <f>IF(AND(ISNUMBER(M1055),ISNUMBER(R1055)),IF(R1055&gt;0,M1055/R1055,""),"")</f>
        <v/>
      </c>
      <c r="X1055" s="10">
        <f>IF(AND(ISNUMBER(Q1055),ISNUMBER(M1055)),IF(M1055&gt;0,Q1055/M1055,""),"")</f>
        <v/>
      </c>
      <c r="Y1055" s="11">
        <f>IF(ISNUMBER(Z1055),YEAR(Z1055),"")</f>
        <v/>
      </c>
      <c r="Z1055" s="12" t="n"/>
      <c r="AA1055" s="12" t="n"/>
      <c r="AI1055" s="12" t="n"/>
      <c r="AJ1055" s="13">
        <f>IF(LEN(TRIM(AF1055))=0,"",HYPERLINK("https://www.google.com/maps/@?api=1&amp;map_action=pano&amp;viewpoint="&amp;SUBSTITUTE(AF1055," ",""),"Abrir Street View"))</f>
        <v/>
      </c>
    </row>
    <row r="1056">
      <c r="H1056" s="6" t="n"/>
      <c r="I1056" s="6" t="n"/>
      <c r="M1056" s="7" t="n"/>
      <c r="N1056" s="7" t="n"/>
      <c r="O1056" s="7" t="n"/>
      <c r="Q1056" s="7" t="n"/>
      <c r="R1056" s="7" t="n"/>
      <c r="S1056" s="8">
        <f>IF(NOT(ISNUMBER(M1056)),"",IF(G1056="Terreno",IF(AND(ISNUMBER(I1056),I1056&gt;0),M1056/I1056,""),IF(AND(ISNUMBER(H1056),H1056&gt;0),M1056/H1056,"")))</f>
        <v/>
      </c>
      <c r="T1056" s="9">
        <f>IF(AND(ISNUMBER(M1056),ISNUMBER(O1056)),IF(M1056&lt;=O1056,"Valor ≤ venal IPTU",""),"")</f>
        <v/>
      </c>
      <c r="U1056" s="10">
        <f>IF(AND(ISNUMBER(M1056),ISNUMBER(N1056)),IF(N1056&gt;0,M1056/N1056,""),"")</f>
        <v/>
      </c>
      <c r="V1056" s="10">
        <f>IF(AND(ISNUMBER(M1056),ISNUMBER(O1056)),IF(O1056&gt;0,M1056/O1056,""),"")</f>
        <v/>
      </c>
      <c r="W1056" s="10">
        <f>IF(AND(ISNUMBER(M1056),ISNUMBER(R1056)),IF(R1056&gt;0,M1056/R1056,""),"")</f>
        <v/>
      </c>
      <c r="X1056" s="10">
        <f>IF(AND(ISNUMBER(Q1056),ISNUMBER(M1056)),IF(M1056&gt;0,Q1056/M1056,""),"")</f>
        <v/>
      </c>
      <c r="Y1056" s="11">
        <f>IF(ISNUMBER(Z1056),YEAR(Z1056),"")</f>
        <v/>
      </c>
      <c r="Z1056" s="12" t="n"/>
      <c r="AA1056" s="12" t="n"/>
      <c r="AI1056" s="12" t="n"/>
      <c r="AJ1056" s="13">
        <f>IF(LEN(TRIM(AF1056))=0,"",HYPERLINK("https://www.google.com/maps/@?api=1&amp;map_action=pano&amp;viewpoint="&amp;SUBSTITUTE(AF1056," ",""),"Abrir Street View"))</f>
        <v/>
      </c>
    </row>
    <row r="1057">
      <c r="H1057" s="6" t="n"/>
      <c r="I1057" s="6" t="n"/>
      <c r="M1057" s="7" t="n"/>
      <c r="N1057" s="7" t="n"/>
      <c r="O1057" s="7" t="n"/>
      <c r="Q1057" s="7" t="n"/>
      <c r="R1057" s="7" t="n"/>
      <c r="S1057" s="8">
        <f>IF(NOT(ISNUMBER(M1057)),"",IF(G1057="Terreno",IF(AND(ISNUMBER(I1057),I1057&gt;0),M1057/I1057,""),IF(AND(ISNUMBER(H1057),H1057&gt;0),M1057/H1057,"")))</f>
        <v/>
      </c>
      <c r="T1057" s="9">
        <f>IF(AND(ISNUMBER(M1057),ISNUMBER(O1057)),IF(M1057&lt;=O1057,"Valor ≤ venal IPTU",""),"")</f>
        <v/>
      </c>
      <c r="U1057" s="10">
        <f>IF(AND(ISNUMBER(M1057),ISNUMBER(N1057)),IF(N1057&gt;0,M1057/N1057,""),"")</f>
        <v/>
      </c>
      <c r="V1057" s="10">
        <f>IF(AND(ISNUMBER(M1057),ISNUMBER(O1057)),IF(O1057&gt;0,M1057/O1057,""),"")</f>
        <v/>
      </c>
      <c r="W1057" s="10">
        <f>IF(AND(ISNUMBER(M1057),ISNUMBER(R1057)),IF(R1057&gt;0,M1057/R1057,""),"")</f>
        <v/>
      </c>
      <c r="X1057" s="10">
        <f>IF(AND(ISNUMBER(Q1057),ISNUMBER(M1057)),IF(M1057&gt;0,Q1057/M1057,""),"")</f>
        <v/>
      </c>
      <c r="Y1057" s="11">
        <f>IF(ISNUMBER(Z1057),YEAR(Z1057),"")</f>
        <v/>
      </c>
      <c r="Z1057" s="12" t="n"/>
      <c r="AA1057" s="12" t="n"/>
      <c r="AI1057" s="12" t="n"/>
      <c r="AJ1057" s="13">
        <f>IF(LEN(TRIM(AF1057))=0,"",HYPERLINK("https://www.google.com/maps/@?api=1&amp;map_action=pano&amp;viewpoint="&amp;SUBSTITUTE(AF1057," ",""),"Abrir Street View"))</f>
        <v/>
      </c>
    </row>
    <row r="1058">
      <c r="H1058" s="6" t="n"/>
      <c r="I1058" s="6" t="n"/>
      <c r="M1058" s="7" t="n"/>
      <c r="N1058" s="7" t="n"/>
      <c r="O1058" s="7" t="n"/>
      <c r="Q1058" s="7" t="n"/>
      <c r="R1058" s="7" t="n"/>
      <c r="S1058" s="8">
        <f>IF(NOT(ISNUMBER(M1058)),"",IF(G1058="Terreno",IF(AND(ISNUMBER(I1058),I1058&gt;0),M1058/I1058,""),IF(AND(ISNUMBER(H1058),H1058&gt;0),M1058/H1058,"")))</f>
        <v/>
      </c>
      <c r="T1058" s="9">
        <f>IF(AND(ISNUMBER(M1058),ISNUMBER(O1058)),IF(M1058&lt;=O1058,"Valor ≤ venal IPTU",""),"")</f>
        <v/>
      </c>
      <c r="U1058" s="10">
        <f>IF(AND(ISNUMBER(M1058),ISNUMBER(N1058)),IF(N1058&gt;0,M1058/N1058,""),"")</f>
        <v/>
      </c>
      <c r="V1058" s="10">
        <f>IF(AND(ISNUMBER(M1058),ISNUMBER(O1058)),IF(O1058&gt;0,M1058/O1058,""),"")</f>
        <v/>
      </c>
      <c r="W1058" s="10">
        <f>IF(AND(ISNUMBER(M1058),ISNUMBER(R1058)),IF(R1058&gt;0,M1058/R1058,""),"")</f>
        <v/>
      </c>
      <c r="X1058" s="10">
        <f>IF(AND(ISNUMBER(Q1058),ISNUMBER(M1058)),IF(M1058&gt;0,Q1058/M1058,""),"")</f>
        <v/>
      </c>
      <c r="Y1058" s="11">
        <f>IF(ISNUMBER(Z1058),YEAR(Z1058),"")</f>
        <v/>
      </c>
      <c r="Z1058" s="12" t="n"/>
      <c r="AA1058" s="12" t="n"/>
      <c r="AI1058" s="12" t="n"/>
      <c r="AJ1058" s="13">
        <f>IF(LEN(TRIM(AF1058))=0,"",HYPERLINK("https://www.google.com/maps/@?api=1&amp;map_action=pano&amp;viewpoint="&amp;SUBSTITUTE(AF1058," ",""),"Abrir Street View"))</f>
        <v/>
      </c>
    </row>
    <row r="1059">
      <c r="H1059" s="6" t="n"/>
      <c r="I1059" s="6" t="n"/>
      <c r="M1059" s="7" t="n"/>
      <c r="N1059" s="7" t="n"/>
      <c r="O1059" s="7" t="n"/>
      <c r="Q1059" s="7" t="n"/>
      <c r="R1059" s="7" t="n"/>
      <c r="S1059" s="8">
        <f>IF(NOT(ISNUMBER(M1059)),"",IF(G1059="Terreno",IF(AND(ISNUMBER(I1059),I1059&gt;0),M1059/I1059,""),IF(AND(ISNUMBER(H1059),H1059&gt;0),M1059/H1059,"")))</f>
        <v/>
      </c>
      <c r="T1059" s="9">
        <f>IF(AND(ISNUMBER(M1059),ISNUMBER(O1059)),IF(M1059&lt;=O1059,"Valor ≤ venal IPTU",""),"")</f>
        <v/>
      </c>
      <c r="U1059" s="10">
        <f>IF(AND(ISNUMBER(M1059),ISNUMBER(N1059)),IF(N1059&gt;0,M1059/N1059,""),"")</f>
        <v/>
      </c>
      <c r="V1059" s="10">
        <f>IF(AND(ISNUMBER(M1059),ISNUMBER(O1059)),IF(O1059&gt;0,M1059/O1059,""),"")</f>
        <v/>
      </c>
      <c r="W1059" s="10">
        <f>IF(AND(ISNUMBER(M1059),ISNUMBER(R1059)),IF(R1059&gt;0,M1059/R1059,""),"")</f>
        <v/>
      </c>
      <c r="X1059" s="10">
        <f>IF(AND(ISNUMBER(Q1059),ISNUMBER(M1059)),IF(M1059&gt;0,Q1059/M1059,""),"")</f>
        <v/>
      </c>
      <c r="Y1059" s="11">
        <f>IF(ISNUMBER(Z1059),YEAR(Z1059),"")</f>
        <v/>
      </c>
      <c r="Z1059" s="12" t="n"/>
      <c r="AA1059" s="12" t="n"/>
      <c r="AI1059" s="12" t="n"/>
      <c r="AJ1059" s="13">
        <f>IF(LEN(TRIM(AF1059))=0,"",HYPERLINK("https://www.google.com/maps/@?api=1&amp;map_action=pano&amp;viewpoint="&amp;SUBSTITUTE(AF1059," ",""),"Abrir Street View"))</f>
        <v/>
      </c>
    </row>
    <row r="1060">
      <c r="H1060" s="6" t="n"/>
      <c r="I1060" s="6" t="n"/>
      <c r="M1060" s="7" t="n"/>
      <c r="N1060" s="7" t="n"/>
      <c r="O1060" s="7" t="n"/>
      <c r="Q1060" s="7" t="n"/>
      <c r="R1060" s="7" t="n"/>
      <c r="S1060" s="8">
        <f>IF(NOT(ISNUMBER(M1060)),"",IF(G1060="Terreno",IF(AND(ISNUMBER(I1060),I1060&gt;0),M1060/I1060,""),IF(AND(ISNUMBER(H1060),H1060&gt;0),M1060/H1060,"")))</f>
        <v/>
      </c>
      <c r="T1060" s="9">
        <f>IF(AND(ISNUMBER(M1060),ISNUMBER(O1060)),IF(M1060&lt;=O1060,"Valor ≤ venal IPTU",""),"")</f>
        <v/>
      </c>
      <c r="U1060" s="10">
        <f>IF(AND(ISNUMBER(M1060),ISNUMBER(N1060)),IF(N1060&gt;0,M1060/N1060,""),"")</f>
        <v/>
      </c>
      <c r="V1060" s="10">
        <f>IF(AND(ISNUMBER(M1060),ISNUMBER(O1060)),IF(O1060&gt;0,M1060/O1060,""),"")</f>
        <v/>
      </c>
      <c r="W1060" s="10">
        <f>IF(AND(ISNUMBER(M1060),ISNUMBER(R1060)),IF(R1060&gt;0,M1060/R1060,""),"")</f>
        <v/>
      </c>
      <c r="X1060" s="10">
        <f>IF(AND(ISNUMBER(Q1060),ISNUMBER(M1060)),IF(M1060&gt;0,Q1060/M1060,""),"")</f>
        <v/>
      </c>
      <c r="Y1060" s="11">
        <f>IF(ISNUMBER(Z1060),YEAR(Z1060),"")</f>
        <v/>
      </c>
      <c r="Z1060" s="12" t="n"/>
      <c r="AA1060" s="12" t="n"/>
      <c r="AI1060" s="12" t="n"/>
      <c r="AJ1060" s="13">
        <f>IF(LEN(TRIM(AF1060))=0,"",HYPERLINK("https://www.google.com/maps/@?api=1&amp;map_action=pano&amp;viewpoint="&amp;SUBSTITUTE(AF1060," ",""),"Abrir Street View"))</f>
        <v/>
      </c>
    </row>
    <row r="1061">
      <c r="H1061" s="6" t="n"/>
      <c r="I1061" s="6" t="n"/>
      <c r="M1061" s="7" t="n"/>
      <c r="N1061" s="7" t="n"/>
      <c r="O1061" s="7" t="n"/>
      <c r="Q1061" s="7" t="n"/>
      <c r="R1061" s="7" t="n"/>
      <c r="S1061" s="8">
        <f>IF(NOT(ISNUMBER(M1061)),"",IF(G1061="Terreno",IF(AND(ISNUMBER(I1061),I1061&gt;0),M1061/I1061,""),IF(AND(ISNUMBER(H1061),H1061&gt;0),M1061/H1061,"")))</f>
        <v/>
      </c>
      <c r="T1061" s="9">
        <f>IF(AND(ISNUMBER(M1061),ISNUMBER(O1061)),IF(M1061&lt;=O1061,"Valor ≤ venal IPTU",""),"")</f>
        <v/>
      </c>
      <c r="U1061" s="10">
        <f>IF(AND(ISNUMBER(M1061),ISNUMBER(N1061)),IF(N1061&gt;0,M1061/N1061,""),"")</f>
        <v/>
      </c>
      <c r="V1061" s="10">
        <f>IF(AND(ISNUMBER(M1061),ISNUMBER(O1061)),IF(O1061&gt;0,M1061/O1061,""),"")</f>
        <v/>
      </c>
      <c r="W1061" s="10">
        <f>IF(AND(ISNUMBER(M1061),ISNUMBER(R1061)),IF(R1061&gt;0,M1061/R1061,""),"")</f>
        <v/>
      </c>
      <c r="X1061" s="10">
        <f>IF(AND(ISNUMBER(Q1061),ISNUMBER(M1061)),IF(M1061&gt;0,Q1061/M1061,""),"")</f>
        <v/>
      </c>
      <c r="Y1061" s="11">
        <f>IF(ISNUMBER(Z1061),YEAR(Z1061),"")</f>
        <v/>
      </c>
      <c r="Z1061" s="12" t="n"/>
      <c r="AA1061" s="12" t="n"/>
      <c r="AI1061" s="12" t="n"/>
      <c r="AJ1061" s="13">
        <f>IF(LEN(TRIM(AF1061))=0,"",HYPERLINK("https://www.google.com/maps/@?api=1&amp;map_action=pano&amp;viewpoint="&amp;SUBSTITUTE(AF1061," ",""),"Abrir Street View"))</f>
        <v/>
      </c>
    </row>
    <row r="1062">
      <c r="H1062" s="6" t="n"/>
      <c r="I1062" s="6" t="n"/>
      <c r="M1062" s="7" t="n"/>
      <c r="N1062" s="7" t="n"/>
      <c r="O1062" s="7" t="n"/>
      <c r="Q1062" s="7" t="n"/>
      <c r="R1062" s="7" t="n"/>
      <c r="S1062" s="8">
        <f>IF(NOT(ISNUMBER(M1062)),"",IF(G1062="Terreno",IF(AND(ISNUMBER(I1062),I1062&gt;0),M1062/I1062,""),IF(AND(ISNUMBER(H1062),H1062&gt;0),M1062/H1062,"")))</f>
        <v/>
      </c>
      <c r="T1062" s="9">
        <f>IF(AND(ISNUMBER(M1062),ISNUMBER(O1062)),IF(M1062&lt;=O1062,"Valor ≤ venal IPTU",""),"")</f>
        <v/>
      </c>
      <c r="U1062" s="10">
        <f>IF(AND(ISNUMBER(M1062),ISNUMBER(N1062)),IF(N1062&gt;0,M1062/N1062,""),"")</f>
        <v/>
      </c>
      <c r="V1062" s="10">
        <f>IF(AND(ISNUMBER(M1062),ISNUMBER(O1062)),IF(O1062&gt;0,M1062/O1062,""),"")</f>
        <v/>
      </c>
      <c r="W1062" s="10">
        <f>IF(AND(ISNUMBER(M1062),ISNUMBER(R1062)),IF(R1062&gt;0,M1062/R1062,""),"")</f>
        <v/>
      </c>
      <c r="X1062" s="10">
        <f>IF(AND(ISNUMBER(Q1062),ISNUMBER(M1062)),IF(M1062&gt;0,Q1062/M1062,""),"")</f>
        <v/>
      </c>
      <c r="Y1062" s="11">
        <f>IF(ISNUMBER(Z1062),YEAR(Z1062),"")</f>
        <v/>
      </c>
      <c r="Z1062" s="12" t="n"/>
      <c r="AA1062" s="12" t="n"/>
      <c r="AI1062" s="12" t="n"/>
      <c r="AJ1062" s="13">
        <f>IF(LEN(TRIM(AF1062))=0,"",HYPERLINK("https://www.google.com/maps/@?api=1&amp;map_action=pano&amp;viewpoint="&amp;SUBSTITUTE(AF1062," ",""),"Abrir Street View"))</f>
        <v/>
      </c>
    </row>
    <row r="1063">
      <c r="H1063" s="6" t="n"/>
      <c r="I1063" s="6" t="n"/>
      <c r="M1063" s="7" t="n"/>
      <c r="N1063" s="7" t="n"/>
      <c r="O1063" s="7" t="n"/>
      <c r="Q1063" s="7" t="n"/>
      <c r="R1063" s="7" t="n"/>
      <c r="S1063" s="8">
        <f>IF(NOT(ISNUMBER(M1063)),"",IF(G1063="Terreno",IF(AND(ISNUMBER(I1063),I1063&gt;0),M1063/I1063,""),IF(AND(ISNUMBER(H1063),H1063&gt;0),M1063/H1063,"")))</f>
        <v/>
      </c>
      <c r="T1063" s="9">
        <f>IF(AND(ISNUMBER(M1063),ISNUMBER(O1063)),IF(M1063&lt;=O1063,"Valor ≤ venal IPTU",""),"")</f>
        <v/>
      </c>
      <c r="U1063" s="10">
        <f>IF(AND(ISNUMBER(M1063),ISNUMBER(N1063)),IF(N1063&gt;0,M1063/N1063,""),"")</f>
        <v/>
      </c>
      <c r="V1063" s="10">
        <f>IF(AND(ISNUMBER(M1063),ISNUMBER(O1063)),IF(O1063&gt;0,M1063/O1063,""),"")</f>
        <v/>
      </c>
      <c r="W1063" s="10">
        <f>IF(AND(ISNUMBER(M1063),ISNUMBER(R1063)),IF(R1063&gt;0,M1063/R1063,""),"")</f>
        <v/>
      </c>
      <c r="X1063" s="10">
        <f>IF(AND(ISNUMBER(Q1063),ISNUMBER(M1063)),IF(M1063&gt;0,Q1063/M1063,""),"")</f>
        <v/>
      </c>
      <c r="Y1063" s="11">
        <f>IF(ISNUMBER(Z1063),YEAR(Z1063),"")</f>
        <v/>
      </c>
      <c r="Z1063" s="12" t="n"/>
      <c r="AA1063" s="12" t="n"/>
      <c r="AI1063" s="12" t="n"/>
      <c r="AJ1063" s="13">
        <f>IF(LEN(TRIM(AF1063))=0,"",HYPERLINK("https://www.google.com/maps/@?api=1&amp;map_action=pano&amp;viewpoint="&amp;SUBSTITUTE(AF1063," ",""),"Abrir Street View"))</f>
        <v/>
      </c>
    </row>
    <row r="1064">
      <c r="H1064" s="6" t="n"/>
      <c r="I1064" s="6" t="n"/>
      <c r="M1064" s="7" t="n"/>
      <c r="N1064" s="7" t="n"/>
      <c r="O1064" s="7" t="n"/>
      <c r="Q1064" s="7" t="n"/>
      <c r="R1064" s="7" t="n"/>
      <c r="S1064" s="8">
        <f>IF(NOT(ISNUMBER(M1064)),"",IF(G1064="Terreno",IF(AND(ISNUMBER(I1064),I1064&gt;0),M1064/I1064,""),IF(AND(ISNUMBER(H1064),H1064&gt;0),M1064/H1064,"")))</f>
        <v/>
      </c>
      <c r="T1064" s="9">
        <f>IF(AND(ISNUMBER(M1064),ISNUMBER(O1064)),IF(M1064&lt;=O1064,"Valor ≤ venal IPTU",""),"")</f>
        <v/>
      </c>
      <c r="U1064" s="10">
        <f>IF(AND(ISNUMBER(M1064),ISNUMBER(N1064)),IF(N1064&gt;0,M1064/N1064,""),"")</f>
        <v/>
      </c>
      <c r="V1064" s="10">
        <f>IF(AND(ISNUMBER(M1064),ISNUMBER(O1064)),IF(O1064&gt;0,M1064/O1064,""),"")</f>
        <v/>
      </c>
      <c r="W1064" s="10">
        <f>IF(AND(ISNUMBER(M1064),ISNUMBER(R1064)),IF(R1064&gt;0,M1064/R1064,""),"")</f>
        <v/>
      </c>
      <c r="X1064" s="10">
        <f>IF(AND(ISNUMBER(Q1064),ISNUMBER(M1064)),IF(M1064&gt;0,Q1064/M1064,""),"")</f>
        <v/>
      </c>
      <c r="Y1064" s="11">
        <f>IF(ISNUMBER(Z1064),YEAR(Z1064),"")</f>
        <v/>
      </c>
      <c r="Z1064" s="12" t="n"/>
      <c r="AA1064" s="12" t="n"/>
      <c r="AI1064" s="12" t="n"/>
      <c r="AJ1064" s="13">
        <f>IF(LEN(TRIM(AF1064))=0,"",HYPERLINK("https://www.google.com/maps/@?api=1&amp;map_action=pano&amp;viewpoint="&amp;SUBSTITUTE(AF1064," ",""),"Abrir Street View"))</f>
        <v/>
      </c>
    </row>
    <row r="1065">
      <c r="H1065" s="6" t="n"/>
      <c r="I1065" s="6" t="n"/>
      <c r="M1065" s="7" t="n"/>
      <c r="N1065" s="7" t="n"/>
      <c r="O1065" s="7" t="n"/>
      <c r="Q1065" s="7" t="n"/>
      <c r="R1065" s="7" t="n"/>
      <c r="S1065" s="8">
        <f>IF(NOT(ISNUMBER(M1065)),"",IF(G1065="Terreno",IF(AND(ISNUMBER(I1065),I1065&gt;0),M1065/I1065,""),IF(AND(ISNUMBER(H1065),H1065&gt;0),M1065/H1065,"")))</f>
        <v/>
      </c>
      <c r="T1065" s="9">
        <f>IF(AND(ISNUMBER(M1065),ISNUMBER(O1065)),IF(M1065&lt;=O1065,"Valor ≤ venal IPTU",""),"")</f>
        <v/>
      </c>
      <c r="U1065" s="10">
        <f>IF(AND(ISNUMBER(M1065),ISNUMBER(N1065)),IF(N1065&gt;0,M1065/N1065,""),"")</f>
        <v/>
      </c>
      <c r="V1065" s="10">
        <f>IF(AND(ISNUMBER(M1065),ISNUMBER(O1065)),IF(O1065&gt;0,M1065/O1065,""),"")</f>
        <v/>
      </c>
      <c r="W1065" s="10">
        <f>IF(AND(ISNUMBER(M1065),ISNUMBER(R1065)),IF(R1065&gt;0,M1065/R1065,""),"")</f>
        <v/>
      </c>
      <c r="X1065" s="10">
        <f>IF(AND(ISNUMBER(Q1065),ISNUMBER(M1065)),IF(M1065&gt;0,Q1065/M1065,""),"")</f>
        <v/>
      </c>
      <c r="Y1065" s="11">
        <f>IF(ISNUMBER(Z1065),YEAR(Z1065),"")</f>
        <v/>
      </c>
      <c r="Z1065" s="12" t="n"/>
      <c r="AA1065" s="12" t="n"/>
      <c r="AI1065" s="12" t="n"/>
      <c r="AJ1065" s="13">
        <f>IF(LEN(TRIM(AF1065))=0,"",HYPERLINK("https://www.google.com/maps/@?api=1&amp;map_action=pano&amp;viewpoint="&amp;SUBSTITUTE(AF1065," ",""),"Abrir Street View"))</f>
        <v/>
      </c>
    </row>
    <row r="1066">
      <c r="H1066" s="6" t="n"/>
      <c r="I1066" s="6" t="n"/>
      <c r="M1066" s="7" t="n"/>
      <c r="N1066" s="7" t="n"/>
      <c r="O1066" s="7" t="n"/>
      <c r="Q1066" s="7" t="n"/>
      <c r="R1066" s="7" t="n"/>
      <c r="S1066" s="8">
        <f>IF(NOT(ISNUMBER(M1066)),"",IF(G1066="Terreno",IF(AND(ISNUMBER(I1066),I1066&gt;0),M1066/I1066,""),IF(AND(ISNUMBER(H1066),H1066&gt;0),M1066/H1066,"")))</f>
        <v/>
      </c>
      <c r="T1066" s="9">
        <f>IF(AND(ISNUMBER(M1066),ISNUMBER(O1066)),IF(M1066&lt;=O1066,"Valor ≤ venal IPTU",""),"")</f>
        <v/>
      </c>
      <c r="U1066" s="10">
        <f>IF(AND(ISNUMBER(M1066),ISNUMBER(N1066)),IF(N1066&gt;0,M1066/N1066,""),"")</f>
        <v/>
      </c>
      <c r="V1066" s="10">
        <f>IF(AND(ISNUMBER(M1066),ISNUMBER(O1066)),IF(O1066&gt;0,M1066/O1066,""),"")</f>
        <v/>
      </c>
      <c r="W1066" s="10">
        <f>IF(AND(ISNUMBER(M1066),ISNUMBER(R1066)),IF(R1066&gt;0,M1066/R1066,""),"")</f>
        <v/>
      </c>
      <c r="X1066" s="10">
        <f>IF(AND(ISNUMBER(Q1066),ISNUMBER(M1066)),IF(M1066&gt;0,Q1066/M1066,""),"")</f>
        <v/>
      </c>
      <c r="Y1066" s="11">
        <f>IF(ISNUMBER(Z1066),YEAR(Z1066),"")</f>
        <v/>
      </c>
      <c r="Z1066" s="12" t="n"/>
      <c r="AA1066" s="12" t="n"/>
      <c r="AI1066" s="12" t="n"/>
      <c r="AJ1066" s="13">
        <f>IF(LEN(TRIM(AF1066))=0,"",HYPERLINK("https://www.google.com/maps/@?api=1&amp;map_action=pano&amp;viewpoint="&amp;SUBSTITUTE(AF1066," ",""),"Abrir Street View"))</f>
        <v/>
      </c>
    </row>
    <row r="1067">
      <c r="H1067" s="6" t="n"/>
      <c r="I1067" s="6" t="n"/>
      <c r="M1067" s="7" t="n"/>
      <c r="N1067" s="7" t="n"/>
      <c r="O1067" s="7" t="n"/>
      <c r="Q1067" s="7" t="n"/>
      <c r="R1067" s="7" t="n"/>
      <c r="S1067" s="8">
        <f>IF(NOT(ISNUMBER(M1067)),"",IF(G1067="Terreno",IF(AND(ISNUMBER(I1067),I1067&gt;0),M1067/I1067,""),IF(AND(ISNUMBER(H1067),H1067&gt;0),M1067/H1067,"")))</f>
        <v/>
      </c>
      <c r="T1067" s="9">
        <f>IF(AND(ISNUMBER(M1067),ISNUMBER(O1067)),IF(M1067&lt;=O1067,"Valor ≤ venal IPTU",""),"")</f>
        <v/>
      </c>
      <c r="U1067" s="10">
        <f>IF(AND(ISNUMBER(M1067),ISNUMBER(N1067)),IF(N1067&gt;0,M1067/N1067,""),"")</f>
        <v/>
      </c>
      <c r="V1067" s="10">
        <f>IF(AND(ISNUMBER(M1067),ISNUMBER(O1067)),IF(O1067&gt;0,M1067/O1067,""),"")</f>
        <v/>
      </c>
      <c r="W1067" s="10">
        <f>IF(AND(ISNUMBER(M1067),ISNUMBER(R1067)),IF(R1067&gt;0,M1067/R1067,""),"")</f>
        <v/>
      </c>
      <c r="X1067" s="10">
        <f>IF(AND(ISNUMBER(Q1067),ISNUMBER(M1067)),IF(M1067&gt;0,Q1067/M1067,""),"")</f>
        <v/>
      </c>
      <c r="Y1067" s="11">
        <f>IF(ISNUMBER(Z1067),YEAR(Z1067),"")</f>
        <v/>
      </c>
      <c r="Z1067" s="12" t="n"/>
      <c r="AA1067" s="12" t="n"/>
      <c r="AI1067" s="12" t="n"/>
      <c r="AJ1067" s="13">
        <f>IF(LEN(TRIM(AF1067))=0,"",HYPERLINK("https://www.google.com/maps/@?api=1&amp;map_action=pano&amp;viewpoint="&amp;SUBSTITUTE(AF1067," ",""),"Abrir Street View"))</f>
        <v/>
      </c>
    </row>
    <row r="1068">
      <c r="H1068" s="6" t="n"/>
      <c r="I1068" s="6" t="n"/>
      <c r="M1068" s="7" t="n"/>
      <c r="N1068" s="7" t="n"/>
      <c r="O1068" s="7" t="n"/>
      <c r="Q1068" s="7" t="n"/>
      <c r="R1068" s="7" t="n"/>
      <c r="S1068" s="8">
        <f>IF(NOT(ISNUMBER(M1068)),"",IF(G1068="Terreno",IF(AND(ISNUMBER(I1068),I1068&gt;0),M1068/I1068,""),IF(AND(ISNUMBER(H1068),H1068&gt;0),M1068/H1068,"")))</f>
        <v/>
      </c>
      <c r="T1068" s="9">
        <f>IF(AND(ISNUMBER(M1068),ISNUMBER(O1068)),IF(M1068&lt;=O1068,"Valor ≤ venal IPTU",""),"")</f>
        <v/>
      </c>
      <c r="U1068" s="10">
        <f>IF(AND(ISNUMBER(M1068),ISNUMBER(N1068)),IF(N1068&gt;0,M1068/N1068,""),"")</f>
        <v/>
      </c>
      <c r="V1068" s="10">
        <f>IF(AND(ISNUMBER(M1068),ISNUMBER(O1068)),IF(O1068&gt;0,M1068/O1068,""),"")</f>
        <v/>
      </c>
      <c r="W1068" s="10">
        <f>IF(AND(ISNUMBER(M1068),ISNUMBER(R1068)),IF(R1068&gt;0,M1068/R1068,""),"")</f>
        <v/>
      </c>
      <c r="X1068" s="10">
        <f>IF(AND(ISNUMBER(Q1068),ISNUMBER(M1068)),IF(M1068&gt;0,Q1068/M1068,""),"")</f>
        <v/>
      </c>
      <c r="Y1068" s="11">
        <f>IF(ISNUMBER(Z1068),YEAR(Z1068),"")</f>
        <v/>
      </c>
      <c r="Z1068" s="12" t="n"/>
      <c r="AA1068" s="12" t="n"/>
      <c r="AI1068" s="12" t="n"/>
      <c r="AJ1068" s="13">
        <f>IF(LEN(TRIM(AF1068))=0,"",HYPERLINK("https://www.google.com/maps/@?api=1&amp;map_action=pano&amp;viewpoint="&amp;SUBSTITUTE(AF1068," ",""),"Abrir Street View"))</f>
        <v/>
      </c>
    </row>
    <row r="1069">
      <c r="H1069" s="6" t="n"/>
      <c r="I1069" s="6" t="n"/>
      <c r="M1069" s="7" t="n"/>
      <c r="N1069" s="7" t="n"/>
      <c r="O1069" s="7" t="n"/>
      <c r="Q1069" s="7" t="n"/>
      <c r="R1069" s="7" t="n"/>
      <c r="S1069" s="8">
        <f>IF(NOT(ISNUMBER(M1069)),"",IF(G1069="Terreno",IF(AND(ISNUMBER(I1069),I1069&gt;0),M1069/I1069,""),IF(AND(ISNUMBER(H1069),H1069&gt;0),M1069/H1069,"")))</f>
        <v/>
      </c>
      <c r="T1069" s="9">
        <f>IF(AND(ISNUMBER(M1069),ISNUMBER(O1069)),IF(M1069&lt;=O1069,"Valor ≤ venal IPTU",""),"")</f>
        <v/>
      </c>
      <c r="U1069" s="10">
        <f>IF(AND(ISNUMBER(M1069),ISNUMBER(N1069)),IF(N1069&gt;0,M1069/N1069,""),"")</f>
        <v/>
      </c>
      <c r="V1069" s="10">
        <f>IF(AND(ISNUMBER(M1069),ISNUMBER(O1069)),IF(O1069&gt;0,M1069/O1069,""),"")</f>
        <v/>
      </c>
      <c r="W1069" s="10">
        <f>IF(AND(ISNUMBER(M1069),ISNUMBER(R1069)),IF(R1069&gt;0,M1069/R1069,""),"")</f>
        <v/>
      </c>
      <c r="X1069" s="10">
        <f>IF(AND(ISNUMBER(Q1069),ISNUMBER(M1069)),IF(M1069&gt;0,Q1069/M1069,""),"")</f>
        <v/>
      </c>
      <c r="Y1069" s="11">
        <f>IF(ISNUMBER(Z1069),YEAR(Z1069),"")</f>
        <v/>
      </c>
      <c r="Z1069" s="12" t="n"/>
      <c r="AA1069" s="12" t="n"/>
      <c r="AI1069" s="12" t="n"/>
      <c r="AJ1069" s="13">
        <f>IF(LEN(TRIM(AF1069))=0,"",HYPERLINK("https://www.google.com/maps/@?api=1&amp;map_action=pano&amp;viewpoint="&amp;SUBSTITUTE(AF1069," ",""),"Abrir Street View"))</f>
        <v/>
      </c>
    </row>
    <row r="1070">
      <c r="H1070" s="6" t="n"/>
      <c r="I1070" s="6" t="n"/>
      <c r="M1070" s="7" t="n"/>
      <c r="N1070" s="7" t="n"/>
      <c r="O1070" s="7" t="n"/>
      <c r="Q1070" s="7" t="n"/>
      <c r="R1070" s="7" t="n"/>
      <c r="S1070" s="8">
        <f>IF(NOT(ISNUMBER(M1070)),"",IF(G1070="Terreno",IF(AND(ISNUMBER(I1070),I1070&gt;0),M1070/I1070,""),IF(AND(ISNUMBER(H1070),H1070&gt;0),M1070/H1070,"")))</f>
        <v/>
      </c>
      <c r="T1070" s="9">
        <f>IF(AND(ISNUMBER(M1070),ISNUMBER(O1070)),IF(M1070&lt;=O1070,"Valor ≤ venal IPTU",""),"")</f>
        <v/>
      </c>
      <c r="U1070" s="10">
        <f>IF(AND(ISNUMBER(M1070),ISNUMBER(N1070)),IF(N1070&gt;0,M1070/N1070,""),"")</f>
        <v/>
      </c>
      <c r="V1070" s="10">
        <f>IF(AND(ISNUMBER(M1070),ISNUMBER(O1070)),IF(O1070&gt;0,M1070/O1070,""),"")</f>
        <v/>
      </c>
      <c r="W1070" s="10">
        <f>IF(AND(ISNUMBER(M1070),ISNUMBER(R1070)),IF(R1070&gt;0,M1070/R1070,""),"")</f>
        <v/>
      </c>
      <c r="X1070" s="10">
        <f>IF(AND(ISNUMBER(Q1070),ISNUMBER(M1070)),IF(M1070&gt;0,Q1070/M1070,""),"")</f>
        <v/>
      </c>
      <c r="Y1070" s="11">
        <f>IF(ISNUMBER(Z1070),YEAR(Z1070),"")</f>
        <v/>
      </c>
      <c r="Z1070" s="12" t="n"/>
      <c r="AA1070" s="12" t="n"/>
      <c r="AI1070" s="12" t="n"/>
      <c r="AJ1070" s="13">
        <f>IF(LEN(TRIM(AF1070))=0,"",HYPERLINK("https://www.google.com/maps/@?api=1&amp;map_action=pano&amp;viewpoint="&amp;SUBSTITUTE(AF1070," ",""),"Abrir Street View"))</f>
        <v/>
      </c>
    </row>
    <row r="1071">
      <c r="H1071" s="6" t="n"/>
      <c r="I1071" s="6" t="n"/>
      <c r="M1071" s="7" t="n"/>
      <c r="N1071" s="7" t="n"/>
      <c r="O1071" s="7" t="n"/>
      <c r="Q1071" s="7" t="n"/>
      <c r="R1071" s="7" t="n"/>
      <c r="S1071" s="8">
        <f>IF(NOT(ISNUMBER(M1071)),"",IF(G1071="Terreno",IF(AND(ISNUMBER(I1071),I1071&gt;0),M1071/I1071,""),IF(AND(ISNUMBER(H1071),H1071&gt;0),M1071/H1071,"")))</f>
        <v/>
      </c>
      <c r="T1071" s="9">
        <f>IF(AND(ISNUMBER(M1071),ISNUMBER(O1071)),IF(M1071&lt;=O1071,"Valor ≤ venal IPTU",""),"")</f>
        <v/>
      </c>
      <c r="U1071" s="10">
        <f>IF(AND(ISNUMBER(M1071),ISNUMBER(N1071)),IF(N1071&gt;0,M1071/N1071,""),"")</f>
        <v/>
      </c>
      <c r="V1071" s="10">
        <f>IF(AND(ISNUMBER(M1071),ISNUMBER(O1071)),IF(O1071&gt;0,M1071/O1071,""),"")</f>
        <v/>
      </c>
      <c r="W1071" s="10">
        <f>IF(AND(ISNUMBER(M1071),ISNUMBER(R1071)),IF(R1071&gt;0,M1071/R1071,""),"")</f>
        <v/>
      </c>
      <c r="X1071" s="10">
        <f>IF(AND(ISNUMBER(Q1071),ISNUMBER(M1071)),IF(M1071&gt;0,Q1071/M1071,""),"")</f>
        <v/>
      </c>
      <c r="Y1071" s="11">
        <f>IF(ISNUMBER(Z1071),YEAR(Z1071),"")</f>
        <v/>
      </c>
      <c r="Z1071" s="12" t="n"/>
      <c r="AA1071" s="12" t="n"/>
      <c r="AI1071" s="12" t="n"/>
      <c r="AJ1071" s="13">
        <f>IF(LEN(TRIM(AF1071))=0,"",HYPERLINK("https://www.google.com/maps/@?api=1&amp;map_action=pano&amp;viewpoint="&amp;SUBSTITUTE(AF1071," ",""),"Abrir Street View"))</f>
        <v/>
      </c>
    </row>
    <row r="1072">
      <c r="H1072" s="6" t="n"/>
      <c r="I1072" s="6" t="n"/>
      <c r="M1072" s="7" t="n"/>
      <c r="N1072" s="7" t="n"/>
      <c r="O1072" s="7" t="n"/>
      <c r="Q1072" s="7" t="n"/>
      <c r="R1072" s="7" t="n"/>
      <c r="S1072" s="8">
        <f>IF(NOT(ISNUMBER(M1072)),"",IF(G1072="Terreno",IF(AND(ISNUMBER(I1072),I1072&gt;0),M1072/I1072,""),IF(AND(ISNUMBER(H1072),H1072&gt;0),M1072/H1072,"")))</f>
        <v/>
      </c>
      <c r="T1072" s="9">
        <f>IF(AND(ISNUMBER(M1072),ISNUMBER(O1072)),IF(M1072&lt;=O1072,"Valor ≤ venal IPTU",""),"")</f>
        <v/>
      </c>
      <c r="U1072" s="10">
        <f>IF(AND(ISNUMBER(M1072),ISNUMBER(N1072)),IF(N1072&gt;0,M1072/N1072,""),"")</f>
        <v/>
      </c>
      <c r="V1072" s="10">
        <f>IF(AND(ISNUMBER(M1072),ISNUMBER(O1072)),IF(O1072&gt;0,M1072/O1072,""),"")</f>
        <v/>
      </c>
      <c r="W1072" s="10">
        <f>IF(AND(ISNUMBER(M1072),ISNUMBER(R1072)),IF(R1072&gt;0,M1072/R1072,""),"")</f>
        <v/>
      </c>
      <c r="X1072" s="10">
        <f>IF(AND(ISNUMBER(Q1072),ISNUMBER(M1072)),IF(M1072&gt;0,Q1072/M1072,""),"")</f>
        <v/>
      </c>
      <c r="Y1072" s="11">
        <f>IF(ISNUMBER(Z1072),YEAR(Z1072),"")</f>
        <v/>
      </c>
      <c r="Z1072" s="12" t="n"/>
      <c r="AA1072" s="12" t="n"/>
      <c r="AI1072" s="12" t="n"/>
      <c r="AJ1072" s="13">
        <f>IF(LEN(TRIM(AF1072))=0,"",HYPERLINK("https://www.google.com/maps/@?api=1&amp;map_action=pano&amp;viewpoint="&amp;SUBSTITUTE(AF1072," ",""),"Abrir Street View"))</f>
        <v/>
      </c>
    </row>
    <row r="1073">
      <c r="H1073" s="6" t="n"/>
      <c r="I1073" s="6" t="n"/>
      <c r="M1073" s="7" t="n"/>
      <c r="N1073" s="7" t="n"/>
      <c r="O1073" s="7" t="n"/>
      <c r="Q1073" s="7" t="n"/>
      <c r="R1073" s="7" t="n"/>
      <c r="S1073" s="8">
        <f>IF(NOT(ISNUMBER(M1073)),"",IF(G1073="Terreno",IF(AND(ISNUMBER(I1073),I1073&gt;0),M1073/I1073,""),IF(AND(ISNUMBER(H1073),H1073&gt;0),M1073/H1073,"")))</f>
        <v/>
      </c>
      <c r="T1073" s="9">
        <f>IF(AND(ISNUMBER(M1073),ISNUMBER(O1073)),IF(M1073&lt;=O1073,"Valor ≤ venal IPTU",""),"")</f>
        <v/>
      </c>
      <c r="U1073" s="10">
        <f>IF(AND(ISNUMBER(M1073),ISNUMBER(N1073)),IF(N1073&gt;0,M1073/N1073,""),"")</f>
        <v/>
      </c>
      <c r="V1073" s="10">
        <f>IF(AND(ISNUMBER(M1073),ISNUMBER(O1073)),IF(O1073&gt;0,M1073/O1073,""),"")</f>
        <v/>
      </c>
      <c r="W1073" s="10">
        <f>IF(AND(ISNUMBER(M1073),ISNUMBER(R1073)),IF(R1073&gt;0,M1073/R1073,""),"")</f>
        <v/>
      </c>
      <c r="X1073" s="10">
        <f>IF(AND(ISNUMBER(Q1073),ISNUMBER(M1073)),IF(M1073&gt;0,Q1073/M1073,""),"")</f>
        <v/>
      </c>
      <c r="Y1073" s="11">
        <f>IF(ISNUMBER(Z1073),YEAR(Z1073),"")</f>
        <v/>
      </c>
      <c r="Z1073" s="12" t="n"/>
      <c r="AA1073" s="12" t="n"/>
      <c r="AI1073" s="12" t="n"/>
      <c r="AJ1073" s="13">
        <f>IF(LEN(TRIM(AF1073))=0,"",HYPERLINK("https://www.google.com/maps/@?api=1&amp;map_action=pano&amp;viewpoint="&amp;SUBSTITUTE(AF1073," ",""),"Abrir Street View"))</f>
        <v/>
      </c>
    </row>
    <row r="1074">
      <c r="H1074" s="6" t="n"/>
      <c r="I1074" s="6" t="n"/>
      <c r="M1074" s="7" t="n"/>
      <c r="N1074" s="7" t="n"/>
      <c r="O1074" s="7" t="n"/>
      <c r="Q1074" s="7" t="n"/>
      <c r="R1074" s="7" t="n"/>
      <c r="S1074" s="8">
        <f>IF(NOT(ISNUMBER(M1074)),"",IF(G1074="Terreno",IF(AND(ISNUMBER(I1074),I1074&gt;0),M1074/I1074,""),IF(AND(ISNUMBER(H1074),H1074&gt;0),M1074/H1074,"")))</f>
        <v/>
      </c>
      <c r="T1074" s="9">
        <f>IF(AND(ISNUMBER(M1074),ISNUMBER(O1074)),IF(M1074&lt;=O1074,"Valor ≤ venal IPTU",""),"")</f>
        <v/>
      </c>
      <c r="U1074" s="10">
        <f>IF(AND(ISNUMBER(M1074),ISNUMBER(N1074)),IF(N1074&gt;0,M1074/N1074,""),"")</f>
        <v/>
      </c>
      <c r="V1074" s="10">
        <f>IF(AND(ISNUMBER(M1074),ISNUMBER(O1074)),IF(O1074&gt;0,M1074/O1074,""),"")</f>
        <v/>
      </c>
      <c r="W1074" s="10">
        <f>IF(AND(ISNUMBER(M1074),ISNUMBER(R1074)),IF(R1074&gt;0,M1074/R1074,""),"")</f>
        <v/>
      </c>
      <c r="X1074" s="10">
        <f>IF(AND(ISNUMBER(Q1074),ISNUMBER(M1074)),IF(M1074&gt;0,Q1074/M1074,""),"")</f>
        <v/>
      </c>
      <c r="Y1074" s="11">
        <f>IF(ISNUMBER(Z1074),YEAR(Z1074),"")</f>
        <v/>
      </c>
      <c r="Z1074" s="12" t="n"/>
      <c r="AA1074" s="12" t="n"/>
      <c r="AI1074" s="12" t="n"/>
      <c r="AJ1074" s="13">
        <f>IF(LEN(TRIM(AF1074))=0,"",HYPERLINK("https://www.google.com/maps/@?api=1&amp;map_action=pano&amp;viewpoint="&amp;SUBSTITUTE(AF1074," ",""),"Abrir Street View"))</f>
        <v/>
      </c>
    </row>
    <row r="1075">
      <c r="H1075" s="6" t="n"/>
      <c r="I1075" s="6" t="n"/>
      <c r="M1075" s="7" t="n"/>
      <c r="N1075" s="7" t="n"/>
      <c r="O1075" s="7" t="n"/>
      <c r="Q1075" s="7" t="n"/>
      <c r="R1075" s="7" t="n"/>
      <c r="S1075" s="8">
        <f>IF(NOT(ISNUMBER(M1075)),"",IF(G1075="Terreno",IF(AND(ISNUMBER(I1075),I1075&gt;0),M1075/I1075,""),IF(AND(ISNUMBER(H1075),H1075&gt;0),M1075/H1075,"")))</f>
        <v/>
      </c>
      <c r="T1075" s="9">
        <f>IF(AND(ISNUMBER(M1075),ISNUMBER(O1075)),IF(M1075&lt;=O1075,"Valor ≤ venal IPTU",""),"")</f>
        <v/>
      </c>
      <c r="U1075" s="10">
        <f>IF(AND(ISNUMBER(M1075),ISNUMBER(N1075)),IF(N1075&gt;0,M1075/N1075,""),"")</f>
        <v/>
      </c>
      <c r="V1075" s="10">
        <f>IF(AND(ISNUMBER(M1075),ISNUMBER(O1075)),IF(O1075&gt;0,M1075/O1075,""),"")</f>
        <v/>
      </c>
      <c r="W1075" s="10">
        <f>IF(AND(ISNUMBER(M1075),ISNUMBER(R1075)),IF(R1075&gt;0,M1075/R1075,""),"")</f>
        <v/>
      </c>
      <c r="X1075" s="10">
        <f>IF(AND(ISNUMBER(Q1075),ISNUMBER(M1075)),IF(M1075&gt;0,Q1075/M1075,""),"")</f>
        <v/>
      </c>
      <c r="Y1075" s="11">
        <f>IF(ISNUMBER(Z1075),YEAR(Z1075),"")</f>
        <v/>
      </c>
      <c r="Z1075" s="12" t="n"/>
      <c r="AA1075" s="12" t="n"/>
      <c r="AI1075" s="12" t="n"/>
      <c r="AJ1075" s="13">
        <f>IF(LEN(TRIM(AF1075))=0,"",HYPERLINK("https://www.google.com/maps/@?api=1&amp;map_action=pano&amp;viewpoint="&amp;SUBSTITUTE(AF1075," ",""),"Abrir Street View"))</f>
        <v/>
      </c>
    </row>
    <row r="1076">
      <c r="H1076" s="6" t="n"/>
      <c r="I1076" s="6" t="n"/>
      <c r="M1076" s="7" t="n"/>
      <c r="N1076" s="7" t="n"/>
      <c r="O1076" s="7" t="n"/>
      <c r="Q1076" s="7" t="n"/>
      <c r="R1076" s="7" t="n"/>
      <c r="S1076" s="8">
        <f>IF(NOT(ISNUMBER(M1076)),"",IF(G1076="Terreno",IF(AND(ISNUMBER(I1076),I1076&gt;0),M1076/I1076,""),IF(AND(ISNUMBER(H1076),H1076&gt;0),M1076/H1076,"")))</f>
        <v/>
      </c>
      <c r="T1076" s="9">
        <f>IF(AND(ISNUMBER(M1076),ISNUMBER(O1076)),IF(M1076&lt;=O1076,"Valor ≤ venal IPTU",""),"")</f>
        <v/>
      </c>
      <c r="U1076" s="10">
        <f>IF(AND(ISNUMBER(M1076),ISNUMBER(N1076)),IF(N1076&gt;0,M1076/N1076,""),"")</f>
        <v/>
      </c>
      <c r="V1076" s="10">
        <f>IF(AND(ISNUMBER(M1076),ISNUMBER(O1076)),IF(O1076&gt;0,M1076/O1076,""),"")</f>
        <v/>
      </c>
      <c r="W1076" s="10">
        <f>IF(AND(ISNUMBER(M1076),ISNUMBER(R1076)),IF(R1076&gt;0,M1076/R1076,""),"")</f>
        <v/>
      </c>
      <c r="X1076" s="10">
        <f>IF(AND(ISNUMBER(Q1076),ISNUMBER(M1076)),IF(M1076&gt;0,Q1076/M1076,""),"")</f>
        <v/>
      </c>
      <c r="Y1076" s="11">
        <f>IF(ISNUMBER(Z1076),YEAR(Z1076),"")</f>
        <v/>
      </c>
      <c r="Z1076" s="12" t="n"/>
      <c r="AA1076" s="12" t="n"/>
      <c r="AI1076" s="12" t="n"/>
      <c r="AJ1076" s="13">
        <f>IF(LEN(TRIM(AF1076))=0,"",HYPERLINK("https://www.google.com/maps/@?api=1&amp;map_action=pano&amp;viewpoint="&amp;SUBSTITUTE(AF1076," ",""),"Abrir Street View"))</f>
        <v/>
      </c>
    </row>
    <row r="1077">
      <c r="H1077" s="6" t="n"/>
      <c r="I1077" s="6" t="n"/>
      <c r="M1077" s="7" t="n"/>
      <c r="N1077" s="7" t="n"/>
      <c r="O1077" s="7" t="n"/>
      <c r="Q1077" s="7" t="n"/>
      <c r="R1077" s="7" t="n"/>
      <c r="S1077" s="8">
        <f>IF(NOT(ISNUMBER(M1077)),"",IF(G1077="Terreno",IF(AND(ISNUMBER(I1077),I1077&gt;0),M1077/I1077,""),IF(AND(ISNUMBER(H1077),H1077&gt;0),M1077/H1077,"")))</f>
        <v/>
      </c>
      <c r="T1077" s="9">
        <f>IF(AND(ISNUMBER(M1077),ISNUMBER(O1077)),IF(M1077&lt;=O1077,"Valor ≤ venal IPTU",""),"")</f>
        <v/>
      </c>
      <c r="U1077" s="10">
        <f>IF(AND(ISNUMBER(M1077),ISNUMBER(N1077)),IF(N1077&gt;0,M1077/N1077,""),"")</f>
        <v/>
      </c>
      <c r="V1077" s="10">
        <f>IF(AND(ISNUMBER(M1077),ISNUMBER(O1077)),IF(O1077&gt;0,M1077/O1077,""),"")</f>
        <v/>
      </c>
      <c r="W1077" s="10">
        <f>IF(AND(ISNUMBER(M1077),ISNUMBER(R1077)),IF(R1077&gt;0,M1077/R1077,""),"")</f>
        <v/>
      </c>
      <c r="X1077" s="10">
        <f>IF(AND(ISNUMBER(Q1077),ISNUMBER(M1077)),IF(M1077&gt;0,Q1077/M1077,""),"")</f>
        <v/>
      </c>
      <c r="Y1077" s="11">
        <f>IF(ISNUMBER(Z1077),YEAR(Z1077),"")</f>
        <v/>
      </c>
      <c r="Z1077" s="12" t="n"/>
      <c r="AA1077" s="12" t="n"/>
      <c r="AI1077" s="12" t="n"/>
      <c r="AJ1077" s="13">
        <f>IF(LEN(TRIM(AF1077))=0,"",HYPERLINK("https://www.google.com/maps/@?api=1&amp;map_action=pano&amp;viewpoint="&amp;SUBSTITUTE(AF1077," ",""),"Abrir Street View"))</f>
        <v/>
      </c>
    </row>
    <row r="1078">
      <c r="H1078" s="6" t="n"/>
      <c r="I1078" s="6" t="n"/>
      <c r="M1078" s="7" t="n"/>
      <c r="N1078" s="7" t="n"/>
      <c r="O1078" s="7" t="n"/>
      <c r="Q1078" s="7" t="n"/>
      <c r="R1078" s="7" t="n"/>
      <c r="S1078" s="8">
        <f>IF(NOT(ISNUMBER(M1078)),"",IF(G1078="Terreno",IF(AND(ISNUMBER(I1078),I1078&gt;0),M1078/I1078,""),IF(AND(ISNUMBER(H1078),H1078&gt;0),M1078/H1078,"")))</f>
        <v/>
      </c>
      <c r="T1078" s="9">
        <f>IF(AND(ISNUMBER(M1078),ISNUMBER(O1078)),IF(M1078&lt;=O1078,"Valor ≤ venal IPTU",""),"")</f>
        <v/>
      </c>
      <c r="U1078" s="10">
        <f>IF(AND(ISNUMBER(M1078),ISNUMBER(N1078)),IF(N1078&gt;0,M1078/N1078,""),"")</f>
        <v/>
      </c>
      <c r="V1078" s="10">
        <f>IF(AND(ISNUMBER(M1078),ISNUMBER(O1078)),IF(O1078&gt;0,M1078/O1078,""),"")</f>
        <v/>
      </c>
      <c r="W1078" s="10">
        <f>IF(AND(ISNUMBER(M1078),ISNUMBER(R1078)),IF(R1078&gt;0,M1078/R1078,""),"")</f>
        <v/>
      </c>
      <c r="X1078" s="10">
        <f>IF(AND(ISNUMBER(Q1078),ISNUMBER(M1078)),IF(M1078&gt;0,Q1078/M1078,""),"")</f>
        <v/>
      </c>
      <c r="Y1078" s="11">
        <f>IF(ISNUMBER(Z1078),YEAR(Z1078),"")</f>
        <v/>
      </c>
      <c r="Z1078" s="12" t="n"/>
      <c r="AA1078" s="12" t="n"/>
      <c r="AI1078" s="12" t="n"/>
      <c r="AJ1078" s="13">
        <f>IF(LEN(TRIM(AF1078))=0,"",HYPERLINK("https://www.google.com/maps/@?api=1&amp;map_action=pano&amp;viewpoint="&amp;SUBSTITUTE(AF1078," ",""),"Abrir Street View"))</f>
        <v/>
      </c>
    </row>
    <row r="1079">
      <c r="H1079" s="6" t="n"/>
      <c r="I1079" s="6" t="n"/>
      <c r="M1079" s="7" t="n"/>
      <c r="N1079" s="7" t="n"/>
      <c r="O1079" s="7" t="n"/>
      <c r="Q1079" s="7" t="n"/>
      <c r="R1079" s="7" t="n"/>
      <c r="S1079" s="8">
        <f>IF(NOT(ISNUMBER(M1079)),"",IF(G1079="Terreno",IF(AND(ISNUMBER(I1079),I1079&gt;0),M1079/I1079,""),IF(AND(ISNUMBER(H1079),H1079&gt;0),M1079/H1079,"")))</f>
        <v/>
      </c>
      <c r="T1079" s="9">
        <f>IF(AND(ISNUMBER(M1079),ISNUMBER(O1079)),IF(M1079&lt;=O1079,"Valor ≤ venal IPTU",""),"")</f>
        <v/>
      </c>
      <c r="U1079" s="10">
        <f>IF(AND(ISNUMBER(M1079),ISNUMBER(N1079)),IF(N1079&gt;0,M1079/N1079,""),"")</f>
        <v/>
      </c>
      <c r="V1079" s="10">
        <f>IF(AND(ISNUMBER(M1079),ISNUMBER(O1079)),IF(O1079&gt;0,M1079/O1079,""),"")</f>
        <v/>
      </c>
      <c r="W1079" s="10">
        <f>IF(AND(ISNUMBER(M1079),ISNUMBER(R1079)),IF(R1079&gt;0,M1079/R1079,""),"")</f>
        <v/>
      </c>
      <c r="X1079" s="10">
        <f>IF(AND(ISNUMBER(Q1079),ISNUMBER(M1079)),IF(M1079&gt;0,Q1079/M1079,""),"")</f>
        <v/>
      </c>
      <c r="Y1079" s="11">
        <f>IF(ISNUMBER(Z1079),YEAR(Z1079),"")</f>
        <v/>
      </c>
      <c r="Z1079" s="12" t="n"/>
      <c r="AA1079" s="12" t="n"/>
      <c r="AI1079" s="12" t="n"/>
      <c r="AJ1079" s="13">
        <f>IF(LEN(TRIM(AF1079))=0,"",HYPERLINK("https://www.google.com/maps/@?api=1&amp;map_action=pano&amp;viewpoint="&amp;SUBSTITUTE(AF1079," ",""),"Abrir Street View"))</f>
        <v/>
      </c>
    </row>
    <row r="1080">
      <c r="H1080" s="6" t="n"/>
      <c r="I1080" s="6" t="n"/>
      <c r="M1080" s="7" t="n"/>
      <c r="N1080" s="7" t="n"/>
      <c r="O1080" s="7" t="n"/>
      <c r="Q1080" s="7" t="n"/>
      <c r="R1080" s="7" t="n"/>
      <c r="S1080" s="8">
        <f>IF(NOT(ISNUMBER(M1080)),"",IF(G1080="Terreno",IF(AND(ISNUMBER(I1080),I1080&gt;0),M1080/I1080,""),IF(AND(ISNUMBER(H1080),H1080&gt;0),M1080/H1080,"")))</f>
        <v/>
      </c>
      <c r="T1080" s="9">
        <f>IF(AND(ISNUMBER(M1080),ISNUMBER(O1080)),IF(M1080&lt;=O1080,"Valor ≤ venal IPTU",""),"")</f>
        <v/>
      </c>
      <c r="U1080" s="10">
        <f>IF(AND(ISNUMBER(M1080),ISNUMBER(N1080)),IF(N1080&gt;0,M1080/N1080,""),"")</f>
        <v/>
      </c>
      <c r="V1080" s="10">
        <f>IF(AND(ISNUMBER(M1080),ISNUMBER(O1080)),IF(O1080&gt;0,M1080/O1080,""),"")</f>
        <v/>
      </c>
      <c r="W1080" s="10">
        <f>IF(AND(ISNUMBER(M1080),ISNUMBER(R1080)),IF(R1080&gt;0,M1080/R1080,""),"")</f>
        <v/>
      </c>
      <c r="X1080" s="10">
        <f>IF(AND(ISNUMBER(Q1080),ISNUMBER(M1080)),IF(M1080&gt;0,Q1080/M1080,""),"")</f>
        <v/>
      </c>
      <c r="Y1080" s="11">
        <f>IF(ISNUMBER(Z1080),YEAR(Z1080),"")</f>
        <v/>
      </c>
      <c r="Z1080" s="12" t="n"/>
      <c r="AA1080" s="12" t="n"/>
      <c r="AI1080" s="12" t="n"/>
      <c r="AJ1080" s="13">
        <f>IF(LEN(TRIM(AF1080))=0,"",HYPERLINK("https://www.google.com/maps/@?api=1&amp;map_action=pano&amp;viewpoint="&amp;SUBSTITUTE(AF1080," ",""),"Abrir Street View"))</f>
        <v/>
      </c>
    </row>
    <row r="1081">
      <c r="H1081" s="6" t="n"/>
      <c r="I1081" s="6" t="n"/>
      <c r="M1081" s="7" t="n"/>
      <c r="N1081" s="7" t="n"/>
      <c r="O1081" s="7" t="n"/>
      <c r="Q1081" s="7" t="n"/>
      <c r="R1081" s="7" t="n"/>
      <c r="S1081" s="8">
        <f>IF(NOT(ISNUMBER(M1081)),"",IF(G1081="Terreno",IF(AND(ISNUMBER(I1081),I1081&gt;0),M1081/I1081,""),IF(AND(ISNUMBER(H1081),H1081&gt;0),M1081/H1081,"")))</f>
        <v/>
      </c>
      <c r="T1081" s="9">
        <f>IF(AND(ISNUMBER(M1081),ISNUMBER(O1081)),IF(M1081&lt;=O1081,"Valor ≤ venal IPTU",""),"")</f>
        <v/>
      </c>
      <c r="U1081" s="10">
        <f>IF(AND(ISNUMBER(M1081),ISNUMBER(N1081)),IF(N1081&gt;0,M1081/N1081,""),"")</f>
        <v/>
      </c>
      <c r="V1081" s="10">
        <f>IF(AND(ISNUMBER(M1081),ISNUMBER(O1081)),IF(O1081&gt;0,M1081/O1081,""),"")</f>
        <v/>
      </c>
      <c r="W1081" s="10">
        <f>IF(AND(ISNUMBER(M1081),ISNUMBER(R1081)),IF(R1081&gt;0,M1081/R1081,""),"")</f>
        <v/>
      </c>
      <c r="X1081" s="10">
        <f>IF(AND(ISNUMBER(Q1081),ISNUMBER(M1081)),IF(M1081&gt;0,Q1081/M1081,""),"")</f>
        <v/>
      </c>
      <c r="Y1081" s="11">
        <f>IF(ISNUMBER(Z1081),YEAR(Z1081),"")</f>
        <v/>
      </c>
      <c r="Z1081" s="12" t="n"/>
      <c r="AA1081" s="12" t="n"/>
      <c r="AI1081" s="12" t="n"/>
      <c r="AJ1081" s="13">
        <f>IF(LEN(TRIM(AF1081))=0,"",HYPERLINK("https://www.google.com/maps/@?api=1&amp;map_action=pano&amp;viewpoint="&amp;SUBSTITUTE(AF1081," ",""),"Abrir Street View"))</f>
        <v/>
      </c>
    </row>
    <row r="1082">
      <c r="H1082" s="6" t="n"/>
      <c r="I1082" s="6" t="n"/>
      <c r="M1082" s="7" t="n"/>
      <c r="N1082" s="7" t="n"/>
      <c r="O1082" s="7" t="n"/>
      <c r="Q1082" s="7" t="n"/>
      <c r="R1082" s="7" t="n"/>
      <c r="S1082" s="8">
        <f>IF(NOT(ISNUMBER(M1082)),"",IF(G1082="Terreno",IF(AND(ISNUMBER(I1082),I1082&gt;0),M1082/I1082,""),IF(AND(ISNUMBER(H1082),H1082&gt;0),M1082/H1082,"")))</f>
        <v/>
      </c>
      <c r="T1082" s="9">
        <f>IF(AND(ISNUMBER(M1082),ISNUMBER(O1082)),IF(M1082&lt;=O1082,"Valor ≤ venal IPTU",""),"")</f>
        <v/>
      </c>
      <c r="U1082" s="10">
        <f>IF(AND(ISNUMBER(M1082),ISNUMBER(N1082)),IF(N1082&gt;0,M1082/N1082,""),"")</f>
        <v/>
      </c>
      <c r="V1082" s="10">
        <f>IF(AND(ISNUMBER(M1082),ISNUMBER(O1082)),IF(O1082&gt;0,M1082/O1082,""),"")</f>
        <v/>
      </c>
      <c r="W1082" s="10">
        <f>IF(AND(ISNUMBER(M1082),ISNUMBER(R1082)),IF(R1082&gt;0,M1082/R1082,""),"")</f>
        <v/>
      </c>
      <c r="X1082" s="10">
        <f>IF(AND(ISNUMBER(Q1082),ISNUMBER(M1082)),IF(M1082&gt;0,Q1082/M1082,""),"")</f>
        <v/>
      </c>
      <c r="Y1082" s="11">
        <f>IF(ISNUMBER(Z1082),YEAR(Z1082),"")</f>
        <v/>
      </c>
      <c r="Z1082" s="12" t="n"/>
      <c r="AA1082" s="12" t="n"/>
      <c r="AI1082" s="12" t="n"/>
      <c r="AJ1082" s="13">
        <f>IF(LEN(TRIM(AF1082))=0,"",HYPERLINK("https://www.google.com/maps/@?api=1&amp;map_action=pano&amp;viewpoint="&amp;SUBSTITUTE(AF1082," ",""),"Abrir Street View"))</f>
        <v/>
      </c>
    </row>
    <row r="1083">
      <c r="H1083" s="6" t="n"/>
      <c r="I1083" s="6" t="n"/>
      <c r="M1083" s="7" t="n"/>
      <c r="N1083" s="7" t="n"/>
      <c r="O1083" s="7" t="n"/>
      <c r="Q1083" s="7" t="n"/>
      <c r="R1083" s="7" t="n"/>
      <c r="S1083" s="8">
        <f>IF(NOT(ISNUMBER(M1083)),"",IF(G1083="Terreno",IF(AND(ISNUMBER(I1083),I1083&gt;0),M1083/I1083,""),IF(AND(ISNUMBER(H1083),H1083&gt;0),M1083/H1083,"")))</f>
        <v/>
      </c>
      <c r="T1083" s="9">
        <f>IF(AND(ISNUMBER(M1083),ISNUMBER(O1083)),IF(M1083&lt;=O1083,"Valor ≤ venal IPTU",""),"")</f>
        <v/>
      </c>
      <c r="U1083" s="10">
        <f>IF(AND(ISNUMBER(M1083),ISNUMBER(N1083)),IF(N1083&gt;0,M1083/N1083,""),"")</f>
        <v/>
      </c>
      <c r="V1083" s="10">
        <f>IF(AND(ISNUMBER(M1083),ISNUMBER(O1083)),IF(O1083&gt;0,M1083/O1083,""),"")</f>
        <v/>
      </c>
      <c r="W1083" s="10">
        <f>IF(AND(ISNUMBER(M1083),ISNUMBER(R1083)),IF(R1083&gt;0,M1083/R1083,""),"")</f>
        <v/>
      </c>
      <c r="X1083" s="10">
        <f>IF(AND(ISNUMBER(Q1083),ISNUMBER(M1083)),IF(M1083&gt;0,Q1083/M1083,""),"")</f>
        <v/>
      </c>
      <c r="Y1083" s="11">
        <f>IF(ISNUMBER(Z1083),YEAR(Z1083),"")</f>
        <v/>
      </c>
      <c r="Z1083" s="12" t="n"/>
      <c r="AA1083" s="12" t="n"/>
      <c r="AI1083" s="12" t="n"/>
      <c r="AJ1083" s="13">
        <f>IF(LEN(TRIM(AF1083))=0,"",HYPERLINK("https://www.google.com/maps/@?api=1&amp;map_action=pano&amp;viewpoint="&amp;SUBSTITUTE(AF1083," ",""),"Abrir Street View"))</f>
        <v/>
      </c>
    </row>
    <row r="1084">
      <c r="H1084" s="6" t="n"/>
      <c r="I1084" s="6" t="n"/>
      <c r="M1084" s="7" t="n"/>
      <c r="N1084" s="7" t="n"/>
      <c r="O1084" s="7" t="n"/>
      <c r="Q1084" s="7" t="n"/>
      <c r="R1084" s="7" t="n"/>
      <c r="S1084" s="8">
        <f>IF(NOT(ISNUMBER(M1084)),"",IF(G1084="Terreno",IF(AND(ISNUMBER(I1084),I1084&gt;0),M1084/I1084,""),IF(AND(ISNUMBER(H1084),H1084&gt;0),M1084/H1084,"")))</f>
        <v/>
      </c>
      <c r="T1084" s="9">
        <f>IF(AND(ISNUMBER(M1084),ISNUMBER(O1084)),IF(M1084&lt;=O1084,"Valor ≤ venal IPTU",""),"")</f>
        <v/>
      </c>
      <c r="U1084" s="10">
        <f>IF(AND(ISNUMBER(M1084),ISNUMBER(N1084)),IF(N1084&gt;0,M1084/N1084,""),"")</f>
        <v/>
      </c>
      <c r="V1084" s="10">
        <f>IF(AND(ISNUMBER(M1084),ISNUMBER(O1084)),IF(O1084&gt;0,M1084/O1084,""),"")</f>
        <v/>
      </c>
      <c r="W1084" s="10">
        <f>IF(AND(ISNUMBER(M1084),ISNUMBER(R1084)),IF(R1084&gt;0,M1084/R1084,""),"")</f>
        <v/>
      </c>
      <c r="X1084" s="10">
        <f>IF(AND(ISNUMBER(Q1084),ISNUMBER(M1084)),IF(M1084&gt;0,Q1084/M1084,""),"")</f>
        <v/>
      </c>
      <c r="Y1084" s="11">
        <f>IF(ISNUMBER(Z1084),YEAR(Z1084),"")</f>
        <v/>
      </c>
      <c r="Z1084" s="12" t="n"/>
      <c r="AA1084" s="12" t="n"/>
      <c r="AI1084" s="12" t="n"/>
      <c r="AJ1084" s="13">
        <f>IF(LEN(TRIM(AF1084))=0,"",HYPERLINK("https://www.google.com/maps/@?api=1&amp;map_action=pano&amp;viewpoint="&amp;SUBSTITUTE(AF1084," ",""),"Abrir Street View"))</f>
        <v/>
      </c>
    </row>
    <row r="1085">
      <c r="H1085" s="6" t="n"/>
      <c r="I1085" s="6" t="n"/>
      <c r="M1085" s="7" t="n"/>
      <c r="N1085" s="7" t="n"/>
      <c r="O1085" s="7" t="n"/>
      <c r="Q1085" s="7" t="n"/>
      <c r="R1085" s="7" t="n"/>
      <c r="S1085" s="8">
        <f>IF(NOT(ISNUMBER(M1085)),"",IF(G1085="Terreno",IF(AND(ISNUMBER(I1085),I1085&gt;0),M1085/I1085,""),IF(AND(ISNUMBER(H1085),H1085&gt;0),M1085/H1085,"")))</f>
        <v/>
      </c>
      <c r="T1085" s="9">
        <f>IF(AND(ISNUMBER(M1085),ISNUMBER(O1085)),IF(M1085&lt;=O1085,"Valor ≤ venal IPTU",""),"")</f>
        <v/>
      </c>
      <c r="U1085" s="10">
        <f>IF(AND(ISNUMBER(M1085),ISNUMBER(N1085)),IF(N1085&gt;0,M1085/N1085,""),"")</f>
        <v/>
      </c>
      <c r="V1085" s="10">
        <f>IF(AND(ISNUMBER(M1085),ISNUMBER(O1085)),IF(O1085&gt;0,M1085/O1085,""),"")</f>
        <v/>
      </c>
      <c r="W1085" s="10">
        <f>IF(AND(ISNUMBER(M1085),ISNUMBER(R1085)),IF(R1085&gt;0,M1085/R1085,""),"")</f>
        <v/>
      </c>
      <c r="X1085" s="10">
        <f>IF(AND(ISNUMBER(Q1085),ISNUMBER(M1085)),IF(M1085&gt;0,Q1085/M1085,""),"")</f>
        <v/>
      </c>
      <c r="Y1085" s="11">
        <f>IF(ISNUMBER(Z1085),YEAR(Z1085),"")</f>
        <v/>
      </c>
      <c r="Z1085" s="12" t="n"/>
      <c r="AA1085" s="12" t="n"/>
      <c r="AI1085" s="12" t="n"/>
      <c r="AJ1085" s="13">
        <f>IF(LEN(TRIM(AF1085))=0,"",HYPERLINK("https://www.google.com/maps/@?api=1&amp;map_action=pano&amp;viewpoint="&amp;SUBSTITUTE(AF1085," ",""),"Abrir Street View"))</f>
        <v/>
      </c>
    </row>
    <row r="1086">
      <c r="H1086" s="6" t="n"/>
      <c r="I1086" s="6" t="n"/>
      <c r="M1086" s="7" t="n"/>
      <c r="N1086" s="7" t="n"/>
      <c r="O1086" s="7" t="n"/>
      <c r="Q1086" s="7" t="n"/>
      <c r="R1086" s="7" t="n"/>
      <c r="S1086" s="8">
        <f>IF(NOT(ISNUMBER(M1086)),"",IF(G1086="Terreno",IF(AND(ISNUMBER(I1086),I1086&gt;0),M1086/I1086,""),IF(AND(ISNUMBER(H1086),H1086&gt;0),M1086/H1086,"")))</f>
        <v/>
      </c>
      <c r="T1086" s="9">
        <f>IF(AND(ISNUMBER(M1086),ISNUMBER(O1086)),IF(M1086&lt;=O1086,"Valor ≤ venal IPTU",""),"")</f>
        <v/>
      </c>
      <c r="U1086" s="10">
        <f>IF(AND(ISNUMBER(M1086),ISNUMBER(N1086)),IF(N1086&gt;0,M1086/N1086,""),"")</f>
        <v/>
      </c>
      <c r="V1086" s="10">
        <f>IF(AND(ISNUMBER(M1086),ISNUMBER(O1086)),IF(O1086&gt;0,M1086/O1086,""),"")</f>
        <v/>
      </c>
      <c r="W1086" s="10">
        <f>IF(AND(ISNUMBER(M1086),ISNUMBER(R1086)),IF(R1086&gt;0,M1086/R1086,""),"")</f>
        <v/>
      </c>
      <c r="X1086" s="10">
        <f>IF(AND(ISNUMBER(Q1086),ISNUMBER(M1086)),IF(M1086&gt;0,Q1086/M1086,""),"")</f>
        <v/>
      </c>
      <c r="Y1086" s="11">
        <f>IF(ISNUMBER(Z1086),YEAR(Z1086),"")</f>
        <v/>
      </c>
      <c r="Z1086" s="12" t="n"/>
      <c r="AA1086" s="12" t="n"/>
      <c r="AI1086" s="12" t="n"/>
      <c r="AJ1086" s="13">
        <f>IF(LEN(TRIM(AF1086))=0,"",HYPERLINK("https://www.google.com/maps/@?api=1&amp;map_action=pano&amp;viewpoint="&amp;SUBSTITUTE(AF1086," ",""),"Abrir Street View"))</f>
        <v/>
      </c>
    </row>
    <row r="1087">
      <c r="H1087" s="6" t="n"/>
      <c r="I1087" s="6" t="n"/>
      <c r="M1087" s="7" t="n"/>
      <c r="N1087" s="7" t="n"/>
      <c r="O1087" s="7" t="n"/>
      <c r="Q1087" s="7" t="n"/>
      <c r="R1087" s="7" t="n"/>
      <c r="S1087" s="8">
        <f>IF(NOT(ISNUMBER(M1087)),"",IF(G1087="Terreno",IF(AND(ISNUMBER(I1087),I1087&gt;0),M1087/I1087,""),IF(AND(ISNUMBER(H1087),H1087&gt;0),M1087/H1087,"")))</f>
        <v/>
      </c>
      <c r="T1087" s="9">
        <f>IF(AND(ISNUMBER(M1087),ISNUMBER(O1087)),IF(M1087&lt;=O1087,"Valor ≤ venal IPTU",""),"")</f>
        <v/>
      </c>
      <c r="U1087" s="10">
        <f>IF(AND(ISNUMBER(M1087),ISNUMBER(N1087)),IF(N1087&gt;0,M1087/N1087,""),"")</f>
        <v/>
      </c>
      <c r="V1087" s="10">
        <f>IF(AND(ISNUMBER(M1087),ISNUMBER(O1087)),IF(O1087&gt;0,M1087/O1087,""),"")</f>
        <v/>
      </c>
      <c r="W1087" s="10">
        <f>IF(AND(ISNUMBER(M1087),ISNUMBER(R1087)),IF(R1087&gt;0,M1087/R1087,""),"")</f>
        <v/>
      </c>
      <c r="X1087" s="10">
        <f>IF(AND(ISNUMBER(Q1087),ISNUMBER(M1087)),IF(M1087&gt;0,Q1087/M1087,""),"")</f>
        <v/>
      </c>
      <c r="Y1087" s="11">
        <f>IF(ISNUMBER(Z1087),YEAR(Z1087),"")</f>
        <v/>
      </c>
      <c r="Z1087" s="12" t="n"/>
      <c r="AA1087" s="12" t="n"/>
      <c r="AI1087" s="12" t="n"/>
      <c r="AJ1087" s="13">
        <f>IF(LEN(TRIM(AF1087))=0,"",HYPERLINK("https://www.google.com/maps/@?api=1&amp;map_action=pano&amp;viewpoint="&amp;SUBSTITUTE(AF1087," ",""),"Abrir Street View"))</f>
        <v/>
      </c>
    </row>
    <row r="1088">
      <c r="H1088" s="6" t="n"/>
      <c r="I1088" s="6" t="n"/>
      <c r="M1088" s="7" t="n"/>
      <c r="N1088" s="7" t="n"/>
      <c r="O1088" s="7" t="n"/>
      <c r="Q1088" s="7" t="n"/>
      <c r="R1088" s="7" t="n"/>
      <c r="S1088" s="8">
        <f>IF(NOT(ISNUMBER(M1088)),"",IF(G1088="Terreno",IF(AND(ISNUMBER(I1088),I1088&gt;0),M1088/I1088,""),IF(AND(ISNUMBER(H1088),H1088&gt;0),M1088/H1088,"")))</f>
        <v/>
      </c>
      <c r="T1088" s="9">
        <f>IF(AND(ISNUMBER(M1088),ISNUMBER(O1088)),IF(M1088&lt;=O1088,"Valor ≤ venal IPTU",""),"")</f>
        <v/>
      </c>
      <c r="U1088" s="10">
        <f>IF(AND(ISNUMBER(M1088),ISNUMBER(N1088)),IF(N1088&gt;0,M1088/N1088,""),"")</f>
        <v/>
      </c>
      <c r="V1088" s="10">
        <f>IF(AND(ISNUMBER(M1088),ISNUMBER(O1088)),IF(O1088&gt;0,M1088/O1088,""),"")</f>
        <v/>
      </c>
      <c r="W1088" s="10">
        <f>IF(AND(ISNUMBER(M1088),ISNUMBER(R1088)),IF(R1088&gt;0,M1088/R1088,""),"")</f>
        <v/>
      </c>
      <c r="X1088" s="10">
        <f>IF(AND(ISNUMBER(Q1088),ISNUMBER(M1088)),IF(M1088&gt;0,Q1088/M1088,""),"")</f>
        <v/>
      </c>
      <c r="Y1088" s="11">
        <f>IF(ISNUMBER(Z1088),YEAR(Z1088),"")</f>
        <v/>
      </c>
      <c r="Z1088" s="12" t="n"/>
      <c r="AA1088" s="12" t="n"/>
      <c r="AI1088" s="12" t="n"/>
      <c r="AJ1088" s="13">
        <f>IF(LEN(TRIM(AF1088))=0,"",HYPERLINK("https://www.google.com/maps/@?api=1&amp;map_action=pano&amp;viewpoint="&amp;SUBSTITUTE(AF1088," ",""),"Abrir Street View"))</f>
        <v/>
      </c>
    </row>
    <row r="1089">
      <c r="H1089" s="6" t="n"/>
      <c r="I1089" s="6" t="n"/>
      <c r="M1089" s="7" t="n"/>
      <c r="N1089" s="7" t="n"/>
      <c r="O1089" s="7" t="n"/>
      <c r="Q1089" s="7" t="n"/>
      <c r="R1089" s="7" t="n"/>
      <c r="S1089" s="8">
        <f>IF(NOT(ISNUMBER(M1089)),"",IF(G1089="Terreno",IF(AND(ISNUMBER(I1089),I1089&gt;0),M1089/I1089,""),IF(AND(ISNUMBER(H1089),H1089&gt;0),M1089/H1089,"")))</f>
        <v/>
      </c>
      <c r="T1089" s="9">
        <f>IF(AND(ISNUMBER(M1089),ISNUMBER(O1089)),IF(M1089&lt;=O1089,"Valor ≤ venal IPTU",""),"")</f>
        <v/>
      </c>
      <c r="U1089" s="10">
        <f>IF(AND(ISNUMBER(M1089),ISNUMBER(N1089)),IF(N1089&gt;0,M1089/N1089,""),"")</f>
        <v/>
      </c>
      <c r="V1089" s="10">
        <f>IF(AND(ISNUMBER(M1089),ISNUMBER(O1089)),IF(O1089&gt;0,M1089/O1089,""),"")</f>
        <v/>
      </c>
      <c r="W1089" s="10">
        <f>IF(AND(ISNUMBER(M1089),ISNUMBER(R1089)),IF(R1089&gt;0,M1089/R1089,""),"")</f>
        <v/>
      </c>
      <c r="X1089" s="10">
        <f>IF(AND(ISNUMBER(Q1089),ISNUMBER(M1089)),IF(M1089&gt;0,Q1089/M1089,""),"")</f>
        <v/>
      </c>
      <c r="Y1089" s="11">
        <f>IF(ISNUMBER(Z1089),YEAR(Z1089),"")</f>
        <v/>
      </c>
      <c r="Z1089" s="12" t="n"/>
      <c r="AA1089" s="12" t="n"/>
      <c r="AI1089" s="12" t="n"/>
      <c r="AJ1089" s="13">
        <f>IF(LEN(TRIM(AF1089))=0,"",HYPERLINK("https://www.google.com/maps/@?api=1&amp;map_action=pano&amp;viewpoint="&amp;SUBSTITUTE(AF1089," ",""),"Abrir Street View"))</f>
        <v/>
      </c>
    </row>
    <row r="1090">
      <c r="H1090" s="6" t="n"/>
      <c r="I1090" s="6" t="n"/>
      <c r="M1090" s="7" t="n"/>
      <c r="N1090" s="7" t="n"/>
      <c r="O1090" s="7" t="n"/>
      <c r="Q1090" s="7" t="n"/>
      <c r="R1090" s="7" t="n"/>
      <c r="S1090" s="8">
        <f>IF(NOT(ISNUMBER(M1090)),"",IF(G1090="Terreno",IF(AND(ISNUMBER(I1090),I1090&gt;0),M1090/I1090,""),IF(AND(ISNUMBER(H1090),H1090&gt;0),M1090/H1090,"")))</f>
        <v/>
      </c>
      <c r="T1090" s="9">
        <f>IF(AND(ISNUMBER(M1090),ISNUMBER(O1090)),IF(M1090&lt;=O1090,"Valor ≤ venal IPTU",""),"")</f>
        <v/>
      </c>
      <c r="U1090" s="10">
        <f>IF(AND(ISNUMBER(M1090),ISNUMBER(N1090)),IF(N1090&gt;0,M1090/N1090,""),"")</f>
        <v/>
      </c>
      <c r="V1090" s="10">
        <f>IF(AND(ISNUMBER(M1090),ISNUMBER(O1090)),IF(O1090&gt;0,M1090/O1090,""),"")</f>
        <v/>
      </c>
      <c r="W1090" s="10">
        <f>IF(AND(ISNUMBER(M1090),ISNUMBER(R1090)),IF(R1090&gt;0,M1090/R1090,""),"")</f>
        <v/>
      </c>
      <c r="X1090" s="10">
        <f>IF(AND(ISNUMBER(Q1090),ISNUMBER(M1090)),IF(M1090&gt;0,Q1090/M1090,""),"")</f>
        <v/>
      </c>
      <c r="Y1090" s="11">
        <f>IF(ISNUMBER(Z1090),YEAR(Z1090),"")</f>
        <v/>
      </c>
      <c r="Z1090" s="12" t="n"/>
      <c r="AA1090" s="12" t="n"/>
      <c r="AI1090" s="12" t="n"/>
      <c r="AJ1090" s="13">
        <f>IF(LEN(TRIM(AF1090))=0,"",HYPERLINK("https://www.google.com/maps/@?api=1&amp;map_action=pano&amp;viewpoint="&amp;SUBSTITUTE(AF1090," ",""),"Abrir Street View"))</f>
        <v/>
      </c>
    </row>
    <row r="1091">
      <c r="H1091" s="6" t="n"/>
      <c r="I1091" s="6" t="n"/>
      <c r="M1091" s="7" t="n"/>
      <c r="N1091" s="7" t="n"/>
      <c r="O1091" s="7" t="n"/>
      <c r="Q1091" s="7" t="n"/>
      <c r="R1091" s="7" t="n"/>
      <c r="S1091" s="8">
        <f>IF(NOT(ISNUMBER(M1091)),"",IF(G1091="Terreno",IF(AND(ISNUMBER(I1091),I1091&gt;0),M1091/I1091,""),IF(AND(ISNUMBER(H1091),H1091&gt;0),M1091/H1091,"")))</f>
        <v/>
      </c>
      <c r="T1091" s="9">
        <f>IF(AND(ISNUMBER(M1091),ISNUMBER(O1091)),IF(M1091&lt;=O1091,"Valor ≤ venal IPTU",""),"")</f>
        <v/>
      </c>
      <c r="U1091" s="10">
        <f>IF(AND(ISNUMBER(M1091),ISNUMBER(N1091)),IF(N1091&gt;0,M1091/N1091,""),"")</f>
        <v/>
      </c>
      <c r="V1091" s="10">
        <f>IF(AND(ISNUMBER(M1091),ISNUMBER(O1091)),IF(O1091&gt;0,M1091/O1091,""),"")</f>
        <v/>
      </c>
      <c r="W1091" s="10">
        <f>IF(AND(ISNUMBER(M1091),ISNUMBER(R1091)),IF(R1091&gt;0,M1091/R1091,""),"")</f>
        <v/>
      </c>
      <c r="X1091" s="10">
        <f>IF(AND(ISNUMBER(Q1091),ISNUMBER(M1091)),IF(M1091&gt;0,Q1091/M1091,""),"")</f>
        <v/>
      </c>
      <c r="Y1091" s="11">
        <f>IF(ISNUMBER(Z1091),YEAR(Z1091),"")</f>
        <v/>
      </c>
      <c r="Z1091" s="12" t="n"/>
      <c r="AA1091" s="12" t="n"/>
      <c r="AI1091" s="12" t="n"/>
      <c r="AJ1091" s="13">
        <f>IF(LEN(TRIM(AF1091))=0,"",HYPERLINK("https://www.google.com/maps/@?api=1&amp;map_action=pano&amp;viewpoint="&amp;SUBSTITUTE(AF1091," ",""),"Abrir Street View"))</f>
        <v/>
      </c>
    </row>
    <row r="1092">
      <c r="H1092" s="6" t="n"/>
      <c r="I1092" s="6" t="n"/>
      <c r="M1092" s="7" t="n"/>
      <c r="N1092" s="7" t="n"/>
      <c r="O1092" s="7" t="n"/>
      <c r="Q1092" s="7" t="n"/>
      <c r="R1092" s="7" t="n"/>
      <c r="S1092" s="8">
        <f>IF(NOT(ISNUMBER(M1092)),"",IF(G1092="Terreno",IF(AND(ISNUMBER(I1092),I1092&gt;0),M1092/I1092,""),IF(AND(ISNUMBER(H1092),H1092&gt;0),M1092/H1092,"")))</f>
        <v/>
      </c>
      <c r="T1092" s="9">
        <f>IF(AND(ISNUMBER(M1092),ISNUMBER(O1092)),IF(M1092&lt;=O1092,"Valor ≤ venal IPTU",""),"")</f>
        <v/>
      </c>
      <c r="U1092" s="10">
        <f>IF(AND(ISNUMBER(M1092),ISNUMBER(N1092)),IF(N1092&gt;0,M1092/N1092,""),"")</f>
        <v/>
      </c>
      <c r="V1092" s="10">
        <f>IF(AND(ISNUMBER(M1092),ISNUMBER(O1092)),IF(O1092&gt;0,M1092/O1092,""),"")</f>
        <v/>
      </c>
      <c r="W1092" s="10">
        <f>IF(AND(ISNUMBER(M1092),ISNUMBER(R1092)),IF(R1092&gt;0,M1092/R1092,""),"")</f>
        <v/>
      </c>
      <c r="X1092" s="10">
        <f>IF(AND(ISNUMBER(Q1092),ISNUMBER(M1092)),IF(M1092&gt;0,Q1092/M1092,""),"")</f>
        <v/>
      </c>
      <c r="Y1092" s="11">
        <f>IF(ISNUMBER(Z1092),YEAR(Z1092),"")</f>
        <v/>
      </c>
      <c r="Z1092" s="12" t="n"/>
      <c r="AA1092" s="12" t="n"/>
      <c r="AI1092" s="12" t="n"/>
      <c r="AJ1092" s="13">
        <f>IF(LEN(TRIM(AF1092))=0,"",HYPERLINK("https://www.google.com/maps/@?api=1&amp;map_action=pano&amp;viewpoint="&amp;SUBSTITUTE(AF1092," ",""),"Abrir Street View"))</f>
        <v/>
      </c>
    </row>
    <row r="1093">
      <c r="H1093" s="6" t="n"/>
      <c r="I1093" s="6" t="n"/>
      <c r="M1093" s="7" t="n"/>
      <c r="N1093" s="7" t="n"/>
      <c r="O1093" s="7" t="n"/>
      <c r="Q1093" s="7" t="n"/>
      <c r="R1093" s="7" t="n"/>
      <c r="S1093" s="8">
        <f>IF(NOT(ISNUMBER(M1093)),"",IF(G1093="Terreno",IF(AND(ISNUMBER(I1093),I1093&gt;0),M1093/I1093,""),IF(AND(ISNUMBER(H1093),H1093&gt;0),M1093/H1093,"")))</f>
        <v/>
      </c>
      <c r="T1093" s="9">
        <f>IF(AND(ISNUMBER(M1093),ISNUMBER(O1093)),IF(M1093&lt;=O1093,"Valor ≤ venal IPTU",""),"")</f>
        <v/>
      </c>
      <c r="U1093" s="10">
        <f>IF(AND(ISNUMBER(M1093),ISNUMBER(N1093)),IF(N1093&gt;0,M1093/N1093,""),"")</f>
        <v/>
      </c>
      <c r="V1093" s="10">
        <f>IF(AND(ISNUMBER(M1093),ISNUMBER(O1093)),IF(O1093&gt;0,M1093/O1093,""),"")</f>
        <v/>
      </c>
      <c r="W1093" s="10">
        <f>IF(AND(ISNUMBER(M1093),ISNUMBER(R1093)),IF(R1093&gt;0,M1093/R1093,""),"")</f>
        <v/>
      </c>
      <c r="X1093" s="10">
        <f>IF(AND(ISNUMBER(Q1093),ISNUMBER(M1093)),IF(M1093&gt;0,Q1093/M1093,""),"")</f>
        <v/>
      </c>
      <c r="Y1093" s="11">
        <f>IF(ISNUMBER(Z1093),YEAR(Z1093),"")</f>
        <v/>
      </c>
      <c r="Z1093" s="12" t="n"/>
      <c r="AA1093" s="12" t="n"/>
      <c r="AI1093" s="12" t="n"/>
      <c r="AJ1093" s="13">
        <f>IF(LEN(TRIM(AF1093))=0,"",HYPERLINK("https://www.google.com/maps/@?api=1&amp;map_action=pano&amp;viewpoint="&amp;SUBSTITUTE(AF1093," ",""),"Abrir Street View"))</f>
        <v/>
      </c>
    </row>
    <row r="1094">
      <c r="H1094" s="6" t="n"/>
      <c r="I1094" s="6" t="n"/>
      <c r="M1094" s="7" t="n"/>
      <c r="N1094" s="7" t="n"/>
      <c r="O1094" s="7" t="n"/>
      <c r="Q1094" s="7" t="n"/>
      <c r="R1094" s="7" t="n"/>
      <c r="S1094" s="8">
        <f>IF(NOT(ISNUMBER(M1094)),"",IF(G1094="Terreno",IF(AND(ISNUMBER(I1094),I1094&gt;0),M1094/I1094,""),IF(AND(ISNUMBER(H1094),H1094&gt;0),M1094/H1094,"")))</f>
        <v/>
      </c>
      <c r="T1094" s="9">
        <f>IF(AND(ISNUMBER(M1094),ISNUMBER(O1094)),IF(M1094&lt;=O1094,"Valor ≤ venal IPTU",""),"")</f>
        <v/>
      </c>
      <c r="U1094" s="10">
        <f>IF(AND(ISNUMBER(M1094),ISNUMBER(N1094)),IF(N1094&gt;0,M1094/N1094,""),"")</f>
        <v/>
      </c>
      <c r="V1094" s="10">
        <f>IF(AND(ISNUMBER(M1094),ISNUMBER(O1094)),IF(O1094&gt;0,M1094/O1094,""),"")</f>
        <v/>
      </c>
      <c r="W1094" s="10">
        <f>IF(AND(ISNUMBER(M1094),ISNUMBER(R1094)),IF(R1094&gt;0,M1094/R1094,""),"")</f>
        <v/>
      </c>
      <c r="X1094" s="10">
        <f>IF(AND(ISNUMBER(Q1094),ISNUMBER(M1094)),IF(M1094&gt;0,Q1094/M1094,""),"")</f>
        <v/>
      </c>
      <c r="Y1094" s="11">
        <f>IF(ISNUMBER(Z1094),YEAR(Z1094),"")</f>
        <v/>
      </c>
      <c r="Z1094" s="12" t="n"/>
      <c r="AA1094" s="12" t="n"/>
      <c r="AI1094" s="12" t="n"/>
      <c r="AJ1094" s="13">
        <f>IF(LEN(TRIM(AF1094))=0,"",HYPERLINK("https://www.google.com/maps/@?api=1&amp;map_action=pano&amp;viewpoint="&amp;SUBSTITUTE(AF1094," ",""),"Abrir Street View"))</f>
        <v/>
      </c>
    </row>
    <row r="1095">
      <c r="H1095" s="6" t="n"/>
      <c r="I1095" s="6" t="n"/>
      <c r="M1095" s="7" t="n"/>
      <c r="N1095" s="7" t="n"/>
      <c r="O1095" s="7" t="n"/>
      <c r="Q1095" s="7" t="n"/>
      <c r="R1095" s="7" t="n"/>
      <c r="S1095" s="8">
        <f>IF(NOT(ISNUMBER(M1095)),"",IF(G1095="Terreno",IF(AND(ISNUMBER(I1095),I1095&gt;0),M1095/I1095,""),IF(AND(ISNUMBER(H1095),H1095&gt;0),M1095/H1095,"")))</f>
        <v/>
      </c>
      <c r="T1095" s="9">
        <f>IF(AND(ISNUMBER(M1095),ISNUMBER(O1095)),IF(M1095&lt;=O1095,"Valor ≤ venal IPTU",""),"")</f>
        <v/>
      </c>
      <c r="U1095" s="10">
        <f>IF(AND(ISNUMBER(M1095),ISNUMBER(N1095)),IF(N1095&gt;0,M1095/N1095,""),"")</f>
        <v/>
      </c>
      <c r="V1095" s="10">
        <f>IF(AND(ISNUMBER(M1095),ISNUMBER(O1095)),IF(O1095&gt;0,M1095/O1095,""),"")</f>
        <v/>
      </c>
      <c r="W1095" s="10">
        <f>IF(AND(ISNUMBER(M1095),ISNUMBER(R1095)),IF(R1095&gt;0,M1095/R1095,""),"")</f>
        <v/>
      </c>
      <c r="X1095" s="10">
        <f>IF(AND(ISNUMBER(Q1095),ISNUMBER(M1095)),IF(M1095&gt;0,Q1095/M1095,""),"")</f>
        <v/>
      </c>
      <c r="Y1095" s="11">
        <f>IF(ISNUMBER(Z1095),YEAR(Z1095),"")</f>
        <v/>
      </c>
      <c r="Z1095" s="12" t="n"/>
      <c r="AA1095" s="12" t="n"/>
      <c r="AI1095" s="12" t="n"/>
      <c r="AJ1095" s="13">
        <f>IF(LEN(TRIM(AF1095))=0,"",HYPERLINK("https://www.google.com/maps/@?api=1&amp;map_action=pano&amp;viewpoint="&amp;SUBSTITUTE(AF1095," ",""),"Abrir Street View"))</f>
        <v/>
      </c>
    </row>
    <row r="1096">
      <c r="H1096" s="6" t="n"/>
      <c r="I1096" s="6" t="n"/>
      <c r="M1096" s="7" t="n"/>
      <c r="N1096" s="7" t="n"/>
      <c r="O1096" s="7" t="n"/>
      <c r="Q1096" s="7" t="n"/>
      <c r="R1096" s="7" t="n"/>
      <c r="S1096" s="8">
        <f>IF(NOT(ISNUMBER(M1096)),"",IF(G1096="Terreno",IF(AND(ISNUMBER(I1096),I1096&gt;0),M1096/I1096,""),IF(AND(ISNUMBER(H1096),H1096&gt;0),M1096/H1096,"")))</f>
        <v/>
      </c>
      <c r="T1096" s="9">
        <f>IF(AND(ISNUMBER(M1096),ISNUMBER(O1096)),IF(M1096&lt;=O1096,"Valor ≤ venal IPTU",""),"")</f>
        <v/>
      </c>
      <c r="U1096" s="10">
        <f>IF(AND(ISNUMBER(M1096),ISNUMBER(N1096)),IF(N1096&gt;0,M1096/N1096,""),"")</f>
        <v/>
      </c>
      <c r="V1096" s="10">
        <f>IF(AND(ISNUMBER(M1096),ISNUMBER(O1096)),IF(O1096&gt;0,M1096/O1096,""),"")</f>
        <v/>
      </c>
      <c r="W1096" s="10">
        <f>IF(AND(ISNUMBER(M1096),ISNUMBER(R1096)),IF(R1096&gt;0,M1096/R1096,""),"")</f>
        <v/>
      </c>
      <c r="X1096" s="10">
        <f>IF(AND(ISNUMBER(Q1096),ISNUMBER(M1096)),IF(M1096&gt;0,Q1096/M1096,""),"")</f>
        <v/>
      </c>
      <c r="Y1096" s="11">
        <f>IF(ISNUMBER(Z1096),YEAR(Z1096),"")</f>
        <v/>
      </c>
      <c r="Z1096" s="12" t="n"/>
      <c r="AA1096" s="12" t="n"/>
      <c r="AI1096" s="12" t="n"/>
      <c r="AJ1096" s="13">
        <f>IF(LEN(TRIM(AF1096))=0,"",HYPERLINK("https://www.google.com/maps/@?api=1&amp;map_action=pano&amp;viewpoint="&amp;SUBSTITUTE(AF1096," ",""),"Abrir Street View"))</f>
        <v/>
      </c>
    </row>
    <row r="1097">
      <c r="H1097" s="6" t="n"/>
      <c r="I1097" s="6" t="n"/>
      <c r="M1097" s="7" t="n"/>
      <c r="N1097" s="7" t="n"/>
      <c r="O1097" s="7" t="n"/>
      <c r="Q1097" s="7" t="n"/>
      <c r="R1097" s="7" t="n"/>
      <c r="S1097" s="8">
        <f>IF(NOT(ISNUMBER(M1097)),"",IF(G1097="Terreno",IF(AND(ISNUMBER(I1097),I1097&gt;0),M1097/I1097,""),IF(AND(ISNUMBER(H1097),H1097&gt;0),M1097/H1097,"")))</f>
        <v/>
      </c>
      <c r="T1097" s="9">
        <f>IF(AND(ISNUMBER(M1097),ISNUMBER(O1097)),IF(M1097&lt;=O1097,"Valor ≤ venal IPTU",""),"")</f>
        <v/>
      </c>
      <c r="U1097" s="10">
        <f>IF(AND(ISNUMBER(M1097),ISNUMBER(N1097)),IF(N1097&gt;0,M1097/N1097,""),"")</f>
        <v/>
      </c>
      <c r="V1097" s="10">
        <f>IF(AND(ISNUMBER(M1097),ISNUMBER(O1097)),IF(O1097&gt;0,M1097/O1097,""),"")</f>
        <v/>
      </c>
      <c r="W1097" s="10">
        <f>IF(AND(ISNUMBER(M1097),ISNUMBER(R1097)),IF(R1097&gt;0,M1097/R1097,""),"")</f>
        <v/>
      </c>
      <c r="X1097" s="10">
        <f>IF(AND(ISNUMBER(Q1097),ISNUMBER(M1097)),IF(M1097&gt;0,Q1097/M1097,""),"")</f>
        <v/>
      </c>
      <c r="Y1097" s="11">
        <f>IF(ISNUMBER(Z1097),YEAR(Z1097),"")</f>
        <v/>
      </c>
      <c r="Z1097" s="12" t="n"/>
      <c r="AA1097" s="12" t="n"/>
      <c r="AI1097" s="12" t="n"/>
      <c r="AJ1097" s="13">
        <f>IF(LEN(TRIM(AF1097))=0,"",HYPERLINK("https://www.google.com/maps/@?api=1&amp;map_action=pano&amp;viewpoint="&amp;SUBSTITUTE(AF1097," ",""),"Abrir Street View"))</f>
        <v/>
      </c>
    </row>
    <row r="1098">
      <c r="H1098" s="6" t="n"/>
      <c r="I1098" s="6" t="n"/>
      <c r="M1098" s="7" t="n"/>
      <c r="N1098" s="7" t="n"/>
      <c r="O1098" s="7" t="n"/>
      <c r="Q1098" s="7" t="n"/>
      <c r="R1098" s="7" t="n"/>
      <c r="S1098" s="8">
        <f>IF(NOT(ISNUMBER(M1098)),"",IF(G1098="Terreno",IF(AND(ISNUMBER(I1098),I1098&gt;0),M1098/I1098,""),IF(AND(ISNUMBER(H1098),H1098&gt;0),M1098/H1098,"")))</f>
        <v/>
      </c>
      <c r="T1098" s="9">
        <f>IF(AND(ISNUMBER(M1098),ISNUMBER(O1098)),IF(M1098&lt;=O1098,"Valor ≤ venal IPTU",""),"")</f>
        <v/>
      </c>
      <c r="U1098" s="10">
        <f>IF(AND(ISNUMBER(M1098),ISNUMBER(N1098)),IF(N1098&gt;0,M1098/N1098,""),"")</f>
        <v/>
      </c>
      <c r="V1098" s="10">
        <f>IF(AND(ISNUMBER(M1098),ISNUMBER(O1098)),IF(O1098&gt;0,M1098/O1098,""),"")</f>
        <v/>
      </c>
      <c r="W1098" s="10">
        <f>IF(AND(ISNUMBER(M1098),ISNUMBER(R1098)),IF(R1098&gt;0,M1098/R1098,""),"")</f>
        <v/>
      </c>
      <c r="X1098" s="10">
        <f>IF(AND(ISNUMBER(Q1098),ISNUMBER(M1098)),IF(M1098&gt;0,Q1098/M1098,""),"")</f>
        <v/>
      </c>
      <c r="Y1098" s="11">
        <f>IF(ISNUMBER(Z1098),YEAR(Z1098),"")</f>
        <v/>
      </c>
      <c r="Z1098" s="12" t="n"/>
      <c r="AA1098" s="12" t="n"/>
      <c r="AI1098" s="12" t="n"/>
      <c r="AJ1098" s="13">
        <f>IF(LEN(TRIM(AF1098))=0,"",HYPERLINK("https://www.google.com/maps/@?api=1&amp;map_action=pano&amp;viewpoint="&amp;SUBSTITUTE(AF1098," ",""),"Abrir Street View"))</f>
        <v/>
      </c>
    </row>
    <row r="1099">
      <c r="H1099" s="6" t="n"/>
      <c r="I1099" s="6" t="n"/>
      <c r="M1099" s="7" t="n"/>
      <c r="N1099" s="7" t="n"/>
      <c r="O1099" s="7" t="n"/>
      <c r="Q1099" s="7" t="n"/>
      <c r="R1099" s="7" t="n"/>
      <c r="S1099" s="8">
        <f>IF(NOT(ISNUMBER(M1099)),"",IF(G1099="Terreno",IF(AND(ISNUMBER(I1099),I1099&gt;0),M1099/I1099,""),IF(AND(ISNUMBER(H1099),H1099&gt;0),M1099/H1099,"")))</f>
        <v/>
      </c>
      <c r="T1099" s="9">
        <f>IF(AND(ISNUMBER(M1099),ISNUMBER(O1099)),IF(M1099&lt;=O1099,"Valor ≤ venal IPTU",""),"")</f>
        <v/>
      </c>
      <c r="U1099" s="10">
        <f>IF(AND(ISNUMBER(M1099),ISNUMBER(N1099)),IF(N1099&gt;0,M1099/N1099,""),"")</f>
        <v/>
      </c>
      <c r="V1099" s="10">
        <f>IF(AND(ISNUMBER(M1099),ISNUMBER(O1099)),IF(O1099&gt;0,M1099/O1099,""),"")</f>
        <v/>
      </c>
      <c r="W1099" s="10">
        <f>IF(AND(ISNUMBER(M1099),ISNUMBER(R1099)),IF(R1099&gt;0,M1099/R1099,""),"")</f>
        <v/>
      </c>
      <c r="X1099" s="10">
        <f>IF(AND(ISNUMBER(Q1099),ISNUMBER(M1099)),IF(M1099&gt;0,Q1099/M1099,""),"")</f>
        <v/>
      </c>
      <c r="Y1099" s="11">
        <f>IF(ISNUMBER(Z1099),YEAR(Z1099),"")</f>
        <v/>
      </c>
      <c r="Z1099" s="12" t="n"/>
      <c r="AA1099" s="12" t="n"/>
      <c r="AI1099" s="12" t="n"/>
      <c r="AJ1099" s="13">
        <f>IF(LEN(TRIM(AF1099))=0,"",HYPERLINK("https://www.google.com/maps/@?api=1&amp;map_action=pano&amp;viewpoint="&amp;SUBSTITUTE(AF1099," ",""),"Abrir Street View"))</f>
        <v/>
      </c>
    </row>
    <row r="1100">
      <c r="H1100" s="6" t="n"/>
      <c r="I1100" s="6" t="n"/>
      <c r="M1100" s="7" t="n"/>
      <c r="N1100" s="7" t="n"/>
      <c r="O1100" s="7" t="n"/>
      <c r="Q1100" s="7" t="n"/>
      <c r="R1100" s="7" t="n"/>
      <c r="S1100" s="8">
        <f>IF(NOT(ISNUMBER(M1100)),"",IF(G1100="Terreno",IF(AND(ISNUMBER(I1100),I1100&gt;0),M1100/I1100,""),IF(AND(ISNUMBER(H1100),H1100&gt;0),M1100/H1100,"")))</f>
        <v/>
      </c>
      <c r="T1100" s="9">
        <f>IF(AND(ISNUMBER(M1100),ISNUMBER(O1100)),IF(M1100&lt;=O1100,"Valor ≤ venal IPTU",""),"")</f>
        <v/>
      </c>
      <c r="U1100" s="10">
        <f>IF(AND(ISNUMBER(M1100),ISNUMBER(N1100)),IF(N1100&gt;0,M1100/N1100,""),"")</f>
        <v/>
      </c>
      <c r="V1100" s="10">
        <f>IF(AND(ISNUMBER(M1100),ISNUMBER(O1100)),IF(O1100&gt;0,M1100/O1100,""),"")</f>
        <v/>
      </c>
      <c r="W1100" s="10">
        <f>IF(AND(ISNUMBER(M1100),ISNUMBER(R1100)),IF(R1100&gt;0,M1100/R1100,""),"")</f>
        <v/>
      </c>
      <c r="X1100" s="10">
        <f>IF(AND(ISNUMBER(Q1100),ISNUMBER(M1100)),IF(M1100&gt;0,Q1100/M1100,""),"")</f>
        <v/>
      </c>
      <c r="Y1100" s="11">
        <f>IF(ISNUMBER(Z1100),YEAR(Z1100),"")</f>
        <v/>
      </c>
      <c r="Z1100" s="12" t="n"/>
      <c r="AA1100" s="12" t="n"/>
      <c r="AI1100" s="12" t="n"/>
      <c r="AJ1100" s="13">
        <f>IF(LEN(TRIM(AF1100))=0,"",HYPERLINK("https://www.google.com/maps/@?api=1&amp;map_action=pano&amp;viewpoint="&amp;SUBSTITUTE(AF1100," ",""),"Abrir Street View"))</f>
        <v/>
      </c>
    </row>
    <row r="1101">
      <c r="H1101" s="6" t="n"/>
      <c r="I1101" s="6" t="n"/>
      <c r="M1101" s="7" t="n"/>
      <c r="N1101" s="7" t="n"/>
      <c r="O1101" s="7" t="n"/>
      <c r="Q1101" s="7" t="n"/>
      <c r="R1101" s="7" t="n"/>
      <c r="S1101" s="8">
        <f>IF(NOT(ISNUMBER(M1101)),"",IF(G1101="Terreno",IF(AND(ISNUMBER(I1101),I1101&gt;0),M1101/I1101,""),IF(AND(ISNUMBER(H1101),H1101&gt;0),M1101/H1101,"")))</f>
        <v/>
      </c>
      <c r="T1101" s="9">
        <f>IF(AND(ISNUMBER(M1101),ISNUMBER(O1101)),IF(M1101&lt;=O1101,"Valor ≤ venal IPTU",""),"")</f>
        <v/>
      </c>
      <c r="U1101" s="10">
        <f>IF(AND(ISNUMBER(M1101),ISNUMBER(N1101)),IF(N1101&gt;0,M1101/N1101,""),"")</f>
        <v/>
      </c>
      <c r="V1101" s="10">
        <f>IF(AND(ISNUMBER(M1101),ISNUMBER(O1101)),IF(O1101&gt;0,M1101/O1101,""),"")</f>
        <v/>
      </c>
      <c r="W1101" s="10">
        <f>IF(AND(ISNUMBER(M1101),ISNUMBER(R1101)),IF(R1101&gt;0,M1101/R1101,""),"")</f>
        <v/>
      </c>
      <c r="X1101" s="10">
        <f>IF(AND(ISNUMBER(Q1101),ISNUMBER(M1101)),IF(M1101&gt;0,Q1101/M1101,""),"")</f>
        <v/>
      </c>
      <c r="Y1101" s="11">
        <f>IF(ISNUMBER(Z1101),YEAR(Z1101),"")</f>
        <v/>
      </c>
      <c r="Z1101" s="12" t="n"/>
      <c r="AA1101" s="12" t="n"/>
      <c r="AI1101" s="12" t="n"/>
      <c r="AJ1101" s="13">
        <f>IF(LEN(TRIM(AF1101))=0,"",HYPERLINK("https://www.google.com/maps/@?api=1&amp;map_action=pano&amp;viewpoint="&amp;SUBSTITUTE(AF1101," ",""),"Abrir Street View"))</f>
        <v/>
      </c>
    </row>
    <row r="1102">
      <c r="H1102" s="6" t="n"/>
      <c r="I1102" s="6" t="n"/>
      <c r="M1102" s="7" t="n"/>
      <c r="N1102" s="7" t="n"/>
      <c r="O1102" s="7" t="n"/>
      <c r="Q1102" s="7" t="n"/>
      <c r="R1102" s="7" t="n"/>
      <c r="S1102" s="8">
        <f>IF(NOT(ISNUMBER(M1102)),"",IF(G1102="Terreno",IF(AND(ISNUMBER(I1102),I1102&gt;0),M1102/I1102,""),IF(AND(ISNUMBER(H1102),H1102&gt;0),M1102/H1102,"")))</f>
        <v/>
      </c>
      <c r="T1102" s="9">
        <f>IF(AND(ISNUMBER(M1102),ISNUMBER(O1102)),IF(M1102&lt;=O1102,"Valor ≤ venal IPTU",""),"")</f>
        <v/>
      </c>
      <c r="U1102" s="10">
        <f>IF(AND(ISNUMBER(M1102),ISNUMBER(N1102)),IF(N1102&gt;0,M1102/N1102,""),"")</f>
        <v/>
      </c>
      <c r="V1102" s="10">
        <f>IF(AND(ISNUMBER(M1102),ISNUMBER(O1102)),IF(O1102&gt;0,M1102/O1102,""),"")</f>
        <v/>
      </c>
      <c r="W1102" s="10">
        <f>IF(AND(ISNUMBER(M1102),ISNUMBER(R1102)),IF(R1102&gt;0,M1102/R1102,""),"")</f>
        <v/>
      </c>
      <c r="X1102" s="10">
        <f>IF(AND(ISNUMBER(Q1102),ISNUMBER(M1102)),IF(M1102&gt;0,Q1102/M1102,""),"")</f>
        <v/>
      </c>
      <c r="Y1102" s="11">
        <f>IF(ISNUMBER(Z1102),YEAR(Z1102),"")</f>
        <v/>
      </c>
      <c r="Z1102" s="12" t="n"/>
      <c r="AA1102" s="12" t="n"/>
      <c r="AI1102" s="12" t="n"/>
      <c r="AJ1102" s="13">
        <f>IF(LEN(TRIM(AF1102))=0,"",HYPERLINK("https://www.google.com/maps/@?api=1&amp;map_action=pano&amp;viewpoint="&amp;SUBSTITUTE(AF1102," ",""),"Abrir Street View"))</f>
        <v/>
      </c>
    </row>
    <row r="1103">
      <c r="H1103" s="6" t="n"/>
      <c r="I1103" s="6" t="n"/>
      <c r="M1103" s="7" t="n"/>
      <c r="N1103" s="7" t="n"/>
      <c r="O1103" s="7" t="n"/>
      <c r="Q1103" s="7" t="n"/>
      <c r="R1103" s="7" t="n"/>
      <c r="S1103" s="8">
        <f>IF(NOT(ISNUMBER(M1103)),"",IF(G1103="Terreno",IF(AND(ISNUMBER(I1103),I1103&gt;0),M1103/I1103,""),IF(AND(ISNUMBER(H1103),H1103&gt;0),M1103/H1103,"")))</f>
        <v/>
      </c>
      <c r="T1103" s="9">
        <f>IF(AND(ISNUMBER(M1103),ISNUMBER(O1103)),IF(M1103&lt;=O1103,"Valor ≤ venal IPTU",""),"")</f>
        <v/>
      </c>
      <c r="U1103" s="10">
        <f>IF(AND(ISNUMBER(M1103),ISNUMBER(N1103)),IF(N1103&gt;0,M1103/N1103,""),"")</f>
        <v/>
      </c>
      <c r="V1103" s="10">
        <f>IF(AND(ISNUMBER(M1103),ISNUMBER(O1103)),IF(O1103&gt;0,M1103/O1103,""),"")</f>
        <v/>
      </c>
      <c r="W1103" s="10">
        <f>IF(AND(ISNUMBER(M1103),ISNUMBER(R1103)),IF(R1103&gt;0,M1103/R1103,""),"")</f>
        <v/>
      </c>
      <c r="X1103" s="10">
        <f>IF(AND(ISNUMBER(Q1103),ISNUMBER(M1103)),IF(M1103&gt;0,Q1103/M1103,""),"")</f>
        <v/>
      </c>
      <c r="Y1103" s="11">
        <f>IF(ISNUMBER(Z1103),YEAR(Z1103),"")</f>
        <v/>
      </c>
      <c r="Z1103" s="12" t="n"/>
      <c r="AA1103" s="12" t="n"/>
      <c r="AI1103" s="12" t="n"/>
      <c r="AJ1103" s="13">
        <f>IF(LEN(TRIM(AF1103))=0,"",HYPERLINK("https://www.google.com/maps/@?api=1&amp;map_action=pano&amp;viewpoint="&amp;SUBSTITUTE(AF1103," ",""),"Abrir Street View"))</f>
        <v/>
      </c>
    </row>
    <row r="1104">
      <c r="H1104" s="6" t="n"/>
      <c r="I1104" s="6" t="n"/>
      <c r="M1104" s="7" t="n"/>
      <c r="N1104" s="7" t="n"/>
      <c r="O1104" s="7" t="n"/>
      <c r="Q1104" s="7" t="n"/>
      <c r="R1104" s="7" t="n"/>
      <c r="S1104" s="8">
        <f>IF(NOT(ISNUMBER(M1104)),"",IF(G1104="Terreno",IF(AND(ISNUMBER(I1104),I1104&gt;0),M1104/I1104,""),IF(AND(ISNUMBER(H1104),H1104&gt;0),M1104/H1104,"")))</f>
        <v/>
      </c>
      <c r="T1104" s="9">
        <f>IF(AND(ISNUMBER(M1104),ISNUMBER(O1104)),IF(M1104&lt;=O1104,"Valor ≤ venal IPTU",""),"")</f>
        <v/>
      </c>
      <c r="U1104" s="10">
        <f>IF(AND(ISNUMBER(M1104),ISNUMBER(N1104)),IF(N1104&gt;0,M1104/N1104,""),"")</f>
        <v/>
      </c>
      <c r="V1104" s="10">
        <f>IF(AND(ISNUMBER(M1104),ISNUMBER(O1104)),IF(O1104&gt;0,M1104/O1104,""),"")</f>
        <v/>
      </c>
      <c r="W1104" s="10">
        <f>IF(AND(ISNUMBER(M1104),ISNUMBER(R1104)),IF(R1104&gt;0,M1104/R1104,""),"")</f>
        <v/>
      </c>
      <c r="X1104" s="10">
        <f>IF(AND(ISNUMBER(Q1104),ISNUMBER(M1104)),IF(M1104&gt;0,Q1104/M1104,""),"")</f>
        <v/>
      </c>
      <c r="Y1104" s="11">
        <f>IF(ISNUMBER(Z1104),YEAR(Z1104),"")</f>
        <v/>
      </c>
      <c r="Z1104" s="12" t="n"/>
      <c r="AA1104" s="12" t="n"/>
      <c r="AI1104" s="12" t="n"/>
      <c r="AJ1104" s="13">
        <f>IF(LEN(TRIM(AF1104))=0,"",HYPERLINK("https://www.google.com/maps/@?api=1&amp;map_action=pano&amp;viewpoint="&amp;SUBSTITUTE(AF1104," ",""),"Abrir Street View"))</f>
        <v/>
      </c>
    </row>
    <row r="1105">
      <c r="H1105" s="6" t="n"/>
      <c r="I1105" s="6" t="n"/>
      <c r="M1105" s="7" t="n"/>
      <c r="N1105" s="7" t="n"/>
      <c r="O1105" s="7" t="n"/>
      <c r="Q1105" s="7" t="n"/>
      <c r="R1105" s="7" t="n"/>
      <c r="S1105" s="8">
        <f>IF(NOT(ISNUMBER(M1105)),"",IF(G1105="Terreno",IF(AND(ISNUMBER(I1105),I1105&gt;0),M1105/I1105,""),IF(AND(ISNUMBER(H1105),H1105&gt;0),M1105/H1105,"")))</f>
        <v/>
      </c>
      <c r="T1105" s="9">
        <f>IF(AND(ISNUMBER(M1105),ISNUMBER(O1105)),IF(M1105&lt;=O1105,"Valor ≤ venal IPTU",""),"")</f>
        <v/>
      </c>
      <c r="U1105" s="10">
        <f>IF(AND(ISNUMBER(M1105),ISNUMBER(N1105)),IF(N1105&gt;0,M1105/N1105,""),"")</f>
        <v/>
      </c>
      <c r="V1105" s="10">
        <f>IF(AND(ISNUMBER(M1105),ISNUMBER(O1105)),IF(O1105&gt;0,M1105/O1105,""),"")</f>
        <v/>
      </c>
      <c r="W1105" s="10">
        <f>IF(AND(ISNUMBER(M1105),ISNUMBER(R1105)),IF(R1105&gt;0,M1105/R1105,""),"")</f>
        <v/>
      </c>
      <c r="X1105" s="10">
        <f>IF(AND(ISNUMBER(Q1105),ISNUMBER(M1105)),IF(M1105&gt;0,Q1105/M1105,""),"")</f>
        <v/>
      </c>
      <c r="Y1105" s="11">
        <f>IF(ISNUMBER(Z1105),YEAR(Z1105),"")</f>
        <v/>
      </c>
      <c r="Z1105" s="12" t="n"/>
      <c r="AA1105" s="12" t="n"/>
      <c r="AI1105" s="12" t="n"/>
      <c r="AJ1105" s="13">
        <f>IF(LEN(TRIM(AF1105))=0,"",HYPERLINK("https://www.google.com/maps/@?api=1&amp;map_action=pano&amp;viewpoint="&amp;SUBSTITUTE(AF1105," ",""),"Abrir Street View"))</f>
        <v/>
      </c>
    </row>
    <row r="1106">
      <c r="H1106" s="6" t="n"/>
      <c r="I1106" s="6" t="n"/>
      <c r="M1106" s="7" t="n"/>
      <c r="N1106" s="7" t="n"/>
      <c r="O1106" s="7" t="n"/>
      <c r="Q1106" s="7" t="n"/>
      <c r="R1106" s="7" t="n"/>
      <c r="S1106" s="8">
        <f>IF(NOT(ISNUMBER(M1106)),"",IF(G1106="Terreno",IF(AND(ISNUMBER(I1106),I1106&gt;0),M1106/I1106,""),IF(AND(ISNUMBER(H1106),H1106&gt;0),M1106/H1106,"")))</f>
        <v/>
      </c>
      <c r="T1106" s="9">
        <f>IF(AND(ISNUMBER(M1106),ISNUMBER(O1106)),IF(M1106&lt;=O1106,"Valor ≤ venal IPTU",""),"")</f>
        <v/>
      </c>
      <c r="U1106" s="10">
        <f>IF(AND(ISNUMBER(M1106),ISNUMBER(N1106)),IF(N1106&gt;0,M1106/N1106,""),"")</f>
        <v/>
      </c>
      <c r="V1106" s="10">
        <f>IF(AND(ISNUMBER(M1106),ISNUMBER(O1106)),IF(O1106&gt;0,M1106/O1106,""),"")</f>
        <v/>
      </c>
      <c r="W1106" s="10">
        <f>IF(AND(ISNUMBER(M1106),ISNUMBER(R1106)),IF(R1106&gt;0,M1106/R1106,""),"")</f>
        <v/>
      </c>
      <c r="X1106" s="10">
        <f>IF(AND(ISNUMBER(Q1106),ISNUMBER(M1106)),IF(M1106&gt;0,Q1106/M1106,""),"")</f>
        <v/>
      </c>
      <c r="Y1106" s="11">
        <f>IF(ISNUMBER(Z1106),YEAR(Z1106),"")</f>
        <v/>
      </c>
      <c r="Z1106" s="12" t="n"/>
      <c r="AA1106" s="12" t="n"/>
      <c r="AI1106" s="12" t="n"/>
      <c r="AJ1106" s="13">
        <f>IF(LEN(TRIM(AF1106))=0,"",HYPERLINK("https://www.google.com/maps/@?api=1&amp;map_action=pano&amp;viewpoint="&amp;SUBSTITUTE(AF1106," ",""),"Abrir Street View"))</f>
        <v/>
      </c>
    </row>
    <row r="1107">
      <c r="H1107" s="6" t="n"/>
      <c r="I1107" s="6" t="n"/>
      <c r="M1107" s="7" t="n"/>
      <c r="N1107" s="7" t="n"/>
      <c r="O1107" s="7" t="n"/>
      <c r="Q1107" s="7" t="n"/>
      <c r="R1107" s="7" t="n"/>
      <c r="S1107" s="8">
        <f>IF(NOT(ISNUMBER(M1107)),"",IF(G1107="Terreno",IF(AND(ISNUMBER(I1107),I1107&gt;0),M1107/I1107,""),IF(AND(ISNUMBER(H1107),H1107&gt;0),M1107/H1107,"")))</f>
        <v/>
      </c>
      <c r="T1107" s="9">
        <f>IF(AND(ISNUMBER(M1107),ISNUMBER(O1107)),IF(M1107&lt;=O1107,"Valor ≤ venal IPTU",""),"")</f>
        <v/>
      </c>
      <c r="U1107" s="10">
        <f>IF(AND(ISNUMBER(M1107),ISNUMBER(N1107)),IF(N1107&gt;0,M1107/N1107,""),"")</f>
        <v/>
      </c>
      <c r="V1107" s="10">
        <f>IF(AND(ISNUMBER(M1107),ISNUMBER(O1107)),IF(O1107&gt;0,M1107/O1107,""),"")</f>
        <v/>
      </c>
      <c r="W1107" s="10">
        <f>IF(AND(ISNUMBER(M1107),ISNUMBER(R1107)),IF(R1107&gt;0,M1107/R1107,""),"")</f>
        <v/>
      </c>
      <c r="X1107" s="10">
        <f>IF(AND(ISNUMBER(Q1107),ISNUMBER(M1107)),IF(M1107&gt;0,Q1107/M1107,""),"")</f>
        <v/>
      </c>
      <c r="Y1107" s="11">
        <f>IF(ISNUMBER(Z1107),YEAR(Z1107),"")</f>
        <v/>
      </c>
      <c r="Z1107" s="12" t="n"/>
      <c r="AA1107" s="12" t="n"/>
      <c r="AI1107" s="12" t="n"/>
      <c r="AJ1107" s="13">
        <f>IF(LEN(TRIM(AF1107))=0,"",HYPERLINK("https://www.google.com/maps/@?api=1&amp;map_action=pano&amp;viewpoint="&amp;SUBSTITUTE(AF1107," ",""),"Abrir Street View"))</f>
        <v/>
      </c>
    </row>
    <row r="1108">
      <c r="H1108" s="6" t="n"/>
      <c r="I1108" s="6" t="n"/>
      <c r="M1108" s="7" t="n"/>
      <c r="N1108" s="7" t="n"/>
      <c r="O1108" s="7" t="n"/>
      <c r="Q1108" s="7" t="n"/>
      <c r="R1108" s="7" t="n"/>
      <c r="S1108" s="8">
        <f>IF(NOT(ISNUMBER(M1108)),"",IF(G1108="Terreno",IF(AND(ISNUMBER(I1108),I1108&gt;0),M1108/I1108,""),IF(AND(ISNUMBER(H1108),H1108&gt;0),M1108/H1108,"")))</f>
        <v/>
      </c>
      <c r="T1108" s="9">
        <f>IF(AND(ISNUMBER(M1108),ISNUMBER(O1108)),IF(M1108&lt;=O1108,"Valor ≤ venal IPTU",""),"")</f>
        <v/>
      </c>
      <c r="U1108" s="10">
        <f>IF(AND(ISNUMBER(M1108),ISNUMBER(N1108)),IF(N1108&gt;0,M1108/N1108,""),"")</f>
        <v/>
      </c>
      <c r="V1108" s="10">
        <f>IF(AND(ISNUMBER(M1108),ISNUMBER(O1108)),IF(O1108&gt;0,M1108/O1108,""),"")</f>
        <v/>
      </c>
      <c r="W1108" s="10">
        <f>IF(AND(ISNUMBER(M1108),ISNUMBER(R1108)),IF(R1108&gt;0,M1108/R1108,""),"")</f>
        <v/>
      </c>
      <c r="X1108" s="10">
        <f>IF(AND(ISNUMBER(Q1108),ISNUMBER(M1108)),IF(M1108&gt;0,Q1108/M1108,""),"")</f>
        <v/>
      </c>
      <c r="Y1108" s="11">
        <f>IF(ISNUMBER(Z1108),YEAR(Z1108),"")</f>
        <v/>
      </c>
      <c r="Z1108" s="12" t="n"/>
      <c r="AA1108" s="12" t="n"/>
      <c r="AI1108" s="12" t="n"/>
      <c r="AJ1108" s="13">
        <f>IF(LEN(TRIM(AF1108))=0,"",HYPERLINK("https://www.google.com/maps/@?api=1&amp;map_action=pano&amp;viewpoint="&amp;SUBSTITUTE(AF1108," ",""),"Abrir Street View"))</f>
        <v/>
      </c>
    </row>
    <row r="1109">
      <c r="H1109" s="6" t="n"/>
      <c r="I1109" s="6" t="n"/>
      <c r="M1109" s="7" t="n"/>
      <c r="N1109" s="7" t="n"/>
      <c r="O1109" s="7" t="n"/>
      <c r="Q1109" s="7" t="n"/>
      <c r="R1109" s="7" t="n"/>
      <c r="S1109" s="8">
        <f>IF(NOT(ISNUMBER(M1109)),"",IF(G1109="Terreno",IF(AND(ISNUMBER(I1109),I1109&gt;0),M1109/I1109,""),IF(AND(ISNUMBER(H1109),H1109&gt;0),M1109/H1109,"")))</f>
        <v/>
      </c>
      <c r="T1109" s="9">
        <f>IF(AND(ISNUMBER(M1109),ISNUMBER(O1109)),IF(M1109&lt;=O1109,"Valor ≤ venal IPTU",""),"")</f>
        <v/>
      </c>
      <c r="U1109" s="10">
        <f>IF(AND(ISNUMBER(M1109),ISNUMBER(N1109)),IF(N1109&gt;0,M1109/N1109,""),"")</f>
        <v/>
      </c>
      <c r="V1109" s="10">
        <f>IF(AND(ISNUMBER(M1109),ISNUMBER(O1109)),IF(O1109&gt;0,M1109/O1109,""),"")</f>
        <v/>
      </c>
      <c r="W1109" s="10">
        <f>IF(AND(ISNUMBER(M1109),ISNUMBER(R1109)),IF(R1109&gt;0,M1109/R1109,""),"")</f>
        <v/>
      </c>
      <c r="X1109" s="10">
        <f>IF(AND(ISNUMBER(Q1109),ISNUMBER(M1109)),IF(M1109&gt;0,Q1109/M1109,""),"")</f>
        <v/>
      </c>
      <c r="Y1109" s="11">
        <f>IF(ISNUMBER(Z1109),YEAR(Z1109),"")</f>
        <v/>
      </c>
      <c r="Z1109" s="12" t="n"/>
      <c r="AA1109" s="12" t="n"/>
      <c r="AI1109" s="12" t="n"/>
      <c r="AJ1109" s="13">
        <f>IF(LEN(TRIM(AF1109))=0,"",HYPERLINK("https://www.google.com/maps/@?api=1&amp;map_action=pano&amp;viewpoint="&amp;SUBSTITUTE(AF1109," ",""),"Abrir Street View"))</f>
        <v/>
      </c>
    </row>
    <row r="1110">
      <c r="H1110" s="6" t="n"/>
      <c r="I1110" s="6" t="n"/>
      <c r="M1110" s="7" t="n"/>
      <c r="N1110" s="7" t="n"/>
      <c r="O1110" s="7" t="n"/>
      <c r="Q1110" s="7" t="n"/>
      <c r="R1110" s="7" t="n"/>
      <c r="S1110" s="8">
        <f>IF(NOT(ISNUMBER(M1110)),"",IF(G1110="Terreno",IF(AND(ISNUMBER(I1110),I1110&gt;0),M1110/I1110,""),IF(AND(ISNUMBER(H1110),H1110&gt;0),M1110/H1110,"")))</f>
        <v/>
      </c>
      <c r="T1110" s="9">
        <f>IF(AND(ISNUMBER(M1110),ISNUMBER(O1110)),IF(M1110&lt;=O1110,"Valor ≤ venal IPTU",""),"")</f>
        <v/>
      </c>
      <c r="U1110" s="10">
        <f>IF(AND(ISNUMBER(M1110),ISNUMBER(N1110)),IF(N1110&gt;0,M1110/N1110,""),"")</f>
        <v/>
      </c>
      <c r="V1110" s="10">
        <f>IF(AND(ISNUMBER(M1110),ISNUMBER(O1110)),IF(O1110&gt;0,M1110/O1110,""),"")</f>
        <v/>
      </c>
      <c r="W1110" s="10">
        <f>IF(AND(ISNUMBER(M1110),ISNUMBER(R1110)),IF(R1110&gt;0,M1110/R1110,""),"")</f>
        <v/>
      </c>
      <c r="X1110" s="10">
        <f>IF(AND(ISNUMBER(Q1110),ISNUMBER(M1110)),IF(M1110&gt;0,Q1110/M1110,""),"")</f>
        <v/>
      </c>
      <c r="Y1110" s="11">
        <f>IF(ISNUMBER(Z1110),YEAR(Z1110),"")</f>
        <v/>
      </c>
      <c r="Z1110" s="12" t="n"/>
      <c r="AA1110" s="12" t="n"/>
      <c r="AI1110" s="12" t="n"/>
      <c r="AJ1110" s="13">
        <f>IF(LEN(TRIM(AF1110))=0,"",HYPERLINK("https://www.google.com/maps/@?api=1&amp;map_action=pano&amp;viewpoint="&amp;SUBSTITUTE(AF1110," ",""),"Abrir Street View"))</f>
        <v/>
      </c>
    </row>
    <row r="1111">
      <c r="H1111" s="6" t="n"/>
      <c r="I1111" s="6" t="n"/>
      <c r="M1111" s="7" t="n"/>
      <c r="N1111" s="7" t="n"/>
      <c r="O1111" s="7" t="n"/>
      <c r="Q1111" s="7" t="n"/>
      <c r="R1111" s="7" t="n"/>
      <c r="S1111" s="8">
        <f>IF(NOT(ISNUMBER(M1111)),"",IF(G1111="Terreno",IF(AND(ISNUMBER(I1111),I1111&gt;0),M1111/I1111,""),IF(AND(ISNUMBER(H1111),H1111&gt;0),M1111/H1111,"")))</f>
        <v/>
      </c>
      <c r="T1111" s="9">
        <f>IF(AND(ISNUMBER(M1111),ISNUMBER(O1111)),IF(M1111&lt;=O1111,"Valor ≤ venal IPTU",""),"")</f>
        <v/>
      </c>
      <c r="U1111" s="10">
        <f>IF(AND(ISNUMBER(M1111),ISNUMBER(N1111)),IF(N1111&gt;0,M1111/N1111,""),"")</f>
        <v/>
      </c>
      <c r="V1111" s="10">
        <f>IF(AND(ISNUMBER(M1111),ISNUMBER(O1111)),IF(O1111&gt;0,M1111/O1111,""),"")</f>
        <v/>
      </c>
      <c r="W1111" s="10">
        <f>IF(AND(ISNUMBER(M1111),ISNUMBER(R1111)),IF(R1111&gt;0,M1111/R1111,""),"")</f>
        <v/>
      </c>
      <c r="X1111" s="10">
        <f>IF(AND(ISNUMBER(Q1111),ISNUMBER(M1111)),IF(M1111&gt;0,Q1111/M1111,""),"")</f>
        <v/>
      </c>
      <c r="Y1111" s="11">
        <f>IF(ISNUMBER(Z1111),YEAR(Z1111),"")</f>
        <v/>
      </c>
      <c r="Z1111" s="12" t="n"/>
      <c r="AA1111" s="12" t="n"/>
      <c r="AI1111" s="12" t="n"/>
      <c r="AJ1111" s="13">
        <f>IF(LEN(TRIM(AF1111))=0,"",HYPERLINK("https://www.google.com/maps/@?api=1&amp;map_action=pano&amp;viewpoint="&amp;SUBSTITUTE(AF1111," ",""),"Abrir Street View"))</f>
        <v/>
      </c>
    </row>
    <row r="1112">
      <c r="H1112" s="6" t="n"/>
      <c r="I1112" s="6" t="n"/>
      <c r="M1112" s="7" t="n"/>
      <c r="N1112" s="7" t="n"/>
      <c r="O1112" s="7" t="n"/>
      <c r="Q1112" s="7" t="n"/>
      <c r="R1112" s="7" t="n"/>
      <c r="S1112" s="8">
        <f>IF(NOT(ISNUMBER(M1112)),"",IF(G1112="Terreno",IF(AND(ISNUMBER(I1112),I1112&gt;0),M1112/I1112,""),IF(AND(ISNUMBER(H1112),H1112&gt;0),M1112/H1112,"")))</f>
        <v/>
      </c>
      <c r="T1112" s="9">
        <f>IF(AND(ISNUMBER(M1112),ISNUMBER(O1112)),IF(M1112&lt;=O1112,"Valor ≤ venal IPTU",""),"")</f>
        <v/>
      </c>
      <c r="U1112" s="10">
        <f>IF(AND(ISNUMBER(M1112),ISNUMBER(N1112)),IF(N1112&gt;0,M1112/N1112,""),"")</f>
        <v/>
      </c>
      <c r="V1112" s="10">
        <f>IF(AND(ISNUMBER(M1112),ISNUMBER(O1112)),IF(O1112&gt;0,M1112/O1112,""),"")</f>
        <v/>
      </c>
      <c r="W1112" s="10">
        <f>IF(AND(ISNUMBER(M1112),ISNUMBER(R1112)),IF(R1112&gt;0,M1112/R1112,""),"")</f>
        <v/>
      </c>
      <c r="X1112" s="10">
        <f>IF(AND(ISNUMBER(Q1112),ISNUMBER(M1112)),IF(M1112&gt;0,Q1112/M1112,""),"")</f>
        <v/>
      </c>
      <c r="Y1112" s="11">
        <f>IF(ISNUMBER(Z1112),YEAR(Z1112),"")</f>
        <v/>
      </c>
      <c r="Z1112" s="12" t="n"/>
      <c r="AA1112" s="12" t="n"/>
      <c r="AI1112" s="12" t="n"/>
      <c r="AJ1112" s="13">
        <f>IF(LEN(TRIM(AF1112))=0,"",HYPERLINK("https://www.google.com/maps/@?api=1&amp;map_action=pano&amp;viewpoint="&amp;SUBSTITUTE(AF1112," ",""),"Abrir Street View"))</f>
        <v/>
      </c>
    </row>
    <row r="1113">
      <c r="H1113" s="6" t="n"/>
      <c r="I1113" s="6" t="n"/>
      <c r="M1113" s="7" t="n"/>
      <c r="N1113" s="7" t="n"/>
      <c r="O1113" s="7" t="n"/>
      <c r="Q1113" s="7" t="n"/>
      <c r="R1113" s="7" t="n"/>
      <c r="S1113" s="8">
        <f>IF(NOT(ISNUMBER(M1113)),"",IF(G1113="Terreno",IF(AND(ISNUMBER(I1113),I1113&gt;0),M1113/I1113,""),IF(AND(ISNUMBER(H1113),H1113&gt;0),M1113/H1113,"")))</f>
        <v/>
      </c>
      <c r="T1113" s="9">
        <f>IF(AND(ISNUMBER(M1113),ISNUMBER(O1113)),IF(M1113&lt;=O1113,"Valor ≤ venal IPTU",""),"")</f>
        <v/>
      </c>
      <c r="U1113" s="10">
        <f>IF(AND(ISNUMBER(M1113),ISNUMBER(N1113)),IF(N1113&gt;0,M1113/N1113,""),"")</f>
        <v/>
      </c>
      <c r="V1113" s="10">
        <f>IF(AND(ISNUMBER(M1113),ISNUMBER(O1113)),IF(O1113&gt;0,M1113/O1113,""),"")</f>
        <v/>
      </c>
      <c r="W1113" s="10">
        <f>IF(AND(ISNUMBER(M1113),ISNUMBER(R1113)),IF(R1113&gt;0,M1113/R1113,""),"")</f>
        <v/>
      </c>
      <c r="X1113" s="10">
        <f>IF(AND(ISNUMBER(Q1113),ISNUMBER(M1113)),IF(M1113&gt;0,Q1113/M1113,""),"")</f>
        <v/>
      </c>
      <c r="Y1113" s="11">
        <f>IF(ISNUMBER(Z1113),YEAR(Z1113),"")</f>
        <v/>
      </c>
      <c r="Z1113" s="12" t="n"/>
      <c r="AA1113" s="12" t="n"/>
      <c r="AI1113" s="12" t="n"/>
      <c r="AJ1113" s="13">
        <f>IF(LEN(TRIM(AF1113))=0,"",HYPERLINK("https://www.google.com/maps/@?api=1&amp;map_action=pano&amp;viewpoint="&amp;SUBSTITUTE(AF1113," ",""),"Abrir Street View"))</f>
        <v/>
      </c>
    </row>
    <row r="1114">
      <c r="H1114" s="6" t="n"/>
      <c r="I1114" s="6" t="n"/>
      <c r="M1114" s="7" t="n"/>
      <c r="N1114" s="7" t="n"/>
      <c r="O1114" s="7" t="n"/>
      <c r="Q1114" s="7" t="n"/>
      <c r="R1114" s="7" t="n"/>
      <c r="S1114" s="8">
        <f>IF(NOT(ISNUMBER(M1114)),"",IF(G1114="Terreno",IF(AND(ISNUMBER(I1114),I1114&gt;0),M1114/I1114,""),IF(AND(ISNUMBER(H1114),H1114&gt;0),M1114/H1114,"")))</f>
        <v/>
      </c>
      <c r="T1114" s="9">
        <f>IF(AND(ISNUMBER(M1114),ISNUMBER(O1114)),IF(M1114&lt;=O1114,"Valor ≤ venal IPTU",""),"")</f>
        <v/>
      </c>
      <c r="U1114" s="10">
        <f>IF(AND(ISNUMBER(M1114),ISNUMBER(N1114)),IF(N1114&gt;0,M1114/N1114,""),"")</f>
        <v/>
      </c>
      <c r="V1114" s="10">
        <f>IF(AND(ISNUMBER(M1114),ISNUMBER(O1114)),IF(O1114&gt;0,M1114/O1114,""),"")</f>
        <v/>
      </c>
      <c r="W1114" s="10">
        <f>IF(AND(ISNUMBER(M1114),ISNUMBER(R1114)),IF(R1114&gt;0,M1114/R1114,""),"")</f>
        <v/>
      </c>
      <c r="X1114" s="10">
        <f>IF(AND(ISNUMBER(Q1114),ISNUMBER(M1114)),IF(M1114&gt;0,Q1114/M1114,""),"")</f>
        <v/>
      </c>
      <c r="Y1114" s="11">
        <f>IF(ISNUMBER(Z1114),YEAR(Z1114),"")</f>
        <v/>
      </c>
      <c r="Z1114" s="12" t="n"/>
      <c r="AA1114" s="12" t="n"/>
      <c r="AI1114" s="12" t="n"/>
      <c r="AJ1114" s="13">
        <f>IF(LEN(TRIM(AF1114))=0,"",HYPERLINK("https://www.google.com/maps/@?api=1&amp;map_action=pano&amp;viewpoint="&amp;SUBSTITUTE(AF1114," ",""),"Abrir Street View"))</f>
        <v/>
      </c>
    </row>
    <row r="1115">
      <c r="H1115" s="6" t="n"/>
      <c r="I1115" s="6" t="n"/>
      <c r="M1115" s="7" t="n"/>
      <c r="N1115" s="7" t="n"/>
      <c r="O1115" s="7" t="n"/>
      <c r="Q1115" s="7" t="n"/>
      <c r="R1115" s="7" t="n"/>
      <c r="S1115" s="8">
        <f>IF(NOT(ISNUMBER(M1115)),"",IF(G1115="Terreno",IF(AND(ISNUMBER(I1115),I1115&gt;0),M1115/I1115,""),IF(AND(ISNUMBER(H1115),H1115&gt;0),M1115/H1115,"")))</f>
        <v/>
      </c>
      <c r="T1115" s="9">
        <f>IF(AND(ISNUMBER(M1115),ISNUMBER(O1115)),IF(M1115&lt;=O1115,"Valor ≤ venal IPTU",""),"")</f>
        <v/>
      </c>
      <c r="U1115" s="10">
        <f>IF(AND(ISNUMBER(M1115),ISNUMBER(N1115)),IF(N1115&gt;0,M1115/N1115,""),"")</f>
        <v/>
      </c>
      <c r="V1115" s="10">
        <f>IF(AND(ISNUMBER(M1115),ISNUMBER(O1115)),IF(O1115&gt;0,M1115/O1115,""),"")</f>
        <v/>
      </c>
      <c r="W1115" s="10">
        <f>IF(AND(ISNUMBER(M1115),ISNUMBER(R1115)),IF(R1115&gt;0,M1115/R1115,""),"")</f>
        <v/>
      </c>
      <c r="X1115" s="10">
        <f>IF(AND(ISNUMBER(Q1115),ISNUMBER(M1115)),IF(M1115&gt;0,Q1115/M1115,""),"")</f>
        <v/>
      </c>
      <c r="Y1115" s="11">
        <f>IF(ISNUMBER(Z1115),YEAR(Z1115),"")</f>
        <v/>
      </c>
      <c r="Z1115" s="12" t="n"/>
      <c r="AA1115" s="12" t="n"/>
      <c r="AI1115" s="12" t="n"/>
      <c r="AJ1115" s="13">
        <f>IF(LEN(TRIM(AF1115))=0,"",HYPERLINK("https://www.google.com/maps/@?api=1&amp;map_action=pano&amp;viewpoint="&amp;SUBSTITUTE(AF1115," ",""),"Abrir Street View"))</f>
        <v/>
      </c>
    </row>
    <row r="1116">
      <c r="H1116" s="6" t="n"/>
      <c r="I1116" s="6" t="n"/>
      <c r="M1116" s="7" t="n"/>
      <c r="N1116" s="7" t="n"/>
      <c r="O1116" s="7" t="n"/>
      <c r="Q1116" s="7" t="n"/>
      <c r="R1116" s="7" t="n"/>
      <c r="S1116" s="8">
        <f>IF(NOT(ISNUMBER(M1116)),"",IF(G1116="Terreno",IF(AND(ISNUMBER(I1116),I1116&gt;0),M1116/I1116,""),IF(AND(ISNUMBER(H1116),H1116&gt;0),M1116/H1116,"")))</f>
        <v/>
      </c>
      <c r="T1116" s="9">
        <f>IF(AND(ISNUMBER(M1116),ISNUMBER(O1116)),IF(M1116&lt;=O1116,"Valor ≤ venal IPTU",""),"")</f>
        <v/>
      </c>
      <c r="U1116" s="10">
        <f>IF(AND(ISNUMBER(M1116),ISNUMBER(N1116)),IF(N1116&gt;0,M1116/N1116,""),"")</f>
        <v/>
      </c>
      <c r="V1116" s="10">
        <f>IF(AND(ISNUMBER(M1116),ISNUMBER(O1116)),IF(O1116&gt;0,M1116/O1116,""),"")</f>
        <v/>
      </c>
      <c r="W1116" s="10">
        <f>IF(AND(ISNUMBER(M1116),ISNUMBER(R1116)),IF(R1116&gt;0,M1116/R1116,""),"")</f>
        <v/>
      </c>
      <c r="X1116" s="10">
        <f>IF(AND(ISNUMBER(Q1116),ISNUMBER(M1116)),IF(M1116&gt;0,Q1116/M1116,""),"")</f>
        <v/>
      </c>
      <c r="Y1116" s="11">
        <f>IF(ISNUMBER(Z1116),YEAR(Z1116),"")</f>
        <v/>
      </c>
      <c r="Z1116" s="12" t="n"/>
      <c r="AA1116" s="12" t="n"/>
      <c r="AI1116" s="12" t="n"/>
      <c r="AJ1116" s="13">
        <f>IF(LEN(TRIM(AF1116))=0,"",HYPERLINK("https://www.google.com/maps/@?api=1&amp;map_action=pano&amp;viewpoint="&amp;SUBSTITUTE(AF1116," ",""),"Abrir Street View"))</f>
        <v/>
      </c>
    </row>
    <row r="1117">
      <c r="H1117" s="6" t="n"/>
      <c r="I1117" s="6" t="n"/>
      <c r="M1117" s="7" t="n"/>
      <c r="N1117" s="7" t="n"/>
      <c r="O1117" s="7" t="n"/>
      <c r="Q1117" s="7" t="n"/>
      <c r="R1117" s="7" t="n"/>
      <c r="S1117" s="8">
        <f>IF(NOT(ISNUMBER(M1117)),"",IF(G1117="Terreno",IF(AND(ISNUMBER(I1117),I1117&gt;0),M1117/I1117,""),IF(AND(ISNUMBER(H1117),H1117&gt;0),M1117/H1117,"")))</f>
        <v/>
      </c>
      <c r="T1117" s="9">
        <f>IF(AND(ISNUMBER(M1117),ISNUMBER(O1117)),IF(M1117&lt;=O1117,"Valor ≤ venal IPTU",""),"")</f>
        <v/>
      </c>
      <c r="U1117" s="10">
        <f>IF(AND(ISNUMBER(M1117),ISNUMBER(N1117)),IF(N1117&gt;0,M1117/N1117,""),"")</f>
        <v/>
      </c>
      <c r="V1117" s="10">
        <f>IF(AND(ISNUMBER(M1117),ISNUMBER(O1117)),IF(O1117&gt;0,M1117/O1117,""),"")</f>
        <v/>
      </c>
      <c r="W1117" s="10">
        <f>IF(AND(ISNUMBER(M1117),ISNUMBER(R1117)),IF(R1117&gt;0,M1117/R1117,""),"")</f>
        <v/>
      </c>
      <c r="X1117" s="10">
        <f>IF(AND(ISNUMBER(Q1117),ISNUMBER(M1117)),IF(M1117&gt;0,Q1117/M1117,""),"")</f>
        <v/>
      </c>
      <c r="Y1117" s="11">
        <f>IF(ISNUMBER(Z1117),YEAR(Z1117),"")</f>
        <v/>
      </c>
      <c r="Z1117" s="12" t="n"/>
      <c r="AA1117" s="12" t="n"/>
      <c r="AI1117" s="12" t="n"/>
      <c r="AJ1117" s="13">
        <f>IF(LEN(TRIM(AF1117))=0,"",HYPERLINK("https://www.google.com/maps/@?api=1&amp;map_action=pano&amp;viewpoint="&amp;SUBSTITUTE(AF1117," ",""),"Abrir Street View"))</f>
        <v/>
      </c>
    </row>
    <row r="1118">
      <c r="H1118" s="6" t="n"/>
      <c r="I1118" s="6" t="n"/>
      <c r="M1118" s="7" t="n"/>
      <c r="N1118" s="7" t="n"/>
      <c r="O1118" s="7" t="n"/>
      <c r="Q1118" s="7" t="n"/>
      <c r="R1118" s="7" t="n"/>
      <c r="S1118" s="8">
        <f>IF(NOT(ISNUMBER(M1118)),"",IF(G1118="Terreno",IF(AND(ISNUMBER(I1118),I1118&gt;0),M1118/I1118,""),IF(AND(ISNUMBER(H1118),H1118&gt;0),M1118/H1118,"")))</f>
        <v/>
      </c>
      <c r="T1118" s="9">
        <f>IF(AND(ISNUMBER(M1118),ISNUMBER(O1118)),IF(M1118&lt;=O1118,"Valor ≤ venal IPTU",""),"")</f>
        <v/>
      </c>
      <c r="U1118" s="10">
        <f>IF(AND(ISNUMBER(M1118),ISNUMBER(N1118)),IF(N1118&gt;0,M1118/N1118,""),"")</f>
        <v/>
      </c>
      <c r="V1118" s="10">
        <f>IF(AND(ISNUMBER(M1118),ISNUMBER(O1118)),IF(O1118&gt;0,M1118/O1118,""),"")</f>
        <v/>
      </c>
      <c r="W1118" s="10">
        <f>IF(AND(ISNUMBER(M1118),ISNUMBER(R1118)),IF(R1118&gt;0,M1118/R1118,""),"")</f>
        <v/>
      </c>
      <c r="X1118" s="10">
        <f>IF(AND(ISNUMBER(Q1118),ISNUMBER(M1118)),IF(M1118&gt;0,Q1118/M1118,""),"")</f>
        <v/>
      </c>
      <c r="Y1118" s="11">
        <f>IF(ISNUMBER(Z1118),YEAR(Z1118),"")</f>
        <v/>
      </c>
      <c r="Z1118" s="12" t="n"/>
      <c r="AA1118" s="12" t="n"/>
      <c r="AI1118" s="12" t="n"/>
      <c r="AJ1118" s="13">
        <f>IF(LEN(TRIM(AF1118))=0,"",HYPERLINK("https://www.google.com/maps/@?api=1&amp;map_action=pano&amp;viewpoint="&amp;SUBSTITUTE(AF1118," ",""),"Abrir Street View"))</f>
        <v/>
      </c>
    </row>
    <row r="1119">
      <c r="H1119" s="6" t="n"/>
      <c r="I1119" s="6" t="n"/>
      <c r="M1119" s="7" t="n"/>
      <c r="N1119" s="7" t="n"/>
      <c r="O1119" s="7" t="n"/>
      <c r="Q1119" s="7" t="n"/>
      <c r="R1119" s="7" t="n"/>
      <c r="S1119" s="8">
        <f>IF(NOT(ISNUMBER(M1119)),"",IF(G1119="Terreno",IF(AND(ISNUMBER(I1119),I1119&gt;0),M1119/I1119,""),IF(AND(ISNUMBER(H1119),H1119&gt;0),M1119/H1119,"")))</f>
        <v/>
      </c>
      <c r="T1119" s="9">
        <f>IF(AND(ISNUMBER(M1119),ISNUMBER(O1119)),IF(M1119&lt;=O1119,"Valor ≤ venal IPTU",""),"")</f>
        <v/>
      </c>
      <c r="U1119" s="10">
        <f>IF(AND(ISNUMBER(M1119),ISNUMBER(N1119)),IF(N1119&gt;0,M1119/N1119,""),"")</f>
        <v/>
      </c>
      <c r="V1119" s="10">
        <f>IF(AND(ISNUMBER(M1119),ISNUMBER(O1119)),IF(O1119&gt;0,M1119/O1119,""),"")</f>
        <v/>
      </c>
      <c r="W1119" s="10">
        <f>IF(AND(ISNUMBER(M1119),ISNUMBER(R1119)),IF(R1119&gt;0,M1119/R1119,""),"")</f>
        <v/>
      </c>
      <c r="X1119" s="10">
        <f>IF(AND(ISNUMBER(Q1119),ISNUMBER(M1119)),IF(M1119&gt;0,Q1119/M1119,""),"")</f>
        <v/>
      </c>
      <c r="Y1119" s="11">
        <f>IF(ISNUMBER(Z1119),YEAR(Z1119),"")</f>
        <v/>
      </c>
      <c r="Z1119" s="12" t="n"/>
      <c r="AA1119" s="12" t="n"/>
      <c r="AI1119" s="12" t="n"/>
      <c r="AJ1119" s="13">
        <f>IF(LEN(TRIM(AF1119))=0,"",HYPERLINK("https://www.google.com/maps/@?api=1&amp;map_action=pano&amp;viewpoint="&amp;SUBSTITUTE(AF1119," ",""),"Abrir Street View"))</f>
        <v/>
      </c>
    </row>
    <row r="1120">
      <c r="H1120" s="6" t="n"/>
      <c r="I1120" s="6" t="n"/>
      <c r="M1120" s="7" t="n"/>
      <c r="N1120" s="7" t="n"/>
      <c r="O1120" s="7" t="n"/>
      <c r="Q1120" s="7" t="n"/>
      <c r="R1120" s="7" t="n"/>
      <c r="S1120" s="8">
        <f>IF(NOT(ISNUMBER(M1120)),"",IF(G1120="Terreno",IF(AND(ISNUMBER(I1120),I1120&gt;0),M1120/I1120,""),IF(AND(ISNUMBER(H1120),H1120&gt;0),M1120/H1120,"")))</f>
        <v/>
      </c>
      <c r="T1120" s="9">
        <f>IF(AND(ISNUMBER(M1120),ISNUMBER(O1120)),IF(M1120&lt;=O1120,"Valor ≤ venal IPTU",""),"")</f>
        <v/>
      </c>
      <c r="U1120" s="10">
        <f>IF(AND(ISNUMBER(M1120),ISNUMBER(N1120)),IF(N1120&gt;0,M1120/N1120,""),"")</f>
        <v/>
      </c>
      <c r="V1120" s="10">
        <f>IF(AND(ISNUMBER(M1120),ISNUMBER(O1120)),IF(O1120&gt;0,M1120/O1120,""),"")</f>
        <v/>
      </c>
      <c r="W1120" s="10">
        <f>IF(AND(ISNUMBER(M1120),ISNUMBER(R1120)),IF(R1120&gt;0,M1120/R1120,""),"")</f>
        <v/>
      </c>
      <c r="X1120" s="10">
        <f>IF(AND(ISNUMBER(Q1120),ISNUMBER(M1120)),IF(M1120&gt;0,Q1120/M1120,""),"")</f>
        <v/>
      </c>
      <c r="Y1120" s="11">
        <f>IF(ISNUMBER(Z1120),YEAR(Z1120),"")</f>
        <v/>
      </c>
      <c r="Z1120" s="12" t="n"/>
      <c r="AA1120" s="12" t="n"/>
      <c r="AI1120" s="12" t="n"/>
      <c r="AJ1120" s="13">
        <f>IF(LEN(TRIM(AF1120))=0,"",HYPERLINK("https://www.google.com/maps/@?api=1&amp;map_action=pano&amp;viewpoint="&amp;SUBSTITUTE(AF1120," ",""),"Abrir Street View"))</f>
        <v/>
      </c>
    </row>
    <row r="1121">
      <c r="H1121" s="6" t="n"/>
      <c r="I1121" s="6" t="n"/>
      <c r="M1121" s="7" t="n"/>
      <c r="N1121" s="7" t="n"/>
      <c r="O1121" s="7" t="n"/>
      <c r="Q1121" s="7" t="n"/>
      <c r="R1121" s="7" t="n"/>
      <c r="S1121" s="8">
        <f>IF(NOT(ISNUMBER(M1121)),"",IF(G1121="Terreno",IF(AND(ISNUMBER(I1121),I1121&gt;0),M1121/I1121,""),IF(AND(ISNUMBER(H1121),H1121&gt;0),M1121/H1121,"")))</f>
        <v/>
      </c>
      <c r="T1121" s="9">
        <f>IF(AND(ISNUMBER(M1121),ISNUMBER(O1121)),IF(M1121&lt;=O1121,"Valor ≤ venal IPTU",""),"")</f>
        <v/>
      </c>
      <c r="U1121" s="10">
        <f>IF(AND(ISNUMBER(M1121),ISNUMBER(N1121)),IF(N1121&gt;0,M1121/N1121,""),"")</f>
        <v/>
      </c>
      <c r="V1121" s="10">
        <f>IF(AND(ISNUMBER(M1121),ISNUMBER(O1121)),IF(O1121&gt;0,M1121/O1121,""),"")</f>
        <v/>
      </c>
      <c r="W1121" s="10">
        <f>IF(AND(ISNUMBER(M1121),ISNUMBER(R1121)),IF(R1121&gt;0,M1121/R1121,""),"")</f>
        <v/>
      </c>
      <c r="X1121" s="10">
        <f>IF(AND(ISNUMBER(Q1121),ISNUMBER(M1121)),IF(M1121&gt;0,Q1121/M1121,""),"")</f>
        <v/>
      </c>
      <c r="Y1121" s="11">
        <f>IF(ISNUMBER(Z1121),YEAR(Z1121),"")</f>
        <v/>
      </c>
      <c r="Z1121" s="12" t="n"/>
      <c r="AA1121" s="12" t="n"/>
      <c r="AI1121" s="12" t="n"/>
      <c r="AJ1121" s="13">
        <f>IF(LEN(TRIM(AF1121))=0,"",HYPERLINK("https://www.google.com/maps/@?api=1&amp;map_action=pano&amp;viewpoint="&amp;SUBSTITUTE(AF1121," ",""),"Abrir Street View"))</f>
        <v/>
      </c>
    </row>
    <row r="1122">
      <c r="H1122" s="6" t="n"/>
      <c r="I1122" s="6" t="n"/>
      <c r="M1122" s="7" t="n"/>
      <c r="N1122" s="7" t="n"/>
      <c r="O1122" s="7" t="n"/>
      <c r="Q1122" s="7" t="n"/>
      <c r="R1122" s="7" t="n"/>
      <c r="S1122" s="8">
        <f>IF(NOT(ISNUMBER(M1122)),"",IF(G1122="Terreno",IF(AND(ISNUMBER(I1122),I1122&gt;0),M1122/I1122,""),IF(AND(ISNUMBER(H1122),H1122&gt;0),M1122/H1122,"")))</f>
        <v/>
      </c>
      <c r="T1122" s="9">
        <f>IF(AND(ISNUMBER(M1122),ISNUMBER(O1122)),IF(M1122&lt;=O1122,"Valor ≤ venal IPTU",""),"")</f>
        <v/>
      </c>
      <c r="U1122" s="10">
        <f>IF(AND(ISNUMBER(M1122),ISNUMBER(N1122)),IF(N1122&gt;0,M1122/N1122,""),"")</f>
        <v/>
      </c>
      <c r="V1122" s="10">
        <f>IF(AND(ISNUMBER(M1122),ISNUMBER(O1122)),IF(O1122&gt;0,M1122/O1122,""),"")</f>
        <v/>
      </c>
      <c r="W1122" s="10">
        <f>IF(AND(ISNUMBER(M1122),ISNUMBER(R1122)),IF(R1122&gt;0,M1122/R1122,""),"")</f>
        <v/>
      </c>
      <c r="X1122" s="10">
        <f>IF(AND(ISNUMBER(Q1122),ISNUMBER(M1122)),IF(M1122&gt;0,Q1122/M1122,""),"")</f>
        <v/>
      </c>
      <c r="Y1122" s="11">
        <f>IF(ISNUMBER(Z1122),YEAR(Z1122),"")</f>
        <v/>
      </c>
      <c r="Z1122" s="12" t="n"/>
      <c r="AA1122" s="12" t="n"/>
      <c r="AI1122" s="12" t="n"/>
      <c r="AJ1122" s="13">
        <f>IF(LEN(TRIM(AF1122))=0,"",HYPERLINK("https://www.google.com/maps/@?api=1&amp;map_action=pano&amp;viewpoint="&amp;SUBSTITUTE(AF1122," ",""),"Abrir Street View"))</f>
        <v/>
      </c>
    </row>
    <row r="1123">
      <c r="H1123" s="6" t="n"/>
      <c r="I1123" s="6" t="n"/>
      <c r="M1123" s="7" t="n"/>
      <c r="N1123" s="7" t="n"/>
      <c r="O1123" s="7" t="n"/>
      <c r="Q1123" s="7" t="n"/>
      <c r="R1123" s="7" t="n"/>
      <c r="S1123" s="8">
        <f>IF(NOT(ISNUMBER(M1123)),"",IF(G1123="Terreno",IF(AND(ISNUMBER(I1123),I1123&gt;0),M1123/I1123,""),IF(AND(ISNUMBER(H1123),H1123&gt;0),M1123/H1123,"")))</f>
        <v/>
      </c>
      <c r="T1123" s="9">
        <f>IF(AND(ISNUMBER(M1123),ISNUMBER(O1123)),IF(M1123&lt;=O1123,"Valor ≤ venal IPTU",""),"")</f>
        <v/>
      </c>
      <c r="U1123" s="10">
        <f>IF(AND(ISNUMBER(M1123),ISNUMBER(N1123)),IF(N1123&gt;0,M1123/N1123,""),"")</f>
        <v/>
      </c>
      <c r="V1123" s="10">
        <f>IF(AND(ISNUMBER(M1123),ISNUMBER(O1123)),IF(O1123&gt;0,M1123/O1123,""),"")</f>
        <v/>
      </c>
      <c r="W1123" s="10">
        <f>IF(AND(ISNUMBER(M1123),ISNUMBER(R1123)),IF(R1123&gt;0,M1123/R1123,""),"")</f>
        <v/>
      </c>
      <c r="X1123" s="10">
        <f>IF(AND(ISNUMBER(Q1123),ISNUMBER(M1123)),IF(M1123&gt;0,Q1123/M1123,""),"")</f>
        <v/>
      </c>
      <c r="Y1123" s="11">
        <f>IF(ISNUMBER(Z1123),YEAR(Z1123),"")</f>
        <v/>
      </c>
      <c r="Z1123" s="12" t="n"/>
      <c r="AA1123" s="12" t="n"/>
      <c r="AI1123" s="12" t="n"/>
      <c r="AJ1123" s="13">
        <f>IF(LEN(TRIM(AF1123))=0,"",HYPERLINK("https://www.google.com/maps/@?api=1&amp;map_action=pano&amp;viewpoint="&amp;SUBSTITUTE(AF1123," ",""),"Abrir Street View"))</f>
        <v/>
      </c>
    </row>
    <row r="1124">
      <c r="H1124" s="6" t="n"/>
      <c r="I1124" s="6" t="n"/>
      <c r="M1124" s="7" t="n"/>
      <c r="N1124" s="7" t="n"/>
      <c r="O1124" s="7" t="n"/>
      <c r="Q1124" s="7" t="n"/>
      <c r="R1124" s="7" t="n"/>
      <c r="S1124" s="8">
        <f>IF(NOT(ISNUMBER(M1124)),"",IF(G1124="Terreno",IF(AND(ISNUMBER(I1124),I1124&gt;0),M1124/I1124,""),IF(AND(ISNUMBER(H1124),H1124&gt;0),M1124/H1124,"")))</f>
        <v/>
      </c>
      <c r="T1124" s="9">
        <f>IF(AND(ISNUMBER(M1124),ISNUMBER(O1124)),IF(M1124&lt;=O1124,"Valor ≤ venal IPTU",""),"")</f>
        <v/>
      </c>
      <c r="U1124" s="10">
        <f>IF(AND(ISNUMBER(M1124),ISNUMBER(N1124)),IF(N1124&gt;0,M1124/N1124,""),"")</f>
        <v/>
      </c>
      <c r="V1124" s="10">
        <f>IF(AND(ISNUMBER(M1124),ISNUMBER(O1124)),IF(O1124&gt;0,M1124/O1124,""),"")</f>
        <v/>
      </c>
      <c r="W1124" s="10">
        <f>IF(AND(ISNUMBER(M1124),ISNUMBER(R1124)),IF(R1124&gt;0,M1124/R1124,""),"")</f>
        <v/>
      </c>
      <c r="X1124" s="10">
        <f>IF(AND(ISNUMBER(Q1124),ISNUMBER(M1124)),IF(M1124&gt;0,Q1124/M1124,""),"")</f>
        <v/>
      </c>
      <c r="Y1124" s="11">
        <f>IF(ISNUMBER(Z1124),YEAR(Z1124),"")</f>
        <v/>
      </c>
      <c r="Z1124" s="12" t="n"/>
      <c r="AA1124" s="12" t="n"/>
      <c r="AI1124" s="12" t="n"/>
      <c r="AJ1124" s="13">
        <f>IF(LEN(TRIM(AF1124))=0,"",HYPERLINK("https://www.google.com/maps/@?api=1&amp;map_action=pano&amp;viewpoint="&amp;SUBSTITUTE(AF1124," ",""),"Abrir Street View"))</f>
        <v/>
      </c>
    </row>
    <row r="1125">
      <c r="H1125" s="6" t="n"/>
      <c r="I1125" s="6" t="n"/>
      <c r="M1125" s="7" t="n"/>
      <c r="N1125" s="7" t="n"/>
      <c r="O1125" s="7" t="n"/>
      <c r="Q1125" s="7" t="n"/>
      <c r="R1125" s="7" t="n"/>
      <c r="S1125" s="8">
        <f>IF(NOT(ISNUMBER(M1125)),"",IF(G1125="Terreno",IF(AND(ISNUMBER(I1125),I1125&gt;0),M1125/I1125,""),IF(AND(ISNUMBER(H1125),H1125&gt;0),M1125/H1125,"")))</f>
        <v/>
      </c>
      <c r="T1125" s="9">
        <f>IF(AND(ISNUMBER(M1125),ISNUMBER(O1125)),IF(M1125&lt;=O1125,"Valor ≤ venal IPTU",""),"")</f>
        <v/>
      </c>
      <c r="U1125" s="10">
        <f>IF(AND(ISNUMBER(M1125),ISNUMBER(N1125)),IF(N1125&gt;0,M1125/N1125,""),"")</f>
        <v/>
      </c>
      <c r="V1125" s="10">
        <f>IF(AND(ISNUMBER(M1125),ISNUMBER(O1125)),IF(O1125&gt;0,M1125/O1125,""),"")</f>
        <v/>
      </c>
      <c r="W1125" s="10">
        <f>IF(AND(ISNUMBER(M1125),ISNUMBER(R1125)),IF(R1125&gt;0,M1125/R1125,""),"")</f>
        <v/>
      </c>
      <c r="X1125" s="10">
        <f>IF(AND(ISNUMBER(Q1125),ISNUMBER(M1125)),IF(M1125&gt;0,Q1125/M1125,""),"")</f>
        <v/>
      </c>
      <c r="Y1125" s="11">
        <f>IF(ISNUMBER(Z1125),YEAR(Z1125),"")</f>
        <v/>
      </c>
      <c r="Z1125" s="12" t="n"/>
      <c r="AA1125" s="12" t="n"/>
      <c r="AI1125" s="12" t="n"/>
      <c r="AJ1125" s="13">
        <f>IF(LEN(TRIM(AF1125))=0,"",HYPERLINK("https://www.google.com/maps/@?api=1&amp;map_action=pano&amp;viewpoint="&amp;SUBSTITUTE(AF1125," ",""),"Abrir Street View"))</f>
        <v/>
      </c>
    </row>
    <row r="1126">
      <c r="H1126" s="6" t="n"/>
      <c r="I1126" s="6" t="n"/>
      <c r="M1126" s="7" t="n"/>
      <c r="N1126" s="7" t="n"/>
      <c r="O1126" s="7" t="n"/>
      <c r="Q1126" s="7" t="n"/>
      <c r="R1126" s="7" t="n"/>
      <c r="S1126" s="8">
        <f>IF(NOT(ISNUMBER(M1126)),"",IF(G1126="Terreno",IF(AND(ISNUMBER(I1126),I1126&gt;0),M1126/I1126,""),IF(AND(ISNUMBER(H1126),H1126&gt;0),M1126/H1126,"")))</f>
        <v/>
      </c>
      <c r="T1126" s="9">
        <f>IF(AND(ISNUMBER(M1126),ISNUMBER(O1126)),IF(M1126&lt;=O1126,"Valor ≤ venal IPTU",""),"")</f>
        <v/>
      </c>
      <c r="U1126" s="10">
        <f>IF(AND(ISNUMBER(M1126),ISNUMBER(N1126)),IF(N1126&gt;0,M1126/N1126,""),"")</f>
        <v/>
      </c>
      <c r="V1126" s="10">
        <f>IF(AND(ISNUMBER(M1126),ISNUMBER(O1126)),IF(O1126&gt;0,M1126/O1126,""),"")</f>
        <v/>
      </c>
      <c r="W1126" s="10">
        <f>IF(AND(ISNUMBER(M1126),ISNUMBER(R1126)),IF(R1126&gt;0,M1126/R1126,""),"")</f>
        <v/>
      </c>
      <c r="X1126" s="10">
        <f>IF(AND(ISNUMBER(Q1126),ISNUMBER(M1126)),IF(M1126&gt;0,Q1126/M1126,""),"")</f>
        <v/>
      </c>
      <c r="Y1126" s="11">
        <f>IF(ISNUMBER(Z1126),YEAR(Z1126),"")</f>
        <v/>
      </c>
      <c r="Z1126" s="12" t="n"/>
      <c r="AA1126" s="12" t="n"/>
      <c r="AI1126" s="12" t="n"/>
      <c r="AJ1126" s="13">
        <f>IF(LEN(TRIM(AF1126))=0,"",HYPERLINK("https://www.google.com/maps/@?api=1&amp;map_action=pano&amp;viewpoint="&amp;SUBSTITUTE(AF1126," ",""),"Abrir Street View"))</f>
        <v/>
      </c>
    </row>
    <row r="1127">
      <c r="H1127" s="6" t="n"/>
      <c r="I1127" s="6" t="n"/>
      <c r="M1127" s="7" t="n"/>
      <c r="N1127" s="7" t="n"/>
      <c r="O1127" s="7" t="n"/>
      <c r="Q1127" s="7" t="n"/>
      <c r="R1127" s="7" t="n"/>
      <c r="S1127" s="8">
        <f>IF(NOT(ISNUMBER(M1127)),"",IF(G1127="Terreno",IF(AND(ISNUMBER(I1127),I1127&gt;0),M1127/I1127,""),IF(AND(ISNUMBER(H1127),H1127&gt;0),M1127/H1127,"")))</f>
        <v/>
      </c>
      <c r="T1127" s="9">
        <f>IF(AND(ISNUMBER(M1127),ISNUMBER(O1127)),IF(M1127&lt;=O1127,"Valor ≤ venal IPTU",""),"")</f>
        <v/>
      </c>
      <c r="U1127" s="10">
        <f>IF(AND(ISNUMBER(M1127),ISNUMBER(N1127)),IF(N1127&gt;0,M1127/N1127,""),"")</f>
        <v/>
      </c>
      <c r="V1127" s="10">
        <f>IF(AND(ISNUMBER(M1127),ISNUMBER(O1127)),IF(O1127&gt;0,M1127/O1127,""),"")</f>
        <v/>
      </c>
      <c r="W1127" s="10">
        <f>IF(AND(ISNUMBER(M1127),ISNUMBER(R1127)),IF(R1127&gt;0,M1127/R1127,""),"")</f>
        <v/>
      </c>
      <c r="X1127" s="10">
        <f>IF(AND(ISNUMBER(Q1127),ISNUMBER(M1127)),IF(M1127&gt;0,Q1127/M1127,""),"")</f>
        <v/>
      </c>
      <c r="Y1127" s="11">
        <f>IF(ISNUMBER(Z1127),YEAR(Z1127),"")</f>
        <v/>
      </c>
      <c r="Z1127" s="12" t="n"/>
      <c r="AA1127" s="12" t="n"/>
      <c r="AI1127" s="12" t="n"/>
      <c r="AJ1127" s="13">
        <f>IF(LEN(TRIM(AF1127))=0,"",HYPERLINK("https://www.google.com/maps/@?api=1&amp;map_action=pano&amp;viewpoint="&amp;SUBSTITUTE(AF1127," ",""),"Abrir Street View"))</f>
        <v/>
      </c>
    </row>
    <row r="1128">
      <c r="H1128" s="6" t="n"/>
      <c r="I1128" s="6" t="n"/>
      <c r="M1128" s="7" t="n"/>
      <c r="N1128" s="7" t="n"/>
      <c r="O1128" s="7" t="n"/>
      <c r="Q1128" s="7" t="n"/>
      <c r="R1128" s="7" t="n"/>
      <c r="S1128" s="8">
        <f>IF(NOT(ISNUMBER(M1128)),"",IF(G1128="Terreno",IF(AND(ISNUMBER(I1128),I1128&gt;0),M1128/I1128,""),IF(AND(ISNUMBER(H1128),H1128&gt;0),M1128/H1128,"")))</f>
        <v/>
      </c>
      <c r="T1128" s="9">
        <f>IF(AND(ISNUMBER(M1128),ISNUMBER(O1128)),IF(M1128&lt;=O1128,"Valor ≤ venal IPTU",""),"")</f>
        <v/>
      </c>
      <c r="U1128" s="10">
        <f>IF(AND(ISNUMBER(M1128),ISNUMBER(N1128)),IF(N1128&gt;0,M1128/N1128,""),"")</f>
        <v/>
      </c>
      <c r="V1128" s="10">
        <f>IF(AND(ISNUMBER(M1128),ISNUMBER(O1128)),IF(O1128&gt;0,M1128/O1128,""),"")</f>
        <v/>
      </c>
      <c r="W1128" s="10">
        <f>IF(AND(ISNUMBER(M1128),ISNUMBER(R1128)),IF(R1128&gt;0,M1128/R1128,""),"")</f>
        <v/>
      </c>
      <c r="X1128" s="10">
        <f>IF(AND(ISNUMBER(Q1128),ISNUMBER(M1128)),IF(M1128&gt;0,Q1128/M1128,""),"")</f>
        <v/>
      </c>
      <c r="Y1128" s="11">
        <f>IF(ISNUMBER(Z1128),YEAR(Z1128),"")</f>
        <v/>
      </c>
      <c r="Z1128" s="12" t="n"/>
      <c r="AA1128" s="12" t="n"/>
      <c r="AI1128" s="12" t="n"/>
      <c r="AJ1128" s="13">
        <f>IF(LEN(TRIM(AF1128))=0,"",HYPERLINK("https://www.google.com/maps/@?api=1&amp;map_action=pano&amp;viewpoint="&amp;SUBSTITUTE(AF1128," ",""),"Abrir Street View"))</f>
        <v/>
      </c>
    </row>
    <row r="1129">
      <c r="H1129" s="6" t="n"/>
      <c r="I1129" s="6" t="n"/>
      <c r="M1129" s="7" t="n"/>
      <c r="N1129" s="7" t="n"/>
      <c r="O1129" s="7" t="n"/>
      <c r="Q1129" s="7" t="n"/>
      <c r="R1129" s="7" t="n"/>
      <c r="S1129" s="8">
        <f>IF(NOT(ISNUMBER(M1129)),"",IF(G1129="Terreno",IF(AND(ISNUMBER(I1129),I1129&gt;0),M1129/I1129,""),IF(AND(ISNUMBER(H1129),H1129&gt;0),M1129/H1129,"")))</f>
        <v/>
      </c>
      <c r="T1129" s="9">
        <f>IF(AND(ISNUMBER(M1129),ISNUMBER(O1129)),IF(M1129&lt;=O1129,"Valor ≤ venal IPTU",""),"")</f>
        <v/>
      </c>
      <c r="U1129" s="10">
        <f>IF(AND(ISNUMBER(M1129),ISNUMBER(N1129)),IF(N1129&gt;0,M1129/N1129,""),"")</f>
        <v/>
      </c>
      <c r="V1129" s="10">
        <f>IF(AND(ISNUMBER(M1129),ISNUMBER(O1129)),IF(O1129&gt;0,M1129/O1129,""),"")</f>
        <v/>
      </c>
      <c r="W1129" s="10">
        <f>IF(AND(ISNUMBER(M1129),ISNUMBER(R1129)),IF(R1129&gt;0,M1129/R1129,""),"")</f>
        <v/>
      </c>
      <c r="X1129" s="10">
        <f>IF(AND(ISNUMBER(Q1129),ISNUMBER(M1129)),IF(M1129&gt;0,Q1129/M1129,""),"")</f>
        <v/>
      </c>
      <c r="Y1129" s="11">
        <f>IF(ISNUMBER(Z1129),YEAR(Z1129),"")</f>
        <v/>
      </c>
      <c r="Z1129" s="12" t="n"/>
      <c r="AA1129" s="12" t="n"/>
      <c r="AI1129" s="12" t="n"/>
      <c r="AJ1129" s="13">
        <f>IF(LEN(TRIM(AF1129))=0,"",HYPERLINK("https://www.google.com/maps/@?api=1&amp;map_action=pano&amp;viewpoint="&amp;SUBSTITUTE(AF1129," ",""),"Abrir Street View"))</f>
        <v/>
      </c>
    </row>
    <row r="1130">
      <c r="H1130" s="6" t="n"/>
      <c r="I1130" s="6" t="n"/>
      <c r="M1130" s="7" t="n"/>
      <c r="N1130" s="7" t="n"/>
      <c r="O1130" s="7" t="n"/>
      <c r="Q1130" s="7" t="n"/>
      <c r="R1130" s="7" t="n"/>
      <c r="S1130" s="8">
        <f>IF(NOT(ISNUMBER(M1130)),"",IF(G1130="Terreno",IF(AND(ISNUMBER(I1130),I1130&gt;0),M1130/I1130,""),IF(AND(ISNUMBER(H1130),H1130&gt;0),M1130/H1130,"")))</f>
        <v/>
      </c>
      <c r="T1130" s="9">
        <f>IF(AND(ISNUMBER(M1130),ISNUMBER(O1130)),IF(M1130&lt;=O1130,"Valor ≤ venal IPTU",""),"")</f>
        <v/>
      </c>
      <c r="U1130" s="10">
        <f>IF(AND(ISNUMBER(M1130),ISNUMBER(N1130)),IF(N1130&gt;0,M1130/N1130,""),"")</f>
        <v/>
      </c>
      <c r="V1130" s="10">
        <f>IF(AND(ISNUMBER(M1130),ISNUMBER(O1130)),IF(O1130&gt;0,M1130/O1130,""),"")</f>
        <v/>
      </c>
      <c r="W1130" s="10">
        <f>IF(AND(ISNUMBER(M1130),ISNUMBER(R1130)),IF(R1130&gt;0,M1130/R1130,""),"")</f>
        <v/>
      </c>
      <c r="X1130" s="10">
        <f>IF(AND(ISNUMBER(Q1130),ISNUMBER(M1130)),IF(M1130&gt;0,Q1130/M1130,""),"")</f>
        <v/>
      </c>
      <c r="Y1130" s="11">
        <f>IF(ISNUMBER(Z1130),YEAR(Z1130),"")</f>
        <v/>
      </c>
      <c r="Z1130" s="12" t="n"/>
      <c r="AA1130" s="12" t="n"/>
      <c r="AI1130" s="12" t="n"/>
      <c r="AJ1130" s="13">
        <f>IF(LEN(TRIM(AF1130))=0,"",HYPERLINK("https://www.google.com/maps/@?api=1&amp;map_action=pano&amp;viewpoint="&amp;SUBSTITUTE(AF1130," ",""),"Abrir Street View"))</f>
        <v/>
      </c>
    </row>
    <row r="1131">
      <c r="H1131" s="6" t="n"/>
      <c r="I1131" s="6" t="n"/>
      <c r="M1131" s="7" t="n"/>
      <c r="N1131" s="7" t="n"/>
      <c r="O1131" s="7" t="n"/>
      <c r="Q1131" s="7" t="n"/>
      <c r="R1131" s="7" t="n"/>
      <c r="S1131" s="8">
        <f>IF(NOT(ISNUMBER(M1131)),"",IF(G1131="Terreno",IF(AND(ISNUMBER(I1131),I1131&gt;0),M1131/I1131,""),IF(AND(ISNUMBER(H1131),H1131&gt;0),M1131/H1131,"")))</f>
        <v/>
      </c>
      <c r="T1131" s="9">
        <f>IF(AND(ISNUMBER(M1131),ISNUMBER(O1131)),IF(M1131&lt;=O1131,"Valor ≤ venal IPTU",""),"")</f>
        <v/>
      </c>
      <c r="U1131" s="10">
        <f>IF(AND(ISNUMBER(M1131),ISNUMBER(N1131)),IF(N1131&gt;0,M1131/N1131,""),"")</f>
        <v/>
      </c>
      <c r="V1131" s="10">
        <f>IF(AND(ISNUMBER(M1131),ISNUMBER(O1131)),IF(O1131&gt;0,M1131/O1131,""),"")</f>
        <v/>
      </c>
      <c r="W1131" s="10">
        <f>IF(AND(ISNUMBER(M1131),ISNUMBER(R1131)),IF(R1131&gt;0,M1131/R1131,""),"")</f>
        <v/>
      </c>
      <c r="X1131" s="10">
        <f>IF(AND(ISNUMBER(Q1131),ISNUMBER(M1131)),IF(M1131&gt;0,Q1131/M1131,""),"")</f>
        <v/>
      </c>
      <c r="Y1131" s="11">
        <f>IF(ISNUMBER(Z1131),YEAR(Z1131),"")</f>
        <v/>
      </c>
      <c r="Z1131" s="12" t="n"/>
      <c r="AA1131" s="12" t="n"/>
      <c r="AI1131" s="12" t="n"/>
      <c r="AJ1131" s="13">
        <f>IF(LEN(TRIM(AF1131))=0,"",HYPERLINK("https://www.google.com/maps/@?api=1&amp;map_action=pano&amp;viewpoint="&amp;SUBSTITUTE(AF1131," ",""),"Abrir Street View"))</f>
        <v/>
      </c>
    </row>
    <row r="1132">
      <c r="H1132" s="6" t="n"/>
      <c r="I1132" s="6" t="n"/>
      <c r="M1132" s="7" t="n"/>
      <c r="N1132" s="7" t="n"/>
      <c r="O1132" s="7" t="n"/>
      <c r="Q1132" s="7" t="n"/>
      <c r="R1132" s="7" t="n"/>
      <c r="S1132" s="8">
        <f>IF(NOT(ISNUMBER(M1132)),"",IF(G1132="Terreno",IF(AND(ISNUMBER(I1132),I1132&gt;0),M1132/I1132,""),IF(AND(ISNUMBER(H1132),H1132&gt;0),M1132/H1132,"")))</f>
        <v/>
      </c>
      <c r="T1132" s="9">
        <f>IF(AND(ISNUMBER(M1132),ISNUMBER(O1132)),IF(M1132&lt;=O1132,"Valor ≤ venal IPTU",""),"")</f>
        <v/>
      </c>
      <c r="U1132" s="10">
        <f>IF(AND(ISNUMBER(M1132),ISNUMBER(N1132)),IF(N1132&gt;0,M1132/N1132,""),"")</f>
        <v/>
      </c>
      <c r="V1132" s="10">
        <f>IF(AND(ISNUMBER(M1132),ISNUMBER(O1132)),IF(O1132&gt;0,M1132/O1132,""),"")</f>
        <v/>
      </c>
      <c r="W1132" s="10">
        <f>IF(AND(ISNUMBER(M1132),ISNUMBER(R1132)),IF(R1132&gt;0,M1132/R1132,""),"")</f>
        <v/>
      </c>
      <c r="X1132" s="10">
        <f>IF(AND(ISNUMBER(Q1132),ISNUMBER(M1132)),IF(M1132&gt;0,Q1132/M1132,""),"")</f>
        <v/>
      </c>
      <c r="Y1132" s="11">
        <f>IF(ISNUMBER(Z1132),YEAR(Z1132),"")</f>
        <v/>
      </c>
      <c r="Z1132" s="12" t="n"/>
      <c r="AA1132" s="12" t="n"/>
      <c r="AI1132" s="12" t="n"/>
      <c r="AJ1132" s="13">
        <f>IF(LEN(TRIM(AF1132))=0,"",HYPERLINK("https://www.google.com/maps/@?api=1&amp;map_action=pano&amp;viewpoint="&amp;SUBSTITUTE(AF1132," ",""),"Abrir Street View"))</f>
        <v/>
      </c>
    </row>
    <row r="1133">
      <c r="H1133" s="6" t="n"/>
      <c r="I1133" s="6" t="n"/>
      <c r="M1133" s="7" t="n"/>
      <c r="N1133" s="7" t="n"/>
      <c r="O1133" s="7" t="n"/>
      <c r="Q1133" s="7" t="n"/>
      <c r="R1133" s="7" t="n"/>
      <c r="S1133" s="8">
        <f>IF(NOT(ISNUMBER(M1133)),"",IF(G1133="Terreno",IF(AND(ISNUMBER(I1133),I1133&gt;0),M1133/I1133,""),IF(AND(ISNUMBER(H1133),H1133&gt;0),M1133/H1133,"")))</f>
        <v/>
      </c>
      <c r="T1133" s="9">
        <f>IF(AND(ISNUMBER(M1133),ISNUMBER(O1133)),IF(M1133&lt;=O1133,"Valor ≤ venal IPTU",""),"")</f>
        <v/>
      </c>
      <c r="U1133" s="10">
        <f>IF(AND(ISNUMBER(M1133),ISNUMBER(N1133)),IF(N1133&gt;0,M1133/N1133,""),"")</f>
        <v/>
      </c>
      <c r="V1133" s="10">
        <f>IF(AND(ISNUMBER(M1133),ISNUMBER(O1133)),IF(O1133&gt;0,M1133/O1133,""),"")</f>
        <v/>
      </c>
      <c r="W1133" s="10">
        <f>IF(AND(ISNUMBER(M1133),ISNUMBER(R1133)),IF(R1133&gt;0,M1133/R1133,""),"")</f>
        <v/>
      </c>
      <c r="X1133" s="10">
        <f>IF(AND(ISNUMBER(Q1133),ISNUMBER(M1133)),IF(M1133&gt;0,Q1133/M1133,""),"")</f>
        <v/>
      </c>
      <c r="Y1133" s="11">
        <f>IF(ISNUMBER(Z1133),YEAR(Z1133),"")</f>
        <v/>
      </c>
      <c r="Z1133" s="12" t="n"/>
      <c r="AA1133" s="12" t="n"/>
      <c r="AI1133" s="12" t="n"/>
      <c r="AJ1133" s="13">
        <f>IF(LEN(TRIM(AF1133))=0,"",HYPERLINK("https://www.google.com/maps/@?api=1&amp;map_action=pano&amp;viewpoint="&amp;SUBSTITUTE(AF1133," ",""),"Abrir Street View"))</f>
        <v/>
      </c>
    </row>
    <row r="1134">
      <c r="H1134" s="6" t="n"/>
      <c r="I1134" s="6" t="n"/>
      <c r="M1134" s="7" t="n"/>
      <c r="N1134" s="7" t="n"/>
      <c r="O1134" s="7" t="n"/>
      <c r="Q1134" s="7" t="n"/>
      <c r="R1134" s="7" t="n"/>
      <c r="S1134" s="8">
        <f>IF(NOT(ISNUMBER(M1134)),"",IF(G1134="Terreno",IF(AND(ISNUMBER(I1134),I1134&gt;0),M1134/I1134,""),IF(AND(ISNUMBER(H1134),H1134&gt;0),M1134/H1134,"")))</f>
        <v/>
      </c>
      <c r="T1134" s="9">
        <f>IF(AND(ISNUMBER(M1134),ISNUMBER(O1134)),IF(M1134&lt;=O1134,"Valor ≤ venal IPTU",""),"")</f>
        <v/>
      </c>
      <c r="U1134" s="10">
        <f>IF(AND(ISNUMBER(M1134),ISNUMBER(N1134)),IF(N1134&gt;0,M1134/N1134,""),"")</f>
        <v/>
      </c>
      <c r="V1134" s="10">
        <f>IF(AND(ISNUMBER(M1134),ISNUMBER(O1134)),IF(O1134&gt;0,M1134/O1134,""),"")</f>
        <v/>
      </c>
      <c r="W1134" s="10">
        <f>IF(AND(ISNUMBER(M1134),ISNUMBER(R1134)),IF(R1134&gt;0,M1134/R1134,""),"")</f>
        <v/>
      </c>
      <c r="X1134" s="10">
        <f>IF(AND(ISNUMBER(Q1134),ISNUMBER(M1134)),IF(M1134&gt;0,Q1134/M1134,""),"")</f>
        <v/>
      </c>
      <c r="Y1134" s="11">
        <f>IF(ISNUMBER(Z1134),YEAR(Z1134),"")</f>
        <v/>
      </c>
      <c r="Z1134" s="12" t="n"/>
      <c r="AA1134" s="12" t="n"/>
      <c r="AI1134" s="12" t="n"/>
      <c r="AJ1134" s="13">
        <f>IF(LEN(TRIM(AF1134))=0,"",HYPERLINK("https://www.google.com/maps/@?api=1&amp;map_action=pano&amp;viewpoint="&amp;SUBSTITUTE(AF1134," ",""),"Abrir Street View"))</f>
        <v/>
      </c>
    </row>
    <row r="1135">
      <c r="H1135" s="6" t="n"/>
      <c r="I1135" s="6" t="n"/>
      <c r="M1135" s="7" t="n"/>
      <c r="N1135" s="7" t="n"/>
      <c r="O1135" s="7" t="n"/>
      <c r="Q1135" s="7" t="n"/>
      <c r="R1135" s="7" t="n"/>
      <c r="S1135" s="8">
        <f>IF(NOT(ISNUMBER(M1135)),"",IF(G1135="Terreno",IF(AND(ISNUMBER(I1135),I1135&gt;0),M1135/I1135,""),IF(AND(ISNUMBER(H1135),H1135&gt;0),M1135/H1135,"")))</f>
        <v/>
      </c>
      <c r="T1135" s="9">
        <f>IF(AND(ISNUMBER(M1135),ISNUMBER(O1135)),IF(M1135&lt;=O1135,"Valor ≤ venal IPTU",""),"")</f>
        <v/>
      </c>
      <c r="U1135" s="10">
        <f>IF(AND(ISNUMBER(M1135),ISNUMBER(N1135)),IF(N1135&gt;0,M1135/N1135,""),"")</f>
        <v/>
      </c>
      <c r="V1135" s="10">
        <f>IF(AND(ISNUMBER(M1135),ISNUMBER(O1135)),IF(O1135&gt;0,M1135/O1135,""),"")</f>
        <v/>
      </c>
      <c r="W1135" s="10">
        <f>IF(AND(ISNUMBER(M1135),ISNUMBER(R1135)),IF(R1135&gt;0,M1135/R1135,""),"")</f>
        <v/>
      </c>
      <c r="X1135" s="10">
        <f>IF(AND(ISNUMBER(Q1135),ISNUMBER(M1135)),IF(M1135&gt;0,Q1135/M1135,""),"")</f>
        <v/>
      </c>
      <c r="Y1135" s="11">
        <f>IF(ISNUMBER(Z1135),YEAR(Z1135),"")</f>
        <v/>
      </c>
      <c r="Z1135" s="12" t="n"/>
      <c r="AA1135" s="12" t="n"/>
      <c r="AI1135" s="12" t="n"/>
      <c r="AJ1135" s="13">
        <f>IF(LEN(TRIM(AF1135))=0,"",HYPERLINK("https://www.google.com/maps/@?api=1&amp;map_action=pano&amp;viewpoint="&amp;SUBSTITUTE(AF1135," ",""),"Abrir Street View"))</f>
        <v/>
      </c>
    </row>
    <row r="1136">
      <c r="H1136" s="6" t="n"/>
      <c r="I1136" s="6" t="n"/>
      <c r="M1136" s="7" t="n"/>
      <c r="N1136" s="7" t="n"/>
      <c r="O1136" s="7" t="n"/>
      <c r="Q1136" s="7" t="n"/>
      <c r="R1136" s="7" t="n"/>
      <c r="S1136" s="8">
        <f>IF(NOT(ISNUMBER(M1136)),"",IF(G1136="Terreno",IF(AND(ISNUMBER(I1136),I1136&gt;0),M1136/I1136,""),IF(AND(ISNUMBER(H1136),H1136&gt;0),M1136/H1136,"")))</f>
        <v/>
      </c>
      <c r="T1136" s="9">
        <f>IF(AND(ISNUMBER(M1136),ISNUMBER(O1136)),IF(M1136&lt;=O1136,"Valor ≤ venal IPTU",""),"")</f>
        <v/>
      </c>
      <c r="U1136" s="10">
        <f>IF(AND(ISNUMBER(M1136),ISNUMBER(N1136)),IF(N1136&gt;0,M1136/N1136,""),"")</f>
        <v/>
      </c>
      <c r="V1136" s="10">
        <f>IF(AND(ISNUMBER(M1136),ISNUMBER(O1136)),IF(O1136&gt;0,M1136/O1136,""),"")</f>
        <v/>
      </c>
      <c r="W1136" s="10">
        <f>IF(AND(ISNUMBER(M1136),ISNUMBER(R1136)),IF(R1136&gt;0,M1136/R1136,""),"")</f>
        <v/>
      </c>
      <c r="X1136" s="10">
        <f>IF(AND(ISNUMBER(Q1136),ISNUMBER(M1136)),IF(M1136&gt;0,Q1136/M1136,""),"")</f>
        <v/>
      </c>
      <c r="Y1136" s="11">
        <f>IF(ISNUMBER(Z1136),YEAR(Z1136),"")</f>
        <v/>
      </c>
      <c r="Z1136" s="12" t="n"/>
      <c r="AA1136" s="12" t="n"/>
      <c r="AI1136" s="12" t="n"/>
      <c r="AJ1136" s="13">
        <f>IF(LEN(TRIM(AF1136))=0,"",HYPERLINK("https://www.google.com/maps/@?api=1&amp;map_action=pano&amp;viewpoint="&amp;SUBSTITUTE(AF1136," ",""),"Abrir Street View"))</f>
        <v/>
      </c>
    </row>
    <row r="1137">
      <c r="H1137" s="6" t="n"/>
      <c r="I1137" s="6" t="n"/>
      <c r="M1137" s="7" t="n"/>
      <c r="N1137" s="7" t="n"/>
      <c r="O1137" s="7" t="n"/>
      <c r="Q1137" s="7" t="n"/>
      <c r="R1137" s="7" t="n"/>
      <c r="S1137" s="8">
        <f>IF(NOT(ISNUMBER(M1137)),"",IF(G1137="Terreno",IF(AND(ISNUMBER(I1137),I1137&gt;0),M1137/I1137,""),IF(AND(ISNUMBER(H1137),H1137&gt;0),M1137/H1137,"")))</f>
        <v/>
      </c>
      <c r="T1137" s="9">
        <f>IF(AND(ISNUMBER(M1137),ISNUMBER(O1137)),IF(M1137&lt;=O1137,"Valor ≤ venal IPTU",""),"")</f>
        <v/>
      </c>
      <c r="U1137" s="10">
        <f>IF(AND(ISNUMBER(M1137),ISNUMBER(N1137)),IF(N1137&gt;0,M1137/N1137,""),"")</f>
        <v/>
      </c>
      <c r="V1137" s="10">
        <f>IF(AND(ISNUMBER(M1137),ISNUMBER(O1137)),IF(O1137&gt;0,M1137/O1137,""),"")</f>
        <v/>
      </c>
      <c r="W1137" s="10">
        <f>IF(AND(ISNUMBER(M1137),ISNUMBER(R1137)),IF(R1137&gt;0,M1137/R1137,""),"")</f>
        <v/>
      </c>
      <c r="X1137" s="10">
        <f>IF(AND(ISNUMBER(Q1137),ISNUMBER(M1137)),IF(M1137&gt;0,Q1137/M1137,""),"")</f>
        <v/>
      </c>
      <c r="Y1137" s="11">
        <f>IF(ISNUMBER(Z1137),YEAR(Z1137),"")</f>
        <v/>
      </c>
      <c r="Z1137" s="12" t="n"/>
      <c r="AA1137" s="12" t="n"/>
      <c r="AI1137" s="12" t="n"/>
      <c r="AJ1137" s="13">
        <f>IF(LEN(TRIM(AF1137))=0,"",HYPERLINK("https://www.google.com/maps/@?api=1&amp;map_action=pano&amp;viewpoint="&amp;SUBSTITUTE(AF1137," ",""),"Abrir Street View"))</f>
        <v/>
      </c>
    </row>
    <row r="1138">
      <c r="H1138" s="6" t="n"/>
      <c r="I1138" s="6" t="n"/>
      <c r="M1138" s="7" t="n"/>
      <c r="N1138" s="7" t="n"/>
      <c r="O1138" s="7" t="n"/>
      <c r="Q1138" s="7" t="n"/>
      <c r="R1138" s="7" t="n"/>
      <c r="S1138" s="8">
        <f>IF(NOT(ISNUMBER(M1138)),"",IF(G1138="Terreno",IF(AND(ISNUMBER(I1138),I1138&gt;0),M1138/I1138,""),IF(AND(ISNUMBER(H1138),H1138&gt;0),M1138/H1138,"")))</f>
        <v/>
      </c>
      <c r="T1138" s="9">
        <f>IF(AND(ISNUMBER(M1138),ISNUMBER(O1138)),IF(M1138&lt;=O1138,"Valor ≤ venal IPTU",""),"")</f>
        <v/>
      </c>
      <c r="U1138" s="10">
        <f>IF(AND(ISNUMBER(M1138),ISNUMBER(N1138)),IF(N1138&gt;0,M1138/N1138,""),"")</f>
        <v/>
      </c>
      <c r="V1138" s="10">
        <f>IF(AND(ISNUMBER(M1138),ISNUMBER(O1138)),IF(O1138&gt;0,M1138/O1138,""),"")</f>
        <v/>
      </c>
      <c r="W1138" s="10">
        <f>IF(AND(ISNUMBER(M1138),ISNUMBER(R1138)),IF(R1138&gt;0,M1138/R1138,""),"")</f>
        <v/>
      </c>
      <c r="X1138" s="10">
        <f>IF(AND(ISNUMBER(Q1138),ISNUMBER(M1138)),IF(M1138&gt;0,Q1138/M1138,""),"")</f>
        <v/>
      </c>
      <c r="Y1138" s="11">
        <f>IF(ISNUMBER(Z1138),YEAR(Z1138),"")</f>
        <v/>
      </c>
      <c r="Z1138" s="12" t="n"/>
      <c r="AA1138" s="12" t="n"/>
      <c r="AI1138" s="12" t="n"/>
      <c r="AJ1138" s="13">
        <f>IF(LEN(TRIM(AF1138))=0,"",HYPERLINK("https://www.google.com/maps/@?api=1&amp;map_action=pano&amp;viewpoint="&amp;SUBSTITUTE(AF1138," ",""),"Abrir Street View"))</f>
        <v/>
      </c>
    </row>
    <row r="1139">
      <c r="H1139" s="6" t="n"/>
      <c r="I1139" s="6" t="n"/>
      <c r="M1139" s="7" t="n"/>
      <c r="N1139" s="7" t="n"/>
      <c r="O1139" s="7" t="n"/>
      <c r="Q1139" s="7" t="n"/>
      <c r="R1139" s="7" t="n"/>
      <c r="S1139" s="8">
        <f>IF(NOT(ISNUMBER(M1139)),"",IF(G1139="Terreno",IF(AND(ISNUMBER(I1139),I1139&gt;0),M1139/I1139,""),IF(AND(ISNUMBER(H1139),H1139&gt;0),M1139/H1139,"")))</f>
        <v/>
      </c>
      <c r="T1139" s="9">
        <f>IF(AND(ISNUMBER(M1139),ISNUMBER(O1139)),IF(M1139&lt;=O1139,"Valor ≤ venal IPTU",""),"")</f>
        <v/>
      </c>
      <c r="U1139" s="10">
        <f>IF(AND(ISNUMBER(M1139),ISNUMBER(N1139)),IF(N1139&gt;0,M1139/N1139,""),"")</f>
        <v/>
      </c>
      <c r="V1139" s="10">
        <f>IF(AND(ISNUMBER(M1139),ISNUMBER(O1139)),IF(O1139&gt;0,M1139/O1139,""),"")</f>
        <v/>
      </c>
      <c r="W1139" s="10">
        <f>IF(AND(ISNUMBER(M1139),ISNUMBER(R1139)),IF(R1139&gt;0,M1139/R1139,""),"")</f>
        <v/>
      </c>
      <c r="X1139" s="10">
        <f>IF(AND(ISNUMBER(Q1139),ISNUMBER(M1139)),IF(M1139&gt;0,Q1139/M1139,""),"")</f>
        <v/>
      </c>
      <c r="Y1139" s="11">
        <f>IF(ISNUMBER(Z1139),YEAR(Z1139),"")</f>
        <v/>
      </c>
      <c r="Z1139" s="12" t="n"/>
      <c r="AA1139" s="12" t="n"/>
      <c r="AI1139" s="12" t="n"/>
      <c r="AJ1139" s="13">
        <f>IF(LEN(TRIM(AF1139))=0,"",HYPERLINK("https://www.google.com/maps/@?api=1&amp;map_action=pano&amp;viewpoint="&amp;SUBSTITUTE(AF1139," ",""),"Abrir Street View"))</f>
        <v/>
      </c>
    </row>
    <row r="1140">
      <c r="H1140" s="6" t="n"/>
      <c r="I1140" s="6" t="n"/>
      <c r="M1140" s="7" t="n"/>
      <c r="N1140" s="7" t="n"/>
      <c r="O1140" s="7" t="n"/>
      <c r="Q1140" s="7" t="n"/>
      <c r="R1140" s="7" t="n"/>
      <c r="S1140" s="8">
        <f>IF(NOT(ISNUMBER(M1140)),"",IF(G1140="Terreno",IF(AND(ISNUMBER(I1140),I1140&gt;0),M1140/I1140,""),IF(AND(ISNUMBER(H1140),H1140&gt;0),M1140/H1140,"")))</f>
        <v/>
      </c>
      <c r="T1140" s="9">
        <f>IF(AND(ISNUMBER(M1140),ISNUMBER(O1140)),IF(M1140&lt;=O1140,"Valor ≤ venal IPTU",""),"")</f>
        <v/>
      </c>
      <c r="U1140" s="10">
        <f>IF(AND(ISNUMBER(M1140),ISNUMBER(N1140)),IF(N1140&gt;0,M1140/N1140,""),"")</f>
        <v/>
      </c>
      <c r="V1140" s="10">
        <f>IF(AND(ISNUMBER(M1140),ISNUMBER(O1140)),IF(O1140&gt;0,M1140/O1140,""),"")</f>
        <v/>
      </c>
      <c r="W1140" s="10">
        <f>IF(AND(ISNUMBER(M1140),ISNUMBER(R1140)),IF(R1140&gt;0,M1140/R1140,""),"")</f>
        <v/>
      </c>
      <c r="X1140" s="10">
        <f>IF(AND(ISNUMBER(Q1140),ISNUMBER(M1140)),IF(M1140&gt;0,Q1140/M1140,""),"")</f>
        <v/>
      </c>
      <c r="Y1140" s="11">
        <f>IF(ISNUMBER(Z1140),YEAR(Z1140),"")</f>
        <v/>
      </c>
      <c r="Z1140" s="12" t="n"/>
      <c r="AA1140" s="12" t="n"/>
      <c r="AI1140" s="12" t="n"/>
      <c r="AJ1140" s="13">
        <f>IF(LEN(TRIM(AF1140))=0,"",HYPERLINK("https://www.google.com/maps/@?api=1&amp;map_action=pano&amp;viewpoint="&amp;SUBSTITUTE(AF1140," ",""),"Abrir Street View"))</f>
        <v/>
      </c>
    </row>
    <row r="1141">
      <c r="H1141" s="6" t="n"/>
      <c r="I1141" s="6" t="n"/>
      <c r="M1141" s="7" t="n"/>
      <c r="N1141" s="7" t="n"/>
      <c r="O1141" s="7" t="n"/>
      <c r="Q1141" s="7" t="n"/>
      <c r="R1141" s="7" t="n"/>
      <c r="S1141" s="8">
        <f>IF(NOT(ISNUMBER(M1141)),"",IF(G1141="Terreno",IF(AND(ISNUMBER(I1141),I1141&gt;0),M1141/I1141,""),IF(AND(ISNUMBER(H1141),H1141&gt;0),M1141/H1141,"")))</f>
        <v/>
      </c>
      <c r="T1141" s="9">
        <f>IF(AND(ISNUMBER(M1141),ISNUMBER(O1141)),IF(M1141&lt;=O1141,"Valor ≤ venal IPTU",""),"")</f>
        <v/>
      </c>
      <c r="U1141" s="10">
        <f>IF(AND(ISNUMBER(M1141),ISNUMBER(N1141)),IF(N1141&gt;0,M1141/N1141,""),"")</f>
        <v/>
      </c>
      <c r="V1141" s="10">
        <f>IF(AND(ISNUMBER(M1141),ISNUMBER(O1141)),IF(O1141&gt;0,M1141/O1141,""),"")</f>
        <v/>
      </c>
      <c r="W1141" s="10">
        <f>IF(AND(ISNUMBER(M1141),ISNUMBER(R1141)),IF(R1141&gt;0,M1141/R1141,""),"")</f>
        <v/>
      </c>
      <c r="X1141" s="10">
        <f>IF(AND(ISNUMBER(Q1141),ISNUMBER(M1141)),IF(M1141&gt;0,Q1141/M1141,""),"")</f>
        <v/>
      </c>
      <c r="Y1141" s="11">
        <f>IF(ISNUMBER(Z1141),YEAR(Z1141),"")</f>
        <v/>
      </c>
      <c r="Z1141" s="12" t="n"/>
      <c r="AA1141" s="12" t="n"/>
      <c r="AI1141" s="12" t="n"/>
      <c r="AJ1141" s="13">
        <f>IF(LEN(TRIM(AF1141))=0,"",HYPERLINK("https://www.google.com/maps/@?api=1&amp;map_action=pano&amp;viewpoint="&amp;SUBSTITUTE(AF1141," ",""),"Abrir Street View"))</f>
        <v/>
      </c>
    </row>
    <row r="1142">
      <c r="H1142" s="6" t="n"/>
      <c r="I1142" s="6" t="n"/>
      <c r="M1142" s="7" t="n"/>
      <c r="N1142" s="7" t="n"/>
      <c r="O1142" s="7" t="n"/>
      <c r="Q1142" s="7" t="n"/>
      <c r="R1142" s="7" t="n"/>
      <c r="S1142" s="8">
        <f>IF(NOT(ISNUMBER(M1142)),"",IF(G1142="Terreno",IF(AND(ISNUMBER(I1142),I1142&gt;0),M1142/I1142,""),IF(AND(ISNUMBER(H1142),H1142&gt;0),M1142/H1142,"")))</f>
        <v/>
      </c>
      <c r="T1142" s="9">
        <f>IF(AND(ISNUMBER(M1142),ISNUMBER(O1142)),IF(M1142&lt;=O1142,"Valor ≤ venal IPTU",""),"")</f>
        <v/>
      </c>
      <c r="U1142" s="10">
        <f>IF(AND(ISNUMBER(M1142),ISNUMBER(N1142)),IF(N1142&gt;0,M1142/N1142,""),"")</f>
        <v/>
      </c>
      <c r="V1142" s="10">
        <f>IF(AND(ISNUMBER(M1142),ISNUMBER(O1142)),IF(O1142&gt;0,M1142/O1142,""),"")</f>
        <v/>
      </c>
      <c r="W1142" s="10">
        <f>IF(AND(ISNUMBER(M1142),ISNUMBER(R1142)),IF(R1142&gt;0,M1142/R1142,""),"")</f>
        <v/>
      </c>
      <c r="X1142" s="10">
        <f>IF(AND(ISNUMBER(Q1142),ISNUMBER(M1142)),IF(M1142&gt;0,Q1142/M1142,""),"")</f>
        <v/>
      </c>
      <c r="Y1142" s="11">
        <f>IF(ISNUMBER(Z1142),YEAR(Z1142),"")</f>
        <v/>
      </c>
      <c r="Z1142" s="12" t="n"/>
      <c r="AA1142" s="12" t="n"/>
      <c r="AI1142" s="12" t="n"/>
      <c r="AJ1142" s="13">
        <f>IF(LEN(TRIM(AF1142))=0,"",HYPERLINK("https://www.google.com/maps/@?api=1&amp;map_action=pano&amp;viewpoint="&amp;SUBSTITUTE(AF1142," ",""),"Abrir Street View"))</f>
        <v/>
      </c>
    </row>
    <row r="1143">
      <c r="H1143" s="6" t="n"/>
      <c r="I1143" s="6" t="n"/>
      <c r="M1143" s="7" t="n"/>
      <c r="N1143" s="7" t="n"/>
      <c r="O1143" s="7" t="n"/>
      <c r="Q1143" s="7" t="n"/>
      <c r="R1143" s="7" t="n"/>
      <c r="S1143" s="8">
        <f>IF(NOT(ISNUMBER(M1143)),"",IF(G1143="Terreno",IF(AND(ISNUMBER(I1143),I1143&gt;0),M1143/I1143,""),IF(AND(ISNUMBER(H1143),H1143&gt;0),M1143/H1143,"")))</f>
        <v/>
      </c>
      <c r="T1143" s="9">
        <f>IF(AND(ISNUMBER(M1143),ISNUMBER(O1143)),IF(M1143&lt;=O1143,"Valor ≤ venal IPTU",""),"")</f>
        <v/>
      </c>
      <c r="U1143" s="10">
        <f>IF(AND(ISNUMBER(M1143),ISNUMBER(N1143)),IF(N1143&gt;0,M1143/N1143,""),"")</f>
        <v/>
      </c>
      <c r="V1143" s="10">
        <f>IF(AND(ISNUMBER(M1143),ISNUMBER(O1143)),IF(O1143&gt;0,M1143/O1143,""),"")</f>
        <v/>
      </c>
      <c r="W1143" s="10">
        <f>IF(AND(ISNUMBER(M1143),ISNUMBER(R1143)),IF(R1143&gt;0,M1143/R1143,""),"")</f>
        <v/>
      </c>
      <c r="X1143" s="10">
        <f>IF(AND(ISNUMBER(Q1143),ISNUMBER(M1143)),IF(M1143&gt;0,Q1143/M1143,""),"")</f>
        <v/>
      </c>
      <c r="Y1143" s="11">
        <f>IF(ISNUMBER(Z1143),YEAR(Z1143),"")</f>
        <v/>
      </c>
      <c r="Z1143" s="12" t="n"/>
      <c r="AA1143" s="12" t="n"/>
      <c r="AI1143" s="12" t="n"/>
      <c r="AJ1143" s="13">
        <f>IF(LEN(TRIM(AF1143))=0,"",HYPERLINK("https://www.google.com/maps/@?api=1&amp;map_action=pano&amp;viewpoint="&amp;SUBSTITUTE(AF1143," ",""),"Abrir Street View"))</f>
        <v/>
      </c>
    </row>
    <row r="1144">
      <c r="H1144" s="6" t="n"/>
      <c r="I1144" s="6" t="n"/>
      <c r="M1144" s="7" t="n"/>
      <c r="N1144" s="7" t="n"/>
      <c r="O1144" s="7" t="n"/>
      <c r="Q1144" s="7" t="n"/>
      <c r="R1144" s="7" t="n"/>
      <c r="S1144" s="8">
        <f>IF(NOT(ISNUMBER(M1144)),"",IF(G1144="Terreno",IF(AND(ISNUMBER(I1144),I1144&gt;0),M1144/I1144,""),IF(AND(ISNUMBER(H1144),H1144&gt;0),M1144/H1144,"")))</f>
        <v/>
      </c>
      <c r="T1144" s="9">
        <f>IF(AND(ISNUMBER(M1144),ISNUMBER(O1144)),IF(M1144&lt;=O1144,"Valor ≤ venal IPTU",""),"")</f>
        <v/>
      </c>
      <c r="U1144" s="10">
        <f>IF(AND(ISNUMBER(M1144),ISNUMBER(N1144)),IF(N1144&gt;0,M1144/N1144,""),"")</f>
        <v/>
      </c>
      <c r="V1144" s="10">
        <f>IF(AND(ISNUMBER(M1144),ISNUMBER(O1144)),IF(O1144&gt;0,M1144/O1144,""),"")</f>
        <v/>
      </c>
      <c r="W1144" s="10">
        <f>IF(AND(ISNUMBER(M1144),ISNUMBER(R1144)),IF(R1144&gt;0,M1144/R1144,""),"")</f>
        <v/>
      </c>
      <c r="X1144" s="10">
        <f>IF(AND(ISNUMBER(Q1144),ISNUMBER(M1144)),IF(M1144&gt;0,Q1144/M1144,""),"")</f>
        <v/>
      </c>
      <c r="Y1144" s="11">
        <f>IF(ISNUMBER(Z1144),YEAR(Z1144),"")</f>
        <v/>
      </c>
      <c r="Z1144" s="12" t="n"/>
      <c r="AA1144" s="12" t="n"/>
      <c r="AI1144" s="12" t="n"/>
      <c r="AJ1144" s="13">
        <f>IF(LEN(TRIM(AF1144))=0,"",HYPERLINK("https://www.google.com/maps/@?api=1&amp;map_action=pano&amp;viewpoint="&amp;SUBSTITUTE(AF1144," ",""),"Abrir Street View"))</f>
        <v/>
      </c>
    </row>
    <row r="1145">
      <c r="H1145" s="6" t="n"/>
      <c r="I1145" s="6" t="n"/>
      <c r="M1145" s="7" t="n"/>
      <c r="N1145" s="7" t="n"/>
      <c r="O1145" s="7" t="n"/>
      <c r="Q1145" s="7" t="n"/>
      <c r="R1145" s="7" t="n"/>
      <c r="S1145" s="8">
        <f>IF(NOT(ISNUMBER(M1145)),"",IF(G1145="Terreno",IF(AND(ISNUMBER(I1145),I1145&gt;0),M1145/I1145,""),IF(AND(ISNUMBER(H1145),H1145&gt;0),M1145/H1145,"")))</f>
        <v/>
      </c>
      <c r="T1145" s="9">
        <f>IF(AND(ISNUMBER(M1145),ISNUMBER(O1145)),IF(M1145&lt;=O1145,"Valor ≤ venal IPTU",""),"")</f>
        <v/>
      </c>
      <c r="U1145" s="10">
        <f>IF(AND(ISNUMBER(M1145),ISNUMBER(N1145)),IF(N1145&gt;0,M1145/N1145,""),"")</f>
        <v/>
      </c>
      <c r="V1145" s="10">
        <f>IF(AND(ISNUMBER(M1145),ISNUMBER(O1145)),IF(O1145&gt;0,M1145/O1145,""),"")</f>
        <v/>
      </c>
      <c r="W1145" s="10">
        <f>IF(AND(ISNUMBER(M1145),ISNUMBER(R1145)),IF(R1145&gt;0,M1145/R1145,""),"")</f>
        <v/>
      </c>
      <c r="X1145" s="10">
        <f>IF(AND(ISNUMBER(Q1145),ISNUMBER(M1145)),IF(M1145&gt;0,Q1145/M1145,""),"")</f>
        <v/>
      </c>
      <c r="Y1145" s="11">
        <f>IF(ISNUMBER(Z1145),YEAR(Z1145),"")</f>
        <v/>
      </c>
      <c r="Z1145" s="12" t="n"/>
      <c r="AA1145" s="12" t="n"/>
      <c r="AI1145" s="12" t="n"/>
      <c r="AJ1145" s="13">
        <f>IF(LEN(TRIM(AF1145))=0,"",HYPERLINK("https://www.google.com/maps/@?api=1&amp;map_action=pano&amp;viewpoint="&amp;SUBSTITUTE(AF1145," ",""),"Abrir Street View"))</f>
        <v/>
      </c>
    </row>
    <row r="1146">
      <c r="H1146" s="6" t="n"/>
      <c r="I1146" s="6" t="n"/>
      <c r="M1146" s="7" t="n"/>
      <c r="N1146" s="7" t="n"/>
      <c r="O1146" s="7" t="n"/>
      <c r="Q1146" s="7" t="n"/>
      <c r="R1146" s="7" t="n"/>
      <c r="S1146" s="8">
        <f>IF(NOT(ISNUMBER(M1146)),"",IF(G1146="Terreno",IF(AND(ISNUMBER(I1146),I1146&gt;0),M1146/I1146,""),IF(AND(ISNUMBER(H1146),H1146&gt;0),M1146/H1146,"")))</f>
        <v/>
      </c>
      <c r="T1146" s="9">
        <f>IF(AND(ISNUMBER(M1146),ISNUMBER(O1146)),IF(M1146&lt;=O1146,"Valor ≤ venal IPTU",""),"")</f>
        <v/>
      </c>
      <c r="U1146" s="10">
        <f>IF(AND(ISNUMBER(M1146),ISNUMBER(N1146)),IF(N1146&gt;0,M1146/N1146,""),"")</f>
        <v/>
      </c>
      <c r="V1146" s="10">
        <f>IF(AND(ISNUMBER(M1146),ISNUMBER(O1146)),IF(O1146&gt;0,M1146/O1146,""),"")</f>
        <v/>
      </c>
      <c r="W1146" s="10">
        <f>IF(AND(ISNUMBER(M1146),ISNUMBER(R1146)),IF(R1146&gt;0,M1146/R1146,""),"")</f>
        <v/>
      </c>
      <c r="X1146" s="10">
        <f>IF(AND(ISNUMBER(Q1146),ISNUMBER(M1146)),IF(M1146&gt;0,Q1146/M1146,""),"")</f>
        <v/>
      </c>
      <c r="Y1146" s="11">
        <f>IF(ISNUMBER(Z1146),YEAR(Z1146),"")</f>
        <v/>
      </c>
      <c r="Z1146" s="12" t="n"/>
      <c r="AA1146" s="12" t="n"/>
      <c r="AI1146" s="12" t="n"/>
      <c r="AJ1146" s="13">
        <f>IF(LEN(TRIM(AF1146))=0,"",HYPERLINK("https://www.google.com/maps/@?api=1&amp;map_action=pano&amp;viewpoint="&amp;SUBSTITUTE(AF1146," ",""),"Abrir Street View"))</f>
        <v/>
      </c>
    </row>
    <row r="1147">
      <c r="H1147" s="6" t="n"/>
      <c r="I1147" s="6" t="n"/>
      <c r="M1147" s="7" t="n"/>
      <c r="N1147" s="7" t="n"/>
      <c r="O1147" s="7" t="n"/>
      <c r="Q1147" s="7" t="n"/>
      <c r="R1147" s="7" t="n"/>
      <c r="S1147" s="8">
        <f>IF(NOT(ISNUMBER(M1147)),"",IF(G1147="Terreno",IF(AND(ISNUMBER(I1147),I1147&gt;0),M1147/I1147,""),IF(AND(ISNUMBER(H1147),H1147&gt;0),M1147/H1147,"")))</f>
        <v/>
      </c>
      <c r="T1147" s="9">
        <f>IF(AND(ISNUMBER(M1147),ISNUMBER(O1147)),IF(M1147&lt;=O1147,"Valor ≤ venal IPTU",""),"")</f>
        <v/>
      </c>
      <c r="U1147" s="10">
        <f>IF(AND(ISNUMBER(M1147),ISNUMBER(N1147)),IF(N1147&gt;0,M1147/N1147,""),"")</f>
        <v/>
      </c>
      <c r="V1147" s="10">
        <f>IF(AND(ISNUMBER(M1147),ISNUMBER(O1147)),IF(O1147&gt;0,M1147/O1147,""),"")</f>
        <v/>
      </c>
      <c r="W1147" s="10">
        <f>IF(AND(ISNUMBER(M1147),ISNUMBER(R1147)),IF(R1147&gt;0,M1147/R1147,""),"")</f>
        <v/>
      </c>
      <c r="X1147" s="10">
        <f>IF(AND(ISNUMBER(Q1147),ISNUMBER(M1147)),IF(M1147&gt;0,Q1147/M1147,""),"")</f>
        <v/>
      </c>
      <c r="Y1147" s="11">
        <f>IF(ISNUMBER(Z1147),YEAR(Z1147),"")</f>
        <v/>
      </c>
      <c r="Z1147" s="12" t="n"/>
      <c r="AA1147" s="12" t="n"/>
      <c r="AI1147" s="12" t="n"/>
      <c r="AJ1147" s="13">
        <f>IF(LEN(TRIM(AF1147))=0,"",HYPERLINK("https://www.google.com/maps/@?api=1&amp;map_action=pano&amp;viewpoint="&amp;SUBSTITUTE(AF1147," ",""),"Abrir Street View"))</f>
        <v/>
      </c>
    </row>
    <row r="1148">
      <c r="H1148" s="6" t="n"/>
      <c r="I1148" s="6" t="n"/>
      <c r="M1148" s="7" t="n"/>
      <c r="N1148" s="7" t="n"/>
      <c r="O1148" s="7" t="n"/>
      <c r="Q1148" s="7" t="n"/>
      <c r="R1148" s="7" t="n"/>
      <c r="S1148" s="8">
        <f>IF(NOT(ISNUMBER(M1148)),"",IF(G1148="Terreno",IF(AND(ISNUMBER(I1148),I1148&gt;0),M1148/I1148,""),IF(AND(ISNUMBER(H1148),H1148&gt;0),M1148/H1148,"")))</f>
        <v/>
      </c>
      <c r="T1148" s="9">
        <f>IF(AND(ISNUMBER(M1148),ISNUMBER(O1148)),IF(M1148&lt;=O1148,"Valor ≤ venal IPTU",""),"")</f>
        <v/>
      </c>
      <c r="U1148" s="10">
        <f>IF(AND(ISNUMBER(M1148),ISNUMBER(N1148)),IF(N1148&gt;0,M1148/N1148,""),"")</f>
        <v/>
      </c>
      <c r="V1148" s="10">
        <f>IF(AND(ISNUMBER(M1148),ISNUMBER(O1148)),IF(O1148&gt;0,M1148/O1148,""),"")</f>
        <v/>
      </c>
      <c r="W1148" s="10">
        <f>IF(AND(ISNUMBER(M1148),ISNUMBER(R1148)),IF(R1148&gt;0,M1148/R1148,""),"")</f>
        <v/>
      </c>
      <c r="X1148" s="10">
        <f>IF(AND(ISNUMBER(Q1148),ISNUMBER(M1148)),IF(M1148&gt;0,Q1148/M1148,""),"")</f>
        <v/>
      </c>
      <c r="Y1148" s="11">
        <f>IF(ISNUMBER(Z1148),YEAR(Z1148),"")</f>
        <v/>
      </c>
      <c r="Z1148" s="12" t="n"/>
      <c r="AA1148" s="12" t="n"/>
      <c r="AI1148" s="12" t="n"/>
      <c r="AJ1148" s="13">
        <f>IF(LEN(TRIM(AF1148))=0,"",HYPERLINK("https://www.google.com/maps/@?api=1&amp;map_action=pano&amp;viewpoint="&amp;SUBSTITUTE(AF1148," ",""),"Abrir Street View"))</f>
        <v/>
      </c>
    </row>
    <row r="1149">
      <c r="H1149" s="6" t="n"/>
      <c r="I1149" s="6" t="n"/>
      <c r="M1149" s="7" t="n"/>
      <c r="N1149" s="7" t="n"/>
      <c r="O1149" s="7" t="n"/>
      <c r="Q1149" s="7" t="n"/>
      <c r="R1149" s="7" t="n"/>
      <c r="S1149" s="8">
        <f>IF(NOT(ISNUMBER(M1149)),"",IF(G1149="Terreno",IF(AND(ISNUMBER(I1149),I1149&gt;0),M1149/I1149,""),IF(AND(ISNUMBER(H1149),H1149&gt;0),M1149/H1149,"")))</f>
        <v/>
      </c>
      <c r="T1149" s="9">
        <f>IF(AND(ISNUMBER(M1149),ISNUMBER(O1149)),IF(M1149&lt;=O1149,"Valor ≤ venal IPTU",""),"")</f>
        <v/>
      </c>
      <c r="U1149" s="10">
        <f>IF(AND(ISNUMBER(M1149),ISNUMBER(N1149)),IF(N1149&gt;0,M1149/N1149,""),"")</f>
        <v/>
      </c>
      <c r="V1149" s="10">
        <f>IF(AND(ISNUMBER(M1149),ISNUMBER(O1149)),IF(O1149&gt;0,M1149/O1149,""),"")</f>
        <v/>
      </c>
      <c r="W1149" s="10">
        <f>IF(AND(ISNUMBER(M1149),ISNUMBER(R1149)),IF(R1149&gt;0,M1149/R1149,""),"")</f>
        <v/>
      </c>
      <c r="X1149" s="10">
        <f>IF(AND(ISNUMBER(Q1149),ISNUMBER(M1149)),IF(M1149&gt;0,Q1149/M1149,""),"")</f>
        <v/>
      </c>
      <c r="Y1149" s="11">
        <f>IF(ISNUMBER(Z1149),YEAR(Z1149),"")</f>
        <v/>
      </c>
      <c r="Z1149" s="12" t="n"/>
      <c r="AA1149" s="12" t="n"/>
      <c r="AI1149" s="12" t="n"/>
      <c r="AJ1149" s="13">
        <f>IF(LEN(TRIM(AF1149))=0,"",HYPERLINK("https://www.google.com/maps/@?api=1&amp;map_action=pano&amp;viewpoint="&amp;SUBSTITUTE(AF1149," ",""),"Abrir Street View"))</f>
        <v/>
      </c>
    </row>
    <row r="1150">
      <c r="H1150" s="6" t="n"/>
      <c r="I1150" s="6" t="n"/>
      <c r="M1150" s="7" t="n"/>
      <c r="N1150" s="7" t="n"/>
      <c r="O1150" s="7" t="n"/>
      <c r="Q1150" s="7" t="n"/>
      <c r="R1150" s="7" t="n"/>
      <c r="S1150" s="8">
        <f>IF(NOT(ISNUMBER(M1150)),"",IF(G1150="Terreno",IF(AND(ISNUMBER(I1150),I1150&gt;0),M1150/I1150,""),IF(AND(ISNUMBER(H1150),H1150&gt;0),M1150/H1150,"")))</f>
        <v/>
      </c>
      <c r="T1150" s="9">
        <f>IF(AND(ISNUMBER(M1150),ISNUMBER(O1150)),IF(M1150&lt;=O1150,"Valor ≤ venal IPTU",""),"")</f>
        <v/>
      </c>
      <c r="U1150" s="10">
        <f>IF(AND(ISNUMBER(M1150),ISNUMBER(N1150)),IF(N1150&gt;0,M1150/N1150,""),"")</f>
        <v/>
      </c>
      <c r="V1150" s="10">
        <f>IF(AND(ISNUMBER(M1150),ISNUMBER(O1150)),IF(O1150&gt;0,M1150/O1150,""),"")</f>
        <v/>
      </c>
      <c r="W1150" s="10">
        <f>IF(AND(ISNUMBER(M1150),ISNUMBER(R1150)),IF(R1150&gt;0,M1150/R1150,""),"")</f>
        <v/>
      </c>
      <c r="X1150" s="10">
        <f>IF(AND(ISNUMBER(Q1150),ISNUMBER(M1150)),IF(M1150&gt;0,Q1150/M1150,""),"")</f>
        <v/>
      </c>
      <c r="Y1150" s="11">
        <f>IF(ISNUMBER(Z1150),YEAR(Z1150),"")</f>
        <v/>
      </c>
      <c r="Z1150" s="12" t="n"/>
      <c r="AA1150" s="12" t="n"/>
      <c r="AI1150" s="12" t="n"/>
      <c r="AJ1150" s="13">
        <f>IF(LEN(TRIM(AF1150))=0,"",HYPERLINK("https://www.google.com/maps/@?api=1&amp;map_action=pano&amp;viewpoint="&amp;SUBSTITUTE(AF1150," ",""),"Abrir Street View"))</f>
        <v/>
      </c>
    </row>
    <row r="1151">
      <c r="H1151" s="6" t="n"/>
      <c r="I1151" s="6" t="n"/>
      <c r="M1151" s="7" t="n"/>
      <c r="N1151" s="7" t="n"/>
      <c r="O1151" s="7" t="n"/>
      <c r="Q1151" s="7" t="n"/>
      <c r="R1151" s="7" t="n"/>
      <c r="S1151" s="8">
        <f>IF(NOT(ISNUMBER(M1151)),"",IF(G1151="Terreno",IF(AND(ISNUMBER(I1151),I1151&gt;0),M1151/I1151,""),IF(AND(ISNUMBER(H1151),H1151&gt;0),M1151/H1151,"")))</f>
        <v/>
      </c>
      <c r="T1151" s="9">
        <f>IF(AND(ISNUMBER(M1151),ISNUMBER(O1151)),IF(M1151&lt;=O1151,"Valor ≤ venal IPTU",""),"")</f>
        <v/>
      </c>
      <c r="U1151" s="10">
        <f>IF(AND(ISNUMBER(M1151),ISNUMBER(N1151)),IF(N1151&gt;0,M1151/N1151,""),"")</f>
        <v/>
      </c>
      <c r="V1151" s="10">
        <f>IF(AND(ISNUMBER(M1151),ISNUMBER(O1151)),IF(O1151&gt;0,M1151/O1151,""),"")</f>
        <v/>
      </c>
      <c r="W1151" s="10">
        <f>IF(AND(ISNUMBER(M1151),ISNUMBER(R1151)),IF(R1151&gt;0,M1151/R1151,""),"")</f>
        <v/>
      </c>
      <c r="X1151" s="10">
        <f>IF(AND(ISNUMBER(Q1151),ISNUMBER(M1151)),IF(M1151&gt;0,Q1151/M1151,""),"")</f>
        <v/>
      </c>
      <c r="Y1151" s="11">
        <f>IF(ISNUMBER(Z1151),YEAR(Z1151),"")</f>
        <v/>
      </c>
      <c r="Z1151" s="12" t="n"/>
      <c r="AA1151" s="12" t="n"/>
      <c r="AI1151" s="12" t="n"/>
      <c r="AJ1151" s="13">
        <f>IF(LEN(TRIM(AF1151))=0,"",HYPERLINK("https://www.google.com/maps/@?api=1&amp;map_action=pano&amp;viewpoint="&amp;SUBSTITUTE(AF1151," ",""),"Abrir Street View"))</f>
        <v/>
      </c>
    </row>
    <row r="1152">
      <c r="H1152" s="6" t="n"/>
      <c r="I1152" s="6" t="n"/>
      <c r="M1152" s="7" t="n"/>
      <c r="N1152" s="7" t="n"/>
      <c r="O1152" s="7" t="n"/>
      <c r="Q1152" s="7" t="n"/>
      <c r="R1152" s="7" t="n"/>
      <c r="S1152" s="8">
        <f>IF(NOT(ISNUMBER(M1152)),"",IF(G1152="Terreno",IF(AND(ISNUMBER(I1152),I1152&gt;0),M1152/I1152,""),IF(AND(ISNUMBER(H1152),H1152&gt;0),M1152/H1152,"")))</f>
        <v/>
      </c>
      <c r="T1152" s="9">
        <f>IF(AND(ISNUMBER(M1152),ISNUMBER(O1152)),IF(M1152&lt;=O1152,"Valor ≤ venal IPTU",""),"")</f>
        <v/>
      </c>
      <c r="U1152" s="10">
        <f>IF(AND(ISNUMBER(M1152),ISNUMBER(N1152)),IF(N1152&gt;0,M1152/N1152,""),"")</f>
        <v/>
      </c>
      <c r="V1152" s="10">
        <f>IF(AND(ISNUMBER(M1152),ISNUMBER(O1152)),IF(O1152&gt;0,M1152/O1152,""),"")</f>
        <v/>
      </c>
      <c r="W1152" s="10">
        <f>IF(AND(ISNUMBER(M1152),ISNUMBER(R1152)),IF(R1152&gt;0,M1152/R1152,""),"")</f>
        <v/>
      </c>
      <c r="X1152" s="10">
        <f>IF(AND(ISNUMBER(Q1152),ISNUMBER(M1152)),IF(M1152&gt;0,Q1152/M1152,""),"")</f>
        <v/>
      </c>
      <c r="Y1152" s="11">
        <f>IF(ISNUMBER(Z1152),YEAR(Z1152),"")</f>
        <v/>
      </c>
      <c r="Z1152" s="12" t="n"/>
      <c r="AA1152" s="12" t="n"/>
      <c r="AI1152" s="12" t="n"/>
      <c r="AJ1152" s="13">
        <f>IF(LEN(TRIM(AF1152))=0,"",HYPERLINK("https://www.google.com/maps/@?api=1&amp;map_action=pano&amp;viewpoint="&amp;SUBSTITUTE(AF1152," ",""),"Abrir Street View"))</f>
        <v/>
      </c>
    </row>
    <row r="1153">
      <c r="H1153" s="6" t="n"/>
      <c r="I1153" s="6" t="n"/>
      <c r="M1153" s="7" t="n"/>
      <c r="N1153" s="7" t="n"/>
      <c r="O1153" s="7" t="n"/>
      <c r="Q1153" s="7" t="n"/>
      <c r="R1153" s="7" t="n"/>
      <c r="S1153" s="8">
        <f>IF(NOT(ISNUMBER(M1153)),"",IF(G1153="Terreno",IF(AND(ISNUMBER(I1153),I1153&gt;0),M1153/I1153,""),IF(AND(ISNUMBER(H1153),H1153&gt;0),M1153/H1153,"")))</f>
        <v/>
      </c>
      <c r="T1153" s="9">
        <f>IF(AND(ISNUMBER(M1153),ISNUMBER(O1153)),IF(M1153&lt;=O1153,"Valor ≤ venal IPTU",""),"")</f>
        <v/>
      </c>
      <c r="U1153" s="10">
        <f>IF(AND(ISNUMBER(M1153),ISNUMBER(N1153)),IF(N1153&gt;0,M1153/N1153,""),"")</f>
        <v/>
      </c>
      <c r="V1153" s="10">
        <f>IF(AND(ISNUMBER(M1153),ISNUMBER(O1153)),IF(O1153&gt;0,M1153/O1153,""),"")</f>
        <v/>
      </c>
      <c r="W1153" s="10">
        <f>IF(AND(ISNUMBER(M1153),ISNUMBER(R1153)),IF(R1153&gt;0,M1153/R1153,""),"")</f>
        <v/>
      </c>
      <c r="X1153" s="10">
        <f>IF(AND(ISNUMBER(Q1153),ISNUMBER(M1153)),IF(M1153&gt;0,Q1153/M1153,""),"")</f>
        <v/>
      </c>
      <c r="Y1153" s="11">
        <f>IF(ISNUMBER(Z1153),YEAR(Z1153),"")</f>
        <v/>
      </c>
      <c r="Z1153" s="12" t="n"/>
      <c r="AA1153" s="12" t="n"/>
      <c r="AI1153" s="12" t="n"/>
      <c r="AJ1153" s="13">
        <f>IF(LEN(TRIM(AF1153))=0,"",HYPERLINK("https://www.google.com/maps/@?api=1&amp;map_action=pano&amp;viewpoint="&amp;SUBSTITUTE(AF1153," ",""),"Abrir Street View"))</f>
        <v/>
      </c>
    </row>
    <row r="1154">
      <c r="H1154" s="6" t="n"/>
      <c r="I1154" s="6" t="n"/>
      <c r="M1154" s="7" t="n"/>
      <c r="N1154" s="7" t="n"/>
      <c r="O1154" s="7" t="n"/>
      <c r="Q1154" s="7" t="n"/>
      <c r="R1154" s="7" t="n"/>
      <c r="S1154" s="8">
        <f>IF(NOT(ISNUMBER(M1154)),"",IF(G1154="Terreno",IF(AND(ISNUMBER(I1154),I1154&gt;0),M1154/I1154,""),IF(AND(ISNUMBER(H1154),H1154&gt;0),M1154/H1154,"")))</f>
        <v/>
      </c>
      <c r="T1154" s="9">
        <f>IF(AND(ISNUMBER(M1154),ISNUMBER(O1154)),IF(M1154&lt;=O1154,"Valor ≤ venal IPTU",""),"")</f>
        <v/>
      </c>
      <c r="U1154" s="10">
        <f>IF(AND(ISNUMBER(M1154),ISNUMBER(N1154)),IF(N1154&gt;0,M1154/N1154,""),"")</f>
        <v/>
      </c>
      <c r="V1154" s="10">
        <f>IF(AND(ISNUMBER(M1154),ISNUMBER(O1154)),IF(O1154&gt;0,M1154/O1154,""),"")</f>
        <v/>
      </c>
      <c r="W1154" s="10">
        <f>IF(AND(ISNUMBER(M1154),ISNUMBER(R1154)),IF(R1154&gt;0,M1154/R1154,""),"")</f>
        <v/>
      </c>
      <c r="X1154" s="10">
        <f>IF(AND(ISNUMBER(Q1154),ISNUMBER(M1154)),IF(M1154&gt;0,Q1154/M1154,""),"")</f>
        <v/>
      </c>
      <c r="Y1154" s="11">
        <f>IF(ISNUMBER(Z1154),YEAR(Z1154),"")</f>
        <v/>
      </c>
      <c r="Z1154" s="12" t="n"/>
      <c r="AA1154" s="12" t="n"/>
      <c r="AI1154" s="12" t="n"/>
      <c r="AJ1154" s="13">
        <f>IF(LEN(TRIM(AF1154))=0,"",HYPERLINK("https://www.google.com/maps/@?api=1&amp;map_action=pano&amp;viewpoint="&amp;SUBSTITUTE(AF1154," ",""),"Abrir Street View"))</f>
        <v/>
      </c>
    </row>
    <row r="1155">
      <c r="H1155" s="6" t="n"/>
      <c r="I1155" s="6" t="n"/>
      <c r="M1155" s="7" t="n"/>
      <c r="N1155" s="7" t="n"/>
      <c r="O1155" s="7" t="n"/>
      <c r="Q1155" s="7" t="n"/>
      <c r="R1155" s="7" t="n"/>
      <c r="S1155" s="8">
        <f>IF(NOT(ISNUMBER(M1155)),"",IF(G1155="Terreno",IF(AND(ISNUMBER(I1155),I1155&gt;0),M1155/I1155,""),IF(AND(ISNUMBER(H1155),H1155&gt;0),M1155/H1155,"")))</f>
        <v/>
      </c>
      <c r="T1155" s="9">
        <f>IF(AND(ISNUMBER(M1155),ISNUMBER(O1155)),IF(M1155&lt;=O1155,"Valor ≤ venal IPTU",""),"")</f>
        <v/>
      </c>
      <c r="U1155" s="10">
        <f>IF(AND(ISNUMBER(M1155),ISNUMBER(N1155)),IF(N1155&gt;0,M1155/N1155,""),"")</f>
        <v/>
      </c>
      <c r="V1155" s="10">
        <f>IF(AND(ISNUMBER(M1155),ISNUMBER(O1155)),IF(O1155&gt;0,M1155/O1155,""),"")</f>
        <v/>
      </c>
      <c r="W1155" s="10">
        <f>IF(AND(ISNUMBER(M1155),ISNUMBER(R1155)),IF(R1155&gt;0,M1155/R1155,""),"")</f>
        <v/>
      </c>
      <c r="X1155" s="10">
        <f>IF(AND(ISNUMBER(Q1155),ISNUMBER(M1155)),IF(M1155&gt;0,Q1155/M1155,""),"")</f>
        <v/>
      </c>
      <c r="Y1155" s="11">
        <f>IF(ISNUMBER(Z1155),YEAR(Z1155),"")</f>
        <v/>
      </c>
      <c r="Z1155" s="12" t="n"/>
      <c r="AA1155" s="12" t="n"/>
      <c r="AI1155" s="12" t="n"/>
      <c r="AJ1155" s="13">
        <f>IF(LEN(TRIM(AF1155))=0,"",HYPERLINK("https://www.google.com/maps/@?api=1&amp;map_action=pano&amp;viewpoint="&amp;SUBSTITUTE(AF1155," ",""),"Abrir Street View"))</f>
        <v/>
      </c>
    </row>
    <row r="1156">
      <c r="H1156" s="6" t="n"/>
      <c r="I1156" s="6" t="n"/>
      <c r="M1156" s="7" t="n"/>
      <c r="N1156" s="7" t="n"/>
      <c r="O1156" s="7" t="n"/>
      <c r="Q1156" s="7" t="n"/>
      <c r="R1156" s="7" t="n"/>
      <c r="S1156" s="8">
        <f>IF(NOT(ISNUMBER(M1156)),"",IF(G1156="Terreno",IF(AND(ISNUMBER(I1156),I1156&gt;0),M1156/I1156,""),IF(AND(ISNUMBER(H1156),H1156&gt;0),M1156/H1156,"")))</f>
        <v/>
      </c>
      <c r="T1156" s="9">
        <f>IF(AND(ISNUMBER(M1156),ISNUMBER(O1156)),IF(M1156&lt;=O1156,"Valor ≤ venal IPTU",""),"")</f>
        <v/>
      </c>
      <c r="U1156" s="10">
        <f>IF(AND(ISNUMBER(M1156),ISNUMBER(N1156)),IF(N1156&gt;0,M1156/N1156,""),"")</f>
        <v/>
      </c>
      <c r="V1156" s="10">
        <f>IF(AND(ISNUMBER(M1156),ISNUMBER(O1156)),IF(O1156&gt;0,M1156/O1156,""),"")</f>
        <v/>
      </c>
      <c r="W1156" s="10">
        <f>IF(AND(ISNUMBER(M1156),ISNUMBER(R1156)),IF(R1156&gt;0,M1156/R1156,""),"")</f>
        <v/>
      </c>
      <c r="X1156" s="10">
        <f>IF(AND(ISNUMBER(Q1156),ISNUMBER(M1156)),IF(M1156&gt;0,Q1156/M1156,""),"")</f>
        <v/>
      </c>
      <c r="Y1156" s="11">
        <f>IF(ISNUMBER(Z1156),YEAR(Z1156),"")</f>
        <v/>
      </c>
      <c r="Z1156" s="12" t="n"/>
      <c r="AA1156" s="12" t="n"/>
      <c r="AI1156" s="12" t="n"/>
      <c r="AJ1156" s="13">
        <f>IF(LEN(TRIM(AF1156))=0,"",HYPERLINK("https://www.google.com/maps/@?api=1&amp;map_action=pano&amp;viewpoint="&amp;SUBSTITUTE(AF1156," ",""),"Abrir Street View"))</f>
        <v/>
      </c>
    </row>
    <row r="1157">
      <c r="H1157" s="6" t="n"/>
      <c r="I1157" s="6" t="n"/>
      <c r="M1157" s="7" t="n"/>
      <c r="N1157" s="7" t="n"/>
      <c r="O1157" s="7" t="n"/>
      <c r="Q1157" s="7" t="n"/>
      <c r="R1157" s="7" t="n"/>
      <c r="S1157" s="8">
        <f>IF(NOT(ISNUMBER(M1157)),"",IF(G1157="Terreno",IF(AND(ISNUMBER(I1157),I1157&gt;0),M1157/I1157,""),IF(AND(ISNUMBER(H1157),H1157&gt;0),M1157/H1157,"")))</f>
        <v/>
      </c>
      <c r="T1157" s="9">
        <f>IF(AND(ISNUMBER(M1157),ISNUMBER(O1157)),IF(M1157&lt;=O1157,"Valor ≤ venal IPTU",""),"")</f>
        <v/>
      </c>
      <c r="U1157" s="10">
        <f>IF(AND(ISNUMBER(M1157),ISNUMBER(N1157)),IF(N1157&gt;0,M1157/N1157,""),"")</f>
        <v/>
      </c>
      <c r="V1157" s="10">
        <f>IF(AND(ISNUMBER(M1157),ISNUMBER(O1157)),IF(O1157&gt;0,M1157/O1157,""),"")</f>
        <v/>
      </c>
      <c r="W1157" s="10">
        <f>IF(AND(ISNUMBER(M1157),ISNUMBER(R1157)),IF(R1157&gt;0,M1157/R1157,""),"")</f>
        <v/>
      </c>
      <c r="X1157" s="10">
        <f>IF(AND(ISNUMBER(Q1157),ISNUMBER(M1157)),IF(M1157&gt;0,Q1157/M1157,""),"")</f>
        <v/>
      </c>
      <c r="Y1157" s="11">
        <f>IF(ISNUMBER(Z1157),YEAR(Z1157),"")</f>
        <v/>
      </c>
      <c r="Z1157" s="12" t="n"/>
      <c r="AA1157" s="12" t="n"/>
      <c r="AI1157" s="12" t="n"/>
      <c r="AJ1157" s="13">
        <f>IF(LEN(TRIM(AF1157))=0,"",HYPERLINK("https://www.google.com/maps/@?api=1&amp;map_action=pano&amp;viewpoint="&amp;SUBSTITUTE(AF1157," ",""),"Abrir Street View"))</f>
        <v/>
      </c>
    </row>
    <row r="1158">
      <c r="H1158" s="6" t="n"/>
      <c r="I1158" s="6" t="n"/>
      <c r="M1158" s="7" t="n"/>
      <c r="N1158" s="7" t="n"/>
      <c r="O1158" s="7" t="n"/>
      <c r="Q1158" s="7" t="n"/>
      <c r="R1158" s="7" t="n"/>
      <c r="S1158" s="8">
        <f>IF(NOT(ISNUMBER(M1158)),"",IF(G1158="Terreno",IF(AND(ISNUMBER(I1158),I1158&gt;0),M1158/I1158,""),IF(AND(ISNUMBER(H1158),H1158&gt;0),M1158/H1158,"")))</f>
        <v/>
      </c>
      <c r="T1158" s="9">
        <f>IF(AND(ISNUMBER(M1158),ISNUMBER(O1158)),IF(M1158&lt;=O1158,"Valor ≤ venal IPTU",""),"")</f>
        <v/>
      </c>
      <c r="U1158" s="10">
        <f>IF(AND(ISNUMBER(M1158),ISNUMBER(N1158)),IF(N1158&gt;0,M1158/N1158,""),"")</f>
        <v/>
      </c>
      <c r="V1158" s="10">
        <f>IF(AND(ISNUMBER(M1158),ISNUMBER(O1158)),IF(O1158&gt;0,M1158/O1158,""),"")</f>
        <v/>
      </c>
      <c r="W1158" s="10">
        <f>IF(AND(ISNUMBER(M1158),ISNUMBER(R1158)),IF(R1158&gt;0,M1158/R1158,""),"")</f>
        <v/>
      </c>
      <c r="X1158" s="10">
        <f>IF(AND(ISNUMBER(Q1158),ISNUMBER(M1158)),IF(M1158&gt;0,Q1158/M1158,""),"")</f>
        <v/>
      </c>
      <c r="Y1158" s="11">
        <f>IF(ISNUMBER(Z1158),YEAR(Z1158),"")</f>
        <v/>
      </c>
      <c r="Z1158" s="12" t="n"/>
      <c r="AA1158" s="12" t="n"/>
      <c r="AI1158" s="12" t="n"/>
      <c r="AJ1158" s="13">
        <f>IF(LEN(TRIM(AF1158))=0,"",HYPERLINK("https://www.google.com/maps/@?api=1&amp;map_action=pano&amp;viewpoint="&amp;SUBSTITUTE(AF1158," ",""),"Abrir Street View"))</f>
        <v/>
      </c>
    </row>
    <row r="1159">
      <c r="H1159" s="6" t="n"/>
      <c r="I1159" s="6" t="n"/>
      <c r="M1159" s="7" t="n"/>
      <c r="N1159" s="7" t="n"/>
      <c r="O1159" s="7" t="n"/>
      <c r="Q1159" s="7" t="n"/>
      <c r="R1159" s="7" t="n"/>
      <c r="S1159" s="8">
        <f>IF(NOT(ISNUMBER(M1159)),"",IF(G1159="Terreno",IF(AND(ISNUMBER(I1159),I1159&gt;0),M1159/I1159,""),IF(AND(ISNUMBER(H1159),H1159&gt;0),M1159/H1159,"")))</f>
        <v/>
      </c>
      <c r="T1159" s="9">
        <f>IF(AND(ISNUMBER(M1159),ISNUMBER(O1159)),IF(M1159&lt;=O1159,"Valor ≤ venal IPTU",""),"")</f>
        <v/>
      </c>
      <c r="U1159" s="10">
        <f>IF(AND(ISNUMBER(M1159),ISNUMBER(N1159)),IF(N1159&gt;0,M1159/N1159,""),"")</f>
        <v/>
      </c>
      <c r="V1159" s="10">
        <f>IF(AND(ISNUMBER(M1159),ISNUMBER(O1159)),IF(O1159&gt;0,M1159/O1159,""),"")</f>
        <v/>
      </c>
      <c r="W1159" s="10">
        <f>IF(AND(ISNUMBER(M1159),ISNUMBER(R1159)),IF(R1159&gt;0,M1159/R1159,""),"")</f>
        <v/>
      </c>
      <c r="X1159" s="10">
        <f>IF(AND(ISNUMBER(Q1159),ISNUMBER(M1159)),IF(M1159&gt;0,Q1159/M1159,""),"")</f>
        <v/>
      </c>
      <c r="Y1159" s="11">
        <f>IF(ISNUMBER(Z1159),YEAR(Z1159),"")</f>
        <v/>
      </c>
      <c r="Z1159" s="12" t="n"/>
      <c r="AA1159" s="12" t="n"/>
      <c r="AI1159" s="12" t="n"/>
      <c r="AJ1159" s="13">
        <f>IF(LEN(TRIM(AF1159))=0,"",HYPERLINK("https://www.google.com/maps/@?api=1&amp;map_action=pano&amp;viewpoint="&amp;SUBSTITUTE(AF1159," ",""),"Abrir Street View"))</f>
        <v/>
      </c>
    </row>
    <row r="1160">
      <c r="H1160" s="6" t="n"/>
      <c r="I1160" s="6" t="n"/>
      <c r="M1160" s="7" t="n"/>
      <c r="N1160" s="7" t="n"/>
      <c r="O1160" s="7" t="n"/>
      <c r="Q1160" s="7" t="n"/>
      <c r="R1160" s="7" t="n"/>
      <c r="S1160" s="8">
        <f>IF(NOT(ISNUMBER(M1160)),"",IF(G1160="Terreno",IF(AND(ISNUMBER(I1160),I1160&gt;0),M1160/I1160,""),IF(AND(ISNUMBER(H1160),H1160&gt;0),M1160/H1160,"")))</f>
        <v/>
      </c>
      <c r="T1160" s="9">
        <f>IF(AND(ISNUMBER(M1160),ISNUMBER(O1160)),IF(M1160&lt;=O1160,"Valor ≤ venal IPTU",""),"")</f>
        <v/>
      </c>
      <c r="U1160" s="10">
        <f>IF(AND(ISNUMBER(M1160),ISNUMBER(N1160)),IF(N1160&gt;0,M1160/N1160,""),"")</f>
        <v/>
      </c>
      <c r="V1160" s="10">
        <f>IF(AND(ISNUMBER(M1160),ISNUMBER(O1160)),IF(O1160&gt;0,M1160/O1160,""),"")</f>
        <v/>
      </c>
      <c r="W1160" s="10">
        <f>IF(AND(ISNUMBER(M1160),ISNUMBER(R1160)),IF(R1160&gt;0,M1160/R1160,""),"")</f>
        <v/>
      </c>
      <c r="X1160" s="10">
        <f>IF(AND(ISNUMBER(Q1160),ISNUMBER(M1160)),IF(M1160&gt;0,Q1160/M1160,""),"")</f>
        <v/>
      </c>
      <c r="Y1160" s="11">
        <f>IF(ISNUMBER(Z1160),YEAR(Z1160),"")</f>
        <v/>
      </c>
      <c r="Z1160" s="12" t="n"/>
      <c r="AA1160" s="12" t="n"/>
      <c r="AI1160" s="12" t="n"/>
      <c r="AJ1160" s="13">
        <f>IF(LEN(TRIM(AF1160))=0,"",HYPERLINK("https://www.google.com/maps/@?api=1&amp;map_action=pano&amp;viewpoint="&amp;SUBSTITUTE(AF1160," ",""),"Abrir Street View"))</f>
        <v/>
      </c>
    </row>
    <row r="1161">
      <c r="H1161" s="6" t="n"/>
      <c r="I1161" s="6" t="n"/>
      <c r="M1161" s="7" t="n"/>
      <c r="N1161" s="7" t="n"/>
      <c r="O1161" s="7" t="n"/>
      <c r="Q1161" s="7" t="n"/>
      <c r="R1161" s="7" t="n"/>
      <c r="S1161" s="8">
        <f>IF(NOT(ISNUMBER(M1161)),"",IF(G1161="Terreno",IF(AND(ISNUMBER(I1161),I1161&gt;0),M1161/I1161,""),IF(AND(ISNUMBER(H1161),H1161&gt;0),M1161/H1161,"")))</f>
        <v/>
      </c>
      <c r="T1161" s="9">
        <f>IF(AND(ISNUMBER(M1161),ISNUMBER(O1161)),IF(M1161&lt;=O1161,"Valor ≤ venal IPTU",""),"")</f>
        <v/>
      </c>
      <c r="U1161" s="10">
        <f>IF(AND(ISNUMBER(M1161),ISNUMBER(N1161)),IF(N1161&gt;0,M1161/N1161,""),"")</f>
        <v/>
      </c>
      <c r="V1161" s="10">
        <f>IF(AND(ISNUMBER(M1161),ISNUMBER(O1161)),IF(O1161&gt;0,M1161/O1161,""),"")</f>
        <v/>
      </c>
      <c r="W1161" s="10">
        <f>IF(AND(ISNUMBER(M1161),ISNUMBER(R1161)),IF(R1161&gt;0,M1161/R1161,""),"")</f>
        <v/>
      </c>
      <c r="X1161" s="10">
        <f>IF(AND(ISNUMBER(Q1161),ISNUMBER(M1161)),IF(M1161&gt;0,Q1161/M1161,""),"")</f>
        <v/>
      </c>
      <c r="Y1161" s="11">
        <f>IF(ISNUMBER(Z1161),YEAR(Z1161),"")</f>
        <v/>
      </c>
      <c r="Z1161" s="12" t="n"/>
      <c r="AA1161" s="12" t="n"/>
      <c r="AI1161" s="12" t="n"/>
      <c r="AJ1161" s="13">
        <f>IF(LEN(TRIM(AF1161))=0,"",HYPERLINK("https://www.google.com/maps/@?api=1&amp;map_action=pano&amp;viewpoint="&amp;SUBSTITUTE(AF1161," ",""),"Abrir Street View"))</f>
        <v/>
      </c>
    </row>
    <row r="1162">
      <c r="H1162" s="6" t="n"/>
      <c r="I1162" s="6" t="n"/>
      <c r="M1162" s="7" t="n"/>
      <c r="N1162" s="7" t="n"/>
      <c r="O1162" s="7" t="n"/>
      <c r="Q1162" s="7" t="n"/>
      <c r="R1162" s="7" t="n"/>
      <c r="S1162" s="8">
        <f>IF(NOT(ISNUMBER(M1162)),"",IF(G1162="Terreno",IF(AND(ISNUMBER(I1162),I1162&gt;0),M1162/I1162,""),IF(AND(ISNUMBER(H1162),H1162&gt;0),M1162/H1162,"")))</f>
        <v/>
      </c>
      <c r="T1162" s="9">
        <f>IF(AND(ISNUMBER(M1162),ISNUMBER(O1162)),IF(M1162&lt;=O1162,"Valor ≤ venal IPTU",""),"")</f>
        <v/>
      </c>
      <c r="U1162" s="10">
        <f>IF(AND(ISNUMBER(M1162),ISNUMBER(N1162)),IF(N1162&gt;0,M1162/N1162,""),"")</f>
        <v/>
      </c>
      <c r="V1162" s="10">
        <f>IF(AND(ISNUMBER(M1162),ISNUMBER(O1162)),IF(O1162&gt;0,M1162/O1162,""),"")</f>
        <v/>
      </c>
      <c r="W1162" s="10">
        <f>IF(AND(ISNUMBER(M1162),ISNUMBER(R1162)),IF(R1162&gt;0,M1162/R1162,""),"")</f>
        <v/>
      </c>
      <c r="X1162" s="10">
        <f>IF(AND(ISNUMBER(Q1162),ISNUMBER(M1162)),IF(M1162&gt;0,Q1162/M1162,""),"")</f>
        <v/>
      </c>
      <c r="Y1162" s="11">
        <f>IF(ISNUMBER(Z1162),YEAR(Z1162),"")</f>
        <v/>
      </c>
      <c r="Z1162" s="12" t="n"/>
      <c r="AA1162" s="12" t="n"/>
      <c r="AI1162" s="12" t="n"/>
      <c r="AJ1162" s="13">
        <f>IF(LEN(TRIM(AF1162))=0,"",HYPERLINK("https://www.google.com/maps/@?api=1&amp;map_action=pano&amp;viewpoint="&amp;SUBSTITUTE(AF1162," ",""),"Abrir Street View"))</f>
        <v/>
      </c>
    </row>
    <row r="1163">
      <c r="H1163" s="6" t="n"/>
      <c r="I1163" s="6" t="n"/>
      <c r="M1163" s="7" t="n"/>
      <c r="N1163" s="7" t="n"/>
      <c r="O1163" s="7" t="n"/>
      <c r="Q1163" s="7" t="n"/>
      <c r="R1163" s="7" t="n"/>
      <c r="S1163" s="8">
        <f>IF(NOT(ISNUMBER(M1163)),"",IF(G1163="Terreno",IF(AND(ISNUMBER(I1163),I1163&gt;0),M1163/I1163,""),IF(AND(ISNUMBER(H1163),H1163&gt;0),M1163/H1163,"")))</f>
        <v/>
      </c>
      <c r="T1163" s="9">
        <f>IF(AND(ISNUMBER(M1163),ISNUMBER(O1163)),IF(M1163&lt;=O1163,"Valor ≤ venal IPTU",""),"")</f>
        <v/>
      </c>
      <c r="U1163" s="10">
        <f>IF(AND(ISNUMBER(M1163),ISNUMBER(N1163)),IF(N1163&gt;0,M1163/N1163,""),"")</f>
        <v/>
      </c>
      <c r="V1163" s="10">
        <f>IF(AND(ISNUMBER(M1163),ISNUMBER(O1163)),IF(O1163&gt;0,M1163/O1163,""),"")</f>
        <v/>
      </c>
      <c r="W1163" s="10">
        <f>IF(AND(ISNUMBER(M1163),ISNUMBER(R1163)),IF(R1163&gt;0,M1163/R1163,""),"")</f>
        <v/>
      </c>
      <c r="X1163" s="10">
        <f>IF(AND(ISNUMBER(Q1163),ISNUMBER(M1163)),IF(M1163&gt;0,Q1163/M1163,""),"")</f>
        <v/>
      </c>
      <c r="Y1163" s="11">
        <f>IF(ISNUMBER(Z1163),YEAR(Z1163),"")</f>
        <v/>
      </c>
      <c r="Z1163" s="12" t="n"/>
      <c r="AA1163" s="12" t="n"/>
      <c r="AI1163" s="12" t="n"/>
      <c r="AJ1163" s="13">
        <f>IF(LEN(TRIM(AF1163))=0,"",HYPERLINK("https://www.google.com/maps/@?api=1&amp;map_action=pano&amp;viewpoint="&amp;SUBSTITUTE(AF1163," ",""),"Abrir Street View"))</f>
        <v/>
      </c>
    </row>
    <row r="1164">
      <c r="H1164" s="6" t="n"/>
      <c r="I1164" s="6" t="n"/>
      <c r="M1164" s="7" t="n"/>
      <c r="N1164" s="7" t="n"/>
      <c r="O1164" s="7" t="n"/>
      <c r="Q1164" s="7" t="n"/>
      <c r="R1164" s="7" t="n"/>
      <c r="S1164" s="8">
        <f>IF(NOT(ISNUMBER(M1164)),"",IF(G1164="Terreno",IF(AND(ISNUMBER(I1164),I1164&gt;0),M1164/I1164,""),IF(AND(ISNUMBER(H1164),H1164&gt;0),M1164/H1164,"")))</f>
        <v/>
      </c>
      <c r="T1164" s="9">
        <f>IF(AND(ISNUMBER(M1164),ISNUMBER(O1164)),IF(M1164&lt;=O1164,"Valor ≤ venal IPTU",""),"")</f>
        <v/>
      </c>
      <c r="U1164" s="10">
        <f>IF(AND(ISNUMBER(M1164),ISNUMBER(N1164)),IF(N1164&gt;0,M1164/N1164,""),"")</f>
        <v/>
      </c>
      <c r="V1164" s="10">
        <f>IF(AND(ISNUMBER(M1164),ISNUMBER(O1164)),IF(O1164&gt;0,M1164/O1164,""),"")</f>
        <v/>
      </c>
      <c r="W1164" s="10">
        <f>IF(AND(ISNUMBER(M1164),ISNUMBER(R1164)),IF(R1164&gt;0,M1164/R1164,""),"")</f>
        <v/>
      </c>
      <c r="X1164" s="10">
        <f>IF(AND(ISNUMBER(Q1164),ISNUMBER(M1164)),IF(M1164&gt;0,Q1164/M1164,""),"")</f>
        <v/>
      </c>
      <c r="Y1164" s="11">
        <f>IF(ISNUMBER(Z1164),YEAR(Z1164),"")</f>
        <v/>
      </c>
      <c r="Z1164" s="12" t="n"/>
      <c r="AA1164" s="12" t="n"/>
      <c r="AI1164" s="12" t="n"/>
      <c r="AJ1164" s="13">
        <f>IF(LEN(TRIM(AF1164))=0,"",HYPERLINK("https://www.google.com/maps/@?api=1&amp;map_action=pano&amp;viewpoint="&amp;SUBSTITUTE(AF1164," ",""),"Abrir Street View"))</f>
        <v/>
      </c>
    </row>
    <row r="1165">
      <c r="H1165" s="6" t="n"/>
      <c r="I1165" s="6" t="n"/>
      <c r="M1165" s="7" t="n"/>
      <c r="N1165" s="7" t="n"/>
      <c r="O1165" s="7" t="n"/>
      <c r="Q1165" s="7" t="n"/>
      <c r="R1165" s="7" t="n"/>
      <c r="S1165" s="8">
        <f>IF(NOT(ISNUMBER(M1165)),"",IF(G1165="Terreno",IF(AND(ISNUMBER(I1165),I1165&gt;0),M1165/I1165,""),IF(AND(ISNUMBER(H1165),H1165&gt;0),M1165/H1165,"")))</f>
        <v/>
      </c>
      <c r="T1165" s="9">
        <f>IF(AND(ISNUMBER(M1165),ISNUMBER(O1165)),IF(M1165&lt;=O1165,"Valor ≤ venal IPTU",""),"")</f>
        <v/>
      </c>
      <c r="U1165" s="10">
        <f>IF(AND(ISNUMBER(M1165),ISNUMBER(N1165)),IF(N1165&gt;0,M1165/N1165,""),"")</f>
        <v/>
      </c>
      <c r="V1165" s="10">
        <f>IF(AND(ISNUMBER(M1165),ISNUMBER(O1165)),IF(O1165&gt;0,M1165/O1165,""),"")</f>
        <v/>
      </c>
      <c r="W1165" s="10">
        <f>IF(AND(ISNUMBER(M1165),ISNUMBER(R1165)),IF(R1165&gt;0,M1165/R1165,""),"")</f>
        <v/>
      </c>
      <c r="X1165" s="10">
        <f>IF(AND(ISNUMBER(Q1165),ISNUMBER(M1165)),IF(M1165&gt;0,Q1165/M1165,""),"")</f>
        <v/>
      </c>
      <c r="Y1165" s="11">
        <f>IF(ISNUMBER(Z1165),YEAR(Z1165),"")</f>
        <v/>
      </c>
      <c r="Z1165" s="12" t="n"/>
      <c r="AA1165" s="12" t="n"/>
      <c r="AI1165" s="12" t="n"/>
      <c r="AJ1165" s="13">
        <f>IF(LEN(TRIM(AF1165))=0,"",HYPERLINK("https://www.google.com/maps/@?api=1&amp;map_action=pano&amp;viewpoint="&amp;SUBSTITUTE(AF1165," ",""),"Abrir Street View"))</f>
        <v/>
      </c>
    </row>
    <row r="1166">
      <c r="H1166" s="6" t="n"/>
      <c r="I1166" s="6" t="n"/>
      <c r="M1166" s="7" t="n"/>
      <c r="N1166" s="7" t="n"/>
      <c r="O1166" s="7" t="n"/>
      <c r="Q1166" s="7" t="n"/>
      <c r="R1166" s="7" t="n"/>
      <c r="S1166" s="8">
        <f>IF(NOT(ISNUMBER(M1166)),"",IF(G1166="Terreno",IF(AND(ISNUMBER(I1166),I1166&gt;0),M1166/I1166,""),IF(AND(ISNUMBER(H1166),H1166&gt;0),M1166/H1166,"")))</f>
        <v/>
      </c>
      <c r="T1166" s="9">
        <f>IF(AND(ISNUMBER(M1166),ISNUMBER(O1166)),IF(M1166&lt;=O1166,"Valor ≤ venal IPTU",""),"")</f>
        <v/>
      </c>
      <c r="U1166" s="10">
        <f>IF(AND(ISNUMBER(M1166),ISNUMBER(N1166)),IF(N1166&gt;0,M1166/N1166,""),"")</f>
        <v/>
      </c>
      <c r="V1166" s="10">
        <f>IF(AND(ISNUMBER(M1166),ISNUMBER(O1166)),IF(O1166&gt;0,M1166/O1166,""),"")</f>
        <v/>
      </c>
      <c r="W1166" s="10">
        <f>IF(AND(ISNUMBER(M1166),ISNUMBER(R1166)),IF(R1166&gt;0,M1166/R1166,""),"")</f>
        <v/>
      </c>
      <c r="X1166" s="10">
        <f>IF(AND(ISNUMBER(Q1166),ISNUMBER(M1166)),IF(M1166&gt;0,Q1166/M1166,""),"")</f>
        <v/>
      </c>
      <c r="Y1166" s="11">
        <f>IF(ISNUMBER(Z1166),YEAR(Z1166),"")</f>
        <v/>
      </c>
      <c r="Z1166" s="12" t="n"/>
      <c r="AA1166" s="12" t="n"/>
      <c r="AI1166" s="12" t="n"/>
      <c r="AJ1166" s="13">
        <f>IF(LEN(TRIM(AF1166))=0,"",HYPERLINK("https://www.google.com/maps/@?api=1&amp;map_action=pano&amp;viewpoint="&amp;SUBSTITUTE(AF1166," ",""),"Abrir Street View"))</f>
        <v/>
      </c>
    </row>
    <row r="1167">
      <c r="H1167" s="6" t="n"/>
      <c r="I1167" s="6" t="n"/>
      <c r="M1167" s="7" t="n"/>
      <c r="N1167" s="7" t="n"/>
      <c r="O1167" s="7" t="n"/>
      <c r="Q1167" s="7" t="n"/>
      <c r="R1167" s="7" t="n"/>
      <c r="S1167" s="8">
        <f>IF(NOT(ISNUMBER(M1167)),"",IF(G1167="Terreno",IF(AND(ISNUMBER(I1167),I1167&gt;0),M1167/I1167,""),IF(AND(ISNUMBER(H1167),H1167&gt;0),M1167/H1167,"")))</f>
        <v/>
      </c>
      <c r="T1167" s="9">
        <f>IF(AND(ISNUMBER(M1167),ISNUMBER(O1167)),IF(M1167&lt;=O1167,"Valor ≤ venal IPTU",""),"")</f>
        <v/>
      </c>
      <c r="U1167" s="10">
        <f>IF(AND(ISNUMBER(M1167),ISNUMBER(N1167)),IF(N1167&gt;0,M1167/N1167,""),"")</f>
        <v/>
      </c>
      <c r="V1167" s="10">
        <f>IF(AND(ISNUMBER(M1167),ISNUMBER(O1167)),IF(O1167&gt;0,M1167/O1167,""),"")</f>
        <v/>
      </c>
      <c r="W1167" s="10">
        <f>IF(AND(ISNUMBER(M1167),ISNUMBER(R1167)),IF(R1167&gt;0,M1167/R1167,""),"")</f>
        <v/>
      </c>
      <c r="X1167" s="10">
        <f>IF(AND(ISNUMBER(Q1167),ISNUMBER(M1167)),IF(M1167&gt;0,Q1167/M1167,""),"")</f>
        <v/>
      </c>
      <c r="Y1167" s="11">
        <f>IF(ISNUMBER(Z1167),YEAR(Z1167),"")</f>
        <v/>
      </c>
      <c r="Z1167" s="12" t="n"/>
      <c r="AA1167" s="12" t="n"/>
      <c r="AI1167" s="12" t="n"/>
      <c r="AJ1167" s="13">
        <f>IF(LEN(TRIM(AF1167))=0,"",HYPERLINK("https://www.google.com/maps/@?api=1&amp;map_action=pano&amp;viewpoint="&amp;SUBSTITUTE(AF1167," ",""),"Abrir Street View"))</f>
        <v/>
      </c>
    </row>
    <row r="1168">
      <c r="H1168" s="6" t="n"/>
      <c r="I1168" s="6" t="n"/>
      <c r="M1168" s="7" t="n"/>
      <c r="N1168" s="7" t="n"/>
      <c r="O1168" s="7" t="n"/>
      <c r="Q1168" s="7" t="n"/>
      <c r="R1168" s="7" t="n"/>
      <c r="S1168" s="8">
        <f>IF(NOT(ISNUMBER(M1168)),"",IF(G1168="Terreno",IF(AND(ISNUMBER(I1168),I1168&gt;0),M1168/I1168,""),IF(AND(ISNUMBER(H1168),H1168&gt;0),M1168/H1168,"")))</f>
        <v/>
      </c>
      <c r="T1168" s="9">
        <f>IF(AND(ISNUMBER(M1168),ISNUMBER(O1168)),IF(M1168&lt;=O1168,"Valor ≤ venal IPTU",""),"")</f>
        <v/>
      </c>
      <c r="U1168" s="10">
        <f>IF(AND(ISNUMBER(M1168),ISNUMBER(N1168)),IF(N1168&gt;0,M1168/N1168,""),"")</f>
        <v/>
      </c>
      <c r="V1168" s="10">
        <f>IF(AND(ISNUMBER(M1168),ISNUMBER(O1168)),IF(O1168&gt;0,M1168/O1168,""),"")</f>
        <v/>
      </c>
      <c r="W1168" s="10">
        <f>IF(AND(ISNUMBER(M1168),ISNUMBER(R1168)),IF(R1168&gt;0,M1168/R1168,""),"")</f>
        <v/>
      </c>
      <c r="X1168" s="10">
        <f>IF(AND(ISNUMBER(Q1168),ISNUMBER(M1168)),IF(M1168&gt;0,Q1168/M1168,""),"")</f>
        <v/>
      </c>
      <c r="Y1168" s="11">
        <f>IF(ISNUMBER(Z1168),YEAR(Z1168),"")</f>
        <v/>
      </c>
      <c r="Z1168" s="12" t="n"/>
      <c r="AA1168" s="12" t="n"/>
      <c r="AI1168" s="12" t="n"/>
      <c r="AJ1168" s="13">
        <f>IF(LEN(TRIM(AF1168))=0,"",HYPERLINK("https://www.google.com/maps/@?api=1&amp;map_action=pano&amp;viewpoint="&amp;SUBSTITUTE(AF1168," ",""),"Abrir Street View"))</f>
        <v/>
      </c>
    </row>
    <row r="1169">
      <c r="H1169" s="6" t="n"/>
      <c r="I1169" s="6" t="n"/>
      <c r="M1169" s="7" t="n"/>
      <c r="N1169" s="7" t="n"/>
      <c r="O1169" s="7" t="n"/>
      <c r="Q1169" s="7" t="n"/>
      <c r="R1169" s="7" t="n"/>
      <c r="S1169" s="8">
        <f>IF(NOT(ISNUMBER(M1169)),"",IF(G1169="Terreno",IF(AND(ISNUMBER(I1169),I1169&gt;0),M1169/I1169,""),IF(AND(ISNUMBER(H1169),H1169&gt;0),M1169/H1169,"")))</f>
        <v/>
      </c>
      <c r="T1169" s="9">
        <f>IF(AND(ISNUMBER(M1169),ISNUMBER(O1169)),IF(M1169&lt;=O1169,"Valor ≤ venal IPTU",""),"")</f>
        <v/>
      </c>
      <c r="U1169" s="10">
        <f>IF(AND(ISNUMBER(M1169),ISNUMBER(N1169)),IF(N1169&gt;0,M1169/N1169,""),"")</f>
        <v/>
      </c>
      <c r="V1169" s="10">
        <f>IF(AND(ISNUMBER(M1169),ISNUMBER(O1169)),IF(O1169&gt;0,M1169/O1169,""),"")</f>
        <v/>
      </c>
      <c r="W1169" s="10">
        <f>IF(AND(ISNUMBER(M1169),ISNUMBER(R1169)),IF(R1169&gt;0,M1169/R1169,""),"")</f>
        <v/>
      </c>
      <c r="X1169" s="10">
        <f>IF(AND(ISNUMBER(Q1169),ISNUMBER(M1169)),IF(M1169&gt;0,Q1169/M1169,""),"")</f>
        <v/>
      </c>
      <c r="Y1169" s="11">
        <f>IF(ISNUMBER(Z1169),YEAR(Z1169),"")</f>
        <v/>
      </c>
      <c r="Z1169" s="12" t="n"/>
      <c r="AA1169" s="12" t="n"/>
      <c r="AI1169" s="12" t="n"/>
      <c r="AJ1169" s="13">
        <f>IF(LEN(TRIM(AF1169))=0,"",HYPERLINK("https://www.google.com/maps/@?api=1&amp;map_action=pano&amp;viewpoint="&amp;SUBSTITUTE(AF1169," ",""),"Abrir Street View"))</f>
        <v/>
      </c>
    </row>
    <row r="1170">
      <c r="H1170" s="6" t="n"/>
      <c r="I1170" s="6" t="n"/>
      <c r="M1170" s="7" t="n"/>
      <c r="N1170" s="7" t="n"/>
      <c r="O1170" s="7" t="n"/>
      <c r="Q1170" s="7" t="n"/>
      <c r="R1170" s="7" t="n"/>
      <c r="S1170" s="8">
        <f>IF(NOT(ISNUMBER(M1170)),"",IF(G1170="Terreno",IF(AND(ISNUMBER(I1170),I1170&gt;0),M1170/I1170,""),IF(AND(ISNUMBER(H1170),H1170&gt;0),M1170/H1170,"")))</f>
        <v/>
      </c>
      <c r="T1170" s="9">
        <f>IF(AND(ISNUMBER(M1170),ISNUMBER(O1170)),IF(M1170&lt;=O1170,"Valor ≤ venal IPTU",""),"")</f>
        <v/>
      </c>
      <c r="U1170" s="10">
        <f>IF(AND(ISNUMBER(M1170),ISNUMBER(N1170)),IF(N1170&gt;0,M1170/N1170,""),"")</f>
        <v/>
      </c>
      <c r="V1170" s="10">
        <f>IF(AND(ISNUMBER(M1170),ISNUMBER(O1170)),IF(O1170&gt;0,M1170/O1170,""),"")</f>
        <v/>
      </c>
      <c r="W1170" s="10">
        <f>IF(AND(ISNUMBER(M1170),ISNUMBER(R1170)),IF(R1170&gt;0,M1170/R1170,""),"")</f>
        <v/>
      </c>
      <c r="X1170" s="10">
        <f>IF(AND(ISNUMBER(Q1170),ISNUMBER(M1170)),IF(M1170&gt;0,Q1170/M1170,""),"")</f>
        <v/>
      </c>
      <c r="Y1170" s="11">
        <f>IF(ISNUMBER(Z1170),YEAR(Z1170),"")</f>
        <v/>
      </c>
      <c r="Z1170" s="12" t="n"/>
      <c r="AA1170" s="12" t="n"/>
      <c r="AI1170" s="12" t="n"/>
      <c r="AJ1170" s="13">
        <f>IF(LEN(TRIM(AF1170))=0,"",HYPERLINK("https://www.google.com/maps/@?api=1&amp;map_action=pano&amp;viewpoint="&amp;SUBSTITUTE(AF1170," ",""),"Abrir Street View"))</f>
        <v/>
      </c>
    </row>
    <row r="1171">
      <c r="H1171" s="6" t="n"/>
      <c r="I1171" s="6" t="n"/>
      <c r="M1171" s="7" t="n"/>
      <c r="N1171" s="7" t="n"/>
      <c r="O1171" s="7" t="n"/>
      <c r="Q1171" s="7" t="n"/>
      <c r="R1171" s="7" t="n"/>
      <c r="S1171" s="8">
        <f>IF(NOT(ISNUMBER(M1171)),"",IF(G1171="Terreno",IF(AND(ISNUMBER(I1171),I1171&gt;0),M1171/I1171,""),IF(AND(ISNUMBER(H1171),H1171&gt;0),M1171/H1171,"")))</f>
        <v/>
      </c>
      <c r="T1171" s="9">
        <f>IF(AND(ISNUMBER(M1171),ISNUMBER(O1171)),IF(M1171&lt;=O1171,"Valor ≤ venal IPTU",""),"")</f>
        <v/>
      </c>
      <c r="U1171" s="10">
        <f>IF(AND(ISNUMBER(M1171),ISNUMBER(N1171)),IF(N1171&gt;0,M1171/N1171,""),"")</f>
        <v/>
      </c>
      <c r="V1171" s="10">
        <f>IF(AND(ISNUMBER(M1171),ISNUMBER(O1171)),IF(O1171&gt;0,M1171/O1171,""),"")</f>
        <v/>
      </c>
      <c r="W1171" s="10">
        <f>IF(AND(ISNUMBER(M1171),ISNUMBER(R1171)),IF(R1171&gt;0,M1171/R1171,""),"")</f>
        <v/>
      </c>
      <c r="X1171" s="10">
        <f>IF(AND(ISNUMBER(Q1171),ISNUMBER(M1171)),IF(M1171&gt;0,Q1171/M1171,""),"")</f>
        <v/>
      </c>
      <c r="Y1171" s="11">
        <f>IF(ISNUMBER(Z1171),YEAR(Z1171),"")</f>
        <v/>
      </c>
      <c r="Z1171" s="12" t="n"/>
      <c r="AA1171" s="12" t="n"/>
      <c r="AI1171" s="12" t="n"/>
      <c r="AJ1171" s="13">
        <f>IF(LEN(TRIM(AF1171))=0,"",HYPERLINK("https://www.google.com/maps/@?api=1&amp;map_action=pano&amp;viewpoint="&amp;SUBSTITUTE(AF1171," ",""),"Abrir Street View"))</f>
        <v/>
      </c>
    </row>
    <row r="1172">
      <c r="H1172" s="6" t="n"/>
      <c r="I1172" s="6" t="n"/>
      <c r="M1172" s="7" t="n"/>
      <c r="N1172" s="7" t="n"/>
      <c r="O1172" s="7" t="n"/>
      <c r="Q1172" s="7" t="n"/>
      <c r="R1172" s="7" t="n"/>
      <c r="S1172" s="8">
        <f>IF(NOT(ISNUMBER(M1172)),"",IF(G1172="Terreno",IF(AND(ISNUMBER(I1172),I1172&gt;0),M1172/I1172,""),IF(AND(ISNUMBER(H1172),H1172&gt;0),M1172/H1172,"")))</f>
        <v/>
      </c>
      <c r="T1172" s="9">
        <f>IF(AND(ISNUMBER(M1172),ISNUMBER(O1172)),IF(M1172&lt;=O1172,"Valor ≤ venal IPTU",""),"")</f>
        <v/>
      </c>
      <c r="U1172" s="10">
        <f>IF(AND(ISNUMBER(M1172),ISNUMBER(N1172)),IF(N1172&gt;0,M1172/N1172,""),"")</f>
        <v/>
      </c>
      <c r="V1172" s="10">
        <f>IF(AND(ISNUMBER(M1172),ISNUMBER(O1172)),IF(O1172&gt;0,M1172/O1172,""),"")</f>
        <v/>
      </c>
      <c r="W1172" s="10">
        <f>IF(AND(ISNUMBER(M1172),ISNUMBER(R1172)),IF(R1172&gt;0,M1172/R1172,""),"")</f>
        <v/>
      </c>
      <c r="X1172" s="10">
        <f>IF(AND(ISNUMBER(Q1172),ISNUMBER(M1172)),IF(M1172&gt;0,Q1172/M1172,""),"")</f>
        <v/>
      </c>
      <c r="Y1172" s="11">
        <f>IF(ISNUMBER(Z1172),YEAR(Z1172),"")</f>
        <v/>
      </c>
      <c r="Z1172" s="12" t="n"/>
      <c r="AA1172" s="12" t="n"/>
      <c r="AI1172" s="12" t="n"/>
      <c r="AJ1172" s="13">
        <f>IF(LEN(TRIM(AF1172))=0,"",HYPERLINK("https://www.google.com/maps/@?api=1&amp;map_action=pano&amp;viewpoint="&amp;SUBSTITUTE(AF1172," ",""),"Abrir Street View"))</f>
        <v/>
      </c>
    </row>
    <row r="1173">
      <c r="H1173" s="6" t="n"/>
      <c r="I1173" s="6" t="n"/>
      <c r="M1173" s="7" t="n"/>
      <c r="N1173" s="7" t="n"/>
      <c r="O1173" s="7" t="n"/>
      <c r="Q1173" s="7" t="n"/>
      <c r="R1173" s="7" t="n"/>
      <c r="S1173" s="8">
        <f>IF(NOT(ISNUMBER(M1173)),"",IF(G1173="Terreno",IF(AND(ISNUMBER(I1173),I1173&gt;0),M1173/I1173,""),IF(AND(ISNUMBER(H1173),H1173&gt;0),M1173/H1173,"")))</f>
        <v/>
      </c>
      <c r="T1173" s="9">
        <f>IF(AND(ISNUMBER(M1173),ISNUMBER(O1173)),IF(M1173&lt;=O1173,"Valor ≤ venal IPTU",""),"")</f>
        <v/>
      </c>
      <c r="U1173" s="10">
        <f>IF(AND(ISNUMBER(M1173),ISNUMBER(N1173)),IF(N1173&gt;0,M1173/N1173,""),"")</f>
        <v/>
      </c>
      <c r="V1173" s="10">
        <f>IF(AND(ISNUMBER(M1173),ISNUMBER(O1173)),IF(O1173&gt;0,M1173/O1173,""),"")</f>
        <v/>
      </c>
      <c r="W1173" s="10">
        <f>IF(AND(ISNUMBER(M1173),ISNUMBER(R1173)),IF(R1173&gt;0,M1173/R1173,""),"")</f>
        <v/>
      </c>
      <c r="X1173" s="10">
        <f>IF(AND(ISNUMBER(Q1173),ISNUMBER(M1173)),IF(M1173&gt;0,Q1173/M1173,""),"")</f>
        <v/>
      </c>
      <c r="Y1173" s="11">
        <f>IF(ISNUMBER(Z1173),YEAR(Z1173),"")</f>
        <v/>
      </c>
      <c r="Z1173" s="12" t="n"/>
      <c r="AA1173" s="12" t="n"/>
      <c r="AI1173" s="12" t="n"/>
      <c r="AJ1173" s="13">
        <f>IF(LEN(TRIM(AF1173))=0,"",HYPERLINK("https://www.google.com/maps/@?api=1&amp;map_action=pano&amp;viewpoint="&amp;SUBSTITUTE(AF1173," ",""),"Abrir Street View"))</f>
        <v/>
      </c>
    </row>
    <row r="1174">
      <c r="H1174" s="6" t="n"/>
      <c r="I1174" s="6" t="n"/>
      <c r="M1174" s="7" t="n"/>
      <c r="N1174" s="7" t="n"/>
      <c r="O1174" s="7" t="n"/>
      <c r="Q1174" s="7" t="n"/>
      <c r="R1174" s="7" t="n"/>
      <c r="S1174" s="8">
        <f>IF(NOT(ISNUMBER(M1174)),"",IF(G1174="Terreno",IF(AND(ISNUMBER(I1174),I1174&gt;0),M1174/I1174,""),IF(AND(ISNUMBER(H1174),H1174&gt;0),M1174/H1174,"")))</f>
        <v/>
      </c>
      <c r="T1174" s="9">
        <f>IF(AND(ISNUMBER(M1174),ISNUMBER(O1174)),IF(M1174&lt;=O1174,"Valor ≤ venal IPTU",""),"")</f>
        <v/>
      </c>
      <c r="U1174" s="10">
        <f>IF(AND(ISNUMBER(M1174),ISNUMBER(N1174)),IF(N1174&gt;0,M1174/N1174,""),"")</f>
        <v/>
      </c>
      <c r="V1174" s="10">
        <f>IF(AND(ISNUMBER(M1174),ISNUMBER(O1174)),IF(O1174&gt;0,M1174/O1174,""),"")</f>
        <v/>
      </c>
      <c r="W1174" s="10">
        <f>IF(AND(ISNUMBER(M1174),ISNUMBER(R1174)),IF(R1174&gt;0,M1174/R1174,""),"")</f>
        <v/>
      </c>
      <c r="X1174" s="10">
        <f>IF(AND(ISNUMBER(Q1174),ISNUMBER(M1174)),IF(M1174&gt;0,Q1174/M1174,""),"")</f>
        <v/>
      </c>
      <c r="Y1174" s="11">
        <f>IF(ISNUMBER(Z1174),YEAR(Z1174),"")</f>
        <v/>
      </c>
      <c r="Z1174" s="12" t="n"/>
      <c r="AA1174" s="12" t="n"/>
      <c r="AI1174" s="12" t="n"/>
      <c r="AJ1174" s="13">
        <f>IF(LEN(TRIM(AF1174))=0,"",HYPERLINK("https://www.google.com/maps/@?api=1&amp;map_action=pano&amp;viewpoint="&amp;SUBSTITUTE(AF1174," ",""),"Abrir Street View"))</f>
        <v/>
      </c>
    </row>
    <row r="1175">
      <c r="H1175" s="6" t="n"/>
      <c r="I1175" s="6" t="n"/>
      <c r="M1175" s="7" t="n"/>
      <c r="N1175" s="7" t="n"/>
      <c r="O1175" s="7" t="n"/>
      <c r="Q1175" s="7" t="n"/>
      <c r="R1175" s="7" t="n"/>
      <c r="S1175" s="8">
        <f>IF(NOT(ISNUMBER(M1175)),"",IF(G1175="Terreno",IF(AND(ISNUMBER(I1175),I1175&gt;0),M1175/I1175,""),IF(AND(ISNUMBER(H1175),H1175&gt;0),M1175/H1175,"")))</f>
        <v/>
      </c>
      <c r="T1175" s="9">
        <f>IF(AND(ISNUMBER(M1175),ISNUMBER(O1175)),IF(M1175&lt;=O1175,"Valor ≤ venal IPTU",""),"")</f>
        <v/>
      </c>
      <c r="U1175" s="10">
        <f>IF(AND(ISNUMBER(M1175),ISNUMBER(N1175)),IF(N1175&gt;0,M1175/N1175,""),"")</f>
        <v/>
      </c>
      <c r="V1175" s="10">
        <f>IF(AND(ISNUMBER(M1175),ISNUMBER(O1175)),IF(O1175&gt;0,M1175/O1175,""),"")</f>
        <v/>
      </c>
      <c r="W1175" s="10">
        <f>IF(AND(ISNUMBER(M1175),ISNUMBER(R1175)),IF(R1175&gt;0,M1175/R1175,""),"")</f>
        <v/>
      </c>
      <c r="X1175" s="10">
        <f>IF(AND(ISNUMBER(Q1175),ISNUMBER(M1175)),IF(M1175&gt;0,Q1175/M1175,""),"")</f>
        <v/>
      </c>
      <c r="Y1175" s="11">
        <f>IF(ISNUMBER(Z1175),YEAR(Z1175),"")</f>
        <v/>
      </c>
      <c r="Z1175" s="12" t="n"/>
      <c r="AA1175" s="12" t="n"/>
      <c r="AI1175" s="12" t="n"/>
      <c r="AJ1175" s="13">
        <f>IF(LEN(TRIM(AF1175))=0,"",HYPERLINK("https://www.google.com/maps/@?api=1&amp;map_action=pano&amp;viewpoint="&amp;SUBSTITUTE(AF1175," ",""),"Abrir Street View"))</f>
        <v/>
      </c>
    </row>
    <row r="1176">
      <c r="H1176" s="6" t="n"/>
      <c r="I1176" s="6" t="n"/>
      <c r="M1176" s="7" t="n"/>
      <c r="N1176" s="7" t="n"/>
      <c r="O1176" s="7" t="n"/>
      <c r="Q1176" s="7" t="n"/>
      <c r="R1176" s="7" t="n"/>
      <c r="S1176" s="8">
        <f>IF(NOT(ISNUMBER(M1176)),"",IF(G1176="Terreno",IF(AND(ISNUMBER(I1176),I1176&gt;0),M1176/I1176,""),IF(AND(ISNUMBER(H1176),H1176&gt;0),M1176/H1176,"")))</f>
        <v/>
      </c>
      <c r="T1176" s="9">
        <f>IF(AND(ISNUMBER(M1176),ISNUMBER(O1176)),IF(M1176&lt;=O1176,"Valor ≤ venal IPTU",""),"")</f>
        <v/>
      </c>
      <c r="U1176" s="10">
        <f>IF(AND(ISNUMBER(M1176),ISNUMBER(N1176)),IF(N1176&gt;0,M1176/N1176,""),"")</f>
        <v/>
      </c>
      <c r="V1176" s="10">
        <f>IF(AND(ISNUMBER(M1176),ISNUMBER(O1176)),IF(O1176&gt;0,M1176/O1176,""),"")</f>
        <v/>
      </c>
      <c r="W1176" s="10">
        <f>IF(AND(ISNUMBER(M1176),ISNUMBER(R1176)),IF(R1176&gt;0,M1176/R1176,""),"")</f>
        <v/>
      </c>
      <c r="X1176" s="10">
        <f>IF(AND(ISNUMBER(Q1176),ISNUMBER(M1176)),IF(M1176&gt;0,Q1176/M1176,""),"")</f>
        <v/>
      </c>
      <c r="Y1176" s="11">
        <f>IF(ISNUMBER(Z1176),YEAR(Z1176),"")</f>
        <v/>
      </c>
      <c r="Z1176" s="12" t="n"/>
      <c r="AA1176" s="12" t="n"/>
      <c r="AI1176" s="12" t="n"/>
      <c r="AJ1176" s="13">
        <f>IF(LEN(TRIM(AF1176))=0,"",HYPERLINK("https://www.google.com/maps/@?api=1&amp;map_action=pano&amp;viewpoint="&amp;SUBSTITUTE(AF1176," ",""),"Abrir Street View"))</f>
        <v/>
      </c>
    </row>
    <row r="1177">
      <c r="H1177" s="6" t="n"/>
      <c r="I1177" s="6" t="n"/>
      <c r="M1177" s="7" t="n"/>
      <c r="N1177" s="7" t="n"/>
      <c r="O1177" s="7" t="n"/>
      <c r="Q1177" s="7" t="n"/>
      <c r="R1177" s="7" t="n"/>
      <c r="S1177" s="8">
        <f>IF(NOT(ISNUMBER(M1177)),"",IF(G1177="Terreno",IF(AND(ISNUMBER(I1177),I1177&gt;0),M1177/I1177,""),IF(AND(ISNUMBER(H1177),H1177&gt;0),M1177/H1177,"")))</f>
        <v/>
      </c>
      <c r="T1177" s="9">
        <f>IF(AND(ISNUMBER(M1177),ISNUMBER(O1177)),IF(M1177&lt;=O1177,"Valor ≤ venal IPTU",""),"")</f>
        <v/>
      </c>
      <c r="U1177" s="10">
        <f>IF(AND(ISNUMBER(M1177),ISNUMBER(N1177)),IF(N1177&gt;0,M1177/N1177,""),"")</f>
        <v/>
      </c>
      <c r="V1177" s="10">
        <f>IF(AND(ISNUMBER(M1177),ISNUMBER(O1177)),IF(O1177&gt;0,M1177/O1177,""),"")</f>
        <v/>
      </c>
      <c r="W1177" s="10">
        <f>IF(AND(ISNUMBER(M1177),ISNUMBER(R1177)),IF(R1177&gt;0,M1177/R1177,""),"")</f>
        <v/>
      </c>
      <c r="X1177" s="10">
        <f>IF(AND(ISNUMBER(Q1177),ISNUMBER(M1177)),IF(M1177&gt;0,Q1177/M1177,""),"")</f>
        <v/>
      </c>
      <c r="Y1177" s="11">
        <f>IF(ISNUMBER(Z1177),YEAR(Z1177),"")</f>
        <v/>
      </c>
      <c r="Z1177" s="12" t="n"/>
      <c r="AA1177" s="12" t="n"/>
      <c r="AI1177" s="12" t="n"/>
      <c r="AJ1177" s="13">
        <f>IF(LEN(TRIM(AF1177))=0,"",HYPERLINK("https://www.google.com/maps/@?api=1&amp;map_action=pano&amp;viewpoint="&amp;SUBSTITUTE(AF1177," ",""),"Abrir Street View"))</f>
        <v/>
      </c>
    </row>
    <row r="1178">
      <c r="H1178" s="6" t="n"/>
      <c r="I1178" s="6" t="n"/>
      <c r="M1178" s="7" t="n"/>
      <c r="N1178" s="7" t="n"/>
      <c r="O1178" s="7" t="n"/>
      <c r="Q1178" s="7" t="n"/>
      <c r="R1178" s="7" t="n"/>
      <c r="S1178" s="8">
        <f>IF(NOT(ISNUMBER(M1178)),"",IF(G1178="Terreno",IF(AND(ISNUMBER(I1178),I1178&gt;0),M1178/I1178,""),IF(AND(ISNUMBER(H1178),H1178&gt;0),M1178/H1178,"")))</f>
        <v/>
      </c>
      <c r="T1178" s="9">
        <f>IF(AND(ISNUMBER(M1178),ISNUMBER(O1178)),IF(M1178&lt;=O1178,"Valor ≤ venal IPTU",""),"")</f>
        <v/>
      </c>
      <c r="U1178" s="10">
        <f>IF(AND(ISNUMBER(M1178),ISNUMBER(N1178)),IF(N1178&gt;0,M1178/N1178,""),"")</f>
        <v/>
      </c>
      <c r="V1178" s="10">
        <f>IF(AND(ISNUMBER(M1178),ISNUMBER(O1178)),IF(O1178&gt;0,M1178/O1178,""),"")</f>
        <v/>
      </c>
      <c r="W1178" s="10">
        <f>IF(AND(ISNUMBER(M1178),ISNUMBER(R1178)),IF(R1178&gt;0,M1178/R1178,""),"")</f>
        <v/>
      </c>
      <c r="X1178" s="10">
        <f>IF(AND(ISNUMBER(Q1178),ISNUMBER(M1178)),IF(M1178&gt;0,Q1178/M1178,""),"")</f>
        <v/>
      </c>
      <c r="Y1178" s="11">
        <f>IF(ISNUMBER(Z1178),YEAR(Z1178),"")</f>
        <v/>
      </c>
      <c r="Z1178" s="12" t="n"/>
      <c r="AA1178" s="12" t="n"/>
      <c r="AI1178" s="12" t="n"/>
      <c r="AJ1178" s="13">
        <f>IF(LEN(TRIM(AF1178))=0,"",HYPERLINK("https://www.google.com/maps/@?api=1&amp;map_action=pano&amp;viewpoint="&amp;SUBSTITUTE(AF1178," ",""),"Abrir Street View"))</f>
        <v/>
      </c>
    </row>
    <row r="1179">
      <c r="H1179" s="6" t="n"/>
      <c r="I1179" s="6" t="n"/>
      <c r="M1179" s="7" t="n"/>
      <c r="N1179" s="7" t="n"/>
      <c r="O1179" s="7" t="n"/>
      <c r="Q1179" s="7" t="n"/>
      <c r="R1179" s="7" t="n"/>
      <c r="S1179" s="8">
        <f>IF(NOT(ISNUMBER(M1179)),"",IF(G1179="Terreno",IF(AND(ISNUMBER(I1179),I1179&gt;0),M1179/I1179,""),IF(AND(ISNUMBER(H1179),H1179&gt;0),M1179/H1179,"")))</f>
        <v/>
      </c>
      <c r="T1179" s="9">
        <f>IF(AND(ISNUMBER(M1179),ISNUMBER(O1179)),IF(M1179&lt;=O1179,"Valor ≤ venal IPTU",""),"")</f>
        <v/>
      </c>
      <c r="U1179" s="10">
        <f>IF(AND(ISNUMBER(M1179),ISNUMBER(N1179)),IF(N1179&gt;0,M1179/N1179,""),"")</f>
        <v/>
      </c>
      <c r="V1179" s="10">
        <f>IF(AND(ISNUMBER(M1179),ISNUMBER(O1179)),IF(O1179&gt;0,M1179/O1179,""),"")</f>
        <v/>
      </c>
      <c r="W1179" s="10">
        <f>IF(AND(ISNUMBER(M1179),ISNUMBER(R1179)),IF(R1179&gt;0,M1179/R1179,""),"")</f>
        <v/>
      </c>
      <c r="X1179" s="10">
        <f>IF(AND(ISNUMBER(Q1179),ISNUMBER(M1179)),IF(M1179&gt;0,Q1179/M1179,""),"")</f>
        <v/>
      </c>
      <c r="Y1179" s="11">
        <f>IF(ISNUMBER(Z1179),YEAR(Z1179),"")</f>
        <v/>
      </c>
      <c r="Z1179" s="12" t="n"/>
      <c r="AA1179" s="12" t="n"/>
      <c r="AI1179" s="12" t="n"/>
      <c r="AJ1179" s="13">
        <f>IF(LEN(TRIM(AF1179))=0,"",HYPERLINK("https://www.google.com/maps/@?api=1&amp;map_action=pano&amp;viewpoint="&amp;SUBSTITUTE(AF1179," ",""),"Abrir Street View"))</f>
        <v/>
      </c>
    </row>
    <row r="1180">
      <c r="H1180" s="6" t="n"/>
      <c r="I1180" s="6" t="n"/>
      <c r="M1180" s="7" t="n"/>
      <c r="N1180" s="7" t="n"/>
      <c r="O1180" s="7" t="n"/>
      <c r="Q1180" s="7" t="n"/>
      <c r="R1180" s="7" t="n"/>
      <c r="S1180" s="8">
        <f>IF(NOT(ISNUMBER(M1180)),"",IF(G1180="Terreno",IF(AND(ISNUMBER(I1180),I1180&gt;0),M1180/I1180,""),IF(AND(ISNUMBER(H1180),H1180&gt;0),M1180/H1180,"")))</f>
        <v/>
      </c>
      <c r="T1180" s="9">
        <f>IF(AND(ISNUMBER(M1180),ISNUMBER(O1180)),IF(M1180&lt;=O1180,"Valor ≤ venal IPTU",""),"")</f>
        <v/>
      </c>
      <c r="U1180" s="10">
        <f>IF(AND(ISNUMBER(M1180),ISNUMBER(N1180)),IF(N1180&gt;0,M1180/N1180,""),"")</f>
        <v/>
      </c>
      <c r="V1180" s="10">
        <f>IF(AND(ISNUMBER(M1180),ISNUMBER(O1180)),IF(O1180&gt;0,M1180/O1180,""),"")</f>
        <v/>
      </c>
      <c r="W1180" s="10">
        <f>IF(AND(ISNUMBER(M1180),ISNUMBER(R1180)),IF(R1180&gt;0,M1180/R1180,""),"")</f>
        <v/>
      </c>
      <c r="X1180" s="10">
        <f>IF(AND(ISNUMBER(Q1180),ISNUMBER(M1180)),IF(M1180&gt;0,Q1180/M1180,""),"")</f>
        <v/>
      </c>
      <c r="Y1180" s="11">
        <f>IF(ISNUMBER(Z1180),YEAR(Z1180),"")</f>
        <v/>
      </c>
      <c r="Z1180" s="12" t="n"/>
      <c r="AA1180" s="12" t="n"/>
      <c r="AI1180" s="12" t="n"/>
      <c r="AJ1180" s="13">
        <f>IF(LEN(TRIM(AF1180))=0,"",HYPERLINK("https://www.google.com/maps/@?api=1&amp;map_action=pano&amp;viewpoint="&amp;SUBSTITUTE(AF1180," ",""),"Abrir Street View"))</f>
        <v/>
      </c>
    </row>
    <row r="1181">
      <c r="H1181" s="6" t="n"/>
      <c r="I1181" s="6" t="n"/>
      <c r="M1181" s="7" t="n"/>
      <c r="N1181" s="7" t="n"/>
      <c r="O1181" s="7" t="n"/>
      <c r="Q1181" s="7" t="n"/>
      <c r="R1181" s="7" t="n"/>
      <c r="S1181" s="8">
        <f>IF(NOT(ISNUMBER(M1181)),"",IF(G1181="Terreno",IF(AND(ISNUMBER(I1181),I1181&gt;0),M1181/I1181,""),IF(AND(ISNUMBER(H1181),H1181&gt;0),M1181/H1181,"")))</f>
        <v/>
      </c>
      <c r="T1181" s="9">
        <f>IF(AND(ISNUMBER(M1181),ISNUMBER(O1181)),IF(M1181&lt;=O1181,"Valor ≤ venal IPTU",""),"")</f>
        <v/>
      </c>
      <c r="U1181" s="10">
        <f>IF(AND(ISNUMBER(M1181),ISNUMBER(N1181)),IF(N1181&gt;0,M1181/N1181,""),"")</f>
        <v/>
      </c>
      <c r="V1181" s="10">
        <f>IF(AND(ISNUMBER(M1181),ISNUMBER(O1181)),IF(O1181&gt;0,M1181/O1181,""),"")</f>
        <v/>
      </c>
      <c r="W1181" s="10">
        <f>IF(AND(ISNUMBER(M1181),ISNUMBER(R1181)),IF(R1181&gt;0,M1181/R1181,""),"")</f>
        <v/>
      </c>
      <c r="X1181" s="10">
        <f>IF(AND(ISNUMBER(Q1181),ISNUMBER(M1181)),IF(M1181&gt;0,Q1181/M1181,""),"")</f>
        <v/>
      </c>
      <c r="Y1181" s="11">
        <f>IF(ISNUMBER(Z1181),YEAR(Z1181),"")</f>
        <v/>
      </c>
      <c r="Z1181" s="12" t="n"/>
      <c r="AA1181" s="12" t="n"/>
      <c r="AI1181" s="12" t="n"/>
      <c r="AJ1181" s="13">
        <f>IF(LEN(TRIM(AF1181))=0,"",HYPERLINK("https://www.google.com/maps/@?api=1&amp;map_action=pano&amp;viewpoint="&amp;SUBSTITUTE(AF1181," ",""),"Abrir Street View"))</f>
        <v/>
      </c>
    </row>
    <row r="1182">
      <c r="H1182" s="6" t="n"/>
      <c r="I1182" s="6" t="n"/>
      <c r="M1182" s="7" t="n"/>
      <c r="N1182" s="7" t="n"/>
      <c r="O1182" s="7" t="n"/>
      <c r="Q1182" s="7" t="n"/>
      <c r="R1182" s="7" t="n"/>
      <c r="S1182" s="8">
        <f>IF(NOT(ISNUMBER(M1182)),"",IF(G1182="Terreno",IF(AND(ISNUMBER(I1182),I1182&gt;0),M1182/I1182,""),IF(AND(ISNUMBER(H1182),H1182&gt;0),M1182/H1182,"")))</f>
        <v/>
      </c>
      <c r="T1182" s="9">
        <f>IF(AND(ISNUMBER(M1182),ISNUMBER(O1182)),IF(M1182&lt;=O1182,"Valor ≤ venal IPTU",""),"")</f>
        <v/>
      </c>
      <c r="U1182" s="10">
        <f>IF(AND(ISNUMBER(M1182),ISNUMBER(N1182)),IF(N1182&gt;0,M1182/N1182,""),"")</f>
        <v/>
      </c>
      <c r="V1182" s="10">
        <f>IF(AND(ISNUMBER(M1182),ISNUMBER(O1182)),IF(O1182&gt;0,M1182/O1182,""),"")</f>
        <v/>
      </c>
      <c r="W1182" s="10">
        <f>IF(AND(ISNUMBER(M1182),ISNUMBER(R1182)),IF(R1182&gt;0,M1182/R1182,""),"")</f>
        <v/>
      </c>
      <c r="X1182" s="10">
        <f>IF(AND(ISNUMBER(Q1182),ISNUMBER(M1182)),IF(M1182&gt;0,Q1182/M1182,""),"")</f>
        <v/>
      </c>
      <c r="Y1182" s="11">
        <f>IF(ISNUMBER(Z1182),YEAR(Z1182),"")</f>
        <v/>
      </c>
      <c r="Z1182" s="12" t="n"/>
      <c r="AA1182" s="12" t="n"/>
      <c r="AI1182" s="12" t="n"/>
      <c r="AJ1182" s="13">
        <f>IF(LEN(TRIM(AF1182))=0,"",HYPERLINK("https://www.google.com/maps/@?api=1&amp;map_action=pano&amp;viewpoint="&amp;SUBSTITUTE(AF1182," ",""),"Abrir Street View"))</f>
        <v/>
      </c>
    </row>
    <row r="1183">
      <c r="H1183" s="6" t="n"/>
      <c r="I1183" s="6" t="n"/>
      <c r="M1183" s="7" t="n"/>
      <c r="N1183" s="7" t="n"/>
      <c r="O1183" s="7" t="n"/>
      <c r="Q1183" s="7" t="n"/>
      <c r="R1183" s="7" t="n"/>
      <c r="S1183" s="8">
        <f>IF(NOT(ISNUMBER(M1183)),"",IF(G1183="Terreno",IF(AND(ISNUMBER(I1183),I1183&gt;0),M1183/I1183,""),IF(AND(ISNUMBER(H1183),H1183&gt;0),M1183/H1183,"")))</f>
        <v/>
      </c>
      <c r="T1183" s="9">
        <f>IF(AND(ISNUMBER(M1183),ISNUMBER(O1183)),IF(M1183&lt;=O1183,"Valor ≤ venal IPTU",""),"")</f>
        <v/>
      </c>
      <c r="U1183" s="10">
        <f>IF(AND(ISNUMBER(M1183),ISNUMBER(N1183)),IF(N1183&gt;0,M1183/N1183,""),"")</f>
        <v/>
      </c>
      <c r="V1183" s="10">
        <f>IF(AND(ISNUMBER(M1183),ISNUMBER(O1183)),IF(O1183&gt;0,M1183/O1183,""),"")</f>
        <v/>
      </c>
      <c r="W1183" s="10">
        <f>IF(AND(ISNUMBER(M1183),ISNUMBER(R1183)),IF(R1183&gt;0,M1183/R1183,""),"")</f>
        <v/>
      </c>
      <c r="X1183" s="10">
        <f>IF(AND(ISNUMBER(Q1183),ISNUMBER(M1183)),IF(M1183&gt;0,Q1183/M1183,""),"")</f>
        <v/>
      </c>
      <c r="Y1183" s="11">
        <f>IF(ISNUMBER(Z1183),YEAR(Z1183),"")</f>
        <v/>
      </c>
      <c r="Z1183" s="12" t="n"/>
      <c r="AA1183" s="12" t="n"/>
      <c r="AI1183" s="12" t="n"/>
      <c r="AJ1183" s="13">
        <f>IF(LEN(TRIM(AF1183))=0,"",HYPERLINK("https://www.google.com/maps/@?api=1&amp;map_action=pano&amp;viewpoint="&amp;SUBSTITUTE(AF1183," ",""),"Abrir Street View"))</f>
        <v/>
      </c>
    </row>
    <row r="1184">
      <c r="H1184" s="6" t="n"/>
      <c r="I1184" s="6" t="n"/>
      <c r="M1184" s="7" t="n"/>
      <c r="N1184" s="7" t="n"/>
      <c r="O1184" s="7" t="n"/>
      <c r="Q1184" s="7" t="n"/>
      <c r="R1184" s="7" t="n"/>
      <c r="S1184" s="8">
        <f>IF(NOT(ISNUMBER(M1184)),"",IF(G1184="Terreno",IF(AND(ISNUMBER(I1184),I1184&gt;0),M1184/I1184,""),IF(AND(ISNUMBER(H1184),H1184&gt;0),M1184/H1184,"")))</f>
        <v/>
      </c>
      <c r="T1184" s="9">
        <f>IF(AND(ISNUMBER(M1184),ISNUMBER(O1184)),IF(M1184&lt;=O1184,"Valor ≤ venal IPTU",""),"")</f>
        <v/>
      </c>
      <c r="U1184" s="10">
        <f>IF(AND(ISNUMBER(M1184),ISNUMBER(N1184)),IF(N1184&gt;0,M1184/N1184,""),"")</f>
        <v/>
      </c>
      <c r="V1184" s="10">
        <f>IF(AND(ISNUMBER(M1184),ISNUMBER(O1184)),IF(O1184&gt;0,M1184/O1184,""),"")</f>
        <v/>
      </c>
      <c r="W1184" s="10">
        <f>IF(AND(ISNUMBER(M1184),ISNUMBER(R1184)),IF(R1184&gt;0,M1184/R1184,""),"")</f>
        <v/>
      </c>
      <c r="X1184" s="10">
        <f>IF(AND(ISNUMBER(Q1184),ISNUMBER(M1184)),IF(M1184&gt;0,Q1184/M1184,""),"")</f>
        <v/>
      </c>
      <c r="Y1184" s="11">
        <f>IF(ISNUMBER(Z1184),YEAR(Z1184),"")</f>
        <v/>
      </c>
      <c r="Z1184" s="12" t="n"/>
      <c r="AA1184" s="12" t="n"/>
      <c r="AI1184" s="12" t="n"/>
      <c r="AJ1184" s="13">
        <f>IF(LEN(TRIM(AF1184))=0,"",HYPERLINK("https://www.google.com/maps/@?api=1&amp;map_action=pano&amp;viewpoint="&amp;SUBSTITUTE(AF1184," ",""),"Abrir Street View"))</f>
        <v/>
      </c>
    </row>
    <row r="1185">
      <c r="H1185" s="6" t="n"/>
      <c r="I1185" s="6" t="n"/>
      <c r="M1185" s="7" t="n"/>
      <c r="N1185" s="7" t="n"/>
      <c r="O1185" s="7" t="n"/>
      <c r="Q1185" s="7" t="n"/>
      <c r="R1185" s="7" t="n"/>
      <c r="S1185" s="8">
        <f>IF(NOT(ISNUMBER(M1185)),"",IF(G1185="Terreno",IF(AND(ISNUMBER(I1185),I1185&gt;0),M1185/I1185,""),IF(AND(ISNUMBER(H1185),H1185&gt;0),M1185/H1185,"")))</f>
        <v/>
      </c>
      <c r="T1185" s="9">
        <f>IF(AND(ISNUMBER(M1185),ISNUMBER(O1185)),IF(M1185&lt;=O1185,"Valor ≤ venal IPTU",""),"")</f>
        <v/>
      </c>
      <c r="U1185" s="10">
        <f>IF(AND(ISNUMBER(M1185),ISNUMBER(N1185)),IF(N1185&gt;0,M1185/N1185,""),"")</f>
        <v/>
      </c>
      <c r="V1185" s="10">
        <f>IF(AND(ISNUMBER(M1185),ISNUMBER(O1185)),IF(O1185&gt;0,M1185/O1185,""),"")</f>
        <v/>
      </c>
      <c r="W1185" s="10">
        <f>IF(AND(ISNUMBER(M1185),ISNUMBER(R1185)),IF(R1185&gt;0,M1185/R1185,""),"")</f>
        <v/>
      </c>
      <c r="X1185" s="10">
        <f>IF(AND(ISNUMBER(Q1185),ISNUMBER(M1185)),IF(M1185&gt;0,Q1185/M1185,""),"")</f>
        <v/>
      </c>
      <c r="Y1185" s="11">
        <f>IF(ISNUMBER(Z1185),YEAR(Z1185),"")</f>
        <v/>
      </c>
      <c r="Z1185" s="12" t="n"/>
      <c r="AA1185" s="12" t="n"/>
      <c r="AI1185" s="12" t="n"/>
      <c r="AJ1185" s="13">
        <f>IF(LEN(TRIM(AF1185))=0,"",HYPERLINK("https://www.google.com/maps/@?api=1&amp;map_action=pano&amp;viewpoint="&amp;SUBSTITUTE(AF1185," ",""),"Abrir Street View"))</f>
        <v/>
      </c>
    </row>
    <row r="1186">
      <c r="H1186" s="6" t="n"/>
      <c r="I1186" s="6" t="n"/>
      <c r="M1186" s="7" t="n"/>
      <c r="N1186" s="7" t="n"/>
      <c r="O1186" s="7" t="n"/>
      <c r="Q1186" s="7" t="n"/>
      <c r="R1186" s="7" t="n"/>
      <c r="S1186" s="8">
        <f>IF(NOT(ISNUMBER(M1186)),"",IF(G1186="Terreno",IF(AND(ISNUMBER(I1186),I1186&gt;0),M1186/I1186,""),IF(AND(ISNUMBER(H1186),H1186&gt;0),M1186/H1186,"")))</f>
        <v/>
      </c>
      <c r="T1186" s="9">
        <f>IF(AND(ISNUMBER(M1186),ISNUMBER(O1186)),IF(M1186&lt;=O1186,"Valor ≤ venal IPTU",""),"")</f>
        <v/>
      </c>
      <c r="U1186" s="10">
        <f>IF(AND(ISNUMBER(M1186),ISNUMBER(N1186)),IF(N1186&gt;0,M1186/N1186,""),"")</f>
        <v/>
      </c>
      <c r="V1186" s="10">
        <f>IF(AND(ISNUMBER(M1186),ISNUMBER(O1186)),IF(O1186&gt;0,M1186/O1186,""),"")</f>
        <v/>
      </c>
      <c r="W1186" s="10">
        <f>IF(AND(ISNUMBER(M1186),ISNUMBER(R1186)),IF(R1186&gt;0,M1186/R1186,""),"")</f>
        <v/>
      </c>
      <c r="X1186" s="10">
        <f>IF(AND(ISNUMBER(Q1186),ISNUMBER(M1186)),IF(M1186&gt;0,Q1186/M1186,""),"")</f>
        <v/>
      </c>
      <c r="Y1186" s="11">
        <f>IF(ISNUMBER(Z1186),YEAR(Z1186),"")</f>
        <v/>
      </c>
      <c r="Z1186" s="12" t="n"/>
      <c r="AA1186" s="12" t="n"/>
      <c r="AI1186" s="12" t="n"/>
      <c r="AJ1186" s="13">
        <f>IF(LEN(TRIM(AF1186))=0,"",HYPERLINK("https://www.google.com/maps/@?api=1&amp;map_action=pano&amp;viewpoint="&amp;SUBSTITUTE(AF1186," ",""),"Abrir Street View"))</f>
        <v/>
      </c>
    </row>
    <row r="1187">
      <c r="H1187" s="6" t="n"/>
      <c r="I1187" s="6" t="n"/>
      <c r="M1187" s="7" t="n"/>
      <c r="N1187" s="7" t="n"/>
      <c r="O1187" s="7" t="n"/>
      <c r="Q1187" s="7" t="n"/>
      <c r="R1187" s="7" t="n"/>
      <c r="S1187" s="8">
        <f>IF(NOT(ISNUMBER(M1187)),"",IF(G1187="Terreno",IF(AND(ISNUMBER(I1187),I1187&gt;0),M1187/I1187,""),IF(AND(ISNUMBER(H1187),H1187&gt;0),M1187/H1187,"")))</f>
        <v/>
      </c>
      <c r="T1187" s="9">
        <f>IF(AND(ISNUMBER(M1187),ISNUMBER(O1187)),IF(M1187&lt;=O1187,"Valor ≤ venal IPTU",""),"")</f>
        <v/>
      </c>
      <c r="U1187" s="10">
        <f>IF(AND(ISNUMBER(M1187),ISNUMBER(N1187)),IF(N1187&gt;0,M1187/N1187,""),"")</f>
        <v/>
      </c>
      <c r="V1187" s="10">
        <f>IF(AND(ISNUMBER(M1187),ISNUMBER(O1187)),IF(O1187&gt;0,M1187/O1187,""),"")</f>
        <v/>
      </c>
      <c r="W1187" s="10">
        <f>IF(AND(ISNUMBER(M1187),ISNUMBER(R1187)),IF(R1187&gt;0,M1187/R1187,""),"")</f>
        <v/>
      </c>
      <c r="X1187" s="10">
        <f>IF(AND(ISNUMBER(Q1187),ISNUMBER(M1187)),IF(M1187&gt;0,Q1187/M1187,""),"")</f>
        <v/>
      </c>
      <c r="Y1187" s="11">
        <f>IF(ISNUMBER(Z1187),YEAR(Z1187),"")</f>
        <v/>
      </c>
      <c r="Z1187" s="12" t="n"/>
      <c r="AA1187" s="12" t="n"/>
      <c r="AI1187" s="12" t="n"/>
      <c r="AJ1187" s="13">
        <f>IF(LEN(TRIM(AF1187))=0,"",HYPERLINK("https://www.google.com/maps/@?api=1&amp;map_action=pano&amp;viewpoint="&amp;SUBSTITUTE(AF1187," ",""),"Abrir Street View"))</f>
        <v/>
      </c>
    </row>
    <row r="1188">
      <c r="H1188" s="6" t="n"/>
      <c r="I1188" s="6" t="n"/>
      <c r="M1188" s="7" t="n"/>
      <c r="N1188" s="7" t="n"/>
      <c r="O1188" s="7" t="n"/>
      <c r="Q1188" s="7" t="n"/>
      <c r="R1188" s="7" t="n"/>
      <c r="S1188" s="8">
        <f>IF(NOT(ISNUMBER(M1188)),"",IF(G1188="Terreno",IF(AND(ISNUMBER(I1188),I1188&gt;0),M1188/I1188,""),IF(AND(ISNUMBER(H1188),H1188&gt;0),M1188/H1188,"")))</f>
        <v/>
      </c>
      <c r="T1188" s="9">
        <f>IF(AND(ISNUMBER(M1188),ISNUMBER(O1188)),IF(M1188&lt;=O1188,"Valor ≤ venal IPTU",""),"")</f>
        <v/>
      </c>
      <c r="U1188" s="10">
        <f>IF(AND(ISNUMBER(M1188),ISNUMBER(N1188)),IF(N1188&gt;0,M1188/N1188,""),"")</f>
        <v/>
      </c>
      <c r="V1188" s="10">
        <f>IF(AND(ISNUMBER(M1188),ISNUMBER(O1188)),IF(O1188&gt;0,M1188/O1188,""),"")</f>
        <v/>
      </c>
      <c r="W1188" s="10">
        <f>IF(AND(ISNUMBER(M1188),ISNUMBER(R1188)),IF(R1188&gt;0,M1188/R1188,""),"")</f>
        <v/>
      </c>
      <c r="X1188" s="10">
        <f>IF(AND(ISNUMBER(Q1188),ISNUMBER(M1188)),IF(M1188&gt;0,Q1188/M1188,""),"")</f>
        <v/>
      </c>
      <c r="Y1188" s="11">
        <f>IF(ISNUMBER(Z1188),YEAR(Z1188),"")</f>
        <v/>
      </c>
      <c r="Z1188" s="12" t="n"/>
      <c r="AA1188" s="12" t="n"/>
      <c r="AI1188" s="12" t="n"/>
      <c r="AJ1188" s="13">
        <f>IF(LEN(TRIM(AF1188))=0,"",HYPERLINK("https://www.google.com/maps/@?api=1&amp;map_action=pano&amp;viewpoint="&amp;SUBSTITUTE(AF1188," ",""),"Abrir Street View"))</f>
        <v/>
      </c>
    </row>
    <row r="1189">
      <c r="H1189" s="6" t="n"/>
      <c r="I1189" s="6" t="n"/>
      <c r="M1189" s="7" t="n"/>
      <c r="N1189" s="7" t="n"/>
      <c r="O1189" s="7" t="n"/>
      <c r="Q1189" s="7" t="n"/>
      <c r="R1189" s="7" t="n"/>
      <c r="S1189" s="8">
        <f>IF(NOT(ISNUMBER(M1189)),"",IF(G1189="Terreno",IF(AND(ISNUMBER(I1189),I1189&gt;0),M1189/I1189,""),IF(AND(ISNUMBER(H1189),H1189&gt;0),M1189/H1189,"")))</f>
        <v/>
      </c>
      <c r="T1189" s="9">
        <f>IF(AND(ISNUMBER(M1189),ISNUMBER(O1189)),IF(M1189&lt;=O1189,"Valor ≤ venal IPTU",""),"")</f>
        <v/>
      </c>
      <c r="U1189" s="10">
        <f>IF(AND(ISNUMBER(M1189),ISNUMBER(N1189)),IF(N1189&gt;0,M1189/N1189,""),"")</f>
        <v/>
      </c>
      <c r="V1189" s="10">
        <f>IF(AND(ISNUMBER(M1189),ISNUMBER(O1189)),IF(O1189&gt;0,M1189/O1189,""),"")</f>
        <v/>
      </c>
      <c r="W1189" s="10">
        <f>IF(AND(ISNUMBER(M1189),ISNUMBER(R1189)),IF(R1189&gt;0,M1189/R1189,""),"")</f>
        <v/>
      </c>
      <c r="X1189" s="10">
        <f>IF(AND(ISNUMBER(Q1189),ISNUMBER(M1189)),IF(M1189&gt;0,Q1189/M1189,""),"")</f>
        <v/>
      </c>
      <c r="Y1189" s="11">
        <f>IF(ISNUMBER(Z1189),YEAR(Z1189),"")</f>
        <v/>
      </c>
      <c r="Z1189" s="12" t="n"/>
      <c r="AA1189" s="12" t="n"/>
      <c r="AI1189" s="12" t="n"/>
      <c r="AJ1189" s="13">
        <f>IF(LEN(TRIM(AF1189))=0,"",HYPERLINK("https://www.google.com/maps/@?api=1&amp;map_action=pano&amp;viewpoint="&amp;SUBSTITUTE(AF1189," ",""),"Abrir Street View"))</f>
        <v/>
      </c>
    </row>
    <row r="1190">
      <c r="H1190" s="6" t="n"/>
      <c r="I1190" s="6" t="n"/>
      <c r="M1190" s="7" t="n"/>
      <c r="N1190" s="7" t="n"/>
      <c r="O1190" s="7" t="n"/>
      <c r="Q1190" s="7" t="n"/>
      <c r="R1190" s="7" t="n"/>
      <c r="S1190" s="8">
        <f>IF(NOT(ISNUMBER(M1190)),"",IF(G1190="Terreno",IF(AND(ISNUMBER(I1190),I1190&gt;0),M1190/I1190,""),IF(AND(ISNUMBER(H1190),H1190&gt;0),M1190/H1190,"")))</f>
        <v/>
      </c>
      <c r="T1190" s="9">
        <f>IF(AND(ISNUMBER(M1190),ISNUMBER(O1190)),IF(M1190&lt;=O1190,"Valor ≤ venal IPTU",""),"")</f>
        <v/>
      </c>
      <c r="U1190" s="10">
        <f>IF(AND(ISNUMBER(M1190),ISNUMBER(N1190)),IF(N1190&gt;0,M1190/N1190,""),"")</f>
        <v/>
      </c>
      <c r="V1190" s="10">
        <f>IF(AND(ISNUMBER(M1190),ISNUMBER(O1190)),IF(O1190&gt;0,M1190/O1190,""),"")</f>
        <v/>
      </c>
      <c r="W1190" s="10">
        <f>IF(AND(ISNUMBER(M1190),ISNUMBER(R1190)),IF(R1190&gt;0,M1190/R1190,""),"")</f>
        <v/>
      </c>
      <c r="X1190" s="10">
        <f>IF(AND(ISNUMBER(Q1190),ISNUMBER(M1190)),IF(M1190&gt;0,Q1190/M1190,""),"")</f>
        <v/>
      </c>
      <c r="Y1190" s="11">
        <f>IF(ISNUMBER(Z1190),YEAR(Z1190),"")</f>
        <v/>
      </c>
      <c r="Z1190" s="12" t="n"/>
      <c r="AA1190" s="12" t="n"/>
      <c r="AI1190" s="12" t="n"/>
      <c r="AJ1190" s="13">
        <f>IF(LEN(TRIM(AF1190))=0,"",HYPERLINK("https://www.google.com/maps/@?api=1&amp;map_action=pano&amp;viewpoint="&amp;SUBSTITUTE(AF1190," ",""),"Abrir Street View"))</f>
        <v/>
      </c>
    </row>
    <row r="1191">
      <c r="H1191" s="6" t="n"/>
      <c r="I1191" s="6" t="n"/>
      <c r="M1191" s="7" t="n"/>
      <c r="N1191" s="7" t="n"/>
      <c r="O1191" s="7" t="n"/>
      <c r="Q1191" s="7" t="n"/>
      <c r="R1191" s="7" t="n"/>
      <c r="S1191" s="8">
        <f>IF(NOT(ISNUMBER(M1191)),"",IF(G1191="Terreno",IF(AND(ISNUMBER(I1191),I1191&gt;0),M1191/I1191,""),IF(AND(ISNUMBER(H1191),H1191&gt;0),M1191/H1191,"")))</f>
        <v/>
      </c>
      <c r="T1191" s="9">
        <f>IF(AND(ISNUMBER(M1191),ISNUMBER(O1191)),IF(M1191&lt;=O1191,"Valor ≤ venal IPTU",""),"")</f>
        <v/>
      </c>
      <c r="U1191" s="10">
        <f>IF(AND(ISNUMBER(M1191),ISNUMBER(N1191)),IF(N1191&gt;0,M1191/N1191,""),"")</f>
        <v/>
      </c>
      <c r="V1191" s="10">
        <f>IF(AND(ISNUMBER(M1191),ISNUMBER(O1191)),IF(O1191&gt;0,M1191/O1191,""),"")</f>
        <v/>
      </c>
      <c r="W1191" s="10">
        <f>IF(AND(ISNUMBER(M1191),ISNUMBER(R1191)),IF(R1191&gt;0,M1191/R1191,""),"")</f>
        <v/>
      </c>
      <c r="X1191" s="10">
        <f>IF(AND(ISNUMBER(Q1191),ISNUMBER(M1191)),IF(M1191&gt;0,Q1191/M1191,""),"")</f>
        <v/>
      </c>
      <c r="Y1191" s="11">
        <f>IF(ISNUMBER(Z1191),YEAR(Z1191),"")</f>
        <v/>
      </c>
      <c r="Z1191" s="12" t="n"/>
      <c r="AA1191" s="12" t="n"/>
      <c r="AI1191" s="12" t="n"/>
      <c r="AJ1191" s="13">
        <f>IF(LEN(TRIM(AF1191))=0,"",HYPERLINK("https://www.google.com/maps/@?api=1&amp;map_action=pano&amp;viewpoint="&amp;SUBSTITUTE(AF1191," ",""),"Abrir Street View"))</f>
        <v/>
      </c>
    </row>
    <row r="1192">
      <c r="H1192" s="6" t="n"/>
      <c r="I1192" s="6" t="n"/>
      <c r="M1192" s="7" t="n"/>
      <c r="N1192" s="7" t="n"/>
      <c r="O1192" s="7" t="n"/>
      <c r="Q1192" s="7" t="n"/>
      <c r="R1192" s="7" t="n"/>
      <c r="S1192" s="8">
        <f>IF(NOT(ISNUMBER(M1192)),"",IF(G1192="Terreno",IF(AND(ISNUMBER(I1192),I1192&gt;0),M1192/I1192,""),IF(AND(ISNUMBER(H1192),H1192&gt;0),M1192/H1192,"")))</f>
        <v/>
      </c>
      <c r="T1192" s="9">
        <f>IF(AND(ISNUMBER(M1192),ISNUMBER(O1192)),IF(M1192&lt;=O1192,"Valor ≤ venal IPTU",""),"")</f>
        <v/>
      </c>
      <c r="U1192" s="10">
        <f>IF(AND(ISNUMBER(M1192),ISNUMBER(N1192)),IF(N1192&gt;0,M1192/N1192,""),"")</f>
        <v/>
      </c>
      <c r="V1192" s="10">
        <f>IF(AND(ISNUMBER(M1192),ISNUMBER(O1192)),IF(O1192&gt;0,M1192/O1192,""),"")</f>
        <v/>
      </c>
      <c r="W1192" s="10">
        <f>IF(AND(ISNUMBER(M1192),ISNUMBER(R1192)),IF(R1192&gt;0,M1192/R1192,""),"")</f>
        <v/>
      </c>
      <c r="X1192" s="10">
        <f>IF(AND(ISNUMBER(Q1192),ISNUMBER(M1192)),IF(M1192&gt;0,Q1192/M1192,""),"")</f>
        <v/>
      </c>
      <c r="Y1192" s="11">
        <f>IF(ISNUMBER(Z1192),YEAR(Z1192),"")</f>
        <v/>
      </c>
      <c r="Z1192" s="12" t="n"/>
      <c r="AA1192" s="12" t="n"/>
      <c r="AI1192" s="12" t="n"/>
      <c r="AJ1192" s="13">
        <f>IF(LEN(TRIM(AF1192))=0,"",HYPERLINK("https://www.google.com/maps/@?api=1&amp;map_action=pano&amp;viewpoint="&amp;SUBSTITUTE(AF1192," ",""),"Abrir Street View"))</f>
        <v/>
      </c>
    </row>
    <row r="1193">
      <c r="H1193" s="6" t="n"/>
      <c r="I1193" s="6" t="n"/>
      <c r="M1193" s="7" t="n"/>
      <c r="N1193" s="7" t="n"/>
      <c r="O1193" s="7" t="n"/>
      <c r="Q1193" s="7" t="n"/>
      <c r="R1193" s="7" t="n"/>
      <c r="S1193" s="8">
        <f>IF(NOT(ISNUMBER(M1193)),"",IF(G1193="Terreno",IF(AND(ISNUMBER(I1193),I1193&gt;0),M1193/I1193,""),IF(AND(ISNUMBER(H1193),H1193&gt;0),M1193/H1193,"")))</f>
        <v/>
      </c>
      <c r="T1193" s="9">
        <f>IF(AND(ISNUMBER(M1193),ISNUMBER(O1193)),IF(M1193&lt;=O1193,"Valor ≤ venal IPTU",""),"")</f>
        <v/>
      </c>
      <c r="U1193" s="10">
        <f>IF(AND(ISNUMBER(M1193),ISNUMBER(N1193)),IF(N1193&gt;0,M1193/N1193,""),"")</f>
        <v/>
      </c>
      <c r="V1193" s="10">
        <f>IF(AND(ISNUMBER(M1193),ISNUMBER(O1193)),IF(O1193&gt;0,M1193/O1193,""),"")</f>
        <v/>
      </c>
      <c r="W1193" s="10">
        <f>IF(AND(ISNUMBER(M1193),ISNUMBER(R1193)),IF(R1193&gt;0,M1193/R1193,""),"")</f>
        <v/>
      </c>
      <c r="X1193" s="10">
        <f>IF(AND(ISNUMBER(Q1193),ISNUMBER(M1193)),IF(M1193&gt;0,Q1193/M1193,""),"")</f>
        <v/>
      </c>
      <c r="Y1193" s="11">
        <f>IF(ISNUMBER(Z1193),YEAR(Z1193),"")</f>
        <v/>
      </c>
      <c r="Z1193" s="12" t="n"/>
      <c r="AA1193" s="12" t="n"/>
      <c r="AI1193" s="12" t="n"/>
      <c r="AJ1193" s="13">
        <f>IF(LEN(TRIM(AF1193))=0,"",HYPERLINK("https://www.google.com/maps/@?api=1&amp;map_action=pano&amp;viewpoint="&amp;SUBSTITUTE(AF1193," ",""),"Abrir Street View"))</f>
        <v/>
      </c>
    </row>
    <row r="1194">
      <c r="H1194" s="6" t="n"/>
      <c r="I1194" s="6" t="n"/>
      <c r="M1194" s="7" t="n"/>
      <c r="N1194" s="7" t="n"/>
      <c r="O1194" s="7" t="n"/>
      <c r="Q1194" s="7" t="n"/>
      <c r="R1194" s="7" t="n"/>
      <c r="S1194" s="8">
        <f>IF(NOT(ISNUMBER(M1194)),"",IF(G1194="Terreno",IF(AND(ISNUMBER(I1194),I1194&gt;0),M1194/I1194,""),IF(AND(ISNUMBER(H1194),H1194&gt;0),M1194/H1194,"")))</f>
        <v/>
      </c>
      <c r="T1194" s="9">
        <f>IF(AND(ISNUMBER(M1194),ISNUMBER(O1194)),IF(M1194&lt;=O1194,"Valor ≤ venal IPTU",""),"")</f>
        <v/>
      </c>
      <c r="U1194" s="10">
        <f>IF(AND(ISNUMBER(M1194),ISNUMBER(N1194)),IF(N1194&gt;0,M1194/N1194,""),"")</f>
        <v/>
      </c>
      <c r="V1194" s="10">
        <f>IF(AND(ISNUMBER(M1194),ISNUMBER(O1194)),IF(O1194&gt;0,M1194/O1194,""),"")</f>
        <v/>
      </c>
      <c r="W1194" s="10">
        <f>IF(AND(ISNUMBER(M1194),ISNUMBER(R1194)),IF(R1194&gt;0,M1194/R1194,""),"")</f>
        <v/>
      </c>
      <c r="X1194" s="10">
        <f>IF(AND(ISNUMBER(Q1194),ISNUMBER(M1194)),IF(M1194&gt;0,Q1194/M1194,""),"")</f>
        <v/>
      </c>
      <c r="Y1194" s="11">
        <f>IF(ISNUMBER(Z1194),YEAR(Z1194),"")</f>
        <v/>
      </c>
      <c r="Z1194" s="12" t="n"/>
      <c r="AA1194" s="12" t="n"/>
      <c r="AI1194" s="12" t="n"/>
      <c r="AJ1194" s="13">
        <f>IF(LEN(TRIM(AF1194))=0,"",HYPERLINK("https://www.google.com/maps/@?api=1&amp;map_action=pano&amp;viewpoint="&amp;SUBSTITUTE(AF1194," ",""),"Abrir Street View"))</f>
        <v/>
      </c>
    </row>
    <row r="1195">
      <c r="H1195" s="6" t="n"/>
      <c r="I1195" s="6" t="n"/>
      <c r="M1195" s="7" t="n"/>
      <c r="N1195" s="7" t="n"/>
      <c r="O1195" s="7" t="n"/>
      <c r="Q1195" s="7" t="n"/>
      <c r="R1195" s="7" t="n"/>
      <c r="S1195" s="8">
        <f>IF(NOT(ISNUMBER(M1195)),"",IF(G1195="Terreno",IF(AND(ISNUMBER(I1195),I1195&gt;0),M1195/I1195,""),IF(AND(ISNUMBER(H1195),H1195&gt;0),M1195/H1195,"")))</f>
        <v/>
      </c>
      <c r="T1195" s="9">
        <f>IF(AND(ISNUMBER(M1195),ISNUMBER(O1195)),IF(M1195&lt;=O1195,"Valor ≤ venal IPTU",""),"")</f>
        <v/>
      </c>
      <c r="U1195" s="10">
        <f>IF(AND(ISNUMBER(M1195),ISNUMBER(N1195)),IF(N1195&gt;0,M1195/N1195,""),"")</f>
        <v/>
      </c>
      <c r="V1195" s="10">
        <f>IF(AND(ISNUMBER(M1195),ISNUMBER(O1195)),IF(O1195&gt;0,M1195/O1195,""),"")</f>
        <v/>
      </c>
      <c r="W1195" s="10">
        <f>IF(AND(ISNUMBER(M1195),ISNUMBER(R1195)),IF(R1195&gt;0,M1195/R1195,""),"")</f>
        <v/>
      </c>
      <c r="X1195" s="10">
        <f>IF(AND(ISNUMBER(Q1195),ISNUMBER(M1195)),IF(M1195&gt;0,Q1195/M1195,""),"")</f>
        <v/>
      </c>
      <c r="Y1195" s="11">
        <f>IF(ISNUMBER(Z1195),YEAR(Z1195),"")</f>
        <v/>
      </c>
      <c r="Z1195" s="12" t="n"/>
      <c r="AA1195" s="12" t="n"/>
      <c r="AI1195" s="12" t="n"/>
      <c r="AJ1195" s="13">
        <f>IF(LEN(TRIM(AF1195))=0,"",HYPERLINK("https://www.google.com/maps/@?api=1&amp;map_action=pano&amp;viewpoint="&amp;SUBSTITUTE(AF1195," ",""),"Abrir Street View"))</f>
        <v/>
      </c>
    </row>
    <row r="1196">
      <c r="H1196" s="6" t="n"/>
      <c r="I1196" s="6" t="n"/>
      <c r="M1196" s="7" t="n"/>
      <c r="N1196" s="7" t="n"/>
      <c r="O1196" s="7" t="n"/>
      <c r="Q1196" s="7" t="n"/>
      <c r="R1196" s="7" t="n"/>
      <c r="S1196" s="8">
        <f>IF(NOT(ISNUMBER(M1196)),"",IF(G1196="Terreno",IF(AND(ISNUMBER(I1196),I1196&gt;0),M1196/I1196,""),IF(AND(ISNUMBER(H1196),H1196&gt;0),M1196/H1196,"")))</f>
        <v/>
      </c>
      <c r="T1196" s="9">
        <f>IF(AND(ISNUMBER(M1196),ISNUMBER(O1196)),IF(M1196&lt;=O1196,"Valor ≤ venal IPTU",""),"")</f>
        <v/>
      </c>
      <c r="U1196" s="10">
        <f>IF(AND(ISNUMBER(M1196),ISNUMBER(N1196)),IF(N1196&gt;0,M1196/N1196,""),"")</f>
        <v/>
      </c>
      <c r="V1196" s="10">
        <f>IF(AND(ISNUMBER(M1196),ISNUMBER(O1196)),IF(O1196&gt;0,M1196/O1196,""),"")</f>
        <v/>
      </c>
      <c r="W1196" s="10">
        <f>IF(AND(ISNUMBER(M1196),ISNUMBER(R1196)),IF(R1196&gt;0,M1196/R1196,""),"")</f>
        <v/>
      </c>
      <c r="X1196" s="10">
        <f>IF(AND(ISNUMBER(Q1196),ISNUMBER(M1196)),IF(M1196&gt;0,Q1196/M1196,""),"")</f>
        <v/>
      </c>
      <c r="Y1196" s="11">
        <f>IF(ISNUMBER(Z1196),YEAR(Z1196),"")</f>
        <v/>
      </c>
      <c r="Z1196" s="12" t="n"/>
      <c r="AA1196" s="12" t="n"/>
      <c r="AI1196" s="12" t="n"/>
      <c r="AJ1196" s="13">
        <f>IF(LEN(TRIM(AF1196))=0,"",HYPERLINK("https://www.google.com/maps/@?api=1&amp;map_action=pano&amp;viewpoint="&amp;SUBSTITUTE(AF1196," ",""),"Abrir Street View"))</f>
        <v/>
      </c>
    </row>
    <row r="1197">
      <c r="H1197" s="6" t="n"/>
      <c r="I1197" s="6" t="n"/>
      <c r="M1197" s="7" t="n"/>
      <c r="N1197" s="7" t="n"/>
      <c r="O1197" s="7" t="n"/>
      <c r="Q1197" s="7" t="n"/>
      <c r="R1197" s="7" t="n"/>
      <c r="S1197" s="8">
        <f>IF(NOT(ISNUMBER(M1197)),"",IF(G1197="Terreno",IF(AND(ISNUMBER(I1197),I1197&gt;0),M1197/I1197,""),IF(AND(ISNUMBER(H1197),H1197&gt;0),M1197/H1197,"")))</f>
        <v/>
      </c>
      <c r="T1197" s="9">
        <f>IF(AND(ISNUMBER(M1197),ISNUMBER(O1197)),IF(M1197&lt;=O1197,"Valor ≤ venal IPTU",""),"")</f>
        <v/>
      </c>
      <c r="U1197" s="10">
        <f>IF(AND(ISNUMBER(M1197),ISNUMBER(N1197)),IF(N1197&gt;0,M1197/N1197,""),"")</f>
        <v/>
      </c>
      <c r="V1197" s="10">
        <f>IF(AND(ISNUMBER(M1197),ISNUMBER(O1197)),IF(O1197&gt;0,M1197/O1197,""),"")</f>
        <v/>
      </c>
      <c r="W1197" s="10">
        <f>IF(AND(ISNUMBER(M1197),ISNUMBER(R1197)),IF(R1197&gt;0,M1197/R1197,""),"")</f>
        <v/>
      </c>
      <c r="X1197" s="10">
        <f>IF(AND(ISNUMBER(Q1197),ISNUMBER(M1197)),IF(M1197&gt;0,Q1197/M1197,""),"")</f>
        <v/>
      </c>
      <c r="Y1197" s="11">
        <f>IF(ISNUMBER(Z1197),YEAR(Z1197),"")</f>
        <v/>
      </c>
      <c r="Z1197" s="12" t="n"/>
      <c r="AA1197" s="12" t="n"/>
      <c r="AI1197" s="12" t="n"/>
      <c r="AJ1197" s="13">
        <f>IF(LEN(TRIM(AF1197))=0,"",HYPERLINK("https://www.google.com/maps/@?api=1&amp;map_action=pano&amp;viewpoint="&amp;SUBSTITUTE(AF1197," ",""),"Abrir Street View"))</f>
        <v/>
      </c>
    </row>
    <row r="1198">
      <c r="H1198" s="6" t="n"/>
      <c r="I1198" s="6" t="n"/>
      <c r="M1198" s="7" t="n"/>
      <c r="N1198" s="7" t="n"/>
      <c r="O1198" s="7" t="n"/>
      <c r="Q1198" s="7" t="n"/>
      <c r="R1198" s="7" t="n"/>
      <c r="S1198" s="8">
        <f>IF(NOT(ISNUMBER(M1198)),"",IF(G1198="Terreno",IF(AND(ISNUMBER(I1198),I1198&gt;0),M1198/I1198,""),IF(AND(ISNUMBER(H1198),H1198&gt;0),M1198/H1198,"")))</f>
        <v/>
      </c>
      <c r="T1198" s="9">
        <f>IF(AND(ISNUMBER(M1198),ISNUMBER(O1198)),IF(M1198&lt;=O1198,"Valor ≤ venal IPTU",""),"")</f>
        <v/>
      </c>
      <c r="U1198" s="10">
        <f>IF(AND(ISNUMBER(M1198),ISNUMBER(N1198)),IF(N1198&gt;0,M1198/N1198,""),"")</f>
        <v/>
      </c>
      <c r="V1198" s="10">
        <f>IF(AND(ISNUMBER(M1198),ISNUMBER(O1198)),IF(O1198&gt;0,M1198/O1198,""),"")</f>
        <v/>
      </c>
      <c r="W1198" s="10">
        <f>IF(AND(ISNUMBER(M1198),ISNUMBER(R1198)),IF(R1198&gt;0,M1198/R1198,""),"")</f>
        <v/>
      </c>
      <c r="X1198" s="10">
        <f>IF(AND(ISNUMBER(Q1198),ISNUMBER(M1198)),IF(M1198&gt;0,Q1198/M1198,""),"")</f>
        <v/>
      </c>
      <c r="Y1198" s="11">
        <f>IF(ISNUMBER(Z1198),YEAR(Z1198),"")</f>
        <v/>
      </c>
      <c r="Z1198" s="12" t="n"/>
      <c r="AA1198" s="12" t="n"/>
      <c r="AI1198" s="12" t="n"/>
      <c r="AJ1198" s="13">
        <f>IF(LEN(TRIM(AF1198))=0,"",HYPERLINK("https://www.google.com/maps/@?api=1&amp;map_action=pano&amp;viewpoint="&amp;SUBSTITUTE(AF1198," ",""),"Abrir Street View"))</f>
        <v/>
      </c>
    </row>
    <row r="1199">
      <c r="H1199" s="6" t="n"/>
      <c r="I1199" s="6" t="n"/>
      <c r="M1199" s="7" t="n"/>
      <c r="N1199" s="7" t="n"/>
      <c r="O1199" s="7" t="n"/>
      <c r="Q1199" s="7" t="n"/>
      <c r="R1199" s="7" t="n"/>
      <c r="S1199" s="8">
        <f>IF(NOT(ISNUMBER(M1199)),"",IF(G1199="Terreno",IF(AND(ISNUMBER(I1199),I1199&gt;0),M1199/I1199,""),IF(AND(ISNUMBER(H1199),H1199&gt;0),M1199/H1199,"")))</f>
        <v/>
      </c>
      <c r="T1199" s="9">
        <f>IF(AND(ISNUMBER(M1199),ISNUMBER(O1199)),IF(M1199&lt;=O1199,"Valor ≤ venal IPTU",""),"")</f>
        <v/>
      </c>
      <c r="U1199" s="10">
        <f>IF(AND(ISNUMBER(M1199),ISNUMBER(N1199)),IF(N1199&gt;0,M1199/N1199,""),"")</f>
        <v/>
      </c>
      <c r="V1199" s="10">
        <f>IF(AND(ISNUMBER(M1199),ISNUMBER(O1199)),IF(O1199&gt;0,M1199/O1199,""),"")</f>
        <v/>
      </c>
      <c r="W1199" s="10">
        <f>IF(AND(ISNUMBER(M1199),ISNUMBER(R1199)),IF(R1199&gt;0,M1199/R1199,""),"")</f>
        <v/>
      </c>
      <c r="X1199" s="10">
        <f>IF(AND(ISNUMBER(Q1199),ISNUMBER(M1199)),IF(M1199&gt;0,Q1199/M1199,""),"")</f>
        <v/>
      </c>
      <c r="Y1199" s="11">
        <f>IF(ISNUMBER(Z1199),YEAR(Z1199),"")</f>
        <v/>
      </c>
      <c r="Z1199" s="12" t="n"/>
      <c r="AA1199" s="12" t="n"/>
      <c r="AI1199" s="12" t="n"/>
      <c r="AJ1199" s="13">
        <f>IF(LEN(TRIM(AF1199))=0,"",HYPERLINK("https://www.google.com/maps/@?api=1&amp;map_action=pano&amp;viewpoint="&amp;SUBSTITUTE(AF1199," ",""),"Abrir Street View"))</f>
        <v/>
      </c>
    </row>
    <row r="1200">
      <c r="H1200" s="6" t="n"/>
      <c r="I1200" s="6" t="n"/>
      <c r="M1200" s="7" t="n"/>
      <c r="N1200" s="7" t="n"/>
      <c r="O1200" s="7" t="n"/>
      <c r="Q1200" s="7" t="n"/>
      <c r="R1200" s="7" t="n"/>
      <c r="S1200" s="8">
        <f>IF(NOT(ISNUMBER(M1200)),"",IF(G1200="Terreno",IF(AND(ISNUMBER(I1200),I1200&gt;0),M1200/I1200,""),IF(AND(ISNUMBER(H1200),H1200&gt;0),M1200/H1200,"")))</f>
        <v/>
      </c>
      <c r="T1200" s="9">
        <f>IF(AND(ISNUMBER(M1200),ISNUMBER(O1200)),IF(M1200&lt;=O1200,"Valor ≤ venal IPTU",""),"")</f>
        <v/>
      </c>
      <c r="U1200" s="10">
        <f>IF(AND(ISNUMBER(M1200),ISNUMBER(N1200)),IF(N1200&gt;0,M1200/N1200,""),"")</f>
        <v/>
      </c>
      <c r="V1200" s="10">
        <f>IF(AND(ISNUMBER(M1200),ISNUMBER(O1200)),IF(O1200&gt;0,M1200/O1200,""),"")</f>
        <v/>
      </c>
      <c r="W1200" s="10">
        <f>IF(AND(ISNUMBER(M1200),ISNUMBER(R1200)),IF(R1200&gt;0,M1200/R1200,""),"")</f>
        <v/>
      </c>
      <c r="X1200" s="10">
        <f>IF(AND(ISNUMBER(Q1200),ISNUMBER(M1200)),IF(M1200&gt;0,Q1200/M1200,""),"")</f>
        <v/>
      </c>
      <c r="Y1200" s="11">
        <f>IF(ISNUMBER(Z1200),YEAR(Z1200),"")</f>
        <v/>
      </c>
      <c r="Z1200" s="12" t="n"/>
      <c r="AA1200" s="12" t="n"/>
      <c r="AI1200" s="12" t="n"/>
      <c r="AJ1200" s="13">
        <f>IF(LEN(TRIM(AF1200))=0,"",HYPERLINK("https://www.google.com/maps/@?api=1&amp;map_action=pano&amp;viewpoint="&amp;SUBSTITUTE(AF1200," ",""),"Abrir Street View"))</f>
        <v/>
      </c>
    </row>
    <row r="1201">
      <c r="H1201" s="6" t="n"/>
      <c r="I1201" s="6" t="n"/>
      <c r="M1201" s="7" t="n"/>
      <c r="N1201" s="7" t="n"/>
      <c r="O1201" s="7" t="n"/>
      <c r="Q1201" s="7" t="n"/>
      <c r="R1201" s="7" t="n"/>
      <c r="S1201" s="8">
        <f>IF(NOT(ISNUMBER(M1201)),"",IF(G1201="Terreno",IF(AND(ISNUMBER(I1201),I1201&gt;0),M1201/I1201,""),IF(AND(ISNUMBER(H1201),H1201&gt;0),M1201/H1201,"")))</f>
        <v/>
      </c>
      <c r="T1201" s="9">
        <f>IF(AND(ISNUMBER(M1201),ISNUMBER(O1201)),IF(M1201&lt;=O1201,"Valor ≤ venal IPTU",""),"")</f>
        <v/>
      </c>
      <c r="U1201" s="10">
        <f>IF(AND(ISNUMBER(M1201),ISNUMBER(N1201)),IF(N1201&gt;0,M1201/N1201,""),"")</f>
        <v/>
      </c>
      <c r="V1201" s="10">
        <f>IF(AND(ISNUMBER(M1201),ISNUMBER(O1201)),IF(O1201&gt;0,M1201/O1201,""),"")</f>
        <v/>
      </c>
      <c r="W1201" s="10">
        <f>IF(AND(ISNUMBER(M1201),ISNUMBER(R1201)),IF(R1201&gt;0,M1201/R1201,""),"")</f>
        <v/>
      </c>
      <c r="X1201" s="10">
        <f>IF(AND(ISNUMBER(Q1201),ISNUMBER(M1201)),IF(M1201&gt;0,Q1201/M1201,""),"")</f>
        <v/>
      </c>
      <c r="Y1201" s="11">
        <f>IF(ISNUMBER(Z1201),YEAR(Z1201),"")</f>
        <v/>
      </c>
      <c r="Z1201" s="12" t="n"/>
      <c r="AA1201" s="12" t="n"/>
      <c r="AI1201" s="12" t="n"/>
      <c r="AJ1201" s="13">
        <f>IF(LEN(TRIM(AF1201))=0,"",HYPERLINK("https://www.google.com/maps/@?api=1&amp;map_action=pano&amp;viewpoint="&amp;SUBSTITUTE(AF1201," ",""),"Abrir Street View"))</f>
        <v/>
      </c>
    </row>
    <row r="1202">
      <c r="H1202" s="6" t="n"/>
      <c r="I1202" s="6" t="n"/>
      <c r="M1202" s="7" t="n"/>
      <c r="N1202" s="7" t="n"/>
      <c r="O1202" s="7" t="n"/>
      <c r="Q1202" s="7" t="n"/>
      <c r="R1202" s="7" t="n"/>
      <c r="S1202" s="8">
        <f>IF(NOT(ISNUMBER(M1202)),"",IF(G1202="Terreno",IF(AND(ISNUMBER(I1202),I1202&gt;0),M1202/I1202,""),IF(AND(ISNUMBER(H1202),H1202&gt;0),M1202/H1202,"")))</f>
        <v/>
      </c>
      <c r="T1202" s="9">
        <f>IF(AND(ISNUMBER(M1202),ISNUMBER(O1202)),IF(M1202&lt;=O1202,"Valor ≤ venal IPTU",""),"")</f>
        <v/>
      </c>
      <c r="U1202" s="10">
        <f>IF(AND(ISNUMBER(M1202),ISNUMBER(N1202)),IF(N1202&gt;0,M1202/N1202,""),"")</f>
        <v/>
      </c>
      <c r="V1202" s="10">
        <f>IF(AND(ISNUMBER(M1202),ISNUMBER(O1202)),IF(O1202&gt;0,M1202/O1202,""),"")</f>
        <v/>
      </c>
      <c r="W1202" s="10">
        <f>IF(AND(ISNUMBER(M1202),ISNUMBER(R1202)),IF(R1202&gt;0,M1202/R1202,""),"")</f>
        <v/>
      </c>
      <c r="X1202" s="10">
        <f>IF(AND(ISNUMBER(Q1202),ISNUMBER(M1202)),IF(M1202&gt;0,Q1202/M1202,""),"")</f>
        <v/>
      </c>
      <c r="Y1202" s="11">
        <f>IF(ISNUMBER(Z1202),YEAR(Z1202),"")</f>
        <v/>
      </c>
      <c r="Z1202" s="12" t="n"/>
      <c r="AA1202" s="12" t="n"/>
      <c r="AI1202" s="12" t="n"/>
      <c r="AJ1202" s="13">
        <f>IF(LEN(TRIM(AF1202))=0,"",HYPERLINK("https://www.google.com/maps/@?api=1&amp;map_action=pano&amp;viewpoint="&amp;SUBSTITUTE(AF1202," ",""),"Abrir Street View"))</f>
        <v/>
      </c>
    </row>
    <row r="1203">
      <c r="H1203" s="6" t="n"/>
      <c r="I1203" s="6" t="n"/>
      <c r="M1203" s="7" t="n"/>
      <c r="N1203" s="7" t="n"/>
      <c r="O1203" s="7" t="n"/>
      <c r="Q1203" s="7" t="n"/>
      <c r="R1203" s="7" t="n"/>
      <c r="S1203" s="8">
        <f>IF(NOT(ISNUMBER(M1203)),"",IF(G1203="Terreno",IF(AND(ISNUMBER(I1203),I1203&gt;0),M1203/I1203,""),IF(AND(ISNUMBER(H1203),H1203&gt;0),M1203/H1203,"")))</f>
        <v/>
      </c>
      <c r="T1203" s="9">
        <f>IF(AND(ISNUMBER(M1203),ISNUMBER(O1203)),IF(M1203&lt;=O1203,"Valor ≤ venal IPTU",""),"")</f>
        <v/>
      </c>
      <c r="U1203" s="10">
        <f>IF(AND(ISNUMBER(M1203),ISNUMBER(N1203)),IF(N1203&gt;0,M1203/N1203,""),"")</f>
        <v/>
      </c>
      <c r="V1203" s="10">
        <f>IF(AND(ISNUMBER(M1203),ISNUMBER(O1203)),IF(O1203&gt;0,M1203/O1203,""),"")</f>
        <v/>
      </c>
      <c r="W1203" s="10">
        <f>IF(AND(ISNUMBER(M1203),ISNUMBER(R1203)),IF(R1203&gt;0,M1203/R1203,""),"")</f>
        <v/>
      </c>
      <c r="X1203" s="10">
        <f>IF(AND(ISNUMBER(Q1203),ISNUMBER(M1203)),IF(M1203&gt;0,Q1203/M1203,""),"")</f>
        <v/>
      </c>
      <c r="Y1203" s="11">
        <f>IF(ISNUMBER(Z1203),YEAR(Z1203),"")</f>
        <v/>
      </c>
      <c r="Z1203" s="12" t="n"/>
      <c r="AA1203" s="12" t="n"/>
      <c r="AI1203" s="12" t="n"/>
      <c r="AJ1203" s="13">
        <f>IF(LEN(TRIM(AF1203))=0,"",HYPERLINK("https://www.google.com/maps/@?api=1&amp;map_action=pano&amp;viewpoint="&amp;SUBSTITUTE(AF1203," ",""),"Abrir Street View"))</f>
        <v/>
      </c>
    </row>
    <row r="1204">
      <c r="H1204" s="6" t="n"/>
      <c r="I1204" s="6" t="n"/>
      <c r="M1204" s="7" t="n"/>
      <c r="N1204" s="7" t="n"/>
      <c r="O1204" s="7" t="n"/>
      <c r="Q1204" s="7" t="n"/>
      <c r="R1204" s="7" t="n"/>
      <c r="S1204" s="8">
        <f>IF(NOT(ISNUMBER(M1204)),"",IF(G1204="Terreno",IF(AND(ISNUMBER(I1204),I1204&gt;0),M1204/I1204,""),IF(AND(ISNUMBER(H1204),H1204&gt;0),M1204/H1204,"")))</f>
        <v/>
      </c>
      <c r="T1204" s="9">
        <f>IF(AND(ISNUMBER(M1204),ISNUMBER(O1204)),IF(M1204&lt;=O1204,"Valor ≤ venal IPTU",""),"")</f>
        <v/>
      </c>
      <c r="U1204" s="10">
        <f>IF(AND(ISNUMBER(M1204),ISNUMBER(N1204)),IF(N1204&gt;0,M1204/N1204,""),"")</f>
        <v/>
      </c>
      <c r="V1204" s="10">
        <f>IF(AND(ISNUMBER(M1204),ISNUMBER(O1204)),IF(O1204&gt;0,M1204/O1204,""),"")</f>
        <v/>
      </c>
      <c r="W1204" s="10">
        <f>IF(AND(ISNUMBER(M1204),ISNUMBER(R1204)),IF(R1204&gt;0,M1204/R1204,""),"")</f>
        <v/>
      </c>
      <c r="X1204" s="10">
        <f>IF(AND(ISNUMBER(Q1204),ISNUMBER(M1204)),IF(M1204&gt;0,Q1204/M1204,""),"")</f>
        <v/>
      </c>
      <c r="Y1204" s="11">
        <f>IF(ISNUMBER(Z1204),YEAR(Z1204),"")</f>
        <v/>
      </c>
      <c r="Z1204" s="12" t="n"/>
      <c r="AA1204" s="12" t="n"/>
      <c r="AI1204" s="12" t="n"/>
      <c r="AJ1204" s="13">
        <f>IF(LEN(TRIM(AF1204))=0,"",HYPERLINK("https://www.google.com/maps/@?api=1&amp;map_action=pano&amp;viewpoint="&amp;SUBSTITUTE(AF1204," ",""),"Abrir Street View"))</f>
        <v/>
      </c>
    </row>
    <row r="1205">
      <c r="H1205" s="6" t="n"/>
      <c r="I1205" s="6" t="n"/>
      <c r="M1205" s="7" t="n"/>
      <c r="N1205" s="7" t="n"/>
      <c r="O1205" s="7" t="n"/>
      <c r="Q1205" s="7" t="n"/>
      <c r="R1205" s="7" t="n"/>
      <c r="S1205" s="8">
        <f>IF(NOT(ISNUMBER(M1205)),"",IF(G1205="Terreno",IF(AND(ISNUMBER(I1205),I1205&gt;0),M1205/I1205,""),IF(AND(ISNUMBER(H1205),H1205&gt;0),M1205/H1205,"")))</f>
        <v/>
      </c>
      <c r="T1205" s="9">
        <f>IF(AND(ISNUMBER(M1205),ISNUMBER(O1205)),IF(M1205&lt;=O1205,"Valor ≤ venal IPTU",""),"")</f>
        <v/>
      </c>
      <c r="U1205" s="10">
        <f>IF(AND(ISNUMBER(M1205),ISNUMBER(N1205)),IF(N1205&gt;0,M1205/N1205,""),"")</f>
        <v/>
      </c>
      <c r="V1205" s="10">
        <f>IF(AND(ISNUMBER(M1205),ISNUMBER(O1205)),IF(O1205&gt;0,M1205/O1205,""),"")</f>
        <v/>
      </c>
      <c r="W1205" s="10">
        <f>IF(AND(ISNUMBER(M1205),ISNUMBER(R1205)),IF(R1205&gt;0,M1205/R1205,""),"")</f>
        <v/>
      </c>
      <c r="X1205" s="10">
        <f>IF(AND(ISNUMBER(Q1205),ISNUMBER(M1205)),IF(M1205&gt;0,Q1205/M1205,""),"")</f>
        <v/>
      </c>
      <c r="Y1205" s="11">
        <f>IF(ISNUMBER(Z1205),YEAR(Z1205),"")</f>
        <v/>
      </c>
      <c r="Z1205" s="12" t="n"/>
      <c r="AA1205" s="12" t="n"/>
      <c r="AI1205" s="12" t="n"/>
      <c r="AJ1205" s="13">
        <f>IF(LEN(TRIM(AF1205))=0,"",HYPERLINK("https://www.google.com/maps/@?api=1&amp;map_action=pano&amp;viewpoint="&amp;SUBSTITUTE(AF1205," ",""),"Abrir Street View"))</f>
        <v/>
      </c>
    </row>
    <row r="1206">
      <c r="H1206" s="6" t="n"/>
      <c r="I1206" s="6" t="n"/>
      <c r="M1206" s="7" t="n"/>
      <c r="N1206" s="7" t="n"/>
      <c r="O1206" s="7" t="n"/>
      <c r="Q1206" s="7" t="n"/>
      <c r="R1206" s="7" t="n"/>
      <c r="S1206" s="8">
        <f>IF(NOT(ISNUMBER(M1206)),"",IF(G1206="Terreno",IF(AND(ISNUMBER(I1206),I1206&gt;0),M1206/I1206,""),IF(AND(ISNUMBER(H1206),H1206&gt;0),M1206/H1206,"")))</f>
        <v/>
      </c>
      <c r="T1206" s="9">
        <f>IF(AND(ISNUMBER(M1206),ISNUMBER(O1206)),IF(M1206&lt;=O1206,"Valor ≤ venal IPTU",""),"")</f>
        <v/>
      </c>
      <c r="U1206" s="10">
        <f>IF(AND(ISNUMBER(M1206),ISNUMBER(N1206)),IF(N1206&gt;0,M1206/N1206,""),"")</f>
        <v/>
      </c>
      <c r="V1206" s="10">
        <f>IF(AND(ISNUMBER(M1206),ISNUMBER(O1206)),IF(O1206&gt;0,M1206/O1206,""),"")</f>
        <v/>
      </c>
      <c r="W1206" s="10">
        <f>IF(AND(ISNUMBER(M1206),ISNUMBER(R1206)),IF(R1206&gt;0,M1206/R1206,""),"")</f>
        <v/>
      </c>
      <c r="X1206" s="10">
        <f>IF(AND(ISNUMBER(Q1206),ISNUMBER(M1206)),IF(M1206&gt;0,Q1206/M1206,""),"")</f>
        <v/>
      </c>
      <c r="Y1206" s="11">
        <f>IF(ISNUMBER(Z1206),YEAR(Z1206),"")</f>
        <v/>
      </c>
      <c r="Z1206" s="12" t="n"/>
      <c r="AA1206" s="12" t="n"/>
      <c r="AI1206" s="12" t="n"/>
      <c r="AJ1206" s="13">
        <f>IF(LEN(TRIM(AF1206))=0,"",HYPERLINK("https://www.google.com/maps/@?api=1&amp;map_action=pano&amp;viewpoint="&amp;SUBSTITUTE(AF1206," ",""),"Abrir Street View"))</f>
        <v/>
      </c>
    </row>
    <row r="1207">
      <c r="H1207" s="6" t="n"/>
      <c r="I1207" s="6" t="n"/>
      <c r="M1207" s="7" t="n"/>
      <c r="N1207" s="7" t="n"/>
      <c r="O1207" s="7" t="n"/>
      <c r="Q1207" s="7" t="n"/>
      <c r="R1207" s="7" t="n"/>
      <c r="S1207" s="8">
        <f>IF(NOT(ISNUMBER(M1207)),"",IF(G1207="Terreno",IF(AND(ISNUMBER(I1207),I1207&gt;0),M1207/I1207,""),IF(AND(ISNUMBER(H1207),H1207&gt;0),M1207/H1207,"")))</f>
        <v/>
      </c>
      <c r="T1207" s="9">
        <f>IF(AND(ISNUMBER(M1207),ISNUMBER(O1207)),IF(M1207&lt;=O1207,"Valor ≤ venal IPTU",""),"")</f>
        <v/>
      </c>
      <c r="U1207" s="10">
        <f>IF(AND(ISNUMBER(M1207),ISNUMBER(N1207)),IF(N1207&gt;0,M1207/N1207,""),"")</f>
        <v/>
      </c>
      <c r="V1207" s="10">
        <f>IF(AND(ISNUMBER(M1207),ISNUMBER(O1207)),IF(O1207&gt;0,M1207/O1207,""),"")</f>
        <v/>
      </c>
      <c r="W1207" s="10">
        <f>IF(AND(ISNUMBER(M1207),ISNUMBER(R1207)),IF(R1207&gt;0,M1207/R1207,""),"")</f>
        <v/>
      </c>
      <c r="X1207" s="10">
        <f>IF(AND(ISNUMBER(Q1207),ISNUMBER(M1207)),IF(M1207&gt;0,Q1207/M1207,""),"")</f>
        <v/>
      </c>
      <c r="Y1207" s="11">
        <f>IF(ISNUMBER(Z1207),YEAR(Z1207),"")</f>
        <v/>
      </c>
      <c r="Z1207" s="12" t="n"/>
      <c r="AA1207" s="12" t="n"/>
      <c r="AI1207" s="12" t="n"/>
      <c r="AJ1207" s="13">
        <f>IF(LEN(TRIM(AF1207))=0,"",HYPERLINK("https://www.google.com/maps/@?api=1&amp;map_action=pano&amp;viewpoint="&amp;SUBSTITUTE(AF1207," ",""),"Abrir Street View"))</f>
        <v/>
      </c>
    </row>
    <row r="1208">
      <c r="H1208" s="6" t="n"/>
      <c r="I1208" s="6" t="n"/>
      <c r="M1208" s="7" t="n"/>
      <c r="N1208" s="7" t="n"/>
      <c r="O1208" s="7" t="n"/>
      <c r="Q1208" s="7" t="n"/>
      <c r="R1208" s="7" t="n"/>
      <c r="S1208" s="8">
        <f>IF(NOT(ISNUMBER(M1208)),"",IF(G1208="Terreno",IF(AND(ISNUMBER(I1208),I1208&gt;0),M1208/I1208,""),IF(AND(ISNUMBER(H1208),H1208&gt;0),M1208/H1208,"")))</f>
        <v/>
      </c>
      <c r="T1208" s="9">
        <f>IF(AND(ISNUMBER(M1208),ISNUMBER(O1208)),IF(M1208&lt;=O1208,"Valor ≤ venal IPTU",""),"")</f>
        <v/>
      </c>
      <c r="U1208" s="10">
        <f>IF(AND(ISNUMBER(M1208),ISNUMBER(N1208)),IF(N1208&gt;0,M1208/N1208,""),"")</f>
        <v/>
      </c>
      <c r="V1208" s="10">
        <f>IF(AND(ISNUMBER(M1208),ISNUMBER(O1208)),IF(O1208&gt;0,M1208/O1208,""),"")</f>
        <v/>
      </c>
      <c r="W1208" s="10">
        <f>IF(AND(ISNUMBER(M1208),ISNUMBER(R1208)),IF(R1208&gt;0,M1208/R1208,""),"")</f>
        <v/>
      </c>
      <c r="X1208" s="10">
        <f>IF(AND(ISNUMBER(Q1208),ISNUMBER(M1208)),IF(M1208&gt;0,Q1208/M1208,""),"")</f>
        <v/>
      </c>
      <c r="Y1208" s="11">
        <f>IF(ISNUMBER(Z1208),YEAR(Z1208),"")</f>
        <v/>
      </c>
      <c r="Z1208" s="12" t="n"/>
      <c r="AA1208" s="12" t="n"/>
      <c r="AI1208" s="12" t="n"/>
      <c r="AJ1208" s="13">
        <f>IF(LEN(TRIM(AF1208))=0,"",HYPERLINK("https://www.google.com/maps/@?api=1&amp;map_action=pano&amp;viewpoint="&amp;SUBSTITUTE(AF1208," ",""),"Abrir Street View"))</f>
        <v/>
      </c>
    </row>
    <row r="1209">
      <c r="H1209" s="6" t="n"/>
      <c r="I1209" s="6" t="n"/>
      <c r="M1209" s="7" t="n"/>
      <c r="N1209" s="7" t="n"/>
      <c r="O1209" s="7" t="n"/>
      <c r="Q1209" s="7" t="n"/>
      <c r="R1209" s="7" t="n"/>
      <c r="S1209" s="8">
        <f>IF(NOT(ISNUMBER(M1209)),"",IF(G1209="Terreno",IF(AND(ISNUMBER(I1209),I1209&gt;0),M1209/I1209,""),IF(AND(ISNUMBER(H1209),H1209&gt;0),M1209/H1209,"")))</f>
        <v/>
      </c>
      <c r="T1209" s="9">
        <f>IF(AND(ISNUMBER(M1209),ISNUMBER(O1209)),IF(M1209&lt;=O1209,"Valor ≤ venal IPTU",""),"")</f>
        <v/>
      </c>
      <c r="U1209" s="10">
        <f>IF(AND(ISNUMBER(M1209),ISNUMBER(N1209)),IF(N1209&gt;0,M1209/N1209,""),"")</f>
        <v/>
      </c>
      <c r="V1209" s="10">
        <f>IF(AND(ISNUMBER(M1209),ISNUMBER(O1209)),IF(O1209&gt;0,M1209/O1209,""),"")</f>
        <v/>
      </c>
      <c r="W1209" s="10">
        <f>IF(AND(ISNUMBER(M1209),ISNUMBER(R1209)),IF(R1209&gt;0,M1209/R1209,""),"")</f>
        <v/>
      </c>
      <c r="X1209" s="10">
        <f>IF(AND(ISNUMBER(Q1209),ISNUMBER(M1209)),IF(M1209&gt;0,Q1209/M1209,""),"")</f>
        <v/>
      </c>
      <c r="Y1209" s="11">
        <f>IF(ISNUMBER(Z1209),YEAR(Z1209),"")</f>
        <v/>
      </c>
      <c r="Z1209" s="12" t="n"/>
      <c r="AA1209" s="12" t="n"/>
      <c r="AI1209" s="12" t="n"/>
      <c r="AJ1209" s="13">
        <f>IF(LEN(TRIM(AF1209))=0,"",HYPERLINK("https://www.google.com/maps/@?api=1&amp;map_action=pano&amp;viewpoint="&amp;SUBSTITUTE(AF1209," ",""),"Abrir Street View"))</f>
        <v/>
      </c>
    </row>
    <row r="1210">
      <c r="H1210" s="6" t="n"/>
      <c r="I1210" s="6" t="n"/>
      <c r="M1210" s="7" t="n"/>
      <c r="N1210" s="7" t="n"/>
      <c r="O1210" s="7" t="n"/>
      <c r="Q1210" s="7" t="n"/>
      <c r="R1210" s="7" t="n"/>
      <c r="S1210" s="8">
        <f>IF(NOT(ISNUMBER(M1210)),"",IF(G1210="Terreno",IF(AND(ISNUMBER(I1210),I1210&gt;0),M1210/I1210,""),IF(AND(ISNUMBER(H1210),H1210&gt;0),M1210/H1210,"")))</f>
        <v/>
      </c>
      <c r="T1210" s="9">
        <f>IF(AND(ISNUMBER(M1210),ISNUMBER(O1210)),IF(M1210&lt;=O1210,"Valor ≤ venal IPTU",""),"")</f>
        <v/>
      </c>
      <c r="U1210" s="10">
        <f>IF(AND(ISNUMBER(M1210),ISNUMBER(N1210)),IF(N1210&gt;0,M1210/N1210,""),"")</f>
        <v/>
      </c>
      <c r="V1210" s="10">
        <f>IF(AND(ISNUMBER(M1210),ISNUMBER(O1210)),IF(O1210&gt;0,M1210/O1210,""),"")</f>
        <v/>
      </c>
      <c r="W1210" s="10">
        <f>IF(AND(ISNUMBER(M1210),ISNUMBER(R1210)),IF(R1210&gt;0,M1210/R1210,""),"")</f>
        <v/>
      </c>
      <c r="X1210" s="10">
        <f>IF(AND(ISNUMBER(Q1210),ISNUMBER(M1210)),IF(M1210&gt;0,Q1210/M1210,""),"")</f>
        <v/>
      </c>
      <c r="Y1210" s="11">
        <f>IF(ISNUMBER(Z1210),YEAR(Z1210),"")</f>
        <v/>
      </c>
      <c r="Z1210" s="12" t="n"/>
      <c r="AA1210" s="12" t="n"/>
      <c r="AI1210" s="12" t="n"/>
      <c r="AJ1210" s="13">
        <f>IF(LEN(TRIM(AF1210))=0,"",HYPERLINK("https://www.google.com/maps/@?api=1&amp;map_action=pano&amp;viewpoint="&amp;SUBSTITUTE(AF1210," ",""),"Abrir Street View"))</f>
        <v/>
      </c>
    </row>
    <row r="1211">
      <c r="H1211" s="6" t="n"/>
      <c r="I1211" s="6" t="n"/>
      <c r="M1211" s="7" t="n"/>
      <c r="N1211" s="7" t="n"/>
      <c r="O1211" s="7" t="n"/>
      <c r="Q1211" s="7" t="n"/>
      <c r="R1211" s="7" t="n"/>
      <c r="S1211" s="8">
        <f>IF(NOT(ISNUMBER(M1211)),"",IF(G1211="Terreno",IF(AND(ISNUMBER(I1211),I1211&gt;0),M1211/I1211,""),IF(AND(ISNUMBER(H1211),H1211&gt;0),M1211/H1211,"")))</f>
        <v/>
      </c>
      <c r="T1211" s="9">
        <f>IF(AND(ISNUMBER(M1211),ISNUMBER(O1211)),IF(M1211&lt;=O1211,"Valor ≤ venal IPTU",""),"")</f>
        <v/>
      </c>
      <c r="U1211" s="10">
        <f>IF(AND(ISNUMBER(M1211),ISNUMBER(N1211)),IF(N1211&gt;0,M1211/N1211,""),"")</f>
        <v/>
      </c>
      <c r="V1211" s="10">
        <f>IF(AND(ISNUMBER(M1211),ISNUMBER(O1211)),IF(O1211&gt;0,M1211/O1211,""),"")</f>
        <v/>
      </c>
      <c r="W1211" s="10">
        <f>IF(AND(ISNUMBER(M1211),ISNUMBER(R1211)),IF(R1211&gt;0,M1211/R1211,""),"")</f>
        <v/>
      </c>
      <c r="X1211" s="10">
        <f>IF(AND(ISNUMBER(Q1211),ISNUMBER(M1211)),IF(M1211&gt;0,Q1211/M1211,""),"")</f>
        <v/>
      </c>
      <c r="Y1211" s="11">
        <f>IF(ISNUMBER(Z1211),YEAR(Z1211),"")</f>
        <v/>
      </c>
      <c r="Z1211" s="12" t="n"/>
      <c r="AA1211" s="12" t="n"/>
      <c r="AI1211" s="12" t="n"/>
      <c r="AJ1211" s="13">
        <f>IF(LEN(TRIM(AF1211))=0,"",HYPERLINK("https://www.google.com/maps/@?api=1&amp;map_action=pano&amp;viewpoint="&amp;SUBSTITUTE(AF1211," ",""),"Abrir Street View"))</f>
        <v/>
      </c>
    </row>
    <row r="1212">
      <c r="H1212" s="6" t="n"/>
      <c r="I1212" s="6" t="n"/>
      <c r="M1212" s="7" t="n"/>
      <c r="N1212" s="7" t="n"/>
      <c r="O1212" s="7" t="n"/>
      <c r="Q1212" s="7" t="n"/>
      <c r="R1212" s="7" t="n"/>
      <c r="S1212" s="8">
        <f>IF(NOT(ISNUMBER(M1212)),"",IF(G1212="Terreno",IF(AND(ISNUMBER(I1212),I1212&gt;0),M1212/I1212,""),IF(AND(ISNUMBER(H1212),H1212&gt;0),M1212/H1212,"")))</f>
        <v/>
      </c>
      <c r="T1212" s="9">
        <f>IF(AND(ISNUMBER(M1212),ISNUMBER(O1212)),IF(M1212&lt;=O1212,"Valor ≤ venal IPTU",""),"")</f>
        <v/>
      </c>
      <c r="U1212" s="10">
        <f>IF(AND(ISNUMBER(M1212),ISNUMBER(N1212)),IF(N1212&gt;0,M1212/N1212,""),"")</f>
        <v/>
      </c>
      <c r="V1212" s="10">
        <f>IF(AND(ISNUMBER(M1212),ISNUMBER(O1212)),IF(O1212&gt;0,M1212/O1212,""),"")</f>
        <v/>
      </c>
      <c r="W1212" s="10">
        <f>IF(AND(ISNUMBER(M1212),ISNUMBER(R1212)),IF(R1212&gt;0,M1212/R1212,""),"")</f>
        <v/>
      </c>
      <c r="X1212" s="10">
        <f>IF(AND(ISNUMBER(Q1212),ISNUMBER(M1212)),IF(M1212&gt;0,Q1212/M1212,""),"")</f>
        <v/>
      </c>
      <c r="Y1212" s="11">
        <f>IF(ISNUMBER(Z1212),YEAR(Z1212),"")</f>
        <v/>
      </c>
      <c r="Z1212" s="12" t="n"/>
      <c r="AA1212" s="12" t="n"/>
      <c r="AI1212" s="12" t="n"/>
      <c r="AJ1212" s="13">
        <f>IF(LEN(TRIM(AF1212))=0,"",HYPERLINK("https://www.google.com/maps/@?api=1&amp;map_action=pano&amp;viewpoint="&amp;SUBSTITUTE(AF1212," ",""),"Abrir Street View"))</f>
        <v/>
      </c>
    </row>
    <row r="1213">
      <c r="H1213" s="6" t="n"/>
      <c r="I1213" s="6" t="n"/>
      <c r="M1213" s="7" t="n"/>
      <c r="N1213" s="7" t="n"/>
      <c r="O1213" s="7" t="n"/>
      <c r="Q1213" s="7" t="n"/>
      <c r="R1213" s="7" t="n"/>
      <c r="S1213" s="8">
        <f>IF(NOT(ISNUMBER(M1213)),"",IF(G1213="Terreno",IF(AND(ISNUMBER(I1213),I1213&gt;0),M1213/I1213,""),IF(AND(ISNUMBER(H1213),H1213&gt;0),M1213/H1213,"")))</f>
        <v/>
      </c>
      <c r="T1213" s="9">
        <f>IF(AND(ISNUMBER(M1213),ISNUMBER(O1213)),IF(M1213&lt;=O1213,"Valor ≤ venal IPTU",""),"")</f>
        <v/>
      </c>
      <c r="U1213" s="10">
        <f>IF(AND(ISNUMBER(M1213),ISNUMBER(N1213)),IF(N1213&gt;0,M1213/N1213,""),"")</f>
        <v/>
      </c>
      <c r="V1213" s="10">
        <f>IF(AND(ISNUMBER(M1213),ISNUMBER(O1213)),IF(O1213&gt;0,M1213/O1213,""),"")</f>
        <v/>
      </c>
      <c r="W1213" s="10">
        <f>IF(AND(ISNUMBER(M1213),ISNUMBER(R1213)),IF(R1213&gt;0,M1213/R1213,""),"")</f>
        <v/>
      </c>
      <c r="X1213" s="10">
        <f>IF(AND(ISNUMBER(Q1213),ISNUMBER(M1213)),IF(M1213&gt;0,Q1213/M1213,""),"")</f>
        <v/>
      </c>
      <c r="Y1213" s="11">
        <f>IF(ISNUMBER(Z1213),YEAR(Z1213),"")</f>
        <v/>
      </c>
      <c r="Z1213" s="12" t="n"/>
      <c r="AA1213" s="12" t="n"/>
      <c r="AI1213" s="12" t="n"/>
      <c r="AJ1213" s="13">
        <f>IF(LEN(TRIM(AF1213))=0,"",HYPERLINK("https://www.google.com/maps/@?api=1&amp;map_action=pano&amp;viewpoint="&amp;SUBSTITUTE(AF1213," ",""),"Abrir Street View"))</f>
        <v/>
      </c>
    </row>
    <row r="1214">
      <c r="H1214" s="6" t="n"/>
      <c r="I1214" s="6" t="n"/>
      <c r="M1214" s="7" t="n"/>
      <c r="N1214" s="7" t="n"/>
      <c r="O1214" s="7" t="n"/>
      <c r="Q1214" s="7" t="n"/>
      <c r="R1214" s="7" t="n"/>
      <c r="S1214" s="8">
        <f>IF(NOT(ISNUMBER(M1214)),"",IF(G1214="Terreno",IF(AND(ISNUMBER(I1214),I1214&gt;0),M1214/I1214,""),IF(AND(ISNUMBER(H1214),H1214&gt;0),M1214/H1214,"")))</f>
        <v/>
      </c>
      <c r="T1214" s="9">
        <f>IF(AND(ISNUMBER(M1214),ISNUMBER(O1214)),IF(M1214&lt;=O1214,"Valor ≤ venal IPTU",""),"")</f>
        <v/>
      </c>
      <c r="U1214" s="10">
        <f>IF(AND(ISNUMBER(M1214),ISNUMBER(N1214)),IF(N1214&gt;0,M1214/N1214,""),"")</f>
        <v/>
      </c>
      <c r="V1214" s="10">
        <f>IF(AND(ISNUMBER(M1214),ISNUMBER(O1214)),IF(O1214&gt;0,M1214/O1214,""),"")</f>
        <v/>
      </c>
      <c r="W1214" s="10">
        <f>IF(AND(ISNUMBER(M1214),ISNUMBER(R1214)),IF(R1214&gt;0,M1214/R1214,""),"")</f>
        <v/>
      </c>
      <c r="X1214" s="10">
        <f>IF(AND(ISNUMBER(Q1214),ISNUMBER(M1214)),IF(M1214&gt;0,Q1214/M1214,""),"")</f>
        <v/>
      </c>
      <c r="Y1214" s="11">
        <f>IF(ISNUMBER(Z1214),YEAR(Z1214),"")</f>
        <v/>
      </c>
      <c r="Z1214" s="12" t="n"/>
      <c r="AA1214" s="12" t="n"/>
      <c r="AI1214" s="12" t="n"/>
      <c r="AJ1214" s="13">
        <f>IF(LEN(TRIM(AF1214))=0,"",HYPERLINK("https://www.google.com/maps/@?api=1&amp;map_action=pano&amp;viewpoint="&amp;SUBSTITUTE(AF1214," ",""),"Abrir Street View"))</f>
        <v/>
      </c>
    </row>
    <row r="1215">
      <c r="H1215" s="6" t="n"/>
      <c r="I1215" s="6" t="n"/>
      <c r="M1215" s="7" t="n"/>
      <c r="N1215" s="7" t="n"/>
      <c r="O1215" s="7" t="n"/>
      <c r="Q1215" s="7" t="n"/>
      <c r="R1215" s="7" t="n"/>
      <c r="S1215" s="8">
        <f>IF(NOT(ISNUMBER(M1215)),"",IF(G1215="Terreno",IF(AND(ISNUMBER(I1215),I1215&gt;0),M1215/I1215,""),IF(AND(ISNUMBER(H1215),H1215&gt;0),M1215/H1215,"")))</f>
        <v/>
      </c>
      <c r="T1215" s="9">
        <f>IF(AND(ISNUMBER(M1215),ISNUMBER(O1215)),IF(M1215&lt;=O1215,"Valor ≤ venal IPTU",""),"")</f>
        <v/>
      </c>
      <c r="U1215" s="10">
        <f>IF(AND(ISNUMBER(M1215),ISNUMBER(N1215)),IF(N1215&gt;0,M1215/N1215,""),"")</f>
        <v/>
      </c>
      <c r="V1215" s="10">
        <f>IF(AND(ISNUMBER(M1215),ISNUMBER(O1215)),IF(O1215&gt;0,M1215/O1215,""),"")</f>
        <v/>
      </c>
      <c r="W1215" s="10">
        <f>IF(AND(ISNUMBER(M1215),ISNUMBER(R1215)),IF(R1215&gt;0,M1215/R1215,""),"")</f>
        <v/>
      </c>
      <c r="X1215" s="10">
        <f>IF(AND(ISNUMBER(Q1215),ISNUMBER(M1215)),IF(M1215&gt;0,Q1215/M1215,""),"")</f>
        <v/>
      </c>
      <c r="Y1215" s="11">
        <f>IF(ISNUMBER(Z1215),YEAR(Z1215),"")</f>
        <v/>
      </c>
      <c r="Z1215" s="12" t="n"/>
      <c r="AA1215" s="12" t="n"/>
      <c r="AI1215" s="12" t="n"/>
      <c r="AJ1215" s="13">
        <f>IF(LEN(TRIM(AF1215))=0,"",HYPERLINK("https://www.google.com/maps/@?api=1&amp;map_action=pano&amp;viewpoint="&amp;SUBSTITUTE(AF1215," ",""),"Abrir Street View"))</f>
        <v/>
      </c>
    </row>
    <row r="1216">
      <c r="H1216" s="6" t="n"/>
      <c r="I1216" s="6" t="n"/>
      <c r="M1216" s="7" t="n"/>
      <c r="N1216" s="7" t="n"/>
      <c r="O1216" s="7" t="n"/>
      <c r="Q1216" s="7" t="n"/>
      <c r="R1216" s="7" t="n"/>
      <c r="S1216" s="8">
        <f>IF(NOT(ISNUMBER(M1216)),"",IF(G1216="Terreno",IF(AND(ISNUMBER(I1216),I1216&gt;0),M1216/I1216,""),IF(AND(ISNUMBER(H1216),H1216&gt;0),M1216/H1216,"")))</f>
        <v/>
      </c>
      <c r="T1216" s="9">
        <f>IF(AND(ISNUMBER(M1216),ISNUMBER(O1216)),IF(M1216&lt;=O1216,"Valor ≤ venal IPTU",""),"")</f>
        <v/>
      </c>
      <c r="U1216" s="10">
        <f>IF(AND(ISNUMBER(M1216),ISNUMBER(N1216)),IF(N1216&gt;0,M1216/N1216,""),"")</f>
        <v/>
      </c>
      <c r="V1216" s="10">
        <f>IF(AND(ISNUMBER(M1216),ISNUMBER(O1216)),IF(O1216&gt;0,M1216/O1216,""),"")</f>
        <v/>
      </c>
      <c r="W1216" s="10">
        <f>IF(AND(ISNUMBER(M1216),ISNUMBER(R1216)),IF(R1216&gt;0,M1216/R1216,""),"")</f>
        <v/>
      </c>
      <c r="X1216" s="10">
        <f>IF(AND(ISNUMBER(Q1216),ISNUMBER(M1216)),IF(M1216&gt;0,Q1216/M1216,""),"")</f>
        <v/>
      </c>
      <c r="Y1216" s="11">
        <f>IF(ISNUMBER(Z1216),YEAR(Z1216),"")</f>
        <v/>
      </c>
      <c r="Z1216" s="12" t="n"/>
      <c r="AA1216" s="12" t="n"/>
      <c r="AI1216" s="12" t="n"/>
      <c r="AJ1216" s="13">
        <f>IF(LEN(TRIM(AF1216))=0,"",HYPERLINK("https://www.google.com/maps/@?api=1&amp;map_action=pano&amp;viewpoint="&amp;SUBSTITUTE(AF1216," ",""),"Abrir Street View"))</f>
        <v/>
      </c>
    </row>
    <row r="1217">
      <c r="H1217" s="6" t="n"/>
      <c r="I1217" s="6" t="n"/>
      <c r="M1217" s="7" t="n"/>
      <c r="N1217" s="7" t="n"/>
      <c r="O1217" s="7" t="n"/>
      <c r="Q1217" s="7" t="n"/>
      <c r="R1217" s="7" t="n"/>
      <c r="S1217" s="8">
        <f>IF(NOT(ISNUMBER(M1217)),"",IF(G1217="Terreno",IF(AND(ISNUMBER(I1217),I1217&gt;0),M1217/I1217,""),IF(AND(ISNUMBER(H1217),H1217&gt;0),M1217/H1217,"")))</f>
        <v/>
      </c>
      <c r="T1217" s="9">
        <f>IF(AND(ISNUMBER(M1217),ISNUMBER(O1217)),IF(M1217&lt;=O1217,"Valor ≤ venal IPTU",""),"")</f>
        <v/>
      </c>
      <c r="U1217" s="10">
        <f>IF(AND(ISNUMBER(M1217),ISNUMBER(N1217)),IF(N1217&gt;0,M1217/N1217,""),"")</f>
        <v/>
      </c>
      <c r="V1217" s="10">
        <f>IF(AND(ISNUMBER(M1217),ISNUMBER(O1217)),IF(O1217&gt;0,M1217/O1217,""),"")</f>
        <v/>
      </c>
      <c r="W1217" s="10">
        <f>IF(AND(ISNUMBER(M1217),ISNUMBER(R1217)),IF(R1217&gt;0,M1217/R1217,""),"")</f>
        <v/>
      </c>
      <c r="X1217" s="10">
        <f>IF(AND(ISNUMBER(Q1217),ISNUMBER(M1217)),IF(M1217&gt;0,Q1217/M1217,""),"")</f>
        <v/>
      </c>
      <c r="Y1217" s="11">
        <f>IF(ISNUMBER(Z1217),YEAR(Z1217),"")</f>
        <v/>
      </c>
      <c r="Z1217" s="12" t="n"/>
      <c r="AA1217" s="12" t="n"/>
      <c r="AI1217" s="12" t="n"/>
      <c r="AJ1217" s="13">
        <f>IF(LEN(TRIM(AF1217))=0,"",HYPERLINK("https://www.google.com/maps/@?api=1&amp;map_action=pano&amp;viewpoint="&amp;SUBSTITUTE(AF1217," ",""),"Abrir Street View"))</f>
        <v/>
      </c>
    </row>
    <row r="1218">
      <c r="H1218" s="6" t="n"/>
      <c r="I1218" s="6" t="n"/>
      <c r="M1218" s="7" t="n"/>
      <c r="N1218" s="7" t="n"/>
      <c r="O1218" s="7" t="n"/>
      <c r="Q1218" s="7" t="n"/>
      <c r="R1218" s="7" t="n"/>
      <c r="S1218" s="8">
        <f>IF(NOT(ISNUMBER(M1218)),"",IF(G1218="Terreno",IF(AND(ISNUMBER(I1218),I1218&gt;0),M1218/I1218,""),IF(AND(ISNUMBER(H1218),H1218&gt;0),M1218/H1218,"")))</f>
        <v/>
      </c>
      <c r="T1218" s="9">
        <f>IF(AND(ISNUMBER(M1218),ISNUMBER(O1218)),IF(M1218&lt;=O1218,"Valor ≤ venal IPTU",""),"")</f>
        <v/>
      </c>
      <c r="U1218" s="10">
        <f>IF(AND(ISNUMBER(M1218),ISNUMBER(N1218)),IF(N1218&gt;0,M1218/N1218,""),"")</f>
        <v/>
      </c>
      <c r="V1218" s="10">
        <f>IF(AND(ISNUMBER(M1218),ISNUMBER(O1218)),IF(O1218&gt;0,M1218/O1218,""),"")</f>
        <v/>
      </c>
      <c r="W1218" s="10">
        <f>IF(AND(ISNUMBER(M1218),ISNUMBER(R1218)),IF(R1218&gt;0,M1218/R1218,""),"")</f>
        <v/>
      </c>
      <c r="X1218" s="10">
        <f>IF(AND(ISNUMBER(Q1218),ISNUMBER(M1218)),IF(M1218&gt;0,Q1218/M1218,""),"")</f>
        <v/>
      </c>
      <c r="Y1218" s="11">
        <f>IF(ISNUMBER(Z1218),YEAR(Z1218),"")</f>
        <v/>
      </c>
      <c r="Z1218" s="12" t="n"/>
      <c r="AA1218" s="12" t="n"/>
      <c r="AI1218" s="12" t="n"/>
      <c r="AJ1218" s="13">
        <f>IF(LEN(TRIM(AF1218))=0,"",HYPERLINK("https://www.google.com/maps/@?api=1&amp;map_action=pano&amp;viewpoint="&amp;SUBSTITUTE(AF1218," ",""),"Abrir Street View"))</f>
        <v/>
      </c>
    </row>
    <row r="1219">
      <c r="H1219" s="6" t="n"/>
      <c r="I1219" s="6" t="n"/>
      <c r="M1219" s="7" t="n"/>
      <c r="N1219" s="7" t="n"/>
      <c r="O1219" s="7" t="n"/>
      <c r="Q1219" s="7" t="n"/>
      <c r="R1219" s="7" t="n"/>
      <c r="S1219" s="8">
        <f>IF(NOT(ISNUMBER(M1219)),"",IF(G1219="Terreno",IF(AND(ISNUMBER(I1219),I1219&gt;0),M1219/I1219,""),IF(AND(ISNUMBER(H1219),H1219&gt;0),M1219/H1219,"")))</f>
        <v/>
      </c>
      <c r="T1219" s="9">
        <f>IF(AND(ISNUMBER(M1219),ISNUMBER(O1219)),IF(M1219&lt;=O1219,"Valor ≤ venal IPTU",""),"")</f>
        <v/>
      </c>
      <c r="U1219" s="10">
        <f>IF(AND(ISNUMBER(M1219),ISNUMBER(N1219)),IF(N1219&gt;0,M1219/N1219,""),"")</f>
        <v/>
      </c>
      <c r="V1219" s="10">
        <f>IF(AND(ISNUMBER(M1219),ISNUMBER(O1219)),IF(O1219&gt;0,M1219/O1219,""),"")</f>
        <v/>
      </c>
      <c r="W1219" s="10">
        <f>IF(AND(ISNUMBER(M1219),ISNUMBER(R1219)),IF(R1219&gt;0,M1219/R1219,""),"")</f>
        <v/>
      </c>
      <c r="X1219" s="10">
        <f>IF(AND(ISNUMBER(Q1219),ISNUMBER(M1219)),IF(M1219&gt;0,Q1219/M1219,""),"")</f>
        <v/>
      </c>
      <c r="Y1219" s="11">
        <f>IF(ISNUMBER(Z1219),YEAR(Z1219),"")</f>
        <v/>
      </c>
      <c r="Z1219" s="12" t="n"/>
      <c r="AA1219" s="12" t="n"/>
      <c r="AI1219" s="12" t="n"/>
      <c r="AJ1219" s="13">
        <f>IF(LEN(TRIM(AF1219))=0,"",HYPERLINK("https://www.google.com/maps/@?api=1&amp;map_action=pano&amp;viewpoint="&amp;SUBSTITUTE(AF1219," ",""),"Abrir Street View"))</f>
        <v/>
      </c>
    </row>
    <row r="1220">
      <c r="H1220" s="6" t="n"/>
      <c r="I1220" s="6" t="n"/>
      <c r="M1220" s="7" t="n"/>
      <c r="N1220" s="7" t="n"/>
      <c r="O1220" s="7" t="n"/>
      <c r="Q1220" s="7" t="n"/>
      <c r="R1220" s="7" t="n"/>
      <c r="S1220" s="8">
        <f>IF(NOT(ISNUMBER(M1220)),"",IF(G1220="Terreno",IF(AND(ISNUMBER(I1220),I1220&gt;0),M1220/I1220,""),IF(AND(ISNUMBER(H1220),H1220&gt;0),M1220/H1220,"")))</f>
        <v/>
      </c>
      <c r="T1220" s="9">
        <f>IF(AND(ISNUMBER(M1220),ISNUMBER(O1220)),IF(M1220&lt;=O1220,"Valor ≤ venal IPTU",""),"")</f>
        <v/>
      </c>
      <c r="U1220" s="10">
        <f>IF(AND(ISNUMBER(M1220),ISNUMBER(N1220)),IF(N1220&gt;0,M1220/N1220,""),"")</f>
        <v/>
      </c>
      <c r="V1220" s="10">
        <f>IF(AND(ISNUMBER(M1220),ISNUMBER(O1220)),IF(O1220&gt;0,M1220/O1220,""),"")</f>
        <v/>
      </c>
      <c r="W1220" s="10">
        <f>IF(AND(ISNUMBER(M1220),ISNUMBER(R1220)),IF(R1220&gt;0,M1220/R1220,""),"")</f>
        <v/>
      </c>
      <c r="X1220" s="10">
        <f>IF(AND(ISNUMBER(Q1220),ISNUMBER(M1220)),IF(M1220&gt;0,Q1220/M1220,""),"")</f>
        <v/>
      </c>
      <c r="Y1220" s="11">
        <f>IF(ISNUMBER(Z1220),YEAR(Z1220),"")</f>
        <v/>
      </c>
      <c r="Z1220" s="12" t="n"/>
      <c r="AA1220" s="12" t="n"/>
      <c r="AI1220" s="12" t="n"/>
      <c r="AJ1220" s="13">
        <f>IF(LEN(TRIM(AF1220))=0,"",HYPERLINK("https://www.google.com/maps/@?api=1&amp;map_action=pano&amp;viewpoint="&amp;SUBSTITUTE(AF1220," ",""),"Abrir Street View"))</f>
        <v/>
      </c>
    </row>
    <row r="1221">
      <c r="H1221" s="6" t="n"/>
      <c r="I1221" s="6" t="n"/>
      <c r="M1221" s="7" t="n"/>
      <c r="N1221" s="7" t="n"/>
      <c r="O1221" s="7" t="n"/>
      <c r="Q1221" s="7" t="n"/>
      <c r="R1221" s="7" t="n"/>
      <c r="S1221" s="8">
        <f>IF(NOT(ISNUMBER(M1221)),"",IF(G1221="Terreno",IF(AND(ISNUMBER(I1221),I1221&gt;0),M1221/I1221,""),IF(AND(ISNUMBER(H1221),H1221&gt;0),M1221/H1221,"")))</f>
        <v/>
      </c>
      <c r="T1221" s="9">
        <f>IF(AND(ISNUMBER(M1221),ISNUMBER(O1221)),IF(M1221&lt;=O1221,"Valor ≤ venal IPTU",""),"")</f>
        <v/>
      </c>
      <c r="U1221" s="10">
        <f>IF(AND(ISNUMBER(M1221),ISNUMBER(N1221)),IF(N1221&gt;0,M1221/N1221,""),"")</f>
        <v/>
      </c>
      <c r="V1221" s="10">
        <f>IF(AND(ISNUMBER(M1221),ISNUMBER(O1221)),IF(O1221&gt;0,M1221/O1221,""),"")</f>
        <v/>
      </c>
      <c r="W1221" s="10">
        <f>IF(AND(ISNUMBER(M1221),ISNUMBER(R1221)),IF(R1221&gt;0,M1221/R1221,""),"")</f>
        <v/>
      </c>
      <c r="X1221" s="10">
        <f>IF(AND(ISNUMBER(Q1221),ISNUMBER(M1221)),IF(M1221&gt;0,Q1221/M1221,""),"")</f>
        <v/>
      </c>
      <c r="Y1221" s="11">
        <f>IF(ISNUMBER(Z1221),YEAR(Z1221),"")</f>
        <v/>
      </c>
      <c r="Z1221" s="12" t="n"/>
      <c r="AA1221" s="12" t="n"/>
      <c r="AI1221" s="12" t="n"/>
      <c r="AJ1221" s="13">
        <f>IF(LEN(TRIM(AF1221))=0,"",HYPERLINK("https://www.google.com/maps/@?api=1&amp;map_action=pano&amp;viewpoint="&amp;SUBSTITUTE(AF1221," ",""),"Abrir Street View"))</f>
        <v/>
      </c>
    </row>
    <row r="1222">
      <c r="H1222" s="6" t="n"/>
      <c r="I1222" s="6" t="n"/>
      <c r="M1222" s="7" t="n"/>
      <c r="N1222" s="7" t="n"/>
      <c r="O1222" s="7" t="n"/>
      <c r="Q1222" s="7" t="n"/>
      <c r="R1222" s="7" t="n"/>
      <c r="S1222" s="8">
        <f>IF(NOT(ISNUMBER(M1222)),"",IF(G1222="Terreno",IF(AND(ISNUMBER(I1222),I1222&gt;0),M1222/I1222,""),IF(AND(ISNUMBER(H1222),H1222&gt;0),M1222/H1222,"")))</f>
        <v/>
      </c>
      <c r="T1222" s="9">
        <f>IF(AND(ISNUMBER(M1222),ISNUMBER(O1222)),IF(M1222&lt;=O1222,"Valor ≤ venal IPTU",""),"")</f>
        <v/>
      </c>
      <c r="U1222" s="10">
        <f>IF(AND(ISNUMBER(M1222),ISNUMBER(N1222)),IF(N1222&gt;0,M1222/N1222,""),"")</f>
        <v/>
      </c>
      <c r="V1222" s="10">
        <f>IF(AND(ISNUMBER(M1222),ISNUMBER(O1222)),IF(O1222&gt;0,M1222/O1222,""),"")</f>
        <v/>
      </c>
      <c r="W1222" s="10">
        <f>IF(AND(ISNUMBER(M1222),ISNUMBER(R1222)),IF(R1222&gt;0,M1222/R1222,""),"")</f>
        <v/>
      </c>
      <c r="X1222" s="10">
        <f>IF(AND(ISNUMBER(Q1222),ISNUMBER(M1222)),IF(M1222&gt;0,Q1222/M1222,""),"")</f>
        <v/>
      </c>
      <c r="Y1222" s="11">
        <f>IF(ISNUMBER(Z1222),YEAR(Z1222),"")</f>
        <v/>
      </c>
      <c r="Z1222" s="12" t="n"/>
      <c r="AA1222" s="12" t="n"/>
      <c r="AI1222" s="12" t="n"/>
      <c r="AJ1222" s="13">
        <f>IF(LEN(TRIM(AF1222))=0,"",HYPERLINK("https://www.google.com/maps/@?api=1&amp;map_action=pano&amp;viewpoint="&amp;SUBSTITUTE(AF1222," ",""),"Abrir Street View"))</f>
        <v/>
      </c>
    </row>
    <row r="1223">
      <c r="H1223" s="6" t="n"/>
      <c r="I1223" s="6" t="n"/>
      <c r="M1223" s="7" t="n"/>
      <c r="N1223" s="7" t="n"/>
      <c r="O1223" s="7" t="n"/>
      <c r="Q1223" s="7" t="n"/>
      <c r="R1223" s="7" t="n"/>
      <c r="S1223" s="8">
        <f>IF(NOT(ISNUMBER(M1223)),"",IF(G1223="Terreno",IF(AND(ISNUMBER(I1223),I1223&gt;0),M1223/I1223,""),IF(AND(ISNUMBER(H1223),H1223&gt;0),M1223/H1223,"")))</f>
        <v/>
      </c>
      <c r="T1223" s="9">
        <f>IF(AND(ISNUMBER(M1223),ISNUMBER(O1223)),IF(M1223&lt;=O1223,"Valor ≤ venal IPTU",""),"")</f>
        <v/>
      </c>
      <c r="U1223" s="10">
        <f>IF(AND(ISNUMBER(M1223),ISNUMBER(N1223)),IF(N1223&gt;0,M1223/N1223,""),"")</f>
        <v/>
      </c>
      <c r="V1223" s="10">
        <f>IF(AND(ISNUMBER(M1223),ISNUMBER(O1223)),IF(O1223&gt;0,M1223/O1223,""),"")</f>
        <v/>
      </c>
      <c r="W1223" s="10">
        <f>IF(AND(ISNUMBER(M1223),ISNUMBER(R1223)),IF(R1223&gt;0,M1223/R1223,""),"")</f>
        <v/>
      </c>
      <c r="X1223" s="10">
        <f>IF(AND(ISNUMBER(Q1223),ISNUMBER(M1223)),IF(M1223&gt;0,Q1223/M1223,""),"")</f>
        <v/>
      </c>
      <c r="Y1223" s="11">
        <f>IF(ISNUMBER(Z1223),YEAR(Z1223),"")</f>
        <v/>
      </c>
      <c r="Z1223" s="12" t="n"/>
      <c r="AA1223" s="12" t="n"/>
      <c r="AI1223" s="12" t="n"/>
      <c r="AJ1223" s="13">
        <f>IF(LEN(TRIM(AF1223))=0,"",HYPERLINK("https://www.google.com/maps/@?api=1&amp;map_action=pano&amp;viewpoint="&amp;SUBSTITUTE(AF1223," ",""),"Abrir Street View"))</f>
        <v/>
      </c>
    </row>
    <row r="1224">
      <c r="H1224" s="6" t="n"/>
      <c r="I1224" s="6" t="n"/>
      <c r="M1224" s="7" t="n"/>
      <c r="N1224" s="7" t="n"/>
      <c r="O1224" s="7" t="n"/>
      <c r="Q1224" s="7" t="n"/>
      <c r="R1224" s="7" t="n"/>
      <c r="S1224" s="8">
        <f>IF(NOT(ISNUMBER(M1224)),"",IF(G1224="Terreno",IF(AND(ISNUMBER(I1224),I1224&gt;0),M1224/I1224,""),IF(AND(ISNUMBER(H1224),H1224&gt;0),M1224/H1224,"")))</f>
        <v/>
      </c>
      <c r="T1224" s="9">
        <f>IF(AND(ISNUMBER(M1224),ISNUMBER(O1224)),IF(M1224&lt;=O1224,"Valor ≤ venal IPTU",""),"")</f>
        <v/>
      </c>
      <c r="U1224" s="10">
        <f>IF(AND(ISNUMBER(M1224),ISNUMBER(N1224)),IF(N1224&gt;0,M1224/N1224,""),"")</f>
        <v/>
      </c>
      <c r="V1224" s="10">
        <f>IF(AND(ISNUMBER(M1224),ISNUMBER(O1224)),IF(O1224&gt;0,M1224/O1224,""),"")</f>
        <v/>
      </c>
      <c r="W1224" s="10">
        <f>IF(AND(ISNUMBER(M1224),ISNUMBER(R1224)),IF(R1224&gt;0,M1224/R1224,""),"")</f>
        <v/>
      </c>
      <c r="X1224" s="10">
        <f>IF(AND(ISNUMBER(Q1224),ISNUMBER(M1224)),IF(M1224&gt;0,Q1224/M1224,""),"")</f>
        <v/>
      </c>
      <c r="Y1224" s="11">
        <f>IF(ISNUMBER(Z1224),YEAR(Z1224),"")</f>
        <v/>
      </c>
      <c r="Z1224" s="12" t="n"/>
      <c r="AA1224" s="12" t="n"/>
      <c r="AI1224" s="12" t="n"/>
      <c r="AJ1224" s="13">
        <f>IF(LEN(TRIM(AF1224))=0,"",HYPERLINK("https://www.google.com/maps/@?api=1&amp;map_action=pano&amp;viewpoint="&amp;SUBSTITUTE(AF1224," ",""),"Abrir Street View"))</f>
        <v/>
      </c>
    </row>
    <row r="1225">
      <c r="H1225" s="6" t="n"/>
      <c r="I1225" s="6" t="n"/>
      <c r="M1225" s="7" t="n"/>
      <c r="N1225" s="7" t="n"/>
      <c r="O1225" s="7" t="n"/>
      <c r="Q1225" s="7" t="n"/>
      <c r="R1225" s="7" t="n"/>
      <c r="S1225" s="8">
        <f>IF(NOT(ISNUMBER(M1225)),"",IF(G1225="Terreno",IF(AND(ISNUMBER(I1225),I1225&gt;0),M1225/I1225,""),IF(AND(ISNUMBER(H1225),H1225&gt;0),M1225/H1225,"")))</f>
        <v/>
      </c>
      <c r="T1225" s="9">
        <f>IF(AND(ISNUMBER(M1225),ISNUMBER(O1225)),IF(M1225&lt;=O1225,"Valor ≤ venal IPTU",""),"")</f>
        <v/>
      </c>
      <c r="U1225" s="10">
        <f>IF(AND(ISNUMBER(M1225),ISNUMBER(N1225)),IF(N1225&gt;0,M1225/N1225,""),"")</f>
        <v/>
      </c>
      <c r="V1225" s="10">
        <f>IF(AND(ISNUMBER(M1225),ISNUMBER(O1225)),IF(O1225&gt;0,M1225/O1225,""),"")</f>
        <v/>
      </c>
      <c r="W1225" s="10">
        <f>IF(AND(ISNUMBER(M1225),ISNUMBER(R1225)),IF(R1225&gt;0,M1225/R1225,""),"")</f>
        <v/>
      </c>
      <c r="X1225" s="10">
        <f>IF(AND(ISNUMBER(Q1225),ISNUMBER(M1225)),IF(M1225&gt;0,Q1225/M1225,""),"")</f>
        <v/>
      </c>
      <c r="Y1225" s="11">
        <f>IF(ISNUMBER(Z1225),YEAR(Z1225),"")</f>
        <v/>
      </c>
      <c r="Z1225" s="12" t="n"/>
      <c r="AA1225" s="12" t="n"/>
      <c r="AI1225" s="12" t="n"/>
      <c r="AJ1225" s="13">
        <f>IF(LEN(TRIM(AF1225))=0,"",HYPERLINK("https://www.google.com/maps/@?api=1&amp;map_action=pano&amp;viewpoint="&amp;SUBSTITUTE(AF1225," ",""),"Abrir Street View"))</f>
        <v/>
      </c>
    </row>
    <row r="1226">
      <c r="H1226" s="6" t="n"/>
      <c r="I1226" s="6" t="n"/>
      <c r="M1226" s="7" t="n"/>
      <c r="N1226" s="7" t="n"/>
      <c r="O1226" s="7" t="n"/>
      <c r="Q1226" s="7" t="n"/>
      <c r="R1226" s="7" t="n"/>
      <c r="S1226" s="8">
        <f>IF(NOT(ISNUMBER(M1226)),"",IF(G1226="Terreno",IF(AND(ISNUMBER(I1226),I1226&gt;0),M1226/I1226,""),IF(AND(ISNUMBER(H1226),H1226&gt;0),M1226/H1226,"")))</f>
        <v/>
      </c>
      <c r="T1226" s="9">
        <f>IF(AND(ISNUMBER(M1226),ISNUMBER(O1226)),IF(M1226&lt;=O1226,"Valor ≤ venal IPTU",""),"")</f>
        <v/>
      </c>
      <c r="U1226" s="10">
        <f>IF(AND(ISNUMBER(M1226),ISNUMBER(N1226)),IF(N1226&gt;0,M1226/N1226,""),"")</f>
        <v/>
      </c>
      <c r="V1226" s="10">
        <f>IF(AND(ISNUMBER(M1226),ISNUMBER(O1226)),IF(O1226&gt;0,M1226/O1226,""),"")</f>
        <v/>
      </c>
      <c r="W1226" s="10">
        <f>IF(AND(ISNUMBER(M1226),ISNUMBER(R1226)),IF(R1226&gt;0,M1226/R1226,""),"")</f>
        <v/>
      </c>
      <c r="X1226" s="10">
        <f>IF(AND(ISNUMBER(Q1226),ISNUMBER(M1226)),IF(M1226&gt;0,Q1226/M1226,""),"")</f>
        <v/>
      </c>
      <c r="Y1226" s="11">
        <f>IF(ISNUMBER(Z1226),YEAR(Z1226),"")</f>
        <v/>
      </c>
      <c r="Z1226" s="12" t="n"/>
      <c r="AA1226" s="12" t="n"/>
      <c r="AI1226" s="12" t="n"/>
      <c r="AJ1226" s="13">
        <f>IF(LEN(TRIM(AF1226))=0,"",HYPERLINK("https://www.google.com/maps/@?api=1&amp;map_action=pano&amp;viewpoint="&amp;SUBSTITUTE(AF1226," ",""),"Abrir Street View"))</f>
        <v/>
      </c>
    </row>
    <row r="1227">
      <c r="H1227" s="6" t="n"/>
      <c r="I1227" s="6" t="n"/>
      <c r="M1227" s="7" t="n"/>
      <c r="N1227" s="7" t="n"/>
      <c r="O1227" s="7" t="n"/>
      <c r="Q1227" s="7" t="n"/>
      <c r="R1227" s="7" t="n"/>
      <c r="S1227" s="8">
        <f>IF(NOT(ISNUMBER(M1227)),"",IF(G1227="Terreno",IF(AND(ISNUMBER(I1227),I1227&gt;0),M1227/I1227,""),IF(AND(ISNUMBER(H1227),H1227&gt;0),M1227/H1227,"")))</f>
        <v/>
      </c>
      <c r="T1227" s="9">
        <f>IF(AND(ISNUMBER(M1227),ISNUMBER(O1227)),IF(M1227&lt;=O1227,"Valor ≤ venal IPTU",""),"")</f>
        <v/>
      </c>
      <c r="U1227" s="10">
        <f>IF(AND(ISNUMBER(M1227),ISNUMBER(N1227)),IF(N1227&gt;0,M1227/N1227,""),"")</f>
        <v/>
      </c>
      <c r="V1227" s="10">
        <f>IF(AND(ISNUMBER(M1227),ISNUMBER(O1227)),IF(O1227&gt;0,M1227/O1227,""),"")</f>
        <v/>
      </c>
      <c r="W1227" s="10">
        <f>IF(AND(ISNUMBER(M1227),ISNUMBER(R1227)),IF(R1227&gt;0,M1227/R1227,""),"")</f>
        <v/>
      </c>
      <c r="X1227" s="10">
        <f>IF(AND(ISNUMBER(Q1227),ISNUMBER(M1227)),IF(M1227&gt;0,Q1227/M1227,""),"")</f>
        <v/>
      </c>
      <c r="Y1227" s="11">
        <f>IF(ISNUMBER(Z1227),YEAR(Z1227),"")</f>
        <v/>
      </c>
      <c r="Z1227" s="12" t="n"/>
      <c r="AA1227" s="12" t="n"/>
      <c r="AI1227" s="12" t="n"/>
      <c r="AJ1227" s="13">
        <f>IF(LEN(TRIM(AF1227))=0,"",HYPERLINK("https://www.google.com/maps/@?api=1&amp;map_action=pano&amp;viewpoint="&amp;SUBSTITUTE(AF1227," ",""),"Abrir Street View"))</f>
        <v/>
      </c>
    </row>
    <row r="1228">
      <c r="H1228" s="6" t="n"/>
      <c r="I1228" s="6" t="n"/>
      <c r="M1228" s="7" t="n"/>
      <c r="N1228" s="7" t="n"/>
      <c r="O1228" s="7" t="n"/>
      <c r="Q1228" s="7" t="n"/>
      <c r="R1228" s="7" t="n"/>
      <c r="S1228" s="8">
        <f>IF(NOT(ISNUMBER(M1228)),"",IF(G1228="Terreno",IF(AND(ISNUMBER(I1228),I1228&gt;0),M1228/I1228,""),IF(AND(ISNUMBER(H1228),H1228&gt;0),M1228/H1228,"")))</f>
        <v/>
      </c>
      <c r="T1228" s="9">
        <f>IF(AND(ISNUMBER(M1228),ISNUMBER(O1228)),IF(M1228&lt;=O1228,"Valor ≤ venal IPTU",""),"")</f>
        <v/>
      </c>
      <c r="U1228" s="10">
        <f>IF(AND(ISNUMBER(M1228),ISNUMBER(N1228)),IF(N1228&gt;0,M1228/N1228,""),"")</f>
        <v/>
      </c>
      <c r="V1228" s="10">
        <f>IF(AND(ISNUMBER(M1228),ISNUMBER(O1228)),IF(O1228&gt;0,M1228/O1228,""),"")</f>
        <v/>
      </c>
      <c r="W1228" s="10">
        <f>IF(AND(ISNUMBER(M1228),ISNUMBER(R1228)),IF(R1228&gt;0,M1228/R1228,""),"")</f>
        <v/>
      </c>
      <c r="X1228" s="10">
        <f>IF(AND(ISNUMBER(Q1228),ISNUMBER(M1228)),IF(M1228&gt;0,Q1228/M1228,""),"")</f>
        <v/>
      </c>
      <c r="Y1228" s="11">
        <f>IF(ISNUMBER(Z1228),YEAR(Z1228),"")</f>
        <v/>
      </c>
      <c r="Z1228" s="12" t="n"/>
      <c r="AA1228" s="12" t="n"/>
      <c r="AI1228" s="12" t="n"/>
      <c r="AJ1228" s="13">
        <f>IF(LEN(TRIM(AF1228))=0,"",HYPERLINK("https://www.google.com/maps/@?api=1&amp;map_action=pano&amp;viewpoint="&amp;SUBSTITUTE(AF1228," ",""),"Abrir Street View"))</f>
        <v/>
      </c>
    </row>
    <row r="1229">
      <c r="H1229" s="6" t="n"/>
      <c r="I1229" s="6" t="n"/>
      <c r="M1229" s="7" t="n"/>
      <c r="N1229" s="7" t="n"/>
      <c r="O1229" s="7" t="n"/>
      <c r="Q1229" s="7" t="n"/>
      <c r="R1229" s="7" t="n"/>
      <c r="S1229" s="8">
        <f>IF(NOT(ISNUMBER(M1229)),"",IF(G1229="Terreno",IF(AND(ISNUMBER(I1229),I1229&gt;0),M1229/I1229,""),IF(AND(ISNUMBER(H1229),H1229&gt;0),M1229/H1229,"")))</f>
        <v/>
      </c>
      <c r="T1229" s="9">
        <f>IF(AND(ISNUMBER(M1229),ISNUMBER(O1229)),IF(M1229&lt;=O1229,"Valor ≤ venal IPTU",""),"")</f>
        <v/>
      </c>
      <c r="U1229" s="10">
        <f>IF(AND(ISNUMBER(M1229),ISNUMBER(N1229)),IF(N1229&gt;0,M1229/N1229,""),"")</f>
        <v/>
      </c>
      <c r="V1229" s="10">
        <f>IF(AND(ISNUMBER(M1229),ISNUMBER(O1229)),IF(O1229&gt;0,M1229/O1229,""),"")</f>
        <v/>
      </c>
      <c r="W1229" s="10">
        <f>IF(AND(ISNUMBER(M1229),ISNUMBER(R1229)),IF(R1229&gt;0,M1229/R1229,""),"")</f>
        <v/>
      </c>
      <c r="X1229" s="10">
        <f>IF(AND(ISNUMBER(Q1229),ISNUMBER(M1229)),IF(M1229&gt;0,Q1229/M1229,""),"")</f>
        <v/>
      </c>
      <c r="Y1229" s="11">
        <f>IF(ISNUMBER(Z1229),YEAR(Z1229),"")</f>
        <v/>
      </c>
      <c r="Z1229" s="12" t="n"/>
      <c r="AA1229" s="12" t="n"/>
      <c r="AI1229" s="12" t="n"/>
      <c r="AJ1229" s="13">
        <f>IF(LEN(TRIM(AF1229))=0,"",HYPERLINK("https://www.google.com/maps/@?api=1&amp;map_action=pano&amp;viewpoint="&amp;SUBSTITUTE(AF1229," ",""),"Abrir Street View"))</f>
        <v/>
      </c>
    </row>
    <row r="1230">
      <c r="H1230" s="6" t="n"/>
      <c r="I1230" s="6" t="n"/>
      <c r="M1230" s="7" t="n"/>
      <c r="N1230" s="7" t="n"/>
      <c r="O1230" s="7" t="n"/>
      <c r="Q1230" s="7" t="n"/>
      <c r="R1230" s="7" t="n"/>
      <c r="S1230" s="8">
        <f>IF(NOT(ISNUMBER(M1230)),"",IF(G1230="Terreno",IF(AND(ISNUMBER(I1230),I1230&gt;0),M1230/I1230,""),IF(AND(ISNUMBER(H1230),H1230&gt;0),M1230/H1230,"")))</f>
        <v/>
      </c>
      <c r="T1230" s="9">
        <f>IF(AND(ISNUMBER(M1230),ISNUMBER(O1230)),IF(M1230&lt;=O1230,"Valor ≤ venal IPTU",""),"")</f>
        <v/>
      </c>
      <c r="U1230" s="10">
        <f>IF(AND(ISNUMBER(M1230),ISNUMBER(N1230)),IF(N1230&gt;0,M1230/N1230,""),"")</f>
        <v/>
      </c>
      <c r="V1230" s="10">
        <f>IF(AND(ISNUMBER(M1230),ISNUMBER(O1230)),IF(O1230&gt;0,M1230/O1230,""),"")</f>
        <v/>
      </c>
      <c r="W1230" s="10">
        <f>IF(AND(ISNUMBER(M1230),ISNUMBER(R1230)),IF(R1230&gt;0,M1230/R1230,""),"")</f>
        <v/>
      </c>
      <c r="X1230" s="10">
        <f>IF(AND(ISNUMBER(Q1230),ISNUMBER(M1230)),IF(M1230&gt;0,Q1230/M1230,""),"")</f>
        <v/>
      </c>
      <c r="Y1230" s="11">
        <f>IF(ISNUMBER(Z1230),YEAR(Z1230),"")</f>
        <v/>
      </c>
      <c r="Z1230" s="12" t="n"/>
      <c r="AA1230" s="12" t="n"/>
      <c r="AI1230" s="12" t="n"/>
      <c r="AJ1230" s="13">
        <f>IF(LEN(TRIM(AF1230))=0,"",HYPERLINK("https://www.google.com/maps/@?api=1&amp;map_action=pano&amp;viewpoint="&amp;SUBSTITUTE(AF1230," ",""),"Abrir Street View"))</f>
        <v/>
      </c>
    </row>
    <row r="1231">
      <c r="H1231" s="6" t="n"/>
      <c r="I1231" s="6" t="n"/>
      <c r="M1231" s="7" t="n"/>
      <c r="N1231" s="7" t="n"/>
      <c r="O1231" s="7" t="n"/>
      <c r="Q1231" s="7" t="n"/>
      <c r="R1231" s="7" t="n"/>
      <c r="S1231" s="8">
        <f>IF(NOT(ISNUMBER(M1231)),"",IF(G1231="Terreno",IF(AND(ISNUMBER(I1231),I1231&gt;0),M1231/I1231,""),IF(AND(ISNUMBER(H1231),H1231&gt;0),M1231/H1231,"")))</f>
        <v/>
      </c>
      <c r="T1231" s="9">
        <f>IF(AND(ISNUMBER(M1231),ISNUMBER(O1231)),IF(M1231&lt;=O1231,"Valor ≤ venal IPTU",""),"")</f>
        <v/>
      </c>
      <c r="U1231" s="10">
        <f>IF(AND(ISNUMBER(M1231),ISNUMBER(N1231)),IF(N1231&gt;0,M1231/N1231,""),"")</f>
        <v/>
      </c>
      <c r="V1231" s="10">
        <f>IF(AND(ISNUMBER(M1231),ISNUMBER(O1231)),IF(O1231&gt;0,M1231/O1231,""),"")</f>
        <v/>
      </c>
      <c r="W1231" s="10">
        <f>IF(AND(ISNUMBER(M1231),ISNUMBER(R1231)),IF(R1231&gt;0,M1231/R1231,""),"")</f>
        <v/>
      </c>
      <c r="X1231" s="10">
        <f>IF(AND(ISNUMBER(Q1231),ISNUMBER(M1231)),IF(M1231&gt;0,Q1231/M1231,""),"")</f>
        <v/>
      </c>
      <c r="Y1231" s="11">
        <f>IF(ISNUMBER(Z1231),YEAR(Z1231),"")</f>
        <v/>
      </c>
      <c r="Z1231" s="12" t="n"/>
      <c r="AA1231" s="12" t="n"/>
      <c r="AI1231" s="12" t="n"/>
      <c r="AJ1231" s="13">
        <f>IF(LEN(TRIM(AF1231))=0,"",HYPERLINK("https://www.google.com/maps/@?api=1&amp;map_action=pano&amp;viewpoint="&amp;SUBSTITUTE(AF1231," ",""),"Abrir Street View"))</f>
        <v/>
      </c>
    </row>
    <row r="1232">
      <c r="H1232" s="6" t="n"/>
      <c r="I1232" s="6" t="n"/>
      <c r="M1232" s="7" t="n"/>
      <c r="N1232" s="7" t="n"/>
      <c r="O1232" s="7" t="n"/>
      <c r="Q1232" s="7" t="n"/>
      <c r="R1232" s="7" t="n"/>
      <c r="S1232" s="8">
        <f>IF(NOT(ISNUMBER(M1232)),"",IF(G1232="Terreno",IF(AND(ISNUMBER(I1232),I1232&gt;0),M1232/I1232,""),IF(AND(ISNUMBER(H1232),H1232&gt;0),M1232/H1232,"")))</f>
        <v/>
      </c>
      <c r="T1232" s="9">
        <f>IF(AND(ISNUMBER(M1232),ISNUMBER(O1232)),IF(M1232&lt;=O1232,"Valor ≤ venal IPTU",""),"")</f>
        <v/>
      </c>
      <c r="U1232" s="10">
        <f>IF(AND(ISNUMBER(M1232),ISNUMBER(N1232)),IF(N1232&gt;0,M1232/N1232,""),"")</f>
        <v/>
      </c>
      <c r="V1232" s="10">
        <f>IF(AND(ISNUMBER(M1232),ISNUMBER(O1232)),IF(O1232&gt;0,M1232/O1232,""),"")</f>
        <v/>
      </c>
      <c r="W1232" s="10">
        <f>IF(AND(ISNUMBER(M1232),ISNUMBER(R1232)),IF(R1232&gt;0,M1232/R1232,""),"")</f>
        <v/>
      </c>
      <c r="X1232" s="10">
        <f>IF(AND(ISNUMBER(Q1232),ISNUMBER(M1232)),IF(M1232&gt;0,Q1232/M1232,""),"")</f>
        <v/>
      </c>
      <c r="Y1232" s="11">
        <f>IF(ISNUMBER(Z1232),YEAR(Z1232),"")</f>
        <v/>
      </c>
      <c r="Z1232" s="12" t="n"/>
      <c r="AA1232" s="12" t="n"/>
      <c r="AI1232" s="12" t="n"/>
      <c r="AJ1232" s="13">
        <f>IF(LEN(TRIM(AF1232))=0,"",HYPERLINK("https://www.google.com/maps/@?api=1&amp;map_action=pano&amp;viewpoint="&amp;SUBSTITUTE(AF1232," ",""),"Abrir Street View"))</f>
        <v/>
      </c>
    </row>
    <row r="1233">
      <c r="H1233" s="6" t="n"/>
      <c r="I1233" s="6" t="n"/>
      <c r="M1233" s="7" t="n"/>
      <c r="N1233" s="7" t="n"/>
      <c r="O1233" s="7" t="n"/>
      <c r="Q1233" s="7" t="n"/>
      <c r="R1233" s="7" t="n"/>
      <c r="S1233" s="8">
        <f>IF(NOT(ISNUMBER(M1233)),"",IF(G1233="Terreno",IF(AND(ISNUMBER(I1233),I1233&gt;0),M1233/I1233,""),IF(AND(ISNUMBER(H1233),H1233&gt;0),M1233/H1233,"")))</f>
        <v/>
      </c>
      <c r="T1233" s="9">
        <f>IF(AND(ISNUMBER(M1233),ISNUMBER(O1233)),IF(M1233&lt;=O1233,"Valor ≤ venal IPTU",""),"")</f>
        <v/>
      </c>
      <c r="U1233" s="10">
        <f>IF(AND(ISNUMBER(M1233),ISNUMBER(N1233)),IF(N1233&gt;0,M1233/N1233,""),"")</f>
        <v/>
      </c>
      <c r="V1233" s="10">
        <f>IF(AND(ISNUMBER(M1233),ISNUMBER(O1233)),IF(O1233&gt;0,M1233/O1233,""),"")</f>
        <v/>
      </c>
      <c r="W1233" s="10">
        <f>IF(AND(ISNUMBER(M1233),ISNUMBER(R1233)),IF(R1233&gt;0,M1233/R1233,""),"")</f>
        <v/>
      </c>
      <c r="X1233" s="10">
        <f>IF(AND(ISNUMBER(Q1233),ISNUMBER(M1233)),IF(M1233&gt;0,Q1233/M1233,""),"")</f>
        <v/>
      </c>
      <c r="Y1233" s="11">
        <f>IF(ISNUMBER(Z1233),YEAR(Z1233),"")</f>
        <v/>
      </c>
      <c r="Z1233" s="12" t="n"/>
      <c r="AA1233" s="12" t="n"/>
      <c r="AI1233" s="12" t="n"/>
      <c r="AJ1233" s="13">
        <f>IF(LEN(TRIM(AF1233))=0,"",HYPERLINK("https://www.google.com/maps/@?api=1&amp;map_action=pano&amp;viewpoint="&amp;SUBSTITUTE(AF1233," ",""),"Abrir Street View"))</f>
        <v/>
      </c>
    </row>
    <row r="1234">
      <c r="H1234" s="6" t="n"/>
      <c r="I1234" s="6" t="n"/>
      <c r="M1234" s="7" t="n"/>
      <c r="N1234" s="7" t="n"/>
      <c r="O1234" s="7" t="n"/>
      <c r="Q1234" s="7" t="n"/>
      <c r="R1234" s="7" t="n"/>
      <c r="S1234" s="8">
        <f>IF(NOT(ISNUMBER(M1234)),"",IF(G1234="Terreno",IF(AND(ISNUMBER(I1234),I1234&gt;0),M1234/I1234,""),IF(AND(ISNUMBER(H1234),H1234&gt;0),M1234/H1234,"")))</f>
        <v/>
      </c>
      <c r="T1234" s="9">
        <f>IF(AND(ISNUMBER(M1234),ISNUMBER(O1234)),IF(M1234&lt;=O1234,"Valor ≤ venal IPTU",""),"")</f>
        <v/>
      </c>
      <c r="U1234" s="10">
        <f>IF(AND(ISNUMBER(M1234),ISNUMBER(N1234)),IF(N1234&gt;0,M1234/N1234,""),"")</f>
        <v/>
      </c>
      <c r="V1234" s="10">
        <f>IF(AND(ISNUMBER(M1234),ISNUMBER(O1234)),IF(O1234&gt;0,M1234/O1234,""),"")</f>
        <v/>
      </c>
      <c r="W1234" s="10">
        <f>IF(AND(ISNUMBER(M1234),ISNUMBER(R1234)),IF(R1234&gt;0,M1234/R1234,""),"")</f>
        <v/>
      </c>
      <c r="X1234" s="10">
        <f>IF(AND(ISNUMBER(Q1234),ISNUMBER(M1234)),IF(M1234&gt;0,Q1234/M1234,""),"")</f>
        <v/>
      </c>
      <c r="Y1234" s="11">
        <f>IF(ISNUMBER(Z1234),YEAR(Z1234),"")</f>
        <v/>
      </c>
      <c r="Z1234" s="12" t="n"/>
      <c r="AA1234" s="12" t="n"/>
      <c r="AI1234" s="12" t="n"/>
      <c r="AJ1234" s="13">
        <f>IF(LEN(TRIM(AF1234))=0,"",HYPERLINK("https://www.google.com/maps/@?api=1&amp;map_action=pano&amp;viewpoint="&amp;SUBSTITUTE(AF1234," ",""),"Abrir Street View"))</f>
        <v/>
      </c>
    </row>
    <row r="1235">
      <c r="H1235" s="6" t="n"/>
      <c r="I1235" s="6" t="n"/>
      <c r="M1235" s="7" t="n"/>
      <c r="N1235" s="7" t="n"/>
      <c r="O1235" s="7" t="n"/>
      <c r="Q1235" s="7" t="n"/>
      <c r="R1235" s="7" t="n"/>
      <c r="S1235" s="8">
        <f>IF(NOT(ISNUMBER(M1235)),"",IF(G1235="Terreno",IF(AND(ISNUMBER(I1235),I1235&gt;0),M1235/I1235,""),IF(AND(ISNUMBER(H1235),H1235&gt;0),M1235/H1235,"")))</f>
        <v/>
      </c>
      <c r="T1235" s="9">
        <f>IF(AND(ISNUMBER(M1235),ISNUMBER(O1235)),IF(M1235&lt;=O1235,"Valor ≤ venal IPTU",""),"")</f>
        <v/>
      </c>
      <c r="U1235" s="10">
        <f>IF(AND(ISNUMBER(M1235),ISNUMBER(N1235)),IF(N1235&gt;0,M1235/N1235,""),"")</f>
        <v/>
      </c>
      <c r="V1235" s="10">
        <f>IF(AND(ISNUMBER(M1235),ISNUMBER(O1235)),IF(O1235&gt;0,M1235/O1235,""),"")</f>
        <v/>
      </c>
      <c r="W1235" s="10">
        <f>IF(AND(ISNUMBER(M1235),ISNUMBER(R1235)),IF(R1235&gt;0,M1235/R1235,""),"")</f>
        <v/>
      </c>
      <c r="X1235" s="10">
        <f>IF(AND(ISNUMBER(Q1235),ISNUMBER(M1235)),IF(M1235&gt;0,Q1235/M1235,""),"")</f>
        <v/>
      </c>
      <c r="Y1235" s="11">
        <f>IF(ISNUMBER(Z1235),YEAR(Z1235),"")</f>
        <v/>
      </c>
      <c r="Z1235" s="12" t="n"/>
      <c r="AA1235" s="12" t="n"/>
      <c r="AI1235" s="12" t="n"/>
      <c r="AJ1235" s="13">
        <f>IF(LEN(TRIM(AF1235))=0,"",HYPERLINK("https://www.google.com/maps/@?api=1&amp;map_action=pano&amp;viewpoint="&amp;SUBSTITUTE(AF1235," ",""),"Abrir Street View"))</f>
        <v/>
      </c>
    </row>
    <row r="1236">
      <c r="H1236" s="6" t="n"/>
      <c r="I1236" s="6" t="n"/>
      <c r="M1236" s="7" t="n"/>
      <c r="N1236" s="7" t="n"/>
      <c r="O1236" s="7" t="n"/>
      <c r="Q1236" s="7" t="n"/>
      <c r="R1236" s="7" t="n"/>
      <c r="S1236" s="8">
        <f>IF(NOT(ISNUMBER(M1236)),"",IF(G1236="Terreno",IF(AND(ISNUMBER(I1236),I1236&gt;0),M1236/I1236,""),IF(AND(ISNUMBER(H1236),H1236&gt;0),M1236/H1236,"")))</f>
        <v/>
      </c>
      <c r="T1236" s="9">
        <f>IF(AND(ISNUMBER(M1236),ISNUMBER(O1236)),IF(M1236&lt;=O1236,"Valor ≤ venal IPTU",""),"")</f>
        <v/>
      </c>
      <c r="U1236" s="10">
        <f>IF(AND(ISNUMBER(M1236),ISNUMBER(N1236)),IF(N1236&gt;0,M1236/N1236,""),"")</f>
        <v/>
      </c>
      <c r="V1236" s="10">
        <f>IF(AND(ISNUMBER(M1236),ISNUMBER(O1236)),IF(O1236&gt;0,M1236/O1236,""),"")</f>
        <v/>
      </c>
      <c r="W1236" s="10">
        <f>IF(AND(ISNUMBER(M1236),ISNUMBER(R1236)),IF(R1236&gt;0,M1236/R1236,""),"")</f>
        <v/>
      </c>
      <c r="X1236" s="10">
        <f>IF(AND(ISNUMBER(Q1236),ISNUMBER(M1236)),IF(M1236&gt;0,Q1236/M1236,""),"")</f>
        <v/>
      </c>
      <c r="Y1236" s="11">
        <f>IF(ISNUMBER(Z1236),YEAR(Z1236),"")</f>
        <v/>
      </c>
      <c r="Z1236" s="12" t="n"/>
      <c r="AA1236" s="12" t="n"/>
      <c r="AI1236" s="12" t="n"/>
      <c r="AJ1236" s="13">
        <f>IF(LEN(TRIM(AF1236))=0,"",HYPERLINK("https://www.google.com/maps/@?api=1&amp;map_action=pano&amp;viewpoint="&amp;SUBSTITUTE(AF1236," ",""),"Abrir Street View"))</f>
        <v/>
      </c>
    </row>
    <row r="1237">
      <c r="H1237" s="6" t="n"/>
      <c r="I1237" s="6" t="n"/>
      <c r="M1237" s="7" t="n"/>
      <c r="N1237" s="7" t="n"/>
      <c r="O1237" s="7" t="n"/>
      <c r="Q1237" s="7" t="n"/>
      <c r="R1237" s="7" t="n"/>
      <c r="S1237" s="8">
        <f>IF(NOT(ISNUMBER(M1237)),"",IF(G1237="Terreno",IF(AND(ISNUMBER(I1237),I1237&gt;0),M1237/I1237,""),IF(AND(ISNUMBER(H1237),H1237&gt;0),M1237/H1237,"")))</f>
        <v/>
      </c>
      <c r="T1237" s="9">
        <f>IF(AND(ISNUMBER(M1237),ISNUMBER(O1237)),IF(M1237&lt;=O1237,"Valor ≤ venal IPTU",""),"")</f>
        <v/>
      </c>
      <c r="U1237" s="10">
        <f>IF(AND(ISNUMBER(M1237),ISNUMBER(N1237)),IF(N1237&gt;0,M1237/N1237,""),"")</f>
        <v/>
      </c>
      <c r="V1237" s="10">
        <f>IF(AND(ISNUMBER(M1237),ISNUMBER(O1237)),IF(O1237&gt;0,M1237/O1237,""),"")</f>
        <v/>
      </c>
      <c r="W1237" s="10">
        <f>IF(AND(ISNUMBER(M1237),ISNUMBER(R1237)),IF(R1237&gt;0,M1237/R1237,""),"")</f>
        <v/>
      </c>
      <c r="X1237" s="10">
        <f>IF(AND(ISNUMBER(Q1237),ISNUMBER(M1237)),IF(M1237&gt;0,Q1237/M1237,""),"")</f>
        <v/>
      </c>
      <c r="Y1237" s="11">
        <f>IF(ISNUMBER(Z1237),YEAR(Z1237),"")</f>
        <v/>
      </c>
      <c r="Z1237" s="12" t="n"/>
      <c r="AA1237" s="12" t="n"/>
      <c r="AI1237" s="12" t="n"/>
      <c r="AJ1237" s="13">
        <f>IF(LEN(TRIM(AF1237))=0,"",HYPERLINK("https://www.google.com/maps/@?api=1&amp;map_action=pano&amp;viewpoint="&amp;SUBSTITUTE(AF1237," ",""),"Abrir Street View"))</f>
        <v/>
      </c>
    </row>
    <row r="1238">
      <c r="H1238" s="6" t="n"/>
      <c r="I1238" s="6" t="n"/>
      <c r="M1238" s="7" t="n"/>
      <c r="N1238" s="7" t="n"/>
      <c r="O1238" s="7" t="n"/>
      <c r="Q1238" s="7" t="n"/>
      <c r="R1238" s="7" t="n"/>
      <c r="S1238" s="8">
        <f>IF(NOT(ISNUMBER(M1238)),"",IF(G1238="Terreno",IF(AND(ISNUMBER(I1238),I1238&gt;0),M1238/I1238,""),IF(AND(ISNUMBER(H1238),H1238&gt;0),M1238/H1238,"")))</f>
        <v/>
      </c>
      <c r="T1238" s="9">
        <f>IF(AND(ISNUMBER(M1238),ISNUMBER(O1238)),IF(M1238&lt;=O1238,"Valor ≤ venal IPTU",""),"")</f>
        <v/>
      </c>
      <c r="U1238" s="10">
        <f>IF(AND(ISNUMBER(M1238),ISNUMBER(N1238)),IF(N1238&gt;0,M1238/N1238,""),"")</f>
        <v/>
      </c>
      <c r="V1238" s="10">
        <f>IF(AND(ISNUMBER(M1238),ISNUMBER(O1238)),IF(O1238&gt;0,M1238/O1238,""),"")</f>
        <v/>
      </c>
      <c r="W1238" s="10">
        <f>IF(AND(ISNUMBER(M1238),ISNUMBER(R1238)),IF(R1238&gt;0,M1238/R1238,""),"")</f>
        <v/>
      </c>
      <c r="X1238" s="10">
        <f>IF(AND(ISNUMBER(Q1238),ISNUMBER(M1238)),IF(M1238&gt;0,Q1238/M1238,""),"")</f>
        <v/>
      </c>
      <c r="Y1238" s="11">
        <f>IF(ISNUMBER(Z1238),YEAR(Z1238),"")</f>
        <v/>
      </c>
      <c r="Z1238" s="12" t="n"/>
      <c r="AA1238" s="12" t="n"/>
      <c r="AI1238" s="12" t="n"/>
      <c r="AJ1238" s="13">
        <f>IF(LEN(TRIM(AF1238))=0,"",HYPERLINK("https://www.google.com/maps/@?api=1&amp;map_action=pano&amp;viewpoint="&amp;SUBSTITUTE(AF1238," ",""),"Abrir Street View"))</f>
        <v/>
      </c>
    </row>
    <row r="1239">
      <c r="H1239" s="6" t="n"/>
      <c r="I1239" s="6" t="n"/>
      <c r="M1239" s="7" t="n"/>
      <c r="N1239" s="7" t="n"/>
      <c r="O1239" s="7" t="n"/>
      <c r="Q1239" s="7" t="n"/>
      <c r="R1239" s="7" t="n"/>
      <c r="S1239" s="8">
        <f>IF(NOT(ISNUMBER(M1239)),"",IF(G1239="Terreno",IF(AND(ISNUMBER(I1239),I1239&gt;0),M1239/I1239,""),IF(AND(ISNUMBER(H1239),H1239&gt;0),M1239/H1239,"")))</f>
        <v/>
      </c>
      <c r="T1239" s="9">
        <f>IF(AND(ISNUMBER(M1239),ISNUMBER(O1239)),IF(M1239&lt;=O1239,"Valor ≤ venal IPTU",""),"")</f>
        <v/>
      </c>
      <c r="U1239" s="10">
        <f>IF(AND(ISNUMBER(M1239),ISNUMBER(N1239)),IF(N1239&gt;0,M1239/N1239,""),"")</f>
        <v/>
      </c>
      <c r="V1239" s="10">
        <f>IF(AND(ISNUMBER(M1239),ISNUMBER(O1239)),IF(O1239&gt;0,M1239/O1239,""),"")</f>
        <v/>
      </c>
      <c r="W1239" s="10">
        <f>IF(AND(ISNUMBER(M1239),ISNUMBER(R1239)),IF(R1239&gt;0,M1239/R1239,""),"")</f>
        <v/>
      </c>
      <c r="X1239" s="10">
        <f>IF(AND(ISNUMBER(Q1239),ISNUMBER(M1239)),IF(M1239&gt;0,Q1239/M1239,""),"")</f>
        <v/>
      </c>
      <c r="Y1239" s="11">
        <f>IF(ISNUMBER(Z1239),YEAR(Z1239),"")</f>
        <v/>
      </c>
      <c r="Z1239" s="12" t="n"/>
      <c r="AA1239" s="12" t="n"/>
      <c r="AI1239" s="12" t="n"/>
      <c r="AJ1239" s="13">
        <f>IF(LEN(TRIM(AF1239))=0,"",HYPERLINK("https://www.google.com/maps/@?api=1&amp;map_action=pano&amp;viewpoint="&amp;SUBSTITUTE(AF1239," ",""),"Abrir Street View"))</f>
        <v/>
      </c>
    </row>
    <row r="1240">
      <c r="H1240" s="6" t="n"/>
      <c r="I1240" s="6" t="n"/>
      <c r="M1240" s="7" t="n"/>
      <c r="N1240" s="7" t="n"/>
      <c r="O1240" s="7" t="n"/>
      <c r="Q1240" s="7" t="n"/>
      <c r="R1240" s="7" t="n"/>
      <c r="S1240" s="8">
        <f>IF(NOT(ISNUMBER(M1240)),"",IF(G1240="Terreno",IF(AND(ISNUMBER(I1240),I1240&gt;0),M1240/I1240,""),IF(AND(ISNUMBER(H1240),H1240&gt;0),M1240/H1240,"")))</f>
        <v/>
      </c>
      <c r="T1240" s="9">
        <f>IF(AND(ISNUMBER(M1240),ISNUMBER(O1240)),IF(M1240&lt;=O1240,"Valor ≤ venal IPTU",""),"")</f>
        <v/>
      </c>
      <c r="U1240" s="10">
        <f>IF(AND(ISNUMBER(M1240),ISNUMBER(N1240)),IF(N1240&gt;0,M1240/N1240,""),"")</f>
        <v/>
      </c>
      <c r="V1240" s="10">
        <f>IF(AND(ISNUMBER(M1240),ISNUMBER(O1240)),IF(O1240&gt;0,M1240/O1240,""),"")</f>
        <v/>
      </c>
      <c r="W1240" s="10">
        <f>IF(AND(ISNUMBER(M1240),ISNUMBER(R1240)),IF(R1240&gt;0,M1240/R1240,""),"")</f>
        <v/>
      </c>
      <c r="X1240" s="10">
        <f>IF(AND(ISNUMBER(Q1240),ISNUMBER(M1240)),IF(M1240&gt;0,Q1240/M1240,""),"")</f>
        <v/>
      </c>
      <c r="Y1240" s="11">
        <f>IF(ISNUMBER(Z1240),YEAR(Z1240),"")</f>
        <v/>
      </c>
      <c r="Z1240" s="12" t="n"/>
      <c r="AA1240" s="12" t="n"/>
      <c r="AI1240" s="12" t="n"/>
      <c r="AJ1240" s="13">
        <f>IF(LEN(TRIM(AF1240))=0,"",HYPERLINK("https://www.google.com/maps/@?api=1&amp;map_action=pano&amp;viewpoint="&amp;SUBSTITUTE(AF1240," ",""),"Abrir Street View"))</f>
        <v/>
      </c>
    </row>
    <row r="1241">
      <c r="H1241" s="6" t="n"/>
      <c r="I1241" s="6" t="n"/>
      <c r="M1241" s="7" t="n"/>
      <c r="N1241" s="7" t="n"/>
      <c r="O1241" s="7" t="n"/>
      <c r="Q1241" s="7" t="n"/>
      <c r="R1241" s="7" t="n"/>
      <c r="S1241" s="8">
        <f>IF(NOT(ISNUMBER(M1241)),"",IF(G1241="Terreno",IF(AND(ISNUMBER(I1241),I1241&gt;0),M1241/I1241,""),IF(AND(ISNUMBER(H1241),H1241&gt;0),M1241/H1241,"")))</f>
        <v/>
      </c>
      <c r="T1241" s="9">
        <f>IF(AND(ISNUMBER(M1241),ISNUMBER(O1241)),IF(M1241&lt;=O1241,"Valor ≤ venal IPTU",""),"")</f>
        <v/>
      </c>
      <c r="U1241" s="10">
        <f>IF(AND(ISNUMBER(M1241),ISNUMBER(N1241)),IF(N1241&gt;0,M1241/N1241,""),"")</f>
        <v/>
      </c>
      <c r="V1241" s="10">
        <f>IF(AND(ISNUMBER(M1241),ISNUMBER(O1241)),IF(O1241&gt;0,M1241/O1241,""),"")</f>
        <v/>
      </c>
      <c r="W1241" s="10">
        <f>IF(AND(ISNUMBER(M1241),ISNUMBER(R1241)),IF(R1241&gt;0,M1241/R1241,""),"")</f>
        <v/>
      </c>
      <c r="X1241" s="10">
        <f>IF(AND(ISNUMBER(Q1241),ISNUMBER(M1241)),IF(M1241&gt;0,Q1241/M1241,""),"")</f>
        <v/>
      </c>
      <c r="Y1241" s="11">
        <f>IF(ISNUMBER(Z1241),YEAR(Z1241),"")</f>
        <v/>
      </c>
      <c r="Z1241" s="12" t="n"/>
      <c r="AA1241" s="12" t="n"/>
      <c r="AI1241" s="12" t="n"/>
      <c r="AJ1241" s="13">
        <f>IF(LEN(TRIM(AF1241))=0,"",HYPERLINK("https://www.google.com/maps/@?api=1&amp;map_action=pano&amp;viewpoint="&amp;SUBSTITUTE(AF1241," ",""),"Abrir Street View"))</f>
        <v/>
      </c>
    </row>
    <row r="1242">
      <c r="H1242" s="6" t="n"/>
      <c r="I1242" s="6" t="n"/>
      <c r="M1242" s="7" t="n"/>
      <c r="N1242" s="7" t="n"/>
      <c r="O1242" s="7" t="n"/>
      <c r="Q1242" s="7" t="n"/>
      <c r="R1242" s="7" t="n"/>
      <c r="S1242" s="8">
        <f>IF(NOT(ISNUMBER(M1242)),"",IF(G1242="Terreno",IF(AND(ISNUMBER(I1242),I1242&gt;0),M1242/I1242,""),IF(AND(ISNUMBER(H1242),H1242&gt;0),M1242/H1242,"")))</f>
        <v/>
      </c>
      <c r="T1242" s="9">
        <f>IF(AND(ISNUMBER(M1242),ISNUMBER(O1242)),IF(M1242&lt;=O1242,"Valor ≤ venal IPTU",""),"")</f>
        <v/>
      </c>
      <c r="U1242" s="10">
        <f>IF(AND(ISNUMBER(M1242),ISNUMBER(N1242)),IF(N1242&gt;0,M1242/N1242,""),"")</f>
        <v/>
      </c>
      <c r="V1242" s="10">
        <f>IF(AND(ISNUMBER(M1242),ISNUMBER(O1242)),IF(O1242&gt;0,M1242/O1242,""),"")</f>
        <v/>
      </c>
      <c r="W1242" s="10">
        <f>IF(AND(ISNUMBER(M1242),ISNUMBER(R1242)),IF(R1242&gt;0,M1242/R1242,""),"")</f>
        <v/>
      </c>
      <c r="X1242" s="10">
        <f>IF(AND(ISNUMBER(Q1242),ISNUMBER(M1242)),IF(M1242&gt;0,Q1242/M1242,""),"")</f>
        <v/>
      </c>
      <c r="Y1242" s="11">
        <f>IF(ISNUMBER(Z1242),YEAR(Z1242),"")</f>
        <v/>
      </c>
      <c r="Z1242" s="12" t="n"/>
      <c r="AA1242" s="12" t="n"/>
      <c r="AI1242" s="12" t="n"/>
      <c r="AJ1242" s="13">
        <f>IF(LEN(TRIM(AF1242))=0,"",HYPERLINK("https://www.google.com/maps/@?api=1&amp;map_action=pano&amp;viewpoint="&amp;SUBSTITUTE(AF1242," ",""),"Abrir Street View"))</f>
        <v/>
      </c>
    </row>
    <row r="1243">
      <c r="H1243" s="6" t="n"/>
      <c r="I1243" s="6" t="n"/>
      <c r="M1243" s="7" t="n"/>
      <c r="N1243" s="7" t="n"/>
      <c r="O1243" s="7" t="n"/>
      <c r="Q1243" s="7" t="n"/>
      <c r="R1243" s="7" t="n"/>
      <c r="S1243" s="8">
        <f>IF(NOT(ISNUMBER(M1243)),"",IF(G1243="Terreno",IF(AND(ISNUMBER(I1243),I1243&gt;0),M1243/I1243,""),IF(AND(ISNUMBER(H1243),H1243&gt;0),M1243/H1243,"")))</f>
        <v/>
      </c>
      <c r="T1243" s="9">
        <f>IF(AND(ISNUMBER(M1243),ISNUMBER(O1243)),IF(M1243&lt;=O1243,"Valor ≤ venal IPTU",""),"")</f>
        <v/>
      </c>
      <c r="U1243" s="10">
        <f>IF(AND(ISNUMBER(M1243),ISNUMBER(N1243)),IF(N1243&gt;0,M1243/N1243,""),"")</f>
        <v/>
      </c>
      <c r="V1243" s="10">
        <f>IF(AND(ISNUMBER(M1243),ISNUMBER(O1243)),IF(O1243&gt;0,M1243/O1243,""),"")</f>
        <v/>
      </c>
      <c r="W1243" s="10">
        <f>IF(AND(ISNUMBER(M1243),ISNUMBER(R1243)),IF(R1243&gt;0,M1243/R1243,""),"")</f>
        <v/>
      </c>
      <c r="X1243" s="10">
        <f>IF(AND(ISNUMBER(Q1243),ISNUMBER(M1243)),IF(M1243&gt;0,Q1243/M1243,""),"")</f>
        <v/>
      </c>
      <c r="Y1243" s="11">
        <f>IF(ISNUMBER(Z1243),YEAR(Z1243),"")</f>
        <v/>
      </c>
      <c r="Z1243" s="12" t="n"/>
      <c r="AA1243" s="12" t="n"/>
      <c r="AI1243" s="12" t="n"/>
      <c r="AJ1243" s="13">
        <f>IF(LEN(TRIM(AF1243))=0,"",HYPERLINK("https://www.google.com/maps/@?api=1&amp;map_action=pano&amp;viewpoint="&amp;SUBSTITUTE(AF1243," ",""),"Abrir Street View"))</f>
        <v/>
      </c>
    </row>
    <row r="1244">
      <c r="H1244" s="6" t="n"/>
      <c r="I1244" s="6" t="n"/>
      <c r="M1244" s="7" t="n"/>
      <c r="N1244" s="7" t="n"/>
      <c r="O1244" s="7" t="n"/>
      <c r="Q1244" s="7" t="n"/>
      <c r="R1244" s="7" t="n"/>
      <c r="S1244" s="8">
        <f>IF(NOT(ISNUMBER(M1244)),"",IF(G1244="Terreno",IF(AND(ISNUMBER(I1244),I1244&gt;0),M1244/I1244,""),IF(AND(ISNUMBER(H1244),H1244&gt;0),M1244/H1244,"")))</f>
        <v/>
      </c>
      <c r="T1244" s="9">
        <f>IF(AND(ISNUMBER(M1244),ISNUMBER(O1244)),IF(M1244&lt;=O1244,"Valor ≤ venal IPTU",""),"")</f>
        <v/>
      </c>
      <c r="U1244" s="10">
        <f>IF(AND(ISNUMBER(M1244),ISNUMBER(N1244)),IF(N1244&gt;0,M1244/N1244,""),"")</f>
        <v/>
      </c>
      <c r="V1244" s="10">
        <f>IF(AND(ISNUMBER(M1244),ISNUMBER(O1244)),IF(O1244&gt;0,M1244/O1244,""),"")</f>
        <v/>
      </c>
      <c r="W1244" s="10">
        <f>IF(AND(ISNUMBER(M1244),ISNUMBER(R1244)),IF(R1244&gt;0,M1244/R1244,""),"")</f>
        <v/>
      </c>
      <c r="X1244" s="10">
        <f>IF(AND(ISNUMBER(Q1244),ISNUMBER(M1244)),IF(M1244&gt;0,Q1244/M1244,""),"")</f>
        <v/>
      </c>
      <c r="Y1244" s="11">
        <f>IF(ISNUMBER(Z1244),YEAR(Z1244),"")</f>
        <v/>
      </c>
      <c r="Z1244" s="12" t="n"/>
      <c r="AA1244" s="12" t="n"/>
      <c r="AI1244" s="12" t="n"/>
      <c r="AJ1244" s="13">
        <f>IF(LEN(TRIM(AF1244))=0,"",HYPERLINK("https://www.google.com/maps/@?api=1&amp;map_action=pano&amp;viewpoint="&amp;SUBSTITUTE(AF1244," ",""),"Abrir Street View"))</f>
        <v/>
      </c>
    </row>
    <row r="1245">
      <c r="H1245" s="6" t="n"/>
      <c r="I1245" s="6" t="n"/>
      <c r="M1245" s="7" t="n"/>
      <c r="N1245" s="7" t="n"/>
      <c r="O1245" s="7" t="n"/>
      <c r="Q1245" s="7" t="n"/>
      <c r="R1245" s="7" t="n"/>
      <c r="S1245" s="8">
        <f>IF(NOT(ISNUMBER(M1245)),"",IF(G1245="Terreno",IF(AND(ISNUMBER(I1245),I1245&gt;0),M1245/I1245,""),IF(AND(ISNUMBER(H1245),H1245&gt;0),M1245/H1245,"")))</f>
        <v/>
      </c>
      <c r="T1245" s="9">
        <f>IF(AND(ISNUMBER(M1245),ISNUMBER(O1245)),IF(M1245&lt;=O1245,"Valor ≤ venal IPTU",""),"")</f>
        <v/>
      </c>
      <c r="U1245" s="10">
        <f>IF(AND(ISNUMBER(M1245),ISNUMBER(N1245)),IF(N1245&gt;0,M1245/N1245,""),"")</f>
        <v/>
      </c>
      <c r="V1245" s="10">
        <f>IF(AND(ISNUMBER(M1245),ISNUMBER(O1245)),IF(O1245&gt;0,M1245/O1245,""),"")</f>
        <v/>
      </c>
      <c r="W1245" s="10">
        <f>IF(AND(ISNUMBER(M1245),ISNUMBER(R1245)),IF(R1245&gt;0,M1245/R1245,""),"")</f>
        <v/>
      </c>
      <c r="X1245" s="10">
        <f>IF(AND(ISNUMBER(Q1245),ISNUMBER(M1245)),IF(M1245&gt;0,Q1245/M1245,""),"")</f>
        <v/>
      </c>
      <c r="Y1245" s="11">
        <f>IF(ISNUMBER(Z1245),YEAR(Z1245),"")</f>
        <v/>
      </c>
      <c r="Z1245" s="12" t="n"/>
      <c r="AA1245" s="12" t="n"/>
      <c r="AI1245" s="12" t="n"/>
      <c r="AJ1245" s="13">
        <f>IF(LEN(TRIM(AF1245))=0,"",HYPERLINK("https://www.google.com/maps/@?api=1&amp;map_action=pano&amp;viewpoint="&amp;SUBSTITUTE(AF1245," ",""),"Abrir Street View"))</f>
        <v/>
      </c>
    </row>
    <row r="1246">
      <c r="H1246" s="6" t="n"/>
      <c r="I1246" s="6" t="n"/>
      <c r="M1246" s="7" t="n"/>
      <c r="N1246" s="7" t="n"/>
      <c r="O1246" s="7" t="n"/>
      <c r="Q1246" s="7" t="n"/>
      <c r="R1246" s="7" t="n"/>
      <c r="S1246" s="8">
        <f>IF(NOT(ISNUMBER(M1246)),"",IF(G1246="Terreno",IF(AND(ISNUMBER(I1246),I1246&gt;0),M1246/I1246,""),IF(AND(ISNUMBER(H1246),H1246&gt;0),M1246/H1246,"")))</f>
        <v/>
      </c>
      <c r="T1246" s="9">
        <f>IF(AND(ISNUMBER(M1246),ISNUMBER(O1246)),IF(M1246&lt;=O1246,"Valor ≤ venal IPTU",""),"")</f>
        <v/>
      </c>
      <c r="U1246" s="10">
        <f>IF(AND(ISNUMBER(M1246),ISNUMBER(N1246)),IF(N1246&gt;0,M1246/N1246,""),"")</f>
        <v/>
      </c>
      <c r="V1246" s="10">
        <f>IF(AND(ISNUMBER(M1246),ISNUMBER(O1246)),IF(O1246&gt;0,M1246/O1246,""),"")</f>
        <v/>
      </c>
      <c r="W1246" s="10">
        <f>IF(AND(ISNUMBER(M1246),ISNUMBER(R1246)),IF(R1246&gt;0,M1246/R1246,""),"")</f>
        <v/>
      </c>
      <c r="X1246" s="10">
        <f>IF(AND(ISNUMBER(Q1246),ISNUMBER(M1246)),IF(M1246&gt;0,Q1246/M1246,""),"")</f>
        <v/>
      </c>
      <c r="Y1246" s="11">
        <f>IF(ISNUMBER(Z1246),YEAR(Z1246),"")</f>
        <v/>
      </c>
      <c r="Z1246" s="12" t="n"/>
      <c r="AA1246" s="12" t="n"/>
      <c r="AI1246" s="12" t="n"/>
      <c r="AJ1246" s="13">
        <f>IF(LEN(TRIM(AF1246))=0,"",HYPERLINK("https://www.google.com/maps/@?api=1&amp;map_action=pano&amp;viewpoint="&amp;SUBSTITUTE(AF1246," ",""),"Abrir Street View"))</f>
        <v/>
      </c>
    </row>
    <row r="1247">
      <c r="H1247" s="6" t="n"/>
      <c r="I1247" s="6" t="n"/>
      <c r="M1247" s="7" t="n"/>
      <c r="N1247" s="7" t="n"/>
      <c r="O1247" s="7" t="n"/>
      <c r="Q1247" s="7" t="n"/>
      <c r="R1247" s="7" t="n"/>
      <c r="S1247" s="8">
        <f>IF(NOT(ISNUMBER(M1247)),"",IF(G1247="Terreno",IF(AND(ISNUMBER(I1247),I1247&gt;0),M1247/I1247,""),IF(AND(ISNUMBER(H1247),H1247&gt;0),M1247/H1247,"")))</f>
        <v/>
      </c>
      <c r="T1247" s="9">
        <f>IF(AND(ISNUMBER(M1247),ISNUMBER(O1247)),IF(M1247&lt;=O1247,"Valor ≤ venal IPTU",""),"")</f>
        <v/>
      </c>
      <c r="U1247" s="10">
        <f>IF(AND(ISNUMBER(M1247),ISNUMBER(N1247)),IF(N1247&gt;0,M1247/N1247,""),"")</f>
        <v/>
      </c>
      <c r="V1247" s="10">
        <f>IF(AND(ISNUMBER(M1247),ISNUMBER(O1247)),IF(O1247&gt;0,M1247/O1247,""),"")</f>
        <v/>
      </c>
      <c r="W1247" s="10">
        <f>IF(AND(ISNUMBER(M1247),ISNUMBER(R1247)),IF(R1247&gt;0,M1247/R1247,""),"")</f>
        <v/>
      </c>
      <c r="X1247" s="10">
        <f>IF(AND(ISNUMBER(Q1247),ISNUMBER(M1247)),IF(M1247&gt;0,Q1247/M1247,""),"")</f>
        <v/>
      </c>
      <c r="Y1247" s="11">
        <f>IF(ISNUMBER(Z1247),YEAR(Z1247),"")</f>
        <v/>
      </c>
      <c r="Z1247" s="12" t="n"/>
      <c r="AA1247" s="12" t="n"/>
      <c r="AI1247" s="12" t="n"/>
      <c r="AJ1247" s="13">
        <f>IF(LEN(TRIM(AF1247))=0,"",HYPERLINK("https://www.google.com/maps/@?api=1&amp;map_action=pano&amp;viewpoint="&amp;SUBSTITUTE(AF1247," ",""),"Abrir Street View"))</f>
        <v/>
      </c>
    </row>
    <row r="1248">
      <c r="H1248" s="6" t="n"/>
      <c r="I1248" s="6" t="n"/>
      <c r="M1248" s="7" t="n"/>
      <c r="N1248" s="7" t="n"/>
      <c r="O1248" s="7" t="n"/>
      <c r="Q1248" s="7" t="n"/>
      <c r="R1248" s="7" t="n"/>
      <c r="S1248" s="8">
        <f>IF(NOT(ISNUMBER(M1248)),"",IF(G1248="Terreno",IF(AND(ISNUMBER(I1248),I1248&gt;0),M1248/I1248,""),IF(AND(ISNUMBER(H1248),H1248&gt;0),M1248/H1248,"")))</f>
        <v/>
      </c>
      <c r="T1248" s="9">
        <f>IF(AND(ISNUMBER(M1248),ISNUMBER(O1248)),IF(M1248&lt;=O1248,"Valor ≤ venal IPTU",""),"")</f>
        <v/>
      </c>
      <c r="U1248" s="10">
        <f>IF(AND(ISNUMBER(M1248),ISNUMBER(N1248)),IF(N1248&gt;0,M1248/N1248,""),"")</f>
        <v/>
      </c>
      <c r="V1248" s="10">
        <f>IF(AND(ISNUMBER(M1248),ISNUMBER(O1248)),IF(O1248&gt;0,M1248/O1248,""),"")</f>
        <v/>
      </c>
      <c r="W1248" s="10">
        <f>IF(AND(ISNUMBER(M1248),ISNUMBER(R1248)),IF(R1248&gt;0,M1248/R1248,""),"")</f>
        <v/>
      </c>
      <c r="X1248" s="10">
        <f>IF(AND(ISNUMBER(Q1248),ISNUMBER(M1248)),IF(M1248&gt;0,Q1248/M1248,""),"")</f>
        <v/>
      </c>
      <c r="Y1248" s="11">
        <f>IF(ISNUMBER(Z1248),YEAR(Z1248),"")</f>
        <v/>
      </c>
      <c r="Z1248" s="12" t="n"/>
      <c r="AA1248" s="12" t="n"/>
      <c r="AI1248" s="12" t="n"/>
      <c r="AJ1248" s="13">
        <f>IF(LEN(TRIM(AF1248))=0,"",HYPERLINK("https://www.google.com/maps/@?api=1&amp;map_action=pano&amp;viewpoint="&amp;SUBSTITUTE(AF1248," ",""),"Abrir Street View"))</f>
        <v/>
      </c>
    </row>
    <row r="1249">
      <c r="H1249" s="6" t="n"/>
      <c r="I1249" s="6" t="n"/>
      <c r="M1249" s="7" t="n"/>
      <c r="N1249" s="7" t="n"/>
      <c r="O1249" s="7" t="n"/>
      <c r="Q1249" s="7" t="n"/>
      <c r="R1249" s="7" t="n"/>
      <c r="S1249" s="8">
        <f>IF(NOT(ISNUMBER(M1249)),"",IF(G1249="Terreno",IF(AND(ISNUMBER(I1249),I1249&gt;0),M1249/I1249,""),IF(AND(ISNUMBER(H1249),H1249&gt;0),M1249/H1249,"")))</f>
        <v/>
      </c>
      <c r="T1249" s="9">
        <f>IF(AND(ISNUMBER(M1249),ISNUMBER(O1249)),IF(M1249&lt;=O1249,"Valor ≤ venal IPTU",""),"")</f>
        <v/>
      </c>
      <c r="U1249" s="10">
        <f>IF(AND(ISNUMBER(M1249),ISNUMBER(N1249)),IF(N1249&gt;0,M1249/N1249,""),"")</f>
        <v/>
      </c>
      <c r="V1249" s="10">
        <f>IF(AND(ISNUMBER(M1249),ISNUMBER(O1249)),IF(O1249&gt;0,M1249/O1249,""),"")</f>
        <v/>
      </c>
      <c r="W1249" s="10">
        <f>IF(AND(ISNUMBER(M1249),ISNUMBER(R1249)),IF(R1249&gt;0,M1249/R1249,""),"")</f>
        <v/>
      </c>
      <c r="X1249" s="10">
        <f>IF(AND(ISNUMBER(Q1249),ISNUMBER(M1249)),IF(M1249&gt;0,Q1249/M1249,""),"")</f>
        <v/>
      </c>
      <c r="Y1249" s="11">
        <f>IF(ISNUMBER(Z1249),YEAR(Z1249),"")</f>
        <v/>
      </c>
      <c r="Z1249" s="12" t="n"/>
      <c r="AA1249" s="12" t="n"/>
      <c r="AI1249" s="12" t="n"/>
      <c r="AJ1249" s="13">
        <f>IF(LEN(TRIM(AF1249))=0,"",HYPERLINK("https://www.google.com/maps/@?api=1&amp;map_action=pano&amp;viewpoint="&amp;SUBSTITUTE(AF1249," ",""),"Abrir Street View"))</f>
        <v/>
      </c>
    </row>
    <row r="1250">
      <c r="H1250" s="6" t="n"/>
      <c r="I1250" s="6" t="n"/>
      <c r="M1250" s="7" t="n"/>
      <c r="N1250" s="7" t="n"/>
      <c r="O1250" s="7" t="n"/>
      <c r="Q1250" s="7" t="n"/>
      <c r="R1250" s="7" t="n"/>
      <c r="S1250" s="8">
        <f>IF(NOT(ISNUMBER(M1250)),"",IF(G1250="Terreno",IF(AND(ISNUMBER(I1250),I1250&gt;0),M1250/I1250,""),IF(AND(ISNUMBER(H1250),H1250&gt;0),M1250/H1250,"")))</f>
        <v/>
      </c>
      <c r="T1250" s="9">
        <f>IF(AND(ISNUMBER(M1250),ISNUMBER(O1250)),IF(M1250&lt;=O1250,"Valor ≤ venal IPTU",""),"")</f>
        <v/>
      </c>
      <c r="U1250" s="10">
        <f>IF(AND(ISNUMBER(M1250),ISNUMBER(N1250)),IF(N1250&gt;0,M1250/N1250,""),"")</f>
        <v/>
      </c>
      <c r="V1250" s="10">
        <f>IF(AND(ISNUMBER(M1250),ISNUMBER(O1250)),IF(O1250&gt;0,M1250/O1250,""),"")</f>
        <v/>
      </c>
      <c r="W1250" s="10">
        <f>IF(AND(ISNUMBER(M1250),ISNUMBER(R1250)),IF(R1250&gt;0,M1250/R1250,""),"")</f>
        <v/>
      </c>
      <c r="X1250" s="10">
        <f>IF(AND(ISNUMBER(Q1250),ISNUMBER(M1250)),IF(M1250&gt;0,Q1250/M1250,""),"")</f>
        <v/>
      </c>
      <c r="Y1250" s="11">
        <f>IF(ISNUMBER(Z1250),YEAR(Z1250),"")</f>
        <v/>
      </c>
      <c r="Z1250" s="12" t="n"/>
      <c r="AA1250" s="12" t="n"/>
      <c r="AI1250" s="12" t="n"/>
      <c r="AJ1250" s="13">
        <f>IF(LEN(TRIM(AF1250))=0,"",HYPERLINK("https://www.google.com/maps/@?api=1&amp;map_action=pano&amp;viewpoint="&amp;SUBSTITUTE(AF1250," ",""),"Abrir Street View"))</f>
        <v/>
      </c>
    </row>
    <row r="1251">
      <c r="H1251" s="6" t="n"/>
      <c r="I1251" s="6" t="n"/>
      <c r="M1251" s="7" t="n"/>
      <c r="N1251" s="7" t="n"/>
      <c r="O1251" s="7" t="n"/>
      <c r="Q1251" s="7" t="n"/>
      <c r="R1251" s="7" t="n"/>
      <c r="S1251" s="8">
        <f>IF(NOT(ISNUMBER(M1251)),"",IF(G1251="Terreno",IF(AND(ISNUMBER(I1251),I1251&gt;0),M1251/I1251,""),IF(AND(ISNUMBER(H1251),H1251&gt;0),M1251/H1251,"")))</f>
        <v/>
      </c>
      <c r="T1251" s="9">
        <f>IF(AND(ISNUMBER(M1251),ISNUMBER(O1251)),IF(M1251&lt;=O1251,"Valor ≤ venal IPTU",""),"")</f>
        <v/>
      </c>
      <c r="U1251" s="10">
        <f>IF(AND(ISNUMBER(M1251),ISNUMBER(N1251)),IF(N1251&gt;0,M1251/N1251,""),"")</f>
        <v/>
      </c>
      <c r="V1251" s="10">
        <f>IF(AND(ISNUMBER(M1251),ISNUMBER(O1251)),IF(O1251&gt;0,M1251/O1251,""),"")</f>
        <v/>
      </c>
      <c r="W1251" s="10">
        <f>IF(AND(ISNUMBER(M1251),ISNUMBER(R1251)),IF(R1251&gt;0,M1251/R1251,""),"")</f>
        <v/>
      </c>
      <c r="X1251" s="10">
        <f>IF(AND(ISNUMBER(Q1251),ISNUMBER(M1251)),IF(M1251&gt;0,Q1251/M1251,""),"")</f>
        <v/>
      </c>
      <c r="Y1251" s="11">
        <f>IF(ISNUMBER(Z1251),YEAR(Z1251),"")</f>
        <v/>
      </c>
      <c r="Z1251" s="12" t="n"/>
      <c r="AA1251" s="12" t="n"/>
      <c r="AI1251" s="12" t="n"/>
      <c r="AJ1251" s="13">
        <f>IF(LEN(TRIM(AF1251))=0,"",HYPERLINK("https://www.google.com/maps/@?api=1&amp;map_action=pano&amp;viewpoint="&amp;SUBSTITUTE(AF1251," ",""),"Abrir Street View"))</f>
        <v/>
      </c>
    </row>
    <row r="1252">
      <c r="H1252" s="6" t="n"/>
      <c r="I1252" s="6" t="n"/>
      <c r="M1252" s="7" t="n"/>
      <c r="N1252" s="7" t="n"/>
      <c r="O1252" s="7" t="n"/>
      <c r="Q1252" s="7" t="n"/>
      <c r="R1252" s="7" t="n"/>
      <c r="S1252" s="8">
        <f>IF(NOT(ISNUMBER(M1252)),"",IF(G1252="Terreno",IF(AND(ISNUMBER(I1252),I1252&gt;0),M1252/I1252,""),IF(AND(ISNUMBER(H1252),H1252&gt;0),M1252/H1252,"")))</f>
        <v/>
      </c>
      <c r="T1252" s="9">
        <f>IF(AND(ISNUMBER(M1252),ISNUMBER(O1252)),IF(M1252&lt;=O1252,"Valor ≤ venal IPTU",""),"")</f>
        <v/>
      </c>
      <c r="U1252" s="10">
        <f>IF(AND(ISNUMBER(M1252),ISNUMBER(N1252)),IF(N1252&gt;0,M1252/N1252,""),"")</f>
        <v/>
      </c>
      <c r="V1252" s="10">
        <f>IF(AND(ISNUMBER(M1252),ISNUMBER(O1252)),IF(O1252&gt;0,M1252/O1252,""),"")</f>
        <v/>
      </c>
      <c r="W1252" s="10">
        <f>IF(AND(ISNUMBER(M1252),ISNUMBER(R1252)),IF(R1252&gt;0,M1252/R1252,""),"")</f>
        <v/>
      </c>
      <c r="X1252" s="10">
        <f>IF(AND(ISNUMBER(Q1252),ISNUMBER(M1252)),IF(M1252&gt;0,Q1252/M1252,""),"")</f>
        <v/>
      </c>
      <c r="Y1252" s="11">
        <f>IF(ISNUMBER(Z1252),YEAR(Z1252),"")</f>
        <v/>
      </c>
      <c r="Z1252" s="12" t="n"/>
      <c r="AA1252" s="12" t="n"/>
      <c r="AI1252" s="12" t="n"/>
      <c r="AJ1252" s="13">
        <f>IF(LEN(TRIM(AF1252))=0,"",HYPERLINK("https://www.google.com/maps/@?api=1&amp;map_action=pano&amp;viewpoint="&amp;SUBSTITUTE(AF1252," ",""),"Abrir Street View"))</f>
        <v/>
      </c>
    </row>
    <row r="1253">
      <c r="H1253" s="6" t="n"/>
      <c r="I1253" s="6" t="n"/>
      <c r="M1253" s="7" t="n"/>
      <c r="N1253" s="7" t="n"/>
      <c r="O1253" s="7" t="n"/>
      <c r="Q1253" s="7" t="n"/>
      <c r="R1253" s="7" t="n"/>
      <c r="S1253" s="8">
        <f>IF(NOT(ISNUMBER(M1253)),"",IF(G1253="Terreno",IF(AND(ISNUMBER(I1253),I1253&gt;0),M1253/I1253,""),IF(AND(ISNUMBER(H1253),H1253&gt;0),M1253/H1253,"")))</f>
        <v/>
      </c>
      <c r="T1253" s="9">
        <f>IF(AND(ISNUMBER(M1253),ISNUMBER(O1253)),IF(M1253&lt;=O1253,"Valor ≤ venal IPTU",""),"")</f>
        <v/>
      </c>
      <c r="U1253" s="10">
        <f>IF(AND(ISNUMBER(M1253),ISNUMBER(N1253)),IF(N1253&gt;0,M1253/N1253,""),"")</f>
        <v/>
      </c>
      <c r="V1253" s="10">
        <f>IF(AND(ISNUMBER(M1253),ISNUMBER(O1253)),IF(O1253&gt;0,M1253/O1253,""),"")</f>
        <v/>
      </c>
      <c r="W1253" s="10">
        <f>IF(AND(ISNUMBER(M1253),ISNUMBER(R1253)),IF(R1253&gt;0,M1253/R1253,""),"")</f>
        <v/>
      </c>
      <c r="X1253" s="10">
        <f>IF(AND(ISNUMBER(Q1253),ISNUMBER(M1253)),IF(M1253&gt;0,Q1253/M1253,""),"")</f>
        <v/>
      </c>
      <c r="Y1253" s="11">
        <f>IF(ISNUMBER(Z1253),YEAR(Z1253),"")</f>
        <v/>
      </c>
      <c r="Z1253" s="12" t="n"/>
      <c r="AA1253" s="12" t="n"/>
      <c r="AI1253" s="12" t="n"/>
      <c r="AJ1253" s="13">
        <f>IF(LEN(TRIM(AF1253))=0,"",HYPERLINK("https://www.google.com/maps/@?api=1&amp;map_action=pano&amp;viewpoint="&amp;SUBSTITUTE(AF1253," ",""),"Abrir Street View"))</f>
        <v/>
      </c>
    </row>
    <row r="1254">
      <c r="H1254" s="6" t="n"/>
      <c r="I1254" s="6" t="n"/>
      <c r="M1254" s="7" t="n"/>
      <c r="N1254" s="7" t="n"/>
      <c r="O1254" s="7" t="n"/>
      <c r="Q1254" s="7" t="n"/>
      <c r="R1254" s="7" t="n"/>
      <c r="S1254" s="8">
        <f>IF(NOT(ISNUMBER(M1254)),"",IF(G1254="Terreno",IF(AND(ISNUMBER(I1254),I1254&gt;0),M1254/I1254,""),IF(AND(ISNUMBER(H1254),H1254&gt;0),M1254/H1254,"")))</f>
        <v/>
      </c>
      <c r="T1254" s="9">
        <f>IF(AND(ISNUMBER(M1254),ISNUMBER(O1254)),IF(M1254&lt;=O1254,"Valor ≤ venal IPTU",""),"")</f>
        <v/>
      </c>
      <c r="U1254" s="10">
        <f>IF(AND(ISNUMBER(M1254),ISNUMBER(N1254)),IF(N1254&gt;0,M1254/N1254,""),"")</f>
        <v/>
      </c>
      <c r="V1254" s="10">
        <f>IF(AND(ISNUMBER(M1254),ISNUMBER(O1254)),IF(O1254&gt;0,M1254/O1254,""),"")</f>
        <v/>
      </c>
      <c r="W1254" s="10">
        <f>IF(AND(ISNUMBER(M1254),ISNUMBER(R1254)),IF(R1254&gt;0,M1254/R1254,""),"")</f>
        <v/>
      </c>
      <c r="X1254" s="10">
        <f>IF(AND(ISNUMBER(Q1254),ISNUMBER(M1254)),IF(M1254&gt;0,Q1254/M1254,""),"")</f>
        <v/>
      </c>
      <c r="Y1254" s="11">
        <f>IF(ISNUMBER(Z1254),YEAR(Z1254),"")</f>
        <v/>
      </c>
      <c r="Z1254" s="12" t="n"/>
      <c r="AA1254" s="12" t="n"/>
      <c r="AI1254" s="12" t="n"/>
      <c r="AJ1254" s="13">
        <f>IF(LEN(TRIM(AF1254))=0,"",HYPERLINK("https://www.google.com/maps/@?api=1&amp;map_action=pano&amp;viewpoint="&amp;SUBSTITUTE(AF1254," ",""),"Abrir Street View"))</f>
        <v/>
      </c>
    </row>
    <row r="1255">
      <c r="H1255" s="6" t="n"/>
      <c r="I1255" s="6" t="n"/>
      <c r="M1255" s="7" t="n"/>
      <c r="N1255" s="7" t="n"/>
      <c r="O1255" s="7" t="n"/>
      <c r="Q1255" s="7" t="n"/>
      <c r="R1255" s="7" t="n"/>
      <c r="S1255" s="8">
        <f>IF(NOT(ISNUMBER(M1255)),"",IF(G1255="Terreno",IF(AND(ISNUMBER(I1255),I1255&gt;0),M1255/I1255,""),IF(AND(ISNUMBER(H1255),H1255&gt;0),M1255/H1255,"")))</f>
        <v/>
      </c>
      <c r="T1255" s="9">
        <f>IF(AND(ISNUMBER(M1255),ISNUMBER(O1255)),IF(M1255&lt;=O1255,"Valor ≤ venal IPTU",""),"")</f>
        <v/>
      </c>
      <c r="U1255" s="10">
        <f>IF(AND(ISNUMBER(M1255),ISNUMBER(N1255)),IF(N1255&gt;0,M1255/N1255,""),"")</f>
        <v/>
      </c>
      <c r="V1255" s="10">
        <f>IF(AND(ISNUMBER(M1255),ISNUMBER(O1255)),IF(O1255&gt;0,M1255/O1255,""),"")</f>
        <v/>
      </c>
      <c r="W1255" s="10">
        <f>IF(AND(ISNUMBER(M1255),ISNUMBER(R1255)),IF(R1255&gt;0,M1255/R1255,""),"")</f>
        <v/>
      </c>
      <c r="X1255" s="10">
        <f>IF(AND(ISNUMBER(Q1255),ISNUMBER(M1255)),IF(M1255&gt;0,Q1255/M1255,""),"")</f>
        <v/>
      </c>
      <c r="Y1255" s="11">
        <f>IF(ISNUMBER(Z1255),YEAR(Z1255),"")</f>
        <v/>
      </c>
      <c r="Z1255" s="12" t="n"/>
      <c r="AA1255" s="12" t="n"/>
      <c r="AI1255" s="12" t="n"/>
      <c r="AJ1255" s="13">
        <f>IF(LEN(TRIM(AF1255))=0,"",HYPERLINK("https://www.google.com/maps/@?api=1&amp;map_action=pano&amp;viewpoint="&amp;SUBSTITUTE(AF1255," ",""),"Abrir Street View"))</f>
        <v/>
      </c>
    </row>
    <row r="1256">
      <c r="H1256" s="6" t="n"/>
      <c r="I1256" s="6" t="n"/>
      <c r="M1256" s="7" t="n"/>
      <c r="N1256" s="7" t="n"/>
      <c r="O1256" s="7" t="n"/>
      <c r="Q1256" s="7" t="n"/>
      <c r="R1256" s="7" t="n"/>
      <c r="S1256" s="8">
        <f>IF(NOT(ISNUMBER(M1256)),"",IF(G1256="Terreno",IF(AND(ISNUMBER(I1256),I1256&gt;0),M1256/I1256,""),IF(AND(ISNUMBER(H1256),H1256&gt;0),M1256/H1256,"")))</f>
        <v/>
      </c>
      <c r="T1256" s="9">
        <f>IF(AND(ISNUMBER(M1256),ISNUMBER(O1256)),IF(M1256&lt;=O1256,"Valor ≤ venal IPTU",""),"")</f>
        <v/>
      </c>
      <c r="U1256" s="10">
        <f>IF(AND(ISNUMBER(M1256),ISNUMBER(N1256)),IF(N1256&gt;0,M1256/N1256,""),"")</f>
        <v/>
      </c>
      <c r="V1256" s="10">
        <f>IF(AND(ISNUMBER(M1256),ISNUMBER(O1256)),IF(O1256&gt;0,M1256/O1256,""),"")</f>
        <v/>
      </c>
      <c r="W1256" s="10">
        <f>IF(AND(ISNUMBER(M1256),ISNUMBER(R1256)),IF(R1256&gt;0,M1256/R1256,""),"")</f>
        <v/>
      </c>
      <c r="X1256" s="10">
        <f>IF(AND(ISNUMBER(Q1256),ISNUMBER(M1256)),IF(M1256&gt;0,Q1256/M1256,""),"")</f>
        <v/>
      </c>
      <c r="Y1256" s="11">
        <f>IF(ISNUMBER(Z1256),YEAR(Z1256),"")</f>
        <v/>
      </c>
      <c r="Z1256" s="12" t="n"/>
      <c r="AA1256" s="12" t="n"/>
      <c r="AI1256" s="12" t="n"/>
      <c r="AJ1256" s="13">
        <f>IF(LEN(TRIM(AF1256))=0,"",HYPERLINK("https://www.google.com/maps/@?api=1&amp;map_action=pano&amp;viewpoint="&amp;SUBSTITUTE(AF1256," ",""),"Abrir Street View"))</f>
        <v/>
      </c>
    </row>
    <row r="1257">
      <c r="H1257" s="6" t="n"/>
      <c r="I1257" s="6" t="n"/>
      <c r="M1257" s="7" t="n"/>
      <c r="N1257" s="7" t="n"/>
      <c r="O1257" s="7" t="n"/>
      <c r="Q1257" s="7" t="n"/>
      <c r="R1257" s="7" t="n"/>
      <c r="S1257" s="8">
        <f>IF(NOT(ISNUMBER(M1257)),"",IF(G1257="Terreno",IF(AND(ISNUMBER(I1257),I1257&gt;0),M1257/I1257,""),IF(AND(ISNUMBER(H1257),H1257&gt;0),M1257/H1257,"")))</f>
        <v/>
      </c>
      <c r="T1257" s="9">
        <f>IF(AND(ISNUMBER(M1257),ISNUMBER(O1257)),IF(M1257&lt;=O1257,"Valor ≤ venal IPTU",""),"")</f>
        <v/>
      </c>
      <c r="U1257" s="10">
        <f>IF(AND(ISNUMBER(M1257),ISNUMBER(N1257)),IF(N1257&gt;0,M1257/N1257,""),"")</f>
        <v/>
      </c>
      <c r="V1257" s="10">
        <f>IF(AND(ISNUMBER(M1257),ISNUMBER(O1257)),IF(O1257&gt;0,M1257/O1257,""),"")</f>
        <v/>
      </c>
      <c r="W1257" s="10">
        <f>IF(AND(ISNUMBER(M1257),ISNUMBER(R1257)),IF(R1257&gt;0,M1257/R1257,""),"")</f>
        <v/>
      </c>
      <c r="X1257" s="10">
        <f>IF(AND(ISNUMBER(Q1257),ISNUMBER(M1257)),IF(M1257&gt;0,Q1257/M1257,""),"")</f>
        <v/>
      </c>
      <c r="Y1257" s="11">
        <f>IF(ISNUMBER(Z1257),YEAR(Z1257),"")</f>
        <v/>
      </c>
      <c r="Z1257" s="12" t="n"/>
      <c r="AA1257" s="12" t="n"/>
      <c r="AI1257" s="12" t="n"/>
      <c r="AJ1257" s="13">
        <f>IF(LEN(TRIM(AF1257))=0,"",HYPERLINK("https://www.google.com/maps/@?api=1&amp;map_action=pano&amp;viewpoint="&amp;SUBSTITUTE(AF1257," ",""),"Abrir Street View"))</f>
        <v/>
      </c>
    </row>
    <row r="1258">
      <c r="H1258" s="6" t="n"/>
      <c r="I1258" s="6" t="n"/>
      <c r="M1258" s="7" t="n"/>
      <c r="N1258" s="7" t="n"/>
      <c r="O1258" s="7" t="n"/>
      <c r="Q1258" s="7" t="n"/>
      <c r="R1258" s="7" t="n"/>
      <c r="S1258" s="8">
        <f>IF(NOT(ISNUMBER(M1258)),"",IF(G1258="Terreno",IF(AND(ISNUMBER(I1258),I1258&gt;0),M1258/I1258,""),IF(AND(ISNUMBER(H1258),H1258&gt;0),M1258/H1258,"")))</f>
        <v/>
      </c>
      <c r="T1258" s="9">
        <f>IF(AND(ISNUMBER(M1258),ISNUMBER(O1258)),IF(M1258&lt;=O1258,"Valor ≤ venal IPTU",""),"")</f>
        <v/>
      </c>
      <c r="U1258" s="10">
        <f>IF(AND(ISNUMBER(M1258),ISNUMBER(N1258)),IF(N1258&gt;0,M1258/N1258,""),"")</f>
        <v/>
      </c>
      <c r="V1258" s="10">
        <f>IF(AND(ISNUMBER(M1258),ISNUMBER(O1258)),IF(O1258&gt;0,M1258/O1258,""),"")</f>
        <v/>
      </c>
      <c r="W1258" s="10">
        <f>IF(AND(ISNUMBER(M1258),ISNUMBER(R1258)),IF(R1258&gt;0,M1258/R1258,""),"")</f>
        <v/>
      </c>
      <c r="X1258" s="10">
        <f>IF(AND(ISNUMBER(Q1258),ISNUMBER(M1258)),IF(M1258&gt;0,Q1258/M1258,""),"")</f>
        <v/>
      </c>
      <c r="Y1258" s="11">
        <f>IF(ISNUMBER(Z1258),YEAR(Z1258),"")</f>
        <v/>
      </c>
      <c r="Z1258" s="12" t="n"/>
      <c r="AA1258" s="12" t="n"/>
      <c r="AI1258" s="12" t="n"/>
      <c r="AJ1258" s="13">
        <f>IF(LEN(TRIM(AF1258))=0,"",HYPERLINK("https://www.google.com/maps/@?api=1&amp;map_action=pano&amp;viewpoint="&amp;SUBSTITUTE(AF1258," ",""),"Abrir Street View"))</f>
        <v/>
      </c>
    </row>
    <row r="1259">
      <c r="H1259" s="6" t="n"/>
      <c r="I1259" s="6" t="n"/>
      <c r="M1259" s="7" t="n"/>
      <c r="N1259" s="7" t="n"/>
      <c r="O1259" s="7" t="n"/>
      <c r="Q1259" s="7" t="n"/>
      <c r="R1259" s="7" t="n"/>
      <c r="S1259" s="8">
        <f>IF(NOT(ISNUMBER(M1259)),"",IF(G1259="Terreno",IF(AND(ISNUMBER(I1259),I1259&gt;0),M1259/I1259,""),IF(AND(ISNUMBER(H1259),H1259&gt;0),M1259/H1259,"")))</f>
        <v/>
      </c>
      <c r="T1259" s="9">
        <f>IF(AND(ISNUMBER(M1259),ISNUMBER(O1259)),IF(M1259&lt;=O1259,"Valor ≤ venal IPTU",""),"")</f>
        <v/>
      </c>
      <c r="U1259" s="10">
        <f>IF(AND(ISNUMBER(M1259),ISNUMBER(N1259)),IF(N1259&gt;0,M1259/N1259,""),"")</f>
        <v/>
      </c>
      <c r="V1259" s="10">
        <f>IF(AND(ISNUMBER(M1259),ISNUMBER(O1259)),IF(O1259&gt;0,M1259/O1259,""),"")</f>
        <v/>
      </c>
      <c r="W1259" s="10">
        <f>IF(AND(ISNUMBER(M1259),ISNUMBER(R1259)),IF(R1259&gt;0,M1259/R1259,""),"")</f>
        <v/>
      </c>
      <c r="X1259" s="10">
        <f>IF(AND(ISNUMBER(Q1259),ISNUMBER(M1259)),IF(M1259&gt;0,Q1259/M1259,""),"")</f>
        <v/>
      </c>
      <c r="Y1259" s="11">
        <f>IF(ISNUMBER(Z1259),YEAR(Z1259),"")</f>
        <v/>
      </c>
      <c r="Z1259" s="12" t="n"/>
      <c r="AA1259" s="12" t="n"/>
      <c r="AI1259" s="12" t="n"/>
      <c r="AJ1259" s="13">
        <f>IF(LEN(TRIM(AF1259))=0,"",HYPERLINK("https://www.google.com/maps/@?api=1&amp;map_action=pano&amp;viewpoint="&amp;SUBSTITUTE(AF1259," ",""),"Abrir Street View"))</f>
        <v/>
      </c>
    </row>
    <row r="1260">
      <c r="H1260" s="6" t="n"/>
      <c r="I1260" s="6" t="n"/>
      <c r="M1260" s="7" t="n"/>
      <c r="N1260" s="7" t="n"/>
      <c r="O1260" s="7" t="n"/>
      <c r="Q1260" s="7" t="n"/>
      <c r="R1260" s="7" t="n"/>
      <c r="S1260" s="8">
        <f>IF(NOT(ISNUMBER(M1260)),"",IF(G1260="Terreno",IF(AND(ISNUMBER(I1260),I1260&gt;0),M1260/I1260,""),IF(AND(ISNUMBER(H1260),H1260&gt;0),M1260/H1260,"")))</f>
        <v/>
      </c>
      <c r="T1260" s="9">
        <f>IF(AND(ISNUMBER(M1260),ISNUMBER(O1260)),IF(M1260&lt;=O1260,"Valor ≤ venal IPTU",""),"")</f>
        <v/>
      </c>
      <c r="U1260" s="10">
        <f>IF(AND(ISNUMBER(M1260),ISNUMBER(N1260)),IF(N1260&gt;0,M1260/N1260,""),"")</f>
        <v/>
      </c>
      <c r="V1260" s="10">
        <f>IF(AND(ISNUMBER(M1260),ISNUMBER(O1260)),IF(O1260&gt;0,M1260/O1260,""),"")</f>
        <v/>
      </c>
      <c r="W1260" s="10">
        <f>IF(AND(ISNUMBER(M1260),ISNUMBER(R1260)),IF(R1260&gt;0,M1260/R1260,""),"")</f>
        <v/>
      </c>
      <c r="X1260" s="10">
        <f>IF(AND(ISNUMBER(Q1260),ISNUMBER(M1260)),IF(M1260&gt;0,Q1260/M1260,""),"")</f>
        <v/>
      </c>
      <c r="Y1260" s="11">
        <f>IF(ISNUMBER(Z1260),YEAR(Z1260),"")</f>
        <v/>
      </c>
      <c r="Z1260" s="12" t="n"/>
      <c r="AA1260" s="12" t="n"/>
      <c r="AI1260" s="12" t="n"/>
      <c r="AJ1260" s="13">
        <f>IF(LEN(TRIM(AF1260))=0,"",HYPERLINK("https://www.google.com/maps/@?api=1&amp;map_action=pano&amp;viewpoint="&amp;SUBSTITUTE(AF1260," ",""),"Abrir Street View"))</f>
        <v/>
      </c>
    </row>
    <row r="1261">
      <c r="H1261" s="6" t="n"/>
      <c r="I1261" s="6" t="n"/>
      <c r="M1261" s="7" t="n"/>
      <c r="N1261" s="7" t="n"/>
      <c r="O1261" s="7" t="n"/>
      <c r="Q1261" s="7" t="n"/>
      <c r="R1261" s="7" t="n"/>
      <c r="S1261" s="8">
        <f>IF(NOT(ISNUMBER(M1261)),"",IF(G1261="Terreno",IF(AND(ISNUMBER(I1261),I1261&gt;0),M1261/I1261,""),IF(AND(ISNUMBER(H1261),H1261&gt;0),M1261/H1261,"")))</f>
        <v/>
      </c>
      <c r="T1261" s="9">
        <f>IF(AND(ISNUMBER(M1261),ISNUMBER(O1261)),IF(M1261&lt;=O1261,"Valor ≤ venal IPTU",""),"")</f>
        <v/>
      </c>
      <c r="U1261" s="10">
        <f>IF(AND(ISNUMBER(M1261),ISNUMBER(N1261)),IF(N1261&gt;0,M1261/N1261,""),"")</f>
        <v/>
      </c>
      <c r="V1261" s="10">
        <f>IF(AND(ISNUMBER(M1261),ISNUMBER(O1261)),IF(O1261&gt;0,M1261/O1261,""),"")</f>
        <v/>
      </c>
      <c r="W1261" s="10">
        <f>IF(AND(ISNUMBER(M1261),ISNUMBER(R1261)),IF(R1261&gt;0,M1261/R1261,""),"")</f>
        <v/>
      </c>
      <c r="X1261" s="10">
        <f>IF(AND(ISNUMBER(Q1261),ISNUMBER(M1261)),IF(M1261&gt;0,Q1261/M1261,""),"")</f>
        <v/>
      </c>
      <c r="Y1261" s="11">
        <f>IF(ISNUMBER(Z1261),YEAR(Z1261),"")</f>
        <v/>
      </c>
      <c r="Z1261" s="12" t="n"/>
      <c r="AA1261" s="12" t="n"/>
      <c r="AI1261" s="12" t="n"/>
      <c r="AJ1261" s="13">
        <f>IF(LEN(TRIM(AF1261))=0,"",HYPERLINK("https://www.google.com/maps/@?api=1&amp;map_action=pano&amp;viewpoint="&amp;SUBSTITUTE(AF1261," ",""),"Abrir Street View"))</f>
        <v/>
      </c>
    </row>
    <row r="1262">
      <c r="H1262" s="6" t="n"/>
      <c r="I1262" s="6" t="n"/>
      <c r="M1262" s="7" t="n"/>
      <c r="N1262" s="7" t="n"/>
      <c r="O1262" s="7" t="n"/>
      <c r="Q1262" s="7" t="n"/>
      <c r="R1262" s="7" t="n"/>
      <c r="S1262" s="8">
        <f>IF(NOT(ISNUMBER(M1262)),"",IF(G1262="Terreno",IF(AND(ISNUMBER(I1262),I1262&gt;0),M1262/I1262,""),IF(AND(ISNUMBER(H1262),H1262&gt;0),M1262/H1262,"")))</f>
        <v/>
      </c>
      <c r="T1262" s="9">
        <f>IF(AND(ISNUMBER(M1262),ISNUMBER(O1262)),IF(M1262&lt;=O1262,"Valor ≤ venal IPTU",""),"")</f>
        <v/>
      </c>
      <c r="U1262" s="10">
        <f>IF(AND(ISNUMBER(M1262),ISNUMBER(N1262)),IF(N1262&gt;0,M1262/N1262,""),"")</f>
        <v/>
      </c>
      <c r="V1262" s="10">
        <f>IF(AND(ISNUMBER(M1262),ISNUMBER(O1262)),IF(O1262&gt;0,M1262/O1262,""),"")</f>
        <v/>
      </c>
      <c r="W1262" s="10">
        <f>IF(AND(ISNUMBER(M1262),ISNUMBER(R1262)),IF(R1262&gt;0,M1262/R1262,""),"")</f>
        <v/>
      </c>
      <c r="X1262" s="10">
        <f>IF(AND(ISNUMBER(Q1262),ISNUMBER(M1262)),IF(M1262&gt;0,Q1262/M1262,""),"")</f>
        <v/>
      </c>
      <c r="Y1262" s="11">
        <f>IF(ISNUMBER(Z1262),YEAR(Z1262),"")</f>
        <v/>
      </c>
      <c r="Z1262" s="12" t="n"/>
      <c r="AA1262" s="12" t="n"/>
      <c r="AI1262" s="12" t="n"/>
      <c r="AJ1262" s="13">
        <f>IF(LEN(TRIM(AF1262))=0,"",HYPERLINK("https://www.google.com/maps/@?api=1&amp;map_action=pano&amp;viewpoint="&amp;SUBSTITUTE(AF1262," ",""),"Abrir Street View"))</f>
        <v/>
      </c>
    </row>
    <row r="1263">
      <c r="H1263" s="6" t="n"/>
      <c r="I1263" s="6" t="n"/>
      <c r="M1263" s="7" t="n"/>
      <c r="N1263" s="7" t="n"/>
      <c r="O1263" s="7" t="n"/>
      <c r="Q1263" s="7" t="n"/>
      <c r="R1263" s="7" t="n"/>
      <c r="S1263" s="8">
        <f>IF(NOT(ISNUMBER(M1263)),"",IF(G1263="Terreno",IF(AND(ISNUMBER(I1263),I1263&gt;0),M1263/I1263,""),IF(AND(ISNUMBER(H1263),H1263&gt;0),M1263/H1263,"")))</f>
        <v/>
      </c>
      <c r="T1263" s="9">
        <f>IF(AND(ISNUMBER(M1263),ISNUMBER(O1263)),IF(M1263&lt;=O1263,"Valor ≤ venal IPTU",""),"")</f>
        <v/>
      </c>
      <c r="U1263" s="10">
        <f>IF(AND(ISNUMBER(M1263),ISNUMBER(N1263)),IF(N1263&gt;0,M1263/N1263,""),"")</f>
        <v/>
      </c>
      <c r="V1263" s="10">
        <f>IF(AND(ISNUMBER(M1263),ISNUMBER(O1263)),IF(O1263&gt;0,M1263/O1263,""),"")</f>
        <v/>
      </c>
      <c r="W1263" s="10">
        <f>IF(AND(ISNUMBER(M1263),ISNUMBER(R1263)),IF(R1263&gt;0,M1263/R1263,""),"")</f>
        <v/>
      </c>
      <c r="X1263" s="10">
        <f>IF(AND(ISNUMBER(Q1263),ISNUMBER(M1263)),IF(M1263&gt;0,Q1263/M1263,""),"")</f>
        <v/>
      </c>
      <c r="Y1263" s="11">
        <f>IF(ISNUMBER(Z1263),YEAR(Z1263),"")</f>
        <v/>
      </c>
      <c r="Z1263" s="12" t="n"/>
      <c r="AA1263" s="12" t="n"/>
      <c r="AI1263" s="12" t="n"/>
      <c r="AJ1263" s="13">
        <f>IF(LEN(TRIM(AF1263))=0,"",HYPERLINK("https://www.google.com/maps/@?api=1&amp;map_action=pano&amp;viewpoint="&amp;SUBSTITUTE(AF1263," ",""),"Abrir Street View"))</f>
        <v/>
      </c>
    </row>
    <row r="1264">
      <c r="H1264" s="6" t="n"/>
      <c r="I1264" s="6" t="n"/>
      <c r="M1264" s="7" t="n"/>
      <c r="N1264" s="7" t="n"/>
      <c r="O1264" s="7" t="n"/>
      <c r="Q1264" s="7" t="n"/>
      <c r="R1264" s="7" t="n"/>
      <c r="S1264" s="8">
        <f>IF(NOT(ISNUMBER(M1264)),"",IF(G1264="Terreno",IF(AND(ISNUMBER(I1264),I1264&gt;0),M1264/I1264,""),IF(AND(ISNUMBER(H1264),H1264&gt;0),M1264/H1264,"")))</f>
        <v/>
      </c>
      <c r="T1264" s="9">
        <f>IF(AND(ISNUMBER(M1264),ISNUMBER(O1264)),IF(M1264&lt;=O1264,"Valor ≤ venal IPTU",""),"")</f>
        <v/>
      </c>
      <c r="U1264" s="10">
        <f>IF(AND(ISNUMBER(M1264),ISNUMBER(N1264)),IF(N1264&gt;0,M1264/N1264,""),"")</f>
        <v/>
      </c>
      <c r="V1264" s="10">
        <f>IF(AND(ISNUMBER(M1264),ISNUMBER(O1264)),IF(O1264&gt;0,M1264/O1264,""),"")</f>
        <v/>
      </c>
      <c r="W1264" s="10">
        <f>IF(AND(ISNUMBER(M1264),ISNUMBER(R1264)),IF(R1264&gt;0,M1264/R1264,""),"")</f>
        <v/>
      </c>
      <c r="X1264" s="10">
        <f>IF(AND(ISNUMBER(Q1264),ISNUMBER(M1264)),IF(M1264&gt;0,Q1264/M1264,""),"")</f>
        <v/>
      </c>
      <c r="Y1264" s="11">
        <f>IF(ISNUMBER(Z1264),YEAR(Z1264),"")</f>
        <v/>
      </c>
      <c r="Z1264" s="12" t="n"/>
      <c r="AA1264" s="12" t="n"/>
      <c r="AI1264" s="12" t="n"/>
      <c r="AJ1264" s="13">
        <f>IF(LEN(TRIM(AF1264))=0,"",HYPERLINK("https://www.google.com/maps/@?api=1&amp;map_action=pano&amp;viewpoint="&amp;SUBSTITUTE(AF1264," ",""),"Abrir Street View"))</f>
        <v/>
      </c>
    </row>
    <row r="1265">
      <c r="H1265" s="6" t="n"/>
      <c r="I1265" s="6" t="n"/>
      <c r="M1265" s="7" t="n"/>
      <c r="N1265" s="7" t="n"/>
      <c r="O1265" s="7" t="n"/>
      <c r="Q1265" s="7" t="n"/>
      <c r="R1265" s="7" t="n"/>
      <c r="S1265" s="8">
        <f>IF(NOT(ISNUMBER(M1265)),"",IF(G1265="Terreno",IF(AND(ISNUMBER(I1265),I1265&gt;0),M1265/I1265,""),IF(AND(ISNUMBER(H1265),H1265&gt;0),M1265/H1265,"")))</f>
        <v/>
      </c>
      <c r="T1265" s="9">
        <f>IF(AND(ISNUMBER(M1265),ISNUMBER(O1265)),IF(M1265&lt;=O1265,"Valor ≤ venal IPTU",""),"")</f>
        <v/>
      </c>
      <c r="U1265" s="10">
        <f>IF(AND(ISNUMBER(M1265),ISNUMBER(N1265)),IF(N1265&gt;0,M1265/N1265,""),"")</f>
        <v/>
      </c>
      <c r="V1265" s="10">
        <f>IF(AND(ISNUMBER(M1265),ISNUMBER(O1265)),IF(O1265&gt;0,M1265/O1265,""),"")</f>
        <v/>
      </c>
      <c r="W1265" s="10">
        <f>IF(AND(ISNUMBER(M1265),ISNUMBER(R1265)),IF(R1265&gt;0,M1265/R1265,""),"")</f>
        <v/>
      </c>
      <c r="X1265" s="10">
        <f>IF(AND(ISNUMBER(Q1265),ISNUMBER(M1265)),IF(M1265&gt;0,Q1265/M1265,""),"")</f>
        <v/>
      </c>
      <c r="Y1265" s="11">
        <f>IF(ISNUMBER(Z1265),YEAR(Z1265),"")</f>
        <v/>
      </c>
      <c r="Z1265" s="12" t="n"/>
      <c r="AA1265" s="12" t="n"/>
      <c r="AI1265" s="12" t="n"/>
      <c r="AJ1265" s="13">
        <f>IF(LEN(TRIM(AF1265))=0,"",HYPERLINK("https://www.google.com/maps/@?api=1&amp;map_action=pano&amp;viewpoint="&amp;SUBSTITUTE(AF1265," ",""),"Abrir Street View"))</f>
        <v/>
      </c>
    </row>
    <row r="1266">
      <c r="H1266" s="6" t="n"/>
      <c r="I1266" s="6" t="n"/>
      <c r="M1266" s="7" t="n"/>
      <c r="N1266" s="7" t="n"/>
      <c r="O1266" s="7" t="n"/>
      <c r="Q1266" s="7" t="n"/>
      <c r="R1266" s="7" t="n"/>
      <c r="S1266" s="8">
        <f>IF(NOT(ISNUMBER(M1266)),"",IF(G1266="Terreno",IF(AND(ISNUMBER(I1266),I1266&gt;0),M1266/I1266,""),IF(AND(ISNUMBER(H1266),H1266&gt;0),M1266/H1266,"")))</f>
        <v/>
      </c>
      <c r="T1266" s="9">
        <f>IF(AND(ISNUMBER(M1266),ISNUMBER(O1266)),IF(M1266&lt;=O1266,"Valor ≤ venal IPTU",""),"")</f>
        <v/>
      </c>
      <c r="U1266" s="10">
        <f>IF(AND(ISNUMBER(M1266),ISNUMBER(N1266)),IF(N1266&gt;0,M1266/N1266,""),"")</f>
        <v/>
      </c>
      <c r="V1266" s="10">
        <f>IF(AND(ISNUMBER(M1266),ISNUMBER(O1266)),IF(O1266&gt;0,M1266/O1266,""),"")</f>
        <v/>
      </c>
      <c r="W1266" s="10">
        <f>IF(AND(ISNUMBER(M1266),ISNUMBER(R1266)),IF(R1266&gt;0,M1266/R1266,""),"")</f>
        <v/>
      </c>
      <c r="X1266" s="10">
        <f>IF(AND(ISNUMBER(Q1266),ISNUMBER(M1266)),IF(M1266&gt;0,Q1266/M1266,""),"")</f>
        <v/>
      </c>
      <c r="Y1266" s="11">
        <f>IF(ISNUMBER(Z1266),YEAR(Z1266),"")</f>
        <v/>
      </c>
      <c r="Z1266" s="12" t="n"/>
      <c r="AA1266" s="12" t="n"/>
      <c r="AI1266" s="12" t="n"/>
      <c r="AJ1266" s="13">
        <f>IF(LEN(TRIM(AF1266))=0,"",HYPERLINK("https://www.google.com/maps/@?api=1&amp;map_action=pano&amp;viewpoint="&amp;SUBSTITUTE(AF1266," ",""),"Abrir Street View"))</f>
        <v/>
      </c>
    </row>
    <row r="1267">
      <c r="H1267" s="6" t="n"/>
      <c r="I1267" s="6" t="n"/>
      <c r="M1267" s="7" t="n"/>
      <c r="N1267" s="7" t="n"/>
      <c r="O1267" s="7" t="n"/>
      <c r="Q1267" s="7" t="n"/>
      <c r="R1267" s="7" t="n"/>
      <c r="S1267" s="8">
        <f>IF(NOT(ISNUMBER(M1267)),"",IF(G1267="Terreno",IF(AND(ISNUMBER(I1267),I1267&gt;0),M1267/I1267,""),IF(AND(ISNUMBER(H1267),H1267&gt;0),M1267/H1267,"")))</f>
        <v/>
      </c>
      <c r="T1267" s="9">
        <f>IF(AND(ISNUMBER(M1267),ISNUMBER(O1267)),IF(M1267&lt;=O1267,"Valor ≤ venal IPTU",""),"")</f>
        <v/>
      </c>
      <c r="U1267" s="10">
        <f>IF(AND(ISNUMBER(M1267),ISNUMBER(N1267)),IF(N1267&gt;0,M1267/N1267,""),"")</f>
        <v/>
      </c>
      <c r="V1267" s="10">
        <f>IF(AND(ISNUMBER(M1267),ISNUMBER(O1267)),IF(O1267&gt;0,M1267/O1267,""),"")</f>
        <v/>
      </c>
      <c r="W1267" s="10">
        <f>IF(AND(ISNUMBER(M1267),ISNUMBER(R1267)),IF(R1267&gt;0,M1267/R1267,""),"")</f>
        <v/>
      </c>
      <c r="X1267" s="10">
        <f>IF(AND(ISNUMBER(Q1267),ISNUMBER(M1267)),IF(M1267&gt;0,Q1267/M1267,""),"")</f>
        <v/>
      </c>
      <c r="Y1267" s="11">
        <f>IF(ISNUMBER(Z1267),YEAR(Z1267),"")</f>
        <v/>
      </c>
      <c r="Z1267" s="12" t="n"/>
      <c r="AA1267" s="12" t="n"/>
      <c r="AI1267" s="12" t="n"/>
      <c r="AJ1267" s="13">
        <f>IF(LEN(TRIM(AF1267))=0,"",HYPERLINK("https://www.google.com/maps/@?api=1&amp;map_action=pano&amp;viewpoint="&amp;SUBSTITUTE(AF1267," ",""),"Abrir Street View"))</f>
        <v/>
      </c>
    </row>
    <row r="1268">
      <c r="H1268" s="6" t="n"/>
      <c r="I1268" s="6" t="n"/>
      <c r="M1268" s="7" t="n"/>
      <c r="N1268" s="7" t="n"/>
      <c r="O1268" s="7" t="n"/>
      <c r="Q1268" s="7" t="n"/>
      <c r="R1268" s="7" t="n"/>
      <c r="S1268" s="8">
        <f>IF(NOT(ISNUMBER(M1268)),"",IF(G1268="Terreno",IF(AND(ISNUMBER(I1268),I1268&gt;0),M1268/I1268,""),IF(AND(ISNUMBER(H1268),H1268&gt;0),M1268/H1268,"")))</f>
        <v/>
      </c>
      <c r="T1268" s="9">
        <f>IF(AND(ISNUMBER(M1268),ISNUMBER(O1268)),IF(M1268&lt;=O1268,"Valor ≤ venal IPTU",""),"")</f>
        <v/>
      </c>
      <c r="U1268" s="10">
        <f>IF(AND(ISNUMBER(M1268),ISNUMBER(N1268)),IF(N1268&gt;0,M1268/N1268,""),"")</f>
        <v/>
      </c>
      <c r="V1268" s="10">
        <f>IF(AND(ISNUMBER(M1268),ISNUMBER(O1268)),IF(O1268&gt;0,M1268/O1268,""),"")</f>
        <v/>
      </c>
      <c r="W1268" s="10">
        <f>IF(AND(ISNUMBER(M1268),ISNUMBER(R1268)),IF(R1268&gt;0,M1268/R1268,""),"")</f>
        <v/>
      </c>
      <c r="X1268" s="10">
        <f>IF(AND(ISNUMBER(Q1268),ISNUMBER(M1268)),IF(M1268&gt;0,Q1268/M1268,""),"")</f>
        <v/>
      </c>
      <c r="Y1268" s="11">
        <f>IF(ISNUMBER(Z1268),YEAR(Z1268),"")</f>
        <v/>
      </c>
      <c r="Z1268" s="12" t="n"/>
      <c r="AA1268" s="12" t="n"/>
      <c r="AI1268" s="12" t="n"/>
      <c r="AJ1268" s="13">
        <f>IF(LEN(TRIM(AF1268))=0,"",HYPERLINK("https://www.google.com/maps/@?api=1&amp;map_action=pano&amp;viewpoint="&amp;SUBSTITUTE(AF1268," ",""),"Abrir Street View"))</f>
        <v/>
      </c>
    </row>
    <row r="1269">
      <c r="H1269" s="6" t="n"/>
      <c r="I1269" s="6" t="n"/>
      <c r="M1269" s="7" t="n"/>
      <c r="N1269" s="7" t="n"/>
      <c r="O1269" s="7" t="n"/>
      <c r="Q1269" s="7" t="n"/>
      <c r="R1269" s="7" t="n"/>
      <c r="S1269" s="8">
        <f>IF(NOT(ISNUMBER(M1269)),"",IF(G1269="Terreno",IF(AND(ISNUMBER(I1269),I1269&gt;0),M1269/I1269,""),IF(AND(ISNUMBER(H1269),H1269&gt;0),M1269/H1269,"")))</f>
        <v/>
      </c>
      <c r="T1269" s="9">
        <f>IF(AND(ISNUMBER(M1269),ISNUMBER(O1269)),IF(M1269&lt;=O1269,"Valor ≤ venal IPTU",""),"")</f>
        <v/>
      </c>
      <c r="U1269" s="10">
        <f>IF(AND(ISNUMBER(M1269),ISNUMBER(N1269)),IF(N1269&gt;0,M1269/N1269,""),"")</f>
        <v/>
      </c>
      <c r="V1269" s="10">
        <f>IF(AND(ISNUMBER(M1269),ISNUMBER(O1269)),IF(O1269&gt;0,M1269/O1269,""),"")</f>
        <v/>
      </c>
      <c r="W1269" s="10">
        <f>IF(AND(ISNUMBER(M1269),ISNUMBER(R1269)),IF(R1269&gt;0,M1269/R1269,""),"")</f>
        <v/>
      </c>
      <c r="X1269" s="10">
        <f>IF(AND(ISNUMBER(Q1269),ISNUMBER(M1269)),IF(M1269&gt;0,Q1269/M1269,""),"")</f>
        <v/>
      </c>
      <c r="Y1269" s="11">
        <f>IF(ISNUMBER(Z1269),YEAR(Z1269),"")</f>
        <v/>
      </c>
      <c r="Z1269" s="12" t="n"/>
      <c r="AA1269" s="12" t="n"/>
      <c r="AI1269" s="12" t="n"/>
      <c r="AJ1269" s="13">
        <f>IF(LEN(TRIM(AF1269))=0,"",HYPERLINK("https://www.google.com/maps/@?api=1&amp;map_action=pano&amp;viewpoint="&amp;SUBSTITUTE(AF1269," ",""),"Abrir Street View"))</f>
        <v/>
      </c>
    </row>
    <row r="1270">
      <c r="H1270" s="6" t="n"/>
      <c r="I1270" s="6" t="n"/>
      <c r="M1270" s="7" t="n"/>
      <c r="N1270" s="7" t="n"/>
      <c r="O1270" s="7" t="n"/>
      <c r="Q1270" s="7" t="n"/>
      <c r="R1270" s="7" t="n"/>
      <c r="S1270" s="8">
        <f>IF(NOT(ISNUMBER(M1270)),"",IF(G1270="Terreno",IF(AND(ISNUMBER(I1270),I1270&gt;0),M1270/I1270,""),IF(AND(ISNUMBER(H1270),H1270&gt;0),M1270/H1270,"")))</f>
        <v/>
      </c>
      <c r="T1270" s="9">
        <f>IF(AND(ISNUMBER(M1270),ISNUMBER(O1270)),IF(M1270&lt;=O1270,"Valor ≤ venal IPTU",""),"")</f>
        <v/>
      </c>
      <c r="U1270" s="10">
        <f>IF(AND(ISNUMBER(M1270),ISNUMBER(N1270)),IF(N1270&gt;0,M1270/N1270,""),"")</f>
        <v/>
      </c>
      <c r="V1270" s="10">
        <f>IF(AND(ISNUMBER(M1270),ISNUMBER(O1270)),IF(O1270&gt;0,M1270/O1270,""),"")</f>
        <v/>
      </c>
      <c r="W1270" s="10">
        <f>IF(AND(ISNUMBER(M1270),ISNUMBER(R1270)),IF(R1270&gt;0,M1270/R1270,""),"")</f>
        <v/>
      </c>
      <c r="X1270" s="10">
        <f>IF(AND(ISNUMBER(Q1270),ISNUMBER(M1270)),IF(M1270&gt;0,Q1270/M1270,""),"")</f>
        <v/>
      </c>
      <c r="Y1270" s="11">
        <f>IF(ISNUMBER(Z1270),YEAR(Z1270),"")</f>
        <v/>
      </c>
      <c r="Z1270" s="12" t="n"/>
      <c r="AA1270" s="12" t="n"/>
      <c r="AI1270" s="12" t="n"/>
      <c r="AJ1270" s="13">
        <f>IF(LEN(TRIM(AF1270))=0,"",HYPERLINK("https://www.google.com/maps/@?api=1&amp;map_action=pano&amp;viewpoint="&amp;SUBSTITUTE(AF1270," ",""),"Abrir Street View"))</f>
        <v/>
      </c>
    </row>
    <row r="1271">
      <c r="H1271" s="6" t="n"/>
      <c r="I1271" s="6" t="n"/>
      <c r="M1271" s="7" t="n"/>
      <c r="N1271" s="7" t="n"/>
      <c r="O1271" s="7" t="n"/>
      <c r="Q1271" s="7" t="n"/>
      <c r="R1271" s="7" t="n"/>
      <c r="S1271" s="8">
        <f>IF(NOT(ISNUMBER(M1271)),"",IF(G1271="Terreno",IF(AND(ISNUMBER(I1271),I1271&gt;0),M1271/I1271,""),IF(AND(ISNUMBER(H1271),H1271&gt;0),M1271/H1271,"")))</f>
        <v/>
      </c>
      <c r="T1271" s="9">
        <f>IF(AND(ISNUMBER(M1271),ISNUMBER(O1271)),IF(M1271&lt;=O1271,"Valor ≤ venal IPTU",""),"")</f>
        <v/>
      </c>
      <c r="U1271" s="10">
        <f>IF(AND(ISNUMBER(M1271),ISNUMBER(N1271)),IF(N1271&gt;0,M1271/N1271,""),"")</f>
        <v/>
      </c>
      <c r="V1271" s="10">
        <f>IF(AND(ISNUMBER(M1271),ISNUMBER(O1271)),IF(O1271&gt;0,M1271/O1271,""),"")</f>
        <v/>
      </c>
      <c r="W1271" s="10">
        <f>IF(AND(ISNUMBER(M1271),ISNUMBER(R1271)),IF(R1271&gt;0,M1271/R1271,""),"")</f>
        <v/>
      </c>
      <c r="X1271" s="10">
        <f>IF(AND(ISNUMBER(Q1271),ISNUMBER(M1271)),IF(M1271&gt;0,Q1271/M1271,""),"")</f>
        <v/>
      </c>
      <c r="Y1271" s="11">
        <f>IF(ISNUMBER(Z1271),YEAR(Z1271),"")</f>
        <v/>
      </c>
      <c r="Z1271" s="12" t="n"/>
      <c r="AA1271" s="12" t="n"/>
      <c r="AI1271" s="12" t="n"/>
      <c r="AJ1271" s="13">
        <f>IF(LEN(TRIM(AF1271))=0,"",HYPERLINK("https://www.google.com/maps/@?api=1&amp;map_action=pano&amp;viewpoint="&amp;SUBSTITUTE(AF1271," ",""),"Abrir Street View"))</f>
        <v/>
      </c>
    </row>
    <row r="1272">
      <c r="H1272" s="6" t="n"/>
      <c r="I1272" s="6" t="n"/>
      <c r="M1272" s="7" t="n"/>
      <c r="N1272" s="7" t="n"/>
      <c r="O1272" s="7" t="n"/>
      <c r="Q1272" s="7" t="n"/>
      <c r="R1272" s="7" t="n"/>
      <c r="S1272" s="8">
        <f>IF(NOT(ISNUMBER(M1272)),"",IF(G1272="Terreno",IF(AND(ISNUMBER(I1272),I1272&gt;0),M1272/I1272,""),IF(AND(ISNUMBER(H1272),H1272&gt;0),M1272/H1272,"")))</f>
        <v/>
      </c>
      <c r="T1272" s="9">
        <f>IF(AND(ISNUMBER(M1272),ISNUMBER(O1272)),IF(M1272&lt;=O1272,"Valor ≤ venal IPTU",""),"")</f>
        <v/>
      </c>
      <c r="U1272" s="10">
        <f>IF(AND(ISNUMBER(M1272),ISNUMBER(N1272)),IF(N1272&gt;0,M1272/N1272,""),"")</f>
        <v/>
      </c>
      <c r="V1272" s="10">
        <f>IF(AND(ISNUMBER(M1272),ISNUMBER(O1272)),IF(O1272&gt;0,M1272/O1272,""),"")</f>
        <v/>
      </c>
      <c r="W1272" s="10">
        <f>IF(AND(ISNUMBER(M1272),ISNUMBER(R1272)),IF(R1272&gt;0,M1272/R1272,""),"")</f>
        <v/>
      </c>
      <c r="X1272" s="10">
        <f>IF(AND(ISNUMBER(Q1272),ISNUMBER(M1272)),IF(M1272&gt;0,Q1272/M1272,""),"")</f>
        <v/>
      </c>
      <c r="Y1272" s="11">
        <f>IF(ISNUMBER(Z1272),YEAR(Z1272),"")</f>
        <v/>
      </c>
      <c r="Z1272" s="12" t="n"/>
      <c r="AA1272" s="12" t="n"/>
      <c r="AI1272" s="12" t="n"/>
      <c r="AJ1272" s="13">
        <f>IF(LEN(TRIM(AF1272))=0,"",HYPERLINK("https://www.google.com/maps/@?api=1&amp;map_action=pano&amp;viewpoint="&amp;SUBSTITUTE(AF1272," ",""),"Abrir Street View"))</f>
        <v/>
      </c>
    </row>
    <row r="1273">
      <c r="H1273" s="6" t="n"/>
      <c r="I1273" s="6" t="n"/>
      <c r="M1273" s="7" t="n"/>
      <c r="N1273" s="7" t="n"/>
      <c r="O1273" s="7" t="n"/>
      <c r="Q1273" s="7" t="n"/>
      <c r="R1273" s="7" t="n"/>
      <c r="S1273" s="8">
        <f>IF(NOT(ISNUMBER(M1273)),"",IF(G1273="Terreno",IF(AND(ISNUMBER(I1273),I1273&gt;0),M1273/I1273,""),IF(AND(ISNUMBER(H1273),H1273&gt;0),M1273/H1273,"")))</f>
        <v/>
      </c>
      <c r="T1273" s="9">
        <f>IF(AND(ISNUMBER(M1273),ISNUMBER(O1273)),IF(M1273&lt;=O1273,"Valor ≤ venal IPTU",""),"")</f>
        <v/>
      </c>
      <c r="U1273" s="10">
        <f>IF(AND(ISNUMBER(M1273),ISNUMBER(N1273)),IF(N1273&gt;0,M1273/N1273,""),"")</f>
        <v/>
      </c>
      <c r="V1273" s="10">
        <f>IF(AND(ISNUMBER(M1273),ISNUMBER(O1273)),IF(O1273&gt;0,M1273/O1273,""),"")</f>
        <v/>
      </c>
      <c r="W1273" s="10">
        <f>IF(AND(ISNUMBER(M1273),ISNUMBER(R1273)),IF(R1273&gt;0,M1273/R1273,""),"")</f>
        <v/>
      </c>
      <c r="X1273" s="10">
        <f>IF(AND(ISNUMBER(Q1273),ISNUMBER(M1273)),IF(M1273&gt;0,Q1273/M1273,""),"")</f>
        <v/>
      </c>
      <c r="Y1273" s="11">
        <f>IF(ISNUMBER(Z1273),YEAR(Z1273),"")</f>
        <v/>
      </c>
      <c r="Z1273" s="12" t="n"/>
      <c r="AA1273" s="12" t="n"/>
      <c r="AI1273" s="12" t="n"/>
      <c r="AJ1273" s="13">
        <f>IF(LEN(TRIM(AF1273))=0,"",HYPERLINK("https://www.google.com/maps/@?api=1&amp;map_action=pano&amp;viewpoint="&amp;SUBSTITUTE(AF1273," ",""),"Abrir Street View"))</f>
        <v/>
      </c>
    </row>
    <row r="1274">
      <c r="H1274" s="6" t="n"/>
      <c r="I1274" s="6" t="n"/>
      <c r="M1274" s="7" t="n"/>
      <c r="N1274" s="7" t="n"/>
      <c r="O1274" s="7" t="n"/>
      <c r="Q1274" s="7" t="n"/>
      <c r="R1274" s="7" t="n"/>
      <c r="S1274" s="8">
        <f>IF(NOT(ISNUMBER(M1274)),"",IF(G1274="Terreno",IF(AND(ISNUMBER(I1274),I1274&gt;0),M1274/I1274,""),IF(AND(ISNUMBER(H1274),H1274&gt;0),M1274/H1274,"")))</f>
        <v/>
      </c>
      <c r="T1274" s="9">
        <f>IF(AND(ISNUMBER(M1274),ISNUMBER(O1274)),IF(M1274&lt;=O1274,"Valor ≤ venal IPTU",""),"")</f>
        <v/>
      </c>
      <c r="U1274" s="10">
        <f>IF(AND(ISNUMBER(M1274),ISNUMBER(N1274)),IF(N1274&gt;0,M1274/N1274,""),"")</f>
        <v/>
      </c>
      <c r="V1274" s="10">
        <f>IF(AND(ISNUMBER(M1274),ISNUMBER(O1274)),IF(O1274&gt;0,M1274/O1274,""),"")</f>
        <v/>
      </c>
      <c r="W1274" s="10">
        <f>IF(AND(ISNUMBER(M1274),ISNUMBER(R1274)),IF(R1274&gt;0,M1274/R1274,""),"")</f>
        <v/>
      </c>
      <c r="X1274" s="10">
        <f>IF(AND(ISNUMBER(Q1274),ISNUMBER(M1274)),IF(M1274&gt;0,Q1274/M1274,""),"")</f>
        <v/>
      </c>
      <c r="Y1274" s="11">
        <f>IF(ISNUMBER(Z1274),YEAR(Z1274),"")</f>
        <v/>
      </c>
      <c r="Z1274" s="12" t="n"/>
      <c r="AA1274" s="12" t="n"/>
      <c r="AI1274" s="12" t="n"/>
      <c r="AJ1274" s="13">
        <f>IF(LEN(TRIM(AF1274))=0,"",HYPERLINK("https://www.google.com/maps/@?api=1&amp;map_action=pano&amp;viewpoint="&amp;SUBSTITUTE(AF1274," ",""),"Abrir Street View"))</f>
        <v/>
      </c>
    </row>
    <row r="1275">
      <c r="H1275" s="6" t="n"/>
      <c r="I1275" s="6" t="n"/>
      <c r="M1275" s="7" t="n"/>
      <c r="N1275" s="7" t="n"/>
      <c r="O1275" s="7" t="n"/>
      <c r="Q1275" s="7" t="n"/>
      <c r="R1275" s="7" t="n"/>
      <c r="S1275" s="8">
        <f>IF(NOT(ISNUMBER(M1275)),"",IF(G1275="Terreno",IF(AND(ISNUMBER(I1275),I1275&gt;0),M1275/I1275,""),IF(AND(ISNUMBER(H1275),H1275&gt;0),M1275/H1275,"")))</f>
        <v/>
      </c>
      <c r="T1275" s="9">
        <f>IF(AND(ISNUMBER(M1275),ISNUMBER(O1275)),IF(M1275&lt;=O1275,"Valor ≤ venal IPTU",""),"")</f>
        <v/>
      </c>
      <c r="U1275" s="10">
        <f>IF(AND(ISNUMBER(M1275),ISNUMBER(N1275)),IF(N1275&gt;0,M1275/N1275,""),"")</f>
        <v/>
      </c>
      <c r="V1275" s="10">
        <f>IF(AND(ISNUMBER(M1275),ISNUMBER(O1275)),IF(O1275&gt;0,M1275/O1275,""),"")</f>
        <v/>
      </c>
      <c r="W1275" s="10">
        <f>IF(AND(ISNUMBER(M1275),ISNUMBER(R1275)),IF(R1275&gt;0,M1275/R1275,""),"")</f>
        <v/>
      </c>
      <c r="X1275" s="10">
        <f>IF(AND(ISNUMBER(Q1275),ISNUMBER(M1275)),IF(M1275&gt;0,Q1275/M1275,""),"")</f>
        <v/>
      </c>
      <c r="Y1275" s="11">
        <f>IF(ISNUMBER(Z1275),YEAR(Z1275),"")</f>
        <v/>
      </c>
      <c r="Z1275" s="12" t="n"/>
      <c r="AA1275" s="12" t="n"/>
      <c r="AI1275" s="12" t="n"/>
      <c r="AJ1275" s="13">
        <f>IF(LEN(TRIM(AF1275))=0,"",HYPERLINK("https://www.google.com/maps/@?api=1&amp;map_action=pano&amp;viewpoint="&amp;SUBSTITUTE(AF1275," ",""),"Abrir Street View"))</f>
        <v/>
      </c>
    </row>
    <row r="1276">
      <c r="H1276" s="6" t="n"/>
      <c r="I1276" s="6" t="n"/>
      <c r="M1276" s="7" t="n"/>
      <c r="N1276" s="7" t="n"/>
      <c r="O1276" s="7" t="n"/>
      <c r="Q1276" s="7" t="n"/>
      <c r="R1276" s="7" t="n"/>
      <c r="S1276" s="8">
        <f>IF(NOT(ISNUMBER(M1276)),"",IF(G1276="Terreno",IF(AND(ISNUMBER(I1276),I1276&gt;0),M1276/I1276,""),IF(AND(ISNUMBER(H1276),H1276&gt;0),M1276/H1276,"")))</f>
        <v/>
      </c>
      <c r="T1276" s="9">
        <f>IF(AND(ISNUMBER(M1276),ISNUMBER(O1276)),IF(M1276&lt;=O1276,"Valor ≤ venal IPTU",""),"")</f>
        <v/>
      </c>
      <c r="U1276" s="10">
        <f>IF(AND(ISNUMBER(M1276),ISNUMBER(N1276)),IF(N1276&gt;0,M1276/N1276,""),"")</f>
        <v/>
      </c>
      <c r="V1276" s="10">
        <f>IF(AND(ISNUMBER(M1276),ISNUMBER(O1276)),IF(O1276&gt;0,M1276/O1276,""),"")</f>
        <v/>
      </c>
      <c r="W1276" s="10">
        <f>IF(AND(ISNUMBER(M1276),ISNUMBER(R1276)),IF(R1276&gt;0,M1276/R1276,""),"")</f>
        <v/>
      </c>
      <c r="X1276" s="10">
        <f>IF(AND(ISNUMBER(Q1276),ISNUMBER(M1276)),IF(M1276&gt;0,Q1276/M1276,""),"")</f>
        <v/>
      </c>
      <c r="Y1276" s="11">
        <f>IF(ISNUMBER(Z1276),YEAR(Z1276),"")</f>
        <v/>
      </c>
      <c r="Z1276" s="12" t="n"/>
      <c r="AA1276" s="12" t="n"/>
      <c r="AI1276" s="12" t="n"/>
      <c r="AJ1276" s="13">
        <f>IF(LEN(TRIM(AF1276))=0,"",HYPERLINK("https://www.google.com/maps/@?api=1&amp;map_action=pano&amp;viewpoint="&amp;SUBSTITUTE(AF1276," ",""),"Abrir Street View"))</f>
        <v/>
      </c>
    </row>
    <row r="1277">
      <c r="H1277" s="6" t="n"/>
      <c r="I1277" s="6" t="n"/>
      <c r="M1277" s="7" t="n"/>
      <c r="N1277" s="7" t="n"/>
      <c r="O1277" s="7" t="n"/>
      <c r="Q1277" s="7" t="n"/>
      <c r="R1277" s="7" t="n"/>
      <c r="S1277" s="8">
        <f>IF(NOT(ISNUMBER(M1277)),"",IF(G1277="Terreno",IF(AND(ISNUMBER(I1277),I1277&gt;0),M1277/I1277,""),IF(AND(ISNUMBER(H1277),H1277&gt;0),M1277/H1277,"")))</f>
        <v/>
      </c>
      <c r="T1277" s="9">
        <f>IF(AND(ISNUMBER(M1277),ISNUMBER(O1277)),IF(M1277&lt;=O1277,"Valor ≤ venal IPTU",""),"")</f>
        <v/>
      </c>
      <c r="U1277" s="10">
        <f>IF(AND(ISNUMBER(M1277),ISNUMBER(N1277)),IF(N1277&gt;0,M1277/N1277,""),"")</f>
        <v/>
      </c>
      <c r="V1277" s="10">
        <f>IF(AND(ISNUMBER(M1277),ISNUMBER(O1277)),IF(O1277&gt;0,M1277/O1277,""),"")</f>
        <v/>
      </c>
      <c r="W1277" s="10">
        <f>IF(AND(ISNUMBER(M1277),ISNUMBER(R1277)),IF(R1277&gt;0,M1277/R1277,""),"")</f>
        <v/>
      </c>
      <c r="X1277" s="10">
        <f>IF(AND(ISNUMBER(Q1277),ISNUMBER(M1277)),IF(M1277&gt;0,Q1277/M1277,""),"")</f>
        <v/>
      </c>
      <c r="Y1277" s="11">
        <f>IF(ISNUMBER(Z1277),YEAR(Z1277),"")</f>
        <v/>
      </c>
      <c r="Z1277" s="12" t="n"/>
      <c r="AA1277" s="12" t="n"/>
      <c r="AI1277" s="12" t="n"/>
      <c r="AJ1277" s="13">
        <f>IF(LEN(TRIM(AF1277))=0,"",HYPERLINK("https://www.google.com/maps/@?api=1&amp;map_action=pano&amp;viewpoint="&amp;SUBSTITUTE(AF1277," ",""),"Abrir Street View"))</f>
        <v/>
      </c>
    </row>
    <row r="1278">
      <c r="H1278" s="6" t="n"/>
      <c r="I1278" s="6" t="n"/>
      <c r="M1278" s="7" t="n"/>
      <c r="N1278" s="7" t="n"/>
      <c r="O1278" s="7" t="n"/>
      <c r="Q1278" s="7" t="n"/>
      <c r="R1278" s="7" t="n"/>
      <c r="S1278" s="8">
        <f>IF(NOT(ISNUMBER(M1278)),"",IF(G1278="Terreno",IF(AND(ISNUMBER(I1278),I1278&gt;0),M1278/I1278,""),IF(AND(ISNUMBER(H1278),H1278&gt;0),M1278/H1278,"")))</f>
        <v/>
      </c>
      <c r="T1278" s="9">
        <f>IF(AND(ISNUMBER(M1278),ISNUMBER(O1278)),IF(M1278&lt;=O1278,"Valor ≤ venal IPTU",""),"")</f>
        <v/>
      </c>
      <c r="U1278" s="10">
        <f>IF(AND(ISNUMBER(M1278),ISNUMBER(N1278)),IF(N1278&gt;0,M1278/N1278,""),"")</f>
        <v/>
      </c>
      <c r="V1278" s="10">
        <f>IF(AND(ISNUMBER(M1278),ISNUMBER(O1278)),IF(O1278&gt;0,M1278/O1278,""),"")</f>
        <v/>
      </c>
      <c r="W1278" s="10">
        <f>IF(AND(ISNUMBER(M1278),ISNUMBER(R1278)),IF(R1278&gt;0,M1278/R1278,""),"")</f>
        <v/>
      </c>
      <c r="X1278" s="10">
        <f>IF(AND(ISNUMBER(Q1278),ISNUMBER(M1278)),IF(M1278&gt;0,Q1278/M1278,""),"")</f>
        <v/>
      </c>
      <c r="Y1278" s="11">
        <f>IF(ISNUMBER(Z1278),YEAR(Z1278),"")</f>
        <v/>
      </c>
      <c r="Z1278" s="12" t="n"/>
      <c r="AA1278" s="12" t="n"/>
      <c r="AI1278" s="12" t="n"/>
      <c r="AJ1278" s="13">
        <f>IF(LEN(TRIM(AF1278))=0,"",HYPERLINK("https://www.google.com/maps/@?api=1&amp;map_action=pano&amp;viewpoint="&amp;SUBSTITUTE(AF1278," ",""),"Abrir Street View"))</f>
        <v/>
      </c>
    </row>
    <row r="1279">
      <c r="H1279" s="6" t="n"/>
      <c r="I1279" s="6" t="n"/>
      <c r="M1279" s="7" t="n"/>
      <c r="N1279" s="7" t="n"/>
      <c r="O1279" s="7" t="n"/>
      <c r="Q1279" s="7" t="n"/>
      <c r="R1279" s="7" t="n"/>
      <c r="S1279" s="8">
        <f>IF(NOT(ISNUMBER(M1279)),"",IF(G1279="Terreno",IF(AND(ISNUMBER(I1279),I1279&gt;0),M1279/I1279,""),IF(AND(ISNUMBER(H1279),H1279&gt;0),M1279/H1279,"")))</f>
        <v/>
      </c>
      <c r="T1279" s="9">
        <f>IF(AND(ISNUMBER(M1279),ISNUMBER(O1279)),IF(M1279&lt;=O1279,"Valor ≤ venal IPTU",""),"")</f>
        <v/>
      </c>
      <c r="U1279" s="10">
        <f>IF(AND(ISNUMBER(M1279),ISNUMBER(N1279)),IF(N1279&gt;0,M1279/N1279,""),"")</f>
        <v/>
      </c>
      <c r="V1279" s="10">
        <f>IF(AND(ISNUMBER(M1279),ISNUMBER(O1279)),IF(O1279&gt;0,M1279/O1279,""),"")</f>
        <v/>
      </c>
      <c r="W1279" s="10">
        <f>IF(AND(ISNUMBER(M1279),ISNUMBER(R1279)),IF(R1279&gt;0,M1279/R1279,""),"")</f>
        <v/>
      </c>
      <c r="X1279" s="10">
        <f>IF(AND(ISNUMBER(Q1279),ISNUMBER(M1279)),IF(M1279&gt;0,Q1279/M1279,""),"")</f>
        <v/>
      </c>
      <c r="Y1279" s="11">
        <f>IF(ISNUMBER(Z1279),YEAR(Z1279),"")</f>
        <v/>
      </c>
      <c r="Z1279" s="12" t="n"/>
      <c r="AA1279" s="12" t="n"/>
      <c r="AI1279" s="12" t="n"/>
      <c r="AJ1279" s="13">
        <f>IF(LEN(TRIM(AF1279))=0,"",HYPERLINK("https://www.google.com/maps/@?api=1&amp;map_action=pano&amp;viewpoint="&amp;SUBSTITUTE(AF1279," ",""),"Abrir Street View"))</f>
        <v/>
      </c>
    </row>
    <row r="1280">
      <c r="H1280" s="6" t="n"/>
      <c r="I1280" s="6" t="n"/>
      <c r="M1280" s="7" t="n"/>
      <c r="N1280" s="7" t="n"/>
      <c r="O1280" s="7" t="n"/>
      <c r="Q1280" s="7" t="n"/>
      <c r="R1280" s="7" t="n"/>
      <c r="S1280" s="8">
        <f>IF(NOT(ISNUMBER(M1280)),"",IF(G1280="Terreno",IF(AND(ISNUMBER(I1280),I1280&gt;0),M1280/I1280,""),IF(AND(ISNUMBER(H1280),H1280&gt;0),M1280/H1280,"")))</f>
        <v/>
      </c>
      <c r="T1280" s="9">
        <f>IF(AND(ISNUMBER(M1280),ISNUMBER(O1280)),IF(M1280&lt;=O1280,"Valor ≤ venal IPTU",""),"")</f>
        <v/>
      </c>
      <c r="U1280" s="10">
        <f>IF(AND(ISNUMBER(M1280),ISNUMBER(N1280)),IF(N1280&gt;0,M1280/N1280,""),"")</f>
        <v/>
      </c>
      <c r="V1280" s="10">
        <f>IF(AND(ISNUMBER(M1280),ISNUMBER(O1280)),IF(O1280&gt;0,M1280/O1280,""),"")</f>
        <v/>
      </c>
      <c r="W1280" s="10">
        <f>IF(AND(ISNUMBER(M1280),ISNUMBER(R1280)),IF(R1280&gt;0,M1280/R1280,""),"")</f>
        <v/>
      </c>
      <c r="X1280" s="10">
        <f>IF(AND(ISNUMBER(Q1280),ISNUMBER(M1280)),IF(M1280&gt;0,Q1280/M1280,""),"")</f>
        <v/>
      </c>
      <c r="Y1280" s="11">
        <f>IF(ISNUMBER(Z1280),YEAR(Z1280),"")</f>
        <v/>
      </c>
      <c r="Z1280" s="12" t="n"/>
      <c r="AA1280" s="12" t="n"/>
      <c r="AI1280" s="12" t="n"/>
      <c r="AJ1280" s="13">
        <f>IF(LEN(TRIM(AF1280))=0,"",HYPERLINK("https://www.google.com/maps/@?api=1&amp;map_action=pano&amp;viewpoint="&amp;SUBSTITUTE(AF1280," ",""),"Abrir Street View"))</f>
        <v/>
      </c>
    </row>
    <row r="1281">
      <c r="H1281" s="6" t="n"/>
      <c r="I1281" s="6" t="n"/>
      <c r="M1281" s="7" t="n"/>
      <c r="N1281" s="7" t="n"/>
      <c r="O1281" s="7" t="n"/>
      <c r="Q1281" s="7" t="n"/>
      <c r="R1281" s="7" t="n"/>
      <c r="S1281" s="8">
        <f>IF(NOT(ISNUMBER(M1281)),"",IF(G1281="Terreno",IF(AND(ISNUMBER(I1281),I1281&gt;0),M1281/I1281,""),IF(AND(ISNUMBER(H1281),H1281&gt;0),M1281/H1281,"")))</f>
        <v/>
      </c>
      <c r="T1281" s="9">
        <f>IF(AND(ISNUMBER(M1281),ISNUMBER(O1281)),IF(M1281&lt;=O1281,"Valor ≤ venal IPTU",""),"")</f>
        <v/>
      </c>
      <c r="U1281" s="10">
        <f>IF(AND(ISNUMBER(M1281),ISNUMBER(N1281)),IF(N1281&gt;0,M1281/N1281,""),"")</f>
        <v/>
      </c>
      <c r="V1281" s="10">
        <f>IF(AND(ISNUMBER(M1281),ISNUMBER(O1281)),IF(O1281&gt;0,M1281/O1281,""),"")</f>
        <v/>
      </c>
      <c r="W1281" s="10">
        <f>IF(AND(ISNUMBER(M1281),ISNUMBER(R1281)),IF(R1281&gt;0,M1281/R1281,""),"")</f>
        <v/>
      </c>
      <c r="X1281" s="10">
        <f>IF(AND(ISNUMBER(Q1281),ISNUMBER(M1281)),IF(M1281&gt;0,Q1281/M1281,""),"")</f>
        <v/>
      </c>
      <c r="Y1281" s="11">
        <f>IF(ISNUMBER(Z1281),YEAR(Z1281),"")</f>
        <v/>
      </c>
      <c r="Z1281" s="12" t="n"/>
      <c r="AA1281" s="12" t="n"/>
      <c r="AI1281" s="12" t="n"/>
      <c r="AJ1281" s="13">
        <f>IF(LEN(TRIM(AF1281))=0,"",HYPERLINK("https://www.google.com/maps/@?api=1&amp;map_action=pano&amp;viewpoint="&amp;SUBSTITUTE(AF1281," ",""),"Abrir Street View"))</f>
        <v/>
      </c>
    </row>
    <row r="1282">
      <c r="H1282" s="6" t="n"/>
      <c r="I1282" s="6" t="n"/>
      <c r="M1282" s="7" t="n"/>
      <c r="N1282" s="7" t="n"/>
      <c r="O1282" s="7" t="n"/>
      <c r="Q1282" s="7" t="n"/>
      <c r="R1282" s="7" t="n"/>
      <c r="S1282" s="8">
        <f>IF(NOT(ISNUMBER(M1282)),"",IF(G1282="Terreno",IF(AND(ISNUMBER(I1282),I1282&gt;0),M1282/I1282,""),IF(AND(ISNUMBER(H1282),H1282&gt;0),M1282/H1282,"")))</f>
        <v/>
      </c>
      <c r="T1282" s="9">
        <f>IF(AND(ISNUMBER(M1282),ISNUMBER(O1282)),IF(M1282&lt;=O1282,"Valor ≤ venal IPTU",""),"")</f>
        <v/>
      </c>
      <c r="U1282" s="10">
        <f>IF(AND(ISNUMBER(M1282),ISNUMBER(N1282)),IF(N1282&gt;0,M1282/N1282,""),"")</f>
        <v/>
      </c>
      <c r="V1282" s="10">
        <f>IF(AND(ISNUMBER(M1282),ISNUMBER(O1282)),IF(O1282&gt;0,M1282/O1282,""),"")</f>
        <v/>
      </c>
      <c r="W1282" s="10">
        <f>IF(AND(ISNUMBER(M1282),ISNUMBER(R1282)),IF(R1282&gt;0,M1282/R1282,""),"")</f>
        <v/>
      </c>
      <c r="X1282" s="10">
        <f>IF(AND(ISNUMBER(Q1282),ISNUMBER(M1282)),IF(M1282&gt;0,Q1282/M1282,""),"")</f>
        <v/>
      </c>
      <c r="Y1282" s="11">
        <f>IF(ISNUMBER(Z1282),YEAR(Z1282),"")</f>
        <v/>
      </c>
      <c r="Z1282" s="12" t="n"/>
      <c r="AA1282" s="12" t="n"/>
      <c r="AI1282" s="12" t="n"/>
      <c r="AJ1282" s="13">
        <f>IF(LEN(TRIM(AF1282))=0,"",HYPERLINK("https://www.google.com/maps/@?api=1&amp;map_action=pano&amp;viewpoint="&amp;SUBSTITUTE(AF1282," ",""),"Abrir Street View"))</f>
        <v/>
      </c>
    </row>
    <row r="1283">
      <c r="H1283" s="6" t="n"/>
      <c r="I1283" s="6" t="n"/>
      <c r="M1283" s="7" t="n"/>
      <c r="N1283" s="7" t="n"/>
      <c r="O1283" s="7" t="n"/>
      <c r="Q1283" s="7" t="n"/>
      <c r="R1283" s="7" t="n"/>
      <c r="S1283" s="8">
        <f>IF(NOT(ISNUMBER(M1283)),"",IF(G1283="Terreno",IF(AND(ISNUMBER(I1283),I1283&gt;0),M1283/I1283,""),IF(AND(ISNUMBER(H1283),H1283&gt;0),M1283/H1283,"")))</f>
        <v/>
      </c>
      <c r="T1283" s="9">
        <f>IF(AND(ISNUMBER(M1283),ISNUMBER(O1283)),IF(M1283&lt;=O1283,"Valor ≤ venal IPTU",""),"")</f>
        <v/>
      </c>
      <c r="U1283" s="10">
        <f>IF(AND(ISNUMBER(M1283),ISNUMBER(N1283)),IF(N1283&gt;0,M1283/N1283,""),"")</f>
        <v/>
      </c>
      <c r="V1283" s="10">
        <f>IF(AND(ISNUMBER(M1283),ISNUMBER(O1283)),IF(O1283&gt;0,M1283/O1283,""),"")</f>
        <v/>
      </c>
      <c r="W1283" s="10">
        <f>IF(AND(ISNUMBER(M1283),ISNUMBER(R1283)),IF(R1283&gt;0,M1283/R1283,""),"")</f>
        <v/>
      </c>
      <c r="X1283" s="10">
        <f>IF(AND(ISNUMBER(Q1283),ISNUMBER(M1283)),IF(M1283&gt;0,Q1283/M1283,""),"")</f>
        <v/>
      </c>
      <c r="Y1283" s="11">
        <f>IF(ISNUMBER(Z1283),YEAR(Z1283),"")</f>
        <v/>
      </c>
      <c r="Z1283" s="12" t="n"/>
      <c r="AA1283" s="12" t="n"/>
      <c r="AI1283" s="12" t="n"/>
      <c r="AJ1283" s="13">
        <f>IF(LEN(TRIM(AF1283))=0,"",HYPERLINK("https://www.google.com/maps/@?api=1&amp;map_action=pano&amp;viewpoint="&amp;SUBSTITUTE(AF1283," ",""),"Abrir Street View"))</f>
        <v/>
      </c>
    </row>
    <row r="1284">
      <c r="H1284" s="6" t="n"/>
      <c r="I1284" s="6" t="n"/>
      <c r="M1284" s="7" t="n"/>
      <c r="N1284" s="7" t="n"/>
      <c r="O1284" s="7" t="n"/>
      <c r="Q1284" s="7" t="n"/>
      <c r="R1284" s="7" t="n"/>
      <c r="S1284" s="8">
        <f>IF(NOT(ISNUMBER(M1284)),"",IF(G1284="Terreno",IF(AND(ISNUMBER(I1284),I1284&gt;0),M1284/I1284,""),IF(AND(ISNUMBER(H1284),H1284&gt;0),M1284/H1284,"")))</f>
        <v/>
      </c>
      <c r="T1284" s="9">
        <f>IF(AND(ISNUMBER(M1284),ISNUMBER(O1284)),IF(M1284&lt;=O1284,"Valor ≤ venal IPTU",""),"")</f>
        <v/>
      </c>
      <c r="U1284" s="10">
        <f>IF(AND(ISNUMBER(M1284),ISNUMBER(N1284)),IF(N1284&gt;0,M1284/N1284,""),"")</f>
        <v/>
      </c>
      <c r="V1284" s="10">
        <f>IF(AND(ISNUMBER(M1284),ISNUMBER(O1284)),IF(O1284&gt;0,M1284/O1284,""),"")</f>
        <v/>
      </c>
      <c r="W1284" s="10">
        <f>IF(AND(ISNUMBER(M1284),ISNUMBER(R1284)),IF(R1284&gt;0,M1284/R1284,""),"")</f>
        <v/>
      </c>
      <c r="X1284" s="10">
        <f>IF(AND(ISNUMBER(Q1284),ISNUMBER(M1284)),IF(M1284&gt;0,Q1284/M1284,""),"")</f>
        <v/>
      </c>
      <c r="Y1284" s="11">
        <f>IF(ISNUMBER(Z1284),YEAR(Z1284),"")</f>
        <v/>
      </c>
      <c r="Z1284" s="12" t="n"/>
      <c r="AA1284" s="12" t="n"/>
      <c r="AI1284" s="12" t="n"/>
      <c r="AJ1284" s="13">
        <f>IF(LEN(TRIM(AF1284))=0,"",HYPERLINK("https://www.google.com/maps/@?api=1&amp;map_action=pano&amp;viewpoint="&amp;SUBSTITUTE(AF1284," ",""),"Abrir Street View"))</f>
        <v/>
      </c>
    </row>
    <row r="1285">
      <c r="H1285" s="6" t="n"/>
      <c r="I1285" s="6" t="n"/>
      <c r="M1285" s="7" t="n"/>
      <c r="N1285" s="7" t="n"/>
      <c r="O1285" s="7" t="n"/>
      <c r="Q1285" s="7" t="n"/>
      <c r="R1285" s="7" t="n"/>
      <c r="S1285" s="8">
        <f>IF(NOT(ISNUMBER(M1285)),"",IF(G1285="Terreno",IF(AND(ISNUMBER(I1285),I1285&gt;0),M1285/I1285,""),IF(AND(ISNUMBER(H1285),H1285&gt;0),M1285/H1285,"")))</f>
        <v/>
      </c>
      <c r="T1285" s="9">
        <f>IF(AND(ISNUMBER(M1285),ISNUMBER(O1285)),IF(M1285&lt;=O1285,"Valor ≤ venal IPTU",""),"")</f>
        <v/>
      </c>
      <c r="U1285" s="10">
        <f>IF(AND(ISNUMBER(M1285),ISNUMBER(N1285)),IF(N1285&gt;0,M1285/N1285,""),"")</f>
        <v/>
      </c>
      <c r="V1285" s="10">
        <f>IF(AND(ISNUMBER(M1285),ISNUMBER(O1285)),IF(O1285&gt;0,M1285/O1285,""),"")</f>
        <v/>
      </c>
      <c r="W1285" s="10">
        <f>IF(AND(ISNUMBER(M1285),ISNUMBER(R1285)),IF(R1285&gt;0,M1285/R1285,""),"")</f>
        <v/>
      </c>
      <c r="X1285" s="10">
        <f>IF(AND(ISNUMBER(Q1285),ISNUMBER(M1285)),IF(M1285&gt;0,Q1285/M1285,""),"")</f>
        <v/>
      </c>
      <c r="Y1285" s="11">
        <f>IF(ISNUMBER(Z1285),YEAR(Z1285),"")</f>
        <v/>
      </c>
      <c r="Z1285" s="12" t="n"/>
      <c r="AA1285" s="12" t="n"/>
      <c r="AI1285" s="12" t="n"/>
      <c r="AJ1285" s="13">
        <f>IF(LEN(TRIM(AF1285))=0,"",HYPERLINK("https://www.google.com/maps/@?api=1&amp;map_action=pano&amp;viewpoint="&amp;SUBSTITUTE(AF1285," ",""),"Abrir Street View"))</f>
        <v/>
      </c>
    </row>
    <row r="1286">
      <c r="H1286" s="6" t="n"/>
      <c r="I1286" s="6" t="n"/>
      <c r="M1286" s="7" t="n"/>
      <c r="N1286" s="7" t="n"/>
      <c r="O1286" s="7" t="n"/>
      <c r="Q1286" s="7" t="n"/>
      <c r="R1286" s="7" t="n"/>
      <c r="S1286" s="8">
        <f>IF(NOT(ISNUMBER(M1286)),"",IF(G1286="Terreno",IF(AND(ISNUMBER(I1286),I1286&gt;0),M1286/I1286,""),IF(AND(ISNUMBER(H1286),H1286&gt;0),M1286/H1286,"")))</f>
        <v/>
      </c>
      <c r="T1286" s="9">
        <f>IF(AND(ISNUMBER(M1286),ISNUMBER(O1286)),IF(M1286&lt;=O1286,"Valor ≤ venal IPTU",""),"")</f>
        <v/>
      </c>
      <c r="U1286" s="10">
        <f>IF(AND(ISNUMBER(M1286),ISNUMBER(N1286)),IF(N1286&gt;0,M1286/N1286,""),"")</f>
        <v/>
      </c>
      <c r="V1286" s="10">
        <f>IF(AND(ISNUMBER(M1286),ISNUMBER(O1286)),IF(O1286&gt;0,M1286/O1286,""),"")</f>
        <v/>
      </c>
      <c r="W1286" s="10">
        <f>IF(AND(ISNUMBER(M1286),ISNUMBER(R1286)),IF(R1286&gt;0,M1286/R1286,""),"")</f>
        <v/>
      </c>
      <c r="X1286" s="10">
        <f>IF(AND(ISNUMBER(Q1286),ISNUMBER(M1286)),IF(M1286&gt;0,Q1286/M1286,""),"")</f>
        <v/>
      </c>
      <c r="Y1286" s="11">
        <f>IF(ISNUMBER(Z1286),YEAR(Z1286),"")</f>
        <v/>
      </c>
      <c r="Z1286" s="12" t="n"/>
      <c r="AA1286" s="12" t="n"/>
      <c r="AI1286" s="12" t="n"/>
      <c r="AJ1286" s="13">
        <f>IF(LEN(TRIM(AF1286))=0,"",HYPERLINK("https://www.google.com/maps/@?api=1&amp;map_action=pano&amp;viewpoint="&amp;SUBSTITUTE(AF1286," ",""),"Abrir Street View"))</f>
        <v/>
      </c>
    </row>
    <row r="1287">
      <c r="H1287" s="6" t="n"/>
      <c r="I1287" s="6" t="n"/>
      <c r="M1287" s="7" t="n"/>
      <c r="N1287" s="7" t="n"/>
      <c r="O1287" s="7" t="n"/>
      <c r="Q1287" s="7" t="n"/>
      <c r="R1287" s="7" t="n"/>
      <c r="S1287" s="8">
        <f>IF(NOT(ISNUMBER(M1287)),"",IF(G1287="Terreno",IF(AND(ISNUMBER(I1287),I1287&gt;0),M1287/I1287,""),IF(AND(ISNUMBER(H1287),H1287&gt;0),M1287/H1287,"")))</f>
        <v/>
      </c>
      <c r="T1287" s="9">
        <f>IF(AND(ISNUMBER(M1287),ISNUMBER(O1287)),IF(M1287&lt;=O1287,"Valor ≤ venal IPTU",""),"")</f>
        <v/>
      </c>
      <c r="U1287" s="10">
        <f>IF(AND(ISNUMBER(M1287),ISNUMBER(N1287)),IF(N1287&gt;0,M1287/N1287,""),"")</f>
        <v/>
      </c>
      <c r="V1287" s="10">
        <f>IF(AND(ISNUMBER(M1287),ISNUMBER(O1287)),IF(O1287&gt;0,M1287/O1287,""),"")</f>
        <v/>
      </c>
      <c r="W1287" s="10">
        <f>IF(AND(ISNUMBER(M1287),ISNUMBER(R1287)),IF(R1287&gt;0,M1287/R1287,""),"")</f>
        <v/>
      </c>
      <c r="X1287" s="10">
        <f>IF(AND(ISNUMBER(Q1287),ISNUMBER(M1287)),IF(M1287&gt;0,Q1287/M1287,""),"")</f>
        <v/>
      </c>
      <c r="Y1287" s="11">
        <f>IF(ISNUMBER(Z1287),YEAR(Z1287),"")</f>
        <v/>
      </c>
      <c r="Z1287" s="12" t="n"/>
      <c r="AA1287" s="12" t="n"/>
      <c r="AI1287" s="12" t="n"/>
      <c r="AJ1287" s="13">
        <f>IF(LEN(TRIM(AF1287))=0,"",HYPERLINK("https://www.google.com/maps/@?api=1&amp;map_action=pano&amp;viewpoint="&amp;SUBSTITUTE(AF1287," ",""),"Abrir Street View"))</f>
        <v/>
      </c>
    </row>
    <row r="1288">
      <c r="H1288" s="6" t="n"/>
      <c r="I1288" s="6" t="n"/>
      <c r="M1288" s="7" t="n"/>
      <c r="N1288" s="7" t="n"/>
      <c r="O1288" s="7" t="n"/>
      <c r="Q1288" s="7" t="n"/>
      <c r="R1288" s="7" t="n"/>
      <c r="S1288" s="8">
        <f>IF(NOT(ISNUMBER(M1288)),"",IF(G1288="Terreno",IF(AND(ISNUMBER(I1288),I1288&gt;0),M1288/I1288,""),IF(AND(ISNUMBER(H1288),H1288&gt;0),M1288/H1288,"")))</f>
        <v/>
      </c>
      <c r="T1288" s="9">
        <f>IF(AND(ISNUMBER(M1288),ISNUMBER(O1288)),IF(M1288&lt;=O1288,"Valor ≤ venal IPTU",""),"")</f>
        <v/>
      </c>
      <c r="U1288" s="10">
        <f>IF(AND(ISNUMBER(M1288),ISNUMBER(N1288)),IF(N1288&gt;0,M1288/N1288,""),"")</f>
        <v/>
      </c>
      <c r="V1288" s="10">
        <f>IF(AND(ISNUMBER(M1288),ISNUMBER(O1288)),IF(O1288&gt;0,M1288/O1288,""),"")</f>
        <v/>
      </c>
      <c r="W1288" s="10">
        <f>IF(AND(ISNUMBER(M1288),ISNUMBER(R1288)),IF(R1288&gt;0,M1288/R1288,""),"")</f>
        <v/>
      </c>
      <c r="X1288" s="10">
        <f>IF(AND(ISNUMBER(Q1288),ISNUMBER(M1288)),IF(M1288&gt;0,Q1288/M1288,""),"")</f>
        <v/>
      </c>
      <c r="Y1288" s="11">
        <f>IF(ISNUMBER(Z1288),YEAR(Z1288),"")</f>
        <v/>
      </c>
      <c r="Z1288" s="12" t="n"/>
      <c r="AA1288" s="12" t="n"/>
      <c r="AI1288" s="12" t="n"/>
      <c r="AJ1288" s="13">
        <f>IF(LEN(TRIM(AF1288))=0,"",HYPERLINK("https://www.google.com/maps/@?api=1&amp;map_action=pano&amp;viewpoint="&amp;SUBSTITUTE(AF1288," ",""),"Abrir Street View"))</f>
        <v/>
      </c>
    </row>
    <row r="1289">
      <c r="H1289" s="6" t="n"/>
      <c r="I1289" s="6" t="n"/>
      <c r="M1289" s="7" t="n"/>
      <c r="N1289" s="7" t="n"/>
      <c r="O1289" s="7" t="n"/>
      <c r="Q1289" s="7" t="n"/>
      <c r="R1289" s="7" t="n"/>
      <c r="S1289" s="8">
        <f>IF(NOT(ISNUMBER(M1289)),"",IF(G1289="Terreno",IF(AND(ISNUMBER(I1289),I1289&gt;0),M1289/I1289,""),IF(AND(ISNUMBER(H1289),H1289&gt;0),M1289/H1289,"")))</f>
        <v/>
      </c>
      <c r="T1289" s="9">
        <f>IF(AND(ISNUMBER(M1289),ISNUMBER(O1289)),IF(M1289&lt;=O1289,"Valor ≤ venal IPTU",""),"")</f>
        <v/>
      </c>
      <c r="U1289" s="10">
        <f>IF(AND(ISNUMBER(M1289),ISNUMBER(N1289)),IF(N1289&gt;0,M1289/N1289,""),"")</f>
        <v/>
      </c>
      <c r="V1289" s="10">
        <f>IF(AND(ISNUMBER(M1289),ISNUMBER(O1289)),IF(O1289&gt;0,M1289/O1289,""),"")</f>
        <v/>
      </c>
      <c r="W1289" s="10">
        <f>IF(AND(ISNUMBER(M1289),ISNUMBER(R1289)),IF(R1289&gt;0,M1289/R1289,""),"")</f>
        <v/>
      </c>
      <c r="X1289" s="10">
        <f>IF(AND(ISNUMBER(Q1289),ISNUMBER(M1289)),IF(M1289&gt;0,Q1289/M1289,""),"")</f>
        <v/>
      </c>
      <c r="Y1289" s="11">
        <f>IF(ISNUMBER(Z1289),YEAR(Z1289),"")</f>
        <v/>
      </c>
      <c r="Z1289" s="12" t="n"/>
      <c r="AA1289" s="12" t="n"/>
      <c r="AI1289" s="12" t="n"/>
      <c r="AJ1289" s="13">
        <f>IF(LEN(TRIM(AF1289))=0,"",HYPERLINK("https://www.google.com/maps/@?api=1&amp;map_action=pano&amp;viewpoint="&amp;SUBSTITUTE(AF1289," ",""),"Abrir Street View"))</f>
        <v/>
      </c>
    </row>
    <row r="1290">
      <c r="H1290" s="6" t="n"/>
      <c r="I1290" s="6" t="n"/>
      <c r="M1290" s="7" t="n"/>
      <c r="N1290" s="7" t="n"/>
      <c r="O1290" s="7" t="n"/>
      <c r="Q1290" s="7" t="n"/>
      <c r="R1290" s="7" t="n"/>
      <c r="S1290" s="8">
        <f>IF(NOT(ISNUMBER(M1290)),"",IF(G1290="Terreno",IF(AND(ISNUMBER(I1290),I1290&gt;0),M1290/I1290,""),IF(AND(ISNUMBER(H1290),H1290&gt;0),M1290/H1290,"")))</f>
        <v/>
      </c>
      <c r="T1290" s="9">
        <f>IF(AND(ISNUMBER(M1290),ISNUMBER(O1290)),IF(M1290&lt;=O1290,"Valor ≤ venal IPTU",""),"")</f>
        <v/>
      </c>
      <c r="U1290" s="10">
        <f>IF(AND(ISNUMBER(M1290),ISNUMBER(N1290)),IF(N1290&gt;0,M1290/N1290,""),"")</f>
        <v/>
      </c>
      <c r="V1290" s="10">
        <f>IF(AND(ISNUMBER(M1290),ISNUMBER(O1290)),IF(O1290&gt;0,M1290/O1290,""),"")</f>
        <v/>
      </c>
      <c r="W1290" s="10">
        <f>IF(AND(ISNUMBER(M1290),ISNUMBER(R1290)),IF(R1290&gt;0,M1290/R1290,""),"")</f>
        <v/>
      </c>
      <c r="X1290" s="10">
        <f>IF(AND(ISNUMBER(Q1290),ISNUMBER(M1290)),IF(M1290&gt;0,Q1290/M1290,""),"")</f>
        <v/>
      </c>
      <c r="Y1290" s="11">
        <f>IF(ISNUMBER(Z1290),YEAR(Z1290),"")</f>
        <v/>
      </c>
      <c r="Z1290" s="12" t="n"/>
      <c r="AA1290" s="12" t="n"/>
      <c r="AI1290" s="12" t="n"/>
      <c r="AJ1290" s="13">
        <f>IF(LEN(TRIM(AF1290))=0,"",HYPERLINK("https://www.google.com/maps/@?api=1&amp;map_action=pano&amp;viewpoint="&amp;SUBSTITUTE(AF1290," ",""),"Abrir Street View"))</f>
        <v/>
      </c>
    </row>
    <row r="1291">
      <c r="H1291" s="6" t="n"/>
      <c r="I1291" s="6" t="n"/>
      <c r="M1291" s="7" t="n"/>
      <c r="N1291" s="7" t="n"/>
      <c r="O1291" s="7" t="n"/>
      <c r="Q1291" s="7" t="n"/>
      <c r="R1291" s="7" t="n"/>
      <c r="S1291" s="8">
        <f>IF(NOT(ISNUMBER(M1291)),"",IF(G1291="Terreno",IF(AND(ISNUMBER(I1291),I1291&gt;0),M1291/I1291,""),IF(AND(ISNUMBER(H1291),H1291&gt;0),M1291/H1291,"")))</f>
        <v/>
      </c>
      <c r="T1291" s="9">
        <f>IF(AND(ISNUMBER(M1291),ISNUMBER(O1291)),IF(M1291&lt;=O1291,"Valor ≤ venal IPTU",""),"")</f>
        <v/>
      </c>
      <c r="U1291" s="10">
        <f>IF(AND(ISNUMBER(M1291),ISNUMBER(N1291)),IF(N1291&gt;0,M1291/N1291,""),"")</f>
        <v/>
      </c>
      <c r="V1291" s="10">
        <f>IF(AND(ISNUMBER(M1291),ISNUMBER(O1291)),IF(O1291&gt;0,M1291/O1291,""),"")</f>
        <v/>
      </c>
      <c r="W1291" s="10">
        <f>IF(AND(ISNUMBER(M1291),ISNUMBER(R1291)),IF(R1291&gt;0,M1291/R1291,""),"")</f>
        <v/>
      </c>
      <c r="X1291" s="10">
        <f>IF(AND(ISNUMBER(Q1291),ISNUMBER(M1291)),IF(M1291&gt;0,Q1291/M1291,""),"")</f>
        <v/>
      </c>
      <c r="Y1291" s="11">
        <f>IF(ISNUMBER(Z1291),YEAR(Z1291),"")</f>
        <v/>
      </c>
      <c r="Z1291" s="12" t="n"/>
      <c r="AA1291" s="12" t="n"/>
      <c r="AI1291" s="12" t="n"/>
      <c r="AJ1291" s="13">
        <f>IF(LEN(TRIM(AF1291))=0,"",HYPERLINK("https://www.google.com/maps/@?api=1&amp;map_action=pano&amp;viewpoint="&amp;SUBSTITUTE(AF1291," ",""),"Abrir Street View"))</f>
        <v/>
      </c>
    </row>
    <row r="1292">
      <c r="H1292" s="6" t="n"/>
      <c r="I1292" s="6" t="n"/>
      <c r="M1292" s="7" t="n"/>
      <c r="N1292" s="7" t="n"/>
      <c r="O1292" s="7" t="n"/>
      <c r="Q1292" s="7" t="n"/>
      <c r="R1292" s="7" t="n"/>
      <c r="S1292" s="8">
        <f>IF(NOT(ISNUMBER(M1292)),"",IF(G1292="Terreno",IF(AND(ISNUMBER(I1292),I1292&gt;0),M1292/I1292,""),IF(AND(ISNUMBER(H1292),H1292&gt;0),M1292/H1292,"")))</f>
        <v/>
      </c>
      <c r="T1292" s="9">
        <f>IF(AND(ISNUMBER(M1292),ISNUMBER(O1292)),IF(M1292&lt;=O1292,"Valor ≤ venal IPTU",""),"")</f>
        <v/>
      </c>
      <c r="U1292" s="10">
        <f>IF(AND(ISNUMBER(M1292),ISNUMBER(N1292)),IF(N1292&gt;0,M1292/N1292,""),"")</f>
        <v/>
      </c>
      <c r="V1292" s="10">
        <f>IF(AND(ISNUMBER(M1292),ISNUMBER(O1292)),IF(O1292&gt;0,M1292/O1292,""),"")</f>
        <v/>
      </c>
      <c r="W1292" s="10">
        <f>IF(AND(ISNUMBER(M1292),ISNUMBER(R1292)),IF(R1292&gt;0,M1292/R1292,""),"")</f>
        <v/>
      </c>
      <c r="X1292" s="10">
        <f>IF(AND(ISNUMBER(Q1292),ISNUMBER(M1292)),IF(M1292&gt;0,Q1292/M1292,""),"")</f>
        <v/>
      </c>
      <c r="Y1292" s="11">
        <f>IF(ISNUMBER(Z1292),YEAR(Z1292),"")</f>
        <v/>
      </c>
      <c r="Z1292" s="12" t="n"/>
      <c r="AA1292" s="12" t="n"/>
      <c r="AI1292" s="12" t="n"/>
      <c r="AJ1292" s="13">
        <f>IF(LEN(TRIM(AF1292))=0,"",HYPERLINK("https://www.google.com/maps/@?api=1&amp;map_action=pano&amp;viewpoint="&amp;SUBSTITUTE(AF1292," ",""),"Abrir Street View"))</f>
        <v/>
      </c>
    </row>
    <row r="1293">
      <c r="H1293" s="6" t="n"/>
      <c r="I1293" s="6" t="n"/>
      <c r="M1293" s="7" t="n"/>
      <c r="N1293" s="7" t="n"/>
      <c r="O1293" s="7" t="n"/>
      <c r="Q1293" s="7" t="n"/>
      <c r="R1293" s="7" t="n"/>
      <c r="S1293" s="8">
        <f>IF(NOT(ISNUMBER(M1293)),"",IF(G1293="Terreno",IF(AND(ISNUMBER(I1293),I1293&gt;0),M1293/I1293,""),IF(AND(ISNUMBER(H1293),H1293&gt;0),M1293/H1293,"")))</f>
        <v/>
      </c>
      <c r="T1293" s="9">
        <f>IF(AND(ISNUMBER(M1293),ISNUMBER(O1293)),IF(M1293&lt;=O1293,"Valor ≤ venal IPTU",""),"")</f>
        <v/>
      </c>
      <c r="U1293" s="10">
        <f>IF(AND(ISNUMBER(M1293),ISNUMBER(N1293)),IF(N1293&gt;0,M1293/N1293,""),"")</f>
        <v/>
      </c>
      <c r="V1293" s="10">
        <f>IF(AND(ISNUMBER(M1293),ISNUMBER(O1293)),IF(O1293&gt;0,M1293/O1293,""),"")</f>
        <v/>
      </c>
      <c r="W1293" s="10">
        <f>IF(AND(ISNUMBER(M1293),ISNUMBER(R1293)),IF(R1293&gt;0,M1293/R1293,""),"")</f>
        <v/>
      </c>
      <c r="X1293" s="10">
        <f>IF(AND(ISNUMBER(Q1293),ISNUMBER(M1293)),IF(M1293&gt;0,Q1293/M1293,""),"")</f>
        <v/>
      </c>
      <c r="Y1293" s="11">
        <f>IF(ISNUMBER(Z1293),YEAR(Z1293),"")</f>
        <v/>
      </c>
      <c r="Z1293" s="12" t="n"/>
      <c r="AA1293" s="12" t="n"/>
      <c r="AI1293" s="12" t="n"/>
      <c r="AJ1293" s="13">
        <f>IF(LEN(TRIM(AF1293))=0,"",HYPERLINK("https://www.google.com/maps/@?api=1&amp;map_action=pano&amp;viewpoint="&amp;SUBSTITUTE(AF1293," ",""),"Abrir Street View"))</f>
        <v/>
      </c>
    </row>
    <row r="1294">
      <c r="H1294" s="6" t="n"/>
      <c r="I1294" s="6" t="n"/>
      <c r="M1294" s="7" t="n"/>
      <c r="N1294" s="7" t="n"/>
      <c r="O1294" s="7" t="n"/>
      <c r="Q1294" s="7" t="n"/>
      <c r="R1294" s="7" t="n"/>
      <c r="S1294" s="8">
        <f>IF(NOT(ISNUMBER(M1294)),"",IF(G1294="Terreno",IF(AND(ISNUMBER(I1294),I1294&gt;0),M1294/I1294,""),IF(AND(ISNUMBER(H1294),H1294&gt;0),M1294/H1294,"")))</f>
        <v/>
      </c>
      <c r="T1294" s="9">
        <f>IF(AND(ISNUMBER(M1294),ISNUMBER(O1294)),IF(M1294&lt;=O1294,"Valor ≤ venal IPTU",""),"")</f>
        <v/>
      </c>
      <c r="U1294" s="10">
        <f>IF(AND(ISNUMBER(M1294),ISNUMBER(N1294)),IF(N1294&gt;0,M1294/N1294,""),"")</f>
        <v/>
      </c>
      <c r="V1294" s="10">
        <f>IF(AND(ISNUMBER(M1294),ISNUMBER(O1294)),IF(O1294&gt;0,M1294/O1294,""),"")</f>
        <v/>
      </c>
      <c r="W1294" s="10">
        <f>IF(AND(ISNUMBER(M1294),ISNUMBER(R1294)),IF(R1294&gt;0,M1294/R1294,""),"")</f>
        <v/>
      </c>
      <c r="X1294" s="10">
        <f>IF(AND(ISNUMBER(Q1294),ISNUMBER(M1294)),IF(M1294&gt;0,Q1294/M1294,""),"")</f>
        <v/>
      </c>
      <c r="Y1294" s="11">
        <f>IF(ISNUMBER(Z1294),YEAR(Z1294),"")</f>
        <v/>
      </c>
      <c r="Z1294" s="12" t="n"/>
      <c r="AA1294" s="12" t="n"/>
      <c r="AI1294" s="12" t="n"/>
      <c r="AJ1294" s="13">
        <f>IF(LEN(TRIM(AF1294))=0,"",HYPERLINK("https://www.google.com/maps/@?api=1&amp;map_action=pano&amp;viewpoint="&amp;SUBSTITUTE(AF1294," ",""),"Abrir Street View"))</f>
        <v/>
      </c>
    </row>
    <row r="1295">
      <c r="H1295" s="6" t="n"/>
      <c r="I1295" s="6" t="n"/>
      <c r="M1295" s="7" t="n"/>
      <c r="N1295" s="7" t="n"/>
      <c r="O1295" s="7" t="n"/>
      <c r="Q1295" s="7" t="n"/>
      <c r="R1295" s="7" t="n"/>
      <c r="S1295" s="8">
        <f>IF(NOT(ISNUMBER(M1295)),"",IF(G1295="Terreno",IF(AND(ISNUMBER(I1295),I1295&gt;0),M1295/I1295,""),IF(AND(ISNUMBER(H1295),H1295&gt;0),M1295/H1295,"")))</f>
        <v/>
      </c>
      <c r="T1295" s="9">
        <f>IF(AND(ISNUMBER(M1295),ISNUMBER(O1295)),IF(M1295&lt;=O1295,"Valor ≤ venal IPTU",""),"")</f>
        <v/>
      </c>
      <c r="U1295" s="10">
        <f>IF(AND(ISNUMBER(M1295),ISNUMBER(N1295)),IF(N1295&gt;0,M1295/N1295,""),"")</f>
        <v/>
      </c>
      <c r="V1295" s="10">
        <f>IF(AND(ISNUMBER(M1295),ISNUMBER(O1295)),IF(O1295&gt;0,M1295/O1295,""),"")</f>
        <v/>
      </c>
      <c r="W1295" s="10">
        <f>IF(AND(ISNUMBER(M1295),ISNUMBER(R1295)),IF(R1295&gt;0,M1295/R1295,""),"")</f>
        <v/>
      </c>
      <c r="X1295" s="10">
        <f>IF(AND(ISNUMBER(Q1295),ISNUMBER(M1295)),IF(M1295&gt;0,Q1295/M1295,""),"")</f>
        <v/>
      </c>
      <c r="Y1295" s="11">
        <f>IF(ISNUMBER(Z1295),YEAR(Z1295),"")</f>
        <v/>
      </c>
      <c r="Z1295" s="12" t="n"/>
      <c r="AA1295" s="12" t="n"/>
      <c r="AI1295" s="12" t="n"/>
      <c r="AJ1295" s="13">
        <f>IF(LEN(TRIM(AF1295))=0,"",HYPERLINK("https://www.google.com/maps/@?api=1&amp;map_action=pano&amp;viewpoint="&amp;SUBSTITUTE(AF1295," ",""),"Abrir Street View"))</f>
        <v/>
      </c>
    </row>
    <row r="1296">
      <c r="H1296" s="6" t="n"/>
      <c r="I1296" s="6" t="n"/>
      <c r="M1296" s="7" t="n"/>
      <c r="N1296" s="7" t="n"/>
      <c r="O1296" s="7" t="n"/>
      <c r="Q1296" s="7" t="n"/>
      <c r="R1296" s="7" t="n"/>
      <c r="S1296" s="8">
        <f>IF(NOT(ISNUMBER(M1296)),"",IF(G1296="Terreno",IF(AND(ISNUMBER(I1296),I1296&gt;0),M1296/I1296,""),IF(AND(ISNUMBER(H1296),H1296&gt;0),M1296/H1296,"")))</f>
        <v/>
      </c>
      <c r="T1296" s="9">
        <f>IF(AND(ISNUMBER(M1296),ISNUMBER(O1296)),IF(M1296&lt;=O1296,"Valor ≤ venal IPTU",""),"")</f>
        <v/>
      </c>
      <c r="U1296" s="10">
        <f>IF(AND(ISNUMBER(M1296),ISNUMBER(N1296)),IF(N1296&gt;0,M1296/N1296,""),"")</f>
        <v/>
      </c>
      <c r="V1296" s="10">
        <f>IF(AND(ISNUMBER(M1296),ISNUMBER(O1296)),IF(O1296&gt;0,M1296/O1296,""),"")</f>
        <v/>
      </c>
      <c r="W1296" s="10">
        <f>IF(AND(ISNUMBER(M1296),ISNUMBER(R1296)),IF(R1296&gt;0,M1296/R1296,""),"")</f>
        <v/>
      </c>
      <c r="X1296" s="10">
        <f>IF(AND(ISNUMBER(Q1296),ISNUMBER(M1296)),IF(M1296&gt;0,Q1296/M1296,""),"")</f>
        <v/>
      </c>
      <c r="Y1296" s="11">
        <f>IF(ISNUMBER(Z1296),YEAR(Z1296),"")</f>
        <v/>
      </c>
      <c r="Z1296" s="12" t="n"/>
      <c r="AA1296" s="12" t="n"/>
      <c r="AI1296" s="12" t="n"/>
      <c r="AJ1296" s="13">
        <f>IF(LEN(TRIM(AF1296))=0,"",HYPERLINK("https://www.google.com/maps/@?api=1&amp;map_action=pano&amp;viewpoint="&amp;SUBSTITUTE(AF1296," ",""),"Abrir Street View"))</f>
        <v/>
      </c>
    </row>
    <row r="1297">
      <c r="H1297" s="6" t="n"/>
      <c r="I1297" s="6" t="n"/>
      <c r="M1297" s="7" t="n"/>
      <c r="N1297" s="7" t="n"/>
      <c r="O1297" s="7" t="n"/>
      <c r="Q1297" s="7" t="n"/>
      <c r="R1297" s="7" t="n"/>
      <c r="S1297" s="8">
        <f>IF(NOT(ISNUMBER(M1297)),"",IF(G1297="Terreno",IF(AND(ISNUMBER(I1297),I1297&gt;0),M1297/I1297,""),IF(AND(ISNUMBER(H1297),H1297&gt;0),M1297/H1297,"")))</f>
        <v/>
      </c>
      <c r="T1297" s="9">
        <f>IF(AND(ISNUMBER(M1297),ISNUMBER(O1297)),IF(M1297&lt;=O1297,"Valor ≤ venal IPTU",""),"")</f>
        <v/>
      </c>
      <c r="U1297" s="10">
        <f>IF(AND(ISNUMBER(M1297),ISNUMBER(N1297)),IF(N1297&gt;0,M1297/N1297,""),"")</f>
        <v/>
      </c>
      <c r="V1297" s="10">
        <f>IF(AND(ISNUMBER(M1297),ISNUMBER(O1297)),IF(O1297&gt;0,M1297/O1297,""),"")</f>
        <v/>
      </c>
      <c r="W1297" s="10">
        <f>IF(AND(ISNUMBER(M1297),ISNUMBER(R1297)),IF(R1297&gt;0,M1297/R1297,""),"")</f>
        <v/>
      </c>
      <c r="X1297" s="10">
        <f>IF(AND(ISNUMBER(Q1297),ISNUMBER(M1297)),IF(M1297&gt;0,Q1297/M1297,""),"")</f>
        <v/>
      </c>
      <c r="Y1297" s="11">
        <f>IF(ISNUMBER(Z1297),YEAR(Z1297),"")</f>
        <v/>
      </c>
      <c r="Z1297" s="12" t="n"/>
      <c r="AA1297" s="12" t="n"/>
      <c r="AI1297" s="12" t="n"/>
      <c r="AJ1297" s="13">
        <f>IF(LEN(TRIM(AF1297))=0,"",HYPERLINK("https://www.google.com/maps/@?api=1&amp;map_action=pano&amp;viewpoint="&amp;SUBSTITUTE(AF1297," ",""),"Abrir Street View"))</f>
        <v/>
      </c>
    </row>
    <row r="1298">
      <c r="H1298" s="6" t="n"/>
      <c r="I1298" s="6" t="n"/>
      <c r="M1298" s="7" t="n"/>
      <c r="N1298" s="7" t="n"/>
      <c r="O1298" s="7" t="n"/>
      <c r="Q1298" s="7" t="n"/>
      <c r="R1298" s="7" t="n"/>
      <c r="S1298" s="8">
        <f>IF(NOT(ISNUMBER(M1298)),"",IF(G1298="Terreno",IF(AND(ISNUMBER(I1298),I1298&gt;0),M1298/I1298,""),IF(AND(ISNUMBER(H1298),H1298&gt;0),M1298/H1298,"")))</f>
        <v/>
      </c>
      <c r="T1298" s="9">
        <f>IF(AND(ISNUMBER(M1298),ISNUMBER(O1298)),IF(M1298&lt;=O1298,"Valor ≤ venal IPTU",""),"")</f>
        <v/>
      </c>
      <c r="U1298" s="10">
        <f>IF(AND(ISNUMBER(M1298),ISNUMBER(N1298)),IF(N1298&gt;0,M1298/N1298,""),"")</f>
        <v/>
      </c>
      <c r="V1298" s="10">
        <f>IF(AND(ISNUMBER(M1298),ISNUMBER(O1298)),IF(O1298&gt;0,M1298/O1298,""),"")</f>
        <v/>
      </c>
      <c r="W1298" s="10">
        <f>IF(AND(ISNUMBER(M1298),ISNUMBER(R1298)),IF(R1298&gt;0,M1298/R1298,""),"")</f>
        <v/>
      </c>
      <c r="X1298" s="10">
        <f>IF(AND(ISNUMBER(Q1298),ISNUMBER(M1298)),IF(M1298&gt;0,Q1298/M1298,""),"")</f>
        <v/>
      </c>
      <c r="Y1298" s="11">
        <f>IF(ISNUMBER(Z1298),YEAR(Z1298),"")</f>
        <v/>
      </c>
      <c r="Z1298" s="12" t="n"/>
      <c r="AA1298" s="12" t="n"/>
      <c r="AI1298" s="12" t="n"/>
      <c r="AJ1298" s="13">
        <f>IF(LEN(TRIM(AF1298))=0,"",HYPERLINK("https://www.google.com/maps/@?api=1&amp;map_action=pano&amp;viewpoint="&amp;SUBSTITUTE(AF1298," ",""),"Abrir Street View"))</f>
        <v/>
      </c>
    </row>
    <row r="1299">
      <c r="H1299" s="6" t="n"/>
      <c r="I1299" s="6" t="n"/>
      <c r="M1299" s="7" t="n"/>
      <c r="N1299" s="7" t="n"/>
      <c r="O1299" s="7" t="n"/>
      <c r="Q1299" s="7" t="n"/>
      <c r="R1299" s="7" t="n"/>
      <c r="S1299" s="8">
        <f>IF(NOT(ISNUMBER(M1299)),"",IF(G1299="Terreno",IF(AND(ISNUMBER(I1299),I1299&gt;0),M1299/I1299,""),IF(AND(ISNUMBER(H1299),H1299&gt;0),M1299/H1299,"")))</f>
        <v/>
      </c>
      <c r="T1299" s="9">
        <f>IF(AND(ISNUMBER(M1299),ISNUMBER(O1299)),IF(M1299&lt;=O1299,"Valor ≤ venal IPTU",""),"")</f>
        <v/>
      </c>
      <c r="U1299" s="10">
        <f>IF(AND(ISNUMBER(M1299),ISNUMBER(N1299)),IF(N1299&gt;0,M1299/N1299,""),"")</f>
        <v/>
      </c>
      <c r="V1299" s="10">
        <f>IF(AND(ISNUMBER(M1299),ISNUMBER(O1299)),IF(O1299&gt;0,M1299/O1299,""),"")</f>
        <v/>
      </c>
      <c r="W1299" s="10">
        <f>IF(AND(ISNUMBER(M1299),ISNUMBER(R1299)),IF(R1299&gt;0,M1299/R1299,""),"")</f>
        <v/>
      </c>
      <c r="X1299" s="10">
        <f>IF(AND(ISNUMBER(Q1299),ISNUMBER(M1299)),IF(M1299&gt;0,Q1299/M1299,""),"")</f>
        <v/>
      </c>
      <c r="Y1299" s="11">
        <f>IF(ISNUMBER(Z1299),YEAR(Z1299),"")</f>
        <v/>
      </c>
      <c r="Z1299" s="12" t="n"/>
      <c r="AA1299" s="12" t="n"/>
      <c r="AI1299" s="12" t="n"/>
      <c r="AJ1299" s="13">
        <f>IF(LEN(TRIM(AF1299))=0,"",HYPERLINK("https://www.google.com/maps/@?api=1&amp;map_action=pano&amp;viewpoint="&amp;SUBSTITUTE(AF1299," ",""),"Abrir Street View"))</f>
        <v/>
      </c>
    </row>
    <row r="1300">
      <c r="H1300" s="6" t="n"/>
      <c r="I1300" s="6" t="n"/>
      <c r="M1300" s="7" t="n"/>
      <c r="N1300" s="7" t="n"/>
      <c r="O1300" s="7" t="n"/>
      <c r="Q1300" s="7" t="n"/>
      <c r="R1300" s="7" t="n"/>
      <c r="S1300" s="8">
        <f>IF(NOT(ISNUMBER(M1300)),"",IF(G1300="Terreno",IF(AND(ISNUMBER(I1300),I1300&gt;0),M1300/I1300,""),IF(AND(ISNUMBER(H1300),H1300&gt;0),M1300/H1300,"")))</f>
        <v/>
      </c>
      <c r="T1300" s="9">
        <f>IF(AND(ISNUMBER(M1300),ISNUMBER(O1300)),IF(M1300&lt;=O1300,"Valor ≤ venal IPTU",""),"")</f>
        <v/>
      </c>
      <c r="U1300" s="10">
        <f>IF(AND(ISNUMBER(M1300),ISNUMBER(N1300)),IF(N1300&gt;0,M1300/N1300,""),"")</f>
        <v/>
      </c>
      <c r="V1300" s="10">
        <f>IF(AND(ISNUMBER(M1300),ISNUMBER(O1300)),IF(O1300&gt;0,M1300/O1300,""),"")</f>
        <v/>
      </c>
      <c r="W1300" s="10">
        <f>IF(AND(ISNUMBER(M1300),ISNUMBER(R1300)),IF(R1300&gt;0,M1300/R1300,""),"")</f>
        <v/>
      </c>
      <c r="X1300" s="10">
        <f>IF(AND(ISNUMBER(Q1300),ISNUMBER(M1300)),IF(M1300&gt;0,Q1300/M1300,""),"")</f>
        <v/>
      </c>
      <c r="Y1300" s="11">
        <f>IF(ISNUMBER(Z1300),YEAR(Z1300),"")</f>
        <v/>
      </c>
      <c r="Z1300" s="12" t="n"/>
      <c r="AA1300" s="12" t="n"/>
      <c r="AI1300" s="12" t="n"/>
      <c r="AJ1300" s="13">
        <f>IF(LEN(TRIM(AF1300))=0,"",HYPERLINK("https://www.google.com/maps/@?api=1&amp;map_action=pano&amp;viewpoint="&amp;SUBSTITUTE(AF1300," ",""),"Abrir Street View"))</f>
        <v/>
      </c>
    </row>
    <row r="1301">
      <c r="H1301" s="6" t="n"/>
      <c r="I1301" s="6" t="n"/>
      <c r="M1301" s="7" t="n"/>
      <c r="N1301" s="7" t="n"/>
      <c r="O1301" s="7" t="n"/>
      <c r="Q1301" s="7" t="n"/>
      <c r="R1301" s="7" t="n"/>
      <c r="S1301" s="8">
        <f>IF(NOT(ISNUMBER(M1301)),"",IF(G1301="Terreno",IF(AND(ISNUMBER(I1301),I1301&gt;0),M1301/I1301,""),IF(AND(ISNUMBER(H1301),H1301&gt;0),M1301/H1301,"")))</f>
        <v/>
      </c>
      <c r="T1301" s="9">
        <f>IF(AND(ISNUMBER(M1301),ISNUMBER(O1301)),IF(M1301&lt;=O1301,"Valor ≤ venal IPTU",""),"")</f>
        <v/>
      </c>
      <c r="U1301" s="10">
        <f>IF(AND(ISNUMBER(M1301),ISNUMBER(N1301)),IF(N1301&gt;0,M1301/N1301,""),"")</f>
        <v/>
      </c>
      <c r="V1301" s="10">
        <f>IF(AND(ISNUMBER(M1301),ISNUMBER(O1301)),IF(O1301&gt;0,M1301/O1301,""),"")</f>
        <v/>
      </c>
      <c r="W1301" s="10">
        <f>IF(AND(ISNUMBER(M1301),ISNUMBER(R1301)),IF(R1301&gt;0,M1301/R1301,""),"")</f>
        <v/>
      </c>
      <c r="X1301" s="10">
        <f>IF(AND(ISNUMBER(Q1301),ISNUMBER(M1301)),IF(M1301&gt;0,Q1301/M1301,""),"")</f>
        <v/>
      </c>
      <c r="Y1301" s="11">
        <f>IF(ISNUMBER(Z1301),YEAR(Z1301),"")</f>
        <v/>
      </c>
      <c r="Z1301" s="12" t="n"/>
      <c r="AA1301" s="12" t="n"/>
      <c r="AI1301" s="12" t="n"/>
      <c r="AJ1301" s="13">
        <f>IF(LEN(TRIM(AF1301))=0,"",HYPERLINK("https://www.google.com/maps/@?api=1&amp;map_action=pano&amp;viewpoint="&amp;SUBSTITUTE(AF1301," ",""),"Abrir Street View"))</f>
        <v/>
      </c>
    </row>
    <row r="1302">
      <c r="H1302" s="6" t="n"/>
      <c r="I1302" s="6" t="n"/>
      <c r="M1302" s="7" t="n"/>
      <c r="N1302" s="7" t="n"/>
      <c r="O1302" s="7" t="n"/>
      <c r="Q1302" s="7" t="n"/>
      <c r="R1302" s="7" t="n"/>
      <c r="S1302" s="8">
        <f>IF(NOT(ISNUMBER(M1302)),"",IF(G1302="Terreno",IF(AND(ISNUMBER(I1302),I1302&gt;0),M1302/I1302,""),IF(AND(ISNUMBER(H1302),H1302&gt;0),M1302/H1302,"")))</f>
        <v/>
      </c>
      <c r="T1302" s="9">
        <f>IF(AND(ISNUMBER(M1302),ISNUMBER(O1302)),IF(M1302&lt;=O1302,"Valor ≤ venal IPTU",""),"")</f>
        <v/>
      </c>
      <c r="U1302" s="10">
        <f>IF(AND(ISNUMBER(M1302),ISNUMBER(N1302)),IF(N1302&gt;0,M1302/N1302,""),"")</f>
        <v/>
      </c>
      <c r="V1302" s="10">
        <f>IF(AND(ISNUMBER(M1302),ISNUMBER(O1302)),IF(O1302&gt;0,M1302/O1302,""),"")</f>
        <v/>
      </c>
      <c r="W1302" s="10">
        <f>IF(AND(ISNUMBER(M1302),ISNUMBER(R1302)),IF(R1302&gt;0,M1302/R1302,""),"")</f>
        <v/>
      </c>
      <c r="X1302" s="10">
        <f>IF(AND(ISNUMBER(Q1302),ISNUMBER(M1302)),IF(M1302&gt;0,Q1302/M1302,""),"")</f>
        <v/>
      </c>
      <c r="Y1302" s="11">
        <f>IF(ISNUMBER(Z1302),YEAR(Z1302),"")</f>
        <v/>
      </c>
      <c r="Z1302" s="12" t="n"/>
      <c r="AA1302" s="12" t="n"/>
      <c r="AI1302" s="12" t="n"/>
      <c r="AJ1302" s="13">
        <f>IF(LEN(TRIM(AF1302))=0,"",HYPERLINK("https://www.google.com/maps/@?api=1&amp;map_action=pano&amp;viewpoint="&amp;SUBSTITUTE(AF1302," ",""),"Abrir Street View"))</f>
        <v/>
      </c>
    </row>
    <row r="1303">
      <c r="H1303" s="6" t="n"/>
      <c r="I1303" s="6" t="n"/>
      <c r="M1303" s="7" t="n"/>
      <c r="N1303" s="7" t="n"/>
      <c r="O1303" s="7" t="n"/>
      <c r="Q1303" s="7" t="n"/>
      <c r="R1303" s="7" t="n"/>
      <c r="S1303" s="8">
        <f>IF(NOT(ISNUMBER(M1303)),"",IF(G1303="Terreno",IF(AND(ISNUMBER(I1303),I1303&gt;0),M1303/I1303,""),IF(AND(ISNUMBER(H1303),H1303&gt;0),M1303/H1303,"")))</f>
        <v/>
      </c>
      <c r="T1303" s="9">
        <f>IF(AND(ISNUMBER(M1303),ISNUMBER(O1303)),IF(M1303&lt;=O1303,"Valor ≤ venal IPTU",""),"")</f>
        <v/>
      </c>
      <c r="U1303" s="10">
        <f>IF(AND(ISNUMBER(M1303),ISNUMBER(N1303)),IF(N1303&gt;0,M1303/N1303,""),"")</f>
        <v/>
      </c>
      <c r="V1303" s="10">
        <f>IF(AND(ISNUMBER(M1303),ISNUMBER(O1303)),IF(O1303&gt;0,M1303/O1303,""),"")</f>
        <v/>
      </c>
      <c r="W1303" s="10">
        <f>IF(AND(ISNUMBER(M1303),ISNUMBER(R1303)),IF(R1303&gt;0,M1303/R1303,""),"")</f>
        <v/>
      </c>
      <c r="X1303" s="10">
        <f>IF(AND(ISNUMBER(Q1303),ISNUMBER(M1303)),IF(M1303&gt;0,Q1303/M1303,""),"")</f>
        <v/>
      </c>
      <c r="Y1303" s="11">
        <f>IF(ISNUMBER(Z1303),YEAR(Z1303),"")</f>
        <v/>
      </c>
      <c r="Z1303" s="12" t="n"/>
      <c r="AA1303" s="12" t="n"/>
      <c r="AI1303" s="12" t="n"/>
      <c r="AJ1303" s="13">
        <f>IF(LEN(TRIM(AF1303))=0,"",HYPERLINK("https://www.google.com/maps/@?api=1&amp;map_action=pano&amp;viewpoint="&amp;SUBSTITUTE(AF1303," ",""),"Abrir Street View"))</f>
        <v/>
      </c>
    </row>
    <row r="1304">
      <c r="H1304" s="6" t="n"/>
      <c r="I1304" s="6" t="n"/>
      <c r="M1304" s="7" t="n"/>
      <c r="N1304" s="7" t="n"/>
      <c r="O1304" s="7" t="n"/>
      <c r="Q1304" s="7" t="n"/>
      <c r="R1304" s="7" t="n"/>
      <c r="S1304" s="8">
        <f>IF(NOT(ISNUMBER(M1304)),"",IF(G1304="Terreno",IF(AND(ISNUMBER(I1304),I1304&gt;0),M1304/I1304,""),IF(AND(ISNUMBER(H1304),H1304&gt;0),M1304/H1304,"")))</f>
        <v/>
      </c>
      <c r="T1304" s="9">
        <f>IF(AND(ISNUMBER(M1304),ISNUMBER(O1304)),IF(M1304&lt;=O1304,"Valor ≤ venal IPTU",""),"")</f>
        <v/>
      </c>
      <c r="U1304" s="10">
        <f>IF(AND(ISNUMBER(M1304),ISNUMBER(N1304)),IF(N1304&gt;0,M1304/N1304,""),"")</f>
        <v/>
      </c>
      <c r="V1304" s="10">
        <f>IF(AND(ISNUMBER(M1304),ISNUMBER(O1304)),IF(O1304&gt;0,M1304/O1304,""),"")</f>
        <v/>
      </c>
      <c r="W1304" s="10">
        <f>IF(AND(ISNUMBER(M1304),ISNUMBER(R1304)),IF(R1304&gt;0,M1304/R1304,""),"")</f>
        <v/>
      </c>
      <c r="X1304" s="10">
        <f>IF(AND(ISNUMBER(Q1304),ISNUMBER(M1304)),IF(M1304&gt;0,Q1304/M1304,""),"")</f>
        <v/>
      </c>
      <c r="Y1304" s="11">
        <f>IF(ISNUMBER(Z1304),YEAR(Z1304),"")</f>
        <v/>
      </c>
      <c r="Z1304" s="12" t="n"/>
      <c r="AA1304" s="12" t="n"/>
      <c r="AI1304" s="12" t="n"/>
      <c r="AJ1304" s="13">
        <f>IF(LEN(TRIM(AF1304))=0,"",HYPERLINK("https://www.google.com/maps/@?api=1&amp;map_action=pano&amp;viewpoint="&amp;SUBSTITUTE(AF1304," ",""),"Abrir Street View"))</f>
        <v/>
      </c>
    </row>
    <row r="1305">
      <c r="H1305" s="6" t="n"/>
      <c r="I1305" s="6" t="n"/>
      <c r="M1305" s="7" t="n"/>
      <c r="N1305" s="7" t="n"/>
      <c r="O1305" s="7" t="n"/>
      <c r="Q1305" s="7" t="n"/>
      <c r="R1305" s="7" t="n"/>
      <c r="S1305" s="8">
        <f>IF(NOT(ISNUMBER(M1305)),"",IF(G1305="Terreno",IF(AND(ISNUMBER(I1305),I1305&gt;0),M1305/I1305,""),IF(AND(ISNUMBER(H1305),H1305&gt;0),M1305/H1305,"")))</f>
        <v/>
      </c>
      <c r="T1305" s="9">
        <f>IF(AND(ISNUMBER(M1305),ISNUMBER(O1305)),IF(M1305&lt;=O1305,"Valor ≤ venal IPTU",""),"")</f>
        <v/>
      </c>
      <c r="U1305" s="10">
        <f>IF(AND(ISNUMBER(M1305),ISNUMBER(N1305)),IF(N1305&gt;0,M1305/N1305,""),"")</f>
        <v/>
      </c>
      <c r="V1305" s="10">
        <f>IF(AND(ISNUMBER(M1305),ISNUMBER(O1305)),IF(O1305&gt;0,M1305/O1305,""),"")</f>
        <v/>
      </c>
      <c r="W1305" s="10">
        <f>IF(AND(ISNUMBER(M1305),ISNUMBER(R1305)),IF(R1305&gt;0,M1305/R1305,""),"")</f>
        <v/>
      </c>
      <c r="X1305" s="10">
        <f>IF(AND(ISNUMBER(Q1305),ISNUMBER(M1305)),IF(M1305&gt;0,Q1305/M1305,""),"")</f>
        <v/>
      </c>
      <c r="Y1305" s="11">
        <f>IF(ISNUMBER(Z1305),YEAR(Z1305),"")</f>
        <v/>
      </c>
      <c r="Z1305" s="12" t="n"/>
      <c r="AA1305" s="12" t="n"/>
      <c r="AI1305" s="12" t="n"/>
      <c r="AJ1305" s="13">
        <f>IF(LEN(TRIM(AF1305))=0,"",HYPERLINK("https://www.google.com/maps/@?api=1&amp;map_action=pano&amp;viewpoint="&amp;SUBSTITUTE(AF1305," ",""),"Abrir Street View"))</f>
        <v/>
      </c>
    </row>
    <row r="1306">
      <c r="H1306" s="6" t="n"/>
      <c r="I1306" s="6" t="n"/>
      <c r="M1306" s="7" t="n"/>
      <c r="N1306" s="7" t="n"/>
      <c r="O1306" s="7" t="n"/>
      <c r="Q1306" s="7" t="n"/>
      <c r="R1306" s="7" t="n"/>
      <c r="S1306" s="8">
        <f>IF(NOT(ISNUMBER(M1306)),"",IF(G1306="Terreno",IF(AND(ISNUMBER(I1306),I1306&gt;0),M1306/I1306,""),IF(AND(ISNUMBER(H1306),H1306&gt;0),M1306/H1306,"")))</f>
        <v/>
      </c>
      <c r="T1306" s="9">
        <f>IF(AND(ISNUMBER(M1306),ISNUMBER(O1306)),IF(M1306&lt;=O1306,"Valor ≤ venal IPTU",""),"")</f>
        <v/>
      </c>
      <c r="U1306" s="10">
        <f>IF(AND(ISNUMBER(M1306),ISNUMBER(N1306)),IF(N1306&gt;0,M1306/N1306,""),"")</f>
        <v/>
      </c>
      <c r="V1306" s="10">
        <f>IF(AND(ISNUMBER(M1306),ISNUMBER(O1306)),IF(O1306&gt;0,M1306/O1306,""),"")</f>
        <v/>
      </c>
      <c r="W1306" s="10">
        <f>IF(AND(ISNUMBER(M1306),ISNUMBER(R1306)),IF(R1306&gt;0,M1306/R1306,""),"")</f>
        <v/>
      </c>
      <c r="X1306" s="10">
        <f>IF(AND(ISNUMBER(Q1306),ISNUMBER(M1306)),IF(M1306&gt;0,Q1306/M1306,""),"")</f>
        <v/>
      </c>
      <c r="Y1306" s="11">
        <f>IF(ISNUMBER(Z1306),YEAR(Z1306),"")</f>
        <v/>
      </c>
      <c r="Z1306" s="12" t="n"/>
      <c r="AA1306" s="12" t="n"/>
      <c r="AI1306" s="12" t="n"/>
      <c r="AJ1306" s="13">
        <f>IF(LEN(TRIM(AF1306))=0,"",HYPERLINK("https://www.google.com/maps/@?api=1&amp;map_action=pano&amp;viewpoint="&amp;SUBSTITUTE(AF1306," ",""),"Abrir Street View"))</f>
        <v/>
      </c>
    </row>
    <row r="1307">
      <c r="H1307" s="6" t="n"/>
      <c r="I1307" s="6" t="n"/>
      <c r="M1307" s="7" t="n"/>
      <c r="N1307" s="7" t="n"/>
      <c r="O1307" s="7" t="n"/>
      <c r="Q1307" s="7" t="n"/>
      <c r="R1307" s="7" t="n"/>
      <c r="S1307" s="8">
        <f>IF(NOT(ISNUMBER(M1307)),"",IF(G1307="Terreno",IF(AND(ISNUMBER(I1307),I1307&gt;0),M1307/I1307,""),IF(AND(ISNUMBER(H1307),H1307&gt;0),M1307/H1307,"")))</f>
        <v/>
      </c>
      <c r="T1307" s="9">
        <f>IF(AND(ISNUMBER(M1307),ISNUMBER(O1307)),IF(M1307&lt;=O1307,"Valor ≤ venal IPTU",""),"")</f>
        <v/>
      </c>
      <c r="U1307" s="10">
        <f>IF(AND(ISNUMBER(M1307),ISNUMBER(N1307)),IF(N1307&gt;0,M1307/N1307,""),"")</f>
        <v/>
      </c>
      <c r="V1307" s="10">
        <f>IF(AND(ISNUMBER(M1307),ISNUMBER(O1307)),IF(O1307&gt;0,M1307/O1307,""),"")</f>
        <v/>
      </c>
      <c r="W1307" s="10">
        <f>IF(AND(ISNUMBER(M1307),ISNUMBER(R1307)),IF(R1307&gt;0,M1307/R1307,""),"")</f>
        <v/>
      </c>
      <c r="X1307" s="10">
        <f>IF(AND(ISNUMBER(Q1307),ISNUMBER(M1307)),IF(M1307&gt;0,Q1307/M1307,""),"")</f>
        <v/>
      </c>
      <c r="Y1307" s="11">
        <f>IF(ISNUMBER(Z1307),YEAR(Z1307),"")</f>
        <v/>
      </c>
      <c r="Z1307" s="12" t="n"/>
      <c r="AA1307" s="12" t="n"/>
      <c r="AI1307" s="12" t="n"/>
      <c r="AJ1307" s="13">
        <f>IF(LEN(TRIM(AF1307))=0,"",HYPERLINK("https://www.google.com/maps/@?api=1&amp;map_action=pano&amp;viewpoint="&amp;SUBSTITUTE(AF1307," ",""),"Abrir Street View"))</f>
        <v/>
      </c>
    </row>
    <row r="1308">
      <c r="H1308" s="6" t="n"/>
      <c r="I1308" s="6" t="n"/>
      <c r="M1308" s="7" t="n"/>
      <c r="N1308" s="7" t="n"/>
      <c r="O1308" s="7" t="n"/>
      <c r="Q1308" s="7" t="n"/>
      <c r="R1308" s="7" t="n"/>
      <c r="S1308" s="8">
        <f>IF(NOT(ISNUMBER(M1308)),"",IF(G1308="Terreno",IF(AND(ISNUMBER(I1308),I1308&gt;0),M1308/I1308,""),IF(AND(ISNUMBER(H1308),H1308&gt;0),M1308/H1308,"")))</f>
        <v/>
      </c>
      <c r="T1308" s="9">
        <f>IF(AND(ISNUMBER(M1308),ISNUMBER(O1308)),IF(M1308&lt;=O1308,"Valor ≤ venal IPTU",""),"")</f>
        <v/>
      </c>
      <c r="U1308" s="10">
        <f>IF(AND(ISNUMBER(M1308),ISNUMBER(N1308)),IF(N1308&gt;0,M1308/N1308,""),"")</f>
        <v/>
      </c>
      <c r="V1308" s="10">
        <f>IF(AND(ISNUMBER(M1308),ISNUMBER(O1308)),IF(O1308&gt;0,M1308/O1308,""),"")</f>
        <v/>
      </c>
      <c r="W1308" s="10">
        <f>IF(AND(ISNUMBER(M1308),ISNUMBER(R1308)),IF(R1308&gt;0,M1308/R1308,""),"")</f>
        <v/>
      </c>
      <c r="X1308" s="10">
        <f>IF(AND(ISNUMBER(Q1308),ISNUMBER(M1308)),IF(M1308&gt;0,Q1308/M1308,""),"")</f>
        <v/>
      </c>
      <c r="Y1308" s="11">
        <f>IF(ISNUMBER(Z1308),YEAR(Z1308),"")</f>
        <v/>
      </c>
      <c r="Z1308" s="12" t="n"/>
      <c r="AA1308" s="12" t="n"/>
      <c r="AI1308" s="12" t="n"/>
      <c r="AJ1308" s="13">
        <f>IF(LEN(TRIM(AF1308))=0,"",HYPERLINK("https://www.google.com/maps/@?api=1&amp;map_action=pano&amp;viewpoint="&amp;SUBSTITUTE(AF1308," ",""),"Abrir Street View"))</f>
        <v/>
      </c>
    </row>
    <row r="1309">
      <c r="H1309" s="6" t="n"/>
      <c r="I1309" s="6" t="n"/>
      <c r="M1309" s="7" t="n"/>
      <c r="N1309" s="7" t="n"/>
      <c r="O1309" s="7" t="n"/>
      <c r="Q1309" s="7" t="n"/>
      <c r="R1309" s="7" t="n"/>
      <c r="S1309" s="8">
        <f>IF(NOT(ISNUMBER(M1309)),"",IF(G1309="Terreno",IF(AND(ISNUMBER(I1309),I1309&gt;0),M1309/I1309,""),IF(AND(ISNUMBER(H1309),H1309&gt;0),M1309/H1309,"")))</f>
        <v/>
      </c>
      <c r="T1309" s="9">
        <f>IF(AND(ISNUMBER(M1309),ISNUMBER(O1309)),IF(M1309&lt;=O1309,"Valor ≤ venal IPTU",""),"")</f>
        <v/>
      </c>
      <c r="U1309" s="10">
        <f>IF(AND(ISNUMBER(M1309),ISNUMBER(N1309)),IF(N1309&gt;0,M1309/N1309,""),"")</f>
        <v/>
      </c>
      <c r="V1309" s="10">
        <f>IF(AND(ISNUMBER(M1309),ISNUMBER(O1309)),IF(O1309&gt;0,M1309/O1309,""),"")</f>
        <v/>
      </c>
      <c r="W1309" s="10">
        <f>IF(AND(ISNUMBER(M1309),ISNUMBER(R1309)),IF(R1309&gt;0,M1309/R1309,""),"")</f>
        <v/>
      </c>
      <c r="X1309" s="10">
        <f>IF(AND(ISNUMBER(Q1309),ISNUMBER(M1309)),IF(M1309&gt;0,Q1309/M1309,""),"")</f>
        <v/>
      </c>
      <c r="Y1309" s="11">
        <f>IF(ISNUMBER(Z1309),YEAR(Z1309),"")</f>
        <v/>
      </c>
      <c r="Z1309" s="12" t="n"/>
      <c r="AA1309" s="12" t="n"/>
      <c r="AI1309" s="12" t="n"/>
      <c r="AJ1309" s="13">
        <f>IF(LEN(TRIM(AF1309))=0,"",HYPERLINK("https://www.google.com/maps/@?api=1&amp;map_action=pano&amp;viewpoint="&amp;SUBSTITUTE(AF1309," ",""),"Abrir Street View"))</f>
        <v/>
      </c>
    </row>
    <row r="1310">
      <c r="H1310" s="6" t="n"/>
      <c r="I1310" s="6" t="n"/>
      <c r="M1310" s="7" t="n"/>
      <c r="N1310" s="7" t="n"/>
      <c r="O1310" s="7" t="n"/>
      <c r="Q1310" s="7" t="n"/>
      <c r="R1310" s="7" t="n"/>
      <c r="S1310" s="8">
        <f>IF(NOT(ISNUMBER(M1310)),"",IF(G1310="Terreno",IF(AND(ISNUMBER(I1310),I1310&gt;0),M1310/I1310,""),IF(AND(ISNUMBER(H1310),H1310&gt;0),M1310/H1310,"")))</f>
        <v/>
      </c>
      <c r="T1310" s="9">
        <f>IF(AND(ISNUMBER(M1310),ISNUMBER(O1310)),IF(M1310&lt;=O1310,"Valor ≤ venal IPTU",""),"")</f>
        <v/>
      </c>
      <c r="U1310" s="10">
        <f>IF(AND(ISNUMBER(M1310),ISNUMBER(N1310)),IF(N1310&gt;0,M1310/N1310,""),"")</f>
        <v/>
      </c>
      <c r="V1310" s="10">
        <f>IF(AND(ISNUMBER(M1310),ISNUMBER(O1310)),IF(O1310&gt;0,M1310/O1310,""),"")</f>
        <v/>
      </c>
      <c r="W1310" s="10">
        <f>IF(AND(ISNUMBER(M1310),ISNUMBER(R1310)),IF(R1310&gt;0,M1310/R1310,""),"")</f>
        <v/>
      </c>
      <c r="X1310" s="10">
        <f>IF(AND(ISNUMBER(Q1310),ISNUMBER(M1310)),IF(M1310&gt;0,Q1310/M1310,""),"")</f>
        <v/>
      </c>
      <c r="Y1310" s="11">
        <f>IF(ISNUMBER(Z1310),YEAR(Z1310),"")</f>
        <v/>
      </c>
      <c r="Z1310" s="12" t="n"/>
      <c r="AA1310" s="12" t="n"/>
      <c r="AI1310" s="12" t="n"/>
      <c r="AJ1310" s="13">
        <f>IF(LEN(TRIM(AF1310))=0,"",HYPERLINK("https://www.google.com/maps/@?api=1&amp;map_action=pano&amp;viewpoint="&amp;SUBSTITUTE(AF1310," ",""),"Abrir Street View"))</f>
        <v/>
      </c>
    </row>
    <row r="1311">
      <c r="H1311" s="6" t="n"/>
      <c r="I1311" s="6" t="n"/>
      <c r="M1311" s="7" t="n"/>
      <c r="N1311" s="7" t="n"/>
      <c r="O1311" s="7" t="n"/>
      <c r="Q1311" s="7" t="n"/>
      <c r="R1311" s="7" t="n"/>
      <c r="S1311" s="8">
        <f>IF(NOT(ISNUMBER(M1311)),"",IF(G1311="Terreno",IF(AND(ISNUMBER(I1311),I1311&gt;0),M1311/I1311,""),IF(AND(ISNUMBER(H1311),H1311&gt;0),M1311/H1311,"")))</f>
        <v/>
      </c>
      <c r="T1311" s="9">
        <f>IF(AND(ISNUMBER(M1311),ISNUMBER(O1311)),IF(M1311&lt;=O1311,"Valor ≤ venal IPTU",""),"")</f>
        <v/>
      </c>
      <c r="U1311" s="10">
        <f>IF(AND(ISNUMBER(M1311),ISNUMBER(N1311)),IF(N1311&gt;0,M1311/N1311,""),"")</f>
        <v/>
      </c>
      <c r="V1311" s="10">
        <f>IF(AND(ISNUMBER(M1311),ISNUMBER(O1311)),IF(O1311&gt;0,M1311/O1311,""),"")</f>
        <v/>
      </c>
      <c r="W1311" s="10">
        <f>IF(AND(ISNUMBER(M1311),ISNUMBER(R1311)),IF(R1311&gt;0,M1311/R1311,""),"")</f>
        <v/>
      </c>
      <c r="X1311" s="10">
        <f>IF(AND(ISNUMBER(Q1311),ISNUMBER(M1311)),IF(M1311&gt;0,Q1311/M1311,""),"")</f>
        <v/>
      </c>
      <c r="Y1311" s="11">
        <f>IF(ISNUMBER(Z1311),YEAR(Z1311),"")</f>
        <v/>
      </c>
      <c r="Z1311" s="12" t="n"/>
      <c r="AA1311" s="12" t="n"/>
      <c r="AI1311" s="12" t="n"/>
      <c r="AJ1311" s="13">
        <f>IF(LEN(TRIM(AF1311))=0,"",HYPERLINK("https://www.google.com/maps/@?api=1&amp;map_action=pano&amp;viewpoint="&amp;SUBSTITUTE(AF1311," ",""),"Abrir Street View"))</f>
        <v/>
      </c>
    </row>
    <row r="1312">
      <c r="H1312" s="6" t="n"/>
      <c r="I1312" s="6" t="n"/>
      <c r="M1312" s="7" t="n"/>
      <c r="N1312" s="7" t="n"/>
      <c r="O1312" s="7" t="n"/>
      <c r="Q1312" s="7" t="n"/>
      <c r="R1312" s="7" t="n"/>
      <c r="S1312" s="8">
        <f>IF(NOT(ISNUMBER(M1312)),"",IF(G1312="Terreno",IF(AND(ISNUMBER(I1312),I1312&gt;0),M1312/I1312,""),IF(AND(ISNUMBER(H1312),H1312&gt;0),M1312/H1312,"")))</f>
        <v/>
      </c>
      <c r="T1312" s="9">
        <f>IF(AND(ISNUMBER(M1312),ISNUMBER(O1312)),IF(M1312&lt;=O1312,"Valor ≤ venal IPTU",""),"")</f>
        <v/>
      </c>
      <c r="U1312" s="10">
        <f>IF(AND(ISNUMBER(M1312),ISNUMBER(N1312)),IF(N1312&gt;0,M1312/N1312,""),"")</f>
        <v/>
      </c>
      <c r="V1312" s="10">
        <f>IF(AND(ISNUMBER(M1312),ISNUMBER(O1312)),IF(O1312&gt;0,M1312/O1312,""),"")</f>
        <v/>
      </c>
      <c r="W1312" s="10">
        <f>IF(AND(ISNUMBER(M1312),ISNUMBER(R1312)),IF(R1312&gt;0,M1312/R1312,""),"")</f>
        <v/>
      </c>
      <c r="X1312" s="10">
        <f>IF(AND(ISNUMBER(Q1312),ISNUMBER(M1312)),IF(M1312&gt;0,Q1312/M1312,""),"")</f>
        <v/>
      </c>
      <c r="Y1312" s="11">
        <f>IF(ISNUMBER(Z1312),YEAR(Z1312),"")</f>
        <v/>
      </c>
      <c r="Z1312" s="12" t="n"/>
      <c r="AA1312" s="12" t="n"/>
      <c r="AI1312" s="12" t="n"/>
      <c r="AJ1312" s="13">
        <f>IF(LEN(TRIM(AF1312))=0,"",HYPERLINK("https://www.google.com/maps/@?api=1&amp;map_action=pano&amp;viewpoint="&amp;SUBSTITUTE(AF1312," ",""),"Abrir Street View"))</f>
        <v/>
      </c>
    </row>
    <row r="1313">
      <c r="H1313" s="6" t="n"/>
      <c r="I1313" s="6" t="n"/>
      <c r="M1313" s="7" t="n"/>
      <c r="N1313" s="7" t="n"/>
      <c r="O1313" s="7" t="n"/>
      <c r="Q1313" s="7" t="n"/>
      <c r="R1313" s="7" t="n"/>
      <c r="S1313" s="8">
        <f>IF(NOT(ISNUMBER(M1313)),"",IF(G1313="Terreno",IF(AND(ISNUMBER(I1313),I1313&gt;0),M1313/I1313,""),IF(AND(ISNUMBER(H1313),H1313&gt;0),M1313/H1313,"")))</f>
        <v/>
      </c>
      <c r="T1313" s="9">
        <f>IF(AND(ISNUMBER(M1313),ISNUMBER(O1313)),IF(M1313&lt;=O1313,"Valor ≤ venal IPTU",""),"")</f>
        <v/>
      </c>
      <c r="U1313" s="10">
        <f>IF(AND(ISNUMBER(M1313),ISNUMBER(N1313)),IF(N1313&gt;0,M1313/N1313,""),"")</f>
        <v/>
      </c>
      <c r="V1313" s="10">
        <f>IF(AND(ISNUMBER(M1313),ISNUMBER(O1313)),IF(O1313&gt;0,M1313/O1313,""),"")</f>
        <v/>
      </c>
      <c r="W1313" s="10">
        <f>IF(AND(ISNUMBER(M1313),ISNUMBER(R1313)),IF(R1313&gt;0,M1313/R1313,""),"")</f>
        <v/>
      </c>
      <c r="X1313" s="10">
        <f>IF(AND(ISNUMBER(Q1313),ISNUMBER(M1313)),IF(M1313&gt;0,Q1313/M1313,""),"")</f>
        <v/>
      </c>
      <c r="Y1313" s="11">
        <f>IF(ISNUMBER(Z1313),YEAR(Z1313),"")</f>
        <v/>
      </c>
      <c r="Z1313" s="12" t="n"/>
      <c r="AA1313" s="12" t="n"/>
      <c r="AI1313" s="12" t="n"/>
      <c r="AJ1313" s="13">
        <f>IF(LEN(TRIM(AF1313))=0,"",HYPERLINK("https://www.google.com/maps/@?api=1&amp;map_action=pano&amp;viewpoint="&amp;SUBSTITUTE(AF1313," ",""),"Abrir Street View"))</f>
        <v/>
      </c>
    </row>
    <row r="1314">
      <c r="H1314" s="6" t="n"/>
      <c r="I1314" s="6" t="n"/>
      <c r="M1314" s="7" t="n"/>
      <c r="N1314" s="7" t="n"/>
      <c r="O1314" s="7" t="n"/>
      <c r="Q1314" s="7" t="n"/>
      <c r="R1314" s="7" t="n"/>
      <c r="S1314" s="8">
        <f>IF(NOT(ISNUMBER(M1314)),"",IF(G1314="Terreno",IF(AND(ISNUMBER(I1314),I1314&gt;0),M1314/I1314,""),IF(AND(ISNUMBER(H1314),H1314&gt;0),M1314/H1314,"")))</f>
        <v/>
      </c>
      <c r="T1314" s="9">
        <f>IF(AND(ISNUMBER(M1314),ISNUMBER(O1314)),IF(M1314&lt;=O1314,"Valor ≤ venal IPTU",""),"")</f>
        <v/>
      </c>
      <c r="U1314" s="10">
        <f>IF(AND(ISNUMBER(M1314),ISNUMBER(N1314)),IF(N1314&gt;0,M1314/N1314,""),"")</f>
        <v/>
      </c>
      <c r="V1314" s="10">
        <f>IF(AND(ISNUMBER(M1314),ISNUMBER(O1314)),IF(O1314&gt;0,M1314/O1314,""),"")</f>
        <v/>
      </c>
      <c r="W1314" s="10">
        <f>IF(AND(ISNUMBER(M1314),ISNUMBER(R1314)),IF(R1314&gt;0,M1314/R1314,""),"")</f>
        <v/>
      </c>
      <c r="X1314" s="10">
        <f>IF(AND(ISNUMBER(Q1314),ISNUMBER(M1314)),IF(M1314&gt;0,Q1314/M1314,""),"")</f>
        <v/>
      </c>
      <c r="Y1314" s="11">
        <f>IF(ISNUMBER(Z1314),YEAR(Z1314),"")</f>
        <v/>
      </c>
      <c r="Z1314" s="12" t="n"/>
      <c r="AA1314" s="12" t="n"/>
      <c r="AI1314" s="12" t="n"/>
      <c r="AJ1314" s="13">
        <f>IF(LEN(TRIM(AF1314))=0,"",HYPERLINK("https://www.google.com/maps/@?api=1&amp;map_action=pano&amp;viewpoint="&amp;SUBSTITUTE(AF1314," ",""),"Abrir Street View"))</f>
        <v/>
      </c>
    </row>
    <row r="1315">
      <c r="H1315" s="6" t="n"/>
      <c r="I1315" s="6" t="n"/>
      <c r="M1315" s="7" t="n"/>
      <c r="N1315" s="7" t="n"/>
      <c r="O1315" s="7" t="n"/>
      <c r="Q1315" s="7" t="n"/>
      <c r="R1315" s="7" t="n"/>
      <c r="S1315" s="8">
        <f>IF(NOT(ISNUMBER(M1315)),"",IF(G1315="Terreno",IF(AND(ISNUMBER(I1315),I1315&gt;0),M1315/I1315,""),IF(AND(ISNUMBER(H1315),H1315&gt;0),M1315/H1315,"")))</f>
        <v/>
      </c>
      <c r="T1315" s="9">
        <f>IF(AND(ISNUMBER(M1315),ISNUMBER(O1315)),IF(M1315&lt;=O1315,"Valor ≤ venal IPTU",""),"")</f>
        <v/>
      </c>
      <c r="U1315" s="10">
        <f>IF(AND(ISNUMBER(M1315),ISNUMBER(N1315)),IF(N1315&gt;0,M1315/N1315,""),"")</f>
        <v/>
      </c>
      <c r="V1315" s="10">
        <f>IF(AND(ISNUMBER(M1315),ISNUMBER(O1315)),IF(O1315&gt;0,M1315/O1315,""),"")</f>
        <v/>
      </c>
      <c r="W1315" s="10">
        <f>IF(AND(ISNUMBER(M1315),ISNUMBER(R1315)),IF(R1315&gt;0,M1315/R1315,""),"")</f>
        <v/>
      </c>
      <c r="X1315" s="10">
        <f>IF(AND(ISNUMBER(Q1315),ISNUMBER(M1315)),IF(M1315&gt;0,Q1315/M1315,""),"")</f>
        <v/>
      </c>
      <c r="Y1315" s="11">
        <f>IF(ISNUMBER(Z1315),YEAR(Z1315),"")</f>
        <v/>
      </c>
      <c r="Z1315" s="12" t="n"/>
      <c r="AA1315" s="12" t="n"/>
      <c r="AI1315" s="12" t="n"/>
      <c r="AJ1315" s="13">
        <f>IF(LEN(TRIM(AF1315))=0,"",HYPERLINK("https://www.google.com/maps/@?api=1&amp;map_action=pano&amp;viewpoint="&amp;SUBSTITUTE(AF1315," ",""),"Abrir Street View"))</f>
        <v/>
      </c>
    </row>
    <row r="1316">
      <c r="H1316" s="6" t="n"/>
      <c r="I1316" s="6" t="n"/>
      <c r="M1316" s="7" t="n"/>
      <c r="N1316" s="7" t="n"/>
      <c r="O1316" s="7" t="n"/>
      <c r="Q1316" s="7" t="n"/>
      <c r="R1316" s="7" t="n"/>
      <c r="S1316" s="8">
        <f>IF(NOT(ISNUMBER(M1316)),"",IF(G1316="Terreno",IF(AND(ISNUMBER(I1316),I1316&gt;0),M1316/I1316,""),IF(AND(ISNUMBER(H1316),H1316&gt;0),M1316/H1316,"")))</f>
        <v/>
      </c>
      <c r="T1316" s="9">
        <f>IF(AND(ISNUMBER(M1316),ISNUMBER(O1316)),IF(M1316&lt;=O1316,"Valor ≤ venal IPTU",""),"")</f>
        <v/>
      </c>
      <c r="U1316" s="10">
        <f>IF(AND(ISNUMBER(M1316),ISNUMBER(N1316)),IF(N1316&gt;0,M1316/N1316,""),"")</f>
        <v/>
      </c>
      <c r="V1316" s="10">
        <f>IF(AND(ISNUMBER(M1316),ISNUMBER(O1316)),IF(O1316&gt;0,M1316/O1316,""),"")</f>
        <v/>
      </c>
      <c r="W1316" s="10">
        <f>IF(AND(ISNUMBER(M1316),ISNUMBER(R1316)),IF(R1316&gt;0,M1316/R1316,""),"")</f>
        <v/>
      </c>
      <c r="X1316" s="10">
        <f>IF(AND(ISNUMBER(Q1316),ISNUMBER(M1316)),IF(M1316&gt;0,Q1316/M1316,""),"")</f>
        <v/>
      </c>
      <c r="Y1316" s="11">
        <f>IF(ISNUMBER(Z1316),YEAR(Z1316),"")</f>
        <v/>
      </c>
      <c r="Z1316" s="12" t="n"/>
      <c r="AA1316" s="12" t="n"/>
      <c r="AI1316" s="12" t="n"/>
      <c r="AJ1316" s="13">
        <f>IF(LEN(TRIM(AF1316))=0,"",HYPERLINK("https://www.google.com/maps/@?api=1&amp;map_action=pano&amp;viewpoint="&amp;SUBSTITUTE(AF1316," ",""),"Abrir Street View"))</f>
        <v/>
      </c>
    </row>
    <row r="1317">
      <c r="H1317" s="6" t="n"/>
      <c r="I1317" s="6" t="n"/>
      <c r="M1317" s="7" t="n"/>
      <c r="N1317" s="7" t="n"/>
      <c r="O1317" s="7" t="n"/>
      <c r="Q1317" s="7" t="n"/>
      <c r="R1317" s="7" t="n"/>
      <c r="S1317" s="8">
        <f>IF(NOT(ISNUMBER(M1317)),"",IF(G1317="Terreno",IF(AND(ISNUMBER(I1317),I1317&gt;0),M1317/I1317,""),IF(AND(ISNUMBER(H1317),H1317&gt;0),M1317/H1317,"")))</f>
        <v/>
      </c>
      <c r="T1317" s="9">
        <f>IF(AND(ISNUMBER(M1317),ISNUMBER(O1317)),IF(M1317&lt;=O1317,"Valor ≤ venal IPTU",""),"")</f>
        <v/>
      </c>
      <c r="U1317" s="10">
        <f>IF(AND(ISNUMBER(M1317),ISNUMBER(N1317)),IF(N1317&gt;0,M1317/N1317,""),"")</f>
        <v/>
      </c>
      <c r="V1317" s="10">
        <f>IF(AND(ISNUMBER(M1317),ISNUMBER(O1317)),IF(O1317&gt;0,M1317/O1317,""),"")</f>
        <v/>
      </c>
      <c r="W1317" s="10">
        <f>IF(AND(ISNUMBER(M1317),ISNUMBER(R1317)),IF(R1317&gt;0,M1317/R1317,""),"")</f>
        <v/>
      </c>
      <c r="X1317" s="10">
        <f>IF(AND(ISNUMBER(Q1317),ISNUMBER(M1317)),IF(M1317&gt;0,Q1317/M1317,""),"")</f>
        <v/>
      </c>
      <c r="Y1317" s="11">
        <f>IF(ISNUMBER(Z1317),YEAR(Z1317),"")</f>
        <v/>
      </c>
      <c r="Z1317" s="12" t="n"/>
      <c r="AA1317" s="12" t="n"/>
      <c r="AI1317" s="12" t="n"/>
      <c r="AJ1317" s="13">
        <f>IF(LEN(TRIM(AF1317))=0,"",HYPERLINK("https://www.google.com/maps/@?api=1&amp;map_action=pano&amp;viewpoint="&amp;SUBSTITUTE(AF1317," ",""),"Abrir Street View"))</f>
        <v/>
      </c>
    </row>
    <row r="1318">
      <c r="H1318" s="6" t="n"/>
      <c r="I1318" s="6" t="n"/>
      <c r="M1318" s="7" t="n"/>
      <c r="N1318" s="7" t="n"/>
      <c r="O1318" s="7" t="n"/>
      <c r="Q1318" s="7" t="n"/>
      <c r="R1318" s="7" t="n"/>
      <c r="S1318" s="8">
        <f>IF(NOT(ISNUMBER(M1318)),"",IF(G1318="Terreno",IF(AND(ISNUMBER(I1318),I1318&gt;0),M1318/I1318,""),IF(AND(ISNUMBER(H1318),H1318&gt;0),M1318/H1318,"")))</f>
        <v/>
      </c>
      <c r="T1318" s="9">
        <f>IF(AND(ISNUMBER(M1318),ISNUMBER(O1318)),IF(M1318&lt;=O1318,"Valor ≤ venal IPTU",""),"")</f>
        <v/>
      </c>
      <c r="U1318" s="10">
        <f>IF(AND(ISNUMBER(M1318),ISNUMBER(N1318)),IF(N1318&gt;0,M1318/N1318,""),"")</f>
        <v/>
      </c>
      <c r="V1318" s="10">
        <f>IF(AND(ISNUMBER(M1318),ISNUMBER(O1318)),IF(O1318&gt;0,M1318/O1318,""),"")</f>
        <v/>
      </c>
      <c r="W1318" s="10">
        <f>IF(AND(ISNUMBER(M1318),ISNUMBER(R1318)),IF(R1318&gt;0,M1318/R1318,""),"")</f>
        <v/>
      </c>
      <c r="X1318" s="10">
        <f>IF(AND(ISNUMBER(Q1318),ISNUMBER(M1318)),IF(M1318&gt;0,Q1318/M1318,""),"")</f>
        <v/>
      </c>
      <c r="Y1318" s="11">
        <f>IF(ISNUMBER(Z1318),YEAR(Z1318),"")</f>
        <v/>
      </c>
      <c r="Z1318" s="12" t="n"/>
      <c r="AA1318" s="12" t="n"/>
      <c r="AI1318" s="12" t="n"/>
      <c r="AJ1318" s="13">
        <f>IF(LEN(TRIM(AF1318))=0,"",HYPERLINK("https://www.google.com/maps/@?api=1&amp;map_action=pano&amp;viewpoint="&amp;SUBSTITUTE(AF1318," ",""),"Abrir Street View"))</f>
        <v/>
      </c>
    </row>
    <row r="1319">
      <c r="H1319" s="6" t="n"/>
      <c r="I1319" s="6" t="n"/>
      <c r="M1319" s="7" t="n"/>
      <c r="N1319" s="7" t="n"/>
      <c r="O1319" s="7" t="n"/>
      <c r="Q1319" s="7" t="n"/>
      <c r="R1319" s="7" t="n"/>
      <c r="S1319" s="8">
        <f>IF(NOT(ISNUMBER(M1319)),"",IF(G1319="Terreno",IF(AND(ISNUMBER(I1319),I1319&gt;0),M1319/I1319,""),IF(AND(ISNUMBER(H1319),H1319&gt;0),M1319/H1319,"")))</f>
        <v/>
      </c>
      <c r="T1319" s="9">
        <f>IF(AND(ISNUMBER(M1319),ISNUMBER(O1319)),IF(M1319&lt;=O1319,"Valor ≤ venal IPTU",""),"")</f>
        <v/>
      </c>
      <c r="U1319" s="10">
        <f>IF(AND(ISNUMBER(M1319),ISNUMBER(N1319)),IF(N1319&gt;0,M1319/N1319,""),"")</f>
        <v/>
      </c>
      <c r="V1319" s="10">
        <f>IF(AND(ISNUMBER(M1319),ISNUMBER(O1319)),IF(O1319&gt;0,M1319/O1319,""),"")</f>
        <v/>
      </c>
      <c r="W1319" s="10">
        <f>IF(AND(ISNUMBER(M1319),ISNUMBER(R1319)),IF(R1319&gt;0,M1319/R1319,""),"")</f>
        <v/>
      </c>
      <c r="X1319" s="10">
        <f>IF(AND(ISNUMBER(Q1319),ISNUMBER(M1319)),IF(M1319&gt;0,Q1319/M1319,""),"")</f>
        <v/>
      </c>
      <c r="Y1319" s="11">
        <f>IF(ISNUMBER(Z1319),YEAR(Z1319),"")</f>
        <v/>
      </c>
      <c r="Z1319" s="12" t="n"/>
      <c r="AA1319" s="12" t="n"/>
      <c r="AI1319" s="12" t="n"/>
      <c r="AJ1319" s="13">
        <f>IF(LEN(TRIM(AF1319))=0,"",HYPERLINK("https://www.google.com/maps/@?api=1&amp;map_action=pano&amp;viewpoint="&amp;SUBSTITUTE(AF1319," ",""),"Abrir Street View"))</f>
        <v/>
      </c>
    </row>
    <row r="1320">
      <c r="H1320" s="6" t="n"/>
      <c r="I1320" s="6" t="n"/>
      <c r="M1320" s="7" t="n"/>
      <c r="N1320" s="7" t="n"/>
      <c r="O1320" s="7" t="n"/>
      <c r="Q1320" s="7" t="n"/>
      <c r="R1320" s="7" t="n"/>
      <c r="S1320" s="8">
        <f>IF(NOT(ISNUMBER(M1320)),"",IF(G1320="Terreno",IF(AND(ISNUMBER(I1320),I1320&gt;0),M1320/I1320,""),IF(AND(ISNUMBER(H1320),H1320&gt;0),M1320/H1320,"")))</f>
        <v/>
      </c>
      <c r="T1320" s="9">
        <f>IF(AND(ISNUMBER(M1320),ISNUMBER(O1320)),IF(M1320&lt;=O1320,"Valor ≤ venal IPTU",""),"")</f>
        <v/>
      </c>
      <c r="U1320" s="10">
        <f>IF(AND(ISNUMBER(M1320),ISNUMBER(N1320)),IF(N1320&gt;0,M1320/N1320,""),"")</f>
        <v/>
      </c>
      <c r="V1320" s="10">
        <f>IF(AND(ISNUMBER(M1320),ISNUMBER(O1320)),IF(O1320&gt;0,M1320/O1320,""),"")</f>
        <v/>
      </c>
      <c r="W1320" s="10">
        <f>IF(AND(ISNUMBER(M1320),ISNUMBER(R1320)),IF(R1320&gt;0,M1320/R1320,""),"")</f>
        <v/>
      </c>
      <c r="X1320" s="10">
        <f>IF(AND(ISNUMBER(Q1320),ISNUMBER(M1320)),IF(M1320&gt;0,Q1320/M1320,""),"")</f>
        <v/>
      </c>
      <c r="Y1320" s="11">
        <f>IF(ISNUMBER(Z1320),YEAR(Z1320),"")</f>
        <v/>
      </c>
      <c r="Z1320" s="12" t="n"/>
      <c r="AA1320" s="12" t="n"/>
      <c r="AI1320" s="12" t="n"/>
      <c r="AJ1320" s="13">
        <f>IF(LEN(TRIM(AF1320))=0,"",HYPERLINK("https://www.google.com/maps/@?api=1&amp;map_action=pano&amp;viewpoint="&amp;SUBSTITUTE(AF1320," ",""),"Abrir Street View"))</f>
        <v/>
      </c>
    </row>
    <row r="1321">
      <c r="H1321" s="6" t="n"/>
      <c r="I1321" s="6" t="n"/>
      <c r="M1321" s="7" t="n"/>
      <c r="N1321" s="7" t="n"/>
      <c r="O1321" s="7" t="n"/>
      <c r="Q1321" s="7" t="n"/>
      <c r="R1321" s="7" t="n"/>
      <c r="S1321" s="8">
        <f>IF(NOT(ISNUMBER(M1321)),"",IF(G1321="Terreno",IF(AND(ISNUMBER(I1321),I1321&gt;0),M1321/I1321,""),IF(AND(ISNUMBER(H1321),H1321&gt;0),M1321/H1321,"")))</f>
        <v/>
      </c>
      <c r="T1321" s="9">
        <f>IF(AND(ISNUMBER(M1321),ISNUMBER(O1321)),IF(M1321&lt;=O1321,"Valor ≤ venal IPTU",""),"")</f>
        <v/>
      </c>
      <c r="U1321" s="10">
        <f>IF(AND(ISNUMBER(M1321),ISNUMBER(N1321)),IF(N1321&gt;0,M1321/N1321,""),"")</f>
        <v/>
      </c>
      <c r="V1321" s="10">
        <f>IF(AND(ISNUMBER(M1321),ISNUMBER(O1321)),IF(O1321&gt;0,M1321/O1321,""),"")</f>
        <v/>
      </c>
      <c r="W1321" s="10">
        <f>IF(AND(ISNUMBER(M1321),ISNUMBER(R1321)),IF(R1321&gt;0,M1321/R1321,""),"")</f>
        <v/>
      </c>
      <c r="X1321" s="10">
        <f>IF(AND(ISNUMBER(Q1321),ISNUMBER(M1321)),IF(M1321&gt;0,Q1321/M1321,""),"")</f>
        <v/>
      </c>
      <c r="Y1321" s="11">
        <f>IF(ISNUMBER(Z1321),YEAR(Z1321),"")</f>
        <v/>
      </c>
      <c r="Z1321" s="12" t="n"/>
      <c r="AA1321" s="12" t="n"/>
      <c r="AI1321" s="12" t="n"/>
      <c r="AJ1321" s="13">
        <f>IF(LEN(TRIM(AF1321))=0,"",HYPERLINK("https://www.google.com/maps/@?api=1&amp;map_action=pano&amp;viewpoint="&amp;SUBSTITUTE(AF1321," ",""),"Abrir Street View"))</f>
        <v/>
      </c>
    </row>
    <row r="1322">
      <c r="H1322" s="6" t="n"/>
      <c r="I1322" s="6" t="n"/>
      <c r="M1322" s="7" t="n"/>
      <c r="N1322" s="7" t="n"/>
      <c r="O1322" s="7" t="n"/>
      <c r="Q1322" s="7" t="n"/>
      <c r="R1322" s="7" t="n"/>
      <c r="S1322" s="8">
        <f>IF(NOT(ISNUMBER(M1322)),"",IF(G1322="Terreno",IF(AND(ISNUMBER(I1322),I1322&gt;0),M1322/I1322,""),IF(AND(ISNUMBER(H1322),H1322&gt;0),M1322/H1322,"")))</f>
        <v/>
      </c>
      <c r="T1322" s="9">
        <f>IF(AND(ISNUMBER(M1322),ISNUMBER(O1322)),IF(M1322&lt;=O1322,"Valor ≤ venal IPTU",""),"")</f>
        <v/>
      </c>
      <c r="U1322" s="10">
        <f>IF(AND(ISNUMBER(M1322),ISNUMBER(N1322)),IF(N1322&gt;0,M1322/N1322,""),"")</f>
        <v/>
      </c>
      <c r="V1322" s="10">
        <f>IF(AND(ISNUMBER(M1322),ISNUMBER(O1322)),IF(O1322&gt;0,M1322/O1322,""),"")</f>
        <v/>
      </c>
      <c r="W1322" s="10">
        <f>IF(AND(ISNUMBER(M1322),ISNUMBER(R1322)),IF(R1322&gt;0,M1322/R1322,""),"")</f>
        <v/>
      </c>
      <c r="X1322" s="10">
        <f>IF(AND(ISNUMBER(Q1322),ISNUMBER(M1322)),IF(M1322&gt;0,Q1322/M1322,""),"")</f>
        <v/>
      </c>
      <c r="Y1322" s="11">
        <f>IF(ISNUMBER(Z1322),YEAR(Z1322),"")</f>
        <v/>
      </c>
      <c r="Z1322" s="12" t="n"/>
      <c r="AA1322" s="12" t="n"/>
      <c r="AI1322" s="12" t="n"/>
      <c r="AJ1322" s="13">
        <f>IF(LEN(TRIM(AF1322))=0,"",HYPERLINK("https://www.google.com/maps/@?api=1&amp;map_action=pano&amp;viewpoint="&amp;SUBSTITUTE(AF1322," ",""),"Abrir Street View"))</f>
        <v/>
      </c>
    </row>
    <row r="1323">
      <c r="H1323" s="6" t="n"/>
      <c r="I1323" s="6" t="n"/>
      <c r="M1323" s="7" t="n"/>
      <c r="N1323" s="7" t="n"/>
      <c r="O1323" s="7" t="n"/>
      <c r="Q1323" s="7" t="n"/>
      <c r="R1323" s="7" t="n"/>
      <c r="S1323" s="8">
        <f>IF(NOT(ISNUMBER(M1323)),"",IF(G1323="Terreno",IF(AND(ISNUMBER(I1323),I1323&gt;0),M1323/I1323,""),IF(AND(ISNUMBER(H1323),H1323&gt;0),M1323/H1323,"")))</f>
        <v/>
      </c>
      <c r="T1323" s="9">
        <f>IF(AND(ISNUMBER(M1323),ISNUMBER(O1323)),IF(M1323&lt;=O1323,"Valor ≤ venal IPTU",""),"")</f>
        <v/>
      </c>
      <c r="U1323" s="10">
        <f>IF(AND(ISNUMBER(M1323),ISNUMBER(N1323)),IF(N1323&gt;0,M1323/N1323,""),"")</f>
        <v/>
      </c>
      <c r="V1323" s="10">
        <f>IF(AND(ISNUMBER(M1323),ISNUMBER(O1323)),IF(O1323&gt;0,M1323/O1323,""),"")</f>
        <v/>
      </c>
      <c r="W1323" s="10">
        <f>IF(AND(ISNUMBER(M1323),ISNUMBER(R1323)),IF(R1323&gt;0,M1323/R1323,""),"")</f>
        <v/>
      </c>
      <c r="X1323" s="10">
        <f>IF(AND(ISNUMBER(Q1323),ISNUMBER(M1323)),IF(M1323&gt;0,Q1323/M1323,""),"")</f>
        <v/>
      </c>
      <c r="Y1323" s="11">
        <f>IF(ISNUMBER(Z1323),YEAR(Z1323),"")</f>
        <v/>
      </c>
      <c r="Z1323" s="12" t="n"/>
      <c r="AA1323" s="12" t="n"/>
      <c r="AI1323" s="12" t="n"/>
      <c r="AJ1323" s="13">
        <f>IF(LEN(TRIM(AF1323))=0,"",HYPERLINK("https://www.google.com/maps/@?api=1&amp;map_action=pano&amp;viewpoint="&amp;SUBSTITUTE(AF1323," ",""),"Abrir Street View"))</f>
        <v/>
      </c>
    </row>
    <row r="1324">
      <c r="H1324" s="6" t="n"/>
      <c r="I1324" s="6" t="n"/>
      <c r="M1324" s="7" t="n"/>
      <c r="N1324" s="7" t="n"/>
      <c r="O1324" s="7" t="n"/>
      <c r="Q1324" s="7" t="n"/>
      <c r="R1324" s="7" t="n"/>
      <c r="S1324" s="8">
        <f>IF(NOT(ISNUMBER(M1324)),"",IF(G1324="Terreno",IF(AND(ISNUMBER(I1324),I1324&gt;0),M1324/I1324,""),IF(AND(ISNUMBER(H1324),H1324&gt;0),M1324/H1324,"")))</f>
        <v/>
      </c>
      <c r="T1324" s="9">
        <f>IF(AND(ISNUMBER(M1324),ISNUMBER(O1324)),IF(M1324&lt;=O1324,"Valor ≤ venal IPTU",""),"")</f>
        <v/>
      </c>
      <c r="U1324" s="10">
        <f>IF(AND(ISNUMBER(M1324),ISNUMBER(N1324)),IF(N1324&gt;0,M1324/N1324,""),"")</f>
        <v/>
      </c>
      <c r="V1324" s="10">
        <f>IF(AND(ISNUMBER(M1324),ISNUMBER(O1324)),IF(O1324&gt;0,M1324/O1324,""),"")</f>
        <v/>
      </c>
      <c r="W1324" s="10">
        <f>IF(AND(ISNUMBER(M1324),ISNUMBER(R1324)),IF(R1324&gt;0,M1324/R1324,""),"")</f>
        <v/>
      </c>
      <c r="X1324" s="10">
        <f>IF(AND(ISNUMBER(Q1324),ISNUMBER(M1324)),IF(M1324&gt;0,Q1324/M1324,""),"")</f>
        <v/>
      </c>
      <c r="Y1324" s="11">
        <f>IF(ISNUMBER(Z1324),YEAR(Z1324),"")</f>
        <v/>
      </c>
      <c r="Z1324" s="12" t="n"/>
      <c r="AA1324" s="12" t="n"/>
      <c r="AI1324" s="12" t="n"/>
      <c r="AJ1324" s="13">
        <f>IF(LEN(TRIM(AF1324))=0,"",HYPERLINK("https://www.google.com/maps/@?api=1&amp;map_action=pano&amp;viewpoint="&amp;SUBSTITUTE(AF1324," ",""),"Abrir Street View"))</f>
        <v/>
      </c>
    </row>
    <row r="1325">
      <c r="H1325" s="6" t="n"/>
      <c r="I1325" s="6" t="n"/>
      <c r="M1325" s="7" t="n"/>
      <c r="N1325" s="7" t="n"/>
      <c r="O1325" s="7" t="n"/>
      <c r="Q1325" s="7" t="n"/>
      <c r="R1325" s="7" t="n"/>
      <c r="S1325" s="8">
        <f>IF(NOT(ISNUMBER(M1325)),"",IF(G1325="Terreno",IF(AND(ISNUMBER(I1325),I1325&gt;0),M1325/I1325,""),IF(AND(ISNUMBER(H1325),H1325&gt;0),M1325/H1325,"")))</f>
        <v/>
      </c>
      <c r="T1325" s="9">
        <f>IF(AND(ISNUMBER(M1325),ISNUMBER(O1325)),IF(M1325&lt;=O1325,"Valor ≤ venal IPTU",""),"")</f>
        <v/>
      </c>
      <c r="U1325" s="10">
        <f>IF(AND(ISNUMBER(M1325),ISNUMBER(N1325)),IF(N1325&gt;0,M1325/N1325,""),"")</f>
        <v/>
      </c>
      <c r="V1325" s="10">
        <f>IF(AND(ISNUMBER(M1325),ISNUMBER(O1325)),IF(O1325&gt;0,M1325/O1325,""),"")</f>
        <v/>
      </c>
      <c r="W1325" s="10">
        <f>IF(AND(ISNUMBER(M1325),ISNUMBER(R1325)),IF(R1325&gt;0,M1325/R1325,""),"")</f>
        <v/>
      </c>
      <c r="X1325" s="10">
        <f>IF(AND(ISNUMBER(Q1325),ISNUMBER(M1325)),IF(M1325&gt;0,Q1325/M1325,""),"")</f>
        <v/>
      </c>
      <c r="Y1325" s="11">
        <f>IF(ISNUMBER(Z1325),YEAR(Z1325),"")</f>
        <v/>
      </c>
      <c r="Z1325" s="12" t="n"/>
      <c r="AA1325" s="12" t="n"/>
      <c r="AI1325" s="12" t="n"/>
      <c r="AJ1325" s="13">
        <f>IF(LEN(TRIM(AF1325))=0,"",HYPERLINK("https://www.google.com/maps/@?api=1&amp;map_action=pano&amp;viewpoint="&amp;SUBSTITUTE(AF1325," ",""),"Abrir Street View"))</f>
        <v/>
      </c>
    </row>
    <row r="1326">
      <c r="H1326" s="6" t="n"/>
      <c r="I1326" s="6" t="n"/>
      <c r="M1326" s="7" t="n"/>
      <c r="N1326" s="7" t="n"/>
      <c r="O1326" s="7" t="n"/>
      <c r="Q1326" s="7" t="n"/>
      <c r="R1326" s="7" t="n"/>
      <c r="S1326" s="8">
        <f>IF(NOT(ISNUMBER(M1326)),"",IF(G1326="Terreno",IF(AND(ISNUMBER(I1326),I1326&gt;0),M1326/I1326,""),IF(AND(ISNUMBER(H1326),H1326&gt;0),M1326/H1326,"")))</f>
        <v/>
      </c>
      <c r="T1326" s="9">
        <f>IF(AND(ISNUMBER(M1326),ISNUMBER(O1326)),IF(M1326&lt;=O1326,"Valor ≤ venal IPTU",""),"")</f>
        <v/>
      </c>
      <c r="U1326" s="10">
        <f>IF(AND(ISNUMBER(M1326),ISNUMBER(N1326)),IF(N1326&gt;0,M1326/N1326,""),"")</f>
        <v/>
      </c>
      <c r="V1326" s="10">
        <f>IF(AND(ISNUMBER(M1326),ISNUMBER(O1326)),IF(O1326&gt;0,M1326/O1326,""),"")</f>
        <v/>
      </c>
      <c r="W1326" s="10">
        <f>IF(AND(ISNUMBER(M1326),ISNUMBER(R1326)),IF(R1326&gt;0,M1326/R1326,""),"")</f>
        <v/>
      </c>
      <c r="X1326" s="10">
        <f>IF(AND(ISNUMBER(Q1326),ISNUMBER(M1326)),IF(M1326&gt;0,Q1326/M1326,""),"")</f>
        <v/>
      </c>
      <c r="Y1326" s="11">
        <f>IF(ISNUMBER(Z1326),YEAR(Z1326),"")</f>
        <v/>
      </c>
      <c r="Z1326" s="12" t="n"/>
      <c r="AA1326" s="12" t="n"/>
      <c r="AI1326" s="12" t="n"/>
      <c r="AJ1326" s="13">
        <f>IF(LEN(TRIM(AF1326))=0,"",HYPERLINK("https://www.google.com/maps/@?api=1&amp;map_action=pano&amp;viewpoint="&amp;SUBSTITUTE(AF1326," ",""),"Abrir Street View"))</f>
        <v/>
      </c>
    </row>
    <row r="1327">
      <c r="H1327" s="6" t="n"/>
      <c r="I1327" s="6" t="n"/>
      <c r="M1327" s="7" t="n"/>
      <c r="N1327" s="7" t="n"/>
      <c r="O1327" s="7" t="n"/>
      <c r="Q1327" s="7" t="n"/>
      <c r="R1327" s="7" t="n"/>
      <c r="S1327" s="8">
        <f>IF(NOT(ISNUMBER(M1327)),"",IF(G1327="Terreno",IF(AND(ISNUMBER(I1327),I1327&gt;0),M1327/I1327,""),IF(AND(ISNUMBER(H1327),H1327&gt;0),M1327/H1327,"")))</f>
        <v/>
      </c>
      <c r="T1327" s="9">
        <f>IF(AND(ISNUMBER(M1327),ISNUMBER(O1327)),IF(M1327&lt;=O1327,"Valor ≤ venal IPTU",""),"")</f>
        <v/>
      </c>
      <c r="U1327" s="10">
        <f>IF(AND(ISNUMBER(M1327),ISNUMBER(N1327)),IF(N1327&gt;0,M1327/N1327,""),"")</f>
        <v/>
      </c>
      <c r="V1327" s="10">
        <f>IF(AND(ISNUMBER(M1327),ISNUMBER(O1327)),IF(O1327&gt;0,M1327/O1327,""),"")</f>
        <v/>
      </c>
      <c r="W1327" s="10">
        <f>IF(AND(ISNUMBER(M1327),ISNUMBER(R1327)),IF(R1327&gt;0,M1327/R1327,""),"")</f>
        <v/>
      </c>
      <c r="X1327" s="10">
        <f>IF(AND(ISNUMBER(Q1327),ISNUMBER(M1327)),IF(M1327&gt;0,Q1327/M1327,""),"")</f>
        <v/>
      </c>
      <c r="Y1327" s="11">
        <f>IF(ISNUMBER(Z1327),YEAR(Z1327),"")</f>
        <v/>
      </c>
      <c r="Z1327" s="12" t="n"/>
      <c r="AA1327" s="12" t="n"/>
      <c r="AI1327" s="12" t="n"/>
      <c r="AJ1327" s="13">
        <f>IF(LEN(TRIM(AF1327))=0,"",HYPERLINK("https://www.google.com/maps/@?api=1&amp;map_action=pano&amp;viewpoint="&amp;SUBSTITUTE(AF1327," ",""),"Abrir Street View"))</f>
        <v/>
      </c>
    </row>
    <row r="1328">
      <c r="H1328" s="6" t="n"/>
      <c r="I1328" s="6" t="n"/>
      <c r="M1328" s="7" t="n"/>
      <c r="N1328" s="7" t="n"/>
      <c r="O1328" s="7" t="n"/>
      <c r="Q1328" s="7" t="n"/>
      <c r="R1328" s="7" t="n"/>
      <c r="S1328" s="8">
        <f>IF(NOT(ISNUMBER(M1328)),"",IF(G1328="Terreno",IF(AND(ISNUMBER(I1328),I1328&gt;0),M1328/I1328,""),IF(AND(ISNUMBER(H1328),H1328&gt;0),M1328/H1328,"")))</f>
        <v/>
      </c>
      <c r="T1328" s="9">
        <f>IF(AND(ISNUMBER(M1328),ISNUMBER(O1328)),IF(M1328&lt;=O1328,"Valor ≤ venal IPTU",""),"")</f>
        <v/>
      </c>
      <c r="U1328" s="10">
        <f>IF(AND(ISNUMBER(M1328),ISNUMBER(N1328)),IF(N1328&gt;0,M1328/N1328,""),"")</f>
        <v/>
      </c>
      <c r="V1328" s="10">
        <f>IF(AND(ISNUMBER(M1328),ISNUMBER(O1328)),IF(O1328&gt;0,M1328/O1328,""),"")</f>
        <v/>
      </c>
      <c r="W1328" s="10">
        <f>IF(AND(ISNUMBER(M1328),ISNUMBER(R1328)),IF(R1328&gt;0,M1328/R1328,""),"")</f>
        <v/>
      </c>
      <c r="X1328" s="10">
        <f>IF(AND(ISNUMBER(Q1328),ISNUMBER(M1328)),IF(M1328&gt;0,Q1328/M1328,""),"")</f>
        <v/>
      </c>
      <c r="Y1328" s="11">
        <f>IF(ISNUMBER(Z1328),YEAR(Z1328),"")</f>
        <v/>
      </c>
      <c r="Z1328" s="12" t="n"/>
      <c r="AA1328" s="12" t="n"/>
      <c r="AI1328" s="12" t="n"/>
      <c r="AJ1328" s="13">
        <f>IF(LEN(TRIM(AF1328))=0,"",HYPERLINK("https://www.google.com/maps/@?api=1&amp;map_action=pano&amp;viewpoint="&amp;SUBSTITUTE(AF1328," ",""),"Abrir Street View"))</f>
        <v/>
      </c>
    </row>
    <row r="1329">
      <c r="H1329" s="6" t="n"/>
      <c r="I1329" s="6" t="n"/>
      <c r="M1329" s="7" t="n"/>
      <c r="N1329" s="7" t="n"/>
      <c r="O1329" s="7" t="n"/>
      <c r="Q1329" s="7" t="n"/>
      <c r="R1329" s="7" t="n"/>
      <c r="S1329" s="8">
        <f>IF(NOT(ISNUMBER(M1329)),"",IF(G1329="Terreno",IF(AND(ISNUMBER(I1329),I1329&gt;0),M1329/I1329,""),IF(AND(ISNUMBER(H1329),H1329&gt;0),M1329/H1329,"")))</f>
        <v/>
      </c>
      <c r="T1329" s="9">
        <f>IF(AND(ISNUMBER(M1329),ISNUMBER(O1329)),IF(M1329&lt;=O1329,"Valor ≤ venal IPTU",""),"")</f>
        <v/>
      </c>
      <c r="U1329" s="10">
        <f>IF(AND(ISNUMBER(M1329),ISNUMBER(N1329)),IF(N1329&gt;0,M1329/N1329,""),"")</f>
        <v/>
      </c>
      <c r="V1329" s="10">
        <f>IF(AND(ISNUMBER(M1329),ISNUMBER(O1329)),IF(O1329&gt;0,M1329/O1329,""),"")</f>
        <v/>
      </c>
      <c r="W1329" s="10">
        <f>IF(AND(ISNUMBER(M1329),ISNUMBER(R1329)),IF(R1329&gt;0,M1329/R1329,""),"")</f>
        <v/>
      </c>
      <c r="X1329" s="10">
        <f>IF(AND(ISNUMBER(Q1329),ISNUMBER(M1329)),IF(M1329&gt;0,Q1329/M1329,""),"")</f>
        <v/>
      </c>
      <c r="Y1329" s="11">
        <f>IF(ISNUMBER(Z1329),YEAR(Z1329),"")</f>
        <v/>
      </c>
      <c r="Z1329" s="12" t="n"/>
      <c r="AA1329" s="12" t="n"/>
      <c r="AI1329" s="12" t="n"/>
      <c r="AJ1329" s="13">
        <f>IF(LEN(TRIM(AF1329))=0,"",HYPERLINK("https://www.google.com/maps/@?api=1&amp;map_action=pano&amp;viewpoint="&amp;SUBSTITUTE(AF1329," ",""),"Abrir Street View"))</f>
        <v/>
      </c>
    </row>
    <row r="1330">
      <c r="H1330" s="6" t="n"/>
      <c r="I1330" s="6" t="n"/>
      <c r="M1330" s="7" t="n"/>
      <c r="N1330" s="7" t="n"/>
      <c r="O1330" s="7" t="n"/>
      <c r="Q1330" s="7" t="n"/>
      <c r="R1330" s="7" t="n"/>
      <c r="S1330" s="8">
        <f>IF(NOT(ISNUMBER(M1330)),"",IF(G1330="Terreno",IF(AND(ISNUMBER(I1330),I1330&gt;0),M1330/I1330,""),IF(AND(ISNUMBER(H1330),H1330&gt;0),M1330/H1330,"")))</f>
        <v/>
      </c>
      <c r="T1330" s="9">
        <f>IF(AND(ISNUMBER(M1330),ISNUMBER(O1330)),IF(M1330&lt;=O1330,"Valor ≤ venal IPTU",""),"")</f>
        <v/>
      </c>
      <c r="U1330" s="10">
        <f>IF(AND(ISNUMBER(M1330),ISNUMBER(N1330)),IF(N1330&gt;0,M1330/N1330,""),"")</f>
        <v/>
      </c>
      <c r="V1330" s="10">
        <f>IF(AND(ISNUMBER(M1330),ISNUMBER(O1330)),IF(O1330&gt;0,M1330/O1330,""),"")</f>
        <v/>
      </c>
      <c r="W1330" s="10">
        <f>IF(AND(ISNUMBER(M1330),ISNUMBER(R1330)),IF(R1330&gt;0,M1330/R1330,""),"")</f>
        <v/>
      </c>
      <c r="X1330" s="10">
        <f>IF(AND(ISNUMBER(Q1330),ISNUMBER(M1330)),IF(M1330&gt;0,Q1330/M1330,""),"")</f>
        <v/>
      </c>
      <c r="Y1330" s="11">
        <f>IF(ISNUMBER(Z1330),YEAR(Z1330),"")</f>
        <v/>
      </c>
      <c r="Z1330" s="12" t="n"/>
      <c r="AA1330" s="12" t="n"/>
      <c r="AI1330" s="12" t="n"/>
      <c r="AJ1330" s="13">
        <f>IF(LEN(TRIM(AF1330))=0,"",HYPERLINK("https://www.google.com/maps/@?api=1&amp;map_action=pano&amp;viewpoint="&amp;SUBSTITUTE(AF1330," ",""),"Abrir Street View"))</f>
        <v/>
      </c>
    </row>
    <row r="1331">
      <c r="H1331" s="6" t="n"/>
      <c r="I1331" s="6" t="n"/>
      <c r="M1331" s="7" t="n"/>
      <c r="N1331" s="7" t="n"/>
      <c r="O1331" s="7" t="n"/>
      <c r="Q1331" s="7" t="n"/>
      <c r="R1331" s="7" t="n"/>
      <c r="S1331" s="8">
        <f>IF(NOT(ISNUMBER(M1331)),"",IF(G1331="Terreno",IF(AND(ISNUMBER(I1331),I1331&gt;0),M1331/I1331,""),IF(AND(ISNUMBER(H1331),H1331&gt;0),M1331/H1331,"")))</f>
        <v/>
      </c>
      <c r="T1331" s="9">
        <f>IF(AND(ISNUMBER(M1331),ISNUMBER(O1331)),IF(M1331&lt;=O1331,"Valor ≤ venal IPTU",""),"")</f>
        <v/>
      </c>
      <c r="U1331" s="10">
        <f>IF(AND(ISNUMBER(M1331),ISNUMBER(N1331)),IF(N1331&gt;0,M1331/N1331,""),"")</f>
        <v/>
      </c>
      <c r="V1331" s="10">
        <f>IF(AND(ISNUMBER(M1331),ISNUMBER(O1331)),IF(O1331&gt;0,M1331/O1331,""),"")</f>
        <v/>
      </c>
      <c r="W1331" s="10">
        <f>IF(AND(ISNUMBER(M1331),ISNUMBER(R1331)),IF(R1331&gt;0,M1331/R1331,""),"")</f>
        <v/>
      </c>
      <c r="X1331" s="10">
        <f>IF(AND(ISNUMBER(Q1331),ISNUMBER(M1331)),IF(M1331&gt;0,Q1331/M1331,""),"")</f>
        <v/>
      </c>
      <c r="Y1331" s="11">
        <f>IF(ISNUMBER(Z1331),YEAR(Z1331),"")</f>
        <v/>
      </c>
      <c r="Z1331" s="12" t="n"/>
      <c r="AA1331" s="12" t="n"/>
      <c r="AI1331" s="12" t="n"/>
      <c r="AJ1331" s="13">
        <f>IF(LEN(TRIM(AF1331))=0,"",HYPERLINK("https://www.google.com/maps/@?api=1&amp;map_action=pano&amp;viewpoint="&amp;SUBSTITUTE(AF1331," ",""),"Abrir Street View"))</f>
        <v/>
      </c>
    </row>
    <row r="1332">
      <c r="H1332" s="6" t="n"/>
      <c r="I1332" s="6" t="n"/>
      <c r="M1332" s="7" t="n"/>
      <c r="N1332" s="7" t="n"/>
      <c r="O1332" s="7" t="n"/>
      <c r="Q1332" s="7" t="n"/>
      <c r="R1332" s="7" t="n"/>
      <c r="S1332" s="8">
        <f>IF(NOT(ISNUMBER(M1332)),"",IF(G1332="Terreno",IF(AND(ISNUMBER(I1332),I1332&gt;0),M1332/I1332,""),IF(AND(ISNUMBER(H1332),H1332&gt;0),M1332/H1332,"")))</f>
        <v/>
      </c>
      <c r="T1332" s="9">
        <f>IF(AND(ISNUMBER(M1332),ISNUMBER(O1332)),IF(M1332&lt;=O1332,"Valor ≤ venal IPTU",""),"")</f>
        <v/>
      </c>
      <c r="U1332" s="10">
        <f>IF(AND(ISNUMBER(M1332),ISNUMBER(N1332)),IF(N1332&gt;0,M1332/N1332,""),"")</f>
        <v/>
      </c>
      <c r="V1332" s="10">
        <f>IF(AND(ISNUMBER(M1332),ISNUMBER(O1332)),IF(O1332&gt;0,M1332/O1332,""),"")</f>
        <v/>
      </c>
      <c r="W1332" s="10">
        <f>IF(AND(ISNUMBER(M1332),ISNUMBER(R1332)),IF(R1332&gt;0,M1332/R1332,""),"")</f>
        <v/>
      </c>
      <c r="X1332" s="10">
        <f>IF(AND(ISNUMBER(Q1332),ISNUMBER(M1332)),IF(M1332&gt;0,Q1332/M1332,""),"")</f>
        <v/>
      </c>
      <c r="Y1332" s="11">
        <f>IF(ISNUMBER(Z1332),YEAR(Z1332),"")</f>
        <v/>
      </c>
      <c r="Z1332" s="12" t="n"/>
      <c r="AA1332" s="12" t="n"/>
      <c r="AI1332" s="12" t="n"/>
      <c r="AJ1332" s="13">
        <f>IF(LEN(TRIM(AF1332))=0,"",HYPERLINK("https://www.google.com/maps/@?api=1&amp;map_action=pano&amp;viewpoint="&amp;SUBSTITUTE(AF1332," ",""),"Abrir Street View"))</f>
        <v/>
      </c>
    </row>
    <row r="1333">
      <c r="H1333" s="6" t="n"/>
      <c r="I1333" s="6" t="n"/>
      <c r="M1333" s="7" t="n"/>
      <c r="N1333" s="7" t="n"/>
      <c r="O1333" s="7" t="n"/>
      <c r="Q1333" s="7" t="n"/>
      <c r="R1333" s="7" t="n"/>
      <c r="S1333" s="8">
        <f>IF(NOT(ISNUMBER(M1333)),"",IF(G1333="Terreno",IF(AND(ISNUMBER(I1333),I1333&gt;0),M1333/I1333,""),IF(AND(ISNUMBER(H1333),H1333&gt;0),M1333/H1333,"")))</f>
        <v/>
      </c>
      <c r="T1333" s="9">
        <f>IF(AND(ISNUMBER(M1333),ISNUMBER(O1333)),IF(M1333&lt;=O1333,"Valor ≤ venal IPTU",""),"")</f>
        <v/>
      </c>
      <c r="U1333" s="10">
        <f>IF(AND(ISNUMBER(M1333),ISNUMBER(N1333)),IF(N1333&gt;0,M1333/N1333,""),"")</f>
        <v/>
      </c>
      <c r="V1333" s="10">
        <f>IF(AND(ISNUMBER(M1333),ISNUMBER(O1333)),IF(O1333&gt;0,M1333/O1333,""),"")</f>
        <v/>
      </c>
      <c r="W1333" s="10">
        <f>IF(AND(ISNUMBER(M1333),ISNUMBER(R1333)),IF(R1333&gt;0,M1333/R1333,""),"")</f>
        <v/>
      </c>
      <c r="X1333" s="10">
        <f>IF(AND(ISNUMBER(Q1333),ISNUMBER(M1333)),IF(M1333&gt;0,Q1333/M1333,""),"")</f>
        <v/>
      </c>
      <c r="Y1333" s="11">
        <f>IF(ISNUMBER(Z1333),YEAR(Z1333),"")</f>
        <v/>
      </c>
      <c r="Z1333" s="12" t="n"/>
      <c r="AA1333" s="12" t="n"/>
      <c r="AI1333" s="12" t="n"/>
      <c r="AJ1333" s="13">
        <f>IF(LEN(TRIM(AF1333))=0,"",HYPERLINK("https://www.google.com/maps/@?api=1&amp;map_action=pano&amp;viewpoint="&amp;SUBSTITUTE(AF1333," ",""),"Abrir Street View"))</f>
        <v/>
      </c>
    </row>
    <row r="1334">
      <c r="H1334" s="6" t="n"/>
      <c r="I1334" s="6" t="n"/>
      <c r="M1334" s="7" t="n"/>
      <c r="N1334" s="7" t="n"/>
      <c r="O1334" s="7" t="n"/>
      <c r="Q1334" s="7" t="n"/>
      <c r="R1334" s="7" t="n"/>
      <c r="S1334" s="8">
        <f>IF(NOT(ISNUMBER(M1334)),"",IF(G1334="Terreno",IF(AND(ISNUMBER(I1334),I1334&gt;0),M1334/I1334,""),IF(AND(ISNUMBER(H1334),H1334&gt;0),M1334/H1334,"")))</f>
        <v/>
      </c>
      <c r="T1334" s="9">
        <f>IF(AND(ISNUMBER(M1334),ISNUMBER(O1334)),IF(M1334&lt;=O1334,"Valor ≤ venal IPTU",""),"")</f>
        <v/>
      </c>
      <c r="U1334" s="10">
        <f>IF(AND(ISNUMBER(M1334),ISNUMBER(N1334)),IF(N1334&gt;0,M1334/N1334,""),"")</f>
        <v/>
      </c>
      <c r="V1334" s="10">
        <f>IF(AND(ISNUMBER(M1334),ISNUMBER(O1334)),IF(O1334&gt;0,M1334/O1334,""),"")</f>
        <v/>
      </c>
      <c r="W1334" s="10">
        <f>IF(AND(ISNUMBER(M1334),ISNUMBER(R1334)),IF(R1334&gt;0,M1334/R1334,""),"")</f>
        <v/>
      </c>
      <c r="X1334" s="10">
        <f>IF(AND(ISNUMBER(Q1334),ISNUMBER(M1334)),IF(M1334&gt;0,Q1334/M1334,""),"")</f>
        <v/>
      </c>
      <c r="Y1334" s="11">
        <f>IF(ISNUMBER(Z1334),YEAR(Z1334),"")</f>
        <v/>
      </c>
      <c r="Z1334" s="12" t="n"/>
      <c r="AA1334" s="12" t="n"/>
      <c r="AI1334" s="12" t="n"/>
      <c r="AJ1334" s="13">
        <f>IF(LEN(TRIM(AF1334))=0,"",HYPERLINK("https://www.google.com/maps/@?api=1&amp;map_action=pano&amp;viewpoint="&amp;SUBSTITUTE(AF1334," ",""),"Abrir Street View"))</f>
        <v/>
      </c>
    </row>
    <row r="1335">
      <c r="H1335" s="6" t="n"/>
      <c r="I1335" s="6" t="n"/>
      <c r="M1335" s="7" t="n"/>
      <c r="N1335" s="7" t="n"/>
      <c r="O1335" s="7" t="n"/>
      <c r="Q1335" s="7" t="n"/>
      <c r="R1335" s="7" t="n"/>
      <c r="S1335" s="8">
        <f>IF(NOT(ISNUMBER(M1335)),"",IF(G1335="Terreno",IF(AND(ISNUMBER(I1335),I1335&gt;0),M1335/I1335,""),IF(AND(ISNUMBER(H1335),H1335&gt;0),M1335/H1335,"")))</f>
        <v/>
      </c>
      <c r="T1335" s="9">
        <f>IF(AND(ISNUMBER(M1335),ISNUMBER(O1335)),IF(M1335&lt;=O1335,"Valor ≤ venal IPTU",""),"")</f>
        <v/>
      </c>
      <c r="U1335" s="10">
        <f>IF(AND(ISNUMBER(M1335),ISNUMBER(N1335)),IF(N1335&gt;0,M1335/N1335,""),"")</f>
        <v/>
      </c>
      <c r="V1335" s="10">
        <f>IF(AND(ISNUMBER(M1335),ISNUMBER(O1335)),IF(O1335&gt;0,M1335/O1335,""),"")</f>
        <v/>
      </c>
      <c r="W1335" s="10">
        <f>IF(AND(ISNUMBER(M1335),ISNUMBER(R1335)),IF(R1335&gt;0,M1335/R1335,""),"")</f>
        <v/>
      </c>
      <c r="X1335" s="10">
        <f>IF(AND(ISNUMBER(Q1335),ISNUMBER(M1335)),IF(M1335&gt;0,Q1335/M1335,""),"")</f>
        <v/>
      </c>
      <c r="Y1335" s="11">
        <f>IF(ISNUMBER(Z1335),YEAR(Z1335),"")</f>
        <v/>
      </c>
      <c r="Z1335" s="12" t="n"/>
      <c r="AA1335" s="12" t="n"/>
      <c r="AI1335" s="12" t="n"/>
      <c r="AJ1335" s="13">
        <f>IF(LEN(TRIM(AF1335))=0,"",HYPERLINK("https://www.google.com/maps/@?api=1&amp;map_action=pano&amp;viewpoint="&amp;SUBSTITUTE(AF1335," ",""),"Abrir Street View"))</f>
        <v/>
      </c>
    </row>
    <row r="1336">
      <c r="H1336" s="6" t="n"/>
      <c r="I1336" s="6" t="n"/>
      <c r="M1336" s="7" t="n"/>
      <c r="N1336" s="7" t="n"/>
      <c r="O1336" s="7" t="n"/>
      <c r="Q1336" s="7" t="n"/>
      <c r="R1336" s="7" t="n"/>
      <c r="S1336" s="8">
        <f>IF(NOT(ISNUMBER(M1336)),"",IF(G1336="Terreno",IF(AND(ISNUMBER(I1336),I1336&gt;0),M1336/I1336,""),IF(AND(ISNUMBER(H1336),H1336&gt;0),M1336/H1336,"")))</f>
        <v/>
      </c>
      <c r="T1336" s="9">
        <f>IF(AND(ISNUMBER(M1336),ISNUMBER(O1336)),IF(M1336&lt;=O1336,"Valor ≤ venal IPTU",""),"")</f>
        <v/>
      </c>
      <c r="U1336" s="10">
        <f>IF(AND(ISNUMBER(M1336),ISNUMBER(N1336)),IF(N1336&gt;0,M1336/N1336,""),"")</f>
        <v/>
      </c>
      <c r="V1336" s="10">
        <f>IF(AND(ISNUMBER(M1336),ISNUMBER(O1336)),IF(O1336&gt;0,M1336/O1336,""),"")</f>
        <v/>
      </c>
      <c r="W1336" s="10">
        <f>IF(AND(ISNUMBER(M1336),ISNUMBER(R1336)),IF(R1336&gt;0,M1336/R1336,""),"")</f>
        <v/>
      </c>
      <c r="X1336" s="10">
        <f>IF(AND(ISNUMBER(Q1336),ISNUMBER(M1336)),IF(M1336&gt;0,Q1336/M1336,""),"")</f>
        <v/>
      </c>
      <c r="Y1336" s="11">
        <f>IF(ISNUMBER(Z1336),YEAR(Z1336),"")</f>
        <v/>
      </c>
      <c r="Z1336" s="12" t="n"/>
      <c r="AA1336" s="12" t="n"/>
      <c r="AI1336" s="12" t="n"/>
      <c r="AJ1336" s="13">
        <f>IF(LEN(TRIM(AF1336))=0,"",HYPERLINK("https://www.google.com/maps/@?api=1&amp;map_action=pano&amp;viewpoint="&amp;SUBSTITUTE(AF1336," ",""),"Abrir Street View"))</f>
        <v/>
      </c>
    </row>
    <row r="1337">
      <c r="H1337" s="6" t="n"/>
      <c r="I1337" s="6" t="n"/>
      <c r="M1337" s="7" t="n"/>
      <c r="N1337" s="7" t="n"/>
      <c r="O1337" s="7" t="n"/>
      <c r="Q1337" s="7" t="n"/>
      <c r="R1337" s="7" t="n"/>
      <c r="S1337" s="8">
        <f>IF(NOT(ISNUMBER(M1337)),"",IF(G1337="Terreno",IF(AND(ISNUMBER(I1337),I1337&gt;0),M1337/I1337,""),IF(AND(ISNUMBER(H1337),H1337&gt;0),M1337/H1337,"")))</f>
        <v/>
      </c>
      <c r="T1337" s="9">
        <f>IF(AND(ISNUMBER(M1337),ISNUMBER(O1337)),IF(M1337&lt;=O1337,"Valor ≤ venal IPTU",""),"")</f>
        <v/>
      </c>
      <c r="U1337" s="10">
        <f>IF(AND(ISNUMBER(M1337),ISNUMBER(N1337)),IF(N1337&gt;0,M1337/N1337,""),"")</f>
        <v/>
      </c>
      <c r="V1337" s="10">
        <f>IF(AND(ISNUMBER(M1337),ISNUMBER(O1337)),IF(O1337&gt;0,M1337/O1337,""),"")</f>
        <v/>
      </c>
      <c r="W1337" s="10">
        <f>IF(AND(ISNUMBER(M1337),ISNUMBER(R1337)),IF(R1337&gt;0,M1337/R1337,""),"")</f>
        <v/>
      </c>
      <c r="X1337" s="10">
        <f>IF(AND(ISNUMBER(Q1337),ISNUMBER(M1337)),IF(M1337&gt;0,Q1337/M1337,""),"")</f>
        <v/>
      </c>
      <c r="Y1337" s="11">
        <f>IF(ISNUMBER(Z1337),YEAR(Z1337),"")</f>
        <v/>
      </c>
      <c r="Z1337" s="12" t="n"/>
      <c r="AA1337" s="12" t="n"/>
      <c r="AI1337" s="12" t="n"/>
      <c r="AJ1337" s="13">
        <f>IF(LEN(TRIM(AF1337))=0,"",HYPERLINK("https://www.google.com/maps/@?api=1&amp;map_action=pano&amp;viewpoint="&amp;SUBSTITUTE(AF1337," ",""),"Abrir Street View"))</f>
        <v/>
      </c>
    </row>
    <row r="1338">
      <c r="H1338" s="6" t="n"/>
      <c r="I1338" s="6" t="n"/>
      <c r="M1338" s="7" t="n"/>
      <c r="N1338" s="7" t="n"/>
      <c r="O1338" s="7" t="n"/>
      <c r="Q1338" s="7" t="n"/>
      <c r="R1338" s="7" t="n"/>
      <c r="S1338" s="8">
        <f>IF(NOT(ISNUMBER(M1338)),"",IF(G1338="Terreno",IF(AND(ISNUMBER(I1338),I1338&gt;0),M1338/I1338,""),IF(AND(ISNUMBER(H1338),H1338&gt;0),M1338/H1338,"")))</f>
        <v/>
      </c>
      <c r="T1338" s="9">
        <f>IF(AND(ISNUMBER(M1338),ISNUMBER(O1338)),IF(M1338&lt;=O1338,"Valor ≤ venal IPTU",""),"")</f>
        <v/>
      </c>
      <c r="U1338" s="10">
        <f>IF(AND(ISNUMBER(M1338),ISNUMBER(N1338)),IF(N1338&gt;0,M1338/N1338,""),"")</f>
        <v/>
      </c>
      <c r="V1338" s="10">
        <f>IF(AND(ISNUMBER(M1338),ISNUMBER(O1338)),IF(O1338&gt;0,M1338/O1338,""),"")</f>
        <v/>
      </c>
      <c r="W1338" s="10">
        <f>IF(AND(ISNUMBER(M1338),ISNUMBER(R1338)),IF(R1338&gt;0,M1338/R1338,""),"")</f>
        <v/>
      </c>
      <c r="X1338" s="10">
        <f>IF(AND(ISNUMBER(Q1338),ISNUMBER(M1338)),IF(M1338&gt;0,Q1338/M1338,""),"")</f>
        <v/>
      </c>
      <c r="Y1338" s="11">
        <f>IF(ISNUMBER(Z1338),YEAR(Z1338),"")</f>
        <v/>
      </c>
      <c r="Z1338" s="12" t="n"/>
      <c r="AA1338" s="12" t="n"/>
      <c r="AI1338" s="12" t="n"/>
      <c r="AJ1338" s="13">
        <f>IF(LEN(TRIM(AF1338))=0,"",HYPERLINK("https://www.google.com/maps/@?api=1&amp;map_action=pano&amp;viewpoint="&amp;SUBSTITUTE(AF1338," ",""),"Abrir Street View"))</f>
        <v/>
      </c>
    </row>
    <row r="1339">
      <c r="H1339" s="6" t="n"/>
      <c r="I1339" s="6" t="n"/>
      <c r="M1339" s="7" t="n"/>
      <c r="N1339" s="7" t="n"/>
      <c r="O1339" s="7" t="n"/>
      <c r="Q1339" s="7" t="n"/>
      <c r="R1339" s="7" t="n"/>
      <c r="S1339" s="8">
        <f>IF(NOT(ISNUMBER(M1339)),"",IF(G1339="Terreno",IF(AND(ISNUMBER(I1339),I1339&gt;0),M1339/I1339,""),IF(AND(ISNUMBER(H1339),H1339&gt;0),M1339/H1339,"")))</f>
        <v/>
      </c>
      <c r="T1339" s="9">
        <f>IF(AND(ISNUMBER(M1339),ISNUMBER(O1339)),IF(M1339&lt;=O1339,"Valor ≤ venal IPTU",""),"")</f>
        <v/>
      </c>
      <c r="U1339" s="10">
        <f>IF(AND(ISNUMBER(M1339),ISNUMBER(N1339)),IF(N1339&gt;0,M1339/N1339,""),"")</f>
        <v/>
      </c>
      <c r="V1339" s="10">
        <f>IF(AND(ISNUMBER(M1339),ISNUMBER(O1339)),IF(O1339&gt;0,M1339/O1339,""),"")</f>
        <v/>
      </c>
      <c r="W1339" s="10">
        <f>IF(AND(ISNUMBER(M1339),ISNUMBER(R1339)),IF(R1339&gt;0,M1339/R1339,""),"")</f>
        <v/>
      </c>
      <c r="X1339" s="10">
        <f>IF(AND(ISNUMBER(Q1339),ISNUMBER(M1339)),IF(M1339&gt;0,Q1339/M1339,""),"")</f>
        <v/>
      </c>
      <c r="Y1339" s="11">
        <f>IF(ISNUMBER(Z1339),YEAR(Z1339),"")</f>
        <v/>
      </c>
      <c r="Z1339" s="12" t="n"/>
      <c r="AA1339" s="12" t="n"/>
      <c r="AI1339" s="12" t="n"/>
      <c r="AJ1339" s="13">
        <f>IF(LEN(TRIM(AF1339))=0,"",HYPERLINK("https://www.google.com/maps/@?api=1&amp;map_action=pano&amp;viewpoint="&amp;SUBSTITUTE(AF1339," ",""),"Abrir Street View"))</f>
        <v/>
      </c>
    </row>
    <row r="1340">
      <c r="H1340" s="6" t="n"/>
      <c r="I1340" s="6" t="n"/>
      <c r="M1340" s="7" t="n"/>
      <c r="N1340" s="7" t="n"/>
      <c r="O1340" s="7" t="n"/>
      <c r="Q1340" s="7" t="n"/>
      <c r="R1340" s="7" t="n"/>
      <c r="S1340" s="8">
        <f>IF(NOT(ISNUMBER(M1340)),"",IF(G1340="Terreno",IF(AND(ISNUMBER(I1340),I1340&gt;0),M1340/I1340,""),IF(AND(ISNUMBER(H1340),H1340&gt;0),M1340/H1340,"")))</f>
        <v/>
      </c>
      <c r="T1340" s="9">
        <f>IF(AND(ISNUMBER(M1340),ISNUMBER(O1340)),IF(M1340&lt;=O1340,"Valor ≤ venal IPTU",""),"")</f>
        <v/>
      </c>
      <c r="U1340" s="10">
        <f>IF(AND(ISNUMBER(M1340),ISNUMBER(N1340)),IF(N1340&gt;0,M1340/N1340,""),"")</f>
        <v/>
      </c>
      <c r="V1340" s="10">
        <f>IF(AND(ISNUMBER(M1340),ISNUMBER(O1340)),IF(O1340&gt;0,M1340/O1340,""),"")</f>
        <v/>
      </c>
      <c r="W1340" s="10">
        <f>IF(AND(ISNUMBER(M1340),ISNUMBER(R1340)),IF(R1340&gt;0,M1340/R1340,""),"")</f>
        <v/>
      </c>
      <c r="X1340" s="10">
        <f>IF(AND(ISNUMBER(Q1340),ISNUMBER(M1340)),IF(M1340&gt;0,Q1340/M1340,""),"")</f>
        <v/>
      </c>
      <c r="Y1340" s="11">
        <f>IF(ISNUMBER(Z1340),YEAR(Z1340),"")</f>
        <v/>
      </c>
      <c r="Z1340" s="12" t="n"/>
      <c r="AA1340" s="12" t="n"/>
      <c r="AI1340" s="12" t="n"/>
      <c r="AJ1340" s="13">
        <f>IF(LEN(TRIM(AF1340))=0,"",HYPERLINK("https://www.google.com/maps/@?api=1&amp;map_action=pano&amp;viewpoint="&amp;SUBSTITUTE(AF1340," ",""),"Abrir Street View"))</f>
        <v/>
      </c>
    </row>
    <row r="1341">
      <c r="H1341" s="6" t="n"/>
      <c r="I1341" s="6" t="n"/>
      <c r="M1341" s="7" t="n"/>
      <c r="N1341" s="7" t="n"/>
      <c r="O1341" s="7" t="n"/>
      <c r="Q1341" s="7" t="n"/>
      <c r="R1341" s="7" t="n"/>
      <c r="S1341" s="8">
        <f>IF(NOT(ISNUMBER(M1341)),"",IF(G1341="Terreno",IF(AND(ISNUMBER(I1341),I1341&gt;0),M1341/I1341,""),IF(AND(ISNUMBER(H1341),H1341&gt;0),M1341/H1341,"")))</f>
        <v/>
      </c>
      <c r="T1341" s="9">
        <f>IF(AND(ISNUMBER(M1341),ISNUMBER(O1341)),IF(M1341&lt;=O1341,"Valor ≤ venal IPTU",""),"")</f>
        <v/>
      </c>
      <c r="U1341" s="10">
        <f>IF(AND(ISNUMBER(M1341),ISNUMBER(N1341)),IF(N1341&gt;0,M1341/N1341,""),"")</f>
        <v/>
      </c>
      <c r="V1341" s="10">
        <f>IF(AND(ISNUMBER(M1341),ISNUMBER(O1341)),IF(O1341&gt;0,M1341/O1341,""),"")</f>
        <v/>
      </c>
      <c r="W1341" s="10">
        <f>IF(AND(ISNUMBER(M1341),ISNUMBER(R1341)),IF(R1341&gt;0,M1341/R1341,""),"")</f>
        <v/>
      </c>
      <c r="X1341" s="10">
        <f>IF(AND(ISNUMBER(Q1341),ISNUMBER(M1341)),IF(M1341&gt;0,Q1341/M1341,""),"")</f>
        <v/>
      </c>
      <c r="Y1341" s="11">
        <f>IF(ISNUMBER(Z1341),YEAR(Z1341),"")</f>
        <v/>
      </c>
      <c r="Z1341" s="12" t="n"/>
      <c r="AA1341" s="12" t="n"/>
      <c r="AI1341" s="12" t="n"/>
      <c r="AJ1341" s="13">
        <f>IF(LEN(TRIM(AF1341))=0,"",HYPERLINK("https://www.google.com/maps/@?api=1&amp;map_action=pano&amp;viewpoint="&amp;SUBSTITUTE(AF1341," ",""),"Abrir Street View"))</f>
        <v/>
      </c>
    </row>
    <row r="1342">
      <c r="H1342" s="6" t="n"/>
      <c r="I1342" s="6" t="n"/>
      <c r="M1342" s="7" t="n"/>
      <c r="N1342" s="7" t="n"/>
      <c r="O1342" s="7" t="n"/>
      <c r="Q1342" s="7" t="n"/>
      <c r="R1342" s="7" t="n"/>
      <c r="S1342" s="8">
        <f>IF(NOT(ISNUMBER(M1342)),"",IF(G1342="Terreno",IF(AND(ISNUMBER(I1342),I1342&gt;0),M1342/I1342,""),IF(AND(ISNUMBER(H1342),H1342&gt;0),M1342/H1342,"")))</f>
        <v/>
      </c>
      <c r="T1342" s="9">
        <f>IF(AND(ISNUMBER(M1342),ISNUMBER(O1342)),IF(M1342&lt;=O1342,"Valor ≤ venal IPTU",""),"")</f>
        <v/>
      </c>
      <c r="U1342" s="10">
        <f>IF(AND(ISNUMBER(M1342),ISNUMBER(N1342)),IF(N1342&gt;0,M1342/N1342,""),"")</f>
        <v/>
      </c>
      <c r="V1342" s="10">
        <f>IF(AND(ISNUMBER(M1342),ISNUMBER(O1342)),IF(O1342&gt;0,M1342/O1342,""),"")</f>
        <v/>
      </c>
      <c r="W1342" s="10">
        <f>IF(AND(ISNUMBER(M1342),ISNUMBER(R1342)),IF(R1342&gt;0,M1342/R1342,""),"")</f>
        <v/>
      </c>
      <c r="X1342" s="10">
        <f>IF(AND(ISNUMBER(Q1342),ISNUMBER(M1342)),IF(M1342&gt;0,Q1342/M1342,""),"")</f>
        <v/>
      </c>
      <c r="Y1342" s="11">
        <f>IF(ISNUMBER(Z1342),YEAR(Z1342),"")</f>
        <v/>
      </c>
      <c r="Z1342" s="12" t="n"/>
      <c r="AA1342" s="12" t="n"/>
      <c r="AI1342" s="12" t="n"/>
      <c r="AJ1342" s="13">
        <f>IF(LEN(TRIM(AF1342))=0,"",HYPERLINK("https://www.google.com/maps/@?api=1&amp;map_action=pano&amp;viewpoint="&amp;SUBSTITUTE(AF1342," ",""),"Abrir Street View"))</f>
        <v/>
      </c>
    </row>
    <row r="1343">
      <c r="H1343" s="6" t="n"/>
      <c r="I1343" s="6" t="n"/>
      <c r="M1343" s="7" t="n"/>
      <c r="N1343" s="7" t="n"/>
      <c r="O1343" s="7" t="n"/>
      <c r="Q1343" s="7" t="n"/>
      <c r="R1343" s="7" t="n"/>
      <c r="S1343" s="8">
        <f>IF(NOT(ISNUMBER(M1343)),"",IF(G1343="Terreno",IF(AND(ISNUMBER(I1343),I1343&gt;0),M1343/I1343,""),IF(AND(ISNUMBER(H1343),H1343&gt;0),M1343/H1343,"")))</f>
        <v/>
      </c>
      <c r="T1343" s="9">
        <f>IF(AND(ISNUMBER(M1343),ISNUMBER(O1343)),IF(M1343&lt;=O1343,"Valor ≤ venal IPTU",""),"")</f>
        <v/>
      </c>
      <c r="U1343" s="10">
        <f>IF(AND(ISNUMBER(M1343),ISNUMBER(N1343)),IF(N1343&gt;0,M1343/N1343,""),"")</f>
        <v/>
      </c>
      <c r="V1343" s="10">
        <f>IF(AND(ISNUMBER(M1343),ISNUMBER(O1343)),IF(O1343&gt;0,M1343/O1343,""),"")</f>
        <v/>
      </c>
      <c r="W1343" s="10">
        <f>IF(AND(ISNUMBER(M1343),ISNUMBER(R1343)),IF(R1343&gt;0,M1343/R1343,""),"")</f>
        <v/>
      </c>
      <c r="X1343" s="10">
        <f>IF(AND(ISNUMBER(Q1343),ISNUMBER(M1343)),IF(M1343&gt;0,Q1343/M1343,""),"")</f>
        <v/>
      </c>
      <c r="Y1343" s="11">
        <f>IF(ISNUMBER(Z1343),YEAR(Z1343),"")</f>
        <v/>
      </c>
      <c r="Z1343" s="12" t="n"/>
      <c r="AA1343" s="12" t="n"/>
      <c r="AI1343" s="12" t="n"/>
      <c r="AJ1343" s="13">
        <f>IF(LEN(TRIM(AF1343))=0,"",HYPERLINK("https://www.google.com/maps/@?api=1&amp;map_action=pano&amp;viewpoint="&amp;SUBSTITUTE(AF1343," ",""),"Abrir Street View"))</f>
        <v/>
      </c>
    </row>
    <row r="1344">
      <c r="H1344" s="6" t="n"/>
      <c r="I1344" s="6" t="n"/>
      <c r="M1344" s="7" t="n"/>
      <c r="N1344" s="7" t="n"/>
      <c r="O1344" s="7" t="n"/>
      <c r="Q1344" s="7" t="n"/>
      <c r="R1344" s="7" t="n"/>
      <c r="S1344" s="8">
        <f>IF(NOT(ISNUMBER(M1344)),"",IF(G1344="Terreno",IF(AND(ISNUMBER(I1344),I1344&gt;0),M1344/I1344,""),IF(AND(ISNUMBER(H1344),H1344&gt;0),M1344/H1344,"")))</f>
        <v/>
      </c>
      <c r="T1344" s="9">
        <f>IF(AND(ISNUMBER(M1344),ISNUMBER(O1344)),IF(M1344&lt;=O1344,"Valor ≤ venal IPTU",""),"")</f>
        <v/>
      </c>
      <c r="U1344" s="10">
        <f>IF(AND(ISNUMBER(M1344),ISNUMBER(N1344)),IF(N1344&gt;0,M1344/N1344,""),"")</f>
        <v/>
      </c>
      <c r="V1344" s="10">
        <f>IF(AND(ISNUMBER(M1344),ISNUMBER(O1344)),IF(O1344&gt;0,M1344/O1344,""),"")</f>
        <v/>
      </c>
      <c r="W1344" s="10">
        <f>IF(AND(ISNUMBER(M1344),ISNUMBER(R1344)),IF(R1344&gt;0,M1344/R1344,""),"")</f>
        <v/>
      </c>
      <c r="X1344" s="10">
        <f>IF(AND(ISNUMBER(Q1344),ISNUMBER(M1344)),IF(M1344&gt;0,Q1344/M1344,""),"")</f>
        <v/>
      </c>
      <c r="Y1344" s="11">
        <f>IF(ISNUMBER(Z1344),YEAR(Z1344),"")</f>
        <v/>
      </c>
      <c r="Z1344" s="12" t="n"/>
      <c r="AA1344" s="12" t="n"/>
      <c r="AI1344" s="12" t="n"/>
      <c r="AJ1344" s="13">
        <f>IF(LEN(TRIM(AF1344))=0,"",HYPERLINK("https://www.google.com/maps/@?api=1&amp;map_action=pano&amp;viewpoint="&amp;SUBSTITUTE(AF1344," ",""),"Abrir Street View"))</f>
        <v/>
      </c>
    </row>
    <row r="1345">
      <c r="H1345" s="6" t="n"/>
      <c r="I1345" s="6" t="n"/>
      <c r="M1345" s="7" t="n"/>
      <c r="N1345" s="7" t="n"/>
      <c r="O1345" s="7" t="n"/>
      <c r="Q1345" s="7" t="n"/>
      <c r="R1345" s="7" t="n"/>
      <c r="S1345" s="8">
        <f>IF(NOT(ISNUMBER(M1345)),"",IF(G1345="Terreno",IF(AND(ISNUMBER(I1345),I1345&gt;0),M1345/I1345,""),IF(AND(ISNUMBER(H1345),H1345&gt;0),M1345/H1345,"")))</f>
        <v/>
      </c>
      <c r="T1345" s="9">
        <f>IF(AND(ISNUMBER(M1345),ISNUMBER(O1345)),IF(M1345&lt;=O1345,"Valor ≤ venal IPTU",""),"")</f>
        <v/>
      </c>
      <c r="U1345" s="10">
        <f>IF(AND(ISNUMBER(M1345),ISNUMBER(N1345)),IF(N1345&gt;0,M1345/N1345,""),"")</f>
        <v/>
      </c>
      <c r="V1345" s="10">
        <f>IF(AND(ISNUMBER(M1345),ISNUMBER(O1345)),IF(O1345&gt;0,M1345/O1345,""),"")</f>
        <v/>
      </c>
      <c r="W1345" s="10">
        <f>IF(AND(ISNUMBER(M1345),ISNUMBER(R1345)),IF(R1345&gt;0,M1345/R1345,""),"")</f>
        <v/>
      </c>
      <c r="X1345" s="10">
        <f>IF(AND(ISNUMBER(Q1345),ISNUMBER(M1345)),IF(M1345&gt;0,Q1345/M1345,""),"")</f>
        <v/>
      </c>
      <c r="Y1345" s="11">
        <f>IF(ISNUMBER(Z1345),YEAR(Z1345),"")</f>
        <v/>
      </c>
      <c r="Z1345" s="12" t="n"/>
      <c r="AA1345" s="12" t="n"/>
      <c r="AI1345" s="12" t="n"/>
      <c r="AJ1345" s="13">
        <f>IF(LEN(TRIM(AF1345))=0,"",HYPERLINK("https://www.google.com/maps/@?api=1&amp;map_action=pano&amp;viewpoint="&amp;SUBSTITUTE(AF1345," ",""),"Abrir Street View"))</f>
        <v/>
      </c>
    </row>
    <row r="1346">
      <c r="H1346" s="6" t="n"/>
      <c r="I1346" s="6" t="n"/>
      <c r="M1346" s="7" t="n"/>
      <c r="N1346" s="7" t="n"/>
      <c r="O1346" s="7" t="n"/>
      <c r="Q1346" s="7" t="n"/>
      <c r="R1346" s="7" t="n"/>
      <c r="S1346" s="8">
        <f>IF(NOT(ISNUMBER(M1346)),"",IF(G1346="Terreno",IF(AND(ISNUMBER(I1346),I1346&gt;0),M1346/I1346,""),IF(AND(ISNUMBER(H1346),H1346&gt;0),M1346/H1346,"")))</f>
        <v/>
      </c>
      <c r="T1346" s="9">
        <f>IF(AND(ISNUMBER(M1346),ISNUMBER(O1346)),IF(M1346&lt;=O1346,"Valor ≤ venal IPTU",""),"")</f>
        <v/>
      </c>
      <c r="U1346" s="10">
        <f>IF(AND(ISNUMBER(M1346),ISNUMBER(N1346)),IF(N1346&gt;0,M1346/N1346,""),"")</f>
        <v/>
      </c>
      <c r="V1346" s="10">
        <f>IF(AND(ISNUMBER(M1346),ISNUMBER(O1346)),IF(O1346&gt;0,M1346/O1346,""),"")</f>
        <v/>
      </c>
      <c r="W1346" s="10">
        <f>IF(AND(ISNUMBER(M1346),ISNUMBER(R1346)),IF(R1346&gt;0,M1346/R1346,""),"")</f>
        <v/>
      </c>
      <c r="X1346" s="10">
        <f>IF(AND(ISNUMBER(Q1346),ISNUMBER(M1346)),IF(M1346&gt;0,Q1346/M1346,""),"")</f>
        <v/>
      </c>
      <c r="Y1346" s="11">
        <f>IF(ISNUMBER(Z1346),YEAR(Z1346),"")</f>
        <v/>
      </c>
      <c r="Z1346" s="12" t="n"/>
      <c r="AA1346" s="12" t="n"/>
      <c r="AI1346" s="12" t="n"/>
      <c r="AJ1346" s="13">
        <f>IF(LEN(TRIM(AF1346))=0,"",HYPERLINK("https://www.google.com/maps/@?api=1&amp;map_action=pano&amp;viewpoint="&amp;SUBSTITUTE(AF1346," ",""),"Abrir Street View"))</f>
        <v/>
      </c>
    </row>
    <row r="1347">
      <c r="H1347" s="6" t="n"/>
      <c r="I1347" s="6" t="n"/>
      <c r="M1347" s="7" t="n"/>
      <c r="N1347" s="7" t="n"/>
      <c r="O1347" s="7" t="n"/>
      <c r="Q1347" s="7" t="n"/>
      <c r="R1347" s="7" t="n"/>
      <c r="S1347" s="8">
        <f>IF(NOT(ISNUMBER(M1347)),"",IF(G1347="Terreno",IF(AND(ISNUMBER(I1347),I1347&gt;0),M1347/I1347,""),IF(AND(ISNUMBER(H1347),H1347&gt;0),M1347/H1347,"")))</f>
        <v/>
      </c>
      <c r="T1347" s="9">
        <f>IF(AND(ISNUMBER(M1347),ISNUMBER(O1347)),IF(M1347&lt;=O1347,"Valor ≤ venal IPTU",""),"")</f>
        <v/>
      </c>
      <c r="U1347" s="10">
        <f>IF(AND(ISNUMBER(M1347),ISNUMBER(N1347)),IF(N1347&gt;0,M1347/N1347,""),"")</f>
        <v/>
      </c>
      <c r="V1347" s="10">
        <f>IF(AND(ISNUMBER(M1347),ISNUMBER(O1347)),IF(O1347&gt;0,M1347/O1347,""),"")</f>
        <v/>
      </c>
      <c r="W1347" s="10">
        <f>IF(AND(ISNUMBER(M1347),ISNUMBER(R1347)),IF(R1347&gt;0,M1347/R1347,""),"")</f>
        <v/>
      </c>
      <c r="X1347" s="10">
        <f>IF(AND(ISNUMBER(Q1347),ISNUMBER(M1347)),IF(M1347&gt;0,Q1347/M1347,""),"")</f>
        <v/>
      </c>
      <c r="Y1347" s="11">
        <f>IF(ISNUMBER(Z1347),YEAR(Z1347),"")</f>
        <v/>
      </c>
      <c r="Z1347" s="12" t="n"/>
      <c r="AA1347" s="12" t="n"/>
      <c r="AI1347" s="12" t="n"/>
      <c r="AJ1347" s="13">
        <f>IF(LEN(TRIM(AF1347))=0,"",HYPERLINK("https://www.google.com/maps/@?api=1&amp;map_action=pano&amp;viewpoint="&amp;SUBSTITUTE(AF1347," ",""),"Abrir Street View"))</f>
        <v/>
      </c>
    </row>
    <row r="1348">
      <c r="H1348" s="6" t="n"/>
      <c r="I1348" s="6" t="n"/>
      <c r="M1348" s="7" t="n"/>
      <c r="N1348" s="7" t="n"/>
      <c r="O1348" s="7" t="n"/>
      <c r="Q1348" s="7" t="n"/>
      <c r="R1348" s="7" t="n"/>
      <c r="S1348" s="8">
        <f>IF(NOT(ISNUMBER(M1348)),"",IF(G1348="Terreno",IF(AND(ISNUMBER(I1348),I1348&gt;0),M1348/I1348,""),IF(AND(ISNUMBER(H1348),H1348&gt;0),M1348/H1348,"")))</f>
        <v/>
      </c>
      <c r="T1348" s="9">
        <f>IF(AND(ISNUMBER(M1348),ISNUMBER(O1348)),IF(M1348&lt;=O1348,"Valor ≤ venal IPTU",""),"")</f>
        <v/>
      </c>
      <c r="U1348" s="10">
        <f>IF(AND(ISNUMBER(M1348),ISNUMBER(N1348)),IF(N1348&gt;0,M1348/N1348,""),"")</f>
        <v/>
      </c>
      <c r="V1348" s="10">
        <f>IF(AND(ISNUMBER(M1348),ISNUMBER(O1348)),IF(O1348&gt;0,M1348/O1348,""),"")</f>
        <v/>
      </c>
      <c r="W1348" s="10">
        <f>IF(AND(ISNUMBER(M1348),ISNUMBER(R1348)),IF(R1348&gt;0,M1348/R1348,""),"")</f>
        <v/>
      </c>
      <c r="X1348" s="10">
        <f>IF(AND(ISNUMBER(Q1348),ISNUMBER(M1348)),IF(M1348&gt;0,Q1348/M1348,""),"")</f>
        <v/>
      </c>
      <c r="Y1348" s="11">
        <f>IF(ISNUMBER(Z1348),YEAR(Z1348),"")</f>
        <v/>
      </c>
      <c r="Z1348" s="12" t="n"/>
      <c r="AA1348" s="12" t="n"/>
      <c r="AI1348" s="12" t="n"/>
      <c r="AJ1348" s="13">
        <f>IF(LEN(TRIM(AF1348))=0,"",HYPERLINK("https://www.google.com/maps/@?api=1&amp;map_action=pano&amp;viewpoint="&amp;SUBSTITUTE(AF1348," ",""),"Abrir Street View"))</f>
        <v/>
      </c>
    </row>
    <row r="1349">
      <c r="H1349" s="6" t="n"/>
      <c r="I1349" s="6" t="n"/>
      <c r="M1349" s="7" t="n"/>
      <c r="N1349" s="7" t="n"/>
      <c r="O1349" s="7" t="n"/>
      <c r="Q1349" s="7" t="n"/>
      <c r="R1349" s="7" t="n"/>
      <c r="S1349" s="8">
        <f>IF(NOT(ISNUMBER(M1349)),"",IF(G1349="Terreno",IF(AND(ISNUMBER(I1349),I1349&gt;0),M1349/I1349,""),IF(AND(ISNUMBER(H1349),H1349&gt;0),M1349/H1349,"")))</f>
        <v/>
      </c>
      <c r="T1349" s="9">
        <f>IF(AND(ISNUMBER(M1349),ISNUMBER(O1349)),IF(M1349&lt;=O1349,"Valor ≤ venal IPTU",""),"")</f>
        <v/>
      </c>
      <c r="U1349" s="10">
        <f>IF(AND(ISNUMBER(M1349),ISNUMBER(N1349)),IF(N1349&gt;0,M1349/N1349,""),"")</f>
        <v/>
      </c>
      <c r="V1349" s="10">
        <f>IF(AND(ISNUMBER(M1349),ISNUMBER(O1349)),IF(O1349&gt;0,M1349/O1349,""),"")</f>
        <v/>
      </c>
      <c r="W1349" s="10">
        <f>IF(AND(ISNUMBER(M1349),ISNUMBER(R1349)),IF(R1349&gt;0,M1349/R1349,""),"")</f>
        <v/>
      </c>
      <c r="X1349" s="10">
        <f>IF(AND(ISNUMBER(Q1349),ISNUMBER(M1349)),IF(M1349&gt;0,Q1349/M1349,""),"")</f>
        <v/>
      </c>
      <c r="Y1349" s="11">
        <f>IF(ISNUMBER(Z1349),YEAR(Z1349),"")</f>
        <v/>
      </c>
      <c r="Z1349" s="12" t="n"/>
      <c r="AA1349" s="12" t="n"/>
      <c r="AI1349" s="12" t="n"/>
      <c r="AJ1349" s="13">
        <f>IF(LEN(TRIM(AF1349))=0,"",HYPERLINK("https://www.google.com/maps/@?api=1&amp;map_action=pano&amp;viewpoint="&amp;SUBSTITUTE(AF1349," ",""),"Abrir Street View"))</f>
        <v/>
      </c>
    </row>
    <row r="1350">
      <c r="H1350" s="6" t="n"/>
      <c r="I1350" s="6" t="n"/>
      <c r="M1350" s="7" t="n"/>
      <c r="N1350" s="7" t="n"/>
      <c r="O1350" s="7" t="n"/>
      <c r="Q1350" s="7" t="n"/>
      <c r="R1350" s="7" t="n"/>
      <c r="S1350" s="8">
        <f>IF(NOT(ISNUMBER(M1350)),"",IF(G1350="Terreno",IF(AND(ISNUMBER(I1350),I1350&gt;0),M1350/I1350,""),IF(AND(ISNUMBER(H1350),H1350&gt;0),M1350/H1350,"")))</f>
        <v/>
      </c>
      <c r="T1350" s="9">
        <f>IF(AND(ISNUMBER(M1350),ISNUMBER(O1350)),IF(M1350&lt;=O1350,"Valor ≤ venal IPTU",""),"")</f>
        <v/>
      </c>
      <c r="U1350" s="10">
        <f>IF(AND(ISNUMBER(M1350),ISNUMBER(N1350)),IF(N1350&gt;0,M1350/N1350,""),"")</f>
        <v/>
      </c>
      <c r="V1350" s="10">
        <f>IF(AND(ISNUMBER(M1350),ISNUMBER(O1350)),IF(O1350&gt;0,M1350/O1350,""),"")</f>
        <v/>
      </c>
      <c r="W1350" s="10">
        <f>IF(AND(ISNUMBER(M1350),ISNUMBER(R1350)),IF(R1350&gt;0,M1350/R1350,""),"")</f>
        <v/>
      </c>
      <c r="X1350" s="10">
        <f>IF(AND(ISNUMBER(Q1350),ISNUMBER(M1350)),IF(M1350&gt;0,Q1350/M1350,""),"")</f>
        <v/>
      </c>
      <c r="Y1350" s="11">
        <f>IF(ISNUMBER(Z1350),YEAR(Z1350),"")</f>
        <v/>
      </c>
      <c r="Z1350" s="12" t="n"/>
      <c r="AA1350" s="12" t="n"/>
      <c r="AI1350" s="12" t="n"/>
      <c r="AJ1350" s="13">
        <f>IF(LEN(TRIM(AF1350))=0,"",HYPERLINK("https://www.google.com/maps/@?api=1&amp;map_action=pano&amp;viewpoint="&amp;SUBSTITUTE(AF1350," ",""),"Abrir Street View"))</f>
        <v/>
      </c>
    </row>
    <row r="1351">
      <c r="H1351" s="6" t="n"/>
      <c r="I1351" s="6" t="n"/>
      <c r="M1351" s="7" t="n"/>
      <c r="N1351" s="7" t="n"/>
      <c r="O1351" s="7" t="n"/>
      <c r="Q1351" s="7" t="n"/>
      <c r="R1351" s="7" t="n"/>
      <c r="S1351" s="8">
        <f>IF(NOT(ISNUMBER(M1351)),"",IF(G1351="Terreno",IF(AND(ISNUMBER(I1351),I1351&gt;0),M1351/I1351,""),IF(AND(ISNUMBER(H1351),H1351&gt;0),M1351/H1351,"")))</f>
        <v/>
      </c>
      <c r="T1351" s="9">
        <f>IF(AND(ISNUMBER(M1351),ISNUMBER(O1351)),IF(M1351&lt;=O1351,"Valor ≤ venal IPTU",""),"")</f>
        <v/>
      </c>
      <c r="U1351" s="10">
        <f>IF(AND(ISNUMBER(M1351),ISNUMBER(N1351)),IF(N1351&gt;0,M1351/N1351,""),"")</f>
        <v/>
      </c>
      <c r="V1351" s="10">
        <f>IF(AND(ISNUMBER(M1351),ISNUMBER(O1351)),IF(O1351&gt;0,M1351/O1351,""),"")</f>
        <v/>
      </c>
      <c r="W1351" s="10">
        <f>IF(AND(ISNUMBER(M1351),ISNUMBER(R1351)),IF(R1351&gt;0,M1351/R1351,""),"")</f>
        <v/>
      </c>
      <c r="X1351" s="10">
        <f>IF(AND(ISNUMBER(Q1351),ISNUMBER(M1351)),IF(M1351&gt;0,Q1351/M1351,""),"")</f>
        <v/>
      </c>
      <c r="Y1351" s="11">
        <f>IF(ISNUMBER(Z1351),YEAR(Z1351),"")</f>
        <v/>
      </c>
      <c r="Z1351" s="12" t="n"/>
      <c r="AA1351" s="12" t="n"/>
      <c r="AI1351" s="12" t="n"/>
      <c r="AJ1351" s="13">
        <f>IF(LEN(TRIM(AF1351))=0,"",HYPERLINK("https://www.google.com/maps/@?api=1&amp;map_action=pano&amp;viewpoint="&amp;SUBSTITUTE(AF1351," ",""),"Abrir Street View"))</f>
        <v/>
      </c>
    </row>
    <row r="1352">
      <c r="H1352" s="6" t="n"/>
      <c r="I1352" s="6" t="n"/>
      <c r="M1352" s="7" t="n"/>
      <c r="N1352" s="7" t="n"/>
      <c r="O1352" s="7" t="n"/>
      <c r="Q1352" s="7" t="n"/>
      <c r="R1352" s="7" t="n"/>
      <c r="S1352" s="8">
        <f>IF(NOT(ISNUMBER(M1352)),"",IF(G1352="Terreno",IF(AND(ISNUMBER(I1352),I1352&gt;0),M1352/I1352,""),IF(AND(ISNUMBER(H1352),H1352&gt;0),M1352/H1352,"")))</f>
        <v/>
      </c>
      <c r="T1352" s="9">
        <f>IF(AND(ISNUMBER(M1352),ISNUMBER(O1352)),IF(M1352&lt;=O1352,"Valor ≤ venal IPTU",""),"")</f>
        <v/>
      </c>
      <c r="U1352" s="10">
        <f>IF(AND(ISNUMBER(M1352),ISNUMBER(N1352)),IF(N1352&gt;0,M1352/N1352,""),"")</f>
        <v/>
      </c>
      <c r="V1352" s="10">
        <f>IF(AND(ISNUMBER(M1352),ISNUMBER(O1352)),IF(O1352&gt;0,M1352/O1352,""),"")</f>
        <v/>
      </c>
      <c r="W1352" s="10">
        <f>IF(AND(ISNUMBER(M1352),ISNUMBER(R1352)),IF(R1352&gt;0,M1352/R1352,""),"")</f>
        <v/>
      </c>
      <c r="X1352" s="10">
        <f>IF(AND(ISNUMBER(Q1352),ISNUMBER(M1352)),IF(M1352&gt;0,Q1352/M1352,""),"")</f>
        <v/>
      </c>
      <c r="Y1352" s="11">
        <f>IF(ISNUMBER(Z1352),YEAR(Z1352),"")</f>
        <v/>
      </c>
      <c r="Z1352" s="12" t="n"/>
      <c r="AA1352" s="12" t="n"/>
      <c r="AI1352" s="12" t="n"/>
      <c r="AJ1352" s="13">
        <f>IF(LEN(TRIM(AF1352))=0,"",HYPERLINK("https://www.google.com/maps/@?api=1&amp;map_action=pano&amp;viewpoint="&amp;SUBSTITUTE(AF1352," ",""),"Abrir Street View"))</f>
        <v/>
      </c>
    </row>
    <row r="1353">
      <c r="H1353" s="6" t="n"/>
      <c r="I1353" s="6" t="n"/>
      <c r="M1353" s="7" t="n"/>
      <c r="N1353" s="7" t="n"/>
      <c r="O1353" s="7" t="n"/>
      <c r="Q1353" s="7" t="n"/>
      <c r="R1353" s="7" t="n"/>
      <c r="S1353" s="8">
        <f>IF(NOT(ISNUMBER(M1353)),"",IF(G1353="Terreno",IF(AND(ISNUMBER(I1353),I1353&gt;0),M1353/I1353,""),IF(AND(ISNUMBER(H1353),H1353&gt;0),M1353/H1353,"")))</f>
        <v/>
      </c>
      <c r="T1353" s="9">
        <f>IF(AND(ISNUMBER(M1353),ISNUMBER(O1353)),IF(M1353&lt;=O1353,"Valor ≤ venal IPTU",""),"")</f>
        <v/>
      </c>
      <c r="U1353" s="10">
        <f>IF(AND(ISNUMBER(M1353),ISNUMBER(N1353)),IF(N1353&gt;0,M1353/N1353,""),"")</f>
        <v/>
      </c>
      <c r="V1353" s="10">
        <f>IF(AND(ISNUMBER(M1353),ISNUMBER(O1353)),IF(O1353&gt;0,M1353/O1353,""),"")</f>
        <v/>
      </c>
      <c r="W1353" s="10">
        <f>IF(AND(ISNUMBER(M1353),ISNUMBER(R1353)),IF(R1353&gt;0,M1353/R1353,""),"")</f>
        <v/>
      </c>
      <c r="X1353" s="10">
        <f>IF(AND(ISNUMBER(Q1353),ISNUMBER(M1353)),IF(M1353&gt;0,Q1353/M1353,""),"")</f>
        <v/>
      </c>
      <c r="Y1353" s="11">
        <f>IF(ISNUMBER(Z1353),YEAR(Z1353),"")</f>
        <v/>
      </c>
      <c r="Z1353" s="12" t="n"/>
      <c r="AA1353" s="12" t="n"/>
      <c r="AI1353" s="12" t="n"/>
      <c r="AJ1353" s="13">
        <f>IF(LEN(TRIM(AF1353))=0,"",HYPERLINK("https://www.google.com/maps/@?api=1&amp;map_action=pano&amp;viewpoint="&amp;SUBSTITUTE(AF1353," ",""),"Abrir Street View"))</f>
        <v/>
      </c>
    </row>
    <row r="1354">
      <c r="H1354" s="6" t="n"/>
      <c r="I1354" s="6" t="n"/>
      <c r="M1354" s="7" t="n"/>
      <c r="N1354" s="7" t="n"/>
      <c r="O1354" s="7" t="n"/>
      <c r="Q1354" s="7" t="n"/>
      <c r="R1354" s="7" t="n"/>
      <c r="S1354" s="8">
        <f>IF(NOT(ISNUMBER(M1354)),"",IF(G1354="Terreno",IF(AND(ISNUMBER(I1354),I1354&gt;0),M1354/I1354,""),IF(AND(ISNUMBER(H1354),H1354&gt;0),M1354/H1354,"")))</f>
        <v/>
      </c>
      <c r="T1354" s="9">
        <f>IF(AND(ISNUMBER(M1354),ISNUMBER(O1354)),IF(M1354&lt;=O1354,"Valor ≤ venal IPTU",""),"")</f>
        <v/>
      </c>
      <c r="U1354" s="10">
        <f>IF(AND(ISNUMBER(M1354),ISNUMBER(N1354)),IF(N1354&gt;0,M1354/N1354,""),"")</f>
        <v/>
      </c>
      <c r="V1354" s="10">
        <f>IF(AND(ISNUMBER(M1354),ISNUMBER(O1354)),IF(O1354&gt;0,M1354/O1354,""),"")</f>
        <v/>
      </c>
      <c r="W1354" s="10">
        <f>IF(AND(ISNUMBER(M1354),ISNUMBER(R1354)),IF(R1354&gt;0,M1354/R1354,""),"")</f>
        <v/>
      </c>
      <c r="X1354" s="10">
        <f>IF(AND(ISNUMBER(Q1354),ISNUMBER(M1354)),IF(M1354&gt;0,Q1354/M1354,""),"")</f>
        <v/>
      </c>
      <c r="Y1354" s="11">
        <f>IF(ISNUMBER(Z1354),YEAR(Z1354),"")</f>
        <v/>
      </c>
      <c r="Z1354" s="12" t="n"/>
      <c r="AA1354" s="12" t="n"/>
      <c r="AI1354" s="12" t="n"/>
      <c r="AJ1354" s="13">
        <f>IF(LEN(TRIM(AF1354))=0,"",HYPERLINK("https://www.google.com/maps/@?api=1&amp;map_action=pano&amp;viewpoint="&amp;SUBSTITUTE(AF1354," ",""),"Abrir Street View"))</f>
        <v/>
      </c>
    </row>
    <row r="1355">
      <c r="H1355" s="6" t="n"/>
      <c r="I1355" s="6" t="n"/>
      <c r="M1355" s="7" t="n"/>
      <c r="N1355" s="7" t="n"/>
      <c r="O1355" s="7" t="n"/>
      <c r="Q1355" s="7" t="n"/>
      <c r="R1355" s="7" t="n"/>
      <c r="S1355" s="8">
        <f>IF(NOT(ISNUMBER(M1355)),"",IF(G1355="Terreno",IF(AND(ISNUMBER(I1355),I1355&gt;0),M1355/I1355,""),IF(AND(ISNUMBER(H1355),H1355&gt;0),M1355/H1355,"")))</f>
        <v/>
      </c>
      <c r="T1355" s="9">
        <f>IF(AND(ISNUMBER(M1355),ISNUMBER(O1355)),IF(M1355&lt;=O1355,"Valor ≤ venal IPTU",""),"")</f>
        <v/>
      </c>
      <c r="U1355" s="10">
        <f>IF(AND(ISNUMBER(M1355),ISNUMBER(N1355)),IF(N1355&gt;0,M1355/N1355,""),"")</f>
        <v/>
      </c>
      <c r="V1355" s="10">
        <f>IF(AND(ISNUMBER(M1355),ISNUMBER(O1355)),IF(O1355&gt;0,M1355/O1355,""),"")</f>
        <v/>
      </c>
      <c r="W1355" s="10">
        <f>IF(AND(ISNUMBER(M1355),ISNUMBER(R1355)),IF(R1355&gt;0,M1355/R1355,""),"")</f>
        <v/>
      </c>
      <c r="X1355" s="10">
        <f>IF(AND(ISNUMBER(Q1355),ISNUMBER(M1355)),IF(M1355&gt;0,Q1355/M1355,""),"")</f>
        <v/>
      </c>
      <c r="Y1355" s="11">
        <f>IF(ISNUMBER(Z1355),YEAR(Z1355),"")</f>
        <v/>
      </c>
      <c r="Z1355" s="12" t="n"/>
      <c r="AA1355" s="12" t="n"/>
      <c r="AI1355" s="12" t="n"/>
      <c r="AJ1355" s="13">
        <f>IF(LEN(TRIM(AF1355))=0,"",HYPERLINK("https://www.google.com/maps/@?api=1&amp;map_action=pano&amp;viewpoint="&amp;SUBSTITUTE(AF1355," ",""),"Abrir Street View"))</f>
        <v/>
      </c>
    </row>
    <row r="1356">
      <c r="H1356" s="6" t="n"/>
      <c r="I1356" s="6" t="n"/>
      <c r="M1356" s="7" t="n"/>
      <c r="N1356" s="7" t="n"/>
      <c r="O1356" s="7" t="n"/>
      <c r="Q1356" s="7" t="n"/>
      <c r="R1356" s="7" t="n"/>
      <c r="S1356" s="8">
        <f>IF(NOT(ISNUMBER(M1356)),"",IF(G1356="Terreno",IF(AND(ISNUMBER(I1356),I1356&gt;0),M1356/I1356,""),IF(AND(ISNUMBER(H1356),H1356&gt;0),M1356/H1356,"")))</f>
        <v/>
      </c>
      <c r="T1356" s="9">
        <f>IF(AND(ISNUMBER(M1356),ISNUMBER(O1356)),IF(M1356&lt;=O1356,"Valor ≤ venal IPTU",""),"")</f>
        <v/>
      </c>
      <c r="U1356" s="10">
        <f>IF(AND(ISNUMBER(M1356),ISNUMBER(N1356)),IF(N1356&gt;0,M1356/N1356,""),"")</f>
        <v/>
      </c>
      <c r="V1356" s="10">
        <f>IF(AND(ISNUMBER(M1356),ISNUMBER(O1356)),IF(O1356&gt;0,M1356/O1356,""),"")</f>
        <v/>
      </c>
      <c r="W1356" s="10">
        <f>IF(AND(ISNUMBER(M1356),ISNUMBER(R1356)),IF(R1356&gt;0,M1356/R1356,""),"")</f>
        <v/>
      </c>
      <c r="X1356" s="10">
        <f>IF(AND(ISNUMBER(Q1356),ISNUMBER(M1356)),IF(M1356&gt;0,Q1356/M1356,""),"")</f>
        <v/>
      </c>
      <c r="Y1356" s="11">
        <f>IF(ISNUMBER(Z1356),YEAR(Z1356),"")</f>
        <v/>
      </c>
      <c r="Z1356" s="12" t="n"/>
      <c r="AA1356" s="12" t="n"/>
      <c r="AI1356" s="12" t="n"/>
      <c r="AJ1356" s="13">
        <f>IF(LEN(TRIM(AF1356))=0,"",HYPERLINK("https://www.google.com/maps/@?api=1&amp;map_action=pano&amp;viewpoint="&amp;SUBSTITUTE(AF1356," ",""),"Abrir Street View"))</f>
        <v/>
      </c>
    </row>
    <row r="1357">
      <c r="H1357" s="6" t="n"/>
      <c r="I1357" s="6" t="n"/>
      <c r="M1357" s="7" t="n"/>
      <c r="N1357" s="7" t="n"/>
      <c r="O1357" s="7" t="n"/>
      <c r="Q1357" s="7" t="n"/>
      <c r="R1357" s="7" t="n"/>
      <c r="S1357" s="8">
        <f>IF(NOT(ISNUMBER(M1357)),"",IF(G1357="Terreno",IF(AND(ISNUMBER(I1357),I1357&gt;0),M1357/I1357,""),IF(AND(ISNUMBER(H1357),H1357&gt;0),M1357/H1357,"")))</f>
        <v/>
      </c>
      <c r="T1357" s="9">
        <f>IF(AND(ISNUMBER(M1357),ISNUMBER(O1357)),IF(M1357&lt;=O1357,"Valor ≤ venal IPTU",""),"")</f>
        <v/>
      </c>
      <c r="U1357" s="10">
        <f>IF(AND(ISNUMBER(M1357),ISNUMBER(N1357)),IF(N1357&gt;0,M1357/N1357,""),"")</f>
        <v/>
      </c>
      <c r="V1357" s="10">
        <f>IF(AND(ISNUMBER(M1357),ISNUMBER(O1357)),IF(O1357&gt;0,M1357/O1357,""),"")</f>
        <v/>
      </c>
      <c r="W1357" s="10">
        <f>IF(AND(ISNUMBER(M1357),ISNUMBER(R1357)),IF(R1357&gt;0,M1357/R1357,""),"")</f>
        <v/>
      </c>
      <c r="X1357" s="10">
        <f>IF(AND(ISNUMBER(Q1357),ISNUMBER(M1357)),IF(M1357&gt;0,Q1357/M1357,""),"")</f>
        <v/>
      </c>
      <c r="Y1357" s="11">
        <f>IF(ISNUMBER(Z1357),YEAR(Z1357),"")</f>
        <v/>
      </c>
      <c r="Z1357" s="12" t="n"/>
      <c r="AA1357" s="12" t="n"/>
      <c r="AI1357" s="12" t="n"/>
      <c r="AJ1357" s="13">
        <f>IF(LEN(TRIM(AF1357))=0,"",HYPERLINK("https://www.google.com/maps/@?api=1&amp;map_action=pano&amp;viewpoint="&amp;SUBSTITUTE(AF1357," ",""),"Abrir Street View"))</f>
        <v/>
      </c>
    </row>
    <row r="1358">
      <c r="H1358" s="6" t="n"/>
      <c r="I1358" s="6" t="n"/>
      <c r="M1358" s="7" t="n"/>
      <c r="N1358" s="7" t="n"/>
      <c r="O1358" s="7" t="n"/>
      <c r="Q1358" s="7" t="n"/>
      <c r="R1358" s="7" t="n"/>
      <c r="S1358" s="8">
        <f>IF(NOT(ISNUMBER(M1358)),"",IF(G1358="Terreno",IF(AND(ISNUMBER(I1358),I1358&gt;0),M1358/I1358,""),IF(AND(ISNUMBER(H1358),H1358&gt;0),M1358/H1358,"")))</f>
        <v/>
      </c>
      <c r="T1358" s="9">
        <f>IF(AND(ISNUMBER(M1358),ISNUMBER(O1358)),IF(M1358&lt;=O1358,"Valor ≤ venal IPTU",""),"")</f>
        <v/>
      </c>
      <c r="U1358" s="10">
        <f>IF(AND(ISNUMBER(M1358),ISNUMBER(N1358)),IF(N1358&gt;0,M1358/N1358,""),"")</f>
        <v/>
      </c>
      <c r="V1358" s="10">
        <f>IF(AND(ISNUMBER(M1358),ISNUMBER(O1358)),IF(O1358&gt;0,M1358/O1358,""),"")</f>
        <v/>
      </c>
      <c r="W1358" s="10">
        <f>IF(AND(ISNUMBER(M1358),ISNUMBER(R1358)),IF(R1358&gt;0,M1358/R1358,""),"")</f>
        <v/>
      </c>
      <c r="X1358" s="10">
        <f>IF(AND(ISNUMBER(Q1358),ISNUMBER(M1358)),IF(M1358&gt;0,Q1358/M1358,""),"")</f>
        <v/>
      </c>
      <c r="Y1358" s="11">
        <f>IF(ISNUMBER(Z1358),YEAR(Z1358),"")</f>
        <v/>
      </c>
      <c r="Z1358" s="12" t="n"/>
      <c r="AA1358" s="12" t="n"/>
      <c r="AI1358" s="12" t="n"/>
      <c r="AJ1358" s="13">
        <f>IF(LEN(TRIM(AF1358))=0,"",HYPERLINK("https://www.google.com/maps/@?api=1&amp;map_action=pano&amp;viewpoint="&amp;SUBSTITUTE(AF1358," ",""),"Abrir Street View"))</f>
        <v/>
      </c>
    </row>
    <row r="1359">
      <c r="H1359" s="6" t="n"/>
      <c r="I1359" s="6" t="n"/>
      <c r="M1359" s="7" t="n"/>
      <c r="N1359" s="7" t="n"/>
      <c r="O1359" s="7" t="n"/>
      <c r="Q1359" s="7" t="n"/>
      <c r="R1359" s="7" t="n"/>
      <c r="S1359" s="8">
        <f>IF(NOT(ISNUMBER(M1359)),"",IF(G1359="Terreno",IF(AND(ISNUMBER(I1359),I1359&gt;0),M1359/I1359,""),IF(AND(ISNUMBER(H1359),H1359&gt;0),M1359/H1359,"")))</f>
        <v/>
      </c>
      <c r="T1359" s="9">
        <f>IF(AND(ISNUMBER(M1359),ISNUMBER(O1359)),IF(M1359&lt;=O1359,"Valor ≤ venal IPTU",""),"")</f>
        <v/>
      </c>
      <c r="U1359" s="10">
        <f>IF(AND(ISNUMBER(M1359),ISNUMBER(N1359)),IF(N1359&gt;0,M1359/N1359,""),"")</f>
        <v/>
      </c>
      <c r="V1359" s="10">
        <f>IF(AND(ISNUMBER(M1359),ISNUMBER(O1359)),IF(O1359&gt;0,M1359/O1359,""),"")</f>
        <v/>
      </c>
      <c r="W1359" s="10">
        <f>IF(AND(ISNUMBER(M1359),ISNUMBER(R1359)),IF(R1359&gt;0,M1359/R1359,""),"")</f>
        <v/>
      </c>
      <c r="X1359" s="10">
        <f>IF(AND(ISNUMBER(Q1359),ISNUMBER(M1359)),IF(M1359&gt;0,Q1359/M1359,""),"")</f>
        <v/>
      </c>
      <c r="Y1359" s="11">
        <f>IF(ISNUMBER(Z1359),YEAR(Z1359),"")</f>
        <v/>
      </c>
      <c r="Z1359" s="12" t="n"/>
      <c r="AA1359" s="12" t="n"/>
      <c r="AI1359" s="12" t="n"/>
      <c r="AJ1359" s="13">
        <f>IF(LEN(TRIM(AF1359))=0,"",HYPERLINK("https://www.google.com/maps/@?api=1&amp;map_action=pano&amp;viewpoint="&amp;SUBSTITUTE(AF1359," ",""),"Abrir Street View"))</f>
        <v/>
      </c>
    </row>
    <row r="1360">
      <c r="H1360" s="6" t="n"/>
      <c r="I1360" s="6" t="n"/>
      <c r="M1360" s="7" t="n"/>
      <c r="N1360" s="7" t="n"/>
      <c r="O1360" s="7" t="n"/>
      <c r="Q1360" s="7" t="n"/>
      <c r="R1360" s="7" t="n"/>
      <c r="S1360" s="8">
        <f>IF(NOT(ISNUMBER(M1360)),"",IF(G1360="Terreno",IF(AND(ISNUMBER(I1360),I1360&gt;0),M1360/I1360,""),IF(AND(ISNUMBER(H1360),H1360&gt;0),M1360/H1360,"")))</f>
        <v/>
      </c>
      <c r="T1360" s="9">
        <f>IF(AND(ISNUMBER(M1360),ISNUMBER(O1360)),IF(M1360&lt;=O1360,"Valor ≤ venal IPTU",""),"")</f>
        <v/>
      </c>
      <c r="U1360" s="10">
        <f>IF(AND(ISNUMBER(M1360),ISNUMBER(N1360)),IF(N1360&gt;0,M1360/N1360,""),"")</f>
        <v/>
      </c>
      <c r="V1360" s="10">
        <f>IF(AND(ISNUMBER(M1360),ISNUMBER(O1360)),IF(O1360&gt;0,M1360/O1360,""),"")</f>
        <v/>
      </c>
      <c r="W1360" s="10">
        <f>IF(AND(ISNUMBER(M1360),ISNUMBER(R1360)),IF(R1360&gt;0,M1360/R1360,""),"")</f>
        <v/>
      </c>
      <c r="X1360" s="10">
        <f>IF(AND(ISNUMBER(Q1360),ISNUMBER(M1360)),IF(M1360&gt;0,Q1360/M1360,""),"")</f>
        <v/>
      </c>
      <c r="Y1360" s="11">
        <f>IF(ISNUMBER(Z1360),YEAR(Z1360),"")</f>
        <v/>
      </c>
      <c r="Z1360" s="12" t="n"/>
      <c r="AA1360" s="12" t="n"/>
      <c r="AI1360" s="12" t="n"/>
      <c r="AJ1360" s="13">
        <f>IF(LEN(TRIM(AF1360))=0,"",HYPERLINK("https://www.google.com/maps/@?api=1&amp;map_action=pano&amp;viewpoint="&amp;SUBSTITUTE(AF1360," ",""),"Abrir Street View"))</f>
        <v/>
      </c>
    </row>
    <row r="1361">
      <c r="H1361" s="6" t="n"/>
      <c r="I1361" s="6" t="n"/>
      <c r="M1361" s="7" t="n"/>
      <c r="N1361" s="7" t="n"/>
      <c r="O1361" s="7" t="n"/>
      <c r="Q1361" s="7" t="n"/>
      <c r="R1361" s="7" t="n"/>
      <c r="S1361" s="8">
        <f>IF(NOT(ISNUMBER(M1361)),"",IF(G1361="Terreno",IF(AND(ISNUMBER(I1361),I1361&gt;0),M1361/I1361,""),IF(AND(ISNUMBER(H1361),H1361&gt;0),M1361/H1361,"")))</f>
        <v/>
      </c>
      <c r="T1361" s="9">
        <f>IF(AND(ISNUMBER(M1361),ISNUMBER(O1361)),IF(M1361&lt;=O1361,"Valor ≤ venal IPTU",""),"")</f>
        <v/>
      </c>
      <c r="U1361" s="10">
        <f>IF(AND(ISNUMBER(M1361),ISNUMBER(N1361)),IF(N1361&gt;0,M1361/N1361,""),"")</f>
        <v/>
      </c>
      <c r="V1361" s="10">
        <f>IF(AND(ISNUMBER(M1361),ISNUMBER(O1361)),IF(O1361&gt;0,M1361/O1361,""),"")</f>
        <v/>
      </c>
      <c r="W1361" s="10">
        <f>IF(AND(ISNUMBER(M1361),ISNUMBER(R1361)),IF(R1361&gt;0,M1361/R1361,""),"")</f>
        <v/>
      </c>
      <c r="X1361" s="10">
        <f>IF(AND(ISNUMBER(Q1361),ISNUMBER(M1361)),IF(M1361&gt;0,Q1361/M1361,""),"")</f>
        <v/>
      </c>
      <c r="Y1361" s="11">
        <f>IF(ISNUMBER(Z1361),YEAR(Z1361),"")</f>
        <v/>
      </c>
      <c r="Z1361" s="12" t="n"/>
      <c r="AA1361" s="12" t="n"/>
      <c r="AI1361" s="12" t="n"/>
      <c r="AJ1361" s="13">
        <f>IF(LEN(TRIM(AF1361))=0,"",HYPERLINK("https://www.google.com/maps/@?api=1&amp;map_action=pano&amp;viewpoint="&amp;SUBSTITUTE(AF1361," ",""),"Abrir Street View"))</f>
        <v/>
      </c>
    </row>
    <row r="1362">
      <c r="H1362" s="6" t="n"/>
      <c r="I1362" s="6" t="n"/>
      <c r="M1362" s="7" t="n"/>
      <c r="N1362" s="7" t="n"/>
      <c r="O1362" s="7" t="n"/>
      <c r="Q1362" s="7" t="n"/>
      <c r="R1362" s="7" t="n"/>
      <c r="S1362" s="8">
        <f>IF(NOT(ISNUMBER(M1362)),"",IF(G1362="Terreno",IF(AND(ISNUMBER(I1362),I1362&gt;0),M1362/I1362,""),IF(AND(ISNUMBER(H1362),H1362&gt;0),M1362/H1362,"")))</f>
        <v/>
      </c>
      <c r="T1362" s="9">
        <f>IF(AND(ISNUMBER(M1362),ISNUMBER(O1362)),IF(M1362&lt;=O1362,"Valor ≤ venal IPTU",""),"")</f>
        <v/>
      </c>
      <c r="U1362" s="10">
        <f>IF(AND(ISNUMBER(M1362),ISNUMBER(N1362)),IF(N1362&gt;0,M1362/N1362,""),"")</f>
        <v/>
      </c>
      <c r="V1362" s="10">
        <f>IF(AND(ISNUMBER(M1362),ISNUMBER(O1362)),IF(O1362&gt;0,M1362/O1362,""),"")</f>
        <v/>
      </c>
      <c r="W1362" s="10">
        <f>IF(AND(ISNUMBER(M1362),ISNUMBER(R1362)),IF(R1362&gt;0,M1362/R1362,""),"")</f>
        <v/>
      </c>
      <c r="X1362" s="10">
        <f>IF(AND(ISNUMBER(Q1362),ISNUMBER(M1362)),IF(M1362&gt;0,Q1362/M1362,""),"")</f>
        <v/>
      </c>
      <c r="Y1362" s="11">
        <f>IF(ISNUMBER(Z1362),YEAR(Z1362),"")</f>
        <v/>
      </c>
      <c r="Z1362" s="12" t="n"/>
      <c r="AA1362" s="12" t="n"/>
      <c r="AI1362" s="12" t="n"/>
      <c r="AJ1362" s="13">
        <f>IF(LEN(TRIM(AF1362))=0,"",HYPERLINK("https://www.google.com/maps/@?api=1&amp;map_action=pano&amp;viewpoint="&amp;SUBSTITUTE(AF1362," ",""),"Abrir Street View"))</f>
        <v/>
      </c>
    </row>
    <row r="1363">
      <c r="H1363" s="6" t="n"/>
      <c r="I1363" s="6" t="n"/>
      <c r="M1363" s="7" t="n"/>
      <c r="N1363" s="7" t="n"/>
      <c r="O1363" s="7" t="n"/>
      <c r="Q1363" s="7" t="n"/>
      <c r="R1363" s="7" t="n"/>
      <c r="S1363" s="8">
        <f>IF(NOT(ISNUMBER(M1363)),"",IF(G1363="Terreno",IF(AND(ISNUMBER(I1363),I1363&gt;0),M1363/I1363,""),IF(AND(ISNUMBER(H1363),H1363&gt;0),M1363/H1363,"")))</f>
        <v/>
      </c>
      <c r="T1363" s="9">
        <f>IF(AND(ISNUMBER(M1363),ISNUMBER(O1363)),IF(M1363&lt;=O1363,"Valor ≤ venal IPTU",""),"")</f>
        <v/>
      </c>
      <c r="U1363" s="10">
        <f>IF(AND(ISNUMBER(M1363),ISNUMBER(N1363)),IF(N1363&gt;0,M1363/N1363,""),"")</f>
        <v/>
      </c>
      <c r="V1363" s="10">
        <f>IF(AND(ISNUMBER(M1363),ISNUMBER(O1363)),IF(O1363&gt;0,M1363/O1363,""),"")</f>
        <v/>
      </c>
      <c r="W1363" s="10">
        <f>IF(AND(ISNUMBER(M1363),ISNUMBER(R1363)),IF(R1363&gt;0,M1363/R1363,""),"")</f>
        <v/>
      </c>
      <c r="X1363" s="10">
        <f>IF(AND(ISNUMBER(Q1363),ISNUMBER(M1363)),IF(M1363&gt;0,Q1363/M1363,""),"")</f>
        <v/>
      </c>
      <c r="Y1363" s="11">
        <f>IF(ISNUMBER(Z1363),YEAR(Z1363),"")</f>
        <v/>
      </c>
      <c r="Z1363" s="12" t="n"/>
      <c r="AA1363" s="12" t="n"/>
      <c r="AI1363" s="12" t="n"/>
      <c r="AJ1363" s="13">
        <f>IF(LEN(TRIM(AF1363))=0,"",HYPERLINK("https://www.google.com/maps/@?api=1&amp;map_action=pano&amp;viewpoint="&amp;SUBSTITUTE(AF1363," ",""),"Abrir Street View"))</f>
        <v/>
      </c>
    </row>
    <row r="1364">
      <c r="H1364" s="6" t="n"/>
      <c r="I1364" s="6" t="n"/>
      <c r="M1364" s="7" t="n"/>
      <c r="N1364" s="7" t="n"/>
      <c r="O1364" s="7" t="n"/>
      <c r="Q1364" s="7" t="n"/>
      <c r="R1364" s="7" t="n"/>
      <c r="S1364" s="8">
        <f>IF(NOT(ISNUMBER(M1364)),"",IF(G1364="Terreno",IF(AND(ISNUMBER(I1364),I1364&gt;0),M1364/I1364,""),IF(AND(ISNUMBER(H1364),H1364&gt;0),M1364/H1364,"")))</f>
        <v/>
      </c>
      <c r="T1364" s="9">
        <f>IF(AND(ISNUMBER(M1364),ISNUMBER(O1364)),IF(M1364&lt;=O1364,"Valor ≤ venal IPTU",""),"")</f>
        <v/>
      </c>
      <c r="U1364" s="10">
        <f>IF(AND(ISNUMBER(M1364),ISNUMBER(N1364)),IF(N1364&gt;0,M1364/N1364,""),"")</f>
        <v/>
      </c>
      <c r="V1364" s="10">
        <f>IF(AND(ISNUMBER(M1364),ISNUMBER(O1364)),IF(O1364&gt;0,M1364/O1364,""),"")</f>
        <v/>
      </c>
      <c r="W1364" s="10">
        <f>IF(AND(ISNUMBER(M1364),ISNUMBER(R1364)),IF(R1364&gt;0,M1364/R1364,""),"")</f>
        <v/>
      </c>
      <c r="X1364" s="10">
        <f>IF(AND(ISNUMBER(Q1364),ISNUMBER(M1364)),IF(M1364&gt;0,Q1364/M1364,""),"")</f>
        <v/>
      </c>
      <c r="Y1364" s="11">
        <f>IF(ISNUMBER(Z1364),YEAR(Z1364),"")</f>
        <v/>
      </c>
      <c r="Z1364" s="12" t="n"/>
      <c r="AA1364" s="12" t="n"/>
      <c r="AI1364" s="12" t="n"/>
      <c r="AJ1364" s="13">
        <f>IF(LEN(TRIM(AF1364))=0,"",HYPERLINK("https://www.google.com/maps/@?api=1&amp;map_action=pano&amp;viewpoint="&amp;SUBSTITUTE(AF1364," ",""),"Abrir Street View"))</f>
        <v/>
      </c>
    </row>
    <row r="1365">
      <c r="H1365" s="6" t="n"/>
      <c r="I1365" s="6" t="n"/>
      <c r="M1365" s="7" t="n"/>
      <c r="N1365" s="7" t="n"/>
      <c r="O1365" s="7" t="n"/>
      <c r="Q1365" s="7" t="n"/>
      <c r="R1365" s="7" t="n"/>
      <c r="S1365" s="8">
        <f>IF(NOT(ISNUMBER(M1365)),"",IF(G1365="Terreno",IF(AND(ISNUMBER(I1365),I1365&gt;0),M1365/I1365,""),IF(AND(ISNUMBER(H1365),H1365&gt;0),M1365/H1365,"")))</f>
        <v/>
      </c>
      <c r="T1365" s="9">
        <f>IF(AND(ISNUMBER(M1365),ISNUMBER(O1365)),IF(M1365&lt;=O1365,"Valor ≤ venal IPTU",""),"")</f>
        <v/>
      </c>
      <c r="U1365" s="10">
        <f>IF(AND(ISNUMBER(M1365),ISNUMBER(N1365)),IF(N1365&gt;0,M1365/N1365,""),"")</f>
        <v/>
      </c>
      <c r="V1365" s="10">
        <f>IF(AND(ISNUMBER(M1365),ISNUMBER(O1365)),IF(O1365&gt;0,M1365/O1365,""),"")</f>
        <v/>
      </c>
      <c r="W1365" s="10">
        <f>IF(AND(ISNUMBER(M1365),ISNUMBER(R1365)),IF(R1365&gt;0,M1365/R1365,""),"")</f>
        <v/>
      </c>
      <c r="X1365" s="10">
        <f>IF(AND(ISNUMBER(Q1365),ISNUMBER(M1365)),IF(M1365&gt;0,Q1365/M1365,""),"")</f>
        <v/>
      </c>
      <c r="Y1365" s="11">
        <f>IF(ISNUMBER(Z1365),YEAR(Z1365),"")</f>
        <v/>
      </c>
      <c r="Z1365" s="12" t="n"/>
      <c r="AA1365" s="12" t="n"/>
      <c r="AI1365" s="12" t="n"/>
      <c r="AJ1365" s="13">
        <f>IF(LEN(TRIM(AF1365))=0,"",HYPERLINK("https://www.google.com/maps/@?api=1&amp;map_action=pano&amp;viewpoint="&amp;SUBSTITUTE(AF1365," ",""),"Abrir Street View"))</f>
        <v/>
      </c>
    </row>
    <row r="1366">
      <c r="H1366" s="6" t="n"/>
      <c r="I1366" s="6" t="n"/>
      <c r="M1366" s="7" t="n"/>
      <c r="N1366" s="7" t="n"/>
      <c r="O1366" s="7" t="n"/>
      <c r="Q1366" s="7" t="n"/>
      <c r="R1366" s="7" t="n"/>
      <c r="S1366" s="8">
        <f>IF(NOT(ISNUMBER(M1366)),"",IF(G1366="Terreno",IF(AND(ISNUMBER(I1366),I1366&gt;0),M1366/I1366,""),IF(AND(ISNUMBER(H1366),H1366&gt;0),M1366/H1366,"")))</f>
        <v/>
      </c>
      <c r="T1366" s="9">
        <f>IF(AND(ISNUMBER(M1366),ISNUMBER(O1366)),IF(M1366&lt;=O1366,"Valor ≤ venal IPTU",""),"")</f>
        <v/>
      </c>
      <c r="U1366" s="10">
        <f>IF(AND(ISNUMBER(M1366),ISNUMBER(N1366)),IF(N1366&gt;0,M1366/N1366,""),"")</f>
        <v/>
      </c>
      <c r="V1366" s="10">
        <f>IF(AND(ISNUMBER(M1366),ISNUMBER(O1366)),IF(O1366&gt;0,M1366/O1366,""),"")</f>
        <v/>
      </c>
      <c r="W1366" s="10">
        <f>IF(AND(ISNUMBER(M1366),ISNUMBER(R1366)),IF(R1366&gt;0,M1366/R1366,""),"")</f>
        <v/>
      </c>
      <c r="X1366" s="10">
        <f>IF(AND(ISNUMBER(Q1366),ISNUMBER(M1366)),IF(M1366&gt;0,Q1366/M1366,""),"")</f>
        <v/>
      </c>
      <c r="Y1366" s="11">
        <f>IF(ISNUMBER(Z1366),YEAR(Z1366),"")</f>
        <v/>
      </c>
      <c r="Z1366" s="12" t="n"/>
      <c r="AA1366" s="12" t="n"/>
      <c r="AI1366" s="12" t="n"/>
      <c r="AJ1366" s="13">
        <f>IF(LEN(TRIM(AF1366))=0,"",HYPERLINK("https://www.google.com/maps/@?api=1&amp;map_action=pano&amp;viewpoint="&amp;SUBSTITUTE(AF1366," ",""),"Abrir Street View"))</f>
        <v/>
      </c>
    </row>
    <row r="1367">
      <c r="H1367" s="6" t="n"/>
      <c r="I1367" s="6" t="n"/>
      <c r="M1367" s="7" t="n"/>
      <c r="N1367" s="7" t="n"/>
      <c r="O1367" s="7" t="n"/>
      <c r="Q1367" s="7" t="n"/>
      <c r="R1367" s="7" t="n"/>
      <c r="S1367" s="8">
        <f>IF(NOT(ISNUMBER(M1367)),"",IF(G1367="Terreno",IF(AND(ISNUMBER(I1367),I1367&gt;0),M1367/I1367,""),IF(AND(ISNUMBER(H1367),H1367&gt;0),M1367/H1367,"")))</f>
        <v/>
      </c>
      <c r="T1367" s="9">
        <f>IF(AND(ISNUMBER(M1367),ISNUMBER(O1367)),IF(M1367&lt;=O1367,"Valor ≤ venal IPTU",""),"")</f>
        <v/>
      </c>
      <c r="U1367" s="10">
        <f>IF(AND(ISNUMBER(M1367),ISNUMBER(N1367)),IF(N1367&gt;0,M1367/N1367,""),"")</f>
        <v/>
      </c>
      <c r="V1367" s="10">
        <f>IF(AND(ISNUMBER(M1367),ISNUMBER(O1367)),IF(O1367&gt;0,M1367/O1367,""),"")</f>
        <v/>
      </c>
      <c r="W1367" s="10">
        <f>IF(AND(ISNUMBER(M1367),ISNUMBER(R1367)),IF(R1367&gt;0,M1367/R1367,""),"")</f>
        <v/>
      </c>
      <c r="X1367" s="10">
        <f>IF(AND(ISNUMBER(Q1367),ISNUMBER(M1367)),IF(M1367&gt;0,Q1367/M1367,""),"")</f>
        <v/>
      </c>
      <c r="Y1367" s="11">
        <f>IF(ISNUMBER(Z1367),YEAR(Z1367),"")</f>
        <v/>
      </c>
      <c r="Z1367" s="12" t="n"/>
      <c r="AA1367" s="12" t="n"/>
      <c r="AI1367" s="12" t="n"/>
      <c r="AJ1367" s="13">
        <f>IF(LEN(TRIM(AF1367))=0,"",HYPERLINK("https://www.google.com/maps/@?api=1&amp;map_action=pano&amp;viewpoint="&amp;SUBSTITUTE(AF1367," ",""),"Abrir Street View"))</f>
        <v/>
      </c>
    </row>
    <row r="1368">
      <c r="H1368" s="6" t="n"/>
      <c r="I1368" s="6" t="n"/>
      <c r="M1368" s="7" t="n"/>
      <c r="N1368" s="7" t="n"/>
      <c r="O1368" s="7" t="n"/>
      <c r="Q1368" s="7" t="n"/>
      <c r="R1368" s="7" t="n"/>
      <c r="S1368" s="8">
        <f>IF(NOT(ISNUMBER(M1368)),"",IF(G1368="Terreno",IF(AND(ISNUMBER(I1368),I1368&gt;0),M1368/I1368,""),IF(AND(ISNUMBER(H1368),H1368&gt;0),M1368/H1368,"")))</f>
        <v/>
      </c>
      <c r="T1368" s="9">
        <f>IF(AND(ISNUMBER(M1368),ISNUMBER(O1368)),IF(M1368&lt;=O1368,"Valor ≤ venal IPTU",""),"")</f>
        <v/>
      </c>
      <c r="U1368" s="10">
        <f>IF(AND(ISNUMBER(M1368),ISNUMBER(N1368)),IF(N1368&gt;0,M1368/N1368,""),"")</f>
        <v/>
      </c>
      <c r="V1368" s="10">
        <f>IF(AND(ISNUMBER(M1368),ISNUMBER(O1368)),IF(O1368&gt;0,M1368/O1368,""),"")</f>
        <v/>
      </c>
      <c r="W1368" s="10">
        <f>IF(AND(ISNUMBER(M1368),ISNUMBER(R1368)),IF(R1368&gt;0,M1368/R1368,""),"")</f>
        <v/>
      </c>
      <c r="X1368" s="10">
        <f>IF(AND(ISNUMBER(Q1368),ISNUMBER(M1368)),IF(M1368&gt;0,Q1368/M1368,""),"")</f>
        <v/>
      </c>
      <c r="Y1368" s="11">
        <f>IF(ISNUMBER(Z1368),YEAR(Z1368),"")</f>
        <v/>
      </c>
      <c r="Z1368" s="12" t="n"/>
      <c r="AA1368" s="12" t="n"/>
      <c r="AI1368" s="12" t="n"/>
      <c r="AJ1368" s="13">
        <f>IF(LEN(TRIM(AF1368))=0,"",HYPERLINK("https://www.google.com/maps/@?api=1&amp;map_action=pano&amp;viewpoint="&amp;SUBSTITUTE(AF1368," ",""),"Abrir Street View"))</f>
        <v/>
      </c>
    </row>
    <row r="1369">
      <c r="H1369" s="6" t="n"/>
      <c r="I1369" s="6" t="n"/>
      <c r="M1369" s="7" t="n"/>
      <c r="N1369" s="7" t="n"/>
      <c r="O1369" s="7" t="n"/>
      <c r="Q1369" s="7" t="n"/>
      <c r="R1369" s="7" t="n"/>
      <c r="S1369" s="8">
        <f>IF(NOT(ISNUMBER(M1369)),"",IF(G1369="Terreno",IF(AND(ISNUMBER(I1369),I1369&gt;0),M1369/I1369,""),IF(AND(ISNUMBER(H1369),H1369&gt;0),M1369/H1369,"")))</f>
        <v/>
      </c>
      <c r="T1369" s="9">
        <f>IF(AND(ISNUMBER(M1369),ISNUMBER(O1369)),IF(M1369&lt;=O1369,"Valor ≤ venal IPTU",""),"")</f>
        <v/>
      </c>
      <c r="U1369" s="10">
        <f>IF(AND(ISNUMBER(M1369),ISNUMBER(N1369)),IF(N1369&gt;0,M1369/N1369,""),"")</f>
        <v/>
      </c>
      <c r="V1369" s="10">
        <f>IF(AND(ISNUMBER(M1369),ISNUMBER(O1369)),IF(O1369&gt;0,M1369/O1369,""),"")</f>
        <v/>
      </c>
      <c r="W1369" s="10">
        <f>IF(AND(ISNUMBER(M1369),ISNUMBER(R1369)),IF(R1369&gt;0,M1369/R1369,""),"")</f>
        <v/>
      </c>
      <c r="X1369" s="10">
        <f>IF(AND(ISNUMBER(Q1369),ISNUMBER(M1369)),IF(M1369&gt;0,Q1369/M1369,""),"")</f>
        <v/>
      </c>
      <c r="Y1369" s="11">
        <f>IF(ISNUMBER(Z1369),YEAR(Z1369),"")</f>
        <v/>
      </c>
      <c r="Z1369" s="12" t="n"/>
      <c r="AA1369" s="12" t="n"/>
      <c r="AI1369" s="12" t="n"/>
      <c r="AJ1369" s="13">
        <f>IF(LEN(TRIM(AF1369))=0,"",HYPERLINK("https://www.google.com/maps/@?api=1&amp;map_action=pano&amp;viewpoint="&amp;SUBSTITUTE(AF1369," ",""),"Abrir Street View"))</f>
        <v/>
      </c>
    </row>
    <row r="1370">
      <c r="H1370" s="6" t="n"/>
      <c r="I1370" s="6" t="n"/>
      <c r="M1370" s="7" t="n"/>
      <c r="N1370" s="7" t="n"/>
      <c r="O1370" s="7" t="n"/>
      <c r="Q1370" s="7" t="n"/>
      <c r="R1370" s="7" t="n"/>
      <c r="S1370" s="8">
        <f>IF(NOT(ISNUMBER(M1370)),"",IF(G1370="Terreno",IF(AND(ISNUMBER(I1370),I1370&gt;0),M1370/I1370,""),IF(AND(ISNUMBER(H1370),H1370&gt;0),M1370/H1370,"")))</f>
        <v/>
      </c>
      <c r="T1370" s="9">
        <f>IF(AND(ISNUMBER(M1370),ISNUMBER(O1370)),IF(M1370&lt;=O1370,"Valor ≤ venal IPTU",""),"")</f>
        <v/>
      </c>
      <c r="U1370" s="10">
        <f>IF(AND(ISNUMBER(M1370),ISNUMBER(N1370)),IF(N1370&gt;0,M1370/N1370,""),"")</f>
        <v/>
      </c>
      <c r="V1370" s="10">
        <f>IF(AND(ISNUMBER(M1370),ISNUMBER(O1370)),IF(O1370&gt;0,M1370/O1370,""),"")</f>
        <v/>
      </c>
      <c r="W1370" s="10">
        <f>IF(AND(ISNUMBER(M1370),ISNUMBER(R1370)),IF(R1370&gt;0,M1370/R1370,""),"")</f>
        <v/>
      </c>
      <c r="X1370" s="10">
        <f>IF(AND(ISNUMBER(Q1370),ISNUMBER(M1370)),IF(M1370&gt;0,Q1370/M1370,""),"")</f>
        <v/>
      </c>
      <c r="Y1370" s="11">
        <f>IF(ISNUMBER(Z1370),YEAR(Z1370),"")</f>
        <v/>
      </c>
      <c r="Z1370" s="12" t="n"/>
      <c r="AA1370" s="12" t="n"/>
      <c r="AI1370" s="12" t="n"/>
      <c r="AJ1370" s="13">
        <f>IF(LEN(TRIM(AF1370))=0,"",HYPERLINK("https://www.google.com/maps/@?api=1&amp;map_action=pano&amp;viewpoint="&amp;SUBSTITUTE(AF1370," ",""),"Abrir Street View"))</f>
        <v/>
      </c>
    </row>
    <row r="1371">
      <c r="H1371" s="6" t="n"/>
      <c r="I1371" s="6" t="n"/>
      <c r="M1371" s="7" t="n"/>
      <c r="N1371" s="7" t="n"/>
      <c r="O1371" s="7" t="n"/>
      <c r="Q1371" s="7" t="n"/>
      <c r="R1371" s="7" t="n"/>
      <c r="S1371" s="8">
        <f>IF(NOT(ISNUMBER(M1371)),"",IF(G1371="Terreno",IF(AND(ISNUMBER(I1371),I1371&gt;0),M1371/I1371,""),IF(AND(ISNUMBER(H1371),H1371&gt;0),M1371/H1371,"")))</f>
        <v/>
      </c>
      <c r="T1371" s="9">
        <f>IF(AND(ISNUMBER(M1371),ISNUMBER(O1371)),IF(M1371&lt;=O1371,"Valor ≤ venal IPTU",""),"")</f>
        <v/>
      </c>
      <c r="U1371" s="10">
        <f>IF(AND(ISNUMBER(M1371),ISNUMBER(N1371)),IF(N1371&gt;0,M1371/N1371,""),"")</f>
        <v/>
      </c>
      <c r="V1371" s="10">
        <f>IF(AND(ISNUMBER(M1371),ISNUMBER(O1371)),IF(O1371&gt;0,M1371/O1371,""),"")</f>
        <v/>
      </c>
      <c r="W1371" s="10">
        <f>IF(AND(ISNUMBER(M1371),ISNUMBER(R1371)),IF(R1371&gt;0,M1371/R1371,""),"")</f>
        <v/>
      </c>
      <c r="X1371" s="10">
        <f>IF(AND(ISNUMBER(Q1371),ISNUMBER(M1371)),IF(M1371&gt;0,Q1371/M1371,""),"")</f>
        <v/>
      </c>
      <c r="Y1371" s="11">
        <f>IF(ISNUMBER(Z1371),YEAR(Z1371),"")</f>
        <v/>
      </c>
      <c r="Z1371" s="12" t="n"/>
      <c r="AA1371" s="12" t="n"/>
      <c r="AI1371" s="12" t="n"/>
      <c r="AJ1371" s="13">
        <f>IF(LEN(TRIM(AF1371))=0,"",HYPERLINK("https://www.google.com/maps/@?api=1&amp;map_action=pano&amp;viewpoint="&amp;SUBSTITUTE(AF1371," ",""),"Abrir Street View"))</f>
        <v/>
      </c>
    </row>
    <row r="1372">
      <c r="H1372" s="6" t="n"/>
      <c r="I1372" s="6" t="n"/>
      <c r="M1372" s="7" t="n"/>
      <c r="N1372" s="7" t="n"/>
      <c r="O1372" s="7" t="n"/>
      <c r="Q1372" s="7" t="n"/>
      <c r="R1372" s="7" t="n"/>
      <c r="S1372" s="8">
        <f>IF(NOT(ISNUMBER(M1372)),"",IF(G1372="Terreno",IF(AND(ISNUMBER(I1372),I1372&gt;0),M1372/I1372,""),IF(AND(ISNUMBER(H1372),H1372&gt;0),M1372/H1372,"")))</f>
        <v/>
      </c>
      <c r="T1372" s="9">
        <f>IF(AND(ISNUMBER(M1372),ISNUMBER(O1372)),IF(M1372&lt;=O1372,"Valor ≤ venal IPTU",""),"")</f>
        <v/>
      </c>
      <c r="U1372" s="10">
        <f>IF(AND(ISNUMBER(M1372),ISNUMBER(N1372)),IF(N1372&gt;0,M1372/N1372,""),"")</f>
        <v/>
      </c>
      <c r="V1372" s="10">
        <f>IF(AND(ISNUMBER(M1372),ISNUMBER(O1372)),IF(O1372&gt;0,M1372/O1372,""),"")</f>
        <v/>
      </c>
      <c r="W1372" s="10">
        <f>IF(AND(ISNUMBER(M1372),ISNUMBER(R1372)),IF(R1372&gt;0,M1372/R1372,""),"")</f>
        <v/>
      </c>
      <c r="X1372" s="10">
        <f>IF(AND(ISNUMBER(Q1372),ISNUMBER(M1372)),IF(M1372&gt;0,Q1372/M1372,""),"")</f>
        <v/>
      </c>
      <c r="Y1372" s="11">
        <f>IF(ISNUMBER(Z1372),YEAR(Z1372),"")</f>
        <v/>
      </c>
      <c r="Z1372" s="12" t="n"/>
      <c r="AA1372" s="12" t="n"/>
      <c r="AI1372" s="12" t="n"/>
      <c r="AJ1372" s="13">
        <f>IF(LEN(TRIM(AF1372))=0,"",HYPERLINK("https://www.google.com/maps/@?api=1&amp;map_action=pano&amp;viewpoint="&amp;SUBSTITUTE(AF1372," ",""),"Abrir Street View"))</f>
        <v/>
      </c>
    </row>
    <row r="1373">
      <c r="H1373" s="6" t="n"/>
      <c r="I1373" s="6" t="n"/>
      <c r="M1373" s="7" t="n"/>
      <c r="N1373" s="7" t="n"/>
      <c r="O1373" s="7" t="n"/>
      <c r="Q1373" s="7" t="n"/>
      <c r="R1373" s="7" t="n"/>
      <c r="S1373" s="8">
        <f>IF(NOT(ISNUMBER(M1373)),"",IF(G1373="Terreno",IF(AND(ISNUMBER(I1373),I1373&gt;0),M1373/I1373,""),IF(AND(ISNUMBER(H1373),H1373&gt;0),M1373/H1373,"")))</f>
        <v/>
      </c>
      <c r="T1373" s="9">
        <f>IF(AND(ISNUMBER(M1373),ISNUMBER(O1373)),IF(M1373&lt;=O1373,"Valor ≤ venal IPTU",""),"")</f>
        <v/>
      </c>
      <c r="U1373" s="10">
        <f>IF(AND(ISNUMBER(M1373),ISNUMBER(N1373)),IF(N1373&gt;0,M1373/N1373,""),"")</f>
        <v/>
      </c>
      <c r="V1373" s="10">
        <f>IF(AND(ISNUMBER(M1373),ISNUMBER(O1373)),IF(O1373&gt;0,M1373/O1373,""),"")</f>
        <v/>
      </c>
      <c r="W1373" s="10">
        <f>IF(AND(ISNUMBER(M1373),ISNUMBER(R1373)),IF(R1373&gt;0,M1373/R1373,""),"")</f>
        <v/>
      </c>
      <c r="X1373" s="10">
        <f>IF(AND(ISNUMBER(Q1373),ISNUMBER(M1373)),IF(M1373&gt;0,Q1373/M1373,""),"")</f>
        <v/>
      </c>
      <c r="Y1373" s="11">
        <f>IF(ISNUMBER(Z1373),YEAR(Z1373),"")</f>
        <v/>
      </c>
      <c r="Z1373" s="12" t="n"/>
      <c r="AA1373" s="12" t="n"/>
      <c r="AI1373" s="12" t="n"/>
      <c r="AJ1373" s="13">
        <f>IF(LEN(TRIM(AF1373))=0,"",HYPERLINK("https://www.google.com/maps/@?api=1&amp;map_action=pano&amp;viewpoint="&amp;SUBSTITUTE(AF1373," ",""),"Abrir Street View"))</f>
        <v/>
      </c>
    </row>
    <row r="1374">
      <c r="H1374" s="6" t="n"/>
      <c r="I1374" s="6" t="n"/>
      <c r="M1374" s="7" t="n"/>
      <c r="N1374" s="7" t="n"/>
      <c r="O1374" s="7" t="n"/>
      <c r="Q1374" s="7" t="n"/>
      <c r="R1374" s="7" t="n"/>
      <c r="S1374" s="8">
        <f>IF(NOT(ISNUMBER(M1374)),"",IF(G1374="Terreno",IF(AND(ISNUMBER(I1374),I1374&gt;0),M1374/I1374,""),IF(AND(ISNUMBER(H1374),H1374&gt;0),M1374/H1374,"")))</f>
        <v/>
      </c>
      <c r="T1374" s="9">
        <f>IF(AND(ISNUMBER(M1374),ISNUMBER(O1374)),IF(M1374&lt;=O1374,"Valor ≤ venal IPTU",""),"")</f>
        <v/>
      </c>
      <c r="U1374" s="10">
        <f>IF(AND(ISNUMBER(M1374),ISNUMBER(N1374)),IF(N1374&gt;0,M1374/N1374,""),"")</f>
        <v/>
      </c>
      <c r="V1374" s="10">
        <f>IF(AND(ISNUMBER(M1374),ISNUMBER(O1374)),IF(O1374&gt;0,M1374/O1374,""),"")</f>
        <v/>
      </c>
      <c r="W1374" s="10">
        <f>IF(AND(ISNUMBER(M1374),ISNUMBER(R1374)),IF(R1374&gt;0,M1374/R1374,""),"")</f>
        <v/>
      </c>
      <c r="X1374" s="10">
        <f>IF(AND(ISNUMBER(Q1374),ISNUMBER(M1374)),IF(M1374&gt;0,Q1374/M1374,""),"")</f>
        <v/>
      </c>
      <c r="Y1374" s="11">
        <f>IF(ISNUMBER(Z1374),YEAR(Z1374),"")</f>
        <v/>
      </c>
      <c r="Z1374" s="12" t="n"/>
      <c r="AA1374" s="12" t="n"/>
      <c r="AI1374" s="12" t="n"/>
      <c r="AJ1374" s="13">
        <f>IF(LEN(TRIM(AF1374))=0,"",HYPERLINK("https://www.google.com/maps/@?api=1&amp;map_action=pano&amp;viewpoint="&amp;SUBSTITUTE(AF1374," ",""),"Abrir Street View"))</f>
        <v/>
      </c>
    </row>
    <row r="1375">
      <c r="H1375" s="6" t="n"/>
      <c r="I1375" s="6" t="n"/>
      <c r="M1375" s="7" t="n"/>
      <c r="N1375" s="7" t="n"/>
      <c r="O1375" s="7" t="n"/>
      <c r="Q1375" s="7" t="n"/>
      <c r="R1375" s="7" t="n"/>
      <c r="S1375" s="8">
        <f>IF(NOT(ISNUMBER(M1375)),"",IF(G1375="Terreno",IF(AND(ISNUMBER(I1375),I1375&gt;0),M1375/I1375,""),IF(AND(ISNUMBER(H1375),H1375&gt;0),M1375/H1375,"")))</f>
        <v/>
      </c>
      <c r="T1375" s="9">
        <f>IF(AND(ISNUMBER(M1375),ISNUMBER(O1375)),IF(M1375&lt;=O1375,"Valor ≤ venal IPTU",""),"")</f>
        <v/>
      </c>
      <c r="U1375" s="10">
        <f>IF(AND(ISNUMBER(M1375),ISNUMBER(N1375)),IF(N1375&gt;0,M1375/N1375,""),"")</f>
        <v/>
      </c>
      <c r="V1375" s="10">
        <f>IF(AND(ISNUMBER(M1375),ISNUMBER(O1375)),IF(O1375&gt;0,M1375/O1375,""),"")</f>
        <v/>
      </c>
      <c r="W1375" s="10">
        <f>IF(AND(ISNUMBER(M1375),ISNUMBER(R1375)),IF(R1375&gt;0,M1375/R1375,""),"")</f>
        <v/>
      </c>
      <c r="X1375" s="10">
        <f>IF(AND(ISNUMBER(Q1375),ISNUMBER(M1375)),IF(M1375&gt;0,Q1375/M1375,""),"")</f>
        <v/>
      </c>
      <c r="Y1375" s="11">
        <f>IF(ISNUMBER(Z1375),YEAR(Z1375),"")</f>
        <v/>
      </c>
      <c r="Z1375" s="12" t="n"/>
      <c r="AA1375" s="12" t="n"/>
      <c r="AI1375" s="12" t="n"/>
      <c r="AJ1375" s="13">
        <f>IF(LEN(TRIM(AF1375))=0,"",HYPERLINK("https://www.google.com/maps/@?api=1&amp;map_action=pano&amp;viewpoint="&amp;SUBSTITUTE(AF1375," ",""),"Abrir Street View"))</f>
        <v/>
      </c>
    </row>
    <row r="1376">
      <c r="H1376" s="6" t="n"/>
      <c r="I1376" s="6" t="n"/>
      <c r="M1376" s="7" t="n"/>
      <c r="N1376" s="7" t="n"/>
      <c r="O1376" s="7" t="n"/>
      <c r="Q1376" s="7" t="n"/>
      <c r="R1376" s="7" t="n"/>
      <c r="S1376" s="8">
        <f>IF(NOT(ISNUMBER(M1376)),"",IF(G1376="Terreno",IF(AND(ISNUMBER(I1376),I1376&gt;0),M1376/I1376,""),IF(AND(ISNUMBER(H1376),H1376&gt;0),M1376/H1376,"")))</f>
        <v/>
      </c>
      <c r="T1376" s="9">
        <f>IF(AND(ISNUMBER(M1376),ISNUMBER(O1376)),IF(M1376&lt;=O1376,"Valor ≤ venal IPTU",""),"")</f>
        <v/>
      </c>
      <c r="U1376" s="10">
        <f>IF(AND(ISNUMBER(M1376),ISNUMBER(N1376)),IF(N1376&gt;0,M1376/N1376,""),"")</f>
        <v/>
      </c>
      <c r="V1376" s="10">
        <f>IF(AND(ISNUMBER(M1376),ISNUMBER(O1376)),IF(O1376&gt;0,M1376/O1376,""),"")</f>
        <v/>
      </c>
      <c r="W1376" s="10">
        <f>IF(AND(ISNUMBER(M1376),ISNUMBER(R1376)),IF(R1376&gt;0,M1376/R1376,""),"")</f>
        <v/>
      </c>
      <c r="X1376" s="10">
        <f>IF(AND(ISNUMBER(Q1376),ISNUMBER(M1376)),IF(M1376&gt;0,Q1376/M1376,""),"")</f>
        <v/>
      </c>
      <c r="Y1376" s="11">
        <f>IF(ISNUMBER(Z1376),YEAR(Z1376),"")</f>
        <v/>
      </c>
      <c r="Z1376" s="12" t="n"/>
      <c r="AA1376" s="12" t="n"/>
      <c r="AI1376" s="12" t="n"/>
      <c r="AJ1376" s="13">
        <f>IF(LEN(TRIM(AF1376))=0,"",HYPERLINK("https://www.google.com/maps/@?api=1&amp;map_action=pano&amp;viewpoint="&amp;SUBSTITUTE(AF1376," ",""),"Abrir Street View"))</f>
        <v/>
      </c>
    </row>
    <row r="1377">
      <c r="H1377" s="6" t="n"/>
      <c r="I1377" s="6" t="n"/>
      <c r="M1377" s="7" t="n"/>
      <c r="N1377" s="7" t="n"/>
      <c r="O1377" s="7" t="n"/>
      <c r="Q1377" s="7" t="n"/>
      <c r="R1377" s="7" t="n"/>
      <c r="S1377" s="8">
        <f>IF(NOT(ISNUMBER(M1377)),"",IF(G1377="Terreno",IF(AND(ISNUMBER(I1377),I1377&gt;0),M1377/I1377,""),IF(AND(ISNUMBER(H1377),H1377&gt;0),M1377/H1377,"")))</f>
        <v/>
      </c>
      <c r="T1377" s="9">
        <f>IF(AND(ISNUMBER(M1377),ISNUMBER(O1377)),IF(M1377&lt;=O1377,"Valor ≤ venal IPTU",""),"")</f>
        <v/>
      </c>
      <c r="U1377" s="10">
        <f>IF(AND(ISNUMBER(M1377),ISNUMBER(N1377)),IF(N1377&gt;0,M1377/N1377,""),"")</f>
        <v/>
      </c>
      <c r="V1377" s="10">
        <f>IF(AND(ISNUMBER(M1377),ISNUMBER(O1377)),IF(O1377&gt;0,M1377/O1377,""),"")</f>
        <v/>
      </c>
      <c r="W1377" s="10">
        <f>IF(AND(ISNUMBER(M1377),ISNUMBER(R1377)),IF(R1377&gt;0,M1377/R1377,""),"")</f>
        <v/>
      </c>
      <c r="X1377" s="10">
        <f>IF(AND(ISNUMBER(Q1377),ISNUMBER(M1377)),IF(M1377&gt;0,Q1377/M1377,""),"")</f>
        <v/>
      </c>
      <c r="Y1377" s="11">
        <f>IF(ISNUMBER(Z1377),YEAR(Z1377),"")</f>
        <v/>
      </c>
      <c r="Z1377" s="12" t="n"/>
      <c r="AA1377" s="12" t="n"/>
      <c r="AI1377" s="12" t="n"/>
      <c r="AJ1377" s="13">
        <f>IF(LEN(TRIM(AF1377))=0,"",HYPERLINK("https://www.google.com/maps/@?api=1&amp;map_action=pano&amp;viewpoint="&amp;SUBSTITUTE(AF1377," ",""),"Abrir Street View"))</f>
        <v/>
      </c>
    </row>
    <row r="1378">
      <c r="H1378" s="6" t="n"/>
      <c r="I1378" s="6" t="n"/>
      <c r="M1378" s="7" t="n"/>
      <c r="N1378" s="7" t="n"/>
      <c r="O1378" s="7" t="n"/>
      <c r="Q1378" s="7" t="n"/>
      <c r="R1378" s="7" t="n"/>
      <c r="S1378" s="8">
        <f>IF(NOT(ISNUMBER(M1378)),"",IF(G1378="Terreno",IF(AND(ISNUMBER(I1378),I1378&gt;0),M1378/I1378,""),IF(AND(ISNUMBER(H1378),H1378&gt;0),M1378/H1378,"")))</f>
        <v/>
      </c>
      <c r="T1378" s="9">
        <f>IF(AND(ISNUMBER(M1378),ISNUMBER(O1378)),IF(M1378&lt;=O1378,"Valor ≤ venal IPTU",""),"")</f>
        <v/>
      </c>
      <c r="U1378" s="10">
        <f>IF(AND(ISNUMBER(M1378),ISNUMBER(N1378)),IF(N1378&gt;0,M1378/N1378,""),"")</f>
        <v/>
      </c>
      <c r="V1378" s="10">
        <f>IF(AND(ISNUMBER(M1378),ISNUMBER(O1378)),IF(O1378&gt;0,M1378/O1378,""),"")</f>
        <v/>
      </c>
      <c r="W1378" s="10">
        <f>IF(AND(ISNUMBER(M1378),ISNUMBER(R1378)),IF(R1378&gt;0,M1378/R1378,""),"")</f>
        <v/>
      </c>
      <c r="X1378" s="10">
        <f>IF(AND(ISNUMBER(Q1378),ISNUMBER(M1378)),IF(M1378&gt;0,Q1378/M1378,""),"")</f>
        <v/>
      </c>
      <c r="Y1378" s="11">
        <f>IF(ISNUMBER(Z1378),YEAR(Z1378),"")</f>
        <v/>
      </c>
      <c r="Z1378" s="12" t="n"/>
      <c r="AA1378" s="12" t="n"/>
      <c r="AI1378" s="12" t="n"/>
      <c r="AJ1378" s="13">
        <f>IF(LEN(TRIM(AF1378))=0,"",HYPERLINK("https://www.google.com/maps/@?api=1&amp;map_action=pano&amp;viewpoint="&amp;SUBSTITUTE(AF1378," ",""),"Abrir Street View"))</f>
        <v/>
      </c>
    </row>
    <row r="1379">
      <c r="H1379" s="6" t="n"/>
      <c r="I1379" s="6" t="n"/>
      <c r="M1379" s="7" t="n"/>
      <c r="N1379" s="7" t="n"/>
      <c r="O1379" s="7" t="n"/>
      <c r="Q1379" s="7" t="n"/>
      <c r="R1379" s="7" t="n"/>
      <c r="S1379" s="8">
        <f>IF(NOT(ISNUMBER(M1379)),"",IF(G1379="Terreno",IF(AND(ISNUMBER(I1379),I1379&gt;0),M1379/I1379,""),IF(AND(ISNUMBER(H1379),H1379&gt;0),M1379/H1379,"")))</f>
        <v/>
      </c>
      <c r="T1379" s="9">
        <f>IF(AND(ISNUMBER(M1379),ISNUMBER(O1379)),IF(M1379&lt;=O1379,"Valor ≤ venal IPTU",""),"")</f>
        <v/>
      </c>
      <c r="U1379" s="10">
        <f>IF(AND(ISNUMBER(M1379),ISNUMBER(N1379)),IF(N1379&gt;0,M1379/N1379,""),"")</f>
        <v/>
      </c>
      <c r="V1379" s="10">
        <f>IF(AND(ISNUMBER(M1379),ISNUMBER(O1379)),IF(O1379&gt;0,M1379/O1379,""),"")</f>
        <v/>
      </c>
      <c r="W1379" s="10">
        <f>IF(AND(ISNUMBER(M1379),ISNUMBER(R1379)),IF(R1379&gt;0,M1379/R1379,""),"")</f>
        <v/>
      </c>
      <c r="X1379" s="10">
        <f>IF(AND(ISNUMBER(Q1379),ISNUMBER(M1379)),IF(M1379&gt;0,Q1379/M1379,""),"")</f>
        <v/>
      </c>
      <c r="Y1379" s="11">
        <f>IF(ISNUMBER(Z1379),YEAR(Z1379),"")</f>
        <v/>
      </c>
      <c r="Z1379" s="12" t="n"/>
      <c r="AA1379" s="12" t="n"/>
      <c r="AI1379" s="12" t="n"/>
      <c r="AJ1379" s="13">
        <f>IF(LEN(TRIM(AF1379))=0,"",HYPERLINK("https://www.google.com/maps/@?api=1&amp;map_action=pano&amp;viewpoint="&amp;SUBSTITUTE(AF1379," ",""),"Abrir Street View"))</f>
        <v/>
      </c>
    </row>
    <row r="1380">
      <c r="H1380" s="6" t="n"/>
      <c r="I1380" s="6" t="n"/>
      <c r="M1380" s="7" t="n"/>
      <c r="N1380" s="7" t="n"/>
      <c r="O1380" s="7" t="n"/>
      <c r="Q1380" s="7" t="n"/>
      <c r="R1380" s="7" t="n"/>
      <c r="S1380" s="8">
        <f>IF(NOT(ISNUMBER(M1380)),"",IF(G1380="Terreno",IF(AND(ISNUMBER(I1380),I1380&gt;0),M1380/I1380,""),IF(AND(ISNUMBER(H1380),H1380&gt;0),M1380/H1380,"")))</f>
        <v/>
      </c>
      <c r="T1380" s="9">
        <f>IF(AND(ISNUMBER(M1380),ISNUMBER(O1380)),IF(M1380&lt;=O1380,"Valor ≤ venal IPTU",""),"")</f>
        <v/>
      </c>
      <c r="U1380" s="10">
        <f>IF(AND(ISNUMBER(M1380),ISNUMBER(N1380)),IF(N1380&gt;0,M1380/N1380,""),"")</f>
        <v/>
      </c>
      <c r="V1380" s="10">
        <f>IF(AND(ISNUMBER(M1380),ISNUMBER(O1380)),IF(O1380&gt;0,M1380/O1380,""),"")</f>
        <v/>
      </c>
      <c r="W1380" s="10">
        <f>IF(AND(ISNUMBER(M1380),ISNUMBER(R1380)),IF(R1380&gt;0,M1380/R1380,""),"")</f>
        <v/>
      </c>
      <c r="X1380" s="10">
        <f>IF(AND(ISNUMBER(Q1380),ISNUMBER(M1380)),IF(M1380&gt;0,Q1380/M1380,""),"")</f>
        <v/>
      </c>
      <c r="Y1380" s="11">
        <f>IF(ISNUMBER(Z1380),YEAR(Z1380),"")</f>
        <v/>
      </c>
      <c r="Z1380" s="12" t="n"/>
      <c r="AA1380" s="12" t="n"/>
      <c r="AI1380" s="12" t="n"/>
      <c r="AJ1380" s="13">
        <f>IF(LEN(TRIM(AF1380))=0,"",HYPERLINK("https://www.google.com/maps/@?api=1&amp;map_action=pano&amp;viewpoint="&amp;SUBSTITUTE(AF1380," ",""),"Abrir Street View"))</f>
        <v/>
      </c>
    </row>
    <row r="1381">
      <c r="H1381" s="6" t="n"/>
      <c r="I1381" s="6" t="n"/>
      <c r="M1381" s="7" t="n"/>
      <c r="N1381" s="7" t="n"/>
      <c r="O1381" s="7" t="n"/>
      <c r="Q1381" s="7" t="n"/>
      <c r="R1381" s="7" t="n"/>
      <c r="S1381" s="8">
        <f>IF(NOT(ISNUMBER(M1381)),"",IF(G1381="Terreno",IF(AND(ISNUMBER(I1381),I1381&gt;0),M1381/I1381,""),IF(AND(ISNUMBER(H1381),H1381&gt;0),M1381/H1381,"")))</f>
        <v/>
      </c>
      <c r="T1381" s="9">
        <f>IF(AND(ISNUMBER(M1381),ISNUMBER(O1381)),IF(M1381&lt;=O1381,"Valor ≤ venal IPTU",""),"")</f>
        <v/>
      </c>
      <c r="U1381" s="10">
        <f>IF(AND(ISNUMBER(M1381),ISNUMBER(N1381)),IF(N1381&gt;0,M1381/N1381,""),"")</f>
        <v/>
      </c>
      <c r="V1381" s="10">
        <f>IF(AND(ISNUMBER(M1381),ISNUMBER(O1381)),IF(O1381&gt;0,M1381/O1381,""),"")</f>
        <v/>
      </c>
      <c r="W1381" s="10">
        <f>IF(AND(ISNUMBER(M1381),ISNUMBER(R1381)),IF(R1381&gt;0,M1381/R1381,""),"")</f>
        <v/>
      </c>
      <c r="X1381" s="10">
        <f>IF(AND(ISNUMBER(Q1381),ISNUMBER(M1381)),IF(M1381&gt;0,Q1381/M1381,""),"")</f>
        <v/>
      </c>
      <c r="Y1381" s="11">
        <f>IF(ISNUMBER(Z1381),YEAR(Z1381),"")</f>
        <v/>
      </c>
      <c r="Z1381" s="12" t="n"/>
      <c r="AA1381" s="12" t="n"/>
      <c r="AI1381" s="12" t="n"/>
      <c r="AJ1381" s="13">
        <f>IF(LEN(TRIM(AF1381))=0,"",HYPERLINK("https://www.google.com/maps/@?api=1&amp;map_action=pano&amp;viewpoint="&amp;SUBSTITUTE(AF1381," ",""),"Abrir Street View"))</f>
        <v/>
      </c>
    </row>
    <row r="1382">
      <c r="H1382" s="6" t="n"/>
      <c r="I1382" s="6" t="n"/>
      <c r="M1382" s="7" t="n"/>
      <c r="N1382" s="7" t="n"/>
      <c r="O1382" s="7" t="n"/>
      <c r="Q1382" s="7" t="n"/>
      <c r="R1382" s="7" t="n"/>
      <c r="S1382" s="8">
        <f>IF(NOT(ISNUMBER(M1382)),"",IF(G1382="Terreno",IF(AND(ISNUMBER(I1382),I1382&gt;0),M1382/I1382,""),IF(AND(ISNUMBER(H1382),H1382&gt;0),M1382/H1382,"")))</f>
        <v/>
      </c>
      <c r="T1382" s="9">
        <f>IF(AND(ISNUMBER(M1382),ISNUMBER(O1382)),IF(M1382&lt;=O1382,"Valor ≤ venal IPTU",""),"")</f>
        <v/>
      </c>
      <c r="U1382" s="10">
        <f>IF(AND(ISNUMBER(M1382),ISNUMBER(N1382)),IF(N1382&gt;0,M1382/N1382,""),"")</f>
        <v/>
      </c>
      <c r="V1382" s="10">
        <f>IF(AND(ISNUMBER(M1382),ISNUMBER(O1382)),IF(O1382&gt;0,M1382/O1382,""),"")</f>
        <v/>
      </c>
      <c r="W1382" s="10">
        <f>IF(AND(ISNUMBER(M1382),ISNUMBER(R1382)),IF(R1382&gt;0,M1382/R1382,""),"")</f>
        <v/>
      </c>
      <c r="X1382" s="10">
        <f>IF(AND(ISNUMBER(Q1382),ISNUMBER(M1382)),IF(M1382&gt;0,Q1382/M1382,""),"")</f>
        <v/>
      </c>
      <c r="Y1382" s="11">
        <f>IF(ISNUMBER(Z1382),YEAR(Z1382),"")</f>
        <v/>
      </c>
      <c r="Z1382" s="12" t="n"/>
      <c r="AA1382" s="12" t="n"/>
      <c r="AI1382" s="12" t="n"/>
      <c r="AJ1382" s="13">
        <f>IF(LEN(TRIM(AF1382))=0,"",HYPERLINK("https://www.google.com/maps/@?api=1&amp;map_action=pano&amp;viewpoint="&amp;SUBSTITUTE(AF1382," ",""),"Abrir Street View"))</f>
        <v/>
      </c>
    </row>
    <row r="1383">
      <c r="H1383" s="6" t="n"/>
      <c r="I1383" s="6" t="n"/>
      <c r="M1383" s="7" t="n"/>
      <c r="N1383" s="7" t="n"/>
      <c r="O1383" s="7" t="n"/>
      <c r="Q1383" s="7" t="n"/>
      <c r="R1383" s="7" t="n"/>
      <c r="S1383" s="8">
        <f>IF(NOT(ISNUMBER(M1383)),"",IF(G1383="Terreno",IF(AND(ISNUMBER(I1383),I1383&gt;0),M1383/I1383,""),IF(AND(ISNUMBER(H1383),H1383&gt;0),M1383/H1383,"")))</f>
        <v/>
      </c>
      <c r="T1383" s="9">
        <f>IF(AND(ISNUMBER(M1383),ISNUMBER(O1383)),IF(M1383&lt;=O1383,"Valor ≤ venal IPTU",""),"")</f>
        <v/>
      </c>
      <c r="U1383" s="10">
        <f>IF(AND(ISNUMBER(M1383),ISNUMBER(N1383)),IF(N1383&gt;0,M1383/N1383,""),"")</f>
        <v/>
      </c>
      <c r="V1383" s="10">
        <f>IF(AND(ISNUMBER(M1383),ISNUMBER(O1383)),IF(O1383&gt;0,M1383/O1383,""),"")</f>
        <v/>
      </c>
      <c r="W1383" s="10">
        <f>IF(AND(ISNUMBER(M1383),ISNUMBER(R1383)),IF(R1383&gt;0,M1383/R1383,""),"")</f>
        <v/>
      </c>
      <c r="X1383" s="10">
        <f>IF(AND(ISNUMBER(Q1383),ISNUMBER(M1383)),IF(M1383&gt;0,Q1383/M1383,""),"")</f>
        <v/>
      </c>
      <c r="Y1383" s="11">
        <f>IF(ISNUMBER(Z1383),YEAR(Z1383),"")</f>
        <v/>
      </c>
      <c r="Z1383" s="12" t="n"/>
      <c r="AA1383" s="12" t="n"/>
      <c r="AI1383" s="12" t="n"/>
      <c r="AJ1383" s="13">
        <f>IF(LEN(TRIM(AF1383))=0,"",HYPERLINK("https://www.google.com/maps/@?api=1&amp;map_action=pano&amp;viewpoint="&amp;SUBSTITUTE(AF1383," ",""),"Abrir Street View"))</f>
        <v/>
      </c>
    </row>
    <row r="1384">
      <c r="H1384" s="6" t="n"/>
      <c r="I1384" s="6" t="n"/>
      <c r="M1384" s="7" t="n"/>
      <c r="N1384" s="7" t="n"/>
      <c r="O1384" s="7" t="n"/>
      <c r="Q1384" s="7" t="n"/>
      <c r="R1384" s="7" t="n"/>
      <c r="S1384" s="8">
        <f>IF(NOT(ISNUMBER(M1384)),"",IF(G1384="Terreno",IF(AND(ISNUMBER(I1384),I1384&gt;0),M1384/I1384,""),IF(AND(ISNUMBER(H1384),H1384&gt;0),M1384/H1384,"")))</f>
        <v/>
      </c>
      <c r="T1384" s="9">
        <f>IF(AND(ISNUMBER(M1384),ISNUMBER(O1384)),IF(M1384&lt;=O1384,"Valor ≤ venal IPTU",""),"")</f>
        <v/>
      </c>
      <c r="U1384" s="10">
        <f>IF(AND(ISNUMBER(M1384),ISNUMBER(N1384)),IF(N1384&gt;0,M1384/N1384,""),"")</f>
        <v/>
      </c>
      <c r="V1384" s="10">
        <f>IF(AND(ISNUMBER(M1384),ISNUMBER(O1384)),IF(O1384&gt;0,M1384/O1384,""),"")</f>
        <v/>
      </c>
      <c r="W1384" s="10">
        <f>IF(AND(ISNUMBER(M1384),ISNUMBER(R1384)),IF(R1384&gt;0,M1384/R1384,""),"")</f>
        <v/>
      </c>
      <c r="X1384" s="10">
        <f>IF(AND(ISNUMBER(Q1384),ISNUMBER(M1384)),IF(M1384&gt;0,Q1384/M1384,""),"")</f>
        <v/>
      </c>
      <c r="Y1384" s="11">
        <f>IF(ISNUMBER(Z1384),YEAR(Z1384),"")</f>
        <v/>
      </c>
      <c r="Z1384" s="12" t="n"/>
      <c r="AA1384" s="12" t="n"/>
      <c r="AI1384" s="12" t="n"/>
      <c r="AJ1384" s="13">
        <f>IF(LEN(TRIM(AF1384))=0,"",HYPERLINK("https://www.google.com/maps/@?api=1&amp;map_action=pano&amp;viewpoint="&amp;SUBSTITUTE(AF1384," ",""),"Abrir Street View"))</f>
        <v/>
      </c>
    </row>
    <row r="1385">
      <c r="H1385" s="6" t="n"/>
      <c r="I1385" s="6" t="n"/>
      <c r="M1385" s="7" t="n"/>
      <c r="N1385" s="7" t="n"/>
      <c r="O1385" s="7" t="n"/>
      <c r="Q1385" s="7" t="n"/>
      <c r="R1385" s="7" t="n"/>
      <c r="S1385" s="8">
        <f>IF(NOT(ISNUMBER(M1385)),"",IF(G1385="Terreno",IF(AND(ISNUMBER(I1385),I1385&gt;0),M1385/I1385,""),IF(AND(ISNUMBER(H1385),H1385&gt;0),M1385/H1385,"")))</f>
        <v/>
      </c>
      <c r="T1385" s="9">
        <f>IF(AND(ISNUMBER(M1385),ISNUMBER(O1385)),IF(M1385&lt;=O1385,"Valor ≤ venal IPTU",""),"")</f>
        <v/>
      </c>
      <c r="U1385" s="10">
        <f>IF(AND(ISNUMBER(M1385),ISNUMBER(N1385)),IF(N1385&gt;0,M1385/N1385,""),"")</f>
        <v/>
      </c>
      <c r="V1385" s="10">
        <f>IF(AND(ISNUMBER(M1385),ISNUMBER(O1385)),IF(O1385&gt;0,M1385/O1385,""),"")</f>
        <v/>
      </c>
      <c r="W1385" s="10">
        <f>IF(AND(ISNUMBER(M1385),ISNUMBER(R1385)),IF(R1385&gt;0,M1385/R1385,""),"")</f>
        <v/>
      </c>
      <c r="X1385" s="10">
        <f>IF(AND(ISNUMBER(Q1385),ISNUMBER(M1385)),IF(M1385&gt;0,Q1385/M1385,""),"")</f>
        <v/>
      </c>
      <c r="Y1385" s="11">
        <f>IF(ISNUMBER(Z1385),YEAR(Z1385),"")</f>
        <v/>
      </c>
      <c r="Z1385" s="12" t="n"/>
      <c r="AA1385" s="12" t="n"/>
      <c r="AI1385" s="12" t="n"/>
      <c r="AJ1385" s="13">
        <f>IF(LEN(TRIM(AF1385))=0,"",HYPERLINK("https://www.google.com/maps/@?api=1&amp;map_action=pano&amp;viewpoint="&amp;SUBSTITUTE(AF1385," ",""),"Abrir Street View"))</f>
        <v/>
      </c>
    </row>
    <row r="1386">
      <c r="H1386" s="6" t="n"/>
      <c r="I1386" s="6" t="n"/>
      <c r="M1386" s="7" t="n"/>
      <c r="N1386" s="7" t="n"/>
      <c r="O1386" s="7" t="n"/>
      <c r="Q1386" s="7" t="n"/>
      <c r="R1386" s="7" t="n"/>
      <c r="S1386" s="8">
        <f>IF(NOT(ISNUMBER(M1386)),"",IF(G1386="Terreno",IF(AND(ISNUMBER(I1386),I1386&gt;0),M1386/I1386,""),IF(AND(ISNUMBER(H1386),H1386&gt;0),M1386/H1386,"")))</f>
        <v/>
      </c>
      <c r="T1386" s="9">
        <f>IF(AND(ISNUMBER(M1386),ISNUMBER(O1386)),IF(M1386&lt;=O1386,"Valor ≤ venal IPTU",""),"")</f>
        <v/>
      </c>
      <c r="U1386" s="10">
        <f>IF(AND(ISNUMBER(M1386),ISNUMBER(N1386)),IF(N1386&gt;0,M1386/N1386,""),"")</f>
        <v/>
      </c>
      <c r="V1386" s="10">
        <f>IF(AND(ISNUMBER(M1386),ISNUMBER(O1386)),IF(O1386&gt;0,M1386/O1386,""),"")</f>
        <v/>
      </c>
      <c r="W1386" s="10">
        <f>IF(AND(ISNUMBER(M1386),ISNUMBER(R1386)),IF(R1386&gt;0,M1386/R1386,""),"")</f>
        <v/>
      </c>
      <c r="X1386" s="10">
        <f>IF(AND(ISNUMBER(Q1386),ISNUMBER(M1386)),IF(M1386&gt;0,Q1386/M1386,""),"")</f>
        <v/>
      </c>
      <c r="Y1386" s="11">
        <f>IF(ISNUMBER(Z1386),YEAR(Z1386),"")</f>
        <v/>
      </c>
      <c r="Z1386" s="12" t="n"/>
      <c r="AA1386" s="12" t="n"/>
      <c r="AI1386" s="12" t="n"/>
      <c r="AJ1386" s="13">
        <f>IF(LEN(TRIM(AF1386))=0,"",HYPERLINK("https://www.google.com/maps/@?api=1&amp;map_action=pano&amp;viewpoint="&amp;SUBSTITUTE(AF1386," ",""),"Abrir Street View"))</f>
        <v/>
      </c>
    </row>
    <row r="1387">
      <c r="H1387" s="6" t="n"/>
      <c r="I1387" s="6" t="n"/>
      <c r="M1387" s="7" t="n"/>
      <c r="N1387" s="7" t="n"/>
      <c r="O1387" s="7" t="n"/>
      <c r="Q1387" s="7" t="n"/>
      <c r="R1387" s="7" t="n"/>
      <c r="S1387" s="8">
        <f>IF(NOT(ISNUMBER(M1387)),"",IF(G1387="Terreno",IF(AND(ISNUMBER(I1387),I1387&gt;0),M1387/I1387,""),IF(AND(ISNUMBER(H1387),H1387&gt;0),M1387/H1387,"")))</f>
        <v/>
      </c>
      <c r="T1387" s="9">
        <f>IF(AND(ISNUMBER(M1387),ISNUMBER(O1387)),IF(M1387&lt;=O1387,"Valor ≤ venal IPTU",""),"")</f>
        <v/>
      </c>
      <c r="U1387" s="10">
        <f>IF(AND(ISNUMBER(M1387),ISNUMBER(N1387)),IF(N1387&gt;0,M1387/N1387,""),"")</f>
        <v/>
      </c>
      <c r="V1387" s="10">
        <f>IF(AND(ISNUMBER(M1387),ISNUMBER(O1387)),IF(O1387&gt;0,M1387/O1387,""),"")</f>
        <v/>
      </c>
      <c r="W1387" s="10">
        <f>IF(AND(ISNUMBER(M1387),ISNUMBER(R1387)),IF(R1387&gt;0,M1387/R1387,""),"")</f>
        <v/>
      </c>
      <c r="X1387" s="10">
        <f>IF(AND(ISNUMBER(Q1387),ISNUMBER(M1387)),IF(M1387&gt;0,Q1387/M1387,""),"")</f>
        <v/>
      </c>
      <c r="Y1387" s="11">
        <f>IF(ISNUMBER(Z1387),YEAR(Z1387),"")</f>
        <v/>
      </c>
      <c r="Z1387" s="12" t="n"/>
      <c r="AA1387" s="12" t="n"/>
      <c r="AI1387" s="12" t="n"/>
      <c r="AJ1387" s="13">
        <f>IF(LEN(TRIM(AF1387))=0,"",HYPERLINK("https://www.google.com/maps/@?api=1&amp;map_action=pano&amp;viewpoint="&amp;SUBSTITUTE(AF1387," ",""),"Abrir Street View"))</f>
        <v/>
      </c>
    </row>
    <row r="1388">
      <c r="H1388" s="6" t="n"/>
      <c r="I1388" s="6" t="n"/>
      <c r="M1388" s="7" t="n"/>
      <c r="N1388" s="7" t="n"/>
      <c r="O1388" s="7" t="n"/>
      <c r="Q1388" s="7" t="n"/>
      <c r="R1388" s="7" t="n"/>
      <c r="S1388" s="8">
        <f>IF(NOT(ISNUMBER(M1388)),"",IF(G1388="Terreno",IF(AND(ISNUMBER(I1388),I1388&gt;0),M1388/I1388,""),IF(AND(ISNUMBER(H1388),H1388&gt;0),M1388/H1388,"")))</f>
        <v/>
      </c>
      <c r="T1388" s="9">
        <f>IF(AND(ISNUMBER(M1388),ISNUMBER(O1388)),IF(M1388&lt;=O1388,"Valor ≤ venal IPTU",""),"")</f>
        <v/>
      </c>
      <c r="U1388" s="10">
        <f>IF(AND(ISNUMBER(M1388),ISNUMBER(N1388)),IF(N1388&gt;0,M1388/N1388,""),"")</f>
        <v/>
      </c>
      <c r="V1388" s="10">
        <f>IF(AND(ISNUMBER(M1388),ISNUMBER(O1388)),IF(O1388&gt;0,M1388/O1388,""),"")</f>
        <v/>
      </c>
      <c r="W1388" s="10">
        <f>IF(AND(ISNUMBER(M1388),ISNUMBER(R1388)),IF(R1388&gt;0,M1388/R1388,""),"")</f>
        <v/>
      </c>
      <c r="X1388" s="10">
        <f>IF(AND(ISNUMBER(Q1388),ISNUMBER(M1388)),IF(M1388&gt;0,Q1388/M1388,""),"")</f>
        <v/>
      </c>
      <c r="Y1388" s="11">
        <f>IF(ISNUMBER(Z1388),YEAR(Z1388),"")</f>
        <v/>
      </c>
      <c r="Z1388" s="12" t="n"/>
      <c r="AA1388" s="12" t="n"/>
      <c r="AI1388" s="12" t="n"/>
      <c r="AJ1388" s="13">
        <f>IF(LEN(TRIM(AF1388))=0,"",HYPERLINK("https://www.google.com/maps/@?api=1&amp;map_action=pano&amp;viewpoint="&amp;SUBSTITUTE(AF1388," ",""),"Abrir Street View"))</f>
        <v/>
      </c>
    </row>
    <row r="1389">
      <c r="H1389" s="6" t="n"/>
      <c r="I1389" s="6" t="n"/>
      <c r="M1389" s="7" t="n"/>
      <c r="N1389" s="7" t="n"/>
      <c r="O1389" s="7" t="n"/>
      <c r="Q1389" s="7" t="n"/>
      <c r="R1389" s="7" t="n"/>
      <c r="S1389" s="8">
        <f>IF(NOT(ISNUMBER(M1389)),"",IF(G1389="Terreno",IF(AND(ISNUMBER(I1389),I1389&gt;0),M1389/I1389,""),IF(AND(ISNUMBER(H1389),H1389&gt;0),M1389/H1389,"")))</f>
        <v/>
      </c>
      <c r="T1389" s="9">
        <f>IF(AND(ISNUMBER(M1389),ISNUMBER(O1389)),IF(M1389&lt;=O1389,"Valor ≤ venal IPTU",""),"")</f>
        <v/>
      </c>
      <c r="U1389" s="10">
        <f>IF(AND(ISNUMBER(M1389),ISNUMBER(N1389)),IF(N1389&gt;0,M1389/N1389,""),"")</f>
        <v/>
      </c>
      <c r="V1389" s="10">
        <f>IF(AND(ISNUMBER(M1389),ISNUMBER(O1389)),IF(O1389&gt;0,M1389/O1389,""),"")</f>
        <v/>
      </c>
      <c r="W1389" s="10">
        <f>IF(AND(ISNUMBER(M1389),ISNUMBER(R1389)),IF(R1389&gt;0,M1389/R1389,""),"")</f>
        <v/>
      </c>
      <c r="X1389" s="10">
        <f>IF(AND(ISNUMBER(Q1389),ISNUMBER(M1389)),IF(M1389&gt;0,Q1389/M1389,""),"")</f>
        <v/>
      </c>
      <c r="Y1389" s="11">
        <f>IF(ISNUMBER(Z1389),YEAR(Z1389),"")</f>
        <v/>
      </c>
      <c r="Z1389" s="12" t="n"/>
      <c r="AA1389" s="12" t="n"/>
      <c r="AI1389" s="12" t="n"/>
      <c r="AJ1389" s="13">
        <f>IF(LEN(TRIM(AF1389))=0,"",HYPERLINK("https://www.google.com/maps/@?api=1&amp;map_action=pano&amp;viewpoint="&amp;SUBSTITUTE(AF1389," ",""),"Abrir Street View"))</f>
        <v/>
      </c>
    </row>
    <row r="1390">
      <c r="H1390" s="6" t="n"/>
      <c r="I1390" s="6" t="n"/>
      <c r="M1390" s="7" t="n"/>
      <c r="N1390" s="7" t="n"/>
      <c r="O1390" s="7" t="n"/>
      <c r="Q1390" s="7" t="n"/>
      <c r="R1390" s="7" t="n"/>
      <c r="S1390" s="8">
        <f>IF(NOT(ISNUMBER(M1390)),"",IF(G1390="Terreno",IF(AND(ISNUMBER(I1390),I1390&gt;0),M1390/I1390,""),IF(AND(ISNUMBER(H1390),H1390&gt;0),M1390/H1390,"")))</f>
        <v/>
      </c>
      <c r="T1390" s="9">
        <f>IF(AND(ISNUMBER(M1390),ISNUMBER(O1390)),IF(M1390&lt;=O1390,"Valor ≤ venal IPTU",""),"")</f>
        <v/>
      </c>
      <c r="U1390" s="10">
        <f>IF(AND(ISNUMBER(M1390),ISNUMBER(N1390)),IF(N1390&gt;0,M1390/N1390,""),"")</f>
        <v/>
      </c>
      <c r="V1390" s="10">
        <f>IF(AND(ISNUMBER(M1390),ISNUMBER(O1390)),IF(O1390&gt;0,M1390/O1390,""),"")</f>
        <v/>
      </c>
      <c r="W1390" s="10">
        <f>IF(AND(ISNUMBER(M1390),ISNUMBER(R1390)),IF(R1390&gt;0,M1390/R1390,""),"")</f>
        <v/>
      </c>
      <c r="X1390" s="10">
        <f>IF(AND(ISNUMBER(Q1390),ISNUMBER(M1390)),IF(M1390&gt;0,Q1390/M1390,""),"")</f>
        <v/>
      </c>
      <c r="Y1390" s="11">
        <f>IF(ISNUMBER(Z1390),YEAR(Z1390),"")</f>
        <v/>
      </c>
      <c r="Z1390" s="12" t="n"/>
      <c r="AA1390" s="12" t="n"/>
      <c r="AI1390" s="12" t="n"/>
      <c r="AJ1390" s="13">
        <f>IF(LEN(TRIM(AF1390))=0,"",HYPERLINK("https://www.google.com/maps/@?api=1&amp;map_action=pano&amp;viewpoint="&amp;SUBSTITUTE(AF1390," ",""),"Abrir Street View"))</f>
        <v/>
      </c>
    </row>
    <row r="1391">
      <c r="H1391" s="6" t="n"/>
      <c r="I1391" s="6" t="n"/>
      <c r="M1391" s="7" t="n"/>
      <c r="N1391" s="7" t="n"/>
      <c r="O1391" s="7" t="n"/>
      <c r="Q1391" s="7" t="n"/>
      <c r="R1391" s="7" t="n"/>
      <c r="S1391" s="8">
        <f>IF(NOT(ISNUMBER(M1391)),"",IF(G1391="Terreno",IF(AND(ISNUMBER(I1391),I1391&gt;0),M1391/I1391,""),IF(AND(ISNUMBER(H1391),H1391&gt;0),M1391/H1391,"")))</f>
        <v/>
      </c>
      <c r="T1391" s="9">
        <f>IF(AND(ISNUMBER(M1391),ISNUMBER(O1391)),IF(M1391&lt;=O1391,"Valor ≤ venal IPTU",""),"")</f>
        <v/>
      </c>
      <c r="U1391" s="10">
        <f>IF(AND(ISNUMBER(M1391),ISNUMBER(N1391)),IF(N1391&gt;0,M1391/N1391,""),"")</f>
        <v/>
      </c>
      <c r="V1391" s="10">
        <f>IF(AND(ISNUMBER(M1391),ISNUMBER(O1391)),IF(O1391&gt;0,M1391/O1391,""),"")</f>
        <v/>
      </c>
      <c r="W1391" s="10">
        <f>IF(AND(ISNUMBER(M1391),ISNUMBER(R1391)),IF(R1391&gt;0,M1391/R1391,""),"")</f>
        <v/>
      </c>
      <c r="X1391" s="10">
        <f>IF(AND(ISNUMBER(Q1391),ISNUMBER(M1391)),IF(M1391&gt;0,Q1391/M1391,""),"")</f>
        <v/>
      </c>
      <c r="Y1391" s="11">
        <f>IF(ISNUMBER(Z1391),YEAR(Z1391),"")</f>
        <v/>
      </c>
      <c r="Z1391" s="12" t="n"/>
      <c r="AA1391" s="12" t="n"/>
      <c r="AI1391" s="12" t="n"/>
      <c r="AJ1391" s="13">
        <f>IF(LEN(TRIM(AF1391))=0,"",HYPERLINK("https://www.google.com/maps/@?api=1&amp;map_action=pano&amp;viewpoint="&amp;SUBSTITUTE(AF1391," ",""),"Abrir Street View"))</f>
        <v/>
      </c>
    </row>
    <row r="1392">
      <c r="H1392" s="6" t="n"/>
      <c r="I1392" s="6" t="n"/>
      <c r="M1392" s="7" t="n"/>
      <c r="N1392" s="7" t="n"/>
      <c r="O1392" s="7" t="n"/>
      <c r="Q1392" s="7" t="n"/>
      <c r="R1392" s="7" t="n"/>
      <c r="S1392" s="8">
        <f>IF(NOT(ISNUMBER(M1392)),"",IF(G1392="Terreno",IF(AND(ISNUMBER(I1392),I1392&gt;0),M1392/I1392,""),IF(AND(ISNUMBER(H1392),H1392&gt;0),M1392/H1392,"")))</f>
        <v/>
      </c>
      <c r="T1392" s="9">
        <f>IF(AND(ISNUMBER(M1392),ISNUMBER(O1392)),IF(M1392&lt;=O1392,"Valor ≤ venal IPTU",""),"")</f>
        <v/>
      </c>
      <c r="U1392" s="10">
        <f>IF(AND(ISNUMBER(M1392),ISNUMBER(N1392)),IF(N1392&gt;0,M1392/N1392,""),"")</f>
        <v/>
      </c>
      <c r="V1392" s="10">
        <f>IF(AND(ISNUMBER(M1392),ISNUMBER(O1392)),IF(O1392&gt;0,M1392/O1392,""),"")</f>
        <v/>
      </c>
      <c r="W1392" s="10">
        <f>IF(AND(ISNUMBER(M1392),ISNUMBER(R1392)),IF(R1392&gt;0,M1392/R1392,""),"")</f>
        <v/>
      </c>
      <c r="X1392" s="10">
        <f>IF(AND(ISNUMBER(Q1392),ISNUMBER(M1392)),IF(M1392&gt;0,Q1392/M1392,""),"")</f>
        <v/>
      </c>
      <c r="Y1392" s="11">
        <f>IF(ISNUMBER(Z1392),YEAR(Z1392),"")</f>
        <v/>
      </c>
      <c r="Z1392" s="12" t="n"/>
      <c r="AA1392" s="12" t="n"/>
      <c r="AI1392" s="12" t="n"/>
      <c r="AJ1392" s="13">
        <f>IF(LEN(TRIM(AF1392))=0,"",HYPERLINK("https://www.google.com/maps/@?api=1&amp;map_action=pano&amp;viewpoint="&amp;SUBSTITUTE(AF1392," ",""),"Abrir Street View"))</f>
        <v/>
      </c>
    </row>
    <row r="1393">
      <c r="H1393" s="6" t="n"/>
      <c r="I1393" s="6" t="n"/>
      <c r="M1393" s="7" t="n"/>
      <c r="N1393" s="7" t="n"/>
      <c r="O1393" s="7" t="n"/>
      <c r="Q1393" s="7" t="n"/>
      <c r="R1393" s="7" t="n"/>
      <c r="S1393" s="8">
        <f>IF(NOT(ISNUMBER(M1393)),"",IF(G1393="Terreno",IF(AND(ISNUMBER(I1393),I1393&gt;0),M1393/I1393,""),IF(AND(ISNUMBER(H1393),H1393&gt;0),M1393/H1393,"")))</f>
        <v/>
      </c>
      <c r="T1393" s="9">
        <f>IF(AND(ISNUMBER(M1393),ISNUMBER(O1393)),IF(M1393&lt;=O1393,"Valor ≤ venal IPTU",""),"")</f>
        <v/>
      </c>
      <c r="U1393" s="10">
        <f>IF(AND(ISNUMBER(M1393),ISNUMBER(N1393)),IF(N1393&gt;0,M1393/N1393,""),"")</f>
        <v/>
      </c>
      <c r="V1393" s="10">
        <f>IF(AND(ISNUMBER(M1393),ISNUMBER(O1393)),IF(O1393&gt;0,M1393/O1393,""),"")</f>
        <v/>
      </c>
      <c r="W1393" s="10">
        <f>IF(AND(ISNUMBER(M1393),ISNUMBER(R1393)),IF(R1393&gt;0,M1393/R1393,""),"")</f>
        <v/>
      </c>
      <c r="X1393" s="10">
        <f>IF(AND(ISNUMBER(Q1393),ISNUMBER(M1393)),IF(M1393&gt;0,Q1393/M1393,""),"")</f>
        <v/>
      </c>
      <c r="Y1393" s="11">
        <f>IF(ISNUMBER(Z1393),YEAR(Z1393),"")</f>
        <v/>
      </c>
      <c r="Z1393" s="12" t="n"/>
      <c r="AA1393" s="12" t="n"/>
      <c r="AI1393" s="12" t="n"/>
      <c r="AJ1393" s="13">
        <f>IF(LEN(TRIM(AF1393))=0,"",HYPERLINK("https://www.google.com/maps/@?api=1&amp;map_action=pano&amp;viewpoint="&amp;SUBSTITUTE(AF1393," ",""),"Abrir Street View"))</f>
        <v/>
      </c>
    </row>
    <row r="1394">
      <c r="H1394" s="6" t="n"/>
      <c r="I1394" s="6" t="n"/>
      <c r="M1394" s="7" t="n"/>
      <c r="N1394" s="7" t="n"/>
      <c r="O1394" s="7" t="n"/>
      <c r="Q1394" s="7" t="n"/>
      <c r="R1394" s="7" t="n"/>
      <c r="S1394" s="8">
        <f>IF(NOT(ISNUMBER(M1394)),"",IF(G1394="Terreno",IF(AND(ISNUMBER(I1394),I1394&gt;0),M1394/I1394,""),IF(AND(ISNUMBER(H1394),H1394&gt;0),M1394/H1394,"")))</f>
        <v/>
      </c>
      <c r="T1394" s="9">
        <f>IF(AND(ISNUMBER(M1394),ISNUMBER(O1394)),IF(M1394&lt;=O1394,"Valor ≤ venal IPTU",""),"")</f>
        <v/>
      </c>
      <c r="U1394" s="10">
        <f>IF(AND(ISNUMBER(M1394),ISNUMBER(N1394)),IF(N1394&gt;0,M1394/N1394,""),"")</f>
        <v/>
      </c>
      <c r="V1394" s="10">
        <f>IF(AND(ISNUMBER(M1394),ISNUMBER(O1394)),IF(O1394&gt;0,M1394/O1394,""),"")</f>
        <v/>
      </c>
      <c r="W1394" s="10">
        <f>IF(AND(ISNUMBER(M1394),ISNUMBER(R1394)),IF(R1394&gt;0,M1394/R1394,""),"")</f>
        <v/>
      </c>
      <c r="X1394" s="10">
        <f>IF(AND(ISNUMBER(Q1394),ISNUMBER(M1394)),IF(M1394&gt;0,Q1394/M1394,""),"")</f>
        <v/>
      </c>
      <c r="Y1394" s="11">
        <f>IF(ISNUMBER(Z1394),YEAR(Z1394),"")</f>
        <v/>
      </c>
      <c r="Z1394" s="12" t="n"/>
      <c r="AA1394" s="12" t="n"/>
      <c r="AI1394" s="12" t="n"/>
      <c r="AJ1394" s="13">
        <f>IF(LEN(TRIM(AF1394))=0,"",HYPERLINK("https://www.google.com/maps/@?api=1&amp;map_action=pano&amp;viewpoint="&amp;SUBSTITUTE(AF1394," ",""),"Abrir Street View"))</f>
        <v/>
      </c>
    </row>
    <row r="1395">
      <c r="H1395" s="6" t="n"/>
      <c r="I1395" s="6" t="n"/>
      <c r="M1395" s="7" t="n"/>
      <c r="N1395" s="7" t="n"/>
      <c r="O1395" s="7" t="n"/>
      <c r="Q1395" s="7" t="n"/>
      <c r="R1395" s="7" t="n"/>
      <c r="S1395" s="8">
        <f>IF(NOT(ISNUMBER(M1395)),"",IF(G1395="Terreno",IF(AND(ISNUMBER(I1395),I1395&gt;0),M1395/I1395,""),IF(AND(ISNUMBER(H1395),H1395&gt;0),M1395/H1395,"")))</f>
        <v/>
      </c>
      <c r="T1395" s="9">
        <f>IF(AND(ISNUMBER(M1395),ISNUMBER(O1395)),IF(M1395&lt;=O1395,"Valor ≤ venal IPTU",""),"")</f>
        <v/>
      </c>
      <c r="U1395" s="10">
        <f>IF(AND(ISNUMBER(M1395),ISNUMBER(N1395)),IF(N1395&gt;0,M1395/N1395,""),"")</f>
        <v/>
      </c>
      <c r="V1395" s="10">
        <f>IF(AND(ISNUMBER(M1395),ISNUMBER(O1395)),IF(O1395&gt;0,M1395/O1395,""),"")</f>
        <v/>
      </c>
      <c r="W1395" s="10">
        <f>IF(AND(ISNUMBER(M1395),ISNUMBER(R1395)),IF(R1395&gt;0,M1395/R1395,""),"")</f>
        <v/>
      </c>
      <c r="X1395" s="10">
        <f>IF(AND(ISNUMBER(Q1395),ISNUMBER(M1395)),IF(M1395&gt;0,Q1395/M1395,""),"")</f>
        <v/>
      </c>
      <c r="Y1395" s="11">
        <f>IF(ISNUMBER(Z1395),YEAR(Z1395),"")</f>
        <v/>
      </c>
      <c r="Z1395" s="12" t="n"/>
      <c r="AA1395" s="12" t="n"/>
      <c r="AI1395" s="12" t="n"/>
      <c r="AJ1395" s="13">
        <f>IF(LEN(TRIM(AF1395))=0,"",HYPERLINK("https://www.google.com/maps/@?api=1&amp;map_action=pano&amp;viewpoint="&amp;SUBSTITUTE(AF1395," ",""),"Abrir Street View"))</f>
        <v/>
      </c>
    </row>
    <row r="1396">
      <c r="H1396" s="6" t="n"/>
      <c r="I1396" s="6" t="n"/>
      <c r="M1396" s="7" t="n"/>
      <c r="N1396" s="7" t="n"/>
      <c r="O1396" s="7" t="n"/>
      <c r="Q1396" s="7" t="n"/>
      <c r="R1396" s="7" t="n"/>
      <c r="S1396" s="8">
        <f>IF(NOT(ISNUMBER(M1396)),"",IF(G1396="Terreno",IF(AND(ISNUMBER(I1396),I1396&gt;0),M1396/I1396,""),IF(AND(ISNUMBER(H1396),H1396&gt;0),M1396/H1396,"")))</f>
        <v/>
      </c>
      <c r="T1396" s="9">
        <f>IF(AND(ISNUMBER(M1396),ISNUMBER(O1396)),IF(M1396&lt;=O1396,"Valor ≤ venal IPTU",""),"")</f>
        <v/>
      </c>
      <c r="U1396" s="10">
        <f>IF(AND(ISNUMBER(M1396),ISNUMBER(N1396)),IF(N1396&gt;0,M1396/N1396,""),"")</f>
        <v/>
      </c>
      <c r="V1396" s="10">
        <f>IF(AND(ISNUMBER(M1396),ISNUMBER(O1396)),IF(O1396&gt;0,M1396/O1396,""),"")</f>
        <v/>
      </c>
      <c r="W1396" s="10">
        <f>IF(AND(ISNUMBER(M1396),ISNUMBER(R1396)),IF(R1396&gt;0,M1396/R1396,""),"")</f>
        <v/>
      </c>
      <c r="X1396" s="10">
        <f>IF(AND(ISNUMBER(Q1396),ISNUMBER(M1396)),IF(M1396&gt;0,Q1396/M1396,""),"")</f>
        <v/>
      </c>
      <c r="Y1396" s="11">
        <f>IF(ISNUMBER(Z1396),YEAR(Z1396),"")</f>
        <v/>
      </c>
      <c r="Z1396" s="12" t="n"/>
      <c r="AA1396" s="12" t="n"/>
      <c r="AI1396" s="12" t="n"/>
      <c r="AJ1396" s="13">
        <f>IF(LEN(TRIM(AF1396))=0,"",HYPERLINK("https://www.google.com/maps/@?api=1&amp;map_action=pano&amp;viewpoint="&amp;SUBSTITUTE(AF1396," ",""),"Abrir Street View"))</f>
        <v/>
      </c>
    </row>
    <row r="1397">
      <c r="H1397" s="6" t="n"/>
      <c r="I1397" s="6" t="n"/>
      <c r="M1397" s="7" t="n"/>
      <c r="N1397" s="7" t="n"/>
      <c r="O1397" s="7" t="n"/>
      <c r="Q1397" s="7" t="n"/>
      <c r="R1397" s="7" t="n"/>
      <c r="S1397" s="8">
        <f>IF(NOT(ISNUMBER(M1397)),"",IF(G1397="Terreno",IF(AND(ISNUMBER(I1397),I1397&gt;0),M1397/I1397,""),IF(AND(ISNUMBER(H1397),H1397&gt;0),M1397/H1397,"")))</f>
        <v/>
      </c>
      <c r="T1397" s="9">
        <f>IF(AND(ISNUMBER(M1397),ISNUMBER(O1397)),IF(M1397&lt;=O1397,"Valor ≤ venal IPTU",""),"")</f>
        <v/>
      </c>
      <c r="U1397" s="10">
        <f>IF(AND(ISNUMBER(M1397),ISNUMBER(N1397)),IF(N1397&gt;0,M1397/N1397,""),"")</f>
        <v/>
      </c>
      <c r="V1397" s="10">
        <f>IF(AND(ISNUMBER(M1397),ISNUMBER(O1397)),IF(O1397&gt;0,M1397/O1397,""),"")</f>
        <v/>
      </c>
      <c r="W1397" s="10">
        <f>IF(AND(ISNUMBER(M1397),ISNUMBER(R1397)),IF(R1397&gt;0,M1397/R1397,""),"")</f>
        <v/>
      </c>
      <c r="X1397" s="10">
        <f>IF(AND(ISNUMBER(Q1397),ISNUMBER(M1397)),IF(M1397&gt;0,Q1397/M1397,""),"")</f>
        <v/>
      </c>
      <c r="Y1397" s="11">
        <f>IF(ISNUMBER(Z1397),YEAR(Z1397),"")</f>
        <v/>
      </c>
      <c r="Z1397" s="12" t="n"/>
      <c r="AA1397" s="12" t="n"/>
      <c r="AI1397" s="12" t="n"/>
      <c r="AJ1397" s="13">
        <f>IF(LEN(TRIM(AF1397))=0,"",HYPERLINK("https://www.google.com/maps/@?api=1&amp;map_action=pano&amp;viewpoint="&amp;SUBSTITUTE(AF1397," ",""),"Abrir Street View"))</f>
        <v/>
      </c>
    </row>
    <row r="1398">
      <c r="H1398" s="6" t="n"/>
      <c r="I1398" s="6" t="n"/>
      <c r="M1398" s="7" t="n"/>
      <c r="N1398" s="7" t="n"/>
      <c r="O1398" s="7" t="n"/>
      <c r="Q1398" s="7" t="n"/>
      <c r="R1398" s="7" t="n"/>
      <c r="S1398" s="8">
        <f>IF(NOT(ISNUMBER(M1398)),"",IF(G1398="Terreno",IF(AND(ISNUMBER(I1398),I1398&gt;0),M1398/I1398,""),IF(AND(ISNUMBER(H1398),H1398&gt;0),M1398/H1398,"")))</f>
        <v/>
      </c>
      <c r="T1398" s="9">
        <f>IF(AND(ISNUMBER(M1398),ISNUMBER(O1398)),IF(M1398&lt;=O1398,"Valor ≤ venal IPTU",""),"")</f>
        <v/>
      </c>
      <c r="U1398" s="10">
        <f>IF(AND(ISNUMBER(M1398),ISNUMBER(N1398)),IF(N1398&gt;0,M1398/N1398,""),"")</f>
        <v/>
      </c>
      <c r="V1398" s="10">
        <f>IF(AND(ISNUMBER(M1398),ISNUMBER(O1398)),IF(O1398&gt;0,M1398/O1398,""),"")</f>
        <v/>
      </c>
      <c r="W1398" s="10">
        <f>IF(AND(ISNUMBER(M1398),ISNUMBER(R1398)),IF(R1398&gt;0,M1398/R1398,""),"")</f>
        <v/>
      </c>
      <c r="X1398" s="10">
        <f>IF(AND(ISNUMBER(Q1398),ISNUMBER(M1398)),IF(M1398&gt;0,Q1398/M1398,""),"")</f>
        <v/>
      </c>
      <c r="Y1398" s="11">
        <f>IF(ISNUMBER(Z1398),YEAR(Z1398),"")</f>
        <v/>
      </c>
      <c r="Z1398" s="12" t="n"/>
      <c r="AA1398" s="12" t="n"/>
      <c r="AI1398" s="12" t="n"/>
      <c r="AJ1398" s="13">
        <f>IF(LEN(TRIM(AF1398))=0,"",HYPERLINK("https://www.google.com/maps/@?api=1&amp;map_action=pano&amp;viewpoint="&amp;SUBSTITUTE(AF1398," ",""),"Abrir Street View"))</f>
        <v/>
      </c>
    </row>
    <row r="1399">
      <c r="H1399" s="6" t="n"/>
      <c r="I1399" s="6" t="n"/>
      <c r="M1399" s="7" t="n"/>
      <c r="N1399" s="7" t="n"/>
      <c r="O1399" s="7" t="n"/>
      <c r="Q1399" s="7" t="n"/>
      <c r="R1399" s="7" t="n"/>
      <c r="S1399" s="8">
        <f>IF(NOT(ISNUMBER(M1399)),"",IF(G1399="Terreno",IF(AND(ISNUMBER(I1399),I1399&gt;0),M1399/I1399,""),IF(AND(ISNUMBER(H1399),H1399&gt;0),M1399/H1399,"")))</f>
        <v/>
      </c>
      <c r="T1399" s="9">
        <f>IF(AND(ISNUMBER(M1399),ISNUMBER(O1399)),IF(M1399&lt;=O1399,"Valor ≤ venal IPTU",""),"")</f>
        <v/>
      </c>
      <c r="U1399" s="10">
        <f>IF(AND(ISNUMBER(M1399),ISNUMBER(N1399)),IF(N1399&gt;0,M1399/N1399,""),"")</f>
        <v/>
      </c>
      <c r="V1399" s="10">
        <f>IF(AND(ISNUMBER(M1399),ISNUMBER(O1399)),IF(O1399&gt;0,M1399/O1399,""),"")</f>
        <v/>
      </c>
      <c r="W1399" s="10">
        <f>IF(AND(ISNUMBER(M1399),ISNUMBER(R1399)),IF(R1399&gt;0,M1399/R1399,""),"")</f>
        <v/>
      </c>
      <c r="X1399" s="10">
        <f>IF(AND(ISNUMBER(Q1399),ISNUMBER(M1399)),IF(M1399&gt;0,Q1399/M1399,""),"")</f>
        <v/>
      </c>
      <c r="Y1399" s="11">
        <f>IF(ISNUMBER(Z1399),YEAR(Z1399),"")</f>
        <v/>
      </c>
      <c r="Z1399" s="12" t="n"/>
      <c r="AA1399" s="12" t="n"/>
      <c r="AI1399" s="12" t="n"/>
      <c r="AJ1399" s="13">
        <f>IF(LEN(TRIM(AF1399))=0,"",HYPERLINK("https://www.google.com/maps/@?api=1&amp;map_action=pano&amp;viewpoint="&amp;SUBSTITUTE(AF1399," ",""),"Abrir Street View"))</f>
        <v/>
      </c>
    </row>
    <row r="1400">
      <c r="H1400" s="6" t="n"/>
      <c r="I1400" s="6" t="n"/>
      <c r="M1400" s="7" t="n"/>
      <c r="N1400" s="7" t="n"/>
      <c r="O1400" s="7" t="n"/>
      <c r="Q1400" s="7" t="n"/>
      <c r="R1400" s="7" t="n"/>
      <c r="S1400" s="8">
        <f>IF(NOT(ISNUMBER(M1400)),"",IF(G1400="Terreno",IF(AND(ISNUMBER(I1400),I1400&gt;0),M1400/I1400,""),IF(AND(ISNUMBER(H1400),H1400&gt;0),M1400/H1400,"")))</f>
        <v/>
      </c>
      <c r="T1400" s="9">
        <f>IF(AND(ISNUMBER(M1400),ISNUMBER(O1400)),IF(M1400&lt;=O1400,"Valor ≤ venal IPTU",""),"")</f>
        <v/>
      </c>
      <c r="U1400" s="10">
        <f>IF(AND(ISNUMBER(M1400),ISNUMBER(N1400)),IF(N1400&gt;0,M1400/N1400,""),"")</f>
        <v/>
      </c>
      <c r="V1400" s="10">
        <f>IF(AND(ISNUMBER(M1400),ISNUMBER(O1400)),IF(O1400&gt;0,M1400/O1400,""),"")</f>
        <v/>
      </c>
      <c r="W1400" s="10">
        <f>IF(AND(ISNUMBER(M1400),ISNUMBER(R1400)),IF(R1400&gt;0,M1400/R1400,""),"")</f>
        <v/>
      </c>
      <c r="X1400" s="10">
        <f>IF(AND(ISNUMBER(Q1400),ISNUMBER(M1400)),IF(M1400&gt;0,Q1400/M1400,""),"")</f>
        <v/>
      </c>
      <c r="Y1400" s="11">
        <f>IF(ISNUMBER(Z1400),YEAR(Z1400),"")</f>
        <v/>
      </c>
      <c r="Z1400" s="12" t="n"/>
      <c r="AA1400" s="12" t="n"/>
      <c r="AI1400" s="12" t="n"/>
      <c r="AJ1400" s="13">
        <f>IF(LEN(TRIM(AF1400))=0,"",HYPERLINK("https://www.google.com/maps/@?api=1&amp;map_action=pano&amp;viewpoint="&amp;SUBSTITUTE(AF1400," ",""),"Abrir Street View"))</f>
        <v/>
      </c>
    </row>
    <row r="1401">
      <c r="H1401" s="6" t="n"/>
      <c r="I1401" s="6" t="n"/>
      <c r="M1401" s="7" t="n"/>
      <c r="N1401" s="7" t="n"/>
      <c r="O1401" s="7" t="n"/>
      <c r="Q1401" s="7" t="n"/>
      <c r="R1401" s="7" t="n"/>
      <c r="S1401" s="8">
        <f>IF(NOT(ISNUMBER(M1401)),"",IF(G1401="Terreno",IF(AND(ISNUMBER(I1401),I1401&gt;0),M1401/I1401,""),IF(AND(ISNUMBER(H1401),H1401&gt;0),M1401/H1401,"")))</f>
        <v/>
      </c>
      <c r="T1401" s="9">
        <f>IF(AND(ISNUMBER(M1401),ISNUMBER(O1401)),IF(M1401&lt;=O1401,"Valor ≤ venal IPTU",""),"")</f>
        <v/>
      </c>
      <c r="U1401" s="10">
        <f>IF(AND(ISNUMBER(M1401),ISNUMBER(N1401)),IF(N1401&gt;0,M1401/N1401,""),"")</f>
        <v/>
      </c>
      <c r="V1401" s="10">
        <f>IF(AND(ISNUMBER(M1401),ISNUMBER(O1401)),IF(O1401&gt;0,M1401/O1401,""),"")</f>
        <v/>
      </c>
      <c r="W1401" s="10">
        <f>IF(AND(ISNUMBER(M1401),ISNUMBER(R1401)),IF(R1401&gt;0,M1401/R1401,""),"")</f>
        <v/>
      </c>
      <c r="X1401" s="10">
        <f>IF(AND(ISNUMBER(Q1401),ISNUMBER(M1401)),IF(M1401&gt;0,Q1401/M1401,""),"")</f>
        <v/>
      </c>
      <c r="Y1401" s="11">
        <f>IF(ISNUMBER(Z1401),YEAR(Z1401),"")</f>
        <v/>
      </c>
      <c r="Z1401" s="12" t="n"/>
      <c r="AA1401" s="12" t="n"/>
      <c r="AI1401" s="12" t="n"/>
      <c r="AJ1401" s="13">
        <f>IF(LEN(TRIM(AF1401))=0,"",HYPERLINK("https://www.google.com/maps/@?api=1&amp;map_action=pano&amp;viewpoint="&amp;SUBSTITUTE(AF1401," ",""),"Abrir Street View"))</f>
        <v/>
      </c>
    </row>
    <row r="1402">
      <c r="H1402" s="6" t="n"/>
      <c r="I1402" s="6" t="n"/>
      <c r="M1402" s="7" t="n"/>
      <c r="N1402" s="7" t="n"/>
      <c r="O1402" s="7" t="n"/>
      <c r="Q1402" s="7" t="n"/>
      <c r="R1402" s="7" t="n"/>
      <c r="S1402" s="8">
        <f>IF(NOT(ISNUMBER(M1402)),"",IF(G1402="Terreno",IF(AND(ISNUMBER(I1402),I1402&gt;0),M1402/I1402,""),IF(AND(ISNUMBER(H1402),H1402&gt;0),M1402/H1402,"")))</f>
        <v/>
      </c>
      <c r="T1402" s="9">
        <f>IF(AND(ISNUMBER(M1402),ISNUMBER(O1402)),IF(M1402&lt;=O1402,"Valor ≤ venal IPTU",""),"")</f>
        <v/>
      </c>
      <c r="U1402" s="10">
        <f>IF(AND(ISNUMBER(M1402),ISNUMBER(N1402)),IF(N1402&gt;0,M1402/N1402,""),"")</f>
        <v/>
      </c>
      <c r="V1402" s="10">
        <f>IF(AND(ISNUMBER(M1402),ISNUMBER(O1402)),IF(O1402&gt;0,M1402/O1402,""),"")</f>
        <v/>
      </c>
      <c r="W1402" s="10">
        <f>IF(AND(ISNUMBER(M1402),ISNUMBER(R1402)),IF(R1402&gt;0,M1402/R1402,""),"")</f>
        <v/>
      </c>
      <c r="X1402" s="10">
        <f>IF(AND(ISNUMBER(Q1402),ISNUMBER(M1402)),IF(M1402&gt;0,Q1402/M1402,""),"")</f>
        <v/>
      </c>
      <c r="Y1402" s="11">
        <f>IF(ISNUMBER(Z1402),YEAR(Z1402),"")</f>
        <v/>
      </c>
      <c r="Z1402" s="12" t="n"/>
      <c r="AA1402" s="12" t="n"/>
      <c r="AI1402" s="12" t="n"/>
      <c r="AJ1402" s="13">
        <f>IF(LEN(TRIM(AF1402))=0,"",HYPERLINK("https://www.google.com/maps/@?api=1&amp;map_action=pano&amp;viewpoint="&amp;SUBSTITUTE(AF1402," ",""),"Abrir Street View"))</f>
        <v/>
      </c>
    </row>
    <row r="1403">
      <c r="H1403" s="6" t="n"/>
      <c r="I1403" s="6" t="n"/>
      <c r="M1403" s="7" t="n"/>
      <c r="N1403" s="7" t="n"/>
      <c r="O1403" s="7" t="n"/>
      <c r="Q1403" s="7" t="n"/>
      <c r="R1403" s="7" t="n"/>
      <c r="S1403" s="8">
        <f>IF(NOT(ISNUMBER(M1403)),"",IF(G1403="Terreno",IF(AND(ISNUMBER(I1403),I1403&gt;0),M1403/I1403,""),IF(AND(ISNUMBER(H1403),H1403&gt;0),M1403/H1403,"")))</f>
        <v/>
      </c>
      <c r="T1403" s="9">
        <f>IF(AND(ISNUMBER(M1403),ISNUMBER(O1403)),IF(M1403&lt;=O1403,"Valor ≤ venal IPTU",""),"")</f>
        <v/>
      </c>
      <c r="U1403" s="10">
        <f>IF(AND(ISNUMBER(M1403),ISNUMBER(N1403)),IF(N1403&gt;0,M1403/N1403,""),"")</f>
        <v/>
      </c>
      <c r="V1403" s="10">
        <f>IF(AND(ISNUMBER(M1403),ISNUMBER(O1403)),IF(O1403&gt;0,M1403/O1403,""),"")</f>
        <v/>
      </c>
      <c r="W1403" s="10">
        <f>IF(AND(ISNUMBER(M1403),ISNUMBER(R1403)),IF(R1403&gt;0,M1403/R1403,""),"")</f>
        <v/>
      </c>
      <c r="X1403" s="10">
        <f>IF(AND(ISNUMBER(Q1403),ISNUMBER(M1403)),IF(M1403&gt;0,Q1403/M1403,""),"")</f>
        <v/>
      </c>
      <c r="Y1403" s="11">
        <f>IF(ISNUMBER(Z1403),YEAR(Z1403),"")</f>
        <v/>
      </c>
      <c r="Z1403" s="12" t="n"/>
      <c r="AA1403" s="12" t="n"/>
      <c r="AI1403" s="12" t="n"/>
      <c r="AJ1403" s="13">
        <f>IF(LEN(TRIM(AF1403))=0,"",HYPERLINK("https://www.google.com/maps/@?api=1&amp;map_action=pano&amp;viewpoint="&amp;SUBSTITUTE(AF1403," ",""),"Abrir Street View"))</f>
        <v/>
      </c>
    </row>
    <row r="1404">
      <c r="H1404" s="6" t="n"/>
      <c r="I1404" s="6" t="n"/>
      <c r="M1404" s="7" t="n"/>
      <c r="N1404" s="7" t="n"/>
      <c r="O1404" s="7" t="n"/>
      <c r="Q1404" s="7" t="n"/>
      <c r="R1404" s="7" t="n"/>
      <c r="S1404" s="8">
        <f>IF(NOT(ISNUMBER(M1404)),"",IF(G1404="Terreno",IF(AND(ISNUMBER(I1404),I1404&gt;0),M1404/I1404,""),IF(AND(ISNUMBER(H1404),H1404&gt;0),M1404/H1404,"")))</f>
        <v/>
      </c>
      <c r="T1404" s="9">
        <f>IF(AND(ISNUMBER(M1404),ISNUMBER(O1404)),IF(M1404&lt;=O1404,"Valor ≤ venal IPTU",""),"")</f>
        <v/>
      </c>
      <c r="U1404" s="10">
        <f>IF(AND(ISNUMBER(M1404),ISNUMBER(N1404)),IF(N1404&gt;0,M1404/N1404,""),"")</f>
        <v/>
      </c>
      <c r="V1404" s="10">
        <f>IF(AND(ISNUMBER(M1404),ISNUMBER(O1404)),IF(O1404&gt;0,M1404/O1404,""),"")</f>
        <v/>
      </c>
      <c r="W1404" s="10">
        <f>IF(AND(ISNUMBER(M1404),ISNUMBER(R1404)),IF(R1404&gt;0,M1404/R1404,""),"")</f>
        <v/>
      </c>
      <c r="X1404" s="10">
        <f>IF(AND(ISNUMBER(Q1404),ISNUMBER(M1404)),IF(M1404&gt;0,Q1404/M1404,""),"")</f>
        <v/>
      </c>
      <c r="Y1404" s="11">
        <f>IF(ISNUMBER(Z1404),YEAR(Z1404),"")</f>
        <v/>
      </c>
      <c r="Z1404" s="12" t="n"/>
      <c r="AA1404" s="12" t="n"/>
      <c r="AI1404" s="12" t="n"/>
      <c r="AJ1404" s="13">
        <f>IF(LEN(TRIM(AF1404))=0,"",HYPERLINK("https://www.google.com/maps/@?api=1&amp;map_action=pano&amp;viewpoint="&amp;SUBSTITUTE(AF1404," ",""),"Abrir Street View"))</f>
        <v/>
      </c>
    </row>
    <row r="1405">
      <c r="H1405" s="6" t="n"/>
      <c r="I1405" s="6" t="n"/>
      <c r="M1405" s="7" t="n"/>
      <c r="N1405" s="7" t="n"/>
      <c r="O1405" s="7" t="n"/>
      <c r="Q1405" s="7" t="n"/>
      <c r="R1405" s="7" t="n"/>
      <c r="S1405" s="8">
        <f>IF(NOT(ISNUMBER(M1405)),"",IF(G1405="Terreno",IF(AND(ISNUMBER(I1405),I1405&gt;0),M1405/I1405,""),IF(AND(ISNUMBER(H1405),H1405&gt;0),M1405/H1405,"")))</f>
        <v/>
      </c>
      <c r="T1405" s="9">
        <f>IF(AND(ISNUMBER(M1405),ISNUMBER(O1405)),IF(M1405&lt;=O1405,"Valor ≤ venal IPTU",""),"")</f>
        <v/>
      </c>
      <c r="U1405" s="10">
        <f>IF(AND(ISNUMBER(M1405),ISNUMBER(N1405)),IF(N1405&gt;0,M1405/N1405,""),"")</f>
        <v/>
      </c>
      <c r="V1405" s="10">
        <f>IF(AND(ISNUMBER(M1405),ISNUMBER(O1405)),IF(O1405&gt;0,M1405/O1405,""),"")</f>
        <v/>
      </c>
      <c r="W1405" s="10">
        <f>IF(AND(ISNUMBER(M1405),ISNUMBER(R1405)),IF(R1405&gt;0,M1405/R1405,""),"")</f>
        <v/>
      </c>
      <c r="X1405" s="10">
        <f>IF(AND(ISNUMBER(Q1405),ISNUMBER(M1405)),IF(M1405&gt;0,Q1405/M1405,""),"")</f>
        <v/>
      </c>
      <c r="Y1405" s="11">
        <f>IF(ISNUMBER(Z1405),YEAR(Z1405),"")</f>
        <v/>
      </c>
      <c r="Z1405" s="12" t="n"/>
      <c r="AA1405" s="12" t="n"/>
      <c r="AI1405" s="12" t="n"/>
      <c r="AJ1405" s="13">
        <f>IF(LEN(TRIM(AF1405))=0,"",HYPERLINK("https://www.google.com/maps/@?api=1&amp;map_action=pano&amp;viewpoint="&amp;SUBSTITUTE(AF1405," ",""),"Abrir Street View"))</f>
        <v/>
      </c>
    </row>
    <row r="1406">
      <c r="H1406" s="6" t="n"/>
      <c r="I1406" s="6" t="n"/>
      <c r="M1406" s="7" t="n"/>
      <c r="N1406" s="7" t="n"/>
      <c r="O1406" s="7" t="n"/>
      <c r="Q1406" s="7" t="n"/>
      <c r="R1406" s="7" t="n"/>
      <c r="S1406" s="8">
        <f>IF(NOT(ISNUMBER(M1406)),"",IF(G1406="Terreno",IF(AND(ISNUMBER(I1406),I1406&gt;0),M1406/I1406,""),IF(AND(ISNUMBER(H1406),H1406&gt;0),M1406/H1406,"")))</f>
        <v/>
      </c>
      <c r="T1406" s="9">
        <f>IF(AND(ISNUMBER(M1406),ISNUMBER(O1406)),IF(M1406&lt;=O1406,"Valor ≤ venal IPTU",""),"")</f>
        <v/>
      </c>
      <c r="U1406" s="10">
        <f>IF(AND(ISNUMBER(M1406),ISNUMBER(N1406)),IF(N1406&gt;0,M1406/N1406,""),"")</f>
        <v/>
      </c>
      <c r="V1406" s="10">
        <f>IF(AND(ISNUMBER(M1406),ISNUMBER(O1406)),IF(O1406&gt;0,M1406/O1406,""),"")</f>
        <v/>
      </c>
      <c r="W1406" s="10">
        <f>IF(AND(ISNUMBER(M1406),ISNUMBER(R1406)),IF(R1406&gt;0,M1406/R1406,""),"")</f>
        <v/>
      </c>
      <c r="X1406" s="10">
        <f>IF(AND(ISNUMBER(Q1406),ISNUMBER(M1406)),IF(M1406&gt;0,Q1406/M1406,""),"")</f>
        <v/>
      </c>
      <c r="Y1406" s="11">
        <f>IF(ISNUMBER(Z1406),YEAR(Z1406),"")</f>
        <v/>
      </c>
      <c r="Z1406" s="12" t="n"/>
      <c r="AA1406" s="12" t="n"/>
      <c r="AI1406" s="12" t="n"/>
      <c r="AJ1406" s="13">
        <f>IF(LEN(TRIM(AF1406))=0,"",HYPERLINK("https://www.google.com/maps/@?api=1&amp;map_action=pano&amp;viewpoint="&amp;SUBSTITUTE(AF1406," ",""),"Abrir Street View"))</f>
        <v/>
      </c>
    </row>
    <row r="1407">
      <c r="H1407" s="6" t="n"/>
      <c r="I1407" s="6" t="n"/>
      <c r="M1407" s="7" t="n"/>
      <c r="N1407" s="7" t="n"/>
      <c r="O1407" s="7" t="n"/>
      <c r="Q1407" s="7" t="n"/>
      <c r="R1407" s="7" t="n"/>
      <c r="S1407" s="8">
        <f>IF(NOT(ISNUMBER(M1407)),"",IF(G1407="Terreno",IF(AND(ISNUMBER(I1407),I1407&gt;0),M1407/I1407,""),IF(AND(ISNUMBER(H1407),H1407&gt;0),M1407/H1407,"")))</f>
        <v/>
      </c>
      <c r="T1407" s="9">
        <f>IF(AND(ISNUMBER(M1407),ISNUMBER(O1407)),IF(M1407&lt;=O1407,"Valor ≤ venal IPTU",""),"")</f>
        <v/>
      </c>
      <c r="U1407" s="10">
        <f>IF(AND(ISNUMBER(M1407),ISNUMBER(N1407)),IF(N1407&gt;0,M1407/N1407,""),"")</f>
        <v/>
      </c>
      <c r="V1407" s="10">
        <f>IF(AND(ISNUMBER(M1407),ISNUMBER(O1407)),IF(O1407&gt;0,M1407/O1407,""),"")</f>
        <v/>
      </c>
      <c r="W1407" s="10">
        <f>IF(AND(ISNUMBER(M1407),ISNUMBER(R1407)),IF(R1407&gt;0,M1407/R1407,""),"")</f>
        <v/>
      </c>
      <c r="X1407" s="10">
        <f>IF(AND(ISNUMBER(Q1407),ISNUMBER(M1407)),IF(M1407&gt;0,Q1407/M1407,""),"")</f>
        <v/>
      </c>
      <c r="Y1407" s="11">
        <f>IF(ISNUMBER(Z1407),YEAR(Z1407),"")</f>
        <v/>
      </c>
      <c r="Z1407" s="12" t="n"/>
      <c r="AA1407" s="12" t="n"/>
      <c r="AI1407" s="12" t="n"/>
      <c r="AJ1407" s="13">
        <f>IF(LEN(TRIM(AF1407))=0,"",HYPERLINK("https://www.google.com/maps/@?api=1&amp;map_action=pano&amp;viewpoint="&amp;SUBSTITUTE(AF1407," ",""),"Abrir Street View"))</f>
        <v/>
      </c>
    </row>
    <row r="1408">
      <c r="H1408" s="6" t="n"/>
      <c r="I1408" s="6" t="n"/>
      <c r="M1408" s="7" t="n"/>
      <c r="N1408" s="7" t="n"/>
      <c r="O1408" s="7" t="n"/>
      <c r="Q1408" s="7" t="n"/>
      <c r="R1408" s="7" t="n"/>
      <c r="S1408" s="8">
        <f>IF(NOT(ISNUMBER(M1408)),"",IF(G1408="Terreno",IF(AND(ISNUMBER(I1408),I1408&gt;0),M1408/I1408,""),IF(AND(ISNUMBER(H1408),H1408&gt;0),M1408/H1408,"")))</f>
        <v/>
      </c>
      <c r="T1408" s="9">
        <f>IF(AND(ISNUMBER(M1408),ISNUMBER(O1408)),IF(M1408&lt;=O1408,"Valor ≤ venal IPTU",""),"")</f>
        <v/>
      </c>
      <c r="U1408" s="10">
        <f>IF(AND(ISNUMBER(M1408),ISNUMBER(N1408)),IF(N1408&gt;0,M1408/N1408,""),"")</f>
        <v/>
      </c>
      <c r="V1408" s="10">
        <f>IF(AND(ISNUMBER(M1408),ISNUMBER(O1408)),IF(O1408&gt;0,M1408/O1408,""),"")</f>
        <v/>
      </c>
      <c r="W1408" s="10">
        <f>IF(AND(ISNUMBER(M1408),ISNUMBER(R1408)),IF(R1408&gt;0,M1408/R1408,""),"")</f>
        <v/>
      </c>
      <c r="X1408" s="10">
        <f>IF(AND(ISNUMBER(Q1408),ISNUMBER(M1408)),IF(M1408&gt;0,Q1408/M1408,""),"")</f>
        <v/>
      </c>
      <c r="Y1408" s="11">
        <f>IF(ISNUMBER(Z1408),YEAR(Z1408),"")</f>
        <v/>
      </c>
      <c r="Z1408" s="12" t="n"/>
      <c r="AA1408" s="12" t="n"/>
      <c r="AI1408" s="12" t="n"/>
      <c r="AJ1408" s="13">
        <f>IF(LEN(TRIM(AF1408))=0,"",HYPERLINK("https://www.google.com/maps/@?api=1&amp;map_action=pano&amp;viewpoint="&amp;SUBSTITUTE(AF1408," ",""),"Abrir Street View"))</f>
        <v/>
      </c>
    </row>
    <row r="1409">
      <c r="H1409" s="6" t="n"/>
      <c r="I1409" s="6" t="n"/>
      <c r="M1409" s="7" t="n"/>
      <c r="N1409" s="7" t="n"/>
      <c r="O1409" s="7" t="n"/>
      <c r="Q1409" s="7" t="n"/>
      <c r="R1409" s="7" t="n"/>
      <c r="S1409" s="8">
        <f>IF(NOT(ISNUMBER(M1409)),"",IF(G1409="Terreno",IF(AND(ISNUMBER(I1409),I1409&gt;0),M1409/I1409,""),IF(AND(ISNUMBER(H1409),H1409&gt;0),M1409/H1409,"")))</f>
        <v/>
      </c>
      <c r="T1409" s="9">
        <f>IF(AND(ISNUMBER(M1409),ISNUMBER(O1409)),IF(M1409&lt;=O1409,"Valor ≤ venal IPTU",""),"")</f>
        <v/>
      </c>
      <c r="U1409" s="10">
        <f>IF(AND(ISNUMBER(M1409),ISNUMBER(N1409)),IF(N1409&gt;0,M1409/N1409,""),"")</f>
        <v/>
      </c>
      <c r="V1409" s="10">
        <f>IF(AND(ISNUMBER(M1409),ISNUMBER(O1409)),IF(O1409&gt;0,M1409/O1409,""),"")</f>
        <v/>
      </c>
      <c r="W1409" s="10">
        <f>IF(AND(ISNUMBER(M1409),ISNUMBER(R1409)),IF(R1409&gt;0,M1409/R1409,""),"")</f>
        <v/>
      </c>
      <c r="X1409" s="10">
        <f>IF(AND(ISNUMBER(Q1409),ISNUMBER(M1409)),IF(M1409&gt;0,Q1409/M1409,""),"")</f>
        <v/>
      </c>
      <c r="Y1409" s="11">
        <f>IF(ISNUMBER(Z1409),YEAR(Z1409),"")</f>
        <v/>
      </c>
      <c r="Z1409" s="12" t="n"/>
      <c r="AA1409" s="12" t="n"/>
      <c r="AI1409" s="12" t="n"/>
      <c r="AJ1409" s="13">
        <f>IF(LEN(TRIM(AF1409))=0,"",HYPERLINK("https://www.google.com/maps/@?api=1&amp;map_action=pano&amp;viewpoint="&amp;SUBSTITUTE(AF1409," ",""),"Abrir Street View"))</f>
        <v/>
      </c>
    </row>
    <row r="1410">
      <c r="H1410" s="6" t="n"/>
      <c r="I1410" s="6" t="n"/>
      <c r="M1410" s="7" t="n"/>
      <c r="N1410" s="7" t="n"/>
      <c r="O1410" s="7" t="n"/>
      <c r="Q1410" s="7" t="n"/>
      <c r="R1410" s="7" t="n"/>
      <c r="S1410" s="8">
        <f>IF(NOT(ISNUMBER(M1410)),"",IF(G1410="Terreno",IF(AND(ISNUMBER(I1410),I1410&gt;0),M1410/I1410,""),IF(AND(ISNUMBER(H1410),H1410&gt;0),M1410/H1410,"")))</f>
        <v/>
      </c>
      <c r="T1410" s="9">
        <f>IF(AND(ISNUMBER(M1410),ISNUMBER(O1410)),IF(M1410&lt;=O1410,"Valor ≤ venal IPTU",""),"")</f>
        <v/>
      </c>
      <c r="U1410" s="10">
        <f>IF(AND(ISNUMBER(M1410),ISNUMBER(N1410)),IF(N1410&gt;0,M1410/N1410,""),"")</f>
        <v/>
      </c>
      <c r="V1410" s="10">
        <f>IF(AND(ISNUMBER(M1410),ISNUMBER(O1410)),IF(O1410&gt;0,M1410/O1410,""),"")</f>
        <v/>
      </c>
      <c r="W1410" s="10">
        <f>IF(AND(ISNUMBER(M1410),ISNUMBER(R1410)),IF(R1410&gt;0,M1410/R1410,""),"")</f>
        <v/>
      </c>
      <c r="X1410" s="10">
        <f>IF(AND(ISNUMBER(Q1410),ISNUMBER(M1410)),IF(M1410&gt;0,Q1410/M1410,""),"")</f>
        <v/>
      </c>
      <c r="Y1410" s="11">
        <f>IF(ISNUMBER(Z1410),YEAR(Z1410),"")</f>
        <v/>
      </c>
      <c r="Z1410" s="12" t="n"/>
      <c r="AA1410" s="12" t="n"/>
      <c r="AI1410" s="12" t="n"/>
      <c r="AJ1410" s="13">
        <f>IF(LEN(TRIM(AF1410))=0,"",HYPERLINK("https://www.google.com/maps/@?api=1&amp;map_action=pano&amp;viewpoint="&amp;SUBSTITUTE(AF1410," ",""),"Abrir Street View"))</f>
        <v/>
      </c>
    </row>
    <row r="1411">
      <c r="H1411" s="6" t="n"/>
      <c r="I1411" s="6" t="n"/>
      <c r="M1411" s="7" t="n"/>
      <c r="N1411" s="7" t="n"/>
      <c r="O1411" s="7" t="n"/>
      <c r="Q1411" s="7" t="n"/>
      <c r="R1411" s="7" t="n"/>
      <c r="S1411" s="8">
        <f>IF(NOT(ISNUMBER(M1411)),"",IF(G1411="Terreno",IF(AND(ISNUMBER(I1411),I1411&gt;0),M1411/I1411,""),IF(AND(ISNUMBER(H1411),H1411&gt;0),M1411/H1411,"")))</f>
        <v/>
      </c>
      <c r="T1411" s="9">
        <f>IF(AND(ISNUMBER(M1411),ISNUMBER(O1411)),IF(M1411&lt;=O1411,"Valor ≤ venal IPTU",""),"")</f>
        <v/>
      </c>
      <c r="U1411" s="10">
        <f>IF(AND(ISNUMBER(M1411),ISNUMBER(N1411)),IF(N1411&gt;0,M1411/N1411,""),"")</f>
        <v/>
      </c>
      <c r="V1411" s="10">
        <f>IF(AND(ISNUMBER(M1411),ISNUMBER(O1411)),IF(O1411&gt;0,M1411/O1411,""),"")</f>
        <v/>
      </c>
      <c r="W1411" s="10">
        <f>IF(AND(ISNUMBER(M1411),ISNUMBER(R1411)),IF(R1411&gt;0,M1411/R1411,""),"")</f>
        <v/>
      </c>
      <c r="X1411" s="10">
        <f>IF(AND(ISNUMBER(Q1411),ISNUMBER(M1411)),IF(M1411&gt;0,Q1411/M1411,""),"")</f>
        <v/>
      </c>
      <c r="Y1411" s="11">
        <f>IF(ISNUMBER(Z1411),YEAR(Z1411),"")</f>
        <v/>
      </c>
      <c r="Z1411" s="12" t="n"/>
      <c r="AA1411" s="12" t="n"/>
      <c r="AI1411" s="12" t="n"/>
      <c r="AJ1411" s="13">
        <f>IF(LEN(TRIM(AF1411))=0,"",HYPERLINK("https://www.google.com/maps/@?api=1&amp;map_action=pano&amp;viewpoint="&amp;SUBSTITUTE(AF1411," ",""),"Abrir Street View"))</f>
        <v/>
      </c>
    </row>
    <row r="1412">
      <c r="H1412" s="6" t="n"/>
      <c r="I1412" s="6" t="n"/>
      <c r="M1412" s="7" t="n"/>
      <c r="N1412" s="7" t="n"/>
      <c r="O1412" s="7" t="n"/>
      <c r="Q1412" s="7" t="n"/>
      <c r="R1412" s="7" t="n"/>
      <c r="S1412" s="8">
        <f>IF(NOT(ISNUMBER(M1412)),"",IF(G1412="Terreno",IF(AND(ISNUMBER(I1412),I1412&gt;0),M1412/I1412,""),IF(AND(ISNUMBER(H1412),H1412&gt;0),M1412/H1412,"")))</f>
        <v/>
      </c>
      <c r="T1412" s="9">
        <f>IF(AND(ISNUMBER(M1412),ISNUMBER(O1412)),IF(M1412&lt;=O1412,"Valor ≤ venal IPTU",""),"")</f>
        <v/>
      </c>
      <c r="U1412" s="10">
        <f>IF(AND(ISNUMBER(M1412),ISNUMBER(N1412)),IF(N1412&gt;0,M1412/N1412,""),"")</f>
        <v/>
      </c>
      <c r="V1412" s="10">
        <f>IF(AND(ISNUMBER(M1412),ISNUMBER(O1412)),IF(O1412&gt;0,M1412/O1412,""),"")</f>
        <v/>
      </c>
      <c r="W1412" s="10">
        <f>IF(AND(ISNUMBER(M1412),ISNUMBER(R1412)),IF(R1412&gt;0,M1412/R1412,""),"")</f>
        <v/>
      </c>
      <c r="X1412" s="10">
        <f>IF(AND(ISNUMBER(Q1412),ISNUMBER(M1412)),IF(M1412&gt;0,Q1412/M1412,""),"")</f>
        <v/>
      </c>
      <c r="Y1412" s="11">
        <f>IF(ISNUMBER(Z1412),YEAR(Z1412),"")</f>
        <v/>
      </c>
      <c r="Z1412" s="12" t="n"/>
      <c r="AA1412" s="12" t="n"/>
      <c r="AI1412" s="12" t="n"/>
      <c r="AJ1412" s="13">
        <f>IF(LEN(TRIM(AF1412))=0,"",HYPERLINK("https://www.google.com/maps/@?api=1&amp;map_action=pano&amp;viewpoint="&amp;SUBSTITUTE(AF1412," ",""),"Abrir Street View"))</f>
        <v/>
      </c>
    </row>
    <row r="1413">
      <c r="H1413" s="6" t="n"/>
      <c r="I1413" s="6" t="n"/>
      <c r="M1413" s="7" t="n"/>
      <c r="N1413" s="7" t="n"/>
      <c r="O1413" s="7" t="n"/>
      <c r="Q1413" s="7" t="n"/>
      <c r="R1413" s="7" t="n"/>
      <c r="S1413" s="8">
        <f>IF(NOT(ISNUMBER(M1413)),"",IF(G1413="Terreno",IF(AND(ISNUMBER(I1413),I1413&gt;0),M1413/I1413,""),IF(AND(ISNUMBER(H1413),H1413&gt;0),M1413/H1413,"")))</f>
        <v/>
      </c>
      <c r="T1413" s="9">
        <f>IF(AND(ISNUMBER(M1413),ISNUMBER(O1413)),IF(M1413&lt;=O1413,"Valor ≤ venal IPTU",""),"")</f>
        <v/>
      </c>
      <c r="U1413" s="10">
        <f>IF(AND(ISNUMBER(M1413),ISNUMBER(N1413)),IF(N1413&gt;0,M1413/N1413,""),"")</f>
        <v/>
      </c>
      <c r="V1413" s="10">
        <f>IF(AND(ISNUMBER(M1413),ISNUMBER(O1413)),IF(O1413&gt;0,M1413/O1413,""),"")</f>
        <v/>
      </c>
      <c r="W1413" s="10">
        <f>IF(AND(ISNUMBER(M1413),ISNUMBER(R1413)),IF(R1413&gt;0,M1413/R1413,""),"")</f>
        <v/>
      </c>
      <c r="X1413" s="10">
        <f>IF(AND(ISNUMBER(Q1413),ISNUMBER(M1413)),IF(M1413&gt;0,Q1413/M1413,""),"")</f>
        <v/>
      </c>
      <c r="Y1413" s="11">
        <f>IF(ISNUMBER(Z1413),YEAR(Z1413),"")</f>
        <v/>
      </c>
      <c r="Z1413" s="12" t="n"/>
      <c r="AA1413" s="12" t="n"/>
      <c r="AI1413" s="12" t="n"/>
      <c r="AJ1413" s="13">
        <f>IF(LEN(TRIM(AF1413))=0,"",HYPERLINK("https://www.google.com/maps/@?api=1&amp;map_action=pano&amp;viewpoint="&amp;SUBSTITUTE(AF1413," ",""),"Abrir Street View"))</f>
        <v/>
      </c>
    </row>
    <row r="1414">
      <c r="H1414" s="6" t="n"/>
      <c r="I1414" s="6" t="n"/>
      <c r="M1414" s="7" t="n"/>
      <c r="N1414" s="7" t="n"/>
      <c r="O1414" s="7" t="n"/>
      <c r="Q1414" s="7" t="n"/>
      <c r="R1414" s="7" t="n"/>
      <c r="S1414" s="8">
        <f>IF(NOT(ISNUMBER(M1414)),"",IF(G1414="Terreno",IF(AND(ISNUMBER(I1414),I1414&gt;0),M1414/I1414,""),IF(AND(ISNUMBER(H1414),H1414&gt;0),M1414/H1414,"")))</f>
        <v/>
      </c>
      <c r="T1414" s="9">
        <f>IF(AND(ISNUMBER(M1414),ISNUMBER(O1414)),IF(M1414&lt;=O1414,"Valor ≤ venal IPTU",""),"")</f>
        <v/>
      </c>
      <c r="U1414" s="10">
        <f>IF(AND(ISNUMBER(M1414),ISNUMBER(N1414)),IF(N1414&gt;0,M1414/N1414,""),"")</f>
        <v/>
      </c>
      <c r="V1414" s="10">
        <f>IF(AND(ISNUMBER(M1414),ISNUMBER(O1414)),IF(O1414&gt;0,M1414/O1414,""),"")</f>
        <v/>
      </c>
      <c r="W1414" s="10">
        <f>IF(AND(ISNUMBER(M1414),ISNUMBER(R1414)),IF(R1414&gt;0,M1414/R1414,""),"")</f>
        <v/>
      </c>
      <c r="X1414" s="10">
        <f>IF(AND(ISNUMBER(Q1414),ISNUMBER(M1414)),IF(M1414&gt;0,Q1414/M1414,""),"")</f>
        <v/>
      </c>
      <c r="Y1414" s="11">
        <f>IF(ISNUMBER(Z1414),YEAR(Z1414),"")</f>
        <v/>
      </c>
      <c r="Z1414" s="12" t="n"/>
      <c r="AA1414" s="12" t="n"/>
      <c r="AI1414" s="12" t="n"/>
      <c r="AJ1414" s="13">
        <f>IF(LEN(TRIM(AF1414))=0,"",HYPERLINK("https://www.google.com/maps/@?api=1&amp;map_action=pano&amp;viewpoint="&amp;SUBSTITUTE(AF1414," ",""),"Abrir Street View"))</f>
        <v/>
      </c>
    </row>
    <row r="1415">
      <c r="H1415" s="6" t="n"/>
      <c r="I1415" s="6" t="n"/>
      <c r="M1415" s="7" t="n"/>
      <c r="N1415" s="7" t="n"/>
      <c r="O1415" s="7" t="n"/>
      <c r="Q1415" s="7" t="n"/>
      <c r="R1415" s="7" t="n"/>
      <c r="S1415" s="8">
        <f>IF(NOT(ISNUMBER(M1415)),"",IF(G1415="Terreno",IF(AND(ISNUMBER(I1415),I1415&gt;0),M1415/I1415,""),IF(AND(ISNUMBER(H1415),H1415&gt;0),M1415/H1415,"")))</f>
        <v/>
      </c>
      <c r="T1415" s="9">
        <f>IF(AND(ISNUMBER(M1415),ISNUMBER(O1415)),IF(M1415&lt;=O1415,"Valor ≤ venal IPTU",""),"")</f>
        <v/>
      </c>
      <c r="U1415" s="10">
        <f>IF(AND(ISNUMBER(M1415),ISNUMBER(N1415)),IF(N1415&gt;0,M1415/N1415,""),"")</f>
        <v/>
      </c>
      <c r="V1415" s="10">
        <f>IF(AND(ISNUMBER(M1415),ISNUMBER(O1415)),IF(O1415&gt;0,M1415/O1415,""),"")</f>
        <v/>
      </c>
      <c r="W1415" s="10">
        <f>IF(AND(ISNUMBER(M1415),ISNUMBER(R1415)),IF(R1415&gt;0,M1415/R1415,""),"")</f>
        <v/>
      </c>
      <c r="X1415" s="10">
        <f>IF(AND(ISNUMBER(Q1415),ISNUMBER(M1415)),IF(M1415&gt;0,Q1415/M1415,""),"")</f>
        <v/>
      </c>
      <c r="Y1415" s="11">
        <f>IF(ISNUMBER(Z1415),YEAR(Z1415),"")</f>
        <v/>
      </c>
      <c r="Z1415" s="12" t="n"/>
      <c r="AA1415" s="12" t="n"/>
      <c r="AI1415" s="12" t="n"/>
      <c r="AJ1415" s="13">
        <f>IF(LEN(TRIM(AF1415))=0,"",HYPERLINK("https://www.google.com/maps/@?api=1&amp;map_action=pano&amp;viewpoint="&amp;SUBSTITUTE(AF1415," ",""),"Abrir Street View"))</f>
        <v/>
      </c>
    </row>
    <row r="1416">
      <c r="H1416" s="6" t="n"/>
      <c r="I1416" s="6" t="n"/>
      <c r="M1416" s="7" t="n"/>
      <c r="N1416" s="7" t="n"/>
      <c r="O1416" s="7" t="n"/>
      <c r="Q1416" s="7" t="n"/>
      <c r="R1416" s="7" t="n"/>
      <c r="S1416" s="8">
        <f>IF(NOT(ISNUMBER(M1416)),"",IF(G1416="Terreno",IF(AND(ISNUMBER(I1416),I1416&gt;0),M1416/I1416,""),IF(AND(ISNUMBER(H1416),H1416&gt;0),M1416/H1416,"")))</f>
        <v/>
      </c>
      <c r="T1416" s="9">
        <f>IF(AND(ISNUMBER(M1416),ISNUMBER(O1416)),IF(M1416&lt;=O1416,"Valor ≤ venal IPTU",""),"")</f>
        <v/>
      </c>
      <c r="U1416" s="10">
        <f>IF(AND(ISNUMBER(M1416),ISNUMBER(N1416)),IF(N1416&gt;0,M1416/N1416,""),"")</f>
        <v/>
      </c>
      <c r="V1416" s="10">
        <f>IF(AND(ISNUMBER(M1416),ISNUMBER(O1416)),IF(O1416&gt;0,M1416/O1416,""),"")</f>
        <v/>
      </c>
      <c r="W1416" s="10">
        <f>IF(AND(ISNUMBER(M1416),ISNUMBER(R1416)),IF(R1416&gt;0,M1416/R1416,""),"")</f>
        <v/>
      </c>
      <c r="X1416" s="10">
        <f>IF(AND(ISNUMBER(Q1416),ISNUMBER(M1416)),IF(M1416&gt;0,Q1416/M1416,""),"")</f>
        <v/>
      </c>
      <c r="Y1416" s="11">
        <f>IF(ISNUMBER(Z1416),YEAR(Z1416),"")</f>
        <v/>
      </c>
      <c r="Z1416" s="12" t="n"/>
      <c r="AA1416" s="12" t="n"/>
      <c r="AI1416" s="12" t="n"/>
      <c r="AJ1416" s="13">
        <f>IF(LEN(TRIM(AF1416))=0,"",HYPERLINK("https://www.google.com/maps/@?api=1&amp;map_action=pano&amp;viewpoint="&amp;SUBSTITUTE(AF1416," ",""),"Abrir Street View"))</f>
        <v/>
      </c>
    </row>
    <row r="1417">
      <c r="H1417" s="6" t="n"/>
      <c r="I1417" s="6" t="n"/>
      <c r="M1417" s="7" t="n"/>
      <c r="N1417" s="7" t="n"/>
      <c r="O1417" s="7" t="n"/>
      <c r="Q1417" s="7" t="n"/>
      <c r="R1417" s="7" t="n"/>
      <c r="S1417" s="8">
        <f>IF(NOT(ISNUMBER(M1417)),"",IF(G1417="Terreno",IF(AND(ISNUMBER(I1417),I1417&gt;0),M1417/I1417,""),IF(AND(ISNUMBER(H1417),H1417&gt;0),M1417/H1417,"")))</f>
        <v/>
      </c>
      <c r="T1417" s="9">
        <f>IF(AND(ISNUMBER(M1417),ISNUMBER(O1417)),IF(M1417&lt;=O1417,"Valor ≤ venal IPTU",""),"")</f>
        <v/>
      </c>
      <c r="U1417" s="10">
        <f>IF(AND(ISNUMBER(M1417),ISNUMBER(N1417)),IF(N1417&gt;0,M1417/N1417,""),"")</f>
        <v/>
      </c>
      <c r="V1417" s="10">
        <f>IF(AND(ISNUMBER(M1417),ISNUMBER(O1417)),IF(O1417&gt;0,M1417/O1417,""),"")</f>
        <v/>
      </c>
      <c r="W1417" s="10">
        <f>IF(AND(ISNUMBER(M1417),ISNUMBER(R1417)),IF(R1417&gt;0,M1417/R1417,""),"")</f>
        <v/>
      </c>
      <c r="X1417" s="10">
        <f>IF(AND(ISNUMBER(Q1417),ISNUMBER(M1417)),IF(M1417&gt;0,Q1417/M1417,""),"")</f>
        <v/>
      </c>
      <c r="Y1417" s="11">
        <f>IF(ISNUMBER(Z1417),YEAR(Z1417),"")</f>
        <v/>
      </c>
      <c r="Z1417" s="12" t="n"/>
      <c r="AA1417" s="12" t="n"/>
      <c r="AI1417" s="12" t="n"/>
      <c r="AJ1417" s="13">
        <f>IF(LEN(TRIM(AF1417))=0,"",HYPERLINK("https://www.google.com/maps/@?api=1&amp;map_action=pano&amp;viewpoint="&amp;SUBSTITUTE(AF1417," ",""),"Abrir Street View"))</f>
        <v/>
      </c>
    </row>
    <row r="1418">
      <c r="H1418" s="6" t="n"/>
      <c r="I1418" s="6" t="n"/>
      <c r="M1418" s="7" t="n"/>
      <c r="N1418" s="7" t="n"/>
      <c r="O1418" s="7" t="n"/>
      <c r="Q1418" s="7" t="n"/>
      <c r="R1418" s="7" t="n"/>
      <c r="S1418" s="8">
        <f>IF(NOT(ISNUMBER(M1418)),"",IF(G1418="Terreno",IF(AND(ISNUMBER(I1418),I1418&gt;0),M1418/I1418,""),IF(AND(ISNUMBER(H1418),H1418&gt;0),M1418/H1418,"")))</f>
        <v/>
      </c>
      <c r="T1418" s="9">
        <f>IF(AND(ISNUMBER(M1418),ISNUMBER(O1418)),IF(M1418&lt;=O1418,"Valor ≤ venal IPTU",""),"")</f>
        <v/>
      </c>
      <c r="U1418" s="10">
        <f>IF(AND(ISNUMBER(M1418),ISNUMBER(N1418)),IF(N1418&gt;0,M1418/N1418,""),"")</f>
        <v/>
      </c>
      <c r="V1418" s="10">
        <f>IF(AND(ISNUMBER(M1418),ISNUMBER(O1418)),IF(O1418&gt;0,M1418/O1418,""),"")</f>
        <v/>
      </c>
      <c r="W1418" s="10">
        <f>IF(AND(ISNUMBER(M1418),ISNUMBER(R1418)),IF(R1418&gt;0,M1418/R1418,""),"")</f>
        <v/>
      </c>
      <c r="X1418" s="10">
        <f>IF(AND(ISNUMBER(Q1418),ISNUMBER(M1418)),IF(M1418&gt;0,Q1418/M1418,""),"")</f>
        <v/>
      </c>
      <c r="Y1418" s="11">
        <f>IF(ISNUMBER(Z1418),YEAR(Z1418),"")</f>
        <v/>
      </c>
      <c r="Z1418" s="12" t="n"/>
      <c r="AA1418" s="12" t="n"/>
      <c r="AI1418" s="12" t="n"/>
      <c r="AJ1418" s="13">
        <f>IF(LEN(TRIM(AF1418))=0,"",HYPERLINK("https://www.google.com/maps/@?api=1&amp;map_action=pano&amp;viewpoint="&amp;SUBSTITUTE(AF1418," ",""),"Abrir Street View"))</f>
        <v/>
      </c>
    </row>
    <row r="1419">
      <c r="H1419" s="6" t="n"/>
      <c r="I1419" s="6" t="n"/>
      <c r="M1419" s="7" t="n"/>
      <c r="N1419" s="7" t="n"/>
      <c r="O1419" s="7" t="n"/>
      <c r="Q1419" s="7" t="n"/>
      <c r="R1419" s="7" t="n"/>
      <c r="S1419" s="8">
        <f>IF(NOT(ISNUMBER(M1419)),"",IF(G1419="Terreno",IF(AND(ISNUMBER(I1419),I1419&gt;0),M1419/I1419,""),IF(AND(ISNUMBER(H1419),H1419&gt;0),M1419/H1419,"")))</f>
        <v/>
      </c>
      <c r="T1419" s="9">
        <f>IF(AND(ISNUMBER(M1419),ISNUMBER(O1419)),IF(M1419&lt;=O1419,"Valor ≤ venal IPTU",""),"")</f>
        <v/>
      </c>
      <c r="U1419" s="10">
        <f>IF(AND(ISNUMBER(M1419),ISNUMBER(N1419)),IF(N1419&gt;0,M1419/N1419,""),"")</f>
        <v/>
      </c>
      <c r="V1419" s="10">
        <f>IF(AND(ISNUMBER(M1419),ISNUMBER(O1419)),IF(O1419&gt;0,M1419/O1419,""),"")</f>
        <v/>
      </c>
      <c r="W1419" s="10">
        <f>IF(AND(ISNUMBER(M1419),ISNUMBER(R1419)),IF(R1419&gt;0,M1419/R1419,""),"")</f>
        <v/>
      </c>
      <c r="X1419" s="10">
        <f>IF(AND(ISNUMBER(Q1419),ISNUMBER(M1419)),IF(M1419&gt;0,Q1419/M1419,""),"")</f>
        <v/>
      </c>
      <c r="Y1419" s="11">
        <f>IF(ISNUMBER(Z1419),YEAR(Z1419),"")</f>
        <v/>
      </c>
      <c r="Z1419" s="12" t="n"/>
      <c r="AA1419" s="12" t="n"/>
      <c r="AI1419" s="12" t="n"/>
      <c r="AJ1419" s="13">
        <f>IF(LEN(TRIM(AF1419))=0,"",HYPERLINK("https://www.google.com/maps/@?api=1&amp;map_action=pano&amp;viewpoint="&amp;SUBSTITUTE(AF1419," ",""),"Abrir Street View"))</f>
        <v/>
      </c>
    </row>
    <row r="1420">
      <c r="H1420" s="6" t="n"/>
      <c r="I1420" s="6" t="n"/>
      <c r="M1420" s="7" t="n"/>
      <c r="N1420" s="7" t="n"/>
      <c r="O1420" s="7" t="n"/>
      <c r="Q1420" s="7" t="n"/>
      <c r="R1420" s="7" t="n"/>
      <c r="S1420" s="8">
        <f>IF(NOT(ISNUMBER(M1420)),"",IF(G1420="Terreno",IF(AND(ISNUMBER(I1420),I1420&gt;0),M1420/I1420,""),IF(AND(ISNUMBER(H1420),H1420&gt;0),M1420/H1420,"")))</f>
        <v/>
      </c>
      <c r="T1420" s="9">
        <f>IF(AND(ISNUMBER(M1420),ISNUMBER(O1420)),IF(M1420&lt;=O1420,"Valor ≤ venal IPTU",""),"")</f>
        <v/>
      </c>
      <c r="U1420" s="10">
        <f>IF(AND(ISNUMBER(M1420),ISNUMBER(N1420)),IF(N1420&gt;0,M1420/N1420,""),"")</f>
        <v/>
      </c>
      <c r="V1420" s="10">
        <f>IF(AND(ISNUMBER(M1420),ISNUMBER(O1420)),IF(O1420&gt;0,M1420/O1420,""),"")</f>
        <v/>
      </c>
      <c r="W1420" s="10">
        <f>IF(AND(ISNUMBER(M1420),ISNUMBER(R1420)),IF(R1420&gt;0,M1420/R1420,""),"")</f>
        <v/>
      </c>
      <c r="X1420" s="10">
        <f>IF(AND(ISNUMBER(Q1420),ISNUMBER(M1420)),IF(M1420&gt;0,Q1420/M1420,""),"")</f>
        <v/>
      </c>
      <c r="Y1420" s="11">
        <f>IF(ISNUMBER(Z1420),YEAR(Z1420),"")</f>
        <v/>
      </c>
      <c r="Z1420" s="12" t="n"/>
      <c r="AA1420" s="12" t="n"/>
      <c r="AI1420" s="12" t="n"/>
      <c r="AJ1420" s="13">
        <f>IF(LEN(TRIM(AF1420))=0,"",HYPERLINK("https://www.google.com/maps/@?api=1&amp;map_action=pano&amp;viewpoint="&amp;SUBSTITUTE(AF1420," ",""),"Abrir Street View"))</f>
        <v/>
      </c>
    </row>
    <row r="1421">
      <c r="H1421" s="6" t="n"/>
      <c r="I1421" s="6" t="n"/>
      <c r="M1421" s="7" t="n"/>
      <c r="N1421" s="7" t="n"/>
      <c r="O1421" s="7" t="n"/>
      <c r="Q1421" s="7" t="n"/>
      <c r="R1421" s="7" t="n"/>
      <c r="S1421" s="8">
        <f>IF(NOT(ISNUMBER(M1421)),"",IF(G1421="Terreno",IF(AND(ISNUMBER(I1421),I1421&gt;0),M1421/I1421,""),IF(AND(ISNUMBER(H1421),H1421&gt;0),M1421/H1421,"")))</f>
        <v/>
      </c>
      <c r="T1421" s="9">
        <f>IF(AND(ISNUMBER(M1421),ISNUMBER(O1421)),IF(M1421&lt;=O1421,"Valor ≤ venal IPTU",""),"")</f>
        <v/>
      </c>
      <c r="U1421" s="10">
        <f>IF(AND(ISNUMBER(M1421),ISNUMBER(N1421)),IF(N1421&gt;0,M1421/N1421,""),"")</f>
        <v/>
      </c>
      <c r="V1421" s="10">
        <f>IF(AND(ISNUMBER(M1421),ISNUMBER(O1421)),IF(O1421&gt;0,M1421/O1421,""),"")</f>
        <v/>
      </c>
      <c r="W1421" s="10">
        <f>IF(AND(ISNUMBER(M1421),ISNUMBER(R1421)),IF(R1421&gt;0,M1421/R1421,""),"")</f>
        <v/>
      </c>
      <c r="X1421" s="10">
        <f>IF(AND(ISNUMBER(Q1421),ISNUMBER(M1421)),IF(M1421&gt;0,Q1421/M1421,""),"")</f>
        <v/>
      </c>
      <c r="Y1421" s="11">
        <f>IF(ISNUMBER(Z1421),YEAR(Z1421),"")</f>
        <v/>
      </c>
      <c r="Z1421" s="12" t="n"/>
      <c r="AA1421" s="12" t="n"/>
      <c r="AI1421" s="12" t="n"/>
      <c r="AJ1421" s="13">
        <f>IF(LEN(TRIM(AF1421))=0,"",HYPERLINK("https://www.google.com/maps/@?api=1&amp;map_action=pano&amp;viewpoint="&amp;SUBSTITUTE(AF1421," ",""),"Abrir Street View"))</f>
        <v/>
      </c>
    </row>
    <row r="1422">
      <c r="H1422" s="6" t="n"/>
      <c r="I1422" s="6" t="n"/>
      <c r="M1422" s="7" t="n"/>
      <c r="N1422" s="7" t="n"/>
      <c r="O1422" s="7" t="n"/>
      <c r="Q1422" s="7" t="n"/>
      <c r="R1422" s="7" t="n"/>
      <c r="S1422" s="8">
        <f>IF(NOT(ISNUMBER(M1422)),"",IF(G1422="Terreno",IF(AND(ISNUMBER(I1422),I1422&gt;0),M1422/I1422,""),IF(AND(ISNUMBER(H1422),H1422&gt;0),M1422/H1422,"")))</f>
        <v/>
      </c>
      <c r="T1422" s="9">
        <f>IF(AND(ISNUMBER(M1422),ISNUMBER(O1422)),IF(M1422&lt;=O1422,"Valor ≤ venal IPTU",""),"")</f>
        <v/>
      </c>
      <c r="U1422" s="10">
        <f>IF(AND(ISNUMBER(M1422),ISNUMBER(N1422)),IF(N1422&gt;0,M1422/N1422,""),"")</f>
        <v/>
      </c>
      <c r="V1422" s="10">
        <f>IF(AND(ISNUMBER(M1422),ISNUMBER(O1422)),IF(O1422&gt;0,M1422/O1422,""),"")</f>
        <v/>
      </c>
      <c r="W1422" s="10">
        <f>IF(AND(ISNUMBER(M1422),ISNUMBER(R1422)),IF(R1422&gt;0,M1422/R1422,""),"")</f>
        <v/>
      </c>
      <c r="X1422" s="10">
        <f>IF(AND(ISNUMBER(Q1422),ISNUMBER(M1422)),IF(M1422&gt;0,Q1422/M1422,""),"")</f>
        <v/>
      </c>
      <c r="Y1422" s="11">
        <f>IF(ISNUMBER(Z1422),YEAR(Z1422),"")</f>
        <v/>
      </c>
      <c r="Z1422" s="12" t="n"/>
      <c r="AA1422" s="12" t="n"/>
      <c r="AI1422" s="12" t="n"/>
      <c r="AJ1422" s="13">
        <f>IF(LEN(TRIM(AF1422))=0,"",HYPERLINK("https://www.google.com/maps/@?api=1&amp;map_action=pano&amp;viewpoint="&amp;SUBSTITUTE(AF1422," ",""),"Abrir Street View"))</f>
        <v/>
      </c>
    </row>
    <row r="1423">
      <c r="H1423" s="6" t="n"/>
      <c r="I1423" s="6" t="n"/>
      <c r="M1423" s="7" t="n"/>
      <c r="N1423" s="7" t="n"/>
      <c r="O1423" s="7" t="n"/>
      <c r="Q1423" s="7" t="n"/>
      <c r="R1423" s="7" t="n"/>
      <c r="S1423" s="8">
        <f>IF(NOT(ISNUMBER(M1423)),"",IF(G1423="Terreno",IF(AND(ISNUMBER(I1423),I1423&gt;0),M1423/I1423,""),IF(AND(ISNUMBER(H1423),H1423&gt;0),M1423/H1423,"")))</f>
        <v/>
      </c>
      <c r="T1423" s="9">
        <f>IF(AND(ISNUMBER(M1423),ISNUMBER(O1423)),IF(M1423&lt;=O1423,"Valor ≤ venal IPTU",""),"")</f>
        <v/>
      </c>
      <c r="U1423" s="10">
        <f>IF(AND(ISNUMBER(M1423),ISNUMBER(N1423)),IF(N1423&gt;0,M1423/N1423,""),"")</f>
        <v/>
      </c>
      <c r="V1423" s="10">
        <f>IF(AND(ISNUMBER(M1423),ISNUMBER(O1423)),IF(O1423&gt;0,M1423/O1423,""),"")</f>
        <v/>
      </c>
      <c r="W1423" s="10">
        <f>IF(AND(ISNUMBER(M1423),ISNUMBER(R1423)),IF(R1423&gt;0,M1423/R1423,""),"")</f>
        <v/>
      </c>
      <c r="X1423" s="10">
        <f>IF(AND(ISNUMBER(Q1423),ISNUMBER(M1423)),IF(M1423&gt;0,Q1423/M1423,""),"")</f>
        <v/>
      </c>
      <c r="Y1423" s="11">
        <f>IF(ISNUMBER(Z1423),YEAR(Z1423),"")</f>
        <v/>
      </c>
      <c r="Z1423" s="12" t="n"/>
      <c r="AA1423" s="12" t="n"/>
      <c r="AI1423" s="12" t="n"/>
      <c r="AJ1423" s="13">
        <f>IF(LEN(TRIM(AF1423))=0,"",HYPERLINK("https://www.google.com/maps/@?api=1&amp;map_action=pano&amp;viewpoint="&amp;SUBSTITUTE(AF1423," ",""),"Abrir Street View"))</f>
        <v/>
      </c>
    </row>
    <row r="1424">
      <c r="H1424" s="6" t="n"/>
      <c r="I1424" s="6" t="n"/>
      <c r="M1424" s="7" t="n"/>
      <c r="N1424" s="7" t="n"/>
      <c r="O1424" s="7" t="n"/>
      <c r="Q1424" s="7" t="n"/>
      <c r="R1424" s="7" t="n"/>
      <c r="S1424" s="8">
        <f>IF(NOT(ISNUMBER(M1424)),"",IF(G1424="Terreno",IF(AND(ISNUMBER(I1424),I1424&gt;0),M1424/I1424,""),IF(AND(ISNUMBER(H1424),H1424&gt;0),M1424/H1424,"")))</f>
        <v/>
      </c>
      <c r="T1424" s="9">
        <f>IF(AND(ISNUMBER(M1424),ISNUMBER(O1424)),IF(M1424&lt;=O1424,"Valor ≤ venal IPTU",""),"")</f>
        <v/>
      </c>
      <c r="U1424" s="10">
        <f>IF(AND(ISNUMBER(M1424),ISNUMBER(N1424)),IF(N1424&gt;0,M1424/N1424,""),"")</f>
        <v/>
      </c>
      <c r="V1424" s="10">
        <f>IF(AND(ISNUMBER(M1424),ISNUMBER(O1424)),IF(O1424&gt;0,M1424/O1424,""),"")</f>
        <v/>
      </c>
      <c r="W1424" s="10">
        <f>IF(AND(ISNUMBER(M1424),ISNUMBER(R1424)),IF(R1424&gt;0,M1424/R1424,""),"")</f>
        <v/>
      </c>
      <c r="X1424" s="10">
        <f>IF(AND(ISNUMBER(Q1424),ISNUMBER(M1424)),IF(M1424&gt;0,Q1424/M1424,""),"")</f>
        <v/>
      </c>
      <c r="Y1424" s="11">
        <f>IF(ISNUMBER(Z1424),YEAR(Z1424),"")</f>
        <v/>
      </c>
      <c r="Z1424" s="12" t="n"/>
      <c r="AA1424" s="12" t="n"/>
      <c r="AI1424" s="12" t="n"/>
      <c r="AJ1424" s="13">
        <f>IF(LEN(TRIM(AF1424))=0,"",HYPERLINK("https://www.google.com/maps/@?api=1&amp;map_action=pano&amp;viewpoint="&amp;SUBSTITUTE(AF1424," ",""),"Abrir Street View"))</f>
        <v/>
      </c>
    </row>
    <row r="1425">
      <c r="H1425" s="6" t="n"/>
      <c r="I1425" s="6" t="n"/>
      <c r="M1425" s="7" t="n"/>
      <c r="N1425" s="7" t="n"/>
      <c r="O1425" s="7" t="n"/>
      <c r="Q1425" s="7" t="n"/>
      <c r="R1425" s="7" t="n"/>
      <c r="S1425" s="8">
        <f>IF(NOT(ISNUMBER(M1425)),"",IF(G1425="Terreno",IF(AND(ISNUMBER(I1425),I1425&gt;0),M1425/I1425,""),IF(AND(ISNUMBER(H1425),H1425&gt;0),M1425/H1425,"")))</f>
        <v/>
      </c>
      <c r="T1425" s="9">
        <f>IF(AND(ISNUMBER(M1425),ISNUMBER(O1425)),IF(M1425&lt;=O1425,"Valor ≤ venal IPTU",""),"")</f>
        <v/>
      </c>
      <c r="U1425" s="10">
        <f>IF(AND(ISNUMBER(M1425),ISNUMBER(N1425)),IF(N1425&gt;0,M1425/N1425,""),"")</f>
        <v/>
      </c>
      <c r="V1425" s="10">
        <f>IF(AND(ISNUMBER(M1425),ISNUMBER(O1425)),IF(O1425&gt;0,M1425/O1425,""),"")</f>
        <v/>
      </c>
      <c r="W1425" s="10">
        <f>IF(AND(ISNUMBER(M1425),ISNUMBER(R1425)),IF(R1425&gt;0,M1425/R1425,""),"")</f>
        <v/>
      </c>
      <c r="X1425" s="10">
        <f>IF(AND(ISNUMBER(Q1425),ISNUMBER(M1425)),IF(M1425&gt;0,Q1425/M1425,""),"")</f>
        <v/>
      </c>
      <c r="Y1425" s="11">
        <f>IF(ISNUMBER(Z1425),YEAR(Z1425),"")</f>
        <v/>
      </c>
      <c r="Z1425" s="12" t="n"/>
      <c r="AA1425" s="12" t="n"/>
      <c r="AI1425" s="12" t="n"/>
      <c r="AJ1425" s="13">
        <f>IF(LEN(TRIM(AF1425))=0,"",HYPERLINK("https://www.google.com/maps/@?api=1&amp;map_action=pano&amp;viewpoint="&amp;SUBSTITUTE(AF1425," ",""),"Abrir Street View"))</f>
        <v/>
      </c>
    </row>
    <row r="1426">
      <c r="H1426" s="6" t="n"/>
      <c r="I1426" s="6" t="n"/>
      <c r="M1426" s="7" t="n"/>
      <c r="N1426" s="7" t="n"/>
      <c r="O1426" s="7" t="n"/>
      <c r="Q1426" s="7" t="n"/>
      <c r="R1426" s="7" t="n"/>
      <c r="S1426" s="8">
        <f>IF(NOT(ISNUMBER(M1426)),"",IF(G1426="Terreno",IF(AND(ISNUMBER(I1426),I1426&gt;0),M1426/I1426,""),IF(AND(ISNUMBER(H1426),H1426&gt;0),M1426/H1426,"")))</f>
        <v/>
      </c>
      <c r="T1426" s="9">
        <f>IF(AND(ISNUMBER(M1426),ISNUMBER(O1426)),IF(M1426&lt;=O1426,"Valor ≤ venal IPTU",""),"")</f>
        <v/>
      </c>
      <c r="U1426" s="10">
        <f>IF(AND(ISNUMBER(M1426),ISNUMBER(N1426)),IF(N1426&gt;0,M1426/N1426,""),"")</f>
        <v/>
      </c>
      <c r="V1426" s="10">
        <f>IF(AND(ISNUMBER(M1426),ISNUMBER(O1426)),IF(O1426&gt;0,M1426/O1426,""),"")</f>
        <v/>
      </c>
      <c r="W1426" s="10">
        <f>IF(AND(ISNUMBER(M1426),ISNUMBER(R1426)),IF(R1426&gt;0,M1426/R1426,""),"")</f>
        <v/>
      </c>
      <c r="X1426" s="10">
        <f>IF(AND(ISNUMBER(Q1426),ISNUMBER(M1426)),IF(M1426&gt;0,Q1426/M1426,""),"")</f>
        <v/>
      </c>
      <c r="Y1426" s="11">
        <f>IF(ISNUMBER(Z1426),YEAR(Z1426),"")</f>
        <v/>
      </c>
      <c r="Z1426" s="12" t="n"/>
      <c r="AA1426" s="12" t="n"/>
      <c r="AI1426" s="12" t="n"/>
      <c r="AJ1426" s="13">
        <f>IF(LEN(TRIM(AF1426))=0,"",HYPERLINK("https://www.google.com/maps/@?api=1&amp;map_action=pano&amp;viewpoint="&amp;SUBSTITUTE(AF1426," ",""),"Abrir Street View"))</f>
        <v/>
      </c>
    </row>
    <row r="1427">
      <c r="H1427" s="6" t="n"/>
      <c r="I1427" s="6" t="n"/>
      <c r="M1427" s="7" t="n"/>
      <c r="N1427" s="7" t="n"/>
      <c r="O1427" s="7" t="n"/>
      <c r="Q1427" s="7" t="n"/>
      <c r="R1427" s="7" t="n"/>
      <c r="S1427" s="8">
        <f>IF(NOT(ISNUMBER(M1427)),"",IF(G1427="Terreno",IF(AND(ISNUMBER(I1427),I1427&gt;0),M1427/I1427,""),IF(AND(ISNUMBER(H1427),H1427&gt;0),M1427/H1427,"")))</f>
        <v/>
      </c>
      <c r="T1427" s="9">
        <f>IF(AND(ISNUMBER(M1427),ISNUMBER(O1427)),IF(M1427&lt;=O1427,"Valor ≤ venal IPTU",""),"")</f>
        <v/>
      </c>
      <c r="U1427" s="10">
        <f>IF(AND(ISNUMBER(M1427),ISNUMBER(N1427)),IF(N1427&gt;0,M1427/N1427,""),"")</f>
        <v/>
      </c>
      <c r="V1427" s="10">
        <f>IF(AND(ISNUMBER(M1427),ISNUMBER(O1427)),IF(O1427&gt;0,M1427/O1427,""),"")</f>
        <v/>
      </c>
      <c r="W1427" s="10">
        <f>IF(AND(ISNUMBER(M1427),ISNUMBER(R1427)),IF(R1427&gt;0,M1427/R1427,""),"")</f>
        <v/>
      </c>
      <c r="X1427" s="10">
        <f>IF(AND(ISNUMBER(Q1427),ISNUMBER(M1427)),IF(M1427&gt;0,Q1427/M1427,""),"")</f>
        <v/>
      </c>
      <c r="Y1427" s="11">
        <f>IF(ISNUMBER(Z1427),YEAR(Z1427),"")</f>
        <v/>
      </c>
      <c r="Z1427" s="12" t="n"/>
      <c r="AA1427" s="12" t="n"/>
      <c r="AI1427" s="12" t="n"/>
      <c r="AJ1427" s="13">
        <f>IF(LEN(TRIM(AF1427))=0,"",HYPERLINK("https://www.google.com/maps/@?api=1&amp;map_action=pano&amp;viewpoint="&amp;SUBSTITUTE(AF1427," ",""),"Abrir Street View"))</f>
        <v/>
      </c>
    </row>
    <row r="1428">
      <c r="H1428" s="6" t="n"/>
      <c r="I1428" s="6" t="n"/>
      <c r="M1428" s="7" t="n"/>
      <c r="N1428" s="7" t="n"/>
      <c r="O1428" s="7" t="n"/>
      <c r="Q1428" s="7" t="n"/>
      <c r="R1428" s="7" t="n"/>
      <c r="S1428" s="8">
        <f>IF(NOT(ISNUMBER(M1428)),"",IF(G1428="Terreno",IF(AND(ISNUMBER(I1428),I1428&gt;0),M1428/I1428,""),IF(AND(ISNUMBER(H1428),H1428&gt;0),M1428/H1428,"")))</f>
        <v/>
      </c>
      <c r="T1428" s="9">
        <f>IF(AND(ISNUMBER(M1428),ISNUMBER(O1428)),IF(M1428&lt;=O1428,"Valor ≤ venal IPTU",""),"")</f>
        <v/>
      </c>
      <c r="U1428" s="10">
        <f>IF(AND(ISNUMBER(M1428),ISNUMBER(N1428)),IF(N1428&gt;0,M1428/N1428,""),"")</f>
        <v/>
      </c>
      <c r="V1428" s="10">
        <f>IF(AND(ISNUMBER(M1428),ISNUMBER(O1428)),IF(O1428&gt;0,M1428/O1428,""),"")</f>
        <v/>
      </c>
      <c r="W1428" s="10">
        <f>IF(AND(ISNUMBER(M1428),ISNUMBER(R1428)),IF(R1428&gt;0,M1428/R1428,""),"")</f>
        <v/>
      </c>
      <c r="X1428" s="10">
        <f>IF(AND(ISNUMBER(Q1428),ISNUMBER(M1428)),IF(M1428&gt;0,Q1428/M1428,""),"")</f>
        <v/>
      </c>
      <c r="Y1428" s="11">
        <f>IF(ISNUMBER(Z1428),YEAR(Z1428),"")</f>
        <v/>
      </c>
      <c r="Z1428" s="12" t="n"/>
      <c r="AA1428" s="12" t="n"/>
      <c r="AI1428" s="12" t="n"/>
      <c r="AJ1428" s="13">
        <f>IF(LEN(TRIM(AF1428))=0,"",HYPERLINK("https://www.google.com/maps/@?api=1&amp;map_action=pano&amp;viewpoint="&amp;SUBSTITUTE(AF1428," ",""),"Abrir Street View"))</f>
        <v/>
      </c>
    </row>
    <row r="1429">
      <c r="H1429" s="6" t="n"/>
      <c r="I1429" s="6" t="n"/>
      <c r="M1429" s="7" t="n"/>
      <c r="N1429" s="7" t="n"/>
      <c r="O1429" s="7" t="n"/>
      <c r="Q1429" s="7" t="n"/>
      <c r="R1429" s="7" t="n"/>
      <c r="S1429" s="8">
        <f>IF(NOT(ISNUMBER(M1429)),"",IF(G1429="Terreno",IF(AND(ISNUMBER(I1429),I1429&gt;0),M1429/I1429,""),IF(AND(ISNUMBER(H1429),H1429&gt;0),M1429/H1429,"")))</f>
        <v/>
      </c>
      <c r="T1429" s="9">
        <f>IF(AND(ISNUMBER(M1429),ISNUMBER(O1429)),IF(M1429&lt;=O1429,"Valor ≤ venal IPTU",""),"")</f>
        <v/>
      </c>
      <c r="U1429" s="10">
        <f>IF(AND(ISNUMBER(M1429),ISNUMBER(N1429)),IF(N1429&gt;0,M1429/N1429,""),"")</f>
        <v/>
      </c>
      <c r="V1429" s="10">
        <f>IF(AND(ISNUMBER(M1429),ISNUMBER(O1429)),IF(O1429&gt;0,M1429/O1429,""),"")</f>
        <v/>
      </c>
      <c r="W1429" s="10">
        <f>IF(AND(ISNUMBER(M1429),ISNUMBER(R1429)),IF(R1429&gt;0,M1429/R1429,""),"")</f>
        <v/>
      </c>
      <c r="X1429" s="10">
        <f>IF(AND(ISNUMBER(Q1429),ISNUMBER(M1429)),IF(M1429&gt;0,Q1429/M1429,""),"")</f>
        <v/>
      </c>
      <c r="Y1429" s="11">
        <f>IF(ISNUMBER(Z1429),YEAR(Z1429),"")</f>
        <v/>
      </c>
      <c r="Z1429" s="12" t="n"/>
      <c r="AA1429" s="12" t="n"/>
      <c r="AI1429" s="12" t="n"/>
      <c r="AJ1429" s="13">
        <f>IF(LEN(TRIM(AF1429))=0,"",HYPERLINK("https://www.google.com/maps/@?api=1&amp;map_action=pano&amp;viewpoint="&amp;SUBSTITUTE(AF1429," ",""),"Abrir Street View"))</f>
        <v/>
      </c>
    </row>
    <row r="1430">
      <c r="H1430" s="6" t="n"/>
      <c r="I1430" s="6" t="n"/>
      <c r="M1430" s="7" t="n"/>
      <c r="N1430" s="7" t="n"/>
      <c r="O1430" s="7" t="n"/>
      <c r="Q1430" s="7" t="n"/>
      <c r="R1430" s="7" t="n"/>
      <c r="S1430" s="8">
        <f>IF(NOT(ISNUMBER(M1430)),"",IF(G1430="Terreno",IF(AND(ISNUMBER(I1430),I1430&gt;0),M1430/I1430,""),IF(AND(ISNUMBER(H1430),H1430&gt;0),M1430/H1430,"")))</f>
        <v/>
      </c>
      <c r="T1430" s="9">
        <f>IF(AND(ISNUMBER(M1430),ISNUMBER(O1430)),IF(M1430&lt;=O1430,"Valor ≤ venal IPTU",""),"")</f>
        <v/>
      </c>
      <c r="U1430" s="10">
        <f>IF(AND(ISNUMBER(M1430),ISNUMBER(N1430)),IF(N1430&gt;0,M1430/N1430,""),"")</f>
        <v/>
      </c>
      <c r="V1430" s="10">
        <f>IF(AND(ISNUMBER(M1430),ISNUMBER(O1430)),IF(O1430&gt;0,M1430/O1430,""),"")</f>
        <v/>
      </c>
      <c r="W1430" s="10">
        <f>IF(AND(ISNUMBER(M1430),ISNUMBER(R1430)),IF(R1430&gt;0,M1430/R1430,""),"")</f>
        <v/>
      </c>
      <c r="X1430" s="10">
        <f>IF(AND(ISNUMBER(Q1430),ISNUMBER(M1430)),IF(M1430&gt;0,Q1430/M1430,""),"")</f>
        <v/>
      </c>
      <c r="Y1430" s="11">
        <f>IF(ISNUMBER(Z1430),YEAR(Z1430),"")</f>
        <v/>
      </c>
      <c r="Z1430" s="12" t="n"/>
      <c r="AA1430" s="12" t="n"/>
      <c r="AI1430" s="12" t="n"/>
      <c r="AJ1430" s="13">
        <f>IF(LEN(TRIM(AF1430))=0,"",HYPERLINK("https://www.google.com/maps/@?api=1&amp;map_action=pano&amp;viewpoint="&amp;SUBSTITUTE(AF1430," ",""),"Abrir Street View"))</f>
        <v/>
      </c>
    </row>
    <row r="1431">
      <c r="H1431" s="6" t="n"/>
      <c r="I1431" s="6" t="n"/>
      <c r="M1431" s="7" t="n"/>
      <c r="N1431" s="7" t="n"/>
      <c r="O1431" s="7" t="n"/>
      <c r="Q1431" s="7" t="n"/>
      <c r="R1431" s="7" t="n"/>
      <c r="S1431" s="8">
        <f>IF(NOT(ISNUMBER(M1431)),"",IF(G1431="Terreno",IF(AND(ISNUMBER(I1431),I1431&gt;0),M1431/I1431,""),IF(AND(ISNUMBER(H1431),H1431&gt;0),M1431/H1431,"")))</f>
        <v/>
      </c>
      <c r="T1431" s="9">
        <f>IF(AND(ISNUMBER(M1431),ISNUMBER(O1431)),IF(M1431&lt;=O1431,"Valor ≤ venal IPTU",""),"")</f>
        <v/>
      </c>
      <c r="U1431" s="10">
        <f>IF(AND(ISNUMBER(M1431),ISNUMBER(N1431)),IF(N1431&gt;0,M1431/N1431,""),"")</f>
        <v/>
      </c>
      <c r="V1431" s="10">
        <f>IF(AND(ISNUMBER(M1431),ISNUMBER(O1431)),IF(O1431&gt;0,M1431/O1431,""),"")</f>
        <v/>
      </c>
      <c r="W1431" s="10">
        <f>IF(AND(ISNUMBER(M1431),ISNUMBER(R1431)),IF(R1431&gt;0,M1431/R1431,""),"")</f>
        <v/>
      </c>
      <c r="X1431" s="10">
        <f>IF(AND(ISNUMBER(Q1431),ISNUMBER(M1431)),IF(M1431&gt;0,Q1431/M1431,""),"")</f>
        <v/>
      </c>
      <c r="Y1431" s="11">
        <f>IF(ISNUMBER(Z1431),YEAR(Z1431),"")</f>
        <v/>
      </c>
      <c r="Z1431" s="12" t="n"/>
      <c r="AA1431" s="12" t="n"/>
      <c r="AI1431" s="12" t="n"/>
      <c r="AJ1431" s="13">
        <f>IF(LEN(TRIM(AF1431))=0,"",HYPERLINK("https://www.google.com/maps/@?api=1&amp;map_action=pano&amp;viewpoint="&amp;SUBSTITUTE(AF1431," ",""),"Abrir Street View"))</f>
        <v/>
      </c>
    </row>
    <row r="1432">
      <c r="H1432" s="6" t="n"/>
      <c r="I1432" s="6" t="n"/>
      <c r="M1432" s="7" t="n"/>
      <c r="N1432" s="7" t="n"/>
      <c r="O1432" s="7" t="n"/>
      <c r="Q1432" s="7" t="n"/>
      <c r="R1432" s="7" t="n"/>
      <c r="S1432" s="8">
        <f>IF(NOT(ISNUMBER(M1432)),"",IF(G1432="Terreno",IF(AND(ISNUMBER(I1432),I1432&gt;0),M1432/I1432,""),IF(AND(ISNUMBER(H1432),H1432&gt;0),M1432/H1432,"")))</f>
        <v/>
      </c>
      <c r="T1432" s="9">
        <f>IF(AND(ISNUMBER(M1432),ISNUMBER(O1432)),IF(M1432&lt;=O1432,"Valor ≤ venal IPTU",""),"")</f>
        <v/>
      </c>
      <c r="U1432" s="10">
        <f>IF(AND(ISNUMBER(M1432),ISNUMBER(N1432)),IF(N1432&gt;0,M1432/N1432,""),"")</f>
        <v/>
      </c>
      <c r="V1432" s="10">
        <f>IF(AND(ISNUMBER(M1432),ISNUMBER(O1432)),IF(O1432&gt;0,M1432/O1432,""),"")</f>
        <v/>
      </c>
      <c r="W1432" s="10">
        <f>IF(AND(ISNUMBER(M1432),ISNUMBER(R1432)),IF(R1432&gt;0,M1432/R1432,""),"")</f>
        <v/>
      </c>
      <c r="X1432" s="10">
        <f>IF(AND(ISNUMBER(Q1432),ISNUMBER(M1432)),IF(M1432&gt;0,Q1432/M1432,""),"")</f>
        <v/>
      </c>
      <c r="Y1432" s="11">
        <f>IF(ISNUMBER(Z1432),YEAR(Z1432),"")</f>
        <v/>
      </c>
      <c r="Z1432" s="12" t="n"/>
      <c r="AA1432" s="12" t="n"/>
      <c r="AI1432" s="12" t="n"/>
      <c r="AJ1432" s="13">
        <f>IF(LEN(TRIM(AF1432))=0,"",HYPERLINK("https://www.google.com/maps/@?api=1&amp;map_action=pano&amp;viewpoint="&amp;SUBSTITUTE(AF1432," ",""),"Abrir Street View"))</f>
        <v/>
      </c>
    </row>
    <row r="1433">
      <c r="H1433" s="6" t="n"/>
      <c r="I1433" s="6" t="n"/>
      <c r="M1433" s="7" t="n"/>
      <c r="N1433" s="7" t="n"/>
      <c r="O1433" s="7" t="n"/>
      <c r="Q1433" s="7" t="n"/>
      <c r="R1433" s="7" t="n"/>
      <c r="S1433" s="8">
        <f>IF(NOT(ISNUMBER(M1433)),"",IF(G1433="Terreno",IF(AND(ISNUMBER(I1433),I1433&gt;0),M1433/I1433,""),IF(AND(ISNUMBER(H1433),H1433&gt;0),M1433/H1433,"")))</f>
        <v/>
      </c>
      <c r="T1433" s="9">
        <f>IF(AND(ISNUMBER(M1433),ISNUMBER(O1433)),IF(M1433&lt;=O1433,"Valor ≤ venal IPTU",""),"")</f>
        <v/>
      </c>
      <c r="U1433" s="10">
        <f>IF(AND(ISNUMBER(M1433),ISNUMBER(N1433)),IF(N1433&gt;0,M1433/N1433,""),"")</f>
        <v/>
      </c>
      <c r="V1433" s="10">
        <f>IF(AND(ISNUMBER(M1433),ISNUMBER(O1433)),IF(O1433&gt;0,M1433/O1433,""),"")</f>
        <v/>
      </c>
      <c r="W1433" s="10">
        <f>IF(AND(ISNUMBER(M1433),ISNUMBER(R1433)),IF(R1433&gt;0,M1433/R1433,""),"")</f>
        <v/>
      </c>
      <c r="X1433" s="10">
        <f>IF(AND(ISNUMBER(Q1433),ISNUMBER(M1433)),IF(M1433&gt;0,Q1433/M1433,""),"")</f>
        <v/>
      </c>
      <c r="Y1433" s="11">
        <f>IF(ISNUMBER(Z1433),YEAR(Z1433),"")</f>
        <v/>
      </c>
      <c r="Z1433" s="12" t="n"/>
      <c r="AA1433" s="12" t="n"/>
      <c r="AI1433" s="12" t="n"/>
      <c r="AJ1433" s="13">
        <f>IF(LEN(TRIM(AF1433))=0,"",HYPERLINK("https://www.google.com/maps/@?api=1&amp;map_action=pano&amp;viewpoint="&amp;SUBSTITUTE(AF1433," ",""),"Abrir Street View"))</f>
        <v/>
      </c>
    </row>
    <row r="1434">
      <c r="H1434" s="6" t="n"/>
      <c r="I1434" s="6" t="n"/>
      <c r="M1434" s="7" t="n"/>
      <c r="N1434" s="7" t="n"/>
      <c r="O1434" s="7" t="n"/>
      <c r="Q1434" s="7" t="n"/>
      <c r="R1434" s="7" t="n"/>
      <c r="S1434" s="8">
        <f>IF(NOT(ISNUMBER(M1434)),"",IF(G1434="Terreno",IF(AND(ISNUMBER(I1434),I1434&gt;0),M1434/I1434,""),IF(AND(ISNUMBER(H1434),H1434&gt;0),M1434/H1434,"")))</f>
        <v/>
      </c>
      <c r="T1434" s="9">
        <f>IF(AND(ISNUMBER(M1434),ISNUMBER(O1434)),IF(M1434&lt;=O1434,"Valor ≤ venal IPTU",""),"")</f>
        <v/>
      </c>
      <c r="U1434" s="10">
        <f>IF(AND(ISNUMBER(M1434),ISNUMBER(N1434)),IF(N1434&gt;0,M1434/N1434,""),"")</f>
        <v/>
      </c>
      <c r="V1434" s="10">
        <f>IF(AND(ISNUMBER(M1434),ISNUMBER(O1434)),IF(O1434&gt;0,M1434/O1434,""),"")</f>
        <v/>
      </c>
      <c r="W1434" s="10">
        <f>IF(AND(ISNUMBER(M1434),ISNUMBER(R1434)),IF(R1434&gt;0,M1434/R1434,""),"")</f>
        <v/>
      </c>
      <c r="X1434" s="10">
        <f>IF(AND(ISNUMBER(Q1434),ISNUMBER(M1434)),IF(M1434&gt;0,Q1434/M1434,""),"")</f>
        <v/>
      </c>
      <c r="Y1434" s="11">
        <f>IF(ISNUMBER(Z1434),YEAR(Z1434),"")</f>
        <v/>
      </c>
      <c r="Z1434" s="12" t="n"/>
      <c r="AA1434" s="12" t="n"/>
      <c r="AI1434" s="12" t="n"/>
      <c r="AJ1434" s="13">
        <f>IF(LEN(TRIM(AF1434))=0,"",HYPERLINK("https://www.google.com/maps/@?api=1&amp;map_action=pano&amp;viewpoint="&amp;SUBSTITUTE(AF1434," ",""),"Abrir Street View"))</f>
        <v/>
      </c>
    </row>
    <row r="1435">
      <c r="H1435" s="6" t="n"/>
      <c r="I1435" s="6" t="n"/>
      <c r="M1435" s="7" t="n"/>
      <c r="N1435" s="7" t="n"/>
      <c r="O1435" s="7" t="n"/>
      <c r="Q1435" s="7" t="n"/>
      <c r="R1435" s="7" t="n"/>
      <c r="S1435" s="8">
        <f>IF(NOT(ISNUMBER(M1435)),"",IF(G1435="Terreno",IF(AND(ISNUMBER(I1435),I1435&gt;0),M1435/I1435,""),IF(AND(ISNUMBER(H1435),H1435&gt;0),M1435/H1435,"")))</f>
        <v/>
      </c>
      <c r="T1435" s="9">
        <f>IF(AND(ISNUMBER(M1435),ISNUMBER(O1435)),IF(M1435&lt;=O1435,"Valor ≤ venal IPTU",""),"")</f>
        <v/>
      </c>
      <c r="U1435" s="10">
        <f>IF(AND(ISNUMBER(M1435),ISNUMBER(N1435)),IF(N1435&gt;0,M1435/N1435,""),"")</f>
        <v/>
      </c>
      <c r="V1435" s="10">
        <f>IF(AND(ISNUMBER(M1435),ISNUMBER(O1435)),IF(O1435&gt;0,M1435/O1435,""),"")</f>
        <v/>
      </c>
      <c r="W1435" s="10">
        <f>IF(AND(ISNUMBER(M1435),ISNUMBER(R1435)),IF(R1435&gt;0,M1435/R1435,""),"")</f>
        <v/>
      </c>
      <c r="X1435" s="10">
        <f>IF(AND(ISNUMBER(Q1435),ISNUMBER(M1435)),IF(M1435&gt;0,Q1435/M1435,""),"")</f>
        <v/>
      </c>
      <c r="Y1435" s="11">
        <f>IF(ISNUMBER(Z1435),YEAR(Z1435),"")</f>
        <v/>
      </c>
      <c r="Z1435" s="12" t="n"/>
      <c r="AA1435" s="12" t="n"/>
      <c r="AI1435" s="12" t="n"/>
      <c r="AJ1435" s="13">
        <f>IF(LEN(TRIM(AF1435))=0,"",HYPERLINK("https://www.google.com/maps/@?api=1&amp;map_action=pano&amp;viewpoint="&amp;SUBSTITUTE(AF1435," ",""),"Abrir Street View"))</f>
        <v/>
      </c>
    </row>
    <row r="1436">
      <c r="H1436" s="6" t="n"/>
      <c r="I1436" s="6" t="n"/>
      <c r="M1436" s="7" t="n"/>
      <c r="N1436" s="7" t="n"/>
      <c r="O1436" s="7" t="n"/>
      <c r="Q1436" s="7" t="n"/>
      <c r="R1436" s="7" t="n"/>
      <c r="S1436" s="8">
        <f>IF(NOT(ISNUMBER(M1436)),"",IF(G1436="Terreno",IF(AND(ISNUMBER(I1436),I1436&gt;0),M1436/I1436,""),IF(AND(ISNUMBER(H1436),H1436&gt;0),M1436/H1436,"")))</f>
        <v/>
      </c>
      <c r="T1436" s="9">
        <f>IF(AND(ISNUMBER(M1436),ISNUMBER(O1436)),IF(M1436&lt;=O1436,"Valor ≤ venal IPTU",""),"")</f>
        <v/>
      </c>
      <c r="U1436" s="10">
        <f>IF(AND(ISNUMBER(M1436),ISNUMBER(N1436)),IF(N1436&gt;0,M1436/N1436,""),"")</f>
        <v/>
      </c>
      <c r="V1436" s="10">
        <f>IF(AND(ISNUMBER(M1436),ISNUMBER(O1436)),IF(O1436&gt;0,M1436/O1436,""),"")</f>
        <v/>
      </c>
      <c r="W1436" s="10">
        <f>IF(AND(ISNUMBER(M1436),ISNUMBER(R1436)),IF(R1436&gt;0,M1436/R1436,""),"")</f>
        <v/>
      </c>
      <c r="X1436" s="10">
        <f>IF(AND(ISNUMBER(Q1436),ISNUMBER(M1436)),IF(M1436&gt;0,Q1436/M1436,""),"")</f>
        <v/>
      </c>
      <c r="Y1436" s="11">
        <f>IF(ISNUMBER(Z1436),YEAR(Z1436),"")</f>
        <v/>
      </c>
      <c r="Z1436" s="12" t="n"/>
      <c r="AA1436" s="12" t="n"/>
      <c r="AI1436" s="12" t="n"/>
      <c r="AJ1436" s="13">
        <f>IF(LEN(TRIM(AF1436))=0,"",HYPERLINK("https://www.google.com/maps/@?api=1&amp;map_action=pano&amp;viewpoint="&amp;SUBSTITUTE(AF1436," ",""),"Abrir Street View"))</f>
        <v/>
      </c>
    </row>
    <row r="1437">
      <c r="H1437" s="6" t="n"/>
      <c r="I1437" s="6" t="n"/>
      <c r="M1437" s="7" t="n"/>
      <c r="N1437" s="7" t="n"/>
      <c r="O1437" s="7" t="n"/>
      <c r="Q1437" s="7" t="n"/>
      <c r="R1437" s="7" t="n"/>
      <c r="S1437" s="8">
        <f>IF(NOT(ISNUMBER(M1437)),"",IF(G1437="Terreno",IF(AND(ISNUMBER(I1437),I1437&gt;0),M1437/I1437,""),IF(AND(ISNUMBER(H1437),H1437&gt;0),M1437/H1437,"")))</f>
        <v/>
      </c>
      <c r="T1437" s="9">
        <f>IF(AND(ISNUMBER(M1437),ISNUMBER(O1437)),IF(M1437&lt;=O1437,"Valor ≤ venal IPTU",""),"")</f>
        <v/>
      </c>
      <c r="U1437" s="10">
        <f>IF(AND(ISNUMBER(M1437),ISNUMBER(N1437)),IF(N1437&gt;0,M1437/N1437,""),"")</f>
        <v/>
      </c>
      <c r="V1437" s="10">
        <f>IF(AND(ISNUMBER(M1437),ISNUMBER(O1437)),IF(O1437&gt;0,M1437/O1437,""),"")</f>
        <v/>
      </c>
      <c r="W1437" s="10">
        <f>IF(AND(ISNUMBER(M1437),ISNUMBER(R1437)),IF(R1437&gt;0,M1437/R1437,""),"")</f>
        <v/>
      </c>
      <c r="X1437" s="10">
        <f>IF(AND(ISNUMBER(Q1437),ISNUMBER(M1437)),IF(M1437&gt;0,Q1437/M1437,""),"")</f>
        <v/>
      </c>
      <c r="Y1437" s="11">
        <f>IF(ISNUMBER(Z1437),YEAR(Z1437),"")</f>
        <v/>
      </c>
      <c r="Z1437" s="12" t="n"/>
      <c r="AA1437" s="12" t="n"/>
      <c r="AI1437" s="12" t="n"/>
      <c r="AJ1437" s="13">
        <f>IF(LEN(TRIM(AF1437))=0,"",HYPERLINK("https://www.google.com/maps/@?api=1&amp;map_action=pano&amp;viewpoint="&amp;SUBSTITUTE(AF1437," ",""),"Abrir Street View"))</f>
        <v/>
      </c>
    </row>
    <row r="1438">
      <c r="H1438" s="6" t="n"/>
      <c r="I1438" s="6" t="n"/>
      <c r="M1438" s="7" t="n"/>
      <c r="N1438" s="7" t="n"/>
      <c r="O1438" s="7" t="n"/>
      <c r="Q1438" s="7" t="n"/>
      <c r="R1438" s="7" t="n"/>
      <c r="S1438" s="8">
        <f>IF(NOT(ISNUMBER(M1438)),"",IF(G1438="Terreno",IF(AND(ISNUMBER(I1438),I1438&gt;0),M1438/I1438,""),IF(AND(ISNUMBER(H1438),H1438&gt;0),M1438/H1438,"")))</f>
        <v/>
      </c>
      <c r="T1438" s="9">
        <f>IF(AND(ISNUMBER(M1438),ISNUMBER(O1438)),IF(M1438&lt;=O1438,"Valor ≤ venal IPTU",""),"")</f>
        <v/>
      </c>
      <c r="U1438" s="10">
        <f>IF(AND(ISNUMBER(M1438),ISNUMBER(N1438)),IF(N1438&gt;0,M1438/N1438,""),"")</f>
        <v/>
      </c>
      <c r="V1438" s="10">
        <f>IF(AND(ISNUMBER(M1438),ISNUMBER(O1438)),IF(O1438&gt;0,M1438/O1438,""),"")</f>
        <v/>
      </c>
      <c r="W1438" s="10">
        <f>IF(AND(ISNUMBER(M1438),ISNUMBER(R1438)),IF(R1438&gt;0,M1438/R1438,""),"")</f>
        <v/>
      </c>
      <c r="X1438" s="10">
        <f>IF(AND(ISNUMBER(Q1438),ISNUMBER(M1438)),IF(M1438&gt;0,Q1438/M1438,""),"")</f>
        <v/>
      </c>
      <c r="Y1438" s="11">
        <f>IF(ISNUMBER(Z1438),YEAR(Z1438),"")</f>
        <v/>
      </c>
      <c r="Z1438" s="12" t="n"/>
      <c r="AA1438" s="12" t="n"/>
      <c r="AI1438" s="12" t="n"/>
      <c r="AJ1438" s="13">
        <f>IF(LEN(TRIM(AF1438))=0,"",HYPERLINK("https://www.google.com/maps/@?api=1&amp;map_action=pano&amp;viewpoint="&amp;SUBSTITUTE(AF1438," ",""),"Abrir Street View"))</f>
        <v/>
      </c>
    </row>
    <row r="1439">
      <c r="H1439" s="6" t="n"/>
      <c r="I1439" s="6" t="n"/>
      <c r="M1439" s="7" t="n"/>
      <c r="N1439" s="7" t="n"/>
      <c r="O1439" s="7" t="n"/>
      <c r="Q1439" s="7" t="n"/>
      <c r="R1439" s="7" t="n"/>
      <c r="S1439" s="8">
        <f>IF(NOT(ISNUMBER(M1439)),"",IF(G1439="Terreno",IF(AND(ISNUMBER(I1439),I1439&gt;0),M1439/I1439,""),IF(AND(ISNUMBER(H1439),H1439&gt;0),M1439/H1439,"")))</f>
        <v/>
      </c>
      <c r="T1439" s="9">
        <f>IF(AND(ISNUMBER(M1439),ISNUMBER(O1439)),IF(M1439&lt;=O1439,"Valor ≤ venal IPTU",""),"")</f>
        <v/>
      </c>
      <c r="U1439" s="10">
        <f>IF(AND(ISNUMBER(M1439),ISNUMBER(N1439)),IF(N1439&gt;0,M1439/N1439,""),"")</f>
        <v/>
      </c>
      <c r="V1439" s="10">
        <f>IF(AND(ISNUMBER(M1439),ISNUMBER(O1439)),IF(O1439&gt;0,M1439/O1439,""),"")</f>
        <v/>
      </c>
      <c r="W1439" s="10">
        <f>IF(AND(ISNUMBER(M1439),ISNUMBER(R1439)),IF(R1439&gt;0,M1439/R1439,""),"")</f>
        <v/>
      </c>
      <c r="X1439" s="10">
        <f>IF(AND(ISNUMBER(Q1439),ISNUMBER(M1439)),IF(M1439&gt;0,Q1439/M1439,""),"")</f>
        <v/>
      </c>
      <c r="Y1439" s="11">
        <f>IF(ISNUMBER(Z1439),YEAR(Z1439),"")</f>
        <v/>
      </c>
      <c r="Z1439" s="12" t="n"/>
      <c r="AA1439" s="12" t="n"/>
      <c r="AI1439" s="12" t="n"/>
      <c r="AJ1439" s="13">
        <f>IF(LEN(TRIM(AF1439))=0,"",HYPERLINK("https://www.google.com/maps/@?api=1&amp;map_action=pano&amp;viewpoint="&amp;SUBSTITUTE(AF1439," ",""),"Abrir Street View"))</f>
        <v/>
      </c>
    </row>
    <row r="1440">
      <c r="H1440" s="6" t="n"/>
      <c r="I1440" s="6" t="n"/>
      <c r="M1440" s="7" t="n"/>
      <c r="N1440" s="7" t="n"/>
      <c r="O1440" s="7" t="n"/>
      <c r="Q1440" s="7" t="n"/>
      <c r="R1440" s="7" t="n"/>
      <c r="S1440" s="8">
        <f>IF(NOT(ISNUMBER(M1440)),"",IF(G1440="Terreno",IF(AND(ISNUMBER(I1440),I1440&gt;0),M1440/I1440,""),IF(AND(ISNUMBER(H1440),H1440&gt;0),M1440/H1440,"")))</f>
        <v/>
      </c>
      <c r="T1440" s="9">
        <f>IF(AND(ISNUMBER(M1440),ISNUMBER(O1440)),IF(M1440&lt;=O1440,"Valor ≤ venal IPTU",""),"")</f>
        <v/>
      </c>
      <c r="U1440" s="10">
        <f>IF(AND(ISNUMBER(M1440),ISNUMBER(N1440)),IF(N1440&gt;0,M1440/N1440,""),"")</f>
        <v/>
      </c>
      <c r="V1440" s="10">
        <f>IF(AND(ISNUMBER(M1440),ISNUMBER(O1440)),IF(O1440&gt;0,M1440/O1440,""),"")</f>
        <v/>
      </c>
      <c r="W1440" s="10">
        <f>IF(AND(ISNUMBER(M1440),ISNUMBER(R1440)),IF(R1440&gt;0,M1440/R1440,""),"")</f>
        <v/>
      </c>
      <c r="X1440" s="10">
        <f>IF(AND(ISNUMBER(Q1440),ISNUMBER(M1440)),IF(M1440&gt;0,Q1440/M1440,""),"")</f>
        <v/>
      </c>
      <c r="Y1440" s="11">
        <f>IF(ISNUMBER(Z1440),YEAR(Z1440),"")</f>
        <v/>
      </c>
      <c r="Z1440" s="12" t="n"/>
      <c r="AA1440" s="12" t="n"/>
      <c r="AI1440" s="12" t="n"/>
      <c r="AJ1440" s="13">
        <f>IF(LEN(TRIM(AF1440))=0,"",HYPERLINK("https://www.google.com/maps/@?api=1&amp;map_action=pano&amp;viewpoint="&amp;SUBSTITUTE(AF1440," ",""),"Abrir Street View"))</f>
        <v/>
      </c>
    </row>
    <row r="1441">
      <c r="H1441" s="6" t="n"/>
      <c r="I1441" s="6" t="n"/>
      <c r="M1441" s="7" t="n"/>
      <c r="N1441" s="7" t="n"/>
      <c r="O1441" s="7" t="n"/>
      <c r="Q1441" s="7" t="n"/>
      <c r="R1441" s="7" t="n"/>
      <c r="S1441" s="8">
        <f>IF(NOT(ISNUMBER(M1441)),"",IF(G1441="Terreno",IF(AND(ISNUMBER(I1441),I1441&gt;0),M1441/I1441,""),IF(AND(ISNUMBER(H1441),H1441&gt;0),M1441/H1441,"")))</f>
        <v/>
      </c>
      <c r="T1441" s="9">
        <f>IF(AND(ISNUMBER(M1441),ISNUMBER(O1441)),IF(M1441&lt;=O1441,"Valor ≤ venal IPTU",""),"")</f>
        <v/>
      </c>
      <c r="U1441" s="10">
        <f>IF(AND(ISNUMBER(M1441),ISNUMBER(N1441)),IF(N1441&gt;0,M1441/N1441,""),"")</f>
        <v/>
      </c>
      <c r="V1441" s="10">
        <f>IF(AND(ISNUMBER(M1441),ISNUMBER(O1441)),IF(O1441&gt;0,M1441/O1441,""),"")</f>
        <v/>
      </c>
      <c r="W1441" s="10">
        <f>IF(AND(ISNUMBER(M1441),ISNUMBER(R1441)),IF(R1441&gt;0,M1441/R1441,""),"")</f>
        <v/>
      </c>
      <c r="X1441" s="10">
        <f>IF(AND(ISNUMBER(Q1441),ISNUMBER(M1441)),IF(M1441&gt;0,Q1441/M1441,""),"")</f>
        <v/>
      </c>
      <c r="Y1441" s="11">
        <f>IF(ISNUMBER(Z1441),YEAR(Z1441),"")</f>
        <v/>
      </c>
      <c r="Z1441" s="12" t="n"/>
      <c r="AA1441" s="12" t="n"/>
      <c r="AI1441" s="12" t="n"/>
      <c r="AJ1441" s="13">
        <f>IF(LEN(TRIM(AF1441))=0,"",HYPERLINK("https://www.google.com/maps/@?api=1&amp;map_action=pano&amp;viewpoint="&amp;SUBSTITUTE(AF1441," ",""),"Abrir Street View"))</f>
        <v/>
      </c>
    </row>
    <row r="1442">
      <c r="H1442" s="6" t="n"/>
      <c r="I1442" s="6" t="n"/>
      <c r="M1442" s="7" t="n"/>
      <c r="N1442" s="7" t="n"/>
      <c r="O1442" s="7" t="n"/>
      <c r="Q1442" s="7" t="n"/>
      <c r="R1442" s="7" t="n"/>
      <c r="S1442" s="8">
        <f>IF(NOT(ISNUMBER(M1442)),"",IF(G1442="Terreno",IF(AND(ISNUMBER(I1442),I1442&gt;0),M1442/I1442,""),IF(AND(ISNUMBER(H1442),H1442&gt;0),M1442/H1442,"")))</f>
        <v/>
      </c>
      <c r="T1442" s="9">
        <f>IF(AND(ISNUMBER(M1442),ISNUMBER(O1442)),IF(M1442&lt;=O1442,"Valor ≤ venal IPTU",""),"")</f>
        <v/>
      </c>
      <c r="U1442" s="10">
        <f>IF(AND(ISNUMBER(M1442),ISNUMBER(N1442)),IF(N1442&gt;0,M1442/N1442,""),"")</f>
        <v/>
      </c>
      <c r="V1442" s="10">
        <f>IF(AND(ISNUMBER(M1442),ISNUMBER(O1442)),IF(O1442&gt;0,M1442/O1442,""),"")</f>
        <v/>
      </c>
      <c r="W1442" s="10">
        <f>IF(AND(ISNUMBER(M1442),ISNUMBER(R1442)),IF(R1442&gt;0,M1442/R1442,""),"")</f>
        <v/>
      </c>
      <c r="X1442" s="10">
        <f>IF(AND(ISNUMBER(Q1442),ISNUMBER(M1442)),IF(M1442&gt;0,Q1442/M1442,""),"")</f>
        <v/>
      </c>
      <c r="Y1442" s="11">
        <f>IF(ISNUMBER(Z1442),YEAR(Z1442),"")</f>
        <v/>
      </c>
      <c r="Z1442" s="12" t="n"/>
      <c r="AA1442" s="12" t="n"/>
      <c r="AI1442" s="12" t="n"/>
      <c r="AJ1442" s="13">
        <f>IF(LEN(TRIM(AF1442))=0,"",HYPERLINK("https://www.google.com/maps/@?api=1&amp;map_action=pano&amp;viewpoint="&amp;SUBSTITUTE(AF1442," ",""),"Abrir Street View"))</f>
        <v/>
      </c>
    </row>
    <row r="1443">
      <c r="H1443" s="6" t="n"/>
      <c r="I1443" s="6" t="n"/>
      <c r="M1443" s="7" t="n"/>
      <c r="N1443" s="7" t="n"/>
      <c r="O1443" s="7" t="n"/>
      <c r="Q1443" s="7" t="n"/>
      <c r="R1443" s="7" t="n"/>
      <c r="S1443" s="8">
        <f>IF(NOT(ISNUMBER(M1443)),"",IF(G1443="Terreno",IF(AND(ISNUMBER(I1443),I1443&gt;0),M1443/I1443,""),IF(AND(ISNUMBER(H1443),H1443&gt;0),M1443/H1443,"")))</f>
        <v/>
      </c>
      <c r="T1443" s="9">
        <f>IF(AND(ISNUMBER(M1443),ISNUMBER(O1443)),IF(M1443&lt;=O1443,"Valor ≤ venal IPTU",""),"")</f>
        <v/>
      </c>
      <c r="U1443" s="10">
        <f>IF(AND(ISNUMBER(M1443),ISNUMBER(N1443)),IF(N1443&gt;0,M1443/N1443,""),"")</f>
        <v/>
      </c>
      <c r="V1443" s="10">
        <f>IF(AND(ISNUMBER(M1443),ISNUMBER(O1443)),IF(O1443&gt;0,M1443/O1443,""),"")</f>
        <v/>
      </c>
      <c r="W1443" s="10">
        <f>IF(AND(ISNUMBER(M1443),ISNUMBER(R1443)),IF(R1443&gt;0,M1443/R1443,""),"")</f>
        <v/>
      </c>
      <c r="X1443" s="10">
        <f>IF(AND(ISNUMBER(Q1443),ISNUMBER(M1443)),IF(M1443&gt;0,Q1443/M1443,""),"")</f>
        <v/>
      </c>
      <c r="Y1443" s="11">
        <f>IF(ISNUMBER(Z1443),YEAR(Z1443),"")</f>
        <v/>
      </c>
      <c r="Z1443" s="12" t="n"/>
      <c r="AA1443" s="12" t="n"/>
      <c r="AI1443" s="12" t="n"/>
      <c r="AJ1443" s="13">
        <f>IF(LEN(TRIM(AF1443))=0,"",HYPERLINK("https://www.google.com/maps/@?api=1&amp;map_action=pano&amp;viewpoint="&amp;SUBSTITUTE(AF1443," ",""),"Abrir Street View"))</f>
        <v/>
      </c>
    </row>
    <row r="1444">
      <c r="H1444" s="6" t="n"/>
      <c r="I1444" s="6" t="n"/>
      <c r="M1444" s="7" t="n"/>
      <c r="N1444" s="7" t="n"/>
      <c r="O1444" s="7" t="n"/>
      <c r="Q1444" s="7" t="n"/>
      <c r="R1444" s="7" t="n"/>
      <c r="S1444" s="8">
        <f>IF(NOT(ISNUMBER(M1444)),"",IF(G1444="Terreno",IF(AND(ISNUMBER(I1444),I1444&gt;0),M1444/I1444,""),IF(AND(ISNUMBER(H1444),H1444&gt;0),M1444/H1444,"")))</f>
        <v/>
      </c>
      <c r="T1444" s="9">
        <f>IF(AND(ISNUMBER(M1444),ISNUMBER(O1444)),IF(M1444&lt;=O1444,"Valor ≤ venal IPTU",""),"")</f>
        <v/>
      </c>
      <c r="U1444" s="10">
        <f>IF(AND(ISNUMBER(M1444),ISNUMBER(N1444)),IF(N1444&gt;0,M1444/N1444,""),"")</f>
        <v/>
      </c>
      <c r="V1444" s="10">
        <f>IF(AND(ISNUMBER(M1444),ISNUMBER(O1444)),IF(O1444&gt;0,M1444/O1444,""),"")</f>
        <v/>
      </c>
      <c r="W1444" s="10">
        <f>IF(AND(ISNUMBER(M1444),ISNUMBER(R1444)),IF(R1444&gt;0,M1444/R1444,""),"")</f>
        <v/>
      </c>
      <c r="X1444" s="10">
        <f>IF(AND(ISNUMBER(Q1444),ISNUMBER(M1444)),IF(M1444&gt;0,Q1444/M1444,""),"")</f>
        <v/>
      </c>
      <c r="Y1444" s="11">
        <f>IF(ISNUMBER(Z1444),YEAR(Z1444),"")</f>
        <v/>
      </c>
      <c r="Z1444" s="12" t="n"/>
      <c r="AA1444" s="12" t="n"/>
      <c r="AI1444" s="12" t="n"/>
      <c r="AJ1444" s="13">
        <f>IF(LEN(TRIM(AF1444))=0,"",HYPERLINK("https://www.google.com/maps/@?api=1&amp;map_action=pano&amp;viewpoint="&amp;SUBSTITUTE(AF1444," ",""),"Abrir Street View"))</f>
        <v/>
      </c>
    </row>
    <row r="1445">
      <c r="H1445" s="6" t="n"/>
      <c r="I1445" s="6" t="n"/>
      <c r="M1445" s="7" t="n"/>
      <c r="N1445" s="7" t="n"/>
      <c r="O1445" s="7" t="n"/>
      <c r="Q1445" s="7" t="n"/>
      <c r="R1445" s="7" t="n"/>
      <c r="S1445" s="8">
        <f>IF(NOT(ISNUMBER(M1445)),"",IF(G1445="Terreno",IF(AND(ISNUMBER(I1445),I1445&gt;0),M1445/I1445,""),IF(AND(ISNUMBER(H1445),H1445&gt;0),M1445/H1445,"")))</f>
        <v/>
      </c>
      <c r="T1445" s="9">
        <f>IF(AND(ISNUMBER(M1445),ISNUMBER(O1445)),IF(M1445&lt;=O1445,"Valor ≤ venal IPTU",""),"")</f>
        <v/>
      </c>
      <c r="U1445" s="10">
        <f>IF(AND(ISNUMBER(M1445),ISNUMBER(N1445)),IF(N1445&gt;0,M1445/N1445,""),"")</f>
        <v/>
      </c>
      <c r="V1445" s="10">
        <f>IF(AND(ISNUMBER(M1445),ISNUMBER(O1445)),IF(O1445&gt;0,M1445/O1445,""),"")</f>
        <v/>
      </c>
      <c r="W1445" s="10">
        <f>IF(AND(ISNUMBER(M1445),ISNUMBER(R1445)),IF(R1445&gt;0,M1445/R1445,""),"")</f>
        <v/>
      </c>
      <c r="X1445" s="10">
        <f>IF(AND(ISNUMBER(Q1445),ISNUMBER(M1445)),IF(M1445&gt;0,Q1445/M1445,""),"")</f>
        <v/>
      </c>
      <c r="Y1445" s="11">
        <f>IF(ISNUMBER(Z1445),YEAR(Z1445),"")</f>
        <v/>
      </c>
      <c r="Z1445" s="12" t="n"/>
      <c r="AA1445" s="12" t="n"/>
      <c r="AI1445" s="12" t="n"/>
      <c r="AJ1445" s="13">
        <f>IF(LEN(TRIM(AF1445))=0,"",HYPERLINK("https://www.google.com/maps/@?api=1&amp;map_action=pano&amp;viewpoint="&amp;SUBSTITUTE(AF1445," ",""),"Abrir Street View"))</f>
        <v/>
      </c>
    </row>
    <row r="1446">
      <c r="H1446" s="6" t="n"/>
      <c r="I1446" s="6" t="n"/>
      <c r="M1446" s="7" t="n"/>
      <c r="N1446" s="7" t="n"/>
      <c r="O1446" s="7" t="n"/>
      <c r="Q1446" s="7" t="n"/>
      <c r="R1446" s="7" t="n"/>
      <c r="S1446" s="8">
        <f>IF(NOT(ISNUMBER(M1446)),"",IF(G1446="Terreno",IF(AND(ISNUMBER(I1446),I1446&gt;0),M1446/I1446,""),IF(AND(ISNUMBER(H1446),H1446&gt;0),M1446/H1446,"")))</f>
        <v/>
      </c>
      <c r="T1446" s="9">
        <f>IF(AND(ISNUMBER(M1446),ISNUMBER(O1446)),IF(M1446&lt;=O1446,"Valor ≤ venal IPTU",""),"")</f>
        <v/>
      </c>
      <c r="U1446" s="10">
        <f>IF(AND(ISNUMBER(M1446),ISNUMBER(N1446)),IF(N1446&gt;0,M1446/N1446,""),"")</f>
        <v/>
      </c>
      <c r="V1446" s="10">
        <f>IF(AND(ISNUMBER(M1446),ISNUMBER(O1446)),IF(O1446&gt;0,M1446/O1446,""),"")</f>
        <v/>
      </c>
      <c r="W1446" s="10">
        <f>IF(AND(ISNUMBER(M1446),ISNUMBER(R1446)),IF(R1446&gt;0,M1446/R1446,""),"")</f>
        <v/>
      </c>
      <c r="X1446" s="10">
        <f>IF(AND(ISNUMBER(Q1446),ISNUMBER(M1446)),IF(M1446&gt;0,Q1446/M1446,""),"")</f>
        <v/>
      </c>
      <c r="Y1446" s="11">
        <f>IF(ISNUMBER(Z1446),YEAR(Z1446),"")</f>
        <v/>
      </c>
      <c r="Z1446" s="12" t="n"/>
      <c r="AA1446" s="12" t="n"/>
      <c r="AI1446" s="12" t="n"/>
      <c r="AJ1446" s="13">
        <f>IF(LEN(TRIM(AF1446))=0,"",HYPERLINK("https://www.google.com/maps/@?api=1&amp;map_action=pano&amp;viewpoint="&amp;SUBSTITUTE(AF1446," ",""),"Abrir Street View"))</f>
        <v/>
      </c>
    </row>
    <row r="1447">
      <c r="H1447" s="6" t="n"/>
      <c r="I1447" s="6" t="n"/>
      <c r="M1447" s="7" t="n"/>
      <c r="N1447" s="7" t="n"/>
      <c r="O1447" s="7" t="n"/>
      <c r="Q1447" s="7" t="n"/>
      <c r="R1447" s="7" t="n"/>
      <c r="S1447" s="8">
        <f>IF(NOT(ISNUMBER(M1447)),"",IF(G1447="Terreno",IF(AND(ISNUMBER(I1447),I1447&gt;0),M1447/I1447,""),IF(AND(ISNUMBER(H1447),H1447&gt;0),M1447/H1447,"")))</f>
        <v/>
      </c>
      <c r="T1447" s="9">
        <f>IF(AND(ISNUMBER(M1447),ISNUMBER(O1447)),IF(M1447&lt;=O1447,"Valor ≤ venal IPTU",""),"")</f>
        <v/>
      </c>
      <c r="U1447" s="10">
        <f>IF(AND(ISNUMBER(M1447),ISNUMBER(N1447)),IF(N1447&gt;0,M1447/N1447,""),"")</f>
        <v/>
      </c>
      <c r="V1447" s="10">
        <f>IF(AND(ISNUMBER(M1447),ISNUMBER(O1447)),IF(O1447&gt;0,M1447/O1447,""),"")</f>
        <v/>
      </c>
      <c r="W1447" s="10">
        <f>IF(AND(ISNUMBER(M1447),ISNUMBER(R1447)),IF(R1447&gt;0,M1447/R1447,""),"")</f>
        <v/>
      </c>
      <c r="X1447" s="10">
        <f>IF(AND(ISNUMBER(Q1447),ISNUMBER(M1447)),IF(M1447&gt;0,Q1447/M1447,""),"")</f>
        <v/>
      </c>
      <c r="Y1447" s="11">
        <f>IF(ISNUMBER(Z1447),YEAR(Z1447),"")</f>
        <v/>
      </c>
      <c r="Z1447" s="12" t="n"/>
      <c r="AA1447" s="12" t="n"/>
      <c r="AI1447" s="12" t="n"/>
      <c r="AJ1447" s="13">
        <f>IF(LEN(TRIM(AF1447))=0,"",HYPERLINK("https://www.google.com/maps/@?api=1&amp;map_action=pano&amp;viewpoint="&amp;SUBSTITUTE(AF1447," ",""),"Abrir Street View"))</f>
        <v/>
      </c>
    </row>
    <row r="1448">
      <c r="H1448" s="6" t="n"/>
      <c r="I1448" s="6" t="n"/>
      <c r="M1448" s="7" t="n"/>
      <c r="N1448" s="7" t="n"/>
      <c r="O1448" s="7" t="n"/>
      <c r="Q1448" s="7" t="n"/>
      <c r="R1448" s="7" t="n"/>
      <c r="S1448" s="8">
        <f>IF(NOT(ISNUMBER(M1448)),"",IF(G1448="Terreno",IF(AND(ISNUMBER(I1448),I1448&gt;0),M1448/I1448,""),IF(AND(ISNUMBER(H1448),H1448&gt;0),M1448/H1448,"")))</f>
        <v/>
      </c>
      <c r="T1448" s="9">
        <f>IF(AND(ISNUMBER(M1448),ISNUMBER(O1448)),IF(M1448&lt;=O1448,"Valor ≤ venal IPTU",""),"")</f>
        <v/>
      </c>
      <c r="U1448" s="10">
        <f>IF(AND(ISNUMBER(M1448),ISNUMBER(N1448)),IF(N1448&gt;0,M1448/N1448,""),"")</f>
        <v/>
      </c>
      <c r="V1448" s="10">
        <f>IF(AND(ISNUMBER(M1448),ISNUMBER(O1448)),IF(O1448&gt;0,M1448/O1448,""),"")</f>
        <v/>
      </c>
      <c r="W1448" s="10">
        <f>IF(AND(ISNUMBER(M1448),ISNUMBER(R1448)),IF(R1448&gt;0,M1448/R1448,""),"")</f>
        <v/>
      </c>
      <c r="X1448" s="10">
        <f>IF(AND(ISNUMBER(Q1448),ISNUMBER(M1448)),IF(M1448&gt;0,Q1448/M1448,""),"")</f>
        <v/>
      </c>
      <c r="Y1448" s="11">
        <f>IF(ISNUMBER(Z1448),YEAR(Z1448),"")</f>
        <v/>
      </c>
      <c r="Z1448" s="12" t="n"/>
      <c r="AA1448" s="12" t="n"/>
      <c r="AI1448" s="12" t="n"/>
      <c r="AJ1448" s="13">
        <f>IF(LEN(TRIM(AF1448))=0,"",HYPERLINK("https://www.google.com/maps/@?api=1&amp;map_action=pano&amp;viewpoint="&amp;SUBSTITUTE(AF1448," ",""),"Abrir Street View"))</f>
        <v/>
      </c>
    </row>
    <row r="1449">
      <c r="H1449" s="6" t="n"/>
      <c r="I1449" s="6" t="n"/>
      <c r="M1449" s="7" t="n"/>
      <c r="N1449" s="7" t="n"/>
      <c r="O1449" s="7" t="n"/>
      <c r="Q1449" s="7" t="n"/>
      <c r="R1449" s="7" t="n"/>
      <c r="S1449" s="8">
        <f>IF(NOT(ISNUMBER(M1449)),"",IF(G1449="Terreno",IF(AND(ISNUMBER(I1449),I1449&gt;0),M1449/I1449,""),IF(AND(ISNUMBER(H1449),H1449&gt;0),M1449/H1449,"")))</f>
        <v/>
      </c>
      <c r="T1449" s="9">
        <f>IF(AND(ISNUMBER(M1449),ISNUMBER(O1449)),IF(M1449&lt;=O1449,"Valor ≤ venal IPTU",""),"")</f>
        <v/>
      </c>
      <c r="U1449" s="10">
        <f>IF(AND(ISNUMBER(M1449),ISNUMBER(N1449)),IF(N1449&gt;0,M1449/N1449,""),"")</f>
        <v/>
      </c>
      <c r="V1449" s="10">
        <f>IF(AND(ISNUMBER(M1449),ISNUMBER(O1449)),IF(O1449&gt;0,M1449/O1449,""),"")</f>
        <v/>
      </c>
      <c r="W1449" s="10">
        <f>IF(AND(ISNUMBER(M1449),ISNUMBER(R1449)),IF(R1449&gt;0,M1449/R1449,""),"")</f>
        <v/>
      </c>
      <c r="X1449" s="10">
        <f>IF(AND(ISNUMBER(Q1449),ISNUMBER(M1449)),IF(M1449&gt;0,Q1449/M1449,""),"")</f>
        <v/>
      </c>
      <c r="Y1449" s="11">
        <f>IF(ISNUMBER(Z1449),YEAR(Z1449),"")</f>
        <v/>
      </c>
      <c r="Z1449" s="12" t="n"/>
      <c r="AA1449" s="12" t="n"/>
      <c r="AI1449" s="12" t="n"/>
      <c r="AJ1449" s="13">
        <f>IF(LEN(TRIM(AF1449))=0,"",HYPERLINK("https://www.google.com/maps/@?api=1&amp;map_action=pano&amp;viewpoint="&amp;SUBSTITUTE(AF1449," ",""),"Abrir Street View"))</f>
        <v/>
      </c>
    </row>
    <row r="1450">
      <c r="H1450" s="6" t="n"/>
      <c r="I1450" s="6" t="n"/>
      <c r="M1450" s="7" t="n"/>
      <c r="N1450" s="7" t="n"/>
      <c r="O1450" s="7" t="n"/>
      <c r="Q1450" s="7" t="n"/>
      <c r="R1450" s="7" t="n"/>
      <c r="S1450" s="8">
        <f>IF(NOT(ISNUMBER(M1450)),"",IF(G1450="Terreno",IF(AND(ISNUMBER(I1450),I1450&gt;0),M1450/I1450,""),IF(AND(ISNUMBER(H1450),H1450&gt;0),M1450/H1450,"")))</f>
        <v/>
      </c>
      <c r="T1450" s="9">
        <f>IF(AND(ISNUMBER(M1450),ISNUMBER(O1450)),IF(M1450&lt;=O1450,"Valor ≤ venal IPTU",""),"")</f>
        <v/>
      </c>
      <c r="U1450" s="10">
        <f>IF(AND(ISNUMBER(M1450),ISNUMBER(N1450)),IF(N1450&gt;0,M1450/N1450,""),"")</f>
        <v/>
      </c>
      <c r="V1450" s="10">
        <f>IF(AND(ISNUMBER(M1450),ISNUMBER(O1450)),IF(O1450&gt;0,M1450/O1450,""),"")</f>
        <v/>
      </c>
      <c r="W1450" s="10">
        <f>IF(AND(ISNUMBER(M1450),ISNUMBER(R1450)),IF(R1450&gt;0,M1450/R1450,""),"")</f>
        <v/>
      </c>
      <c r="X1450" s="10">
        <f>IF(AND(ISNUMBER(Q1450),ISNUMBER(M1450)),IF(M1450&gt;0,Q1450/M1450,""),"")</f>
        <v/>
      </c>
      <c r="Y1450" s="11">
        <f>IF(ISNUMBER(Z1450),YEAR(Z1450),"")</f>
        <v/>
      </c>
      <c r="Z1450" s="12" t="n"/>
      <c r="AA1450" s="12" t="n"/>
      <c r="AI1450" s="12" t="n"/>
      <c r="AJ1450" s="13">
        <f>IF(LEN(TRIM(AF1450))=0,"",HYPERLINK("https://www.google.com/maps/@?api=1&amp;map_action=pano&amp;viewpoint="&amp;SUBSTITUTE(AF1450," ",""),"Abrir Street View"))</f>
        <v/>
      </c>
    </row>
    <row r="1451">
      <c r="H1451" s="6" t="n"/>
      <c r="I1451" s="6" t="n"/>
      <c r="M1451" s="7" t="n"/>
      <c r="N1451" s="7" t="n"/>
      <c r="O1451" s="7" t="n"/>
      <c r="Q1451" s="7" t="n"/>
      <c r="R1451" s="7" t="n"/>
      <c r="S1451" s="8">
        <f>IF(NOT(ISNUMBER(M1451)),"",IF(G1451="Terreno",IF(AND(ISNUMBER(I1451),I1451&gt;0),M1451/I1451,""),IF(AND(ISNUMBER(H1451),H1451&gt;0),M1451/H1451,"")))</f>
        <v/>
      </c>
      <c r="T1451" s="9">
        <f>IF(AND(ISNUMBER(M1451),ISNUMBER(O1451)),IF(M1451&lt;=O1451,"Valor ≤ venal IPTU",""),"")</f>
        <v/>
      </c>
      <c r="U1451" s="10">
        <f>IF(AND(ISNUMBER(M1451),ISNUMBER(N1451)),IF(N1451&gt;0,M1451/N1451,""),"")</f>
        <v/>
      </c>
      <c r="V1451" s="10">
        <f>IF(AND(ISNUMBER(M1451),ISNUMBER(O1451)),IF(O1451&gt;0,M1451/O1451,""),"")</f>
        <v/>
      </c>
      <c r="W1451" s="10">
        <f>IF(AND(ISNUMBER(M1451),ISNUMBER(R1451)),IF(R1451&gt;0,M1451/R1451,""),"")</f>
        <v/>
      </c>
      <c r="X1451" s="10">
        <f>IF(AND(ISNUMBER(Q1451),ISNUMBER(M1451)),IF(M1451&gt;0,Q1451/M1451,""),"")</f>
        <v/>
      </c>
      <c r="Y1451" s="11">
        <f>IF(ISNUMBER(Z1451),YEAR(Z1451),"")</f>
        <v/>
      </c>
      <c r="Z1451" s="12" t="n"/>
      <c r="AA1451" s="12" t="n"/>
      <c r="AI1451" s="12" t="n"/>
      <c r="AJ1451" s="13">
        <f>IF(LEN(TRIM(AF1451))=0,"",HYPERLINK("https://www.google.com/maps/@?api=1&amp;map_action=pano&amp;viewpoint="&amp;SUBSTITUTE(AF1451," ",""),"Abrir Street View"))</f>
        <v/>
      </c>
    </row>
    <row r="1452">
      <c r="H1452" s="6" t="n"/>
      <c r="I1452" s="6" t="n"/>
      <c r="M1452" s="7" t="n"/>
      <c r="N1452" s="7" t="n"/>
      <c r="O1452" s="7" t="n"/>
      <c r="Q1452" s="7" t="n"/>
      <c r="R1452" s="7" t="n"/>
      <c r="S1452" s="8">
        <f>IF(NOT(ISNUMBER(M1452)),"",IF(G1452="Terreno",IF(AND(ISNUMBER(I1452),I1452&gt;0),M1452/I1452,""),IF(AND(ISNUMBER(H1452),H1452&gt;0),M1452/H1452,"")))</f>
        <v/>
      </c>
      <c r="T1452" s="9">
        <f>IF(AND(ISNUMBER(M1452),ISNUMBER(O1452)),IF(M1452&lt;=O1452,"Valor ≤ venal IPTU",""),"")</f>
        <v/>
      </c>
      <c r="U1452" s="10">
        <f>IF(AND(ISNUMBER(M1452),ISNUMBER(N1452)),IF(N1452&gt;0,M1452/N1452,""),"")</f>
        <v/>
      </c>
      <c r="V1452" s="10">
        <f>IF(AND(ISNUMBER(M1452),ISNUMBER(O1452)),IF(O1452&gt;0,M1452/O1452,""),"")</f>
        <v/>
      </c>
      <c r="W1452" s="10">
        <f>IF(AND(ISNUMBER(M1452),ISNUMBER(R1452)),IF(R1452&gt;0,M1452/R1452,""),"")</f>
        <v/>
      </c>
      <c r="X1452" s="10">
        <f>IF(AND(ISNUMBER(Q1452),ISNUMBER(M1452)),IF(M1452&gt;0,Q1452/M1452,""),"")</f>
        <v/>
      </c>
      <c r="Y1452" s="11">
        <f>IF(ISNUMBER(Z1452),YEAR(Z1452),"")</f>
        <v/>
      </c>
      <c r="Z1452" s="12" t="n"/>
      <c r="AA1452" s="12" t="n"/>
      <c r="AI1452" s="12" t="n"/>
      <c r="AJ1452" s="13">
        <f>IF(LEN(TRIM(AF1452))=0,"",HYPERLINK("https://www.google.com/maps/@?api=1&amp;map_action=pano&amp;viewpoint="&amp;SUBSTITUTE(AF1452," ",""),"Abrir Street View"))</f>
        <v/>
      </c>
    </row>
    <row r="1453">
      <c r="H1453" s="6" t="n"/>
      <c r="I1453" s="6" t="n"/>
      <c r="M1453" s="7" t="n"/>
      <c r="N1453" s="7" t="n"/>
      <c r="O1453" s="7" t="n"/>
      <c r="Q1453" s="7" t="n"/>
      <c r="R1453" s="7" t="n"/>
      <c r="S1453" s="8">
        <f>IF(NOT(ISNUMBER(M1453)),"",IF(G1453="Terreno",IF(AND(ISNUMBER(I1453),I1453&gt;0),M1453/I1453,""),IF(AND(ISNUMBER(H1453),H1453&gt;0),M1453/H1453,"")))</f>
        <v/>
      </c>
      <c r="T1453" s="9">
        <f>IF(AND(ISNUMBER(M1453),ISNUMBER(O1453)),IF(M1453&lt;=O1453,"Valor ≤ venal IPTU",""),"")</f>
        <v/>
      </c>
      <c r="U1453" s="10">
        <f>IF(AND(ISNUMBER(M1453),ISNUMBER(N1453)),IF(N1453&gt;0,M1453/N1453,""),"")</f>
        <v/>
      </c>
      <c r="V1453" s="10">
        <f>IF(AND(ISNUMBER(M1453),ISNUMBER(O1453)),IF(O1453&gt;0,M1453/O1453,""),"")</f>
        <v/>
      </c>
      <c r="W1453" s="10">
        <f>IF(AND(ISNUMBER(M1453),ISNUMBER(R1453)),IF(R1453&gt;0,M1453/R1453,""),"")</f>
        <v/>
      </c>
      <c r="X1453" s="10">
        <f>IF(AND(ISNUMBER(Q1453),ISNUMBER(M1453)),IF(M1453&gt;0,Q1453/M1453,""),"")</f>
        <v/>
      </c>
      <c r="Y1453" s="11">
        <f>IF(ISNUMBER(Z1453),YEAR(Z1453),"")</f>
        <v/>
      </c>
      <c r="Z1453" s="12" t="n"/>
      <c r="AA1453" s="12" t="n"/>
      <c r="AI1453" s="12" t="n"/>
      <c r="AJ1453" s="13">
        <f>IF(LEN(TRIM(AF1453))=0,"",HYPERLINK("https://www.google.com/maps/@?api=1&amp;map_action=pano&amp;viewpoint="&amp;SUBSTITUTE(AF1453," ",""),"Abrir Street View"))</f>
        <v/>
      </c>
    </row>
    <row r="1454">
      <c r="H1454" s="6" t="n"/>
      <c r="I1454" s="6" t="n"/>
      <c r="M1454" s="7" t="n"/>
      <c r="N1454" s="7" t="n"/>
      <c r="O1454" s="7" t="n"/>
      <c r="Q1454" s="7" t="n"/>
      <c r="R1454" s="7" t="n"/>
      <c r="S1454" s="8">
        <f>IF(NOT(ISNUMBER(M1454)),"",IF(G1454="Terreno",IF(AND(ISNUMBER(I1454),I1454&gt;0),M1454/I1454,""),IF(AND(ISNUMBER(H1454),H1454&gt;0),M1454/H1454,"")))</f>
        <v/>
      </c>
      <c r="T1454" s="9">
        <f>IF(AND(ISNUMBER(M1454),ISNUMBER(O1454)),IF(M1454&lt;=O1454,"Valor ≤ venal IPTU",""),"")</f>
        <v/>
      </c>
      <c r="U1454" s="10">
        <f>IF(AND(ISNUMBER(M1454),ISNUMBER(N1454)),IF(N1454&gt;0,M1454/N1454,""),"")</f>
        <v/>
      </c>
      <c r="V1454" s="10">
        <f>IF(AND(ISNUMBER(M1454),ISNUMBER(O1454)),IF(O1454&gt;0,M1454/O1454,""),"")</f>
        <v/>
      </c>
      <c r="W1454" s="10">
        <f>IF(AND(ISNUMBER(M1454),ISNUMBER(R1454)),IF(R1454&gt;0,M1454/R1454,""),"")</f>
        <v/>
      </c>
      <c r="X1454" s="10">
        <f>IF(AND(ISNUMBER(Q1454),ISNUMBER(M1454)),IF(M1454&gt;0,Q1454/M1454,""),"")</f>
        <v/>
      </c>
      <c r="Y1454" s="11">
        <f>IF(ISNUMBER(Z1454),YEAR(Z1454),"")</f>
        <v/>
      </c>
      <c r="Z1454" s="12" t="n"/>
      <c r="AA1454" s="12" t="n"/>
      <c r="AI1454" s="12" t="n"/>
      <c r="AJ1454" s="13">
        <f>IF(LEN(TRIM(AF1454))=0,"",HYPERLINK("https://www.google.com/maps/@?api=1&amp;map_action=pano&amp;viewpoint="&amp;SUBSTITUTE(AF1454," ",""),"Abrir Street View"))</f>
        <v/>
      </c>
    </row>
    <row r="1455">
      <c r="H1455" s="6" t="n"/>
      <c r="I1455" s="6" t="n"/>
      <c r="M1455" s="7" t="n"/>
      <c r="N1455" s="7" t="n"/>
      <c r="O1455" s="7" t="n"/>
      <c r="Q1455" s="7" t="n"/>
      <c r="R1455" s="7" t="n"/>
      <c r="S1455" s="8">
        <f>IF(NOT(ISNUMBER(M1455)),"",IF(G1455="Terreno",IF(AND(ISNUMBER(I1455),I1455&gt;0),M1455/I1455,""),IF(AND(ISNUMBER(H1455),H1455&gt;0),M1455/H1455,"")))</f>
        <v/>
      </c>
      <c r="T1455" s="9">
        <f>IF(AND(ISNUMBER(M1455),ISNUMBER(O1455)),IF(M1455&lt;=O1455,"Valor ≤ venal IPTU",""),"")</f>
        <v/>
      </c>
      <c r="U1455" s="10">
        <f>IF(AND(ISNUMBER(M1455),ISNUMBER(N1455)),IF(N1455&gt;0,M1455/N1455,""),"")</f>
        <v/>
      </c>
      <c r="V1455" s="10">
        <f>IF(AND(ISNUMBER(M1455),ISNUMBER(O1455)),IF(O1455&gt;0,M1455/O1455,""),"")</f>
        <v/>
      </c>
      <c r="W1455" s="10">
        <f>IF(AND(ISNUMBER(M1455),ISNUMBER(R1455)),IF(R1455&gt;0,M1455/R1455,""),"")</f>
        <v/>
      </c>
      <c r="X1455" s="10">
        <f>IF(AND(ISNUMBER(Q1455),ISNUMBER(M1455)),IF(M1455&gt;0,Q1455/M1455,""),"")</f>
        <v/>
      </c>
      <c r="Y1455" s="11">
        <f>IF(ISNUMBER(Z1455),YEAR(Z1455),"")</f>
        <v/>
      </c>
      <c r="Z1455" s="12" t="n"/>
      <c r="AA1455" s="12" t="n"/>
      <c r="AI1455" s="12" t="n"/>
      <c r="AJ1455" s="13">
        <f>IF(LEN(TRIM(AF1455))=0,"",HYPERLINK("https://www.google.com/maps/@?api=1&amp;map_action=pano&amp;viewpoint="&amp;SUBSTITUTE(AF1455," ",""),"Abrir Street View"))</f>
        <v/>
      </c>
    </row>
    <row r="1456">
      <c r="H1456" s="6" t="n"/>
      <c r="I1456" s="6" t="n"/>
      <c r="M1456" s="7" t="n"/>
      <c r="N1456" s="7" t="n"/>
      <c r="O1456" s="7" t="n"/>
      <c r="Q1456" s="7" t="n"/>
      <c r="R1456" s="7" t="n"/>
      <c r="S1456" s="8">
        <f>IF(NOT(ISNUMBER(M1456)),"",IF(G1456="Terreno",IF(AND(ISNUMBER(I1456),I1456&gt;0),M1456/I1456,""),IF(AND(ISNUMBER(H1456),H1456&gt;0),M1456/H1456,"")))</f>
        <v/>
      </c>
      <c r="T1456" s="9">
        <f>IF(AND(ISNUMBER(M1456),ISNUMBER(O1456)),IF(M1456&lt;=O1456,"Valor ≤ venal IPTU",""),"")</f>
        <v/>
      </c>
      <c r="U1456" s="10">
        <f>IF(AND(ISNUMBER(M1456),ISNUMBER(N1456)),IF(N1456&gt;0,M1456/N1456,""),"")</f>
        <v/>
      </c>
      <c r="V1456" s="10">
        <f>IF(AND(ISNUMBER(M1456),ISNUMBER(O1456)),IF(O1456&gt;0,M1456/O1456,""),"")</f>
        <v/>
      </c>
      <c r="W1456" s="10">
        <f>IF(AND(ISNUMBER(M1456),ISNUMBER(R1456)),IF(R1456&gt;0,M1456/R1456,""),"")</f>
        <v/>
      </c>
      <c r="X1456" s="10">
        <f>IF(AND(ISNUMBER(Q1456),ISNUMBER(M1456)),IF(M1456&gt;0,Q1456/M1456,""),"")</f>
        <v/>
      </c>
      <c r="Y1456" s="11">
        <f>IF(ISNUMBER(Z1456),YEAR(Z1456),"")</f>
        <v/>
      </c>
      <c r="Z1456" s="12" t="n"/>
      <c r="AA1456" s="12" t="n"/>
      <c r="AI1456" s="12" t="n"/>
      <c r="AJ1456" s="13">
        <f>IF(LEN(TRIM(AF1456))=0,"",HYPERLINK("https://www.google.com/maps/@?api=1&amp;map_action=pano&amp;viewpoint="&amp;SUBSTITUTE(AF1456," ",""),"Abrir Street View"))</f>
        <v/>
      </c>
    </row>
    <row r="1457">
      <c r="H1457" s="6" t="n"/>
      <c r="I1457" s="6" t="n"/>
      <c r="M1457" s="7" t="n"/>
      <c r="N1457" s="7" t="n"/>
      <c r="O1457" s="7" t="n"/>
      <c r="Q1457" s="7" t="n"/>
      <c r="R1457" s="7" t="n"/>
      <c r="S1457" s="8">
        <f>IF(NOT(ISNUMBER(M1457)),"",IF(G1457="Terreno",IF(AND(ISNUMBER(I1457),I1457&gt;0),M1457/I1457,""),IF(AND(ISNUMBER(H1457),H1457&gt;0),M1457/H1457,"")))</f>
        <v/>
      </c>
      <c r="T1457" s="9">
        <f>IF(AND(ISNUMBER(M1457),ISNUMBER(O1457)),IF(M1457&lt;=O1457,"Valor ≤ venal IPTU",""),"")</f>
        <v/>
      </c>
      <c r="U1457" s="10">
        <f>IF(AND(ISNUMBER(M1457),ISNUMBER(N1457)),IF(N1457&gt;0,M1457/N1457,""),"")</f>
        <v/>
      </c>
      <c r="V1457" s="10">
        <f>IF(AND(ISNUMBER(M1457),ISNUMBER(O1457)),IF(O1457&gt;0,M1457/O1457,""),"")</f>
        <v/>
      </c>
      <c r="W1457" s="10">
        <f>IF(AND(ISNUMBER(M1457),ISNUMBER(R1457)),IF(R1457&gt;0,M1457/R1457,""),"")</f>
        <v/>
      </c>
      <c r="X1457" s="10">
        <f>IF(AND(ISNUMBER(Q1457),ISNUMBER(M1457)),IF(M1457&gt;0,Q1457/M1457,""),"")</f>
        <v/>
      </c>
      <c r="Y1457" s="11">
        <f>IF(ISNUMBER(Z1457),YEAR(Z1457),"")</f>
        <v/>
      </c>
      <c r="Z1457" s="12" t="n"/>
      <c r="AA1457" s="12" t="n"/>
      <c r="AI1457" s="12" t="n"/>
      <c r="AJ1457" s="13">
        <f>IF(LEN(TRIM(AF1457))=0,"",HYPERLINK("https://www.google.com/maps/@?api=1&amp;map_action=pano&amp;viewpoint="&amp;SUBSTITUTE(AF1457," ",""),"Abrir Street View"))</f>
        <v/>
      </c>
    </row>
    <row r="1458">
      <c r="H1458" s="6" t="n"/>
      <c r="I1458" s="6" t="n"/>
      <c r="M1458" s="7" t="n"/>
      <c r="N1458" s="7" t="n"/>
      <c r="O1458" s="7" t="n"/>
      <c r="Q1458" s="7" t="n"/>
      <c r="R1458" s="7" t="n"/>
      <c r="S1458" s="8">
        <f>IF(NOT(ISNUMBER(M1458)),"",IF(G1458="Terreno",IF(AND(ISNUMBER(I1458),I1458&gt;0),M1458/I1458,""),IF(AND(ISNUMBER(H1458),H1458&gt;0),M1458/H1458,"")))</f>
        <v/>
      </c>
      <c r="T1458" s="9">
        <f>IF(AND(ISNUMBER(M1458),ISNUMBER(O1458)),IF(M1458&lt;=O1458,"Valor ≤ venal IPTU",""),"")</f>
        <v/>
      </c>
      <c r="U1458" s="10">
        <f>IF(AND(ISNUMBER(M1458),ISNUMBER(N1458)),IF(N1458&gt;0,M1458/N1458,""),"")</f>
        <v/>
      </c>
      <c r="V1458" s="10">
        <f>IF(AND(ISNUMBER(M1458),ISNUMBER(O1458)),IF(O1458&gt;0,M1458/O1458,""),"")</f>
        <v/>
      </c>
      <c r="W1458" s="10">
        <f>IF(AND(ISNUMBER(M1458),ISNUMBER(R1458)),IF(R1458&gt;0,M1458/R1458,""),"")</f>
        <v/>
      </c>
      <c r="X1458" s="10">
        <f>IF(AND(ISNUMBER(Q1458),ISNUMBER(M1458)),IF(M1458&gt;0,Q1458/M1458,""),"")</f>
        <v/>
      </c>
      <c r="Y1458" s="11">
        <f>IF(ISNUMBER(Z1458),YEAR(Z1458),"")</f>
        <v/>
      </c>
      <c r="Z1458" s="12" t="n"/>
      <c r="AA1458" s="12" t="n"/>
      <c r="AI1458" s="12" t="n"/>
      <c r="AJ1458" s="13">
        <f>IF(LEN(TRIM(AF1458))=0,"",HYPERLINK("https://www.google.com/maps/@?api=1&amp;map_action=pano&amp;viewpoint="&amp;SUBSTITUTE(AF1458," ",""),"Abrir Street View"))</f>
        <v/>
      </c>
    </row>
    <row r="1459">
      <c r="H1459" s="6" t="n"/>
      <c r="I1459" s="6" t="n"/>
      <c r="M1459" s="7" t="n"/>
      <c r="N1459" s="7" t="n"/>
      <c r="O1459" s="7" t="n"/>
      <c r="Q1459" s="7" t="n"/>
      <c r="R1459" s="7" t="n"/>
      <c r="S1459" s="8">
        <f>IF(NOT(ISNUMBER(M1459)),"",IF(G1459="Terreno",IF(AND(ISNUMBER(I1459),I1459&gt;0),M1459/I1459,""),IF(AND(ISNUMBER(H1459),H1459&gt;0),M1459/H1459,"")))</f>
        <v/>
      </c>
      <c r="T1459" s="9">
        <f>IF(AND(ISNUMBER(M1459),ISNUMBER(O1459)),IF(M1459&lt;=O1459,"Valor ≤ venal IPTU",""),"")</f>
        <v/>
      </c>
      <c r="U1459" s="10">
        <f>IF(AND(ISNUMBER(M1459),ISNUMBER(N1459)),IF(N1459&gt;0,M1459/N1459,""),"")</f>
        <v/>
      </c>
      <c r="V1459" s="10">
        <f>IF(AND(ISNUMBER(M1459),ISNUMBER(O1459)),IF(O1459&gt;0,M1459/O1459,""),"")</f>
        <v/>
      </c>
      <c r="W1459" s="10">
        <f>IF(AND(ISNUMBER(M1459),ISNUMBER(R1459)),IF(R1459&gt;0,M1459/R1459,""),"")</f>
        <v/>
      </c>
      <c r="X1459" s="10">
        <f>IF(AND(ISNUMBER(Q1459),ISNUMBER(M1459)),IF(M1459&gt;0,Q1459/M1459,""),"")</f>
        <v/>
      </c>
      <c r="Y1459" s="11">
        <f>IF(ISNUMBER(Z1459),YEAR(Z1459),"")</f>
        <v/>
      </c>
      <c r="Z1459" s="12" t="n"/>
      <c r="AA1459" s="12" t="n"/>
      <c r="AI1459" s="12" t="n"/>
      <c r="AJ1459" s="13">
        <f>IF(LEN(TRIM(AF1459))=0,"",HYPERLINK("https://www.google.com/maps/@?api=1&amp;map_action=pano&amp;viewpoint="&amp;SUBSTITUTE(AF1459," ",""),"Abrir Street View"))</f>
        <v/>
      </c>
    </row>
    <row r="1460">
      <c r="H1460" s="6" t="n"/>
      <c r="I1460" s="6" t="n"/>
      <c r="M1460" s="7" t="n"/>
      <c r="N1460" s="7" t="n"/>
      <c r="O1460" s="7" t="n"/>
      <c r="Q1460" s="7" t="n"/>
      <c r="R1460" s="7" t="n"/>
      <c r="S1460" s="8">
        <f>IF(NOT(ISNUMBER(M1460)),"",IF(G1460="Terreno",IF(AND(ISNUMBER(I1460),I1460&gt;0),M1460/I1460,""),IF(AND(ISNUMBER(H1460),H1460&gt;0),M1460/H1460,"")))</f>
        <v/>
      </c>
      <c r="T1460" s="9">
        <f>IF(AND(ISNUMBER(M1460),ISNUMBER(O1460)),IF(M1460&lt;=O1460,"Valor ≤ venal IPTU",""),"")</f>
        <v/>
      </c>
      <c r="U1460" s="10">
        <f>IF(AND(ISNUMBER(M1460),ISNUMBER(N1460)),IF(N1460&gt;0,M1460/N1460,""),"")</f>
        <v/>
      </c>
      <c r="V1460" s="10">
        <f>IF(AND(ISNUMBER(M1460),ISNUMBER(O1460)),IF(O1460&gt;0,M1460/O1460,""),"")</f>
        <v/>
      </c>
      <c r="W1460" s="10">
        <f>IF(AND(ISNUMBER(M1460),ISNUMBER(R1460)),IF(R1460&gt;0,M1460/R1460,""),"")</f>
        <v/>
      </c>
      <c r="X1460" s="10">
        <f>IF(AND(ISNUMBER(Q1460),ISNUMBER(M1460)),IF(M1460&gt;0,Q1460/M1460,""),"")</f>
        <v/>
      </c>
      <c r="Y1460" s="11">
        <f>IF(ISNUMBER(Z1460),YEAR(Z1460),"")</f>
        <v/>
      </c>
      <c r="Z1460" s="12" t="n"/>
      <c r="AA1460" s="12" t="n"/>
      <c r="AI1460" s="12" t="n"/>
      <c r="AJ1460" s="13">
        <f>IF(LEN(TRIM(AF1460))=0,"",HYPERLINK("https://www.google.com/maps/@?api=1&amp;map_action=pano&amp;viewpoint="&amp;SUBSTITUTE(AF1460," ",""),"Abrir Street View"))</f>
        <v/>
      </c>
    </row>
    <row r="1461">
      <c r="H1461" s="6" t="n"/>
      <c r="I1461" s="6" t="n"/>
      <c r="M1461" s="7" t="n"/>
      <c r="N1461" s="7" t="n"/>
      <c r="O1461" s="7" t="n"/>
      <c r="Q1461" s="7" t="n"/>
      <c r="R1461" s="7" t="n"/>
      <c r="S1461" s="8">
        <f>IF(NOT(ISNUMBER(M1461)),"",IF(G1461="Terreno",IF(AND(ISNUMBER(I1461),I1461&gt;0),M1461/I1461,""),IF(AND(ISNUMBER(H1461),H1461&gt;0),M1461/H1461,"")))</f>
        <v/>
      </c>
      <c r="T1461" s="9">
        <f>IF(AND(ISNUMBER(M1461),ISNUMBER(O1461)),IF(M1461&lt;=O1461,"Valor ≤ venal IPTU",""),"")</f>
        <v/>
      </c>
      <c r="U1461" s="10">
        <f>IF(AND(ISNUMBER(M1461),ISNUMBER(N1461)),IF(N1461&gt;0,M1461/N1461,""),"")</f>
        <v/>
      </c>
      <c r="V1461" s="10">
        <f>IF(AND(ISNUMBER(M1461),ISNUMBER(O1461)),IF(O1461&gt;0,M1461/O1461,""),"")</f>
        <v/>
      </c>
      <c r="W1461" s="10">
        <f>IF(AND(ISNUMBER(M1461),ISNUMBER(R1461)),IF(R1461&gt;0,M1461/R1461,""),"")</f>
        <v/>
      </c>
      <c r="X1461" s="10">
        <f>IF(AND(ISNUMBER(Q1461),ISNUMBER(M1461)),IF(M1461&gt;0,Q1461/M1461,""),"")</f>
        <v/>
      </c>
      <c r="Y1461" s="11">
        <f>IF(ISNUMBER(Z1461),YEAR(Z1461),"")</f>
        <v/>
      </c>
      <c r="Z1461" s="12" t="n"/>
      <c r="AA1461" s="12" t="n"/>
      <c r="AI1461" s="12" t="n"/>
      <c r="AJ1461" s="13">
        <f>IF(LEN(TRIM(AF1461))=0,"",HYPERLINK("https://www.google.com/maps/@?api=1&amp;map_action=pano&amp;viewpoint="&amp;SUBSTITUTE(AF1461," ",""),"Abrir Street View"))</f>
        <v/>
      </c>
    </row>
    <row r="1462">
      <c r="H1462" s="6" t="n"/>
      <c r="I1462" s="6" t="n"/>
      <c r="M1462" s="7" t="n"/>
      <c r="N1462" s="7" t="n"/>
      <c r="O1462" s="7" t="n"/>
      <c r="Q1462" s="7" t="n"/>
      <c r="R1462" s="7" t="n"/>
      <c r="S1462" s="8">
        <f>IF(NOT(ISNUMBER(M1462)),"",IF(G1462="Terreno",IF(AND(ISNUMBER(I1462),I1462&gt;0),M1462/I1462,""),IF(AND(ISNUMBER(H1462),H1462&gt;0),M1462/H1462,"")))</f>
        <v/>
      </c>
      <c r="T1462" s="9">
        <f>IF(AND(ISNUMBER(M1462),ISNUMBER(O1462)),IF(M1462&lt;=O1462,"Valor ≤ venal IPTU",""),"")</f>
        <v/>
      </c>
      <c r="U1462" s="10">
        <f>IF(AND(ISNUMBER(M1462),ISNUMBER(N1462)),IF(N1462&gt;0,M1462/N1462,""),"")</f>
        <v/>
      </c>
      <c r="V1462" s="10">
        <f>IF(AND(ISNUMBER(M1462),ISNUMBER(O1462)),IF(O1462&gt;0,M1462/O1462,""),"")</f>
        <v/>
      </c>
      <c r="W1462" s="10">
        <f>IF(AND(ISNUMBER(M1462),ISNUMBER(R1462)),IF(R1462&gt;0,M1462/R1462,""),"")</f>
        <v/>
      </c>
      <c r="X1462" s="10">
        <f>IF(AND(ISNUMBER(Q1462),ISNUMBER(M1462)),IF(M1462&gt;0,Q1462/M1462,""),"")</f>
        <v/>
      </c>
      <c r="Y1462" s="11">
        <f>IF(ISNUMBER(Z1462),YEAR(Z1462),"")</f>
        <v/>
      </c>
      <c r="Z1462" s="12" t="n"/>
      <c r="AA1462" s="12" t="n"/>
      <c r="AI1462" s="12" t="n"/>
      <c r="AJ1462" s="13">
        <f>IF(LEN(TRIM(AF1462))=0,"",HYPERLINK("https://www.google.com/maps/@?api=1&amp;map_action=pano&amp;viewpoint="&amp;SUBSTITUTE(AF1462," ",""),"Abrir Street View"))</f>
        <v/>
      </c>
    </row>
    <row r="1463">
      <c r="H1463" s="6" t="n"/>
      <c r="I1463" s="6" t="n"/>
      <c r="M1463" s="7" t="n"/>
      <c r="N1463" s="7" t="n"/>
      <c r="O1463" s="7" t="n"/>
      <c r="Q1463" s="7" t="n"/>
      <c r="R1463" s="7" t="n"/>
      <c r="S1463" s="8">
        <f>IF(NOT(ISNUMBER(M1463)),"",IF(G1463="Terreno",IF(AND(ISNUMBER(I1463),I1463&gt;0),M1463/I1463,""),IF(AND(ISNUMBER(H1463),H1463&gt;0),M1463/H1463,"")))</f>
        <v/>
      </c>
      <c r="T1463" s="9">
        <f>IF(AND(ISNUMBER(M1463),ISNUMBER(O1463)),IF(M1463&lt;=O1463,"Valor ≤ venal IPTU",""),"")</f>
        <v/>
      </c>
      <c r="U1463" s="10">
        <f>IF(AND(ISNUMBER(M1463),ISNUMBER(N1463)),IF(N1463&gt;0,M1463/N1463,""),"")</f>
        <v/>
      </c>
      <c r="V1463" s="10">
        <f>IF(AND(ISNUMBER(M1463),ISNUMBER(O1463)),IF(O1463&gt;0,M1463/O1463,""),"")</f>
        <v/>
      </c>
      <c r="W1463" s="10">
        <f>IF(AND(ISNUMBER(M1463),ISNUMBER(R1463)),IF(R1463&gt;0,M1463/R1463,""),"")</f>
        <v/>
      </c>
      <c r="X1463" s="10">
        <f>IF(AND(ISNUMBER(Q1463),ISNUMBER(M1463)),IF(M1463&gt;0,Q1463/M1463,""),"")</f>
        <v/>
      </c>
      <c r="Y1463" s="11">
        <f>IF(ISNUMBER(Z1463),YEAR(Z1463),"")</f>
        <v/>
      </c>
      <c r="Z1463" s="12" t="n"/>
      <c r="AA1463" s="12" t="n"/>
      <c r="AI1463" s="12" t="n"/>
      <c r="AJ1463" s="13">
        <f>IF(LEN(TRIM(AF1463))=0,"",HYPERLINK("https://www.google.com/maps/@?api=1&amp;map_action=pano&amp;viewpoint="&amp;SUBSTITUTE(AF1463," ",""),"Abrir Street View"))</f>
        <v/>
      </c>
    </row>
    <row r="1464">
      <c r="H1464" s="6" t="n"/>
      <c r="I1464" s="6" t="n"/>
      <c r="M1464" s="7" t="n"/>
      <c r="N1464" s="7" t="n"/>
      <c r="O1464" s="7" t="n"/>
      <c r="Q1464" s="7" t="n"/>
      <c r="R1464" s="7" t="n"/>
      <c r="S1464" s="8">
        <f>IF(NOT(ISNUMBER(M1464)),"",IF(G1464="Terreno",IF(AND(ISNUMBER(I1464),I1464&gt;0),M1464/I1464,""),IF(AND(ISNUMBER(H1464),H1464&gt;0),M1464/H1464,"")))</f>
        <v/>
      </c>
      <c r="T1464" s="9">
        <f>IF(AND(ISNUMBER(M1464),ISNUMBER(O1464)),IF(M1464&lt;=O1464,"Valor ≤ venal IPTU",""),"")</f>
        <v/>
      </c>
      <c r="U1464" s="10">
        <f>IF(AND(ISNUMBER(M1464),ISNUMBER(N1464)),IF(N1464&gt;0,M1464/N1464,""),"")</f>
        <v/>
      </c>
      <c r="V1464" s="10">
        <f>IF(AND(ISNUMBER(M1464),ISNUMBER(O1464)),IF(O1464&gt;0,M1464/O1464,""),"")</f>
        <v/>
      </c>
      <c r="W1464" s="10">
        <f>IF(AND(ISNUMBER(M1464),ISNUMBER(R1464)),IF(R1464&gt;0,M1464/R1464,""),"")</f>
        <v/>
      </c>
      <c r="X1464" s="10">
        <f>IF(AND(ISNUMBER(Q1464),ISNUMBER(M1464)),IF(M1464&gt;0,Q1464/M1464,""),"")</f>
        <v/>
      </c>
      <c r="Y1464" s="11">
        <f>IF(ISNUMBER(Z1464),YEAR(Z1464),"")</f>
        <v/>
      </c>
      <c r="Z1464" s="12" t="n"/>
      <c r="AA1464" s="12" t="n"/>
      <c r="AI1464" s="12" t="n"/>
      <c r="AJ1464" s="13">
        <f>IF(LEN(TRIM(AF1464))=0,"",HYPERLINK("https://www.google.com/maps/@?api=1&amp;map_action=pano&amp;viewpoint="&amp;SUBSTITUTE(AF1464," ",""),"Abrir Street View"))</f>
        <v/>
      </c>
    </row>
    <row r="1465">
      <c r="H1465" s="6" t="n"/>
      <c r="I1465" s="6" t="n"/>
      <c r="M1465" s="7" t="n"/>
      <c r="N1465" s="7" t="n"/>
      <c r="O1465" s="7" t="n"/>
      <c r="Q1465" s="7" t="n"/>
      <c r="R1465" s="7" t="n"/>
      <c r="S1465" s="8">
        <f>IF(NOT(ISNUMBER(M1465)),"",IF(G1465="Terreno",IF(AND(ISNUMBER(I1465),I1465&gt;0),M1465/I1465,""),IF(AND(ISNUMBER(H1465),H1465&gt;0),M1465/H1465,"")))</f>
        <v/>
      </c>
      <c r="T1465" s="9">
        <f>IF(AND(ISNUMBER(M1465),ISNUMBER(O1465)),IF(M1465&lt;=O1465,"Valor ≤ venal IPTU",""),"")</f>
        <v/>
      </c>
      <c r="U1465" s="10">
        <f>IF(AND(ISNUMBER(M1465),ISNUMBER(N1465)),IF(N1465&gt;0,M1465/N1465,""),"")</f>
        <v/>
      </c>
      <c r="V1465" s="10">
        <f>IF(AND(ISNUMBER(M1465),ISNUMBER(O1465)),IF(O1465&gt;0,M1465/O1465,""),"")</f>
        <v/>
      </c>
      <c r="W1465" s="10">
        <f>IF(AND(ISNUMBER(M1465),ISNUMBER(R1465)),IF(R1465&gt;0,M1465/R1465,""),"")</f>
        <v/>
      </c>
      <c r="X1465" s="10">
        <f>IF(AND(ISNUMBER(Q1465),ISNUMBER(M1465)),IF(M1465&gt;0,Q1465/M1465,""),"")</f>
        <v/>
      </c>
      <c r="Y1465" s="11">
        <f>IF(ISNUMBER(Z1465),YEAR(Z1465),"")</f>
        <v/>
      </c>
      <c r="Z1465" s="12" t="n"/>
      <c r="AA1465" s="12" t="n"/>
      <c r="AI1465" s="12" t="n"/>
      <c r="AJ1465" s="13">
        <f>IF(LEN(TRIM(AF1465))=0,"",HYPERLINK("https://www.google.com/maps/@?api=1&amp;map_action=pano&amp;viewpoint="&amp;SUBSTITUTE(AF1465," ",""),"Abrir Street View"))</f>
        <v/>
      </c>
    </row>
    <row r="1466">
      <c r="H1466" s="6" t="n"/>
      <c r="I1466" s="6" t="n"/>
      <c r="M1466" s="7" t="n"/>
      <c r="N1466" s="7" t="n"/>
      <c r="O1466" s="7" t="n"/>
      <c r="Q1466" s="7" t="n"/>
      <c r="R1466" s="7" t="n"/>
      <c r="S1466" s="8">
        <f>IF(NOT(ISNUMBER(M1466)),"",IF(G1466="Terreno",IF(AND(ISNUMBER(I1466),I1466&gt;0),M1466/I1466,""),IF(AND(ISNUMBER(H1466),H1466&gt;0),M1466/H1466,"")))</f>
        <v/>
      </c>
      <c r="T1466" s="9">
        <f>IF(AND(ISNUMBER(M1466),ISNUMBER(O1466)),IF(M1466&lt;=O1466,"Valor ≤ venal IPTU",""),"")</f>
        <v/>
      </c>
      <c r="U1466" s="10">
        <f>IF(AND(ISNUMBER(M1466),ISNUMBER(N1466)),IF(N1466&gt;0,M1466/N1466,""),"")</f>
        <v/>
      </c>
      <c r="V1466" s="10">
        <f>IF(AND(ISNUMBER(M1466),ISNUMBER(O1466)),IF(O1466&gt;0,M1466/O1466,""),"")</f>
        <v/>
      </c>
      <c r="W1466" s="10">
        <f>IF(AND(ISNUMBER(M1466),ISNUMBER(R1466)),IF(R1466&gt;0,M1466/R1466,""),"")</f>
        <v/>
      </c>
      <c r="X1466" s="10">
        <f>IF(AND(ISNUMBER(Q1466),ISNUMBER(M1466)),IF(M1466&gt;0,Q1466/M1466,""),"")</f>
        <v/>
      </c>
      <c r="Y1466" s="11">
        <f>IF(ISNUMBER(Z1466),YEAR(Z1466),"")</f>
        <v/>
      </c>
      <c r="Z1466" s="12" t="n"/>
      <c r="AA1466" s="12" t="n"/>
      <c r="AI1466" s="12" t="n"/>
      <c r="AJ1466" s="13">
        <f>IF(LEN(TRIM(AF1466))=0,"",HYPERLINK("https://www.google.com/maps/@?api=1&amp;map_action=pano&amp;viewpoint="&amp;SUBSTITUTE(AF1466," ",""),"Abrir Street View"))</f>
        <v/>
      </c>
    </row>
    <row r="1467">
      <c r="H1467" s="6" t="n"/>
      <c r="I1467" s="6" t="n"/>
      <c r="M1467" s="7" t="n"/>
      <c r="N1467" s="7" t="n"/>
      <c r="O1467" s="7" t="n"/>
      <c r="Q1467" s="7" t="n"/>
      <c r="R1467" s="7" t="n"/>
      <c r="S1467" s="8">
        <f>IF(NOT(ISNUMBER(M1467)),"",IF(G1467="Terreno",IF(AND(ISNUMBER(I1467),I1467&gt;0),M1467/I1467,""),IF(AND(ISNUMBER(H1467),H1467&gt;0),M1467/H1467,"")))</f>
        <v/>
      </c>
      <c r="T1467" s="9">
        <f>IF(AND(ISNUMBER(M1467),ISNUMBER(O1467)),IF(M1467&lt;=O1467,"Valor ≤ venal IPTU",""),"")</f>
        <v/>
      </c>
      <c r="U1467" s="10">
        <f>IF(AND(ISNUMBER(M1467),ISNUMBER(N1467)),IF(N1467&gt;0,M1467/N1467,""),"")</f>
        <v/>
      </c>
      <c r="V1467" s="10">
        <f>IF(AND(ISNUMBER(M1467),ISNUMBER(O1467)),IF(O1467&gt;0,M1467/O1467,""),"")</f>
        <v/>
      </c>
      <c r="W1467" s="10">
        <f>IF(AND(ISNUMBER(M1467),ISNUMBER(R1467)),IF(R1467&gt;0,M1467/R1467,""),"")</f>
        <v/>
      </c>
      <c r="X1467" s="10">
        <f>IF(AND(ISNUMBER(Q1467),ISNUMBER(M1467)),IF(M1467&gt;0,Q1467/M1467,""),"")</f>
        <v/>
      </c>
      <c r="Y1467" s="11">
        <f>IF(ISNUMBER(Z1467),YEAR(Z1467),"")</f>
        <v/>
      </c>
      <c r="Z1467" s="12" t="n"/>
      <c r="AA1467" s="12" t="n"/>
      <c r="AI1467" s="12" t="n"/>
      <c r="AJ1467" s="13">
        <f>IF(LEN(TRIM(AF1467))=0,"",HYPERLINK("https://www.google.com/maps/@?api=1&amp;map_action=pano&amp;viewpoint="&amp;SUBSTITUTE(AF1467," ",""),"Abrir Street View"))</f>
        <v/>
      </c>
    </row>
    <row r="1468">
      <c r="H1468" s="6" t="n"/>
      <c r="I1468" s="6" t="n"/>
      <c r="M1468" s="7" t="n"/>
      <c r="N1468" s="7" t="n"/>
      <c r="O1468" s="7" t="n"/>
      <c r="Q1468" s="7" t="n"/>
      <c r="R1468" s="7" t="n"/>
      <c r="S1468" s="8">
        <f>IF(NOT(ISNUMBER(M1468)),"",IF(G1468="Terreno",IF(AND(ISNUMBER(I1468),I1468&gt;0),M1468/I1468,""),IF(AND(ISNUMBER(H1468),H1468&gt;0),M1468/H1468,"")))</f>
        <v/>
      </c>
      <c r="T1468" s="9">
        <f>IF(AND(ISNUMBER(M1468),ISNUMBER(O1468)),IF(M1468&lt;=O1468,"Valor ≤ venal IPTU",""),"")</f>
        <v/>
      </c>
      <c r="U1468" s="10">
        <f>IF(AND(ISNUMBER(M1468),ISNUMBER(N1468)),IF(N1468&gt;0,M1468/N1468,""),"")</f>
        <v/>
      </c>
      <c r="V1468" s="10">
        <f>IF(AND(ISNUMBER(M1468),ISNUMBER(O1468)),IF(O1468&gt;0,M1468/O1468,""),"")</f>
        <v/>
      </c>
      <c r="W1468" s="10">
        <f>IF(AND(ISNUMBER(M1468),ISNUMBER(R1468)),IF(R1468&gt;0,M1468/R1468,""),"")</f>
        <v/>
      </c>
      <c r="X1468" s="10">
        <f>IF(AND(ISNUMBER(Q1468),ISNUMBER(M1468)),IF(M1468&gt;0,Q1468/M1468,""),"")</f>
        <v/>
      </c>
      <c r="Y1468" s="11">
        <f>IF(ISNUMBER(Z1468),YEAR(Z1468),"")</f>
        <v/>
      </c>
      <c r="Z1468" s="12" t="n"/>
      <c r="AA1468" s="12" t="n"/>
      <c r="AI1468" s="12" t="n"/>
      <c r="AJ1468" s="13">
        <f>IF(LEN(TRIM(AF1468))=0,"",HYPERLINK("https://www.google.com/maps/@?api=1&amp;map_action=pano&amp;viewpoint="&amp;SUBSTITUTE(AF1468," ",""),"Abrir Street View"))</f>
        <v/>
      </c>
    </row>
    <row r="1469">
      <c r="H1469" s="6" t="n"/>
      <c r="I1469" s="6" t="n"/>
      <c r="M1469" s="7" t="n"/>
      <c r="N1469" s="7" t="n"/>
      <c r="O1469" s="7" t="n"/>
      <c r="Q1469" s="7" t="n"/>
      <c r="R1469" s="7" t="n"/>
      <c r="S1469" s="8">
        <f>IF(NOT(ISNUMBER(M1469)),"",IF(G1469="Terreno",IF(AND(ISNUMBER(I1469),I1469&gt;0),M1469/I1469,""),IF(AND(ISNUMBER(H1469),H1469&gt;0),M1469/H1469,"")))</f>
        <v/>
      </c>
      <c r="T1469" s="9">
        <f>IF(AND(ISNUMBER(M1469),ISNUMBER(O1469)),IF(M1469&lt;=O1469,"Valor ≤ venal IPTU",""),"")</f>
        <v/>
      </c>
      <c r="U1469" s="10">
        <f>IF(AND(ISNUMBER(M1469),ISNUMBER(N1469)),IF(N1469&gt;0,M1469/N1469,""),"")</f>
        <v/>
      </c>
      <c r="V1469" s="10">
        <f>IF(AND(ISNUMBER(M1469),ISNUMBER(O1469)),IF(O1469&gt;0,M1469/O1469,""),"")</f>
        <v/>
      </c>
      <c r="W1469" s="10">
        <f>IF(AND(ISNUMBER(M1469),ISNUMBER(R1469)),IF(R1469&gt;0,M1469/R1469,""),"")</f>
        <v/>
      </c>
      <c r="X1469" s="10">
        <f>IF(AND(ISNUMBER(Q1469),ISNUMBER(M1469)),IF(M1469&gt;0,Q1469/M1469,""),"")</f>
        <v/>
      </c>
      <c r="Y1469" s="11">
        <f>IF(ISNUMBER(Z1469),YEAR(Z1469),"")</f>
        <v/>
      </c>
      <c r="Z1469" s="12" t="n"/>
      <c r="AA1469" s="12" t="n"/>
      <c r="AI1469" s="12" t="n"/>
      <c r="AJ1469" s="13">
        <f>IF(LEN(TRIM(AF1469))=0,"",HYPERLINK("https://www.google.com/maps/@?api=1&amp;map_action=pano&amp;viewpoint="&amp;SUBSTITUTE(AF1469," ",""),"Abrir Street View"))</f>
        <v/>
      </c>
    </row>
    <row r="1470">
      <c r="H1470" s="6" t="n"/>
      <c r="I1470" s="6" t="n"/>
      <c r="M1470" s="7" t="n"/>
      <c r="N1470" s="7" t="n"/>
      <c r="O1470" s="7" t="n"/>
      <c r="Q1470" s="7" t="n"/>
      <c r="R1470" s="7" t="n"/>
      <c r="S1470" s="8">
        <f>IF(NOT(ISNUMBER(M1470)),"",IF(G1470="Terreno",IF(AND(ISNUMBER(I1470),I1470&gt;0),M1470/I1470,""),IF(AND(ISNUMBER(H1470),H1470&gt;0),M1470/H1470,"")))</f>
        <v/>
      </c>
      <c r="T1470" s="9">
        <f>IF(AND(ISNUMBER(M1470),ISNUMBER(O1470)),IF(M1470&lt;=O1470,"Valor ≤ venal IPTU",""),"")</f>
        <v/>
      </c>
      <c r="U1470" s="10">
        <f>IF(AND(ISNUMBER(M1470),ISNUMBER(N1470)),IF(N1470&gt;0,M1470/N1470,""),"")</f>
        <v/>
      </c>
      <c r="V1470" s="10">
        <f>IF(AND(ISNUMBER(M1470),ISNUMBER(O1470)),IF(O1470&gt;0,M1470/O1470,""),"")</f>
        <v/>
      </c>
      <c r="W1470" s="10">
        <f>IF(AND(ISNUMBER(M1470),ISNUMBER(R1470)),IF(R1470&gt;0,M1470/R1470,""),"")</f>
        <v/>
      </c>
      <c r="X1470" s="10">
        <f>IF(AND(ISNUMBER(Q1470),ISNUMBER(M1470)),IF(M1470&gt;0,Q1470/M1470,""),"")</f>
        <v/>
      </c>
      <c r="Y1470" s="11">
        <f>IF(ISNUMBER(Z1470),YEAR(Z1470),"")</f>
        <v/>
      </c>
      <c r="Z1470" s="12" t="n"/>
      <c r="AA1470" s="12" t="n"/>
      <c r="AI1470" s="12" t="n"/>
      <c r="AJ1470" s="13">
        <f>IF(LEN(TRIM(AF1470))=0,"",HYPERLINK("https://www.google.com/maps/@?api=1&amp;map_action=pano&amp;viewpoint="&amp;SUBSTITUTE(AF1470," ",""),"Abrir Street View"))</f>
        <v/>
      </c>
    </row>
    <row r="1471">
      <c r="H1471" s="6" t="n"/>
      <c r="I1471" s="6" t="n"/>
      <c r="M1471" s="7" t="n"/>
      <c r="N1471" s="7" t="n"/>
      <c r="O1471" s="7" t="n"/>
      <c r="Q1471" s="7" t="n"/>
      <c r="R1471" s="7" t="n"/>
      <c r="S1471" s="8">
        <f>IF(NOT(ISNUMBER(M1471)),"",IF(G1471="Terreno",IF(AND(ISNUMBER(I1471),I1471&gt;0),M1471/I1471,""),IF(AND(ISNUMBER(H1471),H1471&gt;0),M1471/H1471,"")))</f>
        <v/>
      </c>
      <c r="T1471" s="9">
        <f>IF(AND(ISNUMBER(M1471),ISNUMBER(O1471)),IF(M1471&lt;=O1471,"Valor ≤ venal IPTU",""),"")</f>
        <v/>
      </c>
      <c r="U1471" s="10">
        <f>IF(AND(ISNUMBER(M1471),ISNUMBER(N1471)),IF(N1471&gt;0,M1471/N1471,""),"")</f>
        <v/>
      </c>
      <c r="V1471" s="10">
        <f>IF(AND(ISNUMBER(M1471),ISNUMBER(O1471)),IF(O1471&gt;0,M1471/O1471,""),"")</f>
        <v/>
      </c>
      <c r="W1471" s="10">
        <f>IF(AND(ISNUMBER(M1471),ISNUMBER(R1471)),IF(R1471&gt;0,M1471/R1471,""),"")</f>
        <v/>
      </c>
      <c r="X1471" s="10">
        <f>IF(AND(ISNUMBER(Q1471),ISNUMBER(M1471)),IF(M1471&gt;0,Q1471/M1471,""),"")</f>
        <v/>
      </c>
      <c r="Y1471" s="11">
        <f>IF(ISNUMBER(Z1471),YEAR(Z1471),"")</f>
        <v/>
      </c>
      <c r="Z1471" s="12" t="n"/>
      <c r="AA1471" s="12" t="n"/>
      <c r="AI1471" s="12" t="n"/>
      <c r="AJ1471" s="13">
        <f>IF(LEN(TRIM(AF1471))=0,"",HYPERLINK("https://www.google.com/maps/@?api=1&amp;map_action=pano&amp;viewpoint="&amp;SUBSTITUTE(AF1471," ",""),"Abrir Street View"))</f>
        <v/>
      </c>
    </row>
    <row r="1472">
      <c r="H1472" s="6" t="n"/>
      <c r="I1472" s="6" t="n"/>
      <c r="M1472" s="7" t="n"/>
      <c r="N1472" s="7" t="n"/>
      <c r="O1472" s="7" t="n"/>
      <c r="Q1472" s="7" t="n"/>
      <c r="R1472" s="7" t="n"/>
      <c r="S1472" s="8">
        <f>IF(NOT(ISNUMBER(M1472)),"",IF(G1472="Terreno",IF(AND(ISNUMBER(I1472),I1472&gt;0),M1472/I1472,""),IF(AND(ISNUMBER(H1472),H1472&gt;0),M1472/H1472,"")))</f>
        <v/>
      </c>
      <c r="T1472" s="9">
        <f>IF(AND(ISNUMBER(M1472),ISNUMBER(O1472)),IF(M1472&lt;=O1472,"Valor ≤ venal IPTU",""),"")</f>
        <v/>
      </c>
      <c r="U1472" s="10">
        <f>IF(AND(ISNUMBER(M1472),ISNUMBER(N1472)),IF(N1472&gt;0,M1472/N1472,""),"")</f>
        <v/>
      </c>
      <c r="V1472" s="10">
        <f>IF(AND(ISNUMBER(M1472),ISNUMBER(O1472)),IF(O1472&gt;0,M1472/O1472,""),"")</f>
        <v/>
      </c>
      <c r="W1472" s="10">
        <f>IF(AND(ISNUMBER(M1472),ISNUMBER(R1472)),IF(R1472&gt;0,M1472/R1472,""),"")</f>
        <v/>
      </c>
      <c r="X1472" s="10">
        <f>IF(AND(ISNUMBER(Q1472),ISNUMBER(M1472)),IF(M1472&gt;0,Q1472/M1472,""),"")</f>
        <v/>
      </c>
      <c r="Y1472" s="11">
        <f>IF(ISNUMBER(Z1472),YEAR(Z1472),"")</f>
        <v/>
      </c>
      <c r="Z1472" s="12" t="n"/>
      <c r="AA1472" s="12" t="n"/>
      <c r="AI1472" s="12" t="n"/>
      <c r="AJ1472" s="13">
        <f>IF(LEN(TRIM(AF1472))=0,"",HYPERLINK("https://www.google.com/maps/@?api=1&amp;map_action=pano&amp;viewpoint="&amp;SUBSTITUTE(AF1472," ",""),"Abrir Street View"))</f>
        <v/>
      </c>
    </row>
    <row r="1473">
      <c r="H1473" s="6" t="n"/>
      <c r="I1473" s="6" t="n"/>
      <c r="M1473" s="7" t="n"/>
      <c r="N1473" s="7" t="n"/>
      <c r="O1473" s="7" t="n"/>
      <c r="Q1473" s="7" t="n"/>
      <c r="R1473" s="7" t="n"/>
      <c r="S1473" s="8">
        <f>IF(NOT(ISNUMBER(M1473)),"",IF(G1473="Terreno",IF(AND(ISNUMBER(I1473),I1473&gt;0),M1473/I1473,""),IF(AND(ISNUMBER(H1473),H1473&gt;0),M1473/H1473,"")))</f>
        <v/>
      </c>
      <c r="T1473" s="9">
        <f>IF(AND(ISNUMBER(M1473),ISNUMBER(O1473)),IF(M1473&lt;=O1473,"Valor ≤ venal IPTU",""),"")</f>
        <v/>
      </c>
      <c r="U1473" s="10">
        <f>IF(AND(ISNUMBER(M1473),ISNUMBER(N1473)),IF(N1473&gt;0,M1473/N1473,""),"")</f>
        <v/>
      </c>
      <c r="V1473" s="10">
        <f>IF(AND(ISNUMBER(M1473),ISNUMBER(O1473)),IF(O1473&gt;0,M1473/O1473,""),"")</f>
        <v/>
      </c>
      <c r="W1473" s="10">
        <f>IF(AND(ISNUMBER(M1473),ISNUMBER(R1473)),IF(R1473&gt;0,M1473/R1473,""),"")</f>
        <v/>
      </c>
      <c r="X1473" s="10">
        <f>IF(AND(ISNUMBER(Q1473),ISNUMBER(M1473)),IF(M1473&gt;0,Q1473/M1473,""),"")</f>
        <v/>
      </c>
      <c r="Y1473" s="11">
        <f>IF(ISNUMBER(Z1473),YEAR(Z1473),"")</f>
        <v/>
      </c>
      <c r="Z1473" s="12" t="n"/>
      <c r="AA1473" s="12" t="n"/>
      <c r="AI1473" s="12" t="n"/>
      <c r="AJ1473" s="13">
        <f>IF(LEN(TRIM(AF1473))=0,"",HYPERLINK("https://www.google.com/maps/@?api=1&amp;map_action=pano&amp;viewpoint="&amp;SUBSTITUTE(AF1473," ",""),"Abrir Street View"))</f>
        <v/>
      </c>
    </row>
    <row r="1474">
      <c r="H1474" s="6" t="n"/>
      <c r="I1474" s="6" t="n"/>
      <c r="M1474" s="7" t="n"/>
      <c r="N1474" s="7" t="n"/>
      <c r="O1474" s="7" t="n"/>
      <c r="Q1474" s="7" t="n"/>
      <c r="R1474" s="7" t="n"/>
      <c r="S1474" s="8">
        <f>IF(NOT(ISNUMBER(M1474)),"",IF(G1474="Terreno",IF(AND(ISNUMBER(I1474),I1474&gt;0),M1474/I1474,""),IF(AND(ISNUMBER(H1474),H1474&gt;0),M1474/H1474,"")))</f>
        <v/>
      </c>
      <c r="T1474" s="9">
        <f>IF(AND(ISNUMBER(M1474),ISNUMBER(O1474)),IF(M1474&lt;=O1474,"Valor ≤ venal IPTU",""),"")</f>
        <v/>
      </c>
      <c r="U1474" s="10">
        <f>IF(AND(ISNUMBER(M1474),ISNUMBER(N1474)),IF(N1474&gt;0,M1474/N1474,""),"")</f>
        <v/>
      </c>
      <c r="V1474" s="10">
        <f>IF(AND(ISNUMBER(M1474),ISNUMBER(O1474)),IF(O1474&gt;0,M1474/O1474,""),"")</f>
        <v/>
      </c>
      <c r="W1474" s="10">
        <f>IF(AND(ISNUMBER(M1474),ISNUMBER(R1474)),IF(R1474&gt;0,M1474/R1474,""),"")</f>
        <v/>
      </c>
      <c r="X1474" s="10">
        <f>IF(AND(ISNUMBER(Q1474),ISNUMBER(M1474)),IF(M1474&gt;0,Q1474/M1474,""),"")</f>
        <v/>
      </c>
      <c r="Y1474" s="11">
        <f>IF(ISNUMBER(Z1474),YEAR(Z1474),"")</f>
        <v/>
      </c>
      <c r="Z1474" s="12" t="n"/>
      <c r="AA1474" s="12" t="n"/>
      <c r="AI1474" s="12" t="n"/>
      <c r="AJ1474" s="13">
        <f>IF(LEN(TRIM(AF1474))=0,"",HYPERLINK("https://www.google.com/maps/@?api=1&amp;map_action=pano&amp;viewpoint="&amp;SUBSTITUTE(AF1474," ",""),"Abrir Street View"))</f>
        <v/>
      </c>
    </row>
    <row r="1475">
      <c r="H1475" s="6" t="n"/>
      <c r="I1475" s="6" t="n"/>
      <c r="M1475" s="7" t="n"/>
      <c r="N1475" s="7" t="n"/>
      <c r="O1475" s="7" t="n"/>
      <c r="Q1475" s="7" t="n"/>
      <c r="R1475" s="7" t="n"/>
      <c r="S1475" s="8">
        <f>IF(NOT(ISNUMBER(M1475)),"",IF(G1475="Terreno",IF(AND(ISNUMBER(I1475),I1475&gt;0),M1475/I1475,""),IF(AND(ISNUMBER(H1475),H1475&gt;0),M1475/H1475,"")))</f>
        <v/>
      </c>
      <c r="T1475" s="9">
        <f>IF(AND(ISNUMBER(M1475),ISNUMBER(O1475)),IF(M1475&lt;=O1475,"Valor ≤ venal IPTU",""),"")</f>
        <v/>
      </c>
      <c r="U1475" s="10">
        <f>IF(AND(ISNUMBER(M1475),ISNUMBER(N1475)),IF(N1475&gt;0,M1475/N1475,""),"")</f>
        <v/>
      </c>
      <c r="V1475" s="10">
        <f>IF(AND(ISNUMBER(M1475),ISNUMBER(O1475)),IF(O1475&gt;0,M1475/O1475,""),"")</f>
        <v/>
      </c>
      <c r="W1475" s="10">
        <f>IF(AND(ISNUMBER(M1475),ISNUMBER(R1475)),IF(R1475&gt;0,M1475/R1475,""),"")</f>
        <v/>
      </c>
      <c r="X1475" s="10">
        <f>IF(AND(ISNUMBER(Q1475),ISNUMBER(M1475)),IF(M1475&gt;0,Q1475/M1475,""),"")</f>
        <v/>
      </c>
      <c r="Y1475" s="11">
        <f>IF(ISNUMBER(Z1475),YEAR(Z1475),"")</f>
        <v/>
      </c>
      <c r="Z1475" s="12" t="n"/>
      <c r="AA1475" s="12" t="n"/>
      <c r="AI1475" s="12" t="n"/>
      <c r="AJ1475" s="13">
        <f>IF(LEN(TRIM(AF1475))=0,"",HYPERLINK("https://www.google.com/maps/@?api=1&amp;map_action=pano&amp;viewpoint="&amp;SUBSTITUTE(AF1475," ",""),"Abrir Street View"))</f>
        <v/>
      </c>
    </row>
    <row r="1476">
      <c r="H1476" s="6" t="n"/>
      <c r="I1476" s="6" t="n"/>
      <c r="M1476" s="7" t="n"/>
      <c r="N1476" s="7" t="n"/>
      <c r="O1476" s="7" t="n"/>
      <c r="Q1476" s="7" t="n"/>
      <c r="R1476" s="7" t="n"/>
      <c r="S1476" s="8">
        <f>IF(NOT(ISNUMBER(M1476)),"",IF(G1476="Terreno",IF(AND(ISNUMBER(I1476),I1476&gt;0),M1476/I1476,""),IF(AND(ISNUMBER(H1476),H1476&gt;0),M1476/H1476,"")))</f>
        <v/>
      </c>
      <c r="T1476" s="9">
        <f>IF(AND(ISNUMBER(M1476),ISNUMBER(O1476)),IF(M1476&lt;=O1476,"Valor ≤ venal IPTU",""),"")</f>
        <v/>
      </c>
      <c r="U1476" s="10">
        <f>IF(AND(ISNUMBER(M1476),ISNUMBER(N1476)),IF(N1476&gt;0,M1476/N1476,""),"")</f>
        <v/>
      </c>
      <c r="V1476" s="10">
        <f>IF(AND(ISNUMBER(M1476),ISNUMBER(O1476)),IF(O1476&gt;0,M1476/O1476,""),"")</f>
        <v/>
      </c>
      <c r="W1476" s="10">
        <f>IF(AND(ISNUMBER(M1476),ISNUMBER(R1476)),IF(R1476&gt;0,M1476/R1476,""),"")</f>
        <v/>
      </c>
      <c r="X1476" s="10">
        <f>IF(AND(ISNUMBER(Q1476),ISNUMBER(M1476)),IF(M1476&gt;0,Q1476/M1476,""),"")</f>
        <v/>
      </c>
      <c r="Y1476" s="11">
        <f>IF(ISNUMBER(Z1476),YEAR(Z1476),"")</f>
        <v/>
      </c>
      <c r="Z1476" s="12" t="n"/>
      <c r="AA1476" s="12" t="n"/>
      <c r="AI1476" s="12" t="n"/>
      <c r="AJ1476" s="13">
        <f>IF(LEN(TRIM(AF1476))=0,"",HYPERLINK("https://www.google.com/maps/@?api=1&amp;map_action=pano&amp;viewpoint="&amp;SUBSTITUTE(AF1476," ",""),"Abrir Street View"))</f>
        <v/>
      </c>
    </row>
    <row r="1477">
      <c r="H1477" s="6" t="n"/>
      <c r="I1477" s="6" t="n"/>
      <c r="M1477" s="7" t="n"/>
      <c r="N1477" s="7" t="n"/>
      <c r="O1477" s="7" t="n"/>
      <c r="Q1477" s="7" t="n"/>
      <c r="R1477" s="7" t="n"/>
      <c r="S1477" s="8">
        <f>IF(NOT(ISNUMBER(M1477)),"",IF(G1477="Terreno",IF(AND(ISNUMBER(I1477),I1477&gt;0),M1477/I1477,""),IF(AND(ISNUMBER(H1477),H1477&gt;0),M1477/H1477,"")))</f>
        <v/>
      </c>
      <c r="T1477" s="9">
        <f>IF(AND(ISNUMBER(M1477),ISNUMBER(O1477)),IF(M1477&lt;=O1477,"Valor ≤ venal IPTU",""),"")</f>
        <v/>
      </c>
      <c r="U1477" s="10">
        <f>IF(AND(ISNUMBER(M1477),ISNUMBER(N1477)),IF(N1477&gt;0,M1477/N1477,""),"")</f>
        <v/>
      </c>
      <c r="V1477" s="10">
        <f>IF(AND(ISNUMBER(M1477),ISNUMBER(O1477)),IF(O1477&gt;0,M1477/O1477,""),"")</f>
        <v/>
      </c>
      <c r="W1477" s="10">
        <f>IF(AND(ISNUMBER(M1477),ISNUMBER(R1477)),IF(R1477&gt;0,M1477/R1477,""),"")</f>
        <v/>
      </c>
      <c r="X1477" s="10">
        <f>IF(AND(ISNUMBER(Q1477),ISNUMBER(M1477)),IF(M1477&gt;0,Q1477/M1477,""),"")</f>
        <v/>
      </c>
      <c r="Y1477" s="11">
        <f>IF(ISNUMBER(Z1477),YEAR(Z1477),"")</f>
        <v/>
      </c>
      <c r="Z1477" s="12" t="n"/>
      <c r="AA1477" s="12" t="n"/>
      <c r="AI1477" s="12" t="n"/>
      <c r="AJ1477" s="13">
        <f>IF(LEN(TRIM(AF1477))=0,"",HYPERLINK("https://www.google.com/maps/@?api=1&amp;map_action=pano&amp;viewpoint="&amp;SUBSTITUTE(AF1477," ",""),"Abrir Street View"))</f>
        <v/>
      </c>
    </row>
    <row r="1478">
      <c r="H1478" s="6" t="n"/>
      <c r="I1478" s="6" t="n"/>
      <c r="M1478" s="7" t="n"/>
      <c r="N1478" s="7" t="n"/>
      <c r="O1478" s="7" t="n"/>
      <c r="Q1478" s="7" t="n"/>
      <c r="R1478" s="7" t="n"/>
      <c r="S1478" s="8">
        <f>IF(NOT(ISNUMBER(M1478)),"",IF(G1478="Terreno",IF(AND(ISNUMBER(I1478),I1478&gt;0),M1478/I1478,""),IF(AND(ISNUMBER(H1478),H1478&gt;0),M1478/H1478,"")))</f>
        <v/>
      </c>
      <c r="T1478" s="9">
        <f>IF(AND(ISNUMBER(M1478),ISNUMBER(O1478)),IF(M1478&lt;=O1478,"Valor ≤ venal IPTU",""),"")</f>
        <v/>
      </c>
      <c r="U1478" s="10">
        <f>IF(AND(ISNUMBER(M1478),ISNUMBER(N1478)),IF(N1478&gt;0,M1478/N1478,""),"")</f>
        <v/>
      </c>
      <c r="V1478" s="10">
        <f>IF(AND(ISNUMBER(M1478),ISNUMBER(O1478)),IF(O1478&gt;0,M1478/O1478,""),"")</f>
        <v/>
      </c>
      <c r="W1478" s="10">
        <f>IF(AND(ISNUMBER(M1478),ISNUMBER(R1478)),IF(R1478&gt;0,M1478/R1478,""),"")</f>
        <v/>
      </c>
      <c r="X1478" s="10">
        <f>IF(AND(ISNUMBER(Q1478),ISNUMBER(M1478)),IF(M1478&gt;0,Q1478/M1478,""),"")</f>
        <v/>
      </c>
      <c r="Y1478" s="11">
        <f>IF(ISNUMBER(Z1478),YEAR(Z1478),"")</f>
        <v/>
      </c>
      <c r="Z1478" s="12" t="n"/>
      <c r="AA1478" s="12" t="n"/>
      <c r="AI1478" s="12" t="n"/>
      <c r="AJ1478" s="13">
        <f>IF(LEN(TRIM(AF1478))=0,"",HYPERLINK("https://www.google.com/maps/@?api=1&amp;map_action=pano&amp;viewpoint="&amp;SUBSTITUTE(AF1478," ",""),"Abrir Street View"))</f>
        <v/>
      </c>
    </row>
    <row r="1479">
      <c r="H1479" s="6" t="n"/>
      <c r="I1479" s="6" t="n"/>
      <c r="M1479" s="7" t="n"/>
      <c r="N1479" s="7" t="n"/>
      <c r="O1479" s="7" t="n"/>
      <c r="Q1479" s="7" t="n"/>
      <c r="R1479" s="7" t="n"/>
      <c r="S1479" s="8">
        <f>IF(NOT(ISNUMBER(M1479)),"",IF(G1479="Terreno",IF(AND(ISNUMBER(I1479),I1479&gt;0),M1479/I1479,""),IF(AND(ISNUMBER(H1479),H1479&gt;0),M1479/H1479,"")))</f>
        <v/>
      </c>
      <c r="T1479" s="9">
        <f>IF(AND(ISNUMBER(M1479),ISNUMBER(O1479)),IF(M1479&lt;=O1479,"Valor ≤ venal IPTU",""),"")</f>
        <v/>
      </c>
      <c r="U1479" s="10">
        <f>IF(AND(ISNUMBER(M1479),ISNUMBER(N1479)),IF(N1479&gt;0,M1479/N1479,""),"")</f>
        <v/>
      </c>
      <c r="V1479" s="10">
        <f>IF(AND(ISNUMBER(M1479),ISNUMBER(O1479)),IF(O1479&gt;0,M1479/O1479,""),"")</f>
        <v/>
      </c>
      <c r="W1479" s="10">
        <f>IF(AND(ISNUMBER(M1479),ISNUMBER(R1479)),IF(R1479&gt;0,M1479/R1479,""),"")</f>
        <v/>
      </c>
      <c r="X1479" s="10">
        <f>IF(AND(ISNUMBER(Q1479),ISNUMBER(M1479)),IF(M1479&gt;0,Q1479/M1479,""),"")</f>
        <v/>
      </c>
      <c r="Y1479" s="11">
        <f>IF(ISNUMBER(Z1479),YEAR(Z1479),"")</f>
        <v/>
      </c>
      <c r="Z1479" s="12" t="n"/>
      <c r="AA1479" s="12" t="n"/>
      <c r="AI1479" s="12" t="n"/>
      <c r="AJ1479" s="13">
        <f>IF(LEN(TRIM(AF1479))=0,"",HYPERLINK("https://www.google.com/maps/@?api=1&amp;map_action=pano&amp;viewpoint="&amp;SUBSTITUTE(AF1479," ",""),"Abrir Street View"))</f>
        <v/>
      </c>
    </row>
    <row r="1480">
      <c r="H1480" s="6" t="n"/>
      <c r="I1480" s="6" t="n"/>
      <c r="M1480" s="7" t="n"/>
      <c r="N1480" s="7" t="n"/>
      <c r="O1480" s="7" t="n"/>
      <c r="Q1480" s="7" t="n"/>
      <c r="R1480" s="7" t="n"/>
      <c r="S1480" s="8">
        <f>IF(NOT(ISNUMBER(M1480)),"",IF(G1480="Terreno",IF(AND(ISNUMBER(I1480),I1480&gt;0),M1480/I1480,""),IF(AND(ISNUMBER(H1480),H1480&gt;0),M1480/H1480,"")))</f>
        <v/>
      </c>
      <c r="T1480" s="9">
        <f>IF(AND(ISNUMBER(M1480),ISNUMBER(O1480)),IF(M1480&lt;=O1480,"Valor ≤ venal IPTU",""),"")</f>
        <v/>
      </c>
      <c r="U1480" s="10">
        <f>IF(AND(ISNUMBER(M1480),ISNUMBER(N1480)),IF(N1480&gt;0,M1480/N1480,""),"")</f>
        <v/>
      </c>
      <c r="V1480" s="10">
        <f>IF(AND(ISNUMBER(M1480),ISNUMBER(O1480)),IF(O1480&gt;0,M1480/O1480,""),"")</f>
        <v/>
      </c>
      <c r="W1480" s="10">
        <f>IF(AND(ISNUMBER(M1480),ISNUMBER(R1480)),IF(R1480&gt;0,M1480/R1480,""),"")</f>
        <v/>
      </c>
      <c r="X1480" s="10">
        <f>IF(AND(ISNUMBER(Q1480),ISNUMBER(M1480)),IF(M1480&gt;0,Q1480/M1480,""),"")</f>
        <v/>
      </c>
      <c r="Y1480" s="11">
        <f>IF(ISNUMBER(Z1480),YEAR(Z1480),"")</f>
        <v/>
      </c>
      <c r="Z1480" s="12" t="n"/>
      <c r="AA1480" s="12" t="n"/>
      <c r="AI1480" s="12" t="n"/>
      <c r="AJ1480" s="13">
        <f>IF(LEN(TRIM(AF1480))=0,"",HYPERLINK("https://www.google.com/maps/@?api=1&amp;map_action=pano&amp;viewpoint="&amp;SUBSTITUTE(AF1480," ",""),"Abrir Street View"))</f>
        <v/>
      </c>
    </row>
    <row r="1481">
      <c r="H1481" s="6" t="n"/>
      <c r="I1481" s="6" t="n"/>
      <c r="M1481" s="7" t="n"/>
      <c r="N1481" s="7" t="n"/>
      <c r="O1481" s="7" t="n"/>
      <c r="Q1481" s="7" t="n"/>
      <c r="R1481" s="7" t="n"/>
      <c r="S1481" s="8">
        <f>IF(NOT(ISNUMBER(M1481)),"",IF(G1481="Terreno",IF(AND(ISNUMBER(I1481),I1481&gt;0),M1481/I1481,""),IF(AND(ISNUMBER(H1481),H1481&gt;0),M1481/H1481,"")))</f>
        <v/>
      </c>
      <c r="T1481" s="9">
        <f>IF(AND(ISNUMBER(M1481),ISNUMBER(O1481)),IF(M1481&lt;=O1481,"Valor ≤ venal IPTU",""),"")</f>
        <v/>
      </c>
      <c r="U1481" s="10">
        <f>IF(AND(ISNUMBER(M1481),ISNUMBER(N1481)),IF(N1481&gt;0,M1481/N1481,""),"")</f>
        <v/>
      </c>
      <c r="V1481" s="10">
        <f>IF(AND(ISNUMBER(M1481),ISNUMBER(O1481)),IF(O1481&gt;0,M1481/O1481,""),"")</f>
        <v/>
      </c>
      <c r="W1481" s="10">
        <f>IF(AND(ISNUMBER(M1481),ISNUMBER(R1481)),IF(R1481&gt;0,M1481/R1481,""),"")</f>
        <v/>
      </c>
      <c r="X1481" s="10">
        <f>IF(AND(ISNUMBER(Q1481),ISNUMBER(M1481)),IF(M1481&gt;0,Q1481/M1481,""),"")</f>
        <v/>
      </c>
      <c r="Y1481" s="11">
        <f>IF(ISNUMBER(Z1481),YEAR(Z1481),"")</f>
        <v/>
      </c>
      <c r="Z1481" s="12" t="n"/>
      <c r="AA1481" s="12" t="n"/>
      <c r="AI1481" s="12" t="n"/>
      <c r="AJ1481" s="13">
        <f>IF(LEN(TRIM(AF1481))=0,"",HYPERLINK("https://www.google.com/maps/@?api=1&amp;map_action=pano&amp;viewpoint="&amp;SUBSTITUTE(AF1481," ",""),"Abrir Street View"))</f>
        <v/>
      </c>
    </row>
    <row r="1482">
      <c r="H1482" s="6" t="n"/>
      <c r="I1482" s="6" t="n"/>
      <c r="M1482" s="7" t="n"/>
      <c r="N1482" s="7" t="n"/>
      <c r="O1482" s="7" t="n"/>
      <c r="Q1482" s="7" t="n"/>
      <c r="R1482" s="7" t="n"/>
      <c r="S1482" s="8">
        <f>IF(NOT(ISNUMBER(M1482)),"",IF(G1482="Terreno",IF(AND(ISNUMBER(I1482),I1482&gt;0),M1482/I1482,""),IF(AND(ISNUMBER(H1482),H1482&gt;0),M1482/H1482,"")))</f>
        <v/>
      </c>
      <c r="T1482" s="9">
        <f>IF(AND(ISNUMBER(M1482),ISNUMBER(O1482)),IF(M1482&lt;=O1482,"Valor ≤ venal IPTU",""),"")</f>
        <v/>
      </c>
      <c r="U1482" s="10">
        <f>IF(AND(ISNUMBER(M1482),ISNUMBER(N1482)),IF(N1482&gt;0,M1482/N1482,""),"")</f>
        <v/>
      </c>
      <c r="V1482" s="10">
        <f>IF(AND(ISNUMBER(M1482),ISNUMBER(O1482)),IF(O1482&gt;0,M1482/O1482,""),"")</f>
        <v/>
      </c>
      <c r="W1482" s="10">
        <f>IF(AND(ISNUMBER(M1482),ISNUMBER(R1482)),IF(R1482&gt;0,M1482/R1482,""),"")</f>
        <v/>
      </c>
      <c r="X1482" s="10">
        <f>IF(AND(ISNUMBER(Q1482),ISNUMBER(M1482)),IF(M1482&gt;0,Q1482/M1482,""),"")</f>
        <v/>
      </c>
      <c r="Y1482" s="11">
        <f>IF(ISNUMBER(Z1482),YEAR(Z1482),"")</f>
        <v/>
      </c>
      <c r="Z1482" s="12" t="n"/>
      <c r="AA1482" s="12" t="n"/>
      <c r="AI1482" s="12" t="n"/>
      <c r="AJ1482" s="13">
        <f>IF(LEN(TRIM(AF1482))=0,"",HYPERLINK("https://www.google.com/maps/@?api=1&amp;map_action=pano&amp;viewpoint="&amp;SUBSTITUTE(AF1482," ",""),"Abrir Street View"))</f>
        <v/>
      </c>
    </row>
    <row r="1483">
      <c r="H1483" s="6" t="n"/>
      <c r="I1483" s="6" t="n"/>
      <c r="M1483" s="7" t="n"/>
      <c r="N1483" s="7" t="n"/>
      <c r="O1483" s="7" t="n"/>
      <c r="Q1483" s="7" t="n"/>
      <c r="R1483" s="7" t="n"/>
      <c r="S1483" s="8">
        <f>IF(NOT(ISNUMBER(M1483)),"",IF(G1483="Terreno",IF(AND(ISNUMBER(I1483),I1483&gt;0),M1483/I1483,""),IF(AND(ISNUMBER(H1483),H1483&gt;0),M1483/H1483,"")))</f>
        <v/>
      </c>
      <c r="T1483" s="9">
        <f>IF(AND(ISNUMBER(M1483),ISNUMBER(O1483)),IF(M1483&lt;=O1483,"Valor ≤ venal IPTU",""),"")</f>
        <v/>
      </c>
      <c r="U1483" s="10">
        <f>IF(AND(ISNUMBER(M1483),ISNUMBER(N1483)),IF(N1483&gt;0,M1483/N1483,""),"")</f>
        <v/>
      </c>
      <c r="V1483" s="10">
        <f>IF(AND(ISNUMBER(M1483),ISNUMBER(O1483)),IF(O1483&gt;0,M1483/O1483,""),"")</f>
        <v/>
      </c>
      <c r="W1483" s="10">
        <f>IF(AND(ISNUMBER(M1483),ISNUMBER(R1483)),IF(R1483&gt;0,M1483/R1483,""),"")</f>
        <v/>
      </c>
      <c r="X1483" s="10">
        <f>IF(AND(ISNUMBER(Q1483),ISNUMBER(M1483)),IF(M1483&gt;0,Q1483/M1483,""),"")</f>
        <v/>
      </c>
      <c r="Y1483" s="11">
        <f>IF(ISNUMBER(Z1483),YEAR(Z1483),"")</f>
        <v/>
      </c>
      <c r="Z1483" s="12" t="n"/>
      <c r="AA1483" s="12" t="n"/>
      <c r="AI1483" s="12" t="n"/>
      <c r="AJ1483" s="13">
        <f>IF(LEN(TRIM(AF1483))=0,"",HYPERLINK("https://www.google.com/maps/@?api=1&amp;map_action=pano&amp;viewpoint="&amp;SUBSTITUTE(AF1483," ",""),"Abrir Street View"))</f>
        <v/>
      </c>
    </row>
    <row r="1484">
      <c r="H1484" s="6" t="n"/>
      <c r="I1484" s="6" t="n"/>
      <c r="M1484" s="7" t="n"/>
      <c r="N1484" s="7" t="n"/>
      <c r="O1484" s="7" t="n"/>
      <c r="Q1484" s="7" t="n"/>
      <c r="R1484" s="7" t="n"/>
      <c r="S1484" s="8">
        <f>IF(NOT(ISNUMBER(M1484)),"",IF(G1484="Terreno",IF(AND(ISNUMBER(I1484),I1484&gt;0),M1484/I1484,""),IF(AND(ISNUMBER(H1484),H1484&gt;0),M1484/H1484,"")))</f>
        <v/>
      </c>
      <c r="T1484" s="9">
        <f>IF(AND(ISNUMBER(M1484),ISNUMBER(O1484)),IF(M1484&lt;=O1484,"Valor ≤ venal IPTU",""),"")</f>
        <v/>
      </c>
      <c r="U1484" s="10">
        <f>IF(AND(ISNUMBER(M1484),ISNUMBER(N1484)),IF(N1484&gt;0,M1484/N1484,""),"")</f>
        <v/>
      </c>
      <c r="V1484" s="10">
        <f>IF(AND(ISNUMBER(M1484),ISNUMBER(O1484)),IF(O1484&gt;0,M1484/O1484,""),"")</f>
        <v/>
      </c>
      <c r="W1484" s="10">
        <f>IF(AND(ISNUMBER(M1484),ISNUMBER(R1484)),IF(R1484&gt;0,M1484/R1484,""),"")</f>
        <v/>
      </c>
      <c r="X1484" s="10">
        <f>IF(AND(ISNUMBER(Q1484),ISNUMBER(M1484)),IF(M1484&gt;0,Q1484/M1484,""),"")</f>
        <v/>
      </c>
      <c r="Y1484" s="11">
        <f>IF(ISNUMBER(Z1484),YEAR(Z1484),"")</f>
        <v/>
      </c>
      <c r="Z1484" s="12" t="n"/>
      <c r="AA1484" s="12" t="n"/>
      <c r="AI1484" s="12" t="n"/>
      <c r="AJ1484" s="13">
        <f>IF(LEN(TRIM(AF1484))=0,"",HYPERLINK("https://www.google.com/maps/@?api=1&amp;map_action=pano&amp;viewpoint="&amp;SUBSTITUTE(AF1484," ",""),"Abrir Street View"))</f>
        <v/>
      </c>
    </row>
    <row r="1485">
      <c r="H1485" s="6" t="n"/>
      <c r="I1485" s="6" t="n"/>
      <c r="M1485" s="7" t="n"/>
      <c r="N1485" s="7" t="n"/>
      <c r="O1485" s="7" t="n"/>
      <c r="Q1485" s="7" t="n"/>
      <c r="R1485" s="7" t="n"/>
      <c r="S1485" s="8">
        <f>IF(NOT(ISNUMBER(M1485)),"",IF(G1485="Terreno",IF(AND(ISNUMBER(I1485),I1485&gt;0),M1485/I1485,""),IF(AND(ISNUMBER(H1485),H1485&gt;0),M1485/H1485,"")))</f>
        <v/>
      </c>
      <c r="T1485" s="9">
        <f>IF(AND(ISNUMBER(M1485),ISNUMBER(O1485)),IF(M1485&lt;=O1485,"Valor ≤ venal IPTU",""),"")</f>
        <v/>
      </c>
      <c r="U1485" s="10">
        <f>IF(AND(ISNUMBER(M1485),ISNUMBER(N1485)),IF(N1485&gt;0,M1485/N1485,""),"")</f>
        <v/>
      </c>
      <c r="V1485" s="10">
        <f>IF(AND(ISNUMBER(M1485),ISNUMBER(O1485)),IF(O1485&gt;0,M1485/O1485,""),"")</f>
        <v/>
      </c>
      <c r="W1485" s="10">
        <f>IF(AND(ISNUMBER(M1485),ISNUMBER(R1485)),IF(R1485&gt;0,M1485/R1485,""),"")</f>
        <v/>
      </c>
      <c r="X1485" s="10">
        <f>IF(AND(ISNUMBER(Q1485),ISNUMBER(M1485)),IF(M1485&gt;0,Q1485/M1485,""),"")</f>
        <v/>
      </c>
      <c r="Y1485" s="11">
        <f>IF(ISNUMBER(Z1485),YEAR(Z1485),"")</f>
        <v/>
      </c>
      <c r="Z1485" s="12" t="n"/>
      <c r="AA1485" s="12" t="n"/>
      <c r="AI1485" s="12" t="n"/>
      <c r="AJ1485" s="13">
        <f>IF(LEN(TRIM(AF1485))=0,"",HYPERLINK("https://www.google.com/maps/@?api=1&amp;map_action=pano&amp;viewpoint="&amp;SUBSTITUTE(AF1485," ",""),"Abrir Street View"))</f>
        <v/>
      </c>
    </row>
    <row r="1486">
      <c r="H1486" s="6" t="n"/>
      <c r="I1486" s="6" t="n"/>
      <c r="M1486" s="7" t="n"/>
      <c r="N1486" s="7" t="n"/>
      <c r="O1486" s="7" t="n"/>
      <c r="Q1486" s="7" t="n"/>
      <c r="R1486" s="7" t="n"/>
      <c r="S1486" s="8">
        <f>IF(NOT(ISNUMBER(M1486)),"",IF(G1486="Terreno",IF(AND(ISNUMBER(I1486),I1486&gt;0),M1486/I1486,""),IF(AND(ISNUMBER(H1486),H1486&gt;0),M1486/H1486,"")))</f>
        <v/>
      </c>
      <c r="T1486" s="9">
        <f>IF(AND(ISNUMBER(M1486),ISNUMBER(O1486)),IF(M1486&lt;=O1486,"Valor ≤ venal IPTU",""),"")</f>
        <v/>
      </c>
      <c r="U1486" s="10">
        <f>IF(AND(ISNUMBER(M1486),ISNUMBER(N1486)),IF(N1486&gt;0,M1486/N1486,""),"")</f>
        <v/>
      </c>
      <c r="V1486" s="10">
        <f>IF(AND(ISNUMBER(M1486),ISNUMBER(O1486)),IF(O1486&gt;0,M1486/O1486,""),"")</f>
        <v/>
      </c>
      <c r="W1486" s="10">
        <f>IF(AND(ISNUMBER(M1486),ISNUMBER(R1486)),IF(R1486&gt;0,M1486/R1486,""),"")</f>
        <v/>
      </c>
      <c r="X1486" s="10">
        <f>IF(AND(ISNUMBER(Q1486),ISNUMBER(M1486)),IF(M1486&gt;0,Q1486/M1486,""),"")</f>
        <v/>
      </c>
      <c r="Y1486" s="11">
        <f>IF(ISNUMBER(Z1486),YEAR(Z1486),"")</f>
        <v/>
      </c>
      <c r="Z1486" s="12" t="n"/>
      <c r="AA1486" s="12" t="n"/>
      <c r="AI1486" s="12" t="n"/>
      <c r="AJ1486" s="13">
        <f>IF(LEN(TRIM(AF1486))=0,"",HYPERLINK("https://www.google.com/maps/@?api=1&amp;map_action=pano&amp;viewpoint="&amp;SUBSTITUTE(AF1486," ",""),"Abrir Street View"))</f>
        <v/>
      </c>
    </row>
    <row r="1487">
      <c r="H1487" s="6" t="n"/>
      <c r="I1487" s="6" t="n"/>
      <c r="M1487" s="7" t="n"/>
      <c r="N1487" s="7" t="n"/>
      <c r="O1487" s="7" t="n"/>
      <c r="Q1487" s="7" t="n"/>
      <c r="R1487" s="7" t="n"/>
      <c r="S1487" s="8">
        <f>IF(NOT(ISNUMBER(M1487)),"",IF(G1487="Terreno",IF(AND(ISNUMBER(I1487),I1487&gt;0),M1487/I1487,""),IF(AND(ISNUMBER(H1487),H1487&gt;0),M1487/H1487,"")))</f>
        <v/>
      </c>
      <c r="T1487" s="9">
        <f>IF(AND(ISNUMBER(M1487),ISNUMBER(O1487)),IF(M1487&lt;=O1487,"Valor ≤ venal IPTU",""),"")</f>
        <v/>
      </c>
      <c r="U1487" s="10">
        <f>IF(AND(ISNUMBER(M1487),ISNUMBER(N1487)),IF(N1487&gt;0,M1487/N1487,""),"")</f>
        <v/>
      </c>
      <c r="V1487" s="10">
        <f>IF(AND(ISNUMBER(M1487),ISNUMBER(O1487)),IF(O1487&gt;0,M1487/O1487,""),"")</f>
        <v/>
      </c>
      <c r="W1487" s="10">
        <f>IF(AND(ISNUMBER(M1487),ISNUMBER(R1487)),IF(R1487&gt;0,M1487/R1487,""),"")</f>
        <v/>
      </c>
      <c r="X1487" s="10">
        <f>IF(AND(ISNUMBER(Q1487),ISNUMBER(M1487)),IF(M1487&gt;0,Q1487/M1487,""),"")</f>
        <v/>
      </c>
      <c r="Y1487" s="11">
        <f>IF(ISNUMBER(Z1487),YEAR(Z1487),"")</f>
        <v/>
      </c>
      <c r="Z1487" s="12" t="n"/>
      <c r="AA1487" s="12" t="n"/>
      <c r="AI1487" s="12" t="n"/>
      <c r="AJ1487" s="13">
        <f>IF(LEN(TRIM(AF1487))=0,"",HYPERLINK("https://www.google.com/maps/@?api=1&amp;map_action=pano&amp;viewpoint="&amp;SUBSTITUTE(AF1487," ",""),"Abrir Street View"))</f>
        <v/>
      </c>
    </row>
    <row r="1488">
      <c r="H1488" s="6" t="n"/>
      <c r="I1488" s="6" t="n"/>
      <c r="M1488" s="7" t="n"/>
      <c r="N1488" s="7" t="n"/>
      <c r="O1488" s="7" t="n"/>
      <c r="Q1488" s="7" t="n"/>
      <c r="R1488" s="7" t="n"/>
      <c r="S1488" s="8">
        <f>IF(NOT(ISNUMBER(M1488)),"",IF(G1488="Terreno",IF(AND(ISNUMBER(I1488),I1488&gt;0),M1488/I1488,""),IF(AND(ISNUMBER(H1488),H1488&gt;0),M1488/H1488,"")))</f>
        <v/>
      </c>
      <c r="T1488" s="9">
        <f>IF(AND(ISNUMBER(M1488),ISNUMBER(O1488)),IF(M1488&lt;=O1488,"Valor ≤ venal IPTU",""),"")</f>
        <v/>
      </c>
      <c r="U1488" s="10">
        <f>IF(AND(ISNUMBER(M1488),ISNUMBER(N1488)),IF(N1488&gt;0,M1488/N1488,""),"")</f>
        <v/>
      </c>
      <c r="V1488" s="10">
        <f>IF(AND(ISNUMBER(M1488),ISNUMBER(O1488)),IF(O1488&gt;0,M1488/O1488,""),"")</f>
        <v/>
      </c>
      <c r="W1488" s="10">
        <f>IF(AND(ISNUMBER(M1488),ISNUMBER(R1488)),IF(R1488&gt;0,M1488/R1488,""),"")</f>
        <v/>
      </c>
      <c r="X1488" s="10">
        <f>IF(AND(ISNUMBER(Q1488),ISNUMBER(M1488)),IF(M1488&gt;0,Q1488/M1488,""),"")</f>
        <v/>
      </c>
      <c r="Y1488" s="11">
        <f>IF(ISNUMBER(Z1488),YEAR(Z1488),"")</f>
        <v/>
      </c>
      <c r="Z1488" s="12" t="n"/>
      <c r="AA1488" s="12" t="n"/>
      <c r="AI1488" s="12" t="n"/>
      <c r="AJ1488" s="13">
        <f>IF(LEN(TRIM(AF1488))=0,"",HYPERLINK("https://www.google.com/maps/@?api=1&amp;map_action=pano&amp;viewpoint="&amp;SUBSTITUTE(AF1488," ",""),"Abrir Street View"))</f>
        <v/>
      </c>
    </row>
    <row r="1489">
      <c r="H1489" s="6" t="n"/>
      <c r="I1489" s="6" t="n"/>
      <c r="M1489" s="7" t="n"/>
      <c r="N1489" s="7" t="n"/>
      <c r="O1489" s="7" t="n"/>
      <c r="Q1489" s="7" t="n"/>
      <c r="R1489" s="7" t="n"/>
      <c r="S1489" s="8">
        <f>IF(NOT(ISNUMBER(M1489)),"",IF(G1489="Terreno",IF(AND(ISNUMBER(I1489),I1489&gt;0),M1489/I1489,""),IF(AND(ISNUMBER(H1489),H1489&gt;0),M1489/H1489,"")))</f>
        <v/>
      </c>
      <c r="T1489" s="9">
        <f>IF(AND(ISNUMBER(M1489),ISNUMBER(O1489)),IF(M1489&lt;=O1489,"Valor ≤ venal IPTU",""),"")</f>
        <v/>
      </c>
      <c r="U1489" s="10">
        <f>IF(AND(ISNUMBER(M1489),ISNUMBER(N1489)),IF(N1489&gt;0,M1489/N1489,""),"")</f>
        <v/>
      </c>
      <c r="V1489" s="10">
        <f>IF(AND(ISNUMBER(M1489),ISNUMBER(O1489)),IF(O1489&gt;0,M1489/O1489,""),"")</f>
        <v/>
      </c>
      <c r="W1489" s="10">
        <f>IF(AND(ISNUMBER(M1489),ISNUMBER(R1489)),IF(R1489&gt;0,M1489/R1489,""),"")</f>
        <v/>
      </c>
      <c r="X1489" s="10">
        <f>IF(AND(ISNUMBER(Q1489),ISNUMBER(M1489)),IF(M1489&gt;0,Q1489/M1489,""),"")</f>
        <v/>
      </c>
      <c r="Y1489" s="11">
        <f>IF(ISNUMBER(Z1489),YEAR(Z1489),"")</f>
        <v/>
      </c>
      <c r="Z1489" s="12" t="n"/>
      <c r="AA1489" s="12" t="n"/>
      <c r="AI1489" s="12" t="n"/>
      <c r="AJ1489" s="13">
        <f>IF(LEN(TRIM(AF1489))=0,"",HYPERLINK("https://www.google.com/maps/@?api=1&amp;map_action=pano&amp;viewpoint="&amp;SUBSTITUTE(AF1489," ",""),"Abrir Street View"))</f>
        <v/>
      </c>
    </row>
    <row r="1490">
      <c r="H1490" s="6" t="n"/>
      <c r="I1490" s="6" t="n"/>
      <c r="M1490" s="7" t="n"/>
      <c r="N1490" s="7" t="n"/>
      <c r="O1490" s="7" t="n"/>
      <c r="Q1490" s="7" t="n"/>
      <c r="R1490" s="7" t="n"/>
      <c r="S1490" s="8">
        <f>IF(NOT(ISNUMBER(M1490)),"",IF(G1490="Terreno",IF(AND(ISNUMBER(I1490),I1490&gt;0),M1490/I1490,""),IF(AND(ISNUMBER(H1490),H1490&gt;0),M1490/H1490,"")))</f>
        <v/>
      </c>
      <c r="T1490" s="9">
        <f>IF(AND(ISNUMBER(M1490),ISNUMBER(O1490)),IF(M1490&lt;=O1490,"Valor ≤ venal IPTU",""),"")</f>
        <v/>
      </c>
      <c r="U1490" s="10">
        <f>IF(AND(ISNUMBER(M1490),ISNUMBER(N1490)),IF(N1490&gt;0,M1490/N1490,""),"")</f>
        <v/>
      </c>
      <c r="V1490" s="10">
        <f>IF(AND(ISNUMBER(M1490),ISNUMBER(O1490)),IF(O1490&gt;0,M1490/O1490,""),"")</f>
        <v/>
      </c>
      <c r="W1490" s="10">
        <f>IF(AND(ISNUMBER(M1490),ISNUMBER(R1490)),IF(R1490&gt;0,M1490/R1490,""),"")</f>
        <v/>
      </c>
      <c r="X1490" s="10">
        <f>IF(AND(ISNUMBER(Q1490),ISNUMBER(M1490)),IF(M1490&gt;0,Q1490/M1490,""),"")</f>
        <v/>
      </c>
      <c r="Y1490" s="11">
        <f>IF(ISNUMBER(Z1490),YEAR(Z1490),"")</f>
        <v/>
      </c>
      <c r="Z1490" s="12" t="n"/>
      <c r="AA1490" s="12" t="n"/>
      <c r="AI1490" s="12" t="n"/>
      <c r="AJ1490" s="13">
        <f>IF(LEN(TRIM(AF1490))=0,"",HYPERLINK("https://www.google.com/maps/@?api=1&amp;map_action=pano&amp;viewpoint="&amp;SUBSTITUTE(AF1490," ",""),"Abrir Street View"))</f>
        <v/>
      </c>
    </row>
    <row r="1491">
      <c r="H1491" s="6" t="n"/>
      <c r="I1491" s="6" t="n"/>
      <c r="M1491" s="7" t="n"/>
      <c r="N1491" s="7" t="n"/>
      <c r="O1491" s="7" t="n"/>
      <c r="Q1491" s="7" t="n"/>
      <c r="R1491" s="7" t="n"/>
      <c r="S1491" s="8">
        <f>IF(NOT(ISNUMBER(M1491)),"",IF(G1491="Terreno",IF(AND(ISNUMBER(I1491),I1491&gt;0),M1491/I1491,""),IF(AND(ISNUMBER(H1491),H1491&gt;0),M1491/H1491,"")))</f>
        <v/>
      </c>
      <c r="T1491" s="9">
        <f>IF(AND(ISNUMBER(M1491),ISNUMBER(O1491)),IF(M1491&lt;=O1491,"Valor ≤ venal IPTU",""),"")</f>
        <v/>
      </c>
      <c r="U1491" s="10">
        <f>IF(AND(ISNUMBER(M1491),ISNUMBER(N1491)),IF(N1491&gt;0,M1491/N1491,""),"")</f>
        <v/>
      </c>
      <c r="V1491" s="10">
        <f>IF(AND(ISNUMBER(M1491),ISNUMBER(O1491)),IF(O1491&gt;0,M1491/O1491,""),"")</f>
        <v/>
      </c>
      <c r="W1491" s="10">
        <f>IF(AND(ISNUMBER(M1491),ISNUMBER(R1491)),IF(R1491&gt;0,M1491/R1491,""),"")</f>
        <v/>
      </c>
      <c r="X1491" s="10">
        <f>IF(AND(ISNUMBER(Q1491),ISNUMBER(M1491)),IF(M1491&gt;0,Q1491/M1491,""),"")</f>
        <v/>
      </c>
      <c r="Y1491" s="11">
        <f>IF(ISNUMBER(Z1491),YEAR(Z1491),"")</f>
        <v/>
      </c>
      <c r="Z1491" s="12" t="n"/>
      <c r="AA1491" s="12" t="n"/>
      <c r="AI1491" s="12" t="n"/>
      <c r="AJ1491" s="13">
        <f>IF(LEN(TRIM(AF1491))=0,"",HYPERLINK("https://www.google.com/maps/@?api=1&amp;map_action=pano&amp;viewpoint="&amp;SUBSTITUTE(AF1491," ",""),"Abrir Street View"))</f>
        <v/>
      </c>
    </row>
    <row r="1492">
      <c r="H1492" s="6" t="n"/>
      <c r="I1492" s="6" t="n"/>
      <c r="M1492" s="7" t="n"/>
      <c r="N1492" s="7" t="n"/>
      <c r="O1492" s="7" t="n"/>
      <c r="Q1492" s="7" t="n"/>
      <c r="R1492" s="7" t="n"/>
      <c r="S1492" s="8">
        <f>IF(NOT(ISNUMBER(M1492)),"",IF(G1492="Terreno",IF(AND(ISNUMBER(I1492),I1492&gt;0),M1492/I1492,""),IF(AND(ISNUMBER(H1492),H1492&gt;0),M1492/H1492,"")))</f>
        <v/>
      </c>
      <c r="T1492" s="9">
        <f>IF(AND(ISNUMBER(M1492),ISNUMBER(O1492)),IF(M1492&lt;=O1492,"Valor ≤ venal IPTU",""),"")</f>
        <v/>
      </c>
      <c r="U1492" s="10">
        <f>IF(AND(ISNUMBER(M1492),ISNUMBER(N1492)),IF(N1492&gt;0,M1492/N1492,""),"")</f>
        <v/>
      </c>
      <c r="V1492" s="10">
        <f>IF(AND(ISNUMBER(M1492),ISNUMBER(O1492)),IF(O1492&gt;0,M1492/O1492,""),"")</f>
        <v/>
      </c>
      <c r="W1492" s="10">
        <f>IF(AND(ISNUMBER(M1492),ISNUMBER(R1492)),IF(R1492&gt;0,M1492/R1492,""),"")</f>
        <v/>
      </c>
      <c r="X1492" s="10">
        <f>IF(AND(ISNUMBER(Q1492),ISNUMBER(M1492)),IF(M1492&gt;0,Q1492/M1492,""),"")</f>
        <v/>
      </c>
      <c r="Y1492" s="11">
        <f>IF(ISNUMBER(Z1492),YEAR(Z1492),"")</f>
        <v/>
      </c>
      <c r="Z1492" s="12" t="n"/>
      <c r="AA1492" s="12" t="n"/>
      <c r="AI1492" s="12" t="n"/>
      <c r="AJ1492" s="13">
        <f>IF(LEN(TRIM(AF1492))=0,"",HYPERLINK("https://www.google.com/maps/@?api=1&amp;map_action=pano&amp;viewpoint="&amp;SUBSTITUTE(AF1492," ",""),"Abrir Street View"))</f>
        <v/>
      </c>
    </row>
    <row r="1493">
      <c r="H1493" s="6" t="n"/>
      <c r="I1493" s="6" t="n"/>
      <c r="M1493" s="7" t="n"/>
      <c r="N1493" s="7" t="n"/>
      <c r="O1493" s="7" t="n"/>
      <c r="Q1493" s="7" t="n"/>
      <c r="R1493" s="7" t="n"/>
      <c r="S1493" s="8">
        <f>IF(NOT(ISNUMBER(M1493)),"",IF(G1493="Terreno",IF(AND(ISNUMBER(I1493),I1493&gt;0),M1493/I1493,""),IF(AND(ISNUMBER(H1493),H1493&gt;0),M1493/H1493,"")))</f>
        <v/>
      </c>
      <c r="T1493" s="9">
        <f>IF(AND(ISNUMBER(M1493),ISNUMBER(O1493)),IF(M1493&lt;=O1493,"Valor ≤ venal IPTU",""),"")</f>
        <v/>
      </c>
      <c r="U1493" s="10">
        <f>IF(AND(ISNUMBER(M1493),ISNUMBER(N1493)),IF(N1493&gt;0,M1493/N1493,""),"")</f>
        <v/>
      </c>
      <c r="V1493" s="10">
        <f>IF(AND(ISNUMBER(M1493),ISNUMBER(O1493)),IF(O1493&gt;0,M1493/O1493,""),"")</f>
        <v/>
      </c>
      <c r="W1493" s="10">
        <f>IF(AND(ISNUMBER(M1493),ISNUMBER(R1493)),IF(R1493&gt;0,M1493/R1493,""),"")</f>
        <v/>
      </c>
      <c r="X1493" s="10">
        <f>IF(AND(ISNUMBER(Q1493),ISNUMBER(M1493)),IF(M1493&gt;0,Q1493/M1493,""),"")</f>
        <v/>
      </c>
      <c r="Y1493" s="11">
        <f>IF(ISNUMBER(Z1493),YEAR(Z1493),"")</f>
        <v/>
      </c>
      <c r="Z1493" s="12" t="n"/>
      <c r="AA1493" s="12" t="n"/>
      <c r="AI1493" s="12" t="n"/>
      <c r="AJ1493" s="13">
        <f>IF(LEN(TRIM(AF1493))=0,"",HYPERLINK("https://www.google.com/maps/@?api=1&amp;map_action=pano&amp;viewpoint="&amp;SUBSTITUTE(AF1493," ",""),"Abrir Street View"))</f>
        <v/>
      </c>
    </row>
    <row r="1494">
      <c r="H1494" s="6" t="n"/>
      <c r="I1494" s="6" t="n"/>
      <c r="M1494" s="7" t="n"/>
      <c r="N1494" s="7" t="n"/>
      <c r="O1494" s="7" t="n"/>
      <c r="Q1494" s="7" t="n"/>
      <c r="R1494" s="7" t="n"/>
      <c r="S1494" s="8">
        <f>IF(NOT(ISNUMBER(M1494)),"",IF(G1494="Terreno",IF(AND(ISNUMBER(I1494),I1494&gt;0),M1494/I1494,""),IF(AND(ISNUMBER(H1494),H1494&gt;0),M1494/H1494,"")))</f>
        <v/>
      </c>
      <c r="T1494" s="9">
        <f>IF(AND(ISNUMBER(M1494),ISNUMBER(O1494)),IF(M1494&lt;=O1494,"Valor ≤ venal IPTU",""),"")</f>
        <v/>
      </c>
      <c r="U1494" s="10">
        <f>IF(AND(ISNUMBER(M1494),ISNUMBER(N1494)),IF(N1494&gt;0,M1494/N1494,""),"")</f>
        <v/>
      </c>
      <c r="V1494" s="10">
        <f>IF(AND(ISNUMBER(M1494),ISNUMBER(O1494)),IF(O1494&gt;0,M1494/O1494,""),"")</f>
        <v/>
      </c>
      <c r="W1494" s="10">
        <f>IF(AND(ISNUMBER(M1494),ISNUMBER(R1494)),IF(R1494&gt;0,M1494/R1494,""),"")</f>
        <v/>
      </c>
      <c r="X1494" s="10">
        <f>IF(AND(ISNUMBER(Q1494),ISNUMBER(M1494)),IF(M1494&gt;0,Q1494/M1494,""),"")</f>
        <v/>
      </c>
      <c r="Y1494" s="11">
        <f>IF(ISNUMBER(Z1494),YEAR(Z1494),"")</f>
        <v/>
      </c>
      <c r="Z1494" s="12" t="n"/>
      <c r="AA1494" s="12" t="n"/>
      <c r="AI1494" s="12" t="n"/>
      <c r="AJ1494" s="13">
        <f>IF(LEN(TRIM(AF1494))=0,"",HYPERLINK("https://www.google.com/maps/@?api=1&amp;map_action=pano&amp;viewpoint="&amp;SUBSTITUTE(AF1494," ",""),"Abrir Street View"))</f>
        <v/>
      </c>
    </row>
    <row r="1495">
      <c r="H1495" s="6" t="n"/>
      <c r="I1495" s="6" t="n"/>
      <c r="M1495" s="7" t="n"/>
      <c r="N1495" s="7" t="n"/>
      <c r="O1495" s="7" t="n"/>
      <c r="Q1495" s="7" t="n"/>
      <c r="R1495" s="7" t="n"/>
      <c r="S1495" s="8">
        <f>IF(NOT(ISNUMBER(M1495)),"",IF(G1495="Terreno",IF(AND(ISNUMBER(I1495),I1495&gt;0),M1495/I1495,""),IF(AND(ISNUMBER(H1495),H1495&gt;0),M1495/H1495,"")))</f>
        <v/>
      </c>
      <c r="T1495" s="9">
        <f>IF(AND(ISNUMBER(M1495),ISNUMBER(O1495)),IF(M1495&lt;=O1495,"Valor ≤ venal IPTU",""),"")</f>
        <v/>
      </c>
      <c r="U1495" s="10">
        <f>IF(AND(ISNUMBER(M1495),ISNUMBER(N1495)),IF(N1495&gt;0,M1495/N1495,""),"")</f>
        <v/>
      </c>
      <c r="V1495" s="10">
        <f>IF(AND(ISNUMBER(M1495),ISNUMBER(O1495)),IF(O1495&gt;0,M1495/O1495,""),"")</f>
        <v/>
      </c>
      <c r="W1495" s="10">
        <f>IF(AND(ISNUMBER(M1495),ISNUMBER(R1495)),IF(R1495&gt;0,M1495/R1495,""),"")</f>
        <v/>
      </c>
      <c r="X1495" s="10">
        <f>IF(AND(ISNUMBER(Q1495),ISNUMBER(M1495)),IF(M1495&gt;0,Q1495/M1495,""),"")</f>
        <v/>
      </c>
      <c r="Y1495" s="11">
        <f>IF(ISNUMBER(Z1495),YEAR(Z1495),"")</f>
        <v/>
      </c>
      <c r="Z1495" s="12" t="n"/>
      <c r="AA1495" s="12" t="n"/>
      <c r="AI1495" s="12" t="n"/>
      <c r="AJ1495" s="13">
        <f>IF(LEN(TRIM(AF1495))=0,"",HYPERLINK("https://www.google.com/maps/@?api=1&amp;map_action=pano&amp;viewpoint="&amp;SUBSTITUTE(AF1495," ",""),"Abrir Street View"))</f>
        <v/>
      </c>
    </row>
    <row r="1496">
      <c r="H1496" s="6" t="n"/>
      <c r="I1496" s="6" t="n"/>
      <c r="M1496" s="7" t="n"/>
      <c r="N1496" s="7" t="n"/>
      <c r="O1496" s="7" t="n"/>
      <c r="Q1496" s="7" t="n"/>
      <c r="R1496" s="7" t="n"/>
      <c r="S1496" s="8">
        <f>IF(NOT(ISNUMBER(M1496)),"",IF(G1496="Terreno",IF(AND(ISNUMBER(I1496),I1496&gt;0),M1496/I1496,""),IF(AND(ISNUMBER(H1496),H1496&gt;0),M1496/H1496,"")))</f>
        <v/>
      </c>
      <c r="T1496" s="9">
        <f>IF(AND(ISNUMBER(M1496),ISNUMBER(O1496)),IF(M1496&lt;=O1496,"Valor ≤ venal IPTU",""),"")</f>
        <v/>
      </c>
      <c r="U1496" s="10">
        <f>IF(AND(ISNUMBER(M1496),ISNUMBER(N1496)),IF(N1496&gt;0,M1496/N1496,""),"")</f>
        <v/>
      </c>
      <c r="V1496" s="10">
        <f>IF(AND(ISNUMBER(M1496),ISNUMBER(O1496)),IF(O1496&gt;0,M1496/O1496,""),"")</f>
        <v/>
      </c>
      <c r="W1496" s="10">
        <f>IF(AND(ISNUMBER(M1496),ISNUMBER(R1496)),IF(R1496&gt;0,M1496/R1496,""),"")</f>
        <v/>
      </c>
      <c r="X1496" s="10">
        <f>IF(AND(ISNUMBER(Q1496),ISNUMBER(M1496)),IF(M1496&gt;0,Q1496/M1496,""),"")</f>
        <v/>
      </c>
      <c r="Y1496" s="11">
        <f>IF(ISNUMBER(Z1496),YEAR(Z1496),"")</f>
        <v/>
      </c>
      <c r="Z1496" s="12" t="n"/>
      <c r="AA1496" s="12" t="n"/>
      <c r="AI1496" s="12" t="n"/>
      <c r="AJ1496" s="13">
        <f>IF(LEN(TRIM(AF1496))=0,"",HYPERLINK("https://www.google.com/maps/@?api=1&amp;map_action=pano&amp;viewpoint="&amp;SUBSTITUTE(AF1496," ",""),"Abrir Street View"))</f>
        <v/>
      </c>
    </row>
    <row r="1497">
      <c r="H1497" s="6" t="n"/>
      <c r="I1497" s="6" t="n"/>
      <c r="M1497" s="7" t="n"/>
      <c r="N1497" s="7" t="n"/>
      <c r="O1497" s="7" t="n"/>
      <c r="Q1497" s="7" t="n"/>
      <c r="R1497" s="7" t="n"/>
      <c r="S1497" s="8">
        <f>IF(NOT(ISNUMBER(M1497)),"",IF(G1497="Terreno",IF(AND(ISNUMBER(I1497),I1497&gt;0),M1497/I1497,""),IF(AND(ISNUMBER(H1497),H1497&gt;0),M1497/H1497,"")))</f>
        <v/>
      </c>
      <c r="T1497" s="9">
        <f>IF(AND(ISNUMBER(M1497),ISNUMBER(O1497)),IF(M1497&lt;=O1497,"Valor ≤ venal IPTU",""),"")</f>
        <v/>
      </c>
      <c r="U1497" s="10">
        <f>IF(AND(ISNUMBER(M1497),ISNUMBER(N1497)),IF(N1497&gt;0,M1497/N1497,""),"")</f>
        <v/>
      </c>
      <c r="V1497" s="10">
        <f>IF(AND(ISNUMBER(M1497),ISNUMBER(O1497)),IF(O1497&gt;0,M1497/O1497,""),"")</f>
        <v/>
      </c>
      <c r="W1497" s="10">
        <f>IF(AND(ISNUMBER(M1497),ISNUMBER(R1497)),IF(R1497&gt;0,M1497/R1497,""),"")</f>
        <v/>
      </c>
      <c r="X1497" s="10">
        <f>IF(AND(ISNUMBER(Q1497),ISNUMBER(M1497)),IF(M1497&gt;0,Q1497/M1497,""),"")</f>
        <v/>
      </c>
      <c r="Y1497" s="11">
        <f>IF(ISNUMBER(Z1497),YEAR(Z1497),"")</f>
        <v/>
      </c>
      <c r="Z1497" s="12" t="n"/>
      <c r="AA1497" s="12" t="n"/>
      <c r="AI1497" s="12" t="n"/>
      <c r="AJ1497" s="13">
        <f>IF(LEN(TRIM(AF1497))=0,"",HYPERLINK("https://www.google.com/maps/@?api=1&amp;map_action=pano&amp;viewpoint="&amp;SUBSTITUTE(AF1497," ",""),"Abrir Street View"))</f>
        <v/>
      </c>
    </row>
    <row r="1498">
      <c r="H1498" s="6" t="n"/>
      <c r="I1498" s="6" t="n"/>
      <c r="M1498" s="7" t="n"/>
      <c r="N1498" s="7" t="n"/>
      <c r="O1498" s="7" t="n"/>
      <c r="Q1498" s="7" t="n"/>
      <c r="R1498" s="7" t="n"/>
      <c r="S1498" s="8">
        <f>IF(NOT(ISNUMBER(M1498)),"",IF(G1498="Terreno",IF(AND(ISNUMBER(I1498),I1498&gt;0),M1498/I1498,""),IF(AND(ISNUMBER(H1498),H1498&gt;0),M1498/H1498,"")))</f>
        <v/>
      </c>
      <c r="T1498" s="9">
        <f>IF(AND(ISNUMBER(M1498),ISNUMBER(O1498)),IF(M1498&lt;=O1498,"Valor ≤ venal IPTU",""),"")</f>
        <v/>
      </c>
      <c r="U1498" s="10">
        <f>IF(AND(ISNUMBER(M1498),ISNUMBER(N1498)),IF(N1498&gt;0,M1498/N1498,""),"")</f>
        <v/>
      </c>
      <c r="V1498" s="10">
        <f>IF(AND(ISNUMBER(M1498),ISNUMBER(O1498)),IF(O1498&gt;0,M1498/O1498,""),"")</f>
        <v/>
      </c>
      <c r="W1498" s="10">
        <f>IF(AND(ISNUMBER(M1498),ISNUMBER(R1498)),IF(R1498&gt;0,M1498/R1498,""),"")</f>
        <v/>
      </c>
      <c r="X1498" s="10">
        <f>IF(AND(ISNUMBER(Q1498),ISNUMBER(M1498)),IF(M1498&gt;0,Q1498/M1498,""),"")</f>
        <v/>
      </c>
      <c r="Y1498" s="11">
        <f>IF(ISNUMBER(Z1498),YEAR(Z1498),"")</f>
        <v/>
      </c>
      <c r="Z1498" s="12" t="n"/>
      <c r="AA1498" s="12" t="n"/>
      <c r="AI1498" s="12" t="n"/>
      <c r="AJ1498" s="13">
        <f>IF(LEN(TRIM(AF1498))=0,"",HYPERLINK("https://www.google.com/maps/@?api=1&amp;map_action=pano&amp;viewpoint="&amp;SUBSTITUTE(AF1498," ",""),"Abrir Street View"))</f>
        <v/>
      </c>
    </row>
    <row r="1499">
      <c r="H1499" s="6" t="n"/>
      <c r="I1499" s="6" t="n"/>
      <c r="M1499" s="7" t="n"/>
      <c r="N1499" s="7" t="n"/>
      <c r="O1499" s="7" t="n"/>
      <c r="Q1499" s="7" t="n"/>
      <c r="R1499" s="7" t="n"/>
      <c r="S1499" s="8">
        <f>IF(NOT(ISNUMBER(M1499)),"",IF(G1499="Terreno",IF(AND(ISNUMBER(I1499),I1499&gt;0),M1499/I1499,""),IF(AND(ISNUMBER(H1499),H1499&gt;0),M1499/H1499,"")))</f>
        <v/>
      </c>
      <c r="T1499" s="9">
        <f>IF(AND(ISNUMBER(M1499),ISNUMBER(O1499)),IF(M1499&lt;=O1499,"Valor ≤ venal IPTU",""),"")</f>
        <v/>
      </c>
      <c r="U1499" s="10">
        <f>IF(AND(ISNUMBER(M1499),ISNUMBER(N1499)),IF(N1499&gt;0,M1499/N1499,""),"")</f>
        <v/>
      </c>
      <c r="V1499" s="10">
        <f>IF(AND(ISNUMBER(M1499),ISNUMBER(O1499)),IF(O1499&gt;0,M1499/O1499,""),"")</f>
        <v/>
      </c>
      <c r="W1499" s="10">
        <f>IF(AND(ISNUMBER(M1499),ISNUMBER(R1499)),IF(R1499&gt;0,M1499/R1499,""),"")</f>
        <v/>
      </c>
      <c r="X1499" s="10">
        <f>IF(AND(ISNUMBER(Q1499),ISNUMBER(M1499)),IF(M1499&gt;0,Q1499/M1499,""),"")</f>
        <v/>
      </c>
      <c r="Y1499" s="11">
        <f>IF(ISNUMBER(Z1499),YEAR(Z1499),"")</f>
        <v/>
      </c>
      <c r="Z1499" s="12" t="n"/>
      <c r="AA1499" s="12" t="n"/>
      <c r="AI1499" s="12" t="n"/>
      <c r="AJ1499" s="13">
        <f>IF(LEN(TRIM(AF1499))=0,"",HYPERLINK("https://www.google.com/maps/@?api=1&amp;map_action=pano&amp;viewpoint="&amp;SUBSTITUTE(AF1499," ",""),"Abrir Street View"))</f>
        <v/>
      </c>
    </row>
    <row r="1500">
      <c r="H1500" s="6" t="n"/>
      <c r="I1500" s="6" t="n"/>
      <c r="M1500" s="7" t="n"/>
      <c r="N1500" s="7" t="n"/>
      <c r="O1500" s="7" t="n"/>
      <c r="Q1500" s="7" t="n"/>
      <c r="R1500" s="7" t="n"/>
      <c r="S1500" s="8">
        <f>IF(NOT(ISNUMBER(M1500)),"",IF(G1500="Terreno",IF(AND(ISNUMBER(I1500),I1500&gt;0),M1500/I1500,""),IF(AND(ISNUMBER(H1500),H1500&gt;0),M1500/H1500,"")))</f>
        <v/>
      </c>
      <c r="T1500" s="9">
        <f>IF(AND(ISNUMBER(M1500),ISNUMBER(O1500)),IF(M1500&lt;=O1500,"Valor ≤ venal IPTU",""),"")</f>
        <v/>
      </c>
      <c r="U1500" s="10">
        <f>IF(AND(ISNUMBER(M1500),ISNUMBER(N1500)),IF(N1500&gt;0,M1500/N1500,""),"")</f>
        <v/>
      </c>
      <c r="V1500" s="10">
        <f>IF(AND(ISNUMBER(M1500),ISNUMBER(O1500)),IF(O1500&gt;0,M1500/O1500,""),"")</f>
        <v/>
      </c>
      <c r="W1500" s="10">
        <f>IF(AND(ISNUMBER(M1500),ISNUMBER(R1500)),IF(R1500&gt;0,M1500/R1500,""),"")</f>
        <v/>
      </c>
      <c r="X1500" s="10">
        <f>IF(AND(ISNUMBER(Q1500),ISNUMBER(M1500)),IF(M1500&gt;0,Q1500/M1500,""),"")</f>
        <v/>
      </c>
      <c r="Y1500" s="11">
        <f>IF(ISNUMBER(Z1500),YEAR(Z1500),"")</f>
        <v/>
      </c>
      <c r="Z1500" s="12" t="n"/>
      <c r="AA1500" s="12" t="n"/>
      <c r="AI1500" s="12" t="n"/>
      <c r="AJ1500" s="13">
        <f>IF(LEN(TRIM(AF1500))=0,"",HYPERLINK("https://www.google.com/maps/@?api=1&amp;map_action=pano&amp;viewpoint="&amp;SUBSTITUTE(AF1500," ",""),"Abrir Street View"))</f>
        <v/>
      </c>
    </row>
    <row r="1501">
      <c r="H1501" s="6" t="n"/>
      <c r="I1501" s="6" t="n"/>
      <c r="M1501" s="7" t="n"/>
      <c r="N1501" s="7" t="n"/>
      <c r="O1501" s="7" t="n"/>
      <c r="Q1501" s="7" t="n"/>
      <c r="R1501" s="7" t="n"/>
      <c r="S1501" s="8">
        <f>IF(NOT(ISNUMBER(M1501)),"",IF(G1501="Terreno",IF(AND(ISNUMBER(I1501),I1501&gt;0),M1501/I1501,""),IF(AND(ISNUMBER(H1501),H1501&gt;0),M1501/H1501,"")))</f>
        <v/>
      </c>
      <c r="T1501" s="9">
        <f>IF(AND(ISNUMBER(M1501),ISNUMBER(O1501)),IF(M1501&lt;=O1501,"Valor ≤ venal IPTU",""),"")</f>
        <v/>
      </c>
      <c r="U1501" s="10">
        <f>IF(AND(ISNUMBER(M1501),ISNUMBER(N1501)),IF(N1501&gt;0,M1501/N1501,""),"")</f>
        <v/>
      </c>
      <c r="V1501" s="10">
        <f>IF(AND(ISNUMBER(M1501),ISNUMBER(O1501)),IF(O1501&gt;0,M1501/O1501,""),"")</f>
        <v/>
      </c>
      <c r="W1501" s="10">
        <f>IF(AND(ISNUMBER(M1501),ISNUMBER(R1501)),IF(R1501&gt;0,M1501/R1501,""),"")</f>
        <v/>
      </c>
      <c r="X1501" s="10">
        <f>IF(AND(ISNUMBER(Q1501),ISNUMBER(M1501)),IF(M1501&gt;0,Q1501/M1501,""),"")</f>
        <v/>
      </c>
      <c r="Y1501" s="11">
        <f>IF(ISNUMBER(Z1501),YEAR(Z1501),"")</f>
        <v/>
      </c>
      <c r="Z1501" s="12" t="n"/>
      <c r="AA1501" s="12" t="n"/>
      <c r="AI1501" s="12" t="n"/>
      <c r="AJ1501" s="13">
        <f>IF(LEN(TRIM(AF1501))=0,"",HYPERLINK("https://www.google.com/maps/@?api=1&amp;map_action=pano&amp;viewpoint="&amp;SUBSTITUTE(AF1501," ",""),"Abrir Street View"))</f>
        <v/>
      </c>
    </row>
    <row r="1502">
      <c r="H1502" s="6" t="n"/>
      <c r="I1502" s="6" t="n"/>
      <c r="M1502" s="7" t="n"/>
      <c r="N1502" s="7" t="n"/>
      <c r="O1502" s="7" t="n"/>
      <c r="Q1502" s="7" t="n"/>
      <c r="R1502" s="7" t="n"/>
      <c r="S1502" s="8">
        <f>IF(NOT(ISNUMBER(M1502)),"",IF(G1502="Terreno",IF(AND(ISNUMBER(I1502),I1502&gt;0),M1502/I1502,""),IF(AND(ISNUMBER(H1502),H1502&gt;0),M1502/H1502,"")))</f>
        <v/>
      </c>
      <c r="T1502" s="9">
        <f>IF(AND(ISNUMBER(M1502),ISNUMBER(O1502)),IF(M1502&lt;=O1502,"Valor ≤ venal IPTU",""),"")</f>
        <v/>
      </c>
      <c r="U1502" s="10">
        <f>IF(AND(ISNUMBER(M1502),ISNUMBER(N1502)),IF(N1502&gt;0,M1502/N1502,""),"")</f>
        <v/>
      </c>
      <c r="V1502" s="10">
        <f>IF(AND(ISNUMBER(M1502),ISNUMBER(O1502)),IF(O1502&gt;0,M1502/O1502,""),"")</f>
        <v/>
      </c>
      <c r="W1502" s="10">
        <f>IF(AND(ISNUMBER(M1502),ISNUMBER(R1502)),IF(R1502&gt;0,M1502/R1502,""),"")</f>
        <v/>
      </c>
      <c r="X1502" s="10">
        <f>IF(AND(ISNUMBER(Q1502),ISNUMBER(M1502)),IF(M1502&gt;0,Q1502/M1502,""),"")</f>
        <v/>
      </c>
      <c r="Y1502" s="11">
        <f>IF(ISNUMBER(Z1502),YEAR(Z1502),"")</f>
        <v/>
      </c>
      <c r="Z1502" s="12" t="n"/>
      <c r="AA1502" s="12" t="n"/>
      <c r="AI1502" s="12" t="n"/>
      <c r="AJ1502" s="13">
        <f>IF(LEN(TRIM(AF1502))=0,"",HYPERLINK("https://www.google.com/maps/@?api=1&amp;map_action=pano&amp;viewpoint="&amp;SUBSTITUTE(AF1502," ",""),"Abrir Street View"))</f>
        <v/>
      </c>
    </row>
    <row r="1503">
      <c r="H1503" s="6" t="n"/>
      <c r="I1503" s="6" t="n"/>
      <c r="M1503" s="7" t="n"/>
      <c r="N1503" s="7" t="n"/>
      <c r="O1503" s="7" t="n"/>
      <c r="Q1503" s="7" t="n"/>
      <c r="R1503" s="7" t="n"/>
      <c r="S1503" s="8">
        <f>IF(NOT(ISNUMBER(M1503)),"",IF(G1503="Terreno",IF(AND(ISNUMBER(I1503),I1503&gt;0),M1503/I1503,""),IF(AND(ISNUMBER(H1503),H1503&gt;0),M1503/H1503,"")))</f>
        <v/>
      </c>
      <c r="T1503" s="9">
        <f>IF(AND(ISNUMBER(M1503),ISNUMBER(O1503)),IF(M1503&lt;=O1503,"Valor ≤ venal IPTU",""),"")</f>
        <v/>
      </c>
      <c r="U1503" s="10">
        <f>IF(AND(ISNUMBER(M1503),ISNUMBER(N1503)),IF(N1503&gt;0,M1503/N1503,""),"")</f>
        <v/>
      </c>
      <c r="V1503" s="10">
        <f>IF(AND(ISNUMBER(M1503),ISNUMBER(O1503)),IF(O1503&gt;0,M1503/O1503,""),"")</f>
        <v/>
      </c>
      <c r="W1503" s="10">
        <f>IF(AND(ISNUMBER(M1503),ISNUMBER(R1503)),IF(R1503&gt;0,M1503/R1503,""),"")</f>
        <v/>
      </c>
      <c r="X1503" s="10">
        <f>IF(AND(ISNUMBER(Q1503),ISNUMBER(M1503)),IF(M1503&gt;0,Q1503/M1503,""),"")</f>
        <v/>
      </c>
      <c r="Y1503" s="11">
        <f>IF(ISNUMBER(Z1503),YEAR(Z1503),"")</f>
        <v/>
      </c>
      <c r="Z1503" s="12" t="n"/>
      <c r="AA1503" s="12" t="n"/>
      <c r="AI1503" s="12" t="n"/>
      <c r="AJ1503" s="13">
        <f>IF(LEN(TRIM(AF1503))=0,"",HYPERLINK("https://www.google.com/maps/@?api=1&amp;map_action=pano&amp;viewpoint="&amp;SUBSTITUTE(AF1503," ",""),"Abrir Street View"))</f>
        <v/>
      </c>
    </row>
    <row r="1504">
      <c r="H1504" s="6" t="n"/>
      <c r="I1504" s="6" t="n"/>
      <c r="M1504" s="7" t="n"/>
      <c r="N1504" s="7" t="n"/>
      <c r="O1504" s="7" t="n"/>
      <c r="Q1504" s="7" t="n"/>
      <c r="R1504" s="7" t="n"/>
      <c r="S1504" s="8">
        <f>IF(NOT(ISNUMBER(M1504)),"",IF(G1504="Terreno",IF(AND(ISNUMBER(I1504),I1504&gt;0),M1504/I1504,""),IF(AND(ISNUMBER(H1504),H1504&gt;0),M1504/H1504,"")))</f>
        <v/>
      </c>
      <c r="T1504" s="9">
        <f>IF(AND(ISNUMBER(M1504),ISNUMBER(O1504)),IF(M1504&lt;=O1504,"Valor ≤ venal IPTU",""),"")</f>
        <v/>
      </c>
      <c r="U1504" s="10">
        <f>IF(AND(ISNUMBER(M1504),ISNUMBER(N1504)),IF(N1504&gt;0,M1504/N1504,""),"")</f>
        <v/>
      </c>
      <c r="V1504" s="10">
        <f>IF(AND(ISNUMBER(M1504),ISNUMBER(O1504)),IF(O1504&gt;0,M1504/O1504,""),"")</f>
        <v/>
      </c>
      <c r="W1504" s="10">
        <f>IF(AND(ISNUMBER(M1504),ISNUMBER(R1504)),IF(R1504&gt;0,M1504/R1504,""),"")</f>
        <v/>
      </c>
      <c r="X1504" s="10">
        <f>IF(AND(ISNUMBER(Q1504),ISNUMBER(M1504)),IF(M1504&gt;0,Q1504/M1504,""),"")</f>
        <v/>
      </c>
      <c r="Y1504" s="11">
        <f>IF(ISNUMBER(Z1504),YEAR(Z1504),"")</f>
        <v/>
      </c>
      <c r="Z1504" s="12" t="n"/>
      <c r="AA1504" s="12" t="n"/>
      <c r="AI1504" s="12" t="n"/>
      <c r="AJ1504" s="13">
        <f>IF(LEN(TRIM(AF1504))=0,"",HYPERLINK("https://www.google.com/maps/@?api=1&amp;map_action=pano&amp;viewpoint="&amp;SUBSTITUTE(AF1504," ",""),"Abrir Street View"))</f>
        <v/>
      </c>
    </row>
    <row r="1505">
      <c r="H1505" s="6" t="n"/>
      <c r="I1505" s="6" t="n"/>
      <c r="M1505" s="7" t="n"/>
      <c r="N1505" s="7" t="n"/>
      <c r="O1505" s="7" t="n"/>
      <c r="Q1505" s="7" t="n"/>
      <c r="R1505" s="7" t="n"/>
      <c r="S1505" s="8">
        <f>IF(NOT(ISNUMBER(M1505)),"",IF(G1505="Terreno",IF(AND(ISNUMBER(I1505),I1505&gt;0),M1505/I1505,""),IF(AND(ISNUMBER(H1505),H1505&gt;0),M1505/H1505,"")))</f>
        <v/>
      </c>
      <c r="T1505" s="9">
        <f>IF(AND(ISNUMBER(M1505),ISNUMBER(O1505)),IF(M1505&lt;=O1505,"Valor ≤ venal IPTU",""),"")</f>
        <v/>
      </c>
      <c r="U1505" s="10">
        <f>IF(AND(ISNUMBER(M1505),ISNUMBER(N1505)),IF(N1505&gt;0,M1505/N1505,""),"")</f>
        <v/>
      </c>
      <c r="V1505" s="10">
        <f>IF(AND(ISNUMBER(M1505),ISNUMBER(O1505)),IF(O1505&gt;0,M1505/O1505,""),"")</f>
        <v/>
      </c>
      <c r="W1505" s="10">
        <f>IF(AND(ISNUMBER(M1505),ISNUMBER(R1505)),IF(R1505&gt;0,M1505/R1505,""),"")</f>
        <v/>
      </c>
      <c r="X1505" s="10">
        <f>IF(AND(ISNUMBER(Q1505),ISNUMBER(M1505)),IF(M1505&gt;0,Q1505/M1505,""),"")</f>
        <v/>
      </c>
      <c r="Y1505" s="11">
        <f>IF(ISNUMBER(Z1505),YEAR(Z1505),"")</f>
        <v/>
      </c>
      <c r="Z1505" s="12" t="n"/>
      <c r="AA1505" s="12" t="n"/>
      <c r="AI1505" s="12" t="n"/>
      <c r="AJ1505" s="13">
        <f>IF(LEN(TRIM(AF1505))=0,"",HYPERLINK("https://www.google.com/maps/@?api=1&amp;map_action=pano&amp;viewpoint="&amp;SUBSTITUTE(AF1505," ",""),"Abrir Street View"))</f>
        <v/>
      </c>
    </row>
    <row r="1506">
      <c r="H1506" s="6" t="n"/>
      <c r="I1506" s="6" t="n"/>
      <c r="M1506" s="7" t="n"/>
      <c r="N1506" s="7" t="n"/>
      <c r="O1506" s="7" t="n"/>
      <c r="Q1506" s="7" t="n"/>
      <c r="R1506" s="7" t="n"/>
      <c r="S1506" s="8">
        <f>IF(NOT(ISNUMBER(M1506)),"",IF(G1506="Terreno",IF(AND(ISNUMBER(I1506),I1506&gt;0),M1506/I1506,""),IF(AND(ISNUMBER(H1506),H1506&gt;0),M1506/H1506,"")))</f>
        <v/>
      </c>
      <c r="T1506" s="9">
        <f>IF(AND(ISNUMBER(M1506),ISNUMBER(O1506)),IF(M1506&lt;=O1506,"Valor ≤ venal IPTU",""),"")</f>
        <v/>
      </c>
      <c r="U1506" s="10">
        <f>IF(AND(ISNUMBER(M1506),ISNUMBER(N1506)),IF(N1506&gt;0,M1506/N1506,""),"")</f>
        <v/>
      </c>
      <c r="V1506" s="10">
        <f>IF(AND(ISNUMBER(M1506),ISNUMBER(O1506)),IF(O1506&gt;0,M1506/O1506,""),"")</f>
        <v/>
      </c>
      <c r="W1506" s="10">
        <f>IF(AND(ISNUMBER(M1506),ISNUMBER(R1506)),IF(R1506&gt;0,M1506/R1506,""),"")</f>
        <v/>
      </c>
      <c r="X1506" s="10">
        <f>IF(AND(ISNUMBER(Q1506),ISNUMBER(M1506)),IF(M1506&gt;0,Q1506/M1506,""),"")</f>
        <v/>
      </c>
      <c r="Y1506" s="11">
        <f>IF(ISNUMBER(Z1506),YEAR(Z1506),"")</f>
        <v/>
      </c>
      <c r="Z1506" s="12" t="n"/>
      <c r="AA1506" s="12" t="n"/>
      <c r="AI1506" s="12" t="n"/>
      <c r="AJ1506" s="13">
        <f>IF(LEN(TRIM(AF1506))=0,"",HYPERLINK("https://www.google.com/maps/@?api=1&amp;map_action=pano&amp;viewpoint="&amp;SUBSTITUTE(AF1506," ",""),"Abrir Street View"))</f>
        <v/>
      </c>
    </row>
    <row r="1507">
      <c r="H1507" s="6" t="n"/>
      <c r="I1507" s="6" t="n"/>
      <c r="M1507" s="7" t="n"/>
      <c r="N1507" s="7" t="n"/>
      <c r="O1507" s="7" t="n"/>
      <c r="Q1507" s="7" t="n"/>
      <c r="R1507" s="7" t="n"/>
      <c r="S1507" s="8">
        <f>IF(NOT(ISNUMBER(M1507)),"",IF(G1507="Terreno",IF(AND(ISNUMBER(I1507),I1507&gt;0),M1507/I1507,""),IF(AND(ISNUMBER(H1507),H1507&gt;0),M1507/H1507,"")))</f>
        <v/>
      </c>
      <c r="T1507" s="9">
        <f>IF(AND(ISNUMBER(M1507),ISNUMBER(O1507)),IF(M1507&lt;=O1507,"Valor ≤ venal IPTU",""),"")</f>
        <v/>
      </c>
      <c r="U1507" s="10">
        <f>IF(AND(ISNUMBER(M1507),ISNUMBER(N1507)),IF(N1507&gt;0,M1507/N1507,""),"")</f>
        <v/>
      </c>
      <c r="V1507" s="10">
        <f>IF(AND(ISNUMBER(M1507),ISNUMBER(O1507)),IF(O1507&gt;0,M1507/O1507,""),"")</f>
        <v/>
      </c>
      <c r="W1507" s="10">
        <f>IF(AND(ISNUMBER(M1507),ISNUMBER(R1507)),IF(R1507&gt;0,M1507/R1507,""),"")</f>
        <v/>
      </c>
      <c r="X1507" s="10">
        <f>IF(AND(ISNUMBER(Q1507),ISNUMBER(M1507)),IF(M1507&gt;0,Q1507/M1507,""),"")</f>
        <v/>
      </c>
      <c r="Y1507" s="11">
        <f>IF(ISNUMBER(Z1507),YEAR(Z1507),"")</f>
        <v/>
      </c>
      <c r="Z1507" s="12" t="n"/>
      <c r="AA1507" s="12" t="n"/>
      <c r="AI1507" s="12" t="n"/>
      <c r="AJ1507" s="13">
        <f>IF(LEN(TRIM(AF1507))=0,"",HYPERLINK("https://www.google.com/maps/@?api=1&amp;map_action=pano&amp;viewpoint="&amp;SUBSTITUTE(AF1507," ",""),"Abrir Street View"))</f>
        <v/>
      </c>
    </row>
    <row r="1508">
      <c r="H1508" s="6" t="n"/>
      <c r="I1508" s="6" t="n"/>
      <c r="M1508" s="7" t="n"/>
      <c r="N1508" s="7" t="n"/>
      <c r="O1508" s="7" t="n"/>
      <c r="Q1508" s="7" t="n"/>
      <c r="R1508" s="7" t="n"/>
      <c r="S1508" s="8">
        <f>IF(NOT(ISNUMBER(M1508)),"",IF(G1508="Terreno",IF(AND(ISNUMBER(I1508),I1508&gt;0),M1508/I1508,""),IF(AND(ISNUMBER(H1508),H1508&gt;0),M1508/H1508,"")))</f>
        <v/>
      </c>
      <c r="T1508" s="9">
        <f>IF(AND(ISNUMBER(M1508),ISNUMBER(O1508)),IF(M1508&lt;=O1508,"Valor ≤ venal IPTU",""),"")</f>
        <v/>
      </c>
      <c r="U1508" s="10">
        <f>IF(AND(ISNUMBER(M1508),ISNUMBER(N1508)),IF(N1508&gt;0,M1508/N1508,""),"")</f>
        <v/>
      </c>
      <c r="V1508" s="10">
        <f>IF(AND(ISNUMBER(M1508),ISNUMBER(O1508)),IF(O1508&gt;0,M1508/O1508,""),"")</f>
        <v/>
      </c>
      <c r="W1508" s="10">
        <f>IF(AND(ISNUMBER(M1508),ISNUMBER(R1508)),IF(R1508&gt;0,M1508/R1508,""),"")</f>
        <v/>
      </c>
      <c r="X1508" s="10">
        <f>IF(AND(ISNUMBER(Q1508),ISNUMBER(M1508)),IF(M1508&gt;0,Q1508/M1508,""),"")</f>
        <v/>
      </c>
      <c r="Y1508" s="11">
        <f>IF(ISNUMBER(Z1508),YEAR(Z1508),"")</f>
        <v/>
      </c>
      <c r="Z1508" s="12" t="n"/>
      <c r="AA1508" s="12" t="n"/>
      <c r="AI1508" s="12" t="n"/>
      <c r="AJ1508" s="13">
        <f>IF(LEN(TRIM(AF1508))=0,"",HYPERLINK("https://www.google.com/maps/@?api=1&amp;map_action=pano&amp;viewpoint="&amp;SUBSTITUTE(AF1508," ",""),"Abrir Street View"))</f>
        <v/>
      </c>
    </row>
    <row r="1509">
      <c r="H1509" s="6" t="n"/>
      <c r="I1509" s="6" t="n"/>
      <c r="M1509" s="7" t="n"/>
      <c r="N1509" s="7" t="n"/>
      <c r="O1509" s="7" t="n"/>
      <c r="Q1509" s="7" t="n"/>
      <c r="R1509" s="7" t="n"/>
      <c r="S1509" s="8">
        <f>IF(NOT(ISNUMBER(M1509)),"",IF(G1509="Terreno",IF(AND(ISNUMBER(I1509),I1509&gt;0),M1509/I1509,""),IF(AND(ISNUMBER(H1509),H1509&gt;0),M1509/H1509,"")))</f>
        <v/>
      </c>
      <c r="T1509" s="9">
        <f>IF(AND(ISNUMBER(M1509),ISNUMBER(O1509)),IF(M1509&lt;=O1509,"Valor ≤ venal IPTU",""),"")</f>
        <v/>
      </c>
      <c r="U1509" s="10">
        <f>IF(AND(ISNUMBER(M1509),ISNUMBER(N1509)),IF(N1509&gt;0,M1509/N1509,""),"")</f>
        <v/>
      </c>
      <c r="V1509" s="10">
        <f>IF(AND(ISNUMBER(M1509),ISNUMBER(O1509)),IF(O1509&gt;0,M1509/O1509,""),"")</f>
        <v/>
      </c>
      <c r="W1509" s="10">
        <f>IF(AND(ISNUMBER(M1509),ISNUMBER(R1509)),IF(R1509&gt;0,M1509/R1509,""),"")</f>
        <v/>
      </c>
      <c r="X1509" s="10">
        <f>IF(AND(ISNUMBER(Q1509),ISNUMBER(M1509)),IF(M1509&gt;0,Q1509/M1509,""),"")</f>
        <v/>
      </c>
      <c r="Y1509" s="11">
        <f>IF(ISNUMBER(Z1509),YEAR(Z1509),"")</f>
        <v/>
      </c>
      <c r="Z1509" s="12" t="n"/>
      <c r="AA1509" s="12" t="n"/>
      <c r="AI1509" s="12" t="n"/>
      <c r="AJ1509" s="13">
        <f>IF(LEN(TRIM(AF1509))=0,"",HYPERLINK("https://www.google.com/maps/@?api=1&amp;map_action=pano&amp;viewpoint="&amp;SUBSTITUTE(AF1509," ",""),"Abrir Street View"))</f>
        <v/>
      </c>
    </row>
    <row r="1510">
      <c r="H1510" s="6" t="n"/>
      <c r="I1510" s="6" t="n"/>
      <c r="M1510" s="7" t="n"/>
      <c r="N1510" s="7" t="n"/>
      <c r="O1510" s="7" t="n"/>
      <c r="Q1510" s="7" t="n"/>
      <c r="R1510" s="7" t="n"/>
      <c r="S1510" s="8">
        <f>IF(NOT(ISNUMBER(M1510)),"",IF(G1510="Terreno",IF(AND(ISNUMBER(I1510),I1510&gt;0),M1510/I1510,""),IF(AND(ISNUMBER(H1510),H1510&gt;0),M1510/H1510,"")))</f>
        <v/>
      </c>
      <c r="T1510" s="9">
        <f>IF(AND(ISNUMBER(M1510),ISNUMBER(O1510)),IF(M1510&lt;=O1510,"Valor ≤ venal IPTU",""),"")</f>
        <v/>
      </c>
      <c r="U1510" s="10">
        <f>IF(AND(ISNUMBER(M1510),ISNUMBER(N1510)),IF(N1510&gt;0,M1510/N1510,""),"")</f>
        <v/>
      </c>
      <c r="V1510" s="10">
        <f>IF(AND(ISNUMBER(M1510),ISNUMBER(O1510)),IF(O1510&gt;0,M1510/O1510,""),"")</f>
        <v/>
      </c>
      <c r="W1510" s="10">
        <f>IF(AND(ISNUMBER(M1510),ISNUMBER(R1510)),IF(R1510&gt;0,M1510/R1510,""),"")</f>
        <v/>
      </c>
      <c r="X1510" s="10">
        <f>IF(AND(ISNUMBER(Q1510),ISNUMBER(M1510)),IF(M1510&gt;0,Q1510/M1510,""),"")</f>
        <v/>
      </c>
      <c r="Y1510" s="11">
        <f>IF(ISNUMBER(Z1510),YEAR(Z1510),"")</f>
        <v/>
      </c>
      <c r="Z1510" s="12" t="n"/>
      <c r="AA1510" s="12" t="n"/>
      <c r="AI1510" s="12" t="n"/>
      <c r="AJ1510" s="13">
        <f>IF(LEN(TRIM(AF1510))=0,"",HYPERLINK("https://www.google.com/maps/@?api=1&amp;map_action=pano&amp;viewpoint="&amp;SUBSTITUTE(AF1510," ",""),"Abrir Street View"))</f>
        <v/>
      </c>
    </row>
    <row r="1511">
      <c r="H1511" s="6" t="n"/>
      <c r="I1511" s="6" t="n"/>
      <c r="M1511" s="7" t="n"/>
      <c r="N1511" s="7" t="n"/>
      <c r="O1511" s="7" t="n"/>
      <c r="Q1511" s="7" t="n"/>
      <c r="R1511" s="7" t="n"/>
      <c r="S1511" s="8">
        <f>IF(NOT(ISNUMBER(M1511)),"",IF(G1511="Terreno",IF(AND(ISNUMBER(I1511),I1511&gt;0),M1511/I1511,""),IF(AND(ISNUMBER(H1511),H1511&gt;0),M1511/H1511,"")))</f>
        <v/>
      </c>
      <c r="T1511" s="9">
        <f>IF(AND(ISNUMBER(M1511),ISNUMBER(O1511)),IF(M1511&lt;=O1511,"Valor ≤ venal IPTU",""),"")</f>
        <v/>
      </c>
      <c r="U1511" s="10">
        <f>IF(AND(ISNUMBER(M1511),ISNUMBER(N1511)),IF(N1511&gt;0,M1511/N1511,""),"")</f>
        <v/>
      </c>
      <c r="V1511" s="10">
        <f>IF(AND(ISNUMBER(M1511),ISNUMBER(O1511)),IF(O1511&gt;0,M1511/O1511,""),"")</f>
        <v/>
      </c>
      <c r="W1511" s="10">
        <f>IF(AND(ISNUMBER(M1511),ISNUMBER(R1511)),IF(R1511&gt;0,M1511/R1511,""),"")</f>
        <v/>
      </c>
      <c r="X1511" s="10">
        <f>IF(AND(ISNUMBER(Q1511),ISNUMBER(M1511)),IF(M1511&gt;0,Q1511/M1511,""),"")</f>
        <v/>
      </c>
      <c r="Y1511" s="11">
        <f>IF(ISNUMBER(Z1511),YEAR(Z1511),"")</f>
        <v/>
      </c>
      <c r="Z1511" s="12" t="n"/>
      <c r="AA1511" s="12" t="n"/>
      <c r="AI1511" s="12" t="n"/>
      <c r="AJ1511" s="13">
        <f>IF(LEN(TRIM(AF1511))=0,"",HYPERLINK("https://www.google.com/maps/@?api=1&amp;map_action=pano&amp;viewpoint="&amp;SUBSTITUTE(AF1511," ",""),"Abrir Street View"))</f>
        <v/>
      </c>
    </row>
    <row r="1512">
      <c r="H1512" s="6" t="n"/>
      <c r="I1512" s="6" t="n"/>
      <c r="M1512" s="7" t="n"/>
      <c r="N1512" s="7" t="n"/>
      <c r="O1512" s="7" t="n"/>
      <c r="Q1512" s="7" t="n"/>
      <c r="R1512" s="7" t="n"/>
      <c r="S1512" s="8">
        <f>IF(NOT(ISNUMBER(M1512)),"",IF(G1512="Terreno",IF(AND(ISNUMBER(I1512),I1512&gt;0),M1512/I1512,""),IF(AND(ISNUMBER(H1512),H1512&gt;0),M1512/H1512,"")))</f>
        <v/>
      </c>
      <c r="T1512" s="9">
        <f>IF(AND(ISNUMBER(M1512),ISNUMBER(O1512)),IF(M1512&lt;=O1512,"Valor ≤ venal IPTU",""),"")</f>
        <v/>
      </c>
      <c r="U1512" s="10">
        <f>IF(AND(ISNUMBER(M1512),ISNUMBER(N1512)),IF(N1512&gt;0,M1512/N1512,""),"")</f>
        <v/>
      </c>
      <c r="V1512" s="10">
        <f>IF(AND(ISNUMBER(M1512),ISNUMBER(O1512)),IF(O1512&gt;0,M1512/O1512,""),"")</f>
        <v/>
      </c>
      <c r="W1512" s="10">
        <f>IF(AND(ISNUMBER(M1512),ISNUMBER(R1512)),IF(R1512&gt;0,M1512/R1512,""),"")</f>
        <v/>
      </c>
      <c r="X1512" s="10">
        <f>IF(AND(ISNUMBER(Q1512),ISNUMBER(M1512)),IF(M1512&gt;0,Q1512/M1512,""),"")</f>
        <v/>
      </c>
      <c r="Y1512" s="11">
        <f>IF(ISNUMBER(Z1512),YEAR(Z1512),"")</f>
        <v/>
      </c>
      <c r="Z1512" s="12" t="n"/>
      <c r="AA1512" s="12" t="n"/>
      <c r="AI1512" s="12" t="n"/>
      <c r="AJ1512" s="13">
        <f>IF(LEN(TRIM(AF1512))=0,"",HYPERLINK("https://www.google.com/maps/@?api=1&amp;map_action=pano&amp;viewpoint="&amp;SUBSTITUTE(AF1512," ",""),"Abrir Street View"))</f>
        <v/>
      </c>
    </row>
    <row r="1513">
      <c r="H1513" s="6" t="n"/>
      <c r="I1513" s="6" t="n"/>
      <c r="M1513" s="7" t="n"/>
      <c r="N1513" s="7" t="n"/>
      <c r="O1513" s="7" t="n"/>
      <c r="Q1513" s="7" t="n"/>
      <c r="R1513" s="7" t="n"/>
      <c r="S1513" s="8">
        <f>IF(NOT(ISNUMBER(M1513)),"",IF(G1513="Terreno",IF(AND(ISNUMBER(I1513),I1513&gt;0),M1513/I1513,""),IF(AND(ISNUMBER(H1513),H1513&gt;0),M1513/H1513,"")))</f>
        <v/>
      </c>
      <c r="T1513" s="9">
        <f>IF(AND(ISNUMBER(M1513),ISNUMBER(O1513)),IF(M1513&lt;=O1513,"Valor ≤ venal IPTU",""),"")</f>
        <v/>
      </c>
      <c r="U1513" s="10">
        <f>IF(AND(ISNUMBER(M1513),ISNUMBER(N1513)),IF(N1513&gt;0,M1513/N1513,""),"")</f>
        <v/>
      </c>
      <c r="V1513" s="10">
        <f>IF(AND(ISNUMBER(M1513),ISNUMBER(O1513)),IF(O1513&gt;0,M1513/O1513,""),"")</f>
        <v/>
      </c>
      <c r="W1513" s="10">
        <f>IF(AND(ISNUMBER(M1513),ISNUMBER(R1513)),IF(R1513&gt;0,M1513/R1513,""),"")</f>
        <v/>
      </c>
      <c r="X1513" s="10">
        <f>IF(AND(ISNUMBER(Q1513),ISNUMBER(M1513)),IF(M1513&gt;0,Q1513/M1513,""),"")</f>
        <v/>
      </c>
      <c r="Y1513" s="11">
        <f>IF(ISNUMBER(Z1513),YEAR(Z1513),"")</f>
        <v/>
      </c>
      <c r="Z1513" s="12" t="n"/>
      <c r="AA1513" s="12" t="n"/>
      <c r="AI1513" s="12" t="n"/>
      <c r="AJ1513" s="13">
        <f>IF(LEN(TRIM(AF1513))=0,"",HYPERLINK("https://www.google.com/maps/@?api=1&amp;map_action=pano&amp;viewpoint="&amp;SUBSTITUTE(AF1513," ",""),"Abrir Street View"))</f>
        <v/>
      </c>
    </row>
    <row r="1514">
      <c r="H1514" s="6" t="n"/>
      <c r="I1514" s="6" t="n"/>
      <c r="M1514" s="7" t="n"/>
      <c r="N1514" s="7" t="n"/>
      <c r="O1514" s="7" t="n"/>
      <c r="Q1514" s="7" t="n"/>
      <c r="R1514" s="7" t="n"/>
      <c r="S1514" s="8">
        <f>IF(NOT(ISNUMBER(M1514)),"",IF(G1514="Terreno",IF(AND(ISNUMBER(I1514),I1514&gt;0),M1514/I1514,""),IF(AND(ISNUMBER(H1514),H1514&gt;0),M1514/H1514,"")))</f>
        <v/>
      </c>
      <c r="T1514" s="9">
        <f>IF(AND(ISNUMBER(M1514),ISNUMBER(O1514)),IF(M1514&lt;=O1514,"Valor ≤ venal IPTU",""),"")</f>
        <v/>
      </c>
      <c r="U1514" s="10">
        <f>IF(AND(ISNUMBER(M1514),ISNUMBER(N1514)),IF(N1514&gt;0,M1514/N1514,""),"")</f>
        <v/>
      </c>
      <c r="V1514" s="10">
        <f>IF(AND(ISNUMBER(M1514),ISNUMBER(O1514)),IF(O1514&gt;0,M1514/O1514,""),"")</f>
        <v/>
      </c>
      <c r="W1514" s="10">
        <f>IF(AND(ISNUMBER(M1514),ISNUMBER(R1514)),IF(R1514&gt;0,M1514/R1514,""),"")</f>
        <v/>
      </c>
      <c r="X1514" s="10">
        <f>IF(AND(ISNUMBER(Q1514),ISNUMBER(M1514)),IF(M1514&gt;0,Q1514/M1514,""),"")</f>
        <v/>
      </c>
      <c r="Y1514" s="11">
        <f>IF(ISNUMBER(Z1514),YEAR(Z1514),"")</f>
        <v/>
      </c>
      <c r="Z1514" s="12" t="n"/>
      <c r="AA1514" s="12" t="n"/>
      <c r="AI1514" s="12" t="n"/>
      <c r="AJ1514" s="13">
        <f>IF(LEN(TRIM(AF1514))=0,"",HYPERLINK("https://www.google.com/maps/@?api=1&amp;map_action=pano&amp;viewpoint="&amp;SUBSTITUTE(AF1514," ",""),"Abrir Street View"))</f>
        <v/>
      </c>
    </row>
    <row r="1515">
      <c r="H1515" s="6" t="n"/>
      <c r="I1515" s="6" t="n"/>
      <c r="M1515" s="7" t="n"/>
      <c r="N1515" s="7" t="n"/>
      <c r="O1515" s="7" t="n"/>
      <c r="Q1515" s="7" t="n"/>
      <c r="R1515" s="7" t="n"/>
      <c r="S1515" s="8">
        <f>IF(NOT(ISNUMBER(M1515)),"",IF(G1515="Terreno",IF(AND(ISNUMBER(I1515),I1515&gt;0),M1515/I1515,""),IF(AND(ISNUMBER(H1515),H1515&gt;0),M1515/H1515,"")))</f>
        <v/>
      </c>
      <c r="T1515" s="9">
        <f>IF(AND(ISNUMBER(M1515),ISNUMBER(O1515)),IF(M1515&lt;=O1515,"Valor ≤ venal IPTU",""),"")</f>
        <v/>
      </c>
      <c r="U1515" s="10">
        <f>IF(AND(ISNUMBER(M1515),ISNUMBER(N1515)),IF(N1515&gt;0,M1515/N1515,""),"")</f>
        <v/>
      </c>
      <c r="V1515" s="10">
        <f>IF(AND(ISNUMBER(M1515),ISNUMBER(O1515)),IF(O1515&gt;0,M1515/O1515,""),"")</f>
        <v/>
      </c>
      <c r="W1515" s="10">
        <f>IF(AND(ISNUMBER(M1515),ISNUMBER(R1515)),IF(R1515&gt;0,M1515/R1515,""),"")</f>
        <v/>
      </c>
      <c r="X1515" s="10">
        <f>IF(AND(ISNUMBER(Q1515),ISNUMBER(M1515)),IF(M1515&gt;0,Q1515/M1515,""),"")</f>
        <v/>
      </c>
      <c r="Y1515" s="11">
        <f>IF(ISNUMBER(Z1515),YEAR(Z1515),"")</f>
        <v/>
      </c>
      <c r="Z1515" s="12" t="n"/>
      <c r="AA1515" s="12" t="n"/>
      <c r="AI1515" s="12" t="n"/>
      <c r="AJ1515" s="13">
        <f>IF(LEN(TRIM(AF1515))=0,"",HYPERLINK("https://www.google.com/maps/@?api=1&amp;map_action=pano&amp;viewpoint="&amp;SUBSTITUTE(AF1515," ",""),"Abrir Street View"))</f>
        <v/>
      </c>
    </row>
    <row r="1516">
      <c r="H1516" s="6" t="n"/>
      <c r="I1516" s="6" t="n"/>
      <c r="M1516" s="7" t="n"/>
      <c r="N1516" s="7" t="n"/>
      <c r="O1516" s="7" t="n"/>
      <c r="Q1516" s="7" t="n"/>
      <c r="R1516" s="7" t="n"/>
      <c r="S1516" s="8">
        <f>IF(NOT(ISNUMBER(M1516)),"",IF(G1516="Terreno",IF(AND(ISNUMBER(I1516),I1516&gt;0),M1516/I1516,""),IF(AND(ISNUMBER(H1516),H1516&gt;0),M1516/H1516,"")))</f>
        <v/>
      </c>
      <c r="T1516" s="9">
        <f>IF(AND(ISNUMBER(M1516),ISNUMBER(O1516)),IF(M1516&lt;=O1516,"Valor ≤ venal IPTU",""),"")</f>
        <v/>
      </c>
      <c r="U1516" s="10">
        <f>IF(AND(ISNUMBER(M1516),ISNUMBER(N1516)),IF(N1516&gt;0,M1516/N1516,""),"")</f>
        <v/>
      </c>
      <c r="V1516" s="10">
        <f>IF(AND(ISNUMBER(M1516),ISNUMBER(O1516)),IF(O1516&gt;0,M1516/O1516,""),"")</f>
        <v/>
      </c>
      <c r="W1516" s="10">
        <f>IF(AND(ISNUMBER(M1516),ISNUMBER(R1516)),IF(R1516&gt;0,M1516/R1516,""),"")</f>
        <v/>
      </c>
      <c r="X1516" s="10">
        <f>IF(AND(ISNUMBER(Q1516),ISNUMBER(M1516)),IF(M1516&gt;0,Q1516/M1516,""),"")</f>
        <v/>
      </c>
      <c r="Y1516" s="11">
        <f>IF(ISNUMBER(Z1516),YEAR(Z1516),"")</f>
        <v/>
      </c>
      <c r="Z1516" s="12" t="n"/>
      <c r="AA1516" s="12" t="n"/>
      <c r="AI1516" s="12" t="n"/>
      <c r="AJ1516" s="13">
        <f>IF(LEN(TRIM(AF1516))=0,"",HYPERLINK("https://www.google.com/maps/@?api=1&amp;map_action=pano&amp;viewpoint="&amp;SUBSTITUTE(AF1516," ",""),"Abrir Street View"))</f>
        <v/>
      </c>
    </row>
    <row r="1517">
      <c r="H1517" s="6" t="n"/>
      <c r="I1517" s="6" t="n"/>
      <c r="M1517" s="7" t="n"/>
      <c r="N1517" s="7" t="n"/>
      <c r="O1517" s="7" t="n"/>
      <c r="Q1517" s="7" t="n"/>
      <c r="R1517" s="7" t="n"/>
      <c r="S1517" s="8">
        <f>IF(NOT(ISNUMBER(M1517)),"",IF(G1517="Terreno",IF(AND(ISNUMBER(I1517),I1517&gt;0),M1517/I1517,""),IF(AND(ISNUMBER(H1517),H1517&gt;0),M1517/H1517,"")))</f>
        <v/>
      </c>
      <c r="T1517" s="9">
        <f>IF(AND(ISNUMBER(M1517),ISNUMBER(O1517)),IF(M1517&lt;=O1517,"Valor ≤ venal IPTU",""),"")</f>
        <v/>
      </c>
      <c r="U1517" s="10">
        <f>IF(AND(ISNUMBER(M1517),ISNUMBER(N1517)),IF(N1517&gt;0,M1517/N1517,""),"")</f>
        <v/>
      </c>
      <c r="V1517" s="10">
        <f>IF(AND(ISNUMBER(M1517),ISNUMBER(O1517)),IF(O1517&gt;0,M1517/O1517,""),"")</f>
        <v/>
      </c>
      <c r="W1517" s="10">
        <f>IF(AND(ISNUMBER(M1517),ISNUMBER(R1517)),IF(R1517&gt;0,M1517/R1517,""),"")</f>
        <v/>
      </c>
      <c r="X1517" s="10">
        <f>IF(AND(ISNUMBER(Q1517),ISNUMBER(M1517)),IF(M1517&gt;0,Q1517/M1517,""),"")</f>
        <v/>
      </c>
      <c r="Y1517" s="11">
        <f>IF(ISNUMBER(Z1517),YEAR(Z1517),"")</f>
        <v/>
      </c>
      <c r="Z1517" s="12" t="n"/>
      <c r="AA1517" s="12" t="n"/>
      <c r="AI1517" s="12" t="n"/>
      <c r="AJ1517" s="13">
        <f>IF(LEN(TRIM(AF1517))=0,"",HYPERLINK("https://www.google.com/maps/@?api=1&amp;map_action=pano&amp;viewpoint="&amp;SUBSTITUTE(AF1517," ",""),"Abrir Street View"))</f>
        <v/>
      </c>
    </row>
    <row r="1518">
      <c r="H1518" s="6" t="n"/>
      <c r="I1518" s="6" t="n"/>
      <c r="M1518" s="7" t="n"/>
      <c r="N1518" s="7" t="n"/>
      <c r="O1518" s="7" t="n"/>
      <c r="Q1518" s="7" t="n"/>
      <c r="R1518" s="7" t="n"/>
      <c r="S1518" s="8">
        <f>IF(NOT(ISNUMBER(M1518)),"",IF(G1518="Terreno",IF(AND(ISNUMBER(I1518),I1518&gt;0),M1518/I1518,""),IF(AND(ISNUMBER(H1518),H1518&gt;0),M1518/H1518,"")))</f>
        <v/>
      </c>
      <c r="T1518" s="9">
        <f>IF(AND(ISNUMBER(M1518),ISNUMBER(O1518)),IF(M1518&lt;=O1518,"Valor ≤ venal IPTU",""),"")</f>
        <v/>
      </c>
      <c r="U1518" s="10">
        <f>IF(AND(ISNUMBER(M1518),ISNUMBER(N1518)),IF(N1518&gt;0,M1518/N1518,""),"")</f>
        <v/>
      </c>
      <c r="V1518" s="10">
        <f>IF(AND(ISNUMBER(M1518),ISNUMBER(O1518)),IF(O1518&gt;0,M1518/O1518,""),"")</f>
        <v/>
      </c>
      <c r="W1518" s="10">
        <f>IF(AND(ISNUMBER(M1518),ISNUMBER(R1518)),IF(R1518&gt;0,M1518/R1518,""),"")</f>
        <v/>
      </c>
      <c r="X1518" s="10">
        <f>IF(AND(ISNUMBER(Q1518),ISNUMBER(M1518)),IF(M1518&gt;0,Q1518/M1518,""),"")</f>
        <v/>
      </c>
      <c r="Y1518" s="11">
        <f>IF(ISNUMBER(Z1518),YEAR(Z1518),"")</f>
        <v/>
      </c>
      <c r="Z1518" s="12" t="n"/>
      <c r="AA1518" s="12" t="n"/>
      <c r="AI1518" s="12" t="n"/>
      <c r="AJ1518" s="13">
        <f>IF(LEN(TRIM(AF1518))=0,"",HYPERLINK("https://www.google.com/maps/@?api=1&amp;map_action=pano&amp;viewpoint="&amp;SUBSTITUTE(AF1518," ",""),"Abrir Street View"))</f>
        <v/>
      </c>
    </row>
    <row r="1519">
      <c r="H1519" s="6" t="n"/>
      <c r="I1519" s="6" t="n"/>
      <c r="M1519" s="7" t="n"/>
      <c r="N1519" s="7" t="n"/>
      <c r="O1519" s="7" t="n"/>
      <c r="Q1519" s="7" t="n"/>
      <c r="R1519" s="7" t="n"/>
      <c r="S1519" s="8">
        <f>IF(NOT(ISNUMBER(M1519)),"",IF(G1519="Terreno",IF(AND(ISNUMBER(I1519),I1519&gt;0),M1519/I1519,""),IF(AND(ISNUMBER(H1519),H1519&gt;0),M1519/H1519,"")))</f>
        <v/>
      </c>
      <c r="T1519" s="9">
        <f>IF(AND(ISNUMBER(M1519),ISNUMBER(O1519)),IF(M1519&lt;=O1519,"Valor ≤ venal IPTU",""),"")</f>
        <v/>
      </c>
      <c r="U1519" s="10">
        <f>IF(AND(ISNUMBER(M1519),ISNUMBER(N1519)),IF(N1519&gt;0,M1519/N1519,""),"")</f>
        <v/>
      </c>
      <c r="V1519" s="10">
        <f>IF(AND(ISNUMBER(M1519),ISNUMBER(O1519)),IF(O1519&gt;0,M1519/O1519,""),"")</f>
        <v/>
      </c>
      <c r="W1519" s="10">
        <f>IF(AND(ISNUMBER(M1519),ISNUMBER(R1519)),IF(R1519&gt;0,M1519/R1519,""),"")</f>
        <v/>
      </c>
      <c r="X1519" s="10">
        <f>IF(AND(ISNUMBER(Q1519),ISNUMBER(M1519)),IF(M1519&gt;0,Q1519/M1519,""),"")</f>
        <v/>
      </c>
      <c r="Y1519" s="11">
        <f>IF(ISNUMBER(Z1519),YEAR(Z1519),"")</f>
        <v/>
      </c>
      <c r="Z1519" s="12" t="n"/>
      <c r="AA1519" s="12" t="n"/>
      <c r="AI1519" s="12" t="n"/>
      <c r="AJ1519" s="13">
        <f>IF(LEN(TRIM(AF1519))=0,"",HYPERLINK("https://www.google.com/maps/@?api=1&amp;map_action=pano&amp;viewpoint="&amp;SUBSTITUTE(AF1519," ",""),"Abrir Street View"))</f>
        <v/>
      </c>
    </row>
    <row r="1520">
      <c r="H1520" s="6" t="n"/>
      <c r="I1520" s="6" t="n"/>
      <c r="M1520" s="7" t="n"/>
      <c r="N1520" s="7" t="n"/>
      <c r="O1520" s="7" t="n"/>
      <c r="Q1520" s="7" t="n"/>
      <c r="R1520" s="7" t="n"/>
      <c r="S1520" s="8">
        <f>IF(NOT(ISNUMBER(M1520)),"",IF(G1520="Terreno",IF(AND(ISNUMBER(I1520),I1520&gt;0),M1520/I1520,""),IF(AND(ISNUMBER(H1520),H1520&gt;0),M1520/H1520,"")))</f>
        <v/>
      </c>
      <c r="T1520" s="9">
        <f>IF(AND(ISNUMBER(M1520),ISNUMBER(O1520)),IF(M1520&lt;=O1520,"Valor ≤ venal IPTU",""),"")</f>
        <v/>
      </c>
      <c r="U1520" s="10">
        <f>IF(AND(ISNUMBER(M1520),ISNUMBER(N1520)),IF(N1520&gt;0,M1520/N1520,""),"")</f>
        <v/>
      </c>
      <c r="V1520" s="10">
        <f>IF(AND(ISNUMBER(M1520),ISNUMBER(O1520)),IF(O1520&gt;0,M1520/O1520,""),"")</f>
        <v/>
      </c>
      <c r="W1520" s="10">
        <f>IF(AND(ISNUMBER(M1520),ISNUMBER(R1520)),IF(R1520&gt;0,M1520/R1520,""),"")</f>
        <v/>
      </c>
      <c r="X1520" s="10">
        <f>IF(AND(ISNUMBER(Q1520),ISNUMBER(M1520)),IF(M1520&gt;0,Q1520/M1520,""),"")</f>
        <v/>
      </c>
      <c r="Y1520" s="11">
        <f>IF(ISNUMBER(Z1520),YEAR(Z1520),"")</f>
        <v/>
      </c>
      <c r="Z1520" s="12" t="n"/>
      <c r="AA1520" s="12" t="n"/>
      <c r="AI1520" s="12" t="n"/>
      <c r="AJ1520" s="13">
        <f>IF(LEN(TRIM(AF1520))=0,"",HYPERLINK("https://www.google.com/maps/@?api=1&amp;map_action=pano&amp;viewpoint="&amp;SUBSTITUTE(AF1520," ",""),"Abrir Street View"))</f>
        <v/>
      </c>
    </row>
    <row r="1521">
      <c r="H1521" s="6" t="n"/>
      <c r="I1521" s="6" t="n"/>
      <c r="M1521" s="7" t="n"/>
      <c r="N1521" s="7" t="n"/>
      <c r="O1521" s="7" t="n"/>
      <c r="Q1521" s="7" t="n"/>
      <c r="R1521" s="7" t="n"/>
      <c r="S1521" s="8">
        <f>IF(NOT(ISNUMBER(M1521)),"",IF(G1521="Terreno",IF(AND(ISNUMBER(I1521),I1521&gt;0),M1521/I1521,""),IF(AND(ISNUMBER(H1521),H1521&gt;0),M1521/H1521,"")))</f>
        <v/>
      </c>
      <c r="T1521" s="9">
        <f>IF(AND(ISNUMBER(M1521),ISNUMBER(O1521)),IF(M1521&lt;=O1521,"Valor ≤ venal IPTU",""),"")</f>
        <v/>
      </c>
      <c r="U1521" s="10">
        <f>IF(AND(ISNUMBER(M1521),ISNUMBER(N1521)),IF(N1521&gt;0,M1521/N1521,""),"")</f>
        <v/>
      </c>
      <c r="V1521" s="10">
        <f>IF(AND(ISNUMBER(M1521),ISNUMBER(O1521)),IF(O1521&gt;0,M1521/O1521,""),"")</f>
        <v/>
      </c>
      <c r="W1521" s="10">
        <f>IF(AND(ISNUMBER(M1521),ISNUMBER(R1521)),IF(R1521&gt;0,M1521/R1521,""),"")</f>
        <v/>
      </c>
      <c r="X1521" s="10">
        <f>IF(AND(ISNUMBER(Q1521),ISNUMBER(M1521)),IF(M1521&gt;0,Q1521/M1521,""),"")</f>
        <v/>
      </c>
      <c r="Y1521" s="11">
        <f>IF(ISNUMBER(Z1521),YEAR(Z1521),"")</f>
        <v/>
      </c>
      <c r="Z1521" s="12" t="n"/>
      <c r="AA1521" s="12" t="n"/>
      <c r="AI1521" s="12" t="n"/>
      <c r="AJ1521" s="13">
        <f>IF(LEN(TRIM(AF1521))=0,"",HYPERLINK("https://www.google.com/maps/@?api=1&amp;map_action=pano&amp;viewpoint="&amp;SUBSTITUTE(AF1521," ",""),"Abrir Street View"))</f>
        <v/>
      </c>
    </row>
    <row r="1522">
      <c r="H1522" s="6" t="n"/>
      <c r="I1522" s="6" t="n"/>
      <c r="M1522" s="7" t="n"/>
      <c r="N1522" s="7" t="n"/>
      <c r="O1522" s="7" t="n"/>
      <c r="Q1522" s="7" t="n"/>
      <c r="R1522" s="7" t="n"/>
      <c r="S1522" s="8">
        <f>IF(NOT(ISNUMBER(M1522)),"",IF(G1522="Terreno",IF(AND(ISNUMBER(I1522),I1522&gt;0),M1522/I1522,""),IF(AND(ISNUMBER(H1522),H1522&gt;0),M1522/H1522,"")))</f>
        <v/>
      </c>
      <c r="T1522" s="9">
        <f>IF(AND(ISNUMBER(M1522),ISNUMBER(O1522)),IF(M1522&lt;=O1522,"Valor ≤ venal IPTU",""),"")</f>
        <v/>
      </c>
      <c r="U1522" s="10">
        <f>IF(AND(ISNUMBER(M1522),ISNUMBER(N1522)),IF(N1522&gt;0,M1522/N1522,""),"")</f>
        <v/>
      </c>
      <c r="V1522" s="10">
        <f>IF(AND(ISNUMBER(M1522),ISNUMBER(O1522)),IF(O1522&gt;0,M1522/O1522,""),"")</f>
        <v/>
      </c>
      <c r="W1522" s="10">
        <f>IF(AND(ISNUMBER(M1522),ISNUMBER(R1522)),IF(R1522&gt;0,M1522/R1522,""),"")</f>
        <v/>
      </c>
      <c r="X1522" s="10">
        <f>IF(AND(ISNUMBER(Q1522),ISNUMBER(M1522)),IF(M1522&gt;0,Q1522/M1522,""),"")</f>
        <v/>
      </c>
      <c r="Y1522" s="11">
        <f>IF(ISNUMBER(Z1522),YEAR(Z1522),"")</f>
        <v/>
      </c>
      <c r="Z1522" s="12" t="n"/>
      <c r="AA1522" s="12" t="n"/>
      <c r="AI1522" s="12" t="n"/>
      <c r="AJ1522" s="13">
        <f>IF(LEN(TRIM(AF1522))=0,"",HYPERLINK("https://www.google.com/maps/@?api=1&amp;map_action=pano&amp;viewpoint="&amp;SUBSTITUTE(AF1522," ",""),"Abrir Street View"))</f>
        <v/>
      </c>
    </row>
    <row r="1523">
      <c r="H1523" s="6" t="n"/>
      <c r="I1523" s="6" t="n"/>
      <c r="M1523" s="7" t="n"/>
      <c r="N1523" s="7" t="n"/>
      <c r="O1523" s="7" t="n"/>
      <c r="Q1523" s="7" t="n"/>
      <c r="R1523" s="7" t="n"/>
      <c r="S1523" s="8">
        <f>IF(NOT(ISNUMBER(M1523)),"",IF(G1523="Terreno",IF(AND(ISNUMBER(I1523),I1523&gt;0),M1523/I1523,""),IF(AND(ISNUMBER(H1523),H1523&gt;0),M1523/H1523,"")))</f>
        <v/>
      </c>
      <c r="T1523" s="9">
        <f>IF(AND(ISNUMBER(M1523),ISNUMBER(O1523)),IF(M1523&lt;=O1523,"Valor ≤ venal IPTU",""),"")</f>
        <v/>
      </c>
      <c r="U1523" s="10">
        <f>IF(AND(ISNUMBER(M1523),ISNUMBER(N1523)),IF(N1523&gt;0,M1523/N1523,""),"")</f>
        <v/>
      </c>
      <c r="V1523" s="10">
        <f>IF(AND(ISNUMBER(M1523),ISNUMBER(O1523)),IF(O1523&gt;0,M1523/O1523,""),"")</f>
        <v/>
      </c>
      <c r="W1523" s="10">
        <f>IF(AND(ISNUMBER(M1523),ISNUMBER(R1523)),IF(R1523&gt;0,M1523/R1523,""),"")</f>
        <v/>
      </c>
      <c r="X1523" s="10">
        <f>IF(AND(ISNUMBER(Q1523),ISNUMBER(M1523)),IF(M1523&gt;0,Q1523/M1523,""),"")</f>
        <v/>
      </c>
      <c r="Y1523" s="11">
        <f>IF(ISNUMBER(Z1523),YEAR(Z1523),"")</f>
        <v/>
      </c>
      <c r="Z1523" s="12" t="n"/>
      <c r="AA1523" s="12" t="n"/>
      <c r="AI1523" s="12" t="n"/>
      <c r="AJ1523" s="13">
        <f>IF(LEN(TRIM(AF1523))=0,"",HYPERLINK("https://www.google.com/maps/@?api=1&amp;map_action=pano&amp;viewpoint="&amp;SUBSTITUTE(AF1523," ",""),"Abrir Street View"))</f>
        <v/>
      </c>
    </row>
    <row r="1524">
      <c r="H1524" s="6" t="n"/>
      <c r="I1524" s="6" t="n"/>
      <c r="M1524" s="7" t="n"/>
      <c r="N1524" s="7" t="n"/>
      <c r="O1524" s="7" t="n"/>
      <c r="Q1524" s="7" t="n"/>
      <c r="R1524" s="7" t="n"/>
      <c r="S1524" s="8">
        <f>IF(NOT(ISNUMBER(M1524)),"",IF(G1524="Terreno",IF(AND(ISNUMBER(I1524),I1524&gt;0),M1524/I1524,""),IF(AND(ISNUMBER(H1524),H1524&gt;0),M1524/H1524,"")))</f>
        <v/>
      </c>
      <c r="T1524" s="9">
        <f>IF(AND(ISNUMBER(M1524),ISNUMBER(O1524)),IF(M1524&lt;=O1524,"Valor ≤ venal IPTU",""),"")</f>
        <v/>
      </c>
      <c r="U1524" s="10">
        <f>IF(AND(ISNUMBER(M1524),ISNUMBER(N1524)),IF(N1524&gt;0,M1524/N1524,""),"")</f>
        <v/>
      </c>
      <c r="V1524" s="10">
        <f>IF(AND(ISNUMBER(M1524),ISNUMBER(O1524)),IF(O1524&gt;0,M1524/O1524,""),"")</f>
        <v/>
      </c>
      <c r="W1524" s="10">
        <f>IF(AND(ISNUMBER(M1524),ISNUMBER(R1524)),IF(R1524&gt;0,M1524/R1524,""),"")</f>
        <v/>
      </c>
      <c r="X1524" s="10">
        <f>IF(AND(ISNUMBER(Q1524),ISNUMBER(M1524)),IF(M1524&gt;0,Q1524/M1524,""),"")</f>
        <v/>
      </c>
      <c r="Y1524" s="11">
        <f>IF(ISNUMBER(Z1524),YEAR(Z1524),"")</f>
        <v/>
      </c>
      <c r="Z1524" s="12" t="n"/>
      <c r="AA1524" s="12" t="n"/>
      <c r="AI1524" s="12" t="n"/>
      <c r="AJ1524" s="13">
        <f>IF(LEN(TRIM(AF1524))=0,"",HYPERLINK("https://www.google.com/maps/@?api=1&amp;map_action=pano&amp;viewpoint="&amp;SUBSTITUTE(AF1524," ",""),"Abrir Street View"))</f>
        <v/>
      </c>
    </row>
    <row r="1525">
      <c r="H1525" s="6" t="n"/>
      <c r="I1525" s="6" t="n"/>
      <c r="M1525" s="7" t="n"/>
      <c r="N1525" s="7" t="n"/>
      <c r="O1525" s="7" t="n"/>
      <c r="Q1525" s="7" t="n"/>
      <c r="R1525" s="7" t="n"/>
      <c r="S1525" s="8">
        <f>IF(NOT(ISNUMBER(M1525)),"",IF(G1525="Terreno",IF(AND(ISNUMBER(I1525),I1525&gt;0),M1525/I1525,""),IF(AND(ISNUMBER(H1525),H1525&gt;0),M1525/H1525,"")))</f>
        <v/>
      </c>
      <c r="T1525" s="9">
        <f>IF(AND(ISNUMBER(M1525),ISNUMBER(O1525)),IF(M1525&lt;=O1525,"Valor ≤ venal IPTU",""),"")</f>
        <v/>
      </c>
      <c r="U1525" s="10">
        <f>IF(AND(ISNUMBER(M1525),ISNUMBER(N1525)),IF(N1525&gt;0,M1525/N1525,""),"")</f>
        <v/>
      </c>
      <c r="V1525" s="10">
        <f>IF(AND(ISNUMBER(M1525),ISNUMBER(O1525)),IF(O1525&gt;0,M1525/O1525,""),"")</f>
        <v/>
      </c>
      <c r="W1525" s="10">
        <f>IF(AND(ISNUMBER(M1525),ISNUMBER(R1525)),IF(R1525&gt;0,M1525/R1525,""),"")</f>
        <v/>
      </c>
      <c r="X1525" s="10">
        <f>IF(AND(ISNUMBER(Q1525),ISNUMBER(M1525)),IF(M1525&gt;0,Q1525/M1525,""),"")</f>
        <v/>
      </c>
      <c r="Y1525" s="11">
        <f>IF(ISNUMBER(Z1525),YEAR(Z1525),"")</f>
        <v/>
      </c>
      <c r="Z1525" s="12" t="n"/>
      <c r="AA1525" s="12" t="n"/>
      <c r="AI1525" s="12" t="n"/>
      <c r="AJ1525" s="13">
        <f>IF(LEN(TRIM(AF1525))=0,"",HYPERLINK("https://www.google.com/maps/@?api=1&amp;map_action=pano&amp;viewpoint="&amp;SUBSTITUTE(AF1525," ",""),"Abrir Street View"))</f>
        <v/>
      </c>
    </row>
    <row r="1526">
      <c r="H1526" s="6" t="n"/>
      <c r="I1526" s="6" t="n"/>
      <c r="M1526" s="7" t="n"/>
      <c r="N1526" s="7" t="n"/>
      <c r="O1526" s="7" t="n"/>
      <c r="Q1526" s="7" t="n"/>
      <c r="R1526" s="7" t="n"/>
      <c r="S1526" s="8">
        <f>IF(NOT(ISNUMBER(M1526)),"",IF(G1526="Terreno",IF(AND(ISNUMBER(I1526),I1526&gt;0),M1526/I1526,""),IF(AND(ISNUMBER(H1526),H1526&gt;0),M1526/H1526,"")))</f>
        <v/>
      </c>
      <c r="T1526" s="9">
        <f>IF(AND(ISNUMBER(M1526),ISNUMBER(O1526)),IF(M1526&lt;=O1526,"Valor ≤ venal IPTU",""),"")</f>
        <v/>
      </c>
      <c r="U1526" s="10">
        <f>IF(AND(ISNUMBER(M1526),ISNUMBER(N1526)),IF(N1526&gt;0,M1526/N1526,""),"")</f>
        <v/>
      </c>
      <c r="V1526" s="10">
        <f>IF(AND(ISNUMBER(M1526),ISNUMBER(O1526)),IF(O1526&gt;0,M1526/O1526,""),"")</f>
        <v/>
      </c>
      <c r="W1526" s="10">
        <f>IF(AND(ISNUMBER(M1526),ISNUMBER(R1526)),IF(R1526&gt;0,M1526/R1526,""),"")</f>
        <v/>
      </c>
      <c r="X1526" s="10">
        <f>IF(AND(ISNUMBER(Q1526),ISNUMBER(M1526)),IF(M1526&gt;0,Q1526/M1526,""),"")</f>
        <v/>
      </c>
      <c r="Y1526" s="11">
        <f>IF(ISNUMBER(Z1526),YEAR(Z1526),"")</f>
        <v/>
      </c>
      <c r="Z1526" s="12" t="n"/>
      <c r="AA1526" s="12" t="n"/>
      <c r="AI1526" s="12" t="n"/>
      <c r="AJ1526" s="13">
        <f>IF(LEN(TRIM(AF1526))=0,"",HYPERLINK("https://www.google.com/maps/@?api=1&amp;map_action=pano&amp;viewpoint="&amp;SUBSTITUTE(AF1526," ",""),"Abrir Street View"))</f>
        <v/>
      </c>
    </row>
    <row r="1527">
      <c r="H1527" s="6" t="n"/>
      <c r="I1527" s="6" t="n"/>
      <c r="M1527" s="7" t="n"/>
      <c r="N1527" s="7" t="n"/>
      <c r="O1527" s="7" t="n"/>
      <c r="Q1527" s="7" t="n"/>
      <c r="R1527" s="7" t="n"/>
      <c r="S1527" s="8">
        <f>IF(NOT(ISNUMBER(M1527)),"",IF(G1527="Terreno",IF(AND(ISNUMBER(I1527),I1527&gt;0),M1527/I1527,""),IF(AND(ISNUMBER(H1527),H1527&gt;0),M1527/H1527,"")))</f>
        <v/>
      </c>
      <c r="T1527" s="9">
        <f>IF(AND(ISNUMBER(M1527),ISNUMBER(O1527)),IF(M1527&lt;=O1527,"Valor ≤ venal IPTU",""),"")</f>
        <v/>
      </c>
      <c r="U1527" s="10">
        <f>IF(AND(ISNUMBER(M1527),ISNUMBER(N1527)),IF(N1527&gt;0,M1527/N1527,""),"")</f>
        <v/>
      </c>
      <c r="V1527" s="10">
        <f>IF(AND(ISNUMBER(M1527),ISNUMBER(O1527)),IF(O1527&gt;0,M1527/O1527,""),"")</f>
        <v/>
      </c>
      <c r="W1527" s="10">
        <f>IF(AND(ISNUMBER(M1527),ISNUMBER(R1527)),IF(R1527&gt;0,M1527/R1527,""),"")</f>
        <v/>
      </c>
      <c r="X1527" s="10">
        <f>IF(AND(ISNUMBER(Q1527),ISNUMBER(M1527)),IF(M1527&gt;0,Q1527/M1527,""),"")</f>
        <v/>
      </c>
      <c r="Y1527" s="11">
        <f>IF(ISNUMBER(Z1527),YEAR(Z1527),"")</f>
        <v/>
      </c>
      <c r="Z1527" s="12" t="n"/>
      <c r="AA1527" s="12" t="n"/>
      <c r="AI1527" s="12" t="n"/>
      <c r="AJ1527" s="13">
        <f>IF(LEN(TRIM(AF1527))=0,"",HYPERLINK("https://www.google.com/maps/@?api=1&amp;map_action=pano&amp;viewpoint="&amp;SUBSTITUTE(AF1527," ",""),"Abrir Street View"))</f>
        <v/>
      </c>
    </row>
    <row r="1528">
      <c r="H1528" s="6" t="n"/>
      <c r="I1528" s="6" t="n"/>
      <c r="M1528" s="7" t="n"/>
      <c r="N1528" s="7" t="n"/>
      <c r="O1528" s="7" t="n"/>
      <c r="Q1528" s="7" t="n"/>
      <c r="R1528" s="7" t="n"/>
      <c r="S1528" s="8">
        <f>IF(NOT(ISNUMBER(M1528)),"",IF(G1528="Terreno",IF(AND(ISNUMBER(I1528),I1528&gt;0),M1528/I1528,""),IF(AND(ISNUMBER(H1528),H1528&gt;0),M1528/H1528,"")))</f>
        <v/>
      </c>
      <c r="T1528" s="9">
        <f>IF(AND(ISNUMBER(M1528),ISNUMBER(O1528)),IF(M1528&lt;=O1528,"Valor ≤ venal IPTU",""),"")</f>
        <v/>
      </c>
      <c r="U1528" s="10">
        <f>IF(AND(ISNUMBER(M1528),ISNUMBER(N1528)),IF(N1528&gt;0,M1528/N1528,""),"")</f>
        <v/>
      </c>
      <c r="V1528" s="10">
        <f>IF(AND(ISNUMBER(M1528),ISNUMBER(O1528)),IF(O1528&gt;0,M1528/O1528,""),"")</f>
        <v/>
      </c>
      <c r="W1528" s="10">
        <f>IF(AND(ISNUMBER(M1528),ISNUMBER(R1528)),IF(R1528&gt;0,M1528/R1528,""),"")</f>
        <v/>
      </c>
      <c r="X1528" s="10">
        <f>IF(AND(ISNUMBER(Q1528),ISNUMBER(M1528)),IF(M1528&gt;0,Q1528/M1528,""),"")</f>
        <v/>
      </c>
      <c r="Y1528" s="11">
        <f>IF(ISNUMBER(Z1528),YEAR(Z1528),"")</f>
        <v/>
      </c>
      <c r="Z1528" s="12" t="n"/>
      <c r="AA1528" s="12" t="n"/>
      <c r="AI1528" s="12" t="n"/>
      <c r="AJ1528" s="13">
        <f>IF(LEN(TRIM(AF1528))=0,"",HYPERLINK("https://www.google.com/maps/@?api=1&amp;map_action=pano&amp;viewpoint="&amp;SUBSTITUTE(AF1528," ",""),"Abrir Street View"))</f>
        <v/>
      </c>
    </row>
    <row r="1529">
      <c r="H1529" s="6" t="n"/>
      <c r="I1529" s="6" t="n"/>
      <c r="M1529" s="7" t="n"/>
      <c r="N1529" s="7" t="n"/>
      <c r="O1529" s="7" t="n"/>
      <c r="Q1529" s="7" t="n"/>
      <c r="R1529" s="7" t="n"/>
      <c r="S1529" s="8">
        <f>IF(NOT(ISNUMBER(M1529)),"",IF(G1529="Terreno",IF(AND(ISNUMBER(I1529),I1529&gt;0),M1529/I1529,""),IF(AND(ISNUMBER(H1529),H1529&gt;0),M1529/H1529,"")))</f>
        <v/>
      </c>
      <c r="T1529" s="9">
        <f>IF(AND(ISNUMBER(M1529),ISNUMBER(O1529)),IF(M1529&lt;=O1529,"Valor ≤ venal IPTU",""),"")</f>
        <v/>
      </c>
      <c r="U1529" s="10">
        <f>IF(AND(ISNUMBER(M1529),ISNUMBER(N1529)),IF(N1529&gt;0,M1529/N1529,""),"")</f>
        <v/>
      </c>
      <c r="V1529" s="10">
        <f>IF(AND(ISNUMBER(M1529),ISNUMBER(O1529)),IF(O1529&gt;0,M1529/O1529,""),"")</f>
        <v/>
      </c>
      <c r="W1529" s="10">
        <f>IF(AND(ISNUMBER(M1529),ISNUMBER(R1529)),IF(R1529&gt;0,M1529/R1529,""),"")</f>
        <v/>
      </c>
      <c r="X1529" s="10">
        <f>IF(AND(ISNUMBER(Q1529),ISNUMBER(M1529)),IF(M1529&gt;0,Q1529/M1529,""),"")</f>
        <v/>
      </c>
      <c r="Y1529" s="11">
        <f>IF(ISNUMBER(Z1529),YEAR(Z1529),"")</f>
        <v/>
      </c>
      <c r="Z1529" s="12" t="n"/>
      <c r="AA1529" s="12" t="n"/>
      <c r="AI1529" s="12" t="n"/>
      <c r="AJ1529" s="13">
        <f>IF(LEN(TRIM(AF1529))=0,"",HYPERLINK("https://www.google.com/maps/@?api=1&amp;map_action=pano&amp;viewpoint="&amp;SUBSTITUTE(AF1529," ",""),"Abrir Street View"))</f>
        <v/>
      </c>
    </row>
    <row r="1530">
      <c r="H1530" s="6" t="n"/>
      <c r="I1530" s="6" t="n"/>
      <c r="M1530" s="7" t="n"/>
      <c r="N1530" s="7" t="n"/>
      <c r="O1530" s="7" t="n"/>
      <c r="Q1530" s="7" t="n"/>
      <c r="R1530" s="7" t="n"/>
      <c r="S1530" s="8">
        <f>IF(NOT(ISNUMBER(M1530)),"",IF(G1530="Terreno",IF(AND(ISNUMBER(I1530),I1530&gt;0),M1530/I1530,""),IF(AND(ISNUMBER(H1530),H1530&gt;0),M1530/H1530,"")))</f>
        <v/>
      </c>
      <c r="T1530" s="9">
        <f>IF(AND(ISNUMBER(M1530),ISNUMBER(O1530)),IF(M1530&lt;=O1530,"Valor ≤ venal IPTU",""),"")</f>
        <v/>
      </c>
      <c r="U1530" s="10">
        <f>IF(AND(ISNUMBER(M1530),ISNUMBER(N1530)),IF(N1530&gt;0,M1530/N1530,""),"")</f>
        <v/>
      </c>
      <c r="V1530" s="10">
        <f>IF(AND(ISNUMBER(M1530),ISNUMBER(O1530)),IF(O1530&gt;0,M1530/O1530,""),"")</f>
        <v/>
      </c>
      <c r="W1530" s="10">
        <f>IF(AND(ISNUMBER(M1530),ISNUMBER(R1530)),IF(R1530&gt;0,M1530/R1530,""),"")</f>
        <v/>
      </c>
      <c r="X1530" s="10">
        <f>IF(AND(ISNUMBER(Q1530),ISNUMBER(M1530)),IF(M1530&gt;0,Q1530/M1530,""),"")</f>
        <v/>
      </c>
      <c r="Y1530" s="11">
        <f>IF(ISNUMBER(Z1530),YEAR(Z1530),"")</f>
        <v/>
      </c>
      <c r="Z1530" s="12" t="n"/>
      <c r="AA1530" s="12" t="n"/>
      <c r="AI1530" s="12" t="n"/>
      <c r="AJ1530" s="13">
        <f>IF(LEN(TRIM(AF1530))=0,"",HYPERLINK("https://www.google.com/maps/@?api=1&amp;map_action=pano&amp;viewpoint="&amp;SUBSTITUTE(AF1530," ",""),"Abrir Street View"))</f>
        <v/>
      </c>
    </row>
    <row r="1531">
      <c r="H1531" s="6" t="n"/>
      <c r="I1531" s="6" t="n"/>
      <c r="M1531" s="7" t="n"/>
      <c r="N1531" s="7" t="n"/>
      <c r="O1531" s="7" t="n"/>
      <c r="Q1531" s="7" t="n"/>
      <c r="R1531" s="7" t="n"/>
      <c r="S1531" s="8">
        <f>IF(NOT(ISNUMBER(M1531)),"",IF(G1531="Terreno",IF(AND(ISNUMBER(I1531),I1531&gt;0),M1531/I1531,""),IF(AND(ISNUMBER(H1531),H1531&gt;0),M1531/H1531,"")))</f>
        <v/>
      </c>
      <c r="T1531" s="9">
        <f>IF(AND(ISNUMBER(M1531),ISNUMBER(O1531)),IF(M1531&lt;=O1531,"Valor ≤ venal IPTU",""),"")</f>
        <v/>
      </c>
      <c r="U1531" s="10">
        <f>IF(AND(ISNUMBER(M1531),ISNUMBER(N1531)),IF(N1531&gt;0,M1531/N1531,""),"")</f>
        <v/>
      </c>
      <c r="V1531" s="10">
        <f>IF(AND(ISNUMBER(M1531),ISNUMBER(O1531)),IF(O1531&gt;0,M1531/O1531,""),"")</f>
        <v/>
      </c>
      <c r="W1531" s="10">
        <f>IF(AND(ISNUMBER(M1531),ISNUMBER(R1531)),IF(R1531&gt;0,M1531/R1531,""),"")</f>
        <v/>
      </c>
      <c r="X1531" s="10">
        <f>IF(AND(ISNUMBER(Q1531),ISNUMBER(M1531)),IF(M1531&gt;0,Q1531/M1531,""),"")</f>
        <v/>
      </c>
      <c r="Y1531" s="11">
        <f>IF(ISNUMBER(Z1531),YEAR(Z1531),"")</f>
        <v/>
      </c>
      <c r="Z1531" s="12" t="n"/>
      <c r="AA1531" s="12" t="n"/>
      <c r="AI1531" s="12" t="n"/>
      <c r="AJ1531" s="13">
        <f>IF(LEN(TRIM(AF1531))=0,"",HYPERLINK("https://www.google.com/maps/@?api=1&amp;map_action=pano&amp;viewpoint="&amp;SUBSTITUTE(AF1531," ",""),"Abrir Street View"))</f>
        <v/>
      </c>
    </row>
    <row r="1532">
      <c r="H1532" s="6" t="n"/>
      <c r="I1532" s="6" t="n"/>
      <c r="M1532" s="7" t="n"/>
      <c r="N1532" s="7" t="n"/>
      <c r="O1532" s="7" t="n"/>
      <c r="Q1532" s="7" t="n"/>
      <c r="R1532" s="7" t="n"/>
      <c r="S1532" s="8">
        <f>IF(NOT(ISNUMBER(M1532)),"",IF(G1532="Terreno",IF(AND(ISNUMBER(I1532),I1532&gt;0),M1532/I1532,""),IF(AND(ISNUMBER(H1532),H1532&gt;0),M1532/H1532,"")))</f>
        <v/>
      </c>
      <c r="T1532" s="9">
        <f>IF(AND(ISNUMBER(M1532),ISNUMBER(O1532)),IF(M1532&lt;=O1532,"Valor ≤ venal IPTU",""),"")</f>
        <v/>
      </c>
      <c r="U1532" s="10">
        <f>IF(AND(ISNUMBER(M1532),ISNUMBER(N1532)),IF(N1532&gt;0,M1532/N1532,""),"")</f>
        <v/>
      </c>
      <c r="V1532" s="10">
        <f>IF(AND(ISNUMBER(M1532),ISNUMBER(O1532)),IF(O1532&gt;0,M1532/O1532,""),"")</f>
        <v/>
      </c>
      <c r="W1532" s="10">
        <f>IF(AND(ISNUMBER(M1532),ISNUMBER(R1532)),IF(R1532&gt;0,M1532/R1532,""),"")</f>
        <v/>
      </c>
      <c r="X1532" s="10">
        <f>IF(AND(ISNUMBER(Q1532),ISNUMBER(M1532)),IF(M1532&gt;0,Q1532/M1532,""),"")</f>
        <v/>
      </c>
      <c r="Y1532" s="11">
        <f>IF(ISNUMBER(Z1532),YEAR(Z1532),"")</f>
        <v/>
      </c>
      <c r="Z1532" s="12" t="n"/>
      <c r="AA1532" s="12" t="n"/>
      <c r="AI1532" s="12" t="n"/>
      <c r="AJ1532" s="13">
        <f>IF(LEN(TRIM(AF1532))=0,"",HYPERLINK("https://www.google.com/maps/@?api=1&amp;map_action=pano&amp;viewpoint="&amp;SUBSTITUTE(AF1532," ",""),"Abrir Street View"))</f>
        <v/>
      </c>
    </row>
    <row r="1533">
      <c r="H1533" s="6" t="n"/>
      <c r="I1533" s="6" t="n"/>
      <c r="M1533" s="7" t="n"/>
      <c r="N1533" s="7" t="n"/>
      <c r="O1533" s="7" t="n"/>
      <c r="Q1533" s="7" t="n"/>
      <c r="R1533" s="7" t="n"/>
      <c r="S1533" s="8">
        <f>IF(NOT(ISNUMBER(M1533)),"",IF(G1533="Terreno",IF(AND(ISNUMBER(I1533),I1533&gt;0),M1533/I1533,""),IF(AND(ISNUMBER(H1533),H1533&gt;0),M1533/H1533,"")))</f>
        <v/>
      </c>
      <c r="T1533" s="9">
        <f>IF(AND(ISNUMBER(M1533),ISNUMBER(O1533)),IF(M1533&lt;=O1533,"Valor ≤ venal IPTU",""),"")</f>
        <v/>
      </c>
      <c r="U1533" s="10">
        <f>IF(AND(ISNUMBER(M1533),ISNUMBER(N1533)),IF(N1533&gt;0,M1533/N1533,""),"")</f>
        <v/>
      </c>
      <c r="V1533" s="10">
        <f>IF(AND(ISNUMBER(M1533),ISNUMBER(O1533)),IF(O1533&gt;0,M1533/O1533,""),"")</f>
        <v/>
      </c>
      <c r="W1533" s="10">
        <f>IF(AND(ISNUMBER(M1533),ISNUMBER(R1533)),IF(R1533&gt;0,M1533/R1533,""),"")</f>
        <v/>
      </c>
      <c r="X1533" s="10">
        <f>IF(AND(ISNUMBER(Q1533),ISNUMBER(M1533)),IF(M1533&gt;0,Q1533/M1533,""),"")</f>
        <v/>
      </c>
      <c r="Y1533" s="11">
        <f>IF(ISNUMBER(Z1533),YEAR(Z1533),"")</f>
        <v/>
      </c>
      <c r="Z1533" s="12" t="n"/>
      <c r="AA1533" s="12" t="n"/>
      <c r="AI1533" s="12" t="n"/>
      <c r="AJ1533" s="13">
        <f>IF(LEN(TRIM(AF1533))=0,"",HYPERLINK("https://www.google.com/maps/@?api=1&amp;map_action=pano&amp;viewpoint="&amp;SUBSTITUTE(AF1533," ",""),"Abrir Street View"))</f>
        <v/>
      </c>
    </row>
    <row r="1534">
      <c r="H1534" s="6" t="n"/>
      <c r="I1534" s="6" t="n"/>
      <c r="M1534" s="7" t="n"/>
      <c r="N1534" s="7" t="n"/>
      <c r="O1534" s="7" t="n"/>
      <c r="Q1534" s="7" t="n"/>
      <c r="R1534" s="7" t="n"/>
      <c r="S1534" s="8">
        <f>IF(NOT(ISNUMBER(M1534)),"",IF(G1534="Terreno",IF(AND(ISNUMBER(I1534),I1534&gt;0),M1534/I1534,""),IF(AND(ISNUMBER(H1534),H1534&gt;0),M1534/H1534,"")))</f>
        <v/>
      </c>
      <c r="T1534" s="9">
        <f>IF(AND(ISNUMBER(M1534),ISNUMBER(O1534)),IF(M1534&lt;=O1534,"Valor ≤ venal IPTU",""),"")</f>
        <v/>
      </c>
      <c r="U1534" s="10">
        <f>IF(AND(ISNUMBER(M1534),ISNUMBER(N1534)),IF(N1534&gt;0,M1534/N1534,""),"")</f>
        <v/>
      </c>
      <c r="V1534" s="10">
        <f>IF(AND(ISNUMBER(M1534),ISNUMBER(O1534)),IF(O1534&gt;0,M1534/O1534,""),"")</f>
        <v/>
      </c>
      <c r="W1534" s="10">
        <f>IF(AND(ISNUMBER(M1534),ISNUMBER(R1534)),IF(R1534&gt;0,M1534/R1534,""),"")</f>
        <v/>
      </c>
      <c r="X1534" s="10">
        <f>IF(AND(ISNUMBER(Q1534),ISNUMBER(M1534)),IF(M1534&gt;0,Q1534/M1534,""),"")</f>
        <v/>
      </c>
      <c r="Y1534" s="11">
        <f>IF(ISNUMBER(Z1534),YEAR(Z1534),"")</f>
        <v/>
      </c>
      <c r="Z1534" s="12" t="n"/>
      <c r="AA1534" s="12" t="n"/>
      <c r="AI1534" s="12" t="n"/>
      <c r="AJ1534" s="13">
        <f>IF(LEN(TRIM(AF1534))=0,"",HYPERLINK("https://www.google.com/maps/@?api=1&amp;map_action=pano&amp;viewpoint="&amp;SUBSTITUTE(AF1534," ",""),"Abrir Street View"))</f>
        <v/>
      </c>
    </row>
    <row r="1535">
      <c r="H1535" s="6" t="n"/>
      <c r="I1535" s="6" t="n"/>
      <c r="M1535" s="7" t="n"/>
      <c r="N1535" s="7" t="n"/>
      <c r="O1535" s="7" t="n"/>
      <c r="Q1535" s="7" t="n"/>
      <c r="R1535" s="7" t="n"/>
      <c r="S1535" s="8">
        <f>IF(NOT(ISNUMBER(M1535)),"",IF(G1535="Terreno",IF(AND(ISNUMBER(I1535),I1535&gt;0),M1535/I1535,""),IF(AND(ISNUMBER(H1535),H1535&gt;0),M1535/H1535,"")))</f>
        <v/>
      </c>
      <c r="T1535" s="9">
        <f>IF(AND(ISNUMBER(M1535),ISNUMBER(O1535)),IF(M1535&lt;=O1535,"Valor ≤ venal IPTU",""),"")</f>
        <v/>
      </c>
      <c r="U1535" s="10">
        <f>IF(AND(ISNUMBER(M1535),ISNUMBER(N1535)),IF(N1535&gt;0,M1535/N1535,""),"")</f>
        <v/>
      </c>
      <c r="V1535" s="10">
        <f>IF(AND(ISNUMBER(M1535),ISNUMBER(O1535)),IF(O1535&gt;0,M1535/O1535,""),"")</f>
        <v/>
      </c>
      <c r="W1535" s="10">
        <f>IF(AND(ISNUMBER(M1535),ISNUMBER(R1535)),IF(R1535&gt;0,M1535/R1535,""),"")</f>
        <v/>
      </c>
      <c r="X1535" s="10">
        <f>IF(AND(ISNUMBER(Q1535),ISNUMBER(M1535)),IF(M1535&gt;0,Q1535/M1535,""),"")</f>
        <v/>
      </c>
      <c r="Y1535" s="11">
        <f>IF(ISNUMBER(Z1535),YEAR(Z1535),"")</f>
        <v/>
      </c>
      <c r="Z1535" s="12" t="n"/>
      <c r="AA1535" s="12" t="n"/>
      <c r="AI1535" s="12" t="n"/>
      <c r="AJ1535" s="13">
        <f>IF(LEN(TRIM(AF1535))=0,"",HYPERLINK("https://www.google.com/maps/@?api=1&amp;map_action=pano&amp;viewpoint="&amp;SUBSTITUTE(AF1535," ",""),"Abrir Street View"))</f>
        <v/>
      </c>
    </row>
    <row r="1536">
      <c r="H1536" s="6" t="n"/>
      <c r="I1536" s="6" t="n"/>
      <c r="M1536" s="7" t="n"/>
      <c r="N1536" s="7" t="n"/>
      <c r="O1536" s="7" t="n"/>
      <c r="Q1536" s="7" t="n"/>
      <c r="R1536" s="7" t="n"/>
      <c r="S1536" s="8">
        <f>IF(NOT(ISNUMBER(M1536)),"",IF(G1536="Terreno",IF(AND(ISNUMBER(I1536),I1536&gt;0),M1536/I1536,""),IF(AND(ISNUMBER(H1536),H1536&gt;0),M1536/H1536,"")))</f>
        <v/>
      </c>
      <c r="T1536" s="9">
        <f>IF(AND(ISNUMBER(M1536),ISNUMBER(O1536)),IF(M1536&lt;=O1536,"Valor ≤ venal IPTU",""),"")</f>
        <v/>
      </c>
      <c r="U1536" s="10">
        <f>IF(AND(ISNUMBER(M1536),ISNUMBER(N1536)),IF(N1536&gt;0,M1536/N1536,""),"")</f>
        <v/>
      </c>
      <c r="V1536" s="10">
        <f>IF(AND(ISNUMBER(M1536),ISNUMBER(O1536)),IF(O1536&gt;0,M1536/O1536,""),"")</f>
        <v/>
      </c>
      <c r="W1536" s="10">
        <f>IF(AND(ISNUMBER(M1536),ISNUMBER(R1536)),IF(R1536&gt;0,M1536/R1536,""),"")</f>
        <v/>
      </c>
      <c r="X1536" s="10">
        <f>IF(AND(ISNUMBER(Q1536),ISNUMBER(M1536)),IF(M1536&gt;0,Q1536/M1536,""),"")</f>
        <v/>
      </c>
      <c r="Y1536" s="11">
        <f>IF(ISNUMBER(Z1536),YEAR(Z1536),"")</f>
        <v/>
      </c>
      <c r="Z1536" s="12" t="n"/>
      <c r="AA1536" s="12" t="n"/>
      <c r="AI1536" s="12" t="n"/>
      <c r="AJ1536" s="13">
        <f>IF(LEN(TRIM(AF1536))=0,"",HYPERLINK("https://www.google.com/maps/@?api=1&amp;map_action=pano&amp;viewpoint="&amp;SUBSTITUTE(AF1536," ",""),"Abrir Street View"))</f>
        <v/>
      </c>
    </row>
    <row r="1537">
      <c r="H1537" s="6" t="n"/>
      <c r="I1537" s="6" t="n"/>
      <c r="M1537" s="7" t="n"/>
      <c r="N1537" s="7" t="n"/>
      <c r="O1537" s="7" t="n"/>
      <c r="Q1537" s="7" t="n"/>
      <c r="R1537" s="7" t="n"/>
      <c r="S1537" s="8">
        <f>IF(NOT(ISNUMBER(M1537)),"",IF(G1537="Terreno",IF(AND(ISNUMBER(I1537),I1537&gt;0),M1537/I1537,""),IF(AND(ISNUMBER(H1537),H1537&gt;0),M1537/H1537,"")))</f>
        <v/>
      </c>
      <c r="T1537" s="9">
        <f>IF(AND(ISNUMBER(M1537),ISNUMBER(O1537)),IF(M1537&lt;=O1537,"Valor ≤ venal IPTU",""),"")</f>
        <v/>
      </c>
      <c r="U1537" s="10">
        <f>IF(AND(ISNUMBER(M1537),ISNUMBER(N1537)),IF(N1537&gt;0,M1537/N1537,""),"")</f>
        <v/>
      </c>
      <c r="V1537" s="10">
        <f>IF(AND(ISNUMBER(M1537),ISNUMBER(O1537)),IF(O1537&gt;0,M1537/O1537,""),"")</f>
        <v/>
      </c>
      <c r="W1537" s="10">
        <f>IF(AND(ISNUMBER(M1537),ISNUMBER(R1537)),IF(R1537&gt;0,M1537/R1537,""),"")</f>
        <v/>
      </c>
      <c r="X1537" s="10">
        <f>IF(AND(ISNUMBER(Q1537),ISNUMBER(M1537)),IF(M1537&gt;0,Q1537/M1537,""),"")</f>
        <v/>
      </c>
      <c r="Y1537" s="11">
        <f>IF(ISNUMBER(Z1537),YEAR(Z1537),"")</f>
        <v/>
      </c>
      <c r="Z1537" s="12" t="n"/>
      <c r="AA1537" s="12" t="n"/>
      <c r="AI1537" s="12" t="n"/>
      <c r="AJ1537" s="13">
        <f>IF(LEN(TRIM(AF1537))=0,"",HYPERLINK("https://www.google.com/maps/@?api=1&amp;map_action=pano&amp;viewpoint="&amp;SUBSTITUTE(AF1537," ",""),"Abrir Street View"))</f>
        <v/>
      </c>
    </row>
    <row r="1538">
      <c r="H1538" s="6" t="n"/>
      <c r="I1538" s="6" t="n"/>
      <c r="M1538" s="7" t="n"/>
      <c r="N1538" s="7" t="n"/>
      <c r="O1538" s="7" t="n"/>
      <c r="Q1538" s="7" t="n"/>
      <c r="R1538" s="7" t="n"/>
      <c r="S1538" s="8">
        <f>IF(NOT(ISNUMBER(M1538)),"",IF(G1538="Terreno",IF(AND(ISNUMBER(I1538),I1538&gt;0),M1538/I1538,""),IF(AND(ISNUMBER(H1538),H1538&gt;0),M1538/H1538,"")))</f>
        <v/>
      </c>
      <c r="T1538" s="9">
        <f>IF(AND(ISNUMBER(M1538),ISNUMBER(O1538)),IF(M1538&lt;=O1538,"Valor ≤ venal IPTU",""),"")</f>
        <v/>
      </c>
      <c r="U1538" s="10">
        <f>IF(AND(ISNUMBER(M1538),ISNUMBER(N1538)),IF(N1538&gt;0,M1538/N1538,""),"")</f>
        <v/>
      </c>
      <c r="V1538" s="10">
        <f>IF(AND(ISNUMBER(M1538),ISNUMBER(O1538)),IF(O1538&gt;0,M1538/O1538,""),"")</f>
        <v/>
      </c>
      <c r="W1538" s="10">
        <f>IF(AND(ISNUMBER(M1538),ISNUMBER(R1538)),IF(R1538&gt;0,M1538/R1538,""),"")</f>
        <v/>
      </c>
      <c r="X1538" s="10">
        <f>IF(AND(ISNUMBER(Q1538),ISNUMBER(M1538)),IF(M1538&gt;0,Q1538/M1538,""),"")</f>
        <v/>
      </c>
      <c r="Y1538" s="11">
        <f>IF(ISNUMBER(Z1538),YEAR(Z1538),"")</f>
        <v/>
      </c>
      <c r="Z1538" s="12" t="n"/>
      <c r="AA1538" s="12" t="n"/>
      <c r="AI1538" s="12" t="n"/>
      <c r="AJ1538" s="13">
        <f>IF(LEN(TRIM(AF1538))=0,"",HYPERLINK("https://www.google.com/maps/@?api=1&amp;map_action=pano&amp;viewpoint="&amp;SUBSTITUTE(AF1538," ",""),"Abrir Street View"))</f>
        <v/>
      </c>
    </row>
    <row r="1539">
      <c r="H1539" s="6" t="n"/>
      <c r="I1539" s="6" t="n"/>
      <c r="M1539" s="7" t="n"/>
      <c r="N1539" s="7" t="n"/>
      <c r="O1539" s="7" t="n"/>
      <c r="Q1539" s="7" t="n"/>
      <c r="R1539" s="7" t="n"/>
      <c r="S1539" s="8">
        <f>IF(NOT(ISNUMBER(M1539)),"",IF(G1539="Terreno",IF(AND(ISNUMBER(I1539),I1539&gt;0),M1539/I1539,""),IF(AND(ISNUMBER(H1539),H1539&gt;0),M1539/H1539,"")))</f>
        <v/>
      </c>
      <c r="T1539" s="9">
        <f>IF(AND(ISNUMBER(M1539),ISNUMBER(O1539)),IF(M1539&lt;=O1539,"Valor ≤ venal IPTU",""),"")</f>
        <v/>
      </c>
      <c r="U1539" s="10">
        <f>IF(AND(ISNUMBER(M1539),ISNUMBER(N1539)),IF(N1539&gt;0,M1539/N1539,""),"")</f>
        <v/>
      </c>
      <c r="V1539" s="10">
        <f>IF(AND(ISNUMBER(M1539),ISNUMBER(O1539)),IF(O1539&gt;0,M1539/O1539,""),"")</f>
        <v/>
      </c>
      <c r="W1539" s="10">
        <f>IF(AND(ISNUMBER(M1539),ISNUMBER(R1539)),IF(R1539&gt;0,M1539/R1539,""),"")</f>
        <v/>
      </c>
      <c r="X1539" s="10">
        <f>IF(AND(ISNUMBER(Q1539),ISNUMBER(M1539)),IF(M1539&gt;0,Q1539/M1539,""),"")</f>
        <v/>
      </c>
      <c r="Y1539" s="11">
        <f>IF(ISNUMBER(Z1539),YEAR(Z1539),"")</f>
        <v/>
      </c>
      <c r="Z1539" s="12" t="n"/>
      <c r="AA1539" s="12" t="n"/>
      <c r="AI1539" s="12" t="n"/>
      <c r="AJ1539" s="13">
        <f>IF(LEN(TRIM(AF1539))=0,"",HYPERLINK("https://www.google.com/maps/@?api=1&amp;map_action=pano&amp;viewpoint="&amp;SUBSTITUTE(AF1539," ",""),"Abrir Street View"))</f>
        <v/>
      </c>
    </row>
    <row r="1540">
      <c r="H1540" s="6" t="n"/>
      <c r="I1540" s="6" t="n"/>
      <c r="M1540" s="7" t="n"/>
      <c r="N1540" s="7" t="n"/>
      <c r="O1540" s="7" t="n"/>
      <c r="Q1540" s="7" t="n"/>
      <c r="R1540" s="7" t="n"/>
      <c r="S1540" s="8">
        <f>IF(NOT(ISNUMBER(M1540)),"",IF(G1540="Terreno",IF(AND(ISNUMBER(I1540),I1540&gt;0),M1540/I1540,""),IF(AND(ISNUMBER(H1540),H1540&gt;0),M1540/H1540,"")))</f>
        <v/>
      </c>
      <c r="T1540" s="9">
        <f>IF(AND(ISNUMBER(M1540),ISNUMBER(O1540)),IF(M1540&lt;=O1540,"Valor ≤ venal IPTU",""),"")</f>
        <v/>
      </c>
      <c r="U1540" s="10">
        <f>IF(AND(ISNUMBER(M1540),ISNUMBER(N1540)),IF(N1540&gt;0,M1540/N1540,""),"")</f>
        <v/>
      </c>
      <c r="V1540" s="10">
        <f>IF(AND(ISNUMBER(M1540),ISNUMBER(O1540)),IF(O1540&gt;0,M1540/O1540,""),"")</f>
        <v/>
      </c>
      <c r="W1540" s="10">
        <f>IF(AND(ISNUMBER(M1540),ISNUMBER(R1540)),IF(R1540&gt;0,M1540/R1540,""),"")</f>
        <v/>
      </c>
      <c r="X1540" s="10">
        <f>IF(AND(ISNUMBER(Q1540),ISNUMBER(M1540)),IF(M1540&gt;0,Q1540/M1540,""),"")</f>
        <v/>
      </c>
      <c r="Y1540" s="11">
        <f>IF(ISNUMBER(Z1540),YEAR(Z1540),"")</f>
        <v/>
      </c>
      <c r="Z1540" s="12" t="n"/>
      <c r="AA1540" s="12" t="n"/>
      <c r="AI1540" s="12" t="n"/>
      <c r="AJ1540" s="13">
        <f>IF(LEN(TRIM(AF1540))=0,"",HYPERLINK("https://www.google.com/maps/@?api=1&amp;map_action=pano&amp;viewpoint="&amp;SUBSTITUTE(AF1540," ",""),"Abrir Street View"))</f>
        <v/>
      </c>
    </row>
    <row r="1541">
      <c r="H1541" s="6" t="n"/>
      <c r="I1541" s="6" t="n"/>
      <c r="M1541" s="7" t="n"/>
      <c r="N1541" s="7" t="n"/>
      <c r="O1541" s="7" t="n"/>
      <c r="Q1541" s="7" t="n"/>
      <c r="R1541" s="7" t="n"/>
      <c r="S1541" s="8">
        <f>IF(NOT(ISNUMBER(M1541)),"",IF(G1541="Terreno",IF(AND(ISNUMBER(I1541),I1541&gt;0),M1541/I1541,""),IF(AND(ISNUMBER(H1541),H1541&gt;0),M1541/H1541,"")))</f>
        <v/>
      </c>
      <c r="T1541" s="9">
        <f>IF(AND(ISNUMBER(M1541),ISNUMBER(O1541)),IF(M1541&lt;=O1541,"Valor ≤ venal IPTU",""),"")</f>
        <v/>
      </c>
      <c r="U1541" s="10">
        <f>IF(AND(ISNUMBER(M1541),ISNUMBER(N1541)),IF(N1541&gt;0,M1541/N1541,""),"")</f>
        <v/>
      </c>
      <c r="V1541" s="10">
        <f>IF(AND(ISNUMBER(M1541),ISNUMBER(O1541)),IF(O1541&gt;0,M1541/O1541,""),"")</f>
        <v/>
      </c>
      <c r="W1541" s="10">
        <f>IF(AND(ISNUMBER(M1541),ISNUMBER(R1541)),IF(R1541&gt;0,M1541/R1541,""),"")</f>
        <v/>
      </c>
      <c r="X1541" s="10">
        <f>IF(AND(ISNUMBER(Q1541),ISNUMBER(M1541)),IF(M1541&gt;0,Q1541/M1541,""),"")</f>
        <v/>
      </c>
      <c r="Y1541" s="11">
        <f>IF(ISNUMBER(Z1541),YEAR(Z1541),"")</f>
        <v/>
      </c>
      <c r="Z1541" s="12" t="n"/>
      <c r="AA1541" s="12" t="n"/>
      <c r="AI1541" s="12" t="n"/>
      <c r="AJ1541" s="13">
        <f>IF(LEN(TRIM(AF1541))=0,"",HYPERLINK("https://www.google.com/maps/@?api=1&amp;map_action=pano&amp;viewpoint="&amp;SUBSTITUTE(AF1541," ",""),"Abrir Street View"))</f>
        <v/>
      </c>
    </row>
    <row r="1542">
      <c r="H1542" s="6" t="n"/>
      <c r="I1542" s="6" t="n"/>
      <c r="M1542" s="7" t="n"/>
      <c r="N1542" s="7" t="n"/>
      <c r="O1542" s="7" t="n"/>
      <c r="Q1542" s="7" t="n"/>
      <c r="R1542" s="7" t="n"/>
      <c r="S1542" s="8">
        <f>IF(NOT(ISNUMBER(M1542)),"",IF(G1542="Terreno",IF(AND(ISNUMBER(I1542),I1542&gt;0),M1542/I1542,""),IF(AND(ISNUMBER(H1542),H1542&gt;0),M1542/H1542,"")))</f>
        <v/>
      </c>
      <c r="T1542" s="9">
        <f>IF(AND(ISNUMBER(M1542),ISNUMBER(O1542)),IF(M1542&lt;=O1542,"Valor ≤ venal IPTU",""),"")</f>
        <v/>
      </c>
      <c r="U1542" s="10">
        <f>IF(AND(ISNUMBER(M1542),ISNUMBER(N1542)),IF(N1542&gt;0,M1542/N1542,""),"")</f>
        <v/>
      </c>
      <c r="V1542" s="10">
        <f>IF(AND(ISNUMBER(M1542),ISNUMBER(O1542)),IF(O1542&gt;0,M1542/O1542,""),"")</f>
        <v/>
      </c>
      <c r="W1542" s="10">
        <f>IF(AND(ISNUMBER(M1542),ISNUMBER(R1542)),IF(R1542&gt;0,M1542/R1542,""),"")</f>
        <v/>
      </c>
      <c r="X1542" s="10">
        <f>IF(AND(ISNUMBER(Q1542),ISNUMBER(M1542)),IF(M1542&gt;0,Q1542/M1542,""),"")</f>
        <v/>
      </c>
      <c r="Y1542" s="11">
        <f>IF(ISNUMBER(Z1542),YEAR(Z1542),"")</f>
        <v/>
      </c>
      <c r="Z1542" s="12" t="n"/>
      <c r="AA1542" s="12" t="n"/>
      <c r="AI1542" s="12" t="n"/>
      <c r="AJ1542" s="13">
        <f>IF(LEN(TRIM(AF1542))=0,"",HYPERLINK("https://www.google.com/maps/@?api=1&amp;map_action=pano&amp;viewpoint="&amp;SUBSTITUTE(AF1542," ",""),"Abrir Street View"))</f>
        <v/>
      </c>
    </row>
    <row r="1543">
      <c r="H1543" s="6" t="n"/>
      <c r="I1543" s="6" t="n"/>
      <c r="M1543" s="7" t="n"/>
      <c r="N1543" s="7" t="n"/>
      <c r="O1543" s="7" t="n"/>
      <c r="Q1543" s="7" t="n"/>
      <c r="R1543" s="7" t="n"/>
      <c r="S1543" s="8">
        <f>IF(NOT(ISNUMBER(M1543)),"",IF(G1543="Terreno",IF(AND(ISNUMBER(I1543),I1543&gt;0),M1543/I1543,""),IF(AND(ISNUMBER(H1543),H1543&gt;0),M1543/H1543,"")))</f>
        <v/>
      </c>
      <c r="T1543" s="9">
        <f>IF(AND(ISNUMBER(M1543),ISNUMBER(O1543)),IF(M1543&lt;=O1543,"Valor ≤ venal IPTU",""),"")</f>
        <v/>
      </c>
      <c r="U1543" s="10">
        <f>IF(AND(ISNUMBER(M1543),ISNUMBER(N1543)),IF(N1543&gt;0,M1543/N1543,""),"")</f>
        <v/>
      </c>
      <c r="V1543" s="10">
        <f>IF(AND(ISNUMBER(M1543),ISNUMBER(O1543)),IF(O1543&gt;0,M1543/O1543,""),"")</f>
        <v/>
      </c>
      <c r="W1543" s="10">
        <f>IF(AND(ISNUMBER(M1543),ISNUMBER(R1543)),IF(R1543&gt;0,M1543/R1543,""),"")</f>
        <v/>
      </c>
      <c r="X1543" s="10">
        <f>IF(AND(ISNUMBER(Q1543),ISNUMBER(M1543)),IF(M1543&gt;0,Q1543/M1543,""),"")</f>
        <v/>
      </c>
      <c r="Y1543" s="11">
        <f>IF(ISNUMBER(Z1543),YEAR(Z1543),"")</f>
        <v/>
      </c>
      <c r="Z1543" s="12" t="n"/>
      <c r="AA1543" s="12" t="n"/>
      <c r="AI1543" s="12" t="n"/>
      <c r="AJ1543" s="13">
        <f>IF(LEN(TRIM(AF1543))=0,"",HYPERLINK("https://www.google.com/maps/@?api=1&amp;map_action=pano&amp;viewpoint="&amp;SUBSTITUTE(AF1543," ",""),"Abrir Street View"))</f>
        <v/>
      </c>
    </row>
    <row r="1544">
      <c r="H1544" s="6" t="n"/>
      <c r="I1544" s="6" t="n"/>
      <c r="M1544" s="7" t="n"/>
      <c r="N1544" s="7" t="n"/>
      <c r="O1544" s="7" t="n"/>
      <c r="Q1544" s="7" t="n"/>
      <c r="R1544" s="7" t="n"/>
      <c r="S1544" s="8">
        <f>IF(NOT(ISNUMBER(M1544)),"",IF(G1544="Terreno",IF(AND(ISNUMBER(I1544),I1544&gt;0),M1544/I1544,""),IF(AND(ISNUMBER(H1544),H1544&gt;0),M1544/H1544,"")))</f>
        <v/>
      </c>
      <c r="T1544" s="9">
        <f>IF(AND(ISNUMBER(M1544),ISNUMBER(O1544)),IF(M1544&lt;=O1544,"Valor ≤ venal IPTU",""),"")</f>
        <v/>
      </c>
      <c r="U1544" s="10">
        <f>IF(AND(ISNUMBER(M1544),ISNUMBER(N1544)),IF(N1544&gt;0,M1544/N1544,""),"")</f>
        <v/>
      </c>
      <c r="V1544" s="10">
        <f>IF(AND(ISNUMBER(M1544),ISNUMBER(O1544)),IF(O1544&gt;0,M1544/O1544,""),"")</f>
        <v/>
      </c>
      <c r="W1544" s="10">
        <f>IF(AND(ISNUMBER(M1544),ISNUMBER(R1544)),IF(R1544&gt;0,M1544/R1544,""),"")</f>
        <v/>
      </c>
      <c r="X1544" s="10">
        <f>IF(AND(ISNUMBER(Q1544),ISNUMBER(M1544)),IF(M1544&gt;0,Q1544/M1544,""),"")</f>
        <v/>
      </c>
      <c r="Y1544" s="11">
        <f>IF(ISNUMBER(Z1544),YEAR(Z1544),"")</f>
        <v/>
      </c>
      <c r="Z1544" s="12" t="n"/>
      <c r="AA1544" s="12" t="n"/>
      <c r="AI1544" s="12" t="n"/>
      <c r="AJ1544" s="13">
        <f>IF(LEN(TRIM(AF1544))=0,"",HYPERLINK("https://www.google.com/maps/@?api=1&amp;map_action=pano&amp;viewpoint="&amp;SUBSTITUTE(AF1544," ",""),"Abrir Street View"))</f>
        <v/>
      </c>
    </row>
    <row r="1545">
      <c r="H1545" s="6" t="n"/>
      <c r="I1545" s="6" t="n"/>
      <c r="M1545" s="7" t="n"/>
      <c r="N1545" s="7" t="n"/>
      <c r="O1545" s="7" t="n"/>
      <c r="Q1545" s="7" t="n"/>
      <c r="R1545" s="7" t="n"/>
      <c r="S1545" s="8">
        <f>IF(NOT(ISNUMBER(M1545)),"",IF(G1545="Terreno",IF(AND(ISNUMBER(I1545),I1545&gt;0),M1545/I1545,""),IF(AND(ISNUMBER(H1545),H1545&gt;0),M1545/H1545,"")))</f>
        <v/>
      </c>
      <c r="T1545" s="9">
        <f>IF(AND(ISNUMBER(M1545),ISNUMBER(O1545)),IF(M1545&lt;=O1545,"Valor ≤ venal IPTU",""),"")</f>
        <v/>
      </c>
      <c r="U1545" s="10">
        <f>IF(AND(ISNUMBER(M1545),ISNUMBER(N1545)),IF(N1545&gt;0,M1545/N1545,""),"")</f>
        <v/>
      </c>
      <c r="V1545" s="10">
        <f>IF(AND(ISNUMBER(M1545),ISNUMBER(O1545)),IF(O1545&gt;0,M1545/O1545,""),"")</f>
        <v/>
      </c>
      <c r="W1545" s="10">
        <f>IF(AND(ISNUMBER(M1545),ISNUMBER(R1545)),IF(R1545&gt;0,M1545/R1545,""),"")</f>
        <v/>
      </c>
      <c r="X1545" s="10">
        <f>IF(AND(ISNUMBER(Q1545),ISNUMBER(M1545)),IF(M1545&gt;0,Q1545/M1545,""),"")</f>
        <v/>
      </c>
      <c r="Y1545" s="11">
        <f>IF(ISNUMBER(Z1545),YEAR(Z1545),"")</f>
        <v/>
      </c>
      <c r="Z1545" s="12" t="n"/>
      <c r="AA1545" s="12" t="n"/>
      <c r="AI1545" s="12" t="n"/>
      <c r="AJ1545" s="13">
        <f>IF(LEN(TRIM(AF1545))=0,"",HYPERLINK("https://www.google.com/maps/@?api=1&amp;map_action=pano&amp;viewpoint="&amp;SUBSTITUTE(AF1545," ",""),"Abrir Street View"))</f>
        <v/>
      </c>
    </row>
    <row r="1546">
      <c r="H1546" s="6" t="n"/>
      <c r="I1546" s="6" t="n"/>
      <c r="M1546" s="7" t="n"/>
      <c r="N1546" s="7" t="n"/>
      <c r="O1546" s="7" t="n"/>
      <c r="Q1546" s="7" t="n"/>
      <c r="R1546" s="7" t="n"/>
      <c r="S1546" s="8">
        <f>IF(NOT(ISNUMBER(M1546)),"",IF(G1546="Terreno",IF(AND(ISNUMBER(I1546),I1546&gt;0),M1546/I1546,""),IF(AND(ISNUMBER(H1546),H1546&gt;0),M1546/H1546,"")))</f>
        <v/>
      </c>
      <c r="T1546" s="9">
        <f>IF(AND(ISNUMBER(M1546),ISNUMBER(O1546)),IF(M1546&lt;=O1546,"Valor ≤ venal IPTU",""),"")</f>
        <v/>
      </c>
      <c r="U1546" s="10">
        <f>IF(AND(ISNUMBER(M1546),ISNUMBER(N1546)),IF(N1546&gt;0,M1546/N1546,""),"")</f>
        <v/>
      </c>
      <c r="V1546" s="10">
        <f>IF(AND(ISNUMBER(M1546),ISNUMBER(O1546)),IF(O1546&gt;0,M1546/O1546,""),"")</f>
        <v/>
      </c>
      <c r="W1546" s="10">
        <f>IF(AND(ISNUMBER(M1546),ISNUMBER(R1546)),IF(R1546&gt;0,M1546/R1546,""),"")</f>
        <v/>
      </c>
      <c r="X1546" s="10">
        <f>IF(AND(ISNUMBER(Q1546),ISNUMBER(M1546)),IF(M1546&gt;0,Q1546/M1546,""),"")</f>
        <v/>
      </c>
      <c r="Y1546" s="11">
        <f>IF(ISNUMBER(Z1546),YEAR(Z1546),"")</f>
        <v/>
      </c>
      <c r="Z1546" s="12" t="n"/>
      <c r="AA1546" s="12" t="n"/>
      <c r="AI1546" s="12" t="n"/>
      <c r="AJ1546" s="13">
        <f>IF(LEN(TRIM(AF1546))=0,"",HYPERLINK("https://www.google.com/maps/@?api=1&amp;map_action=pano&amp;viewpoint="&amp;SUBSTITUTE(AF1546," ",""),"Abrir Street View"))</f>
        <v/>
      </c>
    </row>
    <row r="1547">
      <c r="H1547" s="6" t="n"/>
      <c r="I1547" s="6" t="n"/>
      <c r="M1547" s="7" t="n"/>
      <c r="N1547" s="7" t="n"/>
      <c r="O1547" s="7" t="n"/>
      <c r="Q1547" s="7" t="n"/>
      <c r="R1547" s="7" t="n"/>
      <c r="S1547" s="8">
        <f>IF(NOT(ISNUMBER(M1547)),"",IF(G1547="Terreno",IF(AND(ISNUMBER(I1547),I1547&gt;0),M1547/I1547,""),IF(AND(ISNUMBER(H1547),H1547&gt;0),M1547/H1547,"")))</f>
        <v/>
      </c>
      <c r="T1547" s="9">
        <f>IF(AND(ISNUMBER(M1547),ISNUMBER(O1547)),IF(M1547&lt;=O1547,"Valor ≤ venal IPTU",""),"")</f>
        <v/>
      </c>
      <c r="U1547" s="10">
        <f>IF(AND(ISNUMBER(M1547),ISNUMBER(N1547)),IF(N1547&gt;0,M1547/N1547,""),"")</f>
        <v/>
      </c>
      <c r="V1547" s="10">
        <f>IF(AND(ISNUMBER(M1547),ISNUMBER(O1547)),IF(O1547&gt;0,M1547/O1547,""),"")</f>
        <v/>
      </c>
      <c r="W1547" s="10">
        <f>IF(AND(ISNUMBER(M1547),ISNUMBER(R1547)),IF(R1547&gt;0,M1547/R1547,""),"")</f>
        <v/>
      </c>
      <c r="X1547" s="10">
        <f>IF(AND(ISNUMBER(Q1547),ISNUMBER(M1547)),IF(M1547&gt;0,Q1547/M1547,""),"")</f>
        <v/>
      </c>
      <c r="Y1547" s="11">
        <f>IF(ISNUMBER(Z1547),YEAR(Z1547),"")</f>
        <v/>
      </c>
      <c r="Z1547" s="12" t="n"/>
      <c r="AA1547" s="12" t="n"/>
      <c r="AI1547" s="12" t="n"/>
      <c r="AJ1547" s="13">
        <f>IF(LEN(TRIM(AF1547))=0,"",HYPERLINK("https://www.google.com/maps/@?api=1&amp;map_action=pano&amp;viewpoint="&amp;SUBSTITUTE(AF1547," ",""),"Abrir Street View"))</f>
        <v/>
      </c>
    </row>
    <row r="1548">
      <c r="H1548" s="6" t="n"/>
      <c r="I1548" s="6" t="n"/>
      <c r="M1548" s="7" t="n"/>
      <c r="N1548" s="7" t="n"/>
      <c r="O1548" s="7" t="n"/>
      <c r="Q1548" s="7" t="n"/>
      <c r="R1548" s="7" t="n"/>
      <c r="S1548" s="8">
        <f>IF(NOT(ISNUMBER(M1548)),"",IF(G1548="Terreno",IF(AND(ISNUMBER(I1548),I1548&gt;0),M1548/I1548,""),IF(AND(ISNUMBER(H1548),H1548&gt;0),M1548/H1548,"")))</f>
        <v/>
      </c>
      <c r="T1548" s="9">
        <f>IF(AND(ISNUMBER(M1548),ISNUMBER(O1548)),IF(M1548&lt;=O1548,"Valor ≤ venal IPTU",""),"")</f>
        <v/>
      </c>
      <c r="U1548" s="10">
        <f>IF(AND(ISNUMBER(M1548),ISNUMBER(N1548)),IF(N1548&gt;0,M1548/N1548,""),"")</f>
        <v/>
      </c>
      <c r="V1548" s="10">
        <f>IF(AND(ISNUMBER(M1548),ISNUMBER(O1548)),IF(O1548&gt;0,M1548/O1548,""),"")</f>
        <v/>
      </c>
      <c r="W1548" s="10">
        <f>IF(AND(ISNUMBER(M1548),ISNUMBER(R1548)),IF(R1548&gt;0,M1548/R1548,""),"")</f>
        <v/>
      </c>
      <c r="X1548" s="10">
        <f>IF(AND(ISNUMBER(Q1548),ISNUMBER(M1548)),IF(M1548&gt;0,Q1548/M1548,""),"")</f>
        <v/>
      </c>
      <c r="Y1548" s="11">
        <f>IF(ISNUMBER(Z1548),YEAR(Z1548),"")</f>
        <v/>
      </c>
      <c r="Z1548" s="12" t="n"/>
      <c r="AA1548" s="12" t="n"/>
      <c r="AI1548" s="12" t="n"/>
      <c r="AJ1548" s="13">
        <f>IF(LEN(TRIM(AF1548))=0,"",HYPERLINK("https://www.google.com/maps/@?api=1&amp;map_action=pano&amp;viewpoint="&amp;SUBSTITUTE(AF1548," ",""),"Abrir Street View"))</f>
        <v/>
      </c>
    </row>
    <row r="1549">
      <c r="H1549" s="6" t="n"/>
      <c r="I1549" s="6" t="n"/>
      <c r="M1549" s="7" t="n"/>
      <c r="N1549" s="7" t="n"/>
      <c r="O1549" s="7" t="n"/>
      <c r="Q1549" s="7" t="n"/>
      <c r="R1549" s="7" t="n"/>
      <c r="S1549" s="8">
        <f>IF(NOT(ISNUMBER(M1549)),"",IF(G1549="Terreno",IF(AND(ISNUMBER(I1549),I1549&gt;0),M1549/I1549,""),IF(AND(ISNUMBER(H1549),H1549&gt;0),M1549/H1549,"")))</f>
        <v/>
      </c>
      <c r="T1549" s="9">
        <f>IF(AND(ISNUMBER(M1549),ISNUMBER(O1549)),IF(M1549&lt;=O1549,"Valor ≤ venal IPTU",""),"")</f>
        <v/>
      </c>
      <c r="U1549" s="10">
        <f>IF(AND(ISNUMBER(M1549),ISNUMBER(N1549)),IF(N1549&gt;0,M1549/N1549,""),"")</f>
        <v/>
      </c>
      <c r="V1549" s="10">
        <f>IF(AND(ISNUMBER(M1549),ISNUMBER(O1549)),IF(O1549&gt;0,M1549/O1549,""),"")</f>
        <v/>
      </c>
      <c r="W1549" s="10">
        <f>IF(AND(ISNUMBER(M1549),ISNUMBER(R1549)),IF(R1549&gt;0,M1549/R1549,""),"")</f>
        <v/>
      </c>
      <c r="X1549" s="10">
        <f>IF(AND(ISNUMBER(Q1549),ISNUMBER(M1549)),IF(M1549&gt;0,Q1549/M1549,""),"")</f>
        <v/>
      </c>
      <c r="Y1549" s="11">
        <f>IF(ISNUMBER(Z1549),YEAR(Z1549),"")</f>
        <v/>
      </c>
      <c r="Z1549" s="12" t="n"/>
      <c r="AA1549" s="12" t="n"/>
      <c r="AI1549" s="12" t="n"/>
      <c r="AJ1549" s="13">
        <f>IF(LEN(TRIM(AF1549))=0,"",HYPERLINK("https://www.google.com/maps/@?api=1&amp;map_action=pano&amp;viewpoint="&amp;SUBSTITUTE(AF1549," ",""),"Abrir Street View"))</f>
        <v/>
      </c>
    </row>
    <row r="1550">
      <c r="H1550" s="6" t="n"/>
      <c r="I1550" s="6" t="n"/>
      <c r="M1550" s="7" t="n"/>
      <c r="N1550" s="7" t="n"/>
      <c r="O1550" s="7" t="n"/>
      <c r="Q1550" s="7" t="n"/>
      <c r="R1550" s="7" t="n"/>
      <c r="S1550" s="8">
        <f>IF(NOT(ISNUMBER(M1550)),"",IF(G1550="Terreno",IF(AND(ISNUMBER(I1550),I1550&gt;0),M1550/I1550,""),IF(AND(ISNUMBER(H1550),H1550&gt;0),M1550/H1550,"")))</f>
        <v/>
      </c>
      <c r="T1550" s="9">
        <f>IF(AND(ISNUMBER(M1550),ISNUMBER(O1550)),IF(M1550&lt;=O1550,"Valor ≤ venal IPTU",""),"")</f>
        <v/>
      </c>
      <c r="U1550" s="10">
        <f>IF(AND(ISNUMBER(M1550),ISNUMBER(N1550)),IF(N1550&gt;0,M1550/N1550,""),"")</f>
        <v/>
      </c>
      <c r="V1550" s="10">
        <f>IF(AND(ISNUMBER(M1550),ISNUMBER(O1550)),IF(O1550&gt;0,M1550/O1550,""),"")</f>
        <v/>
      </c>
      <c r="W1550" s="10">
        <f>IF(AND(ISNUMBER(M1550),ISNUMBER(R1550)),IF(R1550&gt;0,M1550/R1550,""),"")</f>
        <v/>
      </c>
      <c r="X1550" s="10">
        <f>IF(AND(ISNUMBER(Q1550),ISNUMBER(M1550)),IF(M1550&gt;0,Q1550/M1550,""),"")</f>
        <v/>
      </c>
      <c r="Y1550" s="11">
        <f>IF(ISNUMBER(Z1550),YEAR(Z1550),"")</f>
        <v/>
      </c>
      <c r="Z1550" s="12" t="n"/>
      <c r="AA1550" s="12" t="n"/>
      <c r="AI1550" s="12" t="n"/>
      <c r="AJ1550" s="13">
        <f>IF(LEN(TRIM(AF1550))=0,"",HYPERLINK("https://www.google.com/maps/@?api=1&amp;map_action=pano&amp;viewpoint="&amp;SUBSTITUTE(AF1550," ",""),"Abrir Street View"))</f>
        <v/>
      </c>
    </row>
    <row r="1551">
      <c r="H1551" s="6" t="n"/>
      <c r="I1551" s="6" t="n"/>
      <c r="M1551" s="7" t="n"/>
      <c r="N1551" s="7" t="n"/>
      <c r="O1551" s="7" t="n"/>
      <c r="Q1551" s="7" t="n"/>
      <c r="R1551" s="7" t="n"/>
      <c r="S1551" s="8">
        <f>IF(NOT(ISNUMBER(M1551)),"",IF(G1551="Terreno",IF(AND(ISNUMBER(I1551),I1551&gt;0),M1551/I1551,""),IF(AND(ISNUMBER(H1551),H1551&gt;0),M1551/H1551,"")))</f>
        <v/>
      </c>
      <c r="T1551" s="9">
        <f>IF(AND(ISNUMBER(M1551),ISNUMBER(O1551)),IF(M1551&lt;=O1551,"Valor ≤ venal IPTU",""),"")</f>
        <v/>
      </c>
      <c r="U1551" s="10">
        <f>IF(AND(ISNUMBER(M1551),ISNUMBER(N1551)),IF(N1551&gt;0,M1551/N1551,""),"")</f>
        <v/>
      </c>
      <c r="V1551" s="10">
        <f>IF(AND(ISNUMBER(M1551),ISNUMBER(O1551)),IF(O1551&gt;0,M1551/O1551,""),"")</f>
        <v/>
      </c>
      <c r="W1551" s="10">
        <f>IF(AND(ISNUMBER(M1551),ISNUMBER(R1551)),IF(R1551&gt;0,M1551/R1551,""),"")</f>
        <v/>
      </c>
      <c r="X1551" s="10">
        <f>IF(AND(ISNUMBER(Q1551),ISNUMBER(M1551)),IF(M1551&gt;0,Q1551/M1551,""),"")</f>
        <v/>
      </c>
      <c r="Y1551" s="11">
        <f>IF(ISNUMBER(Z1551),YEAR(Z1551),"")</f>
        <v/>
      </c>
      <c r="Z1551" s="12" t="n"/>
      <c r="AA1551" s="12" t="n"/>
      <c r="AI1551" s="12" t="n"/>
      <c r="AJ1551" s="13">
        <f>IF(LEN(TRIM(AF1551))=0,"",HYPERLINK("https://www.google.com/maps/@?api=1&amp;map_action=pano&amp;viewpoint="&amp;SUBSTITUTE(AF1551," ",""),"Abrir Street View"))</f>
        <v/>
      </c>
    </row>
    <row r="1552">
      <c r="H1552" s="6" t="n"/>
      <c r="I1552" s="6" t="n"/>
      <c r="M1552" s="7" t="n"/>
      <c r="N1552" s="7" t="n"/>
      <c r="O1552" s="7" t="n"/>
      <c r="Q1552" s="7" t="n"/>
      <c r="R1552" s="7" t="n"/>
      <c r="S1552" s="8">
        <f>IF(NOT(ISNUMBER(M1552)),"",IF(G1552="Terreno",IF(AND(ISNUMBER(I1552),I1552&gt;0),M1552/I1552,""),IF(AND(ISNUMBER(H1552),H1552&gt;0),M1552/H1552,"")))</f>
        <v/>
      </c>
      <c r="T1552" s="9">
        <f>IF(AND(ISNUMBER(M1552),ISNUMBER(O1552)),IF(M1552&lt;=O1552,"Valor ≤ venal IPTU",""),"")</f>
        <v/>
      </c>
      <c r="U1552" s="10">
        <f>IF(AND(ISNUMBER(M1552),ISNUMBER(N1552)),IF(N1552&gt;0,M1552/N1552,""),"")</f>
        <v/>
      </c>
      <c r="V1552" s="10">
        <f>IF(AND(ISNUMBER(M1552),ISNUMBER(O1552)),IF(O1552&gt;0,M1552/O1552,""),"")</f>
        <v/>
      </c>
      <c r="W1552" s="10">
        <f>IF(AND(ISNUMBER(M1552),ISNUMBER(R1552)),IF(R1552&gt;0,M1552/R1552,""),"")</f>
        <v/>
      </c>
      <c r="X1552" s="10">
        <f>IF(AND(ISNUMBER(Q1552),ISNUMBER(M1552)),IF(M1552&gt;0,Q1552/M1552,""),"")</f>
        <v/>
      </c>
      <c r="Y1552" s="11">
        <f>IF(ISNUMBER(Z1552),YEAR(Z1552),"")</f>
        <v/>
      </c>
      <c r="Z1552" s="12" t="n"/>
      <c r="AA1552" s="12" t="n"/>
      <c r="AI1552" s="12" t="n"/>
      <c r="AJ1552" s="13">
        <f>IF(LEN(TRIM(AF1552))=0,"",HYPERLINK("https://www.google.com/maps/@?api=1&amp;map_action=pano&amp;viewpoint="&amp;SUBSTITUTE(AF1552," ",""),"Abrir Street View"))</f>
        <v/>
      </c>
    </row>
    <row r="1553">
      <c r="H1553" s="6" t="n"/>
      <c r="I1553" s="6" t="n"/>
      <c r="M1553" s="7" t="n"/>
      <c r="N1553" s="7" t="n"/>
      <c r="O1553" s="7" t="n"/>
      <c r="Q1553" s="7" t="n"/>
      <c r="R1553" s="7" t="n"/>
      <c r="S1553" s="8">
        <f>IF(NOT(ISNUMBER(M1553)),"",IF(G1553="Terreno",IF(AND(ISNUMBER(I1553),I1553&gt;0),M1553/I1553,""),IF(AND(ISNUMBER(H1553),H1553&gt;0),M1553/H1553,"")))</f>
        <v/>
      </c>
      <c r="T1553" s="9">
        <f>IF(AND(ISNUMBER(M1553),ISNUMBER(O1553)),IF(M1553&lt;=O1553,"Valor ≤ venal IPTU",""),"")</f>
        <v/>
      </c>
      <c r="U1553" s="10">
        <f>IF(AND(ISNUMBER(M1553),ISNUMBER(N1553)),IF(N1553&gt;0,M1553/N1553,""),"")</f>
        <v/>
      </c>
      <c r="V1553" s="10">
        <f>IF(AND(ISNUMBER(M1553),ISNUMBER(O1553)),IF(O1553&gt;0,M1553/O1553,""),"")</f>
        <v/>
      </c>
      <c r="W1553" s="10">
        <f>IF(AND(ISNUMBER(M1553),ISNUMBER(R1553)),IF(R1553&gt;0,M1553/R1553,""),"")</f>
        <v/>
      </c>
      <c r="X1553" s="10">
        <f>IF(AND(ISNUMBER(Q1553),ISNUMBER(M1553)),IF(M1553&gt;0,Q1553/M1553,""),"")</f>
        <v/>
      </c>
      <c r="Y1553" s="11">
        <f>IF(ISNUMBER(Z1553),YEAR(Z1553),"")</f>
        <v/>
      </c>
      <c r="Z1553" s="12" t="n"/>
      <c r="AA1553" s="12" t="n"/>
      <c r="AI1553" s="12" t="n"/>
      <c r="AJ1553" s="13">
        <f>IF(LEN(TRIM(AF1553))=0,"",HYPERLINK("https://www.google.com/maps/@?api=1&amp;map_action=pano&amp;viewpoint="&amp;SUBSTITUTE(AF1553," ",""),"Abrir Street View"))</f>
        <v/>
      </c>
    </row>
    <row r="1554">
      <c r="H1554" s="6" t="n"/>
      <c r="I1554" s="6" t="n"/>
      <c r="M1554" s="7" t="n"/>
      <c r="N1554" s="7" t="n"/>
      <c r="O1554" s="7" t="n"/>
      <c r="Q1554" s="7" t="n"/>
      <c r="R1554" s="7" t="n"/>
      <c r="S1554" s="8">
        <f>IF(NOT(ISNUMBER(M1554)),"",IF(G1554="Terreno",IF(AND(ISNUMBER(I1554),I1554&gt;0),M1554/I1554,""),IF(AND(ISNUMBER(H1554),H1554&gt;0),M1554/H1554,"")))</f>
        <v/>
      </c>
      <c r="T1554" s="9">
        <f>IF(AND(ISNUMBER(M1554),ISNUMBER(O1554)),IF(M1554&lt;=O1554,"Valor ≤ venal IPTU",""),"")</f>
        <v/>
      </c>
      <c r="U1554" s="10">
        <f>IF(AND(ISNUMBER(M1554),ISNUMBER(N1554)),IF(N1554&gt;0,M1554/N1554,""),"")</f>
        <v/>
      </c>
      <c r="V1554" s="10">
        <f>IF(AND(ISNUMBER(M1554),ISNUMBER(O1554)),IF(O1554&gt;0,M1554/O1554,""),"")</f>
        <v/>
      </c>
      <c r="W1554" s="10">
        <f>IF(AND(ISNUMBER(M1554),ISNUMBER(R1554)),IF(R1554&gt;0,M1554/R1554,""),"")</f>
        <v/>
      </c>
      <c r="X1554" s="10">
        <f>IF(AND(ISNUMBER(Q1554),ISNUMBER(M1554)),IF(M1554&gt;0,Q1554/M1554,""),"")</f>
        <v/>
      </c>
      <c r="Y1554" s="11">
        <f>IF(ISNUMBER(Z1554),YEAR(Z1554),"")</f>
        <v/>
      </c>
      <c r="Z1554" s="12" t="n"/>
      <c r="AA1554" s="12" t="n"/>
      <c r="AI1554" s="12" t="n"/>
      <c r="AJ1554" s="13">
        <f>IF(LEN(TRIM(AF1554))=0,"",HYPERLINK("https://www.google.com/maps/@?api=1&amp;map_action=pano&amp;viewpoint="&amp;SUBSTITUTE(AF1554," ",""),"Abrir Street View"))</f>
        <v/>
      </c>
    </row>
    <row r="1555">
      <c r="H1555" s="6" t="n"/>
      <c r="I1555" s="6" t="n"/>
      <c r="M1555" s="7" t="n"/>
      <c r="N1555" s="7" t="n"/>
      <c r="O1555" s="7" t="n"/>
      <c r="Q1555" s="7" t="n"/>
      <c r="R1555" s="7" t="n"/>
      <c r="S1555" s="8">
        <f>IF(NOT(ISNUMBER(M1555)),"",IF(G1555="Terreno",IF(AND(ISNUMBER(I1555),I1555&gt;0),M1555/I1555,""),IF(AND(ISNUMBER(H1555),H1555&gt;0),M1555/H1555,"")))</f>
        <v/>
      </c>
      <c r="T1555" s="9">
        <f>IF(AND(ISNUMBER(M1555),ISNUMBER(O1555)),IF(M1555&lt;=O1555,"Valor ≤ venal IPTU",""),"")</f>
        <v/>
      </c>
      <c r="U1555" s="10">
        <f>IF(AND(ISNUMBER(M1555),ISNUMBER(N1555)),IF(N1555&gt;0,M1555/N1555,""),"")</f>
        <v/>
      </c>
      <c r="V1555" s="10">
        <f>IF(AND(ISNUMBER(M1555),ISNUMBER(O1555)),IF(O1555&gt;0,M1555/O1555,""),"")</f>
        <v/>
      </c>
      <c r="W1555" s="10">
        <f>IF(AND(ISNUMBER(M1555),ISNUMBER(R1555)),IF(R1555&gt;0,M1555/R1555,""),"")</f>
        <v/>
      </c>
      <c r="X1555" s="10">
        <f>IF(AND(ISNUMBER(Q1555),ISNUMBER(M1555)),IF(M1555&gt;0,Q1555/M1555,""),"")</f>
        <v/>
      </c>
      <c r="Y1555" s="11">
        <f>IF(ISNUMBER(Z1555),YEAR(Z1555),"")</f>
        <v/>
      </c>
      <c r="Z1555" s="12" t="n"/>
      <c r="AA1555" s="12" t="n"/>
      <c r="AI1555" s="12" t="n"/>
      <c r="AJ1555" s="13">
        <f>IF(LEN(TRIM(AF1555))=0,"",HYPERLINK("https://www.google.com/maps/@?api=1&amp;map_action=pano&amp;viewpoint="&amp;SUBSTITUTE(AF1555," ",""),"Abrir Street View"))</f>
        <v/>
      </c>
    </row>
    <row r="1556">
      <c r="H1556" s="6" t="n"/>
      <c r="I1556" s="6" t="n"/>
      <c r="M1556" s="7" t="n"/>
      <c r="N1556" s="7" t="n"/>
      <c r="O1556" s="7" t="n"/>
      <c r="Q1556" s="7" t="n"/>
      <c r="R1556" s="7" t="n"/>
      <c r="S1556" s="8">
        <f>IF(NOT(ISNUMBER(M1556)),"",IF(G1556="Terreno",IF(AND(ISNUMBER(I1556),I1556&gt;0),M1556/I1556,""),IF(AND(ISNUMBER(H1556),H1556&gt;0),M1556/H1556,"")))</f>
        <v/>
      </c>
      <c r="T1556" s="9">
        <f>IF(AND(ISNUMBER(M1556),ISNUMBER(O1556)),IF(M1556&lt;=O1556,"Valor ≤ venal IPTU",""),"")</f>
        <v/>
      </c>
      <c r="U1556" s="10">
        <f>IF(AND(ISNUMBER(M1556),ISNUMBER(N1556)),IF(N1556&gt;0,M1556/N1556,""),"")</f>
        <v/>
      </c>
      <c r="V1556" s="10">
        <f>IF(AND(ISNUMBER(M1556),ISNUMBER(O1556)),IF(O1556&gt;0,M1556/O1556,""),"")</f>
        <v/>
      </c>
      <c r="W1556" s="10">
        <f>IF(AND(ISNUMBER(M1556),ISNUMBER(R1556)),IF(R1556&gt;0,M1556/R1556,""),"")</f>
        <v/>
      </c>
      <c r="X1556" s="10">
        <f>IF(AND(ISNUMBER(Q1556),ISNUMBER(M1556)),IF(M1556&gt;0,Q1556/M1556,""),"")</f>
        <v/>
      </c>
      <c r="Y1556" s="11">
        <f>IF(ISNUMBER(Z1556),YEAR(Z1556),"")</f>
        <v/>
      </c>
      <c r="Z1556" s="12" t="n"/>
      <c r="AA1556" s="12" t="n"/>
      <c r="AI1556" s="12" t="n"/>
      <c r="AJ1556" s="13">
        <f>IF(LEN(TRIM(AF1556))=0,"",HYPERLINK("https://www.google.com/maps/@?api=1&amp;map_action=pano&amp;viewpoint="&amp;SUBSTITUTE(AF1556," ",""),"Abrir Street View"))</f>
        <v/>
      </c>
    </row>
    <row r="1557">
      <c r="H1557" s="6" t="n"/>
      <c r="I1557" s="6" t="n"/>
      <c r="M1557" s="7" t="n"/>
      <c r="N1557" s="7" t="n"/>
      <c r="O1557" s="7" t="n"/>
      <c r="Q1557" s="7" t="n"/>
      <c r="R1557" s="7" t="n"/>
      <c r="S1557" s="8">
        <f>IF(NOT(ISNUMBER(M1557)),"",IF(G1557="Terreno",IF(AND(ISNUMBER(I1557),I1557&gt;0),M1557/I1557,""),IF(AND(ISNUMBER(H1557),H1557&gt;0),M1557/H1557,"")))</f>
        <v/>
      </c>
      <c r="T1557" s="9">
        <f>IF(AND(ISNUMBER(M1557),ISNUMBER(O1557)),IF(M1557&lt;=O1557,"Valor ≤ venal IPTU",""),"")</f>
        <v/>
      </c>
      <c r="U1557" s="10">
        <f>IF(AND(ISNUMBER(M1557),ISNUMBER(N1557)),IF(N1557&gt;0,M1557/N1557,""),"")</f>
        <v/>
      </c>
      <c r="V1557" s="10">
        <f>IF(AND(ISNUMBER(M1557),ISNUMBER(O1557)),IF(O1557&gt;0,M1557/O1557,""),"")</f>
        <v/>
      </c>
      <c r="W1557" s="10">
        <f>IF(AND(ISNUMBER(M1557),ISNUMBER(R1557)),IF(R1557&gt;0,M1557/R1557,""),"")</f>
        <v/>
      </c>
      <c r="X1557" s="10">
        <f>IF(AND(ISNUMBER(Q1557),ISNUMBER(M1557)),IF(M1557&gt;0,Q1557/M1557,""),"")</f>
        <v/>
      </c>
      <c r="Y1557" s="11">
        <f>IF(ISNUMBER(Z1557),YEAR(Z1557),"")</f>
        <v/>
      </c>
      <c r="Z1557" s="12" t="n"/>
      <c r="AA1557" s="12" t="n"/>
      <c r="AI1557" s="12" t="n"/>
      <c r="AJ1557" s="13">
        <f>IF(LEN(TRIM(AF1557))=0,"",HYPERLINK("https://www.google.com/maps/@?api=1&amp;map_action=pano&amp;viewpoint="&amp;SUBSTITUTE(AF1557," ",""),"Abrir Street View"))</f>
        <v/>
      </c>
    </row>
    <row r="1558">
      <c r="H1558" s="6" t="n"/>
      <c r="I1558" s="6" t="n"/>
      <c r="M1558" s="7" t="n"/>
      <c r="N1558" s="7" t="n"/>
      <c r="O1558" s="7" t="n"/>
      <c r="Q1558" s="7" t="n"/>
      <c r="R1558" s="7" t="n"/>
      <c r="S1558" s="8">
        <f>IF(NOT(ISNUMBER(M1558)),"",IF(G1558="Terreno",IF(AND(ISNUMBER(I1558),I1558&gt;0),M1558/I1558,""),IF(AND(ISNUMBER(H1558),H1558&gt;0),M1558/H1558,"")))</f>
        <v/>
      </c>
      <c r="T1558" s="9">
        <f>IF(AND(ISNUMBER(M1558),ISNUMBER(O1558)),IF(M1558&lt;=O1558,"Valor ≤ venal IPTU",""),"")</f>
        <v/>
      </c>
      <c r="U1558" s="10">
        <f>IF(AND(ISNUMBER(M1558),ISNUMBER(N1558)),IF(N1558&gt;0,M1558/N1558,""),"")</f>
        <v/>
      </c>
      <c r="V1558" s="10">
        <f>IF(AND(ISNUMBER(M1558),ISNUMBER(O1558)),IF(O1558&gt;0,M1558/O1558,""),"")</f>
        <v/>
      </c>
      <c r="W1558" s="10">
        <f>IF(AND(ISNUMBER(M1558),ISNUMBER(R1558)),IF(R1558&gt;0,M1558/R1558,""),"")</f>
        <v/>
      </c>
      <c r="X1558" s="10">
        <f>IF(AND(ISNUMBER(Q1558),ISNUMBER(M1558)),IF(M1558&gt;0,Q1558/M1558,""),"")</f>
        <v/>
      </c>
      <c r="Y1558" s="11">
        <f>IF(ISNUMBER(Z1558),YEAR(Z1558),"")</f>
        <v/>
      </c>
      <c r="Z1558" s="12" t="n"/>
      <c r="AA1558" s="12" t="n"/>
      <c r="AI1558" s="12" t="n"/>
      <c r="AJ1558" s="13">
        <f>IF(LEN(TRIM(AF1558))=0,"",HYPERLINK("https://www.google.com/maps/@?api=1&amp;map_action=pano&amp;viewpoint="&amp;SUBSTITUTE(AF1558," ",""),"Abrir Street View"))</f>
        <v/>
      </c>
    </row>
    <row r="1559">
      <c r="H1559" s="6" t="n"/>
      <c r="I1559" s="6" t="n"/>
      <c r="M1559" s="7" t="n"/>
      <c r="N1559" s="7" t="n"/>
      <c r="O1559" s="7" t="n"/>
      <c r="Q1559" s="7" t="n"/>
      <c r="R1559" s="7" t="n"/>
      <c r="S1559" s="8">
        <f>IF(NOT(ISNUMBER(M1559)),"",IF(G1559="Terreno",IF(AND(ISNUMBER(I1559),I1559&gt;0),M1559/I1559,""),IF(AND(ISNUMBER(H1559),H1559&gt;0),M1559/H1559,"")))</f>
        <v/>
      </c>
      <c r="T1559" s="9">
        <f>IF(AND(ISNUMBER(M1559),ISNUMBER(O1559)),IF(M1559&lt;=O1559,"Valor ≤ venal IPTU",""),"")</f>
        <v/>
      </c>
      <c r="U1559" s="10">
        <f>IF(AND(ISNUMBER(M1559),ISNUMBER(N1559)),IF(N1559&gt;0,M1559/N1559,""),"")</f>
        <v/>
      </c>
      <c r="V1559" s="10">
        <f>IF(AND(ISNUMBER(M1559),ISNUMBER(O1559)),IF(O1559&gt;0,M1559/O1559,""),"")</f>
        <v/>
      </c>
      <c r="W1559" s="10">
        <f>IF(AND(ISNUMBER(M1559),ISNUMBER(R1559)),IF(R1559&gt;0,M1559/R1559,""),"")</f>
        <v/>
      </c>
      <c r="X1559" s="10">
        <f>IF(AND(ISNUMBER(Q1559),ISNUMBER(M1559)),IF(M1559&gt;0,Q1559/M1559,""),"")</f>
        <v/>
      </c>
      <c r="Y1559" s="11">
        <f>IF(ISNUMBER(Z1559),YEAR(Z1559),"")</f>
        <v/>
      </c>
      <c r="Z1559" s="12" t="n"/>
      <c r="AA1559" s="12" t="n"/>
      <c r="AI1559" s="12" t="n"/>
      <c r="AJ1559" s="13">
        <f>IF(LEN(TRIM(AF1559))=0,"",HYPERLINK("https://www.google.com/maps/@?api=1&amp;map_action=pano&amp;viewpoint="&amp;SUBSTITUTE(AF1559," ",""),"Abrir Street View"))</f>
        <v/>
      </c>
    </row>
    <row r="1560">
      <c r="H1560" s="6" t="n"/>
      <c r="I1560" s="6" t="n"/>
      <c r="M1560" s="7" t="n"/>
      <c r="N1560" s="7" t="n"/>
      <c r="O1560" s="7" t="n"/>
      <c r="Q1560" s="7" t="n"/>
      <c r="R1560" s="7" t="n"/>
      <c r="S1560" s="8">
        <f>IF(NOT(ISNUMBER(M1560)),"",IF(G1560="Terreno",IF(AND(ISNUMBER(I1560),I1560&gt;0),M1560/I1560,""),IF(AND(ISNUMBER(H1560),H1560&gt;0),M1560/H1560,"")))</f>
        <v/>
      </c>
      <c r="T1560" s="9">
        <f>IF(AND(ISNUMBER(M1560),ISNUMBER(O1560)),IF(M1560&lt;=O1560,"Valor ≤ venal IPTU",""),"")</f>
        <v/>
      </c>
      <c r="U1560" s="10">
        <f>IF(AND(ISNUMBER(M1560),ISNUMBER(N1560)),IF(N1560&gt;0,M1560/N1560,""),"")</f>
        <v/>
      </c>
      <c r="V1560" s="10">
        <f>IF(AND(ISNUMBER(M1560),ISNUMBER(O1560)),IF(O1560&gt;0,M1560/O1560,""),"")</f>
        <v/>
      </c>
      <c r="W1560" s="10">
        <f>IF(AND(ISNUMBER(M1560),ISNUMBER(R1560)),IF(R1560&gt;0,M1560/R1560,""),"")</f>
        <v/>
      </c>
      <c r="X1560" s="10">
        <f>IF(AND(ISNUMBER(Q1560),ISNUMBER(M1560)),IF(M1560&gt;0,Q1560/M1560,""),"")</f>
        <v/>
      </c>
      <c r="Y1560" s="11">
        <f>IF(ISNUMBER(Z1560),YEAR(Z1560),"")</f>
        <v/>
      </c>
      <c r="Z1560" s="12" t="n"/>
      <c r="AA1560" s="12" t="n"/>
      <c r="AI1560" s="12" t="n"/>
      <c r="AJ1560" s="13">
        <f>IF(LEN(TRIM(AF1560))=0,"",HYPERLINK("https://www.google.com/maps/@?api=1&amp;map_action=pano&amp;viewpoint="&amp;SUBSTITUTE(AF1560," ",""),"Abrir Street View"))</f>
        <v/>
      </c>
    </row>
    <row r="1561">
      <c r="H1561" s="6" t="n"/>
      <c r="I1561" s="6" t="n"/>
      <c r="M1561" s="7" t="n"/>
      <c r="N1561" s="7" t="n"/>
      <c r="O1561" s="7" t="n"/>
      <c r="Q1561" s="7" t="n"/>
      <c r="R1561" s="7" t="n"/>
      <c r="S1561" s="8">
        <f>IF(NOT(ISNUMBER(M1561)),"",IF(G1561="Terreno",IF(AND(ISNUMBER(I1561),I1561&gt;0),M1561/I1561,""),IF(AND(ISNUMBER(H1561),H1561&gt;0),M1561/H1561,"")))</f>
        <v/>
      </c>
      <c r="T1561" s="9">
        <f>IF(AND(ISNUMBER(M1561),ISNUMBER(O1561)),IF(M1561&lt;=O1561,"Valor ≤ venal IPTU",""),"")</f>
        <v/>
      </c>
      <c r="U1561" s="10">
        <f>IF(AND(ISNUMBER(M1561),ISNUMBER(N1561)),IF(N1561&gt;0,M1561/N1561,""),"")</f>
        <v/>
      </c>
      <c r="V1561" s="10">
        <f>IF(AND(ISNUMBER(M1561),ISNUMBER(O1561)),IF(O1561&gt;0,M1561/O1561,""),"")</f>
        <v/>
      </c>
      <c r="W1561" s="10">
        <f>IF(AND(ISNUMBER(M1561),ISNUMBER(R1561)),IF(R1561&gt;0,M1561/R1561,""),"")</f>
        <v/>
      </c>
      <c r="X1561" s="10">
        <f>IF(AND(ISNUMBER(Q1561),ISNUMBER(M1561)),IF(M1561&gt;0,Q1561/M1561,""),"")</f>
        <v/>
      </c>
      <c r="Y1561" s="11">
        <f>IF(ISNUMBER(Z1561),YEAR(Z1561),"")</f>
        <v/>
      </c>
      <c r="Z1561" s="12" t="n"/>
      <c r="AA1561" s="12" t="n"/>
      <c r="AI1561" s="12" t="n"/>
      <c r="AJ1561" s="13">
        <f>IF(LEN(TRIM(AF1561))=0,"",HYPERLINK("https://www.google.com/maps/@?api=1&amp;map_action=pano&amp;viewpoint="&amp;SUBSTITUTE(AF1561," ",""),"Abrir Street View"))</f>
        <v/>
      </c>
    </row>
    <row r="1562">
      <c r="H1562" s="6" t="n"/>
      <c r="I1562" s="6" t="n"/>
      <c r="M1562" s="7" t="n"/>
      <c r="N1562" s="7" t="n"/>
      <c r="O1562" s="7" t="n"/>
      <c r="Q1562" s="7" t="n"/>
      <c r="R1562" s="7" t="n"/>
      <c r="S1562" s="8">
        <f>IF(NOT(ISNUMBER(M1562)),"",IF(G1562="Terreno",IF(AND(ISNUMBER(I1562),I1562&gt;0),M1562/I1562,""),IF(AND(ISNUMBER(H1562),H1562&gt;0),M1562/H1562,"")))</f>
        <v/>
      </c>
      <c r="T1562" s="9">
        <f>IF(AND(ISNUMBER(M1562),ISNUMBER(O1562)),IF(M1562&lt;=O1562,"Valor ≤ venal IPTU",""),"")</f>
        <v/>
      </c>
      <c r="U1562" s="10">
        <f>IF(AND(ISNUMBER(M1562),ISNUMBER(N1562)),IF(N1562&gt;0,M1562/N1562,""),"")</f>
        <v/>
      </c>
      <c r="V1562" s="10">
        <f>IF(AND(ISNUMBER(M1562),ISNUMBER(O1562)),IF(O1562&gt;0,M1562/O1562,""),"")</f>
        <v/>
      </c>
      <c r="W1562" s="10">
        <f>IF(AND(ISNUMBER(M1562),ISNUMBER(R1562)),IF(R1562&gt;0,M1562/R1562,""),"")</f>
        <v/>
      </c>
      <c r="X1562" s="10">
        <f>IF(AND(ISNUMBER(Q1562),ISNUMBER(M1562)),IF(M1562&gt;0,Q1562/M1562,""),"")</f>
        <v/>
      </c>
      <c r="Y1562" s="11">
        <f>IF(ISNUMBER(Z1562),YEAR(Z1562),"")</f>
        <v/>
      </c>
      <c r="Z1562" s="12" t="n"/>
      <c r="AA1562" s="12" t="n"/>
      <c r="AI1562" s="12" t="n"/>
      <c r="AJ1562" s="13">
        <f>IF(LEN(TRIM(AF1562))=0,"",HYPERLINK("https://www.google.com/maps/@?api=1&amp;map_action=pano&amp;viewpoint="&amp;SUBSTITUTE(AF1562," ",""),"Abrir Street View"))</f>
        <v/>
      </c>
    </row>
    <row r="1563">
      <c r="H1563" s="6" t="n"/>
      <c r="I1563" s="6" t="n"/>
      <c r="M1563" s="7" t="n"/>
      <c r="N1563" s="7" t="n"/>
      <c r="O1563" s="7" t="n"/>
      <c r="Q1563" s="7" t="n"/>
      <c r="R1563" s="7" t="n"/>
      <c r="S1563" s="8">
        <f>IF(NOT(ISNUMBER(M1563)),"",IF(G1563="Terreno",IF(AND(ISNUMBER(I1563),I1563&gt;0),M1563/I1563,""),IF(AND(ISNUMBER(H1563),H1563&gt;0),M1563/H1563,"")))</f>
        <v/>
      </c>
      <c r="T1563" s="9">
        <f>IF(AND(ISNUMBER(M1563),ISNUMBER(O1563)),IF(M1563&lt;=O1563,"Valor ≤ venal IPTU",""),"")</f>
        <v/>
      </c>
      <c r="U1563" s="10">
        <f>IF(AND(ISNUMBER(M1563),ISNUMBER(N1563)),IF(N1563&gt;0,M1563/N1563,""),"")</f>
        <v/>
      </c>
      <c r="V1563" s="10">
        <f>IF(AND(ISNUMBER(M1563),ISNUMBER(O1563)),IF(O1563&gt;0,M1563/O1563,""),"")</f>
        <v/>
      </c>
      <c r="W1563" s="10">
        <f>IF(AND(ISNUMBER(M1563),ISNUMBER(R1563)),IF(R1563&gt;0,M1563/R1563,""),"")</f>
        <v/>
      </c>
      <c r="X1563" s="10">
        <f>IF(AND(ISNUMBER(Q1563),ISNUMBER(M1563)),IF(M1563&gt;0,Q1563/M1563,""),"")</f>
        <v/>
      </c>
      <c r="Y1563" s="11">
        <f>IF(ISNUMBER(Z1563),YEAR(Z1563),"")</f>
        <v/>
      </c>
      <c r="Z1563" s="12" t="n"/>
      <c r="AA1563" s="12" t="n"/>
      <c r="AI1563" s="12" t="n"/>
      <c r="AJ1563" s="13">
        <f>IF(LEN(TRIM(AF1563))=0,"",HYPERLINK("https://www.google.com/maps/@?api=1&amp;map_action=pano&amp;viewpoint="&amp;SUBSTITUTE(AF1563," ",""),"Abrir Street View"))</f>
        <v/>
      </c>
    </row>
    <row r="1564">
      <c r="H1564" s="6" t="n"/>
      <c r="I1564" s="6" t="n"/>
      <c r="M1564" s="7" t="n"/>
      <c r="N1564" s="7" t="n"/>
      <c r="O1564" s="7" t="n"/>
      <c r="Q1564" s="7" t="n"/>
      <c r="R1564" s="7" t="n"/>
      <c r="S1564" s="8">
        <f>IF(NOT(ISNUMBER(M1564)),"",IF(G1564="Terreno",IF(AND(ISNUMBER(I1564),I1564&gt;0),M1564/I1564,""),IF(AND(ISNUMBER(H1564),H1564&gt;0),M1564/H1564,"")))</f>
        <v/>
      </c>
      <c r="T1564" s="9">
        <f>IF(AND(ISNUMBER(M1564),ISNUMBER(O1564)),IF(M1564&lt;=O1564,"Valor ≤ venal IPTU",""),"")</f>
        <v/>
      </c>
      <c r="U1564" s="10">
        <f>IF(AND(ISNUMBER(M1564),ISNUMBER(N1564)),IF(N1564&gt;0,M1564/N1564,""),"")</f>
        <v/>
      </c>
      <c r="V1564" s="10">
        <f>IF(AND(ISNUMBER(M1564),ISNUMBER(O1564)),IF(O1564&gt;0,M1564/O1564,""),"")</f>
        <v/>
      </c>
      <c r="W1564" s="10">
        <f>IF(AND(ISNUMBER(M1564),ISNUMBER(R1564)),IF(R1564&gt;0,M1564/R1564,""),"")</f>
        <v/>
      </c>
      <c r="X1564" s="10">
        <f>IF(AND(ISNUMBER(Q1564),ISNUMBER(M1564)),IF(M1564&gt;0,Q1564/M1564,""),"")</f>
        <v/>
      </c>
      <c r="Y1564" s="11">
        <f>IF(ISNUMBER(Z1564),YEAR(Z1564),"")</f>
        <v/>
      </c>
      <c r="Z1564" s="12" t="n"/>
      <c r="AA1564" s="12" t="n"/>
      <c r="AI1564" s="12" t="n"/>
      <c r="AJ1564" s="13">
        <f>IF(LEN(TRIM(AF1564))=0,"",HYPERLINK("https://www.google.com/maps/@?api=1&amp;map_action=pano&amp;viewpoint="&amp;SUBSTITUTE(AF1564," ",""),"Abrir Street View"))</f>
        <v/>
      </c>
    </row>
    <row r="1565">
      <c r="H1565" s="6" t="n"/>
      <c r="I1565" s="6" t="n"/>
      <c r="M1565" s="7" t="n"/>
      <c r="N1565" s="7" t="n"/>
      <c r="O1565" s="7" t="n"/>
      <c r="Q1565" s="7" t="n"/>
      <c r="R1565" s="7" t="n"/>
      <c r="S1565" s="8">
        <f>IF(NOT(ISNUMBER(M1565)),"",IF(G1565="Terreno",IF(AND(ISNUMBER(I1565),I1565&gt;0),M1565/I1565,""),IF(AND(ISNUMBER(H1565),H1565&gt;0),M1565/H1565,"")))</f>
        <v/>
      </c>
      <c r="T1565" s="9">
        <f>IF(AND(ISNUMBER(M1565),ISNUMBER(O1565)),IF(M1565&lt;=O1565,"Valor ≤ venal IPTU",""),"")</f>
        <v/>
      </c>
      <c r="U1565" s="10">
        <f>IF(AND(ISNUMBER(M1565),ISNUMBER(N1565)),IF(N1565&gt;0,M1565/N1565,""),"")</f>
        <v/>
      </c>
      <c r="V1565" s="10">
        <f>IF(AND(ISNUMBER(M1565),ISNUMBER(O1565)),IF(O1565&gt;0,M1565/O1565,""),"")</f>
        <v/>
      </c>
      <c r="W1565" s="10">
        <f>IF(AND(ISNUMBER(M1565),ISNUMBER(R1565)),IF(R1565&gt;0,M1565/R1565,""),"")</f>
        <v/>
      </c>
      <c r="X1565" s="10">
        <f>IF(AND(ISNUMBER(Q1565),ISNUMBER(M1565)),IF(M1565&gt;0,Q1565/M1565,""),"")</f>
        <v/>
      </c>
      <c r="Y1565" s="11">
        <f>IF(ISNUMBER(Z1565),YEAR(Z1565),"")</f>
        <v/>
      </c>
      <c r="Z1565" s="12" t="n"/>
      <c r="AA1565" s="12" t="n"/>
      <c r="AI1565" s="12" t="n"/>
      <c r="AJ1565" s="13">
        <f>IF(LEN(TRIM(AF1565))=0,"",HYPERLINK("https://www.google.com/maps/@?api=1&amp;map_action=pano&amp;viewpoint="&amp;SUBSTITUTE(AF1565," ",""),"Abrir Street View"))</f>
        <v/>
      </c>
    </row>
    <row r="1566">
      <c r="H1566" s="6" t="n"/>
      <c r="I1566" s="6" t="n"/>
      <c r="M1566" s="7" t="n"/>
      <c r="N1566" s="7" t="n"/>
      <c r="O1566" s="7" t="n"/>
      <c r="Q1566" s="7" t="n"/>
      <c r="R1566" s="7" t="n"/>
      <c r="S1566" s="8">
        <f>IF(NOT(ISNUMBER(M1566)),"",IF(G1566="Terreno",IF(AND(ISNUMBER(I1566),I1566&gt;0),M1566/I1566,""),IF(AND(ISNUMBER(H1566),H1566&gt;0),M1566/H1566,"")))</f>
        <v/>
      </c>
      <c r="T1566" s="9">
        <f>IF(AND(ISNUMBER(M1566),ISNUMBER(O1566)),IF(M1566&lt;=O1566,"Valor ≤ venal IPTU",""),"")</f>
        <v/>
      </c>
      <c r="U1566" s="10">
        <f>IF(AND(ISNUMBER(M1566),ISNUMBER(N1566)),IF(N1566&gt;0,M1566/N1566,""),"")</f>
        <v/>
      </c>
      <c r="V1566" s="10">
        <f>IF(AND(ISNUMBER(M1566),ISNUMBER(O1566)),IF(O1566&gt;0,M1566/O1566,""),"")</f>
        <v/>
      </c>
      <c r="W1566" s="10">
        <f>IF(AND(ISNUMBER(M1566),ISNUMBER(R1566)),IF(R1566&gt;0,M1566/R1566,""),"")</f>
        <v/>
      </c>
      <c r="X1566" s="10">
        <f>IF(AND(ISNUMBER(Q1566),ISNUMBER(M1566)),IF(M1566&gt;0,Q1566/M1566,""),"")</f>
        <v/>
      </c>
      <c r="Y1566" s="11">
        <f>IF(ISNUMBER(Z1566),YEAR(Z1566),"")</f>
        <v/>
      </c>
      <c r="Z1566" s="12" t="n"/>
      <c r="AA1566" s="12" t="n"/>
      <c r="AI1566" s="12" t="n"/>
      <c r="AJ1566" s="13">
        <f>IF(LEN(TRIM(AF1566))=0,"",HYPERLINK("https://www.google.com/maps/@?api=1&amp;map_action=pano&amp;viewpoint="&amp;SUBSTITUTE(AF1566," ",""),"Abrir Street View"))</f>
        <v/>
      </c>
    </row>
    <row r="1567">
      <c r="H1567" s="6" t="n"/>
      <c r="I1567" s="6" t="n"/>
      <c r="M1567" s="7" t="n"/>
      <c r="N1567" s="7" t="n"/>
      <c r="O1567" s="7" t="n"/>
      <c r="Q1567" s="7" t="n"/>
      <c r="R1567" s="7" t="n"/>
      <c r="S1567" s="8">
        <f>IF(NOT(ISNUMBER(M1567)),"",IF(G1567="Terreno",IF(AND(ISNUMBER(I1567),I1567&gt;0),M1567/I1567,""),IF(AND(ISNUMBER(H1567),H1567&gt;0),M1567/H1567,"")))</f>
        <v/>
      </c>
      <c r="T1567" s="9">
        <f>IF(AND(ISNUMBER(M1567),ISNUMBER(O1567)),IF(M1567&lt;=O1567,"Valor ≤ venal IPTU",""),"")</f>
        <v/>
      </c>
      <c r="U1567" s="10">
        <f>IF(AND(ISNUMBER(M1567),ISNUMBER(N1567)),IF(N1567&gt;0,M1567/N1567,""),"")</f>
        <v/>
      </c>
      <c r="V1567" s="10">
        <f>IF(AND(ISNUMBER(M1567),ISNUMBER(O1567)),IF(O1567&gt;0,M1567/O1567,""),"")</f>
        <v/>
      </c>
      <c r="W1567" s="10">
        <f>IF(AND(ISNUMBER(M1567),ISNUMBER(R1567)),IF(R1567&gt;0,M1567/R1567,""),"")</f>
        <v/>
      </c>
      <c r="X1567" s="10">
        <f>IF(AND(ISNUMBER(Q1567),ISNUMBER(M1567)),IF(M1567&gt;0,Q1567/M1567,""),"")</f>
        <v/>
      </c>
      <c r="Y1567" s="11">
        <f>IF(ISNUMBER(Z1567),YEAR(Z1567),"")</f>
        <v/>
      </c>
      <c r="Z1567" s="12" t="n"/>
      <c r="AA1567" s="12" t="n"/>
      <c r="AI1567" s="12" t="n"/>
      <c r="AJ1567" s="13">
        <f>IF(LEN(TRIM(AF1567))=0,"",HYPERLINK("https://www.google.com/maps/@?api=1&amp;map_action=pano&amp;viewpoint="&amp;SUBSTITUTE(AF1567," ",""),"Abrir Street View"))</f>
        <v/>
      </c>
    </row>
    <row r="1568">
      <c r="H1568" s="6" t="n"/>
      <c r="I1568" s="6" t="n"/>
      <c r="M1568" s="7" t="n"/>
      <c r="N1568" s="7" t="n"/>
      <c r="O1568" s="7" t="n"/>
      <c r="Q1568" s="7" t="n"/>
      <c r="R1568" s="7" t="n"/>
      <c r="S1568" s="8">
        <f>IF(NOT(ISNUMBER(M1568)),"",IF(G1568="Terreno",IF(AND(ISNUMBER(I1568),I1568&gt;0),M1568/I1568,""),IF(AND(ISNUMBER(H1568),H1568&gt;0),M1568/H1568,"")))</f>
        <v/>
      </c>
      <c r="T1568" s="9">
        <f>IF(AND(ISNUMBER(M1568),ISNUMBER(O1568)),IF(M1568&lt;=O1568,"Valor ≤ venal IPTU",""),"")</f>
        <v/>
      </c>
      <c r="U1568" s="10">
        <f>IF(AND(ISNUMBER(M1568),ISNUMBER(N1568)),IF(N1568&gt;0,M1568/N1568,""),"")</f>
        <v/>
      </c>
      <c r="V1568" s="10">
        <f>IF(AND(ISNUMBER(M1568),ISNUMBER(O1568)),IF(O1568&gt;0,M1568/O1568,""),"")</f>
        <v/>
      </c>
      <c r="W1568" s="10">
        <f>IF(AND(ISNUMBER(M1568),ISNUMBER(R1568)),IF(R1568&gt;0,M1568/R1568,""),"")</f>
        <v/>
      </c>
      <c r="X1568" s="10">
        <f>IF(AND(ISNUMBER(Q1568),ISNUMBER(M1568)),IF(M1568&gt;0,Q1568/M1568,""),"")</f>
        <v/>
      </c>
      <c r="Y1568" s="11">
        <f>IF(ISNUMBER(Z1568),YEAR(Z1568),"")</f>
        <v/>
      </c>
      <c r="Z1568" s="12" t="n"/>
      <c r="AA1568" s="12" t="n"/>
      <c r="AI1568" s="12" t="n"/>
      <c r="AJ1568" s="13">
        <f>IF(LEN(TRIM(AF1568))=0,"",HYPERLINK("https://www.google.com/maps/@?api=1&amp;map_action=pano&amp;viewpoint="&amp;SUBSTITUTE(AF1568," ",""),"Abrir Street View"))</f>
        <v/>
      </c>
    </row>
    <row r="1569">
      <c r="H1569" s="6" t="n"/>
      <c r="I1569" s="6" t="n"/>
      <c r="M1569" s="7" t="n"/>
      <c r="N1569" s="7" t="n"/>
      <c r="O1569" s="7" t="n"/>
      <c r="Q1569" s="7" t="n"/>
      <c r="R1569" s="7" t="n"/>
      <c r="S1569" s="8">
        <f>IF(NOT(ISNUMBER(M1569)),"",IF(G1569="Terreno",IF(AND(ISNUMBER(I1569),I1569&gt;0),M1569/I1569,""),IF(AND(ISNUMBER(H1569),H1569&gt;0),M1569/H1569,"")))</f>
        <v/>
      </c>
      <c r="T1569" s="9">
        <f>IF(AND(ISNUMBER(M1569),ISNUMBER(O1569)),IF(M1569&lt;=O1569,"Valor ≤ venal IPTU",""),"")</f>
        <v/>
      </c>
      <c r="U1569" s="10">
        <f>IF(AND(ISNUMBER(M1569),ISNUMBER(N1569)),IF(N1569&gt;0,M1569/N1569,""),"")</f>
        <v/>
      </c>
      <c r="V1569" s="10">
        <f>IF(AND(ISNUMBER(M1569),ISNUMBER(O1569)),IF(O1569&gt;0,M1569/O1569,""),"")</f>
        <v/>
      </c>
      <c r="W1569" s="10">
        <f>IF(AND(ISNUMBER(M1569),ISNUMBER(R1569)),IF(R1569&gt;0,M1569/R1569,""),"")</f>
        <v/>
      </c>
      <c r="X1569" s="10">
        <f>IF(AND(ISNUMBER(Q1569),ISNUMBER(M1569)),IF(M1569&gt;0,Q1569/M1569,""),"")</f>
        <v/>
      </c>
      <c r="Y1569" s="11">
        <f>IF(ISNUMBER(Z1569),YEAR(Z1569),"")</f>
        <v/>
      </c>
      <c r="Z1569" s="12" t="n"/>
      <c r="AA1569" s="12" t="n"/>
      <c r="AI1569" s="12" t="n"/>
      <c r="AJ1569" s="13">
        <f>IF(LEN(TRIM(AF1569))=0,"",HYPERLINK("https://www.google.com/maps/@?api=1&amp;map_action=pano&amp;viewpoint="&amp;SUBSTITUTE(AF1569," ",""),"Abrir Street View"))</f>
        <v/>
      </c>
    </row>
    <row r="1570">
      <c r="H1570" s="6" t="n"/>
      <c r="I1570" s="6" t="n"/>
      <c r="M1570" s="7" t="n"/>
      <c r="N1570" s="7" t="n"/>
      <c r="O1570" s="7" t="n"/>
      <c r="Q1570" s="7" t="n"/>
      <c r="R1570" s="7" t="n"/>
      <c r="S1570" s="8">
        <f>IF(NOT(ISNUMBER(M1570)),"",IF(G1570="Terreno",IF(AND(ISNUMBER(I1570),I1570&gt;0),M1570/I1570,""),IF(AND(ISNUMBER(H1570),H1570&gt;0),M1570/H1570,"")))</f>
        <v/>
      </c>
      <c r="T1570" s="9">
        <f>IF(AND(ISNUMBER(M1570),ISNUMBER(O1570)),IF(M1570&lt;=O1570,"Valor ≤ venal IPTU",""),"")</f>
        <v/>
      </c>
      <c r="U1570" s="10">
        <f>IF(AND(ISNUMBER(M1570),ISNUMBER(N1570)),IF(N1570&gt;0,M1570/N1570,""),"")</f>
        <v/>
      </c>
      <c r="V1570" s="10">
        <f>IF(AND(ISNUMBER(M1570),ISNUMBER(O1570)),IF(O1570&gt;0,M1570/O1570,""),"")</f>
        <v/>
      </c>
      <c r="W1570" s="10">
        <f>IF(AND(ISNUMBER(M1570),ISNUMBER(R1570)),IF(R1570&gt;0,M1570/R1570,""),"")</f>
        <v/>
      </c>
      <c r="X1570" s="10">
        <f>IF(AND(ISNUMBER(Q1570),ISNUMBER(M1570)),IF(M1570&gt;0,Q1570/M1570,""),"")</f>
        <v/>
      </c>
      <c r="Y1570" s="11">
        <f>IF(ISNUMBER(Z1570),YEAR(Z1570),"")</f>
        <v/>
      </c>
      <c r="Z1570" s="12" t="n"/>
      <c r="AA1570" s="12" t="n"/>
      <c r="AI1570" s="12" t="n"/>
      <c r="AJ1570" s="13">
        <f>IF(LEN(TRIM(AF1570))=0,"",HYPERLINK("https://www.google.com/maps/@?api=1&amp;map_action=pano&amp;viewpoint="&amp;SUBSTITUTE(AF1570," ",""),"Abrir Street View"))</f>
        <v/>
      </c>
    </row>
    <row r="1571">
      <c r="H1571" s="6" t="n"/>
      <c r="I1571" s="6" t="n"/>
      <c r="M1571" s="7" t="n"/>
      <c r="N1571" s="7" t="n"/>
      <c r="O1571" s="7" t="n"/>
      <c r="Q1571" s="7" t="n"/>
      <c r="R1571" s="7" t="n"/>
      <c r="S1571" s="8">
        <f>IF(NOT(ISNUMBER(M1571)),"",IF(G1571="Terreno",IF(AND(ISNUMBER(I1571),I1571&gt;0),M1571/I1571,""),IF(AND(ISNUMBER(H1571),H1571&gt;0),M1571/H1571,"")))</f>
        <v/>
      </c>
      <c r="T1571" s="9">
        <f>IF(AND(ISNUMBER(M1571),ISNUMBER(O1571)),IF(M1571&lt;=O1571,"Valor ≤ venal IPTU",""),"")</f>
        <v/>
      </c>
      <c r="U1571" s="10">
        <f>IF(AND(ISNUMBER(M1571),ISNUMBER(N1571)),IF(N1571&gt;0,M1571/N1571,""),"")</f>
        <v/>
      </c>
      <c r="V1571" s="10">
        <f>IF(AND(ISNUMBER(M1571),ISNUMBER(O1571)),IF(O1571&gt;0,M1571/O1571,""),"")</f>
        <v/>
      </c>
      <c r="W1571" s="10">
        <f>IF(AND(ISNUMBER(M1571),ISNUMBER(R1571)),IF(R1571&gt;0,M1571/R1571,""),"")</f>
        <v/>
      </c>
      <c r="X1571" s="10">
        <f>IF(AND(ISNUMBER(Q1571),ISNUMBER(M1571)),IF(M1571&gt;0,Q1571/M1571,""),"")</f>
        <v/>
      </c>
      <c r="Y1571" s="11">
        <f>IF(ISNUMBER(Z1571),YEAR(Z1571),"")</f>
        <v/>
      </c>
      <c r="Z1571" s="12" t="n"/>
      <c r="AA1571" s="12" t="n"/>
      <c r="AI1571" s="12" t="n"/>
      <c r="AJ1571" s="13">
        <f>IF(LEN(TRIM(AF1571))=0,"",HYPERLINK("https://www.google.com/maps/@?api=1&amp;map_action=pano&amp;viewpoint="&amp;SUBSTITUTE(AF1571," ",""),"Abrir Street View"))</f>
        <v/>
      </c>
    </row>
    <row r="1572">
      <c r="H1572" s="6" t="n"/>
      <c r="I1572" s="6" t="n"/>
      <c r="M1572" s="7" t="n"/>
      <c r="N1572" s="7" t="n"/>
      <c r="O1572" s="7" t="n"/>
      <c r="Q1572" s="7" t="n"/>
      <c r="R1572" s="7" t="n"/>
      <c r="S1572" s="8">
        <f>IF(NOT(ISNUMBER(M1572)),"",IF(G1572="Terreno",IF(AND(ISNUMBER(I1572),I1572&gt;0),M1572/I1572,""),IF(AND(ISNUMBER(H1572),H1572&gt;0),M1572/H1572,"")))</f>
        <v/>
      </c>
      <c r="T1572" s="9">
        <f>IF(AND(ISNUMBER(M1572),ISNUMBER(O1572)),IF(M1572&lt;=O1572,"Valor ≤ venal IPTU",""),"")</f>
        <v/>
      </c>
      <c r="U1572" s="10">
        <f>IF(AND(ISNUMBER(M1572),ISNUMBER(N1572)),IF(N1572&gt;0,M1572/N1572,""),"")</f>
        <v/>
      </c>
      <c r="V1572" s="10">
        <f>IF(AND(ISNUMBER(M1572),ISNUMBER(O1572)),IF(O1572&gt;0,M1572/O1572,""),"")</f>
        <v/>
      </c>
      <c r="W1572" s="10">
        <f>IF(AND(ISNUMBER(M1572),ISNUMBER(R1572)),IF(R1572&gt;0,M1572/R1572,""),"")</f>
        <v/>
      </c>
      <c r="X1572" s="10">
        <f>IF(AND(ISNUMBER(Q1572),ISNUMBER(M1572)),IF(M1572&gt;0,Q1572/M1572,""),"")</f>
        <v/>
      </c>
      <c r="Y1572" s="11">
        <f>IF(ISNUMBER(Z1572),YEAR(Z1572),"")</f>
        <v/>
      </c>
      <c r="Z1572" s="12" t="n"/>
      <c r="AA1572" s="12" t="n"/>
      <c r="AI1572" s="12" t="n"/>
      <c r="AJ1572" s="13">
        <f>IF(LEN(TRIM(AF1572))=0,"",HYPERLINK("https://www.google.com/maps/@?api=1&amp;map_action=pano&amp;viewpoint="&amp;SUBSTITUTE(AF1572," ",""),"Abrir Street View"))</f>
        <v/>
      </c>
    </row>
    <row r="1573">
      <c r="H1573" s="6" t="n"/>
      <c r="I1573" s="6" t="n"/>
      <c r="M1573" s="7" t="n"/>
      <c r="N1573" s="7" t="n"/>
      <c r="O1573" s="7" t="n"/>
      <c r="Q1573" s="7" t="n"/>
      <c r="R1573" s="7" t="n"/>
      <c r="S1573" s="8">
        <f>IF(NOT(ISNUMBER(M1573)),"",IF(G1573="Terreno",IF(AND(ISNUMBER(I1573),I1573&gt;0),M1573/I1573,""),IF(AND(ISNUMBER(H1573),H1573&gt;0),M1573/H1573,"")))</f>
        <v/>
      </c>
      <c r="T1573" s="9">
        <f>IF(AND(ISNUMBER(M1573),ISNUMBER(O1573)),IF(M1573&lt;=O1573,"Valor ≤ venal IPTU",""),"")</f>
        <v/>
      </c>
      <c r="U1573" s="10">
        <f>IF(AND(ISNUMBER(M1573),ISNUMBER(N1573)),IF(N1573&gt;0,M1573/N1573,""),"")</f>
        <v/>
      </c>
      <c r="V1573" s="10">
        <f>IF(AND(ISNUMBER(M1573),ISNUMBER(O1573)),IF(O1573&gt;0,M1573/O1573,""),"")</f>
        <v/>
      </c>
      <c r="W1573" s="10">
        <f>IF(AND(ISNUMBER(M1573),ISNUMBER(R1573)),IF(R1573&gt;0,M1573/R1573,""),"")</f>
        <v/>
      </c>
      <c r="X1573" s="10">
        <f>IF(AND(ISNUMBER(Q1573),ISNUMBER(M1573)),IF(M1573&gt;0,Q1573/M1573,""),"")</f>
        <v/>
      </c>
      <c r="Y1573" s="11">
        <f>IF(ISNUMBER(Z1573),YEAR(Z1573),"")</f>
        <v/>
      </c>
      <c r="Z1573" s="12" t="n"/>
      <c r="AA1573" s="12" t="n"/>
      <c r="AI1573" s="12" t="n"/>
      <c r="AJ1573" s="13">
        <f>IF(LEN(TRIM(AF1573))=0,"",HYPERLINK("https://www.google.com/maps/@?api=1&amp;map_action=pano&amp;viewpoint="&amp;SUBSTITUTE(AF1573," ",""),"Abrir Street View"))</f>
        <v/>
      </c>
    </row>
    <row r="1574">
      <c r="H1574" s="6" t="n"/>
      <c r="I1574" s="6" t="n"/>
      <c r="M1574" s="7" t="n"/>
      <c r="N1574" s="7" t="n"/>
      <c r="O1574" s="7" t="n"/>
      <c r="Q1574" s="7" t="n"/>
      <c r="R1574" s="7" t="n"/>
      <c r="S1574" s="8">
        <f>IF(NOT(ISNUMBER(M1574)),"",IF(G1574="Terreno",IF(AND(ISNUMBER(I1574),I1574&gt;0),M1574/I1574,""),IF(AND(ISNUMBER(H1574),H1574&gt;0),M1574/H1574,"")))</f>
        <v/>
      </c>
      <c r="T1574" s="9">
        <f>IF(AND(ISNUMBER(M1574),ISNUMBER(O1574)),IF(M1574&lt;=O1574,"Valor ≤ venal IPTU",""),"")</f>
        <v/>
      </c>
      <c r="U1574" s="10">
        <f>IF(AND(ISNUMBER(M1574),ISNUMBER(N1574)),IF(N1574&gt;0,M1574/N1574,""),"")</f>
        <v/>
      </c>
      <c r="V1574" s="10">
        <f>IF(AND(ISNUMBER(M1574),ISNUMBER(O1574)),IF(O1574&gt;0,M1574/O1574,""),"")</f>
        <v/>
      </c>
      <c r="W1574" s="10">
        <f>IF(AND(ISNUMBER(M1574),ISNUMBER(R1574)),IF(R1574&gt;0,M1574/R1574,""),"")</f>
        <v/>
      </c>
      <c r="X1574" s="10">
        <f>IF(AND(ISNUMBER(Q1574),ISNUMBER(M1574)),IF(M1574&gt;0,Q1574/M1574,""),"")</f>
        <v/>
      </c>
      <c r="Y1574" s="11">
        <f>IF(ISNUMBER(Z1574),YEAR(Z1574),"")</f>
        <v/>
      </c>
      <c r="Z1574" s="12" t="n"/>
      <c r="AA1574" s="12" t="n"/>
      <c r="AI1574" s="12" t="n"/>
      <c r="AJ1574" s="13">
        <f>IF(LEN(TRIM(AF1574))=0,"",HYPERLINK("https://www.google.com/maps/@?api=1&amp;map_action=pano&amp;viewpoint="&amp;SUBSTITUTE(AF1574," ",""),"Abrir Street View"))</f>
        <v/>
      </c>
    </row>
    <row r="1575">
      <c r="H1575" s="6" t="n"/>
      <c r="I1575" s="6" t="n"/>
      <c r="M1575" s="7" t="n"/>
      <c r="N1575" s="7" t="n"/>
      <c r="O1575" s="7" t="n"/>
      <c r="Q1575" s="7" t="n"/>
      <c r="R1575" s="7" t="n"/>
      <c r="S1575" s="8">
        <f>IF(NOT(ISNUMBER(M1575)),"",IF(G1575="Terreno",IF(AND(ISNUMBER(I1575),I1575&gt;0),M1575/I1575,""),IF(AND(ISNUMBER(H1575),H1575&gt;0),M1575/H1575,"")))</f>
        <v/>
      </c>
      <c r="T1575" s="9">
        <f>IF(AND(ISNUMBER(M1575),ISNUMBER(O1575)),IF(M1575&lt;=O1575,"Valor ≤ venal IPTU",""),"")</f>
        <v/>
      </c>
      <c r="U1575" s="10">
        <f>IF(AND(ISNUMBER(M1575),ISNUMBER(N1575)),IF(N1575&gt;0,M1575/N1575,""),"")</f>
        <v/>
      </c>
      <c r="V1575" s="10">
        <f>IF(AND(ISNUMBER(M1575),ISNUMBER(O1575)),IF(O1575&gt;0,M1575/O1575,""),"")</f>
        <v/>
      </c>
      <c r="W1575" s="10">
        <f>IF(AND(ISNUMBER(M1575),ISNUMBER(R1575)),IF(R1575&gt;0,M1575/R1575,""),"")</f>
        <v/>
      </c>
      <c r="X1575" s="10">
        <f>IF(AND(ISNUMBER(Q1575),ISNUMBER(M1575)),IF(M1575&gt;0,Q1575/M1575,""),"")</f>
        <v/>
      </c>
      <c r="Y1575" s="11">
        <f>IF(ISNUMBER(Z1575),YEAR(Z1575),"")</f>
        <v/>
      </c>
      <c r="Z1575" s="12" t="n"/>
      <c r="AA1575" s="12" t="n"/>
      <c r="AI1575" s="12" t="n"/>
      <c r="AJ1575" s="13">
        <f>IF(LEN(TRIM(AF1575))=0,"",HYPERLINK("https://www.google.com/maps/@?api=1&amp;map_action=pano&amp;viewpoint="&amp;SUBSTITUTE(AF1575," ",""),"Abrir Street View"))</f>
        <v/>
      </c>
    </row>
    <row r="1576">
      <c r="H1576" s="6" t="n"/>
      <c r="I1576" s="6" t="n"/>
      <c r="M1576" s="7" t="n"/>
      <c r="N1576" s="7" t="n"/>
      <c r="O1576" s="7" t="n"/>
      <c r="Q1576" s="7" t="n"/>
      <c r="R1576" s="7" t="n"/>
      <c r="S1576" s="8">
        <f>IF(NOT(ISNUMBER(M1576)),"",IF(G1576="Terreno",IF(AND(ISNUMBER(I1576),I1576&gt;0),M1576/I1576,""),IF(AND(ISNUMBER(H1576),H1576&gt;0),M1576/H1576,"")))</f>
        <v/>
      </c>
      <c r="T1576" s="9">
        <f>IF(AND(ISNUMBER(M1576),ISNUMBER(O1576)),IF(M1576&lt;=O1576,"Valor ≤ venal IPTU",""),"")</f>
        <v/>
      </c>
      <c r="U1576" s="10">
        <f>IF(AND(ISNUMBER(M1576),ISNUMBER(N1576)),IF(N1576&gt;0,M1576/N1576,""),"")</f>
        <v/>
      </c>
      <c r="V1576" s="10">
        <f>IF(AND(ISNUMBER(M1576),ISNUMBER(O1576)),IF(O1576&gt;0,M1576/O1576,""),"")</f>
        <v/>
      </c>
      <c r="W1576" s="10">
        <f>IF(AND(ISNUMBER(M1576),ISNUMBER(R1576)),IF(R1576&gt;0,M1576/R1576,""),"")</f>
        <v/>
      </c>
      <c r="X1576" s="10">
        <f>IF(AND(ISNUMBER(Q1576),ISNUMBER(M1576)),IF(M1576&gt;0,Q1576/M1576,""),"")</f>
        <v/>
      </c>
      <c r="Y1576" s="11">
        <f>IF(ISNUMBER(Z1576),YEAR(Z1576),"")</f>
        <v/>
      </c>
      <c r="Z1576" s="12" t="n"/>
      <c r="AA1576" s="12" t="n"/>
      <c r="AI1576" s="12" t="n"/>
      <c r="AJ1576" s="13">
        <f>IF(LEN(TRIM(AF1576))=0,"",HYPERLINK("https://www.google.com/maps/@?api=1&amp;map_action=pano&amp;viewpoint="&amp;SUBSTITUTE(AF1576," ",""),"Abrir Street View"))</f>
        <v/>
      </c>
    </row>
    <row r="1577">
      <c r="H1577" s="6" t="n"/>
      <c r="I1577" s="6" t="n"/>
      <c r="M1577" s="7" t="n"/>
      <c r="N1577" s="7" t="n"/>
      <c r="O1577" s="7" t="n"/>
      <c r="Q1577" s="7" t="n"/>
      <c r="R1577" s="7" t="n"/>
      <c r="S1577" s="8">
        <f>IF(NOT(ISNUMBER(M1577)),"",IF(G1577="Terreno",IF(AND(ISNUMBER(I1577),I1577&gt;0),M1577/I1577,""),IF(AND(ISNUMBER(H1577),H1577&gt;0),M1577/H1577,"")))</f>
        <v/>
      </c>
      <c r="T1577" s="9">
        <f>IF(AND(ISNUMBER(M1577),ISNUMBER(O1577)),IF(M1577&lt;=O1577,"Valor ≤ venal IPTU",""),"")</f>
        <v/>
      </c>
      <c r="U1577" s="10">
        <f>IF(AND(ISNUMBER(M1577),ISNUMBER(N1577)),IF(N1577&gt;0,M1577/N1577,""),"")</f>
        <v/>
      </c>
      <c r="V1577" s="10">
        <f>IF(AND(ISNUMBER(M1577),ISNUMBER(O1577)),IF(O1577&gt;0,M1577/O1577,""),"")</f>
        <v/>
      </c>
      <c r="W1577" s="10">
        <f>IF(AND(ISNUMBER(M1577),ISNUMBER(R1577)),IF(R1577&gt;0,M1577/R1577,""),"")</f>
        <v/>
      </c>
      <c r="X1577" s="10">
        <f>IF(AND(ISNUMBER(Q1577),ISNUMBER(M1577)),IF(M1577&gt;0,Q1577/M1577,""),"")</f>
        <v/>
      </c>
      <c r="Y1577" s="11">
        <f>IF(ISNUMBER(Z1577),YEAR(Z1577),"")</f>
        <v/>
      </c>
      <c r="Z1577" s="12" t="n"/>
      <c r="AA1577" s="12" t="n"/>
      <c r="AI1577" s="12" t="n"/>
      <c r="AJ1577" s="13">
        <f>IF(LEN(TRIM(AF1577))=0,"",HYPERLINK("https://www.google.com/maps/@?api=1&amp;map_action=pano&amp;viewpoint="&amp;SUBSTITUTE(AF1577," ",""),"Abrir Street View"))</f>
        <v/>
      </c>
    </row>
    <row r="1578">
      <c r="H1578" s="6" t="n"/>
      <c r="I1578" s="6" t="n"/>
      <c r="M1578" s="7" t="n"/>
      <c r="N1578" s="7" t="n"/>
      <c r="O1578" s="7" t="n"/>
      <c r="Q1578" s="7" t="n"/>
      <c r="R1578" s="7" t="n"/>
      <c r="S1578" s="8">
        <f>IF(NOT(ISNUMBER(M1578)),"",IF(G1578="Terreno",IF(AND(ISNUMBER(I1578),I1578&gt;0),M1578/I1578,""),IF(AND(ISNUMBER(H1578),H1578&gt;0),M1578/H1578,"")))</f>
        <v/>
      </c>
      <c r="T1578" s="9">
        <f>IF(AND(ISNUMBER(M1578),ISNUMBER(O1578)),IF(M1578&lt;=O1578,"Valor ≤ venal IPTU",""),"")</f>
        <v/>
      </c>
      <c r="U1578" s="10">
        <f>IF(AND(ISNUMBER(M1578),ISNUMBER(N1578)),IF(N1578&gt;0,M1578/N1578,""),"")</f>
        <v/>
      </c>
      <c r="V1578" s="10">
        <f>IF(AND(ISNUMBER(M1578),ISNUMBER(O1578)),IF(O1578&gt;0,M1578/O1578,""),"")</f>
        <v/>
      </c>
      <c r="W1578" s="10">
        <f>IF(AND(ISNUMBER(M1578),ISNUMBER(R1578)),IF(R1578&gt;0,M1578/R1578,""),"")</f>
        <v/>
      </c>
      <c r="X1578" s="10">
        <f>IF(AND(ISNUMBER(Q1578),ISNUMBER(M1578)),IF(M1578&gt;0,Q1578/M1578,""),"")</f>
        <v/>
      </c>
      <c r="Y1578" s="11">
        <f>IF(ISNUMBER(Z1578),YEAR(Z1578),"")</f>
        <v/>
      </c>
      <c r="Z1578" s="12" t="n"/>
      <c r="AA1578" s="12" t="n"/>
      <c r="AI1578" s="12" t="n"/>
      <c r="AJ1578" s="13">
        <f>IF(LEN(TRIM(AF1578))=0,"",HYPERLINK("https://www.google.com/maps/@?api=1&amp;map_action=pano&amp;viewpoint="&amp;SUBSTITUTE(AF1578," ",""),"Abrir Street View"))</f>
        <v/>
      </c>
    </row>
    <row r="1579">
      <c r="H1579" s="6" t="n"/>
      <c r="I1579" s="6" t="n"/>
      <c r="M1579" s="7" t="n"/>
      <c r="N1579" s="7" t="n"/>
      <c r="O1579" s="7" t="n"/>
      <c r="Q1579" s="7" t="n"/>
      <c r="R1579" s="7" t="n"/>
      <c r="S1579" s="8">
        <f>IF(NOT(ISNUMBER(M1579)),"",IF(G1579="Terreno",IF(AND(ISNUMBER(I1579),I1579&gt;0),M1579/I1579,""),IF(AND(ISNUMBER(H1579),H1579&gt;0),M1579/H1579,"")))</f>
        <v/>
      </c>
      <c r="T1579" s="9">
        <f>IF(AND(ISNUMBER(M1579),ISNUMBER(O1579)),IF(M1579&lt;=O1579,"Valor ≤ venal IPTU",""),"")</f>
        <v/>
      </c>
      <c r="U1579" s="10">
        <f>IF(AND(ISNUMBER(M1579),ISNUMBER(N1579)),IF(N1579&gt;0,M1579/N1579,""),"")</f>
        <v/>
      </c>
      <c r="V1579" s="10">
        <f>IF(AND(ISNUMBER(M1579),ISNUMBER(O1579)),IF(O1579&gt;0,M1579/O1579,""),"")</f>
        <v/>
      </c>
      <c r="W1579" s="10">
        <f>IF(AND(ISNUMBER(M1579),ISNUMBER(R1579)),IF(R1579&gt;0,M1579/R1579,""),"")</f>
        <v/>
      </c>
      <c r="X1579" s="10">
        <f>IF(AND(ISNUMBER(Q1579),ISNUMBER(M1579)),IF(M1579&gt;0,Q1579/M1579,""),"")</f>
        <v/>
      </c>
      <c r="Y1579" s="11">
        <f>IF(ISNUMBER(Z1579),YEAR(Z1579),"")</f>
        <v/>
      </c>
      <c r="Z1579" s="12" t="n"/>
      <c r="AA1579" s="12" t="n"/>
      <c r="AI1579" s="12" t="n"/>
      <c r="AJ1579" s="13">
        <f>IF(LEN(TRIM(AF1579))=0,"",HYPERLINK("https://www.google.com/maps/@?api=1&amp;map_action=pano&amp;viewpoint="&amp;SUBSTITUTE(AF1579," ",""),"Abrir Street View"))</f>
        <v/>
      </c>
    </row>
    <row r="1580">
      <c r="H1580" s="6" t="n"/>
      <c r="I1580" s="6" t="n"/>
      <c r="M1580" s="7" t="n"/>
      <c r="N1580" s="7" t="n"/>
      <c r="O1580" s="7" t="n"/>
      <c r="Q1580" s="7" t="n"/>
      <c r="R1580" s="7" t="n"/>
      <c r="S1580" s="8">
        <f>IF(NOT(ISNUMBER(M1580)),"",IF(G1580="Terreno",IF(AND(ISNUMBER(I1580),I1580&gt;0),M1580/I1580,""),IF(AND(ISNUMBER(H1580),H1580&gt;0),M1580/H1580,"")))</f>
        <v/>
      </c>
      <c r="T1580" s="9">
        <f>IF(AND(ISNUMBER(M1580),ISNUMBER(O1580)),IF(M1580&lt;=O1580,"Valor ≤ venal IPTU",""),"")</f>
        <v/>
      </c>
      <c r="U1580" s="10">
        <f>IF(AND(ISNUMBER(M1580),ISNUMBER(N1580)),IF(N1580&gt;0,M1580/N1580,""),"")</f>
        <v/>
      </c>
      <c r="V1580" s="10">
        <f>IF(AND(ISNUMBER(M1580),ISNUMBER(O1580)),IF(O1580&gt;0,M1580/O1580,""),"")</f>
        <v/>
      </c>
      <c r="W1580" s="10">
        <f>IF(AND(ISNUMBER(M1580),ISNUMBER(R1580)),IF(R1580&gt;0,M1580/R1580,""),"")</f>
        <v/>
      </c>
      <c r="X1580" s="10">
        <f>IF(AND(ISNUMBER(Q1580),ISNUMBER(M1580)),IF(M1580&gt;0,Q1580/M1580,""),"")</f>
        <v/>
      </c>
      <c r="Y1580" s="11">
        <f>IF(ISNUMBER(Z1580),YEAR(Z1580),"")</f>
        <v/>
      </c>
      <c r="Z1580" s="12" t="n"/>
      <c r="AA1580" s="12" t="n"/>
      <c r="AI1580" s="12" t="n"/>
      <c r="AJ1580" s="13">
        <f>IF(LEN(TRIM(AF1580))=0,"",HYPERLINK("https://www.google.com/maps/@?api=1&amp;map_action=pano&amp;viewpoint="&amp;SUBSTITUTE(AF1580," ",""),"Abrir Street View"))</f>
        <v/>
      </c>
    </row>
    <row r="1581">
      <c r="H1581" s="6" t="n"/>
      <c r="I1581" s="6" t="n"/>
      <c r="M1581" s="7" t="n"/>
      <c r="N1581" s="7" t="n"/>
      <c r="O1581" s="7" t="n"/>
      <c r="Q1581" s="7" t="n"/>
      <c r="R1581" s="7" t="n"/>
      <c r="S1581" s="8">
        <f>IF(NOT(ISNUMBER(M1581)),"",IF(G1581="Terreno",IF(AND(ISNUMBER(I1581),I1581&gt;0),M1581/I1581,""),IF(AND(ISNUMBER(H1581),H1581&gt;0),M1581/H1581,"")))</f>
        <v/>
      </c>
      <c r="T1581" s="9">
        <f>IF(AND(ISNUMBER(M1581),ISNUMBER(O1581)),IF(M1581&lt;=O1581,"Valor ≤ venal IPTU",""),"")</f>
        <v/>
      </c>
      <c r="U1581" s="10">
        <f>IF(AND(ISNUMBER(M1581),ISNUMBER(N1581)),IF(N1581&gt;0,M1581/N1581,""),"")</f>
        <v/>
      </c>
      <c r="V1581" s="10">
        <f>IF(AND(ISNUMBER(M1581),ISNUMBER(O1581)),IF(O1581&gt;0,M1581/O1581,""),"")</f>
        <v/>
      </c>
      <c r="W1581" s="10">
        <f>IF(AND(ISNUMBER(M1581),ISNUMBER(R1581)),IF(R1581&gt;0,M1581/R1581,""),"")</f>
        <v/>
      </c>
      <c r="X1581" s="10">
        <f>IF(AND(ISNUMBER(Q1581),ISNUMBER(M1581)),IF(M1581&gt;0,Q1581/M1581,""),"")</f>
        <v/>
      </c>
      <c r="Y1581" s="11">
        <f>IF(ISNUMBER(Z1581),YEAR(Z1581),"")</f>
        <v/>
      </c>
      <c r="Z1581" s="12" t="n"/>
      <c r="AA1581" s="12" t="n"/>
      <c r="AI1581" s="12" t="n"/>
      <c r="AJ1581" s="13">
        <f>IF(LEN(TRIM(AF1581))=0,"",HYPERLINK("https://www.google.com/maps/@?api=1&amp;map_action=pano&amp;viewpoint="&amp;SUBSTITUTE(AF1581," ",""),"Abrir Street View"))</f>
        <v/>
      </c>
    </row>
    <row r="1582">
      <c r="H1582" s="6" t="n"/>
      <c r="I1582" s="6" t="n"/>
      <c r="M1582" s="7" t="n"/>
      <c r="N1582" s="7" t="n"/>
      <c r="O1582" s="7" t="n"/>
      <c r="Q1582" s="7" t="n"/>
      <c r="R1582" s="7" t="n"/>
      <c r="S1582" s="8">
        <f>IF(NOT(ISNUMBER(M1582)),"",IF(G1582="Terreno",IF(AND(ISNUMBER(I1582),I1582&gt;0),M1582/I1582,""),IF(AND(ISNUMBER(H1582),H1582&gt;0),M1582/H1582,"")))</f>
        <v/>
      </c>
      <c r="T1582" s="9">
        <f>IF(AND(ISNUMBER(M1582),ISNUMBER(O1582)),IF(M1582&lt;=O1582,"Valor ≤ venal IPTU",""),"")</f>
        <v/>
      </c>
      <c r="U1582" s="10">
        <f>IF(AND(ISNUMBER(M1582),ISNUMBER(N1582)),IF(N1582&gt;0,M1582/N1582,""),"")</f>
        <v/>
      </c>
      <c r="V1582" s="10">
        <f>IF(AND(ISNUMBER(M1582),ISNUMBER(O1582)),IF(O1582&gt;0,M1582/O1582,""),"")</f>
        <v/>
      </c>
      <c r="W1582" s="10">
        <f>IF(AND(ISNUMBER(M1582),ISNUMBER(R1582)),IF(R1582&gt;0,M1582/R1582,""),"")</f>
        <v/>
      </c>
      <c r="X1582" s="10">
        <f>IF(AND(ISNUMBER(Q1582),ISNUMBER(M1582)),IF(M1582&gt;0,Q1582/M1582,""),"")</f>
        <v/>
      </c>
      <c r="Y1582" s="11">
        <f>IF(ISNUMBER(Z1582),YEAR(Z1582),"")</f>
        <v/>
      </c>
      <c r="Z1582" s="12" t="n"/>
      <c r="AA1582" s="12" t="n"/>
      <c r="AI1582" s="12" t="n"/>
      <c r="AJ1582" s="13">
        <f>IF(LEN(TRIM(AF1582))=0,"",HYPERLINK("https://www.google.com/maps/@?api=1&amp;map_action=pano&amp;viewpoint="&amp;SUBSTITUTE(AF1582," ",""),"Abrir Street View"))</f>
        <v/>
      </c>
    </row>
    <row r="1583">
      <c r="H1583" s="6" t="n"/>
      <c r="I1583" s="6" t="n"/>
      <c r="M1583" s="7" t="n"/>
      <c r="N1583" s="7" t="n"/>
      <c r="O1583" s="7" t="n"/>
      <c r="Q1583" s="7" t="n"/>
      <c r="R1583" s="7" t="n"/>
      <c r="S1583" s="8">
        <f>IF(NOT(ISNUMBER(M1583)),"",IF(G1583="Terreno",IF(AND(ISNUMBER(I1583),I1583&gt;0),M1583/I1583,""),IF(AND(ISNUMBER(H1583),H1583&gt;0),M1583/H1583,"")))</f>
        <v/>
      </c>
      <c r="T1583" s="9">
        <f>IF(AND(ISNUMBER(M1583),ISNUMBER(O1583)),IF(M1583&lt;=O1583,"Valor ≤ venal IPTU",""),"")</f>
        <v/>
      </c>
      <c r="U1583" s="10">
        <f>IF(AND(ISNUMBER(M1583),ISNUMBER(N1583)),IF(N1583&gt;0,M1583/N1583,""),"")</f>
        <v/>
      </c>
      <c r="V1583" s="10">
        <f>IF(AND(ISNUMBER(M1583),ISNUMBER(O1583)),IF(O1583&gt;0,M1583/O1583,""),"")</f>
        <v/>
      </c>
      <c r="W1583" s="10">
        <f>IF(AND(ISNUMBER(M1583),ISNUMBER(R1583)),IF(R1583&gt;0,M1583/R1583,""),"")</f>
        <v/>
      </c>
      <c r="X1583" s="10">
        <f>IF(AND(ISNUMBER(Q1583),ISNUMBER(M1583)),IF(M1583&gt;0,Q1583/M1583,""),"")</f>
        <v/>
      </c>
      <c r="Y1583" s="11">
        <f>IF(ISNUMBER(Z1583),YEAR(Z1583),"")</f>
        <v/>
      </c>
      <c r="Z1583" s="12" t="n"/>
      <c r="AA1583" s="12" t="n"/>
      <c r="AI1583" s="12" t="n"/>
      <c r="AJ1583" s="13">
        <f>IF(LEN(TRIM(AF1583))=0,"",HYPERLINK("https://www.google.com/maps/@?api=1&amp;map_action=pano&amp;viewpoint="&amp;SUBSTITUTE(AF1583," ",""),"Abrir Street View"))</f>
        <v/>
      </c>
    </row>
    <row r="1584">
      <c r="H1584" s="6" t="n"/>
      <c r="I1584" s="6" t="n"/>
      <c r="M1584" s="7" t="n"/>
      <c r="N1584" s="7" t="n"/>
      <c r="O1584" s="7" t="n"/>
      <c r="Q1584" s="7" t="n"/>
      <c r="R1584" s="7" t="n"/>
      <c r="S1584" s="8">
        <f>IF(NOT(ISNUMBER(M1584)),"",IF(G1584="Terreno",IF(AND(ISNUMBER(I1584),I1584&gt;0),M1584/I1584,""),IF(AND(ISNUMBER(H1584),H1584&gt;0),M1584/H1584,"")))</f>
        <v/>
      </c>
      <c r="T1584" s="9">
        <f>IF(AND(ISNUMBER(M1584),ISNUMBER(O1584)),IF(M1584&lt;=O1584,"Valor ≤ venal IPTU",""),"")</f>
        <v/>
      </c>
      <c r="U1584" s="10">
        <f>IF(AND(ISNUMBER(M1584),ISNUMBER(N1584)),IF(N1584&gt;0,M1584/N1584,""),"")</f>
        <v/>
      </c>
      <c r="V1584" s="10">
        <f>IF(AND(ISNUMBER(M1584),ISNUMBER(O1584)),IF(O1584&gt;0,M1584/O1584,""),"")</f>
        <v/>
      </c>
      <c r="W1584" s="10">
        <f>IF(AND(ISNUMBER(M1584),ISNUMBER(R1584)),IF(R1584&gt;0,M1584/R1584,""),"")</f>
        <v/>
      </c>
      <c r="X1584" s="10">
        <f>IF(AND(ISNUMBER(Q1584),ISNUMBER(M1584)),IF(M1584&gt;0,Q1584/M1584,""),"")</f>
        <v/>
      </c>
      <c r="Y1584" s="11">
        <f>IF(ISNUMBER(Z1584),YEAR(Z1584),"")</f>
        <v/>
      </c>
      <c r="Z1584" s="12" t="n"/>
      <c r="AA1584" s="12" t="n"/>
      <c r="AI1584" s="12" t="n"/>
      <c r="AJ1584" s="13">
        <f>IF(LEN(TRIM(AF1584))=0,"",HYPERLINK("https://www.google.com/maps/@?api=1&amp;map_action=pano&amp;viewpoint="&amp;SUBSTITUTE(AF1584," ",""),"Abrir Street View"))</f>
        <v/>
      </c>
    </row>
    <row r="1585">
      <c r="H1585" s="6" t="n"/>
      <c r="I1585" s="6" t="n"/>
      <c r="M1585" s="7" t="n"/>
      <c r="N1585" s="7" t="n"/>
      <c r="O1585" s="7" t="n"/>
      <c r="Q1585" s="7" t="n"/>
      <c r="R1585" s="7" t="n"/>
      <c r="S1585" s="8">
        <f>IF(NOT(ISNUMBER(M1585)),"",IF(G1585="Terreno",IF(AND(ISNUMBER(I1585),I1585&gt;0),M1585/I1585,""),IF(AND(ISNUMBER(H1585),H1585&gt;0),M1585/H1585,"")))</f>
        <v/>
      </c>
      <c r="T1585" s="9">
        <f>IF(AND(ISNUMBER(M1585),ISNUMBER(O1585)),IF(M1585&lt;=O1585,"Valor ≤ venal IPTU",""),"")</f>
        <v/>
      </c>
      <c r="U1585" s="10">
        <f>IF(AND(ISNUMBER(M1585),ISNUMBER(N1585)),IF(N1585&gt;0,M1585/N1585,""),"")</f>
        <v/>
      </c>
      <c r="V1585" s="10">
        <f>IF(AND(ISNUMBER(M1585),ISNUMBER(O1585)),IF(O1585&gt;0,M1585/O1585,""),"")</f>
        <v/>
      </c>
      <c r="W1585" s="10">
        <f>IF(AND(ISNUMBER(M1585),ISNUMBER(R1585)),IF(R1585&gt;0,M1585/R1585,""),"")</f>
        <v/>
      </c>
      <c r="X1585" s="10">
        <f>IF(AND(ISNUMBER(Q1585),ISNUMBER(M1585)),IF(M1585&gt;0,Q1585/M1585,""),"")</f>
        <v/>
      </c>
      <c r="Y1585" s="11">
        <f>IF(ISNUMBER(Z1585),YEAR(Z1585),"")</f>
        <v/>
      </c>
      <c r="Z1585" s="12" t="n"/>
      <c r="AA1585" s="12" t="n"/>
      <c r="AI1585" s="12" t="n"/>
      <c r="AJ1585" s="13">
        <f>IF(LEN(TRIM(AF1585))=0,"",HYPERLINK("https://www.google.com/maps/@?api=1&amp;map_action=pano&amp;viewpoint="&amp;SUBSTITUTE(AF1585," ",""),"Abrir Street View"))</f>
        <v/>
      </c>
    </row>
    <row r="1586">
      <c r="H1586" s="6" t="n"/>
      <c r="I1586" s="6" t="n"/>
      <c r="M1586" s="7" t="n"/>
      <c r="N1586" s="7" t="n"/>
      <c r="O1586" s="7" t="n"/>
      <c r="Q1586" s="7" t="n"/>
      <c r="R1586" s="7" t="n"/>
      <c r="S1586" s="8">
        <f>IF(NOT(ISNUMBER(M1586)),"",IF(G1586="Terreno",IF(AND(ISNUMBER(I1586),I1586&gt;0),M1586/I1586,""),IF(AND(ISNUMBER(H1586),H1586&gt;0),M1586/H1586,"")))</f>
        <v/>
      </c>
      <c r="T1586" s="9">
        <f>IF(AND(ISNUMBER(M1586),ISNUMBER(O1586)),IF(M1586&lt;=O1586,"Valor ≤ venal IPTU",""),"")</f>
        <v/>
      </c>
      <c r="U1586" s="10">
        <f>IF(AND(ISNUMBER(M1586),ISNUMBER(N1586)),IF(N1586&gt;0,M1586/N1586,""),"")</f>
        <v/>
      </c>
      <c r="V1586" s="10">
        <f>IF(AND(ISNUMBER(M1586),ISNUMBER(O1586)),IF(O1586&gt;0,M1586/O1586,""),"")</f>
        <v/>
      </c>
      <c r="W1586" s="10">
        <f>IF(AND(ISNUMBER(M1586),ISNUMBER(R1586)),IF(R1586&gt;0,M1586/R1586,""),"")</f>
        <v/>
      </c>
      <c r="X1586" s="10">
        <f>IF(AND(ISNUMBER(Q1586),ISNUMBER(M1586)),IF(M1586&gt;0,Q1586/M1586,""),"")</f>
        <v/>
      </c>
      <c r="Y1586" s="11">
        <f>IF(ISNUMBER(Z1586),YEAR(Z1586),"")</f>
        <v/>
      </c>
      <c r="Z1586" s="12" t="n"/>
      <c r="AA1586" s="12" t="n"/>
      <c r="AI1586" s="12" t="n"/>
      <c r="AJ1586" s="13">
        <f>IF(LEN(TRIM(AF1586))=0,"",HYPERLINK("https://www.google.com/maps/@?api=1&amp;map_action=pano&amp;viewpoint="&amp;SUBSTITUTE(AF1586," ",""),"Abrir Street View"))</f>
        <v/>
      </c>
    </row>
    <row r="1587">
      <c r="H1587" s="6" t="n"/>
      <c r="I1587" s="6" t="n"/>
      <c r="M1587" s="7" t="n"/>
      <c r="N1587" s="7" t="n"/>
      <c r="O1587" s="7" t="n"/>
      <c r="Q1587" s="7" t="n"/>
      <c r="R1587" s="7" t="n"/>
      <c r="S1587" s="8">
        <f>IF(NOT(ISNUMBER(M1587)),"",IF(G1587="Terreno",IF(AND(ISNUMBER(I1587),I1587&gt;0),M1587/I1587,""),IF(AND(ISNUMBER(H1587),H1587&gt;0),M1587/H1587,"")))</f>
        <v/>
      </c>
      <c r="T1587" s="9">
        <f>IF(AND(ISNUMBER(M1587),ISNUMBER(O1587)),IF(M1587&lt;=O1587,"Valor ≤ venal IPTU",""),"")</f>
        <v/>
      </c>
      <c r="U1587" s="10">
        <f>IF(AND(ISNUMBER(M1587),ISNUMBER(N1587)),IF(N1587&gt;0,M1587/N1587,""),"")</f>
        <v/>
      </c>
      <c r="V1587" s="10">
        <f>IF(AND(ISNUMBER(M1587),ISNUMBER(O1587)),IF(O1587&gt;0,M1587/O1587,""),"")</f>
        <v/>
      </c>
      <c r="W1587" s="10">
        <f>IF(AND(ISNUMBER(M1587),ISNUMBER(R1587)),IF(R1587&gt;0,M1587/R1587,""),"")</f>
        <v/>
      </c>
      <c r="X1587" s="10">
        <f>IF(AND(ISNUMBER(Q1587),ISNUMBER(M1587)),IF(M1587&gt;0,Q1587/M1587,""),"")</f>
        <v/>
      </c>
      <c r="Y1587" s="11">
        <f>IF(ISNUMBER(Z1587),YEAR(Z1587),"")</f>
        <v/>
      </c>
      <c r="Z1587" s="12" t="n"/>
      <c r="AA1587" s="12" t="n"/>
      <c r="AI1587" s="12" t="n"/>
      <c r="AJ1587" s="13">
        <f>IF(LEN(TRIM(AF1587))=0,"",HYPERLINK("https://www.google.com/maps/@?api=1&amp;map_action=pano&amp;viewpoint="&amp;SUBSTITUTE(AF1587," ",""),"Abrir Street View"))</f>
        <v/>
      </c>
    </row>
    <row r="1588">
      <c r="H1588" s="6" t="n"/>
      <c r="I1588" s="6" t="n"/>
      <c r="M1588" s="7" t="n"/>
      <c r="N1588" s="7" t="n"/>
      <c r="O1588" s="7" t="n"/>
      <c r="Q1588" s="7" t="n"/>
      <c r="R1588" s="7" t="n"/>
      <c r="S1588" s="8">
        <f>IF(NOT(ISNUMBER(M1588)),"",IF(G1588="Terreno",IF(AND(ISNUMBER(I1588),I1588&gt;0),M1588/I1588,""),IF(AND(ISNUMBER(H1588),H1588&gt;0),M1588/H1588,"")))</f>
        <v/>
      </c>
      <c r="T1588" s="9">
        <f>IF(AND(ISNUMBER(M1588),ISNUMBER(O1588)),IF(M1588&lt;=O1588,"Valor ≤ venal IPTU",""),"")</f>
        <v/>
      </c>
      <c r="U1588" s="10">
        <f>IF(AND(ISNUMBER(M1588),ISNUMBER(N1588)),IF(N1588&gt;0,M1588/N1588,""),"")</f>
        <v/>
      </c>
      <c r="V1588" s="10">
        <f>IF(AND(ISNUMBER(M1588),ISNUMBER(O1588)),IF(O1588&gt;0,M1588/O1588,""),"")</f>
        <v/>
      </c>
      <c r="W1588" s="10">
        <f>IF(AND(ISNUMBER(M1588),ISNUMBER(R1588)),IF(R1588&gt;0,M1588/R1588,""),"")</f>
        <v/>
      </c>
      <c r="X1588" s="10">
        <f>IF(AND(ISNUMBER(Q1588),ISNUMBER(M1588)),IF(M1588&gt;0,Q1588/M1588,""),"")</f>
        <v/>
      </c>
      <c r="Y1588" s="11">
        <f>IF(ISNUMBER(Z1588),YEAR(Z1588),"")</f>
        <v/>
      </c>
      <c r="Z1588" s="12" t="n"/>
      <c r="AA1588" s="12" t="n"/>
      <c r="AI1588" s="12" t="n"/>
      <c r="AJ1588" s="13">
        <f>IF(LEN(TRIM(AF1588))=0,"",HYPERLINK("https://www.google.com/maps/@?api=1&amp;map_action=pano&amp;viewpoint="&amp;SUBSTITUTE(AF1588," ",""),"Abrir Street View"))</f>
        <v/>
      </c>
    </row>
    <row r="1589">
      <c r="H1589" s="6" t="n"/>
      <c r="I1589" s="6" t="n"/>
      <c r="M1589" s="7" t="n"/>
      <c r="N1589" s="7" t="n"/>
      <c r="O1589" s="7" t="n"/>
      <c r="Q1589" s="7" t="n"/>
      <c r="R1589" s="7" t="n"/>
      <c r="S1589" s="8">
        <f>IF(NOT(ISNUMBER(M1589)),"",IF(G1589="Terreno",IF(AND(ISNUMBER(I1589),I1589&gt;0),M1589/I1589,""),IF(AND(ISNUMBER(H1589),H1589&gt;0),M1589/H1589,"")))</f>
        <v/>
      </c>
      <c r="T1589" s="9">
        <f>IF(AND(ISNUMBER(M1589),ISNUMBER(O1589)),IF(M1589&lt;=O1589,"Valor ≤ venal IPTU",""),"")</f>
        <v/>
      </c>
      <c r="U1589" s="10">
        <f>IF(AND(ISNUMBER(M1589),ISNUMBER(N1589)),IF(N1589&gt;0,M1589/N1589,""),"")</f>
        <v/>
      </c>
      <c r="V1589" s="10">
        <f>IF(AND(ISNUMBER(M1589),ISNUMBER(O1589)),IF(O1589&gt;0,M1589/O1589,""),"")</f>
        <v/>
      </c>
      <c r="W1589" s="10">
        <f>IF(AND(ISNUMBER(M1589),ISNUMBER(R1589)),IF(R1589&gt;0,M1589/R1589,""),"")</f>
        <v/>
      </c>
      <c r="X1589" s="10">
        <f>IF(AND(ISNUMBER(Q1589),ISNUMBER(M1589)),IF(M1589&gt;0,Q1589/M1589,""),"")</f>
        <v/>
      </c>
      <c r="Y1589" s="11">
        <f>IF(ISNUMBER(Z1589),YEAR(Z1589),"")</f>
        <v/>
      </c>
      <c r="Z1589" s="12" t="n"/>
      <c r="AA1589" s="12" t="n"/>
      <c r="AI1589" s="12" t="n"/>
      <c r="AJ1589" s="13">
        <f>IF(LEN(TRIM(AF1589))=0,"",HYPERLINK("https://www.google.com/maps/@?api=1&amp;map_action=pano&amp;viewpoint="&amp;SUBSTITUTE(AF1589," ",""),"Abrir Street View"))</f>
        <v/>
      </c>
    </row>
    <row r="1590">
      <c r="H1590" s="6" t="n"/>
      <c r="I1590" s="6" t="n"/>
      <c r="M1590" s="7" t="n"/>
      <c r="N1590" s="7" t="n"/>
      <c r="O1590" s="7" t="n"/>
      <c r="Q1590" s="7" t="n"/>
      <c r="R1590" s="7" t="n"/>
      <c r="S1590" s="8">
        <f>IF(NOT(ISNUMBER(M1590)),"",IF(G1590="Terreno",IF(AND(ISNUMBER(I1590),I1590&gt;0),M1590/I1590,""),IF(AND(ISNUMBER(H1590),H1590&gt;0),M1590/H1590,"")))</f>
        <v/>
      </c>
      <c r="T1590" s="9">
        <f>IF(AND(ISNUMBER(M1590),ISNUMBER(O1590)),IF(M1590&lt;=O1590,"Valor ≤ venal IPTU",""),"")</f>
        <v/>
      </c>
      <c r="U1590" s="10">
        <f>IF(AND(ISNUMBER(M1590),ISNUMBER(N1590)),IF(N1590&gt;0,M1590/N1590,""),"")</f>
        <v/>
      </c>
      <c r="V1590" s="10">
        <f>IF(AND(ISNUMBER(M1590),ISNUMBER(O1590)),IF(O1590&gt;0,M1590/O1590,""),"")</f>
        <v/>
      </c>
      <c r="W1590" s="10">
        <f>IF(AND(ISNUMBER(M1590),ISNUMBER(R1590)),IF(R1590&gt;0,M1590/R1590,""),"")</f>
        <v/>
      </c>
      <c r="X1590" s="10">
        <f>IF(AND(ISNUMBER(Q1590),ISNUMBER(M1590)),IF(M1590&gt;0,Q1590/M1590,""),"")</f>
        <v/>
      </c>
      <c r="Y1590" s="11">
        <f>IF(ISNUMBER(Z1590),YEAR(Z1590),"")</f>
        <v/>
      </c>
      <c r="Z1590" s="12" t="n"/>
      <c r="AA1590" s="12" t="n"/>
      <c r="AI1590" s="12" t="n"/>
      <c r="AJ1590" s="13">
        <f>IF(LEN(TRIM(AF1590))=0,"",HYPERLINK("https://www.google.com/maps/@?api=1&amp;map_action=pano&amp;viewpoint="&amp;SUBSTITUTE(AF1590," ",""),"Abrir Street View"))</f>
        <v/>
      </c>
    </row>
    <row r="1591">
      <c r="H1591" s="6" t="n"/>
      <c r="I1591" s="6" t="n"/>
      <c r="M1591" s="7" t="n"/>
      <c r="N1591" s="7" t="n"/>
      <c r="O1591" s="7" t="n"/>
      <c r="Q1591" s="7" t="n"/>
      <c r="R1591" s="7" t="n"/>
      <c r="S1591" s="8">
        <f>IF(NOT(ISNUMBER(M1591)),"",IF(G1591="Terreno",IF(AND(ISNUMBER(I1591),I1591&gt;0),M1591/I1591,""),IF(AND(ISNUMBER(H1591),H1591&gt;0),M1591/H1591,"")))</f>
        <v/>
      </c>
      <c r="T1591" s="9">
        <f>IF(AND(ISNUMBER(M1591),ISNUMBER(O1591)),IF(M1591&lt;=O1591,"Valor ≤ venal IPTU",""),"")</f>
        <v/>
      </c>
      <c r="U1591" s="10">
        <f>IF(AND(ISNUMBER(M1591),ISNUMBER(N1591)),IF(N1591&gt;0,M1591/N1591,""),"")</f>
        <v/>
      </c>
      <c r="V1591" s="10">
        <f>IF(AND(ISNUMBER(M1591),ISNUMBER(O1591)),IF(O1591&gt;0,M1591/O1591,""),"")</f>
        <v/>
      </c>
      <c r="W1591" s="10">
        <f>IF(AND(ISNUMBER(M1591),ISNUMBER(R1591)),IF(R1591&gt;0,M1591/R1591,""),"")</f>
        <v/>
      </c>
      <c r="X1591" s="10">
        <f>IF(AND(ISNUMBER(Q1591),ISNUMBER(M1591)),IF(M1591&gt;0,Q1591/M1591,""),"")</f>
        <v/>
      </c>
      <c r="Y1591" s="11">
        <f>IF(ISNUMBER(Z1591),YEAR(Z1591),"")</f>
        <v/>
      </c>
      <c r="Z1591" s="12" t="n"/>
      <c r="AA1591" s="12" t="n"/>
      <c r="AI1591" s="12" t="n"/>
      <c r="AJ1591" s="13">
        <f>IF(LEN(TRIM(AF1591))=0,"",HYPERLINK("https://www.google.com/maps/@?api=1&amp;map_action=pano&amp;viewpoint="&amp;SUBSTITUTE(AF1591," ",""),"Abrir Street View"))</f>
        <v/>
      </c>
    </row>
    <row r="1592">
      <c r="H1592" s="6" t="n"/>
      <c r="I1592" s="6" t="n"/>
      <c r="M1592" s="7" t="n"/>
      <c r="N1592" s="7" t="n"/>
      <c r="O1592" s="7" t="n"/>
      <c r="Q1592" s="7" t="n"/>
      <c r="R1592" s="7" t="n"/>
      <c r="S1592" s="8">
        <f>IF(NOT(ISNUMBER(M1592)),"",IF(G1592="Terreno",IF(AND(ISNUMBER(I1592),I1592&gt;0),M1592/I1592,""),IF(AND(ISNUMBER(H1592),H1592&gt;0),M1592/H1592,"")))</f>
        <v/>
      </c>
      <c r="T1592" s="9">
        <f>IF(AND(ISNUMBER(M1592),ISNUMBER(O1592)),IF(M1592&lt;=O1592,"Valor ≤ venal IPTU",""),"")</f>
        <v/>
      </c>
      <c r="U1592" s="10">
        <f>IF(AND(ISNUMBER(M1592),ISNUMBER(N1592)),IF(N1592&gt;0,M1592/N1592,""),"")</f>
        <v/>
      </c>
      <c r="V1592" s="10">
        <f>IF(AND(ISNUMBER(M1592),ISNUMBER(O1592)),IF(O1592&gt;0,M1592/O1592,""),"")</f>
        <v/>
      </c>
      <c r="W1592" s="10">
        <f>IF(AND(ISNUMBER(M1592),ISNUMBER(R1592)),IF(R1592&gt;0,M1592/R1592,""),"")</f>
        <v/>
      </c>
      <c r="X1592" s="10">
        <f>IF(AND(ISNUMBER(Q1592),ISNUMBER(M1592)),IF(M1592&gt;0,Q1592/M1592,""),"")</f>
        <v/>
      </c>
      <c r="Y1592" s="11">
        <f>IF(ISNUMBER(Z1592),YEAR(Z1592),"")</f>
        <v/>
      </c>
      <c r="Z1592" s="12" t="n"/>
      <c r="AA1592" s="12" t="n"/>
      <c r="AI1592" s="12" t="n"/>
      <c r="AJ1592" s="13">
        <f>IF(LEN(TRIM(AF1592))=0,"",HYPERLINK("https://www.google.com/maps/@?api=1&amp;map_action=pano&amp;viewpoint="&amp;SUBSTITUTE(AF1592," ",""),"Abrir Street View"))</f>
        <v/>
      </c>
    </row>
    <row r="1593">
      <c r="H1593" s="6" t="n"/>
      <c r="I1593" s="6" t="n"/>
      <c r="M1593" s="7" t="n"/>
      <c r="N1593" s="7" t="n"/>
      <c r="O1593" s="7" t="n"/>
      <c r="Q1593" s="7" t="n"/>
      <c r="R1593" s="7" t="n"/>
      <c r="S1593" s="8">
        <f>IF(NOT(ISNUMBER(M1593)),"",IF(G1593="Terreno",IF(AND(ISNUMBER(I1593),I1593&gt;0),M1593/I1593,""),IF(AND(ISNUMBER(H1593),H1593&gt;0),M1593/H1593,"")))</f>
        <v/>
      </c>
      <c r="T1593" s="9">
        <f>IF(AND(ISNUMBER(M1593),ISNUMBER(O1593)),IF(M1593&lt;=O1593,"Valor ≤ venal IPTU",""),"")</f>
        <v/>
      </c>
      <c r="U1593" s="10">
        <f>IF(AND(ISNUMBER(M1593),ISNUMBER(N1593)),IF(N1593&gt;0,M1593/N1593,""),"")</f>
        <v/>
      </c>
      <c r="V1593" s="10">
        <f>IF(AND(ISNUMBER(M1593),ISNUMBER(O1593)),IF(O1593&gt;0,M1593/O1593,""),"")</f>
        <v/>
      </c>
      <c r="W1593" s="10">
        <f>IF(AND(ISNUMBER(M1593),ISNUMBER(R1593)),IF(R1593&gt;0,M1593/R1593,""),"")</f>
        <v/>
      </c>
      <c r="X1593" s="10">
        <f>IF(AND(ISNUMBER(Q1593),ISNUMBER(M1593)),IF(M1593&gt;0,Q1593/M1593,""),"")</f>
        <v/>
      </c>
      <c r="Y1593" s="11">
        <f>IF(ISNUMBER(Z1593),YEAR(Z1593),"")</f>
        <v/>
      </c>
      <c r="Z1593" s="12" t="n"/>
      <c r="AA1593" s="12" t="n"/>
      <c r="AI1593" s="12" t="n"/>
      <c r="AJ1593" s="13">
        <f>IF(LEN(TRIM(AF1593))=0,"",HYPERLINK("https://www.google.com/maps/@?api=1&amp;map_action=pano&amp;viewpoint="&amp;SUBSTITUTE(AF1593," ",""),"Abrir Street View"))</f>
        <v/>
      </c>
    </row>
    <row r="1594">
      <c r="H1594" s="6" t="n"/>
      <c r="I1594" s="6" t="n"/>
      <c r="M1594" s="7" t="n"/>
      <c r="N1594" s="7" t="n"/>
      <c r="O1594" s="7" t="n"/>
      <c r="Q1594" s="7" t="n"/>
      <c r="R1594" s="7" t="n"/>
      <c r="S1594" s="8">
        <f>IF(NOT(ISNUMBER(M1594)),"",IF(G1594="Terreno",IF(AND(ISNUMBER(I1594),I1594&gt;0),M1594/I1594,""),IF(AND(ISNUMBER(H1594),H1594&gt;0),M1594/H1594,"")))</f>
        <v/>
      </c>
      <c r="T1594" s="9">
        <f>IF(AND(ISNUMBER(M1594),ISNUMBER(O1594)),IF(M1594&lt;=O1594,"Valor ≤ venal IPTU",""),"")</f>
        <v/>
      </c>
      <c r="U1594" s="10">
        <f>IF(AND(ISNUMBER(M1594),ISNUMBER(N1594)),IF(N1594&gt;0,M1594/N1594,""),"")</f>
        <v/>
      </c>
      <c r="V1594" s="10">
        <f>IF(AND(ISNUMBER(M1594),ISNUMBER(O1594)),IF(O1594&gt;0,M1594/O1594,""),"")</f>
        <v/>
      </c>
      <c r="W1594" s="10">
        <f>IF(AND(ISNUMBER(M1594),ISNUMBER(R1594)),IF(R1594&gt;0,M1594/R1594,""),"")</f>
        <v/>
      </c>
      <c r="X1594" s="10">
        <f>IF(AND(ISNUMBER(Q1594),ISNUMBER(M1594)),IF(M1594&gt;0,Q1594/M1594,""),"")</f>
        <v/>
      </c>
      <c r="Y1594" s="11">
        <f>IF(ISNUMBER(Z1594),YEAR(Z1594),"")</f>
        <v/>
      </c>
      <c r="Z1594" s="12" t="n"/>
      <c r="AA1594" s="12" t="n"/>
      <c r="AI1594" s="12" t="n"/>
      <c r="AJ1594" s="13">
        <f>IF(LEN(TRIM(AF1594))=0,"",HYPERLINK("https://www.google.com/maps/@?api=1&amp;map_action=pano&amp;viewpoint="&amp;SUBSTITUTE(AF1594," ",""),"Abrir Street View"))</f>
        <v/>
      </c>
    </row>
    <row r="1595">
      <c r="H1595" s="6" t="n"/>
      <c r="I1595" s="6" t="n"/>
      <c r="M1595" s="7" t="n"/>
      <c r="N1595" s="7" t="n"/>
      <c r="O1595" s="7" t="n"/>
      <c r="Q1595" s="7" t="n"/>
      <c r="R1595" s="7" t="n"/>
      <c r="S1595" s="8">
        <f>IF(NOT(ISNUMBER(M1595)),"",IF(G1595="Terreno",IF(AND(ISNUMBER(I1595),I1595&gt;0),M1595/I1595,""),IF(AND(ISNUMBER(H1595),H1595&gt;0),M1595/H1595,"")))</f>
        <v/>
      </c>
      <c r="T1595" s="9">
        <f>IF(AND(ISNUMBER(M1595),ISNUMBER(O1595)),IF(M1595&lt;=O1595,"Valor ≤ venal IPTU",""),"")</f>
        <v/>
      </c>
      <c r="U1595" s="10">
        <f>IF(AND(ISNUMBER(M1595),ISNUMBER(N1595)),IF(N1595&gt;0,M1595/N1595,""),"")</f>
        <v/>
      </c>
      <c r="V1595" s="10">
        <f>IF(AND(ISNUMBER(M1595),ISNUMBER(O1595)),IF(O1595&gt;0,M1595/O1595,""),"")</f>
        <v/>
      </c>
      <c r="W1595" s="10">
        <f>IF(AND(ISNUMBER(M1595),ISNUMBER(R1595)),IF(R1595&gt;0,M1595/R1595,""),"")</f>
        <v/>
      </c>
      <c r="X1595" s="10">
        <f>IF(AND(ISNUMBER(Q1595),ISNUMBER(M1595)),IF(M1595&gt;0,Q1595/M1595,""),"")</f>
        <v/>
      </c>
      <c r="Y1595" s="11">
        <f>IF(ISNUMBER(Z1595),YEAR(Z1595),"")</f>
        <v/>
      </c>
      <c r="Z1595" s="12" t="n"/>
      <c r="AA1595" s="12" t="n"/>
      <c r="AI1595" s="12" t="n"/>
      <c r="AJ1595" s="13">
        <f>IF(LEN(TRIM(AF1595))=0,"",HYPERLINK("https://www.google.com/maps/@?api=1&amp;map_action=pano&amp;viewpoint="&amp;SUBSTITUTE(AF1595," ",""),"Abrir Street View"))</f>
        <v/>
      </c>
    </row>
    <row r="1596">
      <c r="H1596" s="6" t="n"/>
      <c r="I1596" s="6" t="n"/>
      <c r="M1596" s="7" t="n"/>
      <c r="N1596" s="7" t="n"/>
      <c r="O1596" s="7" t="n"/>
      <c r="Q1596" s="7" t="n"/>
      <c r="R1596" s="7" t="n"/>
      <c r="S1596" s="8">
        <f>IF(NOT(ISNUMBER(M1596)),"",IF(G1596="Terreno",IF(AND(ISNUMBER(I1596),I1596&gt;0),M1596/I1596,""),IF(AND(ISNUMBER(H1596),H1596&gt;0),M1596/H1596,"")))</f>
        <v/>
      </c>
      <c r="T1596" s="9">
        <f>IF(AND(ISNUMBER(M1596),ISNUMBER(O1596)),IF(M1596&lt;=O1596,"Valor ≤ venal IPTU",""),"")</f>
        <v/>
      </c>
      <c r="U1596" s="10">
        <f>IF(AND(ISNUMBER(M1596),ISNUMBER(N1596)),IF(N1596&gt;0,M1596/N1596,""),"")</f>
        <v/>
      </c>
      <c r="V1596" s="10">
        <f>IF(AND(ISNUMBER(M1596),ISNUMBER(O1596)),IF(O1596&gt;0,M1596/O1596,""),"")</f>
        <v/>
      </c>
      <c r="W1596" s="10">
        <f>IF(AND(ISNUMBER(M1596),ISNUMBER(R1596)),IF(R1596&gt;0,M1596/R1596,""),"")</f>
        <v/>
      </c>
      <c r="X1596" s="10">
        <f>IF(AND(ISNUMBER(Q1596),ISNUMBER(M1596)),IF(M1596&gt;0,Q1596/M1596,""),"")</f>
        <v/>
      </c>
      <c r="Y1596" s="11">
        <f>IF(ISNUMBER(Z1596),YEAR(Z1596),"")</f>
        <v/>
      </c>
      <c r="Z1596" s="12" t="n"/>
      <c r="AA1596" s="12" t="n"/>
      <c r="AI1596" s="12" t="n"/>
      <c r="AJ1596" s="13">
        <f>IF(LEN(TRIM(AF1596))=0,"",HYPERLINK("https://www.google.com/maps/@?api=1&amp;map_action=pano&amp;viewpoint="&amp;SUBSTITUTE(AF1596," ",""),"Abrir Street View"))</f>
        <v/>
      </c>
    </row>
    <row r="1597">
      <c r="H1597" s="6" t="n"/>
      <c r="I1597" s="6" t="n"/>
      <c r="M1597" s="7" t="n"/>
      <c r="N1597" s="7" t="n"/>
      <c r="O1597" s="7" t="n"/>
      <c r="Q1597" s="7" t="n"/>
      <c r="R1597" s="7" t="n"/>
      <c r="S1597" s="8">
        <f>IF(NOT(ISNUMBER(M1597)),"",IF(G1597="Terreno",IF(AND(ISNUMBER(I1597),I1597&gt;0),M1597/I1597,""),IF(AND(ISNUMBER(H1597),H1597&gt;0),M1597/H1597,"")))</f>
        <v/>
      </c>
      <c r="T1597" s="9">
        <f>IF(AND(ISNUMBER(M1597),ISNUMBER(O1597)),IF(M1597&lt;=O1597,"Valor ≤ venal IPTU",""),"")</f>
        <v/>
      </c>
      <c r="U1597" s="10">
        <f>IF(AND(ISNUMBER(M1597),ISNUMBER(N1597)),IF(N1597&gt;0,M1597/N1597,""),"")</f>
        <v/>
      </c>
      <c r="V1597" s="10">
        <f>IF(AND(ISNUMBER(M1597),ISNUMBER(O1597)),IF(O1597&gt;0,M1597/O1597,""),"")</f>
        <v/>
      </c>
      <c r="W1597" s="10">
        <f>IF(AND(ISNUMBER(M1597),ISNUMBER(R1597)),IF(R1597&gt;0,M1597/R1597,""),"")</f>
        <v/>
      </c>
      <c r="X1597" s="10">
        <f>IF(AND(ISNUMBER(Q1597),ISNUMBER(M1597)),IF(M1597&gt;0,Q1597/M1597,""),"")</f>
        <v/>
      </c>
      <c r="Y1597" s="11">
        <f>IF(ISNUMBER(Z1597),YEAR(Z1597),"")</f>
        <v/>
      </c>
      <c r="Z1597" s="12" t="n"/>
      <c r="AA1597" s="12" t="n"/>
      <c r="AI1597" s="12" t="n"/>
      <c r="AJ1597" s="13">
        <f>IF(LEN(TRIM(AF1597))=0,"",HYPERLINK("https://www.google.com/maps/@?api=1&amp;map_action=pano&amp;viewpoint="&amp;SUBSTITUTE(AF1597," ",""),"Abrir Street View"))</f>
        <v/>
      </c>
    </row>
    <row r="1598">
      <c r="H1598" s="6" t="n"/>
      <c r="I1598" s="6" t="n"/>
      <c r="M1598" s="7" t="n"/>
      <c r="N1598" s="7" t="n"/>
      <c r="O1598" s="7" t="n"/>
      <c r="Q1598" s="7" t="n"/>
      <c r="R1598" s="7" t="n"/>
      <c r="S1598" s="8">
        <f>IF(NOT(ISNUMBER(M1598)),"",IF(G1598="Terreno",IF(AND(ISNUMBER(I1598),I1598&gt;0),M1598/I1598,""),IF(AND(ISNUMBER(H1598),H1598&gt;0),M1598/H1598,"")))</f>
        <v/>
      </c>
      <c r="T1598" s="9">
        <f>IF(AND(ISNUMBER(M1598),ISNUMBER(O1598)),IF(M1598&lt;=O1598,"Valor ≤ venal IPTU",""),"")</f>
        <v/>
      </c>
      <c r="U1598" s="10">
        <f>IF(AND(ISNUMBER(M1598),ISNUMBER(N1598)),IF(N1598&gt;0,M1598/N1598,""),"")</f>
        <v/>
      </c>
      <c r="V1598" s="10">
        <f>IF(AND(ISNUMBER(M1598),ISNUMBER(O1598)),IF(O1598&gt;0,M1598/O1598,""),"")</f>
        <v/>
      </c>
      <c r="W1598" s="10">
        <f>IF(AND(ISNUMBER(M1598),ISNUMBER(R1598)),IF(R1598&gt;0,M1598/R1598,""),"")</f>
        <v/>
      </c>
      <c r="X1598" s="10">
        <f>IF(AND(ISNUMBER(Q1598),ISNUMBER(M1598)),IF(M1598&gt;0,Q1598/M1598,""),"")</f>
        <v/>
      </c>
      <c r="Y1598" s="11">
        <f>IF(ISNUMBER(Z1598),YEAR(Z1598),"")</f>
        <v/>
      </c>
      <c r="Z1598" s="12" t="n"/>
      <c r="AA1598" s="12" t="n"/>
      <c r="AI1598" s="12" t="n"/>
      <c r="AJ1598" s="13">
        <f>IF(LEN(TRIM(AF1598))=0,"",HYPERLINK("https://www.google.com/maps/@?api=1&amp;map_action=pano&amp;viewpoint="&amp;SUBSTITUTE(AF1598," ",""),"Abrir Street View"))</f>
        <v/>
      </c>
    </row>
    <row r="1599">
      <c r="H1599" s="6" t="n"/>
      <c r="I1599" s="6" t="n"/>
      <c r="M1599" s="7" t="n"/>
      <c r="N1599" s="7" t="n"/>
      <c r="O1599" s="7" t="n"/>
      <c r="Q1599" s="7" t="n"/>
      <c r="R1599" s="7" t="n"/>
      <c r="S1599" s="8">
        <f>IF(NOT(ISNUMBER(M1599)),"",IF(G1599="Terreno",IF(AND(ISNUMBER(I1599),I1599&gt;0),M1599/I1599,""),IF(AND(ISNUMBER(H1599),H1599&gt;0),M1599/H1599,"")))</f>
        <v/>
      </c>
      <c r="T1599" s="9">
        <f>IF(AND(ISNUMBER(M1599),ISNUMBER(O1599)),IF(M1599&lt;=O1599,"Valor ≤ venal IPTU",""),"")</f>
        <v/>
      </c>
      <c r="U1599" s="10">
        <f>IF(AND(ISNUMBER(M1599),ISNUMBER(N1599)),IF(N1599&gt;0,M1599/N1599,""),"")</f>
        <v/>
      </c>
      <c r="V1599" s="10">
        <f>IF(AND(ISNUMBER(M1599),ISNUMBER(O1599)),IF(O1599&gt;0,M1599/O1599,""),"")</f>
        <v/>
      </c>
      <c r="W1599" s="10">
        <f>IF(AND(ISNUMBER(M1599),ISNUMBER(R1599)),IF(R1599&gt;0,M1599/R1599,""),"")</f>
        <v/>
      </c>
      <c r="X1599" s="10">
        <f>IF(AND(ISNUMBER(Q1599),ISNUMBER(M1599)),IF(M1599&gt;0,Q1599/M1599,""),"")</f>
        <v/>
      </c>
      <c r="Y1599" s="11">
        <f>IF(ISNUMBER(Z1599),YEAR(Z1599),"")</f>
        <v/>
      </c>
      <c r="Z1599" s="12" t="n"/>
      <c r="AA1599" s="12" t="n"/>
      <c r="AI1599" s="12" t="n"/>
      <c r="AJ1599" s="13">
        <f>IF(LEN(TRIM(AF1599))=0,"",HYPERLINK("https://www.google.com/maps/@?api=1&amp;map_action=pano&amp;viewpoint="&amp;SUBSTITUTE(AF1599," ",""),"Abrir Street View"))</f>
        <v/>
      </c>
    </row>
    <row r="1600">
      <c r="H1600" s="6" t="n"/>
      <c r="I1600" s="6" t="n"/>
      <c r="M1600" s="7" t="n"/>
      <c r="N1600" s="7" t="n"/>
      <c r="O1600" s="7" t="n"/>
      <c r="Q1600" s="7" t="n"/>
      <c r="R1600" s="7" t="n"/>
      <c r="S1600" s="8">
        <f>IF(NOT(ISNUMBER(M1600)),"",IF(G1600="Terreno",IF(AND(ISNUMBER(I1600),I1600&gt;0),M1600/I1600,""),IF(AND(ISNUMBER(H1600),H1600&gt;0),M1600/H1600,"")))</f>
        <v/>
      </c>
      <c r="T1600" s="9">
        <f>IF(AND(ISNUMBER(M1600),ISNUMBER(O1600)),IF(M1600&lt;=O1600,"Valor ≤ venal IPTU",""),"")</f>
        <v/>
      </c>
      <c r="U1600" s="10">
        <f>IF(AND(ISNUMBER(M1600),ISNUMBER(N1600)),IF(N1600&gt;0,M1600/N1600,""),"")</f>
        <v/>
      </c>
      <c r="V1600" s="10">
        <f>IF(AND(ISNUMBER(M1600),ISNUMBER(O1600)),IF(O1600&gt;0,M1600/O1600,""),"")</f>
        <v/>
      </c>
      <c r="W1600" s="10">
        <f>IF(AND(ISNUMBER(M1600),ISNUMBER(R1600)),IF(R1600&gt;0,M1600/R1600,""),"")</f>
        <v/>
      </c>
      <c r="X1600" s="10">
        <f>IF(AND(ISNUMBER(Q1600),ISNUMBER(M1600)),IF(M1600&gt;0,Q1600/M1600,""),"")</f>
        <v/>
      </c>
      <c r="Y1600" s="11">
        <f>IF(ISNUMBER(Z1600),YEAR(Z1600),"")</f>
        <v/>
      </c>
      <c r="Z1600" s="12" t="n"/>
      <c r="AA1600" s="12" t="n"/>
      <c r="AI1600" s="12" t="n"/>
      <c r="AJ1600" s="13">
        <f>IF(LEN(TRIM(AF1600))=0,"",HYPERLINK("https://www.google.com/maps/@?api=1&amp;map_action=pano&amp;viewpoint="&amp;SUBSTITUTE(AF1600," ",""),"Abrir Street View"))</f>
        <v/>
      </c>
    </row>
    <row r="1601">
      <c r="H1601" s="6" t="n"/>
      <c r="I1601" s="6" t="n"/>
      <c r="M1601" s="7" t="n"/>
      <c r="N1601" s="7" t="n"/>
      <c r="O1601" s="7" t="n"/>
      <c r="Q1601" s="7" t="n"/>
      <c r="R1601" s="7" t="n"/>
      <c r="S1601" s="8">
        <f>IF(NOT(ISNUMBER(M1601)),"",IF(G1601="Terreno",IF(AND(ISNUMBER(I1601),I1601&gt;0),M1601/I1601,""),IF(AND(ISNUMBER(H1601),H1601&gt;0),M1601/H1601,"")))</f>
        <v/>
      </c>
      <c r="T1601" s="9">
        <f>IF(AND(ISNUMBER(M1601),ISNUMBER(O1601)),IF(M1601&lt;=O1601,"Valor ≤ venal IPTU",""),"")</f>
        <v/>
      </c>
      <c r="U1601" s="10">
        <f>IF(AND(ISNUMBER(M1601),ISNUMBER(N1601)),IF(N1601&gt;0,M1601/N1601,""),"")</f>
        <v/>
      </c>
      <c r="V1601" s="10">
        <f>IF(AND(ISNUMBER(M1601),ISNUMBER(O1601)),IF(O1601&gt;0,M1601/O1601,""),"")</f>
        <v/>
      </c>
      <c r="W1601" s="10">
        <f>IF(AND(ISNUMBER(M1601),ISNUMBER(R1601)),IF(R1601&gt;0,M1601/R1601,""),"")</f>
        <v/>
      </c>
      <c r="X1601" s="10">
        <f>IF(AND(ISNUMBER(Q1601),ISNUMBER(M1601)),IF(M1601&gt;0,Q1601/M1601,""),"")</f>
        <v/>
      </c>
      <c r="Y1601" s="11">
        <f>IF(ISNUMBER(Z1601),YEAR(Z1601),"")</f>
        <v/>
      </c>
      <c r="Z1601" s="12" t="n"/>
      <c r="AA1601" s="12" t="n"/>
      <c r="AI1601" s="12" t="n"/>
      <c r="AJ1601" s="13">
        <f>IF(LEN(TRIM(AF1601))=0,"",HYPERLINK("https://www.google.com/maps/@?api=1&amp;map_action=pano&amp;viewpoint="&amp;SUBSTITUTE(AF1601," ",""),"Abrir Street View"))</f>
        <v/>
      </c>
    </row>
    <row r="1602">
      <c r="H1602" s="6" t="n"/>
      <c r="I1602" s="6" t="n"/>
      <c r="M1602" s="7" t="n"/>
      <c r="N1602" s="7" t="n"/>
      <c r="O1602" s="7" t="n"/>
      <c r="Q1602" s="7" t="n"/>
      <c r="R1602" s="7" t="n"/>
      <c r="S1602" s="8">
        <f>IF(NOT(ISNUMBER(M1602)),"",IF(G1602="Terreno",IF(AND(ISNUMBER(I1602),I1602&gt;0),M1602/I1602,""),IF(AND(ISNUMBER(H1602),H1602&gt;0),M1602/H1602,"")))</f>
        <v/>
      </c>
      <c r="T1602" s="9">
        <f>IF(AND(ISNUMBER(M1602),ISNUMBER(O1602)),IF(M1602&lt;=O1602,"Valor ≤ venal IPTU",""),"")</f>
        <v/>
      </c>
      <c r="U1602" s="10">
        <f>IF(AND(ISNUMBER(M1602),ISNUMBER(N1602)),IF(N1602&gt;0,M1602/N1602,""),"")</f>
        <v/>
      </c>
      <c r="V1602" s="10">
        <f>IF(AND(ISNUMBER(M1602),ISNUMBER(O1602)),IF(O1602&gt;0,M1602/O1602,""),"")</f>
        <v/>
      </c>
      <c r="W1602" s="10">
        <f>IF(AND(ISNUMBER(M1602),ISNUMBER(R1602)),IF(R1602&gt;0,M1602/R1602,""),"")</f>
        <v/>
      </c>
      <c r="X1602" s="10">
        <f>IF(AND(ISNUMBER(Q1602),ISNUMBER(M1602)),IF(M1602&gt;0,Q1602/M1602,""),"")</f>
        <v/>
      </c>
      <c r="Y1602" s="11">
        <f>IF(ISNUMBER(Z1602),YEAR(Z1602),"")</f>
        <v/>
      </c>
      <c r="Z1602" s="12" t="n"/>
      <c r="AA1602" s="12" t="n"/>
      <c r="AI1602" s="12" t="n"/>
      <c r="AJ1602" s="13">
        <f>IF(LEN(TRIM(AF1602))=0,"",HYPERLINK("https://www.google.com/maps/@?api=1&amp;map_action=pano&amp;viewpoint="&amp;SUBSTITUTE(AF1602," ",""),"Abrir Street View"))</f>
        <v/>
      </c>
    </row>
    <row r="1603">
      <c r="H1603" s="6" t="n"/>
      <c r="I1603" s="6" t="n"/>
      <c r="M1603" s="7" t="n"/>
      <c r="N1603" s="7" t="n"/>
      <c r="O1603" s="7" t="n"/>
      <c r="Q1603" s="7" t="n"/>
      <c r="R1603" s="7" t="n"/>
      <c r="S1603" s="8">
        <f>IF(NOT(ISNUMBER(M1603)),"",IF(G1603="Terreno",IF(AND(ISNUMBER(I1603),I1603&gt;0),M1603/I1603,""),IF(AND(ISNUMBER(H1603),H1603&gt;0),M1603/H1603,"")))</f>
        <v/>
      </c>
      <c r="T1603" s="9">
        <f>IF(AND(ISNUMBER(M1603),ISNUMBER(O1603)),IF(M1603&lt;=O1603,"Valor ≤ venal IPTU",""),"")</f>
        <v/>
      </c>
      <c r="U1603" s="10">
        <f>IF(AND(ISNUMBER(M1603),ISNUMBER(N1603)),IF(N1603&gt;0,M1603/N1603,""),"")</f>
        <v/>
      </c>
      <c r="V1603" s="10">
        <f>IF(AND(ISNUMBER(M1603),ISNUMBER(O1603)),IF(O1603&gt;0,M1603/O1603,""),"")</f>
        <v/>
      </c>
      <c r="W1603" s="10">
        <f>IF(AND(ISNUMBER(M1603),ISNUMBER(R1603)),IF(R1603&gt;0,M1603/R1603,""),"")</f>
        <v/>
      </c>
      <c r="X1603" s="10">
        <f>IF(AND(ISNUMBER(Q1603),ISNUMBER(M1603)),IF(M1603&gt;0,Q1603/M1603,""),"")</f>
        <v/>
      </c>
      <c r="Y1603" s="11">
        <f>IF(ISNUMBER(Z1603),YEAR(Z1603),"")</f>
        <v/>
      </c>
      <c r="Z1603" s="12" t="n"/>
      <c r="AA1603" s="12" t="n"/>
      <c r="AI1603" s="12" t="n"/>
      <c r="AJ1603" s="13">
        <f>IF(LEN(TRIM(AF1603))=0,"",HYPERLINK("https://www.google.com/maps/@?api=1&amp;map_action=pano&amp;viewpoint="&amp;SUBSTITUTE(AF1603," ",""),"Abrir Street View"))</f>
        <v/>
      </c>
    </row>
    <row r="1604">
      <c r="H1604" s="6" t="n"/>
      <c r="I1604" s="6" t="n"/>
      <c r="M1604" s="7" t="n"/>
      <c r="N1604" s="7" t="n"/>
      <c r="O1604" s="7" t="n"/>
      <c r="Q1604" s="7" t="n"/>
      <c r="R1604" s="7" t="n"/>
      <c r="S1604" s="8">
        <f>IF(NOT(ISNUMBER(M1604)),"",IF(G1604="Terreno",IF(AND(ISNUMBER(I1604),I1604&gt;0),M1604/I1604,""),IF(AND(ISNUMBER(H1604),H1604&gt;0),M1604/H1604,"")))</f>
        <v/>
      </c>
      <c r="T1604" s="9">
        <f>IF(AND(ISNUMBER(M1604),ISNUMBER(O1604)),IF(M1604&lt;=O1604,"Valor ≤ venal IPTU",""),"")</f>
        <v/>
      </c>
      <c r="U1604" s="10">
        <f>IF(AND(ISNUMBER(M1604),ISNUMBER(N1604)),IF(N1604&gt;0,M1604/N1604,""),"")</f>
        <v/>
      </c>
      <c r="V1604" s="10">
        <f>IF(AND(ISNUMBER(M1604),ISNUMBER(O1604)),IF(O1604&gt;0,M1604/O1604,""),"")</f>
        <v/>
      </c>
      <c r="W1604" s="10">
        <f>IF(AND(ISNUMBER(M1604),ISNUMBER(R1604)),IF(R1604&gt;0,M1604/R1604,""),"")</f>
        <v/>
      </c>
      <c r="X1604" s="10">
        <f>IF(AND(ISNUMBER(Q1604),ISNUMBER(M1604)),IF(M1604&gt;0,Q1604/M1604,""),"")</f>
        <v/>
      </c>
      <c r="Y1604" s="11">
        <f>IF(ISNUMBER(Z1604),YEAR(Z1604),"")</f>
        <v/>
      </c>
      <c r="Z1604" s="12" t="n"/>
      <c r="AA1604" s="12" t="n"/>
      <c r="AI1604" s="12" t="n"/>
      <c r="AJ1604" s="13">
        <f>IF(LEN(TRIM(AF1604))=0,"",HYPERLINK("https://www.google.com/maps/@?api=1&amp;map_action=pano&amp;viewpoint="&amp;SUBSTITUTE(AF1604," ",""),"Abrir Street View"))</f>
        <v/>
      </c>
    </row>
    <row r="1605">
      <c r="H1605" s="6" t="n"/>
      <c r="I1605" s="6" t="n"/>
      <c r="M1605" s="7" t="n"/>
      <c r="N1605" s="7" t="n"/>
      <c r="O1605" s="7" t="n"/>
      <c r="Q1605" s="7" t="n"/>
      <c r="R1605" s="7" t="n"/>
      <c r="S1605" s="8">
        <f>IF(NOT(ISNUMBER(M1605)),"",IF(G1605="Terreno",IF(AND(ISNUMBER(I1605),I1605&gt;0),M1605/I1605,""),IF(AND(ISNUMBER(H1605),H1605&gt;0),M1605/H1605,"")))</f>
        <v/>
      </c>
      <c r="T1605" s="9">
        <f>IF(AND(ISNUMBER(M1605),ISNUMBER(O1605)),IF(M1605&lt;=O1605,"Valor ≤ venal IPTU",""),"")</f>
        <v/>
      </c>
      <c r="U1605" s="10">
        <f>IF(AND(ISNUMBER(M1605),ISNUMBER(N1605)),IF(N1605&gt;0,M1605/N1605,""),"")</f>
        <v/>
      </c>
      <c r="V1605" s="10">
        <f>IF(AND(ISNUMBER(M1605),ISNUMBER(O1605)),IF(O1605&gt;0,M1605/O1605,""),"")</f>
        <v/>
      </c>
      <c r="W1605" s="10">
        <f>IF(AND(ISNUMBER(M1605),ISNUMBER(R1605)),IF(R1605&gt;0,M1605/R1605,""),"")</f>
        <v/>
      </c>
      <c r="X1605" s="10">
        <f>IF(AND(ISNUMBER(Q1605),ISNUMBER(M1605)),IF(M1605&gt;0,Q1605/M1605,""),"")</f>
        <v/>
      </c>
      <c r="Y1605" s="11">
        <f>IF(ISNUMBER(Z1605),YEAR(Z1605),"")</f>
        <v/>
      </c>
      <c r="Z1605" s="12" t="n"/>
      <c r="AA1605" s="12" t="n"/>
      <c r="AI1605" s="12" t="n"/>
      <c r="AJ1605" s="13">
        <f>IF(LEN(TRIM(AF1605))=0,"",HYPERLINK("https://www.google.com/maps/@?api=1&amp;map_action=pano&amp;viewpoint="&amp;SUBSTITUTE(AF1605," ",""),"Abrir Street View"))</f>
        <v/>
      </c>
    </row>
    <row r="1606">
      <c r="H1606" s="6" t="n"/>
      <c r="I1606" s="6" t="n"/>
      <c r="M1606" s="7" t="n"/>
      <c r="N1606" s="7" t="n"/>
      <c r="O1606" s="7" t="n"/>
      <c r="Q1606" s="7" t="n"/>
      <c r="R1606" s="7" t="n"/>
      <c r="S1606" s="8">
        <f>IF(NOT(ISNUMBER(M1606)),"",IF(G1606="Terreno",IF(AND(ISNUMBER(I1606),I1606&gt;0),M1606/I1606,""),IF(AND(ISNUMBER(H1606),H1606&gt;0),M1606/H1606,"")))</f>
        <v/>
      </c>
      <c r="T1606" s="9">
        <f>IF(AND(ISNUMBER(M1606),ISNUMBER(O1606)),IF(M1606&lt;=O1606,"Valor ≤ venal IPTU",""),"")</f>
        <v/>
      </c>
      <c r="U1606" s="10">
        <f>IF(AND(ISNUMBER(M1606),ISNUMBER(N1606)),IF(N1606&gt;0,M1606/N1606,""),"")</f>
        <v/>
      </c>
      <c r="V1606" s="10">
        <f>IF(AND(ISNUMBER(M1606),ISNUMBER(O1606)),IF(O1606&gt;0,M1606/O1606,""),"")</f>
        <v/>
      </c>
      <c r="W1606" s="10">
        <f>IF(AND(ISNUMBER(M1606),ISNUMBER(R1606)),IF(R1606&gt;0,M1606/R1606,""),"")</f>
        <v/>
      </c>
      <c r="X1606" s="10">
        <f>IF(AND(ISNUMBER(Q1606),ISNUMBER(M1606)),IF(M1606&gt;0,Q1606/M1606,""),"")</f>
        <v/>
      </c>
      <c r="Y1606" s="11">
        <f>IF(ISNUMBER(Z1606),YEAR(Z1606),"")</f>
        <v/>
      </c>
      <c r="Z1606" s="12" t="n"/>
      <c r="AA1606" s="12" t="n"/>
      <c r="AI1606" s="12" t="n"/>
      <c r="AJ1606" s="13">
        <f>IF(LEN(TRIM(AF1606))=0,"",HYPERLINK("https://www.google.com/maps/@?api=1&amp;map_action=pano&amp;viewpoint="&amp;SUBSTITUTE(AF1606," ",""),"Abrir Street View"))</f>
        <v/>
      </c>
    </row>
    <row r="1607">
      <c r="H1607" s="6" t="n"/>
      <c r="I1607" s="6" t="n"/>
      <c r="M1607" s="7" t="n"/>
      <c r="N1607" s="7" t="n"/>
      <c r="O1607" s="7" t="n"/>
      <c r="Q1607" s="7" t="n"/>
      <c r="R1607" s="7" t="n"/>
      <c r="S1607" s="8">
        <f>IF(NOT(ISNUMBER(M1607)),"",IF(G1607="Terreno",IF(AND(ISNUMBER(I1607),I1607&gt;0),M1607/I1607,""),IF(AND(ISNUMBER(H1607),H1607&gt;0),M1607/H1607,"")))</f>
        <v/>
      </c>
      <c r="T1607" s="9">
        <f>IF(AND(ISNUMBER(M1607),ISNUMBER(O1607)),IF(M1607&lt;=O1607,"Valor ≤ venal IPTU",""),"")</f>
        <v/>
      </c>
      <c r="U1607" s="10">
        <f>IF(AND(ISNUMBER(M1607),ISNUMBER(N1607)),IF(N1607&gt;0,M1607/N1607,""),"")</f>
        <v/>
      </c>
      <c r="V1607" s="10">
        <f>IF(AND(ISNUMBER(M1607),ISNUMBER(O1607)),IF(O1607&gt;0,M1607/O1607,""),"")</f>
        <v/>
      </c>
      <c r="W1607" s="10">
        <f>IF(AND(ISNUMBER(M1607),ISNUMBER(R1607)),IF(R1607&gt;0,M1607/R1607,""),"")</f>
        <v/>
      </c>
      <c r="X1607" s="10">
        <f>IF(AND(ISNUMBER(Q1607),ISNUMBER(M1607)),IF(M1607&gt;0,Q1607/M1607,""),"")</f>
        <v/>
      </c>
      <c r="Y1607" s="11">
        <f>IF(ISNUMBER(Z1607),YEAR(Z1607),"")</f>
        <v/>
      </c>
      <c r="Z1607" s="12" t="n"/>
      <c r="AA1607" s="12" t="n"/>
      <c r="AI1607" s="12" t="n"/>
      <c r="AJ1607" s="13">
        <f>IF(LEN(TRIM(AF1607))=0,"",HYPERLINK("https://www.google.com/maps/@?api=1&amp;map_action=pano&amp;viewpoint="&amp;SUBSTITUTE(AF1607," ",""),"Abrir Street View"))</f>
        <v/>
      </c>
    </row>
    <row r="1608">
      <c r="H1608" s="6" t="n"/>
      <c r="I1608" s="6" t="n"/>
      <c r="M1608" s="7" t="n"/>
      <c r="N1608" s="7" t="n"/>
      <c r="O1608" s="7" t="n"/>
      <c r="Q1608" s="7" t="n"/>
      <c r="R1608" s="7" t="n"/>
      <c r="S1608" s="8">
        <f>IF(NOT(ISNUMBER(M1608)),"",IF(G1608="Terreno",IF(AND(ISNUMBER(I1608),I1608&gt;0),M1608/I1608,""),IF(AND(ISNUMBER(H1608),H1608&gt;0),M1608/H1608,"")))</f>
        <v/>
      </c>
      <c r="T1608" s="9">
        <f>IF(AND(ISNUMBER(M1608),ISNUMBER(O1608)),IF(M1608&lt;=O1608,"Valor ≤ venal IPTU",""),"")</f>
        <v/>
      </c>
      <c r="U1608" s="10">
        <f>IF(AND(ISNUMBER(M1608),ISNUMBER(N1608)),IF(N1608&gt;0,M1608/N1608,""),"")</f>
        <v/>
      </c>
      <c r="V1608" s="10">
        <f>IF(AND(ISNUMBER(M1608),ISNUMBER(O1608)),IF(O1608&gt;0,M1608/O1608,""),"")</f>
        <v/>
      </c>
      <c r="W1608" s="10">
        <f>IF(AND(ISNUMBER(M1608),ISNUMBER(R1608)),IF(R1608&gt;0,M1608/R1608,""),"")</f>
        <v/>
      </c>
      <c r="X1608" s="10">
        <f>IF(AND(ISNUMBER(Q1608),ISNUMBER(M1608)),IF(M1608&gt;0,Q1608/M1608,""),"")</f>
        <v/>
      </c>
      <c r="Y1608" s="11">
        <f>IF(ISNUMBER(Z1608),YEAR(Z1608),"")</f>
        <v/>
      </c>
      <c r="Z1608" s="12" t="n"/>
      <c r="AA1608" s="12" t="n"/>
      <c r="AI1608" s="12" t="n"/>
      <c r="AJ1608" s="13">
        <f>IF(LEN(TRIM(AF1608))=0,"",HYPERLINK("https://www.google.com/maps/@?api=1&amp;map_action=pano&amp;viewpoint="&amp;SUBSTITUTE(AF1608," ",""),"Abrir Street View"))</f>
        <v/>
      </c>
    </row>
    <row r="1609">
      <c r="H1609" s="6" t="n"/>
      <c r="I1609" s="6" t="n"/>
      <c r="M1609" s="7" t="n"/>
      <c r="N1609" s="7" t="n"/>
      <c r="O1609" s="7" t="n"/>
      <c r="Q1609" s="7" t="n"/>
      <c r="R1609" s="7" t="n"/>
      <c r="S1609" s="8">
        <f>IF(NOT(ISNUMBER(M1609)),"",IF(G1609="Terreno",IF(AND(ISNUMBER(I1609),I1609&gt;0),M1609/I1609,""),IF(AND(ISNUMBER(H1609),H1609&gt;0),M1609/H1609,"")))</f>
        <v/>
      </c>
      <c r="T1609" s="9">
        <f>IF(AND(ISNUMBER(M1609),ISNUMBER(O1609)),IF(M1609&lt;=O1609,"Valor ≤ venal IPTU",""),"")</f>
        <v/>
      </c>
      <c r="U1609" s="10">
        <f>IF(AND(ISNUMBER(M1609),ISNUMBER(N1609)),IF(N1609&gt;0,M1609/N1609,""),"")</f>
        <v/>
      </c>
      <c r="V1609" s="10">
        <f>IF(AND(ISNUMBER(M1609),ISNUMBER(O1609)),IF(O1609&gt;0,M1609/O1609,""),"")</f>
        <v/>
      </c>
      <c r="W1609" s="10">
        <f>IF(AND(ISNUMBER(M1609),ISNUMBER(R1609)),IF(R1609&gt;0,M1609/R1609,""),"")</f>
        <v/>
      </c>
      <c r="X1609" s="10">
        <f>IF(AND(ISNUMBER(Q1609),ISNUMBER(M1609)),IF(M1609&gt;0,Q1609/M1609,""),"")</f>
        <v/>
      </c>
      <c r="Y1609" s="11">
        <f>IF(ISNUMBER(Z1609),YEAR(Z1609),"")</f>
        <v/>
      </c>
      <c r="Z1609" s="12" t="n"/>
      <c r="AA1609" s="12" t="n"/>
      <c r="AI1609" s="12" t="n"/>
      <c r="AJ1609" s="13">
        <f>IF(LEN(TRIM(AF1609))=0,"",HYPERLINK("https://www.google.com/maps/@?api=1&amp;map_action=pano&amp;viewpoint="&amp;SUBSTITUTE(AF1609," ",""),"Abrir Street View"))</f>
        <v/>
      </c>
    </row>
    <row r="1610">
      <c r="H1610" s="6" t="n"/>
      <c r="I1610" s="6" t="n"/>
      <c r="M1610" s="7" t="n"/>
      <c r="N1610" s="7" t="n"/>
      <c r="O1610" s="7" t="n"/>
      <c r="Q1610" s="7" t="n"/>
      <c r="R1610" s="7" t="n"/>
      <c r="S1610" s="8">
        <f>IF(NOT(ISNUMBER(M1610)),"",IF(G1610="Terreno",IF(AND(ISNUMBER(I1610),I1610&gt;0),M1610/I1610,""),IF(AND(ISNUMBER(H1610),H1610&gt;0),M1610/H1610,"")))</f>
        <v/>
      </c>
      <c r="T1610" s="9">
        <f>IF(AND(ISNUMBER(M1610),ISNUMBER(O1610)),IF(M1610&lt;=O1610,"Valor ≤ venal IPTU",""),"")</f>
        <v/>
      </c>
      <c r="U1610" s="10">
        <f>IF(AND(ISNUMBER(M1610),ISNUMBER(N1610)),IF(N1610&gt;0,M1610/N1610,""),"")</f>
        <v/>
      </c>
      <c r="V1610" s="10">
        <f>IF(AND(ISNUMBER(M1610),ISNUMBER(O1610)),IF(O1610&gt;0,M1610/O1610,""),"")</f>
        <v/>
      </c>
      <c r="W1610" s="10">
        <f>IF(AND(ISNUMBER(M1610),ISNUMBER(R1610)),IF(R1610&gt;0,M1610/R1610,""),"")</f>
        <v/>
      </c>
      <c r="X1610" s="10">
        <f>IF(AND(ISNUMBER(Q1610),ISNUMBER(M1610)),IF(M1610&gt;0,Q1610/M1610,""),"")</f>
        <v/>
      </c>
      <c r="Y1610" s="11">
        <f>IF(ISNUMBER(Z1610),YEAR(Z1610),"")</f>
        <v/>
      </c>
      <c r="Z1610" s="12" t="n"/>
      <c r="AA1610" s="12" t="n"/>
      <c r="AI1610" s="12" t="n"/>
      <c r="AJ1610" s="13">
        <f>IF(LEN(TRIM(AF1610))=0,"",HYPERLINK("https://www.google.com/maps/@?api=1&amp;map_action=pano&amp;viewpoint="&amp;SUBSTITUTE(AF1610," ",""),"Abrir Street View"))</f>
        <v/>
      </c>
    </row>
    <row r="1611">
      <c r="H1611" s="6" t="n"/>
      <c r="I1611" s="6" t="n"/>
      <c r="M1611" s="7" t="n"/>
      <c r="N1611" s="7" t="n"/>
      <c r="O1611" s="7" t="n"/>
      <c r="Q1611" s="7" t="n"/>
      <c r="R1611" s="7" t="n"/>
      <c r="S1611" s="8">
        <f>IF(NOT(ISNUMBER(M1611)),"",IF(G1611="Terreno",IF(AND(ISNUMBER(I1611),I1611&gt;0),M1611/I1611,""),IF(AND(ISNUMBER(H1611),H1611&gt;0),M1611/H1611,"")))</f>
        <v/>
      </c>
      <c r="T1611" s="9">
        <f>IF(AND(ISNUMBER(M1611),ISNUMBER(O1611)),IF(M1611&lt;=O1611,"Valor ≤ venal IPTU",""),"")</f>
        <v/>
      </c>
      <c r="U1611" s="10">
        <f>IF(AND(ISNUMBER(M1611),ISNUMBER(N1611)),IF(N1611&gt;0,M1611/N1611,""),"")</f>
        <v/>
      </c>
      <c r="V1611" s="10">
        <f>IF(AND(ISNUMBER(M1611),ISNUMBER(O1611)),IF(O1611&gt;0,M1611/O1611,""),"")</f>
        <v/>
      </c>
      <c r="W1611" s="10">
        <f>IF(AND(ISNUMBER(M1611),ISNUMBER(R1611)),IF(R1611&gt;0,M1611/R1611,""),"")</f>
        <v/>
      </c>
      <c r="X1611" s="10">
        <f>IF(AND(ISNUMBER(Q1611),ISNUMBER(M1611)),IF(M1611&gt;0,Q1611/M1611,""),"")</f>
        <v/>
      </c>
      <c r="Y1611" s="11">
        <f>IF(ISNUMBER(Z1611),YEAR(Z1611),"")</f>
        <v/>
      </c>
      <c r="Z1611" s="12" t="n"/>
      <c r="AA1611" s="12" t="n"/>
      <c r="AI1611" s="12" t="n"/>
      <c r="AJ1611" s="13">
        <f>IF(LEN(TRIM(AF1611))=0,"",HYPERLINK("https://www.google.com/maps/@?api=1&amp;map_action=pano&amp;viewpoint="&amp;SUBSTITUTE(AF1611," ",""),"Abrir Street View"))</f>
        <v/>
      </c>
    </row>
    <row r="1612">
      <c r="H1612" s="6" t="n"/>
      <c r="I1612" s="6" t="n"/>
      <c r="M1612" s="7" t="n"/>
      <c r="N1612" s="7" t="n"/>
      <c r="O1612" s="7" t="n"/>
      <c r="Q1612" s="7" t="n"/>
      <c r="R1612" s="7" t="n"/>
      <c r="S1612" s="8">
        <f>IF(NOT(ISNUMBER(M1612)),"",IF(G1612="Terreno",IF(AND(ISNUMBER(I1612),I1612&gt;0),M1612/I1612,""),IF(AND(ISNUMBER(H1612),H1612&gt;0),M1612/H1612,"")))</f>
        <v/>
      </c>
      <c r="T1612" s="9">
        <f>IF(AND(ISNUMBER(M1612),ISNUMBER(O1612)),IF(M1612&lt;=O1612,"Valor ≤ venal IPTU",""),"")</f>
        <v/>
      </c>
      <c r="U1612" s="10">
        <f>IF(AND(ISNUMBER(M1612),ISNUMBER(N1612)),IF(N1612&gt;0,M1612/N1612,""),"")</f>
        <v/>
      </c>
      <c r="V1612" s="10">
        <f>IF(AND(ISNUMBER(M1612),ISNUMBER(O1612)),IF(O1612&gt;0,M1612/O1612,""),"")</f>
        <v/>
      </c>
      <c r="W1612" s="10">
        <f>IF(AND(ISNUMBER(M1612),ISNUMBER(R1612)),IF(R1612&gt;0,M1612/R1612,""),"")</f>
        <v/>
      </c>
      <c r="X1612" s="10">
        <f>IF(AND(ISNUMBER(Q1612),ISNUMBER(M1612)),IF(M1612&gt;0,Q1612/M1612,""),"")</f>
        <v/>
      </c>
      <c r="Y1612" s="11">
        <f>IF(ISNUMBER(Z1612),YEAR(Z1612),"")</f>
        <v/>
      </c>
      <c r="Z1612" s="12" t="n"/>
      <c r="AA1612" s="12" t="n"/>
      <c r="AI1612" s="12" t="n"/>
      <c r="AJ1612" s="13">
        <f>IF(LEN(TRIM(AF1612))=0,"",HYPERLINK("https://www.google.com/maps/@?api=1&amp;map_action=pano&amp;viewpoint="&amp;SUBSTITUTE(AF1612," ",""),"Abrir Street View"))</f>
        <v/>
      </c>
    </row>
    <row r="1613">
      <c r="H1613" s="6" t="n"/>
      <c r="I1613" s="6" t="n"/>
      <c r="M1613" s="7" t="n"/>
      <c r="N1613" s="7" t="n"/>
      <c r="O1613" s="7" t="n"/>
      <c r="Q1613" s="7" t="n"/>
      <c r="R1613" s="7" t="n"/>
      <c r="S1613" s="8">
        <f>IF(NOT(ISNUMBER(M1613)),"",IF(G1613="Terreno",IF(AND(ISNUMBER(I1613),I1613&gt;0),M1613/I1613,""),IF(AND(ISNUMBER(H1613),H1613&gt;0),M1613/H1613,"")))</f>
        <v/>
      </c>
      <c r="T1613" s="9">
        <f>IF(AND(ISNUMBER(M1613),ISNUMBER(O1613)),IF(M1613&lt;=O1613,"Valor ≤ venal IPTU",""),"")</f>
        <v/>
      </c>
      <c r="U1613" s="10">
        <f>IF(AND(ISNUMBER(M1613),ISNUMBER(N1613)),IF(N1613&gt;0,M1613/N1613,""),"")</f>
        <v/>
      </c>
      <c r="V1613" s="10">
        <f>IF(AND(ISNUMBER(M1613),ISNUMBER(O1613)),IF(O1613&gt;0,M1613/O1613,""),"")</f>
        <v/>
      </c>
      <c r="W1613" s="10">
        <f>IF(AND(ISNUMBER(M1613),ISNUMBER(R1613)),IF(R1613&gt;0,M1613/R1613,""),"")</f>
        <v/>
      </c>
      <c r="X1613" s="10">
        <f>IF(AND(ISNUMBER(Q1613),ISNUMBER(M1613)),IF(M1613&gt;0,Q1613/M1613,""),"")</f>
        <v/>
      </c>
      <c r="Y1613" s="11">
        <f>IF(ISNUMBER(Z1613),YEAR(Z1613),"")</f>
        <v/>
      </c>
      <c r="Z1613" s="12" t="n"/>
      <c r="AA1613" s="12" t="n"/>
      <c r="AI1613" s="12" t="n"/>
      <c r="AJ1613" s="13">
        <f>IF(LEN(TRIM(AF1613))=0,"",HYPERLINK("https://www.google.com/maps/@?api=1&amp;map_action=pano&amp;viewpoint="&amp;SUBSTITUTE(AF1613," ",""),"Abrir Street View"))</f>
        <v/>
      </c>
    </row>
    <row r="1614">
      <c r="H1614" s="6" t="n"/>
      <c r="I1614" s="6" t="n"/>
      <c r="M1614" s="7" t="n"/>
      <c r="N1614" s="7" t="n"/>
      <c r="O1614" s="7" t="n"/>
      <c r="Q1614" s="7" t="n"/>
      <c r="R1614" s="7" t="n"/>
      <c r="S1614" s="8">
        <f>IF(NOT(ISNUMBER(M1614)),"",IF(G1614="Terreno",IF(AND(ISNUMBER(I1614),I1614&gt;0),M1614/I1614,""),IF(AND(ISNUMBER(H1614),H1614&gt;0),M1614/H1614,"")))</f>
        <v/>
      </c>
      <c r="T1614" s="9">
        <f>IF(AND(ISNUMBER(M1614),ISNUMBER(O1614)),IF(M1614&lt;=O1614,"Valor ≤ venal IPTU",""),"")</f>
        <v/>
      </c>
      <c r="U1614" s="10">
        <f>IF(AND(ISNUMBER(M1614),ISNUMBER(N1614)),IF(N1614&gt;0,M1614/N1614,""),"")</f>
        <v/>
      </c>
      <c r="V1614" s="10">
        <f>IF(AND(ISNUMBER(M1614),ISNUMBER(O1614)),IF(O1614&gt;0,M1614/O1614,""),"")</f>
        <v/>
      </c>
      <c r="W1614" s="10">
        <f>IF(AND(ISNUMBER(M1614),ISNUMBER(R1614)),IF(R1614&gt;0,M1614/R1614,""),"")</f>
        <v/>
      </c>
      <c r="X1614" s="10">
        <f>IF(AND(ISNUMBER(Q1614),ISNUMBER(M1614)),IF(M1614&gt;0,Q1614/M1614,""),"")</f>
        <v/>
      </c>
      <c r="Y1614" s="11">
        <f>IF(ISNUMBER(Z1614),YEAR(Z1614),"")</f>
        <v/>
      </c>
      <c r="Z1614" s="12" t="n"/>
      <c r="AA1614" s="12" t="n"/>
      <c r="AI1614" s="12" t="n"/>
      <c r="AJ1614" s="13">
        <f>IF(LEN(TRIM(AF1614))=0,"",HYPERLINK("https://www.google.com/maps/@?api=1&amp;map_action=pano&amp;viewpoint="&amp;SUBSTITUTE(AF1614," ",""),"Abrir Street View"))</f>
        <v/>
      </c>
    </row>
    <row r="1615">
      <c r="H1615" s="6" t="n"/>
      <c r="I1615" s="6" t="n"/>
      <c r="M1615" s="7" t="n"/>
      <c r="N1615" s="7" t="n"/>
      <c r="O1615" s="7" t="n"/>
      <c r="Q1615" s="7" t="n"/>
      <c r="R1615" s="7" t="n"/>
      <c r="S1615" s="8">
        <f>IF(NOT(ISNUMBER(M1615)),"",IF(G1615="Terreno",IF(AND(ISNUMBER(I1615),I1615&gt;0),M1615/I1615,""),IF(AND(ISNUMBER(H1615),H1615&gt;0),M1615/H1615,"")))</f>
        <v/>
      </c>
      <c r="T1615" s="9">
        <f>IF(AND(ISNUMBER(M1615),ISNUMBER(O1615)),IF(M1615&lt;=O1615,"Valor ≤ venal IPTU",""),"")</f>
        <v/>
      </c>
      <c r="U1615" s="10">
        <f>IF(AND(ISNUMBER(M1615),ISNUMBER(N1615)),IF(N1615&gt;0,M1615/N1615,""),"")</f>
        <v/>
      </c>
      <c r="V1615" s="10">
        <f>IF(AND(ISNUMBER(M1615),ISNUMBER(O1615)),IF(O1615&gt;0,M1615/O1615,""),"")</f>
        <v/>
      </c>
      <c r="W1615" s="10">
        <f>IF(AND(ISNUMBER(M1615),ISNUMBER(R1615)),IF(R1615&gt;0,M1615/R1615,""),"")</f>
        <v/>
      </c>
      <c r="X1615" s="10">
        <f>IF(AND(ISNUMBER(Q1615),ISNUMBER(M1615)),IF(M1615&gt;0,Q1615/M1615,""),"")</f>
        <v/>
      </c>
      <c r="Y1615" s="11">
        <f>IF(ISNUMBER(Z1615),YEAR(Z1615),"")</f>
        <v/>
      </c>
      <c r="Z1615" s="12" t="n"/>
      <c r="AA1615" s="12" t="n"/>
      <c r="AI1615" s="12" t="n"/>
      <c r="AJ1615" s="13">
        <f>IF(LEN(TRIM(AF1615))=0,"",HYPERLINK("https://www.google.com/maps/@?api=1&amp;map_action=pano&amp;viewpoint="&amp;SUBSTITUTE(AF1615," ",""),"Abrir Street View"))</f>
        <v/>
      </c>
    </row>
    <row r="1616">
      <c r="H1616" s="6" t="n"/>
      <c r="I1616" s="6" t="n"/>
      <c r="M1616" s="7" t="n"/>
      <c r="N1616" s="7" t="n"/>
      <c r="O1616" s="7" t="n"/>
      <c r="Q1616" s="7" t="n"/>
      <c r="R1616" s="7" t="n"/>
      <c r="S1616" s="8">
        <f>IF(NOT(ISNUMBER(M1616)),"",IF(G1616="Terreno",IF(AND(ISNUMBER(I1616),I1616&gt;0),M1616/I1616,""),IF(AND(ISNUMBER(H1616),H1616&gt;0),M1616/H1616,"")))</f>
        <v/>
      </c>
      <c r="T1616" s="9">
        <f>IF(AND(ISNUMBER(M1616),ISNUMBER(O1616)),IF(M1616&lt;=O1616,"Valor ≤ venal IPTU",""),"")</f>
        <v/>
      </c>
      <c r="U1616" s="10">
        <f>IF(AND(ISNUMBER(M1616),ISNUMBER(N1616)),IF(N1616&gt;0,M1616/N1616,""),"")</f>
        <v/>
      </c>
      <c r="V1616" s="10">
        <f>IF(AND(ISNUMBER(M1616),ISNUMBER(O1616)),IF(O1616&gt;0,M1616/O1616,""),"")</f>
        <v/>
      </c>
      <c r="W1616" s="10">
        <f>IF(AND(ISNUMBER(M1616),ISNUMBER(R1616)),IF(R1616&gt;0,M1616/R1616,""),"")</f>
        <v/>
      </c>
      <c r="X1616" s="10">
        <f>IF(AND(ISNUMBER(Q1616),ISNUMBER(M1616)),IF(M1616&gt;0,Q1616/M1616,""),"")</f>
        <v/>
      </c>
      <c r="Y1616" s="11">
        <f>IF(ISNUMBER(Z1616),YEAR(Z1616),"")</f>
        <v/>
      </c>
      <c r="Z1616" s="12" t="n"/>
      <c r="AA1616" s="12" t="n"/>
      <c r="AI1616" s="12" t="n"/>
      <c r="AJ1616" s="13">
        <f>IF(LEN(TRIM(AF1616))=0,"",HYPERLINK("https://www.google.com/maps/@?api=1&amp;map_action=pano&amp;viewpoint="&amp;SUBSTITUTE(AF1616," ",""),"Abrir Street View"))</f>
        <v/>
      </c>
    </row>
    <row r="1617">
      <c r="H1617" s="6" t="n"/>
      <c r="I1617" s="6" t="n"/>
      <c r="M1617" s="7" t="n"/>
      <c r="N1617" s="7" t="n"/>
      <c r="O1617" s="7" t="n"/>
      <c r="Q1617" s="7" t="n"/>
      <c r="R1617" s="7" t="n"/>
      <c r="S1617" s="8">
        <f>IF(NOT(ISNUMBER(M1617)),"",IF(G1617="Terreno",IF(AND(ISNUMBER(I1617),I1617&gt;0),M1617/I1617,""),IF(AND(ISNUMBER(H1617),H1617&gt;0),M1617/H1617,"")))</f>
        <v/>
      </c>
      <c r="T1617" s="9">
        <f>IF(AND(ISNUMBER(M1617),ISNUMBER(O1617)),IF(M1617&lt;=O1617,"Valor ≤ venal IPTU",""),"")</f>
        <v/>
      </c>
      <c r="U1617" s="10">
        <f>IF(AND(ISNUMBER(M1617),ISNUMBER(N1617)),IF(N1617&gt;0,M1617/N1617,""),"")</f>
        <v/>
      </c>
      <c r="V1617" s="10">
        <f>IF(AND(ISNUMBER(M1617),ISNUMBER(O1617)),IF(O1617&gt;0,M1617/O1617,""),"")</f>
        <v/>
      </c>
      <c r="W1617" s="10">
        <f>IF(AND(ISNUMBER(M1617),ISNUMBER(R1617)),IF(R1617&gt;0,M1617/R1617,""),"")</f>
        <v/>
      </c>
      <c r="X1617" s="10">
        <f>IF(AND(ISNUMBER(Q1617),ISNUMBER(M1617)),IF(M1617&gt;0,Q1617/M1617,""),"")</f>
        <v/>
      </c>
      <c r="Y1617" s="11">
        <f>IF(ISNUMBER(Z1617),YEAR(Z1617),"")</f>
        <v/>
      </c>
      <c r="Z1617" s="12" t="n"/>
      <c r="AA1617" s="12" t="n"/>
      <c r="AI1617" s="12" t="n"/>
      <c r="AJ1617" s="13">
        <f>IF(LEN(TRIM(AF1617))=0,"",HYPERLINK("https://www.google.com/maps/@?api=1&amp;map_action=pano&amp;viewpoint="&amp;SUBSTITUTE(AF1617," ",""),"Abrir Street View"))</f>
        <v/>
      </c>
    </row>
    <row r="1618">
      <c r="H1618" s="6" t="n"/>
      <c r="I1618" s="6" t="n"/>
      <c r="M1618" s="7" t="n"/>
      <c r="N1618" s="7" t="n"/>
      <c r="O1618" s="7" t="n"/>
      <c r="Q1618" s="7" t="n"/>
      <c r="R1618" s="7" t="n"/>
      <c r="S1618" s="8">
        <f>IF(NOT(ISNUMBER(M1618)),"",IF(G1618="Terreno",IF(AND(ISNUMBER(I1618),I1618&gt;0),M1618/I1618,""),IF(AND(ISNUMBER(H1618),H1618&gt;0),M1618/H1618,"")))</f>
        <v/>
      </c>
      <c r="T1618" s="9">
        <f>IF(AND(ISNUMBER(M1618),ISNUMBER(O1618)),IF(M1618&lt;=O1618,"Valor ≤ venal IPTU",""),"")</f>
        <v/>
      </c>
      <c r="U1618" s="10">
        <f>IF(AND(ISNUMBER(M1618),ISNUMBER(N1618)),IF(N1618&gt;0,M1618/N1618,""),"")</f>
        <v/>
      </c>
      <c r="V1618" s="10">
        <f>IF(AND(ISNUMBER(M1618),ISNUMBER(O1618)),IF(O1618&gt;0,M1618/O1618,""),"")</f>
        <v/>
      </c>
      <c r="W1618" s="10">
        <f>IF(AND(ISNUMBER(M1618),ISNUMBER(R1618)),IF(R1618&gt;0,M1618/R1618,""),"")</f>
        <v/>
      </c>
      <c r="X1618" s="10">
        <f>IF(AND(ISNUMBER(Q1618),ISNUMBER(M1618)),IF(M1618&gt;0,Q1618/M1618,""),"")</f>
        <v/>
      </c>
      <c r="Y1618" s="11">
        <f>IF(ISNUMBER(Z1618),YEAR(Z1618),"")</f>
        <v/>
      </c>
      <c r="Z1618" s="12" t="n"/>
      <c r="AA1618" s="12" t="n"/>
      <c r="AI1618" s="12" t="n"/>
      <c r="AJ1618" s="13">
        <f>IF(LEN(TRIM(AF1618))=0,"",HYPERLINK("https://www.google.com/maps/@?api=1&amp;map_action=pano&amp;viewpoint="&amp;SUBSTITUTE(AF1618," ",""),"Abrir Street View"))</f>
        <v/>
      </c>
    </row>
    <row r="1619">
      <c r="H1619" s="6" t="n"/>
      <c r="I1619" s="6" t="n"/>
      <c r="M1619" s="7" t="n"/>
      <c r="N1619" s="7" t="n"/>
      <c r="O1619" s="7" t="n"/>
      <c r="Q1619" s="7" t="n"/>
      <c r="R1619" s="7" t="n"/>
      <c r="S1619" s="8">
        <f>IF(NOT(ISNUMBER(M1619)),"",IF(G1619="Terreno",IF(AND(ISNUMBER(I1619),I1619&gt;0),M1619/I1619,""),IF(AND(ISNUMBER(H1619),H1619&gt;0),M1619/H1619,"")))</f>
        <v/>
      </c>
      <c r="T1619" s="9">
        <f>IF(AND(ISNUMBER(M1619),ISNUMBER(O1619)),IF(M1619&lt;=O1619,"Valor ≤ venal IPTU",""),"")</f>
        <v/>
      </c>
      <c r="U1619" s="10">
        <f>IF(AND(ISNUMBER(M1619),ISNUMBER(N1619)),IF(N1619&gt;0,M1619/N1619,""),"")</f>
        <v/>
      </c>
      <c r="V1619" s="10">
        <f>IF(AND(ISNUMBER(M1619),ISNUMBER(O1619)),IF(O1619&gt;0,M1619/O1619,""),"")</f>
        <v/>
      </c>
      <c r="W1619" s="10">
        <f>IF(AND(ISNUMBER(M1619),ISNUMBER(R1619)),IF(R1619&gt;0,M1619/R1619,""),"")</f>
        <v/>
      </c>
      <c r="X1619" s="10">
        <f>IF(AND(ISNUMBER(Q1619),ISNUMBER(M1619)),IF(M1619&gt;0,Q1619/M1619,""),"")</f>
        <v/>
      </c>
      <c r="Y1619" s="11">
        <f>IF(ISNUMBER(Z1619),YEAR(Z1619),"")</f>
        <v/>
      </c>
      <c r="Z1619" s="12" t="n"/>
      <c r="AA1619" s="12" t="n"/>
      <c r="AI1619" s="12" t="n"/>
      <c r="AJ1619" s="13">
        <f>IF(LEN(TRIM(AF1619))=0,"",HYPERLINK("https://www.google.com/maps/@?api=1&amp;map_action=pano&amp;viewpoint="&amp;SUBSTITUTE(AF1619," ",""),"Abrir Street View"))</f>
        <v/>
      </c>
    </row>
    <row r="1620">
      <c r="H1620" s="6" t="n"/>
      <c r="I1620" s="6" t="n"/>
      <c r="M1620" s="7" t="n"/>
      <c r="N1620" s="7" t="n"/>
      <c r="O1620" s="7" t="n"/>
      <c r="Q1620" s="7" t="n"/>
      <c r="R1620" s="7" t="n"/>
      <c r="S1620" s="8">
        <f>IF(NOT(ISNUMBER(M1620)),"",IF(G1620="Terreno",IF(AND(ISNUMBER(I1620),I1620&gt;0),M1620/I1620,""),IF(AND(ISNUMBER(H1620),H1620&gt;0),M1620/H1620,"")))</f>
        <v/>
      </c>
      <c r="T1620" s="9">
        <f>IF(AND(ISNUMBER(M1620),ISNUMBER(O1620)),IF(M1620&lt;=O1620,"Valor ≤ venal IPTU",""),"")</f>
        <v/>
      </c>
      <c r="U1620" s="10">
        <f>IF(AND(ISNUMBER(M1620),ISNUMBER(N1620)),IF(N1620&gt;0,M1620/N1620,""),"")</f>
        <v/>
      </c>
      <c r="V1620" s="10">
        <f>IF(AND(ISNUMBER(M1620),ISNUMBER(O1620)),IF(O1620&gt;0,M1620/O1620,""),"")</f>
        <v/>
      </c>
      <c r="W1620" s="10">
        <f>IF(AND(ISNUMBER(M1620),ISNUMBER(R1620)),IF(R1620&gt;0,M1620/R1620,""),"")</f>
        <v/>
      </c>
      <c r="X1620" s="10">
        <f>IF(AND(ISNUMBER(Q1620),ISNUMBER(M1620)),IF(M1620&gt;0,Q1620/M1620,""),"")</f>
        <v/>
      </c>
      <c r="Y1620" s="11">
        <f>IF(ISNUMBER(Z1620),YEAR(Z1620),"")</f>
        <v/>
      </c>
      <c r="Z1620" s="12" t="n"/>
      <c r="AA1620" s="12" t="n"/>
      <c r="AI1620" s="12" t="n"/>
      <c r="AJ1620" s="13">
        <f>IF(LEN(TRIM(AF1620))=0,"",HYPERLINK("https://www.google.com/maps/@?api=1&amp;map_action=pano&amp;viewpoint="&amp;SUBSTITUTE(AF1620," ",""),"Abrir Street View"))</f>
        <v/>
      </c>
    </row>
    <row r="1621">
      <c r="H1621" s="6" t="n"/>
      <c r="I1621" s="6" t="n"/>
      <c r="M1621" s="7" t="n"/>
      <c r="N1621" s="7" t="n"/>
      <c r="O1621" s="7" t="n"/>
      <c r="Q1621" s="7" t="n"/>
      <c r="R1621" s="7" t="n"/>
      <c r="S1621" s="8">
        <f>IF(NOT(ISNUMBER(M1621)),"",IF(G1621="Terreno",IF(AND(ISNUMBER(I1621),I1621&gt;0),M1621/I1621,""),IF(AND(ISNUMBER(H1621),H1621&gt;0),M1621/H1621,"")))</f>
        <v/>
      </c>
      <c r="T1621" s="9">
        <f>IF(AND(ISNUMBER(M1621),ISNUMBER(O1621)),IF(M1621&lt;=O1621,"Valor ≤ venal IPTU",""),"")</f>
        <v/>
      </c>
      <c r="U1621" s="10">
        <f>IF(AND(ISNUMBER(M1621),ISNUMBER(N1621)),IF(N1621&gt;0,M1621/N1621,""),"")</f>
        <v/>
      </c>
      <c r="V1621" s="10">
        <f>IF(AND(ISNUMBER(M1621),ISNUMBER(O1621)),IF(O1621&gt;0,M1621/O1621,""),"")</f>
        <v/>
      </c>
      <c r="W1621" s="10">
        <f>IF(AND(ISNUMBER(M1621),ISNUMBER(R1621)),IF(R1621&gt;0,M1621/R1621,""),"")</f>
        <v/>
      </c>
      <c r="X1621" s="10">
        <f>IF(AND(ISNUMBER(Q1621),ISNUMBER(M1621)),IF(M1621&gt;0,Q1621/M1621,""),"")</f>
        <v/>
      </c>
      <c r="Y1621" s="11">
        <f>IF(ISNUMBER(Z1621),YEAR(Z1621),"")</f>
        <v/>
      </c>
      <c r="Z1621" s="12" t="n"/>
      <c r="AA1621" s="12" t="n"/>
      <c r="AI1621" s="12" t="n"/>
      <c r="AJ1621" s="13">
        <f>IF(LEN(TRIM(AF1621))=0,"",HYPERLINK("https://www.google.com/maps/@?api=1&amp;map_action=pano&amp;viewpoint="&amp;SUBSTITUTE(AF1621," ",""),"Abrir Street View"))</f>
        <v/>
      </c>
    </row>
    <row r="1622">
      <c r="H1622" s="6" t="n"/>
      <c r="I1622" s="6" t="n"/>
      <c r="M1622" s="7" t="n"/>
      <c r="N1622" s="7" t="n"/>
      <c r="O1622" s="7" t="n"/>
      <c r="Q1622" s="7" t="n"/>
      <c r="R1622" s="7" t="n"/>
      <c r="S1622" s="8">
        <f>IF(NOT(ISNUMBER(M1622)),"",IF(G1622="Terreno",IF(AND(ISNUMBER(I1622),I1622&gt;0),M1622/I1622,""),IF(AND(ISNUMBER(H1622),H1622&gt;0),M1622/H1622,"")))</f>
        <v/>
      </c>
      <c r="T1622" s="9">
        <f>IF(AND(ISNUMBER(M1622),ISNUMBER(O1622)),IF(M1622&lt;=O1622,"Valor ≤ venal IPTU",""),"")</f>
        <v/>
      </c>
      <c r="U1622" s="10">
        <f>IF(AND(ISNUMBER(M1622),ISNUMBER(N1622)),IF(N1622&gt;0,M1622/N1622,""),"")</f>
        <v/>
      </c>
      <c r="V1622" s="10">
        <f>IF(AND(ISNUMBER(M1622),ISNUMBER(O1622)),IF(O1622&gt;0,M1622/O1622,""),"")</f>
        <v/>
      </c>
      <c r="W1622" s="10">
        <f>IF(AND(ISNUMBER(M1622),ISNUMBER(R1622)),IF(R1622&gt;0,M1622/R1622,""),"")</f>
        <v/>
      </c>
      <c r="X1622" s="10">
        <f>IF(AND(ISNUMBER(Q1622),ISNUMBER(M1622)),IF(M1622&gt;0,Q1622/M1622,""),"")</f>
        <v/>
      </c>
      <c r="Y1622" s="11">
        <f>IF(ISNUMBER(Z1622),YEAR(Z1622),"")</f>
        <v/>
      </c>
      <c r="Z1622" s="12" t="n"/>
      <c r="AA1622" s="12" t="n"/>
      <c r="AI1622" s="12" t="n"/>
      <c r="AJ1622" s="13">
        <f>IF(LEN(TRIM(AF1622))=0,"",HYPERLINK("https://www.google.com/maps/@?api=1&amp;map_action=pano&amp;viewpoint="&amp;SUBSTITUTE(AF1622," ",""),"Abrir Street View"))</f>
        <v/>
      </c>
    </row>
    <row r="1623">
      <c r="H1623" s="6" t="n"/>
      <c r="I1623" s="6" t="n"/>
      <c r="M1623" s="7" t="n"/>
      <c r="N1623" s="7" t="n"/>
      <c r="O1623" s="7" t="n"/>
      <c r="Q1623" s="7" t="n"/>
      <c r="R1623" s="7" t="n"/>
      <c r="S1623" s="8">
        <f>IF(NOT(ISNUMBER(M1623)),"",IF(G1623="Terreno",IF(AND(ISNUMBER(I1623),I1623&gt;0),M1623/I1623,""),IF(AND(ISNUMBER(H1623),H1623&gt;0),M1623/H1623,"")))</f>
        <v/>
      </c>
      <c r="T1623" s="9">
        <f>IF(AND(ISNUMBER(M1623),ISNUMBER(O1623)),IF(M1623&lt;=O1623,"Valor ≤ venal IPTU",""),"")</f>
        <v/>
      </c>
      <c r="U1623" s="10">
        <f>IF(AND(ISNUMBER(M1623),ISNUMBER(N1623)),IF(N1623&gt;0,M1623/N1623,""),"")</f>
        <v/>
      </c>
      <c r="V1623" s="10">
        <f>IF(AND(ISNUMBER(M1623),ISNUMBER(O1623)),IF(O1623&gt;0,M1623/O1623,""),"")</f>
        <v/>
      </c>
      <c r="W1623" s="10">
        <f>IF(AND(ISNUMBER(M1623),ISNUMBER(R1623)),IF(R1623&gt;0,M1623/R1623,""),"")</f>
        <v/>
      </c>
      <c r="X1623" s="10">
        <f>IF(AND(ISNUMBER(Q1623),ISNUMBER(M1623)),IF(M1623&gt;0,Q1623/M1623,""),"")</f>
        <v/>
      </c>
      <c r="Y1623" s="11">
        <f>IF(ISNUMBER(Z1623),YEAR(Z1623),"")</f>
        <v/>
      </c>
      <c r="Z1623" s="12" t="n"/>
      <c r="AA1623" s="12" t="n"/>
      <c r="AI1623" s="12" t="n"/>
      <c r="AJ1623" s="13">
        <f>IF(LEN(TRIM(AF1623))=0,"",HYPERLINK("https://www.google.com/maps/@?api=1&amp;map_action=pano&amp;viewpoint="&amp;SUBSTITUTE(AF1623," ",""),"Abrir Street View"))</f>
        <v/>
      </c>
    </row>
    <row r="1624">
      <c r="H1624" s="6" t="n"/>
      <c r="I1624" s="6" t="n"/>
      <c r="M1624" s="7" t="n"/>
      <c r="N1624" s="7" t="n"/>
      <c r="O1624" s="7" t="n"/>
      <c r="Q1624" s="7" t="n"/>
      <c r="R1624" s="7" t="n"/>
      <c r="S1624" s="8">
        <f>IF(NOT(ISNUMBER(M1624)),"",IF(G1624="Terreno",IF(AND(ISNUMBER(I1624),I1624&gt;0),M1624/I1624,""),IF(AND(ISNUMBER(H1624),H1624&gt;0),M1624/H1624,"")))</f>
        <v/>
      </c>
      <c r="T1624" s="9">
        <f>IF(AND(ISNUMBER(M1624),ISNUMBER(O1624)),IF(M1624&lt;=O1624,"Valor ≤ venal IPTU",""),"")</f>
        <v/>
      </c>
      <c r="U1624" s="10">
        <f>IF(AND(ISNUMBER(M1624),ISNUMBER(N1624)),IF(N1624&gt;0,M1624/N1624,""),"")</f>
        <v/>
      </c>
      <c r="V1624" s="10">
        <f>IF(AND(ISNUMBER(M1624),ISNUMBER(O1624)),IF(O1624&gt;0,M1624/O1624,""),"")</f>
        <v/>
      </c>
      <c r="W1624" s="10">
        <f>IF(AND(ISNUMBER(M1624),ISNUMBER(R1624)),IF(R1624&gt;0,M1624/R1624,""),"")</f>
        <v/>
      </c>
      <c r="X1624" s="10">
        <f>IF(AND(ISNUMBER(Q1624),ISNUMBER(M1624)),IF(M1624&gt;0,Q1624/M1624,""),"")</f>
        <v/>
      </c>
      <c r="Y1624" s="11">
        <f>IF(ISNUMBER(Z1624),YEAR(Z1624),"")</f>
        <v/>
      </c>
      <c r="Z1624" s="12" t="n"/>
      <c r="AA1624" s="12" t="n"/>
      <c r="AI1624" s="12" t="n"/>
      <c r="AJ1624" s="13">
        <f>IF(LEN(TRIM(AF1624))=0,"",HYPERLINK("https://www.google.com/maps/@?api=1&amp;map_action=pano&amp;viewpoint="&amp;SUBSTITUTE(AF1624," ",""),"Abrir Street View"))</f>
        <v/>
      </c>
    </row>
    <row r="1625">
      <c r="H1625" s="6" t="n"/>
      <c r="I1625" s="6" t="n"/>
      <c r="M1625" s="7" t="n"/>
      <c r="N1625" s="7" t="n"/>
      <c r="O1625" s="7" t="n"/>
      <c r="Q1625" s="7" t="n"/>
      <c r="R1625" s="7" t="n"/>
      <c r="S1625" s="8">
        <f>IF(NOT(ISNUMBER(M1625)),"",IF(G1625="Terreno",IF(AND(ISNUMBER(I1625),I1625&gt;0),M1625/I1625,""),IF(AND(ISNUMBER(H1625),H1625&gt;0),M1625/H1625,"")))</f>
        <v/>
      </c>
      <c r="T1625" s="9">
        <f>IF(AND(ISNUMBER(M1625),ISNUMBER(O1625)),IF(M1625&lt;=O1625,"Valor ≤ venal IPTU",""),"")</f>
        <v/>
      </c>
      <c r="U1625" s="10">
        <f>IF(AND(ISNUMBER(M1625),ISNUMBER(N1625)),IF(N1625&gt;0,M1625/N1625,""),"")</f>
        <v/>
      </c>
      <c r="V1625" s="10">
        <f>IF(AND(ISNUMBER(M1625),ISNUMBER(O1625)),IF(O1625&gt;0,M1625/O1625,""),"")</f>
        <v/>
      </c>
      <c r="W1625" s="10">
        <f>IF(AND(ISNUMBER(M1625),ISNUMBER(R1625)),IF(R1625&gt;0,M1625/R1625,""),"")</f>
        <v/>
      </c>
      <c r="X1625" s="10">
        <f>IF(AND(ISNUMBER(Q1625),ISNUMBER(M1625)),IF(M1625&gt;0,Q1625/M1625,""),"")</f>
        <v/>
      </c>
      <c r="Y1625" s="11">
        <f>IF(ISNUMBER(Z1625),YEAR(Z1625),"")</f>
        <v/>
      </c>
      <c r="Z1625" s="12" t="n"/>
      <c r="AA1625" s="12" t="n"/>
      <c r="AI1625" s="12" t="n"/>
      <c r="AJ1625" s="13">
        <f>IF(LEN(TRIM(AF1625))=0,"",HYPERLINK("https://www.google.com/maps/@?api=1&amp;map_action=pano&amp;viewpoint="&amp;SUBSTITUTE(AF1625," ",""),"Abrir Street View"))</f>
        <v/>
      </c>
    </row>
    <row r="1626">
      <c r="H1626" s="6" t="n"/>
      <c r="I1626" s="6" t="n"/>
      <c r="M1626" s="7" t="n"/>
      <c r="N1626" s="7" t="n"/>
      <c r="O1626" s="7" t="n"/>
      <c r="Q1626" s="7" t="n"/>
      <c r="R1626" s="7" t="n"/>
      <c r="S1626" s="8">
        <f>IF(NOT(ISNUMBER(M1626)),"",IF(G1626="Terreno",IF(AND(ISNUMBER(I1626),I1626&gt;0),M1626/I1626,""),IF(AND(ISNUMBER(H1626),H1626&gt;0),M1626/H1626,"")))</f>
        <v/>
      </c>
      <c r="T1626" s="9">
        <f>IF(AND(ISNUMBER(M1626),ISNUMBER(O1626)),IF(M1626&lt;=O1626,"Valor ≤ venal IPTU",""),"")</f>
        <v/>
      </c>
      <c r="U1626" s="10">
        <f>IF(AND(ISNUMBER(M1626),ISNUMBER(N1626)),IF(N1626&gt;0,M1626/N1626,""),"")</f>
        <v/>
      </c>
      <c r="V1626" s="10">
        <f>IF(AND(ISNUMBER(M1626),ISNUMBER(O1626)),IF(O1626&gt;0,M1626/O1626,""),"")</f>
        <v/>
      </c>
      <c r="W1626" s="10">
        <f>IF(AND(ISNUMBER(M1626),ISNUMBER(R1626)),IF(R1626&gt;0,M1626/R1626,""),"")</f>
        <v/>
      </c>
      <c r="X1626" s="10">
        <f>IF(AND(ISNUMBER(Q1626),ISNUMBER(M1626)),IF(M1626&gt;0,Q1626/M1626,""),"")</f>
        <v/>
      </c>
      <c r="Y1626" s="11">
        <f>IF(ISNUMBER(Z1626),YEAR(Z1626),"")</f>
        <v/>
      </c>
      <c r="Z1626" s="12" t="n"/>
      <c r="AA1626" s="12" t="n"/>
      <c r="AI1626" s="12" t="n"/>
      <c r="AJ1626" s="13">
        <f>IF(LEN(TRIM(AF1626))=0,"",HYPERLINK("https://www.google.com/maps/@?api=1&amp;map_action=pano&amp;viewpoint="&amp;SUBSTITUTE(AF1626," ",""),"Abrir Street View"))</f>
        <v/>
      </c>
    </row>
    <row r="1627">
      <c r="H1627" s="6" t="n"/>
      <c r="I1627" s="6" t="n"/>
      <c r="M1627" s="7" t="n"/>
      <c r="N1627" s="7" t="n"/>
      <c r="O1627" s="7" t="n"/>
      <c r="Q1627" s="7" t="n"/>
      <c r="R1627" s="7" t="n"/>
      <c r="S1627" s="8">
        <f>IF(NOT(ISNUMBER(M1627)),"",IF(G1627="Terreno",IF(AND(ISNUMBER(I1627),I1627&gt;0),M1627/I1627,""),IF(AND(ISNUMBER(H1627),H1627&gt;0),M1627/H1627,"")))</f>
        <v/>
      </c>
      <c r="T1627" s="9">
        <f>IF(AND(ISNUMBER(M1627),ISNUMBER(O1627)),IF(M1627&lt;=O1627,"Valor ≤ venal IPTU",""),"")</f>
        <v/>
      </c>
      <c r="U1627" s="10">
        <f>IF(AND(ISNUMBER(M1627),ISNUMBER(N1627)),IF(N1627&gt;0,M1627/N1627,""),"")</f>
        <v/>
      </c>
      <c r="V1627" s="10">
        <f>IF(AND(ISNUMBER(M1627),ISNUMBER(O1627)),IF(O1627&gt;0,M1627/O1627,""),"")</f>
        <v/>
      </c>
      <c r="W1627" s="10">
        <f>IF(AND(ISNUMBER(M1627),ISNUMBER(R1627)),IF(R1627&gt;0,M1627/R1627,""),"")</f>
        <v/>
      </c>
      <c r="X1627" s="10">
        <f>IF(AND(ISNUMBER(Q1627),ISNUMBER(M1627)),IF(M1627&gt;0,Q1627/M1627,""),"")</f>
        <v/>
      </c>
      <c r="Y1627" s="11">
        <f>IF(ISNUMBER(Z1627),YEAR(Z1627),"")</f>
        <v/>
      </c>
      <c r="Z1627" s="12" t="n"/>
      <c r="AA1627" s="12" t="n"/>
      <c r="AI1627" s="12" t="n"/>
      <c r="AJ1627" s="13">
        <f>IF(LEN(TRIM(AF1627))=0,"",HYPERLINK("https://www.google.com/maps/@?api=1&amp;map_action=pano&amp;viewpoint="&amp;SUBSTITUTE(AF1627," ",""),"Abrir Street View"))</f>
        <v/>
      </c>
    </row>
    <row r="1628">
      <c r="H1628" s="6" t="n"/>
      <c r="I1628" s="6" t="n"/>
      <c r="M1628" s="7" t="n"/>
      <c r="N1628" s="7" t="n"/>
      <c r="O1628" s="7" t="n"/>
      <c r="Q1628" s="7" t="n"/>
      <c r="R1628" s="7" t="n"/>
      <c r="S1628" s="8">
        <f>IF(NOT(ISNUMBER(M1628)),"",IF(G1628="Terreno",IF(AND(ISNUMBER(I1628),I1628&gt;0),M1628/I1628,""),IF(AND(ISNUMBER(H1628),H1628&gt;0),M1628/H1628,"")))</f>
        <v/>
      </c>
      <c r="T1628" s="9">
        <f>IF(AND(ISNUMBER(M1628),ISNUMBER(O1628)),IF(M1628&lt;=O1628,"Valor ≤ venal IPTU",""),"")</f>
        <v/>
      </c>
      <c r="U1628" s="10">
        <f>IF(AND(ISNUMBER(M1628),ISNUMBER(N1628)),IF(N1628&gt;0,M1628/N1628,""),"")</f>
        <v/>
      </c>
      <c r="V1628" s="10">
        <f>IF(AND(ISNUMBER(M1628),ISNUMBER(O1628)),IF(O1628&gt;0,M1628/O1628,""),"")</f>
        <v/>
      </c>
      <c r="W1628" s="10">
        <f>IF(AND(ISNUMBER(M1628),ISNUMBER(R1628)),IF(R1628&gt;0,M1628/R1628,""),"")</f>
        <v/>
      </c>
      <c r="X1628" s="10">
        <f>IF(AND(ISNUMBER(Q1628),ISNUMBER(M1628)),IF(M1628&gt;0,Q1628/M1628,""),"")</f>
        <v/>
      </c>
      <c r="Y1628" s="11">
        <f>IF(ISNUMBER(Z1628),YEAR(Z1628),"")</f>
        <v/>
      </c>
      <c r="Z1628" s="12" t="n"/>
      <c r="AA1628" s="12" t="n"/>
      <c r="AI1628" s="12" t="n"/>
      <c r="AJ1628" s="13">
        <f>IF(LEN(TRIM(AF1628))=0,"",HYPERLINK("https://www.google.com/maps/@?api=1&amp;map_action=pano&amp;viewpoint="&amp;SUBSTITUTE(AF1628," ",""),"Abrir Street View"))</f>
        <v/>
      </c>
    </row>
    <row r="1629">
      <c r="H1629" s="6" t="n"/>
      <c r="I1629" s="6" t="n"/>
      <c r="M1629" s="7" t="n"/>
      <c r="N1629" s="7" t="n"/>
      <c r="O1629" s="7" t="n"/>
      <c r="Q1629" s="7" t="n"/>
      <c r="R1629" s="7" t="n"/>
      <c r="S1629" s="8">
        <f>IF(NOT(ISNUMBER(M1629)),"",IF(G1629="Terreno",IF(AND(ISNUMBER(I1629),I1629&gt;0),M1629/I1629,""),IF(AND(ISNUMBER(H1629),H1629&gt;0),M1629/H1629,"")))</f>
        <v/>
      </c>
      <c r="T1629" s="9">
        <f>IF(AND(ISNUMBER(M1629),ISNUMBER(O1629)),IF(M1629&lt;=O1629,"Valor ≤ venal IPTU",""),"")</f>
        <v/>
      </c>
      <c r="U1629" s="10">
        <f>IF(AND(ISNUMBER(M1629),ISNUMBER(N1629)),IF(N1629&gt;0,M1629/N1629,""),"")</f>
        <v/>
      </c>
      <c r="V1629" s="10">
        <f>IF(AND(ISNUMBER(M1629),ISNUMBER(O1629)),IF(O1629&gt;0,M1629/O1629,""),"")</f>
        <v/>
      </c>
      <c r="W1629" s="10">
        <f>IF(AND(ISNUMBER(M1629),ISNUMBER(R1629)),IF(R1629&gt;0,M1629/R1629,""),"")</f>
        <v/>
      </c>
      <c r="X1629" s="10">
        <f>IF(AND(ISNUMBER(Q1629),ISNUMBER(M1629)),IF(M1629&gt;0,Q1629/M1629,""),"")</f>
        <v/>
      </c>
      <c r="Y1629" s="11">
        <f>IF(ISNUMBER(Z1629),YEAR(Z1629),"")</f>
        <v/>
      </c>
      <c r="Z1629" s="12" t="n"/>
      <c r="AA1629" s="12" t="n"/>
      <c r="AI1629" s="12" t="n"/>
      <c r="AJ1629" s="13">
        <f>IF(LEN(TRIM(AF1629))=0,"",HYPERLINK("https://www.google.com/maps/@?api=1&amp;map_action=pano&amp;viewpoint="&amp;SUBSTITUTE(AF1629," ",""),"Abrir Street View"))</f>
        <v/>
      </c>
    </row>
    <row r="1630">
      <c r="H1630" s="6" t="n"/>
      <c r="I1630" s="6" t="n"/>
      <c r="M1630" s="7" t="n"/>
      <c r="N1630" s="7" t="n"/>
      <c r="O1630" s="7" t="n"/>
      <c r="Q1630" s="7" t="n"/>
      <c r="R1630" s="7" t="n"/>
      <c r="S1630" s="8">
        <f>IF(NOT(ISNUMBER(M1630)),"",IF(G1630="Terreno",IF(AND(ISNUMBER(I1630),I1630&gt;0),M1630/I1630,""),IF(AND(ISNUMBER(H1630),H1630&gt;0),M1630/H1630,"")))</f>
        <v/>
      </c>
      <c r="T1630" s="9">
        <f>IF(AND(ISNUMBER(M1630),ISNUMBER(O1630)),IF(M1630&lt;=O1630,"Valor ≤ venal IPTU",""),"")</f>
        <v/>
      </c>
      <c r="U1630" s="10">
        <f>IF(AND(ISNUMBER(M1630),ISNUMBER(N1630)),IF(N1630&gt;0,M1630/N1630,""),"")</f>
        <v/>
      </c>
      <c r="V1630" s="10">
        <f>IF(AND(ISNUMBER(M1630),ISNUMBER(O1630)),IF(O1630&gt;0,M1630/O1630,""),"")</f>
        <v/>
      </c>
      <c r="W1630" s="10">
        <f>IF(AND(ISNUMBER(M1630),ISNUMBER(R1630)),IF(R1630&gt;0,M1630/R1630,""),"")</f>
        <v/>
      </c>
      <c r="X1630" s="10">
        <f>IF(AND(ISNUMBER(Q1630),ISNUMBER(M1630)),IF(M1630&gt;0,Q1630/M1630,""),"")</f>
        <v/>
      </c>
      <c r="Y1630" s="11">
        <f>IF(ISNUMBER(Z1630),YEAR(Z1630),"")</f>
        <v/>
      </c>
      <c r="Z1630" s="12" t="n"/>
      <c r="AA1630" s="12" t="n"/>
      <c r="AI1630" s="12" t="n"/>
      <c r="AJ1630" s="13">
        <f>IF(LEN(TRIM(AF1630))=0,"",HYPERLINK("https://www.google.com/maps/@?api=1&amp;map_action=pano&amp;viewpoint="&amp;SUBSTITUTE(AF1630," ",""),"Abrir Street View"))</f>
        <v/>
      </c>
    </row>
    <row r="1631">
      <c r="H1631" s="6" t="n"/>
      <c r="I1631" s="6" t="n"/>
      <c r="M1631" s="7" t="n"/>
      <c r="N1631" s="7" t="n"/>
      <c r="O1631" s="7" t="n"/>
      <c r="Q1631" s="7" t="n"/>
      <c r="R1631" s="7" t="n"/>
      <c r="S1631" s="8">
        <f>IF(NOT(ISNUMBER(M1631)),"",IF(G1631="Terreno",IF(AND(ISNUMBER(I1631),I1631&gt;0),M1631/I1631,""),IF(AND(ISNUMBER(H1631),H1631&gt;0),M1631/H1631,"")))</f>
        <v/>
      </c>
      <c r="T1631" s="9">
        <f>IF(AND(ISNUMBER(M1631),ISNUMBER(O1631)),IF(M1631&lt;=O1631,"Valor ≤ venal IPTU",""),"")</f>
        <v/>
      </c>
      <c r="U1631" s="10">
        <f>IF(AND(ISNUMBER(M1631),ISNUMBER(N1631)),IF(N1631&gt;0,M1631/N1631,""),"")</f>
        <v/>
      </c>
      <c r="V1631" s="10">
        <f>IF(AND(ISNUMBER(M1631),ISNUMBER(O1631)),IF(O1631&gt;0,M1631/O1631,""),"")</f>
        <v/>
      </c>
      <c r="W1631" s="10">
        <f>IF(AND(ISNUMBER(M1631),ISNUMBER(R1631)),IF(R1631&gt;0,M1631/R1631,""),"")</f>
        <v/>
      </c>
      <c r="X1631" s="10">
        <f>IF(AND(ISNUMBER(Q1631),ISNUMBER(M1631)),IF(M1631&gt;0,Q1631/M1631,""),"")</f>
        <v/>
      </c>
      <c r="Y1631" s="11">
        <f>IF(ISNUMBER(Z1631),YEAR(Z1631),"")</f>
        <v/>
      </c>
      <c r="Z1631" s="12" t="n"/>
      <c r="AA1631" s="12" t="n"/>
      <c r="AI1631" s="12" t="n"/>
      <c r="AJ1631" s="13">
        <f>IF(LEN(TRIM(AF1631))=0,"",HYPERLINK("https://www.google.com/maps/@?api=1&amp;map_action=pano&amp;viewpoint="&amp;SUBSTITUTE(AF1631," ",""),"Abrir Street View"))</f>
        <v/>
      </c>
    </row>
    <row r="1632">
      <c r="H1632" s="6" t="n"/>
      <c r="I1632" s="6" t="n"/>
      <c r="M1632" s="7" t="n"/>
      <c r="N1632" s="7" t="n"/>
      <c r="O1632" s="7" t="n"/>
      <c r="Q1632" s="7" t="n"/>
      <c r="R1632" s="7" t="n"/>
      <c r="S1632" s="8">
        <f>IF(NOT(ISNUMBER(M1632)),"",IF(G1632="Terreno",IF(AND(ISNUMBER(I1632),I1632&gt;0),M1632/I1632,""),IF(AND(ISNUMBER(H1632),H1632&gt;0),M1632/H1632,"")))</f>
        <v/>
      </c>
      <c r="T1632" s="9">
        <f>IF(AND(ISNUMBER(M1632),ISNUMBER(O1632)),IF(M1632&lt;=O1632,"Valor ≤ venal IPTU",""),"")</f>
        <v/>
      </c>
      <c r="U1632" s="10">
        <f>IF(AND(ISNUMBER(M1632),ISNUMBER(N1632)),IF(N1632&gt;0,M1632/N1632,""),"")</f>
        <v/>
      </c>
      <c r="V1632" s="10">
        <f>IF(AND(ISNUMBER(M1632),ISNUMBER(O1632)),IF(O1632&gt;0,M1632/O1632,""),"")</f>
        <v/>
      </c>
      <c r="W1632" s="10">
        <f>IF(AND(ISNUMBER(M1632),ISNUMBER(R1632)),IF(R1632&gt;0,M1632/R1632,""),"")</f>
        <v/>
      </c>
      <c r="X1632" s="10">
        <f>IF(AND(ISNUMBER(Q1632),ISNUMBER(M1632)),IF(M1632&gt;0,Q1632/M1632,""),"")</f>
        <v/>
      </c>
      <c r="Y1632" s="11">
        <f>IF(ISNUMBER(Z1632),YEAR(Z1632),"")</f>
        <v/>
      </c>
      <c r="Z1632" s="12" t="n"/>
      <c r="AA1632" s="12" t="n"/>
      <c r="AI1632" s="12" t="n"/>
      <c r="AJ1632" s="13">
        <f>IF(LEN(TRIM(AF1632))=0,"",HYPERLINK("https://www.google.com/maps/@?api=1&amp;map_action=pano&amp;viewpoint="&amp;SUBSTITUTE(AF1632," ",""),"Abrir Street View"))</f>
        <v/>
      </c>
    </row>
    <row r="1633">
      <c r="H1633" s="6" t="n"/>
      <c r="I1633" s="6" t="n"/>
      <c r="M1633" s="7" t="n"/>
      <c r="N1633" s="7" t="n"/>
      <c r="O1633" s="7" t="n"/>
      <c r="Q1633" s="7" t="n"/>
      <c r="R1633" s="7" t="n"/>
      <c r="S1633" s="8">
        <f>IF(NOT(ISNUMBER(M1633)),"",IF(G1633="Terreno",IF(AND(ISNUMBER(I1633),I1633&gt;0),M1633/I1633,""),IF(AND(ISNUMBER(H1633),H1633&gt;0),M1633/H1633,"")))</f>
        <v/>
      </c>
      <c r="T1633" s="9">
        <f>IF(AND(ISNUMBER(M1633),ISNUMBER(O1633)),IF(M1633&lt;=O1633,"Valor ≤ venal IPTU",""),"")</f>
        <v/>
      </c>
      <c r="U1633" s="10">
        <f>IF(AND(ISNUMBER(M1633),ISNUMBER(N1633)),IF(N1633&gt;0,M1633/N1633,""),"")</f>
        <v/>
      </c>
      <c r="V1633" s="10">
        <f>IF(AND(ISNUMBER(M1633),ISNUMBER(O1633)),IF(O1633&gt;0,M1633/O1633,""),"")</f>
        <v/>
      </c>
      <c r="W1633" s="10">
        <f>IF(AND(ISNUMBER(M1633),ISNUMBER(R1633)),IF(R1633&gt;0,M1633/R1633,""),"")</f>
        <v/>
      </c>
      <c r="X1633" s="10">
        <f>IF(AND(ISNUMBER(Q1633),ISNUMBER(M1633)),IF(M1633&gt;0,Q1633/M1633,""),"")</f>
        <v/>
      </c>
      <c r="Y1633" s="11">
        <f>IF(ISNUMBER(Z1633),YEAR(Z1633),"")</f>
        <v/>
      </c>
      <c r="Z1633" s="12" t="n"/>
      <c r="AA1633" s="12" t="n"/>
      <c r="AI1633" s="12" t="n"/>
      <c r="AJ1633" s="13">
        <f>IF(LEN(TRIM(AF1633))=0,"",HYPERLINK("https://www.google.com/maps/@?api=1&amp;map_action=pano&amp;viewpoint="&amp;SUBSTITUTE(AF1633," ",""),"Abrir Street View"))</f>
        <v/>
      </c>
    </row>
    <row r="1634">
      <c r="H1634" s="6" t="n"/>
      <c r="I1634" s="6" t="n"/>
      <c r="M1634" s="7" t="n"/>
      <c r="N1634" s="7" t="n"/>
      <c r="O1634" s="7" t="n"/>
      <c r="Q1634" s="7" t="n"/>
      <c r="R1634" s="7" t="n"/>
      <c r="S1634" s="8">
        <f>IF(NOT(ISNUMBER(M1634)),"",IF(G1634="Terreno",IF(AND(ISNUMBER(I1634),I1634&gt;0),M1634/I1634,""),IF(AND(ISNUMBER(H1634),H1634&gt;0),M1634/H1634,"")))</f>
        <v/>
      </c>
      <c r="T1634" s="9">
        <f>IF(AND(ISNUMBER(M1634),ISNUMBER(O1634)),IF(M1634&lt;=O1634,"Valor ≤ venal IPTU",""),"")</f>
        <v/>
      </c>
      <c r="U1634" s="10">
        <f>IF(AND(ISNUMBER(M1634),ISNUMBER(N1634)),IF(N1634&gt;0,M1634/N1634,""),"")</f>
        <v/>
      </c>
      <c r="V1634" s="10">
        <f>IF(AND(ISNUMBER(M1634),ISNUMBER(O1634)),IF(O1634&gt;0,M1634/O1634,""),"")</f>
        <v/>
      </c>
      <c r="W1634" s="10">
        <f>IF(AND(ISNUMBER(M1634),ISNUMBER(R1634)),IF(R1634&gt;0,M1634/R1634,""),"")</f>
        <v/>
      </c>
      <c r="X1634" s="10">
        <f>IF(AND(ISNUMBER(Q1634),ISNUMBER(M1634)),IF(M1634&gt;0,Q1634/M1634,""),"")</f>
        <v/>
      </c>
      <c r="Y1634" s="11">
        <f>IF(ISNUMBER(Z1634),YEAR(Z1634),"")</f>
        <v/>
      </c>
      <c r="Z1634" s="12" t="n"/>
      <c r="AA1634" s="12" t="n"/>
      <c r="AI1634" s="12" t="n"/>
      <c r="AJ1634" s="13">
        <f>IF(LEN(TRIM(AF1634))=0,"",HYPERLINK("https://www.google.com/maps/@?api=1&amp;map_action=pano&amp;viewpoint="&amp;SUBSTITUTE(AF1634," ",""),"Abrir Street View"))</f>
        <v/>
      </c>
    </row>
    <row r="1635">
      <c r="H1635" s="6" t="n"/>
      <c r="I1635" s="6" t="n"/>
      <c r="M1635" s="7" t="n"/>
      <c r="N1635" s="7" t="n"/>
      <c r="O1635" s="7" t="n"/>
      <c r="Q1635" s="7" t="n"/>
      <c r="R1635" s="7" t="n"/>
      <c r="S1635" s="8">
        <f>IF(NOT(ISNUMBER(M1635)),"",IF(G1635="Terreno",IF(AND(ISNUMBER(I1635),I1635&gt;0),M1635/I1635,""),IF(AND(ISNUMBER(H1635),H1635&gt;0),M1635/H1635,"")))</f>
        <v/>
      </c>
      <c r="T1635" s="9">
        <f>IF(AND(ISNUMBER(M1635),ISNUMBER(O1635)),IF(M1635&lt;=O1635,"Valor ≤ venal IPTU",""),"")</f>
        <v/>
      </c>
      <c r="U1635" s="10">
        <f>IF(AND(ISNUMBER(M1635),ISNUMBER(N1635)),IF(N1635&gt;0,M1635/N1635,""),"")</f>
        <v/>
      </c>
      <c r="V1635" s="10">
        <f>IF(AND(ISNUMBER(M1635),ISNUMBER(O1635)),IF(O1635&gt;0,M1635/O1635,""),"")</f>
        <v/>
      </c>
      <c r="W1635" s="10">
        <f>IF(AND(ISNUMBER(M1635),ISNUMBER(R1635)),IF(R1635&gt;0,M1635/R1635,""),"")</f>
        <v/>
      </c>
      <c r="X1635" s="10">
        <f>IF(AND(ISNUMBER(Q1635),ISNUMBER(M1635)),IF(M1635&gt;0,Q1635/M1635,""),"")</f>
        <v/>
      </c>
      <c r="Y1635" s="11">
        <f>IF(ISNUMBER(Z1635),YEAR(Z1635),"")</f>
        <v/>
      </c>
      <c r="Z1635" s="12" t="n"/>
      <c r="AA1635" s="12" t="n"/>
      <c r="AI1635" s="12" t="n"/>
      <c r="AJ1635" s="13">
        <f>IF(LEN(TRIM(AF1635))=0,"",HYPERLINK("https://www.google.com/maps/@?api=1&amp;map_action=pano&amp;viewpoint="&amp;SUBSTITUTE(AF1635," ",""),"Abrir Street View"))</f>
        <v/>
      </c>
    </row>
    <row r="1636">
      <c r="H1636" s="6" t="n"/>
      <c r="I1636" s="6" t="n"/>
      <c r="M1636" s="7" t="n"/>
      <c r="N1636" s="7" t="n"/>
      <c r="O1636" s="7" t="n"/>
      <c r="Q1636" s="7" t="n"/>
      <c r="R1636" s="7" t="n"/>
      <c r="S1636" s="8">
        <f>IF(NOT(ISNUMBER(M1636)),"",IF(G1636="Terreno",IF(AND(ISNUMBER(I1636),I1636&gt;0),M1636/I1636,""),IF(AND(ISNUMBER(H1636),H1636&gt;0),M1636/H1636,"")))</f>
        <v/>
      </c>
      <c r="T1636" s="9">
        <f>IF(AND(ISNUMBER(M1636),ISNUMBER(O1636)),IF(M1636&lt;=O1636,"Valor ≤ venal IPTU",""),"")</f>
        <v/>
      </c>
      <c r="U1636" s="10">
        <f>IF(AND(ISNUMBER(M1636),ISNUMBER(N1636)),IF(N1636&gt;0,M1636/N1636,""),"")</f>
        <v/>
      </c>
      <c r="V1636" s="10">
        <f>IF(AND(ISNUMBER(M1636),ISNUMBER(O1636)),IF(O1636&gt;0,M1636/O1636,""),"")</f>
        <v/>
      </c>
      <c r="W1636" s="10">
        <f>IF(AND(ISNUMBER(M1636),ISNUMBER(R1636)),IF(R1636&gt;0,M1636/R1636,""),"")</f>
        <v/>
      </c>
      <c r="X1636" s="10">
        <f>IF(AND(ISNUMBER(Q1636),ISNUMBER(M1636)),IF(M1636&gt;0,Q1636/M1636,""),"")</f>
        <v/>
      </c>
      <c r="Y1636" s="11">
        <f>IF(ISNUMBER(Z1636),YEAR(Z1636),"")</f>
        <v/>
      </c>
      <c r="Z1636" s="12" t="n"/>
      <c r="AA1636" s="12" t="n"/>
      <c r="AI1636" s="12" t="n"/>
      <c r="AJ1636" s="13">
        <f>IF(LEN(TRIM(AF1636))=0,"",HYPERLINK("https://www.google.com/maps/@?api=1&amp;map_action=pano&amp;viewpoint="&amp;SUBSTITUTE(AF1636," ",""),"Abrir Street View"))</f>
        <v/>
      </c>
    </row>
    <row r="1637">
      <c r="H1637" s="6" t="n"/>
      <c r="I1637" s="6" t="n"/>
      <c r="M1637" s="7" t="n"/>
      <c r="N1637" s="7" t="n"/>
      <c r="O1637" s="7" t="n"/>
      <c r="Q1637" s="7" t="n"/>
      <c r="R1637" s="7" t="n"/>
      <c r="S1637" s="8">
        <f>IF(NOT(ISNUMBER(M1637)),"",IF(G1637="Terreno",IF(AND(ISNUMBER(I1637),I1637&gt;0),M1637/I1637,""),IF(AND(ISNUMBER(H1637),H1637&gt;0),M1637/H1637,"")))</f>
        <v/>
      </c>
      <c r="T1637" s="9">
        <f>IF(AND(ISNUMBER(M1637),ISNUMBER(O1637)),IF(M1637&lt;=O1637,"Valor ≤ venal IPTU",""),"")</f>
        <v/>
      </c>
      <c r="U1637" s="10">
        <f>IF(AND(ISNUMBER(M1637),ISNUMBER(N1637)),IF(N1637&gt;0,M1637/N1637,""),"")</f>
        <v/>
      </c>
      <c r="V1637" s="10">
        <f>IF(AND(ISNUMBER(M1637),ISNUMBER(O1637)),IF(O1637&gt;0,M1637/O1637,""),"")</f>
        <v/>
      </c>
      <c r="W1637" s="10">
        <f>IF(AND(ISNUMBER(M1637),ISNUMBER(R1637)),IF(R1637&gt;0,M1637/R1637,""),"")</f>
        <v/>
      </c>
      <c r="X1637" s="10">
        <f>IF(AND(ISNUMBER(Q1637),ISNUMBER(M1637)),IF(M1637&gt;0,Q1637/M1637,""),"")</f>
        <v/>
      </c>
      <c r="Y1637" s="11">
        <f>IF(ISNUMBER(Z1637),YEAR(Z1637),"")</f>
        <v/>
      </c>
      <c r="Z1637" s="12" t="n"/>
      <c r="AA1637" s="12" t="n"/>
      <c r="AI1637" s="12" t="n"/>
      <c r="AJ1637" s="13">
        <f>IF(LEN(TRIM(AF1637))=0,"",HYPERLINK("https://www.google.com/maps/@?api=1&amp;map_action=pano&amp;viewpoint="&amp;SUBSTITUTE(AF1637," ",""),"Abrir Street View"))</f>
        <v/>
      </c>
    </row>
    <row r="1638">
      <c r="H1638" s="6" t="n"/>
      <c r="I1638" s="6" t="n"/>
      <c r="M1638" s="7" t="n"/>
      <c r="N1638" s="7" t="n"/>
      <c r="O1638" s="7" t="n"/>
      <c r="Q1638" s="7" t="n"/>
      <c r="R1638" s="7" t="n"/>
      <c r="S1638" s="8">
        <f>IF(NOT(ISNUMBER(M1638)),"",IF(G1638="Terreno",IF(AND(ISNUMBER(I1638),I1638&gt;0),M1638/I1638,""),IF(AND(ISNUMBER(H1638),H1638&gt;0),M1638/H1638,"")))</f>
        <v/>
      </c>
      <c r="T1638" s="9">
        <f>IF(AND(ISNUMBER(M1638),ISNUMBER(O1638)),IF(M1638&lt;=O1638,"Valor ≤ venal IPTU",""),"")</f>
        <v/>
      </c>
      <c r="U1638" s="10">
        <f>IF(AND(ISNUMBER(M1638),ISNUMBER(N1638)),IF(N1638&gt;0,M1638/N1638,""),"")</f>
        <v/>
      </c>
      <c r="V1638" s="10">
        <f>IF(AND(ISNUMBER(M1638),ISNUMBER(O1638)),IF(O1638&gt;0,M1638/O1638,""),"")</f>
        <v/>
      </c>
      <c r="W1638" s="10">
        <f>IF(AND(ISNUMBER(M1638),ISNUMBER(R1638)),IF(R1638&gt;0,M1638/R1638,""),"")</f>
        <v/>
      </c>
      <c r="X1638" s="10">
        <f>IF(AND(ISNUMBER(Q1638),ISNUMBER(M1638)),IF(M1638&gt;0,Q1638/M1638,""),"")</f>
        <v/>
      </c>
      <c r="Y1638" s="11">
        <f>IF(ISNUMBER(Z1638),YEAR(Z1638),"")</f>
        <v/>
      </c>
      <c r="Z1638" s="12" t="n"/>
      <c r="AA1638" s="12" t="n"/>
      <c r="AI1638" s="12" t="n"/>
      <c r="AJ1638" s="13">
        <f>IF(LEN(TRIM(AF1638))=0,"",HYPERLINK("https://www.google.com/maps/@?api=1&amp;map_action=pano&amp;viewpoint="&amp;SUBSTITUTE(AF1638," ",""),"Abrir Street View"))</f>
        <v/>
      </c>
    </row>
    <row r="1639">
      <c r="H1639" s="6" t="n"/>
      <c r="I1639" s="6" t="n"/>
      <c r="M1639" s="7" t="n"/>
      <c r="N1639" s="7" t="n"/>
      <c r="O1639" s="7" t="n"/>
      <c r="Q1639" s="7" t="n"/>
      <c r="R1639" s="7" t="n"/>
      <c r="S1639" s="8">
        <f>IF(NOT(ISNUMBER(M1639)),"",IF(G1639="Terreno",IF(AND(ISNUMBER(I1639),I1639&gt;0),M1639/I1639,""),IF(AND(ISNUMBER(H1639),H1639&gt;0),M1639/H1639,"")))</f>
        <v/>
      </c>
      <c r="T1639" s="9">
        <f>IF(AND(ISNUMBER(M1639),ISNUMBER(O1639)),IF(M1639&lt;=O1639,"Valor ≤ venal IPTU",""),"")</f>
        <v/>
      </c>
      <c r="U1639" s="10">
        <f>IF(AND(ISNUMBER(M1639),ISNUMBER(N1639)),IF(N1639&gt;0,M1639/N1639,""),"")</f>
        <v/>
      </c>
      <c r="V1639" s="10">
        <f>IF(AND(ISNUMBER(M1639),ISNUMBER(O1639)),IF(O1639&gt;0,M1639/O1639,""),"")</f>
        <v/>
      </c>
      <c r="W1639" s="10">
        <f>IF(AND(ISNUMBER(M1639),ISNUMBER(R1639)),IF(R1639&gt;0,M1639/R1639,""),"")</f>
        <v/>
      </c>
      <c r="X1639" s="10">
        <f>IF(AND(ISNUMBER(Q1639),ISNUMBER(M1639)),IF(M1639&gt;0,Q1639/M1639,""),"")</f>
        <v/>
      </c>
      <c r="Y1639" s="11">
        <f>IF(ISNUMBER(Z1639),YEAR(Z1639),"")</f>
        <v/>
      </c>
      <c r="Z1639" s="12" t="n"/>
      <c r="AA1639" s="12" t="n"/>
      <c r="AI1639" s="12" t="n"/>
      <c r="AJ1639" s="13">
        <f>IF(LEN(TRIM(AF1639))=0,"",HYPERLINK("https://www.google.com/maps/@?api=1&amp;map_action=pano&amp;viewpoint="&amp;SUBSTITUTE(AF1639," ",""),"Abrir Street View"))</f>
        <v/>
      </c>
    </row>
    <row r="1640">
      <c r="H1640" s="6" t="n"/>
      <c r="I1640" s="6" t="n"/>
      <c r="M1640" s="7" t="n"/>
      <c r="N1640" s="7" t="n"/>
      <c r="O1640" s="7" t="n"/>
      <c r="Q1640" s="7" t="n"/>
      <c r="R1640" s="7" t="n"/>
      <c r="S1640" s="8">
        <f>IF(NOT(ISNUMBER(M1640)),"",IF(G1640="Terreno",IF(AND(ISNUMBER(I1640),I1640&gt;0),M1640/I1640,""),IF(AND(ISNUMBER(H1640),H1640&gt;0),M1640/H1640,"")))</f>
        <v/>
      </c>
      <c r="T1640" s="9">
        <f>IF(AND(ISNUMBER(M1640),ISNUMBER(O1640)),IF(M1640&lt;=O1640,"Valor ≤ venal IPTU",""),"")</f>
        <v/>
      </c>
      <c r="U1640" s="10">
        <f>IF(AND(ISNUMBER(M1640),ISNUMBER(N1640)),IF(N1640&gt;0,M1640/N1640,""),"")</f>
        <v/>
      </c>
      <c r="V1640" s="10">
        <f>IF(AND(ISNUMBER(M1640),ISNUMBER(O1640)),IF(O1640&gt;0,M1640/O1640,""),"")</f>
        <v/>
      </c>
      <c r="W1640" s="10">
        <f>IF(AND(ISNUMBER(M1640),ISNUMBER(R1640)),IF(R1640&gt;0,M1640/R1640,""),"")</f>
        <v/>
      </c>
      <c r="X1640" s="10">
        <f>IF(AND(ISNUMBER(Q1640),ISNUMBER(M1640)),IF(M1640&gt;0,Q1640/M1640,""),"")</f>
        <v/>
      </c>
      <c r="Y1640" s="11">
        <f>IF(ISNUMBER(Z1640),YEAR(Z1640),"")</f>
        <v/>
      </c>
      <c r="Z1640" s="12" t="n"/>
      <c r="AA1640" s="12" t="n"/>
      <c r="AI1640" s="12" t="n"/>
      <c r="AJ1640" s="13">
        <f>IF(LEN(TRIM(AF1640))=0,"",HYPERLINK("https://www.google.com/maps/@?api=1&amp;map_action=pano&amp;viewpoint="&amp;SUBSTITUTE(AF1640," ",""),"Abrir Street View"))</f>
        <v/>
      </c>
    </row>
    <row r="1641">
      <c r="H1641" s="6" t="n"/>
      <c r="I1641" s="6" t="n"/>
      <c r="M1641" s="7" t="n"/>
      <c r="N1641" s="7" t="n"/>
      <c r="O1641" s="7" t="n"/>
      <c r="Q1641" s="7" t="n"/>
      <c r="R1641" s="7" t="n"/>
      <c r="S1641" s="8">
        <f>IF(NOT(ISNUMBER(M1641)),"",IF(G1641="Terreno",IF(AND(ISNUMBER(I1641),I1641&gt;0),M1641/I1641,""),IF(AND(ISNUMBER(H1641),H1641&gt;0),M1641/H1641,"")))</f>
        <v/>
      </c>
      <c r="T1641" s="9">
        <f>IF(AND(ISNUMBER(M1641),ISNUMBER(O1641)),IF(M1641&lt;=O1641,"Valor ≤ venal IPTU",""),"")</f>
        <v/>
      </c>
      <c r="U1641" s="10">
        <f>IF(AND(ISNUMBER(M1641),ISNUMBER(N1641)),IF(N1641&gt;0,M1641/N1641,""),"")</f>
        <v/>
      </c>
      <c r="V1641" s="10">
        <f>IF(AND(ISNUMBER(M1641),ISNUMBER(O1641)),IF(O1641&gt;0,M1641/O1641,""),"")</f>
        <v/>
      </c>
      <c r="W1641" s="10">
        <f>IF(AND(ISNUMBER(M1641),ISNUMBER(R1641)),IF(R1641&gt;0,M1641/R1641,""),"")</f>
        <v/>
      </c>
      <c r="X1641" s="10">
        <f>IF(AND(ISNUMBER(Q1641),ISNUMBER(M1641)),IF(M1641&gt;0,Q1641/M1641,""),"")</f>
        <v/>
      </c>
      <c r="Y1641" s="11">
        <f>IF(ISNUMBER(Z1641),YEAR(Z1641),"")</f>
        <v/>
      </c>
      <c r="Z1641" s="12" t="n"/>
      <c r="AA1641" s="12" t="n"/>
      <c r="AI1641" s="12" t="n"/>
      <c r="AJ1641" s="13">
        <f>IF(LEN(TRIM(AF1641))=0,"",HYPERLINK("https://www.google.com/maps/@?api=1&amp;map_action=pano&amp;viewpoint="&amp;SUBSTITUTE(AF1641," ",""),"Abrir Street View"))</f>
        <v/>
      </c>
    </row>
    <row r="1642">
      <c r="H1642" s="6" t="n"/>
      <c r="I1642" s="6" t="n"/>
      <c r="M1642" s="7" t="n"/>
      <c r="N1642" s="7" t="n"/>
      <c r="O1642" s="7" t="n"/>
      <c r="Q1642" s="7" t="n"/>
      <c r="R1642" s="7" t="n"/>
      <c r="S1642" s="8">
        <f>IF(NOT(ISNUMBER(M1642)),"",IF(G1642="Terreno",IF(AND(ISNUMBER(I1642),I1642&gt;0),M1642/I1642,""),IF(AND(ISNUMBER(H1642),H1642&gt;0),M1642/H1642,"")))</f>
        <v/>
      </c>
      <c r="T1642" s="9">
        <f>IF(AND(ISNUMBER(M1642),ISNUMBER(O1642)),IF(M1642&lt;=O1642,"Valor ≤ venal IPTU",""),"")</f>
        <v/>
      </c>
      <c r="U1642" s="10">
        <f>IF(AND(ISNUMBER(M1642),ISNUMBER(N1642)),IF(N1642&gt;0,M1642/N1642,""),"")</f>
        <v/>
      </c>
      <c r="V1642" s="10">
        <f>IF(AND(ISNUMBER(M1642),ISNUMBER(O1642)),IF(O1642&gt;0,M1642/O1642,""),"")</f>
        <v/>
      </c>
      <c r="W1642" s="10">
        <f>IF(AND(ISNUMBER(M1642),ISNUMBER(R1642)),IF(R1642&gt;0,M1642/R1642,""),"")</f>
        <v/>
      </c>
      <c r="X1642" s="10">
        <f>IF(AND(ISNUMBER(Q1642),ISNUMBER(M1642)),IF(M1642&gt;0,Q1642/M1642,""),"")</f>
        <v/>
      </c>
      <c r="Y1642" s="11">
        <f>IF(ISNUMBER(Z1642),YEAR(Z1642),"")</f>
        <v/>
      </c>
      <c r="Z1642" s="12" t="n"/>
      <c r="AA1642" s="12" t="n"/>
      <c r="AI1642" s="12" t="n"/>
      <c r="AJ1642" s="13">
        <f>IF(LEN(TRIM(AF1642))=0,"",HYPERLINK("https://www.google.com/maps/@?api=1&amp;map_action=pano&amp;viewpoint="&amp;SUBSTITUTE(AF1642," ",""),"Abrir Street View"))</f>
        <v/>
      </c>
    </row>
    <row r="1643">
      <c r="H1643" s="6" t="n"/>
      <c r="I1643" s="6" t="n"/>
      <c r="M1643" s="7" t="n"/>
      <c r="N1643" s="7" t="n"/>
      <c r="O1643" s="7" t="n"/>
      <c r="Q1643" s="7" t="n"/>
      <c r="R1643" s="7" t="n"/>
      <c r="S1643" s="8">
        <f>IF(NOT(ISNUMBER(M1643)),"",IF(G1643="Terreno",IF(AND(ISNUMBER(I1643),I1643&gt;0),M1643/I1643,""),IF(AND(ISNUMBER(H1643),H1643&gt;0),M1643/H1643,"")))</f>
        <v/>
      </c>
      <c r="T1643" s="9">
        <f>IF(AND(ISNUMBER(M1643),ISNUMBER(O1643)),IF(M1643&lt;=O1643,"Valor ≤ venal IPTU",""),"")</f>
        <v/>
      </c>
      <c r="U1643" s="10">
        <f>IF(AND(ISNUMBER(M1643),ISNUMBER(N1643)),IF(N1643&gt;0,M1643/N1643,""),"")</f>
        <v/>
      </c>
      <c r="V1643" s="10">
        <f>IF(AND(ISNUMBER(M1643),ISNUMBER(O1643)),IF(O1643&gt;0,M1643/O1643,""),"")</f>
        <v/>
      </c>
      <c r="W1643" s="10">
        <f>IF(AND(ISNUMBER(M1643),ISNUMBER(R1643)),IF(R1643&gt;0,M1643/R1643,""),"")</f>
        <v/>
      </c>
      <c r="X1643" s="10">
        <f>IF(AND(ISNUMBER(Q1643),ISNUMBER(M1643)),IF(M1643&gt;0,Q1643/M1643,""),"")</f>
        <v/>
      </c>
      <c r="Y1643" s="11">
        <f>IF(ISNUMBER(Z1643),YEAR(Z1643),"")</f>
        <v/>
      </c>
      <c r="Z1643" s="12" t="n"/>
      <c r="AA1643" s="12" t="n"/>
      <c r="AI1643" s="12" t="n"/>
      <c r="AJ1643" s="13">
        <f>IF(LEN(TRIM(AF1643))=0,"",HYPERLINK("https://www.google.com/maps/@?api=1&amp;map_action=pano&amp;viewpoint="&amp;SUBSTITUTE(AF1643," ",""),"Abrir Street View"))</f>
        <v/>
      </c>
    </row>
    <row r="1644">
      <c r="H1644" s="6" t="n"/>
      <c r="I1644" s="6" t="n"/>
      <c r="M1644" s="7" t="n"/>
      <c r="N1644" s="7" t="n"/>
      <c r="O1644" s="7" t="n"/>
      <c r="Q1644" s="7" t="n"/>
      <c r="R1644" s="7" t="n"/>
      <c r="S1644" s="8">
        <f>IF(NOT(ISNUMBER(M1644)),"",IF(G1644="Terreno",IF(AND(ISNUMBER(I1644),I1644&gt;0),M1644/I1644,""),IF(AND(ISNUMBER(H1644),H1644&gt;0),M1644/H1644,"")))</f>
        <v/>
      </c>
      <c r="T1644" s="9">
        <f>IF(AND(ISNUMBER(M1644),ISNUMBER(O1644)),IF(M1644&lt;=O1644,"Valor ≤ venal IPTU",""),"")</f>
        <v/>
      </c>
      <c r="U1644" s="10">
        <f>IF(AND(ISNUMBER(M1644),ISNUMBER(N1644)),IF(N1644&gt;0,M1644/N1644,""),"")</f>
        <v/>
      </c>
      <c r="V1644" s="10">
        <f>IF(AND(ISNUMBER(M1644),ISNUMBER(O1644)),IF(O1644&gt;0,M1644/O1644,""),"")</f>
        <v/>
      </c>
      <c r="W1644" s="10">
        <f>IF(AND(ISNUMBER(M1644),ISNUMBER(R1644)),IF(R1644&gt;0,M1644/R1644,""),"")</f>
        <v/>
      </c>
      <c r="X1644" s="10">
        <f>IF(AND(ISNUMBER(Q1644),ISNUMBER(M1644)),IF(M1644&gt;0,Q1644/M1644,""),"")</f>
        <v/>
      </c>
      <c r="Y1644" s="11">
        <f>IF(ISNUMBER(Z1644),YEAR(Z1644),"")</f>
        <v/>
      </c>
      <c r="Z1644" s="12" t="n"/>
      <c r="AA1644" s="12" t="n"/>
      <c r="AI1644" s="12" t="n"/>
      <c r="AJ1644" s="13">
        <f>IF(LEN(TRIM(AF1644))=0,"",HYPERLINK("https://www.google.com/maps/@?api=1&amp;map_action=pano&amp;viewpoint="&amp;SUBSTITUTE(AF1644," ",""),"Abrir Street View"))</f>
        <v/>
      </c>
    </row>
    <row r="1645">
      <c r="H1645" s="6" t="n"/>
      <c r="I1645" s="6" t="n"/>
      <c r="M1645" s="7" t="n"/>
      <c r="N1645" s="7" t="n"/>
      <c r="O1645" s="7" t="n"/>
      <c r="Q1645" s="7" t="n"/>
      <c r="R1645" s="7" t="n"/>
      <c r="S1645" s="8">
        <f>IF(NOT(ISNUMBER(M1645)),"",IF(G1645="Terreno",IF(AND(ISNUMBER(I1645),I1645&gt;0),M1645/I1645,""),IF(AND(ISNUMBER(H1645),H1645&gt;0),M1645/H1645,"")))</f>
        <v/>
      </c>
      <c r="T1645" s="9">
        <f>IF(AND(ISNUMBER(M1645),ISNUMBER(O1645)),IF(M1645&lt;=O1645,"Valor ≤ venal IPTU",""),"")</f>
        <v/>
      </c>
      <c r="U1645" s="10">
        <f>IF(AND(ISNUMBER(M1645),ISNUMBER(N1645)),IF(N1645&gt;0,M1645/N1645,""),"")</f>
        <v/>
      </c>
      <c r="V1645" s="10">
        <f>IF(AND(ISNUMBER(M1645),ISNUMBER(O1645)),IF(O1645&gt;0,M1645/O1645,""),"")</f>
        <v/>
      </c>
      <c r="W1645" s="10">
        <f>IF(AND(ISNUMBER(M1645),ISNUMBER(R1645)),IF(R1645&gt;0,M1645/R1645,""),"")</f>
        <v/>
      </c>
      <c r="X1645" s="10">
        <f>IF(AND(ISNUMBER(Q1645),ISNUMBER(M1645)),IF(M1645&gt;0,Q1645/M1645,""),"")</f>
        <v/>
      </c>
      <c r="Y1645" s="11">
        <f>IF(ISNUMBER(Z1645),YEAR(Z1645),"")</f>
        <v/>
      </c>
      <c r="Z1645" s="12" t="n"/>
      <c r="AA1645" s="12" t="n"/>
      <c r="AI1645" s="12" t="n"/>
      <c r="AJ1645" s="13">
        <f>IF(LEN(TRIM(AF1645))=0,"",HYPERLINK("https://www.google.com/maps/@?api=1&amp;map_action=pano&amp;viewpoint="&amp;SUBSTITUTE(AF1645," ",""),"Abrir Street View"))</f>
        <v/>
      </c>
    </row>
    <row r="1646">
      <c r="H1646" s="6" t="n"/>
      <c r="I1646" s="6" t="n"/>
      <c r="M1646" s="7" t="n"/>
      <c r="N1646" s="7" t="n"/>
      <c r="O1646" s="7" t="n"/>
      <c r="Q1646" s="7" t="n"/>
      <c r="R1646" s="7" t="n"/>
      <c r="S1646" s="8">
        <f>IF(NOT(ISNUMBER(M1646)),"",IF(G1646="Terreno",IF(AND(ISNUMBER(I1646),I1646&gt;0),M1646/I1646,""),IF(AND(ISNUMBER(H1646),H1646&gt;0),M1646/H1646,"")))</f>
        <v/>
      </c>
      <c r="T1646" s="9">
        <f>IF(AND(ISNUMBER(M1646),ISNUMBER(O1646)),IF(M1646&lt;=O1646,"Valor ≤ venal IPTU",""),"")</f>
        <v/>
      </c>
      <c r="U1646" s="10">
        <f>IF(AND(ISNUMBER(M1646),ISNUMBER(N1646)),IF(N1646&gt;0,M1646/N1646,""),"")</f>
        <v/>
      </c>
      <c r="V1646" s="10">
        <f>IF(AND(ISNUMBER(M1646),ISNUMBER(O1646)),IF(O1646&gt;0,M1646/O1646,""),"")</f>
        <v/>
      </c>
      <c r="W1646" s="10">
        <f>IF(AND(ISNUMBER(M1646),ISNUMBER(R1646)),IF(R1646&gt;0,M1646/R1646,""),"")</f>
        <v/>
      </c>
      <c r="X1646" s="10">
        <f>IF(AND(ISNUMBER(Q1646),ISNUMBER(M1646)),IF(M1646&gt;0,Q1646/M1646,""),"")</f>
        <v/>
      </c>
      <c r="Y1646" s="11">
        <f>IF(ISNUMBER(Z1646),YEAR(Z1646),"")</f>
        <v/>
      </c>
      <c r="Z1646" s="12" t="n"/>
      <c r="AA1646" s="12" t="n"/>
      <c r="AI1646" s="12" t="n"/>
      <c r="AJ1646" s="13">
        <f>IF(LEN(TRIM(AF1646))=0,"",HYPERLINK("https://www.google.com/maps/@?api=1&amp;map_action=pano&amp;viewpoint="&amp;SUBSTITUTE(AF1646," ",""),"Abrir Street View"))</f>
        <v/>
      </c>
    </row>
    <row r="1647">
      <c r="H1647" s="6" t="n"/>
      <c r="I1647" s="6" t="n"/>
      <c r="M1647" s="7" t="n"/>
      <c r="N1647" s="7" t="n"/>
      <c r="O1647" s="7" t="n"/>
      <c r="Q1647" s="7" t="n"/>
      <c r="R1647" s="7" t="n"/>
      <c r="S1647" s="8">
        <f>IF(NOT(ISNUMBER(M1647)),"",IF(G1647="Terreno",IF(AND(ISNUMBER(I1647),I1647&gt;0),M1647/I1647,""),IF(AND(ISNUMBER(H1647),H1647&gt;0),M1647/H1647,"")))</f>
        <v/>
      </c>
      <c r="T1647" s="9">
        <f>IF(AND(ISNUMBER(M1647),ISNUMBER(O1647)),IF(M1647&lt;=O1647,"Valor ≤ venal IPTU",""),"")</f>
        <v/>
      </c>
      <c r="U1647" s="10">
        <f>IF(AND(ISNUMBER(M1647),ISNUMBER(N1647)),IF(N1647&gt;0,M1647/N1647,""),"")</f>
        <v/>
      </c>
      <c r="V1647" s="10">
        <f>IF(AND(ISNUMBER(M1647),ISNUMBER(O1647)),IF(O1647&gt;0,M1647/O1647,""),"")</f>
        <v/>
      </c>
      <c r="W1647" s="10">
        <f>IF(AND(ISNUMBER(M1647),ISNUMBER(R1647)),IF(R1647&gt;0,M1647/R1647,""),"")</f>
        <v/>
      </c>
      <c r="X1647" s="10">
        <f>IF(AND(ISNUMBER(Q1647),ISNUMBER(M1647)),IF(M1647&gt;0,Q1647/M1647,""),"")</f>
        <v/>
      </c>
      <c r="Y1647" s="11">
        <f>IF(ISNUMBER(Z1647),YEAR(Z1647),"")</f>
        <v/>
      </c>
      <c r="Z1647" s="12" t="n"/>
      <c r="AA1647" s="12" t="n"/>
      <c r="AI1647" s="12" t="n"/>
      <c r="AJ1647" s="13">
        <f>IF(LEN(TRIM(AF1647))=0,"",HYPERLINK("https://www.google.com/maps/@?api=1&amp;map_action=pano&amp;viewpoint="&amp;SUBSTITUTE(AF1647," ",""),"Abrir Street View"))</f>
        <v/>
      </c>
    </row>
    <row r="1648">
      <c r="H1648" s="6" t="n"/>
      <c r="I1648" s="6" t="n"/>
      <c r="M1648" s="7" t="n"/>
      <c r="N1648" s="7" t="n"/>
      <c r="O1648" s="7" t="n"/>
      <c r="Q1648" s="7" t="n"/>
      <c r="R1648" s="7" t="n"/>
      <c r="S1648" s="8">
        <f>IF(NOT(ISNUMBER(M1648)),"",IF(G1648="Terreno",IF(AND(ISNUMBER(I1648),I1648&gt;0),M1648/I1648,""),IF(AND(ISNUMBER(H1648),H1648&gt;0),M1648/H1648,"")))</f>
        <v/>
      </c>
      <c r="T1648" s="9">
        <f>IF(AND(ISNUMBER(M1648),ISNUMBER(O1648)),IF(M1648&lt;=O1648,"Valor ≤ venal IPTU",""),"")</f>
        <v/>
      </c>
      <c r="U1648" s="10">
        <f>IF(AND(ISNUMBER(M1648),ISNUMBER(N1648)),IF(N1648&gt;0,M1648/N1648,""),"")</f>
        <v/>
      </c>
      <c r="V1648" s="10">
        <f>IF(AND(ISNUMBER(M1648),ISNUMBER(O1648)),IF(O1648&gt;0,M1648/O1648,""),"")</f>
        <v/>
      </c>
      <c r="W1648" s="10">
        <f>IF(AND(ISNUMBER(M1648),ISNUMBER(R1648)),IF(R1648&gt;0,M1648/R1648,""),"")</f>
        <v/>
      </c>
      <c r="X1648" s="10">
        <f>IF(AND(ISNUMBER(Q1648),ISNUMBER(M1648)),IF(M1648&gt;0,Q1648/M1648,""),"")</f>
        <v/>
      </c>
      <c r="Y1648" s="11">
        <f>IF(ISNUMBER(Z1648),YEAR(Z1648),"")</f>
        <v/>
      </c>
      <c r="Z1648" s="12" t="n"/>
      <c r="AA1648" s="12" t="n"/>
      <c r="AI1648" s="12" t="n"/>
      <c r="AJ1648" s="13">
        <f>IF(LEN(TRIM(AF1648))=0,"",HYPERLINK("https://www.google.com/maps/@?api=1&amp;map_action=pano&amp;viewpoint="&amp;SUBSTITUTE(AF1648," ",""),"Abrir Street View"))</f>
        <v/>
      </c>
    </row>
    <row r="1649">
      <c r="H1649" s="6" t="n"/>
      <c r="I1649" s="6" t="n"/>
      <c r="M1649" s="7" t="n"/>
      <c r="N1649" s="7" t="n"/>
      <c r="O1649" s="7" t="n"/>
      <c r="Q1649" s="7" t="n"/>
      <c r="R1649" s="7" t="n"/>
      <c r="S1649" s="8">
        <f>IF(NOT(ISNUMBER(M1649)),"",IF(G1649="Terreno",IF(AND(ISNUMBER(I1649),I1649&gt;0),M1649/I1649,""),IF(AND(ISNUMBER(H1649),H1649&gt;0),M1649/H1649,"")))</f>
        <v/>
      </c>
      <c r="T1649" s="9">
        <f>IF(AND(ISNUMBER(M1649),ISNUMBER(O1649)),IF(M1649&lt;=O1649,"Valor ≤ venal IPTU",""),"")</f>
        <v/>
      </c>
      <c r="U1649" s="10">
        <f>IF(AND(ISNUMBER(M1649),ISNUMBER(N1649)),IF(N1649&gt;0,M1649/N1649,""),"")</f>
        <v/>
      </c>
      <c r="V1649" s="10">
        <f>IF(AND(ISNUMBER(M1649),ISNUMBER(O1649)),IF(O1649&gt;0,M1649/O1649,""),"")</f>
        <v/>
      </c>
      <c r="W1649" s="10">
        <f>IF(AND(ISNUMBER(M1649),ISNUMBER(R1649)),IF(R1649&gt;0,M1649/R1649,""),"")</f>
        <v/>
      </c>
      <c r="X1649" s="10">
        <f>IF(AND(ISNUMBER(Q1649),ISNUMBER(M1649)),IF(M1649&gt;0,Q1649/M1649,""),"")</f>
        <v/>
      </c>
      <c r="Y1649" s="11">
        <f>IF(ISNUMBER(Z1649),YEAR(Z1649),"")</f>
        <v/>
      </c>
      <c r="Z1649" s="12" t="n"/>
      <c r="AA1649" s="12" t="n"/>
      <c r="AI1649" s="12" t="n"/>
      <c r="AJ1649" s="13">
        <f>IF(LEN(TRIM(AF1649))=0,"",HYPERLINK("https://www.google.com/maps/@?api=1&amp;map_action=pano&amp;viewpoint="&amp;SUBSTITUTE(AF1649," ",""),"Abrir Street View"))</f>
        <v/>
      </c>
    </row>
    <row r="1650">
      <c r="H1650" s="6" t="n"/>
      <c r="I1650" s="6" t="n"/>
      <c r="M1650" s="7" t="n"/>
      <c r="N1650" s="7" t="n"/>
      <c r="O1650" s="7" t="n"/>
      <c r="Q1650" s="7" t="n"/>
      <c r="R1650" s="7" t="n"/>
      <c r="S1650" s="8">
        <f>IF(NOT(ISNUMBER(M1650)),"",IF(G1650="Terreno",IF(AND(ISNUMBER(I1650),I1650&gt;0),M1650/I1650,""),IF(AND(ISNUMBER(H1650),H1650&gt;0),M1650/H1650,"")))</f>
        <v/>
      </c>
      <c r="T1650" s="9">
        <f>IF(AND(ISNUMBER(M1650),ISNUMBER(O1650)),IF(M1650&lt;=O1650,"Valor ≤ venal IPTU",""),"")</f>
        <v/>
      </c>
      <c r="U1650" s="10">
        <f>IF(AND(ISNUMBER(M1650),ISNUMBER(N1650)),IF(N1650&gt;0,M1650/N1650,""),"")</f>
        <v/>
      </c>
      <c r="V1650" s="10">
        <f>IF(AND(ISNUMBER(M1650),ISNUMBER(O1650)),IF(O1650&gt;0,M1650/O1650,""),"")</f>
        <v/>
      </c>
      <c r="W1650" s="10">
        <f>IF(AND(ISNUMBER(M1650),ISNUMBER(R1650)),IF(R1650&gt;0,M1650/R1650,""),"")</f>
        <v/>
      </c>
      <c r="X1650" s="10">
        <f>IF(AND(ISNUMBER(Q1650),ISNUMBER(M1650)),IF(M1650&gt;0,Q1650/M1650,""),"")</f>
        <v/>
      </c>
      <c r="Y1650" s="11">
        <f>IF(ISNUMBER(Z1650),YEAR(Z1650),"")</f>
        <v/>
      </c>
      <c r="Z1650" s="12" t="n"/>
      <c r="AA1650" s="12" t="n"/>
      <c r="AI1650" s="12" t="n"/>
      <c r="AJ1650" s="13">
        <f>IF(LEN(TRIM(AF1650))=0,"",HYPERLINK("https://www.google.com/maps/@?api=1&amp;map_action=pano&amp;viewpoint="&amp;SUBSTITUTE(AF1650," ",""),"Abrir Street View"))</f>
        <v/>
      </c>
    </row>
    <row r="1651">
      <c r="H1651" s="6" t="n"/>
      <c r="I1651" s="6" t="n"/>
      <c r="M1651" s="7" t="n"/>
      <c r="N1651" s="7" t="n"/>
      <c r="O1651" s="7" t="n"/>
      <c r="Q1651" s="7" t="n"/>
      <c r="R1651" s="7" t="n"/>
      <c r="S1651" s="8">
        <f>IF(NOT(ISNUMBER(M1651)),"",IF(G1651="Terreno",IF(AND(ISNUMBER(I1651),I1651&gt;0),M1651/I1651,""),IF(AND(ISNUMBER(H1651),H1651&gt;0),M1651/H1651,"")))</f>
        <v/>
      </c>
      <c r="T1651" s="9">
        <f>IF(AND(ISNUMBER(M1651),ISNUMBER(O1651)),IF(M1651&lt;=O1651,"Valor ≤ venal IPTU",""),"")</f>
        <v/>
      </c>
      <c r="U1651" s="10">
        <f>IF(AND(ISNUMBER(M1651),ISNUMBER(N1651)),IF(N1651&gt;0,M1651/N1651,""),"")</f>
        <v/>
      </c>
      <c r="V1651" s="10">
        <f>IF(AND(ISNUMBER(M1651),ISNUMBER(O1651)),IF(O1651&gt;0,M1651/O1651,""),"")</f>
        <v/>
      </c>
      <c r="W1651" s="10">
        <f>IF(AND(ISNUMBER(M1651),ISNUMBER(R1651)),IF(R1651&gt;0,M1651/R1651,""),"")</f>
        <v/>
      </c>
      <c r="X1651" s="10">
        <f>IF(AND(ISNUMBER(Q1651),ISNUMBER(M1651)),IF(M1651&gt;0,Q1651/M1651,""),"")</f>
        <v/>
      </c>
      <c r="Y1651" s="11">
        <f>IF(ISNUMBER(Z1651),YEAR(Z1651),"")</f>
        <v/>
      </c>
      <c r="Z1651" s="12" t="n"/>
      <c r="AA1651" s="12" t="n"/>
      <c r="AI1651" s="12" t="n"/>
      <c r="AJ1651" s="13">
        <f>IF(LEN(TRIM(AF1651))=0,"",HYPERLINK("https://www.google.com/maps/@?api=1&amp;map_action=pano&amp;viewpoint="&amp;SUBSTITUTE(AF1651," ",""),"Abrir Street View"))</f>
        <v/>
      </c>
    </row>
    <row r="1652">
      <c r="H1652" s="6" t="n"/>
      <c r="I1652" s="6" t="n"/>
      <c r="M1652" s="7" t="n"/>
      <c r="N1652" s="7" t="n"/>
      <c r="O1652" s="7" t="n"/>
      <c r="Q1652" s="7" t="n"/>
      <c r="R1652" s="7" t="n"/>
      <c r="S1652" s="8">
        <f>IF(NOT(ISNUMBER(M1652)),"",IF(G1652="Terreno",IF(AND(ISNUMBER(I1652),I1652&gt;0),M1652/I1652,""),IF(AND(ISNUMBER(H1652),H1652&gt;0),M1652/H1652,"")))</f>
        <v/>
      </c>
      <c r="T1652" s="9">
        <f>IF(AND(ISNUMBER(M1652),ISNUMBER(O1652)),IF(M1652&lt;=O1652,"Valor ≤ venal IPTU",""),"")</f>
        <v/>
      </c>
      <c r="U1652" s="10">
        <f>IF(AND(ISNUMBER(M1652),ISNUMBER(N1652)),IF(N1652&gt;0,M1652/N1652,""),"")</f>
        <v/>
      </c>
      <c r="V1652" s="10">
        <f>IF(AND(ISNUMBER(M1652),ISNUMBER(O1652)),IF(O1652&gt;0,M1652/O1652,""),"")</f>
        <v/>
      </c>
      <c r="W1652" s="10">
        <f>IF(AND(ISNUMBER(M1652),ISNUMBER(R1652)),IF(R1652&gt;0,M1652/R1652,""),"")</f>
        <v/>
      </c>
      <c r="X1652" s="10">
        <f>IF(AND(ISNUMBER(Q1652),ISNUMBER(M1652)),IF(M1652&gt;0,Q1652/M1652,""),"")</f>
        <v/>
      </c>
      <c r="Y1652" s="11">
        <f>IF(ISNUMBER(Z1652),YEAR(Z1652),"")</f>
        <v/>
      </c>
      <c r="Z1652" s="12" t="n"/>
      <c r="AA1652" s="12" t="n"/>
      <c r="AI1652" s="12" t="n"/>
      <c r="AJ1652" s="13">
        <f>IF(LEN(TRIM(AF1652))=0,"",HYPERLINK("https://www.google.com/maps/@?api=1&amp;map_action=pano&amp;viewpoint="&amp;SUBSTITUTE(AF1652," ",""),"Abrir Street View"))</f>
        <v/>
      </c>
    </row>
    <row r="1653">
      <c r="H1653" s="6" t="n"/>
      <c r="I1653" s="6" t="n"/>
      <c r="M1653" s="7" t="n"/>
      <c r="N1653" s="7" t="n"/>
      <c r="O1653" s="7" t="n"/>
      <c r="Q1653" s="7" t="n"/>
      <c r="R1653" s="7" t="n"/>
      <c r="S1653" s="8">
        <f>IF(NOT(ISNUMBER(M1653)),"",IF(G1653="Terreno",IF(AND(ISNUMBER(I1653),I1653&gt;0),M1653/I1653,""),IF(AND(ISNUMBER(H1653),H1653&gt;0),M1653/H1653,"")))</f>
        <v/>
      </c>
      <c r="T1653" s="9">
        <f>IF(AND(ISNUMBER(M1653),ISNUMBER(O1653)),IF(M1653&lt;=O1653,"Valor ≤ venal IPTU",""),"")</f>
        <v/>
      </c>
      <c r="U1653" s="10">
        <f>IF(AND(ISNUMBER(M1653),ISNUMBER(N1653)),IF(N1653&gt;0,M1653/N1653,""),"")</f>
        <v/>
      </c>
      <c r="V1653" s="10">
        <f>IF(AND(ISNUMBER(M1653),ISNUMBER(O1653)),IF(O1653&gt;0,M1653/O1653,""),"")</f>
        <v/>
      </c>
      <c r="W1653" s="10">
        <f>IF(AND(ISNUMBER(M1653),ISNUMBER(R1653)),IF(R1653&gt;0,M1653/R1653,""),"")</f>
        <v/>
      </c>
      <c r="X1653" s="10">
        <f>IF(AND(ISNUMBER(Q1653),ISNUMBER(M1653)),IF(M1653&gt;0,Q1653/M1653,""),"")</f>
        <v/>
      </c>
      <c r="Y1653" s="11">
        <f>IF(ISNUMBER(Z1653),YEAR(Z1653),"")</f>
        <v/>
      </c>
      <c r="Z1653" s="12" t="n"/>
      <c r="AA1653" s="12" t="n"/>
      <c r="AI1653" s="12" t="n"/>
      <c r="AJ1653" s="13">
        <f>IF(LEN(TRIM(AF1653))=0,"",HYPERLINK("https://www.google.com/maps/@?api=1&amp;map_action=pano&amp;viewpoint="&amp;SUBSTITUTE(AF1653," ",""),"Abrir Street View"))</f>
        <v/>
      </c>
    </row>
    <row r="1654">
      <c r="H1654" s="6" t="n"/>
      <c r="I1654" s="6" t="n"/>
      <c r="M1654" s="7" t="n"/>
      <c r="N1654" s="7" t="n"/>
      <c r="O1654" s="7" t="n"/>
      <c r="Q1654" s="7" t="n"/>
      <c r="R1654" s="7" t="n"/>
      <c r="S1654" s="8">
        <f>IF(NOT(ISNUMBER(M1654)),"",IF(G1654="Terreno",IF(AND(ISNUMBER(I1654),I1654&gt;0),M1654/I1654,""),IF(AND(ISNUMBER(H1654),H1654&gt;0),M1654/H1654,"")))</f>
        <v/>
      </c>
      <c r="T1654" s="9">
        <f>IF(AND(ISNUMBER(M1654),ISNUMBER(O1654)),IF(M1654&lt;=O1654,"Valor ≤ venal IPTU",""),"")</f>
        <v/>
      </c>
      <c r="U1654" s="10">
        <f>IF(AND(ISNUMBER(M1654),ISNUMBER(N1654)),IF(N1654&gt;0,M1654/N1654,""),"")</f>
        <v/>
      </c>
      <c r="V1654" s="10">
        <f>IF(AND(ISNUMBER(M1654),ISNUMBER(O1654)),IF(O1654&gt;0,M1654/O1654,""),"")</f>
        <v/>
      </c>
      <c r="W1654" s="10">
        <f>IF(AND(ISNUMBER(M1654),ISNUMBER(R1654)),IF(R1654&gt;0,M1654/R1654,""),"")</f>
        <v/>
      </c>
      <c r="X1654" s="10">
        <f>IF(AND(ISNUMBER(Q1654),ISNUMBER(M1654)),IF(M1654&gt;0,Q1654/M1654,""),"")</f>
        <v/>
      </c>
      <c r="Y1654" s="11">
        <f>IF(ISNUMBER(Z1654),YEAR(Z1654),"")</f>
        <v/>
      </c>
      <c r="Z1654" s="12" t="n"/>
      <c r="AA1654" s="12" t="n"/>
      <c r="AI1654" s="12" t="n"/>
      <c r="AJ1654" s="13">
        <f>IF(LEN(TRIM(AF1654))=0,"",HYPERLINK("https://www.google.com/maps/@?api=1&amp;map_action=pano&amp;viewpoint="&amp;SUBSTITUTE(AF1654," ",""),"Abrir Street View"))</f>
        <v/>
      </c>
    </row>
    <row r="1655">
      <c r="H1655" s="6" t="n"/>
      <c r="I1655" s="6" t="n"/>
      <c r="M1655" s="7" t="n"/>
      <c r="N1655" s="7" t="n"/>
      <c r="O1655" s="7" t="n"/>
      <c r="Q1655" s="7" t="n"/>
      <c r="R1655" s="7" t="n"/>
      <c r="S1655" s="8">
        <f>IF(NOT(ISNUMBER(M1655)),"",IF(G1655="Terreno",IF(AND(ISNUMBER(I1655),I1655&gt;0),M1655/I1655,""),IF(AND(ISNUMBER(H1655),H1655&gt;0),M1655/H1655,"")))</f>
        <v/>
      </c>
      <c r="T1655" s="9">
        <f>IF(AND(ISNUMBER(M1655),ISNUMBER(O1655)),IF(M1655&lt;=O1655,"Valor ≤ venal IPTU",""),"")</f>
        <v/>
      </c>
      <c r="U1655" s="10">
        <f>IF(AND(ISNUMBER(M1655),ISNUMBER(N1655)),IF(N1655&gt;0,M1655/N1655,""),"")</f>
        <v/>
      </c>
      <c r="V1655" s="10">
        <f>IF(AND(ISNUMBER(M1655),ISNUMBER(O1655)),IF(O1655&gt;0,M1655/O1655,""),"")</f>
        <v/>
      </c>
      <c r="W1655" s="10">
        <f>IF(AND(ISNUMBER(M1655),ISNUMBER(R1655)),IF(R1655&gt;0,M1655/R1655,""),"")</f>
        <v/>
      </c>
      <c r="X1655" s="10">
        <f>IF(AND(ISNUMBER(Q1655),ISNUMBER(M1655)),IF(M1655&gt;0,Q1655/M1655,""),"")</f>
        <v/>
      </c>
      <c r="Y1655" s="11">
        <f>IF(ISNUMBER(Z1655),YEAR(Z1655),"")</f>
        <v/>
      </c>
      <c r="Z1655" s="12" t="n"/>
      <c r="AA1655" s="12" t="n"/>
      <c r="AI1655" s="12" t="n"/>
      <c r="AJ1655" s="13">
        <f>IF(LEN(TRIM(AF1655))=0,"",HYPERLINK("https://www.google.com/maps/@?api=1&amp;map_action=pano&amp;viewpoint="&amp;SUBSTITUTE(AF1655," ",""),"Abrir Street View"))</f>
        <v/>
      </c>
    </row>
    <row r="1656">
      <c r="H1656" s="6" t="n"/>
      <c r="I1656" s="6" t="n"/>
      <c r="M1656" s="7" t="n"/>
      <c r="N1656" s="7" t="n"/>
      <c r="O1656" s="7" t="n"/>
      <c r="Q1656" s="7" t="n"/>
      <c r="R1656" s="7" t="n"/>
      <c r="S1656" s="8">
        <f>IF(NOT(ISNUMBER(M1656)),"",IF(G1656="Terreno",IF(AND(ISNUMBER(I1656),I1656&gt;0),M1656/I1656,""),IF(AND(ISNUMBER(H1656),H1656&gt;0),M1656/H1656,"")))</f>
        <v/>
      </c>
      <c r="T1656" s="9">
        <f>IF(AND(ISNUMBER(M1656),ISNUMBER(O1656)),IF(M1656&lt;=O1656,"Valor ≤ venal IPTU",""),"")</f>
        <v/>
      </c>
      <c r="U1656" s="10">
        <f>IF(AND(ISNUMBER(M1656),ISNUMBER(N1656)),IF(N1656&gt;0,M1656/N1656,""),"")</f>
        <v/>
      </c>
      <c r="V1656" s="10">
        <f>IF(AND(ISNUMBER(M1656),ISNUMBER(O1656)),IF(O1656&gt;0,M1656/O1656,""),"")</f>
        <v/>
      </c>
      <c r="W1656" s="10">
        <f>IF(AND(ISNUMBER(M1656),ISNUMBER(R1656)),IF(R1656&gt;0,M1656/R1656,""),"")</f>
        <v/>
      </c>
      <c r="X1656" s="10">
        <f>IF(AND(ISNUMBER(Q1656),ISNUMBER(M1656)),IF(M1656&gt;0,Q1656/M1656,""),"")</f>
        <v/>
      </c>
      <c r="Y1656" s="11">
        <f>IF(ISNUMBER(Z1656),YEAR(Z1656),"")</f>
        <v/>
      </c>
      <c r="Z1656" s="12" t="n"/>
      <c r="AA1656" s="12" t="n"/>
      <c r="AI1656" s="12" t="n"/>
      <c r="AJ1656" s="13">
        <f>IF(LEN(TRIM(AF1656))=0,"",HYPERLINK("https://www.google.com/maps/@?api=1&amp;map_action=pano&amp;viewpoint="&amp;SUBSTITUTE(AF1656," ",""),"Abrir Street View"))</f>
        <v/>
      </c>
    </row>
    <row r="1657">
      <c r="H1657" s="6" t="n"/>
      <c r="I1657" s="6" t="n"/>
      <c r="M1657" s="7" t="n"/>
      <c r="N1657" s="7" t="n"/>
      <c r="O1657" s="7" t="n"/>
      <c r="Q1657" s="7" t="n"/>
      <c r="R1657" s="7" t="n"/>
      <c r="S1657" s="8">
        <f>IF(NOT(ISNUMBER(M1657)),"",IF(G1657="Terreno",IF(AND(ISNUMBER(I1657),I1657&gt;0),M1657/I1657,""),IF(AND(ISNUMBER(H1657),H1657&gt;0),M1657/H1657,"")))</f>
        <v/>
      </c>
      <c r="T1657" s="9">
        <f>IF(AND(ISNUMBER(M1657),ISNUMBER(O1657)),IF(M1657&lt;=O1657,"Valor ≤ venal IPTU",""),"")</f>
        <v/>
      </c>
      <c r="U1657" s="10">
        <f>IF(AND(ISNUMBER(M1657),ISNUMBER(N1657)),IF(N1657&gt;0,M1657/N1657,""),"")</f>
        <v/>
      </c>
      <c r="V1657" s="10">
        <f>IF(AND(ISNUMBER(M1657),ISNUMBER(O1657)),IF(O1657&gt;0,M1657/O1657,""),"")</f>
        <v/>
      </c>
      <c r="W1657" s="10">
        <f>IF(AND(ISNUMBER(M1657),ISNUMBER(R1657)),IF(R1657&gt;0,M1657/R1657,""),"")</f>
        <v/>
      </c>
      <c r="X1657" s="10">
        <f>IF(AND(ISNUMBER(Q1657),ISNUMBER(M1657)),IF(M1657&gt;0,Q1657/M1657,""),"")</f>
        <v/>
      </c>
      <c r="Y1657" s="11">
        <f>IF(ISNUMBER(Z1657),YEAR(Z1657),"")</f>
        <v/>
      </c>
      <c r="Z1657" s="12" t="n"/>
      <c r="AA1657" s="12" t="n"/>
      <c r="AI1657" s="12" t="n"/>
      <c r="AJ1657" s="13">
        <f>IF(LEN(TRIM(AF1657))=0,"",HYPERLINK("https://www.google.com/maps/@?api=1&amp;map_action=pano&amp;viewpoint="&amp;SUBSTITUTE(AF1657," ",""),"Abrir Street View"))</f>
        <v/>
      </c>
    </row>
    <row r="1658">
      <c r="H1658" s="6" t="n"/>
      <c r="I1658" s="6" t="n"/>
      <c r="M1658" s="7" t="n"/>
      <c r="N1658" s="7" t="n"/>
      <c r="O1658" s="7" t="n"/>
      <c r="Q1658" s="7" t="n"/>
      <c r="R1658" s="7" t="n"/>
      <c r="S1658" s="8">
        <f>IF(NOT(ISNUMBER(M1658)),"",IF(G1658="Terreno",IF(AND(ISNUMBER(I1658),I1658&gt;0),M1658/I1658,""),IF(AND(ISNUMBER(H1658),H1658&gt;0),M1658/H1658,"")))</f>
        <v/>
      </c>
      <c r="T1658" s="9">
        <f>IF(AND(ISNUMBER(M1658),ISNUMBER(O1658)),IF(M1658&lt;=O1658,"Valor ≤ venal IPTU",""),"")</f>
        <v/>
      </c>
      <c r="U1658" s="10">
        <f>IF(AND(ISNUMBER(M1658),ISNUMBER(N1658)),IF(N1658&gt;0,M1658/N1658,""),"")</f>
        <v/>
      </c>
      <c r="V1658" s="10">
        <f>IF(AND(ISNUMBER(M1658),ISNUMBER(O1658)),IF(O1658&gt;0,M1658/O1658,""),"")</f>
        <v/>
      </c>
      <c r="W1658" s="10">
        <f>IF(AND(ISNUMBER(M1658),ISNUMBER(R1658)),IF(R1658&gt;0,M1658/R1658,""),"")</f>
        <v/>
      </c>
      <c r="X1658" s="10">
        <f>IF(AND(ISNUMBER(Q1658),ISNUMBER(M1658)),IF(M1658&gt;0,Q1658/M1658,""),"")</f>
        <v/>
      </c>
      <c r="Y1658" s="11">
        <f>IF(ISNUMBER(Z1658),YEAR(Z1658),"")</f>
        <v/>
      </c>
      <c r="Z1658" s="12" t="n"/>
      <c r="AA1658" s="12" t="n"/>
      <c r="AI1658" s="12" t="n"/>
      <c r="AJ1658" s="13">
        <f>IF(LEN(TRIM(AF1658))=0,"",HYPERLINK("https://www.google.com/maps/@?api=1&amp;map_action=pano&amp;viewpoint="&amp;SUBSTITUTE(AF1658," ",""),"Abrir Street View"))</f>
        <v/>
      </c>
    </row>
    <row r="1659">
      <c r="H1659" s="6" t="n"/>
      <c r="I1659" s="6" t="n"/>
      <c r="M1659" s="7" t="n"/>
      <c r="N1659" s="7" t="n"/>
      <c r="O1659" s="7" t="n"/>
      <c r="Q1659" s="7" t="n"/>
      <c r="R1659" s="7" t="n"/>
      <c r="S1659" s="8">
        <f>IF(NOT(ISNUMBER(M1659)),"",IF(G1659="Terreno",IF(AND(ISNUMBER(I1659),I1659&gt;0),M1659/I1659,""),IF(AND(ISNUMBER(H1659),H1659&gt;0),M1659/H1659,"")))</f>
        <v/>
      </c>
      <c r="T1659" s="9">
        <f>IF(AND(ISNUMBER(M1659),ISNUMBER(O1659)),IF(M1659&lt;=O1659,"Valor ≤ venal IPTU",""),"")</f>
        <v/>
      </c>
      <c r="U1659" s="10">
        <f>IF(AND(ISNUMBER(M1659),ISNUMBER(N1659)),IF(N1659&gt;0,M1659/N1659,""),"")</f>
        <v/>
      </c>
      <c r="V1659" s="10">
        <f>IF(AND(ISNUMBER(M1659),ISNUMBER(O1659)),IF(O1659&gt;0,M1659/O1659,""),"")</f>
        <v/>
      </c>
      <c r="W1659" s="10">
        <f>IF(AND(ISNUMBER(M1659),ISNUMBER(R1659)),IF(R1659&gt;0,M1659/R1659,""),"")</f>
        <v/>
      </c>
      <c r="X1659" s="10">
        <f>IF(AND(ISNUMBER(Q1659),ISNUMBER(M1659)),IF(M1659&gt;0,Q1659/M1659,""),"")</f>
        <v/>
      </c>
      <c r="Y1659" s="11">
        <f>IF(ISNUMBER(Z1659),YEAR(Z1659),"")</f>
        <v/>
      </c>
      <c r="Z1659" s="12" t="n"/>
      <c r="AA1659" s="12" t="n"/>
      <c r="AI1659" s="12" t="n"/>
      <c r="AJ1659" s="13">
        <f>IF(LEN(TRIM(AF1659))=0,"",HYPERLINK("https://www.google.com/maps/@?api=1&amp;map_action=pano&amp;viewpoint="&amp;SUBSTITUTE(AF1659," ",""),"Abrir Street View"))</f>
        <v/>
      </c>
    </row>
    <row r="1660">
      <c r="H1660" s="6" t="n"/>
      <c r="I1660" s="6" t="n"/>
      <c r="M1660" s="7" t="n"/>
      <c r="N1660" s="7" t="n"/>
      <c r="O1660" s="7" t="n"/>
      <c r="Q1660" s="7" t="n"/>
      <c r="R1660" s="7" t="n"/>
      <c r="S1660" s="8">
        <f>IF(NOT(ISNUMBER(M1660)),"",IF(G1660="Terreno",IF(AND(ISNUMBER(I1660),I1660&gt;0),M1660/I1660,""),IF(AND(ISNUMBER(H1660),H1660&gt;0),M1660/H1660,"")))</f>
        <v/>
      </c>
      <c r="T1660" s="9">
        <f>IF(AND(ISNUMBER(M1660),ISNUMBER(O1660)),IF(M1660&lt;=O1660,"Valor ≤ venal IPTU",""),"")</f>
        <v/>
      </c>
      <c r="U1660" s="10">
        <f>IF(AND(ISNUMBER(M1660),ISNUMBER(N1660)),IF(N1660&gt;0,M1660/N1660,""),"")</f>
        <v/>
      </c>
      <c r="V1660" s="10">
        <f>IF(AND(ISNUMBER(M1660),ISNUMBER(O1660)),IF(O1660&gt;0,M1660/O1660,""),"")</f>
        <v/>
      </c>
      <c r="W1660" s="10">
        <f>IF(AND(ISNUMBER(M1660),ISNUMBER(R1660)),IF(R1660&gt;0,M1660/R1660,""),"")</f>
        <v/>
      </c>
      <c r="X1660" s="10">
        <f>IF(AND(ISNUMBER(Q1660),ISNUMBER(M1660)),IF(M1660&gt;0,Q1660/M1660,""),"")</f>
        <v/>
      </c>
      <c r="Y1660" s="11">
        <f>IF(ISNUMBER(Z1660),YEAR(Z1660),"")</f>
        <v/>
      </c>
      <c r="Z1660" s="12" t="n"/>
      <c r="AA1660" s="12" t="n"/>
      <c r="AI1660" s="12" t="n"/>
      <c r="AJ1660" s="13">
        <f>IF(LEN(TRIM(AF1660))=0,"",HYPERLINK("https://www.google.com/maps/@?api=1&amp;map_action=pano&amp;viewpoint="&amp;SUBSTITUTE(AF1660," ",""),"Abrir Street View"))</f>
        <v/>
      </c>
    </row>
    <row r="1661">
      <c r="H1661" s="6" t="n"/>
      <c r="I1661" s="6" t="n"/>
      <c r="M1661" s="7" t="n"/>
      <c r="N1661" s="7" t="n"/>
      <c r="O1661" s="7" t="n"/>
      <c r="Q1661" s="7" t="n"/>
      <c r="R1661" s="7" t="n"/>
      <c r="S1661" s="8">
        <f>IF(NOT(ISNUMBER(M1661)),"",IF(G1661="Terreno",IF(AND(ISNUMBER(I1661),I1661&gt;0),M1661/I1661,""),IF(AND(ISNUMBER(H1661),H1661&gt;0),M1661/H1661,"")))</f>
        <v/>
      </c>
      <c r="T1661" s="9">
        <f>IF(AND(ISNUMBER(M1661),ISNUMBER(O1661)),IF(M1661&lt;=O1661,"Valor ≤ venal IPTU",""),"")</f>
        <v/>
      </c>
      <c r="U1661" s="10">
        <f>IF(AND(ISNUMBER(M1661),ISNUMBER(N1661)),IF(N1661&gt;0,M1661/N1661,""),"")</f>
        <v/>
      </c>
      <c r="V1661" s="10">
        <f>IF(AND(ISNUMBER(M1661),ISNUMBER(O1661)),IF(O1661&gt;0,M1661/O1661,""),"")</f>
        <v/>
      </c>
      <c r="W1661" s="10">
        <f>IF(AND(ISNUMBER(M1661),ISNUMBER(R1661)),IF(R1661&gt;0,M1661/R1661,""),"")</f>
        <v/>
      </c>
      <c r="X1661" s="10">
        <f>IF(AND(ISNUMBER(Q1661),ISNUMBER(M1661)),IF(M1661&gt;0,Q1661/M1661,""),"")</f>
        <v/>
      </c>
      <c r="Y1661" s="11">
        <f>IF(ISNUMBER(Z1661),YEAR(Z1661),"")</f>
        <v/>
      </c>
      <c r="Z1661" s="12" t="n"/>
      <c r="AA1661" s="12" t="n"/>
      <c r="AI1661" s="12" t="n"/>
      <c r="AJ1661" s="13">
        <f>IF(LEN(TRIM(AF1661))=0,"",HYPERLINK("https://www.google.com/maps/@?api=1&amp;map_action=pano&amp;viewpoint="&amp;SUBSTITUTE(AF1661," ",""),"Abrir Street View"))</f>
        <v/>
      </c>
    </row>
    <row r="1662">
      <c r="H1662" s="6" t="n"/>
      <c r="I1662" s="6" t="n"/>
      <c r="M1662" s="7" t="n"/>
      <c r="N1662" s="7" t="n"/>
      <c r="O1662" s="7" t="n"/>
      <c r="Q1662" s="7" t="n"/>
      <c r="R1662" s="7" t="n"/>
      <c r="S1662" s="8">
        <f>IF(NOT(ISNUMBER(M1662)),"",IF(G1662="Terreno",IF(AND(ISNUMBER(I1662),I1662&gt;0),M1662/I1662,""),IF(AND(ISNUMBER(H1662),H1662&gt;0),M1662/H1662,"")))</f>
        <v/>
      </c>
      <c r="T1662" s="9">
        <f>IF(AND(ISNUMBER(M1662),ISNUMBER(O1662)),IF(M1662&lt;=O1662,"Valor ≤ venal IPTU",""),"")</f>
        <v/>
      </c>
      <c r="U1662" s="10">
        <f>IF(AND(ISNUMBER(M1662),ISNUMBER(N1662)),IF(N1662&gt;0,M1662/N1662,""),"")</f>
        <v/>
      </c>
      <c r="V1662" s="10">
        <f>IF(AND(ISNUMBER(M1662),ISNUMBER(O1662)),IF(O1662&gt;0,M1662/O1662,""),"")</f>
        <v/>
      </c>
      <c r="W1662" s="10">
        <f>IF(AND(ISNUMBER(M1662),ISNUMBER(R1662)),IF(R1662&gt;0,M1662/R1662,""),"")</f>
        <v/>
      </c>
      <c r="X1662" s="10">
        <f>IF(AND(ISNUMBER(Q1662),ISNUMBER(M1662)),IF(M1662&gt;0,Q1662/M1662,""),"")</f>
        <v/>
      </c>
      <c r="Y1662" s="11">
        <f>IF(ISNUMBER(Z1662),YEAR(Z1662),"")</f>
        <v/>
      </c>
      <c r="Z1662" s="12" t="n"/>
      <c r="AA1662" s="12" t="n"/>
      <c r="AI1662" s="12" t="n"/>
      <c r="AJ1662" s="13">
        <f>IF(LEN(TRIM(AF1662))=0,"",HYPERLINK("https://www.google.com/maps/@?api=1&amp;map_action=pano&amp;viewpoint="&amp;SUBSTITUTE(AF1662," ",""),"Abrir Street View"))</f>
        <v/>
      </c>
    </row>
    <row r="1663">
      <c r="H1663" s="6" t="n"/>
      <c r="I1663" s="6" t="n"/>
      <c r="M1663" s="7" t="n"/>
      <c r="N1663" s="7" t="n"/>
      <c r="O1663" s="7" t="n"/>
      <c r="Q1663" s="7" t="n"/>
      <c r="R1663" s="7" t="n"/>
      <c r="S1663" s="8">
        <f>IF(NOT(ISNUMBER(M1663)),"",IF(G1663="Terreno",IF(AND(ISNUMBER(I1663),I1663&gt;0),M1663/I1663,""),IF(AND(ISNUMBER(H1663),H1663&gt;0),M1663/H1663,"")))</f>
        <v/>
      </c>
      <c r="T1663" s="9">
        <f>IF(AND(ISNUMBER(M1663),ISNUMBER(O1663)),IF(M1663&lt;=O1663,"Valor ≤ venal IPTU",""),"")</f>
        <v/>
      </c>
      <c r="U1663" s="10">
        <f>IF(AND(ISNUMBER(M1663),ISNUMBER(N1663)),IF(N1663&gt;0,M1663/N1663,""),"")</f>
        <v/>
      </c>
      <c r="V1663" s="10">
        <f>IF(AND(ISNUMBER(M1663),ISNUMBER(O1663)),IF(O1663&gt;0,M1663/O1663,""),"")</f>
        <v/>
      </c>
      <c r="W1663" s="10">
        <f>IF(AND(ISNUMBER(M1663),ISNUMBER(R1663)),IF(R1663&gt;0,M1663/R1663,""),"")</f>
        <v/>
      </c>
      <c r="X1663" s="10">
        <f>IF(AND(ISNUMBER(Q1663),ISNUMBER(M1663)),IF(M1663&gt;0,Q1663/M1663,""),"")</f>
        <v/>
      </c>
      <c r="Y1663" s="11">
        <f>IF(ISNUMBER(Z1663),YEAR(Z1663),"")</f>
        <v/>
      </c>
      <c r="Z1663" s="12" t="n"/>
      <c r="AA1663" s="12" t="n"/>
      <c r="AI1663" s="12" t="n"/>
      <c r="AJ1663" s="13">
        <f>IF(LEN(TRIM(AF1663))=0,"",HYPERLINK("https://www.google.com/maps/@?api=1&amp;map_action=pano&amp;viewpoint="&amp;SUBSTITUTE(AF1663," ",""),"Abrir Street View"))</f>
        <v/>
      </c>
    </row>
    <row r="1664">
      <c r="H1664" s="6" t="n"/>
      <c r="I1664" s="6" t="n"/>
      <c r="M1664" s="7" t="n"/>
      <c r="N1664" s="7" t="n"/>
      <c r="O1664" s="7" t="n"/>
      <c r="Q1664" s="7" t="n"/>
      <c r="R1664" s="7" t="n"/>
      <c r="S1664" s="8">
        <f>IF(NOT(ISNUMBER(M1664)),"",IF(G1664="Terreno",IF(AND(ISNUMBER(I1664),I1664&gt;0),M1664/I1664,""),IF(AND(ISNUMBER(H1664),H1664&gt;0),M1664/H1664,"")))</f>
        <v/>
      </c>
      <c r="T1664" s="9">
        <f>IF(AND(ISNUMBER(M1664),ISNUMBER(O1664)),IF(M1664&lt;=O1664,"Valor ≤ venal IPTU",""),"")</f>
        <v/>
      </c>
      <c r="U1664" s="10">
        <f>IF(AND(ISNUMBER(M1664),ISNUMBER(N1664)),IF(N1664&gt;0,M1664/N1664,""),"")</f>
        <v/>
      </c>
      <c r="V1664" s="10">
        <f>IF(AND(ISNUMBER(M1664),ISNUMBER(O1664)),IF(O1664&gt;0,M1664/O1664,""),"")</f>
        <v/>
      </c>
      <c r="W1664" s="10">
        <f>IF(AND(ISNUMBER(M1664),ISNUMBER(R1664)),IF(R1664&gt;0,M1664/R1664,""),"")</f>
        <v/>
      </c>
      <c r="X1664" s="10">
        <f>IF(AND(ISNUMBER(Q1664),ISNUMBER(M1664)),IF(M1664&gt;0,Q1664/M1664,""),"")</f>
        <v/>
      </c>
      <c r="Y1664" s="11">
        <f>IF(ISNUMBER(Z1664),YEAR(Z1664),"")</f>
        <v/>
      </c>
      <c r="Z1664" s="12" t="n"/>
      <c r="AA1664" s="12" t="n"/>
      <c r="AI1664" s="12" t="n"/>
      <c r="AJ1664" s="13">
        <f>IF(LEN(TRIM(AF1664))=0,"",HYPERLINK("https://www.google.com/maps/@?api=1&amp;map_action=pano&amp;viewpoint="&amp;SUBSTITUTE(AF1664," ",""),"Abrir Street View"))</f>
        <v/>
      </c>
    </row>
    <row r="1665">
      <c r="H1665" s="6" t="n"/>
      <c r="I1665" s="6" t="n"/>
      <c r="M1665" s="7" t="n"/>
      <c r="N1665" s="7" t="n"/>
      <c r="O1665" s="7" t="n"/>
      <c r="Q1665" s="7" t="n"/>
      <c r="R1665" s="7" t="n"/>
      <c r="S1665" s="8">
        <f>IF(NOT(ISNUMBER(M1665)),"",IF(G1665="Terreno",IF(AND(ISNUMBER(I1665),I1665&gt;0),M1665/I1665,""),IF(AND(ISNUMBER(H1665),H1665&gt;0),M1665/H1665,"")))</f>
        <v/>
      </c>
      <c r="T1665" s="9">
        <f>IF(AND(ISNUMBER(M1665),ISNUMBER(O1665)),IF(M1665&lt;=O1665,"Valor ≤ venal IPTU",""),"")</f>
        <v/>
      </c>
      <c r="U1665" s="10">
        <f>IF(AND(ISNUMBER(M1665),ISNUMBER(N1665)),IF(N1665&gt;0,M1665/N1665,""),"")</f>
        <v/>
      </c>
      <c r="V1665" s="10">
        <f>IF(AND(ISNUMBER(M1665),ISNUMBER(O1665)),IF(O1665&gt;0,M1665/O1665,""),"")</f>
        <v/>
      </c>
      <c r="W1665" s="10">
        <f>IF(AND(ISNUMBER(M1665),ISNUMBER(R1665)),IF(R1665&gt;0,M1665/R1665,""),"")</f>
        <v/>
      </c>
      <c r="X1665" s="10">
        <f>IF(AND(ISNUMBER(Q1665),ISNUMBER(M1665)),IF(M1665&gt;0,Q1665/M1665,""),"")</f>
        <v/>
      </c>
      <c r="Y1665" s="11">
        <f>IF(ISNUMBER(Z1665),YEAR(Z1665),"")</f>
        <v/>
      </c>
      <c r="Z1665" s="12" t="n"/>
      <c r="AA1665" s="12" t="n"/>
      <c r="AI1665" s="12" t="n"/>
      <c r="AJ1665" s="13">
        <f>IF(LEN(TRIM(AF1665))=0,"",HYPERLINK("https://www.google.com/maps/@?api=1&amp;map_action=pano&amp;viewpoint="&amp;SUBSTITUTE(AF1665," ",""),"Abrir Street View"))</f>
        <v/>
      </c>
    </row>
    <row r="1666">
      <c r="H1666" s="6" t="n"/>
      <c r="I1666" s="6" t="n"/>
      <c r="M1666" s="7" t="n"/>
      <c r="N1666" s="7" t="n"/>
      <c r="O1666" s="7" t="n"/>
      <c r="Q1666" s="7" t="n"/>
      <c r="R1666" s="7" t="n"/>
      <c r="S1666" s="8">
        <f>IF(NOT(ISNUMBER(M1666)),"",IF(G1666="Terreno",IF(AND(ISNUMBER(I1666),I1666&gt;0),M1666/I1666,""),IF(AND(ISNUMBER(H1666),H1666&gt;0),M1666/H1666,"")))</f>
        <v/>
      </c>
      <c r="T1666" s="9">
        <f>IF(AND(ISNUMBER(M1666),ISNUMBER(O1666)),IF(M1666&lt;=O1666,"Valor ≤ venal IPTU",""),"")</f>
        <v/>
      </c>
      <c r="U1666" s="10">
        <f>IF(AND(ISNUMBER(M1666),ISNUMBER(N1666)),IF(N1666&gt;0,M1666/N1666,""),"")</f>
        <v/>
      </c>
      <c r="V1666" s="10">
        <f>IF(AND(ISNUMBER(M1666),ISNUMBER(O1666)),IF(O1666&gt;0,M1666/O1666,""),"")</f>
        <v/>
      </c>
      <c r="W1666" s="10">
        <f>IF(AND(ISNUMBER(M1666),ISNUMBER(R1666)),IF(R1666&gt;0,M1666/R1666,""),"")</f>
        <v/>
      </c>
      <c r="X1666" s="10">
        <f>IF(AND(ISNUMBER(Q1666),ISNUMBER(M1666)),IF(M1666&gt;0,Q1666/M1666,""),"")</f>
        <v/>
      </c>
      <c r="Y1666" s="11">
        <f>IF(ISNUMBER(Z1666),YEAR(Z1666),"")</f>
        <v/>
      </c>
      <c r="Z1666" s="12" t="n"/>
      <c r="AA1666" s="12" t="n"/>
      <c r="AI1666" s="12" t="n"/>
      <c r="AJ1666" s="13">
        <f>IF(LEN(TRIM(AF1666))=0,"",HYPERLINK("https://www.google.com/maps/@?api=1&amp;map_action=pano&amp;viewpoint="&amp;SUBSTITUTE(AF1666," ",""),"Abrir Street View"))</f>
        <v/>
      </c>
    </row>
    <row r="1667">
      <c r="H1667" s="6" t="n"/>
      <c r="I1667" s="6" t="n"/>
      <c r="M1667" s="7" t="n"/>
      <c r="N1667" s="7" t="n"/>
      <c r="O1667" s="7" t="n"/>
      <c r="Q1667" s="7" t="n"/>
      <c r="R1667" s="7" t="n"/>
      <c r="S1667" s="8">
        <f>IF(NOT(ISNUMBER(M1667)),"",IF(G1667="Terreno",IF(AND(ISNUMBER(I1667),I1667&gt;0),M1667/I1667,""),IF(AND(ISNUMBER(H1667),H1667&gt;0),M1667/H1667,"")))</f>
        <v/>
      </c>
      <c r="T1667" s="9">
        <f>IF(AND(ISNUMBER(M1667),ISNUMBER(O1667)),IF(M1667&lt;=O1667,"Valor ≤ venal IPTU",""),"")</f>
        <v/>
      </c>
      <c r="U1667" s="10">
        <f>IF(AND(ISNUMBER(M1667),ISNUMBER(N1667)),IF(N1667&gt;0,M1667/N1667,""),"")</f>
        <v/>
      </c>
      <c r="V1667" s="10">
        <f>IF(AND(ISNUMBER(M1667),ISNUMBER(O1667)),IF(O1667&gt;0,M1667/O1667,""),"")</f>
        <v/>
      </c>
      <c r="W1667" s="10">
        <f>IF(AND(ISNUMBER(M1667),ISNUMBER(R1667)),IF(R1667&gt;0,M1667/R1667,""),"")</f>
        <v/>
      </c>
      <c r="X1667" s="10">
        <f>IF(AND(ISNUMBER(Q1667),ISNUMBER(M1667)),IF(M1667&gt;0,Q1667/M1667,""),"")</f>
        <v/>
      </c>
      <c r="Y1667" s="11">
        <f>IF(ISNUMBER(Z1667),YEAR(Z1667),"")</f>
        <v/>
      </c>
      <c r="Z1667" s="12" t="n"/>
      <c r="AA1667" s="12" t="n"/>
      <c r="AI1667" s="12" t="n"/>
      <c r="AJ1667" s="13">
        <f>IF(LEN(TRIM(AF1667))=0,"",HYPERLINK("https://www.google.com/maps/@?api=1&amp;map_action=pano&amp;viewpoint="&amp;SUBSTITUTE(AF1667," ",""),"Abrir Street View"))</f>
        <v/>
      </c>
    </row>
    <row r="1668">
      <c r="H1668" s="6" t="n"/>
      <c r="I1668" s="6" t="n"/>
      <c r="M1668" s="7" t="n"/>
      <c r="N1668" s="7" t="n"/>
      <c r="O1668" s="7" t="n"/>
      <c r="Q1668" s="7" t="n"/>
      <c r="R1668" s="7" t="n"/>
      <c r="S1668" s="8">
        <f>IF(NOT(ISNUMBER(M1668)),"",IF(G1668="Terreno",IF(AND(ISNUMBER(I1668),I1668&gt;0),M1668/I1668,""),IF(AND(ISNUMBER(H1668),H1668&gt;0),M1668/H1668,"")))</f>
        <v/>
      </c>
      <c r="T1668" s="9">
        <f>IF(AND(ISNUMBER(M1668),ISNUMBER(O1668)),IF(M1668&lt;=O1668,"Valor ≤ venal IPTU",""),"")</f>
        <v/>
      </c>
      <c r="U1668" s="10">
        <f>IF(AND(ISNUMBER(M1668),ISNUMBER(N1668)),IF(N1668&gt;0,M1668/N1668,""),"")</f>
        <v/>
      </c>
      <c r="V1668" s="10">
        <f>IF(AND(ISNUMBER(M1668),ISNUMBER(O1668)),IF(O1668&gt;0,M1668/O1668,""),"")</f>
        <v/>
      </c>
      <c r="W1668" s="10">
        <f>IF(AND(ISNUMBER(M1668),ISNUMBER(R1668)),IF(R1668&gt;0,M1668/R1668,""),"")</f>
        <v/>
      </c>
      <c r="X1668" s="10">
        <f>IF(AND(ISNUMBER(Q1668),ISNUMBER(M1668)),IF(M1668&gt;0,Q1668/M1668,""),"")</f>
        <v/>
      </c>
      <c r="Y1668" s="11">
        <f>IF(ISNUMBER(Z1668),YEAR(Z1668),"")</f>
        <v/>
      </c>
      <c r="Z1668" s="12" t="n"/>
      <c r="AA1668" s="12" t="n"/>
      <c r="AI1668" s="12" t="n"/>
      <c r="AJ1668" s="13">
        <f>IF(LEN(TRIM(AF1668))=0,"",HYPERLINK("https://www.google.com/maps/@?api=1&amp;map_action=pano&amp;viewpoint="&amp;SUBSTITUTE(AF1668," ",""),"Abrir Street View"))</f>
        <v/>
      </c>
    </row>
    <row r="1669">
      <c r="H1669" s="6" t="n"/>
      <c r="I1669" s="6" t="n"/>
      <c r="M1669" s="7" t="n"/>
      <c r="N1669" s="7" t="n"/>
      <c r="O1669" s="7" t="n"/>
      <c r="Q1669" s="7" t="n"/>
      <c r="R1669" s="7" t="n"/>
      <c r="S1669" s="8">
        <f>IF(NOT(ISNUMBER(M1669)),"",IF(G1669="Terreno",IF(AND(ISNUMBER(I1669),I1669&gt;0),M1669/I1669,""),IF(AND(ISNUMBER(H1669),H1669&gt;0),M1669/H1669,"")))</f>
        <v/>
      </c>
      <c r="T1669" s="9">
        <f>IF(AND(ISNUMBER(M1669),ISNUMBER(O1669)),IF(M1669&lt;=O1669,"Valor ≤ venal IPTU",""),"")</f>
        <v/>
      </c>
      <c r="U1669" s="10">
        <f>IF(AND(ISNUMBER(M1669),ISNUMBER(N1669)),IF(N1669&gt;0,M1669/N1669,""),"")</f>
        <v/>
      </c>
      <c r="V1669" s="10">
        <f>IF(AND(ISNUMBER(M1669),ISNUMBER(O1669)),IF(O1669&gt;0,M1669/O1669,""),"")</f>
        <v/>
      </c>
      <c r="W1669" s="10">
        <f>IF(AND(ISNUMBER(M1669),ISNUMBER(R1669)),IF(R1669&gt;0,M1669/R1669,""),"")</f>
        <v/>
      </c>
      <c r="X1669" s="10">
        <f>IF(AND(ISNUMBER(Q1669),ISNUMBER(M1669)),IF(M1669&gt;0,Q1669/M1669,""),"")</f>
        <v/>
      </c>
      <c r="Y1669" s="11">
        <f>IF(ISNUMBER(Z1669),YEAR(Z1669),"")</f>
        <v/>
      </c>
      <c r="Z1669" s="12" t="n"/>
      <c r="AA1669" s="12" t="n"/>
      <c r="AI1669" s="12" t="n"/>
      <c r="AJ1669" s="13">
        <f>IF(LEN(TRIM(AF1669))=0,"",HYPERLINK("https://www.google.com/maps/@?api=1&amp;map_action=pano&amp;viewpoint="&amp;SUBSTITUTE(AF1669," ",""),"Abrir Street View"))</f>
        <v/>
      </c>
    </row>
    <row r="1670">
      <c r="H1670" s="6" t="n"/>
      <c r="I1670" s="6" t="n"/>
      <c r="M1670" s="7" t="n"/>
      <c r="N1670" s="7" t="n"/>
      <c r="O1670" s="7" t="n"/>
      <c r="Q1670" s="7" t="n"/>
      <c r="R1670" s="7" t="n"/>
      <c r="S1670" s="8">
        <f>IF(NOT(ISNUMBER(M1670)),"",IF(G1670="Terreno",IF(AND(ISNUMBER(I1670),I1670&gt;0),M1670/I1670,""),IF(AND(ISNUMBER(H1670),H1670&gt;0),M1670/H1670,"")))</f>
        <v/>
      </c>
      <c r="T1670" s="9">
        <f>IF(AND(ISNUMBER(M1670),ISNUMBER(O1670)),IF(M1670&lt;=O1670,"Valor ≤ venal IPTU",""),"")</f>
        <v/>
      </c>
      <c r="U1670" s="10">
        <f>IF(AND(ISNUMBER(M1670),ISNUMBER(N1670)),IF(N1670&gt;0,M1670/N1670,""),"")</f>
        <v/>
      </c>
      <c r="V1670" s="10">
        <f>IF(AND(ISNUMBER(M1670),ISNUMBER(O1670)),IF(O1670&gt;0,M1670/O1670,""),"")</f>
        <v/>
      </c>
      <c r="W1670" s="10">
        <f>IF(AND(ISNUMBER(M1670),ISNUMBER(R1670)),IF(R1670&gt;0,M1670/R1670,""),"")</f>
        <v/>
      </c>
      <c r="X1670" s="10">
        <f>IF(AND(ISNUMBER(Q1670),ISNUMBER(M1670)),IF(M1670&gt;0,Q1670/M1670,""),"")</f>
        <v/>
      </c>
      <c r="Y1670" s="11">
        <f>IF(ISNUMBER(Z1670),YEAR(Z1670),"")</f>
        <v/>
      </c>
      <c r="Z1670" s="12" t="n"/>
      <c r="AA1670" s="12" t="n"/>
      <c r="AI1670" s="12" t="n"/>
      <c r="AJ1670" s="13">
        <f>IF(LEN(TRIM(AF1670))=0,"",HYPERLINK("https://www.google.com/maps/@?api=1&amp;map_action=pano&amp;viewpoint="&amp;SUBSTITUTE(AF1670," ",""),"Abrir Street View"))</f>
        <v/>
      </c>
    </row>
    <row r="1671">
      <c r="H1671" s="6" t="n"/>
      <c r="I1671" s="6" t="n"/>
      <c r="M1671" s="7" t="n"/>
      <c r="N1671" s="7" t="n"/>
      <c r="O1671" s="7" t="n"/>
      <c r="Q1671" s="7" t="n"/>
      <c r="R1671" s="7" t="n"/>
      <c r="S1671" s="8">
        <f>IF(NOT(ISNUMBER(M1671)),"",IF(G1671="Terreno",IF(AND(ISNUMBER(I1671),I1671&gt;0),M1671/I1671,""),IF(AND(ISNUMBER(H1671),H1671&gt;0),M1671/H1671,"")))</f>
        <v/>
      </c>
      <c r="T1671" s="9">
        <f>IF(AND(ISNUMBER(M1671),ISNUMBER(O1671)),IF(M1671&lt;=O1671,"Valor ≤ venal IPTU",""),"")</f>
        <v/>
      </c>
      <c r="U1671" s="10">
        <f>IF(AND(ISNUMBER(M1671),ISNUMBER(N1671)),IF(N1671&gt;0,M1671/N1671,""),"")</f>
        <v/>
      </c>
      <c r="V1671" s="10">
        <f>IF(AND(ISNUMBER(M1671),ISNUMBER(O1671)),IF(O1671&gt;0,M1671/O1671,""),"")</f>
        <v/>
      </c>
      <c r="W1671" s="10">
        <f>IF(AND(ISNUMBER(M1671),ISNUMBER(R1671)),IF(R1671&gt;0,M1671/R1671,""),"")</f>
        <v/>
      </c>
      <c r="X1671" s="10">
        <f>IF(AND(ISNUMBER(Q1671),ISNUMBER(M1671)),IF(M1671&gt;0,Q1671/M1671,""),"")</f>
        <v/>
      </c>
      <c r="Y1671" s="11">
        <f>IF(ISNUMBER(Z1671),YEAR(Z1671),"")</f>
        <v/>
      </c>
      <c r="Z1671" s="12" t="n"/>
      <c r="AA1671" s="12" t="n"/>
      <c r="AI1671" s="12" t="n"/>
      <c r="AJ1671" s="13">
        <f>IF(LEN(TRIM(AF1671))=0,"",HYPERLINK("https://www.google.com/maps/@?api=1&amp;map_action=pano&amp;viewpoint="&amp;SUBSTITUTE(AF1671," ",""),"Abrir Street View"))</f>
        <v/>
      </c>
    </row>
    <row r="1672">
      <c r="H1672" s="6" t="n"/>
      <c r="I1672" s="6" t="n"/>
      <c r="M1672" s="7" t="n"/>
      <c r="N1672" s="7" t="n"/>
      <c r="O1672" s="7" t="n"/>
      <c r="Q1672" s="7" t="n"/>
      <c r="R1672" s="7" t="n"/>
      <c r="S1672" s="8">
        <f>IF(NOT(ISNUMBER(M1672)),"",IF(G1672="Terreno",IF(AND(ISNUMBER(I1672),I1672&gt;0),M1672/I1672,""),IF(AND(ISNUMBER(H1672),H1672&gt;0),M1672/H1672,"")))</f>
        <v/>
      </c>
      <c r="T1672" s="9">
        <f>IF(AND(ISNUMBER(M1672),ISNUMBER(O1672)),IF(M1672&lt;=O1672,"Valor ≤ venal IPTU",""),"")</f>
        <v/>
      </c>
      <c r="U1672" s="10">
        <f>IF(AND(ISNUMBER(M1672),ISNUMBER(N1672)),IF(N1672&gt;0,M1672/N1672,""),"")</f>
        <v/>
      </c>
      <c r="V1672" s="10">
        <f>IF(AND(ISNUMBER(M1672),ISNUMBER(O1672)),IF(O1672&gt;0,M1672/O1672,""),"")</f>
        <v/>
      </c>
      <c r="W1672" s="10">
        <f>IF(AND(ISNUMBER(M1672),ISNUMBER(R1672)),IF(R1672&gt;0,M1672/R1672,""),"")</f>
        <v/>
      </c>
      <c r="X1672" s="10">
        <f>IF(AND(ISNUMBER(Q1672),ISNUMBER(M1672)),IF(M1672&gt;0,Q1672/M1672,""),"")</f>
        <v/>
      </c>
      <c r="Y1672" s="11">
        <f>IF(ISNUMBER(Z1672),YEAR(Z1672),"")</f>
        <v/>
      </c>
      <c r="Z1672" s="12" t="n"/>
      <c r="AA1672" s="12" t="n"/>
      <c r="AI1672" s="12" t="n"/>
      <c r="AJ1672" s="13">
        <f>IF(LEN(TRIM(AF1672))=0,"",HYPERLINK("https://www.google.com/maps/@?api=1&amp;map_action=pano&amp;viewpoint="&amp;SUBSTITUTE(AF1672," ",""),"Abrir Street View"))</f>
        <v/>
      </c>
    </row>
    <row r="1673">
      <c r="H1673" s="6" t="n"/>
      <c r="I1673" s="6" t="n"/>
      <c r="M1673" s="7" t="n"/>
      <c r="N1673" s="7" t="n"/>
      <c r="O1673" s="7" t="n"/>
      <c r="Q1673" s="7" t="n"/>
      <c r="R1673" s="7" t="n"/>
      <c r="S1673" s="8">
        <f>IF(NOT(ISNUMBER(M1673)),"",IF(G1673="Terreno",IF(AND(ISNUMBER(I1673),I1673&gt;0),M1673/I1673,""),IF(AND(ISNUMBER(H1673),H1673&gt;0),M1673/H1673,"")))</f>
        <v/>
      </c>
      <c r="T1673" s="9">
        <f>IF(AND(ISNUMBER(M1673),ISNUMBER(O1673)),IF(M1673&lt;=O1673,"Valor ≤ venal IPTU",""),"")</f>
        <v/>
      </c>
      <c r="U1673" s="10">
        <f>IF(AND(ISNUMBER(M1673),ISNUMBER(N1673)),IF(N1673&gt;0,M1673/N1673,""),"")</f>
        <v/>
      </c>
      <c r="V1673" s="10">
        <f>IF(AND(ISNUMBER(M1673),ISNUMBER(O1673)),IF(O1673&gt;0,M1673/O1673,""),"")</f>
        <v/>
      </c>
      <c r="W1673" s="10">
        <f>IF(AND(ISNUMBER(M1673),ISNUMBER(R1673)),IF(R1673&gt;0,M1673/R1673,""),"")</f>
        <v/>
      </c>
      <c r="X1673" s="10">
        <f>IF(AND(ISNUMBER(Q1673),ISNUMBER(M1673)),IF(M1673&gt;0,Q1673/M1673,""),"")</f>
        <v/>
      </c>
      <c r="Y1673" s="11">
        <f>IF(ISNUMBER(Z1673),YEAR(Z1673),"")</f>
        <v/>
      </c>
      <c r="Z1673" s="12" t="n"/>
      <c r="AA1673" s="12" t="n"/>
      <c r="AI1673" s="12" t="n"/>
      <c r="AJ1673" s="13">
        <f>IF(LEN(TRIM(AF1673))=0,"",HYPERLINK("https://www.google.com/maps/@?api=1&amp;map_action=pano&amp;viewpoint="&amp;SUBSTITUTE(AF1673," ",""),"Abrir Street View"))</f>
        <v/>
      </c>
    </row>
    <row r="1674">
      <c r="H1674" s="6" t="n"/>
      <c r="I1674" s="6" t="n"/>
      <c r="M1674" s="7" t="n"/>
      <c r="N1674" s="7" t="n"/>
      <c r="O1674" s="7" t="n"/>
      <c r="Q1674" s="7" t="n"/>
      <c r="R1674" s="7" t="n"/>
      <c r="S1674" s="8">
        <f>IF(NOT(ISNUMBER(M1674)),"",IF(G1674="Terreno",IF(AND(ISNUMBER(I1674),I1674&gt;0),M1674/I1674,""),IF(AND(ISNUMBER(H1674),H1674&gt;0),M1674/H1674,"")))</f>
        <v/>
      </c>
      <c r="T1674" s="9">
        <f>IF(AND(ISNUMBER(M1674),ISNUMBER(O1674)),IF(M1674&lt;=O1674,"Valor ≤ venal IPTU",""),"")</f>
        <v/>
      </c>
      <c r="U1674" s="10">
        <f>IF(AND(ISNUMBER(M1674),ISNUMBER(N1674)),IF(N1674&gt;0,M1674/N1674,""),"")</f>
        <v/>
      </c>
      <c r="V1674" s="10">
        <f>IF(AND(ISNUMBER(M1674),ISNUMBER(O1674)),IF(O1674&gt;0,M1674/O1674,""),"")</f>
        <v/>
      </c>
      <c r="W1674" s="10">
        <f>IF(AND(ISNUMBER(M1674),ISNUMBER(R1674)),IF(R1674&gt;0,M1674/R1674,""),"")</f>
        <v/>
      </c>
      <c r="X1674" s="10">
        <f>IF(AND(ISNUMBER(Q1674),ISNUMBER(M1674)),IF(M1674&gt;0,Q1674/M1674,""),"")</f>
        <v/>
      </c>
      <c r="Y1674" s="11">
        <f>IF(ISNUMBER(Z1674),YEAR(Z1674),"")</f>
        <v/>
      </c>
      <c r="Z1674" s="12" t="n"/>
      <c r="AA1674" s="12" t="n"/>
      <c r="AI1674" s="12" t="n"/>
      <c r="AJ1674" s="13">
        <f>IF(LEN(TRIM(AF1674))=0,"",HYPERLINK("https://www.google.com/maps/@?api=1&amp;map_action=pano&amp;viewpoint="&amp;SUBSTITUTE(AF1674," ",""),"Abrir Street View"))</f>
        <v/>
      </c>
    </row>
    <row r="1675">
      <c r="H1675" s="6" t="n"/>
      <c r="I1675" s="6" t="n"/>
      <c r="M1675" s="7" t="n"/>
      <c r="N1675" s="7" t="n"/>
      <c r="O1675" s="7" t="n"/>
      <c r="Q1675" s="7" t="n"/>
      <c r="R1675" s="7" t="n"/>
      <c r="S1675" s="8">
        <f>IF(NOT(ISNUMBER(M1675)),"",IF(G1675="Terreno",IF(AND(ISNUMBER(I1675),I1675&gt;0),M1675/I1675,""),IF(AND(ISNUMBER(H1675),H1675&gt;0),M1675/H1675,"")))</f>
        <v/>
      </c>
      <c r="T1675" s="9">
        <f>IF(AND(ISNUMBER(M1675),ISNUMBER(O1675)),IF(M1675&lt;=O1675,"Valor ≤ venal IPTU",""),"")</f>
        <v/>
      </c>
      <c r="U1675" s="10">
        <f>IF(AND(ISNUMBER(M1675),ISNUMBER(N1675)),IF(N1675&gt;0,M1675/N1675,""),"")</f>
        <v/>
      </c>
      <c r="V1675" s="10">
        <f>IF(AND(ISNUMBER(M1675),ISNUMBER(O1675)),IF(O1675&gt;0,M1675/O1675,""),"")</f>
        <v/>
      </c>
      <c r="W1675" s="10">
        <f>IF(AND(ISNUMBER(M1675),ISNUMBER(R1675)),IF(R1675&gt;0,M1675/R1675,""),"")</f>
        <v/>
      </c>
      <c r="X1675" s="10">
        <f>IF(AND(ISNUMBER(Q1675),ISNUMBER(M1675)),IF(M1675&gt;0,Q1675/M1675,""),"")</f>
        <v/>
      </c>
      <c r="Y1675" s="11">
        <f>IF(ISNUMBER(Z1675),YEAR(Z1675),"")</f>
        <v/>
      </c>
      <c r="Z1675" s="12" t="n"/>
      <c r="AA1675" s="12" t="n"/>
      <c r="AI1675" s="12" t="n"/>
      <c r="AJ1675" s="13">
        <f>IF(LEN(TRIM(AF1675))=0,"",HYPERLINK("https://www.google.com/maps/@?api=1&amp;map_action=pano&amp;viewpoint="&amp;SUBSTITUTE(AF1675," ",""),"Abrir Street View"))</f>
        <v/>
      </c>
    </row>
    <row r="1676">
      <c r="H1676" s="6" t="n"/>
      <c r="I1676" s="6" t="n"/>
      <c r="M1676" s="7" t="n"/>
      <c r="N1676" s="7" t="n"/>
      <c r="O1676" s="7" t="n"/>
      <c r="Q1676" s="7" t="n"/>
      <c r="R1676" s="7" t="n"/>
      <c r="S1676" s="8">
        <f>IF(NOT(ISNUMBER(M1676)),"",IF(G1676="Terreno",IF(AND(ISNUMBER(I1676),I1676&gt;0),M1676/I1676,""),IF(AND(ISNUMBER(H1676),H1676&gt;0),M1676/H1676,"")))</f>
        <v/>
      </c>
      <c r="T1676" s="9">
        <f>IF(AND(ISNUMBER(M1676),ISNUMBER(O1676)),IF(M1676&lt;=O1676,"Valor ≤ venal IPTU",""),"")</f>
        <v/>
      </c>
      <c r="U1676" s="10">
        <f>IF(AND(ISNUMBER(M1676),ISNUMBER(N1676)),IF(N1676&gt;0,M1676/N1676,""),"")</f>
        <v/>
      </c>
      <c r="V1676" s="10">
        <f>IF(AND(ISNUMBER(M1676),ISNUMBER(O1676)),IF(O1676&gt;0,M1676/O1676,""),"")</f>
        <v/>
      </c>
      <c r="W1676" s="10">
        <f>IF(AND(ISNUMBER(M1676),ISNUMBER(R1676)),IF(R1676&gt;0,M1676/R1676,""),"")</f>
        <v/>
      </c>
      <c r="X1676" s="10">
        <f>IF(AND(ISNUMBER(Q1676),ISNUMBER(M1676)),IF(M1676&gt;0,Q1676/M1676,""),"")</f>
        <v/>
      </c>
      <c r="Y1676" s="11">
        <f>IF(ISNUMBER(Z1676),YEAR(Z1676),"")</f>
        <v/>
      </c>
      <c r="Z1676" s="12" t="n"/>
      <c r="AA1676" s="12" t="n"/>
      <c r="AI1676" s="12" t="n"/>
      <c r="AJ1676" s="13">
        <f>IF(LEN(TRIM(AF1676))=0,"",HYPERLINK("https://www.google.com/maps/@?api=1&amp;map_action=pano&amp;viewpoint="&amp;SUBSTITUTE(AF1676," ",""),"Abrir Street View"))</f>
        <v/>
      </c>
    </row>
    <row r="1677">
      <c r="H1677" s="6" t="n"/>
      <c r="I1677" s="6" t="n"/>
      <c r="M1677" s="7" t="n"/>
      <c r="N1677" s="7" t="n"/>
      <c r="O1677" s="7" t="n"/>
      <c r="Q1677" s="7" t="n"/>
      <c r="R1677" s="7" t="n"/>
      <c r="S1677" s="8">
        <f>IF(NOT(ISNUMBER(M1677)),"",IF(G1677="Terreno",IF(AND(ISNUMBER(I1677),I1677&gt;0),M1677/I1677,""),IF(AND(ISNUMBER(H1677),H1677&gt;0),M1677/H1677,"")))</f>
        <v/>
      </c>
      <c r="T1677" s="9">
        <f>IF(AND(ISNUMBER(M1677),ISNUMBER(O1677)),IF(M1677&lt;=O1677,"Valor ≤ venal IPTU",""),"")</f>
        <v/>
      </c>
      <c r="U1677" s="10">
        <f>IF(AND(ISNUMBER(M1677),ISNUMBER(N1677)),IF(N1677&gt;0,M1677/N1677,""),"")</f>
        <v/>
      </c>
      <c r="V1677" s="10">
        <f>IF(AND(ISNUMBER(M1677),ISNUMBER(O1677)),IF(O1677&gt;0,M1677/O1677,""),"")</f>
        <v/>
      </c>
      <c r="W1677" s="10">
        <f>IF(AND(ISNUMBER(M1677),ISNUMBER(R1677)),IF(R1677&gt;0,M1677/R1677,""),"")</f>
        <v/>
      </c>
      <c r="X1677" s="10">
        <f>IF(AND(ISNUMBER(Q1677),ISNUMBER(M1677)),IF(M1677&gt;0,Q1677/M1677,""),"")</f>
        <v/>
      </c>
      <c r="Y1677" s="11">
        <f>IF(ISNUMBER(Z1677),YEAR(Z1677),"")</f>
        <v/>
      </c>
      <c r="Z1677" s="12" t="n"/>
      <c r="AA1677" s="12" t="n"/>
      <c r="AI1677" s="12" t="n"/>
      <c r="AJ1677" s="13">
        <f>IF(LEN(TRIM(AF1677))=0,"",HYPERLINK("https://www.google.com/maps/@?api=1&amp;map_action=pano&amp;viewpoint="&amp;SUBSTITUTE(AF1677," ",""),"Abrir Street View"))</f>
        <v/>
      </c>
    </row>
    <row r="1678">
      <c r="H1678" s="6" t="n"/>
      <c r="I1678" s="6" t="n"/>
      <c r="M1678" s="7" t="n"/>
      <c r="N1678" s="7" t="n"/>
      <c r="O1678" s="7" t="n"/>
      <c r="Q1678" s="7" t="n"/>
      <c r="R1678" s="7" t="n"/>
      <c r="S1678" s="8">
        <f>IF(NOT(ISNUMBER(M1678)),"",IF(G1678="Terreno",IF(AND(ISNUMBER(I1678),I1678&gt;0),M1678/I1678,""),IF(AND(ISNUMBER(H1678),H1678&gt;0),M1678/H1678,"")))</f>
        <v/>
      </c>
      <c r="T1678" s="9">
        <f>IF(AND(ISNUMBER(M1678),ISNUMBER(O1678)),IF(M1678&lt;=O1678,"Valor ≤ venal IPTU",""),"")</f>
        <v/>
      </c>
      <c r="U1678" s="10">
        <f>IF(AND(ISNUMBER(M1678),ISNUMBER(N1678)),IF(N1678&gt;0,M1678/N1678,""),"")</f>
        <v/>
      </c>
      <c r="V1678" s="10">
        <f>IF(AND(ISNUMBER(M1678),ISNUMBER(O1678)),IF(O1678&gt;0,M1678/O1678,""),"")</f>
        <v/>
      </c>
      <c r="W1678" s="10">
        <f>IF(AND(ISNUMBER(M1678),ISNUMBER(R1678)),IF(R1678&gt;0,M1678/R1678,""),"")</f>
        <v/>
      </c>
      <c r="X1678" s="10">
        <f>IF(AND(ISNUMBER(Q1678),ISNUMBER(M1678)),IF(M1678&gt;0,Q1678/M1678,""),"")</f>
        <v/>
      </c>
      <c r="Y1678" s="11">
        <f>IF(ISNUMBER(Z1678),YEAR(Z1678),"")</f>
        <v/>
      </c>
      <c r="Z1678" s="12" t="n"/>
      <c r="AA1678" s="12" t="n"/>
      <c r="AI1678" s="12" t="n"/>
      <c r="AJ1678" s="13">
        <f>IF(LEN(TRIM(AF1678))=0,"",HYPERLINK("https://www.google.com/maps/@?api=1&amp;map_action=pano&amp;viewpoint="&amp;SUBSTITUTE(AF1678," ",""),"Abrir Street View"))</f>
        <v/>
      </c>
    </row>
    <row r="1679">
      <c r="H1679" s="6" t="n"/>
      <c r="I1679" s="6" t="n"/>
      <c r="M1679" s="7" t="n"/>
      <c r="N1679" s="7" t="n"/>
      <c r="O1679" s="7" t="n"/>
      <c r="Q1679" s="7" t="n"/>
      <c r="R1679" s="7" t="n"/>
      <c r="S1679" s="8">
        <f>IF(NOT(ISNUMBER(M1679)),"",IF(G1679="Terreno",IF(AND(ISNUMBER(I1679),I1679&gt;0),M1679/I1679,""),IF(AND(ISNUMBER(H1679),H1679&gt;0),M1679/H1679,"")))</f>
        <v/>
      </c>
      <c r="T1679" s="9">
        <f>IF(AND(ISNUMBER(M1679),ISNUMBER(O1679)),IF(M1679&lt;=O1679,"Valor ≤ venal IPTU",""),"")</f>
        <v/>
      </c>
      <c r="U1679" s="10">
        <f>IF(AND(ISNUMBER(M1679),ISNUMBER(N1679)),IF(N1679&gt;0,M1679/N1679,""),"")</f>
        <v/>
      </c>
      <c r="V1679" s="10">
        <f>IF(AND(ISNUMBER(M1679),ISNUMBER(O1679)),IF(O1679&gt;0,M1679/O1679,""),"")</f>
        <v/>
      </c>
      <c r="W1679" s="10">
        <f>IF(AND(ISNUMBER(M1679),ISNUMBER(R1679)),IF(R1679&gt;0,M1679/R1679,""),"")</f>
        <v/>
      </c>
      <c r="X1679" s="10">
        <f>IF(AND(ISNUMBER(Q1679),ISNUMBER(M1679)),IF(M1679&gt;0,Q1679/M1679,""),"")</f>
        <v/>
      </c>
      <c r="Y1679" s="11">
        <f>IF(ISNUMBER(Z1679),YEAR(Z1679),"")</f>
        <v/>
      </c>
      <c r="Z1679" s="12" t="n"/>
      <c r="AA1679" s="12" t="n"/>
      <c r="AI1679" s="12" t="n"/>
      <c r="AJ1679" s="13">
        <f>IF(LEN(TRIM(AF1679))=0,"",HYPERLINK("https://www.google.com/maps/@?api=1&amp;map_action=pano&amp;viewpoint="&amp;SUBSTITUTE(AF1679," ",""),"Abrir Street View"))</f>
        <v/>
      </c>
    </row>
    <row r="1680">
      <c r="H1680" s="6" t="n"/>
      <c r="I1680" s="6" t="n"/>
      <c r="M1680" s="7" t="n"/>
      <c r="N1680" s="7" t="n"/>
      <c r="O1680" s="7" t="n"/>
      <c r="Q1680" s="7" t="n"/>
      <c r="R1680" s="7" t="n"/>
      <c r="S1680" s="8">
        <f>IF(NOT(ISNUMBER(M1680)),"",IF(G1680="Terreno",IF(AND(ISNUMBER(I1680),I1680&gt;0),M1680/I1680,""),IF(AND(ISNUMBER(H1680),H1680&gt;0),M1680/H1680,"")))</f>
        <v/>
      </c>
      <c r="T1680" s="9">
        <f>IF(AND(ISNUMBER(M1680),ISNUMBER(O1680)),IF(M1680&lt;=O1680,"Valor ≤ venal IPTU",""),"")</f>
        <v/>
      </c>
      <c r="U1680" s="10">
        <f>IF(AND(ISNUMBER(M1680),ISNUMBER(N1680)),IF(N1680&gt;0,M1680/N1680,""),"")</f>
        <v/>
      </c>
      <c r="V1680" s="10">
        <f>IF(AND(ISNUMBER(M1680),ISNUMBER(O1680)),IF(O1680&gt;0,M1680/O1680,""),"")</f>
        <v/>
      </c>
      <c r="W1680" s="10">
        <f>IF(AND(ISNUMBER(M1680),ISNUMBER(R1680)),IF(R1680&gt;0,M1680/R1680,""),"")</f>
        <v/>
      </c>
      <c r="X1680" s="10">
        <f>IF(AND(ISNUMBER(Q1680),ISNUMBER(M1680)),IF(M1680&gt;0,Q1680/M1680,""),"")</f>
        <v/>
      </c>
      <c r="Y1680" s="11">
        <f>IF(ISNUMBER(Z1680),YEAR(Z1680),"")</f>
        <v/>
      </c>
      <c r="Z1680" s="12" t="n"/>
      <c r="AA1680" s="12" t="n"/>
      <c r="AI1680" s="12" t="n"/>
      <c r="AJ1680" s="13">
        <f>IF(LEN(TRIM(AF1680))=0,"",HYPERLINK("https://www.google.com/maps/@?api=1&amp;map_action=pano&amp;viewpoint="&amp;SUBSTITUTE(AF1680," ",""),"Abrir Street View"))</f>
        <v/>
      </c>
    </row>
    <row r="1681">
      <c r="H1681" s="6" t="n"/>
      <c r="I1681" s="6" t="n"/>
      <c r="M1681" s="7" t="n"/>
      <c r="N1681" s="7" t="n"/>
      <c r="O1681" s="7" t="n"/>
      <c r="Q1681" s="7" t="n"/>
      <c r="R1681" s="7" t="n"/>
      <c r="S1681" s="8">
        <f>IF(NOT(ISNUMBER(M1681)),"",IF(G1681="Terreno",IF(AND(ISNUMBER(I1681),I1681&gt;0),M1681/I1681,""),IF(AND(ISNUMBER(H1681),H1681&gt;0),M1681/H1681,"")))</f>
        <v/>
      </c>
      <c r="T1681" s="9">
        <f>IF(AND(ISNUMBER(M1681),ISNUMBER(O1681)),IF(M1681&lt;=O1681,"Valor ≤ venal IPTU",""),"")</f>
        <v/>
      </c>
      <c r="U1681" s="10">
        <f>IF(AND(ISNUMBER(M1681),ISNUMBER(N1681)),IF(N1681&gt;0,M1681/N1681,""),"")</f>
        <v/>
      </c>
      <c r="V1681" s="10">
        <f>IF(AND(ISNUMBER(M1681),ISNUMBER(O1681)),IF(O1681&gt;0,M1681/O1681,""),"")</f>
        <v/>
      </c>
      <c r="W1681" s="10">
        <f>IF(AND(ISNUMBER(M1681),ISNUMBER(R1681)),IF(R1681&gt;0,M1681/R1681,""),"")</f>
        <v/>
      </c>
      <c r="X1681" s="10">
        <f>IF(AND(ISNUMBER(Q1681),ISNUMBER(M1681)),IF(M1681&gt;0,Q1681/M1681,""),"")</f>
        <v/>
      </c>
      <c r="Y1681" s="11">
        <f>IF(ISNUMBER(Z1681),YEAR(Z1681),"")</f>
        <v/>
      </c>
      <c r="Z1681" s="12" t="n"/>
      <c r="AA1681" s="12" t="n"/>
      <c r="AI1681" s="12" t="n"/>
      <c r="AJ1681" s="13">
        <f>IF(LEN(TRIM(AF1681))=0,"",HYPERLINK("https://www.google.com/maps/@?api=1&amp;map_action=pano&amp;viewpoint="&amp;SUBSTITUTE(AF1681," ",""),"Abrir Street View"))</f>
        <v/>
      </c>
    </row>
    <row r="1682">
      <c r="H1682" s="6" t="n"/>
      <c r="I1682" s="6" t="n"/>
      <c r="M1682" s="7" t="n"/>
      <c r="N1682" s="7" t="n"/>
      <c r="O1682" s="7" t="n"/>
      <c r="Q1682" s="7" t="n"/>
      <c r="R1682" s="7" t="n"/>
      <c r="S1682" s="8">
        <f>IF(NOT(ISNUMBER(M1682)),"",IF(G1682="Terreno",IF(AND(ISNUMBER(I1682),I1682&gt;0),M1682/I1682,""),IF(AND(ISNUMBER(H1682),H1682&gt;0),M1682/H1682,"")))</f>
        <v/>
      </c>
      <c r="T1682" s="9">
        <f>IF(AND(ISNUMBER(M1682),ISNUMBER(O1682)),IF(M1682&lt;=O1682,"Valor ≤ venal IPTU",""),"")</f>
        <v/>
      </c>
      <c r="U1682" s="10">
        <f>IF(AND(ISNUMBER(M1682),ISNUMBER(N1682)),IF(N1682&gt;0,M1682/N1682,""),"")</f>
        <v/>
      </c>
      <c r="V1682" s="10">
        <f>IF(AND(ISNUMBER(M1682),ISNUMBER(O1682)),IF(O1682&gt;0,M1682/O1682,""),"")</f>
        <v/>
      </c>
      <c r="W1682" s="10">
        <f>IF(AND(ISNUMBER(M1682),ISNUMBER(R1682)),IF(R1682&gt;0,M1682/R1682,""),"")</f>
        <v/>
      </c>
      <c r="X1682" s="10">
        <f>IF(AND(ISNUMBER(Q1682),ISNUMBER(M1682)),IF(M1682&gt;0,Q1682/M1682,""),"")</f>
        <v/>
      </c>
      <c r="Y1682" s="11">
        <f>IF(ISNUMBER(Z1682),YEAR(Z1682),"")</f>
        <v/>
      </c>
      <c r="Z1682" s="12" t="n"/>
      <c r="AA1682" s="12" t="n"/>
      <c r="AI1682" s="12" t="n"/>
      <c r="AJ1682" s="13">
        <f>IF(LEN(TRIM(AF1682))=0,"",HYPERLINK("https://www.google.com/maps/@?api=1&amp;map_action=pano&amp;viewpoint="&amp;SUBSTITUTE(AF1682," ",""),"Abrir Street View"))</f>
        <v/>
      </c>
    </row>
    <row r="1683">
      <c r="H1683" s="6" t="n"/>
      <c r="I1683" s="6" t="n"/>
      <c r="M1683" s="7" t="n"/>
      <c r="N1683" s="7" t="n"/>
      <c r="O1683" s="7" t="n"/>
      <c r="Q1683" s="7" t="n"/>
      <c r="R1683" s="7" t="n"/>
      <c r="S1683" s="8">
        <f>IF(NOT(ISNUMBER(M1683)),"",IF(G1683="Terreno",IF(AND(ISNUMBER(I1683),I1683&gt;0),M1683/I1683,""),IF(AND(ISNUMBER(H1683),H1683&gt;0),M1683/H1683,"")))</f>
        <v/>
      </c>
      <c r="T1683" s="9">
        <f>IF(AND(ISNUMBER(M1683),ISNUMBER(O1683)),IF(M1683&lt;=O1683,"Valor ≤ venal IPTU",""),"")</f>
        <v/>
      </c>
      <c r="U1683" s="10">
        <f>IF(AND(ISNUMBER(M1683),ISNUMBER(N1683)),IF(N1683&gt;0,M1683/N1683,""),"")</f>
        <v/>
      </c>
      <c r="V1683" s="10">
        <f>IF(AND(ISNUMBER(M1683),ISNUMBER(O1683)),IF(O1683&gt;0,M1683/O1683,""),"")</f>
        <v/>
      </c>
      <c r="W1683" s="10">
        <f>IF(AND(ISNUMBER(M1683),ISNUMBER(R1683)),IF(R1683&gt;0,M1683/R1683,""),"")</f>
        <v/>
      </c>
      <c r="X1683" s="10">
        <f>IF(AND(ISNUMBER(Q1683),ISNUMBER(M1683)),IF(M1683&gt;0,Q1683/M1683,""),"")</f>
        <v/>
      </c>
      <c r="Y1683" s="11">
        <f>IF(ISNUMBER(Z1683),YEAR(Z1683),"")</f>
        <v/>
      </c>
      <c r="Z1683" s="12" t="n"/>
      <c r="AA1683" s="12" t="n"/>
      <c r="AI1683" s="12" t="n"/>
      <c r="AJ1683" s="13">
        <f>IF(LEN(TRIM(AF1683))=0,"",HYPERLINK("https://www.google.com/maps/@?api=1&amp;map_action=pano&amp;viewpoint="&amp;SUBSTITUTE(AF1683," ",""),"Abrir Street View"))</f>
        <v/>
      </c>
    </row>
    <row r="1684">
      <c r="H1684" s="6" t="n"/>
      <c r="I1684" s="6" t="n"/>
      <c r="M1684" s="7" t="n"/>
      <c r="N1684" s="7" t="n"/>
      <c r="O1684" s="7" t="n"/>
      <c r="Q1684" s="7" t="n"/>
      <c r="R1684" s="7" t="n"/>
      <c r="S1684" s="8">
        <f>IF(NOT(ISNUMBER(M1684)),"",IF(G1684="Terreno",IF(AND(ISNUMBER(I1684),I1684&gt;0),M1684/I1684,""),IF(AND(ISNUMBER(H1684),H1684&gt;0),M1684/H1684,"")))</f>
        <v/>
      </c>
      <c r="T1684" s="9">
        <f>IF(AND(ISNUMBER(M1684),ISNUMBER(O1684)),IF(M1684&lt;=O1684,"Valor ≤ venal IPTU",""),"")</f>
        <v/>
      </c>
      <c r="U1684" s="10">
        <f>IF(AND(ISNUMBER(M1684),ISNUMBER(N1684)),IF(N1684&gt;0,M1684/N1684,""),"")</f>
        <v/>
      </c>
      <c r="V1684" s="10">
        <f>IF(AND(ISNUMBER(M1684),ISNUMBER(O1684)),IF(O1684&gt;0,M1684/O1684,""),"")</f>
        <v/>
      </c>
      <c r="W1684" s="10">
        <f>IF(AND(ISNUMBER(M1684),ISNUMBER(R1684)),IF(R1684&gt;0,M1684/R1684,""),"")</f>
        <v/>
      </c>
      <c r="X1684" s="10">
        <f>IF(AND(ISNUMBER(Q1684),ISNUMBER(M1684)),IF(M1684&gt;0,Q1684/M1684,""),"")</f>
        <v/>
      </c>
      <c r="Y1684" s="11">
        <f>IF(ISNUMBER(Z1684),YEAR(Z1684),"")</f>
        <v/>
      </c>
      <c r="Z1684" s="12" t="n"/>
      <c r="AA1684" s="12" t="n"/>
      <c r="AI1684" s="12" t="n"/>
      <c r="AJ1684" s="13">
        <f>IF(LEN(TRIM(AF1684))=0,"",HYPERLINK("https://www.google.com/maps/@?api=1&amp;map_action=pano&amp;viewpoint="&amp;SUBSTITUTE(AF1684," ",""),"Abrir Street View"))</f>
        <v/>
      </c>
    </row>
    <row r="1685">
      <c r="H1685" s="6" t="n"/>
      <c r="I1685" s="6" t="n"/>
      <c r="M1685" s="7" t="n"/>
      <c r="N1685" s="7" t="n"/>
      <c r="O1685" s="7" t="n"/>
      <c r="Q1685" s="7" t="n"/>
      <c r="R1685" s="7" t="n"/>
      <c r="S1685" s="8">
        <f>IF(NOT(ISNUMBER(M1685)),"",IF(G1685="Terreno",IF(AND(ISNUMBER(I1685),I1685&gt;0),M1685/I1685,""),IF(AND(ISNUMBER(H1685),H1685&gt;0),M1685/H1685,"")))</f>
        <v/>
      </c>
      <c r="T1685" s="9">
        <f>IF(AND(ISNUMBER(M1685),ISNUMBER(O1685)),IF(M1685&lt;=O1685,"Valor ≤ venal IPTU",""),"")</f>
        <v/>
      </c>
      <c r="U1685" s="10">
        <f>IF(AND(ISNUMBER(M1685),ISNUMBER(N1685)),IF(N1685&gt;0,M1685/N1685,""),"")</f>
        <v/>
      </c>
      <c r="V1685" s="10">
        <f>IF(AND(ISNUMBER(M1685),ISNUMBER(O1685)),IF(O1685&gt;0,M1685/O1685,""),"")</f>
        <v/>
      </c>
      <c r="W1685" s="10">
        <f>IF(AND(ISNUMBER(M1685),ISNUMBER(R1685)),IF(R1685&gt;0,M1685/R1685,""),"")</f>
        <v/>
      </c>
      <c r="X1685" s="10">
        <f>IF(AND(ISNUMBER(Q1685),ISNUMBER(M1685)),IF(M1685&gt;0,Q1685/M1685,""),"")</f>
        <v/>
      </c>
      <c r="Y1685" s="11">
        <f>IF(ISNUMBER(Z1685),YEAR(Z1685),"")</f>
        <v/>
      </c>
      <c r="Z1685" s="12" t="n"/>
      <c r="AA1685" s="12" t="n"/>
      <c r="AI1685" s="12" t="n"/>
      <c r="AJ1685" s="13">
        <f>IF(LEN(TRIM(AF1685))=0,"",HYPERLINK("https://www.google.com/maps/@?api=1&amp;map_action=pano&amp;viewpoint="&amp;SUBSTITUTE(AF1685," ",""),"Abrir Street View"))</f>
        <v/>
      </c>
    </row>
    <row r="1686">
      <c r="H1686" s="6" t="n"/>
      <c r="I1686" s="6" t="n"/>
      <c r="M1686" s="7" t="n"/>
      <c r="N1686" s="7" t="n"/>
      <c r="O1686" s="7" t="n"/>
      <c r="Q1686" s="7" t="n"/>
      <c r="R1686" s="7" t="n"/>
      <c r="S1686" s="8">
        <f>IF(NOT(ISNUMBER(M1686)),"",IF(G1686="Terreno",IF(AND(ISNUMBER(I1686),I1686&gt;0),M1686/I1686,""),IF(AND(ISNUMBER(H1686),H1686&gt;0),M1686/H1686,"")))</f>
        <v/>
      </c>
      <c r="T1686" s="9">
        <f>IF(AND(ISNUMBER(M1686),ISNUMBER(O1686)),IF(M1686&lt;=O1686,"Valor ≤ venal IPTU",""),"")</f>
        <v/>
      </c>
      <c r="U1686" s="10">
        <f>IF(AND(ISNUMBER(M1686),ISNUMBER(N1686)),IF(N1686&gt;0,M1686/N1686,""),"")</f>
        <v/>
      </c>
      <c r="V1686" s="10">
        <f>IF(AND(ISNUMBER(M1686),ISNUMBER(O1686)),IF(O1686&gt;0,M1686/O1686,""),"")</f>
        <v/>
      </c>
      <c r="W1686" s="10">
        <f>IF(AND(ISNUMBER(M1686),ISNUMBER(R1686)),IF(R1686&gt;0,M1686/R1686,""),"")</f>
        <v/>
      </c>
      <c r="X1686" s="10">
        <f>IF(AND(ISNUMBER(Q1686),ISNUMBER(M1686)),IF(M1686&gt;0,Q1686/M1686,""),"")</f>
        <v/>
      </c>
      <c r="Y1686" s="11">
        <f>IF(ISNUMBER(Z1686),YEAR(Z1686),"")</f>
        <v/>
      </c>
      <c r="Z1686" s="12" t="n"/>
      <c r="AA1686" s="12" t="n"/>
      <c r="AI1686" s="12" t="n"/>
      <c r="AJ1686" s="13">
        <f>IF(LEN(TRIM(AF1686))=0,"",HYPERLINK("https://www.google.com/maps/@?api=1&amp;map_action=pano&amp;viewpoint="&amp;SUBSTITUTE(AF1686," ",""),"Abrir Street View"))</f>
        <v/>
      </c>
    </row>
    <row r="1687">
      <c r="H1687" s="6" t="n"/>
      <c r="I1687" s="6" t="n"/>
      <c r="M1687" s="7" t="n"/>
      <c r="N1687" s="7" t="n"/>
      <c r="O1687" s="7" t="n"/>
      <c r="Q1687" s="7" t="n"/>
      <c r="R1687" s="7" t="n"/>
      <c r="S1687" s="8">
        <f>IF(NOT(ISNUMBER(M1687)),"",IF(G1687="Terreno",IF(AND(ISNUMBER(I1687),I1687&gt;0),M1687/I1687,""),IF(AND(ISNUMBER(H1687),H1687&gt;0),M1687/H1687,"")))</f>
        <v/>
      </c>
      <c r="T1687" s="9">
        <f>IF(AND(ISNUMBER(M1687),ISNUMBER(O1687)),IF(M1687&lt;=O1687,"Valor ≤ venal IPTU",""),"")</f>
        <v/>
      </c>
      <c r="U1687" s="10">
        <f>IF(AND(ISNUMBER(M1687),ISNUMBER(N1687)),IF(N1687&gt;0,M1687/N1687,""),"")</f>
        <v/>
      </c>
      <c r="V1687" s="10">
        <f>IF(AND(ISNUMBER(M1687),ISNUMBER(O1687)),IF(O1687&gt;0,M1687/O1687,""),"")</f>
        <v/>
      </c>
      <c r="W1687" s="10">
        <f>IF(AND(ISNUMBER(M1687),ISNUMBER(R1687)),IF(R1687&gt;0,M1687/R1687,""),"")</f>
        <v/>
      </c>
      <c r="X1687" s="10">
        <f>IF(AND(ISNUMBER(Q1687),ISNUMBER(M1687)),IF(M1687&gt;0,Q1687/M1687,""),"")</f>
        <v/>
      </c>
      <c r="Y1687" s="11">
        <f>IF(ISNUMBER(Z1687),YEAR(Z1687),"")</f>
        <v/>
      </c>
      <c r="Z1687" s="12" t="n"/>
      <c r="AA1687" s="12" t="n"/>
      <c r="AI1687" s="12" t="n"/>
      <c r="AJ1687" s="13">
        <f>IF(LEN(TRIM(AF1687))=0,"",HYPERLINK("https://www.google.com/maps/@?api=1&amp;map_action=pano&amp;viewpoint="&amp;SUBSTITUTE(AF1687," ",""),"Abrir Street View"))</f>
        <v/>
      </c>
    </row>
    <row r="1688">
      <c r="H1688" s="6" t="n"/>
      <c r="I1688" s="6" t="n"/>
      <c r="M1688" s="7" t="n"/>
      <c r="N1688" s="7" t="n"/>
      <c r="O1688" s="7" t="n"/>
      <c r="Q1688" s="7" t="n"/>
      <c r="R1688" s="7" t="n"/>
      <c r="S1688" s="8">
        <f>IF(NOT(ISNUMBER(M1688)),"",IF(G1688="Terreno",IF(AND(ISNUMBER(I1688),I1688&gt;0),M1688/I1688,""),IF(AND(ISNUMBER(H1688),H1688&gt;0),M1688/H1688,"")))</f>
        <v/>
      </c>
      <c r="T1688" s="9">
        <f>IF(AND(ISNUMBER(M1688),ISNUMBER(O1688)),IF(M1688&lt;=O1688,"Valor ≤ venal IPTU",""),"")</f>
        <v/>
      </c>
      <c r="U1688" s="10">
        <f>IF(AND(ISNUMBER(M1688),ISNUMBER(N1688)),IF(N1688&gt;0,M1688/N1688,""),"")</f>
        <v/>
      </c>
      <c r="V1688" s="10">
        <f>IF(AND(ISNUMBER(M1688),ISNUMBER(O1688)),IF(O1688&gt;0,M1688/O1688,""),"")</f>
        <v/>
      </c>
      <c r="W1688" s="10">
        <f>IF(AND(ISNUMBER(M1688),ISNUMBER(R1688)),IF(R1688&gt;0,M1688/R1688,""),"")</f>
        <v/>
      </c>
      <c r="X1688" s="10">
        <f>IF(AND(ISNUMBER(Q1688),ISNUMBER(M1688)),IF(M1688&gt;0,Q1688/M1688,""),"")</f>
        <v/>
      </c>
      <c r="Y1688" s="11">
        <f>IF(ISNUMBER(Z1688),YEAR(Z1688),"")</f>
        <v/>
      </c>
      <c r="Z1688" s="12" t="n"/>
      <c r="AA1688" s="12" t="n"/>
      <c r="AI1688" s="12" t="n"/>
      <c r="AJ1688" s="13">
        <f>IF(LEN(TRIM(AF1688))=0,"",HYPERLINK("https://www.google.com/maps/@?api=1&amp;map_action=pano&amp;viewpoint="&amp;SUBSTITUTE(AF1688," ",""),"Abrir Street View"))</f>
        <v/>
      </c>
    </row>
    <row r="1689">
      <c r="H1689" s="6" t="n"/>
      <c r="I1689" s="6" t="n"/>
      <c r="M1689" s="7" t="n"/>
      <c r="N1689" s="7" t="n"/>
      <c r="O1689" s="7" t="n"/>
      <c r="Q1689" s="7" t="n"/>
      <c r="R1689" s="7" t="n"/>
      <c r="S1689" s="8">
        <f>IF(NOT(ISNUMBER(M1689)),"",IF(G1689="Terreno",IF(AND(ISNUMBER(I1689),I1689&gt;0),M1689/I1689,""),IF(AND(ISNUMBER(H1689),H1689&gt;0),M1689/H1689,"")))</f>
        <v/>
      </c>
      <c r="T1689" s="9">
        <f>IF(AND(ISNUMBER(M1689),ISNUMBER(O1689)),IF(M1689&lt;=O1689,"Valor ≤ venal IPTU",""),"")</f>
        <v/>
      </c>
      <c r="U1689" s="10">
        <f>IF(AND(ISNUMBER(M1689),ISNUMBER(N1689)),IF(N1689&gt;0,M1689/N1689,""),"")</f>
        <v/>
      </c>
      <c r="V1689" s="10">
        <f>IF(AND(ISNUMBER(M1689),ISNUMBER(O1689)),IF(O1689&gt;0,M1689/O1689,""),"")</f>
        <v/>
      </c>
      <c r="W1689" s="10">
        <f>IF(AND(ISNUMBER(M1689),ISNUMBER(R1689)),IF(R1689&gt;0,M1689/R1689,""),"")</f>
        <v/>
      </c>
      <c r="X1689" s="10">
        <f>IF(AND(ISNUMBER(Q1689),ISNUMBER(M1689)),IF(M1689&gt;0,Q1689/M1689,""),"")</f>
        <v/>
      </c>
      <c r="Y1689" s="11">
        <f>IF(ISNUMBER(Z1689),YEAR(Z1689),"")</f>
        <v/>
      </c>
      <c r="Z1689" s="12" t="n"/>
      <c r="AA1689" s="12" t="n"/>
      <c r="AI1689" s="12" t="n"/>
      <c r="AJ1689" s="13">
        <f>IF(LEN(TRIM(AF1689))=0,"",HYPERLINK("https://www.google.com/maps/@?api=1&amp;map_action=pano&amp;viewpoint="&amp;SUBSTITUTE(AF1689," ",""),"Abrir Street View"))</f>
        <v/>
      </c>
    </row>
    <row r="1690">
      <c r="H1690" s="6" t="n"/>
      <c r="I1690" s="6" t="n"/>
      <c r="M1690" s="7" t="n"/>
      <c r="N1690" s="7" t="n"/>
      <c r="O1690" s="7" t="n"/>
      <c r="Q1690" s="7" t="n"/>
      <c r="R1690" s="7" t="n"/>
      <c r="S1690" s="8">
        <f>IF(NOT(ISNUMBER(M1690)),"",IF(G1690="Terreno",IF(AND(ISNUMBER(I1690),I1690&gt;0),M1690/I1690,""),IF(AND(ISNUMBER(H1690),H1690&gt;0),M1690/H1690,"")))</f>
        <v/>
      </c>
      <c r="T1690" s="9">
        <f>IF(AND(ISNUMBER(M1690),ISNUMBER(O1690)),IF(M1690&lt;=O1690,"Valor ≤ venal IPTU",""),"")</f>
        <v/>
      </c>
      <c r="U1690" s="10">
        <f>IF(AND(ISNUMBER(M1690),ISNUMBER(N1690)),IF(N1690&gt;0,M1690/N1690,""),"")</f>
        <v/>
      </c>
      <c r="V1690" s="10">
        <f>IF(AND(ISNUMBER(M1690),ISNUMBER(O1690)),IF(O1690&gt;0,M1690/O1690,""),"")</f>
        <v/>
      </c>
      <c r="W1690" s="10">
        <f>IF(AND(ISNUMBER(M1690),ISNUMBER(R1690)),IF(R1690&gt;0,M1690/R1690,""),"")</f>
        <v/>
      </c>
      <c r="X1690" s="10">
        <f>IF(AND(ISNUMBER(Q1690),ISNUMBER(M1690)),IF(M1690&gt;0,Q1690/M1690,""),"")</f>
        <v/>
      </c>
      <c r="Y1690" s="11">
        <f>IF(ISNUMBER(Z1690),YEAR(Z1690),"")</f>
        <v/>
      </c>
      <c r="Z1690" s="12" t="n"/>
      <c r="AA1690" s="12" t="n"/>
      <c r="AI1690" s="12" t="n"/>
      <c r="AJ1690" s="13">
        <f>IF(LEN(TRIM(AF1690))=0,"",HYPERLINK("https://www.google.com/maps/@?api=1&amp;map_action=pano&amp;viewpoint="&amp;SUBSTITUTE(AF1690," ",""),"Abrir Street View"))</f>
        <v/>
      </c>
    </row>
    <row r="1691">
      <c r="H1691" s="6" t="n"/>
      <c r="I1691" s="6" t="n"/>
      <c r="M1691" s="7" t="n"/>
      <c r="N1691" s="7" t="n"/>
      <c r="O1691" s="7" t="n"/>
      <c r="Q1691" s="7" t="n"/>
      <c r="R1691" s="7" t="n"/>
      <c r="S1691" s="8">
        <f>IF(NOT(ISNUMBER(M1691)),"",IF(G1691="Terreno",IF(AND(ISNUMBER(I1691),I1691&gt;0),M1691/I1691,""),IF(AND(ISNUMBER(H1691),H1691&gt;0),M1691/H1691,"")))</f>
        <v/>
      </c>
      <c r="T1691" s="9">
        <f>IF(AND(ISNUMBER(M1691),ISNUMBER(O1691)),IF(M1691&lt;=O1691,"Valor ≤ venal IPTU",""),"")</f>
        <v/>
      </c>
      <c r="U1691" s="10">
        <f>IF(AND(ISNUMBER(M1691),ISNUMBER(N1691)),IF(N1691&gt;0,M1691/N1691,""),"")</f>
        <v/>
      </c>
      <c r="V1691" s="10">
        <f>IF(AND(ISNUMBER(M1691),ISNUMBER(O1691)),IF(O1691&gt;0,M1691/O1691,""),"")</f>
        <v/>
      </c>
      <c r="W1691" s="10">
        <f>IF(AND(ISNUMBER(M1691),ISNUMBER(R1691)),IF(R1691&gt;0,M1691/R1691,""),"")</f>
        <v/>
      </c>
      <c r="X1691" s="10">
        <f>IF(AND(ISNUMBER(Q1691),ISNUMBER(M1691)),IF(M1691&gt;0,Q1691/M1691,""),"")</f>
        <v/>
      </c>
      <c r="Y1691" s="11">
        <f>IF(ISNUMBER(Z1691),YEAR(Z1691),"")</f>
        <v/>
      </c>
      <c r="Z1691" s="12" t="n"/>
      <c r="AA1691" s="12" t="n"/>
      <c r="AI1691" s="12" t="n"/>
      <c r="AJ1691" s="13">
        <f>IF(LEN(TRIM(AF1691))=0,"",HYPERLINK("https://www.google.com/maps/@?api=1&amp;map_action=pano&amp;viewpoint="&amp;SUBSTITUTE(AF1691," ",""),"Abrir Street View"))</f>
        <v/>
      </c>
    </row>
    <row r="1692">
      <c r="H1692" s="6" t="n"/>
      <c r="I1692" s="6" t="n"/>
      <c r="M1692" s="7" t="n"/>
      <c r="N1692" s="7" t="n"/>
      <c r="O1692" s="7" t="n"/>
      <c r="Q1692" s="7" t="n"/>
      <c r="R1692" s="7" t="n"/>
      <c r="S1692" s="8">
        <f>IF(NOT(ISNUMBER(M1692)),"",IF(G1692="Terreno",IF(AND(ISNUMBER(I1692),I1692&gt;0),M1692/I1692,""),IF(AND(ISNUMBER(H1692),H1692&gt;0),M1692/H1692,"")))</f>
        <v/>
      </c>
      <c r="T1692" s="9">
        <f>IF(AND(ISNUMBER(M1692),ISNUMBER(O1692)),IF(M1692&lt;=O1692,"Valor ≤ venal IPTU",""),"")</f>
        <v/>
      </c>
      <c r="U1692" s="10">
        <f>IF(AND(ISNUMBER(M1692),ISNUMBER(N1692)),IF(N1692&gt;0,M1692/N1692,""),"")</f>
        <v/>
      </c>
      <c r="V1692" s="10">
        <f>IF(AND(ISNUMBER(M1692),ISNUMBER(O1692)),IF(O1692&gt;0,M1692/O1692,""),"")</f>
        <v/>
      </c>
      <c r="W1692" s="10">
        <f>IF(AND(ISNUMBER(M1692),ISNUMBER(R1692)),IF(R1692&gt;0,M1692/R1692,""),"")</f>
        <v/>
      </c>
      <c r="X1692" s="10">
        <f>IF(AND(ISNUMBER(Q1692),ISNUMBER(M1692)),IF(M1692&gt;0,Q1692/M1692,""),"")</f>
        <v/>
      </c>
      <c r="Y1692" s="11">
        <f>IF(ISNUMBER(Z1692),YEAR(Z1692),"")</f>
        <v/>
      </c>
      <c r="Z1692" s="12" t="n"/>
      <c r="AA1692" s="12" t="n"/>
      <c r="AI1692" s="12" t="n"/>
      <c r="AJ1692" s="13">
        <f>IF(LEN(TRIM(AF1692))=0,"",HYPERLINK("https://www.google.com/maps/@?api=1&amp;map_action=pano&amp;viewpoint="&amp;SUBSTITUTE(AF1692," ",""),"Abrir Street View"))</f>
        <v/>
      </c>
    </row>
    <row r="1693">
      <c r="H1693" s="6" t="n"/>
      <c r="I1693" s="6" t="n"/>
      <c r="M1693" s="7" t="n"/>
      <c r="N1693" s="7" t="n"/>
      <c r="O1693" s="7" t="n"/>
      <c r="Q1693" s="7" t="n"/>
      <c r="R1693" s="7" t="n"/>
      <c r="S1693" s="8">
        <f>IF(NOT(ISNUMBER(M1693)),"",IF(G1693="Terreno",IF(AND(ISNUMBER(I1693),I1693&gt;0),M1693/I1693,""),IF(AND(ISNUMBER(H1693),H1693&gt;0),M1693/H1693,"")))</f>
        <v/>
      </c>
      <c r="T1693" s="9">
        <f>IF(AND(ISNUMBER(M1693),ISNUMBER(O1693)),IF(M1693&lt;=O1693,"Valor ≤ venal IPTU",""),"")</f>
        <v/>
      </c>
      <c r="U1693" s="10">
        <f>IF(AND(ISNUMBER(M1693),ISNUMBER(N1693)),IF(N1693&gt;0,M1693/N1693,""),"")</f>
        <v/>
      </c>
      <c r="V1693" s="10">
        <f>IF(AND(ISNUMBER(M1693),ISNUMBER(O1693)),IF(O1693&gt;0,M1693/O1693,""),"")</f>
        <v/>
      </c>
      <c r="W1693" s="10">
        <f>IF(AND(ISNUMBER(M1693),ISNUMBER(R1693)),IF(R1693&gt;0,M1693/R1693,""),"")</f>
        <v/>
      </c>
      <c r="X1693" s="10">
        <f>IF(AND(ISNUMBER(Q1693),ISNUMBER(M1693)),IF(M1693&gt;0,Q1693/M1693,""),"")</f>
        <v/>
      </c>
      <c r="Y1693" s="11">
        <f>IF(ISNUMBER(Z1693),YEAR(Z1693),"")</f>
        <v/>
      </c>
      <c r="Z1693" s="12" t="n"/>
      <c r="AA1693" s="12" t="n"/>
      <c r="AI1693" s="12" t="n"/>
      <c r="AJ1693" s="13">
        <f>IF(LEN(TRIM(AF1693))=0,"",HYPERLINK("https://www.google.com/maps/@?api=1&amp;map_action=pano&amp;viewpoint="&amp;SUBSTITUTE(AF1693," ",""),"Abrir Street View"))</f>
        <v/>
      </c>
    </row>
    <row r="1694">
      <c r="H1694" s="6" t="n"/>
      <c r="I1694" s="6" t="n"/>
      <c r="M1694" s="7" t="n"/>
      <c r="N1694" s="7" t="n"/>
      <c r="O1694" s="7" t="n"/>
      <c r="Q1694" s="7" t="n"/>
      <c r="R1694" s="7" t="n"/>
      <c r="S1694" s="8">
        <f>IF(NOT(ISNUMBER(M1694)),"",IF(G1694="Terreno",IF(AND(ISNUMBER(I1694),I1694&gt;0),M1694/I1694,""),IF(AND(ISNUMBER(H1694),H1694&gt;0),M1694/H1694,"")))</f>
        <v/>
      </c>
      <c r="T1694" s="9">
        <f>IF(AND(ISNUMBER(M1694),ISNUMBER(O1694)),IF(M1694&lt;=O1694,"Valor ≤ venal IPTU",""),"")</f>
        <v/>
      </c>
      <c r="U1694" s="10">
        <f>IF(AND(ISNUMBER(M1694),ISNUMBER(N1694)),IF(N1694&gt;0,M1694/N1694,""),"")</f>
        <v/>
      </c>
      <c r="V1694" s="10">
        <f>IF(AND(ISNUMBER(M1694),ISNUMBER(O1694)),IF(O1694&gt;0,M1694/O1694,""),"")</f>
        <v/>
      </c>
      <c r="W1694" s="10">
        <f>IF(AND(ISNUMBER(M1694),ISNUMBER(R1694)),IF(R1694&gt;0,M1694/R1694,""),"")</f>
        <v/>
      </c>
      <c r="X1694" s="10">
        <f>IF(AND(ISNUMBER(Q1694),ISNUMBER(M1694)),IF(M1694&gt;0,Q1694/M1694,""),"")</f>
        <v/>
      </c>
      <c r="Y1694" s="11">
        <f>IF(ISNUMBER(Z1694),YEAR(Z1694),"")</f>
        <v/>
      </c>
      <c r="Z1694" s="12" t="n"/>
      <c r="AA1694" s="12" t="n"/>
      <c r="AI1694" s="12" t="n"/>
      <c r="AJ1694" s="13">
        <f>IF(LEN(TRIM(AF1694))=0,"",HYPERLINK("https://www.google.com/maps/@?api=1&amp;map_action=pano&amp;viewpoint="&amp;SUBSTITUTE(AF1694," ",""),"Abrir Street View"))</f>
        <v/>
      </c>
    </row>
    <row r="1695">
      <c r="H1695" s="6" t="n"/>
      <c r="I1695" s="6" t="n"/>
      <c r="M1695" s="7" t="n"/>
      <c r="N1695" s="7" t="n"/>
      <c r="O1695" s="7" t="n"/>
      <c r="Q1695" s="7" t="n"/>
      <c r="R1695" s="7" t="n"/>
      <c r="S1695" s="8">
        <f>IF(NOT(ISNUMBER(M1695)),"",IF(G1695="Terreno",IF(AND(ISNUMBER(I1695),I1695&gt;0),M1695/I1695,""),IF(AND(ISNUMBER(H1695),H1695&gt;0),M1695/H1695,"")))</f>
        <v/>
      </c>
      <c r="T1695" s="9">
        <f>IF(AND(ISNUMBER(M1695),ISNUMBER(O1695)),IF(M1695&lt;=O1695,"Valor ≤ venal IPTU",""),"")</f>
        <v/>
      </c>
      <c r="U1695" s="10">
        <f>IF(AND(ISNUMBER(M1695),ISNUMBER(N1695)),IF(N1695&gt;0,M1695/N1695,""),"")</f>
        <v/>
      </c>
      <c r="V1695" s="10">
        <f>IF(AND(ISNUMBER(M1695),ISNUMBER(O1695)),IF(O1695&gt;0,M1695/O1695,""),"")</f>
        <v/>
      </c>
      <c r="W1695" s="10">
        <f>IF(AND(ISNUMBER(M1695),ISNUMBER(R1695)),IF(R1695&gt;0,M1695/R1695,""),"")</f>
        <v/>
      </c>
      <c r="X1695" s="10">
        <f>IF(AND(ISNUMBER(Q1695),ISNUMBER(M1695)),IF(M1695&gt;0,Q1695/M1695,""),"")</f>
        <v/>
      </c>
      <c r="Y1695" s="11">
        <f>IF(ISNUMBER(Z1695),YEAR(Z1695),"")</f>
        <v/>
      </c>
      <c r="Z1695" s="12" t="n"/>
      <c r="AA1695" s="12" t="n"/>
      <c r="AI1695" s="12" t="n"/>
      <c r="AJ1695" s="13">
        <f>IF(LEN(TRIM(AF1695))=0,"",HYPERLINK("https://www.google.com/maps/@?api=1&amp;map_action=pano&amp;viewpoint="&amp;SUBSTITUTE(AF1695," ",""),"Abrir Street View"))</f>
        <v/>
      </c>
    </row>
    <row r="1696">
      <c r="H1696" s="6" t="n"/>
      <c r="I1696" s="6" t="n"/>
      <c r="M1696" s="7" t="n"/>
      <c r="N1696" s="7" t="n"/>
      <c r="O1696" s="7" t="n"/>
      <c r="Q1696" s="7" t="n"/>
      <c r="R1696" s="7" t="n"/>
      <c r="S1696" s="8">
        <f>IF(NOT(ISNUMBER(M1696)),"",IF(G1696="Terreno",IF(AND(ISNUMBER(I1696),I1696&gt;0),M1696/I1696,""),IF(AND(ISNUMBER(H1696),H1696&gt;0),M1696/H1696,"")))</f>
        <v/>
      </c>
      <c r="T1696" s="9">
        <f>IF(AND(ISNUMBER(M1696),ISNUMBER(O1696)),IF(M1696&lt;=O1696,"Valor ≤ venal IPTU",""),"")</f>
        <v/>
      </c>
      <c r="U1696" s="10">
        <f>IF(AND(ISNUMBER(M1696),ISNUMBER(N1696)),IF(N1696&gt;0,M1696/N1696,""),"")</f>
        <v/>
      </c>
      <c r="V1696" s="10">
        <f>IF(AND(ISNUMBER(M1696),ISNUMBER(O1696)),IF(O1696&gt;0,M1696/O1696,""),"")</f>
        <v/>
      </c>
      <c r="W1696" s="10">
        <f>IF(AND(ISNUMBER(M1696),ISNUMBER(R1696)),IF(R1696&gt;0,M1696/R1696,""),"")</f>
        <v/>
      </c>
      <c r="X1696" s="10">
        <f>IF(AND(ISNUMBER(Q1696),ISNUMBER(M1696)),IF(M1696&gt;0,Q1696/M1696,""),"")</f>
        <v/>
      </c>
      <c r="Y1696" s="11">
        <f>IF(ISNUMBER(Z1696),YEAR(Z1696),"")</f>
        <v/>
      </c>
      <c r="Z1696" s="12" t="n"/>
      <c r="AA1696" s="12" t="n"/>
      <c r="AI1696" s="12" t="n"/>
      <c r="AJ1696" s="13">
        <f>IF(LEN(TRIM(AF1696))=0,"",HYPERLINK("https://www.google.com/maps/@?api=1&amp;map_action=pano&amp;viewpoint="&amp;SUBSTITUTE(AF1696," ",""),"Abrir Street View"))</f>
        <v/>
      </c>
    </row>
    <row r="1697">
      <c r="H1697" s="6" t="n"/>
      <c r="I1697" s="6" t="n"/>
      <c r="M1697" s="7" t="n"/>
      <c r="N1697" s="7" t="n"/>
      <c r="O1697" s="7" t="n"/>
      <c r="Q1697" s="7" t="n"/>
      <c r="R1697" s="7" t="n"/>
      <c r="S1697" s="8">
        <f>IF(NOT(ISNUMBER(M1697)),"",IF(G1697="Terreno",IF(AND(ISNUMBER(I1697),I1697&gt;0),M1697/I1697,""),IF(AND(ISNUMBER(H1697),H1697&gt;0),M1697/H1697,"")))</f>
        <v/>
      </c>
      <c r="T1697" s="9">
        <f>IF(AND(ISNUMBER(M1697),ISNUMBER(O1697)),IF(M1697&lt;=O1697,"Valor ≤ venal IPTU",""),"")</f>
        <v/>
      </c>
      <c r="U1697" s="10">
        <f>IF(AND(ISNUMBER(M1697),ISNUMBER(N1697)),IF(N1697&gt;0,M1697/N1697,""),"")</f>
        <v/>
      </c>
      <c r="V1697" s="10">
        <f>IF(AND(ISNUMBER(M1697),ISNUMBER(O1697)),IF(O1697&gt;0,M1697/O1697,""),"")</f>
        <v/>
      </c>
      <c r="W1697" s="10">
        <f>IF(AND(ISNUMBER(M1697),ISNUMBER(R1697)),IF(R1697&gt;0,M1697/R1697,""),"")</f>
        <v/>
      </c>
      <c r="X1697" s="10">
        <f>IF(AND(ISNUMBER(Q1697),ISNUMBER(M1697)),IF(M1697&gt;0,Q1697/M1697,""),"")</f>
        <v/>
      </c>
      <c r="Y1697" s="11">
        <f>IF(ISNUMBER(Z1697),YEAR(Z1697),"")</f>
        <v/>
      </c>
      <c r="Z1697" s="12" t="n"/>
      <c r="AA1697" s="12" t="n"/>
      <c r="AI1697" s="12" t="n"/>
      <c r="AJ1697" s="13">
        <f>IF(LEN(TRIM(AF1697))=0,"",HYPERLINK("https://www.google.com/maps/@?api=1&amp;map_action=pano&amp;viewpoint="&amp;SUBSTITUTE(AF1697," ",""),"Abrir Street View"))</f>
        <v/>
      </c>
    </row>
    <row r="1698">
      <c r="H1698" s="6" t="n"/>
      <c r="I1698" s="6" t="n"/>
      <c r="M1698" s="7" t="n"/>
      <c r="N1698" s="7" t="n"/>
      <c r="O1698" s="7" t="n"/>
      <c r="Q1698" s="7" t="n"/>
      <c r="R1698" s="7" t="n"/>
      <c r="S1698" s="8">
        <f>IF(NOT(ISNUMBER(M1698)),"",IF(G1698="Terreno",IF(AND(ISNUMBER(I1698),I1698&gt;0),M1698/I1698,""),IF(AND(ISNUMBER(H1698),H1698&gt;0),M1698/H1698,"")))</f>
        <v/>
      </c>
      <c r="T1698" s="9">
        <f>IF(AND(ISNUMBER(M1698),ISNUMBER(O1698)),IF(M1698&lt;=O1698,"Valor ≤ venal IPTU",""),"")</f>
        <v/>
      </c>
      <c r="U1698" s="10">
        <f>IF(AND(ISNUMBER(M1698),ISNUMBER(N1698)),IF(N1698&gt;0,M1698/N1698,""),"")</f>
        <v/>
      </c>
      <c r="V1698" s="10">
        <f>IF(AND(ISNUMBER(M1698),ISNUMBER(O1698)),IF(O1698&gt;0,M1698/O1698,""),"")</f>
        <v/>
      </c>
      <c r="W1698" s="10">
        <f>IF(AND(ISNUMBER(M1698),ISNUMBER(R1698)),IF(R1698&gt;0,M1698/R1698,""),"")</f>
        <v/>
      </c>
      <c r="X1698" s="10">
        <f>IF(AND(ISNUMBER(Q1698),ISNUMBER(M1698)),IF(M1698&gt;0,Q1698/M1698,""),"")</f>
        <v/>
      </c>
      <c r="Y1698" s="11">
        <f>IF(ISNUMBER(Z1698),YEAR(Z1698),"")</f>
        <v/>
      </c>
      <c r="Z1698" s="12" t="n"/>
      <c r="AA1698" s="12" t="n"/>
      <c r="AI1698" s="12" t="n"/>
      <c r="AJ1698" s="13">
        <f>IF(LEN(TRIM(AF1698))=0,"",HYPERLINK("https://www.google.com/maps/@?api=1&amp;map_action=pano&amp;viewpoint="&amp;SUBSTITUTE(AF1698," ",""),"Abrir Street View"))</f>
        <v/>
      </c>
    </row>
    <row r="1699">
      <c r="H1699" s="6" t="n"/>
      <c r="I1699" s="6" t="n"/>
      <c r="M1699" s="7" t="n"/>
      <c r="N1699" s="7" t="n"/>
      <c r="O1699" s="7" t="n"/>
      <c r="Q1699" s="7" t="n"/>
      <c r="R1699" s="7" t="n"/>
      <c r="S1699" s="8">
        <f>IF(NOT(ISNUMBER(M1699)),"",IF(G1699="Terreno",IF(AND(ISNUMBER(I1699),I1699&gt;0),M1699/I1699,""),IF(AND(ISNUMBER(H1699),H1699&gt;0),M1699/H1699,"")))</f>
        <v/>
      </c>
      <c r="T1699" s="9">
        <f>IF(AND(ISNUMBER(M1699),ISNUMBER(O1699)),IF(M1699&lt;=O1699,"Valor ≤ venal IPTU",""),"")</f>
        <v/>
      </c>
      <c r="U1699" s="10">
        <f>IF(AND(ISNUMBER(M1699),ISNUMBER(N1699)),IF(N1699&gt;0,M1699/N1699,""),"")</f>
        <v/>
      </c>
      <c r="V1699" s="10">
        <f>IF(AND(ISNUMBER(M1699),ISNUMBER(O1699)),IF(O1699&gt;0,M1699/O1699,""),"")</f>
        <v/>
      </c>
      <c r="W1699" s="10">
        <f>IF(AND(ISNUMBER(M1699),ISNUMBER(R1699)),IF(R1699&gt;0,M1699/R1699,""),"")</f>
        <v/>
      </c>
      <c r="X1699" s="10">
        <f>IF(AND(ISNUMBER(Q1699),ISNUMBER(M1699)),IF(M1699&gt;0,Q1699/M1699,""),"")</f>
        <v/>
      </c>
      <c r="Y1699" s="11">
        <f>IF(ISNUMBER(Z1699),YEAR(Z1699),"")</f>
        <v/>
      </c>
      <c r="Z1699" s="12" t="n"/>
      <c r="AA1699" s="12" t="n"/>
      <c r="AI1699" s="12" t="n"/>
      <c r="AJ1699" s="13">
        <f>IF(LEN(TRIM(AF1699))=0,"",HYPERLINK("https://www.google.com/maps/@?api=1&amp;map_action=pano&amp;viewpoint="&amp;SUBSTITUTE(AF1699," ",""),"Abrir Street View"))</f>
        <v/>
      </c>
    </row>
    <row r="1700">
      <c r="H1700" s="6" t="n"/>
      <c r="I1700" s="6" t="n"/>
      <c r="M1700" s="7" t="n"/>
      <c r="N1700" s="7" t="n"/>
      <c r="O1700" s="7" t="n"/>
      <c r="Q1700" s="7" t="n"/>
      <c r="R1700" s="7" t="n"/>
      <c r="S1700" s="8">
        <f>IF(NOT(ISNUMBER(M1700)),"",IF(G1700="Terreno",IF(AND(ISNUMBER(I1700),I1700&gt;0),M1700/I1700,""),IF(AND(ISNUMBER(H1700),H1700&gt;0),M1700/H1700,"")))</f>
        <v/>
      </c>
      <c r="T1700" s="9">
        <f>IF(AND(ISNUMBER(M1700),ISNUMBER(O1700)),IF(M1700&lt;=O1700,"Valor ≤ venal IPTU",""),"")</f>
        <v/>
      </c>
      <c r="U1700" s="10">
        <f>IF(AND(ISNUMBER(M1700),ISNUMBER(N1700)),IF(N1700&gt;0,M1700/N1700,""),"")</f>
        <v/>
      </c>
      <c r="V1700" s="10">
        <f>IF(AND(ISNUMBER(M1700),ISNUMBER(O1700)),IF(O1700&gt;0,M1700/O1700,""),"")</f>
        <v/>
      </c>
      <c r="W1700" s="10">
        <f>IF(AND(ISNUMBER(M1700),ISNUMBER(R1700)),IF(R1700&gt;0,M1700/R1700,""),"")</f>
        <v/>
      </c>
      <c r="X1700" s="10">
        <f>IF(AND(ISNUMBER(Q1700),ISNUMBER(M1700)),IF(M1700&gt;0,Q1700/M1700,""),"")</f>
        <v/>
      </c>
      <c r="Y1700" s="11">
        <f>IF(ISNUMBER(Z1700),YEAR(Z1700),"")</f>
        <v/>
      </c>
      <c r="Z1700" s="12" t="n"/>
      <c r="AA1700" s="12" t="n"/>
      <c r="AI1700" s="12" t="n"/>
      <c r="AJ1700" s="13">
        <f>IF(LEN(TRIM(AF1700))=0,"",HYPERLINK("https://www.google.com/maps/@?api=1&amp;map_action=pano&amp;viewpoint="&amp;SUBSTITUTE(AF1700," ",""),"Abrir Street View"))</f>
        <v/>
      </c>
    </row>
    <row r="1701">
      <c r="H1701" s="6" t="n"/>
      <c r="I1701" s="6" t="n"/>
      <c r="M1701" s="7" t="n"/>
      <c r="N1701" s="7" t="n"/>
      <c r="O1701" s="7" t="n"/>
      <c r="Q1701" s="7" t="n"/>
      <c r="R1701" s="7" t="n"/>
      <c r="S1701" s="8">
        <f>IF(NOT(ISNUMBER(M1701)),"",IF(G1701="Terreno",IF(AND(ISNUMBER(I1701),I1701&gt;0),M1701/I1701,""),IF(AND(ISNUMBER(H1701),H1701&gt;0),M1701/H1701,"")))</f>
        <v/>
      </c>
      <c r="T1701" s="9">
        <f>IF(AND(ISNUMBER(M1701),ISNUMBER(O1701)),IF(M1701&lt;=O1701,"Valor ≤ venal IPTU",""),"")</f>
        <v/>
      </c>
      <c r="U1701" s="10">
        <f>IF(AND(ISNUMBER(M1701),ISNUMBER(N1701)),IF(N1701&gt;0,M1701/N1701,""),"")</f>
        <v/>
      </c>
      <c r="V1701" s="10">
        <f>IF(AND(ISNUMBER(M1701),ISNUMBER(O1701)),IF(O1701&gt;0,M1701/O1701,""),"")</f>
        <v/>
      </c>
      <c r="W1701" s="10">
        <f>IF(AND(ISNUMBER(M1701),ISNUMBER(R1701)),IF(R1701&gt;0,M1701/R1701,""),"")</f>
        <v/>
      </c>
      <c r="X1701" s="10">
        <f>IF(AND(ISNUMBER(Q1701),ISNUMBER(M1701)),IF(M1701&gt;0,Q1701/M1701,""),"")</f>
        <v/>
      </c>
      <c r="Y1701" s="11">
        <f>IF(ISNUMBER(Z1701),YEAR(Z1701),"")</f>
        <v/>
      </c>
      <c r="Z1701" s="12" t="n"/>
      <c r="AA1701" s="12" t="n"/>
      <c r="AI1701" s="12" t="n"/>
      <c r="AJ1701" s="13">
        <f>IF(LEN(TRIM(AF1701))=0,"",HYPERLINK("https://www.google.com/maps/@?api=1&amp;map_action=pano&amp;viewpoint="&amp;SUBSTITUTE(AF1701," ",""),"Abrir Street View"))</f>
        <v/>
      </c>
    </row>
    <row r="1702">
      <c r="H1702" s="6" t="n"/>
      <c r="I1702" s="6" t="n"/>
      <c r="M1702" s="7" t="n"/>
      <c r="N1702" s="7" t="n"/>
      <c r="O1702" s="7" t="n"/>
      <c r="Q1702" s="7" t="n"/>
      <c r="R1702" s="7" t="n"/>
      <c r="S1702" s="8">
        <f>IF(NOT(ISNUMBER(M1702)),"",IF(G1702="Terreno",IF(AND(ISNUMBER(I1702),I1702&gt;0),M1702/I1702,""),IF(AND(ISNUMBER(H1702),H1702&gt;0),M1702/H1702,"")))</f>
        <v/>
      </c>
      <c r="T1702" s="9">
        <f>IF(AND(ISNUMBER(M1702),ISNUMBER(O1702)),IF(M1702&lt;=O1702,"Valor ≤ venal IPTU",""),"")</f>
        <v/>
      </c>
      <c r="U1702" s="10">
        <f>IF(AND(ISNUMBER(M1702),ISNUMBER(N1702)),IF(N1702&gt;0,M1702/N1702,""),"")</f>
        <v/>
      </c>
      <c r="V1702" s="10">
        <f>IF(AND(ISNUMBER(M1702),ISNUMBER(O1702)),IF(O1702&gt;0,M1702/O1702,""),"")</f>
        <v/>
      </c>
      <c r="W1702" s="10">
        <f>IF(AND(ISNUMBER(M1702),ISNUMBER(R1702)),IF(R1702&gt;0,M1702/R1702,""),"")</f>
        <v/>
      </c>
      <c r="X1702" s="10">
        <f>IF(AND(ISNUMBER(Q1702),ISNUMBER(M1702)),IF(M1702&gt;0,Q1702/M1702,""),"")</f>
        <v/>
      </c>
      <c r="Y1702" s="11">
        <f>IF(ISNUMBER(Z1702),YEAR(Z1702),"")</f>
        <v/>
      </c>
      <c r="Z1702" s="12" t="n"/>
      <c r="AA1702" s="12" t="n"/>
      <c r="AI1702" s="12" t="n"/>
      <c r="AJ1702" s="13">
        <f>IF(LEN(TRIM(AF1702))=0,"",HYPERLINK("https://www.google.com/maps/@?api=1&amp;map_action=pano&amp;viewpoint="&amp;SUBSTITUTE(AF1702," ",""),"Abrir Street View"))</f>
        <v/>
      </c>
    </row>
    <row r="1703">
      <c r="H1703" s="6" t="n"/>
      <c r="I1703" s="6" t="n"/>
      <c r="M1703" s="7" t="n"/>
      <c r="N1703" s="7" t="n"/>
      <c r="O1703" s="7" t="n"/>
      <c r="Q1703" s="7" t="n"/>
      <c r="R1703" s="7" t="n"/>
      <c r="S1703" s="8">
        <f>IF(NOT(ISNUMBER(M1703)),"",IF(G1703="Terreno",IF(AND(ISNUMBER(I1703),I1703&gt;0),M1703/I1703,""),IF(AND(ISNUMBER(H1703),H1703&gt;0),M1703/H1703,"")))</f>
        <v/>
      </c>
      <c r="T1703" s="9">
        <f>IF(AND(ISNUMBER(M1703),ISNUMBER(O1703)),IF(M1703&lt;=O1703,"Valor ≤ venal IPTU",""),"")</f>
        <v/>
      </c>
      <c r="U1703" s="10">
        <f>IF(AND(ISNUMBER(M1703),ISNUMBER(N1703)),IF(N1703&gt;0,M1703/N1703,""),"")</f>
        <v/>
      </c>
      <c r="V1703" s="10">
        <f>IF(AND(ISNUMBER(M1703),ISNUMBER(O1703)),IF(O1703&gt;0,M1703/O1703,""),"")</f>
        <v/>
      </c>
      <c r="W1703" s="10">
        <f>IF(AND(ISNUMBER(M1703),ISNUMBER(R1703)),IF(R1703&gt;0,M1703/R1703,""),"")</f>
        <v/>
      </c>
      <c r="X1703" s="10">
        <f>IF(AND(ISNUMBER(Q1703),ISNUMBER(M1703)),IF(M1703&gt;0,Q1703/M1703,""),"")</f>
        <v/>
      </c>
      <c r="Y1703" s="11">
        <f>IF(ISNUMBER(Z1703),YEAR(Z1703),"")</f>
        <v/>
      </c>
      <c r="Z1703" s="12" t="n"/>
      <c r="AA1703" s="12" t="n"/>
      <c r="AI1703" s="12" t="n"/>
      <c r="AJ1703" s="13">
        <f>IF(LEN(TRIM(AF1703))=0,"",HYPERLINK("https://www.google.com/maps/@?api=1&amp;map_action=pano&amp;viewpoint="&amp;SUBSTITUTE(AF1703," ",""),"Abrir Street View"))</f>
        <v/>
      </c>
    </row>
    <row r="1704">
      <c r="H1704" s="6" t="n"/>
      <c r="I1704" s="6" t="n"/>
      <c r="M1704" s="7" t="n"/>
      <c r="N1704" s="7" t="n"/>
      <c r="O1704" s="7" t="n"/>
      <c r="Q1704" s="7" t="n"/>
      <c r="R1704" s="7" t="n"/>
      <c r="S1704" s="8">
        <f>IF(NOT(ISNUMBER(M1704)),"",IF(G1704="Terreno",IF(AND(ISNUMBER(I1704),I1704&gt;0),M1704/I1704,""),IF(AND(ISNUMBER(H1704),H1704&gt;0),M1704/H1704,"")))</f>
        <v/>
      </c>
      <c r="T1704" s="9">
        <f>IF(AND(ISNUMBER(M1704),ISNUMBER(O1704)),IF(M1704&lt;=O1704,"Valor ≤ venal IPTU",""),"")</f>
        <v/>
      </c>
      <c r="U1704" s="10">
        <f>IF(AND(ISNUMBER(M1704),ISNUMBER(N1704)),IF(N1704&gt;0,M1704/N1704,""),"")</f>
        <v/>
      </c>
      <c r="V1704" s="10">
        <f>IF(AND(ISNUMBER(M1704),ISNUMBER(O1704)),IF(O1704&gt;0,M1704/O1704,""),"")</f>
        <v/>
      </c>
      <c r="W1704" s="10">
        <f>IF(AND(ISNUMBER(M1704),ISNUMBER(R1704)),IF(R1704&gt;0,M1704/R1704,""),"")</f>
        <v/>
      </c>
      <c r="X1704" s="10">
        <f>IF(AND(ISNUMBER(Q1704),ISNUMBER(M1704)),IF(M1704&gt;0,Q1704/M1704,""),"")</f>
        <v/>
      </c>
      <c r="Y1704" s="11">
        <f>IF(ISNUMBER(Z1704),YEAR(Z1704),"")</f>
        <v/>
      </c>
      <c r="Z1704" s="12" t="n"/>
      <c r="AA1704" s="12" t="n"/>
      <c r="AI1704" s="12" t="n"/>
      <c r="AJ1704" s="13">
        <f>IF(LEN(TRIM(AF1704))=0,"",HYPERLINK("https://www.google.com/maps/@?api=1&amp;map_action=pano&amp;viewpoint="&amp;SUBSTITUTE(AF1704," ",""),"Abrir Street View"))</f>
        <v/>
      </c>
    </row>
    <row r="1705">
      <c r="H1705" s="6" t="n"/>
      <c r="I1705" s="6" t="n"/>
      <c r="M1705" s="7" t="n"/>
      <c r="N1705" s="7" t="n"/>
      <c r="O1705" s="7" t="n"/>
      <c r="Q1705" s="7" t="n"/>
      <c r="R1705" s="7" t="n"/>
      <c r="S1705" s="8">
        <f>IF(NOT(ISNUMBER(M1705)),"",IF(G1705="Terreno",IF(AND(ISNUMBER(I1705),I1705&gt;0),M1705/I1705,""),IF(AND(ISNUMBER(H1705),H1705&gt;0),M1705/H1705,"")))</f>
        <v/>
      </c>
      <c r="T1705" s="9">
        <f>IF(AND(ISNUMBER(M1705),ISNUMBER(O1705)),IF(M1705&lt;=O1705,"Valor ≤ venal IPTU",""),"")</f>
        <v/>
      </c>
      <c r="U1705" s="10">
        <f>IF(AND(ISNUMBER(M1705),ISNUMBER(N1705)),IF(N1705&gt;0,M1705/N1705,""),"")</f>
        <v/>
      </c>
      <c r="V1705" s="10">
        <f>IF(AND(ISNUMBER(M1705),ISNUMBER(O1705)),IF(O1705&gt;0,M1705/O1705,""),"")</f>
        <v/>
      </c>
      <c r="W1705" s="10">
        <f>IF(AND(ISNUMBER(M1705),ISNUMBER(R1705)),IF(R1705&gt;0,M1705/R1705,""),"")</f>
        <v/>
      </c>
      <c r="X1705" s="10">
        <f>IF(AND(ISNUMBER(Q1705),ISNUMBER(M1705)),IF(M1705&gt;0,Q1705/M1705,""),"")</f>
        <v/>
      </c>
      <c r="Y1705" s="11">
        <f>IF(ISNUMBER(Z1705),YEAR(Z1705),"")</f>
        <v/>
      </c>
      <c r="Z1705" s="12" t="n"/>
      <c r="AA1705" s="12" t="n"/>
      <c r="AI1705" s="12" t="n"/>
      <c r="AJ1705" s="13">
        <f>IF(LEN(TRIM(AF1705))=0,"",HYPERLINK("https://www.google.com/maps/@?api=1&amp;map_action=pano&amp;viewpoint="&amp;SUBSTITUTE(AF1705," ",""),"Abrir Street View"))</f>
        <v/>
      </c>
    </row>
    <row r="1706">
      <c r="H1706" s="6" t="n"/>
      <c r="I1706" s="6" t="n"/>
      <c r="M1706" s="7" t="n"/>
      <c r="N1706" s="7" t="n"/>
      <c r="O1706" s="7" t="n"/>
      <c r="Q1706" s="7" t="n"/>
      <c r="R1706" s="7" t="n"/>
      <c r="S1706" s="8">
        <f>IF(NOT(ISNUMBER(M1706)),"",IF(G1706="Terreno",IF(AND(ISNUMBER(I1706),I1706&gt;0),M1706/I1706,""),IF(AND(ISNUMBER(H1706),H1706&gt;0),M1706/H1706,"")))</f>
        <v/>
      </c>
      <c r="T1706" s="9">
        <f>IF(AND(ISNUMBER(M1706),ISNUMBER(O1706)),IF(M1706&lt;=O1706,"Valor ≤ venal IPTU",""),"")</f>
        <v/>
      </c>
      <c r="U1706" s="10">
        <f>IF(AND(ISNUMBER(M1706),ISNUMBER(N1706)),IF(N1706&gt;0,M1706/N1706,""),"")</f>
        <v/>
      </c>
      <c r="V1706" s="10">
        <f>IF(AND(ISNUMBER(M1706),ISNUMBER(O1706)),IF(O1706&gt;0,M1706/O1706,""),"")</f>
        <v/>
      </c>
      <c r="W1706" s="10">
        <f>IF(AND(ISNUMBER(M1706),ISNUMBER(R1706)),IF(R1706&gt;0,M1706/R1706,""),"")</f>
        <v/>
      </c>
      <c r="X1706" s="10">
        <f>IF(AND(ISNUMBER(Q1706),ISNUMBER(M1706)),IF(M1706&gt;0,Q1706/M1706,""),"")</f>
        <v/>
      </c>
      <c r="Y1706" s="11">
        <f>IF(ISNUMBER(Z1706),YEAR(Z1706),"")</f>
        <v/>
      </c>
      <c r="Z1706" s="12" t="n"/>
      <c r="AA1706" s="12" t="n"/>
      <c r="AI1706" s="12" t="n"/>
      <c r="AJ1706" s="13">
        <f>IF(LEN(TRIM(AF1706))=0,"",HYPERLINK("https://www.google.com/maps/@?api=1&amp;map_action=pano&amp;viewpoint="&amp;SUBSTITUTE(AF1706," ",""),"Abrir Street View"))</f>
        <v/>
      </c>
    </row>
    <row r="1707">
      <c r="H1707" s="6" t="n"/>
      <c r="I1707" s="6" t="n"/>
      <c r="M1707" s="7" t="n"/>
      <c r="N1707" s="7" t="n"/>
      <c r="O1707" s="7" t="n"/>
      <c r="Q1707" s="7" t="n"/>
      <c r="R1707" s="7" t="n"/>
      <c r="S1707" s="8">
        <f>IF(NOT(ISNUMBER(M1707)),"",IF(G1707="Terreno",IF(AND(ISNUMBER(I1707),I1707&gt;0),M1707/I1707,""),IF(AND(ISNUMBER(H1707),H1707&gt;0),M1707/H1707,"")))</f>
        <v/>
      </c>
      <c r="T1707" s="9">
        <f>IF(AND(ISNUMBER(M1707),ISNUMBER(O1707)),IF(M1707&lt;=O1707,"Valor ≤ venal IPTU",""),"")</f>
        <v/>
      </c>
      <c r="U1707" s="10">
        <f>IF(AND(ISNUMBER(M1707),ISNUMBER(N1707)),IF(N1707&gt;0,M1707/N1707,""),"")</f>
        <v/>
      </c>
      <c r="V1707" s="10">
        <f>IF(AND(ISNUMBER(M1707),ISNUMBER(O1707)),IF(O1707&gt;0,M1707/O1707,""),"")</f>
        <v/>
      </c>
      <c r="W1707" s="10">
        <f>IF(AND(ISNUMBER(M1707),ISNUMBER(R1707)),IF(R1707&gt;0,M1707/R1707,""),"")</f>
        <v/>
      </c>
      <c r="X1707" s="10">
        <f>IF(AND(ISNUMBER(Q1707),ISNUMBER(M1707)),IF(M1707&gt;0,Q1707/M1707,""),"")</f>
        <v/>
      </c>
      <c r="Y1707" s="11">
        <f>IF(ISNUMBER(Z1707),YEAR(Z1707),"")</f>
        <v/>
      </c>
      <c r="Z1707" s="12" t="n"/>
      <c r="AA1707" s="12" t="n"/>
      <c r="AI1707" s="12" t="n"/>
      <c r="AJ1707" s="13">
        <f>IF(LEN(TRIM(AF1707))=0,"",HYPERLINK("https://www.google.com/maps/@?api=1&amp;map_action=pano&amp;viewpoint="&amp;SUBSTITUTE(AF1707," ",""),"Abrir Street View"))</f>
        <v/>
      </c>
    </row>
    <row r="1708">
      <c r="H1708" s="6" t="n"/>
      <c r="I1708" s="6" t="n"/>
      <c r="M1708" s="7" t="n"/>
      <c r="N1708" s="7" t="n"/>
      <c r="O1708" s="7" t="n"/>
      <c r="Q1708" s="7" t="n"/>
      <c r="R1708" s="7" t="n"/>
      <c r="S1708" s="8">
        <f>IF(NOT(ISNUMBER(M1708)),"",IF(G1708="Terreno",IF(AND(ISNUMBER(I1708),I1708&gt;0),M1708/I1708,""),IF(AND(ISNUMBER(H1708),H1708&gt;0),M1708/H1708,"")))</f>
        <v/>
      </c>
      <c r="T1708" s="9">
        <f>IF(AND(ISNUMBER(M1708),ISNUMBER(O1708)),IF(M1708&lt;=O1708,"Valor ≤ venal IPTU",""),"")</f>
        <v/>
      </c>
      <c r="U1708" s="10">
        <f>IF(AND(ISNUMBER(M1708),ISNUMBER(N1708)),IF(N1708&gt;0,M1708/N1708,""),"")</f>
        <v/>
      </c>
      <c r="V1708" s="10">
        <f>IF(AND(ISNUMBER(M1708),ISNUMBER(O1708)),IF(O1708&gt;0,M1708/O1708,""),"")</f>
        <v/>
      </c>
      <c r="W1708" s="10">
        <f>IF(AND(ISNUMBER(M1708),ISNUMBER(R1708)),IF(R1708&gt;0,M1708/R1708,""),"")</f>
        <v/>
      </c>
      <c r="X1708" s="10">
        <f>IF(AND(ISNUMBER(Q1708),ISNUMBER(M1708)),IF(M1708&gt;0,Q1708/M1708,""),"")</f>
        <v/>
      </c>
      <c r="Y1708" s="11">
        <f>IF(ISNUMBER(Z1708),YEAR(Z1708),"")</f>
        <v/>
      </c>
      <c r="Z1708" s="12" t="n"/>
      <c r="AA1708" s="12" t="n"/>
      <c r="AI1708" s="12" t="n"/>
      <c r="AJ1708" s="13">
        <f>IF(LEN(TRIM(AF1708))=0,"",HYPERLINK("https://www.google.com/maps/@?api=1&amp;map_action=pano&amp;viewpoint="&amp;SUBSTITUTE(AF1708," ",""),"Abrir Street View"))</f>
        <v/>
      </c>
    </row>
    <row r="1709">
      <c r="H1709" s="6" t="n"/>
      <c r="I1709" s="6" t="n"/>
      <c r="M1709" s="7" t="n"/>
      <c r="N1709" s="7" t="n"/>
      <c r="O1709" s="7" t="n"/>
      <c r="Q1709" s="7" t="n"/>
      <c r="R1709" s="7" t="n"/>
      <c r="S1709" s="8">
        <f>IF(NOT(ISNUMBER(M1709)),"",IF(G1709="Terreno",IF(AND(ISNUMBER(I1709),I1709&gt;0),M1709/I1709,""),IF(AND(ISNUMBER(H1709),H1709&gt;0),M1709/H1709,"")))</f>
        <v/>
      </c>
      <c r="T1709" s="9">
        <f>IF(AND(ISNUMBER(M1709),ISNUMBER(O1709)),IF(M1709&lt;=O1709,"Valor ≤ venal IPTU",""),"")</f>
        <v/>
      </c>
      <c r="U1709" s="10">
        <f>IF(AND(ISNUMBER(M1709),ISNUMBER(N1709)),IF(N1709&gt;0,M1709/N1709,""),"")</f>
        <v/>
      </c>
      <c r="V1709" s="10">
        <f>IF(AND(ISNUMBER(M1709),ISNUMBER(O1709)),IF(O1709&gt;0,M1709/O1709,""),"")</f>
        <v/>
      </c>
      <c r="W1709" s="10">
        <f>IF(AND(ISNUMBER(M1709),ISNUMBER(R1709)),IF(R1709&gt;0,M1709/R1709,""),"")</f>
        <v/>
      </c>
      <c r="X1709" s="10">
        <f>IF(AND(ISNUMBER(Q1709),ISNUMBER(M1709)),IF(M1709&gt;0,Q1709/M1709,""),"")</f>
        <v/>
      </c>
      <c r="Y1709" s="11">
        <f>IF(ISNUMBER(Z1709),YEAR(Z1709),"")</f>
        <v/>
      </c>
      <c r="Z1709" s="12" t="n"/>
      <c r="AA1709" s="12" t="n"/>
      <c r="AI1709" s="12" t="n"/>
      <c r="AJ1709" s="13">
        <f>IF(LEN(TRIM(AF1709))=0,"",HYPERLINK("https://www.google.com/maps/@?api=1&amp;map_action=pano&amp;viewpoint="&amp;SUBSTITUTE(AF1709," ",""),"Abrir Street View"))</f>
        <v/>
      </c>
    </row>
    <row r="1710">
      <c r="H1710" s="6" t="n"/>
      <c r="I1710" s="6" t="n"/>
      <c r="M1710" s="7" t="n"/>
      <c r="N1710" s="7" t="n"/>
      <c r="O1710" s="7" t="n"/>
      <c r="Q1710" s="7" t="n"/>
      <c r="R1710" s="7" t="n"/>
      <c r="S1710" s="8">
        <f>IF(NOT(ISNUMBER(M1710)),"",IF(G1710="Terreno",IF(AND(ISNUMBER(I1710),I1710&gt;0),M1710/I1710,""),IF(AND(ISNUMBER(H1710),H1710&gt;0),M1710/H1710,"")))</f>
        <v/>
      </c>
      <c r="T1710" s="9">
        <f>IF(AND(ISNUMBER(M1710),ISNUMBER(O1710)),IF(M1710&lt;=O1710,"Valor ≤ venal IPTU",""),"")</f>
        <v/>
      </c>
      <c r="U1710" s="10">
        <f>IF(AND(ISNUMBER(M1710),ISNUMBER(N1710)),IF(N1710&gt;0,M1710/N1710,""),"")</f>
        <v/>
      </c>
      <c r="V1710" s="10">
        <f>IF(AND(ISNUMBER(M1710),ISNUMBER(O1710)),IF(O1710&gt;0,M1710/O1710,""),"")</f>
        <v/>
      </c>
      <c r="W1710" s="10">
        <f>IF(AND(ISNUMBER(M1710),ISNUMBER(R1710)),IF(R1710&gt;0,M1710/R1710,""),"")</f>
        <v/>
      </c>
      <c r="X1710" s="10">
        <f>IF(AND(ISNUMBER(Q1710),ISNUMBER(M1710)),IF(M1710&gt;0,Q1710/M1710,""),"")</f>
        <v/>
      </c>
      <c r="Y1710" s="11">
        <f>IF(ISNUMBER(Z1710),YEAR(Z1710),"")</f>
        <v/>
      </c>
      <c r="Z1710" s="12" t="n"/>
      <c r="AA1710" s="12" t="n"/>
      <c r="AI1710" s="12" t="n"/>
      <c r="AJ1710" s="13">
        <f>IF(LEN(TRIM(AF1710))=0,"",HYPERLINK("https://www.google.com/maps/@?api=1&amp;map_action=pano&amp;viewpoint="&amp;SUBSTITUTE(AF1710," ",""),"Abrir Street View"))</f>
        <v/>
      </c>
    </row>
    <row r="1711">
      <c r="H1711" s="6" t="n"/>
      <c r="I1711" s="6" t="n"/>
      <c r="M1711" s="7" t="n"/>
      <c r="N1711" s="7" t="n"/>
      <c r="O1711" s="7" t="n"/>
      <c r="Q1711" s="7" t="n"/>
      <c r="R1711" s="7" t="n"/>
      <c r="S1711" s="8">
        <f>IF(NOT(ISNUMBER(M1711)),"",IF(G1711="Terreno",IF(AND(ISNUMBER(I1711),I1711&gt;0),M1711/I1711,""),IF(AND(ISNUMBER(H1711),H1711&gt;0),M1711/H1711,"")))</f>
        <v/>
      </c>
      <c r="T1711" s="9">
        <f>IF(AND(ISNUMBER(M1711),ISNUMBER(O1711)),IF(M1711&lt;=O1711,"Valor ≤ venal IPTU",""),"")</f>
        <v/>
      </c>
      <c r="U1711" s="10">
        <f>IF(AND(ISNUMBER(M1711),ISNUMBER(N1711)),IF(N1711&gt;0,M1711/N1711,""),"")</f>
        <v/>
      </c>
      <c r="V1711" s="10">
        <f>IF(AND(ISNUMBER(M1711),ISNUMBER(O1711)),IF(O1711&gt;0,M1711/O1711,""),"")</f>
        <v/>
      </c>
      <c r="W1711" s="10">
        <f>IF(AND(ISNUMBER(M1711),ISNUMBER(R1711)),IF(R1711&gt;0,M1711/R1711,""),"")</f>
        <v/>
      </c>
      <c r="X1711" s="10">
        <f>IF(AND(ISNUMBER(Q1711),ISNUMBER(M1711)),IF(M1711&gt;0,Q1711/M1711,""),"")</f>
        <v/>
      </c>
      <c r="Y1711" s="11">
        <f>IF(ISNUMBER(Z1711),YEAR(Z1711),"")</f>
        <v/>
      </c>
      <c r="Z1711" s="12" t="n"/>
      <c r="AA1711" s="12" t="n"/>
      <c r="AI1711" s="12" t="n"/>
      <c r="AJ1711" s="13">
        <f>IF(LEN(TRIM(AF1711))=0,"",HYPERLINK("https://www.google.com/maps/@?api=1&amp;map_action=pano&amp;viewpoint="&amp;SUBSTITUTE(AF1711," ",""),"Abrir Street View"))</f>
        <v/>
      </c>
    </row>
    <row r="1712">
      <c r="H1712" s="6" t="n"/>
      <c r="I1712" s="6" t="n"/>
      <c r="M1712" s="7" t="n"/>
      <c r="N1712" s="7" t="n"/>
      <c r="O1712" s="7" t="n"/>
      <c r="Q1712" s="7" t="n"/>
      <c r="R1712" s="7" t="n"/>
      <c r="S1712" s="8">
        <f>IF(NOT(ISNUMBER(M1712)),"",IF(G1712="Terreno",IF(AND(ISNUMBER(I1712),I1712&gt;0),M1712/I1712,""),IF(AND(ISNUMBER(H1712),H1712&gt;0),M1712/H1712,"")))</f>
        <v/>
      </c>
      <c r="T1712" s="9">
        <f>IF(AND(ISNUMBER(M1712),ISNUMBER(O1712)),IF(M1712&lt;=O1712,"Valor ≤ venal IPTU",""),"")</f>
        <v/>
      </c>
      <c r="U1712" s="10">
        <f>IF(AND(ISNUMBER(M1712),ISNUMBER(N1712)),IF(N1712&gt;0,M1712/N1712,""),"")</f>
        <v/>
      </c>
      <c r="V1712" s="10">
        <f>IF(AND(ISNUMBER(M1712),ISNUMBER(O1712)),IF(O1712&gt;0,M1712/O1712,""),"")</f>
        <v/>
      </c>
      <c r="W1712" s="10">
        <f>IF(AND(ISNUMBER(M1712),ISNUMBER(R1712)),IF(R1712&gt;0,M1712/R1712,""),"")</f>
        <v/>
      </c>
      <c r="X1712" s="10">
        <f>IF(AND(ISNUMBER(Q1712),ISNUMBER(M1712)),IF(M1712&gt;0,Q1712/M1712,""),"")</f>
        <v/>
      </c>
      <c r="Y1712" s="11">
        <f>IF(ISNUMBER(Z1712),YEAR(Z1712),"")</f>
        <v/>
      </c>
      <c r="Z1712" s="12" t="n"/>
      <c r="AA1712" s="12" t="n"/>
      <c r="AI1712" s="12" t="n"/>
      <c r="AJ1712" s="13">
        <f>IF(LEN(TRIM(AF1712))=0,"",HYPERLINK("https://www.google.com/maps/@?api=1&amp;map_action=pano&amp;viewpoint="&amp;SUBSTITUTE(AF1712," ",""),"Abrir Street View"))</f>
        <v/>
      </c>
    </row>
    <row r="1713">
      <c r="H1713" s="6" t="n"/>
      <c r="I1713" s="6" t="n"/>
      <c r="M1713" s="7" t="n"/>
      <c r="N1713" s="7" t="n"/>
      <c r="O1713" s="7" t="n"/>
      <c r="Q1713" s="7" t="n"/>
      <c r="R1713" s="7" t="n"/>
      <c r="S1713" s="8">
        <f>IF(NOT(ISNUMBER(M1713)),"",IF(G1713="Terreno",IF(AND(ISNUMBER(I1713),I1713&gt;0),M1713/I1713,""),IF(AND(ISNUMBER(H1713),H1713&gt;0),M1713/H1713,"")))</f>
        <v/>
      </c>
      <c r="T1713" s="9">
        <f>IF(AND(ISNUMBER(M1713),ISNUMBER(O1713)),IF(M1713&lt;=O1713,"Valor ≤ venal IPTU",""),"")</f>
        <v/>
      </c>
      <c r="U1713" s="10">
        <f>IF(AND(ISNUMBER(M1713),ISNUMBER(N1713)),IF(N1713&gt;0,M1713/N1713,""),"")</f>
        <v/>
      </c>
      <c r="V1713" s="10">
        <f>IF(AND(ISNUMBER(M1713),ISNUMBER(O1713)),IF(O1713&gt;0,M1713/O1713,""),"")</f>
        <v/>
      </c>
      <c r="W1713" s="10">
        <f>IF(AND(ISNUMBER(M1713),ISNUMBER(R1713)),IF(R1713&gt;0,M1713/R1713,""),"")</f>
        <v/>
      </c>
      <c r="X1713" s="10">
        <f>IF(AND(ISNUMBER(Q1713),ISNUMBER(M1713)),IF(M1713&gt;0,Q1713/M1713,""),"")</f>
        <v/>
      </c>
      <c r="Y1713" s="11">
        <f>IF(ISNUMBER(Z1713),YEAR(Z1713),"")</f>
        <v/>
      </c>
      <c r="Z1713" s="12" t="n"/>
      <c r="AA1713" s="12" t="n"/>
      <c r="AI1713" s="12" t="n"/>
      <c r="AJ1713" s="13">
        <f>IF(LEN(TRIM(AF1713))=0,"",HYPERLINK("https://www.google.com/maps/@?api=1&amp;map_action=pano&amp;viewpoint="&amp;SUBSTITUTE(AF1713," ",""),"Abrir Street View"))</f>
        <v/>
      </c>
    </row>
    <row r="1714">
      <c r="H1714" s="6" t="n"/>
      <c r="I1714" s="6" t="n"/>
      <c r="M1714" s="7" t="n"/>
      <c r="N1714" s="7" t="n"/>
      <c r="O1714" s="7" t="n"/>
      <c r="Q1714" s="7" t="n"/>
      <c r="R1714" s="7" t="n"/>
      <c r="S1714" s="8">
        <f>IF(NOT(ISNUMBER(M1714)),"",IF(G1714="Terreno",IF(AND(ISNUMBER(I1714),I1714&gt;0),M1714/I1714,""),IF(AND(ISNUMBER(H1714),H1714&gt;0),M1714/H1714,"")))</f>
        <v/>
      </c>
      <c r="T1714" s="9">
        <f>IF(AND(ISNUMBER(M1714),ISNUMBER(O1714)),IF(M1714&lt;=O1714,"Valor ≤ venal IPTU",""),"")</f>
        <v/>
      </c>
      <c r="U1714" s="10">
        <f>IF(AND(ISNUMBER(M1714),ISNUMBER(N1714)),IF(N1714&gt;0,M1714/N1714,""),"")</f>
        <v/>
      </c>
      <c r="V1714" s="10">
        <f>IF(AND(ISNUMBER(M1714),ISNUMBER(O1714)),IF(O1714&gt;0,M1714/O1714,""),"")</f>
        <v/>
      </c>
      <c r="W1714" s="10">
        <f>IF(AND(ISNUMBER(M1714),ISNUMBER(R1714)),IF(R1714&gt;0,M1714/R1714,""),"")</f>
        <v/>
      </c>
      <c r="X1714" s="10">
        <f>IF(AND(ISNUMBER(Q1714),ISNUMBER(M1714)),IF(M1714&gt;0,Q1714/M1714,""),"")</f>
        <v/>
      </c>
      <c r="Y1714" s="11">
        <f>IF(ISNUMBER(Z1714),YEAR(Z1714),"")</f>
        <v/>
      </c>
      <c r="Z1714" s="12" t="n"/>
      <c r="AA1714" s="12" t="n"/>
      <c r="AI1714" s="12" t="n"/>
      <c r="AJ1714" s="13">
        <f>IF(LEN(TRIM(AF1714))=0,"",HYPERLINK("https://www.google.com/maps/@?api=1&amp;map_action=pano&amp;viewpoint="&amp;SUBSTITUTE(AF1714," ",""),"Abrir Street View"))</f>
        <v/>
      </c>
    </row>
    <row r="1715">
      <c r="H1715" s="6" t="n"/>
      <c r="I1715" s="6" t="n"/>
      <c r="M1715" s="7" t="n"/>
      <c r="N1715" s="7" t="n"/>
      <c r="O1715" s="7" t="n"/>
      <c r="Q1715" s="7" t="n"/>
      <c r="R1715" s="7" t="n"/>
      <c r="S1715" s="8">
        <f>IF(NOT(ISNUMBER(M1715)),"",IF(G1715="Terreno",IF(AND(ISNUMBER(I1715),I1715&gt;0),M1715/I1715,""),IF(AND(ISNUMBER(H1715),H1715&gt;0),M1715/H1715,"")))</f>
        <v/>
      </c>
      <c r="T1715" s="9">
        <f>IF(AND(ISNUMBER(M1715),ISNUMBER(O1715)),IF(M1715&lt;=O1715,"Valor ≤ venal IPTU",""),"")</f>
        <v/>
      </c>
      <c r="U1715" s="10">
        <f>IF(AND(ISNUMBER(M1715),ISNUMBER(N1715)),IF(N1715&gt;0,M1715/N1715,""),"")</f>
        <v/>
      </c>
      <c r="V1715" s="10">
        <f>IF(AND(ISNUMBER(M1715),ISNUMBER(O1715)),IF(O1715&gt;0,M1715/O1715,""),"")</f>
        <v/>
      </c>
      <c r="W1715" s="10">
        <f>IF(AND(ISNUMBER(M1715),ISNUMBER(R1715)),IF(R1715&gt;0,M1715/R1715,""),"")</f>
        <v/>
      </c>
      <c r="X1715" s="10">
        <f>IF(AND(ISNUMBER(Q1715),ISNUMBER(M1715)),IF(M1715&gt;0,Q1715/M1715,""),"")</f>
        <v/>
      </c>
      <c r="Y1715" s="11">
        <f>IF(ISNUMBER(Z1715),YEAR(Z1715),"")</f>
        <v/>
      </c>
      <c r="Z1715" s="12" t="n"/>
      <c r="AA1715" s="12" t="n"/>
      <c r="AI1715" s="12" t="n"/>
      <c r="AJ1715" s="13">
        <f>IF(LEN(TRIM(AF1715))=0,"",HYPERLINK("https://www.google.com/maps/@?api=1&amp;map_action=pano&amp;viewpoint="&amp;SUBSTITUTE(AF1715," ",""),"Abrir Street View"))</f>
        <v/>
      </c>
    </row>
    <row r="1716">
      <c r="H1716" s="6" t="n"/>
      <c r="I1716" s="6" t="n"/>
      <c r="M1716" s="7" t="n"/>
      <c r="N1716" s="7" t="n"/>
      <c r="O1716" s="7" t="n"/>
      <c r="Q1716" s="7" t="n"/>
      <c r="R1716" s="7" t="n"/>
      <c r="S1716" s="8">
        <f>IF(NOT(ISNUMBER(M1716)),"",IF(G1716="Terreno",IF(AND(ISNUMBER(I1716),I1716&gt;0),M1716/I1716,""),IF(AND(ISNUMBER(H1716),H1716&gt;0),M1716/H1716,"")))</f>
        <v/>
      </c>
      <c r="T1716" s="9">
        <f>IF(AND(ISNUMBER(M1716),ISNUMBER(O1716)),IF(M1716&lt;=O1716,"Valor ≤ venal IPTU",""),"")</f>
        <v/>
      </c>
      <c r="U1716" s="10">
        <f>IF(AND(ISNUMBER(M1716),ISNUMBER(N1716)),IF(N1716&gt;0,M1716/N1716,""),"")</f>
        <v/>
      </c>
      <c r="V1716" s="10">
        <f>IF(AND(ISNUMBER(M1716),ISNUMBER(O1716)),IF(O1716&gt;0,M1716/O1716,""),"")</f>
        <v/>
      </c>
      <c r="W1716" s="10">
        <f>IF(AND(ISNUMBER(M1716),ISNUMBER(R1716)),IF(R1716&gt;0,M1716/R1716,""),"")</f>
        <v/>
      </c>
      <c r="X1716" s="10">
        <f>IF(AND(ISNUMBER(Q1716),ISNUMBER(M1716)),IF(M1716&gt;0,Q1716/M1716,""),"")</f>
        <v/>
      </c>
      <c r="Y1716" s="11">
        <f>IF(ISNUMBER(Z1716),YEAR(Z1716),"")</f>
        <v/>
      </c>
      <c r="Z1716" s="12" t="n"/>
      <c r="AA1716" s="12" t="n"/>
      <c r="AI1716" s="12" t="n"/>
      <c r="AJ1716" s="13">
        <f>IF(LEN(TRIM(AF1716))=0,"",HYPERLINK("https://www.google.com/maps/@?api=1&amp;map_action=pano&amp;viewpoint="&amp;SUBSTITUTE(AF1716," ",""),"Abrir Street View"))</f>
        <v/>
      </c>
    </row>
    <row r="1717">
      <c r="H1717" s="6" t="n"/>
      <c r="I1717" s="6" t="n"/>
      <c r="M1717" s="7" t="n"/>
      <c r="N1717" s="7" t="n"/>
      <c r="O1717" s="7" t="n"/>
      <c r="Q1717" s="7" t="n"/>
      <c r="R1717" s="7" t="n"/>
      <c r="S1717" s="8">
        <f>IF(NOT(ISNUMBER(M1717)),"",IF(G1717="Terreno",IF(AND(ISNUMBER(I1717),I1717&gt;0),M1717/I1717,""),IF(AND(ISNUMBER(H1717),H1717&gt;0),M1717/H1717,"")))</f>
        <v/>
      </c>
      <c r="T1717" s="9">
        <f>IF(AND(ISNUMBER(M1717),ISNUMBER(O1717)),IF(M1717&lt;=O1717,"Valor ≤ venal IPTU",""),"")</f>
        <v/>
      </c>
      <c r="U1717" s="10">
        <f>IF(AND(ISNUMBER(M1717),ISNUMBER(N1717)),IF(N1717&gt;0,M1717/N1717,""),"")</f>
        <v/>
      </c>
      <c r="V1717" s="10">
        <f>IF(AND(ISNUMBER(M1717),ISNUMBER(O1717)),IF(O1717&gt;0,M1717/O1717,""),"")</f>
        <v/>
      </c>
      <c r="W1717" s="10">
        <f>IF(AND(ISNUMBER(M1717),ISNUMBER(R1717)),IF(R1717&gt;0,M1717/R1717,""),"")</f>
        <v/>
      </c>
      <c r="X1717" s="10">
        <f>IF(AND(ISNUMBER(Q1717),ISNUMBER(M1717)),IF(M1717&gt;0,Q1717/M1717,""),"")</f>
        <v/>
      </c>
      <c r="Y1717" s="11">
        <f>IF(ISNUMBER(Z1717),YEAR(Z1717),"")</f>
        <v/>
      </c>
      <c r="Z1717" s="12" t="n"/>
      <c r="AA1717" s="12" t="n"/>
      <c r="AI1717" s="12" t="n"/>
      <c r="AJ1717" s="13">
        <f>IF(LEN(TRIM(AF1717))=0,"",HYPERLINK("https://www.google.com/maps/@?api=1&amp;map_action=pano&amp;viewpoint="&amp;SUBSTITUTE(AF1717," ",""),"Abrir Street View"))</f>
        <v/>
      </c>
    </row>
    <row r="1718">
      <c r="H1718" s="6" t="n"/>
      <c r="I1718" s="6" t="n"/>
      <c r="M1718" s="7" t="n"/>
      <c r="N1718" s="7" t="n"/>
      <c r="O1718" s="7" t="n"/>
      <c r="Q1718" s="7" t="n"/>
      <c r="R1718" s="7" t="n"/>
      <c r="S1718" s="8">
        <f>IF(NOT(ISNUMBER(M1718)),"",IF(G1718="Terreno",IF(AND(ISNUMBER(I1718),I1718&gt;0),M1718/I1718,""),IF(AND(ISNUMBER(H1718),H1718&gt;0),M1718/H1718,"")))</f>
        <v/>
      </c>
      <c r="T1718" s="9">
        <f>IF(AND(ISNUMBER(M1718),ISNUMBER(O1718)),IF(M1718&lt;=O1718,"Valor ≤ venal IPTU",""),"")</f>
        <v/>
      </c>
      <c r="U1718" s="10">
        <f>IF(AND(ISNUMBER(M1718),ISNUMBER(N1718)),IF(N1718&gt;0,M1718/N1718,""),"")</f>
        <v/>
      </c>
      <c r="V1718" s="10">
        <f>IF(AND(ISNUMBER(M1718),ISNUMBER(O1718)),IF(O1718&gt;0,M1718/O1718,""),"")</f>
        <v/>
      </c>
      <c r="W1718" s="10">
        <f>IF(AND(ISNUMBER(M1718),ISNUMBER(R1718)),IF(R1718&gt;0,M1718/R1718,""),"")</f>
        <v/>
      </c>
      <c r="X1718" s="10">
        <f>IF(AND(ISNUMBER(Q1718),ISNUMBER(M1718)),IF(M1718&gt;0,Q1718/M1718,""),"")</f>
        <v/>
      </c>
      <c r="Y1718" s="11">
        <f>IF(ISNUMBER(Z1718),YEAR(Z1718),"")</f>
        <v/>
      </c>
      <c r="Z1718" s="12" t="n"/>
      <c r="AA1718" s="12" t="n"/>
      <c r="AI1718" s="12" t="n"/>
      <c r="AJ1718" s="13">
        <f>IF(LEN(TRIM(AF1718))=0,"",HYPERLINK("https://www.google.com/maps/@?api=1&amp;map_action=pano&amp;viewpoint="&amp;SUBSTITUTE(AF1718," ",""),"Abrir Street View"))</f>
        <v/>
      </c>
    </row>
    <row r="1719">
      <c r="H1719" s="6" t="n"/>
      <c r="I1719" s="6" t="n"/>
      <c r="M1719" s="7" t="n"/>
      <c r="N1719" s="7" t="n"/>
      <c r="O1719" s="7" t="n"/>
      <c r="Q1719" s="7" t="n"/>
      <c r="R1719" s="7" t="n"/>
      <c r="S1719" s="8">
        <f>IF(NOT(ISNUMBER(M1719)),"",IF(G1719="Terreno",IF(AND(ISNUMBER(I1719),I1719&gt;0),M1719/I1719,""),IF(AND(ISNUMBER(H1719),H1719&gt;0),M1719/H1719,"")))</f>
        <v/>
      </c>
      <c r="T1719" s="9">
        <f>IF(AND(ISNUMBER(M1719),ISNUMBER(O1719)),IF(M1719&lt;=O1719,"Valor ≤ venal IPTU",""),"")</f>
        <v/>
      </c>
      <c r="U1719" s="10">
        <f>IF(AND(ISNUMBER(M1719),ISNUMBER(N1719)),IF(N1719&gt;0,M1719/N1719,""),"")</f>
        <v/>
      </c>
      <c r="V1719" s="10">
        <f>IF(AND(ISNUMBER(M1719),ISNUMBER(O1719)),IF(O1719&gt;0,M1719/O1719,""),"")</f>
        <v/>
      </c>
      <c r="W1719" s="10">
        <f>IF(AND(ISNUMBER(M1719),ISNUMBER(R1719)),IF(R1719&gt;0,M1719/R1719,""),"")</f>
        <v/>
      </c>
      <c r="X1719" s="10">
        <f>IF(AND(ISNUMBER(Q1719),ISNUMBER(M1719)),IF(M1719&gt;0,Q1719/M1719,""),"")</f>
        <v/>
      </c>
      <c r="Y1719" s="11">
        <f>IF(ISNUMBER(Z1719),YEAR(Z1719),"")</f>
        <v/>
      </c>
      <c r="Z1719" s="12" t="n"/>
      <c r="AA1719" s="12" t="n"/>
      <c r="AI1719" s="12" t="n"/>
      <c r="AJ1719" s="13">
        <f>IF(LEN(TRIM(AF1719))=0,"",HYPERLINK("https://www.google.com/maps/@?api=1&amp;map_action=pano&amp;viewpoint="&amp;SUBSTITUTE(AF1719," ",""),"Abrir Street View"))</f>
        <v/>
      </c>
    </row>
    <row r="1720">
      <c r="H1720" s="6" t="n"/>
      <c r="I1720" s="6" t="n"/>
      <c r="M1720" s="7" t="n"/>
      <c r="N1720" s="7" t="n"/>
      <c r="O1720" s="7" t="n"/>
      <c r="Q1720" s="7" t="n"/>
      <c r="R1720" s="7" t="n"/>
      <c r="S1720" s="8">
        <f>IF(NOT(ISNUMBER(M1720)),"",IF(G1720="Terreno",IF(AND(ISNUMBER(I1720),I1720&gt;0),M1720/I1720,""),IF(AND(ISNUMBER(H1720),H1720&gt;0),M1720/H1720,"")))</f>
        <v/>
      </c>
      <c r="T1720" s="9">
        <f>IF(AND(ISNUMBER(M1720),ISNUMBER(O1720)),IF(M1720&lt;=O1720,"Valor ≤ venal IPTU",""),"")</f>
        <v/>
      </c>
      <c r="U1720" s="10">
        <f>IF(AND(ISNUMBER(M1720),ISNUMBER(N1720)),IF(N1720&gt;0,M1720/N1720,""),"")</f>
        <v/>
      </c>
      <c r="V1720" s="10">
        <f>IF(AND(ISNUMBER(M1720),ISNUMBER(O1720)),IF(O1720&gt;0,M1720/O1720,""),"")</f>
        <v/>
      </c>
      <c r="W1720" s="10">
        <f>IF(AND(ISNUMBER(M1720),ISNUMBER(R1720)),IF(R1720&gt;0,M1720/R1720,""),"")</f>
        <v/>
      </c>
      <c r="X1720" s="10">
        <f>IF(AND(ISNUMBER(Q1720),ISNUMBER(M1720)),IF(M1720&gt;0,Q1720/M1720,""),"")</f>
        <v/>
      </c>
      <c r="Y1720" s="11">
        <f>IF(ISNUMBER(Z1720),YEAR(Z1720),"")</f>
        <v/>
      </c>
      <c r="Z1720" s="12" t="n"/>
      <c r="AA1720" s="12" t="n"/>
      <c r="AI1720" s="12" t="n"/>
      <c r="AJ1720" s="13">
        <f>IF(LEN(TRIM(AF1720))=0,"",HYPERLINK("https://www.google.com/maps/@?api=1&amp;map_action=pano&amp;viewpoint="&amp;SUBSTITUTE(AF1720," ",""),"Abrir Street View"))</f>
        <v/>
      </c>
    </row>
    <row r="1721">
      <c r="H1721" s="6" t="n"/>
      <c r="I1721" s="6" t="n"/>
      <c r="M1721" s="7" t="n"/>
      <c r="N1721" s="7" t="n"/>
      <c r="O1721" s="7" t="n"/>
      <c r="Q1721" s="7" t="n"/>
      <c r="R1721" s="7" t="n"/>
      <c r="S1721" s="8">
        <f>IF(NOT(ISNUMBER(M1721)),"",IF(G1721="Terreno",IF(AND(ISNUMBER(I1721),I1721&gt;0),M1721/I1721,""),IF(AND(ISNUMBER(H1721),H1721&gt;0),M1721/H1721,"")))</f>
        <v/>
      </c>
      <c r="T1721" s="9">
        <f>IF(AND(ISNUMBER(M1721),ISNUMBER(O1721)),IF(M1721&lt;=O1721,"Valor ≤ venal IPTU",""),"")</f>
        <v/>
      </c>
      <c r="U1721" s="10">
        <f>IF(AND(ISNUMBER(M1721),ISNUMBER(N1721)),IF(N1721&gt;0,M1721/N1721,""),"")</f>
        <v/>
      </c>
      <c r="V1721" s="10">
        <f>IF(AND(ISNUMBER(M1721),ISNUMBER(O1721)),IF(O1721&gt;0,M1721/O1721,""),"")</f>
        <v/>
      </c>
      <c r="W1721" s="10">
        <f>IF(AND(ISNUMBER(M1721),ISNUMBER(R1721)),IF(R1721&gt;0,M1721/R1721,""),"")</f>
        <v/>
      </c>
      <c r="X1721" s="10">
        <f>IF(AND(ISNUMBER(Q1721),ISNUMBER(M1721)),IF(M1721&gt;0,Q1721/M1721,""),"")</f>
        <v/>
      </c>
      <c r="Y1721" s="11">
        <f>IF(ISNUMBER(Z1721),YEAR(Z1721),"")</f>
        <v/>
      </c>
      <c r="Z1721" s="12" t="n"/>
      <c r="AA1721" s="12" t="n"/>
      <c r="AI1721" s="12" t="n"/>
      <c r="AJ1721" s="13">
        <f>IF(LEN(TRIM(AF1721))=0,"",HYPERLINK("https://www.google.com/maps/@?api=1&amp;map_action=pano&amp;viewpoint="&amp;SUBSTITUTE(AF1721," ",""),"Abrir Street View"))</f>
        <v/>
      </c>
    </row>
    <row r="1722">
      <c r="H1722" s="6" t="n"/>
      <c r="I1722" s="6" t="n"/>
      <c r="M1722" s="7" t="n"/>
      <c r="N1722" s="7" t="n"/>
      <c r="O1722" s="7" t="n"/>
      <c r="Q1722" s="7" t="n"/>
      <c r="R1722" s="7" t="n"/>
      <c r="S1722" s="8">
        <f>IF(NOT(ISNUMBER(M1722)),"",IF(G1722="Terreno",IF(AND(ISNUMBER(I1722),I1722&gt;0),M1722/I1722,""),IF(AND(ISNUMBER(H1722),H1722&gt;0),M1722/H1722,"")))</f>
        <v/>
      </c>
      <c r="T1722" s="9">
        <f>IF(AND(ISNUMBER(M1722),ISNUMBER(O1722)),IF(M1722&lt;=O1722,"Valor ≤ venal IPTU",""),"")</f>
        <v/>
      </c>
      <c r="U1722" s="10">
        <f>IF(AND(ISNUMBER(M1722),ISNUMBER(N1722)),IF(N1722&gt;0,M1722/N1722,""),"")</f>
        <v/>
      </c>
      <c r="V1722" s="10">
        <f>IF(AND(ISNUMBER(M1722),ISNUMBER(O1722)),IF(O1722&gt;0,M1722/O1722,""),"")</f>
        <v/>
      </c>
      <c r="W1722" s="10">
        <f>IF(AND(ISNUMBER(M1722),ISNUMBER(R1722)),IF(R1722&gt;0,M1722/R1722,""),"")</f>
        <v/>
      </c>
      <c r="X1722" s="10">
        <f>IF(AND(ISNUMBER(Q1722),ISNUMBER(M1722)),IF(M1722&gt;0,Q1722/M1722,""),"")</f>
        <v/>
      </c>
      <c r="Y1722" s="11">
        <f>IF(ISNUMBER(Z1722),YEAR(Z1722),"")</f>
        <v/>
      </c>
      <c r="Z1722" s="12" t="n"/>
      <c r="AA1722" s="12" t="n"/>
      <c r="AI1722" s="12" t="n"/>
      <c r="AJ1722" s="13">
        <f>IF(LEN(TRIM(AF1722))=0,"",HYPERLINK("https://www.google.com/maps/@?api=1&amp;map_action=pano&amp;viewpoint="&amp;SUBSTITUTE(AF1722," ",""),"Abrir Street View"))</f>
        <v/>
      </c>
    </row>
    <row r="1723">
      <c r="H1723" s="6" t="n"/>
      <c r="I1723" s="6" t="n"/>
      <c r="M1723" s="7" t="n"/>
      <c r="N1723" s="7" t="n"/>
      <c r="O1723" s="7" t="n"/>
      <c r="Q1723" s="7" t="n"/>
      <c r="R1723" s="7" t="n"/>
      <c r="S1723" s="8">
        <f>IF(NOT(ISNUMBER(M1723)),"",IF(G1723="Terreno",IF(AND(ISNUMBER(I1723),I1723&gt;0),M1723/I1723,""),IF(AND(ISNUMBER(H1723),H1723&gt;0),M1723/H1723,"")))</f>
        <v/>
      </c>
      <c r="T1723" s="9">
        <f>IF(AND(ISNUMBER(M1723),ISNUMBER(O1723)),IF(M1723&lt;=O1723,"Valor ≤ venal IPTU",""),"")</f>
        <v/>
      </c>
      <c r="U1723" s="10">
        <f>IF(AND(ISNUMBER(M1723),ISNUMBER(N1723)),IF(N1723&gt;0,M1723/N1723,""),"")</f>
        <v/>
      </c>
      <c r="V1723" s="10">
        <f>IF(AND(ISNUMBER(M1723),ISNUMBER(O1723)),IF(O1723&gt;0,M1723/O1723,""),"")</f>
        <v/>
      </c>
      <c r="W1723" s="10">
        <f>IF(AND(ISNUMBER(M1723),ISNUMBER(R1723)),IF(R1723&gt;0,M1723/R1723,""),"")</f>
        <v/>
      </c>
      <c r="X1723" s="10">
        <f>IF(AND(ISNUMBER(Q1723),ISNUMBER(M1723)),IF(M1723&gt;0,Q1723/M1723,""),"")</f>
        <v/>
      </c>
      <c r="Y1723" s="11">
        <f>IF(ISNUMBER(Z1723),YEAR(Z1723),"")</f>
        <v/>
      </c>
      <c r="Z1723" s="12" t="n"/>
      <c r="AA1723" s="12" t="n"/>
      <c r="AI1723" s="12" t="n"/>
      <c r="AJ1723" s="13">
        <f>IF(LEN(TRIM(AF1723))=0,"",HYPERLINK("https://www.google.com/maps/@?api=1&amp;map_action=pano&amp;viewpoint="&amp;SUBSTITUTE(AF1723," ",""),"Abrir Street View"))</f>
        <v/>
      </c>
    </row>
    <row r="1724">
      <c r="H1724" s="6" t="n"/>
      <c r="I1724" s="6" t="n"/>
      <c r="M1724" s="7" t="n"/>
      <c r="N1724" s="7" t="n"/>
      <c r="O1724" s="7" t="n"/>
      <c r="Q1724" s="7" t="n"/>
      <c r="R1724" s="7" t="n"/>
      <c r="S1724" s="8">
        <f>IF(NOT(ISNUMBER(M1724)),"",IF(G1724="Terreno",IF(AND(ISNUMBER(I1724),I1724&gt;0),M1724/I1724,""),IF(AND(ISNUMBER(H1724),H1724&gt;0),M1724/H1724,"")))</f>
        <v/>
      </c>
      <c r="T1724" s="9">
        <f>IF(AND(ISNUMBER(M1724),ISNUMBER(O1724)),IF(M1724&lt;=O1724,"Valor ≤ venal IPTU",""),"")</f>
        <v/>
      </c>
      <c r="U1724" s="10">
        <f>IF(AND(ISNUMBER(M1724),ISNUMBER(N1724)),IF(N1724&gt;0,M1724/N1724,""),"")</f>
        <v/>
      </c>
      <c r="V1724" s="10">
        <f>IF(AND(ISNUMBER(M1724),ISNUMBER(O1724)),IF(O1724&gt;0,M1724/O1724,""),"")</f>
        <v/>
      </c>
      <c r="W1724" s="10">
        <f>IF(AND(ISNUMBER(M1724),ISNUMBER(R1724)),IF(R1724&gt;0,M1724/R1724,""),"")</f>
        <v/>
      </c>
      <c r="X1724" s="10">
        <f>IF(AND(ISNUMBER(Q1724),ISNUMBER(M1724)),IF(M1724&gt;0,Q1724/M1724,""),"")</f>
        <v/>
      </c>
      <c r="Y1724" s="11">
        <f>IF(ISNUMBER(Z1724),YEAR(Z1724),"")</f>
        <v/>
      </c>
      <c r="Z1724" s="12" t="n"/>
      <c r="AA1724" s="12" t="n"/>
      <c r="AI1724" s="12" t="n"/>
      <c r="AJ1724" s="13">
        <f>IF(LEN(TRIM(AF1724))=0,"",HYPERLINK("https://www.google.com/maps/@?api=1&amp;map_action=pano&amp;viewpoint="&amp;SUBSTITUTE(AF1724," ",""),"Abrir Street View"))</f>
        <v/>
      </c>
    </row>
    <row r="1725">
      <c r="H1725" s="6" t="n"/>
      <c r="I1725" s="6" t="n"/>
      <c r="M1725" s="7" t="n"/>
      <c r="N1725" s="7" t="n"/>
      <c r="O1725" s="7" t="n"/>
      <c r="Q1725" s="7" t="n"/>
      <c r="R1725" s="7" t="n"/>
      <c r="S1725" s="8">
        <f>IF(NOT(ISNUMBER(M1725)),"",IF(G1725="Terreno",IF(AND(ISNUMBER(I1725),I1725&gt;0),M1725/I1725,""),IF(AND(ISNUMBER(H1725),H1725&gt;0),M1725/H1725,"")))</f>
        <v/>
      </c>
      <c r="T1725" s="9">
        <f>IF(AND(ISNUMBER(M1725),ISNUMBER(O1725)),IF(M1725&lt;=O1725,"Valor ≤ venal IPTU",""),"")</f>
        <v/>
      </c>
      <c r="U1725" s="10">
        <f>IF(AND(ISNUMBER(M1725),ISNUMBER(N1725)),IF(N1725&gt;0,M1725/N1725,""),"")</f>
        <v/>
      </c>
      <c r="V1725" s="10">
        <f>IF(AND(ISNUMBER(M1725),ISNUMBER(O1725)),IF(O1725&gt;0,M1725/O1725,""),"")</f>
        <v/>
      </c>
      <c r="W1725" s="10">
        <f>IF(AND(ISNUMBER(M1725),ISNUMBER(R1725)),IF(R1725&gt;0,M1725/R1725,""),"")</f>
        <v/>
      </c>
      <c r="X1725" s="10">
        <f>IF(AND(ISNUMBER(Q1725),ISNUMBER(M1725)),IF(M1725&gt;0,Q1725/M1725,""),"")</f>
        <v/>
      </c>
      <c r="Y1725" s="11">
        <f>IF(ISNUMBER(Z1725),YEAR(Z1725),"")</f>
        <v/>
      </c>
      <c r="Z1725" s="12" t="n"/>
      <c r="AA1725" s="12" t="n"/>
      <c r="AI1725" s="12" t="n"/>
      <c r="AJ1725" s="13">
        <f>IF(LEN(TRIM(AF1725))=0,"",HYPERLINK("https://www.google.com/maps/@?api=1&amp;map_action=pano&amp;viewpoint="&amp;SUBSTITUTE(AF1725," ",""),"Abrir Street View"))</f>
        <v/>
      </c>
    </row>
    <row r="1726">
      <c r="H1726" s="6" t="n"/>
      <c r="I1726" s="6" t="n"/>
      <c r="M1726" s="7" t="n"/>
      <c r="N1726" s="7" t="n"/>
      <c r="O1726" s="7" t="n"/>
      <c r="Q1726" s="7" t="n"/>
      <c r="R1726" s="7" t="n"/>
      <c r="S1726" s="8">
        <f>IF(NOT(ISNUMBER(M1726)),"",IF(G1726="Terreno",IF(AND(ISNUMBER(I1726),I1726&gt;0),M1726/I1726,""),IF(AND(ISNUMBER(H1726),H1726&gt;0),M1726/H1726,"")))</f>
        <v/>
      </c>
      <c r="T1726" s="9">
        <f>IF(AND(ISNUMBER(M1726),ISNUMBER(O1726)),IF(M1726&lt;=O1726,"Valor ≤ venal IPTU",""),"")</f>
        <v/>
      </c>
      <c r="U1726" s="10">
        <f>IF(AND(ISNUMBER(M1726),ISNUMBER(N1726)),IF(N1726&gt;0,M1726/N1726,""),"")</f>
        <v/>
      </c>
      <c r="V1726" s="10">
        <f>IF(AND(ISNUMBER(M1726),ISNUMBER(O1726)),IF(O1726&gt;0,M1726/O1726,""),"")</f>
        <v/>
      </c>
      <c r="W1726" s="10">
        <f>IF(AND(ISNUMBER(M1726),ISNUMBER(R1726)),IF(R1726&gt;0,M1726/R1726,""),"")</f>
        <v/>
      </c>
      <c r="X1726" s="10">
        <f>IF(AND(ISNUMBER(Q1726),ISNUMBER(M1726)),IF(M1726&gt;0,Q1726/M1726,""),"")</f>
        <v/>
      </c>
      <c r="Y1726" s="11">
        <f>IF(ISNUMBER(Z1726),YEAR(Z1726),"")</f>
        <v/>
      </c>
      <c r="Z1726" s="12" t="n"/>
      <c r="AA1726" s="12" t="n"/>
      <c r="AI1726" s="12" t="n"/>
      <c r="AJ1726" s="13">
        <f>IF(LEN(TRIM(AF1726))=0,"",HYPERLINK("https://www.google.com/maps/@?api=1&amp;map_action=pano&amp;viewpoint="&amp;SUBSTITUTE(AF1726," ",""),"Abrir Street View"))</f>
        <v/>
      </c>
    </row>
    <row r="1727">
      <c r="H1727" s="6" t="n"/>
      <c r="I1727" s="6" t="n"/>
      <c r="M1727" s="7" t="n"/>
      <c r="N1727" s="7" t="n"/>
      <c r="O1727" s="7" t="n"/>
      <c r="Q1727" s="7" t="n"/>
      <c r="R1727" s="7" t="n"/>
      <c r="S1727" s="8">
        <f>IF(NOT(ISNUMBER(M1727)),"",IF(G1727="Terreno",IF(AND(ISNUMBER(I1727),I1727&gt;0),M1727/I1727,""),IF(AND(ISNUMBER(H1727),H1727&gt;0),M1727/H1727,"")))</f>
        <v/>
      </c>
      <c r="T1727" s="9">
        <f>IF(AND(ISNUMBER(M1727),ISNUMBER(O1727)),IF(M1727&lt;=O1727,"Valor ≤ venal IPTU",""),"")</f>
        <v/>
      </c>
      <c r="U1727" s="10">
        <f>IF(AND(ISNUMBER(M1727),ISNUMBER(N1727)),IF(N1727&gt;0,M1727/N1727,""),"")</f>
        <v/>
      </c>
      <c r="V1727" s="10">
        <f>IF(AND(ISNUMBER(M1727),ISNUMBER(O1727)),IF(O1727&gt;0,M1727/O1727,""),"")</f>
        <v/>
      </c>
      <c r="W1727" s="10">
        <f>IF(AND(ISNUMBER(M1727),ISNUMBER(R1727)),IF(R1727&gt;0,M1727/R1727,""),"")</f>
        <v/>
      </c>
      <c r="X1727" s="10">
        <f>IF(AND(ISNUMBER(Q1727),ISNUMBER(M1727)),IF(M1727&gt;0,Q1727/M1727,""),"")</f>
        <v/>
      </c>
      <c r="Y1727" s="11">
        <f>IF(ISNUMBER(Z1727),YEAR(Z1727),"")</f>
        <v/>
      </c>
      <c r="Z1727" s="12" t="n"/>
      <c r="AA1727" s="12" t="n"/>
      <c r="AI1727" s="12" t="n"/>
      <c r="AJ1727" s="13">
        <f>IF(LEN(TRIM(AF1727))=0,"",HYPERLINK("https://www.google.com/maps/@?api=1&amp;map_action=pano&amp;viewpoint="&amp;SUBSTITUTE(AF1727," ",""),"Abrir Street View"))</f>
        <v/>
      </c>
    </row>
    <row r="1728">
      <c r="H1728" s="6" t="n"/>
      <c r="I1728" s="6" t="n"/>
      <c r="M1728" s="7" t="n"/>
      <c r="N1728" s="7" t="n"/>
      <c r="O1728" s="7" t="n"/>
      <c r="Q1728" s="7" t="n"/>
      <c r="R1728" s="7" t="n"/>
      <c r="S1728" s="8">
        <f>IF(NOT(ISNUMBER(M1728)),"",IF(G1728="Terreno",IF(AND(ISNUMBER(I1728),I1728&gt;0),M1728/I1728,""),IF(AND(ISNUMBER(H1728),H1728&gt;0),M1728/H1728,"")))</f>
        <v/>
      </c>
      <c r="T1728" s="9">
        <f>IF(AND(ISNUMBER(M1728),ISNUMBER(O1728)),IF(M1728&lt;=O1728,"Valor ≤ venal IPTU",""),"")</f>
        <v/>
      </c>
      <c r="U1728" s="10">
        <f>IF(AND(ISNUMBER(M1728),ISNUMBER(N1728)),IF(N1728&gt;0,M1728/N1728,""),"")</f>
        <v/>
      </c>
      <c r="V1728" s="10">
        <f>IF(AND(ISNUMBER(M1728),ISNUMBER(O1728)),IF(O1728&gt;0,M1728/O1728,""),"")</f>
        <v/>
      </c>
      <c r="W1728" s="10">
        <f>IF(AND(ISNUMBER(M1728),ISNUMBER(R1728)),IF(R1728&gt;0,M1728/R1728,""),"")</f>
        <v/>
      </c>
      <c r="X1728" s="10">
        <f>IF(AND(ISNUMBER(Q1728),ISNUMBER(M1728)),IF(M1728&gt;0,Q1728/M1728,""),"")</f>
        <v/>
      </c>
      <c r="Y1728" s="11">
        <f>IF(ISNUMBER(Z1728),YEAR(Z1728),"")</f>
        <v/>
      </c>
      <c r="Z1728" s="12" t="n"/>
      <c r="AA1728" s="12" t="n"/>
      <c r="AI1728" s="12" t="n"/>
      <c r="AJ1728" s="13">
        <f>IF(LEN(TRIM(AF1728))=0,"",HYPERLINK("https://www.google.com/maps/@?api=1&amp;map_action=pano&amp;viewpoint="&amp;SUBSTITUTE(AF1728," ",""),"Abrir Street View"))</f>
        <v/>
      </c>
    </row>
    <row r="1729">
      <c r="H1729" s="6" t="n"/>
      <c r="I1729" s="6" t="n"/>
      <c r="M1729" s="7" t="n"/>
      <c r="N1729" s="7" t="n"/>
      <c r="O1729" s="7" t="n"/>
      <c r="Q1729" s="7" t="n"/>
      <c r="R1729" s="7" t="n"/>
      <c r="S1729" s="8">
        <f>IF(NOT(ISNUMBER(M1729)),"",IF(G1729="Terreno",IF(AND(ISNUMBER(I1729),I1729&gt;0),M1729/I1729,""),IF(AND(ISNUMBER(H1729),H1729&gt;0),M1729/H1729,"")))</f>
        <v/>
      </c>
      <c r="T1729" s="9">
        <f>IF(AND(ISNUMBER(M1729),ISNUMBER(O1729)),IF(M1729&lt;=O1729,"Valor ≤ venal IPTU",""),"")</f>
        <v/>
      </c>
      <c r="U1729" s="10">
        <f>IF(AND(ISNUMBER(M1729),ISNUMBER(N1729)),IF(N1729&gt;0,M1729/N1729,""),"")</f>
        <v/>
      </c>
      <c r="V1729" s="10">
        <f>IF(AND(ISNUMBER(M1729),ISNUMBER(O1729)),IF(O1729&gt;0,M1729/O1729,""),"")</f>
        <v/>
      </c>
      <c r="W1729" s="10">
        <f>IF(AND(ISNUMBER(M1729),ISNUMBER(R1729)),IF(R1729&gt;0,M1729/R1729,""),"")</f>
        <v/>
      </c>
      <c r="X1729" s="10">
        <f>IF(AND(ISNUMBER(Q1729),ISNUMBER(M1729)),IF(M1729&gt;0,Q1729/M1729,""),"")</f>
        <v/>
      </c>
      <c r="Y1729" s="11">
        <f>IF(ISNUMBER(Z1729),YEAR(Z1729),"")</f>
        <v/>
      </c>
      <c r="Z1729" s="12" t="n"/>
      <c r="AA1729" s="12" t="n"/>
      <c r="AI1729" s="12" t="n"/>
      <c r="AJ1729" s="13">
        <f>IF(LEN(TRIM(AF1729))=0,"",HYPERLINK("https://www.google.com/maps/@?api=1&amp;map_action=pano&amp;viewpoint="&amp;SUBSTITUTE(AF1729," ",""),"Abrir Street View"))</f>
        <v/>
      </c>
    </row>
    <row r="1730">
      <c r="H1730" s="6" t="n"/>
      <c r="I1730" s="6" t="n"/>
      <c r="M1730" s="7" t="n"/>
      <c r="N1730" s="7" t="n"/>
      <c r="O1730" s="7" t="n"/>
      <c r="Q1730" s="7" t="n"/>
      <c r="R1730" s="7" t="n"/>
      <c r="S1730" s="8">
        <f>IF(NOT(ISNUMBER(M1730)),"",IF(G1730="Terreno",IF(AND(ISNUMBER(I1730),I1730&gt;0),M1730/I1730,""),IF(AND(ISNUMBER(H1730),H1730&gt;0),M1730/H1730,"")))</f>
        <v/>
      </c>
      <c r="T1730" s="9">
        <f>IF(AND(ISNUMBER(M1730),ISNUMBER(O1730)),IF(M1730&lt;=O1730,"Valor ≤ venal IPTU",""),"")</f>
        <v/>
      </c>
      <c r="U1730" s="10">
        <f>IF(AND(ISNUMBER(M1730),ISNUMBER(N1730)),IF(N1730&gt;0,M1730/N1730,""),"")</f>
        <v/>
      </c>
      <c r="V1730" s="10">
        <f>IF(AND(ISNUMBER(M1730),ISNUMBER(O1730)),IF(O1730&gt;0,M1730/O1730,""),"")</f>
        <v/>
      </c>
      <c r="W1730" s="10">
        <f>IF(AND(ISNUMBER(M1730),ISNUMBER(R1730)),IF(R1730&gt;0,M1730/R1730,""),"")</f>
        <v/>
      </c>
      <c r="X1730" s="10">
        <f>IF(AND(ISNUMBER(Q1730),ISNUMBER(M1730)),IF(M1730&gt;0,Q1730/M1730,""),"")</f>
        <v/>
      </c>
      <c r="Y1730" s="11">
        <f>IF(ISNUMBER(Z1730),YEAR(Z1730),"")</f>
        <v/>
      </c>
      <c r="Z1730" s="12" t="n"/>
      <c r="AA1730" s="12" t="n"/>
      <c r="AI1730" s="12" t="n"/>
      <c r="AJ1730" s="13">
        <f>IF(LEN(TRIM(AF1730))=0,"",HYPERLINK("https://www.google.com/maps/@?api=1&amp;map_action=pano&amp;viewpoint="&amp;SUBSTITUTE(AF1730," ",""),"Abrir Street View"))</f>
        <v/>
      </c>
    </row>
    <row r="1731">
      <c r="H1731" s="6" t="n"/>
      <c r="I1731" s="6" t="n"/>
      <c r="M1731" s="7" t="n"/>
      <c r="N1731" s="7" t="n"/>
      <c r="O1731" s="7" t="n"/>
      <c r="Q1731" s="7" t="n"/>
      <c r="R1731" s="7" t="n"/>
      <c r="S1731" s="8">
        <f>IF(NOT(ISNUMBER(M1731)),"",IF(G1731="Terreno",IF(AND(ISNUMBER(I1731),I1731&gt;0),M1731/I1731,""),IF(AND(ISNUMBER(H1731),H1731&gt;0),M1731/H1731,"")))</f>
        <v/>
      </c>
      <c r="T1731" s="9">
        <f>IF(AND(ISNUMBER(M1731),ISNUMBER(O1731)),IF(M1731&lt;=O1731,"Valor ≤ venal IPTU",""),"")</f>
        <v/>
      </c>
      <c r="U1731" s="10">
        <f>IF(AND(ISNUMBER(M1731),ISNUMBER(N1731)),IF(N1731&gt;0,M1731/N1731,""),"")</f>
        <v/>
      </c>
      <c r="V1731" s="10">
        <f>IF(AND(ISNUMBER(M1731),ISNUMBER(O1731)),IF(O1731&gt;0,M1731/O1731,""),"")</f>
        <v/>
      </c>
      <c r="W1731" s="10">
        <f>IF(AND(ISNUMBER(M1731),ISNUMBER(R1731)),IF(R1731&gt;0,M1731/R1731,""),"")</f>
        <v/>
      </c>
      <c r="X1731" s="10">
        <f>IF(AND(ISNUMBER(Q1731),ISNUMBER(M1731)),IF(M1731&gt;0,Q1731/M1731,""),"")</f>
        <v/>
      </c>
      <c r="Y1731" s="11">
        <f>IF(ISNUMBER(Z1731),YEAR(Z1731),"")</f>
        <v/>
      </c>
      <c r="Z1731" s="12" t="n"/>
      <c r="AA1731" s="12" t="n"/>
      <c r="AI1731" s="12" t="n"/>
      <c r="AJ1731" s="13">
        <f>IF(LEN(TRIM(AF1731))=0,"",HYPERLINK("https://www.google.com/maps/@?api=1&amp;map_action=pano&amp;viewpoint="&amp;SUBSTITUTE(AF1731," ",""),"Abrir Street View"))</f>
        <v/>
      </c>
    </row>
    <row r="1732">
      <c r="H1732" s="6" t="n"/>
      <c r="I1732" s="6" t="n"/>
      <c r="M1732" s="7" t="n"/>
      <c r="N1732" s="7" t="n"/>
      <c r="O1732" s="7" t="n"/>
      <c r="Q1732" s="7" t="n"/>
      <c r="R1732" s="7" t="n"/>
      <c r="S1732" s="8">
        <f>IF(NOT(ISNUMBER(M1732)),"",IF(G1732="Terreno",IF(AND(ISNUMBER(I1732),I1732&gt;0),M1732/I1732,""),IF(AND(ISNUMBER(H1732),H1732&gt;0),M1732/H1732,"")))</f>
        <v/>
      </c>
      <c r="T1732" s="9">
        <f>IF(AND(ISNUMBER(M1732),ISNUMBER(O1732)),IF(M1732&lt;=O1732,"Valor ≤ venal IPTU",""),"")</f>
        <v/>
      </c>
      <c r="U1732" s="10">
        <f>IF(AND(ISNUMBER(M1732),ISNUMBER(N1732)),IF(N1732&gt;0,M1732/N1732,""),"")</f>
        <v/>
      </c>
      <c r="V1732" s="10">
        <f>IF(AND(ISNUMBER(M1732),ISNUMBER(O1732)),IF(O1732&gt;0,M1732/O1732,""),"")</f>
        <v/>
      </c>
      <c r="W1732" s="10">
        <f>IF(AND(ISNUMBER(M1732),ISNUMBER(R1732)),IF(R1732&gt;0,M1732/R1732,""),"")</f>
        <v/>
      </c>
      <c r="X1732" s="10">
        <f>IF(AND(ISNUMBER(Q1732),ISNUMBER(M1732)),IF(M1732&gt;0,Q1732/M1732,""),"")</f>
        <v/>
      </c>
      <c r="Y1732" s="11">
        <f>IF(ISNUMBER(Z1732),YEAR(Z1732),"")</f>
        <v/>
      </c>
      <c r="Z1732" s="12" t="n"/>
      <c r="AA1732" s="12" t="n"/>
      <c r="AI1732" s="12" t="n"/>
      <c r="AJ1732" s="13">
        <f>IF(LEN(TRIM(AF1732))=0,"",HYPERLINK("https://www.google.com/maps/@?api=1&amp;map_action=pano&amp;viewpoint="&amp;SUBSTITUTE(AF1732," ",""),"Abrir Street View"))</f>
        <v/>
      </c>
    </row>
    <row r="1733">
      <c r="H1733" s="6" t="n"/>
      <c r="I1733" s="6" t="n"/>
      <c r="M1733" s="7" t="n"/>
      <c r="N1733" s="7" t="n"/>
      <c r="O1733" s="7" t="n"/>
      <c r="Q1733" s="7" t="n"/>
      <c r="R1733" s="7" t="n"/>
      <c r="S1733" s="8">
        <f>IF(NOT(ISNUMBER(M1733)),"",IF(G1733="Terreno",IF(AND(ISNUMBER(I1733),I1733&gt;0),M1733/I1733,""),IF(AND(ISNUMBER(H1733),H1733&gt;0),M1733/H1733,"")))</f>
        <v/>
      </c>
      <c r="T1733" s="9">
        <f>IF(AND(ISNUMBER(M1733),ISNUMBER(O1733)),IF(M1733&lt;=O1733,"Valor ≤ venal IPTU",""),"")</f>
        <v/>
      </c>
      <c r="U1733" s="10">
        <f>IF(AND(ISNUMBER(M1733),ISNUMBER(N1733)),IF(N1733&gt;0,M1733/N1733,""),"")</f>
        <v/>
      </c>
      <c r="V1733" s="10">
        <f>IF(AND(ISNUMBER(M1733),ISNUMBER(O1733)),IF(O1733&gt;0,M1733/O1733,""),"")</f>
        <v/>
      </c>
      <c r="W1733" s="10">
        <f>IF(AND(ISNUMBER(M1733),ISNUMBER(R1733)),IF(R1733&gt;0,M1733/R1733,""),"")</f>
        <v/>
      </c>
      <c r="X1733" s="10">
        <f>IF(AND(ISNUMBER(Q1733),ISNUMBER(M1733)),IF(M1733&gt;0,Q1733/M1733,""),"")</f>
        <v/>
      </c>
      <c r="Y1733" s="11">
        <f>IF(ISNUMBER(Z1733),YEAR(Z1733),"")</f>
        <v/>
      </c>
      <c r="Z1733" s="12" t="n"/>
      <c r="AA1733" s="12" t="n"/>
      <c r="AI1733" s="12" t="n"/>
      <c r="AJ1733" s="13">
        <f>IF(LEN(TRIM(AF1733))=0,"",HYPERLINK("https://www.google.com/maps/@?api=1&amp;map_action=pano&amp;viewpoint="&amp;SUBSTITUTE(AF1733," ",""),"Abrir Street View"))</f>
        <v/>
      </c>
    </row>
    <row r="1734">
      <c r="H1734" s="6" t="n"/>
      <c r="I1734" s="6" t="n"/>
      <c r="M1734" s="7" t="n"/>
      <c r="N1734" s="7" t="n"/>
      <c r="O1734" s="7" t="n"/>
      <c r="Q1734" s="7" t="n"/>
      <c r="R1734" s="7" t="n"/>
      <c r="S1734" s="8">
        <f>IF(NOT(ISNUMBER(M1734)),"",IF(G1734="Terreno",IF(AND(ISNUMBER(I1734),I1734&gt;0),M1734/I1734,""),IF(AND(ISNUMBER(H1734),H1734&gt;0),M1734/H1734,"")))</f>
        <v/>
      </c>
      <c r="T1734" s="9">
        <f>IF(AND(ISNUMBER(M1734),ISNUMBER(O1734)),IF(M1734&lt;=O1734,"Valor ≤ venal IPTU",""),"")</f>
        <v/>
      </c>
      <c r="U1734" s="10">
        <f>IF(AND(ISNUMBER(M1734),ISNUMBER(N1734)),IF(N1734&gt;0,M1734/N1734,""),"")</f>
        <v/>
      </c>
      <c r="V1734" s="10">
        <f>IF(AND(ISNUMBER(M1734),ISNUMBER(O1734)),IF(O1734&gt;0,M1734/O1734,""),"")</f>
        <v/>
      </c>
      <c r="W1734" s="10">
        <f>IF(AND(ISNUMBER(M1734),ISNUMBER(R1734)),IF(R1734&gt;0,M1734/R1734,""),"")</f>
        <v/>
      </c>
      <c r="X1734" s="10">
        <f>IF(AND(ISNUMBER(Q1734),ISNUMBER(M1734)),IF(M1734&gt;0,Q1734/M1734,""),"")</f>
        <v/>
      </c>
      <c r="Y1734" s="11">
        <f>IF(ISNUMBER(Z1734),YEAR(Z1734),"")</f>
        <v/>
      </c>
      <c r="Z1734" s="12" t="n"/>
      <c r="AA1734" s="12" t="n"/>
      <c r="AI1734" s="12" t="n"/>
      <c r="AJ1734" s="13">
        <f>IF(LEN(TRIM(AF1734))=0,"",HYPERLINK("https://www.google.com/maps/@?api=1&amp;map_action=pano&amp;viewpoint="&amp;SUBSTITUTE(AF1734," ",""),"Abrir Street View"))</f>
        <v/>
      </c>
    </row>
    <row r="1735">
      <c r="H1735" s="6" t="n"/>
      <c r="I1735" s="6" t="n"/>
      <c r="M1735" s="7" t="n"/>
      <c r="N1735" s="7" t="n"/>
      <c r="O1735" s="7" t="n"/>
      <c r="Q1735" s="7" t="n"/>
      <c r="R1735" s="7" t="n"/>
      <c r="S1735" s="8">
        <f>IF(NOT(ISNUMBER(M1735)),"",IF(G1735="Terreno",IF(AND(ISNUMBER(I1735),I1735&gt;0),M1735/I1735,""),IF(AND(ISNUMBER(H1735),H1735&gt;0),M1735/H1735,"")))</f>
        <v/>
      </c>
      <c r="T1735" s="9">
        <f>IF(AND(ISNUMBER(M1735),ISNUMBER(O1735)),IF(M1735&lt;=O1735,"Valor ≤ venal IPTU",""),"")</f>
        <v/>
      </c>
      <c r="U1735" s="10">
        <f>IF(AND(ISNUMBER(M1735),ISNUMBER(N1735)),IF(N1735&gt;0,M1735/N1735,""),"")</f>
        <v/>
      </c>
      <c r="V1735" s="10">
        <f>IF(AND(ISNUMBER(M1735),ISNUMBER(O1735)),IF(O1735&gt;0,M1735/O1735,""),"")</f>
        <v/>
      </c>
      <c r="W1735" s="10">
        <f>IF(AND(ISNUMBER(M1735),ISNUMBER(R1735)),IF(R1735&gt;0,M1735/R1735,""),"")</f>
        <v/>
      </c>
      <c r="X1735" s="10">
        <f>IF(AND(ISNUMBER(Q1735),ISNUMBER(M1735)),IF(M1735&gt;0,Q1735/M1735,""),"")</f>
        <v/>
      </c>
      <c r="Y1735" s="11">
        <f>IF(ISNUMBER(Z1735),YEAR(Z1735),"")</f>
        <v/>
      </c>
      <c r="Z1735" s="12" t="n"/>
      <c r="AA1735" s="12" t="n"/>
      <c r="AI1735" s="12" t="n"/>
      <c r="AJ1735" s="13">
        <f>IF(LEN(TRIM(AF1735))=0,"",HYPERLINK("https://www.google.com/maps/@?api=1&amp;map_action=pano&amp;viewpoint="&amp;SUBSTITUTE(AF1735," ",""),"Abrir Street View"))</f>
        <v/>
      </c>
    </row>
    <row r="1736">
      <c r="H1736" s="6" t="n"/>
      <c r="I1736" s="6" t="n"/>
      <c r="M1736" s="7" t="n"/>
      <c r="N1736" s="7" t="n"/>
      <c r="O1736" s="7" t="n"/>
      <c r="Q1736" s="7" t="n"/>
      <c r="R1736" s="7" t="n"/>
      <c r="S1736" s="8">
        <f>IF(NOT(ISNUMBER(M1736)),"",IF(G1736="Terreno",IF(AND(ISNUMBER(I1736),I1736&gt;0),M1736/I1736,""),IF(AND(ISNUMBER(H1736),H1736&gt;0),M1736/H1736,"")))</f>
        <v/>
      </c>
      <c r="T1736" s="9">
        <f>IF(AND(ISNUMBER(M1736),ISNUMBER(O1736)),IF(M1736&lt;=O1736,"Valor ≤ venal IPTU",""),"")</f>
        <v/>
      </c>
      <c r="U1736" s="10">
        <f>IF(AND(ISNUMBER(M1736),ISNUMBER(N1736)),IF(N1736&gt;0,M1736/N1736,""),"")</f>
        <v/>
      </c>
      <c r="V1736" s="10">
        <f>IF(AND(ISNUMBER(M1736),ISNUMBER(O1736)),IF(O1736&gt;0,M1736/O1736,""),"")</f>
        <v/>
      </c>
      <c r="W1736" s="10">
        <f>IF(AND(ISNUMBER(M1736),ISNUMBER(R1736)),IF(R1736&gt;0,M1736/R1736,""),"")</f>
        <v/>
      </c>
      <c r="X1736" s="10">
        <f>IF(AND(ISNUMBER(Q1736),ISNUMBER(M1736)),IF(M1736&gt;0,Q1736/M1736,""),"")</f>
        <v/>
      </c>
      <c r="Y1736" s="11">
        <f>IF(ISNUMBER(Z1736),YEAR(Z1736),"")</f>
        <v/>
      </c>
      <c r="Z1736" s="12" t="n"/>
      <c r="AA1736" s="12" t="n"/>
      <c r="AI1736" s="12" t="n"/>
      <c r="AJ1736" s="13">
        <f>IF(LEN(TRIM(AF1736))=0,"",HYPERLINK("https://www.google.com/maps/@?api=1&amp;map_action=pano&amp;viewpoint="&amp;SUBSTITUTE(AF1736," ",""),"Abrir Street View"))</f>
        <v/>
      </c>
    </row>
    <row r="1737">
      <c r="H1737" s="6" t="n"/>
      <c r="I1737" s="6" t="n"/>
      <c r="M1737" s="7" t="n"/>
      <c r="N1737" s="7" t="n"/>
      <c r="O1737" s="7" t="n"/>
      <c r="Q1737" s="7" t="n"/>
      <c r="R1737" s="7" t="n"/>
      <c r="S1737" s="8">
        <f>IF(NOT(ISNUMBER(M1737)),"",IF(G1737="Terreno",IF(AND(ISNUMBER(I1737),I1737&gt;0),M1737/I1737,""),IF(AND(ISNUMBER(H1737),H1737&gt;0),M1737/H1737,"")))</f>
        <v/>
      </c>
      <c r="T1737" s="9">
        <f>IF(AND(ISNUMBER(M1737),ISNUMBER(O1737)),IF(M1737&lt;=O1737,"Valor ≤ venal IPTU",""),"")</f>
        <v/>
      </c>
      <c r="U1737" s="10">
        <f>IF(AND(ISNUMBER(M1737),ISNUMBER(N1737)),IF(N1737&gt;0,M1737/N1737,""),"")</f>
        <v/>
      </c>
      <c r="V1737" s="10">
        <f>IF(AND(ISNUMBER(M1737),ISNUMBER(O1737)),IF(O1737&gt;0,M1737/O1737,""),"")</f>
        <v/>
      </c>
      <c r="W1737" s="10">
        <f>IF(AND(ISNUMBER(M1737),ISNUMBER(R1737)),IF(R1737&gt;0,M1737/R1737,""),"")</f>
        <v/>
      </c>
      <c r="X1737" s="10">
        <f>IF(AND(ISNUMBER(Q1737),ISNUMBER(M1737)),IF(M1737&gt;0,Q1737/M1737,""),"")</f>
        <v/>
      </c>
      <c r="Y1737" s="11">
        <f>IF(ISNUMBER(Z1737),YEAR(Z1737),"")</f>
        <v/>
      </c>
      <c r="Z1737" s="12" t="n"/>
      <c r="AA1737" s="12" t="n"/>
      <c r="AI1737" s="12" t="n"/>
      <c r="AJ1737" s="13">
        <f>IF(LEN(TRIM(AF1737))=0,"",HYPERLINK("https://www.google.com/maps/@?api=1&amp;map_action=pano&amp;viewpoint="&amp;SUBSTITUTE(AF1737," ",""),"Abrir Street View"))</f>
        <v/>
      </c>
    </row>
    <row r="1738">
      <c r="H1738" s="6" t="n"/>
      <c r="I1738" s="6" t="n"/>
      <c r="M1738" s="7" t="n"/>
      <c r="N1738" s="7" t="n"/>
      <c r="O1738" s="7" t="n"/>
      <c r="Q1738" s="7" t="n"/>
      <c r="R1738" s="7" t="n"/>
      <c r="S1738" s="8">
        <f>IF(NOT(ISNUMBER(M1738)),"",IF(G1738="Terreno",IF(AND(ISNUMBER(I1738),I1738&gt;0),M1738/I1738,""),IF(AND(ISNUMBER(H1738),H1738&gt;0),M1738/H1738,"")))</f>
        <v/>
      </c>
      <c r="T1738" s="9">
        <f>IF(AND(ISNUMBER(M1738),ISNUMBER(O1738)),IF(M1738&lt;=O1738,"Valor ≤ venal IPTU",""),"")</f>
        <v/>
      </c>
      <c r="U1738" s="10">
        <f>IF(AND(ISNUMBER(M1738),ISNUMBER(N1738)),IF(N1738&gt;0,M1738/N1738,""),"")</f>
        <v/>
      </c>
      <c r="V1738" s="10">
        <f>IF(AND(ISNUMBER(M1738),ISNUMBER(O1738)),IF(O1738&gt;0,M1738/O1738,""),"")</f>
        <v/>
      </c>
      <c r="W1738" s="10">
        <f>IF(AND(ISNUMBER(M1738),ISNUMBER(R1738)),IF(R1738&gt;0,M1738/R1738,""),"")</f>
        <v/>
      </c>
      <c r="X1738" s="10">
        <f>IF(AND(ISNUMBER(Q1738),ISNUMBER(M1738)),IF(M1738&gt;0,Q1738/M1738,""),"")</f>
        <v/>
      </c>
      <c r="Y1738" s="11">
        <f>IF(ISNUMBER(Z1738),YEAR(Z1738),"")</f>
        <v/>
      </c>
      <c r="Z1738" s="12" t="n"/>
      <c r="AA1738" s="12" t="n"/>
      <c r="AI1738" s="12" t="n"/>
      <c r="AJ1738" s="13">
        <f>IF(LEN(TRIM(AF1738))=0,"",HYPERLINK("https://www.google.com/maps/@?api=1&amp;map_action=pano&amp;viewpoint="&amp;SUBSTITUTE(AF1738," ",""),"Abrir Street View"))</f>
        <v/>
      </c>
    </row>
    <row r="1739">
      <c r="H1739" s="6" t="n"/>
      <c r="I1739" s="6" t="n"/>
      <c r="M1739" s="7" t="n"/>
      <c r="N1739" s="7" t="n"/>
      <c r="O1739" s="7" t="n"/>
      <c r="Q1739" s="7" t="n"/>
      <c r="R1739" s="7" t="n"/>
      <c r="S1739" s="8">
        <f>IF(NOT(ISNUMBER(M1739)),"",IF(G1739="Terreno",IF(AND(ISNUMBER(I1739),I1739&gt;0),M1739/I1739,""),IF(AND(ISNUMBER(H1739),H1739&gt;0),M1739/H1739,"")))</f>
        <v/>
      </c>
      <c r="T1739" s="9">
        <f>IF(AND(ISNUMBER(M1739),ISNUMBER(O1739)),IF(M1739&lt;=O1739,"Valor ≤ venal IPTU",""),"")</f>
        <v/>
      </c>
      <c r="U1739" s="10">
        <f>IF(AND(ISNUMBER(M1739),ISNUMBER(N1739)),IF(N1739&gt;0,M1739/N1739,""),"")</f>
        <v/>
      </c>
      <c r="V1739" s="10">
        <f>IF(AND(ISNUMBER(M1739),ISNUMBER(O1739)),IF(O1739&gt;0,M1739/O1739,""),"")</f>
        <v/>
      </c>
      <c r="W1739" s="10">
        <f>IF(AND(ISNUMBER(M1739),ISNUMBER(R1739)),IF(R1739&gt;0,M1739/R1739,""),"")</f>
        <v/>
      </c>
      <c r="X1739" s="10">
        <f>IF(AND(ISNUMBER(Q1739),ISNUMBER(M1739)),IF(M1739&gt;0,Q1739/M1739,""),"")</f>
        <v/>
      </c>
      <c r="Y1739" s="11">
        <f>IF(ISNUMBER(Z1739),YEAR(Z1739),"")</f>
        <v/>
      </c>
      <c r="Z1739" s="12" t="n"/>
      <c r="AA1739" s="12" t="n"/>
      <c r="AI1739" s="12" t="n"/>
      <c r="AJ1739" s="13">
        <f>IF(LEN(TRIM(AF1739))=0,"",HYPERLINK("https://www.google.com/maps/@?api=1&amp;map_action=pano&amp;viewpoint="&amp;SUBSTITUTE(AF1739," ",""),"Abrir Street View"))</f>
        <v/>
      </c>
    </row>
    <row r="1740">
      <c r="H1740" s="6" t="n"/>
      <c r="I1740" s="6" t="n"/>
      <c r="M1740" s="7" t="n"/>
      <c r="N1740" s="7" t="n"/>
      <c r="O1740" s="7" t="n"/>
      <c r="Q1740" s="7" t="n"/>
      <c r="R1740" s="7" t="n"/>
      <c r="S1740" s="8">
        <f>IF(NOT(ISNUMBER(M1740)),"",IF(G1740="Terreno",IF(AND(ISNUMBER(I1740),I1740&gt;0),M1740/I1740,""),IF(AND(ISNUMBER(H1740),H1740&gt;0),M1740/H1740,"")))</f>
        <v/>
      </c>
      <c r="T1740" s="9">
        <f>IF(AND(ISNUMBER(M1740),ISNUMBER(O1740)),IF(M1740&lt;=O1740,"Valor ≤ venal IPTU",""),"")</f>
        <v/>
      </c>
      <c r="U1740" s="10">
        <f>IF(AND(ISNUMBER(M1740),ISNUMBER(N1740)),IF(N1740&gt;0,M1740/N1740,""),"")</f>
        <v/>
      </c>
      <c r="V1740" s="10">
        <f>IF(AND(ISNUMBER(M1740),ISNUMBER(O1740)),IF(O1740&gt;0,M1740/O1740,""),"")</f>
        <v/>
      </c>
      <c r="W1740" s="10">
        <f>IF(AND(ISNUMBER(M1740),ISNUMBER(R1740)),IF(R1740&gt;0,M1740/R1740,""),"")</f>
        <v/>
      </c>
      <c r="X1740" s="10">
        <f>IF(AND(ISNUMBER(Q1740),ISNUMBER(M1740)),IF(M1740&gt;0,Q1740/M1740,""),"")</f>
        <v/>
      </c>
      <c r="Y1740" s="11">
        <f>IF(ISNUMBER(Z1740),YEAR(Z1740),"")</f>
        <v/>
      </c>
      <c r="Z1740" s="12" t="n"/>
      <c r="AA1740" s="12" t="n"/>
      <c r="AI1740" s="12" t="n"/>
      <c r="AJ1740" s="13">
        <f>IF(LEN(TRIM(AF1740))=0,"",HYPERLINK("https://www.google.com/maps/@?api=1&amp;map_action=pano&amp;viewpoint="&amp;SUBSTITUTE(AF1740," ",""),"Abrir Street View"))</f>
        <v/>
      </c>
    </row>
    <row r="1741">
      <c r="H1741" s="6" t="n"/>
      <c r="I1741" s="6" t="n"/>
      <c r="M1741" s="7" t="n"/>
      <c r="N1741" s="7" t="n"/>
      <c r="O1741" s="7" t="n"/>
      <c r="Q1741" s="7" t="n"/>
      <c r="R1741" s="7" t="n"/>
      <c r="S1741" s="8">
        <f>IF(NOT(ISNUMBER(M1741)),"",IF(G1741="Terreno",IF(AND(ISNUMBER(I1741),I1741&gt;0),M1741/I1741,""),IF(AND(ISNUMBER(H1741),H1741&gt;0),M1741/H1741,"")))</f>
        <v/>
      </c>
      <c r="T1741" s="9">
        <f>IF(AND(ISNUMBER(M1741),ISNUMBER(O1741)),IF(M1741&lt;=O1741,"Valor ≤ venal IPTU",""),"")</f>
        <v/>
      </c>
      <c r="U1741" s="10">
        <f>IF(AND(ISNUMBER(M1741),ISNUMBER(N1741)),IF(N1741&gt;0,M1741/N1741,""),"")</f>
        <v/>
      </c>
      <c r="V1741" s="10">
        <f>IF(AND(ISNUMBER(M1741),ISNUMBER(O1741)),IF(O1741&gt;0,M1741/O1741,""),"")</f>
        <v/>
      </c>
      <c r="W1741" s="10">
        <f>IF(AND(ISNUMBER(M1741),ISNUMBER(R1741)),IF(R1741&gt;0,M1741/R1741,""),"")</f>
        <v/>
      </c>
      <c r="X1741" s="10">
        <f>IF(AND(ISNUMBER(Q1741),ISNUMBER(M1741)),IF(M1741&gt;0,Q1741/M1741,""),"")</f>
        <v/>
      </c>
      <c r="Y1741" s="11">
        <f>IF(ISNUMBER(Z1741),YEAR(Z1741),"")</f>
        <v/>
      </c>
      <c r="Z1741" s="12" t="n"/>
      <c r="AA1741" s="12" t="n"/>
      <c r="AI1741" s="12" t="n"/>
      <c r="AJ1741" s="13">
        <f>IF(LEN(TRIM(AF1741))=0,"",HYPERLINK("https://www.google.com/maps/@?api=1&amp;map_action=pano&amp;viewpoint="&amp;SUBSTITUTE(AF1741," ",""),"Abrir Street View"))</f>
        <v/>
      </c>
    </row>
    <row r="1742">
      <c r="H1742" s="6" t="n"/>
      <c r="I1742" s="6" t="n"/>
      <c r="M1742" s="7" t="n"/>
      <c r="N1742" s="7" t="n"/>
      <c r="O1742" s="7" t="n"/>
      <c r="Q1742" s="7" t="n"/>
      <c r="R1742" s="7" t="n"/>
      <c r="S1742" s="8">
        <f>IF(NOT(ISNUMBER(M1742)),"",IF(G1742="Terreno",IF(AND(ISNUMBER(I1742),I1742&gt;0),M1742/I1742,""),IF(AND(ISNUMBER(H1742),H1742&gt;0),M1742/H1742,"")))</f>
        <v/>
      </c>
      <c r="T1742" s="9">
        <f>IF(AND(ISNUMBER(M1742),ISNUMBER(O1742)),IF(M1742&lt;=O1742,"Valor ≤ venal IPTU",""),"")</f>
        <v/>
      </c>
      <c r="U1742" s="10">
        <f>IF(AND(ISNUMBER(M1742),ISNUMBER(N1742)),IF(N1742&gt;0,M1742/N1742,""),"")</f>
        <v/>
      </c>
      <c r="V1742" s="10">
        <f>IF(AND(ISNUMBER(M1742),ISNUMBER(O1742)),IF(O1742&gt;0,M1742/O1742,""),"")</f>
        <v/>
      </c>
      <c r="W1742" s="10">
        <f>IF(AND(ISNUMBER(M1742),ISNUMBER(R1742)),IF(R1742&gt;0,M1742/R1742,""),"")</f>
        <v/>
      </c>
      <c r="X1742" s="10">
        <f>IF(AND(ISNUMBER(Q1742),ISNUMBER(M1742)),IF(M1742&gt;0,Q1742/M1742,""),"")</f>
        <v/>
      </c>
      <c r="Y1742" s="11">
        <f>IF(ISNUMBER(Z1742),YEAR(Z1742),"")</f>
        <v/>
      </c>
      <c r="Z1742" s="12" t="n"/>
      <c r="AA1742" s="12" t="n"/>
      <c r="AI1742" s="12" t="n"/>
      <c r="AJ1742" s="13">
        <f>IF(LEN(TRIM(AF1742))=0,"",HYPERLINK("https://www.google.com/maps/@?api=1&amp;map_action=pano&amp;viewpoint="&amp;SUBSTITUTE(AF1742," ",""),"Abrir Street View"))</f>
        <v/>
      </c>
    </row>
    <row r="1743">
      <c r="H1743" s="6" t="n"/>
      <c r="I1743" s="6" t="n"/>
      <c r="M1743" s="7" t="n"/>
      <c r="N1743" s="7" t="n"/>
      <c r="O1743" s="7" t="n"/>
      <c r="Q1743" s="7" t="n"/>
      <c r="R1743" s="7" t="n"/>
      <c r="S1743" s="8">
        <f>IF(NOT(ISNUMBER(M1743)),"",IF(G1743="Terreno",IF(AND(ISNUMBER(I1743),I1743&gt;0),M1743/I1743,""),IF(AND(ISNUMBER(H1743),H1743&gt;0),M1743/H1743,"")))</f>
        <v/>
      </c>
      <c r="T1743" s="9">
        <f>IF(AND(ISNUMBER(M1743),ISNUMBER(O1743)),IF(M1743&lt;=O1743,"Valor ≤ venal IPTU",""),"")</f>
        <v/>
      </c>
      <c r="U1743" s="10">
        <f>IF(AND(ISNUMBER(M1743),ISNUMBER(N1743)),IF(N1743&gt;0,M1743/N1743,""),"")</f>
        <v/>
      </c>
      <c r="V1743" s="10">
        <f>IF(AND(ISNUMBER(M1743),ISNUMBER(O1743)),IF(O1743&gt;0,M1743/O1743,""),"")</f>
        <v/>
      </c>
      <c r="W1743" s="10">
        <f>IF(AND(ISNUMBER(M1743),ISNUMBER(R1743)),IF(R1743&gt;0,M1743/R1743,""),"")</f>
        <v/>
      </c>
      <c r="X1743" s="10">
        <f>IF(AND(ISNUMBER(Q1743),ISNUMBER(M1743)),IF(M1743&gt;0,Q1743/M1743,""),"")</f>
        <v/>
      </c>
      <c r="Y1743" s="11">
        <f>IF(ISNUMBER(Z1743),YEAR(Z1743),"")</f>
        <v/>
      </c>
      <c r="Z1743" s="12" t="n"/>
      <c r="AA1743" s="12" t="n"/>
      <c r="AI1743" s="12" t="n"/>
      <c r="AJ1743" s="13">
        <f>IF(LEN(TRIM(AF1743))=0,"",HYPERLINK("https://www.google.com/maps/@?api=1&amp;map_action=pano&amp;viewpoint="&amp;SUBSTITUTE(AF1743," ",""),"Abrir Street View"))</f>
        <v/>
      </c>
    </row>
    <row r="1744">
      <c r="H1744" s="6" t="n"/>
      <c r="I1744" s="6" t="n"/>
      <c r="M1744" s="7" t="n"/>
      <c r="N1744" s="7" t="n"/>
      <c r="O1744" s="7" t="n"/>
      <c r="Q1744" s="7" t="n"/>
      <c r="R1744" s="7" t="n"/>
      <c r="S1744" s="8">
        <f>IF(NOT(ISNUMBER(M1744)),"",IF(G1744="Terreno",IF(AND(ISNUMBER(I1744),I1744&gt;0),M1744/I1744,""),IF(AND(ISNUMBER(H1744),H1744&gt;0),M1744/H1744,"")))</f>
        <v/>
      </c>
      <c r="T1744" s="9">
        <f>IF(AND(ISNUMBER(M1744),ISNUMBER(O1744)),IF(M1744&lt;=O1744,"Valor ≤ venal IPTU",""),"")</f>
        <v/>
      </c>
      <c r="U1744" s="10">
        <f>IF(AND(ISNUMBER(M1744),ISNUMBER(N1744)),IF(N1744&gt;0,M1744/N1744,""),"")</f>
        <v/>
      </c>
      <c r="V1744" s="10">
        <f>IF(AND(ISNUMBER(M1744),ISNUMBER(O1744)),IF(O1744&gt;0,M1744/O1744,""),"")</f>
        <v/>
      </c>
      <c r="W1744" s="10">
        <f>IF(AND(ISNUMBER(M1744),ISNUMBER(R1744)),IF(R1744&gt;0,M1744/R1744,""),"")</f>
        <v/>
      </c>
      <c r="X1744" s="10">
        <f>IF(AND(ISNUMBER(Q1744),ISNUMBER(M1744)),IF(M1744&gt;0,Q1744/M1744,""),"")</f>
        <v/>
      </c>
      <c r="Y1744" s="11">
        <f>IF(ISNUMBER(Z1744),YEAR(Z1744),"")</f>
        <v/>
      </c>
      <c r="Z1744" s="12" t="n"/>
      <c r="AA1744" s="12" t="n"/>
      <c r="AI1744" s="12" t="n"/>
      <c r="AJ1744" s="13">
        <f>IF(LEN(TRIM(AF1744))=0,"",HYPERLINK("https://www.google.com/maps/@?api=1&amp;map_action=pano&amp;viewpoint="&amp;SUBSTITUTE(AF1744," ",""),"Abrir Street View"))</f>
        <v/>
      </c>
    </row>
    <row r="1745">
      <c r="H1745" s="6" t="n"/>
      <c r="I1745" s="6" t="n"/>
      <c r="M1745" s="7" t="n"/>
      <c r="N1745" s="7" t="n"/>
      <c r="O1745" s="7" t="n"/>
      <c r="Q1745" s="7" t="n"/>
      <c r="R1745" s="7" t="n"/>
      <c r="S1745" s="8">
        <f>IF(NOT(ISNUMBER(M1745)),"",IF(G1745="Terreno",IF(AND(ISNUMBER(I1745),I1745&gt;0),M1745/I1745,""),IF(AND(ISNUMBER(H1745),H1745&gt;0),M1745/H1745,"")))</f>
        <v/>
      </c>
      <c r="T1745" s="9">
        <f>IF(AND(ISNUMBER(M1745),ISNUMBER(O1745)),IF(M1745&lt;=O1745,"Valor ≤ venal IPTU",""),"")</f>
        <v/>
      </c>
      <c r="U1745" s="10">
        <f>IF(AND(ISNUMBER(M1745),ISNUMBER(N1745)),IF(N1745&gt;0,M1745/N1745,""),"")</f>
        <v/>
      </c>
      <c r="V1745" s="10">
        <f>IF(AND(ISNUMBER(M1745),ISNUMBER(O1745)),IF(O1745&gt;0,M1745/O1745,""),"")</f>
        <v/>
      </c>
      <c r="W1745" s="10">
        <f>IF(AND(ISNUMBER(M1745),ISNUMBER(R1745)),IF(R1745&gt;0,M1745/R1745,""),"")</f>
        <v/>
      </c>
      <c r="X1745" s="10">
        <f>IF(AND(ISNUMBER(Q1745),ISNUMBER(M1745)),IF(M1745&gt;0,Q1745/M1745,""),"")</f>
        <v/>
      </c>
      <c r="Y1745" s="11">
        <f>IF(ISNUMBER(Z1745),YEAR(Z1745),"")</f>
        <v/>
      </c>
      <c r="Z1745" s="12" t="n"/>
      <c r="AA1745" s="12" t="n"/>
      <c r="AI1745" s="12" t="n"/>
      <c r="AJ1745" s="13">
        <f>IF(LEN(TRIM(AF1745))=0,"",HYPERLINK("https://www.google.com/maps/@?api=1&amp;map_action=pano&amp;viewpoint="&amp;SUBSTITUTE(AF1745," ",""),"Abrir Street View"))</f>
        <v/>
      </c>
    </row>
    <row r="1746">
      <c r="H1746" s="6" t="n"/>
      <c r="I1746" s="6" t="n"/>
      <c r="M1746" s="7" t="n"/>
      <c r="N1746" s="7" t="n"/>
      <c r="O1746" s="7" t="n"/>
      <c r="Q1746" s="7" t="n"/>
      <c r="R1746" s="7" t="n"/>
      <c r="S1746" s="8">
        <f>IF(NOT(ISNUMBER(M1746)),"",IF(G1746="Terreno",IF(AND(ISNUMBER(I1746),I1746&gt;0),M1746/I1746,""),IF(AND(ISNUMBER(H1746),H1746&gt;0),M1746/H1746,"")))</f>
        <v/>
      </c>
      <c r="T1746" s="9">
        <f>IF(AND(ISNUMBER(M1746),ISNUMBER(O1746)),IF(M1746&lt;=O1746,"Valor ≤ venal IPTU",""),"")</f>
        <v/>
      </c>
      <c r="U1746" s="10">
        <f>IF(AND(ISNUMBER(M1746),ISNUMBER(N1746)),IF(N1746&gt;0,M1746/N1746,""),"")</f>
        <v/>
      </c>
      <c r="V1746" s="10">
        <f>IF(AND(ISNUMBER(M1746),ISNUMBER(O1746)),IF(O1746&gt;0,M1746/O1746,""),"")</f>
        <v/>
      </c>
      <c r="W1746" s="10">
        <f>IF(AND(ISNUMBER(M1746),ISNUMBER(R1746)),IF(R1746&gt;0,M1746/R1746,""),"")</f>
        <v/>
      </c>
      <c r="X1746" s="10">
        <f>IF(AND(ISNUMBER(Q1746),ISNUMBER(M1746)),IF(M1746&gt;0,Q1746/M1746,""),"")</f>
        <v/>
      </c>
      <c r="Y1746" s="11">
        <f>IF(ISNUMBER(Z1746),YEAR(Z1746),"")</f>
        <v/>
      </c>
      <c r="Z1746" s="12" t="n"/>
      <c r="AA1746" s="12" t="n"/>
      <c r="AI1746" s="12" t="n"/>
      <c r="AJ1746" s="13">
        <f>IF(LEN(TRIM(AF1746))=0,"",HYPERLINK("https://www.google.com/maps/@?api=1&amp;map_action=pano&amp;viewpoint="&amp;SUBSTITUTE(AF1746," ",""),"Abrir Street View"))</f>
        <v/>
      </c>
    </row>
    <row r="1747">
      <c r="H1747" s="6" t="n"/>
      <c r="I1747" s="6" t="n"/>
      <c r="M1747" s="7" t="n"/>
      <c r="N1747" s="7" t="n"/>
      <c r="O1747" s="7" t="n"/>
      <c r="Q1747" s="7" t="n"/>
      <c r="R1747" s="7" t="n"/>
      <c r="S1747" s="8">
        <f>IF(NOT(ISNUMBER(M1747)),"",IF(G1747="Terreno",IF(AND(ISNUMBER(I1747),I1747&gt;0),M1747/I1747,""),IF(AND(ISNUMBER(H1747),H1747&gt;0),M1747/H1747,"")))</f>
        <v/>
      </c>
      <c r="T1747" s="9">
        <f>IF(AND(ISNUMBER(M1747),ISNUMBER(O1747)),IF(M1747&lt;=O1747,"Valor ≤ venal IPTU",""),"")</f>
        <v/>
      </c>
      <c r="U1747" s="10">
        <f>IF(AND(ISNUMBER(M1747),ISNUMBER(N1747)),IF(N1747&gt;0,M1747/N1747,""),"")</f>
        <v/>
      </c>
      <c r="V1747" s="10">
        <f>IF(AND(ISNUMBER(M1747),ISNUMBER(O1747)),IF(O1747&gt;0,M1747/O1747,""),"")</f>
        <v/>
      </c>
      <c r="W1747" s="10">
        <f>IF(AND(ISNUMBER(M1747),ISNUMBER(R1747)),IF(R1747&gt;0,M1747/R1747,""),"")</f>
        <v/>
      </c>
      <c r="X1747" s="10">
        <f>IF(AND(ISNUMBER(Q1747),ISNUMBER(M1747)),IF(M1747&gt;0,Q1747/M1747,""),"")</f>
        <v/>
      </c>
      <c r="Y1747" s="11">
        <f>IF(ISNUMBER(Z1747),YEAR(Z1747),"")</f>
        <v/>
      </c>
      <c r="Z1747" s="12" t="n"/>
      <c r="AA1747" s="12" t="n"/>
      <c r="AI1747" s="12" t="n"/>
      <c r="AJ1747" s="13">
        <f>IF(LEN(TRIM(AF1747))=0,"",HYPERLINK("https://www.google.com/maps/@?api=1&amp;map_action=pano&amp;viewpoint="&amp;SUBSTITUTE(AF1747," ",""),"Abrir Street View"))</f>
        <v/>
      </c>
    </row>
    <row r="1748">
      <c r="H1748" s="6" t="n"/>
      <c r="I1748" s="6" t="n"/>
      <c r="M1748" s="7" t="n"/>
      <c r="N1748" s="7" t="n"/>
      <c r="O1748" s="7" t="n"/>
      <c r="Q1748" s="7" t="n"/>
      <c r="R1748" s="7" t="n"/>
      <c r="S1748" s="8">
        <f>IF(NOT(ISNUMBER(M1748)),"",IF(G1748="Terreno",IF(AND(ISNUMBER(I1748),I1748&gt;0),M1748/I1748,""),IF(AND(ISNUMBER(H1748),H1748&gt;0),M1748/H1748,"")))</f>
        <v/>
      </c>
      <c r="T1748" s="9">
        <f>IF(AND(ISNUMBER(M1748),ISNUMBER(O1748)),IF(M1748&lt;=O1748,"Valor ≤ venal IPTU",""),"")</f>
        <v/>
      </c>
      <c r="U1748" s="10">
        <f>IF(AND(ISNUMBER(M1748),ISNUMBER(N1748)),IF(N1748&gt;0,M1748/N1748,""),"")</f>
        <v/>
      </c>
      <c r="V1748" s="10">
        <f>IF(AND(ISNUMBER(M1748),ISNUMBER(O1748)),IF(O1748&gt;0,M1748/O1748,""),"")</f>
        <v/>
      </c>
      <c r="W1748" s="10">
        <f>IF(AND(ISNUMBER(M1748),ISNUMBER(R1748)),IF(R1748&gt;0,M1748/R1748,""),"")</f>
        <v/>
      </c>
      <c r="X1748" s="10">
        <f>IF(AND(ISNUMBER(Q1748),ISNUMBER(M1748)),IF(M1748&gt;0,Q1748/M1748,""),"")</f>
        <v/>
      </c>
      <c r="Y1748" s="11">
        <f>IF(ISNUMBER(Z1748),YEAR(Z1748),"")</f>
        <v/>
      </c>
      <c r="Z1748" s="12" t="n"/>
      <c r="AA1748" s="12" t="n"/>
      <c r="AI1748" s="12" t="n"/>
      <c r="AJ1748" s="13">
        <f>IF(LEN(TRIM(AF1748))=0,"",HYPERLINK("https://www.google.com/maps/@?api=1&amp;map_action=pano&amp;viewpoint="&amp;SUBSTITUTE(AF1748," ",""),"Abrir Street View"))</f>
        <v/>
      </c>
    </row>
    <row r="1749">
      <c r="H1749" s="6" t="n"/>
      <c r="I1749" s="6" t="n"/>
      <c r="M1749" s="7" t="n"/>
      <c r="N1749" s="7" t="n"/>
      <c r="O1749" s="7" t="n"/>
      <c r="Q1749" s="7" t="n"/>
      <c r="R1749" s="7" t="n"/>
      <c r="S1749" s="8">
        <f>IF(NOT(ISNUMBER(M1749)),"",IF(G1749="Terreno",IF(AND(ISNUMBER(I1749),I1749&gt;0),M1749/I1749,""),IF(AND(ISNUMBER(H1749),H1749&gt;0),M1749/H1749,"")))</f>
        <v/>
      </c>
      <c r="T1749" s="9">
        <f>IF(AND(ISNUMBER(M1749),ISNUMBER(O1749)),IF(M1749&lt;=O1749,"Valor ≤ venal IPTU",""),"")</f>
        <v/>
      </c>
      <c r="U1749" s="10">
        <f>IF(AND(ISNUMBER(M1749),ISNUMBER(N1749)),IF(N1749&gt;0,M1749/N1749,""),"")</f>
        <v/>
      </c>
      <c r="V1749" s="10">
        <f>IF(AND(ISNUMBER(M1749),ISNUMBER(O1749)),IF(O1749&gt;0,M1749/O1749,""),"")</f>
        <v/>
      </c>
      <c r="W1749" s="10">
        <f>IF(AND(ISNUMBER(M1749),ISNUMBER(R1749)),IF(R1749&gt;0,M1749/R1749,""),"")</f>
        <v/>
      </c>
      <c r="X1749" s="10">
        <f>IF(AND(ISNUMBER(Q1749),ISNUMBER(M1749)),IF(M1749&gt;0,Q1749/M1749,""),"")</f>
        <v/>
      </c>
      <c r="Y1749" s="11">
        <f>IF(ISNUMBER(Z1749),YEAR(Z1749),"")</f>
        <v/>
      </c>
      <c r="Z1749" s="12" t="n"/>
      <c r="AA1749" s="12" t="n"/>
      <c r="AI1749" s="12" t="n"/>
      <c r="AJ1749" s="13">
        <f>IF(LEN(TRIM(AF1749))=0,"",HYPERLINK("https://www.google.com/maps/@?api=1&amp;map_action=pano&amp;viewpoint="&amp;SUBSTITUTE(AF1749," ",""),"Abrir Street View"))</f>
        <v/>
      </c>
    </row>
    <row r="1750">
      <c r="H1750" s="6" t="n"/>
      <c r="I1750" s="6" t="n"/>
      <c r="M1750" s="7" t="n"/>
      <c r="N1750" s="7" t="n"/>
      <c r="O1750" s="7" t="n"/>
      <c r="Q1750" s="7" t="n"/>
      <c r="R1750" s="7" t="n"/>
      <c r="S1750" s="8">
        <f>IF(NOT(ISNUMBER(M1750)),"",IF(G1750="Terreno",IF(AND(ISNUMBER(I1750),I1750&gt;0),M1750/I1750,""),IF(AND(ISNUMBER(H1750),H1750&gt;0),M1750/H1750,"")))</f>
        <v/>
      </c>
      <c r="T1750" s="9">
        <f>IF(AND(ISNUMBER(M1750),ISNUMBER(O1750)),IF(M1750&lt;=O1750,"Valor ≤ venal IPTU",""),"")</f>
        <v/>
      </c>
      <c r="U1750" s="10">
        <f>IF(AND(ISNUMBER(M1750),ISNUMBER(N1750)),IF(N1750&gt;0,M1750/N1750,""),"")</f>
        <v/>
      </c>
      <c r="V1750" s="10">
        <f>IF(AND(ISNUMBER(M1750),ISNUMBER(O1750)),IF(O1750&gt;0,M1750/O1750,""),"")</f>
        <v/>
      </c>
      <c r="W1750" s="10">
        <f>IF(AND(ISNUMBER(M1750),ISNUMBER(R1750)),IF(R1750&gt;0,M1750/R1750,""),"")</f>
        <v/>
      </c>
      <c r="X1750" s="10">
        <f>IF(AND(ISNUMBER(Q1750),ISNUMBER(M1750)),IF(M1750&gt;0,Q1750/M1750,""),"")</f>
        <v/>
      </c>
      <c r="Y1750" s="11">
        <f>IF(ISNUMBER(Z1750),YEAR(Z1750),"")</f>
        <v/>
      </c>
      <c r="Z1750" s="12" t="n"/>
      <c r="AA1750" s="12" t="n"/>
      <c r="AI1750" s="12" t="n"/>
      <c r="AJ1750" s="13">
        <f>IF(LEN(TRIM(AF1750))=0,"",HYPERLINK("https://www.google.com/maps/@?api=1&amp;map_action=pano&amp;viewpoint="&amp;SUBSTITUTE(AF1750," ",""),"Abrir Street View"))</f>
        <v/>
      </c>
    </row>
    <row r="1751">
      <c r="H1751" s="6" t="n"/>
      <c r="I1751" s="6" t="n"/>
      <c r="M1751" s="7" t="n"/>
      <c r="N1751" s="7" t="n"/>
      <c r="O1751" s="7" t="n"/>
      <c r="Q1751" s="7" t="n"/>
      <c r="R1751" s="7" t="n"/>
      <c r="S1751" s="8">
        <f>IF(NOT(ISNUMBER(M1751)),"",IF(G1751="Terreno",IF(AND(ISNUMBER(I1751),I1751&gt;0),M1751/I1751,""),IF(AND(ISNUMBER(H1751),H1751&gt;0),M1751/H1751,"")))</f>
        <v/>
      </c>
      <c r="T1751" s="9">
        <f>IF(AND(ISNUMBER(M1751),ISNUMBER(O1751)),IF(M1751&lt;=O1751,"Valor ≤ venal IPTU",""),"")</f>
        <v/>
      </c>
      <c r="U1751" s="10">
        <f>IF(AND(ISNUMBER(M1751),ISNUMBER(N1751)),IF(N1751&gt;0,M1751/N1751,""),"")</f>
        <v/>
      </c>
      <c r="V1751" s="10">
        <f>IF(AND(ISNUMBER(M1751),ISNUMBER(O1751)),IF(O1751&gt;0,M1751/O1751,""),"")</f>
        <v/>
      </c>
      <c r="W1751" s="10">
        <f>IF(AND(ISNUMBER(M1751),ISNUMBER(R1751)),IF(R1751&gt;0,M1751/R1751,""),"")</f>
        <v/>
      </c>
      <c r="X1751" s="10">
        <f>IF(AND(ISNUMBER(Q1751),ISNUMBER(M1751)),IF(M1751&gt;0,Q1751/M1751,""),"")</f>
        <v/>
      </c>
      <c r="Y1751" s="11">
        <f>IF(ISNUMBER(Z1751),YEAR(Z1751),"")</f>
        <v/>
      </c>
      <c r="Z1751" s="12" t="n"/>
      <c r="AA1751" s="12" t="n"/>
      <c r="AI1751" s="12" t="n"/>
      <c r="AJ1751" s="13">
        <f>IF(LEN(TRIM(AF1751))=0,"",HYPERLINK("https://www.google.com/maps/@?api=1&amp;map_action=pano&amp;viewpoint="&amp;SUBSTITUTE(AF1751," ",""),"Abrir Street View"))</f>
        <v/>
      </c>
    </row>
    <row r="1752">
      <c r="H1752" s="6" t="n"/>
      <c r="I1752" s="6" t="n"/>
      <c r="M1752" s="7" t="n"/>
      <c r="N1752" s="7" t="n"/>
      <c r="O1752" s="7" t="n"/>
      <c r="Q1752" s="7" t="n"/>
      <c r="R1752" s="7" t="n"/>
      <c r="S1752" s="8">
        <f>IF(NOT(ISNUMBER(M1752)),"",IF(G1752="Terreno",IF(AND(ISNUMBER(I1752),I1752&gt;0),M1752/I1752,""),IF(AND(ISNUMBER(H1752),H1752&gt;0),M1752/H1752,"")))</f>
        <v/>
      </c>
      <c r="T1752" s="9">
        <f>IF(AND(ISNUMBER(M1752),ISNUMBER(O1752)),IF(M1752&lt;=O1752,"Valor ≤ venal IPTU",""),"")</f>
        <v/>
      </c>
      <c r="U1752" s="10">
        <f>IF(AND(ISNUMBER(M1752),ISNUMBER(N1752)),IF(N1752&gt;0,M1752/N1752,""),"")</f>
        <v/>
      </c>
      <c r="V1752" s="10">
        <f>IF(AND(ISNUMBER(M1752),ISNUMBER(O1752)),IF(O1752&gt;0,M1752/O1752,""),"")</f>
        <v/>
      </c>
      <c r="W1752" s="10">
        <f>IF(AND(ISNUMBER(M1752),ISNUMBER(R1752)),IF(R1752&gt;0,M1752/R1752,""),"")</f>
        <v/>
      </c>
      <c r="X1752" s="10">
        <f>IF(AND(ISNUMBER(Q1752),ISNUMBER(M1752)),IF(M1752&gt;0,Q1752/M1752,""),"")</f>
        <v/>
      </c>
      <c r="Y1752" s="11">
        <f>IF(ISNUMBER(Z1752),YEAR(Z1752),"")</f>
        <v/>
      </c>
      <c r="Z1752" s="12" t="n"/>
      <c r="AA1752" s="12" t="n"/>
      <c r="AI1752" s="12" t="n"/>
      <c r="AJ1752" s="13">
        <f>IF(LEN(TRIM(AF1752))=0,"",HYPERLINK("https://www.google.com/maps/@?api=1&amp;map_action=pano&amp;viewpoint="&amp;SUBSTITUTE(AF1752," ",""),"Abrir Street View"))</f>
        <v/>
      </c>
    </row>
    <row r="1753">
      <c r="H1753" s="6" t="n"/>
      <c r="I1753" s="6" t="n"/>
      <c r="M1753" s="7" t="n"/>
      <c r="N1753" s="7" t="n"/>
      <c r="O1753" s="7" t="n"/>
      <c r="Q1753" s="7" t="n"/>
      <c r="R1753" s="7" t="n"/>
      <c r="S1753" s="8">
        <f>IF(NOT(ISNUMBER(M1753)),"",IF(G1753="Terreno",IF(AND(ISNUMBER(I1753),I1753&gt;0),M1753/I1753,""),IF(AND(ISNUMBER(H1753),H1753&gt;0),M1753/H1753,"")))</f>
        <v/>
      </c>
      <c r="T1753" s="9">
        <f>IF(AND(ISNUMBER(M1753),ISNUMBER(O1753)),IF(M1753&lt;=O1753,"Valor ≤ venal IPTU",""),"")</f>
        <v/>
      </c>
      <c r="U1753" s="10">
        <f>IF(AND(ISNUMBER(M1753),ISNUMBER(N1753)),IF(N1753&gt;0,M1753/N1753,""),"")</f>
        <v/>
      </c>
      <c r="V1753" s="10">
        <f>IF(AND(ISNUMBER(M1753),ISNUMBER(O1753)),IF(O1753&gt;0,M1753/O1753,""),"")</f>
        <v/>
      </c>
      <c r="W1753" s="10">
        <f>IF(AND(ISNUMBER(M1753),ISNUMBER(R1753)),IF(R1753&gt;0,M1753/R1753,""),"")</f>
        <v/>
      </c>
      <c r="X1753" s="10">
        <f>IF(AND(ISNUMBER(Q1753),ISNUMBER(M1753)),IF(M1753&gt;0,Q1753/M1753,""),"")</f>
        <v/>
      </c>
      <c r="Y1753" s="11">
        <f>IF(ISNUMBER(Z1753),YEAR(Z1753),"")</f>
        <v/>
      </c>
      <c r="Z1753" s="12" t="n"/>
      <c r="AA1753" s="12" t="n"/>
      <c r="AI1753" s="12" t="n"/>
      <c r="AJ1753" s="13">
        <f>IF(LEN(TRIM(AF1753))=0,"",HYPERLINK("https://www.google.com/maps/@?api=1&amp;map_action=pano&amp;viewpoint="&amp;SUBSTITUTE(AF1753," ",""),"Abrir Street View"))</f>
        <v/>
      </c>
    </row>
    <row r="1754">
      <c r="H1754" s="6" t="n"/>
      <c r="I1754" s="6" t="n"/>
      <c r="M1754" s="7" t="n"/>
      <c r="N1754" s="7" t="n"/>
      <c r="O1754" s="7" t="n"/>
      <c r="Q1754" s="7" t="n"/>
      <c r="R1754" s="7" t="n"/>
      <c r="S1754" s="8">
        <f>IF(NOT(ISNUMBER(M1754)),"",IF(G1754="Terreno",IF(AND(ISNUMBER(I1754),I1754&gt;0),M1754/I1754,""),IF(AND(ISNUMBER(H1754),H1754&gt;0),M1754/H1754,"")))</f>
        <v/>
      </c>
      <c r="T1754" s="9">
        <f>IF(AND(ISNUMBER(M1754),ISNUMBER(O1754)),IF(M1754&lt;=O1754,"Valor ≤ venal IPTU",""),"")</f>
        <v/>
      </c>
      <c r="U1754" s="10">
        <f>IF(AND(ISNUMBER(M1754),ISNUMBER(N1754)),IF(N1754&gt;0,M1754/N1754,""),"")</f>
        <v/>
      </c>
      <c r="V1754" s="10">
        <f>IF(AND(ISNUMBER(M1754),ISNUMBER(O1754)),IF(O1754&gt;0,M1754/O1754,""),"")</f>
        <v/>
      </c>
      <c r="W1754" s="10">
        <f>IF(AND(ISNUMBER(M1754),ISNUMBER(R1754)),IF(R1754&gt;0,M1754/R1754,""),"")</f>
        <v/>
      </c>
      <c r="X1754" s="10">
        <f>IF(AND(ISNUMBER(Q1754),ISNUMBER(M1754)),IF(M1754&gt;0,Q1754/M1754,""),"")</f>
        <v/>
      </c>
      <c r="Y1754" s="11">
        <f>IF(ISNUMBER(Z1754),YEAR(Z1754),"")</f>
        <v/>
      </c>
      <c r="Z1754" s="12" t="n"/>
      <c r="AA1754" s="12" t="n"/>
      <c r="AI1754" s="12" t="n"/>
      <c r="AJ1754" s="13">
        <f>IF(LEN(TRIM(AF1754))=0,"",HYPERLINK("https://www.google.com/maps/@?api=1&amp;map_action=pano&amp;viewpoint="&amp;SUBSTITUTE(AF1754," ",""),"Abrir Street View"))</f>
        <v/>
      </c>
    </row>
    <row r="1755">
      <c r="H1755" s="6" t="n"/>
      <c r="I1755" s="6" t="n"/>
      <c r="M1755" s="7" t="n"/>
      <c r="N1755" s="7" t="n"/>
      <c r="O1755" s="7" t="n"/>
      <c r="Q1755" s="7" t="n"/>
      <c r="R1755" s="7" t="n"/>
      <c r="S1755" s="8">
        <f>IF(NOT(ISNUMBER(M1755)),"",IF(G1755="Terreno",IF(AND(ISNUMBER(I1755),I1755&gt;0),M1755/I1755,""),IF(AND(ISNUMBER(H1755),H1755&gt;0),M1755/H1755,"")))</f>
        <v/>
      </c>
      <c r="T1755" s="9">
        <f>IF(AND(ISNUMBER(M1755),ISNUMBER(O1755)),IF(M1755&lt;=O1755,"Valor ≤ venal IPTU",""),"")</f>
        <v/>
      </c>
      <c r="U1755" s="10">
        <f>IF(AND(ISNUMBER(M1755),ISNUMBER(N1755)),IF(N1755&gt;0,M1755/N1755,""),"")</f>
        <v/>
      </c>
      <c r="V1755" s="10">
        <f>IF(AND(ISNUMBER(M1755),ISNUMBER(O1755)),IF(O1755&gt;0,M1755/O1755,""),"")</f>
        <v/>
      </c>
      <c r="W1755" s="10">
        <f>IF(AND(ISNUMBER(M1755),ISNUMBER(R1755)),IF(R1755&gt;0,M1755/R1755,""),"")</f>
        <v/>
      </c>
      <c r="X1755" s="10">
        <f>IF(AND(ISNUMBER(Q1755),ISNUMBER(M1755)),IF(M1755&gt;0,Q1755/M1755,""),"")</f>
        <v/>
      </c>
      <c r="Y1755" s="11">
        <f>IF(ISNUMBER(Z1755),YEAR(Z1755),"")</f>
        <v/>
      </c>
      <c r="Z1755" s="12" t="n"/>
      <c r="AA1755" s="12" t="n"/>
      <c r="AI1755" s="12" t="n"/>
      <c r="AJ1755" s="13">
        <f>IF(LEN(TRIM(AF1755))=0,"",HYPERLINK("https://www.google.com/maps/@?api=1&amp;map_action=pano&amp;viewpoint="&amp;SUBSTITUTE(AF1755," ",""),"Abrir Street View"))</f>
        <v/>
      </c>
    </row>
    <row r="1756">
      <c r="H1756" s="6" t="n"/>
      <c r="I1756" s="6" t="n"/>
      <c r="M1756" s="7" t="n"/>
      <c r="N1756" s="7" t="n"/>
      <c r="O1756" s="7" t="n"/>
      <c r="Q1756" s="7" t="n"/>
      <c r="R1756" s="7" t="n"/>
      <c r="S1756" s="8">
        <f>IF(NOT(ISNUMBER(M1756)),"",IF(G1756="Terreno",IF(AND(ISNUMBER(I1756),I1756&gt;0),M1756/I1756,""),IF(AND(ISNUMBER(H1756),H1756&gt;0),M1756/H1756,"")))</f>
        <v/>
      </c>
      <c r="T1756" s="9">
        <f>IF(AND(ISNUMBER(M1756),ISNUMBER(O1756)),IF(M1756&lt;=O1756,"Valor ≤ venal IPTU",""),"")</f>
        <v/>
      </c>
      <c r="U1756" s="10">
        <f>IF(AND(ISNUMBER(M1756),ISNUMBER(N1756)),IF(N1756&gt;0,M1756/N1756,""),"")</f>
        <v/>
      </c>
      <c r="V1756" s="10">
        <f>IF(AND(ISNUMBER(M1756),ISNUMBER(O1756)),IF(O1756&gt;0,M1756/O1756,""),"")</f>
        <v/>
      </c>
      <c r="W1756" s="10">
        <f>IF(AND(ISNUMBER(M1756),ISNUMBER(R1756)),IF(R1756&gt;0,M1756/R1756,""),"")</f>
        <v/>
      </c>
      <c r="X1756" s="10">
        <f>IF(AND(ISNUMBER(Q1756),ISNUMBER(M1756)),IF(M1756&gt;0,Q1756/M1756,""),"")</f>
        <v/>
      </c>
      <c r="Y1756" s="11">
        <f>IF(ISNUMBER(Z1756),YEAR(Z1756),"")</f>
        <v/>
      </c>
      <c r="Z1756" s="12" t="n"/>
      <c r="AA1756" s="12" t="n"/>
      <c r="AI1756" s="12" t="n"/>
      <c r="AJ1756" s="13">
        <f>IF(LEN(TRIM(AF1756))=0,"",HYPERLINK("https://www.google.com/maps/@?api=1&amp;map_action=pano&amp;viewpoint="&amp;SUBSTITUTE(AF1756," ",""),"Abrir Street View"))</f>
        <v/>
      </c>
    </row>
    <row r="1757">
      <c r="H1757" s="6" t="n"/>
      <c r="I1757" s="6" t="n"/>
      <c r="M1757" s="7" t="n"/>
      <c r="N1757" s="7" t="n"/>
      <c r="O1757" s="7" t="n"/>
      <c r="Q1757" s="7" t="n"/>
      <c r="R1757" s="7" t="n"/>
      <c r="S1757" s="8">
        <f>IF(NOT(ISNUMBER(M1757)),"",IF(G1757="Terreno",IF(AND(ISNUMBER(I1757),I1757&gt;0),M1757/I1757,""),IF(AND(ISNUMBER(H1757),H1757&gt;0),M1757/H1757,"")))</f>
        <v/>
      </c>
      <c r="T1757" s="9">
        <f>IF(AND(ISNUMBER(M1757),ISNUMBER(O1757)),IF(M1757&lt;=O1757,"Valor ≤ venal IPTU",""),"")</f>
        <v/>
      </c>
      <c r="U1757" s="10">
        <f>IF(AND(ISNUMBER(M1757),ISNUMBER(N1757)),IF(N1757&gt;0,M1757/N1757,""),"")</f>
        <v/>
      </c>
      <c r="V1757" s="10">
        <f>IF(AND(ISNUMBER(M1757),ISNUMBER(O1757)),IF(O1757&gt;0,M1757/O1757,""),"")</f>
        <v/>
      </c>
      <c r="W1757" s="10">
        <f>IF(AND(ISNUMBER(M1757),ISNUMBER(R1757)),IF(R1757&gt;0,M1757/R1757,""),"")</f>
        <v/>
      </c>
      <c r="X1757" s="10">
        <f>IF(AND(ISNUMBER(Q1757),ISNUMBER(M1757)),IF(M1757&gt;0,Q1757/M1757,""),"")</f>
        <v/>
      </c>
      <c r="Y1757" s="11">
        <f>IF(ISNUMBER(Z1757),YEAR(Z1757),"")</f>
        <v/>
      </c>
      <c r="Z1757" s="12" t="n"/>
      <c r="AA1757" s="12" t="n"/>
      <c r="AI1757" s="12" t="n"/>
      <c r="AJ1757" s="13">
        <f>IF(LEN(TRIM(AF1757))=0,"",HYPERLINK("https://www.google.com/maps/@?api=1&amp;map_action=pano&amp;viewpoint="&amp;SUBSTITUTE(AF1757," ",""),"Abrir Street View"))</f>
        <v/>
      </c>
    </row>
    <row r="1758">
      <c r="H1758" s="6" t="n"/>
      <c r="I1758" s="6" t="n"/>
      <c r="M1758" s="7" t="n"/>
      <c r="N1758" s="7" t="n"/>
      <c r="O1758" s="7" t="n"/>
      <c r="Q1758" s="7" t="n"/>
      <c r="R1758" s="7" t="n"/>
      <c r="S1758" s="8">
        <f>IF(NOT(ISNUMBER(M1758)),"",IF(G1758="Terreno",IF(AND(ISNUMBER(I1758),I1758&gt;0),M1758/I1758,""),IF(AND(ISNUMBER(H1758),H1758&gt;0),M1758/H1758,"")))</f>
        <v/>
      </c>
      <c r="T1758" s="9">
        <f>IF(AND(ISNUMBER(M1758),ISNUMBER(O1758)),IF(M1758&lt;=O1758,"Valor ≤ venal IPTU",""),"")</f>
        <v/>
      </c>
      <c r="U1758" s="10">
        <f>IF(AND(ISNUMBER(M1758),ISNUMBER(N1758)),IF(N1758&gt;0,M1758/N1758,""),"")</f>
        <v/>
      </c>
      <c r="V1758" s="10">
        <f>IF(AND(ISNUMBER(M1758),ISNUMBER(O1758)),IF(O1758&gt;0,M1758/O1758,""),"")</f>
        <v/>
      </c>
      <c r="W1758" s="10">
        <f>IF(AND(ISNUMBER(M1758),ISNUMBER(R1758)),IF(R1758&gt;0,M1758/R1758,""),"")</f>
        <v/>
      </c>
      <c r="X1758" s="10">
        <f>IF(AND(ISNUMBER(Q1758),ISNUMBER(M1758)),IF(M1758&gt;0,Q1758/M1758,""),"")</f>
        <v/>
      </c>
      <c r="Y1758" s="11">
        <f>IF(ISNUMBER(Z1758),YEAR(Z1758),"")</f>
        <v/>
      </c>
      <c r="Z1758" s="12" t="n"/>
      <c r="AA1758" s="12" t="n"/>
      <c r="AI1758" s="12" t="n"/>
      <c r="AJ1758" s="13">
        <f>IF(LEN(TRIM(AF1758))=0,"",HYPERLINK("https://www.google.com/maps/@?api=1&amp;map_action=pano&amp;viewpoint="&amp;SUBSTITUTE(AF1758," ",""),"Abrir Street View"))</f>
        <v/>
      </c>
    </row>
    <row r="1759">
      <c r="H1759" s="6" t="n"/>
      <c r="I1759" s="6" t="n"/>
      <c r="M1759" s="7" t="n"/>
      <c r="N1759" s="7" t="n"/>
      <c r="O1759" s="7" t="n"/>
      <c r="Q1759" s="7" t="n"/>
      <c r="R1759" s="7" t="n"/>
      <c r="S1759" s="8">
        <f>IF(NOT(ISNUMBER(M1759)),"",IF(G1759="Terreno",IF(AND(ISNUMBER(I1759),I1759&gt;0),M1759/I1759,""),IF(AND(ISNUMBER(H1759),H1759&gt;0),M1759/H1759,"")))</f>
        <v/>
      </c>
      <c r="T1759" s="9">
        <f>IF(AND(ISNUMBER(M1759),ISNUMBER(O1759)),IF(M1759&lt;=O1759,"Valor ≤ venal IPTU",""),"")</f>
        <v/>
      </c>
      <c r="U1759" s="10">
        <f>IF(AND(ISNUMBER(M1759),ISNUMBER(N1759)),IF(N1759&gt;0,M1759/N1759,""),"")</f>
        <v/>
      </c>
      <c r="V1759" s="10">
        <f>IF(AND(ISNUMBER(M1759),ISNUMBER(O1759)),IF(O1759&gt;0,M1759/O1759,""),"")</f>
        <v/>
      </c>
      <c r="W1759" s="10">
        <f>IF(AND(ISNUMBER(M1759),ISNUMBER(R1759)),IF(R1759&gt;0,M1759/R1759,""),"")</f>
        <v/>
      </c>
      <c r="X1759" s="10">
        <f>IF(AND(ISNUMBER(Q1759),ISNUMBER(M1759)),IF(M1759&gt;0,Q1759/M1759,""),"")</f>
        <v/>
      </c>
      <c r="Y1759" s="11">
        <f>IF(ISNUMBER(Z1759),YEAR(Z1759),"")</f>
        <v/>
      </c>
      <c r="Z1759" s="12" t="n"/>
      <c r="AA1759" s="12" t="n"/>
      <c r="AI1759" s="12" t="n"/>
      <c r="AJ1759" s="13">
        <f>IF(LEN(TRIM(AF1759))=0,"",HYPERLINK("https://www.google.com/maps/@?api=1&amp;map_action=pano&amp;viewpoint="&amp;SUBSTITUTE(AF1759," ",""),"Abrir Street View"))</f>
        <v/>
      </c>
    </row>
    <row r="1760">
      <c r="H1760" s="6" t="n"/>
      <c r="I1760" s="6" t="n"/>
      <c r="M1760" s="7" t="n"/>
      <c r="N1760" s="7" t="n"/>
      <c r="O1760" s="7" t="n"/>
      <c r="Q1760" s="7" t="n"/>
      <c r="R1760" s="7" t="n"/>
      <c r="S1760" s="8">
        <f>IF(NOT(ISNUMBER(M1760)),"",IF(G1760="Terreno",IF(AND(ISNUMBER(I1760),I1760&gt;0),M1760/I1760,""),IF(AND(ISNUMBER(H1760),H1760&gt;0),M1760/H1760,"")))</f>
        <v/>
      </c>
      <c r="T1760" s="9">
        <f>IF(AND(ISNUMBER(M1760),ISNUMBER(O1760)),IF(M1760&lt;=O1760,"Valor ≤ venal IPTU",""),"")</f>
        <v/>
      </c>
      <c r="U1760" s="10">
        <f>IF(AND(ISNUMBER(M1760),ISNUMBER(N1760)),IF(N1760&gt;0,M1760/N1760,""),"")</f>
        <v/>
      </c>
      <c r="V1760" s="10">
        <f>IF(AND(ISNUMBER(M1760),ISNUMBER(O1760)),IF(O1760&gt;0,M1760/O1760,""),"")</f>
        <v/>
      </c>
      <c r="W1760" s="10">
        <f>IF(AND(ISNUMBER(M1760),ISNUMBER(R1760)),IF(R1760&gt;0,M1760/R1760,""),"")</f>
        <v/>
      </c>
      <c r="X1760" s="10">
        <f>IF(AND(ISNUMBER(Q1760),ISNUMBER(M1760)),IF(M1760&gt;0,Q1760/M1760,""),"")</f>
        <v/>
      </c>
      <c r="Y1760" s="11">
        <f>IF(ISNUMBER(Z1760),YEAR(Z1760),"")</f>
        <v/>
      </c>
      <c r="Z1760" s="12" t="n"/>
      <c r="AA1760" s="12" t="n"/>
      <c r="AI1760" s="12" t="n"/>
      <c r="AJ1760" s="13">
        <f>IF(LEN(TRIM(AF1760))=0,"",HYPERLINK("https://www.google.com/maps/@?api=1&amp;map_action=pano&amp;viewpoint="&amp;SUBSTITUTE(AF1760," ",""),"Abrir Street View"))</f>
        <v/>
      </c>
    </row>
    <row r="1761">
      <c r="H1761" s="6" t="n"/>
      <c r="I1761" s="6" t="n"/>
      <c r="M1761" s="7" t="n"/>
      <c r="N1761" s="7" t="n"/>
      <c r="O1761" s="7" t="n"/>
      <c r="Q1761" s="7" t="n"/>
      <c r="R1761" s="7" t="n"/>
      <c r="S1761" s="8">
        <f>IF(NOT(ISNUMBER(M1761)),"",IF(G1761="Terreno",IF(AND(ISNUMBER(I1761),I1761&gt;0),M1761/I1761,""),IF(AND(ISNUMBER(H1761),H1761&gt;0),M1761/H1761,"")))</f>
        <v/>
      </c>
      <c r="T1761" s="9">
        <f>IF(AND(ISNUMBER(M1761),ISNUMBER(O1761)),IF(M1761&lt;=O1761,"Valor ≤ venal IPTU",""),"")</f>
        <v/>
      </c>
      <c r="U1761" s="10">
        <f>IF(AND(ISNUMBER(M1761),ISNUMBER(N1761)),IF(N1761&gt;0,M1761/N1761,""),"")</f>
        <v/>
      </c>
      <c r="V1761" s="10">
        <f>IF(AND(ISNUMBER(M1761),ISNUMBER(O1761)),IF(O1761&gt;0,M1761/O1761,""),"")</f>
        <v/>
      </c>
      <c r="W1761" s="10">
        <f>IF(AND(ISNUMBER(M1761),ISNUMBER(R1761)),IF(R1761&gt;0,M1761/R1761,""),"")</f>
        <v/>
      </c>
      <c r="X1761" s="10">
        <f>IF(AND(ISNUMBER(Q1761),ISNUMBER(M1761)),IF(M1761&gt;0,Q1761/M1761,""),"")</f>
        <v/>
      </c>
      <c r="Y1761" s="11">
        <f>IF(ISNUMBER(Z1761),YEAR(Z1761),"")</f>
        <v/>
      </c>
      <c r="Z1761" s="12" t="n"/>
      <c r="AA1761" s="12" t="n"/>
      <c r="AI1761" s="12" t="n"/>
      <c r="AJ1761" s="13">
        <f>IF(LEN(TRIM(AF1761))=0,"",HYPERLINK("https://www.google.com/maps/@?api=1&amp;map_action=pano&amp;viewpoint="&amp;SUBSTITUTE(AF1761," ",""),"Abrir Street View"))</f>
        <v/>
      </c>
    </row>
    <row r="1762">
      <c r="H1762" s="6" t="n"/>
      <c r="I1762" s="6" t="n"/>
      <c r="M1762" s="7" t="n"/>
      <c r="N1762" s="7" t="n"/>
      <c r="O1762" s="7" t="n"/>
      <c r="Q1762" s="7" t="n"/>
      <c r="R1762" s="7" t="n"/>
      <c r="S1762" s="8">
        <f>IF(NOT(ISNUMBER(M1762)),"",IF(G1762="Terreno",IF(AND(ISNUMBER(I1762),I1762&gt;0),M1762/I1762,""),IF(AND(ISNUMBER(H1762),H1762&gt;0),M1762/H1762,"")))</f>
        <v/>
      </c>
      <c r="T1762" s="9">
        <f>IF(AND(ISNUMBER(M1762),ISNUMBER(O1762)),IF(M1762&lt;=O1762,"Valor ≤ venal IPTU",""),"")</f>
        <v/>
      </c>
      <c r="U1762" s="10">
        <f>IF(AND(ISNUMBER(M1762),ISNUMBER(N1762)),IF(N1762&gt;0,M1762/N1762,""),"")</f>
        <v/>
      </c>
      <c r="V1762" s="10">
        <f>IF(AND(ISNUMBER(M1762),ISNUMBER(O1762)),IF(O1762&gt;0,M1762/O1762,""),"")</f>
        <v/>
      </c>
      <c r="W1762" s="10">
        <f>IF(AND(ISNUMBER(M1762),ISNUMBER(R1762)),IF(R1762&gt;0,M1762/R1762,""),"")</f>
        <v/>
      </c>
      <c r="X1762" s="10">
        <f>IF(AND(ISNUMBER(Q1762),ISNUMBER(M1762)),IF(M1762&gt;0,Q1762/M1762,""),"")</f>
        <v/>
      </c>
      <c r="Y1762" s="11">
        <f>IF(ISNUMBER(Z1762),YEAR(Z1762),"")</f>
        <v/>
      </c>
      <c r="Z1762" s="12" t="n"/>
      <c r="AA1762" s="12" t="n"/>
      <c r="AI1762" s="12" t="n"/>
      <c r="AJ1762" s="13">
        <f>IF(LEN(TRIM(AF1762))=0,"",HYPERLINK("https://www.google.com/maps/@?api=1&amp;map_action=pano&amp;viewpoint="&amp;SUBSTITUTE(AF1762," ",""),"Abrir Street View"))</f>
        <v/>
      </c>
    </row>
    <row r="1763">
      <c r="H1763" s="6" t="n"/>
      <c r="I1763" s="6" t="n"/>
      <c r="M1763" s="7" t="n"/>
      <c r="N1763" s="7" t="n"/>
      <c r="O1763" s="7" t="n"/>
      <c r="Q1763" s="7" t="n"/>
      <c r="R1763" s="7" t="n"/>
      <c r="S1763" s="8">
        <f>IF(NOT(ISNUMBER(M1763)),"",IF(G1763="Terreno",IF(AND(ISNUMBER(I1763),I1763&gt;0),M1763/I1763,""),IF(AND(ISNUMBER(H1763),H1763&gt;0),M1763/H1763,"")))</f>
        <v/>
      </c>
      <c r="T1763" s="9">
        <f>IF(AND(ISNUMBER(M1763),ISNUMBER(O1763)),IF(M1763&lt;=O1763,"Valor ≤ venal IPTU",""),"")</f>
        <v/>
      </c>
      <c r="U1763" s="10">
        <f>IF(AND(ISNUMBER(M1763),ISNUMBER(N1763)),IF(N1763&gt;0,M1763/N1763,""),"")</f>
        <v/>
      </c>
      <c r="V1763" s="10">
        <f>IF(AND(ISNUMBER(M1763),ISNUMBER(O1763)),IF(O1763&gt;0,M1763/O1763,""),"")</f>
        <v/>
      </c>
      <c r="W1763" s="10">
        <f>IF(AND(ISNUMBER(M1763),ISNUMBER(R1763)),IF(R1763&gt;0,M1763/R1763,""),"")</f>
        <v/>
      </c>
      <c r="X1763" s="10">
        <f>IF(AND(ISNUMBER(Q1763),ISNUMBER(M1763)),IF(M1763&gt;0,Q1763/M1763,""),"")</f>
        <v/>
      </c>
      <c r="Y1763" s="11">
        <f>IF(ISNUMBER(Z1763),YEAR(Z1763),"")</f>
        <v/>
      </c>
      <c r="Z1763" s="12" t="n"/>
      <c r="AA1763" s="12" t="n"/>
      <c r="AI1763" s="12" t="n"/>
      <c r="AJ1763" s="13">
        <f>IF(LEN(TRIM(AF1763))=0,"",HYPERLINK("https://www.google.com/maps/@?api=1&amp;map_action=pano&amp;viewpoint="&amp;SUBSTITUTE(AF1763," ",""),"Abrir Street View"))</f>
        <v/>
      </c>
    </row>
    <row r="1764">
      <c r="H1764" s="6" t="n"/>
      <c r="I1764" s="6" t="n"/>
      <c r="M1764" s="7" t="n"/>
      <c r="N1764" s="7" t="n"/>
      <c r="O1764" s="7" t="n"/>
      <c r="Q1764" s="7" t="n"/>
      <c r="R1764" s="7" t="n"/>
      <c r="S1764" s="8">
        <f>IF(NOT(ISNUMBER(M1764)),"",IF(G1764="Terreno",IF(AND(ISNUMBER(I1764),I1764&gt;0),M1764/I1764,""),IF(AND(ISNUMBER(H1764),H1764&gt;0),M1764/H1764,"")))</f>
        <v/>
      </c>
      <c r="T1764" s="9">
        <f>IF(AND(ISNUMBER(M1764),ISNUMBER(O1764)),IF(M1764&lt;=O1764,"Valor ≤ venal IPTU",""),"")</f>
        <v/>
      </c>
      <c r="U1764" s="10">
        <f>IF(AND(ISNUMBER(M1764),ISNUMBER(N1764)),IF(N1764&gt;0,M1764/N1764,""),"")</f>
        <v/>
      </c>
      <c r="V1764" s="10">
        <f>IF(AND(ISNUMBER(M1764),ISNUMBER(O1764)),IF(O1764&gt;0,M1764/O1764,""),"")</f>
        <v/>
      </c>
      <c r="W1764" s="10">
        <f>IF(AND(ISNUMBER(M1764),ISNUMBER(R1764)),IF(R1764&gt;0,M1764/R1764,""),"")</f>
        <v/>
      </c>
      <c r="X1764" s="10">
        <f>IF(AND(ISNUMBER(Q1764),ISNUMBER(M1764)),IF(M1764&gt;0,Q1764/M1764,""),"")</f>
        <v/>
      </c>
      <c r="Y1764" s="11">
        <f>IF(ISNUMBER(Z1764),YEAR(Z1764),"")</f>
        <v/>
      </c>
      <c r="Z1764" s="12" t="n"/>
      <c r="AA1764" s="12" t="n"/>
      <c r="AI1764" s="12" t="n"/>
      <c r="AJ1764" s="13">
        <f>IF(LEN(TRIM(AF1764))=0,"",HYPERLINK("https://www.google.com/maps/@?api=1&amp;map_action=pano&amp;viewpoint="&amp;SUBSTITUTE(AF1764," ",""),"Abrir Street View"))</f>
        <v/>
      </c>
    </row>
    <row r="1765">
      <c r="H1765" s="6" t="n"/>
      <c r="I1765" s="6" t="n"/>
      <c r="M1765" s="7" t="n"/>
      <c r="N1765" s="7" t="n"/>
      <c r="O1765" s="7" t="n"/>
      <c r="Q1765" s="7" t="n"/>
      <c r="R1765" s="7" t="n"/>
      <c r="S1765" s="8">
        <f>IF(NOT(ISNUMBER(M1765)),"",IF(G1765="Terreno",IF(AND(ISNUMBER(I1765),I1765&gt;0),M1765/I1765,""),IF(AND(ISNUMBER(H1765),H1765&gt;0),M1765/H1765,"")))</f>
        <v/>
      </c>
      <c r="T1765" s="9">
        <f>IF(AND(ISNUMBER(M1765),ISNUMBER(O1765)),IF(M1765&lt;=O1765,"Valor ≤ venal IPTU",""),"")</f>
        <v/>
      </c>
      <c r="U1765" s="10">
        <f>IF(AND(ISNUMBER(M1765),ISNUMBER(N1765)),IF(N1765&gt;0,M1765/N1765,""),"")</f>
        <v/>
      </c>
      <c r="V1765" s="10">
        <f>IF(AND(ISNUMBER(M1765),ISNUMBER(O1765)),IF(O1765&gt;0,M1765/O1765,""),"")</f>
        <v/>
      </c>
      <c r="W1765" s="10">
        <f>IF(AND(ISNUMBER(M1765),ISNUMBER(R1765)),IF(R1765&gt;0,M1765/R1765,""),"")</f>
        <v/>
      </c>
      <c r="X1765" s="10">
        <f>IF(AND(ISNUMBER(Q1765),ISNUMBER(M1765)),IF(M1765&gt;0,Q1765/M1765,""),"")</f>
        <v/>
      </c>
      <c r="Y1765" s="11">
        <f>IF(ISNUMBER(Z1765),YEAR(Z1765),"")</f>
        <v/>
      </c>
      <c r="Z1765" s="12" t="n"/>
      <c r="AA1765" s="12" t="n"/>
      <c r="AI1765" s="12" t="n"/>
      <c r="AJ1765" s="13">
        <f>IF(LEN(TRIM(AF1765))=0,"",HYPERLINK("https://www.google.com/maps/@?api=1&amp;map_action=pano&amp;viewpoint="&amp;SUBSTITUTE(AF1765," ",""),"Abrir Street View"))</f>
        <v/>
      </c>
    </row>
    <row r="1766">
      <c r="H1766" s="6" t="n"/>
      <c r="I1766" s="6" t="n"/>
      <c r="M1766" s="7" t="n"/>
      <c r="N1766" s="7" t="n"/>
      <c r="O1766" s="7" t="n"/>
      <c r="Q1766" s="7" t="n"/>
      <c r="R1766" s="7" t="n"/>
      <c r="S1766" s="8">
        <f>IF(NOT(ISNUMBER(M1766)),"",IF(G1766="Terreno",IF(AND(ISNUMBER(I1766),I1766&gt;0),M1766/I1766,""),IF(AND(ISNUMBER(H1766),H1766&gt;0),M1766/H1766,"")))</f>
        <v/>
      </c>
      <c r="T1766" s="9">
        <f>IF(AND(ISNUMBER(M1766),ISNUMBER(O1766)),IF(M1766&lt;=O1766,"Valor ≤ venal IPTU",""),"")</f>
        <v/>
      </c>
      <c r="U1766" s="10">
        <f>IF(AND(ISNUMBER(M1766),ISNUMBER(N1766)),IF(N1766&gt;0,M1766/N1766,""),"")</f>
        <v/>
      </c>
      <c r="V1766" s="10">
        <f>IF(AND(ISNUMBER(M1766),ISNUMBER(O1766)),IF(O1766&gt;0,M1766/O1766,""),"")</f>
        <v/>
      </c>
      <c r="W1766" s="10">
        <f>IF(AND(ISNUMBER(M1766),ISNUMBER(R1766)),IF(R1766&gt;0,M1766/R1766,""),"")</f>
        <v/>
      </c>
      <c r="X1766" s="10">
        <f>IF(AND(ISNUMBER(Q1766),ISNUMBER(M1766)),IF(M1766&gt;0,Q1766/M1766,""),"")</f>
        <v/>
      </c>
      <c r="Y1766" s="11">
        <f>IF(ISNUMBER(Z1766),YEAR(Z1766),"")</f>
        <v/>
      </c>
      <c r="Z1766" s="12" t="n"/>
      <c r="AA1766" s="12" t="n"/>
      <c r="AI1766" s="12" t="n"/>
      <c r="AJ1766" s="13">
        <f>IF(LEN(TRIM(AF1766))=0,"",HYPERLINK("https://www.google.com/maps/@?api=1&amp;map_action=pano&amp;viewpoint="&amp;SUBSTITUTE(AF1766," ",""),"Abrir Street View"))</f>
        <v/>
      </c>
    </row>
    <row r="1767">
      <c r="H1767" s="6" t="n"/>
      <c r="I1767" s="6" t="n"/>
      <c r="M1767" s="7" t="n"/>
      <c r="N1767" s="7" t="n"/>
      <c r="O1767" s="7" t="n"/>
      <c r="Q1767" s="7" t="n"/>
      <c r="R1767" s="7" t="n"/>
      <c r="S1767" s="8">
        <f>IF(NOT(ISNUMBER(M1767)),"",IF(G1767="Terreno",IF(AND(ISNUMBER(I1767),I1767&gt;0),M1767/I1767,""),IF(AND(ISNUMBER(H1767),H1767&gt;0),M1767/H1767,"")))</f>
        <v/>
      </c>
      <c r="T1767" s="9">
        <f>IF(AND(ISNUMBER(M1767),ISNUMBER(O1767)),IF(M1767&lt;=O1767,"Valor ≤ venal IPTU",""),"")</f>
        <v/>
      </c>
      <c r="U1767" s="10">
        <f>IF(AND(ISNUMBER(M1767),ISNUMBER(N1767)),IF(N1767&gt;0,M1767/N1767,""),"")</f>
        <v/>
      </c>
      <c r="V1767" s="10">
        <f>IF(AND(ISNUMBER(M1767),ISNUMBER(O1767)),IF(O1767&gt;0,M1767/O1767,""),"")</f>
        <v/>
      </c>
      <c r="W1767" s="10">
        <f>IF(AND(ISNUMBER(M1767),ISNUMBER(R1767)),IF(R1767&gt;0,M1767/R1767,""),"")</f>
        <v/>
      </c>
      <c r="X1767" s="10">
        <f>IF(AND(ISNUMBER(Q1767),ISNUMBER(M1767)),IF(M1767&gt;0,Q1767/M1767,""),"")</f>
        <v/>
      </c>
      <c r="Y1767" s="11">
        <f>IF(ISNUMBER(Z1767),YEAR(Z1767),"")</f>
        <v/>
      </c>
      <c r="Z1767" s="12" t="n"/>
      <c r="AA1767" s="12" t="n"/>
      <c r="AI1767" s="12" t="n"/>
      <c r="AJ1767" s="13">
        <f>IF(LEN(TRIM(AF1767))=0,"",HYPERLINK("https://www.google.com/maps/@?api=1&amp;map_action=pano&amp;viewpoint="&amp;SUBSTITUTE(AF1767," ",""),"Abrir Street View"))</f>
        <v/>
      </c>
    </row>
    <row r="1768">
      <c r="H1768" s="6" t="n"/>
      <c r="I1768" s="6" t="n"/>
      <c r="M1768" s="7" t="n"/>
      <c r="N1768" s="7" t="n"/>
      <c r="O1768" s="7" t="n"/>
      <c r="Q1768" s="7" t="n"/>
      <c r="R1768" s="7" t="n"/>
      <c r="S1768" s="8">
        <f>IF(NOT(ISNUMBER(M1768)),"",IF(G1768="Terreno",IF(AND(ISNUMBER(I1768),I1768&gt;0),M1768/I1768,""),IF(AND(ISNUMBER(H1768),H1768&gt;0),M1768/H1768,"")))</f>
        <v/>
      </c>
      <c r="T1768" s="9">
        <f>IF(AND(ISNUMBER(M1768),ISNUMBER(O1768)),IF(M1768&lt;=O1768,"Valor ≤ venal IPTU",""),"")</f>
        <v/>
      </c>
      <c r="U1768" s="10">
        <f>IF(AND(ISNUMBER(M1768),ISNUMBER(N1768)),IF(N1768&gt;0,M1768/N1768,""),"")</f>
        <v/>
      </c>
      <c r="V1768" s="10">
        <f>IF(AND(ISNUMBER(M1768),ISNUMBER(O1768)),IF(O1768&gt;0,M1768/O1768,""),"")</f>
        <v/>
      </c>
      <c r="W1768" s="10">
        <f>IF(AND(ISNUMBER(M1768),ISNUMBER(R1768)),IF(R1768&gt;0,M1768/R1768,""),"")</f>
        <v/>
      </c>
      <c r="X1768" s="10">
        <f>IF(AND(ISNUMBER(Q1768),ISNUMBER(M1768)),IF(M1768&gt;0,Q1768/M1768,""),"")</f>
        <v/>
      </c>
      <c r="Y1768" s="11">
        <f>IF(ISNUMBER(Z1768),YEAR(Z1768),"")</f>
        <v/>
      </c>
      <c r="Z1768" s="12" t="n"/>
      <c r="AA1768" s="12" t="n"/>
      <c r="AI1768" s="12" t="n"/>
      <c r="AJ1768" s="13">
        <f>IF(LEN(TRIM(AF1768))=0,"",HYPERLINK("https://www.google.com/maps/@?api=1&amp;map_action=pano&amp;viewpoint="&amp;SUBSTITUTE(AF1768," ",""),"Abrir Street View"))</f>
        <v/>
      </c>
    </row>
    <row r="1769">
      <c r="H1769" s="6" t="n"/>
      <c r="I1769" s="6" t="n"/>
      <c r="M1769" s="7" t="n"/>
      <c r="N1769" s="7" t="n"/>
      <c r="O1769" s="7" t="n"/>
      <c r="Q1769" s="7" t="n"/>
      <c r="R1769" s="7" t="n"/>
      <c r="S1769" s="8">
        <f>IF(NOT(ISNUMBER(M1769)),"",IF(G1769="Terreno",IF(AND(ISNUMBER(I1769),I1769&gt;0),M1769/I1769,""),IF(AND(ISNUMBER(H1769),H1769&gt;0),M1769/H1769,"")))</f>
        <v/>
      </c>
      <c r="T1769" s="9">
        <f>IF(AND(ISNUMBER(M1769),ISNUMBER(O1769)),IF(M1769&lt;=O1769,"Valor ≤ venal IPTU",""),"")</f>
        <v/>
      </c>
      <c r="U1769" s="10">
        <f>IF(AND(ISNUMBER(M1769),ISNUMBER(N1769)),IF(N1769&gt;0,M1769/N1769,""),"")</f>
        <v/>
      </c>
      <c r="V1769" s="10">
        <f>IF(AND(ISNUMBER(M1769),ISNUMBER(O1769)),IF(O1769&gt;0,M1769/O1769,""),"")</f>
        <v/>
      </c>
      <c r="W1769" s="10">
        <f>IF(AND(ISNUMBER(M1769),ISNUMBER(R1769)),IF(R1769&gt;0,M1769/R1769,""),"")</f>
        <v/>
      </c>
      <c r="X1769" s="10">
        <f>IF(AND(ISNUMBER(Q1769),ISNUMBER(M1769)),IF(M1769&gt;0,Q1769/M1769,""),"")</f>
        <v/>
      </c>
      <c r="Y1769" s="11">
        <f>IF(ISNUMBER(Z1769),YEAR(Z1769),"")</f>
        <v/>
      </c>
      <c r="Z1769" s="12" t="n"/>
      <c r="AA1769" s="12" t="n"/>
      <c r="AI1769" s="12" t="n"/>
      <c r="AJ1769" s="13">
        <f>IF(LEN(TRIM(AF1769))=0,"",HYPERLINK("https://www.google.com/maps/@?api=1&amp;map_action=pano&amp;viewpoint="&amp;SUBSTITUTE(AF1769," ",""),"Abrir Street View"))</f>
        <v/>
      </c>
    </row>
    <row r="1770">
      <c r="H1770" s="6" t="n"/>
      <c r="I1770" s="6" t="n"/>
      <c r="M1770" s="7" t="n"/>
      <c r="N1770" s="7" t="n"/>
      <c r="O1770" s="7" t="n"/>
      <c r="Q1770" s="7" t="n"/>
      <c r="R1770" s="7" t="n"/>
      <c r="S1770" s="8">
        <f>IF(NOT(ISNUMBER(M1770)),"",IF(G1770="Terreno",IF(AND(ISNUMBER(I1770),I1770&gt;0),M1770/I1770,""),IF(AND(ISNUMBER(H1770),H1770&gt;0),M1770/H1770,"")))</f>
        <v/>
      </c>
      <c r="T1770" s="9">
        <f>IF(AND(ISNUMBER(M1770),ISNUMBER(O1770)),IF(M1770&lt;=O1770,"Valor ≤ venal IPTU",""),"")</f>
        <v/>
      </c>
      <c r="U1770" s="10">
        <f>IF(AND(ISNUMBER(M1770),ISNUMBER(N1770)),IF(N1770&gt;0,M1770/N1770,""),"")</f>
        <v/>
      </c>
      <c r="V1770" s="10">
        <f>IF(AND(ISNUMBER(M1770),ISNUMBER(O1770)),IF(O1770&gt;0,M1770/O1770,""),"")</f>
        <v/>
      </c>
      <c r="W1770" s="10">
        <f>IF(AND(ISNUMBER(M1770),ISNUMBER(R1770)),IF(R1770&gt;0,M1770/R1770,""),"")</f>
        <v/>
      </c>
      <c r="X1770" s="10">
        <f>IF(AND(ISNUMBER(Q1770),ISNUMBER(M1770)),IF(M1770&gt;0,Q1770/M1770,""),"")</f>
        <v/>
      </c>
      <c r="Y1770" s="11">
        <f>IF(ISNUMBER(Z1770),YEAR(Z1770),"")</f>
        <v/>
      </c>
      <c r="Z1770" s="12" t="n"/>
      <c r="AA1770" s="12" t="n"/>
      <c r="AI1770" s="12" t="n"/>
      <c r="AJ1770" s="13">
        <f>IF(LEN(TRIM(AF1770))=0,"",HYPERLINK("https://www.google.com/maps/@?api=1&amp;map_action=pano&amp;viewpoint="&amp;SUBSTITUTE(AF1770," ",""),"Abrir Street View"))</f>
        <v/>
      </c>
    </row>
    <row r="1771">
      <c r="H1771" s="6" t="n"/>
      <c r="I1771" s="6" t="n"/>
      <c r="M1771" s="7" t="n"/>
      <c r="N1771" s="7" t="n"/>
      <c r="O1771" s="7" t="n"/>
      <c r="Q1771" s="7" t="n"/>
      <c r="R1771" s="7" t="n"/>
      <c r="S1771" s="8">
        <f>IF(NOT(ISNUMBER(M1771)),"",IF(G1771="Terreno",IF(AND(ISNUMBER(I1771),I1771&gt;0),M1771/I1771,""),IF(AND(ISNUMBER(H1771),H1771&gt;0),M1771/H1771,"")))</f>
        <v/>
      </c>
      <c r="T1771" s="9">
        <f>IF(AND(ISNUMBER(M1771),ISNUMBER(O1771)),IF(M1771&lt;=O1771,"Valor ≤ venal IPTU",""),"")</f>
        <v/>
      </c>
      <c r="U1771" s="10">
        <f>IF(AND(ISNUMBER(M1771),ISNUMBER(N1771)),IF(N1771&gt;0,M1771/N1771,""),"")</f>
        <v/>
      </c>
      <c r="V1771" s="10">
        <f>IF(AND(ISNUMBER(M1771),ISNUMBER(O1771)),IF(O1771&gt;0,M1771/O1771,""),"")</f>
        <v/>
      </c>
      <c r="W1771" s="10">
        <f>IF(AND(ISNUMBER(M1771),ISNUMBER(R1771)),IF(R1771&gt;0,M1771/R1771,""),"")</f>
        <v/>
      </c>
      <c r="X1771" s="10">
        <f>IF(AND(ISNUMBER(Q1771),ISNUMBER(M1771)),IF(M1771&gt;0,Q1771/M1771,""),"")</f>
        <v/>
      </c>
      <c r="Y1771" s="11">
        <f>IF(ISNUMBER(Z1771),YEAR(Z1771),"")</f>
        <v/>
      </c>
      <c r="Z1771" s="12" t="n"/>
      <c r="AA1771" s="12" t="n"/>
      <c r="AI1771" s="12" t="n"/>
      <c r="AJ1771" s="13">
        <f>IF(LEN(TRIM(AF1771))=0,"",HYPERLINK("https://www.google.com/maps/@?api=1&amp;map_action=pano&amp;viewpoint="&amp;SUBSTITUTE(AF1771," ",""),"Abrir Street View"))</f>
        <v/>
      </c>
    </row>
    <row r="1772">
      <c r="H1772" s="6" t="n"/>
      <c r="I1772" s="6" t="n"/>
      <c r="M1772" s="7" t="n"/>
      <c r="N1772" s="7" t="n"/>
      <c r="O1772" s="7" t="n"/>
      <c r="Q1772" s="7" t="n"/>
      <c r="R1772" s="7" t="n"/>
      <c r="S1772" s="8">
        <f>IF(NOT(ISNUMBER(M1772)),"",IF(G1772="Terreno",IF(AND(ISNUMBER(I1772),I1772&gt;0),M1772/I1772,""),IF(AND(ISNUMBER(H1772),H1772&gt;0),M1772/H1772,"")))</f>
        <v/>
      </c>
      <c r="T1772" s="9">
        <f>IF(AND(ISNUMBER(M1772),ISNUMBER(O1772)),IF(M1772&lt;=O1772,"Valor ≤ venal IPTU",""),"")</f>
        <v/>
      </c>
      <c r="U1772" s="10">
        <f>IF(AND(ISNUMBER(M1772),ISNUMBER(N1772)),IF(N1772&gt;0,M1772/N1772,""),"")</f>
        <v/>
      </c>
      <c r="V1772" s="10">
        <f>IF(AND(ISNUMBER(M1772),ISNUMBER(O1772)),IF(O1772&gt;0,M1772/O1772,""),"")</f>
        <v/>
      </c>
      <c r="W1772" s="10">
        <f>IF(AND(ISNUMBER(M1772),ISNUMBER(R1772)),IF(R1772&gt;0,M1772/R1772,""),"")</f>
        <v/>
      </c>
      <c r="X1772" s="10">
        <f>IF(AND(ISNUMBER(Q1772),ISNUMBER(M1772)),IF(M1772&gt;0,Q1772/M1772,""),"")</f>
        <v/>
      </c>
      <c r="Y1772" s="11">
        <f>IF(ISNUMBER(Z1772),YEAR(Z1772),"")</f>
        <v/>
      </c>
      <c r="Z1772" s="12" t="n"/>
      <c r="AA1772" s="12" t="n"/>
      <c r="AI1772" s="12" t="n"/>
      <c r="AJ1772" s="13">
        <f>IF(LEN(TRIM(AF1772))=0,"",HYPERLINK("https://www.google.com/maps/@?api=1&amp;map_action=pano&amp;viewpoint="&amp;SUBSTITUTE(AF1772," ",""),"Abrir Street View"))</f>
        <v/>
      </c>
    </row>
    <row r="1773">
      <c r="H1773" s="6" t="n"/>
      <c r="I1773" s="6" t="n"/>
      <c r="M1773" s="7" t="n"/>
      <c r="N1773" s="7" t="n"/>
      <c r="O1773" s="7" t="n"/>
      <c r="Q1773" s="7" t="n"/>
      <c r="R1773" s="7" t="n"/>
      <c r="S1773" s="8">
        <f>IF(NOT(ISNUMBER(M1773)),"",IF(G1773="Terreno",IF(AND(ISNUMBER(I1773),I1773&gt;0),M1773/I1773,""),IF(AND(ISNUMBER(H1773),H1773&gt;0),M1773/H1773,"")))</f>
        <v/>
      </c>
      <c r="T1773" s="9">
        <f>IF(AND(ISNUMBER(M1773),ISNUMBER(O1773)),IF(M1773&lt;=O1773,"Valor ≤ venal IPTU",""),"")</f>
        <v/>
      </c>
      <c r="U1773" s="10">
        <f>IF(AND(ISNUMBER(M1773),ISNUMBER(N1773)),IF(N1773&gt;0,M1773/N1773,""),"")</f>
        <v/>
      </c>
      <c r="V1773" s="10">
        <f>IF(AND(ISNUMBER(M1773),ISNUMBER(O1773)),IF(O1773&gt;0,M1773/O1773,""),"")</f>
        <v/>
      </c>
      <c r="W1773" s="10">
        <f>IF(AND(ISNUMBER(M1773),ISNUMBER(R1773)),IF(R1773&gt;0,M1773/R1773,""),"")</f>
        <v/>
      </c>
      <c r="X1773" s="10">
        <f>IF(AND(ISNUMBER(Q1773),ISNUMBER(M1773)),IF(M1773&gt;0,Q1773/M1773,""),"")</f>
        <v/>
      </c>
      <c r="Y1773" s="11">
        <f>IF(ISNUMBER(Z1773),YEAR(Z1773),"")</f>
        <v/>
      </c>
      <c r="Z1773" s="12" t="n"/>
      <c r="AA1773" s="12" t="n"/>
      <c r="AI1773" s="12" t="n"/>
      <c r="AJ1773" s="13">
        <f>IF(LEN(TRIM(AF1773))=0,"",HYPERLINK("https://www.google.com/maps/@?api=1&amp;map_action=pano&amp;viewpoint="&amp;SUBSTITUTE(AF1773," ",""),"Abrir Street View"))</f>
        <v/>
      </c>
    </row>
    <row r="1774">
      <c r="H1774" s="6" t="n"/>
      <c r="I1774" s="6" t="n"/>
      <c r="M1774" s="7" t="n"/>
      <c r="N1774" s="7" t="n"/>
      <c r="O1774" s="7" t="n"/>
      <c r="Q1774" s="7" t="n"/>
      <c r="R1774" s="7" t="n"/>
      <c r="S1774" s="8">
        <f>IF(NOT(ISNUMBER(M1774)),"",IF(G1774="Terreno",IF(AND(ISNUMBER(I1774),I1774&gt;0),M1774/I1774,""),IF(AND(ISNUMBER(H1774),H1774&gt;0),M1774/H1774,"")))</f>
        <v/>
      </c>
      <c r="T1774" s="9">
        <f>IF(AND(ISNUMBER(M1774),ISNUMBER(O1774)),IF(M1774&lt;=O1774,"Valor ≤ venal IPTU",""),"")</f>
        <v/>
      </c>
      <c r="U1774" s="10">
        <f>IF(AND(ISNUMBER(M1774),ISNUMBER(N1774)),IF(N1774&gt;0,M1774/N1774,""),"")</f>
        <v/>
      </c>
      <c r="V1774" s="10">
        <f>IF(AND(ISNUMBER(M1774),ISNUMBER(O1774)),IF(O1774&gt;0,M1774/O1774,""),"")</f>
        <v/>
      </c>
      <c r="W1774" s="10">
        <f>IF(AND(ISNUMBER(M1774),ISNUMBER(R1774)),IF(R1774&gt;0,M1774/R1774,""),"")</f>
        <v/>
      </c>
      <c r="X1774" s="10">
        <f>IF(AND(ISNUMBER(Q1774),ISNUMBER(M1774)),IF(M1774&gt;0,Q1774/M1774,""),"")</f>
        <v/>
      </c>
      <c r="Y1774" s="11">
        <f>IF(ISNUMBER(Z1774),YEAR(Z1774),"")</f>
        <v/>
      </c>
      <c r="Z1774" s="12" t="n"/>
      <c r="AA1774" s="12" t="n"/>
      <c r="AI1774" s="12" t="n"/>
      <c r="AJ1774" s="13">
        <f>IF(LEN(TRIM(AF1774))=0,"",HYPERLINK("https://www.google.com/maps/@?api=1&amp;map_action=pano&amp;viewpoint="&amp;SUBSTITUTE(AF1774," ",""),"Abrir Street View"))</f>
        <v/>
      </c>
    </row>
    <row r="1775">
      <c r="H1775" s="6" t="n"/>
      <c r="I1775" s="6" t="n"/>
      <c r="M1775" s="7" t="n"/>
      <c r="N1775" s="7" t="n"/>
      <c r="O1775" s="7" t="n"/>
      <c r="Q1775" s="7" t="n"/>
      <c r="R1775" s="7" t="n"/>
      <c r="S1775" s="8">
        <f>IF(NOT(ISNUMBER(M1775)),"",IF(G1775="Terreno",IF(AND(ISNUMBER(I1775),I1775&gt;0),M1775/I1775,""),IF(AND(ISNUMBER(H1775),H1775&gt;0),M1775/H1775,"")))</f>
        <v/>
      </c>
      <c r="T1775" s="9">
        <f>IF(AND(ISNUMBER(M1775),ISNUMBER(O1775)),IF(M1775&lt;=O1775,"Valor ≤ venal IPTU",""),"")</f>
        <v/>
      </c>
      <c r="U1775" s="10">
        <f>IF(AND(ISNUMBER(M1775),ISNUMBER(N1775)),IF(N1775&gt;0,M1775/N1775,""),"")</f>
        <v/>
      </c>
      <c r="V1775" s="10">
        <f>IF(AND(ISNUMBER(M1775),ISNUMBER(O1775)),IF(O1775&gt;0,M1775/O1775,""),"")</f>
        <v/>
      </c>
      <c r="W1775" s="10">
        <f>IF(AND(ISNUMBER(M1775),ISNUMBER(R1775)),IF(R1775&gt;0,M1775/R1775,""),"")</f>
        <v/>
      </c>
      <c r="X1775" s="10">
        <f>IF(AND(ISNUMBER(Q1775),ISNUMBER(M1775)),IF(M1775&gt;0,Q1775/M1775,""),"")</f>
        <v/>
      </c>
      <c r="Y1775" s="11">
        <f>IF(ISNUMBER(Z1775),YEAR(Z1775),"")</f>
        <v/>
      </c>
      <c r="Z1775" s="12" t="n"/>
      <c r="AA1775" s="12" t="n"/>
      <c r="AI1775" s="12" t="n"/>
      <c r="AJ1775" s="13">
        <f>IF(LEN(TRIM(AF1775))=0,"",HYPERLINK("https://www.google.com/maps/@?api=1&amp;map_action=pano&amp;viewpoint="&amp;SUBSTITUTE(AF1775," ",""),"Abrir Street View"))</f>
        <v/>
      </c>
    </row>
    <row r="1776">
      <c r="H1776" s="6" t="n"/>
      <c r="I1776" s="6" t="n"/>
      <c r="M1776" s="7" t="n"/>
      <c r="N1776" s="7" t="n"/>
      <c r="O1776" s="7" t="n"/>
      <c r="Q1776" s="7" t="n"/>
      <c r="R1776" s="7" t="n"/>
      <c r="S1776" s="8">
        <f>IF(NOT(ISNUMBER(M1776)),"",IF(G1776="Terreno",IF(AND(ISNUMBER(I1776),I1776&gt;0),M1776/I1776,""),IF(AND(ISNUMBER(H1776),H1776&gt;0),M1776/H1776,"")))</f>
        <v/>
      </c>
      <c r="T1776" s="9">
        <f>IF(AND(ISNUMBER(M1776),ISNUMBER(O1776)),IF(M1776&lt;=O1776,"Valor ≤ venal IPTU",""),"")</f>
        <v/>
      </c>
      <c r="U1776" s="10">
        <f>IF(AND(ISNUMBER(M1776),ISNUMBER(N1776)),IF(N1776&gt;0,M1776/N1776,""),"")</f>
        <v/>
      </c>
      <c r="V1776" s="10">
        <f>IF(AND(ISNUMBER(M1776),ISNUMBER(O1776)),IF(O1776&gt;0,M1776/O1776,""),"")</f>
        <v/>
      </c>
      <c r="W1776" s="10">
        <f>IF(AND(ISNUMBER(M1776),ISNUMBER(R1776)),IF(R1776&gt;0,M1776/R1776,""),"")</f>
        <v/>
      </c>
      <c r="X1776" s="10">
        <f>IF(AND(ISNUMBER(Q1776),ISNUMBER(M1776)),IF(M1776&gt;0,Q1776/M1776,""),"")</f>
        <v/>
      </c>
      <c r="Y1776" s="11">
        <f>IF(ISNUMBER(Z1776),YEAR(Z1776),"")</f>
        <v/>
      </c>
      <c r="Z1776" s="12" t="n"/>
      <c r="AA1776" s="12" t="n"/>
      <c r="AI1776" s="12" t="n"/>
      <c r="AJ1776" s="13">
        <f>IF(LEN(TRIM(AF1776))=0,"",HYPERLINK("https://www.google.com/maps/@?api=1&amp;map_action=pano&amp;viewpoint="&amp;SUBSTITUTE(AF1776," ",""),"Abrir Street View"))</f>
        <v/>
      </c>
    </row>
    <row r="1777">
      <c r="H1777" s="6" t="n"/>
      <c r="I1777" s="6" t="n"/>
      <c r="M1777" s="7" t="n"/>
      <c r="N1777" s="7" t="n"/>
      <c r="O1777" s="7" t="n"/>
      <c r="Q1777" s="7" t="n"/>
      <c r="R1777" s="7" t="n"/>
      <c r="S1777" s="8">
        <f>IF(NOT(ISNUMBER(M1777)),"",IF(G1777="Terreno",IF(AND(ISNUMBER(I1777),I1777&gt;0),M1777/I1777,""),IF(AND(ISNUMBER(H1777),H1777&gt;0),M1777/H1777,"")))</f>
        <v/>
      </c>
      <c r="T1777" s="9">
        <f>IF(AND(ISNUMBER(M1777),ISNUMBER(O1777)),IF(M1777&lt;=O1777,"Valor ≤ venal IPTU",""),"")</f>
        <v/>
      </c>
      <c r="U1777" s="10">
        <f>IF(AND(ISNUMBER(M1777),ISNUMBER(N1777)),IF(N1777&gt;0,M1777/N1777,""),"")</f>
        <v/>
      </c>
      <c r="V1777" s="10">
        <f>IF(AND(ISNUMBER(M1777),ISNUMBER(O1777)),IF(O1777&gt;0,M1777/O1777,""),"")</f>
        <v/>
      </c>
      <c r="W1777" s="10">
        <f>IF(AND(ISNUMBER(M1777),ISNUMBER(R1777)),IF(R1777&gt;0,M1777/R1777,""),"")</f>
        <v/>
      </c>
      <c r="X1777" s="10">
        <f>IF(AND(ISNUMBER(Q1777),ISNUMBER(M1777)),IF(M1777&gt;0,Q1777/M1777,""),"")</f>
        <v/>
      </c>
      <c r="Y1777" s="11">
        <f>IF(ISNUMBER(Z1777),YEAR(Z1777),"")</f>
        <v/>
      </c>
      <c r="Z1777" s="12" t="n"/>
      <c r="AA1777" s="12" t="n"/>
      <c r="AI1777" s="12" t="n"/>
      <c r="AJ1777" s="13">
        <f>IF(LEN(TRIM(AF1777))=0,"",HYPERLINK("https://www.google.com/maps/@?api=1&amp;map_action=pano&amp;viewpoint="&amp;SUBSTITUTE(AF1777," ",""),"Abrir Street View"))</f>
        <v/>
      </c>
    </row>
    <row r="1778">
      <c r="H1778" s="6" t="n"/>
      <c r="I1778" s="6" t="n"/>
      <c r="M1778" s="7" t="n"/>
      <c r="N1778" s="7" t="n"/>
      <c r="O1778" s="7" t="n"/>
      <c r="Q1778" s="7" t="n"/>
      <c r="R1778" s="7" t="n"/>
      <c r="S1778" s="8">
        <f>IF(NOT(ISNUMBER(M1778)),"",IF(G1778="Terreno",IF(AND(ISNUMBER(I1778),I1778&gt;0),M1778/I1778,""),IF(AND(ISNUMBER(H1778),H1778&gt;0),M1778/H1778,"")))</f>
        <v/>
      </c>
      <c r="T1778" s="9">
        <f>IF(AND(ISNUMBER(M1778),ISNUMBER(O1778)),IF(M1778&lt;=O1778,"Valor ≤ venal IPTU",""),"")</f>
        <v/>
      </c>
      <c r="U1778" s="10">
        <f>IF(AND(ISNUMBER(M1778),ISNUMBER(N1778)),IF(N1778&gt;0,M1778/N1778,""),"")</f>
        <v/>
      </c>
      <c r="V1778" s="10">
        <f>IF(AND(ISNUMBER(M1778),ISNUMBER(O1778)),IF(O1778&gt;0,M1778/O1778,""),"")</f>
        <v/>
      </c>
      <c r="W1778" s="10">
        <f>IF(AND(ISNUMBER(M1778),ISNUMBER(R1778)),IF(R1778&gt;0,M1778/R1778,""),"")</f>
        <v/>
      </c>
      <c r="X1778" s="10">
        <f>IF(AND(ISNUMBER(Q1778),ISNUMBER(M1778)),IF(M1778&gt;0,Q1778/M1778,""),"")</f>
        <v/>
      </c>
      <c r="Y1778" s="11">
        <f>IF(ISNUMBER(Z1778),YEAR(Z1778),"")</f>
        <v/>
      </c>
      <c r="Z1778" s="12" t="n"/>
      <c r="AA1778" s="12" t="n"/>
      <c r="AI1778" s="12" t="n"/>
      <c r="AJ1778" s="13">
        <f>IF(LEN(TRIM(AF1778))=0,"",HYPERLINK("https://www.google.com/maps/@?api=1&amp;map_action=pano&amp;viewpoint="&amp;SUBSTITUTE(AF1778," ",""),"Abrir Street View"))</f>
        <v/>
      </c>
    </row>
    <row r="1779">
      <c r="H1779" s="6" t="n"/>
      <c r="I1779" s="6" t="n"/>
      <c r="M1779" s="7" t="n"/>
      <c r="N1779" s="7" t="n"/>
      <c r="O1779" s="7" t="n"/>
      <c r="Q1779" s="7" t="n"/>
      <c r="R1779" s="7" t="n"/>
      <c r="S1779" s="8">
        <f>IF(NOT(ISNUMBER(M1779)),"",IF(G1779="Terreno",IF(AND(ISNUMBER(I1779),I1779&gt;0),M1779/I1779,""),IF(AND(ISNUMBER(H1779),H1779&gt;0),M1779/H1779,"")))</f>
        <v/>
      </c>
      <c r="T1779" s="9">
        <f>IF(AND(ISNUMBER(M1779),ISNUMBER(O1779)),IF(M1779&lt;=O1779,"Valor ≤ venal IPTU",""),"")</f>
        <v/>
      </c>
      <c r="U1779" s="10">
        <f>IF(AND(ISNUMBER(M1779),ISNUMBER(N1779)),IF(N1779&gt;0,M1779/N1779,""),"")</f>
        <v/>
      </c>
      <c r="V1779" s="10">
        <f>IF(AND(ISNUMBER(M1779),ISNUMBER(O1779)),IF(O1779&gt;0,M1779/O1779,""),"")</f>
        <v/>
      </c>
      <c r="W1779" s="10">
        <f>IF(AND(ISNUMBER(M1779),ISNUMBER(R1779)),IF(R1779&gt;0,M1779/R1779,""),"")</f>
        <v/>
      </c>
      <c r="X1779" s="10">
        <f>IF(AND(ISNUMBER(Q1779),ISNUMBER(M1779)),IF(M1779&gt;0,Q1779/M1779,""),"")</f>
        <v/>
      </c>
      <c r="Y1779" s="11">
        <f>IF(ISNUMBER(Z1779),YEAR(Z1779),"")</f>
        <v/>
      </c>
      <c r="Z1779" s="12" t="n"/>
      <c r="AA1779" s="12" t="n"/>
      <c r="AI1779" s="12" t="n"/>
      <c r="AJ1779" s="13">
        <f>IF(LEN(TRIM(AF1779))=0,"",HYPERLINK("https://www.google.com/maps/@?api=1&amp;map_action=pano&amp;viewpoint="&amp;SUBSTITUTE(AF1779," ",""),"Abrir Street View"))</f>
        <v/>
      </c>
    </row>
    <row r="1780">
      <c r="H1780" s="6" t="n"/>
      <c r="I1780" s="6" t="n"/>
      <c r="M1780" s="7" t="n"/>
      <c r="N1780" s="7" t="n"/>
      <c r="O1780" s="7" t="n"/>
      <c r="Q1780" s="7" t="n"/>
      <c r="R1780" s="7" t="n"/>
      <c r="S1780" s="8">
        <f>IF(NOT(ISNUMBER(M1780)),"",IF(G1780="Terreno",IF(AND(ISNUMBER(I1780),I1780&gt;0),M1780/I1780,""),IF(AND(ISNUMBER(H1780),H1780&gt;0),M1780/H1780,"")))</f>
        <v/>
      </c>
      <c r="T1780" s="9">
        <f>IF(AND(ISNUMBER(M1780),ISNUMBER(O1780)),IF(M1780&lt;=O1780,"Valor ≤ venal IPTU",""),"")</f>
        <v/>
      </c>
      <c r="U1780" s="10">
        <f>IF(AND(ISNUMBER(M1780),ISNUMBER(N1780)),IF(N1780&gt;0,M1780/N1780,""),"")</f>
        <v/>
      </c>
      <c r="V1780" s="10">
        <f>IF(AND(ISNUMBER(M1780),ISNUMBER(O1780)),IF(O1780&gt;0,M1780/O1780,""),"")</f>
        <v/>
      </c>
      <c r="W1780" s="10">
        <f>IF(AND(ISNUMBER(M1780),ISNUMBER(R1780)),IF(R1780&gt;0,M1780/R1780,""),"")</f>
        <v/>
      </c>
      <c r="X1780" s="10">
        <f>IF(AND(ISNUMBER(Q1780),ISNUMBER(M1780)),IF(M1780&gt;0,Q1780/M1780,""),"")</f>
        <v/>
      </c>
      <c r="Y1780" s="11">
        <f>IF(ISNUMBER(Z1780),YEAR(Z1780),"")</f>
        <v/>
      </c>
      <c r="Z1780" s="12" t="n"/>
      <c r="AA1780" s="12" t="n"/>
      <c r="AI1780" s="12" t="n"/>
      <c r="AJ1780" s="13">
        <f>IF(LEN(TRIM(AF1780))=0,"",HYPERLINK("https://www.google.com/maps/@?api=1&amp;map_action=pano&amp;viewpoint="&amp;SUBSTITUTE(AF1780," ",""),"Abrir Street View"))</f>
        <v/>
      </c>
    </row>
    <row r="1781">
      <c r="H1781" s="6" t="n"/>
      <c r="I1781" s="6" t="n"/>
      <c r="M1781" s="7" t="n"/>
      <c r="N1781" s="7" t="n"/>
      <c r="O1781" s="7" t="n"/>
      <c r="Q1781" s="7" t="n"/>
      <c r="R1781" s="7" t="n"/>
      <c r="S1781" s="8">
        <f>IF(NOT(ISNUMBER(M1781)),"",IF(G1781="Terreno",IF(AND(ISNUMBER(I1781),I1781&gt;0),M1781/I1781,""),IF(AND(ISNUMBER(H1781),H1781&gt;0),M1781/H1781,"")))</f>
        <v/>
      </c>
      <c r="T1781" s="9">
        <f>IF(AND(ISNUMBER(M1781),ISNUMBER(O1781)),IF(M1781&lt;=O1781,"Valor ≤ venal IPTU",""),"")</f>
        <v/>
      </c>
      <c r="U1781" s="10">
        <f>IF(AND(ISNUMBER(M1781),ISNUMBER(N1781)),IF(N1781&gt;0,M1781/N1781,""),"")</f>
        <v/>
      </c>
      <c r="V1781" s="10">
        <f>IF(AND(ISNUMBER(M1781),ISNUMBER(O1781)),IF(O1781&gt;0,M1781/O1781,""),"")</f>
        <v/>
      </c>
      <c r="W1781" s="10">
        <f>IF(AND(ISNUMBER(M1781),ISNUMBER(R1781)),IF(R1781&gt;0,M1781/R1781,""),"")</f>
        <v/>
      </c>
      <c r="X1781" s="10">
        <f>IF(AND(ISNUMBER(Q1781),ISNUMBER(M1781)),IF(M1781&gt;0,Q1781/M1781,""),"")</f>
        <v/>
      </c>
      <c r="Y1781" s="11">
        <f>IF(ISNUMBER(Z1781),YEAR(Z1781),"")</f>
        <v/>
      </c>
      <c r="Z1781" s="12" t="n"/>
      <c r="AA1781" s="12" t="n"/>
      <c r="AI1781" s="12" t="n"/>
      <c r="AJ1781" s="13">
        <f>IF(LEN(TRIM(AF1781))=0,"",HYPERLINK("https://www.google.com/maps/@?api=1&amp;map_action=pano&amp;viewpoint="&amp;SUBSTITUTE(AF1781," ",""),"Abrir Street View"))</f>
        <v/>
      </c>
    </row>
    <row r="1782">
      <c r="H1782" s="6" t="n"/>
      <c r="I1782" s="6" t="n"/>
      <c r="M1782" s="7" t="n"/>
      <c r="N1782" s="7" t="n"/>
      <c r="O1782" s="7" t="n"/>
      <c r="Q1782" s="7" t="n"/>
      <c r="R1782" s="7" t="n"/>
      <c r="S1782" s="8">
        <f>IF(NOT(ISNUMBER(M1782)),"",IF(G1782="Terreno",IF(AND(ISNUMBER(I1782),I1782&gt;0),M1782/I1782,""),IF(AND(ISNUMBER(H1782),H1782&gt;0),M1782/H1782,"")))</f>
        <v/>
      </c>
      <c r="T1782" s="9">
        <f>IF(AND(ISNUMBER(M1782),ISNUMBER(O1782)),IF(M1782&lt;=O1782,"Valor ≤ venal IPTU",""),"")</f>
        <v/>
      </c>
      <c r="U1782" s="10">
        <f>IF(AND(ISNUMBER(M1782),ISNUMBER(N1782)),IF(N1782&gt;0,M1782/N1782,""),"")</f>
        <v/>
      </c>
      <c r="V1782" s="10">
        <f>IF(AND(ISNUMBER(M1782),ISNUMBER(O1782)),IF(O1782&gt;0,M1782/O1782,""),"")</f>
        <v/>
      </c>
      <c r="W1782" s="10">
        <f>IF(AND(ISNUMBER(M1782),ISNUMBER(R1782)),IF(R1782&gt;0,M1782/R1782,""),"")</f>
        <v/>
      </c>
      <c r="X1782" s="10">
        <f>IF(AND(ISNUMBER(Q1782),ISNUMBER(M1782)),IF(M1782&gt;0,Q1782/M1782,""),"")</f>
        <v/>
      </c>
      <c r="Y1782" s="11">
        <f>IF(ISNUMBER(Z1782),YEAR(Z1782),"")</f>
        <v/>
      </c>
      <c r="Z1782" s="12" t="n"/>
      <c r="AA1782" s="12" t="n"/>
      <c r="AI1782" s="12" t="n"/>
      <c r="AJ1782" s="13">
        <f>IF(LEN(TRIM(AF1782))=0,"",HYPERLINK("https://www.google.com/maps/@?api=1&amp;map_action=pano&amp;viewpoint="&amp;SUBSTITUTE(AF1782," ",""),"Abrir Street View"))</f>
        <v/>
      </c>
    </row>
    <row r="1783">
      <c r="H1783" s="6" t="n"/>
      <c r="I1783" s="6" t="n"/>
      <c r="M1783" s="7" t="n"/>
      <c r="N1783" s="7" t="n"/>
      <c r="O1783" s="7" t="n"/>
      <c r="Q1783" s="7" t="n"/>
      <c r="R1783" s="7" t="n"/>
      <c r="S1783" s="8">
        <f>IF(NOT(ISNUMBER(M1783)),"",IF(G1783="Terreno",IF(AND(ISNUMBER(I1783),I1783&gt;0),M1783/I1783,""),IF(AND(ISNUMBER(H1783),H1783&gt;0),M1783/H1783,"")))</f>
        <v/>
      </c>
      <c r="T1783" s="9">
        <f>IF(AND(ISNUMBER(M1783),ISNUMBER(O1783)),IF(M1783&lt;=O1783,"Valor ≤ venal IPTU",""),"")</f>
        <v/>
      </c>
      <c r="U1783" s="10">
        <f>IF(AND(ISNUMBER(M1783),ISNUMBER(N1783)),IF(N1783&gt;0,M1783/N1783,""),"")</f>
        <v/>
      </c>
      <c r="V1783" s="10">
        <f>IF(AND(ISNUMBER(M1783),ISNUMBER(O1783)),IF(O1783&gt;0,M1783/O1783,""),"")</f>
        <v/>
      </c>
      <c r="W1783" s="10">
        <f>IF(AND(ISNUMBER(M1783),ISNUMBER(R1783)),IF(R1783&gt;0,M1783/R1783,""),"")</f>
        <v/>
      </c>
      <c r="X1783" s="10">
        <f>IF(AND(ISNUMBER(Q1783),ISNUMBER(M1783)),IF(M1783&gt;0,Q1783/M1783,""),"")</f>
        <v/>
      </c>
      <c r="Y1783" s="11">
        <f>IF(ISNUMBER(Z1783),YEAR(Z1783),"")</f>
        <v/>
      </c>
      <c r="Z1783" s="12" t="n"/>
      <c r="AA1783" s="12" t="n"/>
      <c r="AI1783" s="12" t="n"/>
      <c r="AJ1783" s="13">
        <f>IF(LEN(TRIM(AF1783))=0,"",HYPERLINK("https://www.google.com/maps/@?api=1&amp;map_action=pano&amp;viewpoint="&amp;SUBSTITUTE(AF1783," ",""),"Abrir Street View"))</f>
        <v/>
      </c>
    </row>
    <row r="1784">
      <c r="H1784" s="6" t="n"/>
      <c r="I1784" s="6" t="n"/>
      <c r="M1784" s="7" t="n"/>
      <c r="N1784" s="7" t="n"/>
      <c r="O1784" s="7" t="n"/>
      <c r="Q1784" s="7" t="n"/>
      <c r="R1784" s="7" t="n"/>
      <c r="S1784" s="8">
        <f>IF(NOT(ISNUMBER(M1784)),"",IF(G1784="Terreno",IF(AND(ISNUMBER(I1784),I1784&gt;0),M1784/I1784,""),IF(AND(ISNUMBER(H1784),H1784&gt;0),M1784/H1784,"")))</f>
        <v/>
      </c>
      <c r="T1784" s="9">
        <f>IF(AND(ISNUMBER(M1784),ISNUMBER(O1784)),IF(M1784&lt;=O1784,"Valor ≤ venal IPTU",""),"")</f>
        <v/>
      </c>
      <c r="U1784" s="10">
        <f>IF(AND(ISNUMBER(M1784),ISNUMBER(N1784)),IF(N1784&gt;0,M1784/N1784,""),"")</f>
        <v/>
      </c>
      <c r="V1784" s="10">
        <f>IF(AND(ISNUMBER(M1784),ISNUMBER(O1784)),IF(O1784&gt;0,M1784/O1784,""),"")</f>
        <v/>
      </c>
      <c r="W1784" s="10">
        <f>IF(AND(ISNUMBER(M1784),ISNUMBER(R1784)),IF(R1784&gt;0,M1784/R1784,""),"")</f>
        <v/>
      </c>
      <c r="X1784" s="10">
        <f>IF(AND(ISNUMBER(Q1784),ISNUMBER(M1784)),IF(M1784&gt;0,Q1784/M1784,""),"")</f>
        <v/>
      </c>
      <c r="Y1784" s="11">
        <f>IF(ISNUMBER(Z1784),YEAR(Z1784),"")</f>
        <v/>
      </c>
      <c r="Z1784" s="12" t="n"/>
      <c r="AA1784" s="12" t="n"/>
      <c r="AI1784" s="12" t="n"/>
      <c r="AJ1784" s="13">
        <f>IF(LEN(TRIM(AF1784))=0,"",HYPERLINK("https://www.google.com/maps/@?api=1&amp;map_action=pano&amp;viewpoint="&amp;SUBSTITUTE(AF1784," ",""),"Abrir Street View"))</f>
        <v/>
      </c>
    </row>
    <row r="1785">
      <c r="H1785" s="6" t="n"/>
      <c r="I1785" s="6" t="n"/>
      <c r="M1785" s="7" t="n"/>
      <c r="N1785" s="7" t="n"/>
      <c r="O1785" s="7" t="n"/>
      <c r="Q1785" s="7" t="n"/>
      <c r="R1785" s="7" t="n"/>
      <c r="S1785" s="8">
        <f>IF(NOT(ISNUMBER(M1785)),"",IF(G1785="Terreno",IF(AND(ISNUMBER(I1785),I1785&gt;0),M1785/I1785,""),IF(AND(ISNUMBER(H1785),H1785&gt;0),M1785/H1785,"")))</f>
        <v/>
      </c>
      <c r="T1785" s="9">
        <f>IF(AND(ISNUMBER(M1785),ISNUMBER(O1785)),IF(M1785&lt;=O1785,"Valor ≤ venal IPTU",""),"")</f>
        <v/>
      </c>
      <c r="U1785" s="10">
        <f>IF(AND(ISNUMBER(M1785),ISNUMBER(N1785)),IF(N1785&gt;0,M1785/N1785,""),"")</f>
        <v/>
      </c>
      <c r="V1785" s="10">
        <f>IF(AND(ISNUMBER(M1785),ISNUMBER(O1785)),IF(O1785&gt;0,M1785/O1785,""),"")</f>
        <v/>
      </c>
      <c r="W1785" s="10">
        <f>IF(AND(ISNUMBER(M1785),ISNUMBER(R1785)),IF(R1785&gt;0,M1785/R1785,""),"")</f>
        <v/>
      </c>
      <c r="X1785" s="10">
        <f>IF(AND(ISNUMBER(Q1785),ISNUMBER(M1785)),IF(M1785&gt;0,Q1785/M1785,""),"")</f>
        <v/>
      </c>
      <c r="Y1785" s="11">
        <f>IF(ISNUMBER(Z1785),YEAR(Z1785),"")</f>
        <v/>
      </c>
      <c r="Z1785" s="12" t="n"/>
      <c r="AA1785" s="12" t="n"/>
      <c r="AI1785" s="12" t="n"/>
      <c r="AJ1785" s="13">
        <f>IF(LEN(TRIM(AF1785))=0,"",HYPERLINK("https://www.google.com/maps/@?api=1&amp;map_action=pano&amp;viewpoint="&amp;SUBSTITUTE(AF1785," ",""),"Abrir Street View"))</f>
        <v/>
      </c>
    </row>
    <row r="1786">
      <c r="H1786" s="6" t="n"/>
      <c r="I1786" s="6" t="n"/>
      <c r="M1786" s="7" t="n"/>
      <c r="N1786" s="7" t="n"/>
      <c r="O1786" s="7" t="n"/>
      <c r="Q1786" s="7" t="n"/>
      <c r="R1786" s="7" t="n"/>
      <c r="S1786" s="8">
        <f>IF(NOT(ISNUMBER(M1786)),"",IF(G1786="Terreno",IF(AND(ISNUMBER(I1786),I1786&gt;0),M1786/I1786,""),IF(AND(ISNUMBER(H1786),H1786&gt;0),M1786/H1786,"")))</f>
        <v/>
      </c>
      <c r="T1786" s="9">
        <f>IF(AND(ISNUMBER(M1786),ISNUMBER(O1786)),IF(M1786&lt;=O1786,"Valor ≤ venal IPTU",""),"")</f>
        <v/>
      </c>
      <c r="U1786" s="10">
        <f>IF(AND(ISNUMBER(M1786),ISNUMBER(N1786)),IF(N1786&gt;0,M1786/N1786,""),"")</f>
        <v/>
      </c>
      <c r="V1786" s="10">
        <f>IF(AND(ISNUMBER(M1786),ISNUMBER(O1786)),IF(O1786&gt;0,M1786/O1786,""),"")</f>
        <v/>
      </c>
      <c r="W1786" s="10">
        <f>IF(AND(ISNUMBER(M1786),ISNUMBER(R1786)),IF(R1786&gt;0,M1786/R1786,""),"")</f>
        <v/>
      </c>
      <c r="X1786" s="10">
        <f>IF(AND(ISNUMBER(Q1786),ISNUMBER(M1786)),IF(M1786&gt;0,Q1786/M1786,""),"")</f>
        <v/>
      </c>
      <c r="Y1786" s="11">
        <f>IF(ISNUMBER(Z1786),YEAR(Z1786),"")</f>
        <v/>
      </c>
      <c r="Z1786" s="12" t="n"/>
      <c r="AA1786" s="12" t="n"/>
      <c r="AI1786" s="12" t="n"/>
      <c r="AJ1786" s="13">
        <f>IF(LEN(TRIM(AF1786))=0,"",HYPERLINK("https://www.google.com/maps/@?api=1&amp;map_action=pano&amp;viewpoint="&amp;SUBSTITUTE(AF1786," ",""),"Abrir Street View"))</f>
        <v/>
      </c>
    </row>
    <row r="1787">
      <c r="H1787" s="6" t="n"/>
      <c r="I1787" s="6" t="n"/>
      <c r="M1787" s="7" t="n"/>
      <c r="N1787" s="7" t="n"/>
      <c r="O1787" s="7" t="n"/>
      <c r="Q1787" s="7" t="n"/>
      <c r="R1787" s="7" t="n"/>
      <c r="S1787" s="8">
        <f>IF(NOT(ISNUMBER(M1787)),"",IF(G1787="Terreno",IF(AND(ISNUMBER(I1787),I1787&gt;0),M1787/I1787,""),IF(AND(ISNUMBER(H1787),H1787&gt;0),M1787/H1787,"")))</f>
        <v/>
      </c>
      <c r="T1787" s="9">
        <f>IF(AND(ISNUMBER(M1787),ISNUMBER(O1787)),IF(M1787&lt;=O1787,"Valor ≤ venal IPTU",""),"")</f>
        <v/>
      </c>
      <c r="U1787" s="10">
        <f>IF(AND(ISNUMBER(M1787),ISNUMBER(N1787)),IF(N1787&gt;0,M1787/N1787,""),"")</f>
        <v/>
      </c>
      <c r="V1787" s="10">
        <f>IF(AND(ISNUMBER(M1787),ISNUMBER(O1787)),IF(O1787&gt;0,M1787/O1787,""),"")</f>
        <v/>
      </c>
      <c r="W1787" s="10">
        <f>IF(AND(ISNUMBER(M1787),ISNUMBER(R1787)),IF(R1787&gt;0,M1787/R1787,""),"")</f>
        <v/>
      </c>
      <c r="X1787" s="10">
        <f>IF(AND(ISNUMBER(Q1787),ISNUMBER(M1787)),IF(M1787&gt;0,Q1787/M1787,""),"")</f>
        <v/>
      </c>
      <c r="Y1787" s="11">
        <f>IF(ISNUMBER(Z1787),YEAR(Z1787),"")</f>
        <v/>
      </c>
      <c r="Z1787" s="12" t="n"/>
      <c r="AA1787" s="12" t="n"/>
      <c r="AI1787" s="12" t="n"/>
      <c r="AJ1787" s="13">
        <f>IF(LEN(TRIM(AF1787))=0,"",HYPERLINK("https://www.google.com/maps/@?api=1&amp;map_action=pano&amp;viewpoint="&amp;SUBSTITUTE(AF1787," ",""),"Abrir Street View"))</f>
        <v/>
      </c>
    </row>
    <row r="1788">
      <c r="H1788" s="6" t="n"/>
      <c r="I1788" s="6" t="n"/>
      <c r="M1788" s="7" t="n"/>
      <c r="N1788" s="7" t="n"/>
      <c r="O1788" s="7" t="n"/>
      <c r="Q1788" s="7" t="n"/>
      <c r="R1788" s="7" t="n"/>
      <c r="S1788" s="8">
        <f>IF(NOT(ISNUMBER(M1788)),"",IF(G1788="Terreno",IF(AND(ISNUMBER(I1788),I1788&gt;0),M1788/I1788,""),IF(AND(ISNUMBER(H1788),H1788&gt;0),M1788/H1788,"")))</f>
        <v/>
      </c>
      <c r="T1788" s="9">
        <f>IF(AND(ISNUMBER(M1788),ISNUMBER(O1788)),IF(M1788&lt;=O1788,"Valor ≤ venal IPTU",""),"")</f>
        <v/>
      </c>
      <c r="U1788" s="10">
        <f>IF(AND(ISNUMBER(M1788),ISNUMBER(N1788)),IF(N1788&gt;0,M1788/N1788,""),"")</f>
        <v/>
      </c>
      <c r="V1788" s="10">
        <f>IF(AND(ISNUMBER(M1788),ISNUMBER(O1788)),IF(O1788&gt;0,M1788/O1788,""),"")</f>
        <v/>
      </c>
      <c r="W1788" s="10">
        <f>IF(AND(ISNUMBER(M1788),ISNUMBER(R1788)),IF(R1788&gt;0,M1788/R1788,""),"")</f>
        <v/>
      </c>
      <c r="X1788" s="10">
        <f>IF(AND(ISNUMBER(Q1788),ISNUMBER(M1788)),IF(M1788&gt;0,Q1788/M1788,""),"")</f>
        <v/>
      </c>
      <c r="Y1788" s="11">
        <f>IF(ISNUMBER(Z1788),YEAR(Z1788),"")</f>
        <v/>
      </c>
      <c r="Z1788" s="12" t="n"/>
      <c r="AA1788" s="12" t="n"/>
      <c r="AI1788" s="12" t="n"/>
      <c r="AJ1788" s="13">
        <f>IF(LEN(TRIM(AF1788))=0,"",HYPERLINK("https://www.google.com/maps/@?api=1&amp;map_action=pano&amp;viewpoint="&amp;SUBSTITUTE(AF1788," ",""),"Abrir Street View"))</f>
        <v/>
      </c>
    </row>
    <row r="1789">
      <c r="H1789" s="6" t="n"/>
      <c r="I1789" s="6" t="n"/>
      <c r="M1789" s="7" t="n"/>
      <c r="N1789" s="7" t="n"/>
      <c r="O1789" s="7" t="n"/>
      <c r="Q1789" s="7" t="n"/>
      <c r="R1789" s="7" t="n"/>
      <c r="S1789" s="8">
        <f>IF(NOT(ISNUMBER(M1789)),"",IF(G1789="Terreno",IF(AND(ISNUMBER(I1789),I1789&gt;0),M1789/I1789,""),IF(AND(ISNUMBER(H1789),H1789&gt;0),M1789/H1789,"")))</f>
        <v/>
      </c>
      <c r="T1789" s="9">
        <f>IF(AND(ISNUMBER(M1789),ISNUMBER(O1789)),IF(M1789&lt;=O1789,"Valor ≤ venal IPTU",""),"")</f>
        <v/>
      </c>
      <c r="U1789" s="10">
        <f>IF(AND(ISNUMBER(M1789),ISNUMBER(N1789)),IF(N1789&gt;0,M1789/N1789,""),"")</f>
        <v/>
      </c>
      <c r="V1789" s="10">
        <f>IF(AND(ISNUMBER(M1789),ISNUMBER(O1789)),IF(O1789&gt;0,M1789/O1789,""),"")</f>
        <v/>
      </c>
      <c r="W1789" s="10">
        <f>IF(AND(ISNUMBER(M1789),ISNUMBER(R1789)),IF(R1789&gt;0,M1789/R1789,""),"")</f>
        <v/>
      </c>
      <c r="X1789" s="10">
        <f>IF(AND(ISNUMBER(Q1789),ISNUMBER(M1789)),IF(M1789&gt;0,Q1789/M1789,""),"")</f>
        <v/>
      </c>
      <c r="Y1789" s="11">
        <f>IF(ISNUMBER(Z1789),YEAR(Z1789),"")</f>
        <v/>
      </c>
      <c r="Z1789" s="12" t="n"/>
      <c r="AA1789" s="12" t="n"/>
      <c r="AI1789" s="12" t="n"/>
      <c r="AJ1789" s="13">
        <f>IF(LEN(TRIM(AF1789))=0,"",HYPERLINK("https://www.google.com/maps/@?api=1&amp;map_action=pano&amp;viewpoint="&amp;SUBSTITUTE(AF1789," ",""),"Abrir Street View"))</f>
        <v/>
      </c>
    </row>
    <row r="1790">
      <c r="H1790" s="6" t="n"/>
      <c r="I1790" s="6" t="n"/>
      <c r="M1790" s="7" t="n"/>
      <c r="N1790" s="7" t="n"/>
      <c r="O1790" s="7" t="n"/>
      <c r="Q1790" s="7" t="n"/>
      <c r="R1790" s="7" t="n"/>
      <c r="S1790" s="8">
        <f>IF(NOT(ISNUMBER(M1790)),"",IF(G1790="Terreno",IF(AND(ISNUMBER(I1790),I1790&gt;0),M1790/I1790,""),IF(AND(ISNUMBER(H1790),H1790&gt;0),M1790/H1790,"")))</f>
        <v/>
      </c>
      <c r="T1790" s="9">
        <f>IF(AND(ISNUMBER(M1790),ISNUMBER(O1790)),IF(M1790&lt;=O1790,"Valor ≤ venal IPTU",""),"")</f>
        <v/>
      </c>
      <c r="U1790" s="10">
        <f>IF(AND(ISNUMBER(M1790),ISNUMBER(N1790)),IF(N1790&gt;0,M1790/N1790,""),"")</f>
        <v/>
      </c>
      <c r="V1790" s="10">
        <f>IF(AND(ISNUMBER(M1790),ISNUMBER(O1790)),IF(O1790&gt;0,M1790/O1790,""),"")</f>
        <v/>
      </c>
      <c r="W1790" s="10">
        <f>IF(AND(ISNUMBER(M1790),ISNUMBER(R1790)),IF(R1790&gt;0,M1790/R1790,""),"")</f>
        <v/>
      </c>
      <c r="X1790" s="10">
        <f>IF(AND(ISNUMBER(Q1790),ISNUMBER(M1790)),IF(M1790&gt;0,Q1790/M1790,""),"")</f>
        <v/>
      </c>
      <c r="Y1790" s="11">
        <f>IF(ISNUMBER(Z1790),YEAR(Z1790),"")</f>
        <v/>
      </c>
      <c r="Z1790" s="12" t="n"/>
      <c r="AA1790" s="12" t="n"/>
      <c r="AI1790" s="12" t="n"/>
      <c r="AJ1790" s="13">
        <f>IF(LEN(TRIM(AF1790))=0,"",HYPERLINK("https://www.google.com/maps/@?api=1&amp;map_action=pano&amp;viewpoint="&amp;SUBSTITUTE(AF1790," ",""),"Abrir Street View"))</f>
        <v/>
      </c>
    </row>
    <row r="1791">
      <c r="H1791" s="6" t="n"/>
      <c r="I1791" s="6" t="n"/>
      <c r="M1791" s="7" t="n"/>
      <c r="N1791" s="7" t="n"/>
      <c r="O1791" s="7" t="n"/>
      <c r="Q1791" s="7" t="n"/>
      <c r="R1791" s="7" t="n"/>
      <c r="S1791" s="8">
        <f>IF(NOT(ISNUMBER(M1791)),"",IF(G1791="Terreno",IF(AND(ISNUMBER(I1791),I1791&gt;0),M1791/I1791,""),IF(AND(ISNUMBER(H1791),H1791&gt;0),M1791/H1791,"")))</f>
        <v/>
      </c>
      <c r="T1791" s="9">
        <f>IF(AND(ISNUMBER(M1791),ISNUMBER(O1791)),IF(M1791&lt;=O1791,"Valor ≤ venal IPTU",""),"")</f>
        <v/>
      </c>
      <c r="U1791" s="10">
        <f>IF(AND(ISNUMBER(M1791),ISNUMBER(N1791)),IF(N1791&gt;0,M1791/N1791,""),"")</f>
        <v/>
      </c>
      <c r="V1791" s="10">
        <f>IF(AND(ISNUMBER(M1791),ISNUMBER(O1791)),IF(O1791&gt;0,M1791/O1791,""),"")</f>
        <v/>
      </c>
      <c r="W1791" s="10">
        <f>IF(AND(ISNUMBER(M1791),ISNUMBER(R1791)),IF(R1791&gt;0,M1791/R1791,""),"")</f>
        <v/>
      </c>
      <c r="X1791" s="10">
        <f>IF(AND(ISNUMBER(Q1791),ISNUMBER(M1791)),IF(M1791&gt;0,Q1791/M1791,""),"")</f>
        <v/>
      </c>
      <c r="Y1791" s="11">
        <f>IF(ISNUMBER(Z1791),YEAR(Z1791),"")</f>
        <v/>
      </c>
      <c r="Z1791" s="12" t="n"/>
      <c r="AA1791" s="12" t="n"/>
      <c r="AI1791" s="12" t="n"/>
      <c r="AJ1791" s="13">
        <f>IF(LEN(TRIM(AF1791))=0,"",HYPERLINK("https://www.google.com/maps/@?api=1&amp;map_action=pano&amp;viewpoint="&amp;SUBSTITUTE(AF1791," ",""),"Abrir Street View"))</f>
        <v/>
      </c>
    </row>
    <row r="1792">
      <c r="H1792" s="6" t="n"/>
      <c r="I1792" s="6" t="n"/>
      <c r="M1792" s="7" t="n"/>
      <c r="N1792" s="7" t="n"/>
      <c r="O1792" s="7" t="n"/>
      <c r="Q1792" s="7" t="n"/>
      <c r="R1792" s="7" t="n"/>
      <c r="S1792" s="8">
        <f>IF(NOT(ISNUMBER(M1792)),"",IF(G1792="Terreno",IF(AND(ISNUMBER(I1792),I1792&gt;0),M1792/I1792,""),IF(AND(ISNUMBER(H1792),H1792&gt;0),M1792/H1792,"")))</f>
        <v/>
      </c>
      <c r="T1792" s="9">
        <f>IF(AND(ISNUMBER(M1792),ISNUMBER(O1792)),IF(M1792&lt;=O1792,"Valor ≤ venal IPTU",""),"")</f>
        <v/>
      </c>
      <c r="U1792" s="10">
        <f>IF(AND(ISNUMBER(M1792),ISNUMBER(N1792)),IF(N1792&gt;0,M1792/N1792,""),"")</f>
        <v/>
      </c>
      <c r="V1792" s="10">
        <f>IF(AND(ISNUMBER(M1792),ISNUMBER(O1792)),IF(O1792&gt;0,M1792/O1792,""),"")</f>
        <v/>
      </c>
      <c r="W1792" s="10">
        <f>IF(AND(ISNUMBER(M1792),ISNUMBER(R1792)),IF(R1792&gt;0,M1792/R1792,""),"")</f>
        <v/>
      </c>
      <c r="X1792" s="10">
        <f>IF(AND(ISNUMBER(Q1792),ISNUMBER(M1792)),IF(M1792&gt;0,Q1792/M1792,""),"")</f>
        <v/>
      </c>
      <c r="Y1792" s="11">
        <f>IF(ISNUMBER(Z1792),YEAR(Z1792),"")</f>
        <v/>
      </c>
      <c r="Z1792" s="12" t="n"/>
      <c r="AA1792" s="12" t="n"/>
      <c r="AI1792" s="12" t="n"/>
      <c r="AJ1792" s="13">
        <f>IF(LEN(TRIM(AF1792))=0,"",HYPERLINK("https://www.google.com/maps/@?api=1&amp;map_action=pano&amp;viewpoint="&amp;SUBSTITUTE(AF1792," ",""),"Abrir Street View"))</f>
        <v/>
      </c>
    </row>
    <row r="1793">
      <c r="H1793" s="6" t="n"/>
      <c r="I1793" s="6" t="n"/>
      <c r="M1793" s="7" t="n"/>
      <c r="N1793" s="7" t="n"/>
      <c r="O1793" s="7" t="n"/>
      <c r="Q1793" s="7" t="n"/>
      <c r="R1793" s="7" t="n"/>
      <c r="S1793" s="8">
        <f>IF(NOT(ISNUMBER(M1793)),"",IF(G1793="Terreno",IF(AND(ISNUMBER(I1793),I1793&gt;0),M1793/I1793,""),IF(AND(ISNUMBER(H1793),H1793&gt;0),M1793/H1793,"")))</f>
        <v/>
      </c>
      <c r="T1793" s="9">
        <f>IF(AND(ISNUMBER(M1793),ISNUMBER(O1793)),IF(M1793&lt;=O1793,"Valor ≤ venal IPTU",""),"")</f>
        <v/>
      </c>
      <c r="U1793" s="10">
        <f>IF(AND(ISNUMBER(M1793),ISNUMBER(N1793)),IF(N1793&gt;0,M1793/N1793,""),"")</f>
        <v/>
      </c>
      <c r="V1793" s="10">
        <f>IF(AND(ISNUMBER(M1793),ISNUMBER(O1793)),IF(O1793&gt;0,M1793/O1793,""),"")</f>
        <v/>
      </c>
      <c r="W1793" s="10">
        <f>IF(AND(ISNUMBER(M1793),ISNUMBER(R1793)),IF(R1793&gt;0,M1793/R1793,""),"")</f>
        <v/>
      </c>
      <c r="X1793" s="10">
        <f>IF(AND(ISNUMBER(Q1793),ISNUMBER(M1793)),IF(M1793&gt;0,Q1793/M1793,""),"")</f>
        <v/>
      </c>
      <c r="Y1793" s="11">
        <f>IF(ISNUMBER(Z1793),YEAR(Z1793),"")</f>
        <v/>
      </c>
      <c r="Z1793" s="12" t="n"/>
      <c r="AA1793" s="12" t="n"/>
      <c r="AI1793" s="12" t="n"/>
      <c r="AJ1793" s="13">
        <f>IF(LEN(TRIM(AF1793))=0,"",HYPERLINK("https://www.google.com/maps/@?api=1&amp;map_action=pano&amp;viewpoint="&amp;SUBSTITUTE(AF1793," ",""),"Abrir Street View"))</f>
        <v/>
      </c>
    </row>
    <row r="1794">
      <c r="H1794" s="6" t="n"/>
      <c r="I1794" s="6" t="n"/>
      <c r="M1794" s="7" t="n"/>
      <c r="N1794" s="7" t="n"/>
      <c r="O1794" s="7" t="n"/>
      <c r="Q1794" s="7" t="n"/>
      <c r="R1794" s="7" t="n"/>
      <c r="S1794" s="8">
        <f>IF(NOT(ISNUMBER(M1794)),"",IF(G1794="Terreno",IF(AND(ISNUMBER(I1794),I1794&gt;0),M1794/I1794,""),IF(AND(ISNUMBER(H1794),H1794&gt;0),M1794/H1794,"")))</f>
        <v/>
      </c>
      <c r="T1794" s="9">
        <f>IF(AND(ISNUMBER(M1794),ISNUMBER(O1794)),IF(M1794&lt;=O1794,"Valor ≤ venal IPTU",""),"")</f>
        <v/>
      </c>
      <c r="U1794" s="10">
        <f>IF(AND(ISNUMBER(M1794),ISNUMBER(N1794)),IF(N1794&gt;0,M1794/N1794,""),"")</f>
        <v/>
      </c>
      <c r="V1794" s="10">
        <f>IF(AND(ISNUMBER(M1794),ISNUMBER(O1794)),IF(O1794&gt;0,M1794/O1794,""),"")</f>
        <v/>
      </c>
      <c r="W1794" s="10">
        <f>IF(AND(ISNUMBER(M1794),ISNUMBER(R1794)),IF(R1794&gt;0,M1794/R1794,""),"")</f>
        <v/>
      </c>
      <c r="X1794" s="10">
        <f>IF(AND(ISNUMBER(Q1794),ISNUMBER(M1794)),IF(M1794&gt;0,Q1794/M1794,""),"")</f>
        <v/>
      </c>
      <c r="Y1794" s="11">
        <f>IF(ISNUMBER(Z1794),YEAR(Z1794),"")</f>
        <v/>
      </c>
      <c r="Z1794" s="12" t="n"/>
      <c r="AA1794" s="12" t="n"/>
      <c r="AI1794" s="12" t="n"/>
      <c r="AJ1794" s="13">
        <f>IF(LEN(TRIM(AF1794))=0,"",HYPERLINK("https://www.google.com/maps/@?api=1&amp;map_action=pano&amp;viewpoint="&amp;SUBSTITUTE(AF1794," ",""),"Abrir Street View"))</f>
        <v/>
      </c>
    </row>
    <row r="1795">
      <c r="H1795" s="6" t="n"/>
      <c r="I1795" s="6" t="n"/>
      <c r="M1795" s="7" t="n"/>
      <c r="N1795" s="7" t="n"/>
      <c r="O1795" s="7" t="n"/>
      <c r="Q1795" s="7" t="n"/>
      <c r="R1795" s="7" t="n"/>
      <c r="S1795" s="8">
        <f>IF(NOT(ISNUMBER(M1795)),"",IF(G1795="Terreno",IF(AND(ISNUMBER(I1795),I1795&gt;0),M1795/I1795,""),IF(AND(ISNUMBER(H1795),H1795&gt;0),M1795/H1795,"")))</f>
        <v/>
      </c>
      <c r="T1795" s="9">
        <f>IF(AND(ISNUMBER(M1795),ISNUMBER(O1795)),IF(M1795&lt;=O1795,"Valor ≤ venal IPTU",""),"")</f>
        <v/>
      </c>
      <c r="U1795" s="10">
        <f>IF(AND(ISNUMBER(M1795),ISNUMBER(N1795)),IF(N1795&gt;0,M1795/N1795,""),"")</f>
        <v/>
      </c>
      <c r="V1795" s="10">
        <f>IF(AND(ISNUMBER(M1795),ISNUMBER(O1795)),IF(O1795&gt;0,M1795/O1795,""),"")</f>
        <v/>
      </c>
      <c r="W1795" s="10">
        <f>IF(AND(ISNUMBER(M1795),ISNUMBER(R1795)),IF(R1795&gt;0,M1795/R1795,""),"")</f>
        <v/>
      </c>
      <c r="X1795" s="10">
        <f>IF(AND(ISNUMBER(Q1795),ISNUMBER(M1795)),IF(M1795&gt;0,Q1795/M1795,""),"")</f>
        <v/>
      </c>
      <c r="Y1795" s="11">
        <f>IF(ISNUMBER(Z1795),YEAR(Z1795),"")</f>
        <v/>
      </c>
      <c r="Z1795" s="12" t="n"/>
      <c r="AA1795" s="12" t="n"/>
      <c r="AI1795" s="12" t="n"/>
      <c r="AJ1795" s="13">
        <f>IF(LEN(TRIM(AF1795))=0,"",HYPERLINK("https://www.google.com/maps/@?api=1&amp;map_action=pano&amp;viewpoint="&amp;SUBSTITUTE(AF1795," ",""),"Abrir Street View"))</f>
        <v/>
      </c>
    </row>
    <row r="1796">
      <c r="H1796" s="6" t="n"/>
      <c r="I1796" s="6" t="n"/>
      <c r="M1796" s="7" t="n"/>
      <c r="N1796" s="7" t="n"/>
      <c r="O1796" s="7" t="n"/>
      <c r="Q1796" s="7" t="n"/>
      <c r="R1796" s="7" t="n"/>
      <c r="S1796" s="8">
        <f>IF(NOT(ISNUMBER(M1796)),"",IF(G1796="Terreno",IF(AND(ISNUMBER(I1796),I1796&gt;0),M1796/I1796,""),IF(AND(ISNUMBER(H1796),H1796&gt;0),M1796/H1796,"")))</f>
        <v/>
      </c>
      <c r="T1796" s="9">
        <f>IF(AND(ISNUMBER(M1796),ISNUMBER(O1796)),IF(M1796&lt;=O1796,"Valor ≤ venal IPTU",""),"")</f>
        <v/>
      </c>
      <c r="U1796" s="10">
        <f>IF(AND(ISNUMBER(M1796),ISNUMBER(N1796)),IF(N1796&gt;0,M1796/N1796,""),"")</f>
        <v/>
      </c>
      <c r="V1796" s="10">
        <f>IF(AND(ISNUMBER(M1796),ISNUMBER(O1796)),IF(O1796&gt;0,M1796/O1796,""),"")</f>
        <v/>
      </c>
      <c r="W1796" s="10">
        <f>IF(AND(ISNUMBER(M1796),ISNUMBER(R1796)),IF(R1796&gt;0,M1796/R1796,""),"")</f>
        <v/>
      </c>
      <c r="X1796" s="10">
        <f>IF(AND(ISNUMBER(Q1796),ISNUMBER(M1796)),IF(M1796&gt;0,Q1796/M1796,""),"")</f>
        <v/>
      </c>
      <c r="Y1796" s="11">
        <f>IF(ISNUMBER(Z1796),YEAR(Z1796),"")</f>
        <v/>
      </c>
      <c r="Z1796" s="12" t="n"/>
      <c r="AA1796" s="12" t="n"/>
      <c r="AI1796" s="12" t="n"/>
      <c r="AJ1796" s="13">
        <f>IF(LEN(TRIM(AF1796))=0,"",HYPERLINK("https://www.google.com/maps/@?api=1&amp;map_action=pano&amp;viewpoint="&amp;SUBSTITUTE(AF1796," ",""),"Abrir Street View"))</f>
        <v/>
      </c>
    </row>
    <row r="1797">
      <c r="H1797" s="6" t="n"/>
      <c r="I1797" s="6" t="n"/>
      <c r="M1797" s="7" t="n"/>
      <c r="N1797" s="7" t="n"/>
      <c r="O1797" s="7" t="n"/>
      <c r="Q1797" s="7" t="n"/>
      <c r="R1797" s="7" t="n"/>
      <c r="S1797" s="8">
        <f>IF(NOT(ISNUMBER(M1797)),"",IF(G1797="Terreno",IF(AND(ISNUMBER(I1797),I1797&gt;0),M1797/I1797,""),IF(AND(ISNUMBER(H1797),H1797&gt;0),M1797/H1797,"")))</f>
        <v/>
      </c>
      <c r="T1797" s="9">
        <f>IF(AND(ISNUMBER(M1797),ISNUMBER(O1797)),IF(M1797&lt;=O1797,"Valor ≤ venal IPTU",""),"")</f>
        <v/>
      </c>
      <c r="U1797" s="10">
        <f>IF(AND(ISNUMBER(M1797),ISNUMBER(N1797)),IF(N1797&gt;0,M1797/N1797,""),"")</f>
        <v/>
      </c>
      <c r="V1797" s="10">
        <f>IF(AND(ISNUMBER(M1797),ISNUMBER(O1797)),IF(O1797&gt;0,M1797/O1797,""),"")</f>
        <v/>
      </c>
      <c r="W1797" s="10">
        <f>IF(AND(ISNUMBER(M1797),ISNUMBER(R1797)),IF(R1797&gt;0,M1797/R1797,""),"")</f>
        <v/>
      </c>
      <c r="X1797" s="10">
        <f>IF(AND(ISNUMBER(Q1797),ISNUMBER(M1797)),IF(M1797&gt;0,Q1797/M1797,""),"")</f>
        <v/>
      </c>
      <c r="Y1797" s="11">
        <f>IF(ISNUMBER(Z1797),YEAR(Z1797),"")</f>
        <v/>
      </c>
      <c r="Z1797" s="12" t="n"/>
      <c r="AA1797" s="12" t="n"/>
      <c r="AI1797" s="12" t="n"/>
      <c r="AJ1797" s="13">
        <f>IF(LEN(TRIM(AF1797))=0,"",HYPERLINK("https://www.google.com/maps/@?api=1&amp;map_action=pano&amp;viewpoint="&amp;SUBSTITUTE(AF1797," ",""),"Abrir Street View"))</f>
        <v/>
      </c>
    </row>
    <row r="1798">
      <c r="H1798" s="6" t="n"/>
      <c r="I1798" s="6" t="n"/>
      <c r="M1798" s="7" t="n"/>
      <c r="N1798" s="7" t="n"/>
      <c r="O1798" s="7" t="n"/>
      <c r="Q1798" s="7" t="n"/>
      <c r="R1798" s="7" t="n"/>
      <c r="S1798" s="8">
        <f>IF(NOT(ISNUMBER(M1798)),"",IF(G1798="Terreno",IF(AND(ISNUMBER(I1798),I1798&gt;0),M1798/I1798,""),IF(AND(ISNUMBER(H1798),H1798&gt;0),M1798/H1798,"")))</f>
        <v/>
      </c>
      <c r="T1798" s="9">
        <f>IF(AND(ISNUMBER(M1798),ISNUMBER(O1798)),IF(M1798&lt;=O1798,"Valor ≤ venal IPTU",""),"")</f>
        <v/>
      </c>
      <c r="U1798" s="10">
        <f>IF(AND(ISNUMBER(M1798),ISNUMBER(N1798)),IF(N1798&gt;0,M1798/N1798,""),"")</f>
        <v/>
      </c>
      <c r="V1798" s="10">
        <f>IF(AND(ISNUMBER(M1798),ISNUMBER(O1798)),IF(O1798&gt;0,M1798/O1798,""),"")</f>
        <v/>
      </c>
      <c r="W1798" s="10">
        <f>IF(AND(ISNUMBER(M1798),ISNUMBER(R1798)),IF(R1798&gt;0,M1798/R1798,""),"")</f>
        <v/>
      </c>
      <c r="X1798" s="10">
        <f>IF(AND(ISNUMBER(Q1798),ISNUMBER(M1798)),IF(M1798&gt;0,Q1798/M1798,""),"")</f>
        <v/>
      </c>
      <c r="Y1798" s="11">
        <f>IF(ISNUMBER(Z1798),YEAR(Z1798),"")</f>
        <v/>
      </c>
      <c r="Z1798" s="12" t="n"/>
      <c r="AA1798" s="12" t="n"/>
      <c r="AI1798" s="12" t="n"/>
      <c r="AJ1798" s="13">
        <f>IF(LEN(TRIM(AF1798))=0,"",HYPERLINK("https://www.google.com/maps/@?api=1&amp;map_action=pano&amp;viewpoint="&amp;SUBSTITUTE(AF1798," ",""),"Abrir Street View"))</f>
        <v/>
      </c>
    </row>
    <row r="1799">
      <c r="H1799" s="6" t="n"/>
      <c r="I1799" s="6" t="n"/>
      <c r="M1799" s="7" t="n"/>
      <c r="N1799" s="7" t="n"/>
      <c r="O1799" s="7" t="n"/>
      <c r="Q1799" s="7" t="n"/>
      <c r="R1799" s="7" t="n"/>
      <c r="S1799" s="8">
        <f>IF(NOT(ISNUMBER(M1799)),"",IF(G1799="Terreno",IF(AND(ISNUMBER(I1799),I1799&gt;0),M1799/I1799,""),IF(AND(ISNUMBER(H1799),H1799&gt;0),M1799/H1799,"")))</f>
        <v/>
      </c>
      <c r="T1799" s="9">
        <f>IF(AND(ISNUMBER(M1799),ISNUMBER(O1799)),IF(M1799&lt;=O1799,"Valor ≤ venal IPTU",""),"")</f>
        <v/>
      </c>
      <c r="U1799" s="10">
        <f>IF(AND(ISNUMBER(M1799),ISNUMBER(N1799)),IF(N1799&gt;0,M1799/N1799,""),"")</f>
        <v/>
      </c>
      <c r="V1799" s="10">
        <f>IF(AND(ISNUMBER(M1799),ISNUMBER(O1799)),IF(O1799&gt;0,M1799/O1799,""),"")</f>
        <v/>
      </c>
      <c r="W1799" s="10">
        <f>IF(AND(ISNUMBER(M1799),ISNUMBER(R1799)),IF(R1799&gt;0,M1799/R1799,""),"")</f>
        <v/>
      </c>
      <c r="X1799" s="10">
        <f>IF(AND(ISNUMBER(Q1799),ISNUMBER(M1799)),IF(M1799&gt;0,Q1799/M1799,""),"")</f>
        <v/>
      </c>
      <c r="Y1799" s="11">
        <f>IF(ISNUMBER(Z1799),YEAR(Z1799),"")</f>
        <v/>
      </c>
      <c r="Z1799" s="12" t="n"/>
      <c r="AA1799" s="12" t="n"/>
      <c r="AI1799" s="12" t="n"/>
      <c r="AJ1799" s="13">
        <f>IF(LEN(TRIM(AF1799))=0,"",HYPERLINK("https://www.google.com/maps/@?api=1&amp;map_action=pano&amp;viewpoint="&amp;SUBSTITUTE(AF1799," ",""),"Abrir Street View"))</f>
        <v/>
      </c>
    </row>
    <row r="1800">
      <c r="H1800" s="6" t="n"/>
      <c r="I1800" s="6" t="n"/>
      <c r="M1800" s="7" t="n"/>
      <c r="N1800" s="7" t="n"/>
      <c r="O1800" s="7" t="n"/>
      <c r="Q1800" s="7" t="n"/>
      <c r="R1800" s="7" t="n"/>
      <c r="S1800" s="8">
        <f>IF(NOT(ISNUMBER(M1800)),"",IF(G1800="Terreno",IF(AND(ISNUMBER(I1800),I1800&gt;0),M1800/I1800,""),IF(AND(ISNUMBER(H1800),H1800&gt;0),M1800/H1800,"")))</f>
        <v/>
      </c>
      <c r="T1800" s="9">
        <f>IF(AND(ISNUMBER(M1800),ISNUMBER(O1800)),IF(M1800&lt;=O1800,"Valor ≤ venal IPTU",""),"")</f>
        <v/>
      </c>
      <c r="U1800" s="10">
        <f>IF(AND(ISNUMBER(M1800),ISNUMBER(N1800)),IF(N1800&gt;0,M1800/N1800,""),"")</f>
        <v/>
      </c>
      <c r="V1800" s="10">
        <f>IF(AND(ISNUMBER(M1800),ISNUMBER(O1800)),IF(O1800&gt;0,M1800/O1800,""),"")</f>
        <v/>
      </c>
      <c r="W1800" s="10">
        <f>IF(AND(ISNUMBER(M1800),ISNUMBER(R1800)),IF(R1800&gt;0,M1800/R1800,""),"")</f>
        <v/>
      </c>
      <c r="X1800" s="10">
        <f>IF(AND(ISNUMBER(Q1800),ISNUMBER(M1800)),IF(M1800&gt;0,Q1800/M1800,""),"")</f>
        <v/>
      </c>
      <c r="Y1800" s="11">
        <f>IF(ISNUMBER(Z1800),YEAR(Z1800),"")</f>
        <v/>
      </c>
      <c r="Z1800" s="12" t="n"/>
      <c r="AA1800" s="12" t="n"/>
      <c r="AI1800" s="12" t="n"/>
      <c r="AJ1800" s="13">
        <f>IF(LEN(TRIM(AF1800))=0,"",HYPERLINK("https://www.google.com/maps/@?api=1&amp;map_action=pano&amp;viewpoint="&amp;SUBSTITUTE(AF1800," ",""),"Abrir Street View"))</f>
        <v/>
      </c>
    </row>
    <row r="1801">
      <c r="H1801" s="6" t="n"/>
      <c r="I1801" s="6" t="n"/>
      <c r="M1801" s="7" t="n"/>
      <c r="N1801" s="7" t="n"/>
      <c r="O1801" s="7" t="n"/>
      <c r="Q1801" s="7" t="n"/>
      <c r="R1801" s="7" t="n"/>
      <c r="S1801" s="8">
        <f>IF(NOT(ISNUMBER(M1801)),"",IF(G1801="Terreno",IF(AND(ISNUMBER(I1801),I1801&gt;0),M1801/I1801,""),IF(AND(ISNUMBER(H1801),H1801&gt;0),M1801/H1801,"")))</f>
        <v/>
      </c>
      <c r="T1801" s="9">
        <f>IF(AND(ISNUMBER(M1801),ISNUMBER(O1801)),IF(M1801&lt;=O1801,"Valor ≤ venal IPTU",""),"")</f>
        <v/>
      </c>
      <c r="U1801" s="10">
        <f>IF(AND(ISNUMBER(M1801),ISNUMBER(N1801)),IF(N1801&gt;0,M1801/N1801,""),"")</f>
        <v/>
      </c>
      <c r="V1801" s="10">
        <f>IF(AND(ISNUMBER(M1801),ISNUMBER(O1801)),IF(O1801&gt;0,M1801/O1801,""),"")</f>
        <v/>
      </c>
      <c r="W1801" s="10">
        <f>IF(AND(ISNUMBER(M1801),ISNUMBER(R1801)),IF(R1801&gt;0,M1801/R1801,""),"")</f>
        <v/>
      </c>
      <c r="X1801" s="10">
        <f>IF(AND(ISNUMBER(Q1801),ISNUMBER(M1801)),IF(M1801&gt;0,Q1801/M1801,""),"")</f>
        <v/>
      </c>
      <c r="Y1801" s="11">
        <f>IF(ISNUMBER(Z1801),YEAR(Z1801),"")</f>
        <v/>
      </c>
      <c r="Z1801" s="12" t="n"/>
      <c r="AA1801" s="12" t="n"/>
      <c r="AI1801" s="12" t="n"/>
      <c r="AJ1801" s="13">
        <f>IF(LEN(TRIM(AF1801))=0,"",HYPERLINK("https://www.google.com/maps/@?api=1&amp;map_action=pano&amp;viewpoint="&amp;SUBSTITUTE(AF1801," ",""),"Abrir Street View"))</f>
        <v/>
      </c>
    </row>
    <row r="1802">
      <c r="H1802" s="6" t="n"/>
      <c r="I1802" s="6" t="n"/>
      <c r="M1802" s="7" t="n"/>
      <c r="N1802" s="7" t="n"/>
      <c r="O1802" s="7" t="n"/>
      <c r="Q1802" s="7" t="n"/>
      <c r="R1802" s="7" t="n"/>
      <c r="S1802" s="8">
        <f>IF(NOT(ISNUMBER(M1802)),"",IF(G1802="Terreno",IF(AND(ISNUMBER(I1802),I1802&gt;0),M1802/I1802,""),IF(AND(ISNUMBER(H1802),H1802&gt;0),M1802/H1802,"")))</f>
        <v/>
      </c>
      <c r="T1802" s="9">
        <f>IF(AND(ISNUMBER(M1802),ISNUMBER(O1802)),IF(M1802&lt;=O1802,"Valor ≤ venal IPTU",""),"")</f>
        <v/>
      </c>
      <c r="U1802" s="10">
        <f>IF(AND(ISNUMBER(M1802),ISNUMBER(N1802)),IF(N1802&gt;0,M1802/N1802,""),"")</f>
        <v/>
      </c>
      <c r="V1802" s="10">
        <f>IF(AND(ISNUMBER(M1802),ISNUMBER(O1802)),IF(O1802&gt;0,M1802/O1802,""),"")</f>
        <v/>
      </c>
      <c r="W1802" s="10">
        <f>IF(AND(ISNUMBER(M1802),ISNUMBER(R1802)),IF(R1802&gt;0,M1802/R1802,""),"")</f>
        <v/>
      </c>
      <c r="X1802" s="10">
        <f>IF(AND(ISNUMBER(Q1802),ISNUMBER(M1802)),IF(M1802&gt;0,Q1802/M1802,""),"")</f>
        <v/>
      </c>
      <c r="Y1802" s="11">
        <f>IF(ISNUMBER(Z1802),YEAR(Z1802),"")</f>
        <v/>
      </c>
      <c r="Z1802" s="12" t="n"/>
      <c r="AA1802" s="12" t="n"/>
      <c r="AI1802" s="12" t="n"/>
      <c r="AJ1802" s="13">
        <f>IF(LEN(TRIM(AF1802))=0,"",HYPERLINK("https://www.google.com/maps/@?api=1&amp;map_action=pano&amp;viewpoint="&amp;SUBSTITUTE(AF1802," ",""),"Abrir Street View"))</f>
        <v/>
      </c>
    </row>
    <row r="1803">
      <c r="H1803" s="6" t="n"/>
      <c r="I1803" s="6" t="n"/>
      <c r="M1803" s="7" t="n"/>
      <c r="N1803" s="7" t="n"/>
      <c r="O1803" s="7" t="n"/>
      <c r="Q1803" s="7" t="n"/>
      <c r="R1803" s="7" t="n"/>
      <c r="S1803" s="8">
        <f>IF(NOT(ISNUMBER(M1803)),"",IF(G1803="Terreno",IF(AND(ISNUMBER(I1803),I1803&gt;0),M1803/I1803,""),IF(AND(ISNUMBER(H1803),H1803&gt;0),M1803/H1803,"")))</f>
        <v/>
      </c>
      <c r="T1803" s="9">
        <f>IF(AND(ISNUMBER(M1803),ISNUMBER(O1803)),IF(M1803&lt;=O1803,"Valor ≤ venal IPTU",""),"")</f>
        <v/>
      </c>
      <c r="U1803" s="10">
        <f>IF(AND(ISNUMBER(M1803),ISNUMBER(N1803)),IF(N1803&gt;0,M1803/N1803,""),"")</f>
        <v/>
      </c>
      <c r="V1803" s="10">
        <f>IF(AND(ISNUMBER(M1803),ISNUMBER(O1803)),IF(O1803&gt;0,M1803/O1803,""),"")</f>
        <v/>
      </c>
      <c r="W1803" s="10">
        <f>IF(AND(ISNUMBER(M1803),ISNUMBER(R1803)),IF(R1803&gt;0,M1803/R1803,""),"")</f>
        <v/>
      </c>
      <c r="X1803" s="10">
        <f>IF(AND(ISNUMBER(Q1803),ISNUMBER(M1803)),IF(M1803&gt;0,Q1803/M1803,""),"")</f>
        <v/>
      </c>
      <c r="Y1803" s="11">
        <f>IF(ISNUMBER(Z1803),YEAR(Z1803),"")</f>
        <v/>
      </c>
      <c r="Z1803" s="12" t="n"/>
      <c r="AA1803" s="12" t="n"/>
      <c r="AI1803" s="12" t="n"/>
      <c r="AJ1803" s="13">
        <f>IF(LEN(TRIM(AF1803))=0,"",HYPERLINK("https://www.google.com/maps/@?api=1&amp;map_action=pano&amp;viewpoint="&amp;SUBSTITUTE(AF1803," ",""),"Abrir Street View"))</f>
        <v/>
      </c>
    </row>
    <row r="1804">
      <c r="H1804" s="6" t="n"/>
      <c r="I1804" s="6" t="n"/>
      <c r="M1804" s="7" t="n"/>
      <c r="N1804" s="7" t="n"/>
      <c r="O1804" s="7" t="n"/>
      <c r="Q1804" s="7" t="n"/>
      <c r="R1804" s="7" t="n"/>
      <c r="S1804" s="8">
        <f>IF(NOT(ISNUMBER(M1804)),"",IF(G1804="Terreno",IF(AND(ISNUMBER(I1804),I1804&gt;0),M1804/I1804,""),IF(AND(ISNUMBER(H1804),H1804&gt;0),M1804/H1804,"")))</f>
        <v/>
      </c>
      <c r="T1804" s="9">
        <f>IF(AND(ISNUMBER(M1804),ISNUMBER(O1804)),IF(M1804&lt;=O1804,"Valor ≤ venal IPTU",""),"")</f>
        <v/>
      </c>
      <c r="U1804" s="10">
        <f>IF(AND(ISNUMBER(M1804),ISNUMBER(N1804)),IF(N1804&gt;0,M1804/N1804,""),"")</f>
        <v/>
      </c>
      <c r="V1804" s="10">
        <f>IF(AND(ISNUMBER(M1804),ISNUMBER(O1804)),IF(O1804&gt;0,M1804/O1804,""),"")</f>
        <v/>
      </c>
      <c r="W1804" s="10">
        <f>IF(AND(ISNUMBER(M1804),ISNUMBER(R1804)),IF(R1804&gt;0,M1804/R1804,""),"")</f>
        <v/>
      </c>
      <c r="X1804" s="10">
        <f>IF(AND(ISNUMBER(Q1804),ISNUMBER(M1804)),IF(M1804&gt;0,Q1804/M1804,""),"")</f>
        <v/>
      </c>
      <c r="Y1804" s="11">
        <f>IF(ISNUMBER(Z1804),YEAR(Z1804),"")</f>
        <v/>
      </c>
      <c r="Z1804" s="12" t="n"/>
      <c r="AA1804" s="12" t="n"/>
      <c r="AI1804" s="12" t="n"/>
      <c r="AJ1804" s="13">
        <f>IF(LEN(TRIM(AF1804))=0,"",HYPERLINK("https://www.google.com/maps/@?api=1&amp;map_action=pano&amp;viewpoint="&amp;SUBSTITUTE(AF1804," ",""),"Abrir Street View"))</f>
        <v/>
      </c>
    </row>
    <row r="1805">
      <c r="H1805" s="6" t="n"/>
      <c r="I1805" s="6" t="n"/>
      <c r="M1805" s="7" t="n"/>
      <c r="N1805" s="7" t="n"/>
      <c r="O1805" s="7" t="n"/>
      <c r="Q1805" s="7" t="n"/>
      <c r="R1805" s="7" t="n"/>
      <c r="S1805" s="8">
        <f>IF(NOT(ISNUMBER(M1805)),"",IF(G1805="Terreno",IF(AND(ISNUMBER(I1805),I1805&gt;0),M1805/I1805,""),IF(AND(ISNUMBER(H1805),H1805&gt;0),M1805/H1805,"")))</f>
        <v/>
      </c>
      <c r="T1805" s="9">
        <f>IF(AND(ISNUMBER(M1805),ISNUMBER(O1805)),IF(M1805&lt;=O1805,"Valor ≤ venal IPTU",""),"")</f>
        <v/>
      </c>
      <c r="U1805" s="10">
        <f>IF(AND(ISNUMBER(M1805),ISNUMBER(N1805)),IF(N1805&gt;0,M1805/N1805,""),"")</f>
        <v/>
      </c>
      <c r="V1805" s="10">
        <f>IF(AND(ISNUMBER(M1805),ISNUMBER(O1805)),IF(O1805&gt;0,M1805/O1805,""),"")</f>
        <v/>
      </c>
      <c r="W1805" s="10">
        <f>IF(AND(ISNUMBER(M1805),ISNUMBER(R1805)),IF(R1805&gt;0,M1805/R1805,""),"")</f>
        <v/>
      </c>
      <c r="X1805" s="10">
        <f>IF(AND(ISNUMBER(Q1805),ISNUMBER(M1805)),IF(M1805&gt;0,Q1805/M1805,""),"")</f>
        <v/>
      </c>
      <c r="Y1805" s="11">
        <f>IF(ISNUMBER(Z1805),YEAR(Z1805),"")</f>
        <v/>
      </c>
      <c r="Z1805" s="12" t="n"/>
      <c r="AA1805" s="12" t="n"/>
      <c r="AI1805" s="12" t="n"/>
      <c r="AJ1805" s="13">
        <f>IF(LEN(TRIM(AF1805))=0,"",HYPERLINK("https://www.google.com/maps/@?api=1&amp;map_action=pano&amp;viewpoint="&amp;SUBSTITUTE(AF1805," ",""),"Abrir Street View"))</f>
        <v/>
      </c>
    </row>
    <row r="1806">
      <c r="H1806" s="6" t="n"/>
      <c r="I1806" s="6" t="n"/>
      <c r="M1806" s="7" t="n"/>
      <c r="N1806" s="7" t="n"/>
      <c r="O1806" s="7" t="n"/>
      <c r="Q1806" s="7" t="n"/>
      <c r="R1806" s="7" t="n"/>
      <c r="S1806" s="8">
        <f>IF(NOT(ISNUMBER(M1806)),"",IF(G1806="Terreno",IF(AND(ISNUMBER(I1806),I1806&gt;0),M1806/I1806,""),IF(AND(ISNUMBER(H1806),H1806&gt;0),M1806/H1806,"")))</f>
        <v/>
      </c>
      <c r="T1806" s="9">
        <f>IF(AND(ISNUMBER(M1806),ISNUMBER(O1806)),IF(M1806&lt;=O1806,"Valor ≤ venal IPTU",""),"")</f>
        <v/>
      </c>
      <c r="U1806" s="10">
        <f>IF(AND(ISNUMBER(M1806),ISNUMBER(N1806)),IF(N1806&gt;0,M1806/N1806,""),"")</f>
        <v/>
      </c>
      <c r="V1806" s="10">
        <f>IF(AND(ISNUMBER(M1806),ISNUMBER(O1806)),IF(O1806&gt;0,M1806/O1806,""),"")</f>
        <v/>
      </c>
      <c r="W1806" s="10">
        <f>IF(AND(ISNUMBER(M1806),ISNUMBER(R1806)),IF(R1806&gt;0,M1806/R1806,""),"")</f>
        <v/>
      </c>
      <c r="X1806" s="10">
        <f>IF(AND(ISNUMBER(Q1806),ISNUMBER(M1806)),IF(M1806&gt;0,Q1806/M1806,""),"")</f>
        <v/>
      </c>
      <c r="Y1806" s="11">
        <f>IF(ISNUMBER(Z1806),YEAR(Z1806),"")</f>
        <v/>
      </c>
      <c r="Z1806" s="12" t="n"/>
      <c r="AA1806" s="12" t="n"/>
      <c r="AI1806" s="12" t="n"/>
      <c r="AJ1806" s="13">
        <f>IF(LEN(TRIM(AF1806))=0,"",HYPERLINK("https://www.google.com/maps/@?api=1&amp;map_action=pano&amp;viewpoint="&amp;SUBSTITUTE(AF1806," ",""),"Abrir Street View"))</f>
        <v/>
      </c>
    </row>
    <row r="1807">
      <c r="H1807" s="6" t="n"/>
      <c r="I1807" s="6" t="n"/>
      <c r="M1807" s="7" t="n"/>
      <c r="N1807" s="7" t="n"/>
      <c r="O1807" s="7" t="n"/>
      <c r="Q1807" s="7" t="n"/>
      <c r="R1807" s="7" t="n"/>
      <c r="S1807" s="8">
        <f>IF(NOT(ISNUMBER(M1807)),"",IF(G1807="Terreno",IF(AND(ISNUMBER(I1807),I1807&gt;0),M1807/I1807,""),IF(AND(ISNUMBER(H1807),H1807&gt;0),M1807/H1807,"")))</f>
        <v/>
      </c>
      <c r="T1807" s="9">
        <f>IF(AND(ISNUMBER(M1807),ISNUMBER(O1807)),IF(M1807&lt;=O1807,"Valor ≤ venal IPTU",""),"")</f>
        <v/>
      </c>
      <c r="U1807" s="10">
        <f>IF(AND(ISNUMBER(M1807),ISNUMBER(N1807)),IF(N1807&gt;0,M1807/N1807,""),"")</f>
        <v/>
      </c>
      <c r="V1807" s="10">
        <f>IF(AND(ISNUMBER(M1807),ISNUMBER(O1807)),IF(O1807&gt;0,M1807/O1807,""),"")</f>
        <v/>
      </c>
      <c r="W1807" s="10">
        <f>IF(AND(ISNUMBER(M1807),ISNUMBER(R1807)),IF(R1807&gt;0,M1807/R1807,""),"")</f>
        <v/>
      </c>
      <c r="X1807" s="10">
        <f>IF(AND(ISNUMBER(Q1807),ISNUMBER(M1807)),IF(M1807&gt;0,Q1807/M1807,""),"")</f>
        <v/>
      </c>
      <c r="Y1807" s="11">
        <f>IF(ISNUMBER(Z1807),YEAR(Z1807),"")</f>
        <v/>
      </c>
      <c r="Z1807" s="12" t="n"/>
      <c r="AA1807" s="12" t="n"/>
      <c r="AI1807" s="12" t="n"/>
      <c r="AJ1807" s="13">
        <f>IF(LEN(TRIM(AF1807))=0,"",HYPERLINK("https://www.google.com/maps/@?api=1&amp;map_action=pano&amp;viewpoint="&amp;SUBSTITUTE(AF1807," ",""),"Abrir Street View"))</f>
        <v/>
      </c>
    </row>
    <row r="1808">
      <c r="H1808" s="6" t="n"/>
      <c r="I1808" s="6" t="n"/>
      <c r="M1808" s="7" t="n"/>
      <c r="N1808" s="7" t="n"/>
      <c r="O1808" s="7" t="n"/>
      <c r="Q1808" s="7" t="n"/>
      <c r="R1808" s="7" t="n"/>
      <c r="S1808" s="8">
        <f>IF(NOT(ISNUMBER(M1808)),"",IF(G1808="Terreno",IF(AND(ISNUMBER(I1808),I1808&gt;0),M1808/I1808,""),IF(AND(ISNUMBER(H1808),H1808&gt;0),M1808/H1808,"")))</f>
        <v/>
      </c>
      <c r="T1808" s="9">
        <f>IF(AND(ISNUMBER(M1808),ISNUMBER(O1808)),IF(M1808&lt;=O1808,"Valor ≤ venal IPTU",""),"")</f>
        <v/>
      </c>
      <c r="U1808" s="10">
        <f>IF(AND(ISNUMBER(M1808),ISNUMBER(N1808)),IF(N1808&gt;0,M1808/N1808,""),"")</f>
        <v/>
      </c>
      <c r="V1808" s="10">
        <f>IF(AND(ISNUMBER(M1808),ISNUMBER(O1808)),IF(O1808&gt;0,M1808/O1808,""),"")</f>
        <v/>
      </c>
      <c r="W1808" s="10">
        <f>IF(AND(ISNUMBER(M1808),ISNUMBER(R1808)),IF(R1808&gt;0,M1808/R1808,""),"")</f>
        <v/>
      </c>
      <c r="X1808" s="10">
        <f>IF(AND(ISNUMBER(Q1808),ISNUMBER(M1808)),IF(M1808&gt;0,Q1808/M1808,""),"")</f>
        <v/>
      </c>
      <c r="Y1808" s="11">
        <f>IF(ISNUMBER(Z1808),YEAR(Z1808),"")</f>
        <v/>
      </c>
      <c r="Z1808" s="12" t="n"/>
      <c r="AA1808" s="12" t="n"/>
      <c r="AI1808" s="12" t="n"/>
      <c r="AJ1808" s="13">
        <f>IF(LEN(TRIM(AF1808))=0,"",HYPERLINK("https://www.google.com/maps/@?api=1&amp;map_action=pano&amp;viewpoint="&amp;SUBSTITUTE(AF1808," ",""),"Abrir Street View"))</f>
        <v/>
      </c>
    </row>
    <row r="1809">
      <c r="H1809" s="6" t="n"/>
      <c r="I1809" s="6" t="n"/>
      <c r="M1809" s="7" t="n"/>
      <c r="N1809" s="7" t="n"/>
      <c r="O1809" s="7" t="n"/>
      <c r="Q1809" s="7" t="n"/>
      <c r="R1809" s="7" t="n"/>
      <c r="S1809" s="8">
        <f>IF(NOT(ISNUMBER(M1809)),"",IF(G1809="Terreno",IF(AND(ISNUMBER(I1809),I1809&gt;0),M1809/I1809,""),IF(AND(ISNUMBER(H1809),H1809&gt;0),M1809/H1809,"")))</f>
        <v/>
      </c>
      <c r="T1809" s="9">
        <f>IF(AND(ISNUMBER(M1809),ISNUMBER(O1809)),IF(M1809&lt;=O1809,"Valor ≤ venal IPTU",""),"")</f>
        <v/>
      </c>
      <c r="U1809" s="10">
        <f>IF(AND(ISNUMBER(M1809),ISNUMBER(N1809)),IF(N1809&gt;0,M1809/N1809,""),"")</f>
        <v/>
      </c>
      <c r="V1809" s="10">
        <f>IF(AND(ISNUMBER(M1809),ISNUMBER(O1809)),IF(O1809&gt;0,M1809/O1809,""),"")</f>
        <v/>
      </c>
      <c r="W1809" s="10">
        <f>IF(AND(ISNUMBER(M1809),ISNUMBER(R1809)),IF(R1809&gt;0,M1809/R1809,""),"")</f>
        <v/>
      </c>
      <c r="X1809" s="10">
        <f>IF(AND(ISNUMBER(Q1809),ISNUMBER(M1809)),IF(M1809&gt;0,Q1809/M1809,""),"")</f>
        <v/>
      </c>
      <c r="Y1809" s="11">
        <f>IF(ISNUMBER(Z1809),YEAR(Z1809),"")</f>
        <v/>
      </c>
      <c r="Z1809" s="12" t="n"/>
      <c r="AA1809" s="12" t="n"/>
      <c r="AI1809" s="12" t="n"/>
      <c r="AJ1809" s="13">
        <f>IF(LEN(TRIM(AF1809))=0,"",HYPERLINK("https://www.google.com/maps/@?api=1&amp;map_action=pano&amp;viewpoint="&amp;SUBSTITUTE(AF1809," ",""),"Abrir Street View"))</f>
        <v/>
      </c>
    </row>
    <row r="1810">
      <c r="H1810" s="6" t="n"/>
      <c r="I1810" s="6" t="n"/>
      <c r="M1810" s="7" t="n"/>
      <c r="N1810" s="7" t="n"/>
      <c r="O1810" s="7" t="n"/>
      <c r="Q1810" s="7" t="n"/>
      <c r="R1810" s="7" t="n"/>
      <c r="S1810" s="8">
        <f>IF(NOT(ISNUMBER(M1810)),"",IF(G1810="Terreno",IF(AND(ISNUMBER(I1810),I1810&gt;0),M1810/I1810,""),IF(AND(ISNUMBER(H1810),H1810&gt;0),M1810/H1810,"")))</f>
        <v/>
      </c>
      <c r="T1810" s="9">
        <f>IF(AND(ISNUMBER(M1810),ISNUMBER(O1810)),IF(M1810&lt;=O1810,"Valor ≤ venal IPTU",""),"")</f>
        <v/>
      </c>
      <c r="U1810" s="10">
        <f>IF(AND(ISNUMBER(M1810),ISNUMBER(N1810)),IF(N1810&gt;0,M1810/N1810,""),"")</f>
        <v/>
      </c>
      <c r="V1810" s="10">
        <f>IF(AND(ISNUMBER(M1810),ISNUMBER(O1810)),IF(O1810&gt;0,M1810/O1810,""),"")</f>
        <v/>
      </c>
      <c r="W1810" s="10">
        <f>IF(AND(ISNUMBER(M1810),ISNUMBER(R1810)),IF(R1810&gt;0,M1810/R1810,""),"")</f>
        <v/>
      </c>
      <c r="X1810" s="10">
        <f>IF(AND(ISNUMBER(Q1810),ISNUMBER(M1810)),IF(M1810&gt;0,Q1810/M1810,""),"")</f>
        <v/>
      </c>
      <c r="Y1810" s="11">
        <f>IF(ISNUMBER(Z1810),YEAR(Z1810),"")</f>
        <v/>
      </c>
      <c r="Z1810" s="12" t="n"/>
      <c r="AA1810" s="12" t="n"/>
      <c r="AI1810" s="12" t="n"/>
      <c r="AJ1810" s="13">
        <f>IF(LEN(TRIM(AF1810))=0,"",HYPERLINK("https://www.google.com/maps/@?api=1&amp;map_action=pano&amp;viewpoint="&amp;SUBSTITUTE(AF1810," ",""),"Abrir Street View"))</f>
        <v/>
      </c>
    </row>
    <row r="1811">
      <c r="H1811" s="6" t="n"/>
      <c r="I1811" s="6" t="n"/>
      <c r="M1811" s="7" t="n"/>
      <c r="N1811" s="7" t="n"/>
      <c r="O1811" s="7" t="n"/>
      <c r="Q1811" s="7" t="n"/>
      <c r="R1811" s="7" t="n"/>
      <c r="S1811" s="8">
        <f>IF(NOT(ISNUMBER(M1811)),"",IF(G1811="Terreno",IF(AND(ISNUMBER(I1811),I1811&gt;0),M1811/I1811,""),IF(AND(ISNUMBER(H1811),H1811&gt;0),M1811/H1811,"")))</f>
        <v/>
      </c>
      <c r="T1811" s="9">
        <f>IF(AND(ISNUMBER(M1811),ISNUMBER(O1811)),IF(M1811&lt;=O1811,"Valor ≤ venal IPTU",""),"")</f>
        <v/>
      </c>
      <c r="U1811" s="10">
        <f>IF(AND(ISNUMBER(M1811),ISNUMBER(N1811)),IF(N1811&gt;0,M1811/N1811,""),"")</f>
        <v/>
      </c>
      <c r="V1811" s="10">
        <f>IF(AND(ISNUMBER(M1811),ISNUMBER(O1811)),IF(O1811&gt;0,M1811/O1811,""),"")</f>
        <v/>
      </c>
      <c r="W1811" s="10">
        <f>IF(AND(ISNUMBER(M1811),ISNUMBER(R1811)),IF(R1811&gt;0,M1811/R1811,""),"")</f>
        <v/>
      </c>
      <c r="X1811" s="10">
        <f>IF(AND(ISNUMBER(Q1811),ISNUMBER(M1811)),IF(M1811&gt;0,Q1811/M1811,""),"")</f>
        <v/>
      </c>
      <c r="Y1811" s="11">
        <f>IF(ISNUMBER(Z1811),YEAR(Z1811),"")</f>
        <v/>
      </c>
      <c r="Z1811" s="12" t="n"/>
      <c r="AA1811" s="12" t="n"/>
      <c r="AI1811" s="12" t="n"/>
      <c r="AJ1811" s="13">
        <f>IF(LEN(TRIM(AF1811))=0,"",HYPERLINK("https://www.google.com/maps/@?api=1&amp;map_action=pano&amp;viewpoint="&amp;SUBSTITUTE(AF1811," ",""),"Abrir Street View"))</f>
        <v/>
      </c>
    </row>
    <row r="1812">
      <c r="H1812" s="6" t="n"/>
      <c r="I1812" s="6" t="n"/>
      <c r="M1812" s="7" t="n"/>
      <c r="N1812" s="7" t="n"/>
      <c r="O1812" s="7" t="n"/>
      <c r="Q1812" s="7" t="n"/>
      <c r="R1812" s="7" t="n"/>
      <c r="S1812" s="8">
        <f>IF(NOT(ISNUMBER(M1812)),"",IF(G1812="Terreno",IF(AND(ISNUMBER(I1812),I1812&gt;0),M1812/I1812,""),IF(AND(ISNUMBER(H1812),H1812&gt;0),M1812/H1812,"")))</f>
        <v/>
      </c>
      <c r="T1812" s="9">
        <f>IF(AND(ISNUMBER(M1812),ISNUMBER(O1812)),IF(M1812&lt;=O1812,"Valor ≤ venal IPTU",""),"")</f>
        <v/>
      </c>
      <c r="U1812" s="10">
        <f>IF(AND(ISNUMBER(M1812),ISNUMBER(N1812)),IF(N1812&gt;0,M1812/N1812,""),"")</f>
        <v/>
      </c>
      <c r="V1812" s="10">
        <f>IF(AND(ISNUMBER(M1812),ISNUMBER(O1812)),IF(O1812&gt;0,M1812/O1812,""),"")</f>
        <v/>
      </c>
      <c r="W1812" s="10">
        <f>IF(AND(ISNUMBER(M1812),ISNUMBER(R1812)),IF(R1812&gt;0,M1812/R1812,""),"")</f>
        <v/>
      </c>
      <c r="X1812" s="10">
        <f>IF(AND(ISNUMBER(Q1812),ISNUMBER(M1812)),IF(M1812&gt;0,Q1812/M1812,""),"")</f>
        <v/>
      </c>
      <c r="Y1812" s="11">
        <f>IF(ISNUMBER(Z1812),YEAR(Z1812),"")</f>
        <v/>
      </c>
      <c r="Z1812" s="12" t="n"/>
      <c r="AA1812" s="12" t="n"/>
      <c r="AI1812" s="12" t="n"/>
      <c r="AJ1812" s="13">
        <f>IF(LEN(TRIM(AF1812))=0,"",HYPERLINK("https://www.google.com/maps/@?api=1&amp;map_action=pano&amp;viewpoint="&amp;SUBSTITUTE(AF1812," ",""),"Abrir Street View"))</f>
        <v/>
      </c>
    </row>
    <row r="1813">
      <c r="H1813" s="6" t="n"/>
      <c r="I1813" s="6" t="n"/>
      <c r="M1813" s="7" t="n"/>
      <c r="N1813" s="7" t="n"/>
      <c r="O1813" s="7" t="n"/>
      <c r="Q1813" s="7" t="n"/>
      <c r="R1813" s="7" t="n"/>
      <c r="S1813" s="8">
        <f>IF(NOT(ISNUMBER(M1813)),"",IF(G1813="Terreno",IF(AND(ISNUMBER(I1813),I1813&gt;0),M1813/I1813,""),IF(AND(ISNUMBER(H1813),H1813&gt;0),M1813/H1813,"")))</f>
        <v/>
      </c>
      <c r="T1813" s="9">
        <f>IF(AND(ISNUMBER(M1813),ISNUMBER(O1813)),IF(M1813&lt;=O1813,"Valor ≤ venal IPTU",""),"")</f>
        <v/>
      </c>
      <c r="U1813" s="10">
        <f>IF(AND(ISNUMBER(M1813),ISNUMBER(N1813)),IF(N1813&gt;0,M1813/N1813,""),"")</f>
        <v/>
      </c>
      <c r="V1813" s="10">
        <f>IF(AND(ISNUMBER(M1813),ISNUMBER(O1813)),IF(O1813&gt;0,M1813/O1813,""),"")</f>
        <v/>
      </c>
      <c r="W1813" s="10">
        <f>IF(AND(ISNUMBER(M1813),ISNUMBER(R1813)),IF(R1813&gt;0,M1813/R1813,""),"")</f>
        <v/>
      </c>
      <c r="X1813" s="10">
        <f>IF(AND(ISNUMBER(Q1813),ISNUMBER(M1813)),IF(M1813&gt;0,Q1813/M1813,""),"")</f>
        <v/>
      </c>
      <c r="Y1813" s="11">
        <f>IF(ISNUMBER(Z1813),YEAR(Z1813),"")</f>
        <v/>
      </c>
      <c r="Z1813" s="12" t="n"/>
      <c r="AA1813" s="12" t="n"/>
      <c r="AI1813" s="12" t="n"/>
      <c r="AJ1813" s="13">
        <f>IF(LEN(TRIM(AF1813))=0,"",HYPERLINK("https://www.google.com/maps/@?api=1&amp;map_action=pano&amp;viewpoint="&amp;SUBSTITUTE(AF1813," ",""),"Abrir Street View"))</f>
        <v/>
      </c>
    </row>
    <row r="1814">
      <c r="H1814" s="6" t="n"/>
      <c r="I1814" s="6" t="n"/>
      <c r="M1814" s="7" t="n"/>
      <c r="N1814" s="7" t="n"/>
      <c r="O1814" s="7" t="n"/>
      <c r="Q1814" s="7" t="n"/>
      <c r="R1814" s="7" t="n"/>
      <c r="S1814" s="8">
        <f>IF(NOT(ISNUMBER(M1814)),"",IF(G1814="Terreno",IF(AND(ISNUMBER(I1814),I1814&gt;0),M1814/I1814,""),IF(AND(ISNUMBER(H1814),H1814&gt;0),M1814/H1814,"")))</f>
        <v/>
      </c>
      <c r="T1814" s="9">
        <f>IF(AND(ISNUMBER(M1814),ISNUMBER(O1814)),IF(M1814&lt;=O1814,"Valor ≤ venal IPTU",""),"")</f>
        <v/>
      </c>
      <c r="U1814" s="10">
        <f>IF(AND(ISNUMBER(M1814),ISNUMBER(N1814)),IF(N1814&gt;0,M1814/N1814,""),"")</f>
        <v/>
      </c>
      <c r="V1814" s="10">
        <f>IF(AND(ISNUMBER(M1814),ISNUMBER(O1814)),IF(O1814&gt;0,M1814/O1814,""),"")</f>
        <v/>
      </c>
      <c r="W1814" s="10">
        <f>IF(AND(ISNUMBER(M1814),ISNUMBER(R1814)),IF(R1814&gt;0,M1814/R1814,""),"")</f>
        <v/>
      </c>
      <c r="X1814" s="10">
        <f>IF(AND(ISNUMBER(Q1814),ISNUMBER(M1814)),IF(M1814&gt;0,Q1814/M1814,""),"")</f>
        <v/>
      </c>
      <c r="Y1814" s="11">
        <f>IF(ISNUMBER(Z1814),YEAR(Z1814),"")</f>
        <v/>
      </c>
      <c r="Z1814" s="12" t="n"/>
      <c r="AA1814" s="12" t="n"/>
      <c r="AI1814" s="12" t="n"/>
      <c r="AJ1814" s="13">
        <f>IF(LEN(TRIM(AF1814))=0,"",HYPERLINK("https://www.google.com/maps/@?api=1&amp;map_action=pano&amp;viewpoint="&amp;SUBSTITUTE(AF1814," ",""),"Abrir Street View"))</f>
        <v/>
      </c>
    </row>
    <row r="1815">
      <c r="H1815" s="6" t="n"/>
      <c r="I1815" s="6" t="n"/>
      <c r="M1815" s="7" t="n"/>
      <c r="N1815" s="7" t="n"/>
      <c r="O1815" s="7" t="n"/>
      <c r="Q1815" s="7" t="n"/>
      <c r="R1815" s="7" t="n"/>
      <c r="S1815" s="8">
        <f>IF(NOT(ISNUMBER(M1815)),"",IF(G1815="Terreno",IF(AND(ISNUMBER(I1815),I1815&gt;0),M1815/I1815,""),IF(AND(ISNUMBER(H1815),H1815&gt;0),M1815/H1815,"")))</f>
        <v/>
      </c>
      <c r="T1815" s="9">
        <f>IF(AND(ISNUMBER(M1815),ISNUMBER(O1815)),IF(M1815&lt;=O1815,"Valor ≤ venal IPTU",""),"")</f>
        <v/>
      </c>
      <c r="U1815" s="10">
        <f>IF(AND(ISNUMBER(M1815),ISNUMBER(N1815)),IF(N1815&gt;0,M1815/N1815,""),"")</f>
        <v/>
      </c>
      <c r="V1815" s="10">
        <f>IF(AND(ISNUMBER(M1815),ISNUMBER(O1815)),IF(O1815&gt;0,M1815/O1815,""),"")</f>
        <v/>
      </c>
      <c r="W1815" s="10">
        <f>IF(AND(ISNUMBER(M1815),ISNUMBER(R1815)),IF(R1815&gt;0,M1815/R1815,""),"")</f>
        <v/>
      </c>
      <c r="X1815" s="10">
        <f>IF(AND(ISNUMBER(Q1815),ISNUMBER(M1815)),IF(M1815&gt;0,Q1815/M1815,""),"")</f>
        <v/>
      </c>
      <c r="Y1815" s="11">
        <f>IF(ISNUMBER(Z1815),YEAR(Z1815),"")</f>
        <v/>
      </c>
      <c r="Z1815" s="12" t="n"/>
      <c r="AA1815" s="12" t="n"/>
      <c r="AI1815" s="12" t="n"/>
      <c r="AJ1815" s="13">
        <f>IF(LEN(TRIM(AF1815))=0,"",HYPERLINK("https://www.google.com/maps/@?api=1&amp;map_action=pano&amp;viewpoint="&amp;SUBSTITUTE(AF1815," ",""),"Abrir Street View"))</f>
        <v/>
      </c>
    </row>
    <row r="1816">
      <c r="H1816" s="6" t="n"/>
      <c r="I1816" s="6" t="n"/>
      <c r="M1816" s="7" t="n"/>
      <c r="N1816" s="7" t="n"/>
      <c r="O1816" s="7" t="n"/>
      <c r="Q1816" s="7" t="n"/>
      <c r="R1816" s="7" t="n"/>
      <c r="S1816" s="8">
        <f>IF(NOT(ISNUMBER(M1816)),"",IF(G1816="Terreno",IF(AND(ISNUMBER(I1816),I1816&gt;0),M1816/I1816,""),IF(AND(ISNUMBER(H1816),H1816&gt;0),M1816/H1816,"")))</f>
        <v/>
      </c>
      <c r="T1816" s="9">
        <f>IF(AND(ISNUMBER(M1816),ISNUMBER(O1816)),IF(M1816&lt;=O1816,"Valor ≤ venal IPTU",""),"")</f>
        <v/>
      </c>
      <c r="U1816" s="10">
        <f>IF(AND(ISNUMBER(M1816),ISNUMBER(N1816)),IF(N1816&gt;0,M1816/N1816,""),"")</f>
        <v/>
      </c>
      <c r="V1816" s="10">
        <f>IF(AND(ISNUMBER(M1816),ISNUMBER(O1816)),IF(O1816&gt;0,M1816/O1816,""),"")</f>
        <v/>
      </c>
      <c r="W1816" s="10">
        <f>IF(AND(ISNUMBER(M1816),ISNUMBER(R1816)),IF(R1816&gt;0,M1816/R1816,""),"")</f>
        <v/>
      </c>
      <c r="X1816" s="10">
        <f>IF(AND(ISNUMBER(Q1816),ISNUMBER(M1816)),IF(M1816&gt;0,Q1816/M1816,""),"")</f>
        <v/>
      </c>
      <c r="Y1816" s="11">
        <f>IF(ISNUMBER(Z1816),YEAR(Z1816),"")</f>
        <v/>
      </c>
      <c r="Z1816" s="12" t="n"/>
      <c r="AA1816" s="12" t="n"/>
      <c r="AI1816" s="12" t="n"/>
      <c r="AJ1816" s="13">
        <f>IF(LEN(TRIM(AF1816))=0,"",HYPERLINK("https://www.google.com/maps/@?api=1&amp;map_action=pano&amp;viewpoint="&amp;SUBSTITUTE(AF1816," ",""),"Abrir Street View"))</f>
        <v/>
      </c>
    </row>
    <row r="1817">
      <c r="H1817" s="6" t="n"/>
      <c r="I1817" s="6" t="n"/>
      <c r="M1817" s="7" t="n"/>
      <c r="N1817" s="7" t="n"/>
      <c r="O1817" s="7" t="n"/>
      <c r="Q1817" s="7" t="n"/>
      <c r="R1817" s="7" t="n"/>
      <c r="S1817" s="8">
        <f>IF(NOT(ISNUMBER(M1817)),"",IF(G1817="Terreno",IF(AND(ISNUMBER(I1817),I1817&gt;0),M1817/I1817,""),IF(AND(ISNUMBER(H1817),H1817&gt;0),M1817/H1817,"")))</f>
        <v/>
      </c>
      <c r="T1817" s="9">
        <f>IF(AND(ISNUMBER(M1817),ISNUMBER(O1817)),IF(M1817&lt;=O1817,"Valor ≤ venal IPTU",""),"")</f>
        <v/>
      </c>
      <c r="U1817" s="10">
        <f>IF(AND(ISNUMBER(M1817),ISNUMBER(N1817)),IF(N1817&gt;0,M1817/N1817,""),"")</f>
        <v/>
      </c>
      <c r="V1817" s="10">
        <f>IF(AND(ISNUMBER(M1817),ISNUMBER(O1817)),IF(O1817&gt;0,M1817/O1817,""),"")</f>
        <v/>
      </c>
      <c r="W1817" s="10">
        <f>IF(AND(ISNUMBER(M1817),ISNUMBER(R1817)),IF(R1817&gt;0,M1817/R1817,""),"")</f>
        <v/>
      </c>
      <c r="X1817" s="10">
        <f>IF(AND(ISNUMBER(Q1817),ISNUMBER(M1817)),IF(M1817&gt;0,Q1817/M1817,""),"")</f>
        <v/>
      </c>
      <c r="Y1817" s="11">
        <f>IF(ISNUMBER(Z1817),YEAR(Z1817),"")</f>
        <v/>
      </c>
      <c r="Z1817" s="12" t="n"/>
      <c r="AA1817" s="12" t="n"/>
      <c r="AI1817" s="12" t="n"/>
      <c r="AJ1817" s="13">
        <f>IF(LEN(TRIM(AF1817))=0,"",HYPERLINK("https://www.google.com/maps/@?api=1&amp;map_action=pano&amp;viewpoint="&amp;SUBSTITUTE(AF1817," ",""),"Abrir Street View"))</f>
        <v/>
      </c>
    </row>
    <row r="1818">
      <c r="H1818" s="6" t="n"/>
      <c r="I1818" s="6" t="n"/>
      <c r="M1818" s="7" t="n"/>
      <c r="N1818" s="7" t="n"/>
      <c r="O1818" s="7" t="n"/>
      <c r="Q1818" s="7" t="n"/>
      <c r="R1818" s="7" t="n"/>
      <c r="S1818" s="8">
        <f>IF(NOT(ISNUMBER(M1818)),"",IF(G1818="Terreno",IF(AND(ISNUMBER(I1818),I1818&gt;0),M1818/I1818,""),IF(AND(ISNUMBER(H1818),H1818&gt;0),M1818/H1818,"")))</f>
        <v/>
      </c>
      <c r="T1818" s="9">
        <f>IF(AND(ISNUMBER(M1818),ISNUMBER(O1818)),IF(M1818&lt;=O1818,"Valor ≤ venal IPTU",""),"")</f>
        <v/>
      </c>
      <c r="U1818" s="10">
        <f>IF(AND(ISNUMBER(M1818),ISNUMBER(N1818)),IF(N1818&gt;0,M1818/N1818,""),"")</f>
        <v/>
      </c>
      <c r="V1818" s="10">
        <f>IF(AND(ISNUMBER(M1818),ISNUMBER(O1818)),IF(O1818&gt;0,M1818/O1818,""),"")</f>
        <v/>
      </c>
      <c r="W1818" s="10">
        <f>IF(AND(ISNUMBER(M1818),ISNUMBER(R1818)),IF(R1818&gt;0,M1818/R1818,""),"")</f>
        <v/>
      </c>
      <c r="X1818" s="10">
        <f>IF(AND(ISNUMBER(Q1818),ISNUMBER(M1818)),IF(M1818&gt;0,Q1818/M1818,""),"")</f>
        <v/>
      </c>
      <c r="Y1818" s="11">
        <f>IF(ISNUMBER(Z1818),YEAR(Z1818),"")</f>
        <v/>
      </c>
      <c r="Z1818" s="12" t="n"/>
      <c r="AA1818" s="12" t="n"/>
      <c r="AI1818" s="12" t="n"/>
      <c r="AJ1818" s="13">
        <f>IF(LEN(TRIM(AF1818))=0,"",HYPERLINK("https://www.google.com/maps/@?api=1&amp;map_action=pano&amp;viewpoint="&amp;SUBSTITUTE(AF1818," ",""),"Abrir Street View"))</f>
        <v/>
      </c>
    </row>
    <row r="1819">
      <c r="H1819" s="6" t="n"/>
      <c r="I1819" s="6" t="n"/>
      <c r="M1819" s="7" t="n"/>
      <c r="N1819" s="7" t="n"/>
      <c r="O1819" s="7" t="n"/>
      <c r="Q1819" s="7" t="n"/>
      <c r="R1819" s="7" t="n"/>
      <c r="S1819" s="8">
        <f>IF(NOT(ISNUMBER(M1819)),"",IF(G1819="Terreno",IF(AND(ISNUMBER(I1819),I1819&gt;0),M1819/I1819,""),IF(AND(ISNUMBER(H1819),H1819&gt;0),M1819/H1819,"")))</f>
        <v/>
      </c>
      <c r="T1819" s="9">
        <f>IF(AND(ISNUMBER(M1819),ISNUMBER(O1819)),IF(M1819&lt;=O1819,"Valor ≤ venal IPTU",""),"")</f>
        <v/>
      </c>
      <c r="U1819" s="10">
        <f>IF(AND(ISNUMBER(M1819),ISNUMBER(N1819)),IF(N1819&gt;0,M1819/N1819,""),"")</f>
        <v/>
      </c>
      <c r="V1819" s="10">
        <f>IF(AND(ISNUMBER(M1819),ISNUMBER(O1819)),IF(O1819&gt;0,M1819/O1819,""),"")</f>
        <v/>
      </c>
      <c r="W1819" s="10">
        <f>IF(AND(ISNUMBER(M1819),ISNUMBER(R1819)),IF(R1819&gt;0,M1819/R1819,""),"")</f>
        <v/>
      </c>
      <c r="X1819" s="10">
        <f>IF(AND(ISNUMBER(Q1819),ISNUMBER(M1819)),IF(M1819&gt;0,Q1819/M1819,""),"")</f>
        <v/>
      </c>
      <c r="Y1819" s="11">
        <f>IF(ISNUMBER(Z1819),YEAR(Z1819),"")</f>
        <v/>
      </c>
      <c r="Z1819" s="12" t="n"/>
      <c r="AA1819" s="12" t="n"/>
      <c r="AI1819" s="12" t="n"/>
      <c r="AJ1819" s="13">
        <f>IF(LEN(TRIM(AF1819))=0,"",HYPERLINK("https://www.google.com/maps/@?api=1&amp;map_action=pano&amp;viewpoint="&amp;SUBSTITUTE(AF1819," ",""),"Abrir Street View"))</f>
        <v/>
      </c>
    </row>
    <row r="1820">
      <c r="H1820" s="6" t="n"/>
      <c r="I1820" s="6" t="n"/>
      <c r="M1820" s="7" t="n"/>
      <c r="N1820" s="7" t="n"/>
      <c r="O1820" s="7" t="n"/>
      <c r="Q1820" s="7" t="n"/>
      <c r="R1820" s="7" t="n"/>
      <c r="S1820" s="8">
        <f>IF(NOT(ISNUMBER(M1820)),"",IF(G1820="Terreno",IF(AND(ISNUMBER(I1820),I1820&gt;0),M1820/I1820,""),IF(AND(ISNUMBER(H1820),H1820&gt;0),M1820/H1820,"")))</f>
        <v/>
      </c>
      <c r="T1820" s="9">
        <f>IF(AND(ISNUMBER(M1820),ISNUMBER(O1820)),IF(M1820&lt;=O1820,"Valor ≤ venal IPTU",""),"")</f>
        <v/>
      </c>
      <c r="U1820" s="10">
        <f>IF(AND(ISNUMBER(M1820),ISNUMBER(N1820)),IF(N1820&gt;0,M1820/N1820,""),"")</f>
        <v/>
      </c>
      <c r="V1820" s="10">
        <f>IF(AND(ISNUMBER(M1820),ISNUMBER(O1820)),IF(O1820&gt;0,M1820/O1820,""),"")</f>
        <v/>
      </c>
      <c r="W1820" s="10">
        <f>IF(AND(ISNUMBER(M1820),ISNUMBER(R1820)),IF(R1820&gt;0,M1820/R1820,""),"")</f>
        <v/>
      </c>
      <c r="X1820" s="10">
        <f>IF(AND(ISNUMBER(Q1820),ISNUMBER(M1820)),IF(M1820&gt;0,Q1820/M1820,""),"")</f>
        <v/>
      </c>
      <c r="Y1820" s="11">
        <f>IF(ISNUMBER(Z1820),YEAR(Z1820),"")</f>
        <v/>
      </c>
      <c r="Z1820" s="12" t="n"/>
      <c r="AA1820" s="12" t="n"/>
      <c r="AI1820" s="12" t="n"/>
      <c r="AJ1820" s="13">
        <f>IF(LEN(TRIM(AF1820))=0,"",HYPERLINK("https://www.google.com/maps/@?api=1&amp;map_action=pano&amp;viewpoint="&amp;SUBSTITUTE(AF1820," ",""),"Abrir Street View"))</f>
        <v/>
      </c>
    </row>
    <row r="1821">
      <c r="H1821" s="6" t="n"/>
      <c r="I1821" s="6" t="n"/>
      <c r="M1821" s="7" t="n"/>
      <c r="N1821" s="7" t="n"/>
      <c r="O1821" s="7" t="n"/>
      <c r="Q1821" s="7" t="n"/>
      <c r="R1821" s="7" t="n"/>
      <c r="S1821" s="8">
        <f>IF(NOT(ISNUMBER(M1821)),"",IF(G1821="Terreno",IF(AND(ISNUMBER(I1821),I1821&gt;0),M1821/I1821,""),IF(AND(ISNUMBER(H1821),H1821&gt;0),M1821/H1821,"")))</f>
        <v/>
      </c>
      <c r="T1821" s="9">
        <f>IF(AND(ISNUMBER(M1821),ISNUMBER(O1821)),IF(M1821&lt;=O1821,"Valor ≤ venal IPTU",""),"")</f>
        <v/>
      </c>
      <c r="U1821" s="10">
        <f>IF(AND(ISNUMBER(M1821),ISNUMBER(N1821)),IF(N1821&gt;0,M1821/N1821,""),"")</f>
        <v/>
      </c>
      <c r="V1821" s="10">
        <f>IF(AND(ISNUMBER(M1821),ISNUMBER(O1821)),IF(O1821&gt;0,M1821/O1821,""),"")</f>
        <v/>
      </c>
      <c r="W1821" s="10">
        <f>IF(AND(ISNUMBER(M1821),ISNUMBER(R1821)),IF(R1821&gt;0,M1821/R1821,""),"")</f>
        <v/>
      </c>
      <c r="X1821" s="10">
        <f>IF(AND(ISNUMBER(Q1821),ISNUMBER(M1821)),IF(M1821&gt;0,Q1821/M1821,""),"")</f>
        <v/>
      </c>
      <c r="Y1821" s="11">
        <f>IF(ISNUMBER(Z1821),YEAR(Z1821),"")</f>
        <v/>
      </c>
      <c r="Z1821" s="12" t="n"/>
      <c r="AA1821" s="12" t="n"/>
      <c r="AI1821" s="12" t="n"/>
      <c r="AJ1821" s="13">
        <f>IF(LEN(TRIM(AF1821))=0,"",HYPERLINK("https://www.google.com/maps/@?api=1&amp;map_action=pano&amp;viewpoint="&amp;SUBSTITUTE(AF1821," ",""),"Abrir Street View"))</f>
        <v/>
      </c>
    </row>
    <row r="1822">
      <c r="H1822" s="6" t="n"/>
      <c r="I1822" s="6" t="n"/>
      <c r="M1822" s="7" t="n"/>
      <c r="N1822" s="7" t="n"/>
      <c r="O1822" s="7" t="n"/>
      <c r="Q1822" s="7" t="n"/>
      <c r="R1822" s="7" t="n"/>
      <c r="S1822" s="8">
        <f>IF(NOT(ISNUMBER(M1822)),"",IF(G1822="Terreno",IF(AND(ISNUMBER(I1822),I1822&gt;0),M1822/I1822,""),IF(AND(ISNUMBER(H1822),H1822&gt;0),M1822/H1822,"")))</f>
        <v/>
      </c>
      <c r="T1822" s="9">
        <f>IF(AND(ISNUMBER(M1822),ISNUMBER(O1822)),IF(M1822&lt;=O1822,"Valor ≤ venal IPTU",""),"")</f>
        <v/>
      </c>
      <c r="U1822" s="10">
        <f>IF(AND(ISNUMBER(M1822),ISNUMBER(N1822)),IF(N1822&gt;0,M1822/N1822,""),"")</f>
        <v/>
      </c>
      <c r="V1822" s="10">
        <f>IF(AND(ISNUMBER(M1822),ISNUMBER(O1822)),IF(O1822&gt;0,M1822/O1822,""),"")</f>
        <v/>
      </c>
      <c r="W1822" s="10">
        <f>IF(AND(ISNUMBER(M1822),ISNUMBER(R1822)),IF(R1822&gt;0,M1822/R1822,""),"")</f>
        <v/>
      </c>
      <c r="X1822" s="10">
        <f>IF(AND(ISNUMBER(Q1822),ISNUMBER(M1822)),IF(M1822&gt;0,Q1822/M1822,""),"")</f>
        <v/>
      </c>
      <c r="Y1822" s="11">
        <f>IF(ISNUMBER(Z1822),YEAR(Z1822),"")</f>
        <v/>
      </c>
      <c r="Z1822" s="12" t="n"/>
      <c r="AA1822" s="12" t="n"/>
      <c r="AI1822" s="12" t="n"/>
      <c r="AJ1822" s="13">
        <f>IF(LEN(TRIM(AF1822))=0,"",HYPERLINK("https://www.google.com/maps/@?api=1&amp;map_action=pano&amp;viewpoint="&amp;SUBSTITUTE(AF1822," ",""),"Abrir Street View"))</f>
        <v/>
      </c>
    </row>
    <row r="1823">
      <c r="H1823" s="6" t="n"/>
      <c r="I1823" s="6" t="n"/>
      <c r="M1823" s="7" t="n"/>
      <c r="N1823" s="7" t="n"/>
      <c r="O1823" s="7" t="n"/>
      <c r="Q1823" s="7" t="n"/>
      <c r="R1823" s="7" t="n"/>
      <c r="S1823" s="8">
        <f>IF(NOT(ISNUMBER(M1823)),"",IF(G1823="Terreno",IF(AND(ISNUMBER(I1823),I1823&gt;0),M1823/I1823,""),IF(AND(ISNUMBER(H1823),H1823&gt;0),M1823/H1823,"")))</f>
        <v/>
      </c>
      <c r="T1823" s="9">
        <f>IF(AND(ISNUMBER(M1823),ISNUMBER(O1823)),IF(M1823&lt;=O1823,"Valor ≤ venal IPTU",""),"")</f>
        <v/>
      </c>
      <c r="U1823" s="10">
        <f>IF(AND(ISNUMBER(M1823),ISNUMBER(N1823)),IF(N1823&gt;0,M1823/N1823,""),"")</f>
        <v/>
      </c>
      <c r="V1823" s="10">
        <f>IF(AND(ISNUMBER(M1823),ISNUMBER(O1823)),IF(O1823&gt;0,M1823/O1823,""),"")</f>
        <v/>
      </c>
      <c r="W1823" s="10">
        <f>IF(AND(ISNUMBER(M1823),ISNUMBER(R1823)),IF(R1823&gt;0,M1823/R1823,""),"")</f>
        <v/>
      </c>
      <c r="X1823" s="10">
        <f>IF(AND(ISNUMBER(Q1823),ISNUMBER(M1823)),IF(M1823&gt;0,Q1823/M1823,""),"")</f>
        <v/>
      </c>
      <c r="Y1823" s="11">
        <f>IF(ISNUMBER(Z1823),YEAR(Z1823),"")</f>
        <v/>
      </c>
      <c r="Z1823" s="12" t="n"/>
      <c r="AA1823" s="12" t="n"/>
      <c r="AI1823" s="12" t="n"/>
      <c r="AJ1823" s="13">
        <f>IF(LEN(TRIM(AF1823))=0,"",HYPERLINK("https://www.google.com/maps/@?api=1&amp;map_action=pano&amp;viewpoint="&amp;SUBSTITUTE(AF1823," ",""),"Abrir Street View"))</f>
        <v/>
      </c>
    </row>
    <row r="1824">
      <c r="H1824" s="6" t="n"/>
      <c r="I1824" s="6" t="n"/>
      <c r="M1824" s="7" t="n"/>
      <c r="N1824" s="7" t="n"/>
      <c r="O1824" s="7" t="n"/>
      <c r="Q1824" s="7" t="n"/>
      <c r="R1824" s="7" t="n"/>
      <c r="S1824" s="8">
        <f>IF(NOT(ISNUMBER(M1824)),"",IF(G1824="Terreno",IF(AND(ISNUMBER(I1824),I1824&gt;0),M1824/I1824,""),IF(AND(ISNUMBER(H1824),H1824&gt;0),M1824/H1824,"")))</f>
        <v/>
      </c>
      <c r="T1824" s="9">
        <f>IF(AND(ISNUMBER(M1824),ISNUMBER(O1824)),IF(M1824&lt;=O1824,"Valor ≤ venal IPTU",""),"")</f>
        <v/>
      </c>
      <c r="U1824" s="10">
        <f>IF(AND(ISNUMBER(M1824),ISNUMBER(N1824)),IF(N1824&gt;0,M1824/N1824,""),"")</f>
        <v/>
      </c>
      <c r="V1824" s="10">
        <f>IF(AND(ISNUMBER(M1824),ISNUMBER(O1824)),IF(O1824&gt;0,M1824/O1824,""),"")</f>
        <v/>
      </c>
      <c r="W1824" s="10">
        <f>IF(AND(ISNUMBER(M1824),ISNUMBER(R1824)),IF(R1824&gt;0,M1824/R1824,""),"")</f>
        <v/>
      </c>
      <c r="X1824" s="10">
        <f>IF(AND(ISNUMBER(Q1824),ISNUMBER(M1824)),IF(M1824&gt;0,Q1824/M1824,""),"")</f>
        <v/>
      </c>
      <c r="Y1824" s="11">
        <f>IF(ISNUMBER(Z1824),YEAR(Z1824),"")</f>
        <v/>
      </c>
      <c r="Z1824" s="12" t="n"/>
      <c r="AA1824" s="12" t="n"/>
      <c r="AI1824" s="12" t="n"/>
      <c r="AJ1824" s="13">
        <f>IF(LEN(TRIM(AF1824))=0,"",HYPERLINK("https://www.google.com/maps/@?api=1&amp;map_action=pano&amp;viewpoint="&amp;SUBSTITUTE(AF1824," ",""),"Abrir Street View"))</f>
        <v/>
      </c>
    </row>
    <row r="1825">
      <c r="H1825" s="6" t="n"/>
      <c r="I1825" s="6" t="n"/>
      <c r="M1825" s="7" t="n"/>
      <c r="N1825" s="7" t="n"/>
      <c r="O1825" s="7" t="n"/>
      <c r="Q1825" s="7" t="n"/>
      <c r="R1825" s="7" t="n"/>
      <c r="S1825" s="8">
        <f>IF(NOT(ISNUMBER(M1825)),"",IF(G1825="Terreno",IF(AND(ISNUMBER(I1825),I1825&gt;0),M1825/I1825,""),IF(AND(ISNUMBER(H1825),H1825&gt;0),M1825/H1825,"")))</f>
        <v/>
      </c>
      <c r="T1825" s="9">
        <f>IF(AND(ISNUMBER(M1825),ISNUMBER(O1825)),IF(M1825&lt;=O1825,"Valor ≤ venal IPTU",""),"")</f>
        <v/>
      </c>
      <c r="U1825" s="10">
        <f>IF(AND(ISNUMBER(M1825),ISNUMBER(N1825)),IF(N1825&gt;0,M1825/N1825,""),"")</f>
        <v/>
      </c>
      <c r="V1825" s="10">
        <f>IF(AND(ISNUMBER(M1825),ISNUMBER(O1825)),IF(O1825&gt;0,M1825/O1825,""),"")</f>
        <v/>
      </c>
      <c r="W1825" s="10">
        <f>IF(AND(ISNUMBER(M1825),ISNUMBER(R1825)),IF(R1825&gt;0,M1825/R1825,""),"")</f>
        <v/>
      </c>
      <c r="X1825" s="10">
        <f>IF(AND(ISNUMBER(Q1825),ISNUMBER(M1825)),IF(M1825&gt;0,Q1825/M1825,""),"")</f>
        <v/>
      </c>
      <c r="Y1825" s="11">
        <f>IF(ISNUMBER(Z1825),YEAR(Z1825),"")</f>
        <v/>
      </c>
      <c r="Z1825" s="12" t="n"/>
      <c r="AA1825" s="12" t="n"/>
      <c r="AI1825" s="12" t="n"/>
      <c r="AJ1825" s="13">
        <f>IF(LEN(TRIM(AF1825))=0,"",HYPERLINK("https://www.google.com/maps/@?api=1&amp;map_action=pano&amp;viewpoint="&amp;SUBSTITUTE(AF1825," ",""),"Abrir Street View"))</f>
        <v/>
      </c>
    </row>
    <row r="1826">
      <c r="H1826" s="6" t="n"/>
      <c r="I1826" s="6" t="n"/>
      <c r="M1826" s="7" t="n"/>
      <c r="N1826" s="7" t="n"/>
      <c r="O1826" s="7" t="n"/>
      <c r="Q1826" s="7" t="n"/>
      <c r="R1826" s="7" t="n"/>
      <c r="S1826" s="8">
        <f>IF(NOT(ISNUMBER(M1826)),"",IF(G1826="Terreno",IF(AND(ISNUMBER(I1826),I1826&gt;0),M1826/I1826,""),IF(AND(ISNUMBER(H1826),H1826&gt;0),M1826/H1826,"")))</f>
        <v/>
      </c>
      <c r="T1826" s="9">
        <f>IF(AND(ISNUMBER(M1826),ISNUMBER(O1826)),IF(M1826&lt;=O1826,"Valor ≤ venal IPTU",""),"")</f>
        <v/>
      </c>
      <c r="U1826" s="10">
        <f>IF(AND(ISNUMBER(M1826),ISNUMBER(N1826)),IF(N1826&gt;0,M1826/N1826,""),"")</f>
        <v/>
      </c>
      <c r="V1826" s="10">
        <f>IF(AND(ISNUMBER(M1826),ISNUMBER(O1826)),IF(O1826&gt;0,M1826/O1826,""),"")</f>
        <v/>
      </c>
      <c r="W1826" s="10">
        <f>IF(AND(ISNUMBER(M1826),ISNUMBER(R1826)),IF(R1826&gt;0,M1826/R1826,""),"")</f>
        <v/>
      </c>
      <c r="X1826" s="10">
        <f>IF(AND(ISNUMBER(Q1826),ISNUMBER(M1826)),IF(M1826&gt;0,Q1826/M1826,""),"")</f>
        <v/>
      </c>
      <c r="Y1826" s="11">
        <f>IF(ISNUMBER(Z1826),YEAR(Z1826),"")</f>
        <v/>
      </c>
      <c r="Z1826" s="12" t="n"/>
      <c r="AA1826" s="12" t="n"/>
      <c r="AI1826" s="12" t="n"/>
      <c r="AJ1826" s="13">
        <f>IF(LEN(TRIM(AF1826))=0,"",HYPERLINK("https://www.google.com/maps/@?api=1&amp;map_action=pano&amp;viewpoint="&amp;SUBSTITUTE(AF1826," ",""),"Abrir Street View"))</f>
        <v/>
      </c>
    </row>
    <row r="1827">
      <c r="H1827" s="6" t="n"/>
      <c r="I1827" s="6" t="n"/>
      <c r="M1827" s="7" t="n"/>
      <c r="N1827" s="7" t="n"/>
      <c r="O1827" s="7" t="n"/>
      <c r="Q1827" s="7" t="n"/>
      <c r="R1827" s="7" t="n"/>
      <c r="S1827" s="8">
        <f>IF(NOT(ISNUMBER(M1827)),"",IF(G1827="Terreno",IF(AND(ISNUMBER(I1827),I1827&gt;0),M1827/I1827,""),IF(AND(ISNUMBER(H1827),H1827&gt;0),M1827/H1827,"")))</f>
        <v/>
      </c>
      <c r="T1827" s="9">
        <f>IF(AND(ISNUMBER(M1827),ISNUMBER(O1827)),IF(M1827&lt;=O1827,"Valor ≤ venal IPTU",""),"")</f>
        <v/>
      </c>
      <c r="U1827" s="10">
        <f>IF(AND(ISNUMBER(M1827),ISNUMBER(N1827)),IF(N1827&gt;0,M1827/N1827,""),"")</f>
        <v/>
      </c>
      <c r="V1827" s="10">
        <f>IF(AND(ISNUMBER(M1827),ISNUMBER(O1827)),IF(O1827&gt;0,M1827/O1827,""),"")</f>
        <v/>
      </c>
      <c r="W1827" s="10">
        <f>IF(AND(ISNUMBER(M1827),ISNUMBER(R1827)),IF(R1827&gt;0,M1827/R1827,""),"")</f>
        <v/>
      </c>
      <c r="X1827" s="10">
        <f>IF(AND(ISNUMBER(Q1827),ISNUMBER(M1827)),IF(M1827&gt;0,Q1827/M1827,""),"")</f>
        <v/>
      </c>
      <c r="Y1827" s="11">
        <f>IF(ISNUMBER(Z1827),YEAR(Z1827),"")</f>
        <v/>
      </c>
      <c r="Z1827" s="12" t="n"/>
      <c r="AA1827" s="12" t="n"/>
      <c r="AI1827" s="12" t="n"/>
      <c r="AJ1827" s="13">
        <f>IF(LEN(TRIM(AF1827))=0,"",HYPERLINK("https://www.google.com/maps/@?api=1&amp;map_action=pano&amp;viewpoint="&amp;SUBSTITUTE(AF1827," ",""),"Abrir Street View"))</f>
        <v/>
      </c>
    </row>
    <row r="1828">
      <c r="H1828" s="6" t="n"/>
      <c r="I1828" s="6" t="n"/>
      <c r="M1828" s="7" t="n"/>
      <c r="N1828" s="7" t="n"/>
      <c r="O1828" s="7" t="n"/>
      <c r="Q1828" s="7" t="n"/>
      <c r="R1828" s="7" t="n"/>
      <c r="S1828" s="8">
        <f>IF(NOT(ISNUMBER(M1828)),"",IF(G1828="Terreno",IF(AND(ISNUMBER(I1828),I1828&gt;0),M1828/I1828,""),IF(AND(ISNUMBER(H1828),H1828&gt;0),M1828/H1828,"")))</f>
        <v/>
      </c>
      <c r="T1828" s="9">
        <f>IF(AND(ISNUMBER(M1828),ISNUMBER(O1828)),IF(M1828&lt;=O1828,"Valor ≤ venal IPTU",""),"")</f>
        <v/>
      </c>
      <c r="U1828" s="10">
        <f>IF(AND(ISNUMBER(M1828),ISNUMBER(N1828)),IF(N1828&gt;0,M1828/N1828,""),"")</f>
        <v/>
      </c>
      <c r="V1828" s="10">
        <f>IF(AND(ISNUMBER(M1828),ISNUMBER(O1828)),IF(O1828&gt;0,M1828/O1828,""),"")</f>
        <v/>
      </c>
      <c r="W1828" s="10">
        <f>IF(AND(ISNUMBER(M1828),ISNUMBER(R1828)),IF(R1828&gt;0,M1828/R1828,""),"")</f>
        <v/>
      </c>
      <c r="X1828" s="10">
        <f>IF(AND(ISNUMBER(Q1828),ISNUMBER(M1828)),IF(M1828&gt;0,Q1828/M1828,""),"")</f>
        <v/>
      </c>
      <c r="Y1828" s="11">
        <f>IF(ISNUMBER(Z1828),YEAR(Z1828),"")</f>
        <v/>
      </c>
      <c r="Z1828" s="12" t="n"/>
      <c r="AA1828" s="12" t="n"/>
      <c r="AI1828" s="12" t="n"/>
      <c r="AJ1828" s="13">
        <f>IF(LEN(TRIM(AF1828))=0,"",HYPERLINK("https://www.google.com/maps/@?api=1&amp;map_action=pano&amp;viewpoint="&amp;SUBSTITUTE(AF1828," ",""),"Abrir Street View"))</f>
        <v/>
      </c>
    </row>
    <row r="1829">
      <c r="H1829" s="6" t="n"/>
      <c r="I1829" s="6" t="n"/>
      <c r="M1829" s="7" t="n"/>
      <c r="N1829" s="7" t="n"/>
      <c r="O1829" s="7" t="n"/>
      <c r="Q1829" s="7" t="n"/>
      <c r="R1829" s="7" t="n"/>
      <c r="S1829" s="8">
        <f>IF(NOT(ISNUMBER(M1829)),"",IF(G1829="Terreno",IF(AND(ISNUMBER(I1829),I1829&gt;0),M1829/I1829,""),IF(AND(ISNUMBER(H1829),H1829&gt;0),M1829/H1829,"")))</f>
        <v/>
      </c>
      <c r="T1829" s="9">
        <f>IF(AND(ISNUMBER(M1829),ISNUMBER(O1829)),IF(M1829&lt;=O1829,"Valor ≤ venal IPTU",""),"")</f>
        <v/>
      </c>
      <c r="U1829" s="10">
        <f>IF(AND(ISNUMBER(M1829),ISNUMBER(N1829)),IF(N1829&gt;0,M1829/N1829,""),"")</f>
        <v/>
      </c>
      <c r="V1829" s="10">
        <f>IF(AND(ISNUMBER(M1829),ISNUMBER(O1829)),IF(O1829&gt;0,M1829/O1829,""),"")</f>
        <v/>
      </c>
      <c r="W1829" s="10">
        <f>IF(AND(ISNUMBER(M1829),ISNUMBER(R1829)),IF(R1829&gt;0,M1829/R1829,""),"")</f>
        <v/>
      </c>
      <c r="X1829" s="10">
        <f>IF(AND(ISNUMBER(Q1829),ISNUMBER(M1829)),IF(M1829&gt;0,Q1829/M1829,""),"")</f>
        <v/>
      </c>
      <c r="Y1829" s="11">
        <f>IF(ISNUMBER(Z1829),YEAR(Z1829),"")</f>
        <v/>
      </c>
      <c r="Z1829" s="12" t="n"/>
      <c r="AA1829" s="12" t="n"/>
      <c r="AI1829" s="12" t="n"/>
      <c r="AJ1829" s="13">
        <f>IF(LEN(TRIM(AF1829))=0,"",HYPERLINK("https://www.google.com/maps/@?api=1&amp;map_action=pano&amp;viewpoint="&amp;SUBSTITUTE(AF1829," ",""),"Abrir Street View"))</f>
        <v/>
      </c>
    </row>
    <row r="1830">
      <c r="H1830" s="6" t="n"/>
      <c r="I1830" s="6" t="n"/>
      <c r="M1830" s="7" t="n"/>
      <c r="N1830" s="7" t="n"/>
      <c r="O1830" s="7" t="n"/>
      <c r="Q1830" s="7" t="n"/>
      <c r="R1830" s="7" t="n"/>
      <c r="S1830" s="8">
        <f>IF(NOT(ISNUMBER(M1830)),"",IF(G1830="Terreno",IF(AND(ISNUMBER(I1830),I1830&gt;0),M1830/I1830,""),IF(AND(ISNUMBER(H1830),H1830&gt;0),M1830/H1830,"")))</f>
        <v/>
      </c>
      <c r="T1830" s="9">
        <f>IF(AND(ISNUMBER(M1830),ISNUMBER(O1830)),IF(M1830&lt;=O1830,"Valor ≤ venal IPTU",""),"")</f>
        <v/>
      </c>
      <c r="U1830" s="10">
        <f>IF(AND(ISNUMBER(M1830),ISNUMBER(N1830)),IF(N1830&gt;0,M1830/N1830,""),"")</f>
        <v/>
      </c>
      <c r="V1830" s="10">
        <f>IF(AND(ISNUMBER(M1830),ISNUMBER(O1830)),IF(O1830&gt;0,M1830/O1830,""),"")</f>
        <v/>
      </c>
      <c r="W1830" s="10">
        <f>IF(AND(ISNUMBER(M1830),ISNUMBER(R1830)),IF(R1830&gt;0,M1830/R1830,""),"")</f>
        <v/>
      </c>
      <c r="X1830" s="10">
        <f>IF(AND(ISNUMBER(Q1830),ISNUMBER(M1830)),IF(M1830&gt;0,Q1830/M1830,""),"")</f>
        <v/>
      </c>
      <c r="Y1830" s="11">
        <f>IF(ISNUMBER(Z1830),YEAR(Z1830),"")</f>
        <v/>
      </c>
      <c r="Z1830" s="12" t="n"/>
      <c r="AA1830" s="12" t="n"/>
      <c r="AI1830" s="12" t="n"/>
      <c r="AJ1830" s="13">
        <f>IF(LEN(TRIM(AF1830))=0,"",HYPERLINK("https://www.google.com/maps/@?api=1&amp;map_action=pano&amp;viewpoint="&amp;SUBSTITUTE(AF1830," ",""),"Abrir Street View"))</f>
        <v/>
      </c>
    </row>
    <row r="1831">
      <c r="H1831" s="6" t="n"/>
      <c r="I1831" s="6" t="n"/>
      <c r="M1831" s="7" t="n"/>
      <c r="N1831" s="7" t="n"/>
      <c r="O1831" s="7" t="n"/>
      <c r="Q1831" s="7" t="n"/>
      <c r="R1831" s="7" t="n"/>
      <c r="S1831" s="8">
        <f>IF(NOT(ISNUMBER(M1831)),"",IF(G1831="Terreno",IF(AND(ISNUMBER(I1831),I1831&gt;0),M1831/I1831,""),IF(AND(ISNUMBER(H1831),H1831&gt;0),M1831/H1831,"")))</f>
        <v/>
      </c>
      <c r="T1831" s="9">
        <f>IF(AND(ISNUMBER(M1831),ISNUMBER(O1831)),IF(M1831&lt;=O1831,"Valor ≤ venal IPTU",""),"")</f>
        <v/>
      </c>
      <c r="U1831" s="10">
        <f>IF(AND(ISNUMBER(M1831),ISNUMBER(N1831)),IF(N1831&gt;0,M1831/N1831,""),"")</f>
        <v/>
      </c>
      <c r="V1831" s="10">
        <f>IF(AND(ISNUMBER(M1831),ISNUMBER(O1831)),IF(O1831&gt;0,M1831/O1831,""),"")</f>
        <v/>
      </c>
      <c r="W1831" s="10">
        <f>IF(AND(ISNUMBER(M1831),ISNUMBER(R1831)),IF(R1831&gt;0,M1831/R1831,""),"")</f>
        <v/>
      </c>
      <c r="X1831" s="10">
        <f>IF(AND(ISNUMBER(Q1831),ISNUMBER(M1831)),IF(M1831&gt;0,Q1831/M1831,""),"")</f>
        <v/>
      </c>
      <c r="Y1831" s="11">
        <f>IF(ISNUMBER(Z1831),YEAR(Z1831),"")</f>
        <v/>
      </c>
      <c r="Z1831" s="12" t="n"/>
      <c r="AA1831" s="12" t="n"/>
      <c r="AI1831" s="12" t="n"/>
      <c r="AJ1831" s="13">
        <f>IF(LEN(TRIM(AF1831))=0,"",HYPERLINK("https://www.google.com/maps/@?api=1&amp;map_action=pano&amp;viewpoint="&amp;SUBSTITUTE(AF1831," ",""),"Abrir Street View"))</f>
        <v/>
      </c>
    </row>
    <row r="1832">
      <c r="H1832" s="6" t="n"/>
      <c r="I1832" s="6" t="n"/>
      <c r="M1832" s="7" t="n"/>
      <c r="N1832" s="7" t="n"/>
      <c r="O1832" s="7" t="n"/>
      <c r="Q1832" s="7" t="n"/>
      <c r="R1832" s="7" t="n"/>
      <c r="S1832" s="8">
        <f>IF(NOT(ISNUMBER(M1832)),"",IF(G1832="Terreno",IF(AND(ISNUMBER(I1832),I1832&gt;0),M1832/I1832,""),IF(AND(ISNUMBER(H1832),H1832&gt;0),M1832/H1832,"")))</f>
        <v/>
      </c>
      <c r="T1832" s="9">
        <f>IF(AND(ISNUMBER(M1832),ISNUMBER(O1832)),IF(M1832&lt;=O1832,"Valor ≤ venal IPTU",""),"")</f>
        <v/>
      </c>
      <c r="U1832" s="10">
        <f>IF(AND(ISNUMBER(M1832),ISNUMBER(N1832)),IF(N1832&gt;0,M1832/N1832,""),"")</f>
        <v/>
      </c>
      <c r="V1832" s="10">
        <f>IF(AND(ISNUMBER(M1832),ISNUMBER(O1832)),IF(O1832&gt;0,M1832/O1832,""),"")</f>
        <v/>
      </c>
      <c r="W1832" s="10">
        <f>IF(AND(ISNUMBER(M1832),ISNUMBER(R1832)),IF(R1832&gt;0,M1832/R1832,""),"")</f>
        <v/>
      </c>
      <c r="X1832" s="10">
        <f>IF(AND(ISNUMBER(Q1832),ISNUMBER(M1832)),IF(M1832&gt;0,Q1832/M1832,""),"")</f>
        <v/>
      </c>
      <c r="Y1832" s="11">
        <f>IF(ISNUMBER(Z1832),YEAR(Z1832),"")</f>
        <v/>
      </c>
      <c r="Z1832" s="12" t="n"/>
      <c r="AA1832" s="12" t="n"/>
      <c r="AI1832" s="12" t="n"/>
      <c r="AJ1832" s="13">
        <f>IF(LEN(TRIM(AF1832))=0,"",HYPERLINK("https://www.google.com/maps/@?api=1&amp;map_action=pano&amp;viewpoint="&amp;SUBSTITUTE(AF1832," ",""),"Abrir Street View"))</f>
        <v/>
      </c>
    </row>
    <row r="1833">
      <c r="H1833" s="6" t="n"/>
      <c r="I1833" s="6" t="n"/>
      <c r="M1833" s="7" t="n"/>
      <c r="N1833" s="7" t="n"/>
      <c r="O1833" s="7" t="n"/>
      <c r="Q1833" s="7" t="n"/>
      <c r="R1833" s="7" t="n"/>
      <c r="S1833" s="8">
        <f>IF(NOT(ISNUMBER(M1833)),"",IF(G1833="Terreno",IF(AND(ISNUMBER(I1833),I1833&gt;0),M1833/I1833,""),IF(AND(ISNUMBER(H1833),H1833&gt;0),M1833/H1833,"")))</f>
        <v/>
      </c>
      <c r="T1833" s="9">
        <f>IF(AND(ISNUMBER(M1833),ISNUMBER(O1833)),IF(M1833&lt;=O1833,"Valor ≤ venal IPTU",""),"")</f>
        <v/>
      </c>
      <c r="U1833" s="10">
        <f>IF(AND(ISNUMBER(M1833),ISNUMBER(N1833)),IF(N1833&gt;0,M1833/N1833,""),"")</f>
        <v/>
      </c>
      <c r="V1833" s="10">
        <f>IF(AND(ISNUMBER(M1833),ISNUMBER(O1833)),IF(O1833&gt;0,M1833/O1833,""),"")</f>
        <v/>
      </c>
      <c r="W1833" s="10">
        <f>IF(AND(ISNUMBER(M1833),ISNUMBER(R1833)),IF(R1833&gt;0,M1833/R1833,""),"")</f>
        <v/>
      </c>
      <c r="X1833" s="10">
        <f>IF(AND(ISNUMBER(Q1833),ISNUMBER(M1833)),IF(M1833&gt;0,Q1833/M1833,""),"")</f>
        <v/>
      </c>
      <c r="Y1833" s="11">
        <f>IF(ISNUMBER(Z1833),YEAR(Z1833),"")</f>
        <v/>
      </c>
      <c r="Z1833" s="12" t="n"/>
      <c r="AA1833" s="12" t="n"/>
      <c r="AI1833" s="12" t="n"/>
      <c r="AJ1833" s="13">
        <f>IF(LEN(TRIM(AF1833))=0,"",HYPERLINK("https://www.google.com/maps/@?api=1&amp;map_action=pano&amp;viewpoint="&amp;SUBSTITUTE(AF1833," ",""),"Abrir Street View"))</f>
        <v/>
      </c>
    </row>
    <row r="1834">
      <c r="H1834" s="6" t="n"/>
      <c r="I1834" s="6" t="n"/>
      <c r="M1834" s="7" t="n"/>
      <c r="N1834" s="7" t="n"/>
      <c r="O1834" s="7" t="n"/>
      <c r="Q1834" s="7" t="n"/>
      <c r="R1834" s="7" t="n"/>
      <c r="S1834" s="8">
        <f>IF(NOT(ISNUMBER(M1834)),"",IF(G1834="Terreno",IF(AND(ISNUMBER(I1834),I1834&gt;0),M1834/I1834,""),IF(AND(ISNUMBER(H1834),H1834&gt;0),M1834/H1834,"")))</f>
        <v/>
      </c>
      <c r="T1834" s="9">
        <f>IF(AND(ISNUMBER(M1834),ISNUMBER(O1834)),IF(M1834&lt;=O1834,"Valor ≤ venal IPTU",""),"")</f>
        <v/>
      </c>
      <c r="U1834" s="10">
        <f>IF(AND(ISNUMBER(M1834),ISNUMBER(N1834)),IF(N1834&gt;0,M1834/N1834,""),"")</f>
        <v/>
      </c>
      <c r="V1834" s="10">
        <f>IF(AND(ISNUMBER(M1834),ISNUMBER(O1834)),IF(O1834&gt;0,M1834/O1834,""),"")</f>
        <v/>
      </c>
      <c r="W1834" s="10">
        <f>IF(AND(ISNUMBER(M1834),ISNUMBER(R1834)),IF(R1834&gt;0,M1834/R1834,""),"")</f>
        <v/>
      </c>
      <c r="X1834" s="10">
        <f>IF(AND(ISNUMBER(Q1834),ISNUMBER(M1834)),IF(M1834&gt;0,Q1834/M1834,""),"")</f>
        <v/>
      </c>
      <c r="Y1834" s="11">
        <f>IF(ISNUMBER(Z1834),YEAR(Z1834),"")</f>
        <v/>
      </c>
      <c r="Z1834" s="12" t="n"/>
      <c r="AA1834" s="12" t="n"/>
      <c r="AI1834" s="12" t="n"/>
      <c r="AJ1834" s="13">
        <f>IF(LEN(TRIM(AF1834))=0,"",HYPERLINK("https://www.google.com/maps/@?api=1&amp;map_action=pano&amp;viewpoint="&amp;SUBSTITUTE(AF1834," ",""),"Abrir Street View"))</f>
        <v/>
      </c>
    </row>
    <row r="1835">
      <c r="H1835" s="6" t="n"/>
      <c r="I1835" s="6" t="n"/>
      <c r="M1835" s="7" t="n"/>
      <c r="N1835" s="7" t="n"/>
      <c r="O1835" s="7" t="n"/>
      <c r="Q1835" s="7" t="n"/>
      <c r="R1835" s="7" t="n"/>
      <c r="S1835" s="8">
        <f>IF(NOT(ISNUMBER(M1835)),"",IF(G1835="Terreno",IF(AND(ISNUMBER(I1835),I1835&gt;0),M1835/I1835,""),IF(AND(ISNUMBER(H1835),H1835&gt;0),M1835/H1835,"")))</f>
        <v/>
      </c>
      <c r="T1835" s="9">
        <f>IF(AND(ISNUMBER(M1835),ISNUMBER(O1835)),IF(M1835&lt;=O1835,"Valor ≤ venal IPTU",""),"")</f>
        <v/>
      </c>
      <c r="U1835" s="10">
        <f>IF(AND(ISNUMBER(M1835),ISNUMBER(N1835)),IF(N1835&gt;0,M1835/N1835,""),"")</f>
        <v/>
      </c>
      <c r="V1835" s="10">
        <f>IF(AND(ISNUMBER(M1835),ISNUMBER(O1835)),IF(O1835&gt;0,M1835/O1835,""),"")</f>
        <v/>
      </c>
      <c r="W1835" s="10">
        <f>IF(AND(ISNUMBER(M1835),ISNUMBER(R1835)),IF(R1835&gt;0,M1835/R1835,""),"")</f>
        <v/>
      </c>
      <c r="X1835" s="10">
        <f>IF(AND(ISNUMBER(Q1835),ISNUMBER(M1835)),IF(M1835&gt;0,Q1835/M1835,""),"")</f>
        <v/>
      </c>
      <c r="Y1835" s="11">
        <f>IF(ISNUMBER(Z1835),YEAR(Z1835),"")</f>
        <v/>
      </c>
      <c r="Z1835" s="12" t="n"/>
      <c r="AA1835" s="12" t="n"/>
      <c r="AI1835" s="12" t="n"/>
      <c r="AJ1835" s="13">
        <f>IF(LEN(TRIM(AF1835))=0,"",HYPERLINK("https://www.google.com/maps/@?api=1&amp;map_action=pano&amp;viewpoint="&amp;SUBSTITUTE(AF1835," ",""),"Abrir Street View"))</f>
        <v/>
      </c>
    </row>
    <row r="1836">
      <c r="H1836" s="6" t="n"/>
      <c r="I1836" s="6" t="n"/>
      <c r="M1836" s="7" t="n"/>
      <c r="N1836" s="7" t="n"/>
      <c r="O1836" s="7" t="n"/>
      <c r="Q1836" s="7" t="n"/>
      <c r="R1836" s="7" t="n"/>
      <c r="S1836" s="8">
        <f>IF(NOT(ISNUMBER(M1836)),"",IF(G1836="Terreno",IF(AND(ISNUMBER(I1836),I1836&gt;0),M1836/I1836,""),IF(AND(ISNUMBER(H1836),H1836&gt;0),M1836/H1836,"")))</f>
        <v/>
      </c>
      <c r="T1836" s="9">
        <f>IF(AND(ISNUMBER(M1836),ISNUMBER(O1836)),IF(M1836&lt;=O1836,"Valor ≤ venal IPTU",""),"")</f>
        <v/>
      </c>
      <c r="U1836" s="10">
        <f>IF(AND(ISNUMBER(M1836),ISNUMBER(N1836)),IF(N1836&gt;0,M1836/N1836,""),"")</f>
        <v/>
      </c>
      <c r="V1836" s="10">
        <f>IF(AND(ISNUMBER(M1836),ISNUMBER(O1836)),IF(O1836&gt;0,M1836/O1836,""),"")</f>
        <v/>
      </c>
      <c r="W1836" s="10">
        <f>IF(AND(ISNUMBER(M1836),ISNUMBER(R1836)),IF(R1836&gt;0,M1836/R1836,""),"")</f>
        <v/>
      </c>
      <c r="X1836" s="10">
        <f>IF(AND(ISNUMBER(Q1836),ISNUMBER(M1836)),IF(M1836&gt;0,Q1836/M1836,""),"")</f>
        <v/>
      </c>
      <c r="Y1836" s="11">
        <f>IF(ISNUMBER(Z1836),YEAR(Z1836),"")</f>
        <v/>
      </c>
      <c r="Z1836" s="12" t="n"/>
      <c r="AA1836" s="12" t="n"/>
      <c r="AI1836" s="12" t="n"/>
      <c r="AJ1836" s="13">
        <f>IF(LEN(TRIM(AF1836))=0,"",HYPERLINK("https://www.google.com/maps/@?api=1&amp;map_action=pano&amp;viewpoint="&amp;SUBSTITUTE(AF1836," ",""),"Abrir Street View"))</f>
        <v/>
      </c>
    </row>
    <row r="1837">
      <c r="H1837" s="6" t="n"/>
      <c r="I1837" s="6" t="n"/>
      <c r="M1837" s="7" t="n"/>
      <c r="N1837" s="7" t="n"/>
      <c r="O1837" s="7" t="n"/>
      <c r="Q1837" s="7" t="n"/>
      <c r="R1837" s="7" t="n"/>
      <c r="S1837" s="8">
        <f>IF(NOT(ISNUMBER(M1837)),"",IF(G1837="Terreno",IF(AND(ISNUMBER(I1837),I1837&gt;0),M1837/I1837,""),IF(AND(ISNUMBER(H1837),H1837&gt;0),M1837/H1837,"")))</f>
        <v/>
      </c>
      <c r="T1837" s="9">
        <f>IF(AND(ISNUMBER(M1837),ISNUMBER(O1837)),IF(M1837&lt;=O1837,"Valor ≤ venal IPTU",""),"")</f>
        <v/>
      </c>
      <c r="U1837" s="10">
        <f>IF(AND(ISNUMBER(M1837),ISNUMBER(N1837)),IF(N1837&gt;0,M1837/N1837,""),"")</f>
        <v/>
      </c>
      <c r="V1837" s="10">
        <f>IF(AND(ISNUMBER(M1837),ISNUMBER(O1837)),IF(O1837&gt;0,M1837/O1837,""),"")</f>
        <v/>
      </c>
      <c r="W1837" s="10">
        <f>IF(AND(ISNUMBER(M1837),ISNUMBER(R1837)),IF(R1837&gt;0,M1837/R1837,""),"")</f>
        <v/>
      </c>
      <c r="X1837" s="10">
        <f>IF(AND(ISNUMBER(Q1837),ISNUMBER(M1837)),IF(M1837&gt;0,Q1837/M1837,""),"")</f>
        <v/>
      </c>
      <c r="Y1837" s="11">
        <f>IF(ISNUMBER(Z1837),YEAR(Z1837),"")</f>
        <v/>
      </c>
      <c r="Z1837" s="12" t="n"/>
      <c r="AA1837" s="12" t="n"/>
      <c r="AI1837" s="12" t="n"/>
      <c r="AJ1837" s="13">
        <f>IF(LEN(TRIM(AF1837))=0,"",HYPERLINK("https://www.google.com/maps/@?api=1&amp;map_action=pano&amp;viewpoint="&amp;SUBSTITUTE(AF1837," ",""),"Abrir Street View"))</f>
        <v/>
      </c>
    </row>
    <row r="1838">
      <c r="H1838" s="6" t="n"/>
      <c r="I1838" s="6" t="n"/>
      <c r="M1838" s="7" t="n"/>
      <c r="N1838" s="7" t="n"/>
      <c r="O1838" s="7" t="n"/>
      <c r="Q1838" s="7" t="n"/>
      <c r="R1838" s="7" t="n"/>
      <c r="S1838" s="8">
        <f>IF(NOT(ISNUMBER(M1838)),"",IF(G1838="Terreno",IF(AND(ISNUMBER(I1838),I1838&gt;0),M1838/I1838,""),IF(AND(ISNUMBER(H1838),H1838&gt;0),M1838/H1838,"")))</f>
        <v/>
      </c>
      <c r="T1838" s="9">
        <f>IF(AND(ISNUMBER(M1838),ISNUMBER(O1838)),IF(M1838&lt;=O1838,"Valor ≤ venal IPTU",""),"")</f>
        <v/>
      </c>
      <c r="U1838" s="10">
        <f>IF(AND(ISNUMBER(M1838),ISNUMBER(N1838)),IF(N1838&gt;0,M1838/N1838,""),"")</f>
        <v/>
      </c>
      <c r="V1838" s="10">
        <f>IF(AND(ISNUMBER(M1838),ISNUMBER(O1838)),IF(O1838&gt;0,M1838/O1838,""),"")</f>
        <v/>
      </c>
      <c r="W1838" s="10">
        <f>IF(AND(ISNUMBER(M1838),ISNUMBER(R1838)),IF(R1838&gt;0,M1838/R1838,""),"")</f>
        <v/>
      </c>
      <c r="X1838" s="10">
        <f>IF(AND(ISNUMBER(Q1838),ISNUMBER(M1838)),IF(M1838&gt;0,Q1838/M1838,""),"")</f>
        <v/>
      </c>
      <c r="Y1838" s="11">
        <f>IF(ISNUMBER(Z1838),YEAR(Z1838),"")</f>
        <v/>
      </c>
      <c r="Z1838" s="12" t="n"/>
      <c r="AA1838" s="12" t="n"/>
      <c r="AI1838" s="12" t="n"/>
      <c r="AJ1838" s="13">
        <f>IF(LEN(TRIM(AF1838))=0,"",HYPERLINK("https://www.google.com/maps/@?api=1&amp;map_action=pano&amp;viewpoint="&amp;SUBSTITUTE(AF1838," ",""),"Abrir Street View"))</f>
        <v/>
      </c>
    </row>
    <row r="1839">
      <c r="H1839" s="6" t="n"/>
      <c r="I1839" s="6" t="n"/>
      <c r="M1839" s="7" t="n"/>
      <c r="N1839" s="7" t="n"/>
      <c r="O1839" s="7" t="n"/>
      <c r="Q1839" s="7" t="n"/>
      <c r="R1839" s="7" t="n"/>
      <c r="S1839" s="8">
        <f>IF(NOT(ISNUMBER(M1839)),"",IF(G1839="Terreno",IF(AND(ISNUMBER(I1839),I1839&gt;0),M1839/I1839,""),IF(AND(ISNUMBER(H1839),H1839&gt;0),M1839/H1839,"")))</f>
        <v/>
      </c>
      <c r="T1839" s="9">
        <f>IF(AND(ISNUMBER(M1839),ISNUMBER(O1839)),IF(M1839&lt;=O1839,"Valor ≤ venal IPTU",""),"")</f>
        <v/>
      </c>
      <c r="U1839" s="10">
        <f>IF(AND(ISNUMBER(M1839),ISNUMBER(N1839)),IF(N1839&gt;0,M1839/N1839,""),"")</f>
        <v/>
      </c>
      <c r="V1839" s="10">
        <f>IF(AND(ISNUMBER(M1839),ISNUMBER(O1839)),IF(O1839&gt;0,M1839/O1839,""),"")</f>
        <v/>
      </c>
      <c r="W1839" s="10">
        <f>IF(AND(ISNUMBER(M1839),ISNUMBER(R1839)),IF(R1839&gt;0,M1839/R1839,""),"")</f>
        <v/>
      </c>
      <c r="X1839" s="10">
        <f>IF(AND(ISNUMBER(Q1839),ISNUMBER(M1839)),IF(M1839&gt;0,Q1839/M1839,""),"")</f>
        <v/>
      </c>
      <c r="Y1839" s="11">
        <f>IF(ISNUMBER(Z1839),YEAR(Z1839),"")</f>
        <v/>
      </c>
      <c r="Z1839" s="12" t="n"/>
      <c r="AA1839" s="12" t="n"/>
      <c r="AI1839" s="12" t="n"/>
      <c r="AJ1839" s="13">
        <f>IF(LEN(TRIM(AF1839))=0,"",HYPERLINK("https://www.google.com/maps/@?api=1&amp;map_action=pano&amp;viewpoint="&amp;SUBSTITUTE(AF1839," ",""),"Abrir Street View"))</f>
        <v/>
      </c>
    </row>
    <row r="1840">
      <c r="H1840" s="6" t="n"/>
      <c r="I1840" s="6" t="n"/>
      <c r="M1840" s="7" t="n"/>
      <c r="N1840" s="7" t="n"/>
      <c r="O1840" s="7" t="n"/>
      <c r="Q1840" s="7" t="n"/>
      <c r="R1840" s="7" t="n"/>
      <c r="S1840" s="8">
        <f>IF(NOT(ISNUMBER(M1840)),"",IF(G1840="Terreno",IF(AND(ISNUMBER(I1840),I1840&gt;0),M1840/I1840,""),IF(AND(ISNUMBER(H1840),H1840&gt;0),M1840/H1840,"")))</f>
        <v/>
      </c>
      <c r="T1840" s="9">
        <f>IF(AND(ISNUMBER(M1840),ISNUMBER(O1840)),IF(M1840&lt;=O1840,"Valor ≤ venal IPTU",""),"")</f>
        <v/>
      </c>
      <c r="U1840" s="10">
        <f>IF(AND(ISNUMBER(M1840),ISNUMBER(N1840)),IF(N1840&gt;0,M1840/N1840,""),"")</f>
        <v/>
      </c>
      <c r="V1840" s="10">
        <f>IF(AND(ISNUMBER(M1840),ISNUMBER(O1840)),IF(O1840&gt;0,M1840/O1840,""),"")</f>
        <v/>
      </c>
      <c r="W1840" s="10">
        <f>IF(AND(ISNUMBER(M1840),ISNUMBER(R1840)),IF(R1840&gt;0,M1840/R1840,""),"")</f>
        <v/>
      </c>
      <c r="X1840" s="10">
        <f>IF(AND(ISNUMBER(Q1840),ISNUMBER(M1840)),IF(M1840&gt;0,Q1840/M1840,""),"")</f>
        <v/>
      </c>
      <c r="Y1840" s="11">
        <f>IF(ISNUMBER(Z1840),YEAR(Z1840),"")</f>
        <v/>
      </c>
      <c r="Z1840" s="12" t="n"/>
      <c r="AA1840" s="12" t="n"/>
      <c r="AI1840" s="12" t="n"/>
      <c r="AJ1840" s="13">
        <f>IF(LEN(TRIM(AF1840))=0,"",HYPERLINK("https://www.google.com/maps/@?api=1&amp;map_action=pano&amp;viewpoint="&amp;SUBSTITUTE(AF1840," ",""),"Abrir Street View"))</f>
        <v/>
      </c>
    </row>
    <row r="1841">
      <c r="H1841" s="6" t="n"/>
      <c r="I1841" s="6" t="n"/>
      <c r="M1841" s="7" t="n"/>
      <c r="N1841" s="7" t="n"/>
      <c r="O1841" s="7" t="n"/>
      <c r="Q1841" s="7" t="n"/>
      <c r="R1841" s="7" t="n"/>
      <c r="S1841" s="8">
        <f>IF(NOT(ISNUMBER(M1841)),"",IF(G1841="Terreno",IF(AND(ISNUMBER(I1841),I1841&gt;0),M1841/I1841,""),IF(AND(ISNUMBER(H1841),H1841&gt;0),M1841/H1841,"")))</f>
        <v/>
      </c>
      <c r="T1841" s="9">
        <f>IF(AND(ISNUMBER(M1841),ISNUMBER(O1841)),IF(M1841&lt;=O1841,"Valor ≤ venal IPTU",""),"")</f>
        <v/>
      </c>
      <c r="U1841" s="10">
        <f>IF(AND(ISNUMBER(M1841),ISNUMBER(N1841)),IF(N1841&gt;0,M1841/N1841,""),"")</f>
        <v/>
      </c>
      <c r="V1841" s="10">
        <f>IF(AND(ISNUMBER(M1841),ISNUMBER(O1841)),IF(O1841&gt;0,M1841/O1841,""),"")</f>
        <v/>
      </c>
      <c r="W1841" s="10">
        <f>IF(AND(ISNUMBER(M1841),ISNUMBER(R1841)),IF(R1841&gt;0,M1841/R1841,""),"")</f>
        <v/>
      </c>
      <c r="X1841" s="10">
        <f>IF(AND(ISNUMBER(Q1841),ISNUMBER(M1841)),IF(M1841&gt;0,Q1841/M1841,""),"")</f>
        <v/>
      </c>
      <c r="Y1841" s="11">
        <f>IF(ISNUMBER(Z1841),YEAR(Z1841),"")</f>
        <v/>
      </c>
      <c r="Z1841" s="12" t="n"/>
      <c r="AA1841" s="12" t="n"/>
      <c r="AI1841" s="12" t="n"/>
      <c r="AJ1841" s="13">
        <f>IF(LEN(TRIM(AF1841))=0,"",HYPERLINK("https://www.google.com/maps/@?api=1&amp;map_action=pano&amp;viewpoint="&amp;SUBSTITUTE(AF1841," ",""),"Abrir Street View"))</f>
        <v/>
      </c>
    </row>
    <row r="1842">
      <c r="H1842" s="6" t="n"/>
      <c r="I1842" s="6" t="n"/>
      <c r="M1842" s="7" t="n"/>
      <c r="N1842" s="7" t="n"/>
      <c r="O1842" s="7" t="n"/>
      <c r="Q1842" s="7" t="n"/>
      <c r="R1842" s="7" t="n"/>
      <c r="S1842" s="8">
        <f>IF(NOT(ISNUMBER(M1842)),"",IF(G1842="Terreno",IF(AND(ISNUMBER(I1842),I1842&gt;0),M1842/I1842,""),IF(AND(ISNUMBER(H1842),H1842&gt;0),M1842/H1842,"")))</f>
        <v/>
      </c>
      <c r="T1842" s="9">
        <f>IF(AND(ISNUMBER(M1842),ISNUMBER(O1842)),IF(M1842&lt;=O1842,"Valor ≤ venal IPTU",""),"")</f>
        <v/>
      </c>
      <c r="U1842" s="10">
        <f>IF(AND(ISNUMBER(M1842),ISNUMBER(N1842)),IF(N1842&gt;0,M1842/N1842,""),"")</f>
        <v/>
      </c>
      <c r="V1842" s="10">
        <f>IF(AND(ISNUMBER(M1842),ISNUMBER(O1842)),IF(O1842&gt;0,M1842/O1842,""),"")</f>
        <v/>
      </c>
      <c r="W1842" s="10">
        <f>IF(AND(ISNUMBER(M1842),ISNUMBER(R1842)),IF(R1842&gt;0,M1842/R1842,""),"")</f>
        <v/>
      </c>
      <c r="X1842" s="10">
        <f>IF(AND(ISNUMBER(Q1842),ISNUMBER(M1842)),IF(M1842&gt;0,Q1842/M1842,""),"")</f>
        <v/>
      </c>
      <c r="Y1842" s="11">
        <f>IF(ISNUMBER(Z1842),YEAR(Z1842),"")</f>
        <v/>
      </c>
      <c r="Z1842" s="12" t="n"/>
      <c r="AA1842" s="12" t="n"/>
      <c r="AI1842" s="12" t="n"/>
      <c r="AJ1842" s="13">
        <f>IF(LEN(TRIM(AF1842))=0,"",HYPERLINK("https://www.google.com/maps/@?api=1&amp;map_action=pano&amp;viewpoint="&amp;SUBSTITUTE(AF1842," ",""),"Abrir Street View"))</f>
        <v/>
      </c>
    </row>
    <row r="1843">
      <c r="H1843" s="6" t="n"/>
      <c r="I1843" s="6" t="n"/>
      <c r="M1843" s="7" t="n"/>
      <c r="N1843" s="7" t="n"/>
      <c r="O1843" s="7" t="n"/>
      <c r="Q1843" s="7" t="n"/>
      <c r="R1843" s="7" t="n"/>
      <c r="S1843" s="8">
        <f>IF(NOT(ISNUMBER(M1843)),"",IF(G1843="Terreno",IF(AND(ISNUMBER(I1843),I1843&gt;0),M1843/I1843,""),IF(AND(ISNUMBER(H1843),H1843&gt;0),M1843/H1843,"")))</f>
        <v/>
      </c>
      <c r="T1843" s="9">
        <f>IF(AND(ISNUMBER(M1843),ISNUMBER(O1843)),IF(M1843&lt;=O1843,"Valor ≤ venal IPTU",""),"")</f>
        <v/>
      </c>
      <c r="U1843" s="10">
        <f>IF(AND(ISNUMBER(M1843),ISNUMBER(N1843)),IF(N1843&gt;0,M1843/N1843,""),"")</f>
        <v/>
      </c>
      <c r="V1843" s="10">
        <f>IF(AND(ISNUMBER(M1843),ISNUMBER(O1843)),IF(O1843&gt;0,M1843/O1843,""),"")</f>
        <v/>
      </c>
      <c r="W1843" s="10">
        <f>IF(AND(ISNUMBER(M1843),ISNUMBER(R1843)),IF(R1843&gt;0,M1843/R1843,""),"")</f>
        <v/>
      </c>
      <c r="X1843" s="10">
        <f>IF(AND(ISNUMBER(Q1843),ISNUMBER(M1843)),IF(M1843&gt;0,Q1843/M1843,""),"")</f>
        <v/>
      </c>
      <c r="Y1843" s="11">
        <f>IF(ISNUMBER(Z1843),YEAR(Z1843),"")</f>
        <v/>
      </c>
      <c r="Z1843" s="12" t="n"/>
      <c r="AA1843" s="12" t="n"/>
      <c r="AI1843" s="12" t="n"/>
      <c r="AJ1843" s="13">
        <f>IF(LEN(TRIM(AF1843))=0,"",HYPERLINK("https://www.google.com/maps/@?api=1&amp;map_action=pano&amp;viewpoint="&amp;SUBSTITUTE(AF1843," ",""),"Abrir Street View"))</f>
        <v/>
      </c>
    </row>
    <row r="1844">
      <c r="H1844" s="6" t="n"/>
      <c r="I1844" s="6" t="n"/>
      <c r="M1844" s="7" t="n"/>
      <c r="N1844" s="7" t="n"/>
      <c r="O1844" s="7" t="n"/>
      <c r="Q1844" s="7" t="n"/>
      <c r="R1844" s="7" t="n"/>
      <c r="S1844" s="8">
        <f>IF(NOT(ISNUMBER(M1844)),"",IF(G1844="Terreno",IF(AND(ISNUMBER(I1844),I1844&gt;0),M1844/I1844,""),IF(AND(ISNUMBER(H1844),H1844&gt;0),M1844/H1844,"")))</f>
        <v/>
      </c>
      <c r="T1844" s="9">
        <f>IF(AND(ISNUMBER(M1844),ISNUMBER(O1844)),IF(M1844&lt;=O1844,"Valor ≤ venal IPTU",""),"")</f>
        <v/>
      </c>
      <c r="U1844" s="10">
        <f>IF(AND(ISNUMBER(M1844),ISNUMBER(N1844)),IF(N1844&gt;0,M1844/N1844,""),"")</f>
        <v/>
      </c>
      <c r="V1844" s="10">
        <f>IF(AND(ISNUMBER(M1844),ISNUMBER(O1844)),IF(O1844&gt;0,M1844/O1844,""),"")</f>
        <v/>
      </c>
      <c r="W1844" s="10">
        <f>IF(AND(ISNUMBER(M1844),ISNUMBER(R1844)),IF(R1844&gt;0,M1844/R1844,""),"")</f>
        <v/>
      </c>
      <c r="X1844" s="10">
        <f>IF(AND(ISNUMBER(Q1844),ISNUMBER(M1844)),IF(M1844&gt;0,Q1844/M1844,""),"")</f>
        <v/>
      </c>
      <c r="Y1844" s="11">
        <f>IF(ISNUMBER(Z1844),YEAR(Z1844),"")</f>
        <v/>
      </c>
      <c r="Z1844" s="12" t="n"/>
      <c r="AA1844" s="12" t="n"/>
      <c r="AI1844" s="12" t="n"/>
      <c r="AJ1844" s="13">
        <f>IF(LEN(TRIM(AF1844))=0,"",HYPERLINK("https://www.google.com/maps/@?api=1&amp;map_action=pano&amp;viewpoint="&amp;SUBSTITUTE(AF1844," ",""),"Abrir Street View"))</f>
        <v/>
      </c>
    </row>
    <row r="1845">
      <c r="H1845" s="6" t="n"/>
      <c r="I1845" s="6" t="n"/>
      <c r="M1845" s="7" t="n"/>
      <c r="N1845" s="7" t="n"/>
      <c r="O1845" s="7" t="n"/>
      <c r="Q1845" s="7" t="n"/>
      <c r="R1845" s="7" t="n"/>
      <c r="S1845" s="8">
        <f>IF(NOT(ISNUMBER(M1845)),"",IF(G1845="Terreno",IF(AND(ISNUMBER(I1845),I1845&gt;0),M1845/I1845,""),IF(AND(ISNUMBER(H1845),H1845&gt;0),M1845/H1845,"")))</f>
        <v/>
      </c>
      <c r="T1845" s="9">
        <f>IF(AND(ISNUMBER(M1845),ISNUMBER(O1845)),IF(M1845&lt;=O1845,"Valor ≤ venal IPTU",""),"")</f>
        <v/>
      </c>
      <c r="U1845" s="10">
        <f>IF(AND(ISNUMBER(M1845),ISNUMBER(N1845)),IF(N1845&gt;0,M1845/N1845,""),"")</f>
        <v/>
      </c>
      <c r="V1845" s="10">
        <f>IF(AND(ISNUMBER(M1845),ISNUMBER(O1845)),IF(O1845&gt;0,M1845/O1845,""),"")</f>
        <v/>
      </c>
      <c r="W1845" s="10">
        <f>IF(AND(ISNUMBER(M1845),ISNUMBER(R1845)),IF(R1845&gt;0,M1845/R1845,""),"")</f>
        <v/>
      </c>
      <c r="X1845" s="10">
        <f>IF(AND(ISNUMBER(Q1845),ISNUMBER(M1845)),IF(M1845&gt;0,Q1845/M1845,""),"")</f>
        <v/>
      </c>
      <c r="Y1845" s="11">
        <f>IF(ISNUMBER(Z1845),YEAR(Z1845),"")</f>
        <v/>
      </c>
      <c r="Z1845" s="12" t="n"/>
      <c r="AA1845" s="12" t="n"/>
      <c r="AI1845" s="12" t="n"/>
      <c r="AJ1845" s="13">
        <f>IF(LEN(TRIM(AF1845))=0,"",HYPERLINK("https://www.google.com/maps/@?api=1&amp;map_action=pano&amp;viewpoint="&amp;SUBSTITUTE(AF1845," ",""),"Abrir Street View"))</f>
        <v/>
      </c>
    </row>
    <row r="1846">
      <c r="H1846" s="6" t="n"/>
      <c r="I1846" s="6" t="n"/>
      <c r="M1846" s="7" t="n"/>
      <c r="N1846" s="7" t="n"/>
      <c r="O1846" s="7" t="n"/>
      <c r="Q1846" s="7" t="n"/>
      <c r="R1846" s="7" t="n"/>
      <c r="S1846" s="8">
        <f>IF(NOT(ISNUMBER(M1846)),"",IF(G1846="Terreno",IF(AND(ISNUMBER(I1846),I1846&gt;0),M1846/I1846,""),IF(AND(ISNUMBER(H1846),H1846&gt;0),M1846/H1846,"")))</f>
        <v/>
      </c>
      <c r="T1846" s="9">
        <f>IF(AND(ISNUMBER(M1846),ISNUMBER(O1846)),IF(M1846&lt;=O1846,"Valor ≤ venal IPTU",""),"")</f>
        <v/>
      </c>
      <c r="U1846" s="10">
        <f>IF(AND(ISNUMBER(M1846),ISNUMBER(N1846)),IF(N1846&gt;0,M1846/N1846,""),"")</f>
        <v/>
      </c>
      <c r="V1846" s="10">
        <f>IF(AND(ISNUMBER(M1846),ISNUMBER(O1846)),IF(O1846&gt;0,M1846/O1846,""),"")</f>
        <v/>
      </c>
      <c r="W1846" s="10">
        <f>IF(AND(ISNUMBER(M1846),ISNUMBER(R1846)),IF(R1846&gt;0,M1846/R1846,""),"")</f>
        <v/>
      </c>
      <c r="X1846" s="10">
        <f>IF(AND(ISNUMBER(Q1846),ISNUMBER(M1846)),IF(M1846&gt;0,Q1846/M1846,""),"")</f>
        <v/>
      </c>
      <c r="Y1846" s="11">
        <f>IF(ISNUMBER(Z1846),YEAR(Z1846),"")</f>
        <v/>
      </c>
      <c r="Z1846" s="12" t="n"/>
      <c r="AA1846" s="12" t="n"/>
      <c r="AI1846" s="12" t="n"/>
      <c r="AJ1846" s="13">
        <f>IF(LEN(TRIM(AF1846))=0,"",HYPERLINK("https://www.google.com/maps/@?api=1&amp;map_action=pano&amp;viewpoint="&amp;SUBSTITUTE(AF1846," ",""),"Abrir Street View"))</f>
        <v/>
      </c>
    </row>
    <row r="1847">
      <c r="H1847" s="6" t="n"/>
      <c r="I1847" s="6" t="n"/>
      <c r="M1847" s="7" t="n"/>
      <c r="N1847" s="7" t="n"/>
      <c r="O1847" s="7" t="n"/>
      <c r="Q1847" s="7" t="n"/>
      <c r="R1847" s="7" t="n"/>
      <c r="S1847" s="8">
        <f>IF(NOT(ISNUMBER(M1847)),"",IF(G1847="Terreno",IF(AND(ISNUMBER(I1847),I1847&gt;0),M1847/I1847,""),IF(AND(ISNUMBER(H1847),H1847&gt;0),M1847/H1847,"")))</f>
        <v/>
      </c>
      <c r="T1847" s="9">
        <f>IF(AND(ISNUMBER(M1847),ISNUMBER(O1847)),IF(M1847&lt;=O1847,"Valor ≤ venal IPTU",""),"")</f>
        <v/>
      </c>
      <c r="U1847" s="10">
        <f>IF(AND(ISNUMBER(M1847),ISNUMBER(N1847)),IF(N1847&gt;0,M1847/N1847,""),"")</f>
        <v/>
      </c>
      <c r="V1847" s="10">
        <f>IF(AND(ISNUMBER(M1847),ISNUMBER(O1847)),IF(O1847&gt;0,M1847/O1847,""),"")</f>
        <v/>
      </c>
      <c r="W1847" s="10">
        <f>IF(AND(ISNUMBER(M1847),ISNUMBER(R1847)),IF(R1847&gt;0,M1847/R1847,""),"")</f>
        <v/>
      </c>
      <c r="X1847" s="10">
        <f>IF(AND(ISNUMBER(Q1847),ISNUMBER(M1847)),IF(M1847&gt;0,Q1847/M1847,""),"")</f>
        <v/>
      </c>
      <c r="Y1847" s="11">
        <f>IF(ISNUMBER(Z1847),YEAR(Z1847),"")</f>
        <v/>
      </c>
      <c r="Z1847" s="12" t="n"/>
      <c r="AA1847" s="12" t="n"/>
      <c r="AI1847" s="12" t="n"/>
      <c r="AJ1847" s="13">
        <f>IF(LEN(TRIM(AF1847))=0,"",HYPERLINK("https://www.google.com/maps/@?api=1&amp;map_action=pano&amp;viewpoint="&amp;SUBSTITUTE(AF1847," ",""),"Abrir Street View"))</f>
        <v/>
      </c>
    </row>
    <row r="1848">
      <c r="H1848" s="6" t="n"/>
      <c r="I1848" s="6" t="n"/>
      <c r="M1848" s="7" t="n"/>
      <c r="N1848" s="7" t="n"/>
      <c r="O1848" s="7" t="n"/>
      <c r="Q1848" s="7" t="n"/>
      <c r="R1848" s="7" t="n"/>
      <c r="S1848" s="8">
        <f>IF(NOT(ISNUMBER(M1848)),"",IF(G1848="Terreno",IF(AND(ISNUMBER(I1848),I1848&gt;0),M1848/I1848,""),IF(AND(ISNUMBER(H1848),H1848&gt;0),M1848/H1848,"")))</f>
        <v/>
      </c>
      <c r="T1848" s="9">
        <f>IF(AND(ISNUMBER(M1848),ISNUMBER(O1848)),IF(M1848&lt;=O1848,"Valor ≤ venal IPTU",""),"")</f>
        <v/>
      </c>
      <c r="U1848" s="10">
        <f>IF(AND(ISNUMBER(M1848),ISNUMBER(N1848)),IF(N1848&gt;0,M1848/N1848,""),"")</f>
        <v/>
      </c>
      <c r="V1848" s="10">
        <f>IF(AND(ISNUMBER(M1848),ISNUMBER(O1848)),IF(O1848&gt;0,M1848/O1848,""),"")</f>
        <v/>
      </c>
      <c r="W1848" s="10">
        <f>IF(AND(ISNUMBER(M1848),ISNUMBER(R1848)),IF(R1848&gt;0,M1848/R1848,""),"")</f>
        <v/>
      </c>
      <c r="X1848" s="10">
        <f>IF(AND(ISNUMBER(Q1848),ISNUMBER(M1848)),IF(M1848&gt;0,Q1848/M1848,""),"")</f>
        <v/>
      </c>
      <c r="Y1848" s="11">
        <f>IF(ISNUMBER(Z1848),YEAR(Z1848),"")</f>
        <v/>
      </c>
      <c r="Z1848" s="12" t="n"/>
      <c r="AA1848" s="12" t="n"/>
      <c r="AI1848" s="12" t="n"/>
      <c r="AJ1848" s="13">
        <f>IF(LEN(TRIM(AF1848))=0,"",HYPERLINK("https://www.google.com/maps/@?api=1&amp;map_action=pano&amp;viewpoint="&amp;SUBSTITUTE(AF1848," ",""),"Abrir Street View"))</f>
        <v/>
      </c>
    </row>
    <row r="1849">
      <c r="H1849" s="6" t="n"/>
      <c r="I1849" s="6" t="n"/>
      <c r="M1849" s="7" t="n"/>
      <c r="N1849" s="7" t="n"/>
      <c r="O1849" s="7" t="n"/>
      <c r="Q1849" s="7" t="n"/>
      <c r="R1849" s="7" t="n"/>
      <c r="S1849" s="8">
        <f>IF(NOT(ISNUMBER(M1849)),"",IF(G1849="Terreno",IF(AND(ISNUMBER(I1849),I1849&gt;0),M1849/I1849,""),IF(AND(ISNUMBER(H1849),H1849&gt;0),M1849/H1849,"")))</f>
        <v/>
      </c>
      <c r="T1849" s="9">
        <f>IF(AND(ISNUMBER(M1849),ISNUMBER(O1849)),IF(M1849&lt;=O1849,"Valor ≤ venal IPTU",""),"")</f>
        <v/>
      </c>
      <c r="U1849" s="10">
        <f>IF(AND(ISNUMBER(M1849),ISNUMBER(N1849)),IF(N1849&gt;0,M1849/N1849,""),"")</f>
        <v/>
      </c>
      <c r="V1849" s="10">
        <f>IF(AND(ISNUMBER(M1849),ISNUMBER(O1849)),IF(O1849&gt;0,M1849/O1849,""),"")</f>
        <v/>
      </c>
      <c r="W1849" s="10">
        <f>IF(AND(ISNUMBER(M1849),ISNUMBER(R1849)),IF(R1849&gt;0,M1849/R1849,""),"")</f>
        <v/>
      </c>
      <c r="X1849" s="10">
        <f>IF(AND(ISNUMBER(Q1849),ISNUMBER(M1849)),IF(M1849&gt;0,Q1849/M1849,""),"")</f>
        <v/>
      </c>
      <c r="Y1849" s="11">
        <f>IF(ISNUMBER(Z1849),YEAR(Z1849),"")</f>
        <v/>
      </c>
      <c r="Z1849" s="12" t="n"/>
      <c r="AA1849" s="12" t="n"/>
      <c r="AI1849" s="12" t="n"/>
      <c r="AJ1849" s="13">
        <f>IF(LEN(TRIM(AF1849))=0,"",HYPERLINK("https://www.google.com/maps/@?api=1&amp;map_action=pano&amp;viewpoint="&amp;SUBSTITUTE(AF1849," ",""),"Abrir Street View"))</f>
        <v/>
      </c>
    </row>
    <row r="1850">
      <c r="H1850" s="6" t="n"/>
      <c r="I1850" s="6" t="n"/>
      <c r="M1850" s="7" t="n"/>
      <c r="N1850" s="7" t="n"/>
      <c r="O1850" s="7" t="n"/>
      <c r="Q1850" s="7" t="n"/>
      <c r="R1850" s="7" t="n"/>
      <c r="S1850" s="8">
        <f>IF(NOT(ISNUMBER(M1850)),"",IF(G1850="Terreno",IF(AND(ISNUMBER(I1850),I1850&gt;0),M1850/I1850,""),IF(AND(ISNUMBER(H1850),H1850&gt;0),M1850/H1850,"")))</f>
        <v/>
      </c>
      <c r="T1850" s="9">
        <f>IF(AND(ISNUMBER(M1850),ISNUMBER(O1850)),IF(M1850&lt;=O1850,"Valor ≤ venal IPTU",""),"")</f>
        <v/>
      </c>
      <c r="U1850" s="10">
        <f>IF(AND(ISNUMBER(M1850),ISNUMBER(N1850)),IF(N1850&gt;0,M1850/N1850,""),"")</f>
        <v/>
      </c>
      <c r="V1850" s="10">
        <f>IF(AND(ISNUMBER(M1850),ISNUMBER(O1850)),IF(O1850&gt;0,M1850/O1850,""),"")</f>
        <v/>
      </c>
      <c r="W1850" s="10">
        <f>IF(AND(ISNUMBER(M1850),ISNUMBER(R1850)),IF(R1850&gt;0,M1850/R1850,""),"")</f>
        <v/>
      </c>
      <c r="X1850" s="10">
        <f>IF(AND(ISNUMBER(Q1850),ISNUMBER(M1850)),IF(M1850&gt;0,Q1850/M1850,""),"")</f>
        <v/>
      </c>
      <c r="Y1850" s="11">
        <f>IF(ISNUMBER(Z1850),YEAR(Z1850),"")</f>
        <v/>
      </c>
      <c r="Z1850" s="12" t="n"/>
      <c r="AA1850" s="12" t="n"/>
      <c r="AI1850" s="12" t="n"/>
      <c r="AJ1850" s="13">
        <f>IF(LEN(TRIM(AF1850))=0,"",HYPERLINK("https://www.google.com/maps/@?api=1&amp;map_action=pano&amp;viewpoint="&amp;SUBSTITUTE(AF1850," ",""),"Abrir Street View"))</f>
        <v/>
      </c>
    </row>
    <row r="1851">
      <c r="H1851" s="6" t="n"/>
      <c r="I1851" s="6" t="n"/>
      <c r="M1851" s="7" t="n"/>
      <c r="N1851" s="7" t="n"/>
      <c r="O1851" s="7" t="n"/>
      <c r="Q1851" s="7" t="n"/>
      <c r="R1851" s="7" t="n"/>
      <c r="S1851" s="8">
        <f>IF(NOT(ISNUMBER(M1851)),"",IF(G1851="Terreno",IF(AND(ISNUMBER(I1851),I1851&gt;0),M1851/I1851,""),IF(AND(ISNUMBER(H1851),H1851&gt;0),M1851/H1851,"")))</f>
        <v/>
      </c>
      <c r="T1851" s="9">
        <f>IF(AND(ISNUMBER(M1851),ISNUMBER(O1851)),IF(M1851&lt;=O1851,"Valor ≤ venal IPTU",""),"")</f>
        <v/>
      </c>
      <c r="U1851" s="10">
        <f>IF(AND(ISNUMBER(M1851),ISNUMBER(N1851)),IF(N1851&gt;0,M1851/N1851,""),"")</f>
        <v/>
      </c>
      <c r="V1851" s="10">
        <f>IF(AND(ISNUMBER(M1851),ISNUMBER(O1851)),IF(O1851&gt;0,M1851/O1851,""),"")</f>
        <v/>
      </c>
      <c r="W1851" s="10">
        <f>IF(AND(ISNUMBER(M1851),ISNUMBER(R1851)),IF(R1851&gt;0,M1851/R1851,""),"")</f>
        <v/>
      </c>
      <c r="X1851" s="10">
        <f>IF(AND(ISNUMBER(Q1851),ISNUMBER(M1851)),IF(M1851&gt;0,Q1851/M1851,""),"")</f>
        <v/>
      </c>
      <c r="Y1851" s="11">
        <f>IF(ISNUMBER(Z1851),YEAR(Z1851),"")</f>
        <v/>
      </c>
      <c r="Z1851" s="12" t="n"/>
      <c r="AA1851" s="12" t="n"/>
      <c r="AI1851" s="12" t="n"/>
      <c r="AJ1851" s="13">
        <f>IF(LEN(TRIM(AF1851))=0,"",HYPERLINK("https://www.google.com/maps/@?api=1&amp;map_action=pano&amp;viewpoint="&amp;SUBSTITUTE(AF1851," ",""),"Abrir Street View"))</f>
        <v/>
      </c>
    </row>
    <row r="1852">
      <c r="H1852" s="6" t="n"/>
      <c r="I1852" s="6" t="n"/>
      <c r="M1852" s="7" t="n"/>
      <c r="N1852" s="7" t="n"/>
      <c r="O1852" s="7" t="n"/>
      <c r="Q1852" s="7" t="n"/>
      <c r="R1852" s="7" t="n"/>
      <c r="S1852" s="8">
        <f>IF(NOT(ISNUMBER(M1852)),"",IF(G1852="Terreno",IF(AND(ISNUMBER(I1852),I1852&gt;0),M1852/I1852,""),IF(AND(ISNUMBER(H1852),H1852&gt;0),M1852/H1852,"")))</f>
        <v/>
      </c>
      <c r="T1852" s="9">
        <f>IF(AND(ISNUMBER(M1852),ISNUMBER(O1852)),IF(M1852&lt;=O1852,"Valor ≤ venal IPTU",""),"")</f>
        <v/>
      </c>
      <c r="U1852" s="10">
        <f>IF(AND(ISNUMBER(M1852),ISNUMBER(N1852)),IF(N1852&gt;0,M1852/N1852,""),"")</f>
        <v/>
      </c>
      <c r="V1852" s="10">
        <f>IF(AND(ISNUMBER(M1852),ISNUMBER(O1852)),IF(O1852&gt;0,M1852/O1852,""),"")</f>
        <v/>
      </c>
      <c r="W1852" s="10">
        <f>IF(AND(ISNUMBER(M1852),ISNUMBER(R1852)),IF(R1852&gt;0,M1852/R1852,""),"")</f>
        <v/>
      </c>
      <c r="X1852" s="10">
        <f>IF(AND(ISNUMBER(Q1852),ISNUMBER(M1852)),IF(M1852&gt;0,Q1852/M1852,""),"")</f>
        <v/>
      </c>
      <c r="Y1852" s="11">
        <f>IF(ISNUMBER(Z1852),YEAR(Z1852),"")</f>
        <v/>
      </c>
      <c r="Z1852" s="12" t="n"/>
      <c r="AA1852" s="12" t="n"/>
      <c r="AI1852" s="12" t="n"/>
      <c r="AJ1852" s="13">
        <f>IF(LEN(TRIM(AF1852))=0,"",HYPERLINK("https://www.google.com/maps/@?api=1&amp;map_action=pano&amp;viewpoint="&amp;SUBSTITUTE(AF1852," ",""),"Abrir Street View"))</f>
        <v/>
      </c>
    </row>
    <row r="1853">
      <c r="H1853" s="6" t="n"/>
      <c r="I1853" s="6" t="n"/>
      <c r="M1853" s="7" t="n"/>
      <c r="N1853" s="7" t="n"/>
      <c r="O1853" s="7" t="n"/>
      <c r="Q1853" s="7" t="n"/>
      <c r="R1853" s="7" t="n"/>
      <c r="S1853" s="8">
        <f>IF(NOT(ISNUMBER(M1853)),"",IF(G1853="Terreno",IF(AND(ISNUMBER(I1853),I1853&gt;0),M1853/I1853,""),IF(AND(ISNUMBER(H1853),H1853&gt;0),M1853/H1853,"")))</f>
        <v/>
      </c>
      <c r="T1853" s="9">
        <f>IF(AND(ISNUMBER(M1853),ISNUMBER(O1853)),IF(M1853&lt;=O1853,"Valor ≤ venal IPTU",""),"")</f>
        <v/>
      </c>
      <c r="U1853" s="10">
        <f>IF(AND(ISNUMBER(M1853),ISNUMBER(N1853)),IF(N1853&gt;0,M1853/N1853,""),"")</f>
        <v/>
      </c>
      <c r="V1853" s="10">
        <f>IF(AND(ISNUMBER(M1853),ISNUMBER(O1853)),IF(O1853&gt;0,M1853/O1853,""),"")</f>
        <v/>
      </c>
      <c r="W1853" s="10">
        <f>IF(AND(ISNUMBER(M1853),ISNUMBER(R1853)),IF(R1853&gt;0,M1853/R1853,""),"")</f>
        <v/>
      </c>
      <c r="X1853" s="10">
        <f>IF(AND(ISNUMBER(Q1853),ISNUMBER(M1853)),IF(M1853&gt;0,Q1853/M1853,""),"")</f>
        <v/>
      </c>
      <c r="Y1853" s="11">
        <f>IF(ISNUMBER(Z1853),YEAR(Z1853),"")</f>
        <v/>
      </c>
      <c r="Z1853" s="12" t="n"/>
      <c r="AA1853" s="12" t="n"/>
      <c r="AI1853" s="12" t="n"/>
      <c r="AJ1853" s="13">
        <f>IF(LEN(TRIM(AF1853))=0,"",HYPERLINK("https://www.google.com/maps/@?api=1&amp;map_action=pano&amp;viewpoint="&amp;SUBSTITUTE(AF1853," ",""),"Abrir Street View"))</f>
        <v/>
      </c>
    </row>
    <row r="1854">
      <c r="H1854" s="6" t="n"/>
      <c r="I1854" s="6" t="n"/>
      <c r="M1854" s="7" t="n"/>
      <c r="N1854" s="7" t="n"/>
      <c r="O1854" s="7" t="n"/>
      <c r="Q1854" s="7" t="n"/>
      <c r="R1854" s="7" t="n"/>
      <c r="S1854" s="8">
        <f>IF(NOT(ISNUMBER(M1854)),"",IF(G1854="Terreno",IF(AND(ISNUMBER(I1854),I1854&gt;0),M1854/I1854,""),IF(AND(ISNUMBER(H1854),H1854&gt;0),M1854/H1854,"")))</f>
        <v/>
      </c>
      <c r="T1854" s="9">
        <f>IF(AND(ISNUMBER(M1854),ISNUMBER(O1854)),IF(M1854&lt;=O1854,"Valor ≤ venal IPTU",""),"")</f>
        <v/>
      </c>
      <c r="U1854" s="10">
        <f>IF(AND(ISNUMBER(M1854),ISNUMBER(N1854)),IF(N1854&gt;0,M1854/N1854,""),"")</f>
        <v/>
      </c>
      <c r="V1854" s="10">
        <f>IF(AND(ISNUMBER(M1854),ISNUMBER(O1854)),IF(O1854&gt;0,M1854/O1854,""),"")</f>
        <v/>
      </c>
      <c r="W1854" s="10">
        <f>IF(AND(ISNUMBER(M1854),ISNUMBER(R1854)),IF(R1854&gt;0,M1854/R1854,""),"")</f>
        <v/>
      </c>
      <c r="X1854" s="10">
        <f>IF(AND(ISNUMBER(Q1854),ISNUMBER(M1854)),IF(M1854&gt;0,Q1854/M1854,""),"")</f>
        <v/>
      </c>
      <c r="Y1854" s="11">
        <f>IF(ISNUMBER(Z1854),YEAR(Z1854),"")</f>
        <v/>
      </c>
      <c r="Z1854" s="12" t="n"/>
      <c r="AA1854" s="12" t="n"/>
      <c r="AI1854" s="12" t="n"/>
      <c r="AJ1854" s="13">
        <f>IF(LEN(TRIM(AF1854))=0,"",HYPERLINK("https://www.google.com/maps/@?api=1&amp;map_action=pano&amp;viewpoint="&amp;SUBSTITUTE(AF1854," ",""),"Abrir Street View"))</f>
        <v/>
      </c>
    </row>
    <row r="1855">
      <c r="H1855" s="6" t="n"/>
      <c r="I1855" s="6" t="n"/>
      <c r="M1855" s="7" t="n"/>
      <c r="N1855" s="7" t="n"/>
      <c r="O1855" s="7" t="n"/>
      <c r="Q1855" s="7" t="n"/>
      <c r="R1855" s="7" t="n"/>
      <c r="S1855" s="8">
        <f>IF(NOT(ISNUMBER(M1855)),"",IF(G1855="Terreno",IF(AND(ISNUMBER(I1855),I1855&gt;0),M1855/I1855,""),IF(AND(ISNUMBER(H1855),H1855&gt;0),M1855/H1855,"")))</f>
        <v/>
      </c>
      <c r="T1855" s="9">
        <f>IF(AND(ISNUMBER(M1855),ISNUMBER(O1855)),IF(M1855&lt;=O1855,"Valor ≤ venal IPTU",""),"")</f>
        <v/>
      </c>
      <c r="U1855" s="10">
        <f>IF(AND(ISNUMBER(M1855),ISNUMBER(N1855)),IF(N1855&gt;0,M1855/N1855,""),"")</f>
        <v/>
      </c>
      <c r="V1855" s="10">
        <f>IF(AND(ISNUMBER(M1855),ISNUMBER(O1855)),IF(O1855&gt;0,M1855/O1855,""),"")</f>
        <v/>
      </c>
      <c r="W1855" s="10">
        <f>IF(AND(ISNUMBER(M1855),ISNUMBER(R1855)),IF(R1855&gt;0,M1855/R1855,""),"")</f>
        <v/>
      </c>
      <c r="X1855" s="10">
        <f>IF(AND(ISNUMBER(Q1855),ISNUMBER(M1855)),IF(M1855&gt;0,Q1855/M1855,""),"")</f>
        <v/>
      </c>
      <c r="Y1855" s="11">
        <f>IF(ISNUMBER(Z1855),YEAR(Z1855),"")</f>
        <v/>
      </c>
      <c r="Z1855" s="12" t="n"/>
      <c r="AA1855" s="12" t="n"/>
      <c r="AI1855" s="12" t="n"/>
      <c r="AJ1855" s="13">
        <f>IF(LEN(TRIM(AF1855))=0,"",HYPERLINK("https://www.google.com/maps/@?api=1&amp;map_action=pano&amp;viewpoint="&amp;SUBSTITUTE(AF1855," ",""),"Abrir Street View"))</f>
        <v/>
      </c>
    </row>
    <row r="1856">
      <c r="H1856" s="6" t="n"/>
      <c r="I1856" s="6" t="n"/>
      <c r="M1856" s="7" t="n"/>
      <c r="N1856" s="7" t="n"/>
      <c r="O1856" s="7" t="n"/>
      <c r="Q1856" s="7" t="n"/>
      <c r="R1856" s="7" t="n"/>
      <c r="S1856" s="8">
        <f>IF(NOT(ISNUMBER(M1856)),"",IF(G1856="Terreno",IF(AND(ISNUMBER(I1856),I1856&gt;0),M1856/I1856,""),IF(AND(ISNUMBER(H1856),H1856&gt;0),M1856/H1856,"")))</f>
        <v/>
      </c>
      <c r="T1856" s="9">
        <f>IF(AND(ISNUMBER(M1856),ISNUMBER(O1856)),IF(M1856&lt;=O1856,"Valor ≤ venal IPTU",""),"")</f>
        <v/>
      </c>
      <c r="U1856" s="10">
        <f>IF(AND(ISNUMBER(M1856),ISNUMBER(N1856)),IF(N1856&gt;0,M1856/N1856,""),"")</f>
        <v/>
      </c>
      <c r="V1856" s="10">
        <f>IF(AND(ISNUMBER(M1856),ISNUMBER(O1856)),IF(O1856&gt;0,M1856/O1856,""),"")</f>
        <v/>
      </c>
      <c r="W1856" s="10">
        <f>IF(AND(ISNUMBER(M1856),ISNUMBER(R1856)),IF(R1856&gt;0,M1856/R1856,""),"")</f>
        <v/>
      </c>
      <c r="X1856" s="10">
        <f>IF(AND(ISNUMBER(Q1856),ISNUMBER(M1856)),IF(M1856&gt;0,Q1856/M1856,""),"")</f>
        <v/>
      </c>
      <c r="Y1856" s="11">
        <f>IF(ISNUMBER(Z1856),YEAR(Z1856),"")</f>
        <v/>
      </c>
      <c r="Z1856" s="12" t="n"/>
      <c r="AA1856" s="12" t="n"/>
      <c r="AI1856" s="12" t="n"/>
      <c r="AJ1856" s="13">
        <f>IF(LEN(TRIM(AF1856))=0,"",HYPERLINK("https://www.google.com/maps/@?api=1&amp;map_action=pano&amp;viewpoint="&amp;SUBSTITUTE(AF1856," ",""),"Abrir Street View"))</f>
        <v/>
      </c>
    </row>
    <row r="1857">
      <c r="H1857" s="6" t="n"/>
      <c r="I1857" s="6" t="n"/>
      <c r="M1857" s="7" t="n"/>
      <c r="N1857" s="7" t="n"/>
      <c r="O1857" s="7" t="n"/>
      <c r="Q1857" s="7" t="n"/>
      <c r="R1857" s="7" t="n"/>
      <c r="S1857" s="8">
        <f>IF(NOT(ISNUMBER(M1857)),"",IF(G1857="Terreno",IF(AND(ISNUMBER(I1857),I1857&gt;0),M1857/I1857,""),IF(AND(ISNUMBER(H1857),H1857&gt;0),M1857/H1857,"")))</f>
        <v/>
      </c>
      <c r="T1857" s="9">
        <f>IF(AND(ISNUMBER(M1857),ISNUMBER(O1857)),IF(M1857&lt;=O1857,"Valor ≤ venal IPTU",""),"")</f>
        <v/>
      </c>
      <c r="U1857" s="10">
        <f>IF(AND(ISNUMBER(M1857),ISNUMBER(N1857)),IF(N1857&gt;0,M1857/N1857,""),"")</f>
        <v/>
      </c>
      <c r="V1857" s="10">
        <f>IF(AND(ISNUMBER(M1857),ISNUMBER(O1857)),IF(O1857&gt;0,M1857/O1857,""),"")</f>
        <v/>
      </c>
      <c r="W1857" s="10">
        <f>IF(AND(ISNUMBER(M1857),ISNUMBER(R1857)),IF(R1857&gt;0,M1857/R1857,""),"")</f>
        <v/>
      </c>
      <c r="X1857" s="10">
        <f>IF(AND(ISNUMBER(Q1857),ISNUMBER(M1857)),IF(M1857&gt;0,Q1857/M1857,""),"")</f>
        <v/>
      </c>
      <c r="Y1857" s="11">
        <f>IF(ISNUMBER(Z1857),YEAR(Z1857),"")</f>
        <v/>
      </c>
      <c r="Z1857" s="12" t="n"/>
      <c r="AA1857" s="12" t="n"/>
      <c r="AI1857" s="12" t="n"/>
      <c r="AJ1857" s="13">
        <f>IF(LEN(TRIM(AF1857))=0,"",HYPERLINK("https://www.google.com/maps/@?api=1&amp;map_action=pano&amp;viewpoint="&amp;SUBSTITUTE(AF1857," ",""),"Abrir Street View"))</f>
        <v/>
      </c>
    </row>
    <row r="1858">
      <c r="H1858" s="6" t="n"/>
      <c r="I1858" s="6" t="n"/>
      <c r="M1858" s="7" t="n"/>
      <c r="N1858" s="7" t="n"/>
      <c r="O1858" s="7" t="n"/>
      <c r="Q1858" s="7" t="n"/>
      <c r="R1858" s="7" t="n"/>
      <c r="S1858" s="8">
        <f>IF(NOT(ISNUMBER(M1858)),"",IF(G1858="Terreno",IF(AND(ISNUMBER(I1858),I1858&gt;0),M1858/I1858,""),IF(AND(ISNUMBER(H1858),H1858&gt;0),M1858/H1858,"")))</f>
        <v/>
      </c>
      <c r="T1858" s="9">
        <f>IF(AND(ISNUMBER(M1858),ISNUMBER(O1858)),IF(M1858&lt;=O1858,"Valor ≤ venal IPTU",""),"")</f>
        <v/>
      </c>
      <c r="U1858" s="10">
        <f>IF(AND(ISNUMBER(M1858),ISNUMBER(N1858)),IF(N1858&gt;0,M1858/N1858,""),"")</f>
        <v/>
      </c>
      <c r="V1858" s="10">
        <f>IF(AND(ISNUMBER(M1858),ISNUMBER(O1858)),IF(O1858&gt;0,M1858/O1858,""),"")</f>
        <v/>
      </c>
      <c r="W1858" s="10">
        <f>IF(AND(ISNUMBER(M1858),ISNUMBER(R1858)),IF(R1858&gt;0,M1858/R1858,""),"")</f>
        <v/>
      </c>
      <c r="X1858" s="10">
        <f>IF(AND(ISNUMBER(Q1858),ISNUMBER(M1858)),IF(M1858&gt;0,Q1858/M1858,""),"")</f>
        <v/>
      </c>
      <c r="Y1858" s="11">
        <f>IF(ISNUMBER(Z1858),YEAR(Z1858),"")</f>
        <v/>
      </c>
      <c r="Z1858" s="12" t="n"/>
      <c r="AA1858" s="12" t="n"/>
      <c r="AI1858" s="12" t="n"/>
      <c r="AJ1858" s="13">
        <f>IF(LEN(TRIM(AF1858))=0,"",HYPERLINK("https://www.google.com/maps/@?api=1&amp;map_action=pano&amp;viewpoint="&amp;SUBSTITUTE(AF1858," ",""),"Abrir Street View"))</f>
        <v/>
      </c>
    </row>
    <row r="1859">
      <c r="H1859" s="6" t="n"/>
      <c r="I1859" s="6" t="n"/>
      <c r="M1859" s="7" t="n"/>
      <c r="N1859" s="7" t="n"/>
      <c r="O1859" s="7" t="n"/>
      <c r="Q1859" s="7" t="n"/>
      <c r="R1859" s="7" t="n"/>
      <c r="S1859" s="8">
        <f>IF(NOT(ISNUMBER(M1859)),"",IF(G1859="Terreno",IF(AND(ISNUMBER(I1859),I1859&gt;0),M1859/I1859,""),IF(AND(ISNUMBER(H1859),H1859&gt;0),M1859/H1859,"")))</f>
        <v/>
      </c>
      <c r="T1859" s="9">
        <f>IF(AND(ISNUMBER(M1859),ISNUMBER(O1859)),IF(M1859&lt;=O1859,"Valor ≤ venal IPTU",""),"")</f>
        <v/>
      </c>
      <c r="U1859" s="10">
        <f>IF(AND(ISNUMBER(M1859),ISNUMBER(N1859)),IF(N1859&gt;0,M1859/N1859,""),"")</f>
        <v/>
      </c>
      <c r="V1859" s="10">
        <f>IF(AND(ISNUMBER(M1859),ISNUMBER(O1859)),IF(O1859&gt;0,M1859/O1859,""),"")</f>
        <v/>
      </c>
      <c r="W1859" s="10">
        <f>IF(AND(ISNUMBER(M1859),ISNUMBER(R1859)),IF(R1859&gt;0,M1859/R1859,""),"")</f>
        <v/>
      </c>
      <c r="X1859" s="10">
        <f>IF(AND(ISNUMBER(Q1859),ISNUMBER(M1859)),IF(M1859&gt;0,Q1859/M1859,""),"")</f>
        <v/>
      </c>
      <c r="Y1859" s="11">
        <f>IF(ISNUMBER(Z1859),YEAR(Z1859),"")</f>
        <v/>
      </c>
      <c r="Z1859" s="12" t="n"/>
      <c r="AA1859" s="12" t="n"/>
      <c r="AI1859" s="12" t="n"/>
      <c r="AJ1859" s="13">
        <f>IF(LEN(TRIM(AF1859))=0,"",HYPERLINK("https://www.google.com/maps/@?api=1&amp;map_action=pano&amp;viewpoint="&amp;SUBSTITUTE(AF1859," ",""),"Abrir Street View"))</f>
        <v/>
      </c>
    </row>
    <row r="1860">
      <c r="H1860" s="6" t="n"/>
      <c r="I1860" s="6" t="n"/>
      <c r="M1860" s="7" t="n"/>
      <c r="N1860" s="7" t="n"/>
      <c r="O1860" s="7" t="n"/>
      <c r="Q1860" s="7" t="n"/>
      <c r="R1860" s="7" t="n"/>
      <c r="S1860" s="8">
        <f>IF(NOT(ISNUMBER(M1860)),"",IF(G1860="Terreno",IF(AND(ISNUMBER(I1860),I1860&gt;0),M1860/I1860,""),IF(AND(ISNUMBER(H1860),H1860&gt;0),M1860/H1860,"")))</f>
        <v/>
      </c>
      <c r="T1860" s="9">
        <f>IF(AND(ISNUMBER(M1860),ISNUMBER(O1860)),IF(M1860&lt;=O1860,"Valor ≤ venal IPTU",""),"")</f>
        <v/>
      </c>
      <c r="U1860" s="10">
        <f>IF(AND(ISNUMBER(M1860),ISNUMBER(N1860)),IF(N1860&gt;0,M1860/N1860,""),"")</f>
        <v/>
      </c>
      <c r="V1860" s="10">
        <f>IF(AND(ISNUMBER(M1860),ISNUMBER(O1860)),IF(O1860&gt;0,M1860/O1860,""),"")</f>
        <v/>
      </c>
      <c r="W1860" s="10">
        <f>IF(AND(ISNUMBER(M1860),ISNUMBER(R1860)),IF(R1860&gt;0,M1860/R1860,""),"")</f>
        <v/>
      </c>
      <c r="X1860" s="10">
        <f>IF(AND(ISNUMBER(Q1860),ISNUMBER(M1860)),IF(M1860&gt;0,Q1860/M1860,""),"")</f>
        <v/>
      </c>
      <c r="Y1860" s="11">
        <f>IF(ISNUMBER(Z1860),YEAR(Z1860),"")</f>
        <v/>
      </c>
      <c r="Z1860" s="12" t="n"/>
      <c r="AA1860" s="12" t="n"/>
      <c r="AI1860" s="12" t="n"/>
      <c r="AJ1860" s="13">
        <f>IF(LEN(TRIM(AF1860))=0,"",HYPERLINK("https://www.google.com/maps/@?api=1&amp;map_action=pano&amp;viewpoint="&amp;SUBSTITUTE(AF1860," ",""),"Abrir Street View"))</f>
        <v/>
      </c>
    </row>
    <row r="1861">
      <c r="H1861" s="6" t="n"/>
      <c r="I1861" s="6" t="n"/>
      <c r="M1861" s="7" t="n"/>
      <c r="N1861" s="7" t="n"/>
      <c r="O1861" s="7" t="n"/>
      <c r="Q1861" s="7" t="n"/>
      <c r="R1861" s="7" t="n"/>
      <c r="S1861" s="8">
        <f>IF(NOT(ISNUMBER(M1861)),"",IF(G1861="Terreno",IF(AND(ISNUMBER(I1861),I1861&gt;0),M1861/I1861,""),IF(AND(ISNUMBER(H1861),H1861&gt;0),M1861/H1861,"")))</f>
        <v/>
      </c>
      <c r="T1861" s="9">
        <f>IF(AND(ISNUMBER(M1861),ISNUMBER(O1861)),IF(M1861&lt;=O1861,"Valor ≤ venal IPTU",""),"")</f>
        <v/>
      </c>
      <c r="U1861" s="10">
        <f>IF(AND(ISNUMBER(M1861),ISNUMBER(N1861)),IF(N1861&gt;0,M1861/N1861,""),"")</f>
        <v/>
      </c>
      <c r="V1861" s="10">
        <f>IF(AND(ISNUMBER(M1861),ISNUMBER(O1861)),IF(O1861&gt;0,M1861/O1861,""),"")</f>
        <v/>
      </c>
      <c r="W1861" s="10">
        <f>IF(AND(ISNUMBER(M1861),ISNUMBER(R1861)),IF(R1861&gt;0,M1861/R1861,""),"")</f>
        <v/>
      </c>
      <c r="X1861" s="10">
        <f>IF(AND(ISNUMBER(Q1861),ISNUMBER(M1861)),IF(M1861&gt;0,Q1861/M1861,""),"")</f>
        <v/>
      </c>
      <c r="Y1861" s="11">
        <f>IF(ISNUMBER(Z1861),YEAR(Z1861),"")</f>
        <v/>
      </c>
      <c r="Z1861" s="12" t="n"/>
      <c r="AA1861" s="12" t="n"/>
      <c r="AI1861" s="12" t="n"/>
      <c r="AJ1861" s="13">
        <f>IF(LEN(TRIM(AF1861))=0,"",HYPERLINK("https://www.google.com/maps/@?api=1&amp;map_action=pano&amp;viewpoint="&amp;SUBSTITUTE(AF1861," ",""),"Abrir Street View"))</f>
        <v/>
      </c>
    </row>
    <row r="1862">
      <c r="H1862" s="6" t="n"/>
      <c r="I1862" s="6" t="n"/>
      <c r="M1862" s="7" t="n"/>
      <c r="N1862" s="7" t="n"/>
      <c r="O1862" s="7" t="n"/>
      <c r="Q1862" s="7" t="n"/>
      <c r="R1862" s="7" t="n"/>
      <c r="S1862" s="8">
        <f>IF(NOT(ISNUMBER(M1862)),"",IF(G1862="Terreno",IF(AND(ISNUMBER(I1862),I1862&gt;0),M1862/I1862,""),IF(AND(ISNUMBER(H1862),H1862&gt;0),M1862/H1862,"")))</f>
        <v/>
      </c>
      <c r="T1862" s="9">
        <f>IF(AND(ISNUMBER(M1862),ISNUMBER(O1862)),IF(M1862&lt;=O1862,"Valor ≤ venal IPTU",""),"")</f>
        <v/>
      </c>
      <c r="U1862" s="10">
        <f>IF(AND(ISNUMBER(M1862),ISNUMBER(N1862)),IF(N1862&gt;0,M1862/N1862,""),"")</f>
        <v/>
      </c>
      <c r="V1862" s="10">
        <f>IF(AND(ISNUMBER(M1862),ISNUMBER(O1862)),IF(O1862&gt;0,M1862/O1862,""),"")</f>
        <v/>
      </c>
      <c r="W1862" s="10">
        <f>IF(AND(ISNUMBER(M1862),ISNUMBER(R1862)),IF(R1862&gt;0,M1862/R1862,""),"")</f>
        <v/>
      </c>
      <c r="X1862" s="10">
        <f>IF(AND(ISNUMBER(Q1862),ISNUMBER(M1862)),IF(M1862&gt;0,Q1862/M1862,""),"")</f>
        <v/>
      </c>
      <c r="Y1862" s="11">
        <f>IF(ISNUMBER(Z1862),YEAR(Z1862),"")</f>
        <v/>
      </c>
      <c r="Z1862" s="12" t="n"/>
      <c r="AA1862" s="12" t="n"/>
      <c r="AI1862" s="12" t="n"/>
      <c r="AJ1862" s="13">
        <f>IF(LEN(TRIM(AF1862))=0,"",HYPERLINK("https://www.google.com/maps/@?api=1&amp;map_action=pano&amp;viewpoint="&amp;SUBSTITUTE(AF1862," ",""),"Abrir Street View"))</f>
        <v/>
      </c>
    </row>
    <row r="1863">
      <c r="H1863" s="6" t="n"/>
      <c r="I1863" s="6" t="n"/>
      <c r="M1863" s="7" t="n"/>
      <c r="N1863" s="7" t="n"/>
      <c r="O1863" s="7" t="n"/>
      <c r="Q1863" s="7" t="n"/>
      <c r="R1863" s="7" t="n"/>
      <c r="S1863" s="8">
        <f>IF(NOT(ISNUMBER(M1863)),"",IF(G1863="Terreno",IF(AND(ISNUMBER(I1863),I1863&gt;0),M1863/I1863,""),IF(AND(ISNUMBER(H1863),H1863&gt;0),M1863/H1863,"")))</f>
        <v/>
      </c>
      <c r="T1863" s="9">
        <f>IF(AND(ISNUMBER(M1863),ISNUMBER(O1863)),IF(M1863&lt;=O1863,"Valor ≤ venal IPTU",""),"")</f>
        <v/>
      </c>
      <c r="U1863" s="10">
        <f>IF(AND(ISNUMBER(M1863),ISNUMBER(N1863)),IF(N1863&gt;0,M1863/N1863,""),"")</f>
        <v/>
      </c>
      <c r="V1863" s="10">
        <f>IF(AND(ISNUMBER(M1863),ISNUMBER(O1863)),IF(O1863&gt;0,M1863/O1863,""),"")</f>
        <v/>
      </c>
      <c r="W1863" s="10">
        <f>IF(AND(ISNUMBER(M1863),ISNUMBER(R1863)),IF(R1863&gt;0,M1863/R1863,""),"")</f>
        <v/>
      </c>
      <c r="X1863" s="10">
        <f>IF(AND(ISNUMBER(Q1863),ISNUMBER(M1863)),IF(M1863&gt;0,Q1863/M1863,""),"")</f>
        <v/>
      </c>
      <c r="Y1863" s="11">
        <f>IF(ISNUMBER(Z1863),YEAR(Z1863),"")</f>
        <v/>
      </c>
      <c r="Z1863" s="12" t="n"/>
      <c r="AA1863" s="12" t="n"/>
      <c r="AI1863" s="12" t="n"/>
      <c r="AJ1863" s="13">
        <f>IF(LEN(TRIM(AF1863))=0,"",HYPERLINK("https://www.google.com/maps/@?api=1&amp;map_action=pano&amp;viewpoint="&amp;SUBSTITUTE(AF1863," ",""),"Abrir Street View"))</f>
        <v/>
      </c>
    </row>
    <row r="1864">
      <c r="H1864" s="6" t="n"/>
      <c r="I1864" s="6" t="n"/>
      <c r="M1864" s="7" t="n"/>
      <c r="N1864" s="7" t="n"/>
      <c r="O1864" s="7" t="n"/>
      <c r="Q1864" s="7" t="n"/>
      <c r="R1864" s="7" t="n"/>
      <c r="S1864" s="8">
        <f>IF(NOT(ISNUMBER(M1864)),"",IF(G1864="Terreno",IF(AND(ISNUMBER(I1864),I1864&gt;0),M1864/I1864,""),IF(AND(ISNUMBER(H1864),H1864&gt;0),M1864/H1864,"")))</f>
        <v/>
      </c>
      <c r="T1864" s="9">
        <f>IF(AND(ISNUMBER(M1864),ISNUMBER(O1864)),IF(M1864&lt;=O1864,"Valor ≤ venal IPTU",""),"")</f>
        <v/>
      </c>
      <c r="U1864" s="10">
        <f>IF(AND(ISNUMBER(M1864),ISNUMBER(N1864)),IF(N1864&gt;0,M1864/N1864,""),"")</f>
        <v/>
      </c>
      <c r="V1864" s="10">
        <f>IF(AND(ISNUMBER(M1864),ISNUMBER(O1864)),IF(O1864&gt;0,M1864/O1864,""),"")</f>
        <v/>
      </c>
      <c r="W1864" s="10">
        <f>IF(AND(ISNUMBER(M1864),ISNUMBER(R1864)),IF(R1864&gt;0,M1864/R1864,""),"")</f>
        <v/>
      </c>
      <c r="X1864" s="10">
        <f>IF(AND(ISNUMBER(Q1864),ISNUMBER(M1864)),IF(M1864&gt;0,Q1864/M1864,""),"")</f>
        <v/>
      </c>
      <c r="Y1864" s="11">
        <f>IF(ISNUMBER(Z1864),YEAR(Z1864),"")</f>
        <v/>
      </c>
      <c r="Z1864" s="12" t="n"/>
      <c r="AA1864" s="12" t="n"/>
      <c r="AI1864" s="12" t="n"/>
      <c r="AJ1864" s="13">
        <f>IF(LEN(TRIM(AF1864))=0,"",HYPERLINK("https://www.google.com/maps/@?api=1&amp;map_action=pano&amp;viewpoint="&amp;SUBSTITUTE(AF1864," ",""),"Abrir Street View"))</f>
        <v/>
      </c>
    </row>
    <row r="1865">
      <c r="H1865" s="6" t="n"/>
      <c r="I1865" s="6" t="n"/>
      <c r="M1865" s="7" t="n"/>
      <c r="N1865" s="7" t="n"/>
      <c r="O1865" s="7" t="n"/>
      <c r="Q1865" s="7" t="n"/>
      <c r="R1865" s="7" t="n"/>
      <c r="S1865" s="8">
        <f>IF(NOT(ISNUMBER(M1865)),"",IF(G1865="Terreno",IF(AND(ISNUMBER(I1865),I1865&gt;0),M1865/I1865,""),IF(AND(ISNUMBER(H1865),H1865&gt;0),M1865/H1865,"")))</f>
        <v/>
      </c>
      <c r="T1865" s="9">
        <f>IF(AND(ISNUMBER(M1865),ISNUMBER(O1865)),IF(M1865&lt;=O1865,"Valor ≤ venal IPTU",""),"")</f>
        <v/>
      </c>
      <c r="U1865" s="10">
        <f>IF(AND(ISNUMBER(M1865),ISNUMBER(N1865)),IF(N1865&gt;0,M1865/N1865,""),"")</f>
        <v/>
      </c>
      <c r="V1865" s="10">
        <f>IF(AND(ISNUMBER(M1865),ISNUMBER(O1865)),IF(O1865&gt;0,M1865/O1865,""),"")</f>
        <v/>
      </c>
      <c r="W1865" s="10">
        <f>IF(AND(ISNUMBER(M1865),ISNUMBER(R1865)),IF(R1865&gt;0,M1865/R1865,""),"")</f>
        <v/>
      </c>
      <c r="X1865" s="10">
        <f>IF(AND(ISNUMBER(Q1865),ISNUMBER(M1865)),IF(M1865&gt;0,Q1865/M1865,""),"")</f>
        <v/>
      </c>
      <c r="Y1865" s="11">
        <f>IF(ISNUMBER(Z1865),YEAR(Z1865),"")</f>
        <v/>
      </c>
      <c r="Z1865" s="12" t="n"/>
      <c r="AA1865" s="12" t="n"/>
      <c r="AI1865" s="12" t="n"/>
      <c r="AJ1865" s="13">
        <f>IF(LEN(TRIM(AF1865))=0,"",HYPERLINK("https://www.google.com/maps/@?api=1&amp;map_action=pano&amp;viewpoint="&amp;SUBSTITUTE(AF1865," ",""),"Abrir Street View"))</f>
        <v/>
      </c>
    </row>
    <row r="1866">
      <c r="H1866" s="6" t="n"/>
      <c r="I1866" s="6" t="n"/>
      <c r="M1866" s="7" t="n"/>
      <c r="N1866" s="7" t="n"/>
      <c r="O1866" s="7" t="n"/>
      <c r="Q1866" s="7" t="n"/>
      <c r="R1866" s="7" t="n"/>
      <c r="S1866" s="8">
        <f>IF(NOT(ISNUMBER(M1866)),"",IF(G1866="Terreno",IF(AND(ISNUMBER(I1866),I1866&gt;0),M1866/I1866,""),IF(AND(ISNUMBER(H1866),H1866&gt;0),M1866/H1866,"")))</f>
        <v/>
      </c>
      <c r="T1866" s="9">
        <f>IF(AND(ISNUMBER(M1866),ISNUMBER(O1866)),IF(M1866&lt;=O1866,"Valor ≤ venal IPTU",""),"")</f>
        <v/>
      </c>
      <c r="U1866" s="10">
        <f>IF(AND(ISNUMBER(M1866),ISNUMBER(N1866)),IF(N1866&gt;0,M1866/N1866,""),"")</f>
        <v/>
      </c>
      <c r="V1866" s="10">
        <f>IF(AND(ISNUMBER(M1866),ISNUMBER(O1866)),IF(O1866&gt;0,M1866/O1866,""),"")</f>
        <v/>
      </c>
      <c r="W1866" s="10">
        <f>IF(AND(ISNUMBER(M1866),ISNUMBER(R1866)),IF(R1866&gt;0,M1866/R1866,""),"")</f>
        <v/>
      </c>
      <c r="X1866" s="10">
        <f>IF(AND(ISNUMBER(Q1866),ISNUMBER(M1866)),IF(M1866&gt;0,Q1866/M1866,""),"")</f>
        <v/>
      </c>
      <c r="Y1866" s="11">
        <f>IF(ISNUMBER(Z1866),YEAR(Z1866),"")</f>
        <v/>
      </c>
      <c r="Z1866" s="12" t="n"/>
      <c r="AA1866" s="12" t="n"/>
      <c r="AI1866" s="12" t="n"/>
      <c r="AJ1866" s="13">
        <f>IF(LEN(TRIM(AF1866))=0,"",HYPERLINK("https://www.google.com/maps/@?api=1&amp;map_action=pano&amp;viewpoint="&amp;SUBSTITUTE(AF1866," ",""),"Abrir Street View"))</f>
        <v/>
      </c>
    </row>
    <row r="1867">
      <c r="H1867" s="6" t="n"/>
      <c r="I1867" s="6" t="n"/>
      <c r="M1867" s="7" t="n"/>
      <c r="N1867" s="7" t="n"/>
      <c r="O1867" s="7" t="n"/>
      <c r="Q1867" s="7" t="n"/>
      <c r="R1867" s="7" t="n"/>
      <c r="S1867" s="8">
        <f>IF(NOT(ISNUMBER(M1867)),"",IF(G1867="Terreno",IF(AND(ISNUMBER(I1867),I1867&gt;0),M1867/I1867,""),IF(AND(ISNUMBER(H1867),H1867&gt;0),M1867/H1867,"")))</f>
        <v/>
      </c>
      <c r="T1867" s="9">
        <f>IF(AND(ISNUMBER(M1867),ISNUMBER(O1867)),IF(M1867&lt;=O1867,"Valor ≤ venal IPTU",""),"")</f>
        <v/>
      </c>
      <c r="U1867" s="10">
        <f>IF(AND(ISNUMBER(M1867),ISNUMBER(N1867)),IF(N1867&gt;0,M1867/N1867,""),"")</f>
        <v/>
      </c>
      <c r="V1867" s="10">
        <f>IF(AND(ISNUMBER(M1867),ISNUMBER(O1867)),IF(O1867&gt;0,M1867/O1867,""),"")</f>
        <v/>
      </c>
      <c r="W1867" s="10">
        <f>IF(AND(ISNUMBER(M1867),ISNUMBER(R1867)),IF(R1867&gt;0,M1867/R1867,""),"")</f>
        <v/>
      </c>
      <c r="X1867" s="10">
        <f>IF(AND(ISNUMBER(Q1867),ISNUMBER(M1867)),IF(M1867&gt;0,Q1867/M1867,""),"")</f>
        <v/>
      </c>
      <c r="Y1867" s="11">
        <f>IF(ISNUMBER(Z1867),YEAR(Z1867),"")</f>
        <v/>
      </c>
      <c r="Z1867" s="12" t="n"/>
      <c r="AA1867" s="12" t="n"/>
      <c r="AI1867" s="12" t="n"/>
      <c r="AJ1867" s="13">
        <f>IF(LEN(TRIM(AF1867))=0,"",HYPERLINK("https://www.google.com/maps/@?api=1&amp;map_action=pano&amp;viewpoint="&amp;SUBSTITUTE(AF1867," ",""),"Abrir Street View"))</f>
        <v/>
      </c>
    </row>
    <row r="1868">
      <c r="H1868" s="6" t="n"/>
      <c r="I1868" s="6" t="n"/>
      <c r="M1868" s="7" t="n"/>
      <c r="N1868" s="7" t="n"/>
      <c r="O1868" s="7" t="n"/>
      <c r="Q1868" s="7" t="n"/>
      <c r="R1868" s="7" t="n"/>
      <c r="S1868" s="8">
        <f>IF(NOT(ISNUMBER(M1868)),"",IF(G1868="Terreno",IF(AND(ISNUMBER(I1868),I1868&gt;0),M1868/I1868,""),IF(AND(ISNUMBER(H1868),H1868&gt;0),M1868/H1868,"")))</f>
        <v/>
      </c>
      <c r="T1868" s="9">
        <f>IF(AND(ISNUMBER(M1868),ISNUMBER(O1868)),IF(M1868&lt;=O1868,"Valor ≤ venal IPTU",""),"")</f>
        <v/>
      </c>
      <c r="U1868" s="10">
        <f>IF(AND(ISNUMBER(M1868),ISNUMBER(N1868)),IF(N1868&gt;0,M1868/N1868,""),"")</f>
        <v/>
      </c>
      <c r="V1868" s="10">
        <f>IF(AND(ISNUMBER(M1868),ISNUMBER(O1868)),IF(O1868&gt;0,M1868/O1868,""),"")</f>
        <v/>
      </c>
      <c r="W1868" s="10">
        <f>IF(AND(ISNUMBER(M1868),ISNUMBER(R1868)),IF(R1868&gt;0,M1868/R1868,""),"")</f>
        <v/>
      </c>
      <c r="X1868" s="10">
        <f>IF(AND(ISNUMBER(Q1868),ISNUMBER(M1868)),IF(M1868&gt;0,Q1868/M1868,""),"")</f>
        <v/>
      </c>
      <c r="Y1868" s="11">
        <f>IF(ISNUMBER(Z1868),YEAR(Z1868),"")</f>
        <v/>
      </c>
      <c r="Z1868" s="12" t="n"/>
      <c r="AA1868" s="12" t="n"/>
      <c r="AI1868" s="12" t="n"/>
      <c r="AJ1868" s="13">
        <f>IF(LEN(TRIM(AF1868))=0,"",HYPERLINK("https://www.google.com/maps/@?api=1&amp;map_action=pano&amp;viewpoint="&amp;SUBSTITUTE(AF1868," ",""),"Abrir Street View"))</f>
        <v/>
      </c>
    </row>
    <row r="1869">
      <c r="H1869" s="6" t="n"/>
      <c r="I1869" s="6" t="n"/>
      <c r="M1869" s="7" t="n"/>
      <c r="N1869" s="7" t="n"/>
      <c r="O1869" s="7" t="n"/>
      <c r="Q1869" s="7" t="n"/>
      <c r="R1869" s="7" t="n"/>
      <c r="S1869" s="8">
        <f>IF(NOT(ISNUMBER(M1869)),"",IF(G1869="Terreno",IF(AND(ISNUMBER(I1869),I1869&gt;0),M1869/I1869,""),IF(AND(ISNUMBER(H1869),H1869&gt;0),M1869/H1869,"")))</f>
        <v/>
      </c>
      <c r="T1869" s="9">
        <f>IF(AND(ISNUMBER(M1869),ISNUMBER(O1869)),IF(M1869&lt;=O1869,"Valor ≤ venal IPTU",""),"")</f>
        <v/>
      </c>
      <c r="U1869" s="10">
        <f>IF(AND(ISNUMBER(M1869),ISNUMBER(N1869)),IF(N1869&gt;0,M1869/N1869,""),"")</f>
        <v/>
      </c>
      <c r="V1869" s="10">
        <f>IF(AND(ISNUMBER(M1869),ISNUMBER(O1869)),IF(O1869&gt;0,M1869/O1869,""),"")</f>
        <v/>
      </c>
      <c r="W1869" s="10">
        <f>IF(AND(ISNUMBER(M1869),ISNUMBER(R1869)),IF(R1869&gt;0,M1869/R1869,""),"")</f>
        <v/>
      </c>
      <c r="X1869" s="10">
        <f>IF(AND(ISNUMBER(Q1869),ISNUMBER(M1869)),IF(M1869&gt;0,Q1869/M1869,""),"")</f>
        <v/>
      </c>
      <c r="Y1869" s="11">
        <f>IF(ISNUMBER(Z1869),YEAR(Z1869),"")</f>
        <v/>
      </c>
      <c r="Z1869" s="12" t="n"/>
      <c r="AA1869" s="12" t="n"/>
      <c r="AI1869" s="12" t="n"/>
      <c r="AJ1869" s="13">
        <f>IF(LEN(TRIM(AF1869))=0,"",HYPERLINK("https://www.google.com/maps/@?api=1&amp;map_action=pano&amp;viewpoint="&amp;SUBSTITUTE(AF1869," ",""),"Abrir Street View"))</f>
        <v/>
      </c>
    </row>
    <row r="1870">
      <c r="H1870" s="6" t="n"/>
      <c r="I1870" s="6" t="n"/>
      <c r="M1870" s="7" t="n"/>
      <c r="N1870" s="7" t="n"/>
      <c r="O1870" s="7" t="n"/>
      <c r="Q1870" s="7" t="n"/>
      <c r="R1870" s="7" t="n"/>
      <c r="S1870" s="8">
        <f>IF(NOT(ISNUMBER(M1870)),"",IF(G1870="Terreno",IF(AND(ISNUMBER(I1870),I1870&gt;0),M1870/I1870,""),IF(AND(ISNUMBER(H1870),H1870&gt;0),M1870/H1870,"")))</f>
        <v/>
      </c>
      <c r="T1870" s="9">
        <f>IF(AND(ISNUMBER(M1870),ISNUMBER(O1870)),IF(M1870&lt;=O1870,"Valor ≤ venal IPTU",""),"")</f>
        <v/>
      </c>
      <c r="U1870" s="10">
        <f>IF(AND(ISNUMBER(M1870),ISNUMBER(N1870)),IF(N1870&gt;0,M1870/N1870,""),"")</f>
        <v/>
      </c>
      <c r="V1870" s="10">
        <f>IF(AND(ISNUMBER(M1870),ISNUMBER(O1870)),IF(O1870&gt;0,M1870/O1870,""),"")</f>
        <v/>
      </c>
      <c r="W1870" s="10">
        <f>IF(AND(ISNUMBER(M1870),ISNUMBER(R1870)),IF(R1870&gt;0,M1870/R1870,""),"")</f>
        <v/>
      </c>
      <c r="X1870" s="10">
        <f>IF(AND(ISNUMBER(Q1870),ISNUMBER(M1870)),IF(M1870&gt;0,Q1870/M1870,""),"")</f>
        <v/>
      </c>
      <c r="Y1870" s="11">
        <f>IF(ISNUMBER(Z1870),YEAR(Z1870),"")</f>
        <v/>
      </c>
      <c r="Z1870" s="12" t="n"/>
      <c r="AA1870" s="12" t="n"/>
      <c r="AI1870" s="12" t="n"/>
      <c r="AJ1870" s="13">
        <f>IF(LEN(TRIM(AF1870))=0,"",HYPERLINK("https://www.google.com/maps/@?api=1&amp;map_action=pano&amp;viewpoint="&amp;SUBSTITUTE(AF1870," ",""),"Abrir Street View"))</f>
        <v/>
      </c>
    </row>
    <row r="1871">
      <c r="H1871" s="6" t="n"/>
      <c r="I1871" s="6" t="n"/>
      <c r="M1871" s="7" t="n"/>
      <c r="N1871" s="7" t="n"/>
      <c r="O1871" s="7" t="n"/>
      <c r="Q1871" s="7" t="n"/>
      <c r="R1871" s="7" t="n"/>
      <c r="S1871" s="8">
        <f>IF(NOT(ISNUMBER(M1871)),"",IF(G1871="Terreno",IF(AND(ISNUMBER(I1871),I1871&gt;0),M1871/I1871,""),IF(AND(ISNUMBER(H1871),H1871&gt;0),M1871/H1871,"")))</f>
        <v/>
      </c>
      <c r="T1871" s="9">
        <f>IF(AND(ISNUMBER(M1871),ISNUMBER(O1871)),IF(M1871&lt;=O1871,"Valor ≤ venal IPTU",""),"")</f>
        <v/>
      </c>
      <c r="U1871" s="10">
        <f>IF(AND(ISNUMBER(M1871),ISNUMBER(N1871)),IF(N1871&gt;0,M1871/N1871,""),"")</f>
        <v/>
      </c>
      <c r="V1871" s="10">
        <f>IF(AND(ISNUMBER(M1871),ISNUMBER(O1871)),IF(O1871&gt;0,M1871/O1871,""),"")</f>
        <v/>
      </c>
      <c r="W1871" s="10">
        <f>IF(AND(ISNUMBER(M1871),ISNUMBER(R1871)),IF(R1871&gt;0,M1871/R1871,""),"")</f>
        <v/>
      </c>
      <c r="X1871" s="10">
        <f>IF(AND(ISNUMBER(Q1871),ISNUMBER(M1871)),IF(M1871&gt;0,Q1871/M1871,""),"")</f>
        <v/>
      </c>
      <c r="Y1871" s="11">
        <f>IF(ISNUMBER(Z1871),YEAR(Z1871),"")</f>
        <v/>
      </c>
      <c r="Z1871" s="12" t="n"/>
      <c r="AA1871" s="12" t="n"/>
      <c r="AI1871" s="12" t="n"/>
      <c r="AJ1871" s="13">
        <f>IF(LEN(TRIM(AF1871))=0,"",HYPERLINK("https://www.google.com/maps/@?api=1&amp;map_action=pano&amp;viewpoint="&amp;SUBSTITUTE(AF1871," ",""),"Abrir Street View"))</f>
        <v/>
      </c>
    </row>
    <row r="1872">
      <c r="H1872" s="6" t="n"/>
      <c r="I1872" s="6" t="n"/>
      <c r="M1872" s="7" t="n"/>
      <c r="N1872" s="7" t="n"/>
      <c r="O1872" s="7" t="n"/>
      <c r="Q1872" s="7" t="n"/>
      <c r="R1872" s="7" t="n"/>
      <c r="S1872" s="8">
        <f>IF(NOT(ISNUMBER(M1872)),"",IF(G1872="Terreno",IF(AND(ISNUMBER(I1872),I1872&gt;0),M1872/I1872,""),IF(AND(ISNUMBER(H1872),H1872&gt;0),M1872/H1872,"")))</f>
        <v/>
      </c>
      <c r="T1872" s="9">
        <f>IF(AND(ISNUMBER(M1872),ISNUMBER(O1872)),IF(M1872&lt;=O1872,"Valor ≤ venal IPTU",""),"")</f>
        <v/>
      </c>
      <c r="U1872" s="10">
        <f>IF(AND(ISNUMBER(M1872),ISNUMBER(N1872)),IF(N1872&gt;0,M1872/N1872,""),"")</f>
        <v/>
      </c>
      <c r="V1872" s="10">
        <f>IF(AND(ISNUMBER(M1872),ISNUMBER(O1872)),IF(O1872&gt;0,M1872/O1872,""),"")</f>
        <v/>
      </c>
      <c r="W1872" s="10">
        <f>IF(AND(ISNUMBER(M1872),ISNUMBER(R1872)),IF(R1872&gt;0,M1872/R1872,""),"")</f>
        <v/>
      </c>
      <c r="X1872" s="10">
        <f>IF(AND(ISNUMBER(Q1872),ISNUMBER(M1872)),IF(M1872&gt;0,Q1872/M1872,""),"")</f>
        <v/>
      </c>
      <c r="Y1872" s="11">
        <f>IF(ISNUMBER(Z1872),YEAR(Z1872),"")</f>
        <v/>
      </c>
      <c r="Z1872" s="12" t="n"/>
      <c r="AA1872" s="12" t="n"/>
      <c r="AI1872" s="12" t="n"/>
      <c r="AJ1872" s="13">
        <f>IF(LEN(TRIM(AF1872))=0,"",HYPERLINK("https://www.google.com/maps/@?api=1&amp;map_action=pano&amp;viewpoint="&amp;SUBSTITUTE(AF1872," ",""),"Abrir Street View"))</f>
        <v/>
      </c>
    </row>
    <row r="1873">
      <c r="H1873" s="6" t="n"/>
      <c r="I1873" s="6" t="n"/>
      <c r="M1873" s="7" t="n"/>
      <c r="N1873" s="7" t="n"/>
      <c r="O1873" s="7" t="n"/>
      <c r="Q1873" s="7" t="n"/>
      <c r="R1873" s="7" t="n"/>
      <c r="S1873" s="8">
        <f>IF(NOT(ISNUMBER(M1873)),"",IF(G1873="Terreno",IF(AND(ISNUMBER(I1873),I1873&gt;0),M1873/I1873,""),IF(AND(ISNUMBER(H1873),H1873&gt;0),M1873/H1873,"")))</f>
        <v/>
      </c>
      <c r="T1873" s="9">
        <f>IF(AND(ISNUMBER(M1873),ISNUMBER(O1873)),IF(M1873&lt;=O1873,"Valor ≤ venal IPTU",""),"")</f>
        <v/>
      </c>
      <c r="U1873" s="10">
        <f>IF(AND(ISNUMBER(M1873),ISNUMBER(N1873)),IF(N1873&gt;0,M1873/N1873,""),"")</f>
        <v/>
      </c>
      <c r="V1873" s="10">
        <f>IF(AND(ISNUMBER(M1873),ISNUMBER(O1873)),IF(O1873&gt;0,M1873/O1873,""),"")</f>
        <v/>
      </c>
      <c r="W1873" s="10">
        <f>IF(AND(ISNUMBER(M1873),ISNUMBER(R1873)),IF(R1873&gt;0,M1873/R1873,""),"")</f>
        <v/>
      </c>
      <c r="X1873" s="10">
        <f>IF(AND(ISNUMBER(Q1873),ISNUMBER(M1873)),IF(M1873&gt;0,Q1873/M1873,""),"")</f>
        <v/>
      </c>
      <c r="Y1873" s="11">
        <f>IF(ISNUMBER(Z1873),YEAR(Z1873),"")</f>
        <v/>
      </c>
      <c r="Z1873" s="12" t="n"/>
      <c r="AA1873" s="12" t="n"/>
      <c r="AI1873" s="12" t="n"/>
      <c r="AJ1873" s="13">
        <f>IF(LEN(TRIM(AF1873))=0,"",HYPERLINK("https://www.google.com/maps/@?api=1&amp;map_action=pano&amp;viewpoint="&amp;SUBSTITUTE(AF1873," ",""),"Abrir Street View"))</f>
        <v/>
      </c>
    </row>
    <row r="1874">
      <c r="H1874" s="6" t="n"/>
      <c r="I1874" s="6" t="n"/>
      <c r="M1874" s="7" t="n"/>
      <c r="N1874" s="7" t="n"/>
      <c r="O1874" s="7" t="n"/>
      <c r="Q1874" s="7" t="n"/>
      <c r="R1874" s="7" t="n"/>
      <c r="S1874" s="8">
        <f>IF(NOT(ISNUMBER(M1874)),"",IF(G1874="Terreno",IF(AND(ISNUMBER(I1874),I1874&gt;0),M1874/I1874,""),IF(AND(ISNUMBER(H1874),H1874&gt;0),M1874/H1874,"")))</f>
        <v/>
      </c>
      <c r="T1874" s="9">
        <f>IF(AND(ISNUMBER(M1874),ISNUMBER(O1874)),IF(M1874&lt;=O1874,"Valor ≤ venal IPTU",""),"")</f>
        <v/>
      </c>
      <c r="U1874" s="10">
        <f>IF(AND(ISNUMBER(M1874),ISNUMBER(N1874)),IF(N1874&gt;0,M1874/N1874,""),"")</f>
        <v/>
      </c>
      <c r="V1874" s="10">
        <f>IF(AND(ISNUMBER(M1874),ISNUMBER(O1874)),IF(O1874&gt;0,M1874/O1874,""),"")</f>
        <v/>
      </c>
      <c r="W1874" s="10">
        <f>IF(AND(ISNUMBER(M1874),ISNUMBER(R1874)),IF(R1874&gt;0,M1874/R1874,""),"")</f>
        <v/>
      </c>
      <c r="X1874" s="10">
        <f>IF(AND(ISNUMBER(Q1874),ISNUMBER(M1874)),IF(M1874&gt;0,Q1874/M1874,""),"")</f>
        <v/>
      </c>
      <c r="Y1874" s="11">
        <f>IF(ISNUMBER(Z1874),YEAR(Z1874),"")</f>
        <v/>
      </c>
      <c r="Z1874" s="12" t="n"/>
      <c r="AA1874" s="12" t="n"/>
      <c r="AI1874" s="12" t="n"/>
      <c r="AJ1874" s="13">
        <f>IF(LEN(TRIM(AF1874))=0,"",HYPERLINK("https://www.google.com/maps/@?api=1&amp;map_action=pano&amp;viewpoint="&amp;SUBSTITUTE(AF1874," ",""),"Abrir Street View"))</f>
        <v/>
      </c>
    </row>
    <row r="1875">
      <c r="H1875" s="6" t="n"/>
      <c r="I1875" s="6" t="n"/>
      <c r="M1875" s="7" t="n"/>
      <c r="N1875" s="7" t="n"/>
      <c r="O1875" s="7" t="n"/>
      <c r="Q1875" s="7" t="n"/>
      <c r="R1875" s="7" t="n"/>
      <c r="S1875" s="8">
        <f>IF(NOT(ISNUMBER(M1875)),"",IF(G1875="Terreno",IF(AND(ISNUMBER(I1875),I1875&gt;0),M1875/I1875,""),IF(AND(ISNUMBER(H1875),H1875&gt;0),M1875/H1875,"")))</f>
        <v/>
      </c>
      <c r="T1875" s="9">
        <f>IF(AND(ISNUMBER(M1875),ISNUMBER(O1875)),IF(M1875&lt;=O1875,"Valor ≤ venal IPTU",""),"")</f>
        <v/>
      </c>
      <c r="U1875" s="10">
        <f>IF(AND(ISNUMBER(M1875),ISNUMBER(N1875)),IF(N1875&gt;0,M1875/N1875,""),"")</f>
        <v/>
      </c>
      <c r="V1875" s="10">
        <f>IF(AND(ISNUMBER(M1875),ISNUMBER(O1875)),IF(O1875&gt;0,M1875/O1875,""),"")</f>
        <v/>
      </c>
      <c r="W1875" s="10">
        <f>IF(AND(ISNUMBER(M1875),ISNUMBER(R1875)),IF(R1875&gt;0,M1875/R1875,""),"")</f>
        <v/>
      </c>
      <c r="X1875" s="10">
        <f>IF(AND(ISNUMBER(Q1875),ISNUMBER(M1875)),IF(M1875&gt;0,Q1875/M1875,""),"")</f>
        <v/>
      </c>
      <c r="Y1875" s="11">
        <f>IF(ISNUMBER(Z1875),YEAR(Z1875),"")</f>
        <v/>
      </c>
      <c r="Z1875" s="12" t="n"/>
      <c r="AA1875" s="12" t="n"/>
      <c r="AI1875" s="12" t="n"/>
      <c r="AJ1875" s="13">
        <f>IF(LEN(TRIM(AF1875))=0,"",HYPERLINK("https://www.google.com/maps/@?api=1&amp;map_action=pano&amp;viewpoint="&amp;SUBSTITUTE(AF1875," ",""),"Abrir Street View"))</f>
        <v/>
      </c>
    </row>
    <row r="1876">
      <c r="H1876" s="6" t="n"/>
      <c r="I1876" s="6" t="n"/>
      <c r="M1876" s="7" t="n"/>
      <c r="N1876" s="7" t="n"/>
      <c r="O1876" s="7" t="n"/>
      <c r="Q1876" s="7" t="n"/>
      <c r="R1876" s="7" t="n"/>
      <c r="S1876" s="8">
        <f>IF(NOT(ISNUMBER(M1876)),"",IF(G1876="Terreno",IF(AND(ISNUMBER(I1876),I1876&gt;0),M1876/I1876,""),IF(AND(ISNUMBER(H1876),H1876&gt;0),M1876/H1876,"")))</f>
        <v/>
      </c>
      <c r="T1876" s="9">
        <f>IF(AND(ISNUMBER(M1876),ISNUMBER(O1876)),IF(M1876&lt;=O1876,"Valor ≤ venal IPTU",""),"")</f>
        <v/>
      </c>
      <c r="U1876" s="10">
        <f>IF(AND(ISNUMBER(M1876),ISNUMBER(N1876)),IF(N1876&gt;0,M1876/N1876,""),"")</f>
        <v/>
      </c>
      <c r="V1876" s="10">
        <f>IF(AND(ISNUMBER(M1876),ISNUMBER(O1876)),IF(O1876&gt;0,M1876/O1876,""),"")</f>
        <v/>
      </c>
      <c r="W1876" s="10">
        <f>IF(AND(ISNUMBER(M1876),ISNUMBER(R1876)),IF(R1876&gt;0,M1876/R1876,""),"")</f>
        <v/>
      </c>
      <c r="X1876" s="10">
        <f>IF(AND(ISNUMBER(Q1876),ISNUMBER(M1876)),IF(M1876&gt;0,Q1876/M1876,""),"")</f>
        <v/>
      </c>
      <c r="Y1876" s="11">
        <f>IF(ISNUMBER(Z1876),YEAR(Z1876),"")</f>
        <v/>
      </c>
      <c r="Z1876" s="12" t="n"/>
      <c r="AA1876" s="12" t="n"/>
      <c r="AI1876" s="12" t="n"/>
      <c r="AJ1876" s="13">
        <f>IF(LEN(TRIM(AF1876))=0,"",HYPERLINK("https://www.google.com/maps/@?api=1&amp;map_action=pano&amp;viewpoint="&amp;SUBSTITUTE(AF1876," ",""),"Abrir Street View"))</f>
        <v/>
      </c>
    </row>
    <row r="1877">
      <c r="H1877" s="6" t="n"/>
      <c r="I1877" s="6" t="n"/>
      <c r="M1877" s="7" t="n"/>
      <c r="N1877" s="7" t="n"/>
      <c r="O1877" s="7" t="n"/>
      <c r="Q1877" s="7" t="n"/>
      <c r="R1877" s="7" t="n"/>
      <c r="S1877" s="8">
        <f>IF(NOT(ISNUMBER(M1877)),"",IF(G1877="Terreno",IF(AND(ISNUMBER(I1877),I1877&gt;0),M1877/I1877,""),IF(AND(ISNUMBER(H1877),H1877&gt;0),M1877/H1877,"")))</f>
        <v/>
      </c>
      <c r="T1877" s="9">
        <f>IF(AND(ISNUMBER(M1877),ISNUMBER(O1877)),IF(M1877&lt;=O1877,"Valor ≤ venal IPTU",""),"")</f>
        <v/>
      </c>
      <c r="U1877" s="10">
        <f>IF(AND(ISNUMBER(M1877),ISNUMBER(N1877)),IF(N1877&gt;0,M1877/N1877,""),"")</f>
        <v/>
      </c>
      <c r="V1877" s="10">
        <f>IF(AND(ISNUMBER(M1877),ISNUMBER(O1877)),IF(O1877&gt;0,M1877/O1877,""),"")</f>
        <v/>
      </c>
      <c r="W1877" s="10">
        <f>IF(AND(ISNUMBER(M1877),ISNUMBER(R1877)),IF(R1877&gt;0,M1877/R1877,""),"")</f>
        <v/>
      </c>
      <c r="X1877" s="10">
        <f>IF(AND(ISNUMBER(Q1877),ISNUMBER(M1877)),IF(M1877&gt;0,Q1877/M1877,""),"")</f>
        <v/>
      </c>
      <c r="Y1877" s="11">
        <f>IF(ISNUMBER(Z1877),YEAR(Z1877),"")</f>
        <v/>
      </c>
      <c r="Z1877" s="12" t="n"/>
      <c r="AA1877" s="12" t="n"/>
      <c r="AI1877" s="12" t="n"/>
      <c r="AJ1877" s="13">
        <f>IF(LEN(TRIM(AF1877))=0,"",HYPERLINK("https://www.google.com/maps/@?api=1&amp;map_action=pano&amp;viewpoint="&amp;SUBSTITUTE(AF1877," ",""),"Abrir Street View"))</f>
        <v/>
      </c>
    </row>
    <row r="1878">
      <c r="H1878" s="6" t="n"/>
      <c r="I1878" s="6" t="n"/>
      <c r="M1878" s="7" t="n"/>
      <c r="N1878" s="7" t="n"/>
      <c r="O1878" s="7" t="n"/>
      <c r="Q1878" s="7" t="n"/>
      <c r="R1878" s="7" t="n"/>
      <c r="S1878" s="8">
        <f>IF(NOT(ISNUMBER(M1878)),"",IF(G1878="Terreno",IF(AND(ISNUMBER(I1878),I1878&gt;0),M1878/I1878,""),IF(AND(ISNUMBER(H1878),H1878&gt;0),M1878/H1878,"")))</f>
        <v/>
      </c>
      <c r="T1878" s="9">
        <f>IF(AND(ISNUMBER(M1878),ISNUMBER(O1878)),IF(M1878&lt;=O1878,"Valor ≤ venal IPTU",""),"")</f>
        <v/>
      </c>
      <c r="U1878" s="10">
        <f>IF(AND(ISNUMBER(M1878),ISNUMBER(N1878)),IF(N1878&gt;0,M1878/N1878,""),"")</f>
        <v/>
      </c>
      <c r="V1878" s="10">
        <f>IF(AND(ISNUMBER(M1878),ISNUMBER(O1878)),IF(O1878&gt;0,M1878/O1878,""),"")</f>
        <v/>
      </c>
      <c r="W1878" s="10">
        <f>IF(AND(ISNUMBER(M1878),ISNUMBER(R1878)),IF(R1878&gt;0,M1878/R1878,""),"")</f>
        <v/>
      </c>
      <c r="X1878" s="10">
        <f>IF(AND(ISNUMBER(Q1878),ISNUMBER(M1878)),IF(M1878&gt;0,Q1878/M1878,""),"")</f>
        <v/>
      </c>
      <c r="Y1878" s="11">
        <f>IF(ISNUMBER(Z1878),YEAR(Z1878),"")</f>
        <v/>
      </c>
      <c r="Z1878" s="12" t="n"/>
      <c r="AA1878" s="12" t="n"/>
      <c r="AI1878" s="12" t="n"/>
      <c r="AJ1878" s="13">
        <f>IF(LEN(TRIM(AF1878))=0,"",HYPERLINK("https://www.google.com/maps/@?api=1&amp;map_action=pano&amp;viewpoint="&amp;SUBSTITUTE(AF1878," ",""),"Abrir Street View"))</f>
        <v/>
      </c>
    </row>
    <row r="1879">
      <c r="H1879" s="6" t="n"/>
      <c r="I1879" s="6" t="n"/>
      <c r="M1879" s="7" t="n"/>
      <c r="N1879" s="7" t="n"/>
      <c r="O1879" s="7" t="n"/>
      <c r="Q1879" s="7" t="n"/>
      <c r="R1879" s="7" t="n"/>
      <c r="S1879" s="8">
        <f>IF(NOT(ISNUMBER(M1879)),"",IF(G1879="Terreno",IF(AND(ISNUMBER(I1879),I1879&gt;0),M1879/I1879,""),IF(AND(ISNUMBER(H1879),H1879&gt;0),M1879/H1879,"")))</f>
        <v/>
      </c>
      <c r="T1879" s="9">
        <f>IF(AND(ISNUMBER(M1879),ISNUMBER(O1879)),IF(M1879&lt;=O1879,"Valor ≤ venal IPTU",""),"")</f>
        <v/>
      </c>
      <c r="U1879" s="10">
        <f>IF(AND(ISNUMBER(M1879),ISNUMBER(N1879)),IF(N1879&gt;0,M1879/N1879,""),"")</f>
        <v/>
      </c>
      <c r="V1879" s="10">
        <f>IF(AND(ISNUMBER(M1879),ISNUMBER(O1879)),IF(O1879&gt;0,M1879/O1879,""),"")</f>
        <v/>
      </c>
      <c r="W1879" s="10">
        <f>IF(AND(ISNUMBER(M1879),ISNUMBER(R1879)),IF(R1879&gt;0,M1879/R1879,""),"")</f>
        <v/>
      </c>
      <c r="X1879" s="10">
        <f>IF(AND(ISNUMBER(Q1879),ISNUMBER(M1879)),IF(M1879&gt;0,Q1879/M1879,""),"")</f>
        <v/>
      </c>
      <c r="Y1879" s="11">
        <f>IF(ISNUMBER(Z1879),YEAR(Z1879),"")</f>
        <v/>
      </c>
      <c r="Z1879" s="12" t="n"/>
      <c r="AA1879" s="12" t="n"/>
      <c r="AI1879" s="12" t="n"/>
      <c r="AJ1879" s="13">
        <f>IF(LEN(TRIM(AF1879))=0,"",HYPERLINK("https://www.google.com/maps/@?api=1&amp;map_action=pano&amp;viewpoint="&amp;SUBSTITUTE(AF1879," ",""),"Abrir Street View"))</f>
        <v/>
      </c>
    </row>
    <row r="1880">
      <c r="H1880" s="6" t="n"/>
      <c r="I1880" s="6" t="n"/>
      <c r="M1880" s="7" t="n"/>
      <c r="N1880" s="7" t="n"/>
      <c r="O1880" s="7" t="n"/>
      <c r="Q1880" s="7" t="n"/>
      <c r="R1880" s="7" t="n"/>
      <c r="S1880" s="8">
        <f>IF(NOT(ISNUMBER(M1880)),"",IF(G1880="Terreno",IF(AND(ISNUMBER(I1880),I1880&gt;0),M1880/I1880,""),IF(AND(ISNUMBER(H1880),H1880&gt;0),M1880/H1880,"")))</f>
        <v/>
      </c>
      <c r="T1880" s="9">
        <f>IF(AND(ISNUMBER(M1880),ISNUMBER(O1880)),IF(M1880&lt;=O1880,"Valor ≤ venal IPTU",""),"")</f>
        <v/>
      </c>
      <c r="U1880" s="10">
        <f>IF(AND(ISNUMBER(M1880),ISNUMBER(N1880)),IF(N1880&gt;0,M1880/N1880,""),"")</f>
        <v/>
      </c>
      <c r="V1880" s="10">
        <f>IF(AND(ISNUMBER(M1880),ISNUMBER(O1880)),IF(O1880&gt;0,M1880/O1880,""),"")</f>
        <v/>
      </c>
      <c r="W1880" s="10">
        <f>IF(AND(ISNUMBER(M1880),ISNUMBER(R1880)),IF(R1880&gt;0,M1880/R1880,""),"")</f>
        <v/>
      </c>
      <c r="X1880" s="10">
        <f>IF(AND(ISNUMBER(Q1880),ISNUMBER(M1880)),IF(M1880&gt;0,Q1880/M1880,""),"")</f>
        <v/>
      </c>
      <c r="Y1880" s="11">
        <f>IF(ISNUMBER(Z1880),YEAR(Z1880),"")</f>
        <v/>
      </c>
      <c r="Z1880" s="12" t="n"/>
      <c r="AA1880" s="12" t="n"/>
      <c r="AI1880" s="12" t="n"/>
      <c r="AJ1880" s="13">
        <f>IF(LEN(TRIM(AF1880))=0,"",HYPERLINK("https://www.google.com/maps/@?api=1&amp;map_action=pano&amp;viewpoint="&amp;SUBSTITUTE(AF1880," ",""),"Abrir Street View"))</f>
        <v/>
      </c>
    </row>
    <row r="1881">
      <c r="H1881" s="6" t="n"/>
      <c r="I1881" s="6" t="n"/>
      <c r="M1881" s="7" t="n"/>
      <c r="N1881" s="7" t="n"/>
      <c r="O1881" s="7" t="n"/>
      <c r="Q1881" s="7" t="n"/>
      <c r="R1881" s="7" t="n"/>
      <c r="S1881" s="8">
        <f>IF(NOT(ISNUMBER(M1881)),"",IF(G1881="Terreno",IF(AND(ISNUMBER(I1881),I1881&gt;0),M1881/I1881,""),IF(AND(ISNUMBER(H1881),H1881&gt;0),M1881/H1881,"")))</f>
        <v/>
      </c>
      <c r="T1881" s="9">
        <f>IF(AND(ISNUMBER(M1881),ISNUMBER(O1881)),IF(M1881&lt;=O1881,"Valor ≤ venal IPTU",""),"")</f>
        <v/>
      </c>
      <c r="U1881" s="10">
        <f>IF(AND(ISNUMBER(M1881),ISNUMBER(N1881)),IF(N1881&gt;0,M1881/N1881,""),"")</f>
        <v/>
      </c>
      <c r="V1881" s="10">
        <f>IF(AND(ISNUMBER(M1881),ISNUMBER(O1881)),IF(O1881&gt;0,M1881/O1881,""),"")</f>
        <v/>
      </c>
      <c r="W1881" s="10">
        <f>IF(AND(ISNUMBER(M1881),ISNUMBER(R1881)),IF(R1881&gt;0,M1881/R1881,""),"")</f>
        <v/>
      </c>
      <c r="X1881" s="10">
        <f>IF(AND(ISNUMBER(Q1881),ISNUMBER(M1881)),IF(M1881&gt;0,Q1881/M1881,""),"")</f>
        <v/>
      </c>
      <c r="Y1881" s="11">
        <f>IF(ISNUMBER(Z1881),YEAR(Z1881),"")</f>
        <v/>
      </c>
      <c r="Z1881" s="12" t="n"/>
      <c r="AA1881" s="12" t="n"/>
      <c r="AI1881" s="12" t="n"/>
      <c r="AJ1881" s="13">
        <f>IF(LEN(TRIM(AF1881))=0,"",HYPERLINK("https://www.google.com/maps/@?api=1&amp;map_action=pano&amp;viewpoint="&amp;SUBSTITUTE(AF1881," ",""),"Abrir Street View"))</f>
        <v/>
      </c>
    </row>
    <row r="1882">
      <c r="H1882" s="6" t="n"/>
      <c r="I1882" s="6" t="n"/>
      <c r="M1882" s="7" t="n"/>
      <c r="N1882" s="7" t="n"/>
      <c r="O1882" s="7" t="n"/>
      <c r="Q1882" s="7" t="n"/>
      <c r="R1882" s="7" t="n"/>
      <c r="S1882" s="8">
        <f>IF(NOT(ISNUMBER(M1882)),"",IF(G1882="Terreno",IF(AND(ISNUMBER(I1882),I1882&gt;0),M1882/I1882,""),IF(AND(ISNUMBER(H1882),H1882&gt;0),M1882/H1882,"")))</f>
        <v/>
      </c>
      <c r="T1882" s="9">
        <f>IF(AND(ISNUMBER(M1882),ISNUMBER(O1882)),IF(M1882&lt;=O1882,"Valor ≤ venal IPTU",""),"")</f>
        <v/>
      </c>
      <c r="U1882" s="10">
        <f>IF(AND(ISNUMBER(M1882),ISNUMBER(N1882)),IF(N1882&gt;0,M1882/N1882,""),"")</f>
        <v/>
      </c>
      <c r="V1882" s="10">
        <f>IF(AND(ISNUMBER(M1882),ISNUMBER(O1882)),IF(O1882&gt;0,M1882/O1882,""),"")</f>
        <v/>
      </c>
      <c r="W1882" s="10">
        <f>IF(AND(ISNUMBER(M1882),ISNUMBER(R1882)),IF(R1882&gt;0,M1882/R1882,""),"")</f>
        <v/>
      </c>
      <c r="X1882" s="10">
        <f>IF(AND(ISNUMBER(Q1882),ISNUMBER(M1882)),IF(M1882&gt;0,Q1882/M1882,""),"")</f>
        <v/>
      </c>
      <c r="Y1882" s="11">
        <f>IF(ISNUMBER(Z1882),YEAR(Z1882),"")</f>
        <v/>
      </c>
      <c r="Z1882" s="12" t="n"/>
      <c r="AA1882" s="12" t="n"/>
      <c r="AI1882" s="12" t="n"/>
      <c r="AJ1882" s="13">
        <f>IF(LEN(TRIM(AF1882))=0,"",HYPERLINK("https://www.google.com/maps/@?api=1&amp;map_action=pano&amp;viewpoint="&amp;SUBSTITUTE(AF1882," ",""),"Abrir Street View"))</f>
        <v/>
      </c>
    </row>
    <row r="1883">
      <c r="H1883" s="6" t="n"/>
      <c r="I1883" s="6" t="n"/>
      <c r="M1883" s="7" t="n"/>
      <c r="N1883" s="7" t="n"/>
      <c r="O1883" s="7" t="n"/>
      <c r="Q1883" s="7" t="n"/>
      <c r="R1883" s="7" t="n"/>
      <c r="S1883" s="8">
        <f>IF(NOT(ISNUMBER(M1883)),"",IF(G1883="Terreno",IF(AND(ISNUMBER(I1883),I1883&gt;0),M1883/I1883,""),IF(AND(ISNUMBER(H1883),H1883&gt;0),M1883/H1883,"")))</f>
        <v/>
      </c>
      <c r="T1883" s="9">
        <f>IF(AND(ISNUMBER(M1883),ISNUMBER(O1883)),IF(M1883&lt;=O1883,"Valor ≤ venal IPTU",""),"")</f>
        <v/>
      </c>
      <c r="U1883" s="10">
        <f>IF(AND(ISNUMBER(M1883),ISNUMBER(N1883)),IF(N1883&gt;0,M1883/N1883,""),"")</f>
        <v/>
      </c>
      <c r="V1883" s="10">
        <f>IF(AND(ISNUMBER(M1883),ISNUMBER(O1883)),IF(O1883&gt;0,M1883/O1883,""),"")</f>
        <v/>
      </c>
      <c r="W1883" s="10">
        <f>IF(AND(ISNUMBER(M1883),ISNUMBER(R1883)),IF(R1883&gt;0,M1883/R1883,""),"")</f>
        <v/>
      </c>
      <c r="X1883" s="10">
        <f>IF(AND(ISNUMBER(Q1883),ISNUMBER(M1883)),IF(M1883&gt;0,Q1883/M1883,""),"")</f>
        <v/>
      </c>
      <c r="Y1883" s="11">
        <f>IF(ISNUMBER(Z1883),YEAR(Z1883),"")</f>
        <v/>
      </c>
      <c r="Z1883" s="12" t="n"/>
      <c r="AA1883" s="12" t="n"/>
      <c r="AI1883" s="12" t="n"/>
      <c r="AJ1883" s="13">
        <f>IF(LEN(TRIM(AF1883))=0,"",HYPERLINK("https://www.google.com/maps/@?api=1&amp;map_action=pano&amp;viewpoint="&amp;SUBSTITUTE(AF1883," ",""),"Abrir Street View"))</f>
        <v/>
      </c>
    </row>
    <row r="1884">
      <c r="H1884" s="6" t="n"/>
      <c r="I1884" s="6" t="n"/>
      <c r="M1884" s="7" t="n"/>
      <c r="N1884" s="7" t="n"/>
      <c r="O1884" s="7" t="n"/>
      <c r="Q1884" s="7" t="n"/>
      <c r="R1884" s="7" t="n"/>
      <c r="S1884" s="8">
        <f>IF(NOT(ISNUMBER(M1884)),"",IF(G1884="Terreno",IF(AND(ISNUMBER(I1884),I1884&gt;0),M1884/I1884,""),IF(AND(ISNUMBER(H1884),H1884&gt;0),M1884/H1884,"")))</f>
        <v/>
      </c>
      <c r="T1884" s="9">
        <f>IF(AND(ISNUMBER(M1884),ISNUMBER(O1884)),IF(M1884&lt;=O1884,"Valor ≤ venal IPTU",""),"")</f>
        <v/>
      </c>
      <c r="U1884" s="10">
        <f>IF(AND(ISNUMBER(M1884),ISNUMBER(N1884)),IF(N1884&gt;0,M1884/N1884,""),"")</f>
        <v/>
      </c>
      <c r="V1884" s="10">
        <f>IF(AND(ISNUMBER(M1884),ISNUMBER(O1884)),IF(O1884&gt;0,M1884/O1884,""),"")</f>
        <v/>
      </c>
      <c r="W1884" s="10">
        <f>IF(AND(ISNUMBER(M1884),ISNUMBER(R1884)),IF(R1884&gt;0,M1884/R1884,""),"")</f>
        <v/>
      </c>
      <c r="X1884" s="10">
        <f>IF(AND(ISNUMBER(Q1884),ISNUMBER(M1884)),IF(M1884&gt;0,Q1884/M1884,""),"")</f>
        <v/>
      </c>
      <c r="Y1884" s="11">
        <f>IF(ISNUMBER(Z1884),YEAR(Z1884),"")</f>
        <v/>
      </c>
      <c r="Z1884" s="12" t="n"/>
      <c r="AA1884" s="12" t="n"/>
      <c r="AI1884" s="12" t="n"/>
      <c r="AJ1884" s="13">
        <f>IF(LEN(TRIM(AF1884))=0,"",HYPERLINK("https://www.google.com/maps/@?api=1&amp;map_action=pano&amp;viewpoint="&amp;SUBSTITUTE(AF1884," ",""),"Abrir Street View"))</f>
        <v/>
      </c>
    </row>
    <row r="1885">
      <c r="H1885" s="6" t="n"/>
      <c r="I1885" s="6" t="n"/>
      <c r="M1885" s="7" t="n"/>
      <c r="N1885" s="7" t="n"/>
      <c r="O1885" s="7" t="n"/>
      <c r="Q1885" s="7" t="n"/>
      <c r="R1885" s="7" t="n"/>
      <c r="S1885" s="8">
        <f>IF(NOT(ISNUMBER(M1885)),"",IF(G1885="Terreno",IF(AND(ISNUMBER(I1885),I1885&gt;0),M1885/I1885,""),IF(AND(ISNUMBER(H1885),H1885&gt;0),M1885/H1885,"")))</f>
        <v/>
      </c>
      <c r="T1885" s="9">
        <f>IF(AND(ISNUMBER(M1885),ISNUMBER(O1885)),IF(M1885&lt;=O1885,"Valor ≤ venal IPTU",""),"")</f>
        <v/>
      </c>
      <c r="U1885" s="10">
        <f>IF(AND(ISNUMBER(M1885),ISNUMBER(N1885)),IF(N1885&gt;0,M1885/N1885,""),"")</f>
        <v/>
      </c>
      <c r="V1885" s="10">
        <f>IF(AND(ISNUMBER(M1885),ISNUMBER(O1885)),IF(O1885&gt;0,M1885/O1885,""),"")</f>
        <v/>
      </c>
      <c r="W1885" s="10">
        <f>IF(AND(ISNUMBER(M1885),ISNUMBER(R1885)),IF(R1885&gt;0,M1885/R1885,""),"")</f>
        <v/>
      </c>
      <c r="X1885" s="10">
        <f>IF(AND(ISNUMBER(Q1885),ISNUMBER(M1885)),IF(M1885&gt;0,Q1885/M1885,""),"")</f>
        <v/>
      </c>
      <c r="Y1885" s="11">
        <f>IF(ISNUMBER(Z1885),YEAR(Z1885),"")</f>
        <v/>
      </c>
      <c r="Z1885" s="12" t="n"/>
      <c r="AA1885" s="12" t="n"/>
      <c r="AI1885" s="12" t="n"/>
      <c r="AJ1885" s="13">
        <f>IF(LEN(TRIM(AF1885))=0,"",HYPERLINK("https://www.google.com/maps/@?api=1&amp;map_action=pano&amp;viewpoint="&amp;SUBSTITUTE(AF1885," ",""),"Abrir Street View"))</f>
        <v/>
      </c>
    </row>
    <row r="1886">
      <c r="H1886" s="6" t="n"/>
      <c r="I1886" s="6" t="n"/>
      <c r="M1886" s="7" t="n"/>
      <c r="N1886" s="7" t="n"/>
      <c r="O1886" s="7" t="n"/>
      <c r="Q1886" s="7" t="n"/>
      <c r="R1886" s="7" t="n"/>
      <c r="S1886" s="8">
        <f>IF(NOT(ISNUMBER(M1886)),"",IF(G1886="Terreno",IF(AND(ISNUMBER(I1886),I1886&gt;0),M1886/I1886,""),IF(AND(ISNUMBER(H1886),H1886&gt;0),M1886/H1886,"")))</f>
        <v/>
      </c>
      <c r="T1886" s="9">
        <f>IF(AND(ISNUMBER(M1886),ISNUMBER(O1886)),IF(M1886&lt;=O1886,"Valor ≤ venal IPTU",""),"")</f>
        <v/>
      </c>
      <c r="U1886" s="10">
        <f>IF(AND(ISNUMBER(M1886),ISNUMBER(N1886)),IF(N1886&gt;0,M1886/N1886,""),"")</f>
        <v/>
      </c>
      <c r="V1886" s="10">
        <f>IF(AND(ISNUMBER(M1886),ISNUMBER(O1886)),IF(O1886&gt;0,M1886/O1886,""),"")</f>
        <v/>
      </c>
      <c r="W1886" s="10">
        <f>IF(AND(ISNUMBER(M1886),ISNUMBER(R1886)),IF(R1886&gt;0,M1886/R1886,""),"")</f>
        <v/>
      </c>
      <c r="X1886" s="10">
        <f>IF(AND(ISNUMBER(Q1886),ISNUMBER(M1886)),IF(M1886&gt;0,Q1886/M1886,""),"")</f>
        <v/>
      </c>
      <c r="Y1886" s="11">
        <f>IF(ISNUMBER(Z1886),YEAR(Z1886),"")</f>
        <v/>
      </c>
      <c r="Z1886" s="12" t="n"/>
      <c r="AA1886" s="12" t="n"/>
      <c r="AI1886" s="12" t="n"/>
      <c r="AJ1886" s="13">
        <f>IF(LEN(TRIM(AF1886))=0,"",HYPERLINK("https://www.google.com/maps/@?api=1&amp;map_action=pano&amp;viewpoint="&amp;SUBSTITUTE(AF1886," ",""),"Abrir Street View"))</f>
        <v/>
      </c>
    </row>
    <row r="1887">
      <c r="H1887" s="6" t="n"/>
      <c r="I1887" s="6" t="n"/>
      <c r="M1887" s="7" t="n"/>
      <c r="N1887" s="7" t="n"/>
      <c r="O1887" s="7" t="n"/>
      <c r="Q1887" s="7" t="n"/>
      <c r="R1887" s="7" t="n"/>
      <c r="S1887" s="8">
        <f>IF(NOT(ISNUMBER(M1887)),"",IF(G1887="Terreno",IF(AND(ISNUMBER(I1887),I1887&gt;0),M1887/I1887,""),IF(AND(ISNUMBER(H1887),H1887&gt;0),M1887/H1887,"")))</f>
        <v/>
      </c>
      <c r="T1887" s="9">
        <f>IF(AND(ISNUMBER(M1887),ISNUMBER(O1887)),IF(M1887&lt;=O1887,"Valor ≤ venal IPTU",""),"")</f>
        <v/>
      </c>
      <c r="U1887" s="10">
        <f>IF(AND(ISNUMBER(M1887),ISNUMBER(N1887)),IF(N1887&gt;0,M1887/N1887,""),"")</f>
        <v/>
      </c>
      <c r="V1887" s="10">
        <f>IF(AND(ISNUMBER(M1887),ISNUMBER(O1887)),IF(O1887&gt;0,M1887/O1887,""),"")</f>
        <v/>
      </c>
      <c r="W1887" s="10">
        <f>IF(AND(ISNUMBER(M1887),ISNUMBER(R1887)),IF(R1887&gt;0,M1887/R1887,""),"")</f>
        <v/>
      </c>
      <c r="X1887" s="10">
        <f>IF(AND(ISNUMBER(Q1887),ISNUMBER(M1887)),IF(M1887&gt;0,Q1887/M1887,""),"")</f>
        <v/>
      </c>
      <c r="Y1887" s="11">
        <f>IF(ISNUMBER(Z1887),YEAR(Z1887),"")</f>
        <v/>
      </c>
      <c r="Z1887" s="12" t="n"/>
      <c r="AA1887" s="12" t="n"/>
      <c r="AI1887" s="12" t="n"/>
      <c r="AJ1887" s="13">
        <f>IF(LEN(TRIM(AF1887))=0,"",HYPERLINK("https://www.google.com/maps/@?api=1&amp;map_action=pano&amp;viewpoint="&amp;SUBSTITUTE(AF1887," ",""),"Abrir Street View"))</f>
        <v/>
      </c>
    </row>
    <row r="1888">
      <c r="H1888" s="6" t="n"/>
      <c r="I1888" s="6" t="n"/>
      <c r="M1888" s="7" t="n"/>
      <c r="N1888" s="7" t="n"/>
      <c r="O1888" s="7" t="n"/>
      <c r="Q1888" s="7" t="n"/>
      <c r="R1888" s="7" t="n"/>
      <c r="S1888" s="8">
        <f>IF(NOT(ISNUMBER(M1888)),"",IF(G1888="Terreno",IF(AND(ISNUMBER(I1888),I1888&gt;0),M1888/I1888,""),IF(AND(ISNUMBER(H1888),H1888&gt;0),M1888/H1888,"")))</f>
        <v/>
      </c>
      <c r="T1888" s="9">
        <f>IF(AND(ISNUMBER(M1888),ISNUMBER(O1888)),IF(M1888&lt;=O1888,"Valor ≤ venal IPTU",""),"")</f>
        <v/>
      </c>
      <c r="U1888" s="10">
        <f>IF(AND(ISNUMBER(M1888),ISNUMBER(N1888)),IF(N1888&gt;0,M1888/N1888,""),"")</f>
        <v/>
      </c>
      <c r="V1888" s="10">
        <f>IF(AND(ISNUMBER(M1888),ISNUMBER(O1888)),IF(O1888&gt;0,M1888/O1888,""),"")</f>
        <v/>
      </c>
      <c r="W1888" s="10">
        <f>IF(AND(ISNUMBER(M1888),ISNUMBER(R1888)),IF(R1888&gt;0,M1888/R1888,""),"")</f>
        <v/>
      </c>
      <c r="X1888" s="10">
        <f>IF(AND(ISNUMBER(Q1888),ISNUMBER(M1888)),IF(M1888&gt;0,Q1888/M1888,""),"")</f>
        <v/>
      </c>
      <c r="Y1888" s="11">
        <f>IF(ISNUMBER(Z1888),YEAR(Z1888),"")</f>
        <v/>
      </c>
      <c r="Z1888" s="12" t="n"/>
      <c r="AA1888" s="12" t="n"/>
      <c r="AI1888" s="12" t="n"/>
      <c r="AJ1888" s="13">
        <f>IF(LEN(TRIM(AF1888))=0,"",HYPERLINK("https://www.google.com/maps/@?api=1&amp;map_action=pano&amp;viewpoint="&amp;SUBSTITUTE(AF1888," ",""),"Abrir Street View"))</f>
        <v/>
      </c>
    </row>
    <row r="1889">
      <c r="H1889" s="6" t="n"/>
      <c r="I1889" s="6" t="n"/>
      <c r="M1889" s="7" t="n"/>
      <c r="N1889" s="7" t="n"/>
      <c r="O1889" s="7" t="n"/>
      <c r="Q1889" s="7" t="n"/>
      <c r="R1889" s="7" t="n"/>
      <c r="S1889" s="8">
        <f>IF(NOT(ISNUMBER(M1889)),"",IF(G1889="Terreno",IF(AND(ISNUMBER(I1889),I1889&gt;0),M1889/I1889,""),IF(AND(ISNUMBER(H1889),H1889&gt;0),M1889/H1889,"")))</f>
        <v/>
      </c>
      <c r="T1889" s="9">
        <f>IF(AND(ISNUMBER(M1889),ISNUMBER(O1889)),IF(M1889&lt;=O1889,"Valor ≤ venal IPTU",""),"")</f>
        <v/>
      </c>
      <c r="U1889" s="10">
        <f>IF(AND(ISNUMBER(M1889),ISNUMBER(N1889)),IF(N1889&gt;0,M1889/N1889,""),"")</f>
        <v/>
      </c>
      <c r="V1889" s="10">
        <f>IF(AND(ISNUMBER(M1889),ISNUMBER(O1889)),IF(O1889&gt;0,M1889/O1889,""),"")</f>
        <v/>
      </c>
      <c r="W1889" s="10">
        <f>IF(AND(ISNUMBER(M1889),ISNUMBER(R1889)),IF(R1889&gt;0,M1889/R1889,""),"")</f>
        <v/>
      </c>
      <c r="X1889" s="10">
        <f>IF(AND(ISNUMBER(Q1889),ISNUMBER(M1889)),IF(M1889&gt;0,Q1889/M1889,""),"")</f>
        <v/>
      </c>
      <c r="Y1889" s="11">
        <f>IF(ISNUMBER(Z1889),YEAR(Z1889),"")</f>
        <v/>
      </c>
      <c r="Z1889" s="12" t="n"/>
      <c r="AA1889" s="12" t="n"/>
      <c r="AI1889" s="12" t="n"/>
      <c r="AJ1889" s="13">
        <f>IF(LEN(TRIM(AF1889))=0,"",HYPERLINK("https://www.google.com/maps/@?api=1&amp;map_action=pano&amp;viewpoint="&amp;SUBSTITUTE(AF1889," ",""),"Abrir Street View"))</f>
        <v/>
      </c>
    </row>
    <row r="1890">
      <c r="H1890" s="6" t="n"/>
      <c r="I1890" s="6" t="n"/>
      <c r="M1890" s="7" t="n"/>
      <c r="N1890" s="7" t="n"/>
      <c r="O1890" s="7" t="n"/>
      <c r="Q1890" s="7" t="n"/>
      <c r="R1890" s="7" t="n"/>
      <c r="S1890" s="8">
        <f>IF(NOT(ISNUMBER(M1890)),"",IF(G1890="Terreno",IF(AND(ISNUMBER(I1890),I1890&gt;0),M1890/I1890,""),IF(AND(ISNUMBER(H1890),H1890&gt;0),M1890/H1890,"")))</f>
        <v/>
      </c>
      <c r="T1890" s="9">
        <f>IF(AND(ISNUMBER(M1890),ISNUMBER(O1890)),IF(M1890&lt;=O1890,"Valor ≤ venal IPTU",""),"")</f>
        <v/>
      </c>
      <c r="U1890" s="10">
        <f>IF(AND(ISNUMBER(M1890),ISNUMBER(N1890)),IF(N1890&gt;0,M1890/N1890,""),"")</f>
        <v/>
      </c>
      <c r="V1890" s="10">
        <f>IF(AND(ISNUMBER(M1890),ISNUMBER(O1890)),IF(O1890&gt;0,M1890/O1890,""),"")</f>
        <v/>
      </c>
      <c r="W1890" s="10">
        <f>IF(AND(ISNUMBER(M1890),ISNUMBER(R1890)),IF(R1890&gt;0,M1890/R1890,""),"")</f>
        <v/>
      </c>
      <c r="X1890" s="10">
        <f>IF(AND(ISNUMBER(Q1890),ISNUMBER(M1890)),IF(M1890&gt;0,Q1890/M1890,""),"")</f>
        <v/>
      </c>
      <c r="Y1890" s="11">
        <f>IF(ISNUMBER(Z1890),YEAR(Z1890),"")</f>
        <v/>
      </c>
      <c r="Z1890" s="12" t="n"/>
      <c r="AA1890" s="12" t="n"/>
      <c r="AI1890" s="12" t="n"/>
      <c r="AJ1890" s="13">
        <f>IF(LEN(TRIM(AF1890))=0,"",HYPERLINK("https://www.google.com/maps/@?api=1&amp;map_action=pano&amp;viewpoint="&amp;SUBSTITUTE(AF1890," ",""),"Abrir Street View"))</f>
        <v/>
      </c>
    </row>
    <row r="1891">
      <c r="H1891" s="6" t="n"/>
      <c r="I1891" s="6" t="n"/>
      <c r="M1891" s="7" t="n"/>
      <c r="N1891" s="7" t="n"/>
      <c r="O1891" s="7" t="n"/>
      <c r="Q1891" s="7" t="n"/>
      <c r="R1891" s="7" t="n"/>
      <c r="S1891" s="8">
        <f>IF(NOT(ISNUMBER(M1891)),"",IF(G1891="Terreno",IF(AND(ISNUMBER(I1891),I1891&gt;0),M1891/I1891,""),IF(AND(ISNUMBER(H1891),H1891&gt;0),M1891/H1891,"")))</f>
        <v/>
      </c>
      <c r="T1891" s="9">
        <f>IF(AND(ISNUMBER(M1891),ISNUMBER(O1891)),IF(M1891&lt;=O1891,"Valor ≤ venal IPTU",""),"")</f>
        <v/>
      </c>
      <c r="U1891" s="10">
        <f>IF(AND(ISNUMBER(M1891),ISNUMBER(N1891)),IF(N1891&gt;0,M1891/N1891,""),"")</f>
        <v/>
      </c>
      <c r="V1891" s="10">
        <f>IF(AND(ISNUMBER(M1891),ISNUMBER(O1891)),IF(O1891&gt;0,M1891/O1891,""),"")</f>
        <v/>
      </c>
      <c r="W1891" s="10">
        <f>IF(AND(ISNUMBER(M1891),ISNUMBER(R1891)),IF(R1891&gt;0,M1891/R1891,""),"")</f>
        <v/>
      </c>
      <c r="X1891" s="10">
        <f>IF(AND(ISNUMBER(Q1891),ISNUMBER(M1891)),IF(M1891&gt;0,Q1891/M1891,""),"")</f>
        <v/>
      </c>
      <c r="Y1891" s="11">
        <f>IF(ISNUMBER(Z1891),YEAR(Z1891),"")</f>
        <v/>
      </c>
      <c r="Z1891" s="12" t="n"/>
      <c r="AA1891" s="12" t="n"/>
      <c r="AI1891" s="12" t="n"/>
      <c r="AJ1891" s="13">
        <f>IF(LEN(TRIM(AF1891))=0,"",HYPERLINK("https://www.google.com/maps/@?api=1&amp;map_action=pano&amp;viewpoint="&amp;SUBSTITUTE(AF1891," ",""),"Abrir Street View"))</f>
        <v/>
      </c>
    </row>
    <row r="1892">
      <c r="H1892" s="6" t="n"/>
      <c r="I1892" s="6" t="n"/>
      <c r="M1892" s="7" t="n"/>
      <c r="N1892" s="7" t="n"/>
      <c r="O1892" s="7" t="n"/>
      <c r="Q1892" s="7" t="n"/>
      <c r="R1892" s="7" t="n"/>
      <c r="S1892" s="8">
        <f>IF(NOT(ISNUMBER(M1892)),"",IF(G1892="Terreno",IF(AND(ISNUMBER(I1892),I1892&gt;0),M1892/I1892,""),IF(AND(ISNUMBER(H1892),H1892&gt;0),M1892/H1892,"")))</f>
        <v/>
      </c>
      <c r="T1892" s="9">
        <f>IF(AND(ISNUMBER(M1892),ISNUMBER(O1892)),IF(M1892&lt;=O1892,"Valor ≤ venal IPTU",""),"")</f>
        <v/>
      </c>
      <c r="U1892" s="10">
        <f>IF(AND(ISNUMBER(M1892),ISNUMBER(N1892)),IF(N1892&gt;0,M1892/N1892,""),"")</f>
        <v/>
      </c>
      <c r="V1892" s="10">
        <f>IF(AND(ISNUMBER(M1892),ISNUMBER(O1892)),IF(O1892&gt;0,M1892/O1892,""),"")</f>
        <v/>
      </c>
      <c r="W1892" s="10">
        <f>IF(AND(ISNUMBER(M1892),ISNUMBER(R1892)),IF(R1892&gt;0,M1892/R1892,""),"")</f>
        <v/>
      </c>
      <c r="X1892" s="10">
        <f>IF(AND(ISNUMBER(Q1892),ISNUMBER(M1892)),IF(M1892&gt;0,Q1892/M1892,""),"")</f>
        <v/>
      </c>
      <c r="Y1892" s="11">
        <f>IF(ISNUMBER(Z1892),YEAR(Z1892),"")</f>
        <v/>
      </c>
      <c r="Z1892" s="12" t="n"/>
      <c r="AA1892" s="12" t="n"/>
      <c r="AI1892" s="12" t="n"/>
      <c r="AJ1892" s="13">
        <f>IF(LEN(TRIM(AF1892))=0,"",HYPERLINK("https://www.google.com/maps/@?api=1&amp;map_action=pano&amp;viewpoint="&amp;SUBSTITUTE(AF1892," ",""),"Abrir Street View"))</f>
        <v/>
      </c>
    </row>
    <row r="1893">
      <c r="H1893" s="6" t="n"/>
      <c r="I1893" s="6" t="n"/>
      <c r="M1893" s="7" t="n"/>
      <c r="N1893" s="7" t="n"/>
      <c r="O1893" s="7" t="n"/>
      <c r="Q1893" s="7" t="n"/>
      <c r="R1893" s="7" t="n"/>
      <c r="S1893" s="8">
        <f>IF(NOT(ISNUMBER(M1893)),"",IF(G1893="Terreno",IF(AND(ISNUMBER(I1893),I1893&gt;0),M1893/I1893,""),IF(AND(ISNUMBER(H1893),H1893&gt;0),M1893/H1893,"")))</f>
        <v/>
      </c>
      <c r="T1893" s="9">
        <f>IF(AND(ISNUMBER(M1893),ISNUMBER(O1893)),IF(M1893&lt;=O1893,"Valor ≤ venal IPTU",""),"")</f>
        <v/>
      </c>
      <c r="U1893" s="10">
        <f>IF(AND(ISNUMBER(M1893),ISNUMBER(N1893)),IF(N1893&gt;0,M1893/N1893,""),"")</f>
        <v/>
      </c>
      <c r="V1893" s="10">
        <f>IF(AND(ISNUMBER(M1893),ISNUMBER(O1893)),IF(O1893&gt;0,M1893/O1893,""),"")</f>
        <v/>
      </c>
      <c r="W1893" s="10">
        <f>IF(AND(ISNUMBER(M1893),ISNUMBER(R1893)),IF(R1893&gt;0,M1893/R1893,""),"")</f>
        <v/>
      </c>
      <c r="X1893" s="10">
        <f>IF(AND(ISNUMBER(Q1893),ISNUMBER(M1893)),IF(M1893&gt;0,Q1893/M1893,""),"")</f>
        <v/>
      </c>
      <c r="Y1893" s="11">
        <f>IF(ISNUMBER(Z1893),YEAR(Z1893),"")</f>
        <v/>
      </c>
      <c r="Z1893" s="12" t="n"/>
      <c r="AA1893" s="12" t="n"/>
      <c r="AI1893" s="12" t="n"/>
      <c r="AJ1893" s="13">
        <f>IF(LEN(TRIM(AF1893))=0,"",HYPERLINK("https://www.google.com/maps/@?api=1&amp;map_action=pano&amp;viewpoint="&amp;SUBSTITUTE(AF1893," ",""),"Abrir Street View"))</f>
        <v/>
      </c>
    </row>
    <row r="1894">
      <c r="H1894" s="6" t="n"/>
      <c r="I1894" s="6" t="n"/>
      <c r="M1894" s="7" t="n"/>
      <c r="N1894" s="7" t="n"/>
      <c r="O1894" s="7" t="n"/>
      <c r="Q1894" s="7" t="n"/>
      <c r="R1894" s="7" t="n"/>
      <c r="S1894" s="8">
        <f>IF(NOT(ISNUMBER(M1894)),"",IF(G1894="Terreno",IF(AND(ISNUMBER(I1894),I1894&gt;0),M1894/I1894,""),IF(AND(ISNUMBER(H1894),H1894&gt;0),M1894/H1894,"")))</f>
        <v/>
      </c>
      <c r="T1894" s="9">
        <f>IF(AND(ISNUMBER(M1894),ISNUMBER(O1894)),IF(M1894&lt;=O1894,"Valor ≤ venal IPTU",""),"")</f>
        <v/>
      </c>
      <c r="U1894" s="10">
        <f>IF(AND(ISNUMBER(M1894),ISNUMBER(N1894)),IF(N1894&gt;0,M1894/N1894,""),"")</f>
        <v/>
      </c>
      <c r="V1894" s="10">
        <f>IF(AND(ISNUMBER(M1894),ISNUMBER(O1894)),IF(O1894&gt;0,M1894/O1894,""),"")</f>
        <v/>
      </c>
      <c r="W1894" s="10">
        <f>IF(AND(ISNUMBER(M1894),ISNUMBER(R1894)),IF(R1894&gt;0,M1894/R1894,""),"")</f>
        <v/>
      </c>
      <c r="X1894" s="10">
        <f>IF(AND(ISNUMBER(Q1894),ISNUMBER(M1894)),IF(M1894&gt;0,Q1894/M1894,""),"")</f>
        <v/>
      </c>
      <c r="Y1894" s="11">
        <f>IF(ISNUMBER(Z1894),YEAR(Z1894),"")</f>
        <v/>
      </c>
      <c r="Z1894" s="12" t="n"/>
      <c r="AA1894" s="12" t="n"/>
      <c r="AI1894" s="12" t="n"/>
      <c r="AJ1894" s="13">
        <f>IF(LEN(TRIM(AF1894))=0,"",HYPERLINK("https://www.google.com/maps/@?api=1&amp;map_action=pano&amp;viewpoint="&amp;SUBSTITUTE(AF1894," ",""),"Abrir Street View"))</f>
        <v/>
      </c>
    </row>
    <row r="1895">
      <c r="H1895" s="6" t="n"/>
      <c r="I1895" s="6" t="n"/>
      <c r="M1895" s="7" t="n"/>
      <c r="N1895" s="7" t="n"/>
      <c r="O1895" s="7" t="n"/>
      <c r="Q1895" s="7" t="n"/>
      <c r="R1895" s="7" t="n"/>
      <c r="S1895" s="8">
        <f>IF(NOT(ISNUMBER(M1895)),"",IF(G1895="Terreno",IF(AND(ISNUMBER(I1895),I1895&gt;0),M1895/I1895,""),IF(AND(ISNUMBER(H1895),H1895&gt;0),M1895/H1895,"")))</f>
        <v/>
      </c>
      <c r="T1895" s="9">
        <f>IF(AND(ISNUMBER(M1895),ISNUMBER(O1895)),IF(M1895&lt;=O1895,"Valor ≤ venal IPTU",""),"")</f>
        <v/>
      </c>
      <c r="U1895" s="10">
        <f>IF(AND(ISNUMBER(M1895),ISNUMBER(N1895)),IF(N1895&gt;0,M1895/N1895,""),"")</f>
        <v/>
      </c>
      <c r="V1895" s="10">
        <f>IF(AND(ISNUMBER(M1895),ISNUMBER(O1895)),IF(O1895&gt;0,M1895/O1895,""),"")</f>
        <v/>
      </c>
      <c r="W1895" s="10">
        <f>IF(AND(ISNUMBER(M1895),ISNUMBER(R1895)),IF(R1895&gt;0,M1895/R1895,""),"")</f>
        <v/>
      </c>
      <c r="X1895" s="10">
        <f>IF(AND(ISNUMBER(Q1895),ISNUMBER(M1895)),IF(M1895&gt;0,Q1895/M1895,""),"")</f>
        <v/>
      </c>
      <c r="Y1895" s="11">
        <f>IF(ISNUMBER(Z1895),YEAR(Z1895),"")</f>
        <v/>
      </c>
      <c r="Z1895" s="12" t="n"/>
      <c r="AA1895" s="12" t="n"/>
      <c r="AI1895" s="12" t="n"/>
      <c r="AJ1895" s="13">
        <f>IF(LEN(TRIM(AF1895))=0,"",HYPERLINK("https://www.google.com/maps/@?api=1&amp;map_action=pano&amp;viewpoint="&amp;SUBSTITUTE(AF1895," ",""),"Abrir Street View"))</f>
        <v/>
      </c>
    </row>
    <row r="1896">
      <c r="H1896" s="6" t="n"/>
      <c r="I1896" s="6" t="n"/>
      <c r="M1896" s="7" t="n"/>
      <c r="N1896" s="7" t="n"/>
      <c r="O1896" s="7" t="n"/>
      <c r="Q1896" s="7" t="n"/>
      <c r="R1896" s="7" t="n"/>
      <c r="S1896" s="8">
        <f>IF(NOT(ISNUMBER(M1896)),"",IF(G1896="Terreno",IF(AND(ISNUMBER(I1896),I1896&gt;0),M1896/I1896,""),IF(AND(ISNUMBER(H1896),H1896&gt;0),M1896/H1896,"")))</f>
        <v/>
      </c>
      <c r="T1896" s="9">
        <f>IF(AND(ISNUMBER(M1896),ISNUMBER(O1896)),IF(M1896&lt;=O1896,"Valor ≤ venal IPTU",""),"")</f>
        <v/>
      </c>
      <c r="U1896" s="10">
        <f>IF(AND(ISNUMBER(M1896),ISNUMBER(N1896)),IF(N1896&gt;0,M1896/N1896,""),"")</f>
        <v/>
      </c>
      <c r="V1896" s="10">
        <f>IF(AND(ISNUMBER(M1896),ISNUMBER(O1896)),IF(O1896&gt;0,M1896/O1896,""),"")</f>
        <v/>
      </c>
      <c r="W1896" s="10">
        <f>IF(AND(ISNUMBER(M1896),ISNUMBER(R1896)),IF(R1896&gt;0,M1896/R1896,""),"")</f>
        <v/>
      </c>
      <c r="X1896" s="10">
        <f>IF(AND(ISNUMBER(Q1896),ISNUMBER(M1896)),IF(M1896&gt;0,Q1896/M1896,""),"")</f>
        <v/>
      </c>
      <c r="Y1896" s="11">
        <f>IF(ISNUMBER(Z1896),YEAR(Z1896),"")</f>
        <v/>
      </c>
      <c r="Z1896" s="12" t="n"/>
      <c r="AA1896" s="12" t="n"/>
      <c r="AI1896" s="12" t="n"/>
      <c r="AJ1896" s="13">
        <f>IF(LEN(TRIM(AF1896))=0,"",HYPERLINK("https://www.google.com/maps/@?api=1&amp;map_action=pano&amp;viewpoint="&amp;SUBSTITUTE(AF1896," ",""),"Abrir Street View"))</f>
        <v/>
      </c>
    </row>
    <row r="1897">
      <c r="H1897" s="6" t="n"/>
      <c r="I1897" s="6" t="n"/>
      <c r="M1897" s="7" t="n"/>
      <c r="N1897" s="7" t="n"/>
      <c r="O1897" s="7" t="n"/>
      <c r="Q1897" s="7" t="n"/>
      <c r="R1897" s="7" t="n"/>
      <c r="S1897" s="8">
        <f>IF(NOT(ISNUMBER(M1897)),"",IF(G1897="Terreno",IF(AND(ISNUMBER(I1897),I1897&gt;0),M1897/I1897,""),IF(AND(ISNUMBER(H1897),H1897&gt;0),M1897/H1897,"")))</f>
        <v/>
      </c>
      <c r="T1897" s="9">
        <f>IF(AND(ISNUMBER(M1897),ISNUMBER(O1897)),IF(M1897&lt;=O1897,"Valor ≤ venal IPTU",""),"")</f>
        <v/>
      </c>
      <c r="U1897" s="10">
        <f>IF(AND(ISNUMBER(M1897),ISNUMBER(N1897)),IF(N1897&gt;0,M1897/N1897,""),"")</f>
        <v/>
      </c>
      <c r="V1897" s="10">
        <f>IF(AND(ISNUMBER(M1897),ISNUMBER(O1897)),IF(O1897&gt;0,M1897/O1897,""),"")</f>
        <v/>
      </c>
      <c r="W1897" s="10">
        <f>IF(AND(ISNUMBER(M1897),ISNUMBER(R1897)),IF(R1897&gt;0,M1897/R1897,""),"")</f>
        <v/>
      </c>
      <c r="X1897" s="10">
        <f>IF(AND(ISNUMBER(Q1897),ISNUMBER(M1897)),IF(M1897&gt;0,Q1897/M1897,""),"")</f>
        <v/>
      </c>
      <c r="Y1897" s="11">
        <f>IF(ISNUMBER(Z1897),YEAR(Z1897),"")</f>
        <v/>
      </c>
      <c r="Z1897" s="12" t="n"/>
      <c r="AA1897" s="12" t="n"/>
      <c r="AI1897" s="12" t="n"/>
      <c r="AJ1897" s="13">
        <f>IF(LEN(TRIM(AF1897))=0,"",HYPERLINK("https://www.google.com/maps/@?api=1&amp;map_action=pano&amp;viewpoint="&amp;SUBSTITUTE(AF1897," ",""),"Abrir Street View"))</f>
        <v/>
      </c>
    </row>
    <row r="1898">
      <c r="H1898" s="6" t="n"/>
      <c r="I1898" s="6" t="n"/>
      <c r="M1898" s="7" t="n"/>
      <c r="N1898" s="7" t="n"/>
      <c r="O1898" s="7" t="n"/>
      <c r="Q1898" s="7" t="n"/>
      <c r="R1898" s="7" t="n"/>
      <c r="S1898" s="8">
        <f>IF(NOT(ISNUMBER(M1898)),"",IF(G1898="Terreno",IF(AND(ISNUMBER(I1898),I1898&gt;0),M1898/I1898,""),IF(AND(ISNUMBER(H1898),H1898&gt;0),M1898/H1898,"")))</f>
        <v/>
      </c>
      <c r="T1898" s="9">
        <f>IF(AND(ISNUMBER(M1898),ISNUMBER(O1898)),IF(M1898&lt;=O1898,"Valor ≤ venal IPTU",""),"")</f>
        <v/>
      </c>
      <c r="U1898" s="10">
        <f>IF(AND(ISNUMBER(M1898),ISNUMBER(N1898)),IF(N1898&gt;0,M1898/N1898,""),"")</f>
        <v/>
      </c>
      <c r="V1898" s="10">
        <f>IF(AND(ISNUMBER(M1898),ISNUMBER(O1898)),IF(O1898&gt;0,M1898/O1898,""),"")</f>
        <v/>
      </c>
      <c r="W1898" s="10">
        <f>IF(AND(ISNUMBER(M1898),ISNUMBER(R1898)),IF(R1898&gt;0,M1898/R1898,""),"")</f>
        <v/>
      </c>
      <c r="X1898" s="10">
        <f>IF(AND(ISNUMBER(Q1898),ISNUMBER(M1898)),IF(M1898&gt;0,Q1898/M1898,""),"")</f>
        <v/>
      </c>
      <c r="Y1898" s="11">
        <f>IF(ISNUMBER(Z1898),YEAR(Z1898),"")</f>
        <v/>
      </c>
      <c r="Z1898" s="12" t="n"/>
      <c r="AA1898" s="12" t="n"/>
      <c r="AI1898" s="12" t="n"/>
      <c r="AJ1898" s="13">
        <f>IF(LEN(TRIM(AF1898))=0,"",HYPERLINK("https://www.google.com/maps/@?api=1&amp;map_action=pano&amp;viewpoint="&amp;SUBSTITUTE(AF1898," ",""),"Abrir Street View"))</f>
        <v/>
      </c>
    </row>
    <row r="1899">
      <c r="H1899" s="6" t="n"/>
      <c r="I1899" s="6" t="n"/>
      <c r="M1899" s="7" t="n"/>
      <c r="N1899" s="7" t="n"/>
      <c r="O1899" s="7" t="n"/>
      <c r="Q1899" s="7" t="n"/>
      <c r="R1899" s="7" t="n"/>
      <c r="S1899" s="8">
        <f>IF(NOT(ISNUMBER(M1899)),"",IF(G1899="Terreno",IF(AND(ISNUMBER(I1899),I1899&gt;0),M1899/I1899,""),IF(AND(ISNUMBER(H1899),H1899&gt;0),M1899/H1899,"")))</f>
        <v/>
      </c>
      <c r="T1899" s="9">
        <f>IF(AND(ISNUMBER(M1899),ISNUMBER(O1899)),IF(M1899&lt;=O1899,"Valor ≤ venal IPTU",""),"")</f>
        <v/>
      </c>
      <c r="U1899" s="10">
        <f>IF(AND(ISNUMBER(M1899),ISNUMBER(N1899)),IF(N1899&gt;0,M1899/N1899,""),"")</f>
        <v/>
      </c>
      <c r="V1899" s="10">
        <f>IF(AND(ISNUMBER(M1899),ISNUMBER(O1899)),IF(O1899&gt;0,M1899/O1899,""),"")</f>
        <v/>
      </c>
      <c r="W1899" s="10">
        <f>IF(AND(ISNUMBER(M1899),ISNUMBER(R1899)),IF(R1899&gt;0,M1899/R1899,""),"")</f>
        <v/>
      </c>
      <c r="X1899" s="10">
        <f>IF(AND(ISNUMBER(Q1899),ISNUMBER(M1899)),IF(M1899&gt;0,Q1899/M1899,""),"")</f>
        <v/>
      </c>
      <c r="Y1899" s="11">
        <f>IF(ISNUMBER(Z1899),YEAR(Z1899),"")</f>
        <v/>
      </c>
      <c r="Z1899" s="12" t="n"/>
      <c r="AA1899" s="12" t="n"/>
      <c r="AI1899" s="12" t="n"/>
      <c r="AJ1899" s="13">
        <f>IF(LEN(TRIM(AF1899))=0,"",HYPERLINK("https://www.google.com/maps/@?api=1&amp;map_action=pano&amp;viewpoint="&amp;SUBSTITUTE(AF1899," ",""),"Abrir Street View"))</f>
        <v/>
      </c>
    </row>
    <row r="1900">
      <c r="H1900" s="6" t="n"/>
      <c r="I1900" s="6" t="n"/>
      <c r="M1900" s="7" t="n"/>
      <c r="N1900" s="7" t="n"/>
      <c r="O1900" s="7" t="n"/>
      <c r="Q1900" s="7" t="n"/>
      <c r="R1900" s="7" t="n"/>
      <c r="S1900" s="8">
        <f>IF(NOT(ISNUMBER(M1900)),"",IF(G1900="Terreno",IF(AND(ISNUMBER(I1900),I1900&gt;0),M1900/I1900,""),IF(AND(ISNUMBER(H1900),H1900&gt;0),M1900/H1900,"")))</f>
        <v/>
      </c>
      <c r="T1900" s="9">
        <f>IF(AND(ISNUMBER(M1900),ISNUMBER(O1900)),IF(M1900&lt;=O1900,"Valor ≤ venal IPTU",""),"")</f>
        <v/>
      </c>
      <c r="U1900" s="10">
        <f>IF(AND(ISNUMBER(M1900),ISNUMBER(N1900)),IF(N1900&gt;0,M1900/N1900,""),"")</f>
        <v/>
      </c>
      <c r="V1900" s="10">
        <f>IF(AND(ISNUMBER(M1900),ISNUMBER(O1900)),IF(O1900&gt;0,M1900/O1900,""),"")</f>
        <v/>
      </c>
      <c r="W1900" s="10">
        <f>IF(AND(ISNUMBER(M1900),ISNUMBER(R1900)),IF(R1900&gt;0,M1900/R1900,""),"")</f>
        <v/>
      </c>
      <c r="X1900" s="10">
        <f>IF(AND(ISNUMBER(Q1900),ISNUMBER(M1900)),IF(M1900&gt;0,Q1900/M1900,""),"")</f>
        <v/>
      </c>
      <c r="Y1900" s="11">
        <f>IF(ISNUMBER(Z1900),YEAR(Z1900),"")</f>
        <v/>
      </c>
      <c r="Z1900" s="12" t="n"/>
      <c r="AA1900" s="12" t="n"/>
      <c r="AI1900" s="12" t="n"/>
      <c r="AJ1900" s="13">
        <f>IF(LEN(TRIM(AF1900))=0,"",HYPERLINK("https://www.google.com/maps/@?api=1&amp;map_action=pano&amp;viewpoint="&amp;SUBSTITUTE(AF1900," ",""),"Abrir Street View"))</f>
        <v/>
      </c>
    </row>
    <row r="1901">
      <c r="H1901" s="6" t="n"/>
      <c r="I1901" s="6" t="n"/>
      <c r="M1901" s="7" t="n"/>
      <c r="N1901" s="7" t="n"/>
      <c r="O1901" s="7" t="n"/>
      <c r="Q1901" s="7" t="n"/>
      <c r="R1901" s="7" t="n"/>
      <c r="S1901" s="8">
        <f>IF(NOT(ISNUMBER(M1901)),"",IF(G1901="Terreno",IF(AND(ISNUMBER(I1901),I1901&gt;0),M1901/I1901,""),IF(AND(ISNUMBER(H1901),H1901&gt;0),M1901/H1901,"")))</f>
        <v/>
      </c>
      <c r="T1901" s="9">
        <f>IF(AND(ISNUMBER(M1901),ISNUMBER(O1901)),IF(M1901&lt;=O1901,"Valor ≤ venal IPTU",""),"")</f>
        <v/>
      </c>
      <c r="U1901" s="10">
        <f>IF(AND(ISNUMBER(M1901),ISNUMBER(N1901)),IF(N1901&gt;0,M1901/N1901,""),"")</f>
        <v/>
      </c>
      <c r="V1901" s="10">
        <f>IF(AND(ISNUMBER(M1901),ISNUMBER(O1901)),IF(O1901&gt;0,M1901/O1901,""),"")</f>
        <v/>
      </c>
      <c r="W1901" s="10">
        <f>IF(AND(ISNUMBER(M1901),ISNUMBER(R1901)),IF(R1901&gt;0,M1901/R1901,""),"")</f>
        <v/>
      </c>
      <c r="X1901" s="10">
        <f>IF(AND(ISNUMBER(Q1901),ISNUMBER(M1901)),IF(M1901&gt;0,Q1901/M1901,""),"")</f>
        <v/>
      </c>
      <c r="Y1901" s="11">
        <f>IF(ISNUMBER(Z1901),YEAR(Z1901),"")</f>
        <v/>
      </c>
      <c r="Z1901" s="12" t="n"/>
      <c r="AA1901" s="12" t="n"/>
      <c r="AI1901" s="12" t="n"/>
      <c r="AJ1901" s="13">
        <f>IF(LEN(TRIM(AF1901))=0,"",HYPERLINK("https://www.google.com/maps/@?api=1&amp;map_action=pano&amp;viewpoint="&amp;SUBSTITUTE(AF1901," ",""),"Abrir Street View"))</f>
        <v/>
      </c>
    </row>
    <row r="1902">
      <c r="H1902" s="6" t="n"/>
      <c r="I1902" s="6" t="n"/>
      <c r="M1902" s="7" t="n"/>
      <c r="N1902" s="7" t="n"/>
      <c r="O1902" s="7" t="n"/>
      <c r="Q1902" s="7" t="n"/>
      <c r="R1902" s="7" t="n"/>
      <c r="S1902" s="8">
        <f>IF(NOT(ISNUMBER(M1902)),"",IF(G1902="Terreno",IF(AND(ISNUMBER(I1902),I1902&gt;0),M1902/I1902,""),IF(AND(ISNUMBER(H1902),H1902&gt;0),M1902/H1902,"")))</f>
        <v/>
      </c>
      <c r="T1902" s="9">
        <f>IF(AND(ISNUMBER(M1902),ISNUMBER(O1902)),IF(M1902&lt;=O1902,"Valor ≤ venal IPTU",""),"")</f>
        <v/>
      </c>
      <c r="U1902" s="10">
        <f>IF(AND(ISNUMBER(M1902),ISNUMBER(N1902)),IF(N1902&gt;0,M1902/N1902,""),"")</f>
        <v/>
      </c>
      <c r="V1902" s="10">
        <f>IF(AND(ISNUMBER(M1902),ISNUMBER(O1902)),IF(O1902&gt;0,M1902/O1902,""),"")</f>
        <v/>
      </c>
      <c r="W1902" s="10">
        <f>IF(AND(ISNUMBER(M1902),ISNUMBER(R1902)),IF(R1902&gt;0,M1902/R1902,""),"")</f>
        <v/>
      </c>
      <c r="X1902" s="10">
        <f>IF(AND(ISNUMBER(Q1902),ISNUMBER(M1902)),IF(M1902&gt;0,Q1902/M1902,""),"")</f>
        <v/>
      </c>
      <c r="Y1902" s="11">
        <f>IF(ISNUMBER(Z1902),YEAR(Z1902),"")</f>
        <v/>
      </c>
      <c r="Z1902" s="12" t="n"/>
      <c r="AA1902" s="12" t="n"/>
      <c r="AI1902" s="12" t="n"/>
      <c r="AJ1902" s="13">
        <f>IF(LEN(TRIM(AF1902))=0,"",HYPERLINK("https://www.google.com/maps/@?api=1&amp;map_action=pano&amp;viewpoint="&amp;SUBSTITUTE(AF1902," ",""),"Abrir Street View"))</f>
        <v/>
      </c>
    </row>
    <row r="1903">
      <c r="H1903" s="6" t="n"/>
      <c r="I1903" s="6" t="n"/>
      <c r="M1903" s="7" t="n"/>
      <c r="N1903" s="7" t="n"/>
      <c r="O1903" s="7" t="n"/>
      <c r="Q1903" s="7" t="n"/>
      <c r="R1903" s="7" t="n"/>
      <c r="S1903" s="8">
        <f>IF(NOT(ISNUMBER(M1903)),"",IF(G1903="Terreno",IF(AND(ISNUMBER(I1903),I1903&gt;0),M1903/I1903,""),IF(AND(ISNUMBER(H1903),H1903&gt;0),M1903/H1903,"")))</f>
        <v/>
      </c>
      <c r="T1903" s="9">
        <f>IF(AND(ISNUMBER(M1903),ISNUMBER(O1903)),IF(M1903&lt;=O1903,"Valor ≤ venal IPTU",""),"")</f>
        <v/>
      </c>
      <c r="U1903" s="10">
        <f>IF(AND(ISNUMBER(M1903),ISNUMBER(N1903)),IF(N1903&gt;0,M1903/N1903,""),"")</f>
        <v/>
      </c>
      <c r="V1903" s="10">
        <f>IF(AND(ISNUMBER(M1903),ISNUMBER(O1903)),IF(O1903&gt;0,M1903/O1903,""),"")</f>
        <v/>
      </c>
      <c r="W1903" s="10">
        <f>IF(AND(ISNUMBER(M1903),ISNUMBER(R1903)),IF(R1903&gt;0,M1903/R1903,""),"")</f>
        <v/>
      </c>
      <c r="X1903" s="10">
        <f>IF(AND(ISNUMBER(Q1903),ISNUMBER(M1903)),IF(M1903&gt;0,Q1903/M1903,""),"")</f>
        <v/>
      </c>
      <c r="Y1903" s="11">
        <f>IF(ISNUMBER(Z1903),YEAR(Z1903),"")</f>
        <v/>
      </c>
      <c r="Z1903" s="12" t="n"/>
      <c r="AA1903" s="12" t="n"/>
      <c r="AI1903" s="12" t="n"/>
      <c r="AJ1903" s="13">
        <f>IF(LEN(TRIM(AF1903))=0,"",HYPERLINK("https://www.google.com/maps/@?api=1&amp;map_action=pano&amp;viewpoint="&amp;SUBSTITUTE(AF1903," ",""),"Abrir Street View"))</f>
        <v/>
      </c>
    </row>
    <row r="1904">
      <c r="H1904" s="6" t="n"/>
      <c r="I1904" s="6" t="n"/>
      <c r="M1904" s="7" t="n"/>
      <c r="N1904" s="7" t="n"/>
      <c r="O1904" s="7" t="n"/>
      <c r="Q1904" s="7" t="n"/>
      <c r="R1904" s="7" t="n"/>
      <c r="S1904" s="8">
        <f>IF(NOT(ISNUMBER(M1904)),"",IF(G1904="Terreno",IF(AND(ISNUMBER(I1904),I1904&gt;0),M1904/I1904,""),IF(AND(ISNUMBER(H1904),H1904&gt;0),M1904/H1904,"")))</f>
        <v/>
      </c>
      <c r="T1904" s="9">
        <f>IF(AND(ISNUMBER(M1904),ISNUMBER(O1904)),IF(M1904&lt;=O1904,"Valor ≤ venal IPTU",""),"")</f>
        <v/>
      </c>
      <c r="U1904" s="10">
        <f>IF(AND(ISNUMBER(M1904),ISNUMBER(N1904)),IF(N1904&gt;0,M1904/N1904,""),"")</f>
        <v/>
      </c>
      <c r="V1904" s="10">
        <f>IF(AND(ISNUMBER(M1904),ISNUMBER(O1904)),IF(O1904&gt;0,M1904/O1904,""),"")</f>
        <v/>
      </c>
      <c r="W1904" s="10">
        <f>IF(AND(ISNUMBER(M1904),ISNUMBER(R1904)),IF(R1904&gt;0,M1904/R1904,""),"")</f>
        <v/>
      </c>
      <c r="X1904" s="10">
        <f>IF(AND(ISNUMBER(Q1904),ISNUMBER(M1904)),IF(M1904&gt;0,Q1904/M1904,""),"")</f>
        <v/>
      </c>
      <c r="Y1904" s="11">
        <f>IF(ISNUMBER(Z1904),YEAR(Z1904),"")</f>
        <v/>
      </c>
      <c r="Z1904" s="12" t="n"/>
      <c r="AA1904" s="12" t="n"/>
      <c r="AI1904" s="12" t="n"/>
      <c r="AJ1904" s="13">
        <f>IF(LEN(TRIM(AF1904))=0,"",HYPERLINK("https://www.google.com/maps/@?api=1&amp;map_action=pano&amp;viewpoint="&amp;SUBSTITUTE(AF1904," ",""),"Abrir Street View"))</f>
        <v/>
      </c>
    </row>
    <row r="1905">
      <c r="H1905" s="6" t="n"/>
      <c r="I1905" s="6" t="n"/>
      <c r="M1905" s="7" t="n"/>
      <c r="N1905" s="7" t="n"/>
      <c r="O1905" s="7" t="n"/>
      <c r="Q1905" s="7" t="n"/>
      <c r="R1905" s="7" t="n"/>
      <c r="S1905" s="8">
        <f>IF(NOT(ISNUMBER(M1905)),"",IF(G1905="Terreno",IF(AND(ISNUMBER(I1905),I1905&gt;0),M1905/I1905,""),IF(AND(ISNUMBER(H1905),H1905&gt;0),M1905/H1905,"")))</f>
        <v/>
      </c>
      <c r="T1905" s="9">
        <f>IF(AND(ISNUMBER(M1905),ISNUMBER(O1905)),IF(M1905&lt;=O1905,"Valor ≤ venal IPTU",""),"")</f>
        <v/>
      </c>
      <c r="U1905" s="10">
        <f>IF(AND(ISNUMBER(M1905),ISNUMBER(N1905)),IF(N1905&gt;0,M1905/N1905,""),"")</f>
        <v/>
      </c>
      <c r="V1905" s="10">
        <f>IF(AND(ISNUMBER(M1905),ISNUMBER(O1905)),IF(O1905&gt;0,M1905/O1905,""),"")</f>
        <v/>
      </c>
      <c r="W1905" s="10">
        <f>IF(AND(ISNUMBER(M1905),ISNUMBER(R1905)),IF(R1905&gt;0,M1905/R1905,""),"")</f>
        <v/>
      </c>
      <c r="X1905" s="10">
        <f>IF(AND(ISNUMBER(Q1905),ISNUMBER(M1905)),IF(M1905&gt;0,Q1905/M1905,""),"")</f>
        <v/>
      </c>
      <c r="Y1905" s="11">
        <f>IF(ISNUMBER(Z1905),YEAR(Z1905),"")</f>
        <v/>
      </c>
      <c r="Z1905" s="12" t="n"/>
      <c r="AA1905" s="12" t="n"/>
      <c r="AI1905" s="12" t="n"/>
      <c r="AJ1905" s="13">
        <f>IF(LEN(TRIM(AF1905))=0,"",HYPERLINK("https://www.google.com/maps/@?api=1&amp;map_action=pano&amp;viewpoint="&amp;SUBSTITUTE(AF1905," ",""),"Abrir Street View"))</f>
        <v/>
      </c>
    </row>
    <row r="1906">
      <c r="H1906" s="6" t="n"/>
      <c r="I1906" s="6" t="n"/>
      <c r="M1906" s="7" t="n"/>
      <c r="N1906" s="7" t="n"/>
      <c r="O1906" s="7" t="n"/>
      <c r="Q1906" s="7" t="n"/>
      <c r="R1906" s="7" t="n"/>
      <c r="S1906" s="8">
        <f>IF(NOT(ISNUMBER(M1906)),"",IF(G1906="Terreno",IF(AND(ISNUMBER(I1906),I1906&gt;0),M1906/I1906,""),IF(AND(ISNUMBER(H1906),H1906&gt;0),M1906/H1906,"")))</f>
        <v/>
      </c>
      <c r="T1906" s="9">
        <f>IF(AND(ISNUMBER(M1906),ISNUMBER(O1906)),IF(M1906&lt;=O1906,"Valor ≤ venal IPTU",""),"")</f>
        <v/>
      </c>
      <c r="U1906" s="10">
        <f>IF(AND(ISNUMBER(M1906),ISNUMBER(N1906)),IF(N1906&gt;0,M1906/N1906,""),"")</f>
        <v/>
      </c>
      <c r="V1906" s="10">
        <f>IF(AND(ISNUMBER(M1906),ISNUMBER(O1906)),IF(O1906&gt;0,M1906/O1906,""),"")</f>
        <v/>
      </c>
      <c r="W1906" s="10">
        <f>IF(AND(ISNUMBER(M1906),ISNUMBER(R1906)),IF(R1906&gt;0,M1906/R1906,""),"")</f>
        <v/>
      </c>
      <c r="X1906" s="10">
        <f>IF(AND(ISNUMBER(Q1906),ISNUMBER(M1906)),IF(M1906&gt;0,Q1906/M1906,""),"")</f>
        <v/>
      </c>
      <c r="Y1906" s="11">
        <f>IF(ISNUMBER(Z1906),YEAR(Z1906),"")</f>
        <v/>
      </c>
      <c r="Z1906" s="12" t="n"/>
      <c r="AA1906" s="12" t="n"/>
      <c r="AI1906" s="12" t="n"/>
      <c r="AJ1906" s="13">
        <f>IF(LEN(TRIM(AF1906))=0,"",HYPERLINK("https://www.google.com/maps/@?api=1&amp;map_action=pano&amp;viewpoint="&amp;SUBSTITUTE(AF1906," ",""),"Abrir Street View"))</f>
        <v/>
      </c>
    </row>
    <row r="1907">
      <c r="H1907" s="6" t="n"/>
      <c r="I1907" s="6" t="n"/>
      <c r="M1907" s="7" t="n"/>
      <c r="N1907" s="7" t="n"/>
      <c r="O1907" s="7" t="n"/>
      <c r="Q1907" s="7" t="n"/>
      <c r="R1907" s="7" t="n"/>
      <c r="S1907" s="8">
        <f>IF(NOT(ISNUMBER(M1907)),"",IF(G1907="Terreno",IF(AND(ISNUMBER(I1907),I1907&gt;0),M1907/I1907,""),IF(AND(ISNUMBER(H1907),H1907&gt;0),M1907/H1907,"")))</f>
        <v/>
      </c>
      <c r="T1907" s="9">
        <f>IF(AND(ISNUMBER(M1907),ISNUMBER(O1907)),IF(M1907&lt;=O1907,"Valor ≤ venal IPTU",""),"")</f>
        <v/>
      </c>
      <c r="U1907" s="10">
        <f>IF(AND(ISNUMBER(M1907),ISNUMBER(N1907)),IF(N1907&gt;0,M1907/N1907,""),"")</f>
        <v/>
      </c>
      <c r="V1907" s="10">
        <f>IF(AND(ISNUMBER(M1907),ISNUMBER(O1907)),IF(O1907&gt;0,M1907/O1907,""),"")</f>
        <v/>
      </c>
      <c r="W1907" s="10">
        <f>IF(AND(ISNUMBER(M1907),ISNUMBER(R1907)),IF(R1907&gt;0,M1907/R1907,""),"")</f>
        <v/>
      </c>
      <c r="X1907" s="10">
        <f>IF(AND(ISNUMBER(Q1907),ISNUMBER(M1907)),IF(M1907&gt;0,Q1907/M1907,""),"")</f>
        <v/>
      </c>
      <c r="Y1907" s="11">
        <f>IF(ISNUMBER(Z1907),YEAR(Z1907),"")</f>
        <v/>
      </c>
      <c r="Z1907" s="12" t="n"/>
      <c r="AA1907" s="12" t="n"/>
      <c r="AI1907" s="12" t="n"/>
      <c r="AJ1907" s="13">
        <f>IF(LEN(TRIM(AF1907))=0,"",HYPERLINK("https://www.google.com/maps/@?api=1&amp;map_action=pano&amp;viewpoint="&amp;SUBSTITUTE(AF1907," ",""),"Abrir Street View"))</f>
        <v/>
      </c>
    </row>
    <row r="1908">
      <c r="H1908" s="6" t="n"/>
      <c r="I1908" s="6" t="n"/>
      <c r="M1908" s="7" t="n"/>
      <c r="N1908" s="7" t="n"/>
      <c r="O1908" s="7" t="n"/>
      <c r="Q1908" s="7" t="n"/>
      <c r="R1908" s="7" t="n"/>
      <c r="S1908" s="8">
        <f>IF(NOT(ISNUMBER(M1908)),"",IF(G1908="Terreno",IF(AND(ISNUMBER(I1908),I1908&gt;0),M1908/I1908,""),IF(AND(ISNUMBER(H1908),H1908&gt;0),M1908/H1908,"")))</f>
        <v/>
      </c>
      <c r="T1908" s="9">
        <f>IF(AND(ISNUMBER(M1908),ISNUMBER(O1908)),IF(M1908&lt;=O1908,"Valor ≤ venal IPTU",""),"")</f>
        <v/>
      </c>
      <c r="U1908" s="10">
        <f>IF(AND(ISNUMBER(M1908),ISNUMBER(N1908)),IF(N1908&gt;0,M1908/N1908,""),"")</f>
        <v/>
      </c>
      <c r="V1908" s="10">
        <f>IF(AND(ISNUMBER(M1908),ISNUMBER(O1908)),IF(O1908&gt;0,M1908/O1908,""),"")</f>
        <v/>
      </c>
      <c r="W1908" s="10">
        <f>IF(AND(ISNUMBER(M1908),ISNUMBER(R1908)),IF(R1908&gt;0,M1908/R1908,""),"")</f>
        <v/>
      </c>
      <c r="X1908" s="10">
        <f>IF(AND(ISNUMBER(Q1908),ISNUMBER(M1908)),IF(M1908&gt;0,Q1908/M1908,""),"")</f>
        <v/>
      </c>
      <c r="Y1908" s="11">
        <f>IF(ISNUMBER(Z1908),YEAR(Z1908),"")</f>
        <v/>
      </c>
      <c r="Z1908" s="12" t="n"/>
      <c r="AA1908" s="12" t="n"/>
      <c r="AI1908" s="12" t="n"/>
      <c r="AJ1908" s="13">
        <f>IF(LEN(TRIM(AF1908))=0,"",HYPERLINK("https://www.google.com/maps/@?api=1&amp;map_action=pano&amp;viewpoint="&amp;SUBSTITUTE(AF1908," ",""),"Abrir Street View"))</f>
        <v/>
      </c>
    </row>
    <row r="1909">
      <c r="H1909" s="6" t="n"/>
      <c r="I1909" s="6" t="n"/>
      <c r="M1909" s="7" t="n"/>
      <c r="N1909" s="7" t="n"/>
      <c r="O1909" s="7" t="n"/>
      <c r="Q1909" s="7" t="n"/>
      <c r="R1909" s="7" t="n"/>
      <c r="S1909" s="8">
        <f>IF(NOT(ISNUMBER(M1909)),"",IF(G1909="Terreno",IF(AND(ISNUMBER(I1909),I1909&gt;0),M1909/I1909,""),IF(AND(ISNUMBER(H1909),H1909&gt;0),M1909/H1909,"")))</f>
        <v/>
      </c>
      <c r="T1909" s="9">
        <f>IF(AND(ISNUMBER(M1909),ISNUMBER(O1909)),IF(M1909&lt;=O1909,"Valor ≤ venal IPTU",""),"")</f>
        <v/>
      </c>
      <c r="U1909" s="10">
        <f>IF(AND(ISNUMBER(M1909),ISNUMBER(N1909)),IF(N1909&gt;0,M1909/N1909,""),"")</f>
        <v/>
      </c>
      <c r="V1909" s="10">
        <f>IF(AND(ISNUMBER(M1909),ISNUMBER(O1909)),IF(O1909&gt;0,M1909/O1909,""),"")</f>
        <v/>
      </c>
      <c r="W1909" s="10">
        <f>IF(AND(ISNUMBER(M1909),ISNUMBER(R1909)),IF(R1909&gt;0,M1909/R1909,""),"")</f>
        <v/>
      </c>
      <c r="X1909" s="10">
        <f>IF(AND(ISNUMBER(Q1909),ISNUMBER(M1909)),IF(M1909&gt;0,Q1909/M1909,""),"")</f>
        <v/>
      </c>
      <c r="Y1909" s="11">
        <f>IF(ISNUMBER(Z1909),YEAR(Z1909),"")</f>
        <v/>
      </c>
      <c r="Z1909" s="12" t="n"/>
      <c r="AA1909" s="12" t="n"/>
      <c r="AI1909" s="12" t="n"/>
      <c r="AJ1909" s="13">
        <f>IF(LEN(TRIM(AF1909))=0,"",HYPERLINK("https://www.google.com/maps/@?api=1&amp;map_action=pano&amp;viewpoint="&amp;SUBSTITUTE(AF1909," ",""),"Abrir Street View"))</f>
        <v/>
      </c>
    </row>
    <row r="1910">
      <c r="H1910" s="6" t="n"/>
      <c r="I1910" s="6" t="n"/>
      <c r="M1910" s="7" t="n"/>
      <c r="N1910" s="7" t="n"/>
      <c r="O1910" s="7" t="n"/>
      <c r="Q1910" s="7" t="n"/>
      <c r="R1910" s="7" t="n"/>
      <c r="S1910" s="8">
        <f>IF(NOT(ISNUMBER(M1910)),"",IF(G1910="Terreno",IF(AND(ISNUMBER(I1910),I1910&gt;0),M1910/I1910,""),IF(AND(ISNUMBER(H1910),H1910&gt;0),M1910/H1910,"")))</f>
        <v/>
      </c>
      <c r="T1910" s="9">
        <f>IF(AND(ISNUMBER(M1910),ISNUMBER(O1910)),IF(M1910&lt;=O1910,"Valor ≤ venal IPTU",""),"")</f>
        <v/>
      </c>
      <c r="U1910" s="10">
        <f>IF(AND(ISNUMBER(M1910),ISNUMBER(N1910)),IF(N1910&gt;0,M1910/N1910,""),"")</f>
        <v/>
      </c>
      <c r="V1910" s="10">
        <f>IF(AND(ISNUMBER(M1910),ISNUMBER(O1910)),IF(O1910&gt;0,M1910/O1910,""),"")</f>
        <v/>
      </c>
      <c r="W1910" s="10">
        <f>IF(AND(ISNUMBER(M1910),ISNUMBER(R1910)),IF(R1910&gt;0,M1910/R1910,""),"")</f>
        <v/>
      </c>
      <c r="X1910" s="10">
        <f>IF(AND(ISNUMBER(Q1910),ISNUMBER(M1910)),IF(M1910&gt;0,Q1910/M1910,""),"")</f>
        <v/>
      </c>
      <c r="Y1910" s="11">
        <f>IF(ISNUMBER(Z1910),YEAR(Z1910),"")</f>
        <v/>
      </c>
      <c r="Z1910" s="12" t="n"/>
      <c r="AA1910" s="12" t="n"/>
      <c r="AI1910" s="12" t="n"/>
      <c r="AJ1910" s="13">
        <f>IF(LEN(TRIM(AF1910))=0,"",HYPERLINK("https://www.google.com/maps/@?api=1&amp;map_action=pano&amp;viewpoint="&amp;SUBSTITUTE(AF1910," ",""),"Abrir Street View"))</f>
        <v/>
      </c>
    </row>
    <row r="1911">
      <c r="H1911" s="6" t="n"/>
      <c r="I1911" s="6" t="n"/>
      <c r="M1911" s="7" t="n"/>
      <c r="N1911" s="7" t="n"/>
      <c r="O1911" s="7" t="n"/>
      <c r="Q1911" s="7" t="n"/>
      <c r="R1911" s="7" t="n"/>
      <c r="S1911" s="8">
        <f>IF(NOT(ISNUMBER(M1911)),"",IF(G1911="Terreno",IF(AND(ISNUMBER(I1911),I1911&gt;0),M1911/I1911,""),IF(AND(ISNUMBER(H1911),H1911&gt;0),M1911/H1911,"")))</f>
        <v/>
      </c>
      <c r="T1911" s="9">
        <f>IF(AND(ISNUMBER(M1911),ISNUMBER(O1911)),IF(M1911&lt;=O1911,"Valor ≤ venal IPTU",""),"")</f>
        <v/>
      </c>
      <c r="U1911" s="10">
        <f>IF(AND(ISNUMBER(M1911),ISNUMBER(N1911)),IF(N1911&gt;0,M1911/N1911,""),"")</f>
        <v/>
      </c>
      <c r="V1911" s="10">
        <f>IF(AND(ISNUMBER(M1911),ISNUMBER(O1911)),IF(O1911&gt;0,M1911/O1911,""),"")</f>
        <v/>
      </c>
      <c r="W1911" s="10">
        <f>IF(AND(ISNUMBER(M1911),ISNUMBER(R1911)),IF(R1911&gt;0,M1911/R1911,""),"")</f>
        <v/>
      </c>
      <c r="X1911" s="10">
        <f>IF(AND(ISNUMBER(Q1911),ISNUMBER(M1911)),IF(M1911&gt;0,Q1911/M1911,""),"")</f>
        <v/>
      </c>
      <c r="Y1911" s="11">
        <f>IF(ISNUMBER(Z1911),YEAR(Z1911),"")</f>
        <v/>
      </c>
      <c r="Z1911" s="12" t="n"/>
      <c r="AA1911" s="12" t="n"/>
      <c r="AI1911" s="12" t="n"/>
      <c r="AJ1911" s="13">
        <f>IF(LEN(TRIM(AF1911))=0,"",HYPERLINK("https://www.google.com/maps/@?api=1&amp;map_action=pano&amp;viewpoint="&amp;SUBSTITUTE(AF1911," ",""),"Abrir Street View"))</f>
        <v/>
      </c>
    </row>
    <row r="1912">
      <c r="H1912" s="6" t="n"/>
      <c r="I1912" s="6" t="n"/>
      <c r="M1912" s="7" t="n"/>
      <c r="N1912" s="7" t="n"/>
      <c r="O1912" s="7" t="n"/>
      <c r="Q1912" s="7" t="n"/>
      <c r="R1912" s="7" t="n"/>
      <c r="S1912" s="8">
        <f>IF(NOT(ISNUMBER(M1912)),"",IF(G1912="Terreno",IF(AND(ISNUMBER(I1912),I1912&gt;0),M1912/I1912,""),IF(AND(ISNUMBER(H1912),H1912&gt;0),M1912/H1912,"")))</f>
        <v/>
      </c>
      <c r="T1912" s="9">
        <f>IF(AND(ISNUMBER(M1912),ISNUMBER(O1912)),IF(M1912&lt;=O1912,"Valor ≤ venal IPTU",""),"")</f>
        <v/>
      </c>
      <c r="U1912" s="10">
        <f>IF(AND(ISNUMBER(M1912),ISNUMBER(N1912)),IF(N1912&gt;0,M1912/N1912,""),"")</f>
        <v/>
      </c>
      <c r="V1912" s="10">
        <f>IF(AND(ISNUMBER(M1912),ISNUMBER(O1912)),IF(O1912&gt;0,M1912/O1912,""),"")</f>
        <v/>
      </c>
      <c r="W1912" s="10">
        <f>IF(AND(ISNUMBER(M1912),ISNUMBER(R1912)),IF(R1912&gt;0,M1912/R1912,""),"")</f>
        <v/>
      </c>
      <c r="X1912" s="10">
        <f>IF(AND(ISNUMBER(Q1912),ISNUMBER(M1912)),IF(M1912&gt;0,Q1912/M1912,""),"")</f>
        <v/>
      </c>
      <c r="Y1912" s="11">
        <f>IF(ISNUMBER(Z1912),YEAR(Z1912),"")</f>
        <v/>
      </c>
      <c r="Z1912" s="12" t="n"/>
      <c r="AA1912" s="12" t="n"/>
      <c r="AI1912" s="12" t="n"/>
      <c r="AJ1912" s="13">
        <f>IF(LEN(TRIM(AF1912))=0,"",HYPERLINK("https://www.google.com/maps/@?api=1&amp;map_action=pano&amp;viewpoint="&amp;SUBSTITUTE(AF1912," ",""),"Abrir Street View"))</f>
        <v/>
      </c>
    </row>
    <row r="1913">
      <c r="H1913" s="6" t="n"/>
      <c r="I1913" s="6" t="n"/>
      <c r="M1913" s="7" t="n"/>
      <c r="N1913" s="7" t="n"/>
      <c r="O1913" s="7" t="n"/>
      <c r="Q1913" s="7" t="n"/>
      <c r="R1913" s="7" t="n"/>
      <c r="S1913" s="8">
        <f>IF(NOT(ISNUMBER(M1913)),"",IF(G1913="Terreno",IF(AND(ISNUMBER(I1913),I1913&gt;0),M1913/I1913,""),IF(AND(ISNUMBER(H1913),H1913&gt;0),M1913/H1913,"")))</f>
        <v/>
      </c>
      <c r="T1913" s="9">
        <f>IF(AND(ISNUMBER(M1913),ISNUMBER(O1913)),IF(M1913&lt;=O1913,"Valor ≤ venal IPTU",""),"")</f>
        <v/>
      </c>
      <c r="U1913" s="10">
        <f>IF(AND(ISNUMBER(M1913),ISNUMBER(N1913)),IF(N1913&gt;0,M1913/N1913,""),"")</f>
        <v/>
      </c>
      <c r="V1913" s="10">
        <f>IF(AND(ISNUMBER(M1913),ISNUMBER(O1913)),IF(O1913&gt;0,M1913/O1913,""),"")</f>
        <v/>
      </c>
      <c r="W1913" s="10">
        <f>IF(AND(ISNUMBER(M1913),ISNUMBER(R1913)),IF(R1913&gt;0,M1913/R1913,""),"")</f>
        <v/>
      </c>
      <c r="X1913" s="10">
        <f>IF(AND(ISNUMBER(Q1913),ISNUMBER(M1913)),IF(M1913&gt;0,Q1913/M1913,""),"")</f>
        <v/>
      </c>
      <c r="Y1913" s="11">
        <f>IF(ISNUMBER(Z1913),YEAR(Z1913),"")</f>
        <v/>
      </c>
      <c r="Z1913" s="12" t="n"/>
      <c r="AA1913" s="12" t="n"/>
      <c r="AI1913" s="12" t="n"/>
      <c r="AJ1913" s="13">
        <f>IF(LEN(TRIM(AF1913))=0,"",HYPERLINK("https://www.google.com/maps/@?api=1&amp;map_action=pano&amp;viewpoint="&amp;SUBSTITUTE(AF1913," ",""),"Abrir Street View"))</f>
        <v/>
      </c>
    </row>
    <row r="1914">
      <c r="H1914" s="6" t="n"/>
      <c r="I1914" s="6" t="n"/>
      <c r="M1914" s="7" t="n"/>
      <c r="N1914" s="7" t="n"/>
      <c r="O1914" s="7" t="n"/>
      <c r="Q1914" s="7" t="n"/>
      <c r="R1914" s="7" t="n"/>
      <c r="S1914" s="8">
        <f>IF(NOT(ISNUMBER(M1914)),"",IF(G1914="Terreno",IF(AND(ISNUMBER(I1914),I1914&gt;0),M1914/I1914,""),IF(AND(ISNUMBER(H1914),H1914&gt;0),M1914/H1914,"")))</f>
        <v/>
      </c>
      <c r="T1914" s="9">
        <f>IF(AND(ISNUMBER(M1914),ISNUMBER(O1914)),IF(M1914&lt;=O1914,"Valor ≤ venal IPTU",""),"")</f>
        <v/>
      </c>
      <c r="U1914" s="10">
        <f>IF(AND(ISNUMBER(M1914),ISNUMBER(N1914)),IF(N1914&gt;0,M1914/N1914,""),"")</f>
        <v/>
      </c>
      <c r="V1914" s="10">
        <f>IF(AND(ISNUMBER(M1914),ISNUMBER(O1914)),IF(O1914&gt;0,M1914/O1914,""),"")</f>
        <v/>
      </c>
      <c r="W1914" s="10">
        <f>IF(AND(ISNUMBER(M1914),ISNUMBER(R1914)),IF(R1914&gt;0,M1914/R1914,""),"")</f>
        <v/>
      </c>
      <c r="X1914" s="10">
        <f>IF(AND(ISNUMBER(Q1914),ISNUMBER(M1914)),IF(M1914&gt;0,Q1914/M1914,""),"")</f>
        <v/>
      </c>
      <c r="Y1914" s="11">
        <f>IF(ISNUMBER(Z1914),YEAR(Z1914),"")</f>
        <v/>
      </c>
      <c r="Z1914" s="12" t="n"/>
      <c r="AA1914" s="12" t="n"/>
      <c r="AI1914" s="12" t="n"/>
      <c r="AJ1914" s="13">
        <f>IF(LEN(TRIM(AF1914))=0,"",HYPERLINK("https://www.google.com/maps/@?api=1&amp;map_action=pano&amp;viewpoint="&amp;SUBSTITUTE(AF1914," ",""),"Abrir Street View"))</f>
        <v/>
      </c>
    </row>
    <row r="1915">
      <c r="H1915" s="6" t="n"/>
      <c r="I1915" s="6" t="n"/>
      <c r="M1915" s="7" t="n"/>
      <c r="N1915" s="7" t="n"/>
      <c r="O1915" s="7" t="n"/>
      <c r="Q1915" s="7" t="n"/>
      <c r="R1915" s="7" t="n"/>
      <c r="S1915" s="8">
        <f>IF(NOT(ISNUMBER(M1915)),"",IF(G1915="Terreno",IF(AND(ISNUMBER(I1915),I1915&gt;0),M1915/I1915,""),IF(AND(ISNUMBER(H1915),H1915&gt;0),M1915/H1915,"")))</f>
        <v/>
      </c>
      <c r="T1915" s="9">
        <f>IF(AND(ISNUMBER(M1915),ISNUMBER(O1915)),IF(M1915&lt;=O1915,"Valor ≤ venal IPTU",""),"")</f>
        <v/>
      </c>
      <c r="U1915" s="10">
        <f>IF(AND(ISNUMBER(M1915),ISNUMBER(N1915)),IF(N1915&gt;0,M1915/N1915,""),"")</f>
        <v/>
      </c>
      <c r="V1915" s="10">
        <f>IF(AND(ISNUMBER(M1915),ISNUMBER(O1915)),IF(O1915&gt;0,M1915/O1915,""),"")</f>
        <v/>
      </c>
      <c r="W1915" s="10">
        <f>IF(AND(ISNUMBER(M1915),ISNUMBER(R1915)),IF(R1915&gt;0,M1915/R1915,""),"")</f>
        <v/>
      </c>
      <c r="X1915" s="10">
        <f>IF(AND(ISNUMBER(Q1915),ISNUMBER(M1915)),IF(M1915&gt;0,Q1915/M1915,""),"")</f>
        <v/>
      </c>
      <c r="Y1915" s="11">
        <f>IF(ISNUMBER(Z1915),YEAR(Z1915),"")</f>
        <v/>
      </c>
      <c r="Z1915" s="12" t="n"/>
      <c r="AA1915" s="12" t="n"/>
      <c r="AI1915" s="12" t="n"/>
      <c r="AJ1915" s="13">
        <f>IF(LEN(TRIM(AF1915))=0,"",HYPERLINK("https://www.google.com/maps/@?api=1&amp;map_action=pano&amp;viewpoint="&amp;SUBSTITUTE(AF1915," ",""),"Abrir Street View"))</f>
        <v/>
      </c>
    </row>
    <row r="1916">
      <c r="H1916" s="6" t="n"/>
      <c r="I1916" s="6" t="n"/>
      <c r="M1916" s="7" t="n"/>
      <c r="N1916" s="7" t="n"/>
      <c r="O1916" s="7" t="n"/>
      <c r="Q1916" s="7" t="n"/>
      <c r="R1916" s="7" t="n"/>
      <c r="S1916" s="8">
        <f>IF(NOT(ISNUMBER(M1916)),"",IF(G1916="Terreno",IF(AND(ISNUMBER(I1916),I1916&gt;0),M1916/I1916,""),IF(AND(ISNUMBER(H1916),H1916&gt;0),M1916/H1916,"")))</f>
        <v/>
      </c>
      <c r="T1916" s="9">
        <f>IF(AND(ISNUMBER(M1916),ISNUMBER(O1916)),IF(M1916&lt;=O1916,"Valor ≤ venal IPTU",""),"")</f>
        <v/>
      </c>
      <c r="U1916" s="10">
        <f>IF(AND(ISNUMBER(M1916),ISNUMBER(N1916)),IF(N1916&gt;0,M1916/N1916,""),"")</f>
        <v/>
      </c>
      <c r="V1916" s="10">
        <f>IF(AND(ISNUMBER(M1916),ISNUMBER(O1916)),IF(O1916&gt;0,M1916/O1916,""),"")</f>
        <v/>
      </c>
      <c r="W1916" s="10">
        <f>IF(AND(ISNUMBER(M1916),ISNUMBER(R1916)),IF(R1916&gt;0,M1916/R1916,""),"")</f>
        <v/>
      </c>
      <c r="X1916" s="10">
        <f>IF(AND(ISNUMBER(Q1916),ISNUMBER(M1916)),IF(M1916&gt;0,Q1916/M1916,""),"")</f>
        <v/>
      </c>
      <c r="Y1916" s="11">
        <f>IF(ISNUMBER(Z1916),YEAR(Z1916),"")</f>
        <v/>
      </c>
      <c r="Z1916" s="12" t="n"/>
      <c r="AA1916" s="12" t="n"/>
      <c r="AI1916" s="12" t="n"/>
      <c r="AJ1916" s="13">
        <f>IF(LEN(TRIM(AF1916))=0,"",HYPERLINK("https://www.google.com/maps/@?api=1&amp;map_action=pano&amp;viewpoint="&amp;SUBSTITUTE(AF1916," ",""),"Abrir Street View"))</f>
        <v/>
      </c>
    </row>
    <row r="1917">
      <c r="H1917" s="6" t="n"/>
      <c r="I1917" s="6" t="n"/>
      <c r="M1917" s="7" t="n"/>
      <c r="N1917" s="7" t="n"/>
      <c r="O1917" s="7" t="n"/>
      <c r="Q1917" s="7" t="n"/>
      <c r="R1917" s="7" t="n"/>
      <c r="S1917" s="8">
        <f>IF(NOT(ISNUMBER(M1917)),"",IF(G1917="Terreno",IF(AND(ISNUMBER(I1917),I1917&gt;0),M1917/I1917,""),IF(AND(ISNUMBER(H1917),H1917&gt;0),M1917/H1917,"")))</f>
        <v/>
      </c>
      <c r="T1917" s="9">
        <f>IF(AND(ISNUMBER(M1917),ISNUMBER(O1917)),IF(M1917&lt;=O1917,"Valor ≤ venal IPTU",""),"")</f>
        <v/>
      </c>
      <c r="U1917" s="10">
        <f>IF(AND(ISNUMBER(M1917),ISNUMBER(N1917)),IF(N1917&gt;0,M1917/N1917,""),"")</f>
        <v/>
      </c>
      <c r="V1917" s="10">
        <f>IF(AND(ISNUMBER(M1917),ISNUMBER(O1917)),IF(O1917&gt;0,M1917/O1917,""),"")</f>
        <v/>
      </c>
      <c r="W1917" s="10">
        <f>IF(AND(ISNUMBER(M1917),ISNUMBER(R1917)),IF(R1917&gt;0,M1917/R1917,""),"")</f>
        <v/>
      </c>
      <c r="X1917" s="10">
        <f>IF(AND(ISNUMBER(Q1917),ISNUMBER(M1917)),IF(M1917&gt;0,Q1917/M1917,""),"")</f>
        <v/>
      </c>
      <c r="Y1917" s="11">
        <f>IF(ISNUMBER(Z1917),YEAR(Z1917),"")</f>
        <v/>
      </c>
      <c r="Z1917" s="12" t="n"/>
      <c r="AA1917" s="12" t="n"/>
      <c r="AI1917" s="12" t="n"/>
      <c r="AJ1917" s="13">
        <f>IF(LEN(TRIM(AF1917))=0,"",HYPERLINK("https://www.google.com/maps/@?api=1&amp;map_action=pano&amp;viewpoint="&amp;SUBSTITUTE(AF1917," ",""),"Abrir Street View"))</f>
        <v/>
      </c>
    </row>
    <row r="1918">
      <c r="H1918" s="6" t="n"/>
      <c r="I1918" s="6" t="n"/>
      <c r="M1918" s="7" t="n"/>
      <c r="N1918" s="7" t="n"/>
      <c r="O1918" s="7" t="n"/>
      <c r="Q1918" s="7" t="n"/>
      <c r="R1918" s="7" t="n"/>
      <c r="S1918" s="8">
        <f>IF(NOT(ISNUMBER(M1918)),"",IF(G1918="Terreno",IF(AND(ISNUMBER(I1918),I1918&gt;0),M1918/I1918,""),IF(AND(ISNUMBER(H1918),H1918&gt;0),M1918/H1918,"")))</f>
        <v/>
      </c>
      <c r="T1918" s="9">
        <f>IF(AND(ISNUMBER(M1918),ISNUMBER(O1918)),IF(M1918&lt;=O1918,"Valor ≤ venal IPTU",""),"")</f>
        <v/>
      </c>
      <c r="U1918" s="10">
        <f>IF(AND(ISNUMBER(M1918),ISNUMBER(N1918)),IF(N1918&gt;0,M1918/N1918,""),"")</f>
        <v/>
      </c>
      <c r="V1918" s="10">
        <f>IF(AND(ISNUMBER(M1918),ISNUMBER(O1918)),IF(O1918&gt;0,M1918/O1918,""),"")</f>
        <v/>
      </c>
      <c r="W1918" s="10">
        <f>IF(AND(ISNUMBER(M1918),ISNUMBER(R1918)),IF(R1918&gt;0,M1918/R1918,""),"")</f>
        <v/>
      </c>
      <c r="X1918" s="10">
        <f>IF(AND(ISNUMBER(Q1918),ISNUMBER(M1918)),IF(M1918&gt;0,Q1918/M1918,""),"")</f>
        <v/>
      </c>
      <c r="Y1918" s="11">
        <f>IF(ISNUMBER(Z1918),YEAR(Z1918),"")</f>
        <v/>
      </c>
      <c r="Z1918" s="12" t="n"/>
      <c r="AA1918" s="12" t="n"/>
      <c r="AI1918" s="12" t="n"/>
      <c r="AJ1918" s="13">
        <f>IF(LEN(TRIM(AF1918))=0,"",HYPERLINK("https://www.google.com/maps/@?api=1&amp;map_action=pano&amp;viewpoint="&amp;SUBSTITUTE(AF1918," ",""),"Abrir Street View"))</f>
        <v/>
      </c>
    </row>
    <row r="1919">
      <c r="H1919" s="6" t="n"/>
      <c r="I1919" s="6" t="n"/>
      <c r="M1919" s="7" t="n"/>
      <c r="N1919" s="7" t="n"/>
      <c r="O1919" s="7" t="n"/>
      <c r="Q1919" s="7" t="n"/>
      <c r="R1919" s="7" t="n"/>
      <c r="S1919" s="8">
        <f>IF(NOT(ISNUMBER(M1919)),"",IF(G1919="Terreno",IF(AND(ISNUMBER(I1919),I1919&gt;0),M1919/I1919,""),IF(AND(ISNUMBER(H1919),H1919&gt;0),M1919/H1919,"")))</f>
        <v/>
      </c>
      <c r="T1919" s="9">
        <f>IF(AND(ISNUMBER(M1919),ISNUMBER(O1919)),IF(M1919&lt;=O1919,"Valor ≤ venal IPTU",""),"")</f>
        <v/>
      </c>
      <c r="U1919" s="10">
        <f>IF(AND(ISNUMBER(M1919),ISNUMBER(N1919)),IF(N1919&gt;0,M1919/N1919,""),"")</f>
        <v/>
      </c>
      <c r="V1919" s="10">
        <f>IF(AND(ISNUMBER(M1919),ISNUMBER(O1919)),IF(O1919&gt;0,M1919/O1919,""),"")</f>
        <v/>
      </c>
      <c r="W1919" s="10">
        <f>IF(AND(ISNUMBER(M1919),ISNUMBER(R1919)),IF(R1919&gt;0,M1919/R1919,""),"")</f>
        <v/>
      </c>
      <c r="X1919" s="10">
        <f>IF(AND(ISNUMBER(Q1919),ISNUMBER(M1919)),IF(M1919&gt;0,Q1919/M1919,""),"")</f>
        <v/>
      </c>
      <c r="Y1919" s="11">
        <f>IF(ISNUMBER(Z1919),YEAR(Z1919),"")</f>
        <v/>
      </c>
      <c r="Z1919" s="12" t="n"/>
      <c r="AA1919" s="12" t="n"/>
      <c r="AI1919" s="12" t="n"/>
      <c r="AJ1919" s="13">
        <f>IF(LEN(TRIM(AF1919))=0,"",HYPERLINK("https://www.google.com/maps/@?api=1&amp;map_action=pano&amp;viewpoint="&amp;SUBSTITUTE(AF1919," ",""),"Abrir Street View"))</f>
        <v/>
      </c>
    </row>
    <row r="1920">
      <c r="H1920" s="6" t="n"/>
      <c r="I1920" s="6" t="n"/>
      <c r="M1920" s="7" t="n"/>
      <c r="N1920" s="7" t="n"/>
      <c r="O1920" s="7" t="n"/>
      <c r="Q1920" s="7" t="n"/>
      <c r="R1920" s="7" t="n"/>
      <c r="S1920" s="8">
        <f>IF(NOT(ISNUMBER(M1920)),"",IF(G1920="Terreno",IF(AND(ISNUMBER(I1920),I1920&gt;0),M1920/I1920,""),IF(AND(ISNUMBER(H1920),H1920&gt;0),M1920/H1920,"")))</f>
        <v/>
      </c>
      <c r="T1920" s="9">
        <f>IF(AND(ISNUMBER(M1920),ISNUMBER(O1920)),IF(M1920&lt;=O1920,"Valor ≤ venal IPTU",""),"")</f>
        <v/>
      </c>
      <c r="U1920" s="10">
        <f>IF(AND(ISNUMBER(M1920),ISNUMBER(N1920)),IF(N1920&gt;0,M1920/N1920,""),"")</f>
        <v/>
      </c>
      <c r="V1920" s="10">
        <f>IF(AND(ISNUMBER(M1920),ISNUMBER(O1920)),IF(O1920&gt;0,M1920/O1920,""),"")</f>
        <v/>
      </c>
      <c r="W1920" s="10">
        <f>IF(AND(ISNUMBER(M1920),ISNUMBER(R1920)),IF(R1920&gt;0,M1920/R1920,""),"")</f>
        <v/>
      </c>
      <c r="X1920" s="10">
        <f>IF(AND(ISNUMBER(Q1920),ISNUMBER(M1920)),IF(M1920&gt;0,Q1920/M1920,""),"")</f>
        <v/>
      </c>
      <c r="Y1920" s="11">
        <f>IF(ISNUMBER(Z1920),YEAR(Z1920),"")</f>
        <v/>
      </c>
      <c r="Z1920" s="12" t="n"/>
      <c r="AA1920" s="12" t="n"/>
      <c r="AI1920" s="12" t="n"/>
      <c r="AJ1920" s="13">
        <f>IF(LEN(TRIM(AF1920))=0,"",HYPERLINK("https://www.google.com/maps/@?api=1&amp;map_action=pano&amp;viewpoint="&amp;SUBSTITUTE(AF1920," ",""),"Abrir Street View"))</f>
        <v/>
      </c>
    </row>
    <row r="1921">
      <c r="H1921" s="6" t="n"/>
      <c r="I1921" s="6" t="n"/>
      <c r="M1921" s="7" t="n"/>
      <c r="N1921" s="7" t="n"/>
      <c r="O1921" s="7" t="n"/>
      <c r="Q1921" s="7" t="n"/>
      <c r="R1921" s="7" t="n"/>
      <c r="S1921" s="8">
        <f>IF(NOT(ISNUMBER(M1921)),"",IF(G1921="Terreno",IF(AND(ISNUMBER(I1921),I1921&gt;0),M1921/I1921,""),IF(AND(ISNUMBER(H1921),H1921&gt;0),M1921/H1921,"")))</f>
        <v/>
      </c>
      <c r="T1921" s="9">
        <f>IF(AND(ISNUMBER(M1921),ISNUMBER(O1921)),IF(M1921&lt;=O1921,"Valor ≤ venal IPTU",""),"")</f>
        <v/>
      </c>
      <c r="U1921" s="10">
        <f>IF(AND(ISNUMBER(M1921),ISNUMBER(N1921)),IF(N1921&gt;0,M1921/N1921,""),"")</f>
        <v/>
      </c>
      <c r="V1921" s="10">
        <f>IF(AND(ISNUMBER(M1921),ISNUMBER(O1921)),IF(O1921&gt;0,M1921/O1921,""),"")</f>
        <v/>
      </c>
      <c r="W1921" s="10">
        <f>IF(AND(ISNUMBER(M1921),ISNUMBER(R1921)),IF(R1921&gt;0,M1921/R1921,""),"")</f>
        <v/>
      </c>
      <c r="X1921" s="10">
        <f>IF(AND(ISNUMBER(Q1921),ISNUMBER(M1921)),IF(M1921&gt;0,Q1921/M1921,""),"")</f>
        <v/>
      </c>
      <c r="Y1921" s="11">
        <f>IF(ISNUMBER(Z1921),YEAR(Z1921),"")</f>
        <v/>
      </c>
      <c r="Z1921" s="12" t="n"/>
      <c r="AA1921" s="12" t="n"/>
      <c r="AI1921" s="12" t="n"/>
      <c r="AJ1921" s="13">
        <f>IF(LEN(TRIM(AF1921))=0,"",HYPERLINK("https://www.google.com/maps/@?api=1&amp;map_action=pano&amp;viewpoint="&amp;SUBSTITUTE(AF1921," ",""),"Abrir Street View"))</f>
        <v/>
      </c>
    </row>
    <row r="1922">
      <c r="H1922" s="6" t="n"/>
      <c r="I1922" s="6" t="n"/>
      <c r="M1922" s="7" t="n"/>
      <c r="N1922" s="7" t="n"/>
      <c r="O1922" s="7" t="n"/>
      <c r="Q1922" s="7" t="n"/>
      <c r="R1922" s="7" t="n"/>
      <c r="S1922" s="8">
        <f>IF(NOT(ISNUMBER(M1922)),"",IF(G1922="Terreno",IF(AND(ISNUMBER(I1922),I1922&gt;0),M1922/I1922,""),IF(AND(ISNUMBER(H1922),H1922&gt;0),M1922/H1922,"")))</f>
        <v/>
      </c>
      <c r="T1922" s="9">
        <f>IF(AND(ISNUMBER(M1922),ISNUMBER(O1922)),IF(M1922&lt;=O1922,"Valor ≤ venal IPTU",""),"")</f>
        <v/>
      </c>
      <c r="U1922" s="10">
        <f>IF(AND(ISNUMBER(M1922),ISNUMBER(N1922)),IF(N1922&gt;0,M1922/N1922,""),"")</f>
        <v/>
      </c>
      <c r="V1922" s="10">
        <f>IF(AND(ISNUMBER(M1922),ISNUMBER(O1922)),IF(O1922&gt;0,M1922/O1922,""),"")</f>
        <v/>
      </c>
      <c r="W1922" s="10">
        <f>IF(AND(ISNUMBER(M1922),ISNUMBER(R1922)),IF(R1922&gt;0,M1922/R1922,""),"")</f>
        <v/>
      </c>
      <c r="X1922" s="10">
        <f>IF(AND(ISNUMBER(Q1922),ISNUMBER(M1922)),IF(M1922&gt;0,Q1922/M1922,""),"")</f>
        <v/>
      </c>
      <c r="Y1922" s="11">
        <f>IF(ISNUMBER(Z1922),YEAR(Z1922),"")</f>
        <v/>
      </c>
      <c r="Z1922" s="12" t="n"/>
      <c r="AA1922" s="12" t="n"/>
      <c r="AI1922" s="12" t="n"/>
      <c r="AJ1922" s="13">
        <f>IF(LEN(TRIM(AF1922))=0,"",HYPERLINK("https://www.google.com/maps/@?api=1&amp;map_action=pano&amp;viewpoint="&amp;SUBSTITUTE(AF1922," ",""),"Abrir Street View"))</f>
        <v/>
      </c>
    </row>
    <row r="1923">
      <c r="H1923" s="6" t="n"/>
      <c r="I1923" s="6" t="n"/>
      <c r="M1923" s="7" t="n"/>
      <c r="N1923" s="7" t="n"/>
      <c r="O1923" s="7" t="n"/>
      <c r="Q1923" s="7" t="n"/>
      <c r="R1923" s="7" t="n"/>
      <c r="S1923" s="8">
        <f>IF(NOT(ISNUMBER(M1923)),"",IF(G1923="Terreno",IF(AND(ISNUMBER(I1923),I1923&gt;0),M1923/I1923,""),IF(AND(ISNUMBER(H1923),H1923&gt;0),M1923/H1923,"")))</f>
        <v/>
      </c>
      <c r="T1923" s="9">
        <f>IF(AND(ISNUMBER(M1923),ISNUMBER(O1923)),IF(M1923&lt;=O1923,"Valor ≤ venal IPTU",""),"")</f>
        <v/>
      </c>
      <c r="U1923" s="10">
        <f>IF(AND(ISNUMBER(M1923),ISNUMBER(N1923)),IF(N1923&gt;0,M1923/N1923,""),"")</f>
        <v/>
      </c>
      <c r="V1923" s="10">
        <f>IF(AND(ISNUMBER(M1923),ISNUMBER(O1923)),IF(O1923&gt;0,M1923/O1923,""),"")</f>
        <v/>
      </c>
      <c r="W1923" s="10">
        <f>IF(AND(ISNUMBER(M1923),ISNUMBER(R1923)),IF(R1923&gt;0,M1923/R1923,""),"")</f>
        <v/>
      </c>
      <c r="X1923" s="10">
        <f>IF(AND(ISNUMBER(Q1923),ISNUMBER(M1923)),IF(M1923&gt;0,Q1923/M1923,""),"")</f>
        <v/>
      </c>
      <c r="Y1923" s="11">
        <f>IF(ISNUMBER(Z1923),YEAR(Z1923),"")</f>
        <v/>
      </c>
      <c r="Z1923" s="12" t="n"/>
      <c r="AA1923" s="12" t="n"/>
      <c r="AI1923" s="12" t="n"/>
      <c r="AJ1923" s="13">
        <f>IF(LEN(TRIM(AF1923))=0,"",HYPERLINK("https://www.google.com/maps/@?api=1&amp;map_action=pano&amp;viewpoint="&amp;SUBSTITUTE(AF1923," ",""),"Abrir Street View"))</f>
        <v/>
      </c>
    </row>
    <row r="1924">
      <c r="H1924" s="6" t="n"/>
      <c r="I1924" s="6" t="n"/>
      <c r="M1924" s="7" t="n"/>
      <c r="N1924" s="7" t="n"/>
      <c r="O1924" s="7" t="n"/>
      <c r="Q1924" s="7" t="n"/>
      <c r="R1924" s="7" t="n"/>
      <c r="S1924" s="8">
        <f>IF(NOT(ISNUMBER(M1924)),"",IF(G1924="Terreno",IF(AND(ISNUMBER(I1924),I1924&gt;0),M1924/I1924,""),IF(AND(ISNUMBER(H1924),H1924&gt;0),M1924/H1924,"")))</f>
        <v/>
      </c>
      <c r="T1924" s="9">
        <f>IF(AND(ISNUMBER(M1924),ISNUMBER(O1924)),IF(M1924&lt;=O1924,"Valor ≤ venal IPTU",""),"")</f>
        <v/>
      </c>
      <c r="U1924" s="10">
        <f>IF(AND(ISNUMBER(M1924),ISNUMBER(N1924)),IF(N1924&gt;0,M1924/N1924,""),"")</f>
        <v/>
      </c>
      <c r="V1924" s="10">
        <f>IF(AND(ISNUMBER(M1924),ISNUMBER(O1924)),IF(O1924&gt;0,M1924/O1924,""),"")</f>
        <v/>
      </c>
      <c r="W1924" s="10">
        <f>IF(AND(ISNUMBER(M1924),ISNUMBER(R1924)),IF(R1924&gt;0,M1924/R1924,""),"")</f>
        <v/>
      </c>
      <c r="X1924" s="10">
        <f>IF(AND(ISNUMBER(Q1924),ISNUMBER(M1924)),IF(M1924&gt;0,Q1924/M1924,""),"")</f>
        <v/>
      </c>
      <c r="Y1924" s="11">
        <f>IF(ISNUMBER(Z1924),YEAR(Z1924),"")</f>
        <v/>
      </c>
      <c r="Z1924" s="12" t="n"/>
      <c r="AA1924" s="12" t="n"/>
      <c r="AI1924" s="12" t="n"/>
      <c r="AJ1924" s="13">
        <f>IF(LEN(TRIM(AF1924))=0,"",HYPERLINK("https://www.google.com/maps/@?api=1&amp;map_action=pano&amp;viewpoint="&amp;SUBSTITUTE(AF1924," ",""),"Abrir Street View"))</f>
        <v/>
      </c>
    </row>
    <row r="1925">
      <c r="H1925" s="6" t="n"/>
      <c r="I1925" s="6" t="n"/>
      <c r="M1925" s="7" t="n"/>
      <c r="N1925" s="7" t="n"/>
      <c r="O1925" s="7" t="n"/>
      <c r="Q1925" s="7" t="n"/>
      <c r="R1925" s="7" t="n"/>
      <c r="S1925" s="8">
        <f>IF(NOT(ISNUMBER(M1925)),"",IF(G1925="Terreno",IF(AND(ISNUMBER(I1925),I1925&gt;0),M1925/I1925,""),IF(AND(ISNUMBER(H1925),H1925&gt;0),M1925/H1925,"")))</f>
        <v/>
      </c>
      <c r="T1925" s="9">
        <f>IF(AND(ISNUMBER(M1925),ISNUMBER(O1925)),IF(M1925&lt;=O1925,"Valor ≤ venal IPTU",""),"")</f>
        <v/>
      </c>
      <c r="U1925" s="10">
        <f>IF(AND(ISNUMBER(M1925),ISNUMBER(N1925)),IF(N1925&gt;0,M1925/N1925,""),"")</f>
        <v/>
      </c>
      <c r="V1925" s="10">
        <f>IF(AND(ISNUMBER(M1925),ISNUMBER(O1925)),IF(O1925&gt;0,M1925/O1925,""),"")</f>
        <v/>
      </c>
      <c r="W1925" s="10">
        <f>IF(AND(ISNUMBER(M1925),ISNUMBER(R1925)),IF(R1925&gt;0,M1925/R1925,""),"")</f>
        <v/>
      </c>
      <c r="X1925" s="10">
        <f>IF(AND(ISNUMBER(Q1925),ISNUMBER(M1925)),IF(M1925&gt;0,Q1925/M1925,""),"")</f>
        <v/>
      </c>
      <c r="Y1925" s="11">
        <f>IF(ISNUMBER(Z1925),YEAR(Z1925),"")</f>
        <v/>
      </c>
      <c r="Z1925" s="12" t="n"/>
      <c r="AA1925" s="12" t="n"/>
      <c r="AI1925" s="12" t="n"/>
      <c r="AJ1925" s="13">
        <f>IF(LEN(TRIM(AF1925))=0,"",HYPERLINK("https://www.google.com/maps/@?api=1&amp;map_action=pano&amp;viewpoint="&amp;SUBSTITUTE(AF1925," ",""),"Abrir Street View"))</f>
        <v/>
      </c>
    </row>
    <row r="1926">
      <c r="H1926" s="6" t="n"/>
      <c r="I1926" s="6" t="n"/>
      <c r="M1926" s="7" t="n"/>
      <c r="N1926" s="7" t="n"/>
      <c r="O1926" s="7" t="n"/>
      <c r="Q1926" s="7" t="n"/>
      <c r="R1926" s="7" t="n"/>
      <c r="S1926" s="8">
        <f>IF(NOT(ISNUMBER(M1926)),"",IF(G1926="Terreno",IF(AND(ISNUMBER(I1926),I1926&gt;0),M1926/I1926,""),IF(AND(ISNUMBER(H1926),H1926&gt;0),M1926/H1926,"")))</f>
        <v/>
      </c>
      <c r="T1926" s="9">
        <f>IF(AND(ISNUMBER(M1926),ISNUMBER(O1926)),IF(M1926&lt;=O1926,"Valor ≤ venal IPTU",""),"")</f>
        <v/>
      </c>
      <c r="U1926" s="10">
        <f>IF(AND(ISNUMBER(M1926),ISNUMBER(N1926)),IF(N1926&gt;0,M1926/N1926,""),"")</f>
        <v/>
      </c>
      <c r="V1926" s="10">
        <f>IF(AND(ISNUMBER(M1926),ISNUMBER(O1926)),IF(O1926&gt;0,M1926/O1926,""),"")</f>
        <v/>
      </c>
      <c r="W1926" s="10">
        <f>IF(AND(ISNUMBER(M1926),ISNUMBER(R1926)),IF(R1926&gt;0,M1926/R1926,""),"")</f>
        <v/>
      </c>
      <c r="X1926" s="10">
        <f>IF(AND(ISNUMBER(Q1926),ISNUMBER(M1926)),IF(M1926&gt;0,Q1926/M1926,""),"")</f>
        <v/>
      </c>
      <c r="Y1926" s="11">
        <f>IF(ISNUMBER(Z1926),YEAR(Z1926),"")</f>
        <v/>
      </c>
      <c r="Z1926" s="12" t="n"/>
      <c r="AA1926" s="12" t="n"/>
      <c r="AI1926" s="12" t="n"/>
      <c r="AJ1926" s="13">
        <f>IF(LEN(TRIM(AF1926))=0,"",HYPERLINK("https://www.google.com/maps/@?api=1&amp;map_action=pano&amp;viewpoint="&amp;SUBSTITUTE(AF1926," ",""),"Abrir Street View"))</f>
        <v/>
      </c>
    </row>
    <row r="1927">
      <c r="H1927" s="6" t="n"/>
      <c r="I1927" s="6" t="n"/>
      <c r="M1927" s="7" t="n"/>
      <c r="N1927" s="7" t="n"/>
      <c r="O1927" s="7" t="n"/>
      <c r="Q1927" s="7" t="n"/>
      <c r="R1927" s="7" t="n"/>
      <c r="S1927" s="8">
        <f>IF(NOT(ISNUMBER(M1927)),"",IF(G1927="Terreno",IF(AND(ISNUMBER(I1927),I1927&gt;0),M1927/I1927,""),IF(AND(ISNUMBER(H1927),H1927&gt;0),M1927/H1927,"")))</f>
        <v/>
      </c>
      <c r="T1927" s="9">
        <f>IF(AND(ISNUMBER(M1927),ISNUMBER(O1927)),IF(M1927&lt;=O1927,"Valor ≤ venal IPTU",""),"")</f>
        <v/>
      </c>
      <c r="U1927" s="10">
        <f>IF(AND(ISNUMBER(M1927),ISNUMBER(N1927)),IF(N1927&gt;0,M1927/N1927,""),"")</f>
        <v/>
      </c>
      <c r="V1927" s="10">
        <f>IF(AND(ISNUMBER(M1927),ISNUMBER(O1927)),IF(O1927&gt;0,M1927/O1927,""),"")</f>
        <v/>
      </c>
      <c r="W1927" s="10">
        <f>IF(AND(ISNUMBER(M1927),ISNUMBER(R1927)),IF(R1927&gt;0,M1927/R1927,""),"")</f>
        <v/>
      </c>
      <c r="X1927" s="10">
        <f>IF(AND(ISNUMBER(Q1927),ISNUMBER(M1927)),IF(M1927&gt;0,Q1927/M1927,""),"")</f>
        <v/>
      </c>
      <c r="Y1927" s="11">
        <f>IF(ISNUMBER(Z1927),YEAR(Z1927),"")</f>
        <v/>
      </c>
      <c r="Z1927" s="12" t="n"/>
      <c r="AA1927" s="12" t="n"/>
      <c r="AI1927" s="12" t="n"/>
      <c r="AJ1927" s="13">
        <f>IF(LEN(TRIM(AF1927))=0,"",HYPERLINK("https://www.google.com/maps/@?api=1&amp;map_action=pano&amp;viewpoint="&amp;SUBSTITUTE(AF1927," ",""),"Abrir Street View"))</f>
        <v/>
      </c>
    </row>
    <row r="1928">
      <c r="H1928" s="6" t="n"/>
      <c r="I1928" s="6" t="n"/>
      <c r="M1928" s="7" t="n"/>
      <c r="N1928" s="7" t="n"/>
      <c r="O1928" s="7" t="n"/>
      <c r="Q1928" s="7" t="n"/>
      <c r="R1928" s="7" t="n"/>
      <c r="S1928" s="8">
        <f>IF(NOT(ISNUMBER(M1928)),"",IF(G1928="Terreno",IF(AND(ISNUMBER(I1928),I1928&gt;0),M1928/I1928,""),IF(AND(ISNUMBER(H1928),H1928&gt;0),M1928/H1928,"")))</f>
        <v/>
      </c>
      <c r="T1928" s="9">
        <f>IF(AND(ISNUMBER(M1928),ISNUMBER(O1928)),IF(M1928&lt;=O1928,"Valor ≤ venal IPTU",""),"")</f>
        <v/>
      </c>
      <c r="U1928" s="10">
        <f>IF(AND(ISNUMBER(M1928),ISNUMBER(N1928)),IF(N1928&gt;0,M1928/N1928,""),"")</f>
        <v/>
      </c>
      <c r="V1928" s="10">
        <f>IF(AND(ISNUMBER(M1928),ISNUMBER(O1928)),IF(O1928&gt;0,M1928/O1928,""),"")</f>
        <v/>
      </c>
      <c r="W1928" s="10">
        <f>IF(AND(ISNUMBER(M1928),ISNUMBER(R1928)),IF(R1928&gt;0,M1928/R1928,""),"")</f>
        <v/>
      </c>
      <c r="X1928" s="10">
        <f>IF(AND(ISNUMBER(Q1928),ISNUMBER(M1928)),IF(M1928&gt;0,Q1928/M1928,""),"")</f>
        <v/>
      </c>
      <c r="Y1928" s="11">
        <f>IF(ISNUMBER(Z1928),YEAR(Z1928),"")</f>
        <v/>
      </c>
      <c r="Z1928" s="12" t="n"/>
      <c r="AA1928" s="12" t="n"/>
      <c r="AI1928" s="12" t="n"/>
      <c r="AJ1928" s="13">
        <f>IF(LEN(TRIM(AF1928))=0,"",HYPERLINK("https://www.google.com/maps/@?api=1&amp;map_action=pano&amp;viewpoint="&amp;SUBSTITUTE(AF1928," ",""),"Abrir Street View"))</f>
        <v/>
      </c>
    </row>
    <row r="1929">
      <c r="H1929" s="6" t="n"/>
      <c r="I1929" s="6" t="n"/>
      <c r="M1929" s="7" t="n"/>
      <c r="N1929" s="7" t="n"/>
      <c r="O1929" s="7" t="n"/>
      <c r="Q1929" s="7" t="n"/>
      <c r="R1929" s="7" t="n"/>
      <c r="S1929" s="8">
        <f>IF(NOT(ISNUMBER(M1929)),"",IF(G1929="Terreno",IF(AND(ISNUMBER(I1929),I1929&gt;0),M1929/I1929,""),IF(AND(ISNUMBER(H1929),H1929&gt;0),M1929/H1929,"")))</f>
        <v/>
      </c>
      <c r="T1929" s="9">
        <f>IF(AND(ISNUMBER(M1929),ISNUMBER(O1929)),IF(M1929&lt;=O1929,"Valor ≤ venal IPTU",""),"")</f>
        <v/>
      </c>
      <c r="U1929" s="10">
        <f>IF(AND(ISNUMBER(M1929),ISNUMBER(N1929)),IF(N1929&gt;0,M1929/N1929,""),"")</f>
        <v/>
      </c>
      <c r="V1929" s="10">
        <f>IF(AND(ISNUMBER(M1929),ISNUMBER(O1929)),IF(O1929&gt;0,M1929/O1929,""),"")</f>
        <v/>
      </c>
      <c r="W1929" s="10">
        <f>IF(AND(ISNUMBER(M1929),ISNUMBER(R1929)),IF(R1929&gt;0,M1929/R1929,""),"")</f>
        <v/>
      </c>
      <c r="X1929" s="10">
        <f>IF(AND(ISNUMBER(Q1929),ISNUMBER(M1929)),IF(M1929&gt;0,Q1929/M1929,""),"")</f>
        <v/>
      </c>
      <c r="Y1929" s="11">
        <f>IF(ISNUMBER(Z1929),YEAR(Z1929),"")</f>
        <v/>
      </c>
      <c r="Z1929" s="12" t="n"/>
      <c r="AA1929" s="12" t="n"/>
      <c r="AI1929" s="12" t="n"/>
      <c r="AJ1929" s="13">
        <f>IF(LEN(TRIM(AF1929))=0,"",HYPERLINK("https://www.google.com/maps/@?api=1&amp;map_action=pano&amp;viewpoint="&amp;SUBSTITUTE(AF1929," ",""),"Abrir Street View"))</f>
        <v/>
      </c>
    </row>
    <row r="1930">
      <c r="H1930" s="6" t="n"/>
      <c r="I1930" s="6" t="n"/>
      <c r="M1930" s="7" t="n"/>
      <c r="N1930" s="7" t="n"/>
      <c r="O1930" s="7" t="n"/>
      <c r="Q1930" s="7" t="n"/>
      <c r="R1930" s="7" t="n"/>
      <c r="S1930" s="8">
        <f>IF(NOT(ISNUMBER(M1930)),"",IF(G1930="Terreno",IF(AND(ISNUMBER(I1930),I1930&gt;0),M1930/I1930,""),IF(AND(ISNUMBER(H1930),H1930&gt;0),M1930/H1930,"")))</f>
        <v/>
      </c>
      <c r="T1930" s="9">
        <f>IF(AND(ISNUMBER(M1930),ISNUMBER(O1930)),IF(M1930&lt;=O1930,"Valor ≤ venal IPTU",""),"")</f>
        <v/>
      </c>
      <c r="U1930" s="10">
        <f>IF(AND(ISNUMBER(M1930),ISNUMBER(N1930)),IF(N1930&gt;0,M1930/N1930,""),"")</f>
        <v/>
      </c>
      <c r="V1930" s="10">
        <f>IF(AND(ISNUMBER(M1930),ISNUMBER(O1930)),IF(O1930&gt;0,M1930/O1930,""),"")</f>
        <v/>
      </c>
      <c r="W1930" s="10">
        <f>IF(AND(ISNUMBER(M1930),ISNUMBER(R1930)),IF(R1930&gt;0,M1930/R1930,""),"")</f>
        <v/>
      </c>
      <c r="X1930" s="10">
        <f>IF(AND(ISNUMBER(Q1930),ISNUMBER(M1930)),IF(M1930&gt;0,Q1930/M1930,""),"")</f>
        <v/>
      </c>
      <c r="Y1930" s="11">
        <f>IF(ISNUMBER(Z1930),YEAR(Z1930),"")</f>
        <v/>
      </c>
      <c r="Z1930" s="12" t="n"/>
      <c r="AA1930" s="12" t="n"/>
      <c r="AI1930" s="12" t="n"/>
      <c r="AJ1930" s="13">
        <f>IF(LEN(TRIM(AF1930))=0,"",HYPERLINK("https://www.google.com/maps/@?api=1&amp;map_action=pano&amp;viewpoint="&amp;SUBSTITUTE(AF1930," ",""),"Abrir Street View"))</f>
        <v/>
      </c>
    </row>
    <row r="1931">
      <c r="H1931" s="6" t="n"/>
      <c r="I1931" s="6" t="n"/>
      <c r="M1931" s="7" t="n"/>
      <c r="N1931" s="7" t="n"/>
      <c r="O1931" s="7" t="n"/>
      <c r="Q1931" s="7" t="n"/>
      <c r="R1931" s="7" t="n"/>
      <c r="S1931" s="8">
        <f>IF(NOT(ISNUMBER(M1931)),"",IF(G1931="Terreno",IF(AND(ISNUMBER(I1931),I1931&gt;0),M1931/I1931,""),IF(AND(ISNUMBER(H1931),H1931&gt;0),M1931/H1931,"")))</f>
        <v/>
      </c>
      <c r="T1931" s="9">
        <f>IF(AND(ISNUMBER(M1931),ISNUMBER(O1931)),IF(M1931&lt;=O1931,"Valor ≤ venal IPTU",""),"")</f>
        <v/>
      </c>
      <c r="U1931" s="10">
        <f>IF(AND(ISNUMBER(M1931),ISNUMBER(N1931)),IF(N1931&gt;0,M1931/N1931,""),"")</f>
        <v/>
      </c>
      <c r="V1931" s="10">
        <f>IF(AND(ISNUMBER(M1931),ISNUMBER(O1931)),IF(O1931&gt;0,M1931/O1931,""),"")</f>
        <v/>
      </c>
      <c r="W1931" s="10">
        <f>IF(AND(ISNUMBER(M1931),ISNUMBER(R1931)),IF(R1931&gt;0,M1931/R1931,""),"")</f>
        <v/>
      </c>
      <c r="X1931" s="10">
        <f>IF(AND(ISNUMBER(Q1931),ISNUMBER(M1931)),IF(M1931&gt;0,Q1931/M1931,""),"")</f>
        <v/>
      </c>
      <c r="Y1931" s="11">
        <f>IF(ISNUMBER(Z1931),YEAR(Z1931),"")</f>
        <v/>
      </c>
      <c r="Z1931" s="12" t="n"/>
      <c r="AA1931" s="12" t="n"/>
      <c r="AI1931" s="12" t="n"/>
      <c r="AJ1931" s="13">
        <f>IF(LEN(TRIM(AF1931))=0,"",HYPERLINK("https://www.google.com/maps/@?api=1&amp;map_action=pano&amp;viewpoint="&amp;SUBSTITUTE(AF1931," ",""),"Abrir Street View"))</f>
        <v/>
      </c>
    </row>
    <row r="1932">
      <c r="H1932" s="6" t="n"/>
      <c r="I1932" s="6" t="n"/>
      <c r="M1932" s="7" t="n"/>
      <c r="N1932" s="7" t="n"/>
      <c r="O1932" s="7" t="n"/>
      <c r="Q1932" s="7" t="n"/>
      <c r="R1932" s="7" t="n"/>
      <c r="S1932" s="8">
        <f>IF(NOT(ISNUMBER(M1932)),"",IF(G1932="Terreno",IF(AND(ISNUMBER(I1932),I1932&gt;0),M1932/I1932,""),IF(AND(ISNUMBER(H1932),H1932&gt;0),M1932/H1932,"")))</f>
        <v/>
      </c>
      <c r="T1932" s="9">
        <f>IF(AND(ISNUMBER(M1932),ISNUMBER(O1932)),IF(M1932&lt;=O1932,"Valor ≤ venal IPTU",""),"")</f>
        <v/>
      </c>
      <c r="U1932" s="10">
        <f>IF(AND(ISNUMBER(M1932),ISNUMBER(N1932)),IF(N1932&gt;0,M1932/N1932,""),"")</f>
        <v/>
      </c>
      <c r="V1932" s="10">
        <f>IF(AND(ISNUMBER(M1932),ISNUMBER(O1932)),IF(O1932&gt;0,M1932/O1932,""),"")</f>
        <v/>
      </c>
      <c r="W1932" s="10">
        <f>IF(AND(ISNUMBER(M1932),ISNUMBER(R1932)),IF(R1932&gt;0,M1932/R1932,""),"")</f>
        <v/>
      </c>
      <c r="X1932" s="10">
        <f>IF(AND(ISNUMBER(Q1932),ISNUMBER(M1932)),IF(M1932&gt;0,Q1932/M1932,""),"")</f>
        <v/>
      </c>
      <c r="Y1932" s="11">
        <f>IF(ISNUMBER(Z1932),YEAR(Z1932),"")</f>
        <v/>
      </c>
      <c r="Z1932" s="12" t="n"/>
      <c r="AA1932" s="12" t="n"/>
      <c r="AI1932" s="12" t="n"/>
      <c r="AJ1932" s="13">
        <f>IF(LEN(TRIM(AF1932))=0,"",HYPERLINK("https://www.google.com/maps/@?api=1&amp;map_action=pano&amp;viewpoint="&amp;SUBSTITUTE(AF1932," ",""),"Abrir Street View"))</f>
        <v/>
      </c>
    </row>
    <row r="1933">
      <c r="H1933" s="6" t="n"/>
      <c r="I1933" s="6" t="n"/>
      <c r="M1933" s="7" t="n"/>
      <c r="N1933" s="7" t="n"/>
      <c r="O1933" s="7" t="n"/>
      <c r="Q1933" s="7" t="n"/>
      <c r="R1933" s="7" t="n"/>
      <c r="S1933" s="8">
        <f>IF(NOT(ISNUMBER(M1933)),"",IF(G1933="Terreno",IF(AND(ISNUMBER(I1933),I1933&gt;0),M1933/I1933,""),IF(AND(ISNUMBER(H1933),H1933&gt;0),M1933/H1933,"")))</f>
        <v/>
      </c>
      <c r="T1933" s="9">
        <f>IF(AND(ISNUMBER(M1933),ISNUMBER(O1933)),IF(M1933&lt;=O1933,"Valor ≤ venal IPTU",""),"")</f>
        <v/>
      </c>
      <c r="U1933" s="10">
        <f>IF(AND(ISNUMBER(M1933),ISNUMBER(N1933)),IF(N1933&gt;0,M1933/N1933,""),"")</f>
        <v/>
      </c>
      <c r="V1933" s="10">
        <f>IF(AND(ISNUMBER(M1933),ISNUMBER(O1933)),IF(O1933&gt;0,M1933/O1933,""),"")</f>
        <v/>
      </c>
      <c r="W1933" s="10">
        <f>IF(AND(ISNUMBER(M1933),ISNUMBER(R1933)),IF(R1933&gt;0,M1933/R1933,""),"")</f>
        <v/>
      </c>
      <c r="X1933" s="10">
        <f>IF(AND(ISNUMBER(Q1933),ISNUMBER(M1933)),IF(M1933&gt;0,Q1933/M1933,""),"")</f>
        <v/>
      </c>
      <c r="Y1933" s="11">
        <f>IF(ISNUMBER(Z1933),YEAR(Z1933),"")</f>
        <v/>
      </c>
      <c r="Z1933" s="12" t="n"/>
      <c r="AA1933" s="12" t="n"/>
      <c r="AI1933" s="12" t="n"/>
      <c r="AJ1933" s="13">
        <f>IF(LEN(TRIM(AF1933))=0,"",HYPERLINK("https://www.google.com/maps/@?api=1&amp;map_action=pano&amp;viewpoint="&amp;SUBSTITUTE(AF1933," ",""),"Abrir Street View"))</f>
        <v/>
      </c>
    </row>
    <row r="1934">
      <c r="H1934" s="6" t="n"/>
      <c r="I1934" s="6" t="n"/>
      <c r="M1934" s="7" t="n"/>
      <c r="N1934" s="7" t="n"/>
      <c r="O1934" s="7" t="n"/>
      <c r="Q1934" s="7" t="n"/>
      <c r="R1934" s="7" t="n"/>
      <c r="S1934" s="8">
        <f>IF(NOT(ISNUMBER(M1934)),"",IF(G1934="Terreno",IF(AND(ISNUMBER(I1934),I1934&gt;0),M1934/I1934,""),IF(AND(ISNUMBER(H1934),H1934&gt;0),M1934/H1934,"")))</f>
        <v/>
      </c>
      <c r="T1934" s="9">
        <f>IF(AND(ISNUMBER(M1934),ISNUMBER(O1934)),IF(M1934&lt;=O1934,"Valor ≤ venal IPTU",""),"")</f>
        <v/>
      </c>
      <c r="U1934" s="10">
        <f>IF(AND(ISNUMBER(M1934),ISNUMBER(N1934)),IF(N1934&gt;0,M1934/N1934,""),"")</f>
        <v/>
      </c>
      <c r="V1934" s="10">
        <f>IF(AND(ISNUMBER(M1934),ISNUMBER(O1934)),IF(O1934&gt;0,M1934/O1934,""),"")</f>
        <v/>
      </c>
      <c r="W1934" s="10">
        <f>IF(AND(ISNUMBER(M1934),ISNUMBER(R1934)),IF(R1934&gt;0,M1934/R1934,""),"")</f>
        <v/>
      </c>
      <c r="X1934" s="10">
        <f>IF(AND(ISNUMBER(Q1934),ISNUMBER(M1934)),IF(M1934&gt;0,Q1934/M1934,""),"")</f>
        <v/>
      </c>
      <c r="Y1934" s="11">
        <f>IF(ISNUMBER(Z1934),YEAR(Z1934),"")</f>
        <v/>
      </c>
      <c r="Z1934" s="12" t="n"/>
      <c r="AA1934" s="12" t="n"/>
      <c r="AI1934" s="12" t="n"/>
      <c r="AJ1934" s="13">
        <f>IF(LEN(TRIM(AF1934))=0,"",HYPERLINK("https://www.google.com/maps/@?api=1&amp;map_action=pano&amp;viewpoint="&amp;SUBSTITUTE(AF1934," ",""),"Abrir Street View"))</f>
        <v/>
      </c>
    </row>
    <row r="1935">
      <c r="H1935" s="6" t="n"/>
      <c r="I1935" s="6" t="n"/>
      <c r="M1935" s="7" t="n"/>
      <c r="N1935" s="7" t="n"/>
      <c r="O1935" s="7" t="n"/>
      <c r="Q1935" s="7" t="n"/>
      <c r="R1935" s="7" t="n"/>
      <c r="S1935" s="8">
        <f>IF(NOT(ISNUMBER(M1935)),"",IF(G1935="Terreno",IF(AND(ISNUMBER(I1935),I1935&gt;0),M1935/I1935,""),IF(AND(ISNUMBER(H1935),H1935&gt;0),M1935/H1935,"")))</f>
        <v/>
      </c>
      <c r="T1935" s="9">
        <f>IF(AND(ISNUMBER(M1935),ISNUMBER(O1935)),IF(M1935&lt;=O1935,"Valor ≤ venal IPTU",""),"")</f>
        <v/>
      </c>
      <c r="U1935" s="10">
        <f>IF(AND(ISNUMBER(M1935),ISNUMBER(N1935)),IF(N1935&gt;0,M1935/N1935,""),"")</f>
        <v/>
      </c>
      <c r="V1935" s="10">
        <f>IF(AND(ISNUMBER(M1935),ISNUMBER(O1935)),IF(O1935&gt;0,M1935/O1935,""),"")</f>
        <v/>
      </c>
      <c r="W1935" s="10">
        <f>IF(AND(ISNUMBER(M1935),ISNUMBER(R1935)),IF(R1935&gt;0,M1935/R1935,""),"")</f>
        <v/>
      </c>
      <c r="X1935" s="10">
        <f>IF(AND(ISNUMBER(Q1935),ISNUMBER(M1935)),IF(M1935&gt;0,Q1935/M1935,""),"")</f>
        <v/>
      </c>
      <c r="Y1935" s="11">
        <f>IF(ISNUMBER(Z1935),YEAR(Z1935),"")</f>
        <v/>
      </c>
      <c r="Z1935" s="12" t="n"/>
      <c r="AA1935" s="12" t="n"/>
      <c r="AI1935" s="12" t="n"/>
      <c r="AJ1935" s="13">
        <f>IF(LEN(TRIM(AF1935))=0,"",HYPERLINK("https://www.google.com/maps/@?api=1&amp;map_action=pano&amp;viewpoint="&amp;SUBSTITUTE(AF1935," ",""),"Abrir Street View"))</f>
        <v/>
      </c>
    </row>
    <row r="1936">
      <c r="H1936" s="6" t="n"/>
      <c r="I1936" s="6" t="n"/>
      <c r="M1936" s="7" t="n"/>
      <c r="N1936" s="7" t="n"/>
      <c r="O1936" s="7" t="n"/>
      <c r="Q1936" s="7" t="n"/>
      <c r="R1936" s="7" t="n"/>
      <c r="S1936" s="8">
        <f>IF(NOT(ISNUMBER(M1936)),"",IF(G1936="Terreno",IF(AND(ISNUMBER(I1936),I1936&gt;0),M1936/I1936,""),IF(AND(ISNUMBER(H1936),H1936&gt;0),M1936/H1936,"")))</f>
        <v/>
      </c>
      <c r="T1936" s="9">
        <f>IF(AND(ISNUMBER(M1936),ISNUMBER(O1936)),IF(M1936&lt;=O1936,"Valor ≤ venal IPTU",""),"")</f>
        <v/>
      </c>
      <c r="U1936" s="10">
        <f>IF(AND(ISNUMBER(M1936),ISNUMBER(N1936)),IF(N1936&gt;0,M1936/N1936,""),"")</f>
        <v/>
      </c>
      <c r="V1936" s="10">
        <f>IF(AND(ISNUMBER(M1936),ISNUMBER(O1936)),IF(O1936&gt;0,M1936/O1936,""),"")</f>
        <v/>
      </c>
      <c r="W1936" s="10">
        <f>IF(AND(ISNUMBER(M1936),ISNUMBER(R1936)),IF(R1936&gt;0,M1936/R1936,""),"")</f>
        <v/>
      </c>
      <c r="X1936" s="10">
        <f>IF(AND(ISNUMBER(Q1936),ISNUMBER(M1936)),IF(M1936&gt;0,Q1936/M1936,""),"")</f>
        <v/>
      </c>
      <c r="Y1936" s="11">
        <f>IF(ISNUMBER(Z1936),YEAR(Z1936),"")</f>
        <v/>
      </c>
      <c r="Z1936" s="12" t="n"/>
      <c r="AA1936" s="12" t="n"/>
      <c r="AI1936" s="12" t="n"/>
      <c r="AJ1936" s="13">
        <f>IF(LEN(TRIM(AF1936))=0,"",HYPERLINK("https://www.google.com/maps/@?api=1&amp;map_action=pano&amp;viewpoint="&amp;SUBSTITUTE(AF1936," ",""),"Abrir Street View"))</f>
        <v/>
      </c>
    </row>
    <row r="1937">
      <c r="H1937" s="6" t="n"/>
      <c r="I1937" s="6" t="n"/>
      <c r="M1937" s="7" t="n"/>
      <c r="N1937" s="7" t="n"/>
      <c r="O1937" s="7" t="n"/>
      <c r="Q1937" s="7" t="n"/>
      <c r="R1937" s="7" t="n"/>
      <c r="S1937" s="8">
        <f>IF(NOT(ISNUMBER(M1937)),"",IF(G1937="Terreno",IF(AND(ISNUMBER(I1937),I1937&gt;0),M1937/I1937,""),IF(AND(ISNUMBER(H1937),H1937&gt;0),M1937/H1937,"")))</f>
        <v/>
      </c>
      <c r="T1937" s="9">
        <f>IF(AND(ISNUMBER(M1937),ISNUMBER(O1937)),IF(M1937&lt;=O1937,"Valor ≤ venal IPTU",""),"")</f>
        <v/>
      </c>
      <c r="U1937" s="10">
        <f>IF(AND(ISNUMBER(M1937),ISNUMBER(N1937)),IF(N1937&gt;0,M1937/N1937,""),"")</f>
        <v/>
      </c>
      <c r="V1937" s="10">
        <f>IF(AND(ISNUMBER(M1937),ISNUMBER(O1937)),IF(O1937&gt;0,M1937/O1937,""),"")</f>
        <v/>
      </c>
      <c r="W1937" s="10">
        <f>IF(AND(ISNUMBER(M1937),ISNUMBER(R1937)),IF(R1937&gt;0,M1937/R1937,""),"")</f>
        <v/>
      </c>
      <c r="X1937" s="10">
        <f>IF(AND(ISNUMBER(Q1937),ISNUMBER(M1937)),IF(M1937&gt;0,Q1937/M1937,""),"")</f>
        <v/>
      </c>
      <c r="Y1937" s="11">
        <f>IF(ISNUMBER(Z1937),YEAR(Z1937),"")</f>
        <v/>
      </c>
      <c r="Z1937" s="12" t="n"/>
      <c r="AA1937" s="12" t="n"/>
      <c r="AI1937" s="12" t="n"/>
      <c r="AJ1937" s="13">
        <f>IF(LEN(TRIM(AF1937))=0,"",HYPERLINK("https://www.google.com/maps/@?api=1&amp;map_action=pano&amp;viewpoint="&amp;SUBSTITUTE(AF1937," ",""),"Abrir Street View"))</f>
        <v/>
      </c>
    </row>
    <row r="1938">
      <c r="H1938" s="6" t="n"/>
      <c r="I1938" s="6" t="n"/>
      <c r="M1938" s="7" t="n"/>
      <c r="N1938" s="7" t="n"/>
      <c r="O1938" s="7" t="n"/>
      <c r="Q1938" s="7" t="n"/>
      <c r="R1938" s="7" t="n"/>
      <c r="S1938" s="8">
        <f>IF(NOT(ISNUMBER(M1938)),"",IF(G1938="Terreno",IF(AND(ISNUMBER(I1938),I1938&gt;0),M1938/I1938,""),IF(AND(ISNUMBER(H1938),H1938&gt;0),M1938/H1938,"")))</f>
        <v/>
      </c>
      <c r="T1938" s="9">
        <f>IF(AND(ISNUMBER(M1938),ISNUMBER(O1938)),IF(M1938&lt;=O1938,"Valor ≤ venal IPTU",""),"")</f>
        <v/>
      </c>
      <c r="U1938" s="10">
        <f>IF(AND(ISNUMBER(M1938),ISNUMBER(N1938)),IF(N1938&gt;0,M1938/N1938,""),"")</f>
        <v/>
      </c>
      <c r="V1938" s="10">
        <f>IF(AND(ISNUMBER(M1938),ISNUMBER(O1938)),IF(O1938&gt;0,M1938/O1938,""),"")</f>
        <v/>
      </c>
      <c r="W1938" s="10">
        <f>IF(AND(ISNUMBER(M1938),ISNUMBER(R1938)),IF(R1938&gt;0,M1938/R1938,""),"")</f>
        <v/>
      </c>
      <c r="X1938" s="10">
        <f>IF(AND(ISNUMBER(Q1938),ISNUMBER(M1938)),IF(M1938&gt;0,Q1938/M1938,""),"")</f>
        <v/>
      </c>
      <c r="Y1938" s="11">
        <f>IF(ISNUMBER(Z1938),YEAR(Z1938),"")</f>
        <v/>
      </c>
      <c r="Z1938" s="12" t="n"/>
      <c r="AA1938" s="12" t="n"/>
      <c r="AI1938" s="12" t="n"/>
      <c r="AJ1938" s="13">
        <f>IF(LEN(TRIM(AF1938))=0,"",HYPERLINK("https://www.google.com/maps/@?api=1&amp;map_action=pano&amp;viewpoint="&amp;SUBSTITUTE(AF1938," ",""),"Abrir Street View"))</f>
        <v/>
      </c>
    </row>
    <row r="1939">
      <c r="H1939" s="6" t="n"/>
      <c r="I1939" s="6" t="n"/>
      <c r="M1939" s="7" t="n"/>
      <c r="N1939" s="7" t="n"/>
      <c r="O1939" s="7" t="n"/>
      <c r="Q1939" s="7" t="n"/>
      <c r="R1939" s="7" t="n"/>
      <c r="S1939" s="8">
        <f>IF(NOT(ISNUMBER(M1939)),"",IF(G1939="Terreno",IF(AND(ISNUMBER(I1939),I1939&gt;0),M1939/I1939,""),IF(AND(ISNUMBER(H1939),H1939&gt;0),M1939/H1939,"")))</f>
        <v/>
      </c>
      <c r="T1939" s="9">
        <f>IF(AND(ISNUMBER(M1939),ISNUMBER(O1939)),IF(M1939&lt;=O1939,"Valor ≤ venal IPTU",""),"")</f>
        <v/>
      </c>
      <c r="U1939" s="10">
        <f>IF(AND(ISNUMBER(M1939),ISNUMBER(N1939)),IF(N1939&gt;0,M1939/N1939,""),"")</f>
        <v/>
      </c>
      <c r="V1939" s="10">
        <f>IF(AND(ISNUMBER(M1939),ISNUMBER(O1939)),IF(O1939&gt;0,M1939/O1939,""),"")</f>
        <v/>
      </c>
      <c r="W1939" s="10">
        <f>IF(AND(ISNUMBER(M1939),ISNUMBER(R1939)),IF(R1939&gt;0,M1939/R1939,""),"")</f>
        <v/>
      </c>
      <c r="X1939" s="10">
        <f>IF(AND(ISNUMBER(Q1939),ISNUMBER(M1939)),IF(M1939&gt;0,Q1939/M1939,""),"")</f>
        <v/>
      </c>
      <c r="Y1939" s="11">
        <f>IF(ISNUMBER(Z1939),YEAR(Z1939),"")</f>
        <v/>
      </c>
      <c r="Z1939" s="12" t="n"/>
      <c r="AA1939" s="12" t="n"/>
      <c r="AI1939" s="12" t="n"/>
      <c r="AJ1939" s="13">
        <f>IF(LEN(TRIM(AF1939))=0,"",HYPERLINK("https://www.google.com/maps/@?api=1&amp;map_action=pano&amp;viewpoint="&amp;SUBSTITUTE(AF1939," ",""),"Abrir Street View"))</f>
        <v/>
      </c>
    </row>
    <row r="1940">
      <c r="H1940" s="6" t="n"/>
      <c r="I1940" s="6" t="n"/>
      <c r="M1940" s="7" t="n"/>
      <c r="N1940" s="7" t="n"/>
      <c r="O1940" s="7" t="n"/>
      <c r="Q1940" s="7" t="n"/>
      <c r="R1940" s="7" t="n"/>
      <c r="S1940" s="8">
        <f>IF(NOT(ISNUMBER(M1940)),"",IF(G1940="Terreno",IF(AND(ISNUMBER(I1940),I1940&gt;0),M1940/I1940,""),IF(AND(ISNUMBER(H1940),H1940&gt;0),M1940/H1940,"")))</f>
        <v/>
      </c>
      <c r="T1940" s="9">
        <f>IF(AND(ISNUMBER(M1940),ISNUMBER(O1940)),IF(M1940&lt;=O1940,"Valor ≤ venal IPTU",""),"")</f>
        <v/>
      </c>
      <c r="U1940" s="10">
        <f>IF(AND(ISNUMBER(M1940),ISNUMBER(N1940)),IF(N1940&gt;0,M1940/N1940,""),"")</f>
        <v/>
      </c>
      <c r="V1940" s="10">
        <f>IF(AND(ISNUMBER(M1940),ISNUMBER(O1940)),IF(O1940&gt;0,M1940/O1940,""),"")</f>
        <v/>
      </c>
      <c r="W1940" s="10">
        <f>IF(AND(ISNUMBER(M1940),ISNUMBER(R1940)),IF(R1940&gt;0,M1940/R1940,""),"")</f>
        <v/>
      </c>
      <c r="X1940" s="10">
        <f>IF(AND(ISNUMBER(Q1940),ISNUMBER(M1940)),IF(M1940&gt;0,Q1940/M1940,""),"")</f>
        <v/>
      </c>
      <c r="Y1940" s="11">
        <f>IF(ISNUMBER(Z1940),YEAR(Z1940),"")</f>
        <v/>
      </c>
      <c r="Z1940" s="12" t="n"/>
      <c r="AA1940" s="12" t="n"/>
      <c r="AI1940" s="12" t="n"/>
      <c r="AJ1940" s="13">
        <f>IF(LEN(TRIM(AF1940))=0,"",HYPERLINK("https://www.google.com/maps/@?api=1&amp;map_action=pano&amp;viewpoint="&amp;SUBSTITUTE(AF1940," ",""),"Abrir Street View"))</f>
        <v/>
      </c>
    </row>
    <row r="1941">
      <c r="H1941" s="6" t="n"/>
      <c r="I1941" s="6" t="n"/>
      <c r="M1941" s="7" t="n"/>
      <c r="N1941" s="7" t="n"/>
      <c r="O1941" s="7" t="n"/>
      <c r="Q1941" s="7" t="n"/>
      <c r="R1941" s="7" t="n"/>
      <c r="S1941" s="8">
        <f>IF(NOT(ISNUMBER(M1941)),"",IF(G1941="Terreno",IF(AND(ISNUMBER(I1941),I1941&gt;0),M1941/I1941,""),IF(AND(ISNUMBER(H1941),H1941&gt;0),M1941/H1941,"")))</f>
        <v/>
      </c>
      <c r="T1941" s="9">
        <f>IF(AND(ISNUMBER(M1941),ISNUMBER(O1941)),IF(M1941&lt;=O1941,"Valor ≤ venal IPTU",""),"")</f>
        <v/>
      </c>
      <c r="U1941" s="10">
        <f>IF(AND(ISNUMBER(M1941),ISNUMBER(N1941)),IF(N1941&gt;0,M1941/N1941,""),"")</f>
        <v/>
      </c>
      <c r="V1941" s="10">
        <f>IF(AND(ISNUMBER(M1941),ISNUMBER(O1941)),IF(O1941&gt;0,M1941/O1941,""),"")</f>
        <v/>
      </c>
      <c r="W1941" s="10">
        <f>IF(AND(ISNUMBER(M1941),ISNUMBER(R1941)),IF(R1941&gt;0,M1941/R1941,""),"")</f>
        <v/>
      </c>
      <c r="X1941" s="10">
        <f>IF(AND(ISNUMBER(Q1941),ISNUMBER(M1941)),IF(M1941&gt;0,Q1941/M1941,""),"")</f>
        <v/>
      </c>
      <c r="Y1941" s="11">
        <f>IF(ISNUMBER(Z1941),YEAR(Z1941),"")</f>
        <v/>
      </c>
      <c r="Z1941" s="12" t="n"/>
      <c r="AA1941" s="12" t="n"/>
      <c r="AI1941" s="12" t="n"/>
      <c r="AJ1941" s="13">
        <f>IF(LEN(TRIM(AF1941))=0,"",HYPERLINK("https://www.google.com/maps/@?api=1&amp;map_action=pano&amp;viewpoint="&amp;SUBSTITUTE(AF1941," ",""),"Abrir Street View"))</f>
        <v/>
      </c>
    </row>
    <row r="1942">
      <c r="H1942" s="6" t="n"/>
      <c r="I1942" s="6" t="n"/>
      <c r="M1942" s="7" t="n"/>
      <c r="N1942" s="7" t="n"/>
      <c r="O1942" s="7" t="n"/>
      <c r="Q1942" s="7" t="n"/>
      <c r="R1942" s="7" t="n"/>
      <c r="S1942" s="8">
        <f>IF(NOT(ISNUMBER(M1942)),"",IF(G1942="Terreno",IF(AND(ISNUMBER(I1942),I1942&gt;0),M1942/I1942,""),IF(AND(ISNUMBER(H1942),H1942&gt;0),M1942/H1942,"")))</f>
        <v/>
      </c>
      <c r="T1942" s="9">
        <f>IF(AND(ISNUMBER(M1942),ISNUMBER(O1942)),IF(M1942&lt;=O1942,"Valor ≤ venal IPTU",""),"")</f>
        <v/>
      </c>
      <c r="U1942" s="10">
        <f>IF(AND(ISNUMBER(M1942),ISNUMBER(N1942)),IF(N1942&gt;0,M1942/N1942,""),"")</f>
        <v/>
      </c>
      <c r="V1942" s="10">
        <f>IF(AND(ISNUMBER(M1942),ISNUMBER(O1942)),IF(O1942&gt;0,M1942/O1942,""),"")</f>
        <v/>
      </c>
      <c r="W1942" s="10">
        <f>IF(AND(ISNUMBER(M1942),ISNUMBER(R1942)),IF(R1942&gt;0,M1942/R1942,""),"")</f>
        <v/>
      </c>
      <c r="X1942" s="10">
        <f>IF(AND(ISNUMBER(Q1942),ISNUMBER(M1942)),IF(M1942&gt;0,Q1942/M1942,""),"")</f>
        <v/>
      </c>
      <c r="Y1942" s="11">
        <f>IF(ISNUMBER(Z1942),YEAR(Z1942),"")</f>
        <v/>
      </c>
      <c r="Z1942" s="12" t="n"/>
      <c r="AA1942" s="12" t="n"/>
      <c r="AI1942" s="12" t="n"/>
      <c r="AJ1942" s="13">
        <f>IF(LEN(TRIM(AF1942))=0,"",HYPERLINK("https://www.google.com/maps/@?api=1&amp;map_action=pano&amp;viewpoint="&amp;SUBSTITUTE(AF1942," ",""),"Abrir Street View"))</f>
        <v/>
      </c>
    </row>
    <row r="1943">
      <c r="H1943" s="6" t="n"/>
      <c r="I1943" s="6" t="n"/>
      <c r="M1943" s="7" t="n"/>
      <c r="N1943" s="7" t="n"/>
      <c r="O1943" s="7" t="n"/>
      <c r="Q1943" s="7" t="n"/>
      <c r="R1943" s="7" t="n"/>
      <c r="S1943" s="8">
        <f>IF(NOT(ISNUMBER(M1943)),"",IF(G1943="Terreno",IF(AND(ISNUMBER(I1943),I1943&gt;0),M1943/I1943,""),IF(AND(ISNUMBER(H1943),H1943&gt;0),M1943/H1943,"")))</f>
        <v/>
      </c>
      <c r="T1943" s="9">
        <f>IF(AND(ISNUMBER(M1943),ISNUMBER(O1943)),IF(M1943&lt;=O1943,"Valor ≤ venal IPTU",""),"")</f>
        <v/>
      </c>
      <c r="U1943" s="10">
        <f>IF(AND(ISNUMBER(M1943),ISNUMBER(N1943)),IF(N1943&gt;0,M1943/N1943,""),"")</f>
        <v/>
      </c>
      <c r="V1943" s="10">
        <f>IF(AND(ISNUMBER(M1943),ISNUMBER(O1943)),IF(O1943&gt;0,M1943/O1943,""),"")</f>
        <v/>
      </c>
      <c r="W1943" s="10">
        <f>IF(AND(ISNUMBER(M1943),ISNUMBER(R1943)),IF(R1943&gt;0,M1943/R1943,""),"")</f>
        <v/>
      </c>
      <c r="X1943" s="10">
        <f>IF(AND(ISNUMBER(Q1943),ISNUMBER(M1943)),IF(M1943&gt;0,Q1943/M1943,""),"")</f>
        <v/>
      </c>
      <c r="Y1943" s="11">
        <f>IF(ISNUMBER(Z1943),YEAR(Z1943),"")</f>
        <v/>
      </c>
      <c r="Z1943" s="12" t="n"/>
      <c r="AA1943" s="12" t="n"/>
      <c r="AI1943" s="12" t="n"/>
      <c r="AJ1943" s="13">
        <f>IF(LEN(TRIM(AF1943))=0,"",HYPERLINK("https://www.google.com/maps/@?api=1&amp;map_action=pano&amp;viewpoint="&amp;SUBSTITUTE(AF1943," ",""),"Abrir Street View"))</f>
        <v/>
      </c>
    </row>
    <row r="1944">
      <c r="H1944" s="6" t="n"/>
      <c r="I1944" s="6" t="n"/>
      <c r="M1944" s="7" t="n"/>
      <c r="N1944" s="7" t="n"/>
      <c r="O1944" s="7" t="n"/>
      <c r="Q1944" s="7" t="n"/>
      <c r="R1944" s="7" t="n"/>
      <c r="S1944" s="8">
        <f>IF(NOT(ISNUMBER(M1944)),"",IF(G1944="Terreno",IF(AND(ISNUMBER(I1944),I1944&gt;0),M1944/I1944,""),IF(AND(ISNUMBER(H1944),H1944&gt;0),M1944/H1944,"")))</f>
        <v/>
      </c>
      <c r="T1944" s="9">
        <f>IF(AND(ISNUMBER(M1944),ISNUMBER(O1944)),IF(M1944&lt;=O1944,"Valor ≤ venal IPTU",""),"")</f>
        <v/>
      </c>
      <c r="U1944" s="10">
        <f>IF(AND(ISNUMBER(M1944),ISNUMBER(N1944)),IF(N1944&gt;0,M1944/N1944,""),"")</f>
        <v/>
      </c>
      <c r="V1944" s="10">
        <f>IF(AND(ISNUMBER(M1944),ISNUMBER(O1944)),IF(O1944&gt;0,M1944/O1944,""),"")</f>
        <v/>
      </c>
      <c r="W1944" s="10">
        <f>IF(AND(ISNUMBER(M1944),ISNUMBER(R1944)),IF(R1944&gt;0,M1944/R1944,""),"")</f>
        <v/>
      </c>
      <c r="X1944" s="10">
        <f>IF(AND(ISNUMBER(Q1944),ISNUMBER(M1944)),IF(M1944&gt;0,Q1944/M1944,""),"")</f>
        <v/>
      </c>
      <c r="Y1944" s="11">
        <f>IF(ISNUMBER(Z1944),YEAR(Z1944),"")</f>
        <v/>
      </c>
      <c r="Z1944" s="12" t="n"/>
      <c r="AA1944" s="12" t="n"/>
      <c r="AI1944" s="12" t="n"/>
      <c r="AJ1944" s="13">
        <f>IF(LEN(TRIM(AF1944))=0,"",HYPERLINK("https://www.google.com/maps/@?api=1&amp;map_action=pano&amp;viewpoint="&amp;SUBSTITUTE(AF1944," ",""),"Abrir Street View"))</f>
        <v/>
      </c>
    </row>
    <row r="1945">
      <c r="H1945" s="6" t="n"/>
      <c r="I1945" s="6" t="n"/>
      <c r="M1945" s="7" t="n"/>
      <c r="N1945" s="7" t="n"/>
      <c r="O1945" s="7" t="n"/>
      <c r="Q1945" s="7" t="n"/>
      <c r="R1945" s="7" t="n"/>
      <c r="S1945" s="8">
        <f>IF(NOT(ISNUMBER(M1945)),"",IF(G1945="Terreno",IF(AND(ISNUMBER(I1945),I1945&gt;0),M1945/I1945,""),IF(AND(ISNUMBER(H1945),H1945&gt;0),M1945/H1945,"")))</f>
        <v/>
      </c>
      <c r="T1945" s="9">
        <f>IF(AND(ISNUMBER(M1945),ISNUMBER(O1945)),IF(M1945&lt;=O1945,"Valor ≤ venal IPTU",""),"")</f>
        <v/>
      </c>
      <c r="U1945" s="10">
        <f>IF(AND(ISNUMBER(M1945),ISNUMBER(N1945)),IF(N1945&gt;0,M1945/N1945,""),"")</f>
        <v/>
      </c>
      <c r="V1945" s="10">
        <f>IF(AND(ISNUMBER(M1945),ISNUMBER(O1945)),IF(O1945&gt;0,M1945/O1945,""),"")</f>
        <v/>
      </c>
      <c r="W1945" s="10">
        <f>IF(AND(ISNUMBER(M1945),ISNUMBER(R1945)),IF(R1945&gt;0,M1945/R1945,""),"")</f>
        <v/>
      </c>
      <c r="X1945" s="10">
        <f>IF(AND(ISNUMBER(Q1945),ISNUMBER(M1945)),IF(M1945&gt;0,Q1945/M1945,""),"")</f>
        <v/>
      </c>
      <c r="Y1945" s="11">
        <f>IF(ISNUMBER(Z1945),YEAR(Z1945),"")</f>
        <v/>
      </c>
      <c r="Z1945" s="12" t="n"/>
      <c r="AA1945" s="12" t="n"/>
      <c r="AI1945" s="12" t="n"/>
      <c r="AJ1945" s="13">
        <f>IF(LEN(TRIM(AF1945))=0,"",HYPERLINK("https://www.google.com/maps/@?api=1&amp;map_action=pano&amp;viewpoint="&amp;SUBSTITUTE(AF1945," ",""),"Abrir Street View"))</f>
        <v/>
      </c>
    </row>
    <row r="1946">
      <c r="H1946" s="6" t="n"/>
      <c r="I1946" s="6" t="n"/>
      <c r="M1946" s="7" t="n"/>
      <c r="N1946" s="7" t="n"/>
      <c r="O1946" s="7" t="n"/>
      <c r="Q1946" s="7" t="n"/>
      <c r="R1946" s="7" t="n"/>
      <c r="S1946" s="8">
        <f>IF(NOT(ISNUMBER(M1946)),"",IF(G1946="Terreno",IF(AND(ISNUMBER(I1946),I1946&gt;0),M1946/I1946,""),IF(AND(ISNUMBER(H1946),H1946&gt;0),M1946/H1946,"")))</f>
        <v/>
      </c>
      <c r="T1946" s="9">
        <f>IF(AND(ISNUMBER(M1946),ISNUMBER(O1946)),IF(M1946&lt;=O1946,"Valor ≤ venal IPTU",""),"")</f>
        <v/>
      </c>
      <c r="U1946" s="10">
        <f>IF(AND(ISNUMBER(M1946),ISNUMBER(N1946)),IF(N1946&gt;0,M1946/N1946,""),"")</f>
        <v/>
      </c>
      <c r="V1946" s="10">
        <f>IF(AND(ISNUMBER(M1946),ISNUMBER(O1946)),IF(O1946&gt;0,M1946/O1946,""),"")</f>
        <v/>
      </c>
      <c r="W1946" s="10">
        <f>IF(AND(ISNUMBER(M1946),ISNUMBER(R1946)),IF(R1946&gt;0,M1946/R1946,""),"")</f>
        <v/>
      </c>
      <c r="X1946" s="10">
        <f>IF(AND(ISNUMBER(Q1946),ISNUMBER(M1946)),IF(M1946&gt;0,Q1946/M1946,""),"")</f>
        <v/>
      </c>
      <c r="Y1946" s="11">
        <f>IF(ISNUMBER(Z1946),YEAR(Z1946),"")</f>
        <v/>
      </c>
      <c r="Z1946" s="12" t="n"/>
      <c r="AA1946" s="12" t="n"/>
      <c r="AI1946" s="12" t="n"/>
      <c r="AJ1946" s="13">
        <f>IF(LEN(TRIM(AF1946))=0,"",HYPERLINK("https://www.google.com/maps/@?api=1&amp;map_action=pano&amp;viewpoint="&amp;SUBSTITUTE(AF1946," ",""),"Abrir Street View"))</f>
        <v/>
      </c>
    </row>
    <row r="1947">
      <c r="H1947" s="6" t="n"/>
      <c r="I1947" s="6" t="n"/>
      <c r="M1947" s="7" t="n"/>
      <c r="N1947" s="7" t="n"/>
      <c r="O1947" s="7" t="n"/>
      <c r="Q1947" s="7" t="n"/>
      <c r="R1947" s="7" t="n"/>
      <c r="S1947" s="8">
        <f>IF(NOT(ISNUMBER(M1947)),"",IF(G1947="Terreno",IF(AND(ISNUMBER(I1947),I1947&gt;0),M1947/I1947,""),IF(AND(ISNUMBER(H1947),H1947&gt;0),M1947/H1947,"")))</f>
        <v/>
      </c>
      <c r="T1947" s="9">
        <f>IF(AND(ISNUMBER(M1947),ISNUMBER(O1947)),IF(M1947&lt;=O1947,"Valor ≤ venal IPTU",""),"")</f>
        <v/>
      </c>
      <c r="U1947" s="10">
        <f>IF(AND(ISNUMBER(M1947),ISNUMBER(N1947)),IF(N1947&gt;0,M1947/N1947,""),"")</f>
        <v/>
      </c>
      <c r="V1947" s="10">
        <f>IF(AND(ISNUMBER(M1947),ISNUMBER(O1947)),IF(O1947&gt;0,M1947/O1947,""),"")</f>
        <v/>
      </c>
      <c r="W1947" s="10">
        <f>IF(AND(ISNUMBER(M1947),ISNUMBER(R1947)),IF(R1947&gt;0,M1947/R1947,""),"")</f>
        <v/>
      </c>
      <c r="X1947" s="10">
        <f>IF(AND(ISNUMBER(Q1947),ISNUMBER(M1947)),IF(M1947&gt;0,Q1947/M1947,""),"")</f>
        <v/>
      </c>
      <c r="Y1947" s="11">
        <f>IF(ISNUMBER(Z1947),YEAR(Z1947),"")</f>
        <v/>
      </c>
      <c r="Z1947" s="12" t="n"/>
      <c r="AA1947" s="12" t="n"/>
      <c r="AI1947" s="12" t="n"/>
      <c r="AJ1947" s="13">
        <f>IF(LEN(TRIM(AF1947))=0,"",HYPERLINK("https://www.google.com/maps/@?api=1&amp;map_action=pano&amp;viewpoint="&amp;SUBSTITUTE(AF1947," ",""),"Abrir Street View"))</f>
        <v/>
      </c>
    </row>
    <row r="1948">
      <c r="H1948" s="6" t="n"/>
      <c r="I1948" s="6" t="n"/>
      <c r="M1948" s="7" t="n"/>
      <c r="N1948" s="7" t="n"/>
      <c r="O1948" s="7" t="n"/>
      <c r="Q1948" s="7" t="n"/>
      <c r="R1948" s="7" t="n"/>
      <c r="S1948" s="8">
        <f>IF(NOT(ISNUMBER(M1948)),"",IF(G1948="Terreno",IF(AND(ISNUMBER(I1948),I1948&gt;0),M1948/I1948,""),IF(AND(ISNUMBER(H1948),H1948&gt;0),M1948/H1948,"")))</f>
        <v/>
      </c>
      <c r="T1948" s="9">
        <f>IF(AND(ISNUMBER(M1948),ISNUMBER(O1948)),IF(M1948&lt;=O1948,"Valor ≤ venal IPTU",""),"")</f>
        <v/>
      </c>
      <c r="U1948" s="10">
        <f>IF(AND(ISNUMBER(M1948),ISNUMBER(N1948)),IF(N1948&gt;0,M1948/N1948,""),"")</f>
        <v/>
      </c>
      <c r="V1948" s="10">
        <f>IF(AND(ISNUMBER(M1948),ISNUMBER(O1948)),IF(O1948&gt;0,M1948/O1948,""),"")</f>
        <v/>
      </c>
      <c r="W1948" s="10">
        <f>IF(AND(ISNUMBER(M1948),ISNUMBER(R1948)),IF(R1948&gt;0,M1948/R1948,""),"")</f>
        <v/>
      </c>
      <c r="X1948" s="10">
        <f>IF(AND(ISNUMBER(Q1948),ISNUMBER(M1948)),IF(M1948&gt;0,Q1948/M1948,""),"")</f>
        <v/>
      </c>
      <c r="Y1948" s="11">
        <f>IF(ISNUMBER(Z1948),YEAR(Z1948),"")</f>
        <v/>
      </c>
      <c r="Z1948" s="12" t="n"/>
      <c r="AA1948" s="12" t="n"/>
      <c r="AI1948" s="12" t="n"/>
      <c r="AJ1948" s="13">
        <f>IF(LEN(TRIM(AF1948))=0,"",HYPERLINK("https://www.google.com/maps/@?api=1&amp;map_action=pano&amp;viewpoint="&amp;SUBSTITUTE(AF1948," ",""),"Abrir Street View"))</f>
        <v/>
      </c>
    </row>
    <row r="1949">
      <c r="H1949" s="6" t="n"/>
      <c r="I1949" s="6" t="n"/>
      <c r="M1949" s="7" t="n"/>
      <c r="N1949" s="7" t="n"/>
      <c r="O1949" s="7" t="n"/>
      <c r="Q1949" s="7" t="n"/>
      <c r="R1949" s="7" t="n"/>
      <c r="S1949" s="8">
        <f>IF(NOT(ISNUMBER(M1949)),"",IF(G1949="Terreno",IF(AND(ISNUMBER(I1949),I1949&gt;0),M1949/I1949,""),IF(AND(ISNUMBER(H1949),H1949&gt;0),M1949/H1949,"")))</f>
        <v/>
      </c>
      <c r="T1949" s="9">
        <f>IF(AND(ISNUMBER(M1949),ISNUMBER(O1949)),IF(M1949&lt;=O1949,"Valor ≤ venal IPTU",""),"")</f>
        <v/>
      </c>
      <c r="U1949" s="10">
        <f>IF(AND(ISNUMBER(M1949),ISNUMBER(N1949)),IF(N1949&gt;0,M1949/N1949,""),"")</f>
        <v/>
      </c>
      <c r="V1949" s="10">
        <f>IF(AND(ISNUMBER(M1949),ISNUMBER(O1949)),IF(O1949&gt;0,M1949/O1949,""),"")</f>
        <v/>
      </c>
      <c r="W1949" s="10">
        <f>IF(AND(ISNUMBER(M1949),ISNUMBER(R1949)),IF(R1949&gt;0,M1949/R1949,""),"")</f>
        <v/>
      </c>
      <c r="X1949" s="10">
        <f>IF(AND(ISNUMBER(Q1949),ISNUMBER(M1949)),IF(M1949&gt;0,Q1949/M1949,""),"")</f>
        <v/>
      </c>
      <c r="Y1949" s="11">
        <f>IF(ISNUMBER(Z1949),YEAR(Z1949),"")</f>
        <v/>
      </c>
      <c r="Z1949" s="12" t="n"/>
      <c r="AA1949" s="12" t="n"/>
      <c r="AI1949" s="12" t="n"/>
      <c r="AJ1949" s="13">
        <f>IF(LEN(TRIM(AF1949))=0,"",HYPERLINK("https://www.google.com/maps/@?api=1&amp;map_action=pano&amp;viewpoint="&amp;SUBSTITUTE(AF1949," ",""),"Abrir Street View"))</f>
        <v/>
      </c>
    </row>
    <row r="1950">
      <c r="H1950" s="6" t="n"/>
      <c r="I1950" s="6" t="n"/>
      <c r="M1950" s="7" t="n"/>
      <c r="N1950" s="7" t="n"/>
      <c r="O1950" s="7" t="n"/>
      <c r="Q1950" s="7" t="n"/>
      <c r="R1950" s="7" t="n"/>
      <c r="S1950" s="8">
        <f>IF(NOT(ISNUMBER(M1950)),"",IF(G1950="Terreno",IF(AND(ISNUMBER(I1950),I1950&gt;0),M1950/I1950,""),IF(AND(ISNUMBER(H1950),H1950&gt;0),M1950/H1950,"")))</f>
        <v/>
      </c>
      <c r="T1950" s="9">
        <f>IF(AND(ISNUMBER(M1950),ISNUMBER(O1950)),IF(M1950&lt;=O1950,"Valor ≤ venal IPTU",""),"")</f>
        <v/>
      </c>
      <c r="U1950" s="10">
        <f>IF(AND(ISNUMBER(M1950),ISNUMBER(N1950)),IF(N1950&gt;0,M1950/N1950,""),"")</f>
        <v/>
      </c>
      <c r="V1950" s="10">
        <f>IF(AND(ISNUMBER(M1950),ISNUMBER(O1950)),IF(O1950&gt;0,M1950/O1950,""),"")</f>
        <v/>
      </c>
      <c r="W1950" s="10">
        <f>IF(AND(ISNUMBER(M1950),ISNUMBER(R1950)),IF(R1950&gt;0,M1950/R1950,""),"")</f>
        <v/>
      </c>
      <c r="X1950" s="10">
        <f>IF(AND(ISNUMBER(Q1950),ISNUMBER(M1950)),IF(M1950&gt;0,Q1950/M1950,""),"")</f>
        <v/>
      </c>
      <c r="Y1950" s="11">
        <f>IF(ISNUMBER(Z1950),YEAR(Z1950),"")</f>
        <v/>
      </c>
      <c r="Z1950" s="12" t="n"/>
      <c r="AA1950" s="12" t="n"/>
      <c r="AI1950" s="12" t="n"/>
      <c r="AJ1950" s="13">
        <f>IF(LEN(TRIM(AF1950))=0,"",HYPERLINK("https://www.google.com/maps/@?api=1&amp;map_action=pano&amp;viewpoint="&amp;SUBSTITUTE(AF1950," ",""),"Abrir Street View"))</f>
        <v/>
      </c>
    </row>
    <row r="1951">
      <c r="H1951" s="6" t="n"/>
      <c r="I1951" s="6" t="n"/>
      <c r="M1951" s="7" t="n"/>
      <c r="N1951" s="7" t="n"/>
      <c r="O1951" s="7" t="n"/>
      <c r="Q1951" s="7" t="n"/>
      <c r="R1951" s="7" t="n"/>
      <c r="S1951" s="8">
        <f>IF(NOT(ISNUMBER(M1951)),"",IF(G1951="Terreno",IF(AND(ISNUMBER(I1951),I1951&gt;0),M1951/I1951,""),IF(AND(ISNUMBER(H1951),H1951&gt;0),M1951/H1951,"")))</f>
        <v/>
      </c>
      <c r="T1951" s="9">
        <f>IF(AND(ISNUMBER(M1951),ISNUMBER(O1951)),IF(M1951&lt;=O1951,"Valor ≤ venal IPTU",""),"")</f>
        <v/>
      </c>
      <c r="U1951" s="10">
        <f>IF(AND(ISNUMBER(M1951),ISNUMBER(N1951)),IF(N1951&gt;0,M1951/N1951,""),"")</f>
        <v/>
      </c>
      <c r="V1951" s="10">
        <f>IF(AND(ISNUMBER(M1951),ISNUMBER(O1951)),IF(O1951&gt;0,M1951/O1951,""),"")</f>
        <v/>
      </c>
      <c r="W1951" s="10">
        <f>IF(AND(ISNUMBER(M1951),ISNUMBER(R1951)),IF(R1951&gt;0,M1951/R1951,""),"")</f>
        <v/>
      </c>
      <c r="X1951" s="10">
        <f>IF(AND(ISNUMBER(Q1951),ISNUMBER(M1951)),IF(M1951&gt;0,Q1951/M1951,""),"")</f>
        <v/>
      </c>
      <c r="Y1951" s="11">
        <f>IF(ISNUMBER(Z1951),YEAR(Z1951),"")</f>
        <v/>
      </c>
      <c r="Z1951" s="12" t="n"/>
      <c r="AA1951" s="12" t="n"/>
      <c r="AI1951" s="12" t="n"/>
      <c r="AJ1951" s="13">
        <f>IF(LEN(TRIM(AF1951))=0,"",HYPERLINK("https://www.google.com/maps/@?api=1&amp;map_action=pano&amp;viewpoint="&amp;SUBSTITUTE(AF1951," ",""),"Abrir Street View"))</f>
        <v/>
      </c>
    </row>
    <row r="1952">
      <c r="H1952" s="6" t="n"/>
      <c r="I1952" s="6" t="n"/>
      <c r="M1952" s="7" t="n"/>
      <c r="N1952" s="7" t="n"/>
      <c r="O1952" s="7" t="n"/>
      <c r="Q1952" s="7" t="n"/>
      <c r="R1952" s="7" t="n"/>
      <c r="S1952" s="8">
        <f>IF(NOT(ISNUMBER(M1952)),"",IF(G1952="Terreno",IF(AND(ISNUMBER(I1952),I1952&gt;0),M1952/I1952,""),IF(AND(ISNUMBER(H1952),H1952&gt;0),M1952/H1952,"")))</f>
        <v/>
      </c>
      <c r="T1952" s="9">
        <f>IF(AND(ISNUMBER(M1952),ISNUMBER(O1952)),IF(M1952&lt;=O1952,"Valor ≤ venal IPTU",""),"")</f>
        <v/>
      </c>
      <c r="U1952" s="10">
        <f>IF(AND(ISNUMBER(M1952),ISNUMBER(N1952)),IF(N1952&gt;0,M1952/N1952,""),"")</f>
        <v/>
      </c>
      <c r="V1952" s="10">
        <f>IF(AND(ISNUMBER(M1952),ISNUMBER(O1952)),IF(O1952&gt;0,M1952/O1952,""),"")</f>
        <v/>
      </c>
      <c r="W1952" s="10">
        <f>IF(AND(ISNUMBER(M1952),ISNUMBER(R1952)),IF(R1952&gt;0,M1952/R1952,""),"")</f>
        <v/>
      </c>
      <c r="X1952" s="10">
        <f>IF(AND(ISNUMBER(Q1952),ISNUMBER(M1952)),IF(M1952&gt;0,Q1952/M1952,""),"")</f>
        <v/>
      </c>
      <c r="Y1952" s="11">
        <f>IF(ISNUMBER(Z1952),YEAR(Z1952),"")</f>
        <v/>
      </c>
      <c r="Z1952" s="12" t="n"/>
      <c r="AA1952" s="12" t="n"/>
      <c r="AI1952" s="12" t="n"/>
      <c r="AJ1952" s="13">
        <f>IF(LEN(TRIM(AF1952))=0,"",HYPERLINK("https://www.google.com/maps/@?api=1&amp;map_action=pano&amp;viewpoint="&amp;SUBSTITUTE(AF1952," ",""),"Abrir Street View"))</f>
        <v/>
      </c>
    </row>
    <row r="1953">
      <c r="H1953" s="6" t="n"/>
      <c r="I1953" s="6" t="n"/>
      <c r="M1953" s="7" t="n"/>
      <c r="N1953" s="7" t="n"/>
      <c r="O1953" s="7" t="n"/>
      <c r="Q1953" s="7" t="n"/>
      <c r="R1953" s="7" t="n"/>
      <c r="S1953" s="8">
        <f>IF(NOT(ISNUMBER(M1953)),"",IF(G1953="Terreno",IF(AND(ISNUMBER(I1953),I1953&gt;0),M1953/I1953,""),IF(AND(ISNUMBER(H1953),H1953&gt;0),M1953/H1953,"")))</f>
        <v/>
      </c>
      <c r="T1953" s="9">
        <f>IF(AND(ISNUMBER(M1953),ISNUMBER(O1953)),IF(M1953&lt;=O1953,"Valor ≤ venal IPTU",""),"")</f>
        <v/>
      </c>
      <c r="U1953" s="10">
        <f>IF(AND(ISNUMBER(M1953),ISNUMBER(N1953)),IF(N1953&gt;0,M1953/N1953,""),"")</f>
        <v/>
      </c>
      <c r="V1953" s="10">
        <f>IF(AND(ISNUMBER(M1953),ISNUMBER(O1953)),IF(O1953&gt;0,M1953/O1953,""),"")</f>
        <v/>
      </c>
      <c r="W1953" s="10">
        <f>IF(AND(ISNUMBER(M1953),ISNUMBER(R1953)),IF(R1953&gt;0,M1953/R1953,""),"")</f>
        <v/>
      </c>
      <c r="X1953" s="10">
        <f>IF(AND(ISNUMBER(Q1953),ISNUMBER(M1953)),IF(M1953&gt;0,Q1953/M1953,""),"")</f>
        <v/>
      </c>
      <c r="Y1953" s="11">
        <f>IF(ISNUMBER(Z1953),YEAR(Z1953),"")</f>
        <v/>
      </c>
      <c r="Z1953" s="12" t="n"/>
      <c r="AA1953" s="12" t="n"/>
      <c r="AI1953" s="12" t="n"/>
      <c r="AJ1953" s="13">
        <f>IF(LEN(TRIM(AF1953))=0,"",HYPERLINK("https://www.google.com/maps/@?api=1&amp;map_action=pano&amp;viewpoint="&amp;SUBSTITUTE(AF1953," ",""),"Abrir Street View"))</f>
        <v/>
      </c>
    </row>
    <row r="1954">
      <c r="H1954" s="6" t="n"/>
      <c r="I1954" s="6" t="n"/>
      <c r="M1954" s="7" t="n"/>
      <c r="N1954" s="7" t="n"/>
      <c r="O1954" s="7" t="n"/>
      <c r="Q1954" s="7" t="n"/>
      <c r="R1954" s="7" t="n"/>
      <c r="S1954" s="8">
        <f>IF(NOT(ISNUMBER(M1954)),"",IF(G1954="Terreno",IF(AND(ISNUMBER(I1954),I1954&gt;0),M1954/I1954,""),IF(AND(ISNUMBER(H1954),H1954&gt;0),M1954/H1954,"")))</f>
        <v/>
      </c>
      <c r="T1954" s="9">
        <f>IF(AND(ISNUMBER(M1954),ISNUMBER(O1954)),IF(M1954&lt;=O1954,"Valor ≤ venal IPTU",""),"")</f>
        <v/>
      </c>
      <c r="U1954" s="10">
        <f>IF(AND(ISNUMBER(M1954),ISNUMBER(N1954)),IF(N1954&gt;0,M1954/N1954,""),"")</f>
        <v/>
      </c>
      <c r="V1954" s="10">
        <f>IF(AND(ISNUMBER(M1954),ISNUMBER(O1954)),IF(O1954&gt;0,M1954/O1954,""),"")</f>
        <v/>
      </c>
      <c r="W1954" s="10">
        <f>IF(AND(ISNUMBER(M1954),ISNUMBER(R1954)),IF(R1954&gt;0,M1954/R1954,""),"")</f>
        <v/>
      </c>
      <c r="X1954" s="10">
        <f>IF(AND(ISNUMBER(Q1954),ISNUMBER(M1954)),IF(M1954&gt;0,Q1954/M1954,""),"")</f>
        <v/>
      </c>
      <c r="Y1954" s="11">
        <f>IF(ISNUMBER(Z1954),YEAR(Z1954),"")</f>
        <v/>
      </c>
      <c r="Z1954" s="12" t="n"/>
      <c r="AA1954" s="12" t="n"/>
      <c r="AI1954" s="12" t="n"/>
      <c r="AJ1954" s="13">
        <f>IF(LEN(TRIM(AF1954))=0,"",HYPERLINK("https://www.google.com/maps/@?api=1&amp;map_action=pano&amp;viewpoint="&amp;SUBSTITUTE(AF1954," ",""),"Abrir Street View"))</f>
        <v/>
      </c>
    </row>
    <row r="1955">
      <c r="H1955" s="6" t="n"/>
      <c r="I1955" s="6" t="n"/>
      <c r="M1955" s="7" t="n"/>
      <c r="N1955" s="7" t="n"/>
      <c r="O1955" s="7" t="n"/>
      <c r="Q1955" s="7" t="n"/>
      <c r="R1955" s="7" t="n"/>
      <c r="S1955" s="8">
        <f>IF(NOT(ISNUMBER(M1955)),"",IF(G1955="Terreno",IF(AND(ISNUMBER(I1955),I1955&gt;0),M1955/I1955,""),IF(AND(ISNUMBER(H1955),H1955&gt;0),M1955/H1955,"")))</f>
        <v/>
      </c>
      <c r="T1955" s="9">
        <f>IF(AND(ISNUMBER(M1955),ISNUMBER(O1955)),IF(M1955&lt;=O1955,"Valor ≤ venal IPTU",""),"")</f>
        <v/>
      </c>
      <c r="U1955" s="10">
        <f>IF(AND(ISNUMBER(M1955),ISNUMBER(N1955)),IF(N1955&gt;0,M1955/N1955,""),"")</f>
        <v/>
      </c>
      <c r="V1955" s="10">
        <f>IF(AND(ISNUMBER(M1955),ISNUMBER(O1955)),IF(O1955&gt;0,M1955/O1955,""),"")</f>
        <v/>
      </c>
      <c r="W1955" s="10">
        <f>IF(AND(ISNUMBER(M1955),ISNUMBER(R1955)),IF(R1955&gt;0,M1955/R1955,""),"")</f>
        <v/>
      </c>
      <c r="X1955" s="10">
        <f>IF(AND(ISNUMBER(Q1955),ISNUMBER(M1955)),IF(M1955&gt;0,Q1955/M1955,""),"")</f>
        <v/>
      </c>
      <c r="Y1955" s="11">
        <f>IF(ISNUMBER(Z1955),YEAR(Z1955),"")</f>
        <v/>
      </c>
      <c r="Z1955" s="12" t="n"/>
      <c r="AA1955" s="12" t="n"/>
      <c r="AI1955" s="12" t="n"/>
      <c r="AJ1955" s="13">
        <f>IF(LEN(TRIM(AF1955))=0,"",HYPERLINK("https://www.google.com/maps/@?api=1&amp;map_action=pano&amp;viewpoint="&amp;SUBSTITUTE(AF1955," ",""),"Abrir Street View"))</f>
        <v/>
      </c>
    </row>
    <row r="1956">
      <c r="H1956" s="6" t="n"/>
      <c r="I1956" s="6" t="n"/>
      <c r="M1956" s="7" t="n"/>
      <c r="N1956" s="7" t="n"/>
      <c r="O1956" s="7" t="n"/>
      <c r="Q1956" s="7" t="n"/>
      <c r="R1956" s="7" t="n"/>
      <c r="S1956" s="8">
        <f>IF(NOT(ISNUMBER(M1956)),"",IF(G1956="Terreno",IF(AND(ISNUMBER(I1956),I1956&gt;0),M1956/I1956,""),IF(AND(ISNUMBER(H1956),H1956&gt;0),M1956/H1956,"")))</f>
        <v/>
      </c>
      <c r="T1956" s="9">
        <f>IF(AND(ISNUMBER(M1956),ISNUMBER(O1956)),IF(M1956&lt;=O1956,"Valor ≤ venal IPTU",""),"")</f>
        <v/>
      </c>
      <c r="U1956" s="10">
        <f>IF(AND(ISNUMBER(M1956),ISNUMBER(N1956)),IF(N1956&gt;0,M1956/N1956,""),"")</f>
        <v/>
      </c>
      <c r="V1956" s="10">
        <f>IF(AND(ISNUMBER(M1956),ISNUMBER(O1956)),IF(O1956&gt;0,M1956/O1956,""),"")</f>
        <v/>
      </c>
      <c r="W1956" s="10">
        <f>IF(AND(ISNUMBER(M1956),ISNUMBER(R1956)),IF(R1956&gt;0,M1956/R1956,""),"")</f>
        <v/>
      </c>
      <c r="X1956" s="10">
        <f>IF(AND(ISNUMBER(Q1956),ISNUMBER(M1956)),IF(M1956&gt;0,Q1956/M1956,""),"")</f>
        <v/>
      </c>
      <c r="Y1956" s="11">
        <f>IF(ISNUMBER(Z1956),YEAR(Z1956),"")</f>
        <v/>
      </c>
      <c r="Z1956" s="12" t="n"/>
      <c r="AA1956" s="12" t="n"/>
      <c r="AI1956" s="12" t="n"/>
      <c r="AJ1956" s="13">
        <f>IF(LEN(TRIM(AF1956))=0,"",HYPERLINK("https://www.google.com/maps/@?api=1&amp;map_action=pano&amp;viewpoint="&amp;SUBSTITUTE(AF1956," ",""),"Abrir Street View"))</f>
        <v/>
      </c>
    </row>
    <row r="1957">
      <c r="H1957" s="6" t="n"/>
      <c r="I1957" s="6" t="n"/>
      <c r="M1957" s="7" t="n"/>
      <c r="N1957" s="7" t="n"/>
      <c r="O1957" s="7" t="n"/>
      <c r="Q1957" s="7" t="n"/>
      <c r="R1957" s="7" t="n"/>
      <c r="S1957" s="8">
        <f>IF(NOT(ISNUMBER(M1957)),"",IF(G1957="Terreno",IF(AND(ISNUMBER(I1957),I1957&gt;0),M1957/I1957,""),IF(AND(ISNUMBER(H1957),H1957&gt;0),M1957/H1957,"")))</f>
        <v/>
      </c>
      <c r="T1957" s="9">
        <f>IF(AND(ISNUMBER(M1957),ISNUMBER(O1957)),IF(M1957&lt;=O1957,"Valor ≤ venal IPTU",""),"")</f>
        <v/>
      </c>
      <c r="U1957" s="10">
        <f>IF(AND(ISNUMBER(M1957),ISNUMBER(N1957)),IF(N1957&gt;0,M1957/N1957,""),"")</f>
        <v/>
      </c>
      <c r="V1957" s="10">
        <f>IF(AND(ISNUMBER(M1957),ISNUMBER(O1957)),IF(O1957&gt;0,M1957/O1957,""),"")</f>
        <v/>
      </c>
      <c r="W1957" s="10">
        <f>IF(AND(ISNUMBER(M1957),ISNUMBER(R1957)),IF(R1957&gt;0,M1957/R1957,""),"")</f>
        <v/>
      </c>
      <c r="X1957" s="10">
        <f>IF(AND(ISNUMBER(Q1957),ISNUMBER(M1957)),IF(M1957&gt;0,Q1957/M1957,""),"")</f>
        <v/>
      </c>
      <c r="Y1957" s="11">
        <f>IF(ISNUMBER(Z1957),YEAR(Z1957),"")</f>
        <v/>
      </c>
      <c r="Z1957" s="12" t="n"/>
      <c r="AA1957" s="12" t="n"/>
      <c r="AI1957" s="12" t="n"/>
      <c r="AJ1957" s="13">
        <f>IF(LEN(TRIM(AF1957))=0,"",HYPERLINK("https://www.google.com/maps/@?api=1&amp;map_action=pano&amp;viewpoint="&amp;SUBSTITUTE(AF1957," ",""),"Abrir Street View"))</f>
        <v/>
      </c>
    </row>
    <row r="1958">
      <c r="H1958" s="6" t="n"/>
      <c r="I1958" s="6" t="n"/>
      <c r="M1958" s="7" t="n"/>
      <c r="N1958" s="7" t="n"/>
      <c r="O1958" s="7" t="n"/>
      <c r="Q1958" s="7" t="n"/>
      <c r="R1958" s="7" t="n"/>
      <c r="S1958" s="8">
        <f>IF(NOT(ISNUMBER(M1958)),"",IF(G1958="Terreno",IF(AND(ISNUMBER(I1958),I1958&gt;0),M1958/I1958,""),IF(AND(ISNUMBER(H1958),H1958&gt;0),M1958/H1958,"")))</f>
        <v/>
      </c>
      <c r="T1958" s="9">
        <f>IF(AND(ISNUMBER(M1958),ISNUMBER(O1958)),IF(M1958&lt;=O1958,"Valor ≤ venal IPTU",""),"")</f>
        <v/>
      </c>
      <c r="U1958" s="10">
        <f>IF(AND(ISNUMBER(M1958),ISNUMBER(N1958)),IF(N1958&gt;0,M1958/N1958,""),"")</f>
        <v/>
      </c>
      <c r="V1958" s="10">
        <f>IF(AND(ISNUMBER(M1958),ISNUMBER(O1958)),IF(O1958&gt;0,M1958/O1958,""),"")</f>
        <v/>
      </c>
      <c r="W1958" s="10">
        <f>IF(AND(ISNUMBER(M1958),ISNUMBER(R1958)),IF(R1958&gt;0,M1958/R1958,""),"")</f>
        <v/>
      </c>
      <c r="X1958" s="10">
        <f>IF(AND(ISNUMBER(Q1958),ISNUMBER(M1958)),IF(M1958&gt;0,Q1958/M1958,""),"")</f>
        <v/>
      </c>
      <c r="Y1958" s="11">
        <f>IF(ISNUMBER(Z1958),YEAR(Z1958),"")</f>
        <v/>
      </c>
      <c r="Z1958" s="12" t="n"/>
      <c r="AA1958" s="12" t="n"/>
      <c r="AI1958" s="12" t="n"/>
      <c r="AJ1958" s="13">
        <f>IF(LEN(TRIM(AF1958))=0,"",HYPERLINK("https://www.google.com/maps/@?api=1&amp;map_action=pano&amp;viewpoint="&amp;SUBSTITUTE(AF1958," ",""),"Abrir Street View"))</f>
        <v/>
      </c>
    </row>
    <row r="1959">
      <c r="H1959" s="6" t="n"/>
      <c r="I1959" s="6" t="n"/>
      <c r="M1959" s="7" t="n"/>
      <c r="N1959" s="7" t="n"/>
      <c r="O1959" s="7" t="n"/>
      <c r="Q1959" s="7" t="n"/>
      <c r="R1959" s="7" t="n"/>
      <c r="S1959" s="8">
        <f>IF(NOT(ISNUMBER(M1959)),"",IF(G1959="Terreno",IF(AND(ISNUMBER(I1959),I1959&gt;0),M1959/I1959,""),IF(AND(ISNUMBER(H1959),H1959&gt;0),M1959/H1959,"")))</f>
        <v/>
      </c>
      <c r="T1959" s="9">
        <f>IF(AND(ISNUMBER(M1959),ISNUMBER(O1959)),IF(M1959&lt;=O1959,"Valor ≤ venal IPTU",""),"")</f>
        <v/>
      </c>
      <c r="U1959" s="10">
        <f>IF(AND(ISNUMBER(M1959),ISNUMBER(N1959)),IF(N1959&gt;0,M1959/N1959,""),"")</f>
        <v/>
      </c>
      <c r="V1959" s="10">
        <f>IF(AND(ISNUMBER(M1959),ISNUMBER(O1959)),IF(O1959&gt;0,M1959/O1959,""),"")</f>
        <v/>
      </c>
      <c r="W1959" s="10">
        <f>IF(AND(ISNUMBER(M1959),ISNUMBER(R1959)),IF(R1959&gt;0,M1959/R1959,""),"")</f>
        <v/>
      </c>
      <c r="X1959" s="10">
        <f>IF(AND(ISNUMBER(Q1959),ISNUMBER(M1959)),IF(M1959&gt;0,Q1959/M1959,""),"")</f>
        <v/>
      </c>
      <c r="Y1959" s="11">
        <f>IF(ISNUMBER(Z1959),YEAR(Z1959),"")</f>
        <v/>
      </c>
      <c r="Z1959" s="12" t="n"/>
      <c r="AA1959" s="12" t="n"/>
      <c r="AI1959" s="12" t="n"/>
      <c r="AJ1959" s="13">
        <f>IF(LEN(TRIM(AF1959))=0,"",HYPERLINK("https://www.google.com/maps/@?api=1&amp;map_action=pano&amp;viewpoint="&amp;SUBSTITUTE(AF1959," ",""),"Abrir Street View"))</f>
        <v/>
      </c>
    </row>
    <row r="1960">
      <c r="H1960" s="6" t="n"/>
      <c r="I1960" s="6" t="n"/>
      <c r="M1960" s="7" t="n"/>
      <c r="N1960" s="7" t="n"/>
      <c r="O1960" s="7" t="n"/>
      <c r="Q1960" s="7" t="n"/>
      <c r="R1960" s="7" t="n"/>
      <c r="S1960" s="8">
        <f>IF(NOT(ISNUMBER(M1960)),"",IF(G1960="Terreno",IF(AND(ISNUMBER(I1960),I1960&gt;0),M1960/I1960,""),IF(AND(ISNUMBER(H1960),H1960&gt;0),M1960/H1960,"")))</f>
        <v/>
      </c>
      <c r="T1960" s="9">
        <f>IF(AND(ISNUMBER(M1960),ISNUMBER(O1960)),IF(M1960&lt;=O1960,"Valor ≤ venal IPTU",""),"")</f>
        <v/>
      </c>
      <c r="U1960" s="10">
        <f>IF(AND(ISNUMBER(M1960),ISNUMBER(N1960)),IF(N1960&gt;0,M1960/N1960,""),"")</f>
        <v/>
      </c>
      <c r="V1960" s="10">
        <f>IF(AND(ISNUMBER(M1960),ISNUMBER(O1960)),IF(O1960&gt;0,M1960/O1960,""),"")</f>
        <v/>
      </c>
      <c r="W1960" s="10">
        <f>IF(AND(ISNUMBER(M1960),ISNUMBER(R1960)),IF(R1960&gt;0,M1960/R1960,""),"")</f>
        <v/>
      </c>
      <c r="X1960" s="10">
        <f>IF(AND(ISNUMBER(Q1960),ISNUMBER(M1960)),IF(M1960&gt;0,Q1960/M1960,""),"")</f>
        <v/>
      </c>
      <c r="Y1960" s="11">
        <f>IF(ISNUMBER(Z1960),YEAR(Z1960),"")</f>
        <v/>
      </c>
      <c r="Z1960" s="12" t="n"/>
      <c r="AA1960" s="12" t="n"/>
      <c r="AI1960" s="12" t="n"/>
      <c r="AJ1960" s="13">
        <f>IF(LEN(TRIM(AF1960))=0,"",HYPERLINK("https://www.google.com/maps/@?api=1&amp;map_action=pano&amp;viewpoint="&amp;SUBSTITUTE(AF1960," ",""),"Abrir Street View"))</f>
        <v/>
      </c>
    </row>
    <row r="1961">
      <c r="H1961" s="6" t="n"/>
      <c r="I1961" s="6" t="n"/>
      <c r="M1961" s="7" t="n"/>
      <c r="N1961" s="7" t="n"/>
      <c r="O1961" s="7" t="n"/>
      <c r="Q1961" s="7" t="n"/>
      <c r="R1961" s="7" t="n"/>
      <c r="S1961" s="8">
        <f>IF(NOT(ISNUMBER(M1961)),"",IF(G1961="Terreno",IF(AND(ISNUMBER(I1961),I1961&gt;0),M1961/I1961,""),IF(AND(ISNUMBER(H1961),H1961&gt;0),M1961/H1961,"")))</f>
        <v/>
      </c>
      <c r="T1961" s="9">
        <f>IF(AND(ISNUMBER(M1961),ISNUMBER(O1961)),IF(M1961&lt;=O1961,"Valor ≤ venal IPTU",""),"")</f>
        <v/>
      </c>
      <c r="U1961" s="10">
        <f>IF(AND(ISNUMBER(M1961),ISNUMBER(N1961)),IF(N1961&gt;0,M1961/N1961,""),"")</f>
        <v/>
      </c>
      <c r="V1961" s="10">
        <f>IF(AND(ISNUMBER(M1961),ISNUMBER(O1961)),IF(O1961&gt;0,M1961/O1961,""),"")</f>
        <v/>
      </c>
      <c r="W1961" s="10">
        <f>IF(AND(ISNUMBER(M1961),ISNUMBER(R1961)),IF(R1961&gt;0,M1961/R1961,""),"")</f>
        <v/>
      </c>
      <c r="X1961" s="10">
        <f>IF(AND(ISNUMBER(Q1961),ISNUMBER(M1961)),IF(M1961&gt;0,Q1961/M1961,""),"")</f>
        <v/>
      </c>
      <c r="Y1961" s="11">
        <f>IF(ISNUMBER(Z1961),YEAR(Z1961),"")</f>
        <v/>
      </c>
      <c r="Z1961" s="12" t="n"/>
      <c r="AA1961" s="12" t="n"/>
      <c r="AI1961" s="12" t="n"/>
      <c r="AJ1961" s="13">
        <f>IF(LEN(TRIM(AF1961))=0,"",HYPERLINK("https://www.google.com/maps/@?api=1&amp;map_action=pano&amp;viewpoint="&amp;SUBSTITUTE(AF1961," ",""),"Abrir Street View"))</f>
        <v/>
      </c>
    </row>
    <row r="1962">
      <c r="H1962" s="6" t="n"/>
      <c r="I1962" s="6" t="n"/>
      <c r="M1962" s="7" t="n"/>
      <c r="N1962" s="7" t="n"/>
      <c r="O1962" s="7" t="n"/>
      <c r="Q1962" s="7" t="n"/>
      <c r="R1962" s="7" t="n"/>
      <c r="S1962" s="8">
        <f>IF(NOT(ISNUMBER(M1962)),"",IF(G1962="Terreno",IF(AND(ISNUMBER(I1962),I1962&gt;0),M1962/I1962,""),IF(AND(ISNUMBER(H1962),H1962&gt;0),M1962/H1962,"")))</f>
        <v/>
      </c>
      <c r="T1962" s="9">
        <f>IF(AND(ISNUMBER(M1962),ISNUMBER(O1962)),IF(M1962&lt;=O1962,"Valor ≤ venal IPTU",""),"")</f>
        <v/>
      </c>
      <c r="U1962" s="10">
        <f>IF(AND(ISNUMBER(M1962),ISNUMBER(N1962)),IF(N1962&gt;0,M1962/N1962,""),"")</f>
        <v/>
      </c>
      <c r="V1962" s="10">
        <f>IF(AND(ISNUMBER(M1962),ISNUMBER(O1962)),IF(O1962&gt;0,M1962/O1962,""),"")</f>
        <v/>
      </c>
      <c r="W1962" s="10">
        <f>IF(AND(ISNUMBER(M1962),ISNUMBER(R1962)),IF(R1962&gt;0,M1962/R1962,""),"")</f>
        <v/>
      </c>
      <c r="X1962" s="10">
        <f>IF(AND(ISNUMBER(Q1962),ISNUMBER(M1962)),IF(M1962&gt;0,Q1962/M1962,""),"")</f>
        <v/>
      </c>
      <c r="Y1962" s="11">
        <f>IF(ISNUMBER(Z1962),YEAR(Z1962),"")</f>
        <v/>
      </c>
      <c r="Z1962" s="12" t="n"/>
      <c r="AA1962" s="12" t="n"/>
      <c r="AI1962" s="12" t="n"/>
      <c r="AJ1962" s="13">
        <f>IF(LEN(TRIM(AF1962))=0,"",HYPERLINK("https://www.google.com/maps/@?api=1&amp;map_action=pano&amp;viewpoint="&amp;SUBSTITUTE(AF1962," ",""),"Abrir Street View"))</f>
        <v/>
      </c>
    </row>
    <row r="1963">
      <c r="H1963" s="6" t="n"/>
      <c r="I1963" s="6" t="n"/>
      <c r="M1963" s="7" t="n"/>
      <c r="N1963" s="7" t="n"/>
      <c r="O1963" s="7" t="n"/>
      <c r="Q1963" s="7" t="n"/>
      <c r="R1963" s="7" t="n"/>
      <c r="S1963" s="8">
        <f>IF(NOT(ISNUMBER(M1963)),"",IF(G1963="Terreno",IF(AND(ISNUMBER(I1963),I1963&gt;0),M1963/I1963,""),IF(AND(ISNUMBER(H1963),H1963&gt;0),M1963/H1963,"")))</f>
        <v/>
      </c>
      <c r="T1963" s="9">
        <f>IF(AND(ISNUMBER(M1963),ISNUMBER(O1963)),IF(M1963&lt;=O1963,"Valor ≤ venal IPTU",""),"")</f>
        <v/>
      </c>
      <c r="U1963" s="10">
        <f>IF(AND(ISNUMBER(M1963),ISNUMBER(N1963)),IF(N1963&gt;0,M1963/N1963,""),"")</f>
        <v/>
      </c>
      <c r="V1963" s="10">
        <f>IF(AND(ISNUMBER(M1963),ISNUMBER(O1963)),IF(O1963&gt;0,M1963/O1963,""),"")</f>
        <v/>
      </c>
      <c r="W1963" s="10">
        <f>IF(AND(ISNUMBER(M1963),ISNUMBER(R1963)),IF(R1963&gt;0,M1963/R1963,""),"")</f>
        <v/>
      </c>
      <c r="X1963" s="10">
        <f>IF(AND(ISNUMBER(Q1963),ISNUMBER(M1963)),IF(M1963&gt;0,Q1963/M1963,""),"")</f>
        <v/>
      </c>
      <c r="Y1963" s="11">
        <f>IF(ISNUMBER(Z1963),YEAR(Z1963),"")</f>
        <v/>
      </c>
      <c r="Z1963" s="12" t="n"/>
      <c r="AA1963" s="12" t="n"/>
      <c r="AI1963" s="12" t="n"/>
      <c r="AJ1963" s="13">
        <f>IF(LEN(TRIM(AF1963))=0,"",HYPERLINK("https://www.google.com/maps/@?api=1&amp;map_action=pano&amp;viewpoint="&amp;SUBSTITUTE(AF1963," ",""),"Abrir Street View"))</f>
        <v/>
      </c>
    </row>
    <row r="1964">
      <c r="H1964" s="6" t="n"/>
      <c r="I1964" s="6" t="n"/>
      <c r="M1964" s="7" t="n"/>
      <c r="N1964" s="7" t="n"/>
      <c r="O1964" s="7" t="n"/>
      <c r="Q1964" s="7" t="n"/>
      <c r="R1964" s="7" t="n"/>
      <c r="S1964" s="8">
        <f>IF(NOT(ISNUMBER(M1964)),"",IF(G1964="Terreno",IF(AND(ISNUMBER(I1964),I1964&gt;0),M1964/I1964,""),IF(AND(ISNUMBER(H1964),H1964&gt;0),M1964/H1964,"")))</f>
        <v/>
      </c>
      <c r="T1964" s="9">
        <f>IF(AND(ISNUMBER(M1964),ISNUMBER(O1964)),IF(M1964&lt;=O1964,"Valor ≤ venal IPTU",""),"")</f>
        <v/>
      </c>
      <c r="U1964" s="10">
        <f>IF(AND(ISNUMBER(M1964),ISNUMBER(N1964)),IF(N1964&gt;0,M1964/N1964,""),"")</f>
        <v/>
      </c>
      <c r="V1964" s="10">
        <f>IF(AND(ISNUMBER(M1964),ISNUMBER(O1964)),IF(O1964&gt;0,M1964/O1964,""),"")</f>
        <v/>
      </c>
      <c r="W1964" s="10">
        <f>IF(AND(ISNUMBER(M1964),ISNUMBER(R1964)),IF(R1964&gt;0,M1964/R1964,""),"")</f>
        <v/>
      </c>
      <c r="X1964" s="10">
        <f>IF(AND(ISNUMBER(Q1964),ISNUMBER(M1964)),IF(M1964&gt;0,Q1964/M1964,""),"")</f>
        <v/>
      </c>
      <c r="Y1964" s="11">
        <f>IF(ISNUMBER(Z1964),YEAR(Z1964),"")</f>
        <v/>
      </c>
      <c r="Z1964" s="12" t="n"/>
      <c r="AA1964" s="12" t="n"/>
      <c r="AI1964" s="12" t="n"/>
      <c r="AJ1964" s="13">
        <f>IF(LEN(TRIM(AF1964))=0,"",HYPERLINK("https://www.google.com/maps/@?api=1&amp;map_action=pano&amp;viewpoint="&amp;SUBSTITUTE(AF1964," ",""),"Abrir Street View"))</f>
        <v/>
      </c>
    </row>
    <row r="1965">
      <c r="H1965" s="6" t="n"/>
      <c r="I1965" s="6" t="n"/>
      <c r="M1965" s="7" t="n"/>
      <c r="N1965" s="7" t="n"/>
      <c r="O1965" s="7" t="n"/>
      <c r="Q1965" s="7" t="n"/>
      <c r="R1965" s="7" t="n"/>
      <c r="S1965" s="8">
        <f>IF(NOT(ISNUMBER(M1965)),"",IF(G1965="Terreno",IF(AND(ISNUMBER(I1965),I1965&gt;0),M1965/I1965,""),IF(AND(ISNUMBER(H1965),H1965&gt;0),M1965/H1965,"")))</f>
        <v/>
      </c>
      <c r="T1965" s="9">
        <f>IF(AND(ISNUMBER(M1965),ISNUMBER(O1965)),IF(M1965&lt;=O1965,"Valor ≤ venal IPTU",""),"")</f>
        <v/>
      </c>
      <c r="U1965" s="10">
        <f>IF(AND(ISNUMBER(M1965),ISNUMBER(N1965)),IF(N1965&gt;0,M1965/N1965,""),"")</f>
        <v/>
      </c>
      <c r="V1965" s="10">
        <f>IF(AND(ISNUMBER(M1965),ISNUMBER(O1965)),IF(O1965&gt;0,M1965/O1965,""),"")</f>
        <v/>
      </c>
      <c r="W1965" s="10">
        <f>IF(AND(ISNUMBER(M1965),ISNUMBER(R1965)),IF(R1965&gt;0,M1965/R1965,""),"")</f>
        <v/>
      </c>
      <c r="X1965" s="10">
        <f>IF(AND(ISNUMBER(Q1965),ISNUMBER(M1965)),IF(M1965&gt;0,Q1965/M1965,""),"")</f>
        <v/>
      </c>
      <c r="Y1965" s="11">
        <f>IF(ISNUMBER(Z1965),YEAR(Z1965),"")</f>
        <v/>
      </c>
      <c r="Z1965" s="12" t="n"/>
      <c r="AA1965" s="12" t="n"/>
      <c r="AI1965" s="12" t="n"/>
      <c r="AJ1965" s="13">
        <f>IF(LEN(TRIM(AF1965))=0,"",HYPERLINK("https://www.google.com/maps/@?api=1&amp;map_action=pano&amp;viewpoint="&amp;SUBSTITUTE(AF1965," ",""),"Abrir Street View"))</f>
        <v/>
      </c>
    </row>
    <row r="1966">
      <c r="H1966" s="6" t="n"/>
      <c r="I1966" s="6" t="n"/>
      <c r="M1966" s="7" t="n"/>
      <c r="N1966" s="7" t="n"/>
      <c r="O1966" s="7" t="n"/>
      <c r="Q1966" s="7" t="n"/>
      <c r="R1966" s="7" t="n"/>
      <c r="S1966" s="8">
        <f>IF(NOT(ISNUMBER(M1966)),"",IF(G1966="Terreno",IF(AND(ISNUMBER(I1966),I1966&gt;0),M1966/I1966,""),IF(AND(ISNUMBER(H1966),H1966&gt;0),M1966/H1966,"")))</f>
        <v/>
      </c>
      <c r="T1966" s="9">
        <f>IF(AND(ISNUMBER(M1966),ISNUMBER(O1966)),IF(M1966&lt;=O1966,"Valor ≤ venal IPTU",""),"")</f>
        <v/>
      </c>
      <c r="U1966" s="10">
        <f>IF(AND(ISNUMBER(M1966),ISNUMBER(N1966)),IF(N1966&gt;0,M1966/N1966,""),"")</f>
        <v/>
      </c>
      <c r="V1966" s="10">
        <f>IF(AND(ISNUMBER(M1966),ISNUMBER(O1966)),IF(O1966&gt;0,M1966/O1966,""),"")</f>
        <v/>
      </c>
      <c r="W1966" s="10">
        <f>IF(AND(ISNUMBER(M1966),ISNUMBER(R1966)),IF(R1966&gt;0,M1966/R1966,""),"")</f>
        <v/>
      </c>
      <c r="X1966" s="10">
        <f>IF(AND(ISNUMBER(Q1966),ISNUMBER(M1966)),IF(M1966&gt;0,Q1966/M1966,""),"")</f>
        <v/>
      </c>
      <c r="Y1966" s="11">
        <f>IF(ISNUMBER(Z1966),YEAR(Z1966),"")</f>
        <v/>
      </c>
      <c r="Z1966" s="12" t="n"/>
      <c r="AA1966" s="12" t="n"/>
      <c r="AI1966" s="12" t="n"/>
      <c r="AJ1966" s="13">
        <f>IF(LEN(TRIM(AF1966))=0,"",HYPERLINK("https://www.google.com/maps/@?api=1&amp;map_action=pano&amp;viewpoint="&amp;SUBSTITUTE(AF1966," ",""),"Abrir Street View"))</f>
        <v/>
      </c>
    </row>
    <row r="1967">
      <c r="H1967" s="6" t="n"/>
      <c r="I1967" s="6" t="n"/>
      <c r="M1967" s="7" t="n"/>
      <c r="N1967" s="7" t="n"/>
      <c r="O1967" s="7" t="n"/>
      <c r="Q1967" s="7" t="n"/>
      <c r="R1967" s="7" t="n"/>
      <c r="S1967" s="8">
        <f>IF(NOT(ISNUMBER(M1967)),"",IF(G1967="Terreno",IF(AND(ISNUMBER(I1967),I1967&gt;0),M1967/I1967,""),IF(AND(ISNUMBER(H1967),H1967&gt;0),M1967/H1967,"")))</f>
        <v/>
      </c>
      <c r="T1967" s="9">
        <f>IF(AND(ISNUMBER(M1967),ISNUMBER(O1967)),IF(M1967&lt;=O1967,"Valor ≤ venal IPTU",""),"")</f>
        <v/>
      </c>
      <c r="U1967" s="10">
        <f>IF(AND(ISNUMBER(M1967),ISNUMBER(N1967)),IF(N1967&gt;0,M1967/N1967,""),"")</f>
        <v/>
      </c>
      <c r="V1967" s="10">
        <f>IF(AND(ISNUMBER(M1967),ISNUMBER(O1967)),IF(O1967&gt;0,M1967/O1967,""),"")</f>
        <v/>
      </c>
      <c r="W1967" s="10">
        <f>IF(AND(ISNUMBER(M1967),ISNUMBER(R1967)),IF(R1967&gt;0,M1967/R1967,""),"")</f>
        <v/>
      </c>
      <c r="X1967" s="10">
        <f>IF(AND(ISNUMBER(Q1967),ISNUMBER(M1967)),IF(M1967&gt;0,Q1967/M1967,""),"")</f>
        <v/>
      </c>
      <c r="Y1967" s="11">
        <f>IF(ISNUMBER(Z1967),YEAR(Z1967),"")</f>
        <v/>
      </c>
      <c r="Z1967" s="12" t="n"/>
      <c r="AA1967" s="12" t="n"/>
      <c r="AI1967" s="12" t="n"/>
      <c r="AJ1967" s="13">
        <f>IF(LEN(TRIM(AF1967))=0,"",HYPERLINK("https://www.google.com/maps/@?api=1&amp;map_action=pano&amp;viewpoint="&amp;SUBSTITUTE(AF1967," ",""),"Abrir Street View"))</f>
        <v/>
      </c>
    </row>
    <row r="1968">
      <c r="H1968" s="6" t="n"/>
      <c r="I1968" s="6" t="n"/>
      <c r="M1968" s="7" t="n"/>
      <c r="N1968" s="7" t="n"/>
      <c r="O1968" s="7" t="n"/>
      <c r="Q1968" s="7" t="n"/>
      <c r="R1968" s="7" t="n"/>
      <c r="S1968" s="8">
        <f>IF(NOT(ISNUMBER(M1968)),"",IF(G1968="Terreno",IF(AND(ISNUMBER(I1968),I1968&gt;0),M1968/I1968,""),IF(AND(ISNUMBER(H1968),H1968&gt;0),M1968/H1968,"")))</f>
        <v/>
      </c>
      <c r="T1968" s="9">
        <f>IF(AND(ISNUMBER(M1968),ISNUMBER(O1968)),IF(M1968&lt;=O1968,"Valor ≤ venal IPTU",""),"")</f>
        <v/>
      </c>
      <c r="U1968" s="10">
        <f>IF(AND(ISNUMBER(M1968),ISNUMBER(N1968)),IF(N1968&gt;0,M1968/N1968,""),"")</f>
        <v/>
      </c>
      <c r="V1968" s="10">
        <f>IF(AND(ISNUMBER(M1968),ISNUMBER(O1968)),IF(O1968&gt;0,M1968/O1968,""),"")</f>
        <v/>
      </c>
      <c r="W1968" s="10">
        <f>IF(AND(ISNUMBER(M1968),ISNUMBER(R1968)),IF(R1968&gt;0,M1968/R1968,""),"")</f>
        <v/>
      </c>
      <c r="X1968" s="10">
        <f>IF(AND(ISNUMBER(Q1968),ISNUMBER(M1968)),IF(M1968&gt;0,Q1968/M1968,""),"")</f>
        <v/>
      </c>
      <c r="Y1968" s="11">
        <f>IF(ISNUMBER(Z1968),YEAR(Z1968),"")</f>
        <v/>
      </c>
      <c r="Z1968" s="12" t="n"/>
      <c r="AA1968" s="12" t="n"/>
      <c r="AI1968" s="12" t="n"/>
      <c r="AJ1968" s="13">
        <f>IF(LEN(TRIM(AF1968))=0,"",HYPERLINK("https://www.google.com/maps/@?api=1&amp;map_action=pano&amp;viewpoint="&amp;SUBSTITUTE(AF1968," ",""),"Abrir Street View"))</f>
        <v/>
      </c>
    </row>
    <row r="1969">
      <c r="H1969" s="6" t="n"/>
      <c r="I1969" s="6" t="n"/>
      <c r="M1969" s="7" t="n"/>
      <c r="N1969" s="7" t="n"/>
      <c r="O1969" s="7" t="n"/>
      <c r="Q1969" s="7" t="n"/>
      <c r="R1969" s="7" t="n"/>
      <c r="S1969" s="8">
        <f>IF(NOT(ISNUMBER(M1969)),"",IF(G1969="Terreno",IF(AND(ISNUMBER(I1969),I1969&gt;0),M1969/I1969,""),IF(AND(ISNUMBER(H1969),H1969&gt;0),M1969/H1969,"")))</f>
        <v/>
      </c>
      <c r="T1969" s="9">
        <f>IF(AND(ISNUMBER(M1969),ISNUMBER(O1969)),IF(M1969&lt;=O1969,"Valor ≤ venal IPTU",""),"")</f>
        <v/>
      </c>
      <c r="U1969" s="10">
        <f>IF(AND(ISNUMBER(M1969),ISNUMBER(N1969)),IF(N1969&gt;0,M1969/N1969,""),"")</f>
        <v/>
      </c>
      <c r="V1969" s="10">
        <f>IF(AND(ISNUMBER(M1969),ISNUMBER(O1969)),IF(O1969&gt;0,M1969/O1969,""),"")</f>
        <v/>
      </c>
      <c r="W1969" s="10">
        <f>IF(AND(ISNUMBER(M1969),ISNUMBER(R1969)),IF(R1969&gt;0,M1969/R1969,""),"")</f>
        <v/>
      </c>
      <c r="X1969" s="10">
        <f>IF(AND(ISNUMBER(Q1969),ISNUMBER(M1969)),IF(M1969&gt;0,Q1969/M1969,""),"")</f>
        <v/>
      </c>
      <c r="Y1969" s="11">
        <f>IF(ISNUMBER(Z1969),YEAR(Z1969),"")</f>
        <v/>
      </c>
      <c r="Z1969" s="12" t="n"/>
      <c r="AA1969" s="12" t="n"/>
      <c r="AI1969" s="12" t="n"/>
      <c r="AJ1969" s="13">
        <f>IF(LEN(TRIM(AF1969))=0,"",HYPERLINK("https://www.google.com/maps/@?api=1&amp;map_action=pano&amp;viewpoint="&amp;SUBSTITUTE(AF1969," ",""),"Abrir Street View"))</f>
        <v/>
      </c>
    </row>
    <row r="1970">
      <c r="H1970" s="6" t="n"/>
      <c r="I1970" s="6" t="n"/>
      <c r="M1970" s="7" t="n"/>
      <c r="N1970" s="7" t="n"/>
      <c r="O1970" s="7" t="n"/>
      <c r="Q1970" s="7" t="n"/>
      <c r="R1970" s="7" t="n"/>
      <c r="S1970" s="8">
        <f>IF(NOT(ISNUMBER(M1970)),"",IF(G1970="Terreno",IF(AND(ISNUMBER(I1970),I1970&gt;0),M1970/I1970,""),IF(AND(ISNUMBER(H1970),H1970&gt;0),M1970/H1970,"")))</f>
        <v/>
      </c>
      <c r="T1970" s="9">
        <f>IF(AND(ISNUMBER(M1970),ISNUMBER(O1970)),IF(M1970&lt;=O1970,"Valor ≤ venal IPTU",""),"")</f>
        <v/>
      </c>
      <c r="U1970" s="10">
        <f>IF(AND(ISNUMBER(M1970),ISNUMBER(N1970)),IF(N1970&gt;0,M1970/N1970,""),"")</f>
        <v/>
      </c>
      <c r="V1970" s="10">
        <f>IF(AND(ISNUMBER(M1970),ISNUMBER(O1970)),IF(O1970&gt;0,M1970/O1970,""),"")</f>
        <v/>
      </c>
      <c r="W1970" s="10">
        <f>IF(AND(ISNUMBER(M1970),ISNUMBER(R1970)),IF(R1970&gt;0,M1970/R1970,""),"")</f>
        <v/>
      </c>
      <c r="X1970" s="10">
        <f>IF(AND(ISNUMBER(Q1970),ISNUMBER(M1970)),IF(M1970&gt;0,Q1970/M1970,""),"")</f>
        <v/>
      </c>
      <c r="Y1970" s="11">
        <f>IF(ISNUMBER(Z1970),YEAR(Z1970),"")</f>
        <v/>
      </c>
      <c r="Z1970" s="12" t="n"/>
      <c r="AA1970" s="12" t="n"/>
      <c r="AI1970" s="12" t="n"/>
      <c r="AJ1970" s="13">
        <f>IF(LEN(TRIM(AF1970))=0,"",HYPERLINK("https://www.google.com/maps/@?api=1&amp;map_action=pano&amp;viewpoint="&amp;SUBSTITUTE(AF1970," ",""),"Abrir Street View"))</f>
        <v/>
      </c>
    </row>
    <row r="1971">
      <c r="H1971" s="6" t="n"/>
      <c r="I1971" s="6" t="n"/>
      <c r="M1971" s="7" t="n"/>
      <c r="N1971" s="7" t="n"/>
      <c r="O1971" s="7" t="n"/>
      <c r="Q1971" s="7" t="n"/>
      <c r="R1971" s="7" t="n"/>
      <c r="S1971" s="8">
        <f>IF(NOT(ISNUMBER(M1971)),"",IF(G1971="Terreno",IF(AND(ISNUMBER(I1971),I1971&gt;0),M1971/I1971,""),IF(AND(ISNUMBER(H1971),H1971&gt;0),M1971/H1971,"")))</f>
        <v/>
      </c>
      <c r="T1971" s="9">
        <f>IF(AND(ISNUMBER(M1971),ISNUMBER(O1971)),IF(M1971&lt;=O1971,"Valor ≤ venal IPTU",""),"")</f>
        <v/>
      </c>
      <c r="U1971" s="10">
        <f>IF(AND(ISNUMBER(M1971),ISNUMBER(N1971)),IF(N1971&gt;0,M1971/N1971,""),"")</f>
        <v/>
      </c>
      <c r="V1971" s="10">
        <f>IF(AND(ISNUMBER(M1971),ISNUMBER(O1971)),IF(O1971&gt;0,M1971/O1971,""),"")</f>
        <v/>
      </c>
      <c r="W1971" s="10">
        <f>IF(AND(ISNUMBER(M1971),ISNUMBER(R1971)),IF(R1971&gt;0,M1971/R1971,""),"")</f>
        <v/>
      </c>
      <c r="X1971" s="10">
        <f>IF(AND(ISNUMBER(Q1971),ISNUMBER(M1971)),IF(M1971&gt;0,Q1971/M1971,""),"")</f>
        <v/>
      </c>
      <c r="Y1971" s="11">
        <f>IF(ISNUMBER(Z1971),YEAR(Z1971),"")</f>
        <v/>
      </c>
      <c r="Z1971" s="12" t="n"/>
      <c r="AA1971" s="12" t="n"/>
      <c r="AI1971" s="12" t="n"/>
      <c r="AJ1971" s="13">
        <f>IF(LEN(TRIM(AF1971))=0,"",HYPERLINK("https://www.google.com/maps/@?api=1&amp;map_action=pano&amp;viewpoint="&amp;SUBSTITUTE(AF1971," ",""),"Abrir Street View"))</f>
        <v/>
      </c>
    </row>
    <row r="1972">
      <c r="H1972" s="6" t="n"/>
      <c r="I1972" s="6" t="n"/>
      <c r="M1972" s="7" t="n"/>
      <c r="N1972" s="7" t="n"/>
      <c r="O1972" s="7" t="n"/>
      <c r="Q1972" s="7" t="n"/>
      <c r="R1972" s="7" t="n"/>
      <c r="S1972" s="8">
        <f>IF(NOT(ISNUMBER(M1972)),"",IF(G1972="Terreno",IF(AND(ISNUMBER(I1972),I1972&gt;0),M1972/I1972,""),IF(AND(ISNUMBER(H1972),H1972&gt;0),M1972/H1972,"")))</f>
        <v/>
      </c>
      <c r="T1972" s="9">
        <f>IF(AND(ISNUMBER(M1972),ISNUMBER(O1972)),IF(M1972&lt;=O1972,"Valor ≤ venal IPTU",""),"")</f>
        <v/>
      </c>
      <c r="U1972" s="10">
        <f>IF(AND(ISNUMBER(M1972),ISNUMBER(N1972)),IF(N1972&gt;0,M1972/N1972,""),"")</f>
        <v/>
      </c>
      <c r="V1972" s="10">
        <f>IF(AND(ISNUMBER(M1972),ISNUMBER(O1972)),IF(O1972&gt;0,M1972/O1972,""),"")</f>
        <v/>
      </c>
      <c r="W1972" s="10">
        <f>IF(AND(ISNUMBER(M1972),ISNUMBER(R1972)),IF(R1972&gt;0,M1972/R1972,""),"")</f>
        <v/>
      </c>
      <c r="X1972" s="10">
        <f>IF(AND(ISNUMBER(Q1972),ISNUMBER(M1972)),IF(M1972&gt;0,Q1972/M1972,""),"")</f>
        <v/>
      </c>
      <c r="Y1972" s="11">
        <f>IF(ISNUMBER(Z1972),YEAR(Z1972),"")</f>
        <v/>
      </c>
      <c r="Z1972" s="12" t="n"/>
      <c r="AA1972" s="12" t="n"/>
      <c r="AI1972" s="12" t="n"/>
      <c r="AJ1972" s="13">
        <f>IF(LEN(TRIM(AF1972))=0,"",HYPERLINK("https://www.google.com/maps/@?api=1&amp;map_action=pano&amp;viewpoint="&amp;SUBSTITUTE(AF1972," ",""),"Abrir Street View"))</f>
        <v/>
      </c>
    </row>
    <row r="1973">
      <c r="H1973" s="6" t="n"/>
      <c r="I1973" s="6" t="n"/>
      <c r="M1973" s="7" t="n"/>
      <c r="N1973" s="7" t="n"/>
      <c r="O1973" s="7" t="n"/>
      <c r="Q1973" s="7" t="n"/>
      <c r="R1973" s="7" t="n"/>
      <c r="S1973" s="8">
        <f>IF(NOT(ISNUMBER(M1973)),"",IF(G1973="Terreno",IF(AND(ISNUMBER(I1973),I1973&gt;0),M1973/I1973,""),IF(AND(ISNUMBER(H1973),H1973&gt;0),M1973/H1973,"")))</f>
        <v/>
      </c>
      <c r="T1973" s="9">
        <f>IF(AND(ISNUMBER(M1973),ISNUMBER(O1973)),IF(M1973&lt;=O1973,"Valor ≤ venal IPTU",""),"")</f>
        <v/>
      </c>
      <c r="U1973" s="10">
        <f>IF(AND(ISNUMBER(M1973),ISNUMBER(N1973)),IF(N1973&gt;0,M1973/N1973,""),"")</f>
        <v/>
      </c>
      <c r="V1973" s="10">
        <f>IF(AND(ISNUMBER(M1973),ISNUMBER(O1973)),IF(O1973&gt;0,M1973/O1973,""),"")</f>
        <v/>
      </c>
      <c r="W1973" s="10">
        <f>IF(AND(ISNUMBER(M1973),ISNUMBER(R1973)),IF(R1973&gt;0,M1973/R1973,""),"")</f>
        <v/>
      </c>
      <c r="X1973" s="10">
        <f>IF(AND(ISNUMBER(Q1973),ISNUMBER(M1973)),IF(M1973&gt;0,Q1973/M1973,""),"")</f>
        <v/>
      </c>
      <c r="Y1973" s="11">
        <f>IF(ISNUMBER(Z1973),YEAR(Z1973),"")</f>
        <v/>
      </c>
      <c r="Z1973" s="12" t="n"/>
      <c r="AA1973" s="12" t="n"/>
      <c r="AI1973" s="12" t="n"/>
      <c r="AJ1973" s="13">
        <f>IF(LEN(TRIM(AF1973))=0,"",HYPERLINK("https://www.google.com/maps/@?api=1&amp;map_action=pano&amp;viewpoint="&amp;SUBSTITUTE(AF1973," ",""),"Abrir Street View"))</f>
        <v/>
      </c>
    </row>
    <row r="1974">
      <c r="H1974" s="6" t="n"/>
      <c r="I1974" s="6" t="n"/>
      <c r="M1974" s="7" t="n"/>
      <c r="N1974" s="7" t="n"/>
      <c r="O1974" s="7" t="n"/>
      <c r="Q1974" s="7" t="n"/>
      <c r="R1974" s="7" t="n"/>
      <c r="S1974" s="8">
        <f>IF(NOT(ISNUMBER(M1974)),"",IF(G1974="Terreno",IF(AND(ISNUMBER(I1974),I1974&gt;0),M1974/I1974,""),IF(AND(ISNUMBER(H1974),H1974&gt;0),M1974/H1974,"")))</f>
        <v/>
      </c>
      <c r="T1974" s="9">
        <f>IF(AND(ISNUMBER(M1974),ISNUMBER(O1974)),IF(M1974&lt;=O1974,"Valor ≤ venal IPTU",""),"")</f>
        <v/>
      </c>
      <c r="U1974" s="10">
        <f>IF(AND(ISNUMBER(M1974),ISNUMBER(N1974)),IF(N1974&gt;0,M1974/N1974,""),"")</f>
        <v/>
      </c>
      <c r="V1974" s="10">
        <f>IF(AND(ISNUMBER(M1974),ISNUMBER(O1974)),IF(O1974&gt;0,M1974/O1974,""),"")</f>
        <v/>
      </c>
      <c r="W1974" s="10">
        <f>IF(AND(ISNUMBER(M1974),ISNUMBER(R1974)),IF(R1974&gt;0,M1974/R1974,""),"")</f>
        <v/>
      </c>
      <c r="X1974" s="10">
        <f>IF(AND(ISNUMBER(Q1974),ISNUMBER(M1974)),IF(M1974&gt;0,Q1974/M1974,""),"")</f>
        <v/>
      </c>
      <c r="Y1974" s="11">
        <f>IF(ISNUMBER(Z1974),YEAR(Z1974),"")</f>
        <v/>
      </c>
      <c r="Z1974" s="12" t="n"/>
      <c r="AA1974" s="12" t="n"/>
      <c r="AI1974" s="12" t="n"/>
      <c r="AJ1974" s="13">
        <f>IF(LEN(TRIM(AF1974))=0,"",HYPERLINK("https://www.google.com/maps/@?api=1&amp;map_action=pano&amp;viewpoint="&amp;SUBSTITUTE(AF1974," ",""),"Abrir Street View"))</f>
        <v/>
      </c>
    </row>
    <row r="1975">
      <c r="H1975" s="6" t="n"/>
      <c r="I1975" s="6" t="n"/>
      <c r="M1975" s="7" t="n"/>
      <c r="N1975" s="7" t="n"/>
      <c r="O1975" s="7" t="n"/>
      <c r="Q1975" s="7" t="n"/>
      <c r="R1975" s="7" t="n"/>
      <c r="S1975" s="8">
        <f>IF(NOT(ISNUMBER(M1975)),"",IF(G1975="Terreno",IF(AND(ISNUMBER(I1975),I1975&gt;0),M1975/I1975,""),IF(AND(ISNUMBER(H1975),H1975&gt;0),M1975/H1975,"")))</f>
        <v/>
      </c>
      <c r="T1975" s="9">
        <f>IF(AND(ISNUMBER(M1975),ISNUMBER(O1975)),IF(M1975&lt;=O1975,"Valor ≤ venal IPTU",""),"")</f>
        <v/>
      </c>
      <c r="U1975" s="10">
        <f>IF(AND(ISNUMBER(M1975),ISNUMBER(N1975)),IF(N1975&gt;0,M1975/N1975,""),"")</f>
        <v/>
      </c>
      <c r="V1975" s="10">
        <f>IF(AND(ISNUMBER(M1975),ISNUMBER(O1975)),IF(O1975&gt;0,M1975/O1975,""),"")</f>
        <v/>
      </c>
      <c r="W1975" s="10">
        <f>IF(AND(ISNUMBER(M1975),ISNUMBER(R1975)),IF(R1975&gt;0,M1975/R1975,""),"")</f>
        <v/>
      </c>
      <c r="X1975" s="10">
        <f>IF(AND(ISNUMBER(Q1975),ISNUMBER(M1975)),IF(M1975&gt;0,Q1975/M1975,""),"")</f>
        <v/>
      </c>
      <c r="Y1975" s="11">
        <f>IF(ISNUMBER(Z1975),YEAR(Z1975),"")</f>
        <v/>
      </c>
      <c r="Z1975" s="12" t="n"/>
      <c r="AA1975" s="12" t="n"/>
      <c r="AI1975" s="12" t="n"/>
      <c r="AJ1975" s="13">
        <f>IF(LEN(TRIM(AF1975))=0,"",HYPERLINK("https://www.google.com/maps/@?api=1&amp;map_action=pano&amp;viewpoint="&amp;SUBSTITUTE(AF1975," ",""),"Abrir Street View"))</f>
        <v/>
      </c>
    </row>
    <row r="1976">
      <c r="H1976" s="6" t="n"/>
      <c r="I1976" s="6" t="n"/>
      <c r="M1976" s="7" t="n"/>
      <c r="N1976" s="7" t="n"/>
      <c r="O1976" s="7" t="n"/>
      <c r="Q1976" s="7" t="n"/>
      <c r="R1976" s="7" t="n"/>
      <c r="S1976" s="8">
        <f>IF(NOT(ISNUMBER(M1976)),"",IF(G1976="Terreno",IF(AND(ISNUMBER(I1976),I1976&gt;0),M1976/I1976,""),IF(AND(ISNUMBER(H1976),H1976&gt;0),M1976/H1976,"")))</f>
        <v/>
      </c>
      <c r="T1976" s="9">
        <f>IF(AND(ISNUMBER(M1976),ISNUMBER(O1976)),IF(M1976&lt;=O1976,"Valor ≤ venal IPTU",""),"")</f>
        <v/>
      </c>
      <c r="U1976" s="10">
        <f>IF(AND(ISNUMBER(M1976),ISNUMBER(N1976)),IF(N1976&gt;0,M1976/N1976,""),"")</f>
        <v/>
      </c>
      <c r="V1976" s="10">
        <f>IF(AND(ISNUMBER(M1976),ISNUMBER(O1976)),IF(O1976&gt;0,M1976/O1976,""),"")</f>
        <v/>
      </c>
      <c r="W1976" s="10">
        <f>IF(AND(ISNUMBER(M1976),ISNUMBER(R1976)),IF(R1976&gt;0,M1976/R1976,""),"")</f>
        <v/>
      </c>
      <c r="X1976" s="10">
        <f>IF(AND(ISNUMBER(Q1976),ISNUMBER(M1976)),IF(M1976&gt;0,Q1976/M1976,""),"")</f>
        <v/>
      </c>
      <c r="Y1976" s="11">
        <f>IF(ISNUMBER(Z1976),YEAR(Z1976),"")</f>
        <v/>
      </c>
      <c r="Z1976" s="12" t="n"/>
      <c r="AA1976" s="12" t="n"/>
      <c r="AI1976" s="12" t="n"/>
      <c r="AJ1976" s="13">
        <f>IF(LEN(TRIM(AF1976))=0,"",HYPERLINK("https://www.google.com/maps/@?api=1&amp;map_action=pano&amp;viewpoint="&amp;SUBSTITUTE(AF1976," ",""),"Abrir Street View"))</f>
        <v/>
      </c>
    </row>
    <row r="1977">
      <c r="H1977" s="6" t="n"/>
      <c r="I1977" s="6" t="n"/>
      <c r="M1977" s="7" t="n"/>
      <c r="N1977" s="7" t="n"/>
      <c r="O1977" s="7" t="n"/>
      <c r="Q1977" s="7" t="n"/>
      <c r="R1977" s="7" t="n"/>
      <c r="S1977" s="8">
        <f>IF(NOT(ISNUMBER(M1977)),"",IF(G1977="Terreno",IF(AND(ISNUMBER(I1977),I1977&gt;0),M1977/I1977,""),IF(AND(ISNUMBER(H1977),H1977&gt;0),M1977/H1977,"")))</f>
        <v/>
      </c>
      <c r="T1977" s="9">
        <f>IF(AND(ISNUMBER(M1977),ISNUMBER(O1977)),IF(M1977&lt;=O1977,"Valor ≤ venal IPTU",""),"")</f>
        <v/>
      </c>
      <c r="U1977" s="10">
        <f>IF(AND(ISNUMBER(M1977),ISNUMBER(N1977)),IF(N1977&gt;0,M1977/N1977,""),"")</f>
        <v/>
      </c>
      <c r="V1977" s="10">
        <f>IF(AND(ISNUMBER(M1977),ISNUMBER(O1977)),IF(O1977&gt;0,M1977/O1977,""),"")</f>
        <v/>
      </c>
      <c r="W1977" s="10">
        <f>IF(AND(ISNUMBER(M1977),ISNUMBER(R1977)),IF(R1977&gt;0,M1977/R1977,""),"")</f>
        <v/>
      </c>
      <c r="X1977" s="10">
        <f>IF(AND(ISNUMBER(Q1977),ISNUMBER(M1977)),IF(M1977&gt;0,Q1977/M1977,""),"")</f>
        <v/>
      </c>
      <c r="Y1977" s="11">
        <f>IF(ISNUMBER(Z1977),YEAR(Z1977),"")</f>
        <v/>
      </c>
      <c r="Z1977" s="12" t="n"/>
      <c r="AA1977" s="12" t="n"/>
      <c r="AI1977" s="12" t="n"/>
      <c r="AJ1977" s="13">
        <f>IF(LEN(TRIM(AF1977))=0,"",HYPERLINK("https://www.google.com/maps/@?api=1&amp;map_action=pano&amp;viewpoint="&amp;SUBSTITUTE(AF1977," ",""),"Abrir Street View"))</f>
        <v/>
      </c>
    </row>
    <row r="1978">
      <c r="H1978" s="6" t="n"/>
      <c r="I1978" s="6" t="n"/>
      <c r="M1978" s="7" t="n"/>
      <c r="N1978" s="7" t="n"/>
      <c r="O1978" s="7" t="n"/>
      <c r="Q1978" s="7" t="n"/>
      <c r="R1978" s="7" t="n"/>
      <c r="S1978" s="8">
        <f>IF(NOT(ISNUMBER(M1978)),"",IF(G1978="Terreno",IF(AND(ISNUMBER(I1978),I1978&gt;0),M1978/I1978,""),IF(AND(ISNUMBER(H1978),H1978&gt;0),M1978/H1978,"")))</f>
        <v/>
      </c>
      <c r="T1978" s="9">
        <f>IF(AND(ISNUMBER(M1978),ISNUMBER(O1978)),IF(M1978&lt;=O1978,"Valor ≤ venal IPTU",""),"")</f>
        <v/>
      </c>
      <c r="U1978" s="10">
        <f>IF(AND(ISNUMBER(M1978),ISNUMBER(N1978)),IF(N1978&gt;0,M1978/N1978,""),"")</f>
        <v/>
      </c>
      <c r="V1978" s="10">
        <f>IF(AND(ISNUMBER(M1978),ISNUMBER(O1978)),IF(O1978&gt;0,M1978/O1978,""),"")</f>
        <v/>
      </c>
      <c r="W1978" s="10">
        <f>IF(AND(ISNUMBER(M1978),ISNUMBER(R1978)),IF(R1978&gt;0,M1978/R1978,""),"")</f>
        <v/>
      </c>
      <c r="X1978" s="10">
        <f>IF(AND(ISNUMBER(Q1978),ISNUMBER(M1978)),IF(M1978&gt;0,Q1978/M1978,""),"")</f>
        <v/>
      </c>
      <c r="Y1978" s="11">
        <f>IF(ISNUMBER(Z1978),YEAR(Z1978),"")</f>
        <v/>
      </c>
      <c r="Z1978" s="12" t="n"/>
      <c r="AA1978" s="12" t="n"/>
      <c r="AI1978" s="12" t="n"/>
      <c r="AJ1978" s="13">
        <f>IF(LEN(TRIM(AF1978))=0,"",HYPERLINK("https://www.google.com/maps/@?api=1&amp;map_action=pano&amp;viewpoint="&amp;SUBSTITUTE(AF1978," ",""),"Abrir Street View"))</f>
        <v/>
      </c>
    </row>
    <row r="1979">
      <c r="H1979" s="6" t="n"/>
      <c r="I1979" s="6" t="n"/>
      <c r="M1979" s="7" t="n"/>
      <c r="N1979" s="7" t="n"/>
      <c r="O1979" s="7" t="n"/>
      <c r="Q1979" s="7" t="n"/>
      <c r="R1979" s="7" t="n"/>
      <c r="S1979" s="8">
        <f>IF(NOT(ISNUMBER(M1979)),"",IF(G1979="Terreno",IF(AND(ISNUMBER(I1979),I1979&gt;0),M1979/I1979,""),IF(AND(ISNUMBER(H1979),H1979&gt;0),M1979/H1979,"")))</f>
        <v/>
      </c>
      <c r="T1979" s="9">
        <f>IF(AND(ISNUMBER(M1979),ISNUMBER(O1979)),IF(M1979&lt;=O1979,"Valor ≤ venal IPTU",""),"")</f>
        <v/>
      </c>
      <c r="U1979" s="10">
        <f>IF(AND(ISNUMBER(M1979),ISNUMBER(N1979)),IF(N1979&gt;0,M1979/N1979,""),"")</f>
        <v/>
      </c>
      <c r="V1979" s="10">
        <f>IF(AND(ISNUMBER(M1979),ISNUMBER(O1979)),IF(O1979&gt;0,M1979/O1979,""),"")</f>
        <v/>
      </c>
      <c r="W1979" s="10">
        <f>IF(AND(ISNUMBER(M1979),ISNUMBER(R1979)),IF(R1979&gt;0,M1979/R1979,""),"")</f>
        <v/>
      </c>
      <c r="X1979" s="10">
        <f>IF(AND(ISNUMBER(Q1979),ISNUMBER(M1979)),IF(M1979&gt;0,Q1979/M1979,""),"")</f>
        <v/>
      </c>
      <c r="Y1979" s="11">
        <f>IF(ISNUMBER(Z1979),YEAR(Z1979),"")</f>
        <v/>
      </c>
      <c r="Z1979" s="12" t="n"/>
      <c r="AA1979" s="12" t="n"/>
      <c r="AI1979" s="12" t="n"/>
      <c r="AJ1979" s="13">
        <f>IF(LEN(TRIM(AF1979))=0,"",HYPERLINK("https://www.google.com/maps/@?api=1&amp;map_action=pano&amp;viewpoint="&amp;SUBSTITUTE(AF1979," ",""),"Abrir Street View"))</f>
        <v/>
      </c>
    </row>
    <row r="1980">
      <c r="H1980" s="6" t="n"/>
      <c r="I1980" s="6" t="n"/>
      <c r="M1980" s="7" t="n"/>
      <c r="N1980" s="7" t="n"/>
      <c r="O1980" s="7" t="n"/>
      <c r="Q1980" s="7" t="n"/>
      <c r="R1980" s="7" t="n"/>
      <c r="S1980" s="8">
        <f>IF(NOT(ISNUMBER(M1980)),"",IF(G1980="Terreno",IF(AND(ISNUMBER(I1980),I1980&gt;0),M1980/I1980,""),IF(AND(ISNUMBER(H1980),H1980&gt;0),M1980/H1980,"")))</f>
        <v/>
      </c>
      <c r="T1980" s="9">
        <f>IF(AND(ISNUMBER(M1980),ISNUMBER(O1980)),IF(M1980&lt;=O1980,"Valor ≤ venal IPTU",""),"")</f>
        <v/>
      </c>
      <c r="U1980" s="10">
        <f>IF(AND(ISNUMBER(M1980),ISNUMBER(N1980)),IF(N1980&gt;0,M1980/N1980,""),"")</f>
        <v/>
      </c>
      <c r="V1980" s="10">
        <f>IF(AND(ISNUMBER(M1980),ISNUMBER(O1980)),IF(O1980&gt;0,M1980/O1980,""),"")</f>
        <v/>
      </c>
      <c r="W1980" s="10">
        <f>IF(AND(ISNUMBER(M1980),ISNUMBER(R1980)),IF(R1980&gt;0,M1980/R1980,""),"")</f>
        <v/>
      </c>
      <c r="X1980" s="10">
        <f>IF(AND(ISNUMBER(Q1980),ISNUMBER(M1980)),IF(M1980&gt;0,Q1980/M1980,""),"")</f>
        <v/>
      </c>
      <c r="Y1980" s="11">
        <f>IF(ISNUMBER(Z1980),YEAR(Z1980),"")</f>
        <v/>
      </c>
      <c r="Z1980" s="12" t="n"/>
      <c r="AA1980" s="12" t="n"/>
      <c r="AI1980" s="12" t="n"/>
      <c r="AJ1980" s="13">
        <f>IF(LEN(TRIM(AF1980))=0,"",HYPERLINK("https://www.google.com/maps/@?api=1&amp;map_action=pano&amp;viewpoint="&amp;SUBSTITUTE(AF1980," ",""),"Abrir Street View"))</f>
        <v/>
      </c>
    </row>
    <row r="1981">
      <c r="H1981" s="6" t="n"/>
      <c r="I1981" s="6" t="n"/>
      <c r="M1981" s="7" t="n"/>
      <c r="N1981" s="7" t="n"/>
      <c r="O1981" s="7" t="n"/>
      <c r="Q1981" s="7" t="n"/>
      <c r="R1981" s="7" t="n"/>
      <c r="S1981" s="8">
        <f>IF(NOT(ISNUMBER(M1981)),"",IF(G1981="Terreno",IF(AND(ISNUMBER(I1981),I1981&gt;0),M1981/I1981,""),IF(AND(ISNUMBER(H1981),H1981&gt;0),M1981/H1981,"")))</f>
        <v/>
      </c>
      <c r="T1981" s="9">
        <f>IF(AND(ISNUMBER(M1981),ISNUMBER(O1981)),IF(M1981&lt;=O1981,"Valor ≤ venal IPTU",""),"")</f>
        <v/>
      </c>
      <c r="U1981" s="10">
        <f>IF(AND(ISNUMBER(M1981),ISNUMBER(N1981)),IF(N1981&gt;0,M1981/N1981,""),"")</f>
        <v/>
      </c>
      <c r="V1981" s="10">
        <f>IF(AND(ISNUMBER(M1981),ISNUMBER(O1981)),IF(O1981&gt;0,M1981/O1981,""),"")</f>
        <v/>
      </c>
      <c r="W1981" s="10">
        <f>IF(AND(ISNUMBER(M1981),ISNUMBER(R1981)),IF(R1981&gt;0,M1981/R1981,""),"")</f>
        <v/>
      </c>
      <c r="X1981" s="10">
        <f>IF(AND(ISNUMBER(Q1981),ISNUMBER(M1981)),IF(M1981&gt;0,Q1981/M1981,""),"")</f>
        <v/>
      </c>
      <c r="Y1981" s="11">
        <f>IF(ISNUMBER(Z1981),YEAR(Z1981),"")</f>
        <v/>
      </c>
      <c r="Z1981" s="12" t="n"/>
      <c r="AA1981" s="12" t="n"/>
      <c r="AI1981" s="12" t="n"/>
      <c r="AJ1981" s="13">
        <f>IF(LEN(TRIM(AF1981))=0,"",HYPERLINK("https://www.google.com/maps/@?api=1&amp;map_action=pano&amp;viewpoint="&amp;SUBSTITUTE(AF1981," ",""),"Abrir Street View"))</f>
        <v/>
      </c>
    </row>
    <row r="1982">
      <c r="H1982" s="6" t="n"/>
      <c r="I1982" s="6" t="n"/>
      <c r="M1982" s="7" t="n"/>
      <c r="N1982" s="7" t="n"/>
      <c r="O1982" s="7" t="n"/>
      <c r="Q1982" s="7" t="n"/>
      <c r="R1982" s="7" t="n"/>
      <c r="S1982" s="8">
        <f>IF(NOT(ISNUMBER(M1982)),"",IF(G1982="Terreno",IF(AND(ISNUMBER(I1982),I1982&gt;0),M1982/I1982,""),IF(AND(ISNUMBER(H1982),H1982&gt;0),M1982/H1982,"")))</f>
        <v/>
      </c>
      <c r="T1982" s="9">
        <f>IF(AND(ISNUMBER(M1982),ISNUMBER(O1982)),IF(M1982&lt;=O1982,"Valor ≤ venal IPTU",""),"")</f>
        <v/>
      </c>
      <c r="U1982" s="10">
        <f>IF(AND(ISNUMBER(M1982),ISNUMBER(N1982)),IF(N1982&gt;0,M1982/N1982,""),"")</f>
        <v/>
      </c>
      <c r="V1982" s="10">
        <f>IF(AND(ISNUMBER(M1982),ISNUMBER(O1982)),IF(O1982&gt;0,M1982/O1982,""),"")</f>
        <v/>
      </c>
      <c r="W1982" s="10">
        <f>IF(AND(ISNUMBER(M1982),ISNUMBER(R1982)),IF(R1982&gt;0,M1982/R1982,""),"")</f>
        <v/>
      </c>
      <c r="X1982" s="10">
        <f>IF(AND(ISNUMBER(Q1982),ISNUMBER(M1982)),IF(M1982&gt;0,Q1982/M1982,""),"")</f>
        <v/>
      </c>
      <c r="Y1982" s="11">
        <f>IF(ISNUMBER(Z1982),YEAR(Z1982),"")</f>
        <v/>
      </c>
      <c r="Z1982" s="12" t="n"/>
      <c r="AA1982" s="12" t="n"/>
      <c r="AI1982" s="12" t="n"/>
      <c r="AJ1982" s="13">
        <f>IF(LEN(TRIM(AF1982))=0,"",HYPERLINK("https://www.google.com/maps/@?api=1&amp;map_action=pano&amp;viewpoint="&amp;SUBSTITUTE(AF1982," ",""),"Abrir Street View"))</f>
        <v/>
      </c>
    </row>
    <row r="1983">
      <c r="H1983" s="6" t="n"/>
      <c r="I1983" s="6" t="n"/>
      <c r="M1983" s="7" t="n"/>
      <c r="N1983" s="7" t="n"/>
      <c r="O1983" s="7" t="n"/>
      <c r="Q1983" s="7" t="n"/>
      <c r="R1983" s="7" t="n"/>
      <c r="S1983" s="8">
        <f>IF(NOT(ISNUMBER(M1983)),"",IF(G1983="Terreno",IF(AND(ISNUMBER(I1983),I1983&gt;0),M1983/I1983,""),IF(AND(ISNUMBER(H1983),H1983&gt;0),M1983/H1983,"")))</f>
        <v/>
      </c>
      <c r="T1983" s="9">
        <f>IF(AND(ISNUMBER(M1983),ISNUMBER(O1983)),IF(M1983&lt;=O1983,"Valor ≤ venal IPTU",""),"")</f>
        <v/>
      </c>
      <c r="U1983" s="10">
        <f>IF(AND(ISNUMBER(M1983),ISNUMBER(N1983)),IF(N1983&gt;0,M1983/N1983,""),"")</f>
        <v/>
      </c>
      <c r="V1983" s="10">
        <f>IF(AND(ISNUMBER(M1983),ISNUMBER(O1983)),IF(O1983&gt;0,M1983/O1983,""),"")</f>
        <v/>
      </c>
      <c r="W1983" s="10">
        <f>IF(AND(ISNUMBER(M1983),ISNUMBER(R1983)),IF(R1983&gt;0,M1983/R1983,""),"")</f>
        <v/>
      </c>
      <c r="X1983" s="10">
        <f>IF(AND(ISNUMBER(Q1983),ISNUMBER(M1983)),IF(M1983&gt;0,Q1983/M1983,""),"")</f>
        <v/>
      </c>
      <c r="Y1983" s="11">
        <f>IF(ISNUMBER(Z1983),YEAR(Z1983),"")</f>
        <v/>
      </c>
      <c r="Z1983" s="12" t="n"/>
      <c r="AA1983" s="12" t="n"/>
      <c r="AI1983" s="12" t="n"/>
      <c r="AJ1983" s="13">
        <f>IF(LEN(TRIM(AF1983))=0,"",HYPERLINK("https://www.google.com/maps/@?api=1&amp;map_action=pano&amp;viewpoint="&amp;SUBSTITUTE(AF1983," ",""),"Abrir Street View"))</f>
        <v/>
      </c>
    </row>
    <row r="1984">
      <c r="H1984" s="6" t="n"/>
      <c r="I1984" s="6" t="n"/>
      <c r="M1984" s="7" t="n"/>
      <c r="N1984" s="7" t="n"/>
      <c r="O1984" s="7" t="n"/>
      <c r="Q1984" s="7" t="n"/>
      <c r="R1984" s="7" t="n"/>
      <c r="S1984" s="8">
        <f>IF(NOT(ISNUMBER(M1984)),"",IF(G1984="Terreno",IF(AND(ISNUMBER(I1984),I1984&gt;0),M1984/I1984,""),IF(AND(ISNUMBER(H1984),H1984&gt;0),M1984/H1984,"")))</f>
        <v/>
      </c>
      <c r="T1984" s="9">
        <f>IF(AND(ISNUMBER(M1984),ISNUMBER(O1984)),IF(M1984&lt;=O1984,"Valor ≤ venal IPTU",""),"")</f>
        <v/>
      </c>
      <c r="U1984" s="10">
        <f>IF(AND(ISNUMBER(M1984),ISNUMBER(N1984)),IF(N1984&gt;0,M1984/N1984,""),"")</f>
        <v/>
      </c>
      <c r="V1984" s="10">
        <f>IF(AND(ISNUMBER(M1984),ISNUMBER(O1984)),IF(O1984&gt;0,M1984/O1984,""),"")</f>
        <v/>
      </c>
      <c r="W1984" s="10">
        <f>IF(AND(ISNUMBER(M1984),ISNUMBER(R1984)),IF(R1984&gt;0,M1984/R1984,""),"")</f>
        <v/>
      </c>
      <c r="X1984" s="10">
        <f>IF(AND(ISNUMBER(Q1984),ISNUMBER(M1984)),IF(M1984&gt;0,Q1984/M1984,""),"")</f>
        <v/>
      </c>
      <c r="Y1984" s="11">
        <f>IF(ISNUMBER(Z1984),YEAR(Z1984),"")</f>
        <v/>
      </c>
      <c r="Z1984" s="12" t="n"/>
      <c r="AA1984" s="12" t="n"/>
      <c r="AI1984" s="12" t="n"/>
      <c r="AJ1984" s="13">
        <f>IF(LEN(TRIM(AF1984))=0,"",HYPERLINK("https://www.google.com/maps/@?api=1&amp;map_action=pano&amp;viewpoint="&amp;SUBSTITUTE(AF1984," ",""),"Abrir Street View"))</f>
        <v/>
      </c>
    </row>
    <row r="1985">
      <c r="H1985" s="6" t="n"/>
      <c r="I1985" s="6" t="n"/>
      <c r="M1985" s="7" t="n"/>
      <c r="N1985" s="7" t="n"/>
      <c r="O1985" s="7" t="n"/>
      <c r="Q1985" s="7" t="n"/>
      <c r="R1985" s="7" t="n"/>
      <c r="S1985" s="8">
        <f>IF(NOT(ISNUMBER(M1985)),"",IF(G1985="Terreno",IF(AND(ISNUMBER(I1985),I1985&gt;0),M1985/I1985,""),IF(AND(ISNUMBER(H1985),H1985&gt;0),M1985/H1985,"")))</f>
        <v/>
      </c>
      <c r="T1985" s="9">
        <f>IF(AND(ISNUMBER(M1985),ISNUMBER(O1985)),IF(M1985&lt;=O1985,"Valor ≤ venal IPTU",""),"")</f>
        <v/>
      </c>
      <c r="U1985" s="10">
        <f>IF(AND(ISNUMBER(M1985),ISNUMBER(N1985)),IF(N1985&gt;0,M1985/N1985,""),"")</f>
        <v/>
      </c>
      <c r="V1985" s="10">
        <f>IF(AND(ISNUMBER(M1985),ISNUMBER(O1985)),IF(O1985&gt;0,M1985/O1985,""),"")</f>
        <v/>
      </c>
      <c r="W1985" s="10">
        <f>IF(AND(ISNUMBER(M1985),ISNUMBER(R1985)),IF(R1985&gt;0,M1985/R1985,""),"")</f>
        <v/>
      </c>
      <c r="X1985" s="10">
        <f>IF(AND(ISNUMBER(Q1985),ISNUMBER(M1985)),IF(M1985&gt;0,Q1985/M1985,""),"")</f>
        <v/>
      </c>
      <c r="Y1985" s="11">
        <f>IF(ISNUMBER(Z1985),YEAR(Z1985),"")</f>
        <v/>
      </c>
      <c r="Z1985" s="12" t="n"/>
      <c r="AA1985" s="12" t="n"/>
      <c r="AI1985" s="12" t="n"/>
      <c r="AJ1985" s="13">
        <f>IF(LEN(TRIM(AF1985))=0,"",HYPERLINK("https://www.google.com/maps/@?api=1&amp;map_action=pano&amp;viewpoint="&amp;SUBSTITUTE(AF1985," ",""),"Abrir Street View"))</f>
        <v/>
      </c>
    </row>
    <row r="1986">
      <c r="H1986" s="6" t="n"/>
      <c r="I1986" s="6" t="n"/>
      <c r="M1986" s="7" t="n"/>
      <c r="N1986" s="7" t="n"/>
      <c r="O1986" s="7" t="n"/>
      <c r="Q1986" s="7" t="n"/>
      <c r="R1986" s="7" t="n"/>
      <c r="S1986" s="8">
        <f>IF(NOT(ISNUMBER(M1986)),"",IF(G1986="Terreno",IF(AND(ISNUMBER(I1986),I1986&gt;0),M1986/I1986,""),IF(AND(ISNUMBER(H1986),H1986&gt;0),M1986/H1986,"")))</f>
        <v/>
      </c>
      <c r="T1986" s="9">
        <f>IF(AND(ISNUMBER(M1986),ISNUMBER(O1986)),IF(M1986&lt;=O1986,"Valor ≤ venal IPTU",""),"")</f>
        <v/>
      </c>
      <c r="U1986" s="10">
        <f>IF(AND(ISNUMBER(M1986),ISNUMBER(N1986)),IF(N1986&gt;0,M1986/N1986,""),"")</f>
        <v/>
      </c>
      <c r="V1986" s="10">
        <f>IF(AND(ISNUMBER(M1986),ISNUMBER(O1986)),IF(O1986&gt;0,M1986/O1986,""),"")</f>
        <v/>
      </c>
      <c r="W1986" s="10">
        <f>IF(AND(ISNUMBER(M1986),ISNUMBER(R1986)),IF(R1986&gt;0,M1986/R1986,""),"")</f>
        <v/>
      </c>
      <c r="X1986" s="10">
        <f>IF(AND(ISNUMBER(Q1986),ISNUMBER(M1986)),IF(M1986&gt;0,Q1986/M1986,""),"")</f>
        <v/>
      </c>
      <c r="Y1986" s="11">
        <f>IF(ISNUMBER(Z1986),YEAR(Z1986),"")</f>
        <v/>
      </c>
      <c r="Z1986" s="12" t="n"/>
      <c r="AA1986" s="12" t="n"/>
      <c r="AI1986" s="12" t="n"/>
      <c r="AJ1986" s="13">
        <f>IF(LEN(TRIM(AF1986))=0,"",HYPERLINK("https://www.google.com/maps/@?api=1&amp;map_action=pano&amp;viewpoint="&amp;SUBSTITUTE(AF1986," ",""),"Abrir Street View"))</f>
        <v/>
      </c>
    </row>
    <row r="1987">
      <c r="H1987" s="6" t="n"/>
      <c r="I1987" s="6" t="n"/>
      <c r="M1987" s="7" t="n"/>
      <c r="N1987" s="7" t="n"/>
      <c r="O1987" s="7" t="n"/>
      <c r="Q1987" s="7" t="n"/>
      <c r="R1987" s="7" t="n"/>
      <c r="S1987" s="8">
        <f>IF(NOT(ISNUMBER(M1987)),"",IF(G1987="Terreno",IF(AND(ISNUMBER(I1987),I1987&gt;0),M1987/I1987,""),IF(AND(ISNUMBER(H1987),H1987&gt;0),M1987/H1987,"")))</f>
        <v/>
      </c>
      <c r="T1987" s="9">
        <f>IF(AND(ISNUMBER(M1987),ISNUMBER(O1987)),IF(M1987&lt;=O1987,"Valor ≤ venal IPTU",""),"")</f>
        <v/>
      </c>
      <c r="U1987" s="10">
        <f>IF(AND(ISNUMBER(M1987),ISNUMBER(N1987)),IF(N1987&gt;0,M1987/N1987,""),"")</f>
        <v/>
      </c>
      <c r="V1987" s="10">
        <f>IF(AND(ISNUMBER(M1987),ISNUMBER(O1987)),IF(O1987&gt;0,M1987/O1987,""),"")</f>
        <v/>
      </c>
      <c r="W1987" s="10">
        <f>IF(AND(ISNUMBER(M1987),ISNUMBER(R1987)),IF(R1987&gt;0,M1987/R1987,""),"")</f>
        <v/>
      </c>
      <c r="X1987" s="10">
        <f>IF(AND(ISNUMBER(Q1987),ISNUMBER(M1987)),IF(M1987&gt;0,Q1987/M1987,""),"")</f>
        <v/>
      </c>
      <c r="Y1987" s="11">
        <f>IF(ISNUMBER(Z1987),YEAR(Z1987),"")</f>
        <v/>
      </c>
      <c r="Z1987" s="12" t="n"/>
      <c r="AA1987" s="12" t="n"/>
      <c r="AI1987" s="12" t="n"/>
      <c r="AJ1987" s="13">
        <f>IF(LEN(TRIM(AF1987))=0,"",HYPERLINK("https://www.google.com/maps/@?api=1&amp;map_action=pano&amp;viewpoint="&amp;SUBSTITUTE(AF1987," ",""),"Abrir Street View"))</f>
        <v/>
      </c>
    </row>
    <row r="1988">
      <c r="H1988" s="6" t="n"/>
      <c r="I1988" s="6" t="n"/>
      <c r="M1988" s="7" t="n"/>
      <c r="N1988" s="7" t="n"/>
      <c r="O1988" s="7" t="n"/>
      <c r="Q1988" s="7" t="n"/>
      <c r="R1988" s="7" t="n"/>
      <c r="S1988" s="8">
        <f>IF(NOT(ISNUMBER(M1988)),"",IF(G1988="Terreno",IF(AND(ISNUMBER(I1988),I1988&gt;0),M1988/I1988,""),IF(AND(ISNUMBER(H1988),H1988&gt;0),M1988/H1988,"")))</f>
        <v/>
      </c>
      <c r="T1988" s="9">
        <f>IF(AND(ISNUMBER(M1988),ISNUMBER(O1988)),IF(M1988&lt;=O1988,"Valor ≤ venal IPTU",""),"")</f>
        <v/>
      </c>
      <c r="U1988" s="10">
        <f>IF(AND(ISNUMBER(M1988),ISNUMBER(N1988)),IF(N1988&gt;0,M1988/N1988,""),"")</f>
        <v/>
      </c>
      <c r="V1988" s="10">
        <f>IF(AND(ISNUMBER(M1988),ISNUMBER(O1988)),IF(O1988&gt;0,M1988/O1988,""),"")</f>
        <v/>
      </c>
      <c r="W1988" s="10">
        <f>IF(AND(ISNUMBER(M1988),ISNUMBER(R1988)),IF(R1988&gt;0,M1988/R1988,""),"")</f>
        <v/>
      </c>
      <c r="X1988" s="10">
        <f>IF(AND(ISNUMBER(Q1988),ISNUMBER(M1988)),IF(M1988&gt;0,Q1988/M1988,""),"")</f>
        <v/>
      </c>
      <c r="Y1988" s="11">
        <f>IF(ISNUMBER(Z1988),YEAR(Z1988),"")</f>
        <v/>
      </c>
      <c r="Z1988" s="12" t="n"/>
      <c r="AA1988" s="12" t="n"/>
      <c r="AI1988" s="12" t="n"/>
      <c r="AJ1988" s="13">
        <f>IF(LEN(TRIM(AF1988))=0,"",HYPERLINK("https://www.google.com/maps/@?api=1&amp;map_action=pano&amp;viewpoint="&amp;SUBSTITUTE(AF1988," ",""),"Abrir Street View"))</f>
        <v/>
      </c>
    </row>
    <row r="1989">
      <c r="H1989" s="6" t="n"/>
      <c r="I1989" s="6" t="n"/>
      <c r="M1989" s="7" t="n"/>
      <c r="N1989" s="7" t="n"/>
      <c r="O1989" s="7" t="n"/>
      <c r="Q1989" s="7" t="n"/>
      <c r="R1989" s="7" t="n"/>
      <c r="S1989" s="8">
        <f>IF(NOT(ISNUMBER(M1989)),"",IF(G1989="Terreno",IF(AND(ISNUMBER(I1989),I1989&gt;0),M1989/I1989,""),IF(AND(ISNUMBER(H1989),H1989&gt;0),M1989/H1989,"")))</f>
        <v/>
      </c>
      <c r="T1989" s="9">
        <f>IF(AND(ISNUMBER(M1989),ISNUMBER(O1989)),IF(M1989&lt;=O1989,"Valor ≤ venal IPTU",""),"")</f>
        <v/>
      </c>
      <c r="U1989" s="10">
        <f>IF(AND(ISNUMBER(M1989),ISNUMBER(N1989)),IF(N1989&gt;0,M1989/N1989,""),"")</f>
        <v/>
      </c>
      <c r="V1989" s="10">
        <f>IF(AND(ISNUMBER(M1989),ISNUMBER(O1989)),IF(O1989&gt;0,M1989/O1989,""),"")</f>
        <v/>
      </c>
      <c r="W1989" s="10">
        <f>IF(AND(ISNUMBER(M1989),ISNUMBER(R1989)),IF(R1989&gt;0,M1989/R1989,""),"")</f>
        <v/>
      </c>
      <c r="X1989" s="10">
        <f>IF(AND(ISNUMBER(Q1989),ISNUMBER(M1989)),IF(M1989&gt;0,Q1989/M1989,""),"")</f>
        <v/>
      </c>
      <c r="Y1989" s="11">
        <f>IF(ISNUMBER(Z1989),YEAR(Z1989),"")</f>
        <v/>
      </c>
      <c r="Z1989" s="12" t="n"/>
      <c r="AA1989" s="12" t="n"/>
      <c r="AI1989" s="12" t="n"/>
      <c r="AJ1989" s="13">
        <f>IF(LEN(TRIM(AF1989))=0,"",HYPERLINK("https://www.google.com/maps/@?api=1&amp;map_action=pano&amp;viewpoint="&amp;SUBSTITUTE(AF1989," ",""),"Abrir Street View"))</f>
        <v/>
      </c>
    </row>
    <row r="1990">
      <c r="H1990" s="6" t="n"/>
      <c r="I1990" s="6" t="n"/>
      <c r="M1990" s="7" t="n"/>
      <c r="N1990" s="7" t="n"/>
      <c r="O1990" s="7" t="n"/>
      <c r="Q1990" s="7" t="n"/>
      <c r="R1990" s="7" t="n"/>
      <c r="S1990" s="8">
        <f>IF(NOT(ISNUMBER(M1990)),"",IF(G1990="Terreno",IF(AND(ISNUMBER(I1990),I1990&gt;0),M1990/I1990,""),IF(AND(ISNUMBER(H1990),H1990&gt;0),M1990/H1990,"")))</f>
        <v/>
      </c>
      <c r="T1990" s="9">
        <f>IF(AND(ISNUMBER(M1990),ISNUMBER(O1990)),IF(M1990&lt;=O1990,"Valor ≤ venal IPTU",""),"")</f>
        <v/>
      </c>
      <c r="U1990" s="10">
        <f>IF(AND(ISNUMBER(M1990),ISNUMBER(N1990)),IF(N1990&gt;0,M1990/N1990,""),"")</f>
        <v/>
      </c>
      <c r="V1990" s="10">
        <f>IF(AND(ISNUMBER(M1990),ISNUMBER(O1990)),IF(O1990&gt;0,M1990/O1990,""),"")</f>
        <v/>
      </c>
      <c r="W1990" s="10">
        <f>IF(AND(ISNUMBER(M1990),ISNUMBER(R1990)),IF(R1990&gt;0,M1990/R1990,""),"")</f>
        <v/>
      </c>
      <c r="X1990" s="10">
        <f>IF(AND(ISNUMBER(Q1990),ISNUMBER(M1990)),IF(M1990&gt;0,Q1990/M1990,""),"")</f>
        <v/>
      </c>
      <c r="Y1990" s="11">
        <f>IF(ISNUMBER(Z1990),YEAR(Z1990),"")</f>
        <v/>
      </c>
      <c r="Z1990" s="12" t="n"/>
      <c r="AA1990" s="12" t="n"/>
      <c r="AI1990" s="12" t="n"/>
      <c r="AJ1990" s="13">
        <f>IF(LEN(TRIM(AF1990))=0,"",HYPERLINK("https://www.google.com/maps/@?api=1&amp;map_action=pano&amp;viewpoint="&amp;SUBSTITUTE(AF1990," ",""),"Abrir Street View"))</f>
        <v/>
      </c>
    </row>
    <row r="1991">
      <c r="H1991" s="6" t="n"/>
      <c r="I1991" s="6" t="n"/>
      <c r="M1991" s="7" t="n"/>
      <c r="N1991" s="7" t="n"/>
      <c r="O1991" s="7" t="n"/>
      <c r="Q1991" s="7" t="n"/>
      <c r="R1991" s="7" t="n"/>
      <c r="S1991" s="8">
        <f>IF(NOT(ISNUMBER(M1991)),"",IF(G1991="Terreno",IF(AND(ISNUMBER(I1991),I1991&gt;0),M1991/I1991,""),IF(AND(ISNUMBER(H1991),H1991&gt;0),M1991/H1991,"")))</f>
        <v/>
      </c>
      <c r="T1991" s="9">
        <f>IF(AND(ISNUMBER(M1991),ISNUMBER(O1991)),IF(M1991&lt;=O1991,"Valor ≤ venal IPTU",""),"")</f>
        <v/>
      </c>
      <c r="U1991" s="10">
        <f>IF(AND(ISNUMBER(M1991),ISNUMBER(N1991)),IF(N1991&gt;0,M1991/N1991,""),"")</f>
        <v/>
      </c>
      <c r="V1991" s="10">
        <f>IF(AND(ISNUMBER(M1991),ISNUMBER(O1991)),IF(O1991&gt;0,M1991/O1991,""),"")</f>
        <v/>
      </c>
      <c r="W1991" s="10">
        <f>IF(AND(ISNUMBER(M1991),ISNUMBER(R1991)),IF(R1991&gt;0,M1991/R1991,""),"")</f>
        <v/>
      </c>
      <c r="X1991" s="10">
        <f>IF(AND(ISNUMBER(Q1991),ISNUMBER(M1991)),IF(M1991&gt;0,Q1991/M1991,""),"")</f>
        <v/>
      </c>
      <c r="Y1991" s="11">
        <f>IF(ISNUMBER(Z1991),YEAR(Z1991),"")</f>
        <v/>
      </c>
      <c r="Z1991" s="12" t="n"/>
      <c r="AA1991" s="12" t="n"/>
      <c r="AI1991" s="12" t="n"/>
      <c r="AJ1991" s="13">
        <f>IF(LEN(TRIM(AF1991))=0,"",HYPERLINK("https://www.google.com/maps/@?api=1&amp;map_action=pano&amp;viewpoint="&amp;SUBSTITUTE(AF1991," ",""),"Abrir Street View"))</f>
        <v/>
      </c>
    </row>
    <row r="1992">
      <c r="H1992" s="6" t="n"/>
      <c r="I1992" s="6" t="n"/>
      <c r="M1992" s="7" t="n"/>
      <c r="N1992" s="7" t="n"/>
      <c r="O1992" s="7" t="n"/>
      <c r="Q1992" s="7" t="n"/>
      <c r="R1992" s="7" t="n"/>
      <c r="S1992" s="8">
        <f>IF(NOT(ISNUMBER(M1992)),"",IF(G1992="Terreno",IF(AND(ISNUMBER(I1992),I1992&gt;0),M1992/I1992,""),IF(AND(ISNUMBER(H1992),H1992&gt;0),M1992/H1992,"")))</f>
        <v/>
      </c>
      <c r="T1992" s="9">
        <f>IF(AND(ISNUMBER(M1992),ISNUMBER(O1992)),IF(M1992&lt;=O1992,"Valor ≤ venal IPTU",""),"")</f>
        <v/>
      </c>
      <c r="U1992" s="10">
        <f>IF(AND(ISNUMBER(M1992),ISNUMBER(N1992)),IF(N1992&gt;0,M1992/N1992,""),"")</f>
        <v/>
      </c>
      <c r="V1992" s="10">
        <f>IF(AND(ISNUMBER(M1992),ISNUMBER(O1992)),IF(O1992&gt;0,M1992/O1992,""),"")</f>
        <v/>
      </c>
      <c r="W1992" s="10">
        <f>IF(AND(ISNUMBER(M1992),ISNUMBER(R1992)),IF(R1992&gt;0,M1992/R1992,""),"")</f>
        <v/>
      </c>
      <c r="X1992" s="10">
        <f>IF(AND(ISNUMBER(Q1992),ISNUMBER(M1992)),IF(M1992&gt;0,Q1992/M1992,""),"")</f>
        <v/>
      </c>
      <c r="Y1992" s="11">
        <f>IF(ISNUMBER(Z1992),YEAR(Z1992),"")</f>
        <v/>
      </c>
      <c r="Z1992" s="12" t="n"/>
      <c r="AA1992" s="12" t="n"/>
      <c r="AI1992" s="12" t="n"/>
      <c r="AJ1992" s="13">
        <f>IF(LEN(TRIM(AF1992))=0,"",HYPERLINK("https://www.google.com/maps/@?api=1&amp;map_action=pano&amp;viewpoint="&amp;SUBSTITUTE(AF1992," ",""),"Abrir Street View"))</f>
        <v/>
      </c>
    </row>
    <row r="1993">
      <c r="H1993" s="6" t="n"/>
      <c r="I1993" s="6" t="n"/>
      <c r="M1993" s="7" t="n"/>
      <c r="N1993" s="7" t="n"/>
      <c r="O1993" s="7" t="n"/>
      <c r="Q1993" s="7" t="n"/>
      <c r="R1993" s="7" t="n"/>
      <c r="S1993" s="8">
        <f>IF(NOT(ISNUMBER(M1993)),"",IF(G1993="Terreno",IF(AND(ISNUMBER(I1993),I1993&gt;0),M1993/I1993,""),IF(AND(ISNUMBER(H1993),H1993&gt;0),M1993/H1993,"")))</f>
        <v/>
      </c>
      <c r="T1993" s="9">
        <f>IF(AND(ISNUMBER(M1993),ISNUMBER(O1993)),IF(M1993&lt;=O1993,"Valor ≤ venal IPTU",""),"")</f>
        <v/>
      </c>
      <c r="U1993" s="10">
        <f>IF(AND(ISNUMBER(M1993),ISNUMBER(N1993)),IF(N1993&gt;0,M1993/N1993,""),"")</f>
        <v/>
      </c>
      <c r="V1993" s="10">
        <f>IF(AND(ISNUMBER(M1993),ISNUMBER(O1993)),IF(O1993&gt;0,M1993/O1993,""),"")</f>
        <v/>
      </c>
      <c r="W1993" s="10">
        <f>IF(AND(ISNUMBER(M1993),ISNUMBER(R1993)),IF(R1993&gt;0,M1993/R1993,""),"")</f>
        <v/>
      </c>
      <c r="X1993" s="10">
        <f>IF(AND(ISNUMBER(Q1993),ISNUMBER(M1993)),IF(M1993&gt;0,Q1993/M1993,""),"")</f>
        <v/>
      </c>
      <c r="Y1993" s="11">
        <f>IF(ISNUMBER(Z1993),YEAR(Z1993),"")</f>
        <v/>
      </c>
      <c r="Z1993" s="12" t="n"/>
      <c r="AA1993" s="12" t="n"/>
      <c r="AI1993" s="12" t="n"/>
      <c r="AJ1993" s="13">
        <f>IF(LEN(TRIM(AF1993))=0,"",HYPERLINK("https://www.google.com/maps/@?api=1&amp;map_action=pano&amp;viewpoint="&amp;SUBSTITUTE(AF1993," ",""),"Abrir Street View"))</f>
        <v/>
      </c>
    </row>
    <row r="1994">
      <c r="H1994" s="6" t="n"/>
      <c r="I1994" s="6" t="n"/>
      <c r="M1994" s="7" t="n"/>
      <c r="N1994" s="7" t="n"/>
      <c r="O1994" s="7" t="n"/>
      <c r="Q1994" s="7" t="n"/>
      <c r="R1994" s="7" t="n"/>
      <c r="S1994" s="8">
        <f>IF(NOT(ISNUMBER(M1994)),"",IF(G1994="Terreno",IF(AND(ISNUMBER(I1994),I1994&gt;0),M1994/I1994,""),IF(AND(ISNUMBER(H1994),H1994&gt;0),M1994/H1994,"")))</f>
        <v/>
      </c>
      <c r="T1994" s="9">
        <f>IF(AND(ISNUMBER(M1994),ISNUMBER(O1994)),IF(M1994&lt;=O1994,"Valor ≤ venal IPTU",""),"")</f>
        <v/>
      </c>
      <c r="U1994" s="10">
        <f>IF(AND(ISNUMBER(M1994),ISNUMBER(N1994)),IF(N1994&gt;0,M1994/N1994,""),"")</f>
        <v/>
      </c>
      <c r="V1994" s="10">
        <f>IF(AND(ISNUMBER(M1994),ISNUMBER(O1994)),IF(O1994&gt;0,M1994/O1994,""),"")</f>
        <v/>
      </c>
      <c r="W1994" s="10">
        <f>IF(AND(ISNUMBER(M1994),ISNUMBER(R1994)),IF(R1994&gt;0,M1994/R1994,""),"")</f>
        <v/>
      </c>
      <c r="X1994" s="10">
        <f>IF(AND(ISNUMBER(Q1994),ISNUMBER(M1994)),IF(M1994&gt;0,Q1994/M1994,""),"")</f>
        <v/>
      </c>
      <c r="Y1994" s="11">
        <f>IF(ISNUMBER(Z1994),YEAR(Z1994),"")</f>
        <v/>
      </c>
      <c r="Z1994" s="12" t="n"/>
      <c r="AA1994" s="12" t="n"/>
      <c r="AI1994" s="12" t="n"/>
      <c r="AJ1994" s="13">
        <f>IF(LEN(TRIM(AF1994))=0,"",HYPERLINK("https://www.google.com/maps/@?api=1&amp;map_action=pano&amp;viewpoint="&amp;SUBSTITUTE(AF1994," ",""),"Abrir Street View"))</f>
        <v/>
      </c>
    </row>
    <row r="1995">
      <c r="H1995" s="6" t="n"/>
      <c r="I1995" s="6" t="n"/>
      <c r="M1995" s="7" t="n"/>
      <c r="N1995" s="7" t="n"/>
      <c r="O1995" s="7" t="n"/>
      <c r="Q1995" s="7" t="n"/>
      <c r="R1995" s="7" t="n"/>
      <c r="S1995" s="8">
        <f>IF(NOT(ISNUMBER(M1995)),"",IF(G1995="Terreno",IF(AND(ISNUMBER(I1995),I1995&gt;0),M1995/I1995,""),IF(AND(ISNUMBER(H1995),H1995&gt;0),M1995/H1995,"")))</f>
        <v/>
      </c>
      <c r="T1995" s="9">
        <f>IF(AND(ISNUMBER(M1995),ISNUMBER(O1995)),IF(M1995&lt;=O1995,"Valor ≤ venal IPTU",""),"")</f>
        <v/>
      </c>
      <c r="U1995" s="10">
        <f>IF(AND(ISNUMBER(M1995),ISNUMBER(N1995)),IF(N1995&gt;0,M1995/N1995,""),"")</f>
        <v/>
      </c>
      <c r="V1995" s="10">
        <f>IF(AND(ISNUMBER(M1995),ISNUMBER(O1995)),IF(O1995&gt;0,M1995/O1995,""),"")</f>
        <v/>
      </c>
      <c r="W1995" s="10">
        <f>IF(AND(ISNUMBER(M1995),ISNUMBER(R1995)),IF(R1995&gt;0,M1995/R1995,""),"")</f>
        <v/>
      </c>
      <c r="X1995" s="10">
        <f>IF(AND(ISNUMBER(Q1995),ISNUMBER(M1995)),IF(M1995&gt;0,Q1995/M1995,""),"")</f>
        <v/>
      </c>
      <c r="Y1995" s="11">
        <f>IF(ISNUMBER(Z1995),YEAR(Z1995),"")</f>
        <v/>
      </c>
      <c r="Z1995" s="12" t="n"/>
      <c r="AA1995" s="12" t="n"/>
      <c r="AI1995" s="12" t="n"/>
      <c r="AJ1995" s="13">
        <f>IF(LEN(TRIM(AF1995))=0,"",HYPERLINK("https://www.google.com/maps/@?api=1&amp;map_action=pano&amp;viewpoint="&amp;SUBSTITUTE(AF1995," ",""),"Abrir Street View"))</f>
        <v/>
      </c>
    </row>
    <row r="1996">
      <c r="H1996" s="6" t="n"/>
      <c r="I1996" s="6" t="n"/>
      <c r="M1996" s="7" t="n"/>
      <c r="N1996" s="7" t="n"/>
      <c r="O1996" s="7" t="n"/>
      <c r="Q1996" s="7" t="n"/>
      <c r="R1996" s="7" t="n"/>
      <c r="S1996" s="8">
        <f>IF(NOT(ISNUMBER(M1996)),"",IF(G1996="Terreno",IF(AND(ISNUMBER(I1996),I1996&gt;0),M1996/I1996,""),IF(AND(ISNUMBER(H1996),H1996&gt;0),M1996/H1996,"")))</f>
        <v/>
      </c>
      <c r="T1996" s="9">
        <f>IF(AND(ISNUMBER(M1996),ISNUMBER(O1996)),IF(M1996&lt;=O1996,"Valor ≤ venal IPTU",""),"")</f>
        <v/>
      </c>
      <c r="U1996" s="10">
        <f>IF(AND(ISNUMBER(M1996),ISNUMBER(N1996)),IF(N1996&gt;0,M1996/N1996,""),"")</f>
        <v/>
      </c>
      <c r="V1996" s="10">
        <f>IF(AND(ISNUMBER(M1996),ISNUMBER(O1996)),IF(O1996&gt;0,M1996/O1996,""),"")</f>
        <v/>
      </c>
      <c r="W1996" s="10">
        <f>IF(AND(ISNUMBER(M1996),ISNUMBER(R1996)),IF(R1996&gt;0,M1996/R1996,""),"")</f>
        <v/>
      </c>
      <c r="X1996" s="10">
        <f>IF(AND(ISNUMBER(Q1996),ISNUMBER(M1996)),IF(M1996&gt;0,Q1996/M1996,""),"")</f>
        <v/>
      </c>
      <c r="Y1996" s="11">
        <f>IF(ISNUMBER(Z1996),YEAR(Z1996),"")</f>
        <v/>
      </c>
      <c r="Z1996" s="12" t="n"/>
      <c r="AA1996" s="12" t="n"/>
      <c r="AI1996" s="12" t="n"/>
      <c r="AJ1996" s="13">
        <f>IF(LEN(TRIM(AF1996))=0,"",HYPERLINK("https://www.google.com/maps/@?api=1&amp;map_action=pano&amp;viewpoint="&amp;SUBSTITUTE(AF1996," ",""),"Abrir Street View"))</f>
        <v/>
      </c>
    </row>
    <row r="1997">
      <c r="H1997" s="6" t="n"/>
      <c r="I1997" s="6" t="n"/>
      <c r="M1997" s="7" t="n"/>
      <c r="N1997" s="7" t="n"/>
      <c r="O1997" s="7" t="n"/>
      <c r="Q1997" s="7" t="n"/>
      <c r="R1997" s="7" t="n"/>
      <c r="S1997" s="8">
        <f>IF(NOT(ISNUMBER(M1997)),"",IF(G1997="Terreno",IF(AND(ISNUMBER(I1997),I1997&gt;0),M1997/I1997,""),IF(AND(ISNUMBER(H1997),H1997&gt;0),M1997/H1997,"")))</f>
        <v/>
      </c>
      <c r="T1997" s="9">
        <f>IF(AND(ISNUMBER(M1997),ISNUMBER(O1997)),IF(M1997&lt;=O1997,"Valor ≤ venal IPTU",""),"")</f>
        <v/>
      </c>
      <c r="U1997" s="10">
        <f>IF(AND(ISNUMBER(M1997),ISNUMBER(N1997)),IF(N1997&gt;0,M1997/N1997,""),"")</f>
        <v/>
      </c>
      <c r="V1997" s="10">
        <f>IF(AND(ISNUMBER(M1997),ISNUMBER(O1997)),IF(O1997&gt;0,M1997/O1997,""),"")</f>
        <v/>
      </c>
      <c r="W1997" s="10">
        <f>IF(AND(ISNUMBER(M1997),ISNUMBER(R1997)),IF(R1997&gt;0,M1997/R1997,""),"")</f>
        <v/>
      </c>
      <c r="X1997" s="10">
        <f>IF(AND(ISNUMBER(Q1997),ISNUMBER(M1997)),IF(M1997&gt;0,Q1997/M1997,""),"")</f>
        <v/>
      </c>
      <c r="Y1997" s="11">
        <f>IF(ISNUMBER(Z1997),YEAR(Z1997),"")</f>
        <v/>
      </c>
      <c r="Z1997" s="12" t="n"/>
      <c r="AA1997" s="12" t="n"/>
      <c r="AI1997" s="12" t="n"/>
      <c r="AJ1997" s="13">
        <f>IF(LEN(TRIM(AF1997))=0,"",HYPERLINK("https://www.google.com/maps/@?api=1&amp;map_action=pano&amp;viewpoint="&amp;SUBSTITUTE(AF1997," ",""),"Abrir Street View"))</f>
        <v/>
      </c>
    </row>
    <row r="1998">
      <c r="H1998" s="6" t="n"/>
      <c r="I1998" s="6" t="n"/>
      <c r="M1998" s="7" t="n"/>
      <c r="N1998" s="7" t="n"/>
      <c r="O1998" s="7" t="n"/>
      <c r="Q1998" s="7" t="n"/>
      <c r="R1998" s="7" t="n"/>
      <c r="S1998" s="8">
        <f>IF(NOT(ISNUMBER(M1998)),"",IF(G1998="Terreno",IF(AND(ISNUMBER(I1998),I1998&gt;0),M1998/I1998,""),IF(AND(ISNUMBER(H1998),H1998&gt;0),M1998/H1998,"")))</f>
        <v/>
      </c>
      <c r="T1998" s="9">
        <f>IF(AND(ISNUMBER(M1998),ISNUMBER(O1998)),IF(M1998&lt;=O1998,"Valor ≤ venal IPTU",""),"")</f>
        <v/>
      </c>
      <c r="U1998" s="10">
        <f>IF(AND(ISNUMBER(M1998),ISNUMBER(N1998)),IF(N1998&gt;0,M1998/N1998,""),"")</f>
        <v/>
      </c>
      <c r="V1998" s="10">
        <f>IF(AND(ISNUMBER(M1998),ISNUMBER(O1998)),IF(O1998&gt;0,M1998/O1998,""),"")</f>
        <v/>
      </c>
      <c r="W1998" s="10">
        <f>IF(AND(ISNUMBER(M1998),ISNUMBER(R1998)),IF(R1998&gt;0,M1998/R1998,""),"")</f>
        <v/>
      </c>
      <c r="X1998" s="10">
        <f>IF(AND(ISNUMBER(Q1998),ISNUMBER(M1998)),IF(M1998&gt;0,Q1998/M1998,""),"")</f>
        <v/>
      </c>
      <c r="Y1998" s="11">
        <f>IF(ISNUMBER(Z1998),YEAR(Z1998),"")</f>
        <v/>
      </c>
      <c r="Z1998" s="12" t="n"/>
      <c r="AA1998" s="12" t="n"/>
      <c r="AI1998" s="12" t="n"/>
      <c r="AJ1998" s="13">
        <f>IF(LEN(TRIM(AF1998))=0,"",HYPERLINK("https://www.google.com/maps/@?api=1&amp;map_action=pano&amp;viewpoint="&amp;SUBSTITUTE(AF1998," ",""),"Abrir Street View"))</f>
        <v/>
      </c>
    </row>
    <row r="1999">
      <c r="H1999" s="6" t="n"/>
      <c r="I1999" s="6" t="n"/>
      <c r="M1999" s="7" t="n"/>
      <c r="N1999" s="7" t="n"/>
      <c r="O1999" s="7" t="n"/>
      <c r="Q1999" s="7" t="n"/>
      <c r="R1999" s="7" t="n"/>
      <c r="S1999" s="8">
        <f>IF(NOT(ISNUMBER(M1999)),"",IF(G1999="Terreno",IF(AND(ISNUMBER(I1999),I1999&gt;0),M1999/I1999,""),IF(AND(ISNUMBER(H1999),H1999&gt;0),M1999/H1999,"")))</f>
        <v/>
      </c>
      <c r="T1999" s="9">
        <f>IF(AND(ISNUMBER(M1999),ISNUMBER(O1999)),IF(M1999&lt;=O1999,"Valor ≤ venal IPTU",""),"")</f>
        <v/>
      </c>
      <c r="U1999" s="10">
        <f>IF(AND(ISNUMBER(M1999),ISNUMBER(N1999)),IF(N1999&gt;0,M1999/N1999,""),"")</f>
        <v/>
      </c>
      <c r="V1999" s="10">
        <f>IF(AND(ISNUMBER(M1999),ISNUMBER(O1999)),IF(O1999&gt;0,M1999/O1999,""),"")</f>
        <v/>
      </c>
      <c r="W1999" s="10">
        <f>IF(AND(ISNUMBER(M1999),ISNUMBER(R1999)),IF(R1999&gt;0,M1999/R1999,""),"")</f>
        <v/>
      </c>
      <c r="X1999" s="10">
        <f>IF(AND(ISNUMBER(Q1999),ISNUMBER(M1999)),IF(M1999&gt;0,Q1999/M1999,""),"")</f>
        <v/>
      </c>
      <c r="Y1999" s="11">
        <f>IF(ISNUMBER(Z1999),YEAR(Z1999),"")</f>
        <v/>
      </c>
      <c r="Z1999" s="12" t="n"/>
      <c r="AA1999" s="12" t="n"/>
      <c r="AI1999" s="12" t="n"/>
      <c r="AJ1999" s="13">
        <f>IF(LEN(TRIM(AF1999))=0,"",HYPERLINK("https://www.google.com/maps/@?api=1&amp;map_action=pano&amp;viewpoint="&amp;SUBSTITUTE(AF1999," ",""),"Abrir Street View"))</f>
        <v/>
      </c>
    </row>
    <row r="2000">
      <c r="H2000" s="6" t="n"/>
      <c r="I2000" s="6" t="n"/>
      <c r="M2000" s="7" t="n"/>
      <c r="N2000" s="7" t="n"/>
      <c r="O2000" s="7" t="n"/>
      <c r="Q2000" s="7" t="n"/>
      <c r="R2000" s="7" t="n"/>
      <c r="S2000" s="8">
        <f>IF(NOT(ISNUMBER(M2000)),"",IF(G2000="Terreno",IF(AND(ISNUMBER(I2000),I2000&gt;0),M2000/I2000,""),IF(AND(ISNUMBER(H2000),H2000&gt;0),M2000/H2000,"")))</f>
        <v/>
      </c>
      <c r="T2000" s="9">
        <f>IF(AND(ISNUMBER(M2000),ISNUMBER(O2000)),IF(M2000&lt;=O2000,"Valor ≤ venal IPTU",""),"")</f>
        <v/>
      </c>
      <c r="U2000" s="10">
        <f>IF(AND(ISNUMBER(M2000),ISNUMBER(N2000)),IF(N2000&gt;0,M2000/N2000,""),"")</f>
        <v/>
      </c>
      <c r="V2000" s="10">
        <f>IF(AND(ISNUMBER(M2000),ISNUMBER(O2000)),IF(O2000&gt;0,M2000/O2000,""),"")</f>
        <v/>
      </c>
      <c r="W2000" s="10">
        <f>IF(AND(ISNUMBER(M2000),ISNUMBER(R2000)),IF(R2000&gt;0,M2000/R2000,""),"")</f>
        <v/>
      </c>
      <c r="X2000" s="10">
        <f>IF(AND(ISNUMBER(Q2000),ISNUMBER(M2000)),IF(M2000&gt;0,Q2000/M2000,""),"")</f>
        <v/>
      </c>
      <c r="Y2000" s="11">
        <f>IF(ISNUMBER(Z2000),YEAR(Z2000),"")</f>
        <v/>
      </c>
      <c r="Z2000" s="12" t="n"/>
      <c r="AA2000" s="12" t="n"/>
      <c r="AI2000" s="12" t="n"/>
      <c r="AJ2000" s="13">
        <f>IF(LEN(TRIM(AF2000))=0,"",HYPERLINK("https://www.google.com/maps/@?api=1&amp;map_action=pano&amp;viewpoint="&amp;SUBSTITUTE(AF2000," ",""),"Abrir Street View"))</f>
        <v/>
      </c>
    </row>
    <row r="2001">
      <c r="H2001" s="6" t="n"/>
      <c r="I2001" s="6" t="n"/>
      <c r="M2001" s="7" t="n"/>
      <c r="N2001" s="7" t="n"/>
      <c r="O2001" s="7" t="n"/>
      <c r="Q2001" s="7" t="n"/>
      <c r="R2001" s="7" t="n"/>
      <c r="S2001" s="8">
        <f>IF(NOT(ISNUMBER(M2001)),"",IF(G2001="Terreno",IF(AND(ISNUMBER(I2001),I2001&gt;0),M2001/I2001,""),IF(AND(ISNUMBER(H2001),H2001&gt;0),M2001/H2001,"")))</f>
        <v/>
      </c>
      <c r="T2001" s="9">
        <f>IF(AND(ISNUMBER(M2001),ISNUMBER(O2001)),IF(M2001&lt;=O2001,"Valor ≤ venal IPTU",""),"")</f>
        <v/>
      </c>
      <c r="U2001" s="10">
        <f>IF(AND(ISNUMBER(M2001),ISNUMBER(N2001)),IF(N2001&gt;0,M2001/N2001,""),"")</f>
        <v/>
      </c>
      <c r="V2001" s="10">
        <f>IF(AND(ISNUMBER(M2001),ISNUMBER(O2001)),IF(O2001&gt;0,M2001/O2001,""),"")</f>
        <v/>
      </c>
      <c r="W2001" s="10">
        <f>IF(AND(ISNUMBER(M2001),ISNUMBER(R2001)),IF(R2001&gt;0,M2001/R2001,""),"")</f>
        <v/>
      </c>
      <c r="X2001" s="10">
        <f>IF(AND(ISNUMBER(Q2001),ISNUMBER(M2001)),IF(M2001&gt;0,Q2001/M2001,""),"")</f>
        <v/>
      </c>
      <c r="Y2001" s="11">
        <f>IF(ISNUMBER(Z2001),YEAR(Z2001),"")</f>
        <v/>
      </c>
      <c r="Z2001" s="12" t="n"/>
      <c r="AA2001" s="12" t="n"/>
      <c r="AI2001" s="12" t="n"/>
      <c r="AJ2001" s="13">
        <f>IF(LEN(TRIM(AF2001))=0,"",HYPERLINK("https://www.google.com/maps/@?api=1&amp;map_action=pano&amp;viewpoint="&amp;SUBSTITUTE(AF2001," ",""),"Abrir Street View"))</f>
        <v/>
      </c>
    </row>
    <row r="2002">
      <c r="H2002" s="6" t="n"/>
      <c r="I2002" s="6" t="n"/>
      <c r="M2002" s="7" t="n"/>
      <c r="N2002" s="7" t="n"/>
      <c r="O2002" s="7" t="n"/>
      <c r="Q2002" s="7" t="n"/>
      <c r="R2002" s="7" t="n"/>
      <c r="S2002" s="8">
        <f>IF(NOT(ISNUMBER(M2002)),"",IF(G2002="Terreno",IF(AND(ISNUMBER(I2002),I2002&gt;0),M2002/I2002,""),IF(AND(ISNUMBER(H2002),H2002&gt;0),M2002/H2002,"")))</f>
        <v/>
      </c>
      <c r="T2002" s="9">
        <f>IF(AND(ISNUMBER(M2002),ISNUMBER(O2002)),IF(M2002&lt;=O2002,"Valor ≤ venal IPTU",""),"")</f>
        <v/>
      </c>
      <c r="U2002" s="10">
        <f>IF(AND(ISNUMBER(M2002),ISNUMBER(N2002)),IF(N2002&gt;0,M2002/N2002,""),"")</f>
        <v/>
      </c>
      <c r="V2002" s="10">
        <f>IF(AND(ISNUMBER(M2002),ISNUMBER(O2002)),IF(O2002&gt;0,M2002/O2002,""),"")</f>
        <v/>
      </c>
      <c r="W2002" s="10">
        <f>IF(AND(ISNUMBER(M2002),ISNUMBER(R2002)),IF(R2002&gt;0,M2002/R2002,""),"")</f>
        <v/>
      </c>
      <c r="X2002" s="10">
        <f>IF(AND(ISNUMBER(Q2002),ISNUMBER(M2002)),IF(M2002&gt;0,Q2002/M2002,""),"")</f>
        <v/>
      </c>
      <c r="Y2002" s="11">
        <f>IF(ISNUMBER(Z2002),YEAR(Z2002),"")</f>
        <v/>
      </c>
      <c r="Z2002" s="12" t="n"/>
      <c r="AA2002" s="12" t="n"/>
      <c r="AI2002" s="12" t="n"/>
      <c r="AJ2002" s="13">
        <f>IF(LEN(TRIM(AF2002))=0,"",HYPERLINK("https://www.google.com/maps/@?api=1&amp;map_action=pano&amp;viewpoint="&amp;SUBSTITUTE(AF2002," ",""),"Abrir Street View"))</f>
        <v/>
      </c>
    </row>
    <row r="2003">
      <c r="H2003" s="6" t="n"/>
      <c r="I2003" s="6" t="n"/>
      <c r="M2003" s="7" t="n"/>
      <c r="N2003" s="7" t="n"/>
      <c r="O2003" s="7" t="n"/>
      <c r="Q2003" s="7" t="n"/>
      <c r="R2003" s="7" t="n"/>
      <c r="S2003" s="8">
        <f>IF(NOT(ISNUMBER(M2003)),"",IF(G2003="Terreno",IF(AND(ISNUMBER(I2003),I2003&gt;0),M2003/I2003,""),IF(AND(ISNUMBER(H2003),H2003&gt;0),M2003/H2003,"")))</f>
        <v/>
      </c>
      <c r="T2003" s="9">
        <f>IF(AND(ISNUMBER(M2003),ISNUMBER(O2003)),IF(M2003&lt;=O2003,"Valor ≤ venal IPTU",""),"")</f>
        <v/>
      </c>
      <c r="U2003" s="10">
        <f>IF(AND(ISNUMBER(M2003),ISNUMBER(N2003)),IF(N2003&gt;0,M2003/N2003,""),"")</f>
        <v/>
      </c>
      <c r="V2003" s="10">
        <f>IF(AND(ISNUMBER(M2003),ISNUMBER(O2003)),IF(O2003&gt;0,M2003/O2003,""),"")</f>
        <v/>
      </c>
      <c r="W2003" s="10">
        <f>IF(AND(ISNUMBER(M2003),ISNUMBER(R2003)),IF(R2003&gt;0,M2003/R2003,""),"")</f>
        <v/>
      </c>
      <c r="X2003" s="10">
        <f>IF(AND(ISNUMBER(Q2003),ISNUMBER(M2003)),IF(M2003&gt;0,Q2003/M2003,""),"")</f>
        <v/>
      </c>
      <c r="Y2003" s="11">
        <f>IF(ISNUMBER(Z2003),YEAR(Z2003),"")</f>
        <v/>
      </c>
      <c r="Z2003" s="12" t="n"/>
      <c r="AA2003" s="12" t="n"/>
      <c r="AI2003" s="12" t="n"/>
      <c r="AJ2003" s="13">
        <f>IF(LEN(TRIM(AF2003))=0,"",HYPERLINK("https://www.google.com/maps/@?api=1&amp;map_action=pano&amp;viewpoint="&amp;SUBSTITUTE(AF2003," ",""),"Abrir Street View"))</f>
        <v/>
      </c>
    </row>
    <row r="2004">
      <c r="H2004" s="6" t="n"/>
      <c r="I2004" s="6" t="n"/>
      <c r="M2004" s="7" t="n"/>
      <c r="N2004" s="7" t="n"/>
      <c r="O2004" s="7" t="n"/>
      <c r="Q2004" s="7" t="n"/>
      <c r="R2004" s="7" t="n"/>
      <c r="S2004" s="8">
        <f>IF(NOT(ISNUMBER(M2004)),"",IF(G2004="Terreno",IF(AND(ISNUMBER(I2004),I2004&gt;0),M2004/I2004,""),IF(AND(ISNUMBER(H2004),H2004&gt;0),M2004/H2004,"")))</f>
        <v/>
      </c>
      <c r="T2004" s="9">
        <f>IF(AND(ISNUMBER(M2004),ISNUMBER(O2004)),IF(M2004&lt;=O2004,"Valor ≤ venal IPTU",""),"")</f>
        <v/>
      </c>
      <c r="U2004" s="10">
        <f>IF(AND(ISNUMBER(M2004),ISNUMBER(N2004)),IF(N2004&gt;0,M2004/N2004,""),"")</f>
        <v/>
      </c>
      <c r="V2004" s="10">
        <f>IF(AND(ISNUMBER(M2004),ISNUMBER(O2004)),IF(O2004&gt;0,M2004/O2004,""),"")</f>
        <v/>
      </c>
      <c r="W2004" s="10">
        <f>IF(AND(ISNUMBER(M2004),ISNUMBER(R2004)),IF(R2004&gt;0,M2004/R2004,""),"")</f>
        <v/>
      </c>
      <c r="X2004" s="10">
        <f>IF(AND(ISNUMBER(Q2004),ISNUMBER(M2004)),IF(M2004&gt;0,Q2004/M2004,""),"")</f>
        <v/>
      </c>
      <c r="Y2004" s="11">
        <f>IF(ISNUMBER(Z2004),YEAR(Z2004),"")</f>
        <v/>
      </c>
      <c r="Z2004" s="12" t="n"/>
      <c r="AA2004" s="12" t="n"/>
      <c r="AI2004" s="12" t="n"/>
      <c r="AJ2004" s="13">
        <f>IF(LEN(TRIM(AF2004))=0,"",HYPERLINK("https://www.google.com/maps/@?api=1&amp;map_action=pano&amp;viewpoint="&amp;SUBSTITUTE(AF2004," ",""),"Abrir Street View"))</f>
        <v/>
      </c>
    </row>
    <row r="2005">
      <c r="H2005" s="6" t="n"/>
      <c r="I2005" s="6" t="n"/>
      <c r="M2005" s="7" t="n"/>
      <c r="N2005" s="7" t="n"/>
      <c r="O2005" s="7" t="n"/>
      <c r="Q2005" s="7" t="n"/>
      <c r="R2005" s="7" t="n"/>
      <c r="S2005" s="8">
        <f>IF(NOT(ISNUMBER(M2005)),"",IF(G2005="Terreno",IF(AND(ISNUMBER(I2005),I2005&gt;0),M2005/I2005,""),IF(AND(ISNUMBER(H2005),H2005&gt;0),M2005/H2005,"")))</f>
        <v/>
      </c>
      <c r="T2005" s="9">
        <f>IF(AND(ISNUMBER(M2005),ISNUMBER(O2005)),IF(M2005&lt;=O2005,"Valor ≤ venal IPTU",""),"")</f>
        <v/>
      </c>
      <c r="U2005" s="10">
        <f>IF(AND(ISNUMBER(M2005),ISNUMBER(N2005)),IF(N2005&gt;0,M2005/N2005,""),"")</f>
        <v/>
      </c>
      <c r="V2005" s="10">
        <f>IF(AND(ISNUMBER(M2005),ISNUMBER(O2005)),IF(O2005&gt;0,M2005/O2005,""),"")</f>
        <v/>
      </c>
      <c r="W2005" s="10">
        <f>IF(AND(ISNUMBER(M2005),ISNUMBER(R2005)),IF(R2005&gt;0,M2005/R2005,""),"")</f>
        <v/>
      </c>
      <c r="X2005" s="10">
        <f>IF(AND(ISNUMBER(Q2005),ISNUMBER(M2005)),IF(M2005&gt;0,Q2005/M2005,""),"")</f>
        <v/>
      </c>
      <c r="Y2005" s="11">
        <f>IF(ISNUMBER(Z2005),YEAR(Z2005),"")</f>
        <v/>
      </c>
      <c r="Z2005" s="12" t="n"/>
      <c r="AA2005" s="12" t="n"/>
      <c r="AI2005" s="12" t="n"/>
      <c r="AJ2005" s="13">
        <f>IF(LEN(TRIM(AF2005))=0,"",HYPERLINK("https://www.google.com/maps/@?api=1&amp;map_action=pano&amp;viewpoint="&amp;SUBSTITUTE(AF2005," ",""),"Abrir Street View"))</f>
        <v/>
      </c>
    </row>
    <row r="2006">
      <c r="H2006" s="6" t="n"/>
      <c r="I2006" s="6" t="n"/>
      <c r="M2006" s="7" t="n"/>
      <c r="N2006" s="7" t="n"/>
      <c r="O2006" s="7" t="n"/>
      <c r="Q2006" s="7" t="n"/>
      <c r="R2006" s="7" t="n"/>
      <c r="S2006" s="8">
        <f>IF(NOT(ISNUMBER(M2006)),"",IF(G2006="Terreno",IF(AND(ISNUMBER(I2006),I2006&gt;0),M2006/I2006,""),IF(AND(ISNUMBER(H2006),H2006&gt;0),M2006/H2006,"")))</f>
        <v/>
      </c>
      <c r="T2006" s="9">
        <f>IF(AND(ISNUMBER(M2006),ISNUMBER(O2006)),IF(M2006&lt;=O2006,"Valor ≤ venal IPTU",""),"")</f>
        <v/>
      </c>
      <c r="U2006" s="10">
        <f>IF(AND(ISNUMBER(M2006),ISNUMBER(N2006)),IF(N2006&gt;0,M2006/N2006,""),"")</f>
        <v/>
      </c>
      <c r="V2006" s="10">
        <f>IF(AND(ISNUMBER(M2006),ISNUMBER(O2006)),IF(O2006&gt;0,M2006/O2006,""),"")</f>
        <v/>
      </c>
      <c r="W2006" s="10">
        <f>IF(AND(ISNUMBER(M2006),ISNUMBER(R2006)),IF(R2006&gt;0,M2006/R2006,""),"")</f>
        <v/>
      </c>
      <c r="X2006" s="10">
        <f>IF(AND(ISNUMBER(Q2006),ISNUMBER(M2006)),IF(M2006&gt;0,Q2006/M2006,""),"")</f>
        <v/>
      </c>
      <c r="Y2006" s="11">
        <f>IF(ISNUMBER(Z2006),YEAR(Z2006),"")</f>
        <v/>
      </c>
      <c r="Z2006" s="12" t="n"/>
      <c r="AA2006" s="12" t="n"/>
      <c r="AI2006" s="12" t="n"/>
      <c r="AJ2006" s="13">
        <f>IF(LEN(TRIM(AF2006))=0,"",HYPERLINK("https://www.google.com/maps/@?api=1&amp;map_action=pano&amp;viewpoint="&amp;SUBSTITUTE(AF2006," ",""),"Abrir Street View"))</f>
        <v/>
      </c>
    </row>
    <row r="2007">
      <c r="H2007" s="6" t="n"/>
      <c r="I2007" s="6" t="n"/>
      <c r="M2007" s="7" t="n"/>
      <c r="N2007" s="7" t="n"/>
      <c r="O2007" s="7" t="n"/>
      <c r="Q2007" s="7" t="n"/>
      <c r="R2007" s="7" t="n"/>
      <c r="S2007" s="8">
        <f>IF(NOT(ISNUMBER(M2007)),"",IF(G2007="Terreno",IF(AND(ISNUMBER(I2007),I2007&gt;0),M2007/I2007,""),IF(AND(ISNUMBER(H2007),H2007&gt;0),M2007/H2007,"")))</f>
        <v/>
      </c>
      <c r="T2007" s="9">
        <f>IF(AND(ISNUMBER(M2007),ISNUMBER(O2007)),IF(M2007&lt;=O2007,"Valor ≤ venal IPTU",""),"")</f>
        <v/>
      </c>
      <c r="U2007" s="10">
        <f>IF(AND(ISNUMBER(M2007),ISNUMBER(N2007)),IF(N2007&gt;0,M2007/N2007,""),"")</f>
        <v/>
      </c>
      <c r="V2007" s="10">
        <f>IF(AND(ISNUMBER(M2007),ISNUMBER(O2007)),IF(O2007&gt;0,M2007/O2007,""),"")</f>
        <v/>
      </c>
      <c r="W2007" s="10">
        <f>IF(AND(ISNUMBER(M2007),ISNUMBER(R2007)),IF(R2007&gt;0,M2007/R2007,""),"")</f>
        <v/>
      </c>
      <c r="X2007" s="10">
        <f>IF(AND(ISNUMBER(Q2007),ISNUMBER(M2007)),IF(M2007&gt;0,Q2007/M2007,""),"")</f>
        <v/>
      </c>
      <c r="Y2007" s="11">
        <f>IF(ISNUMBER(Z2007),YEAR(Z2007),"")</f>
        <v/>
      </c>
      <c r="Z2007" s="12" t="n"/>
      <c r="AA2007" s="12" t="n"/>
      <c r="AI2007" s="12" t="n"/>
      <c r="AJ2007" s="13">
        <f>IF(LEN(TRIM(AF2007))=0,"",HYPERLINK("https://www.google.com/maps/@?api=1&amp;map_action=pano&amp;viewpoint="&amp;SUBSTITUTE(AF2007," ",""),"Abrir Street View"))</f>
        <v/>
      </c>
    </row>
    <row r="2008">
      <c r="H2008" s="6" t="n"/>
      <c r="I2008" s="6" t="n"/>
      <c r="M2008" s="7" t="n"/>
      <c r="N2008" s="7" t="n"/>
      <c r="O2008" s="7" t="n"/>
      <c r="Q2008" s="7" t="n"/>
      <c r="R2008" s="7" t="n"/>
      <c r="S2008" s="8">
        <f>IF(NOT(ISNUMBER(M2008)),"",IF(G2008="Terreno",IF(AND(ISNUMBER(I2008),I2008&gt;0),M2008/I2008,""),IF(AND(ISNUMBER(H2008),H2008&gt;0),M2008/H2008,"")))</f>
        <v/>
      </c>
      <c r="T2008" s="9">
        <f>IF(AND(ISNUMBER(M2008),ISNUMBER(O2008)),IF(M2008&lt;=O2008,"Valor ≤ venal IPTU",""),"")</f>
        <v/>
      </c>
      <c r="U2008" s="10">
        <f>IF(AND(ISNUMBER(M2008),ISNUMBER(N2008)),IF(N2008&gt;0,M2008/N2008,""),"")</f>
        <v/>
      </c>
      <c r="V2008" s="10">
        <f>IF(AND(ISNUMBER(M2008),ISNUMBER(O2008)),IF(O2008&gt;0,M2008/O2008,""),"")</f>
        <v/>
      </c>
      <c r="W2008" s="10">
        <f>IF(AND(ISNUMBER(M2008),ISNUMBER(R2008)),IF(R2008&gt;0,M2008/R2008,""),"")</f>
        <v/>
      </c>
      <c r="X2008" s="10">
        <f>IF(AND(ISNUMBER(Q2008),ISNUMBER(M2008)),IF(M2008&gt;0,Q2008/M2008,""),"")</f>
        <v/>
      </c>
      <c r="Y2008" s="11">
        <f>IF(ISNUMBER(Z2008),YEAR(Z2008),"")</f>
        <v/>
      </c>
      <c r="Z2008" s="12" t="n"/>
      <c r="AA2008" s="12" t="n"/>
      <c r="AI2008" s="12" t="n"/>
      <c r="AJ2008" s="13">
        <f>IF(LEN(TRIM(AF2008))=0,"",HYPERLINK("https://www.google.com/maps/@?api=1&amp;map_action=pano&amp;viewpoint="&amp;SUBSTITUTE(AF2008," ",""),"Abrir Street View"))</f>
        <v/>
      </c>
    </row>
    <row r="2009">
      <c r="H2009" s="6" t="n"/>
      <c r="I2009" s="6" t="n"/>
      <c r="M2009" s="7" t="n"/>
      <c r="N2009" s="7" t="n"/>
      <c r="O2009" s="7" t="n"/>
      <c r="Q2009" s="7" t="n"/>
      <c r="R2009" s="7" t="n"/>
      <c r="S2009" s="8">
        <f>IF(NOT(ISNUMBER(M2009)),"",IF(G2009="Terreno",IF(AND(ISNUMBER(I2009),I2009&gt;0),M2009/I2009,""),IF(AND(ISNUMBER(H2009),H2009&gt;0),M2009/H2009,"")))</f>
        <v/>
      </c>
      <c r="T2009" s="9">
        <f>IF(AND(ISNUMBER(M2009),ISNUMBER(O2009)),IF(M2009&lt;=O2009,"Valor ≤ venal IPTU",""),"")</f>
        <v/>
      </c>
      <c r="U2009" s="10">
        <f>IF(AND(ISNUMBER(M2009),ISNUMBER(N2009)),IF(N2009&gt;0,M2009/N2009,""),"")</f>
        <v/>
      </c>
      <c r="V2009" s="10">
        <f>IF(AND(ISNUMBER(M2009),ISNUMBER(O2009)),IF(O2009&gt;0,M2009/O2009,""),"")</f>
        <v/>
      </c>
      <c r="W2009" s="10">
        <f>IF(AND(ISNUMBER(M2009),ISNUMBER(R2009)),IF(R2009&gt;0,M2009/R2009,""),"")</f>
        <v/>
      </c>
      <c r="X2009" s="10">
        <f>IF(AND(ISNUMBER(Q2009),ISNUMBER(M2009)),IF(M2009&gt;0,Q2009/M2009,""),"")</f>
        <v/>
      </c>
      <c r="Y2009" s="11">
        <f>IF(ISNUMBER(Z2009),YEAR(Z2009),"")</f>
        <v/>
      </c>
      <c r="Z2009" s="12" t="n"/>
      <c r="AA2009" s="12" t="n"/>
      <c r="AI2009" s="12" t="n"/>
      <c r="AJ2009" s="13">
        <f>IF(LEN(TRIM(AF2009))=0,"",HYPERLINK("https://www.google.com/maps/@?api=1&amp;map_action=pano&amp;viewpoint="&amp;SUBSTITUTE(AF2009," ",""),"Abrir Street View"))</f>
        <v/>
      </c>
    </row>
    <row r="2010">
      <c r="H2010" s="6" t="n"/>
      <c r="I2010" s="6" t="n"/>
      <c r="M2010" s="7" t="n"/>
      <c r="N2010" s="7" t="n"/>
      <c r="O2010" s="7" t="n"/>
      <c r="Q2010" s="7" t="n"/>
      <c r="R2010" s="7" t="n"/>
      <c r="S2010" s="8">
        <f>IF(NOT(ISNUMBER(M2010)),"",IF(G2010="Terreno",IF(AND(ISNUMBER(I2010),I2010&gt;0),M2010/I2010,""),IF(AND(ISNUMBER(H2010),H2010&gt;0),M2010/H2010,"")))</f>
        <v/>
      </c>
      <c r="T2010" s="9">
        <f>IF(AND(ISNUMBER(M2010),ISNUMBER(O2010)),IF(M2010&lt;=O2010,"Valor ≤ venal IPTU",""),"")</f>
        <v/>
      </c>
      <c r="U2010" s="10">
        <f>IF(AND(ISNUMBER(M2010),ISNUMBER(N2010)),IF(N2010&gt;0,M2010/N2010,""),"")</f>
        <v/>
      </c>
      <c r="V2010" s="10">
        <f>IF(AND(ISNUMBER(M2010),ISNUMBER(O2010)),IF(O2010&gt;0,M2010/O2010,""),"")</f>
        <v/>
      </c>
      <c r="W2010" s="10">
        <f>IF(AND(ISNUMBER(M2010),ISNUMBER(R2010)),IF(R2010&gt;0,M2010/R2010,""),"")</f>
        <v/>
      </c>
      <c r="X2010" s="10">
        <f>IF(AND(ISNUMBER(Q2010),ISNUMBER(M2010)),IF(M2010&gt;0,Q2010/M2010,""),"")</f>
        <v/>
      </c>
      <c r="Y2010" s="11">
        <f>IF(ISNUMBER(Z2010),YEAR(Z2010),"")</f>
        <v/>
      </c>
      <c r="Z2010" s="12" t="n"/>
      <c r="AA2010" s="12" t="n"/>
      <c r="AI2010" s="12" t="n"/>
      <c r="AJ2010" s="13">
        <f>IF(LEN(TRIM(AF2010))=0,"",HYPERLINK("https://www.google.com/maps/@?api=1&amp;map_action=pano&amp;viewpoint="&amp;SUBSTITUTE(AF2010," ",""),"Abrir Street View"))</f>
        <v/>
      </c>
    </row>
    <row r="2011">
      <c r="H2011" s="6" t="n"/>
      <c r="I2011" s="6" t="n"/>
      <c r="M2011" s="7" t="n"/>
      <c r="N2011" s="7" t="n"/>
      <c r="O2011" s="7" t="n"/>
      <c r="Q2011" s="7" t="n"/>
      <c r="R2011" s="7" t="n"/>
      <c r="S2011" s="8">
        <f>IF(NOT(ISNUMBER(M2011)),"",IF(G2011="Terreno",IF(AND(ISNUMBER(I2011),I2011&gt;0),M2011/I2011,""),IF(AND(ISNUMBER(H2011),H2011&gt;0),M2011/H2011,"")))</f>
        <v/>
      </c>
      <c r="T2011" s="9">
        <f>IF(AND(ISNUMBER(M2011),ISNUMBER(O2011)),IF(M2011&lt;=O2011,"Valor ≤ venal IPTU",""),"")</f>
        <v/>
      </c>
      <c r="U2011" s="10">
        <f>IF(AND(ISNUMBER(M2011),ISNUMBER(N2011)),IF(N2011&gt;0,M2011/N2011,""),"")</f>
        <v/>
      </c>
      <c r="V2011" s="10">
        <f>IF(AND(ISNUMBER(M2011),ISNUMBER(O2011)),IF(O2011&gt;0,M2011/O2011,""),"")</f>
        <v/>
      </c>
      <c r="W2011" s="10">
        <f>IF(AND(ISNUMBER(M2011),ISNUMBER(R2011)),IF(R2011&gt;0,M2011/R2011,""),"")</f>
        <v/>
      </c>
      <c r="X2011" s="10">
        <f>IF(AND(ISNUMBER(Q2011),ISNUMBER(M2011)),IF(M2011&gt;0,Q2011/M2011,""),"")</f>
        <v/>
      </c>
      <c r="Y2011" s="11">
        <f>IF(ISNUMBER(Z2011),YEAR(Z2011),"")</f>
        <v/>
      </c>
      <c r="Z2011" s="12" t="n"/>
      <c r="AA2011" s="12" t="n"/>
      <c r="AI2011" s="12" t="n"/>
      <c r="AJ2011" s="13">
        <f>IF(LEN(TRIM(AF2011))=0,"",HYPERLINK("https://www.google.com/maps/@?api=1&amp;map_action=pano&amp;viewpoint="&amp;SUBSTITUTE(AF2011," ",""),"Abrir Street View"))</f>
        <v/>
      </c>
    </row>
    <row r="2012">
      <c r="H2012" s="6" t="n"/>
      <c r="I2012" s="6" t="n"/>
      <c r="M2012" s="7" t="n"/>
      <c r="N2012" s="7" t="n"/>
      <c r="O2012" s="7" t="n"/>
      <c r="Q2012" s="7" t="n"/>
      <c r="R2012" s="7" t="n"/>
      <c r="S2012" s="8">
        <f>IF(NOT(ISNUMBER(M2012)),"",IF(G2012="Terreno",IF(AND(ISNUMBER(I2012),I2012&gt;0),M2012/I2012,""),IF(AND(ISNUMBER(H2012),H2012&gt;0),M2012/H2012,"")))</f>
        <v/>
      </c>
      <c r="T2012" s="9">
        <f>IF(AND(ISNUMBER(M2012),ISNUMBER(O2012)),IF(M2012&lt;=O2012,"Valor ≤ venal IPTU",""),"")</f>
        <v/>
      </c>
      <c r="U2012" s="10">
        <f>IF(AND(ISNUMBER(M2012),ISNUMBER(N2012)),IF(N2012&gt;0,M2012/N2012,""),"")</f>
        <v/>
      </c>
      <c r="V2012" s="10">
        <f>IF(AND(ISNUMBER(M2012),ISNUMBER(O2012)),IF(O2012&gt;0,M2012/O2012,""),"")</f>
        <v/>
      </c>
      <c r="W2012" s="10">
        <f>IF(AND(ISNUMBER(M2012),ISNUMBER(R2012)),IF(R2012&gt;0,M2012/R2012,""),"")</f>
        <v/>
      </c>
      <c r="X2012" s="10">
        <f>IF(AND(ISNUMBER(Q2012),ISNUMBER(M2012)),IF(M2012&gt;0,Q2012/M2012,""),"")</f>
        <v/>
      </c>
      <c r="Y2012" s="11">
        <f>IF(ISNUMBER(Z2012),YEAR(Z2012),"")</f>
        <v/>
      </c>
      <c r="Z2012" s="12" t="n"/>
      <c r="AA2012" s="12" t="n"/>
      <c r="AI2012" s="12" t="n"/>
      <c r="AJ2012" s="13">
        <f>IF(LEN(TRIM(AF2012))=0,"",HYPERLINK("https://www.google.com/maps/@?api=1&amp;map_action=pano&amp;viewpoint="&amp;SUBSTITUTE(AF2012," ",""),"Abrir Street View"))</f>
        <v/>
      </c>
    </row>
    <row r="2013">
      <c r="H2013" s="6" t="n"/>
      <c r="I2013" s="6" t="n"/>
      <c r="M2013" s="7" t="n"/>
      <c r="N2013" s="7" t="n"/>
      <c r="O2013" s="7" t="n"/>
      <c r="Q2013" s="7" t="n"/>
      <c r="R2013" s="7" t="n"/>
      <c r="S2013" s="8">
        <f>IF(NOT(ISNUMBER(M2013)),"",IF(G2013="Terreno",IF(AND(ISNUMBER(I2013),I2013&gt;0),M2013/I2013,""),IF(AND(ISNUMBER(H2013),H2013&gt;0),M2013/H2013,"")))</f>
        <v/>
      </c>
      <c r="T2013" s="9">
        <f>IF(AND(ISNUMBER(M2013),ISNUMBER(O2013)),IF(M2013&lt;=O2013,"Valor ≤ venal IPTU",""),"")</f>
        <v/>
      </c>
      <c r="U2013" s="10">
        <f>IF(AND(ISNUMBER(M2013),ISNUMBER(N2013)),IF(N2013&gt;0,M2013/N2013,""),"")</f>
        <v/>
      </c>
      <c r="V2013" s="10">
        <f>IF(AND(ISNUMBER(M2013),ISNUMBER(O2013)),IF(O2013&gt;0,M2013/O2013,""),"")</f>
        <v/>
      </c>
      <c r="W2013" s="10">
        <f>IF(AND(ISNUMBER(M2013),ISNUMBER(R2013)),IF(R2013&gt;0,M2013/R2013,""),"")</f>
        <v/>
      </c>
      <c r="X2013" s="10">
        <f>IF(AND(ISNUMBER(Q2013),ISNUMBER(M2013)),IF(M2013&gt;0,Q2013/M2013,""),"")</f>
        <v/>
      </c>
      <c r="Y2013" s="11">
        <f>IF(ISNUMBER(Z2013),YEAR(Z2013),"")</f>
        <v/>
      </c>
      <c r="Z2013" s="12" t="n"/>
      <c r="AA2013" s="12" t="n"/>
      <c r="AI2013" s="12" t="n"/>
      <c r="AJ2013" s="13">
        <f>IF(LEN(TRIM(AF2013))=0,"",HYPERLINK("https://www.google.com/maps/@?api=1&amp;map_action=pano&amp;viewpoint="&amp;SUBSTITUTE(AF2013," ",""),"Abrir Street View"))</f>
        <v/>
      </c>
    </row>
    <row r="2014">
      <c r="H2014" s="6" t="n"/>
      <c r="I2014" s="6" t="n"/>
      <c r="M2014" s="7" t="n"/>
      <c r="N2014" s="7" t="n"/>
      <c r="O2014" s="7" t="n"/>
      <c r="Q2014" s="7" t="n"/>
      <c r="R2014" s="7" t="n"/>
      <c r="S2014" s="8">
        <f>IF(NOT(ISNUMBER(M2014)),"",IF(G2014="Terreno",IF(AND(ISNUMBER(I2014),I2014&gt;0),M2014/I2014,""),IF(AND(ISNUMBER(H2014),H2014&gt;0),M2014/H2014,"")))</f>
        <v/>
      </c>
      <c r="T2014" s="9">
        <f>IF(AND(ISNUMBER(M2014),ISNUMBER(O2014)),IF(M2014&lt;=O2014,"Valor ≤ venal IPTU",""),"")</f>
        <v/>
      </c>
      <c r="U2014" s="10">
        <f>IF(AND(ISNUMBER(M2014),ISNUMBER(N2014)),IF(N2014&gt;0,M2014/N2014,""),"")</f>
        <v/>
      </c>
      <c r="V2014" s="10">
        <f>IF(AND(ISNUMBER(M2014),ISNUMBER(O2014)),IF(O2014&gt;0,M2014/O2014,""),"")</f>
        <v/>
      </c>
      <c r="W2014" s="10">
        <f>IF(AND(ISNUMBER(M2014),ISNUMBER(R2014)),IF(R2014&gt;0,M2014/R2014,""),"")</f>
        <v/>
      </c>
      <c r="X2014" s="10">
        <f>IF(AND(ISNUMBER(Q2014),ISNUMBER(M2014)),IF(M2014&gt;0,Q2014/M2014,""),"")</f>
        <v/>
      </c>
      <c r="Y2014" s="11">
        <f>IF(ISNUMBER(Z2014),YEAR(Z2014),"")</f>
        <v/>
      </c>
      <c r="Z2014" s="12" t="n"/>
      <c r="AA2014" s="12" t="n"/>
      <c r="AI2014" s="12" t="n"/>
      <c r="AJ2014" s="13">
        <f>IF(LEN(TRIM(AF2014))=0,"",HYPERLINK("https://www.google.com/maps/@?api=1&amp;map_action=pano&amp;viewpoint="&amp;SUBSTITUTE(AF2014," ",""),"Abrir Street View"))</f>
        <v/>
      </c>
    </row>
    <row r="2015">
      <c r="H2015" s="6" t="n"/>
      <c r="I2015" s="6" t="n"/>
      <c r="M2015" s="7" t="n"/>
      <c r="N2015" s="7" t="n"/>
      <c r="O2015" s="7" t="n"/>
      <c r="Q2015" s="7" t="n"/>
      <c r="R2015" s="7" t="n"/>
      <c r="S2015" s="8">
        <f>IF(NOT(ISNUMBER(M2015)),"",IF(G2015="Terreno",IF(AND(ISNUMBER(I2015),I2015&gt;0),M2015/I2015,""),IF(AND(ISNUMBER(H2015),H2015&gt;0),M2015/H2015,"")))</f>
        <v/>
      </c>
      <c r="T2015" s="9">
        <f>IF(AND(ISNUMBER(M2015),ISNUMBER(O2015)),IF(M2015&lt;=O2015,"Valor ≤ venal IPTU",""),"")</f>
        <v/>
      </c>
      <c r="U2015" s="10">
        <f>IF(AND(ISNUMBER(M2015),ISNUMBER(N2015)),IF(N2015&gt;0,M2015/N2015,""),"")</f>
        <v/>
      </c>
      <c r="V2015" s="10">
        <f>IF(AND(ISNUMBER(M2015),ISNUMBER(O2015)),IF(O2015&gt;0,M2015/O2015,""),"")</f>
        <v/>
      </c>
      <c r="W2015" s="10">
        <f>IF(AND(ISNUMBER(M2015),ISNUMBER(R2015)),IF(R2015&gt;0,M2015/R2015,""),"")</f>
        <v/>
      </c>
      <c r="X2015" s="10">
        <f>IF(AND(ISNUMBER(Q2015),ISNUMBER(M2015)),IF(M2015&gt;0,Q2015/M2015,""),"")</f>
        <v/>
      </c>
      <c r="Y2015" s="11">
        <f>IF(ISNUMBER(Z2015),YEAR(Z2015),"")</f>
        <v/>
      </c>
      <c r="Z2015" s="12" t="n"/>
      <c r="AA2015" s="12" t="n"/>
      <c r="AI2015" s="12" t="n"/>
      <c r="AJ2015" s="13">
        <f>IF(LEN(TRIM(AF2015))=0,"",HYPERLINK("https://www.google.com/maps/@?api=1&amp;map_action=pano&amp;viewpoint="&amp;SUBSTITUTE(AF2015," ",""),"Abrir Street View"))</f>
        <v/>
      </c>
    </row>
    <row r="2016">
      <c r="H2016" s="6" t="n"/>
      <c r="I2016" s="6" t="n"/>
      <c r="M2016" s="7" t="n"/>
      <c r="N2016" s="7" t="n"/>
      <c r="O2016" s="7" t="n"/>
      <c r="Q2016" s="7" t="n"/>
      <c r="R2016" s="7" t="n"/>
      <c r="S2016" s="8">
        <f>IF(NOT(ISNUMBER(M2016)),"",IF(G2016="Terreno",IF(AND(ISNUMBER(I2016),I2016&gt;0),M2016/I2016,""),IF(AND(ISNUMBER(H2016),H2016&gt;0),M2016/H2016,"")))</f>
        <v/>
      </c>
      <c r="T2016" s="9">
        <f>IF(AND(ISNUMBER(M2016),ISNUMBER(O2016)),IF(M2016&lt;=O2016,"Valor ≤ venal IPTU",""),"")</f>
        <v/>
      </c>
      <c r="U2016" s="10">
        <f>IF(AND(ISNUMBER(M2016),ISNUMBER(N2016)),IF(N2016&gt;0,M2016/N2016,""),"")</f>
        <v/>
      </c>
      <c r="V2016" s="10">
        <f>IF(AND(ISNUMBER(M2016),ISNUMBER(O2016)),IF(O2016&gt;0,M2016/O2016,""),"")</f>
        <v/>
      </c>
      <c r="W2016" s="10">
        <f>IF(AND(ISNUMBER(M2016),ISNUMBER(R2016)),IF(R2016&gt;0,M2016/R2016,""),"")</f>
        <v/>
      </c>
      <c r="X2016" s="10">
        <f>IF(AND(ISNUMBER(Q2016),ISNUMBER(M2016)),IF(M2016&gt;0,Q2016/M2016,""),"")</f>
        <v/>
      </c>
      <c r="Y2016" s="11">
        <f>IF(ISNUMBER(Z2016),YEAR(Z2016),"")</f>
        <v/>
      </c>
      <c r="Z2016" s="12" t="n"/>
      <c r="AA2016" s="12" t="n"/>
      <c r="AI2016" s="12" t="n"/>
      <c r="AJ2016" s="13">
        <f>IF(LEN(TRIM(AF2016))=0,"",HYPERLINK("https://www.google.com/maps/@?api=1&amp;map_action=pano&amp;viewpoint="&amp;SUBSTITUTE(AF2016," ",""),"Abrir Street View"))</f>
        <v/>
      </c>
    </row>
    <row r="2017">
      <c r="H2017" s="6" t="n"/>
      <c r="I2017" s="6" t="n"/>
      <c r="M2017" s="7" t="n"/>
      <c r="N2017" s="7" t="n"/>
      <c r="O2017" s="7" t="n"/>
      <c r="Q2017" s="7" t="n"/>
      <c r="R2017" s="7" t="n"/>
      <c r="S2017" s="8">
        <f>IF(NOT(ISNUMBER(M2017)),"",IF(G2017="Terreno",IF(AND(ISNUMBER(I2017),I2017&gt;0),M2017/I2017,""),IF(AND(ISNUMBER(H2017),H2017&gt;0),M2017/H2017,"")))</f>
        <v/>
      </c>
      <c r="T2017" s="9">
        <f>IF(AND(ISNUMBER(M2017),ISNUMBER(O2017)),IF(M2017&lt;=O2017,"Valor ≤ venal IPTU",""),"")</f>
        <v/>
      </c>
      <c r="U2017" s="10">
        <f>IF(AND(ISNUMBER(M2017),ISNUMBER(N2017)),IF(N2017&gt;0,M2017/N2017,""),"")</f>
        <v/>
      </c>
      <c r="V2017" s="10">
        <f>IF(AND(ISNUMBER(M2017),ISNUMBER(O2017)),IF(O2017&gt;0,M2017/O2017,""),"")</f>
        <v/>
      </c>
      <c r="W2017" s="10">
        <f>IF(AND(ISNUMBER(M2017),ISNUMBER(R2017)),IF(R2017&gt;0,M2017/R2017,""),"")</f>
        <v/>
      </c>
      <c r="X2017" s="10">
        <f>IF(AND(ISNUMBER(Q2017),ISNUMBER(M2017)),IF(M2017&gt;0,Q2017/M2017,""),"")</f>
        <v/>
      </c>
      <c r="Y2017" s="11">
        <f>IF(ISNUMBER(Z2017),YEAR(Z2017),"")</f>
        <v/>
      </c>
      <c r="Z2017" s="12" t="n"/>
      <c r="AA2017" s="12" t="n"/>
      <c r="AI2017" s="12" t="n"/>
      <c r="AJ2017" s="13">
        <f>IF(LEN(TRIM(AF2017))=0,"",HYPERLINK("https://www.google.com/maps/@?api=1&amp;map_action=pano&amp;viewpoint="&amp;SUBSTITUTE(AF2017," ",""),"Abrir Street View"))</f>
        <v/>
      </c>
    </row>
    <row r="2018">
      <c r="H2018" s="6" t="n"/>
      <c r="I2018" s="6" t="n"/>
      <c r="M2018" s="7" t="n"/>
      <c r="N2018" s="7" t="n"/>
      <c r="O2018" s="7" t="n"/>
      <c r="Q2018" s="7" t="n"/>
      <c r="R2018" s="7" t="n"/>
      <c r="S2018" s="8">
        <f>IF(NOT(ISNUMBER(M2018)),"",IF(G2018="Terreno",IF(AND(ISNUMBER(I2018),I2018&gt;0),M2018/I2018,""),IF(AND(ISNUMBER(H2018),H2018&gt;0),M2018/H2018,"")))</f>
        <v/>
      </c>
      <c r="T2018" s="9">
        <f>IF(AND(ISNUMBER(M2018),ISNUMBER(O2018)),IF(M2018&lt;=O2018,"Valor ≤ venal IPTU",""),"")</f>
        <v/>
      </c>
      <c r="U2018" s="10">
        <f>IF(AND(ISNUMBER(M2018),ISNUMBER(N2018)),IF(N2018&gt;0,M2018/N2018,""),"")</f>
        <v/>
      </c>
      <c r="V2018" s="10">
        <f>IF(AND(ISNUMBER(M2018),ISNUMBER(O2018)),IF(O2018&gt;0,M2018/O2018,""),"")</f>
        <v/>
      </c>
      <c r="W2018" s="10">
        <f>IF(AND(ISNUMBER(M2018),ISNUMBER(R2018)),IF(R2018&gt;0,M2018/R2018,""),"")</f>
        <v/>
      </c>
      <c r="X2018" s="10">
        <f>IF(AND(ISNUMBER(Q2018),ISNUMBER(M2018)),IF(M2018&gt;0,Q2018/M2018,""),"")</f>
        <v/>
      </c>
      <c r="Y2018" s="11">
        <f>IF(ISNUMBER(Z2018),YEAR(Z2018),"")</f>
        <v/>
      </c>
      <c r="Z2018" s="12" t="n"/>
      <c r="AA2018" s="12" t="n"/>
      <c r="AI2018" s="12" t="n"/>
      <c r="AJ2018" s="13">
        <f>IF(LEN(TRIM(AF2018))=0,"",HYPERLINK("https://www.google.com/maps/@?api=1&amp;map_action=pano&amp;viewpoint="&amp;SUBSTITUTE(AF2018," ",""),"Abrir Street View"))</f>
        <v/>
      </c>
    </row>
    <row r="2019">
      <c r="H2019" s="6" t="n"/>
      <c r="I2019" s="6" t="n"/>
      <c r="M2019" s="7" t="n"/>
      <c r="N2019" s="7" t="n"/>
      <c r="O2019" s="7" t="n"/>
      <c r="Q2019" s="7" t="n"/>
      <c r="R2019" s="7" t="n"/>
      <c r="S2019" s="8">
        <f>IF(NOT(ISNUMBER(M2019)),"",IF(G2019="Terreno",IF(AND(ISNUMBER(I2019),I2019&gt;0),M2019/I2019,""),IF(AND(ISNUMBER(H2019),H2019&gt;0),M2019/H2019,"")))</f>
        <v/>
      </c>
      <c r="T2019" s="9">
        <f>IF(AND(ISNUMBER(M2019),ISNUMBER(O2019)),IF(M2019&lt;=O2019,"Valor ≤ venal IPTU",""),"")</f>
        <v/>
      </c>
      <c r="U2019" s="10">
        <f>IF(AND(ISNUMBER(M2019),ISNUMBER(N2019)),IF(N2019&gt;0,M2019/N2019,""),"")</f>
        <v/>
      </c>
      <c r="V2019" s="10">
        <f>IF(AND(ISNUMBER(M2019),ISNUMBER(O2019)),IF(O2019&gt;0,M2019/O2019,""),"")</f>
        <v/>
      </c>
      <c r="W2019" s="10">
        <f>IF(AND(ISNUMBER(M2019),ISNUMBER(R2019)),IF(R2019&gt;0,M2019/R2019,""),"")</f>
        <v/>
      </c>
      <c r="X2019" s="10">
        <f>IF(AND(ISNUMBER(Q2019),ISNUMBER(M2019)),IF(M2019&gt;0,Q2019/M2019,""),"")</f>
        <v/>
      </c>
      <c r="Y2019" s="11">
        <f>IF(ISNUMBER(Z2019),YEAR(Z2019),"")</f>
        <v/>
      </c>
      <c r="Z2019" s="12" t="n"/>
      <c r="AA2019" s="12" t="n"/>
      <c r="AI2019" s="12" t="n"/>
      <c r="AJ2019" s="13">
        <f>IF(LEN(TRIM(AF2019))=0,"",HYPERLINK("https://www.google.com/maps/@?api=1&amp;map_action=pano&amp;viewpoint="&amp;SUBSTITUTE(AF2019," ",""),"Abrir Street View"))</f>
        <v/>
      </c>
    </row>
    <row r="2020">
      <c r="H2020" s="6" t="n"/>
      <c r="I2020" s="6" t="n"/>
      <c r="M2020" s="7" t="n"/>
      <c r="N2020" s="7" t="n"/>
      <c r="O2020" s="7" t="n"/>
      <c r="Q2020" s="7" t="n"/>
      <c r="R2020" s="7" t="n"/>
      <c r="S2020" s="8">
        <f>IF(NOT(ISNUMBER(M2020)),"",IF(G2020="Terreno",IF(AND(ISNUMBER(I2020),I2020&gt;0),M2020/I2020,""),IF(AND(ISNUMBER(H2020),H2020&gt;0),M2020/H2020,"")))</f>
        <v/>
      </c>
      <c r="T2020" s="9">
        <f>IF(AND(ISNUMBER(M2020),ISNUMBER(O2020)),IF(M2020&lt;=O2020,"Valor ≤ venal IPTU",""),"")</f>
        <v/>
      </c>
      <c r="U2020" s="10">
        <f>IF(AND(ISNUMBER(M2020),ISNUMBER(N2020)),IF(N2020&gt;0,M2020/N2020,""),"")</f>
        <v/>
      </c>
      <c r="V2020" s="10">
        <f>IF(AND(ISNUMBER(M2020),ISNUMBER(O2020)),IF(O2020&gt;0,M2020/O2020,""),"")</f>
        <v/>
      </c>
      <c r="W2020" s="10">
        <f>IF(AND(ISNUMBER(M2020),ISNUMBER(R2020)),IF(R2020&gt;0,M2020/R2020,""),"")</f>
        <v/>
      </c>
      <c r="X2020" s="10">
        <f>IF(AND(ISNUMBER(Q2020),ISNUMBER(M2020)),IF(M2020&gt;0,Q2020/M2020,""),"")</f>
        <v/>
      </c>
      <c r="Y2020" s="11">
        <f>IF(ISNUMBER(Z2020),YEAR(Z2020),"")</f>
        <v/>
      </c>
      <c r="Z2020" s="12" t="n"/>
      <c r="AA2020" s="12" t="n"/>
      <c r="AI2020" s="12" t="n"/>
      <c r="AJ2020" s="13">
        <f>IF(LEN(TRIM(AF2020))=0,"",HYPERLINK("https://www.google.com/maps/@?api=1&amp;map_action=pano&amp;viewpoint="&amp;SUBSTITUTE(AF2020," ",""),"Abrir Street View"))</f>
        <v/>
      </c>
    </row>
    <row r="2021">
      <c r="H2021" s="6" t="n"/>
      <c r="I2021" s="6" t="n"/>
      <c r="M2021" s="7" t="n"/>
      <c r="N2021" s="7" t="n"/>
      <c r="O2021" s="7" t="n"/>
      <c r="Q2021" s="7" t="n"/>
      <c r="R2021" s="7" t="n"/>
      <c r="S2021" s="8">
        <f>IF(NOT(ISNUMBER(M2021)),"",IF(G2021="Terreno",IF(AND(ISNUMBER(I2021),I2021&gt;0),M2021/I2021,""),IF(AND(ISNUMBER(H2021),H2021&gt;0),M2021/H2021,"")))</f>
        <v/>
      </c>
      <c r="T2021" s="9">
        <f>IF(AND(ISNUMBER(M2021),ISNUMBER(O2021)),IF(M2021&lt;=O2021,"Valor ≤ venal IPTU",""),"")</f>
        <v/>
      </c>
      <c r="U2021" s="10">
        <f>IF(AND(ISNUMBER(M2021),ISNUMBER(N2021)),IF(N2021&gt;0,M2021/N2021,""),"")</f>
        <v/>
      </c>
      <c r="V2021" s="10">
        <f>IF(AND(ISNUMBER(M2021),ISNUMBER(O2021)),IF(O2021&gt;0,M2021/O2021,""),"")</f>
        <v/>
      </c>
      <c r="W2021" s="10">
        <f>IF(AND(ISNUMBER(M2021),ISNUMBER(R2021)),IF(R2021&gt;0,M2021/R2021,""),"")</f>
        <v/>
      </c>
      <c r="X2021" s="10">
        <f>IF(AND(ISNUMBER(Q2021),ISNUMBER(M2021)),IF(M2021&gt;0,Q2021/M2021,""),"")</f>
        <v/>
      </c>
      <c r="Y2021" s="11">
        <f>IF(ISNUMBER(Z2021),YEAR(Z2021),"")</f>
        <v/>
      </c>
      <c r="Z2021" s="12" t="n"/>
      <c r="AA2021" s="12" t="n"/>
      <c r="AI2021" s="12" t="n"/>
      <c r="AJ2021" s="13">
        <f>IF(LEN(TRIM(AF2021))=0,"",HYPERLINK("https://www.google.com/maps/@?api=1&amp;map_action=pano&amp;viewpoint="&amp;SUBSTITUTE(AF2021," ",""),"Abrir Street View"))</f>
        <v/>
      </c>
    </row>
    <row r="2022">
      <c r="H2022" s="6" t="n"/>
      <c r="I2022" s="6" t="n"/>
      <c r="M2022" s="7" t="n"/>
      <c r="N2022" s="7" t="n"/>
      <c r="O2022" s="7" t="n"/>
      <c r="Q2022" s="7" t="n"/>
      <c r="R2022" s="7" t="n"/>
      <c r="S2022" s="8">
        <f>IF(NOT(ISNUMBER(M2022)),"",IF(G2022="Terreno",IF(AND(ISNUMBER(I2022),I2022&gt;0),M2022/I2022,""),IF(AND(ISNUMBER(H2022),H2022&gt;0),M2022/H2022,"")))</f>
        <v/>
      </c>
      <c r="T2022" s="9">
        <f>IF(AND(ISNUMBER(M2022),ISNUMBER(O2022)),IF(M2022&lt;=O2022,"Valor ≤ venal IPTU",""),"")</f>
        <v/>
      </c>
      <c r="U2022" s="10">
        <f>IF(AND(ISNUMBER(M2022),ISNUMBER(N2022)),IF(N2022&gt;0,M2022/N2022,""),"")</f>
        <v/>
      </c>
      <c r="V2022" s="10">
        <f>IF(AND(ISNUMBER(M2022),ISNUMBER(O2022)),IF(O2022&gt;0,M2022/O2022,""),"")</f>
        <v/>
      </c>
      <c r="W2022" s="10">
        <f>IF(AND(ISNUMBER(M2022),ISNUMBER(R2022)),IF(R2022&gt;0,M2022/R2022,""),"")</f>
        <v/>
      </c>
      <c r="X2022" s="10">
        <f>IF(AND(ISNUMBER(Q2022),ISNUMBER(M2022)),IF(M2022&gt;0,Q2022/M2022,""),"")</f>
        <v/>
      </c>
      <c r="Y2022" s="11">
        <f>IF(ISNUMBER(Z2022),YEAR(Z2022),"")</f>
        <v/>
      </c>
      <c r="Z2022" s="12" t="n"/>
      <c r="AA2022" s="12" t="n"/>
      <c r="AI2022" s="12" t="n"/>
      <c r="AJ2022" s="13">
        <f>IF(LEN(TRIM(AF2022))=0,"",HYPERLINK("https://www.google.com/maps/@?api=1&amp;map_action=pano&amp;viewpoint="&amp;SUBSTITUTE(AF2022," ",""),"Abrir Street View"))</f>
        <v/>
      </c>
    </row>
    <row r="2023">
      <c r="H2023" s="6" t="n"/>
      <c r="I2023" s="6" t="n"/>
      <c r="M2023" s="7" t="n"/>
      <c r="N2023" s="7" t="n"/>
      <c r="O2023" s="7" t="n"/>
      <c r="Q2023" s="7" t="n"/>
      <c r="R2023" s="7" t="n"/>
      <c r="S2023" s="8">
        <f>IF(NOT(ISNUMBER(M2023)),"",IF(G2023="Terreno",IF(AND(ISNUMBER(I2023),I2023&gt;0),M2023/I2023,""),IF(AND(ISNUMBER(H2023),H2023&gt;0),M2023/H2023,"")))</f>
        <v/>
      </c>
      <c r="T2023" s="9">
        <f>IF(AND(ISNUMBER(M2023),ISNUMBER(O2023)),IF(M2023&lt;=O2023,"Valor ≤ venal IPTU",""),"")</f>
        <v/>
      </c>
      <c r="U2023" s="10">
        <f>IF(AND(ISNUMBER(M2023),ISNUMBER(N2023)),IF(N2023&gt;0,M2023/N2023,""),"")</f>
        <v/>
      </c>
      <c r="V2023" s="10">
        <f>IF(AND(ISNUMBER(M2023),ISNUMBER(O2023)),IF(O2023&gt;0,M2023/O2023,""),"")</f>
        <v/>
      </c>
      <c r="W2023" s="10">
        <f>IF(AND(ISNUMBER(M2023),ISNUMBER(R2023)),IF(R2023&gt;0,M2023/R2023,""),"")</f>
        <v/>
      </c>
      <c r="X2023" s="10">
        <f>IF(AND(ISNUMBER(Q2023),ISNUMBER(M2023)),IF(M2023&gt;0,Q2023/M2023,""),"")</f>
        <v/>
      </c>
      <c r="Y2023" s="11">
        <f>IF(ISNUMBER(Z2023),YEAR(Z2023),"")</f>
        <v/>
      </c>
      <c r="Z2023" s="12" t="n"/>
      <c r="AA2023" s="12" t="n"/>
      <c r="AI2023" s="12" t="n"/>
      <c r="AJ2023" s="13">
        <f>IF(LEN(TRIM(AF2023))=0,"",HYPERLINK("https://www.google.com/maps/@?api=1&amp;map_action=pano&amp;viewpoint="&amp;SUBSTITUTE(AF2023," ",""),"Abrir Street View"))</f>
        <v/>
      </c>
    </row>
    <row r="2024">
      <c r="H2024" s="6" t="n"/>
      <c r="I2024" s="6" t="n"/>
      <c r="M2024" s="7" t="n"/>
      <c r="N2024" s="7" t="n"/>
      <c r="O2024" s="7" t="n"/>
      <c r="Q2024" s="7" t="n"/>
      <c r="R2024" s="7" t="n"/>
      <c r="S2024" s="8">
        <f>IF(NOT(ISNUMBER(M2024)),"",IF(G2024="Terreno",IF(AND(ISNUMBER(I2024),I2024&gt;0),M2024/I2024,""),IF(AND(ISNUMBER(H2024),H2024&gt;0),M2024/H2024,"")))</f>
        <v/>
      </c>
      <c r="T2024" s="9">
        <f>IF(AND(ISNUMBER(M2024),ISNUMBER(O2024)),IF(M2024&lt;=O2024,"Valor ≤ venal IPTU",""),"")</f>
        <v/>
      </c>
      <c r="U2024" s="10">
        <f>IF(AND(ISNUMBER(M2024),ISNUMBER(N2024)),IF(N2024&gt;0,M2024/N2024,""),"")</f>
        <v/>
      </c>
      <c r="V2024" s="10">
        <f>IF(AND(ISNUMBER(M2024),ISNUMBER(O2024)),IF(O2024&gt;0,M2024/O2024,""),"")</f>
        <v/>
      </c>
      <c r="W2024" s="10">
        <f>IF(AND(ISNUMBER(M2024),ISNUMBER(R2024)),IF(R2024&gt;0,M2024/R2024,""),"")</f>
        <v/>
      </c>
      <c r="X2024" s="10">
        <f>IF(AND(ISNUMBER(Q2024),ISNUMBER(M2024)),IF(M2024&gt;0,Q2024/M2024,""),"")</f>
        <v/>
      </c>
      <c r="Y2024" s="11">
        <f>IF(ISNUMBER(Z2024),YEAR(Z2024),"")</f>
        <v/>
      </c>
      <c r="Z2024" s="12" t="n"/>
      <c r="AA2024" s="12" t="n"/>
      <c r="AI2024" s="12" t="n"/>
      <c r="AJ2024" s="13">
        <f>IF(LEN(TRIM(AF2024))=0,"",HYPERLINK("https://www.google.com/maps/@?api=1&amp;map_action=pano&amp;viewpoint="&amp;SUBSTITUTE(AF2024," ",""),"Abrir Street View"))</f>
        <v/>
      </c>
    </row>
    <row r="2025">
      <c r="H2025" s="6" t="n"/>
      <c r="I2025" s="6" t="n"/>
      <c r="M2025" s="7" t="n"/>
      <c r="N2025" s="7" t="n"/>
      <c r="O2025" s="7" t="n"/>
      <c r="Q2025" s="7" t="n"/>
      <c r="R2025" s="7" t="n"/>
      <c r="S2025" s="8">
        <f>IF(NOT(ISNUMBER(M2025)),"",IF(G2025="Terreno",IF(AND(ISNUMBER(I2025),I2025&gt;0),M2025/I2025,""),IF(AND(ISNUMBER(H2025),H2025&gt;0),M2025/H2025,"")))</f>
        <v/>
      </c>
      <c r="T2025" s="9">
        <f>IF(AND(ISNUMBER(M2025),ISNUMBER(O2025)),IF(M2025&lt;=O2025,"Valor ≤ venal IPTU",""),"")</f>
        <v/>
      </c>
      <c r="U2025" s="10">
        <f>IF(AND(ISNUMBER(M2025),ISNUMBER(N2025)),IF(N2025&gt;0,M2025/N2025,""),"")</f>
        <v/>
      </c>
      <c r="V2025" s="10">
        <f>IF(AND(ISNUMBER(M2025),ISNUMBER(O2025)),IF(O2025&gt;0,M2025/O2025,""),"")</f>
        <v/>
      </c>
      <c r="W2025" s="10">
        <f>IF(AND(ISNUMBER(M2025),ISNUMBER(R2025)),IF(R2025&gt;0,M2025/R2025,""),"")</f>
        <v/>
      </c>
      <c r="X2025" s="10">
        <f>IF(AND(ISNUMBER(Q2025),ISNUMBER(M2025)),IF(M2025&gt;0,Q2025/M2025,""),"")</f>
        <v/>
      </c>
      <c r="Y2025" s="11">
        <f>IF(ISNUMBER(Z2025),YEAR(Z2025),"")</f>
        <v/>
      </c>
      <c r="Z2025" s="12" t="n"/>
      <c r="AA2025" s="12" t="n"/>
      <c r="AI2025" s="12" t="n"/>
      <c r="AJ2025" s="13">
        <f>IF(LEN(TRIM(AF2025))=0,"",HYPERLINK("https://www.google.com/maps/@?api=1&amp;map_action=pano&amp;viewpoint="&amp;SUBSTITUTE(AF2025," ",""),"Abrir Street View"))</f>
        <v/>
      </c>
    </row>
    <row r="2026">
      <c r="H2026" s="6" t="n"/>
      <c r="I2026" s="6" t="n"/>
      <c r="M2026" s="7" t="n"/>
      <c r="N2026" s="7" t="n"/>
      <c r="O2026" s="7" t="n"/>
      <c r="Q2026" s="7" t="n"/>
      <c r="R2026" s="7" t="n"/>
      <c r="S2026" s="8">
        <f>IF(NOT(ISNUMBER(M2026)),"",IF(G2026="Terreno",IF(AND(ISNUMBER(I2026),I2026&gt;0),M2026/I2026,""),IF(AND(ISNUMBER(H2026),H2026&gt;0),M2026/H2026,"")))</f>
        <v/>
      </c>
      <c r="T2026" s="9">
        <f>IF(AND(ISNUMBER(M2026),ISNUMBER(O2026)),IF(M2026&lt;=O2026,"Valor ≤ venal IPTU",""),"")</f>
        <v/>
      </c>
      <c r="U2026" s="10">
        <f>IF(AND(ISNUMBER(M2026),ISNUMBER(N2026)),IF(N2026&gt;0,M2026/N2026,""),"")</f>
        <v/>
      </c>
      <c r="V2026" s="10">
        <f>IF(AND(ISNUMBER(M2026),ISNUMBER(O2026)),IF(O2026&gt;0,M2026/O2026,""),"")</f>
        <v/>
      </c>
      <c r="W2026" s="10">
        <f>IF(AND(ISNUMBER(M2026),ISNUMBER(R2026)),IF(R2026&gt;0,M2026/R2026,""),"")</f>
        <v/>
      </c>
      <c r="X2026" s="10">
        <f>IF(AND(ISNUMBER(Q2026),ISNUMBER(M2026)),IF(M2026&gt;0,Q2026/M2026,""),"")</f>
        <v/>
      </c>
      <c r="Y2026" s="11">
        <f>IF(ISNUMBER(Z2026),YEAR(Z2026),"")</f>
        <v/>
      </c>
      <c r="Z2026" s="12" t="n"/>
      <c r="AA2026" s="12" t="n"/>
      <c r="AI2026" s="12" t="n"/>
      <c r="AJ2026" s="13">
        <f>IF(LEN(TRIM(AF2026))=0,"",HYPERLINK("https://www.google.com/maps/@?api=1&amp;map_action=pano&amp;viewpoint="&amp;SUBSTITUTE(AF2026," ",""),"Abrir Street View"))</f>
        <v/>
      </c>
    </row>
    <row r="2027">
      <c r="H2027" s="6" t="n"/>
      <c r="I2027" s="6" t="n"/>
      <c r="M2027" s="7" t="n"/>
      <c r="N2027" s="7" t="n"/>
      <c r="O2027" s="7" t="n"/>
      <c r="Q2027" s="7" t="n"/>
      <c r="R2027" s="7" t="n"/>
      <c r="S2027" s="8">
        <f>IF(NOT(ISNUMBER(M2027)),"",IF(G2027="Terreno",IF(AND(ISNUMBER(I2027),I2027&gt;0),M2027/I2027,""),IF(AND(ISNUMBER(H2027),H2027&gt;0),M2027/H2027,"")))</f>
        <v/>
      </c>
      <c r="T2027" s="9">
        <f>IF(AND(ISNUMBER(M2027),ISNUMBER(O2027)),IF(M2027&lt;=O2027,"Valor ≤ venal IPTU",""),"")</f>
        <v/>
      </c>
      <c r="U2027" s="10">
        <f>IF(AND(ISNUMBER(M2027),ISNUMBER(N2027)),IF(N2027&gt;0,M2027/N2027,""),"")</f>
        <v/>
      </c>
      <c r="V2027" s="10">
        <f>IF(AND(ISNUMBER(M2027),ISNUMBER(O2027)),IF(O2027&gt;0,M2027/O2027,""),"")</f>
        <v/>
      </c>
      <c r="W2027" s="10">
        <f>IF(AND(ISNUMBER(M2027),ISNUMBER(R2027)),IF(R2027&gt;0,M2027/R2027,""),"")</f>
        <v/>
      </c>
      <c r="X2027" s="10">
        <f>IF(AND(ISNUMBER(Q2027),ISNUMBER(M2027)),IF(M2027&gt;0,Q2027/M2027,""),"")</f>
        <v/>
      </c>
      <c r="Y2027" s="11">
        <f>IF(ISNUMBER(Z2027),YEAR(Z2027),"")</f>
        <v/>
      </c>
      <c r="Z2027" s="12" t="n"/>
      <c r="AA2027" s="12" t="n"/>
      <c r="AI2027" s="12" t="n"/>
      <c r="AJ2027" s="13">
        <f>IF(LEN(TRIM(AF2027))=0,"",HYPERLINK("https://www.google.com/maps/@?api=1&amp;map_action=pano&amp;viewpoint="&amp;SUBSTITUTE(AF2027," ",""),"Abrir Street View"))</f>
        <v/>
      </c>
    </row>
    <row r="2028">
      <c r="H2028" s="6" t="n"/>
      <c r="I2028" s="6" t="n"/>
      <c r="M2028" s="7" t="n"/>
      <c r="N2028" s="7" t="n"/>
      <c r="O2028" s="7" t="n"/>
      <c r="Q2028" s="7" t="n"/>
      <c r="R2028" s="7" t="n"/>
      <c r="S2028" s="8">
        <f>IF(NOT(ISNUMBER(M2028)),"",IF(G2028="Terreno",IF(AND(ISNUMBER(I2028),I2028&gt;0),M2028/I2028,""),IF(AND(ISNUMBER(H2028),H2028&gt;0),M2028/H2028,"")))</f>
        <v/>
      </c>
      <c r="T2028" s="9">
        <f>IF(AND(ISNUMBER(M2028),ISNUMBER(O2028)),IF(M2028&lt;=O2028,"Valor ≤ venal IPTU",""),"")</f>
        <v/>
      </c>
      <c r="U2028" s="10">
        <f>IF(AND(ISNUMBER(M2028),ISNUMBER(N2028)),IF(N2028&gt;0,M2028/N2028,""),"")</f>
        <v/>
      </c>
      <c r="V2028" s="10">
        <f>IF(AND(ISNUMBER(M2028),ISNUMBER(O2028)),IF(O2028&gt;0,M2028/O2028,""),"")</f>
        <v/>
      </c>
      <c r="W2028" s="10">
        <f>IF(AND(ISNUMBER(M2028),ISNUMBER(R2028)),IF(R2028&gt;0,M2028/R2028,""),"")</f>
        <v/>
      </c>
      <c r="X2028" s="10">
        <f>IF(AND(ISNUMBER(Q2028),ISNUMBER(M2028)),IF(M2028&gt;0,Q2028/M2028,""),"")</f>
        <v/>
      </c>
      <c r="Y2028" s="11">
        <f>IF(ISNUMBER(Z2028),YEAR(Z2028),"")</f>
        <v/>
      </c>
      <c r="Z2028" s="12" t="n"/>
      <c r="AA2028" s="12" t="n"/>
      <c r="AI2028" s="12" t="n"/>
      <c r="AJ2028" s="13">
        <f>IF(LEN(TRIM(AF2028))=0,"",HYPERLINK("https://www.google.com/maps/@?api=1&amp;map_action=pano&amp;viewpoint="&amp;SUBSTITUTE(AF2028," ",""),"Abrir Street View"))</f>
        <v/>
      </c>
    </row>
    <row r="2029">
      <c r="H2029" s="6" t="n"/>
      <c r="I2029" s="6" t="n"/>
      <c r="M2029" s="7" t="n"/>
      <c r="N2029" s="7" t="n"/>
      <c r="O2029" s="7" t="n"/>
      <c r="Q2029" s="7" t="n"/>
      <c r="R2029" s="7" t="n"/>
      <c r="S2029" s="8">
        <f>IF(NOT(ISNUMBER(M2029)),"",IF(G2029="Terreno",IF(AND(ISNUMBER(I2029),I2029&gt;0),M2029/I2029,""),IF(AND(ISNUMBER(H2029),H2029&gt;0),M2029/H2029,"")))</f>
        <v/>
      </c>
      <c r="T2029" s="9">
        <f>IF(AND(ISNUMBER(M2029),ISNUMBER(O2029)),IF(M2029&lt;=O2029,"Valor ≤ venal IPTU",""),"")</f>
        <v/>
      </c>
      <c r="U2029" s="10">
        <f>IF(AND(ISNUMBER(M2029),ISNUMBER(N2029)),IF(N2029&gt;0,M2029/N2029,""),"")</f>
        <v/>
      </c>
      <c r="V2029" s="10">
        <f>IF(AND(ISNUMBER(M2029),ISNUMBER(O2029)),IF(O2029&gt;0,M2029/O2029,""),"")</f>
        <v/>
      </c>
      <c r="W2029" s="10">
        <f>IF(AND(ISNUMBER(M2029),ISNUMBER(R2029)),IF(R2029&gt;0,M2029/R2029,""),"")</f>
        <v/>
      </c>
      <c r="X2029" s="10">
        <f>IF(AND(ISNUMBER(Q2029),ISNUMBER(M2029)),IF(M2029&gt;0,Q2029/M2029,""),"")</f>
        <v/>
      </c>
      <c r="Y2029" s="11">
        <f>IF(ISNUMBER(Z2029),YEAR(Z2029),"")</f>
        <v/>
      </c>
      <c r="Z2029" s="12" t="n"/>
      <c r="AA2029" s="12" t="n"/>
      <c r="AI2029" s="12" t="n"/>
      <c r="AJ2029" s="13">
        <f>IF(LEN(TRIM(AF2029))=0,"",HYPERLINK("https://www.google.com/maps/@?api=1&amp;map_action=pano&amp;viewpoint="&amp;SUBSTITUTE(AF2029," ",""),"Abrir Street View"))</f>
        <v/>
      </c>
    </row>
    <row r="2030">
      <c r="H2030" s="6" t="n"/>
      <c r="I2030" s="6" t="n"/>
      <c r="M2030" s="7" t="n"/>
      <c r="N2030" s="7" t="n"/>
      <c r="O2030" s="7" t="n"/>
      <c r="Q2030" s="7" t="n"/>
      <c r="R2030" s="7" t="n"/>
      <c r="S2030" s="8">
        <f>IF(NOT(ISNUMBER(M2030)),"",IF(G2030="Terreno",IF(AND(ISNUMBER(I2030),I2030&gt;0),M2030/I2030,""),IF(AND(ISNUMBER(H2030),H2030&gt;0),M2030/H2030,"")))</f>
        <v/>
      </c>
      <c r="T2030" s="9">
        <f>IF(AND(ISNUMBER(M2030),ISNUMBER(O2030)),IF(M2030&lt;=O2030,"Valor ≤ venal IPTU",""),"")</f>
        <v/>
      </c>
      <c r="U2030" s="10">
        <f>IF(AND(ISNUMBER(M2030),ISNUMBER(N2030)),IF(N2030&gt;0,M2030/N2030,""),"")</f>
        <v/>
      </c>
      <c r="V2030" s="10">
        <f>IF(AND(ISNUMBER(M2030),ISNUMBER(O2030)),IF(O2030&gt;0,M2030/O2030,""),"")</f>
        <v/>
      </c>
      <c r="W2030" s="10">
        <f>IF(AND(ISNUMBER(M2030),ISNUMBER(R2030)),IF(R2030&gt;0,M2030/R2030,""),"")</f>
        <v/>
      </c>
      <c r="X2030" s="10">
        <f>IF(AND(ISNUMBER(Q2030),ISNUMBER(M2030)),IF(M2030&gt;0,Q2030/M2030,""),"")</f>
        <v/>
      </c>
      <c r="Y2030" s="11">
        <f>IF(ISNUMBER(Z2030),YEAR(Z2030),"")</f>
        <v/>
      </c>
      <c r="Z2030" s="12" t="n"/>
      <c r="AA2030" s="12" t="n"/>
      <c r="AI2030" s="12" t="n"/>
      <c r="AJ2030" s="13">
        <f>IF(LEN(TRIM(AF2030))=0,"",HYPERLINK("https://www.google.com/maps/@?api=1&amp;map_action=pano&amp;viewpoint="&amp;SUBSTITUTE(AF2030," ",""),"Abrir Street View"))</f>
        <v/>
      </c>
    </row>
    <row r="2031">
      <c r="H2031" s="6" t="n"/>
      <c r="I2031" s="6" t="n"/>
      <c r="M2031" s="7" t="n"/>
      <c r="N2031" s="7" t="n"/>
      <c r="O2031" s="7" t="n"/>
      <c r="Q2031" s="7" t="n"/>
      <c r="R2031" s="7" t="n"/>
      <c r="S2031" s="8">
        <f>IF(NOT(ISNUMBER(M2031)),"",IF(G2031="Terreno",IF(AND(ISNUMBER(I2031),I2031&gt;0),M2031/I2031,""),IF(AND(ISNUMBER(H2031),H2031&gt;0),M2031/H2031,"")))</f>
        <v/>
      </c>
      <c r="T2031" s="9">
        <f>IF(AND(ISNUMBER(M2031),ISNUMBER(O2031)),IF(M2031&lt;=O2031,"Valor ≤ venal IPTU",""),"")</f>
        <v/>
      </c>
      <c r="U2031" s="10">
        <f>IF(AND(ISNUMBER(M2031),ISNUMBER(N2031)),IF(N2031&gt;0,M2031/N2031,""),"")</f>
        <v/>
      </c>
      <c r="V2031" s="10">
        <f>IF(AND(ISNUMBER(M2031),ISNUMBER(O2031)),IF(O2031&gt;0,M2031/O2031,""),"")</f>
        <v/>
      </c>
      <c r="W2031" s="10">
        <f>IF(AND(ISNUMBER(M2031),ISNUMBER(R2031)),IF(R2031&gt;0,M2031/R2031,""),"")</f>
        <v/>
      </c>
      <c r="X2031" s="10">
        <f>IF(AND(ISNUMBER(Q2031),ISNUMBER(M2031)),IF(M2031&gt;0,Q2031/M2031,""),"")</f>
        <v/>
      </c>
      <c r="Y2031" s="11">
        <f>IF(ISNUMBER(Z2031),YEAR(Z2031),"")</f>
        <v/>
      </c>
      <c r="Z2031" s="12" t="n"/>
      <c r="AA2031" s="12" t="n"/>
      <c r="AI2031" s="12" t="n"/>
      <c r="AJ2031" s="13">
        <f>IF(LEN(TRIM(AF2031))=0,"",HYPERLINK("https://www.google.com/maps/@?api=1&amp;map_action=pano&amp;viewpoint="&amp;SUBSTITUTE(AF2031," ",""),"Abrir Street View"))</f>
        <v/>
      </c>
    </row>
    <row r="2032">
      <c r="H2032" s="6" t="n"/>
      <c r="I2032" s="6" t="n"/>
      <c r="M2032" s="7" t="n"/>
      <c r="N2032" s="7" t="n"/>
      <c r="O2032" s="7" t="n"/>
      <c r="Q2032" s="7" t="n"/>
      <c r="R2032" s="7" t="n"/>
      <c r="S2032" s="8">
        <f>IF(NOT(ISNUMBER(M2032)),"",IF(G2032="Terreno",IF(AND(ISNUMBER(I2032),I2032&gt;0),M2032/I2032,""),IF(AND(ISNUMBER(H2032),H2032&gt;0),M2032/H2032,"")))</f>
        <v/>
      </c>
      <c r="T2032" s="9">
        <f>IF(AND(ISNUMBER(M2032),ISNUMBER(O2032)),IF(M2032&lt;=O2032,"Valor ≤ venal IPTU",""),"")</f>
        <v/>
      </c>
      <c r="U2032" s="10">
        <f>IF(AND(ISNUMBER(M2032),ISNUMBER(N2032)),IF(N2032&gt;0,M2032/N2032,""),"")</f>
        <v/>
      </c>
      <c r="V2032" s="10">
        <f>IF(AND(ISNUMBER(M2032),ISNUMBER(O2032)),IF(O2032&gt;0,M2032/O2032,""),"")</f>
        <v/>
      </c>
      <c r="W2032" s="10">
        <f>IF(AND(ISNUMBER(M2032),ISNUMBER(R2032)),IF(R2032&gt;0,M2032/R2032,""),"")</f>
        <v/>
      </c>
      <c r="X2032" s="10">
        <f>IF(AND(ISNUMBER(Q2032),ISNUMBER(M2032)),IF(M2032&gt;0,Q2032/M2032,""),"")</f>
        <v/>
      </c>
      <c r="Y2032" s="11">
        <f>IF(ISNUMBER(Z2032),YEAR(Z2032),"")</f>
        <v/>
      </c>
      <c r="Z2032" s="12" t="n"/>
      <c r="AA2032" s="12" t="n"/>
      <c r="AI2032" s="12" t="n"/>
      <c r="AJ2032" s="13">
        <f>IF(LEN(TRIM(AF2032))=0,"",HYPERLINK("https://www.google.com/maps/@?api=1&amp;map_action=pano&amp;viewpoint="&amp;SUBSTITUTE(AF2032," ",""),"Abrir Street View"))</f>
        <v/>
      </c>
    </row>
    <row r="2033">
      <c r="H2033" s="6" t="n"/>
      <c r="I2033" s="6" t="n"/>
      <c r="M2033" s="7" t="n"/>
      <c r="N2033" s="7" t="n"/>
      <c r="O2033" s="7" t="n"/>
      <c r="Q2033" s="7" t="n"/>
      <c r="R2033" s="7" t="n"/>
      <c r="S2033" s="8">
        <f>IF(NOT(ISNUMBER(M2033)),"",IF(G2033="Terreno",IF(AND(ISNUMBER(I2033),I2033&gt;0),M2033/I2033,""),IF(AND(ISNUMBER(H2033),H2033&gt;0),M2033/H2033,"")))</f>
        <v/>
      </c>
      <c r="T2033" s="9">
        <f>IF(AND(ISNUMBER(M2033),ISNUMBER(O2033)),IF(M2033&lt;=O2033,"Valor ≤ venal IPTU",""),"")</f>
        <v/>
      </c>
      <c r="U2033" s="10">
        <f>IF(AND(ISNUMBER(M2033),ISNUMBER(N2033)),IF(N2033&gt;0,M2033/N2033,""),"")</f>
        <v/>
      </c>
      <c r="V2033" s="10">
        <f>IF(AND(ISNUMBER(M2033),ISNUMBER(O2033)),IF(O2033&gt;0,M2033/O2033,""),"")</f>
        <v/>
      </c>
      <c r="W2033" s="10">
        <f>IF(AND(ISNUMBER(M2033),ISNUMBER(R2033)),IF(R2033&gt;0,M2033/R2033,""),"")</f>
        <v/>
      </c>
      <c r="X2033" s="10">
        <f>IF(AND(ISNUMBER(Q2033),ISNUMBER(M2033)),IF(M2033&gt;0,Q2033/M2033,""),"")</f>
        <v/>
      </c>
      <c r="Y2033" s="11">
        <f>IF(ISNUMBER(Z2033),YEAR(Z2033),"")</f>
        <v/>
      </c>
      <c r="Z2033" s="12" t="n"/>
      <c r="AA2033" s="12" t="n"/>
      <c r="AI2033" s="12" t="n"/>
      <c r="AJ2033" s="13">
        <f>IF(LEN(TRIM(AF2033))=0,"",HYPERLINK("https://www.google.com/maps/@?api=1&amp;map_action=pano&amp;viewpoint="&amp;SUBSTITUTE(AF2033," ",""),"Abrir Street View"))</f>
        <v/>
      </c>
    </row>
    <row r="2034">
      <c r="H2034" s="6" t="n"/>
      <c r="I2034" s="6" t="n"/>
      <c r="M2034" s="7" t="n"/>
      <c r="N2034" s="7" t="n"/>
      <c r="O2034" s="7" t="n"/>
      <c r="Q2034" s="7" t="n"/>
      <c r="R2034" s="7" t="n"/>
      <c r="S2034" s="8">
        <f>IF(NOT(ISNUMBER(M2034)),"",IF(G2034="Terreno",IF(AND(ISNUMBER(I2034),I2034&gt;0),M2034/I2034,""),IF(AND(ISNUMBER(H2034),H2034&gt;0),M2034/H2034,"")))</f>
        <v/>
      </c>
      <c r="T2034" s="9">
        <f>IF(AND(ISNUMBER(M2034),ISNUMBER(O2034)),IF(M2034&lt;=O2034,"Valor ≤ venal IPTU",""),"")</f>
        <v/>
      </c>
      <c r="U2034" s="10">
        <f>IF(AND(ISNUMBER(M2034),ISNUMBER(N2034)),IF(N2034&gt;0,M2034/N2034,""),"")</f>
        <v/>
      </c>
      <c r="V2034" s="10">
        <f>IF(AND(ISNUMBER(M2034),ISNUMBER(O2034)),IF(O2034&gt;0,M2034/O2034,""),"")</f>
        <v/>
      </c>
      <c r="W2034" s="10">
        <f>IF(AND(ISNUMBER(M2034),ISNUMBER(R2034)),IF(R2034&gt;0,M2034/R2034,""),"")</f>
        <v/>
      </c>
      <c r="X2034" s="10">
        <f>IF(AND(ISNUMBER(Q2034),ISNUMBER(M2034)),IF(M2034&gt;0,Q2034/M2034,""),"")</f>
        <v/>
      </c>
      <c r="Y2034" s="11">
        <f>IF(ISNUMBER(Z2034),YEAR(Z2034),"")</f>
        <v/>
      </c>
      <c r="Z2034" s="12" t="n"/>
      <c r="AA2034" s="12" t="n"/>
      <c r="AI2034" s="12" t="n"/>
      <c r="AJ2034" s="13">
        <f>IF(LEN(TRIM(AF2034))=0,"",HYPERLINK("https://www.google.com/maps/@?api=1&amp;map_action=pano&amp;viewpoint="&amp;SUBSTITUTE(AF2034," ",""),"Abrir Street View"))</f>
        <v/>
      </c>
    </row>
    <row r="2035">
      <c r="H2035" s="6" t="n"/>
      <c r="I2035" s="6" t="n"/>
      <c r="M2035" s="7" t="n"/>
      <c r="N2035" s="7" t="n"/>
      <c r="O2035" s="7" t="n"/>
      <c r="Q2035" s="7" t="n"/>
      <c r="R2035" s="7" t="n"/>
      <c r="S2035" s="8">
        <f>IF(NOT(ISNUMBER(M2035)),"",IF(G2035="Terreno",IF(AND(ISNUMBER(I2035),I2035&gt;0),M2035/I2035,""),IF(AND(ISNUMBER(H2035),H2035&gt;0),M2035/H2035,"")))</f>
        <v/>
      </c>
      <c r="T2035" s="9">
        <f>IF(AND(ISNUMBER(M2035),ISNUMBER(O2035)),IF(M2035&lt;=O2035,"Valor ≤ venal IPTU",""),"")</f>
        <v/>
      </c>
      <c r="U2035" s="10">
        <f>IF(AND(ISNUMBER(M2035),ISNUMBER(N2035)),IF(N2035&gt;0,M2035/N2035,""),"")</f>
        <v/>
      </c>
      <c r="V2035" s="10">
        <f>IF(AND(ISNUMBER(M2035),ISNUMBER(O2035)),IF(O2035&gt;0,M2035/O2035,""),"")</f>
        <v/>
      </c>
      <c r="W2035" s="10">
        <f>IF(AND(ISNUMBER(M2035),ISNUMBER(R2035)),IF(R2035&gt;0,M2035/R2035,""),"")</f>
        <v/>
      </c>
      <c r="X2035" s="10">
        <f>IF(AND(ISNUMBER(Q2035),ISNUMBER(M2035)),IF(M2035&gt;0,Q2035/M2035,""),"")</f>
        <v/>
      </c>
      <c r="Y2035" s="11">
        <f>IF(ISNUMBER(Z2035),YEAR(Z2035),"")</f>
        <v/>
      </c>
      <c r="Z2035" s="12" t="n"/>
      <c r="AA2035" s="12" t="n"/>
      <c r="AI2035" s="12" t="n"/>
      <c r="AJ2035" s="13">
        <f>IF(LEN(TRIM(AF2035))=0,"",HYPERLINK("https://www.google.com/maps/@?api=1&amp;map_action=pano&amp;viewpoint="&amp;SUBSTITUTE(AF2035," ",""),"Abrir Street View"))</f>
        <v/>
      </c>
    </row>
    <row r="2036">
      <c r="H2036" s="6" t="n"/>
      <c r="I2036" s="6" t="n"/>
      <c r="M2036" s="7" t="n"/>
      <c r="N2036" s="7" t="n"/>
      <c r="O2036" s="7" t="n"/>
      <c r="Q2036" s="7" t="n"/>
      <c r="R2036" s="7" t="n"/>
      <c r="S2036" s="8">
        <f>IF(NOT(ISNUMBER(M2036)),"",IF(G2036="Terreno",IF(AND(ISNUMBER(I2036),I2036&gt;0),M2036/I2036,""),IF(AND(ISNUMBER(H2036),H2036&gt;0),M2036/H2036,"")))</f>
        <v/>
      </c>
      <c r="T2036" s="9">
        <f>IF(AND(ISNUMBER(M2036),ISNUMBER(O2036)),IF(M2036&lt;=O2036,"Valor ≤ venal IPTU",""),"")</f>
        <v/>
      </c>
      <c r="U2036" s="10">
        <f>IF(AND(ISNUMBER(M2036),ISNUMBER(N2036)),IF(N2036&gt;0,M2036/N2036,""),"")</f>
        <v/>
      </c>
      <c r="V2036" s="10">
        <f>IF(AND(ISNUMBER(M2036),ISNUMBER(O2036)),IF(O2036&gt;0,M2036/O2036,""),"")</f>
        <v/>
      </c>
      <c r="W2036" s="10">
        <f>IF(AND(ISNUMBER(M2036),ISNUMBER(R2036)),IF(R2036&gt;0,M2036/R2036,""),"")</f>
        <v/>
      </c>
      <c r="X2036" s="10">
        <f>IF(AND(ISNUMBER(Q2036),ISNUMBER(M2036)),IF(M2036&gt;0,Q2036/M2036,""),"")</f>
        <v/>
      </c>
      <c r="Y2036" s="11">
        <f>IF(ISNUMBER(Z2036),YEAR(Z2036),"")</f>
        <v/>
      </c>
      <c r="Z2036" s="12" t="n"/>
      <c r="AA2036" s="12" t="n"/>
      <c r="AI2036" s="12" t="n"/>
      <c r="AJ2036" s="13">
        <f>IF(LEN(TRIM(AF2036))=0,"",HYPERLINK("https://www.google.com/maps/@?api=1&amp;map_action=pano&amp;viewpoint="&amp;SUBSTITUTE(AF2036," ",""),"Abrir Street View"))</f>
        <v/>
      </c>
    </row>
    <row r="2037">
      <c r="H2037" s="6" t="n"/>
      <c r="I2037" s="6" t="n"/>
      <c r="M2037" s="7" t="n"/>
      <c r="N2037" s="7" t="n"/>
      <c r="O2037" s="7" t="n"/>
      <c r="Q2037" s="7" t="n"/>
      <c r="R2037" s="7" t="n"/>
      <c r="S2037" s="8">
        <f>IF(NOT(ISNUMBER(M2037)),"",IF(G2037="Terreno",IF(AND(ISNUMBER(I2037),I2037&gt;0),M2037/I2037,""),IF(AND(ISNUMBER(H2037),H2037&gt;0),M2037/H2037,"")))</f>
        <v/>
      </c>
      <c r="T2037" s="9">
        <f>IF(AND(ISNUMBER(M2037),ISNUMBER(O2037)),IF(M2037&lt;=O2037,"Valor ≤ venal IPTU",""),"")</f>
        <v/>
      </c>
      <c r="U2037" s="10">
        <f>IF(AND(ISNUMBER(M2037),ISNUMBER(N2037)),IF(N2037&gt;0,M2037/N2037,""),"")</f>
        <v/>
      </c>
      <c r="V2037" s="10">
        <f>IF(AND(ISNUMBER(M2037),ISNUMBER(O2037)),IF(O2037&gt;0,M2037/O2037,""),"")</f>
        <v/>
      </c>
      <c r="W2037" s="10">
        <f>IF(AND(ISNUMBER(M2037),ISNUMBER(R2037)),IF(R2037&gt;0,M2037/R2037,""),"")</f>
        <v/>
      </c>
      <c r="X2037" s="10">
        <f>IF(AND(ISNUMBER(Q2037),ISNUMBER(M2037)),IF(M2037&gt;0,Q2037/M2037,""),"")</f>
        <v/>
      </c>
      <c r="Y2037" s="11">
        <f>IF(ISNUMBER(Z2037),YEAR(Z2037),"")</f>
        <v/>
      </c>
      <c r="Z2037" s="12" t="n"/>
      <c r="AA2037" s="12" t="n"/>
      <c r="AI2037" s="12" t="n"/>
      <c r="AJ2037" s="13">
        <f>IF(LEN(TRIM(AF2037))=0,"",HYPERLINK("https://www.google.com/maps/@?api=1&amp;map_action=pano&amp;viewpoint="&amp;SUBSTITUTE(AF2037," ",""),"Abrir Street View"))</f>
        <v/>
      </c>
    </row>
    <row r="2038">
      <c r="H2038" s="6" t="n"/>
      <c r="I2038" s="6" t="n"/>
      <c r="M2038" s="7" t="n"/>
      <c r="N2038" s="7" t="n"/>
      <c r="O2038" s="7" t="n"/>
      <c r="Q2038" s="7" t="n"/>
      <c r="R2038" s="7" t="n"/>
      <c r="S2038" s="8">
        <f>IF(NOT(ISNUMBER(M2038)),"",IF(G2038="Terreno",IF(AND(ISNUMBER(I2038),I2038&gt;0),M2038/I2038,""),IF(AND(ISNUMBER(H2038),H2038&gt;0),M2038/H2038,"")))</f>
        <v/>
      </c>
      <c r="T2038" s="9">
        <f>IF(AND(ISNUMBER(M2038),ISNUMBER(O2038)),IF(M2038&lt;=O2038,"Valor ≤ venal IPTU",""),"")</f>
        <v/>
      </c>
      <c r="U2038" s="10">
        <f>IF(AND(ISNUMBER(M2038),ISNUMBER(N2038)),IF(N2038&gt;0,M2038/N2038,""),"")</f>
        <v/>
      </c>
      <c r="V2038" s="10">
        <f>IF(AND(ISNUMBER(M2038),ISNUMBER(O2038)),IF(O2038&gt;0,M2038/O2038,""),"")</f>
        <v/>
      </c>
      <c r="W2038" s="10">
        <f>IF(AND(ISNUMBER(M2038),ISNUMBER(R2038)),IF(R2038&gt;0,M2038/R2038,""),"")</f>
        <v/>
      </c>
      <c r="X2038" s="10">
        <f>IF(AND(ISNUMBER(Q2038),ISNUMBER(M2038)),IF(M2038&gt;0,Q2038/M2038,""),"")</f>
        <v/>
      </c>
      <c r="Y2038" s="11">
        <f>IF(ISNUMBER(Z2038),YEAR(Z2038),"")</f>
        <v/>
      </c>
      <c r="Z2038" s="12" t="n"/>
      <c r="AA2038" s="12" t="n"/>
      <c r="AI2038" s="12" t="n"/>
      <c r="AJ2038" s="13">
        <f>IF(LEN(TRIM(AF2038))=0,"",HYPERLINK("https://www.google.com/maps/@?api=1&amp;map_action=pano&amp;viewpoint="&amp;SUBSTITUTE(AF2038," ",""),"Abrir Street View"))</f>
        <v/>
      </c>
    </row>
    <row r="2039">
      <c r="H2039" s="6" t="n"/>
      <c r="I2039" s="6" t="n"/>
      <c r="M2039" s="7" t="n"/>
      <c r="N2039" s="7" t="n"/>
      <c r="O2039" s="7" t="n"/>
      <c r="Q2039" s="7" t="n"/>
      <c r="R2039" s="7" t="n"/>
      <c r="S2039" s="8">
        <f>IF(NOT(ISNUMBER(M2039)),"",IF(G2039="Terreno",IF(AND(ISNUMBER(I2039),I2039&gt;0),M2039/I2039,""),IF(AND(ISNUMBER(H2039),H2039&gt;0),M2039/H2039,"")))</f>
        <v/>
      </c>
      <c r="T2039" s="9">
        <f>IF(AND(ISNUMBER(M2039),ISNUMBER(O2039)),IF(M2039&lt;=O2039,"Valor ≤ venal IPTU",""),"")</f>
        <v/>
      </c>
      <c r="U2039" s="10">
        <f>IF(AND(ISNUMBER(M2039),ISNUMBER(N2039)),IF(N2039&gt;0,M2039/N2039,""),"")</f>
        <v/>
      </c>
      <c r="V2039" s="10">
        <f>IF(AND(ISNUMBER(M2039),ISNUMBER(O2039)),IF(O2039&gt;0,M2039/O2039,""),"")</f>
        <v/>
      </c>
      <c r="W2039" s="10">
        <f>IF(AND(ISNUMBER(M2039),ISNUMBER(R2039)),IF(R2039&gt;0,M2039/R2039,""),"")</f>
        <v/>
      </c>
      <c r="X2039" s="10">
        <f>IF(AND(ISNUMBER(Q2039),ISNUMBER(M2039)),IF(M2039&gt;0,Q2039/M2039,""),"")</f>
        <v/>
      </c>
      <c r="Y2039" s="11">
        <f>IF(ISNUMBER(Z2039),YEAR(Z2039),"")</f>
        <v/>
      </c>
      <c r="Z2039" s="12" t="n"/>
      <c r="AA2039" s="12" t="n"/>
      <c r="AI2039" s="12" t="n"/>
      <c r="AJ2039" s="13">
        <f>IF(LEN(TRIM(AF2039))=0,"",HYPERLINK("https://www.google.com/maps/@?api=1&amp;map_action=pano&amp;viewpoint="&amp;SUBSTITUTE(AF2039," ",""),"Abrir Street View"))</f>
        <v/>
      </c>
    </row>
    <row r="2040">
      <c r="H2040" s="6" t="n"/>
      <c r="I2040" s="6" t="n"/>
      <c r="M2040" s="7" t="n"/>
      <c r="N2040" s="7" t="n"/>
      <c r="O2040" s="7" t="n"/>
      <c r="Q2040" s="7" t="n"/>
      <c r="R2040" s="7" t="n"/>
      <c r="S2040" s="8">
        <f>IF(NOT(ISNUMBER(M2040)),"",IF(G2040="Terreno",IF(AND(ISNUMBER(I2040),I2040&gt;0),M2040/I2040,""),IF(AND(ISNUMBER(H2040),H2040&gt;0),M2040/H2040,"")))</f>
        <v/>
      </c>
      <c r="T2040" s="9">
        <f>IF(AND(ISNUMBER(M2040),ISNUMBER(O2040)),IF(M2040&lt;=O2040,"Valor ≤ venal IPTU",""),"")</f>
        <v/>
      </c>
      <c r="U2040" s="10">
        <f>IF(AND(ISNUMBER(M2040),ISNUMBER(N2040)),IF(N2040&gt;0,M2040/N2040,""),"")</f>
        <v/>
      </c>
      <c r="V2040" s="10">
        <f>IF(AND(ISNUMBER(M2040),ISNUMBER(O2040)),IF(O2040&gt;0,M2040/O2040,""),"")</f>
        <v/>
      </c>
      <c r="W2040" s="10">
        <f>IF(AND(ISNUMBER(M2040),ISNUMBER(R2040)),IF(R2040&gt;0,M2040/R2040,""),"")</f>
        <v/>
      </c>
      <c r="X2040" s="10">
        <f>IF(AND(ISNUMBER(Q2040),ISNUMBER(M2040)),IF(M2040&gt;0,Q2040/M2040,""),"")</f>
        <v/>
      </c>
      <c r="Y2040" s="11">
        <f>IF(ISNUMBER(Z2040),YEAR(Z2040),"")</f>
        <v/>
      </c>
      <c r="Z2040" s="12" t="n"/>
      <c r="AA2040" s="12" t="n"/>
      <c r="AI2040" s="12" t="n"/>
      <c r="AJ2040" s="13">
        <f>IF(LEN(TRIM(AF2040))=0,"",HYPERLINK("https://www.google.com/maps/@?api=1&amp;map_action=pano&amp;viewpoint="&amp;SUBSTITUTE(AF2040," ",""),"Abrir Street View"))</f>
        <v/>
      </c>
    </row>
    <row r="2041">
      <c r="H2041" s="6" t="n"/>
      <c r="I2041" s="6" t="n"/>
      <c r="M2041" s="7" t="n"/>
      <c r="N2041" s="7" t="n"/>
      <c r="O2041" s="7" t="n"/>
      <c r="Q2041" s="7" t="n"/>
      <c r="R2041" s="7" t="n"/>
      <c r="S2041" s="8">
        <f>IF(NOT(ISNUMBER(M2041)),"",IF(G2041="Terreno",IF(AND(ISNUMBER(I2041),I2041&gt;0),M2041/I2041,""),IF(AND(ISNUMBER(H2041),H2041&gt;0),M2041/H2041,"")))</f>
        <v/>
      </c>
      <c r="T2041" s="9">
        <f>IF(AND(ISNUMBER(M2041),ISNUMBER(O2041)),IF(M2041&lt;=O2041,"Valor ≤ venal IPTU",""),"")</f>
        <v/>
      </c>
      <c r="U2041" s="10">
        <f>IF(AND(ISNUMBER(M2041),ISNUMBER(N2041)),IF(N2041&gt;0,M2041/N2041,""),"")</f>
        <v/>
      </c>
      <c r="V2041" s="10">
        <f>IF(AND(ISNUMBER(M2041),ISNUMBER(O2041)),IF(O2041&gt;0,M2041/O2041,""),"")</f>
        <v/>
      </c>
      <c r="W2041" s="10">
        <f>IF(AND(ISNUMBER(M2041),ISNUMBER(R2041)),IF(R2041&gt;0,M2041/R2041,""),"")</f>
        <v/>
      </c>
      <c r="X2041" s="10">
        <f>IF(AND(ISNUMBER(Q2041),ISNUMBER(M2041)),IF(M2041&gt;0,Q2041/M2041,""),"")</f>
        <v/>
      </c>
      <c r="Y2041" s="11">
        <f>IF(ISNUMBER(Z2041),YEAR(Z2041),"")</f>
        <v/>
      </c>
      <c r="Z2041" s="12" t="n"/>
      <c r="AA2041" s="12" t="n"/>
      <c r="AI2041" s="12" t="n"/>
      <c r="AJ2041" s="13">
        <f>IF(LEN(TRIM(AF2041))=0,"",HYPERLINK("https://www.google.com/maps/@?api=1&amp;map_action=pano&amp;viewpoint="&amp;SUBSTITUTE(AF2041," ",""),"Abrir Street View"))</f>
        <v/>
      </c>
    </row>
    <row r="2042">
      <c r="H2042" s="6" t="n"/>
      <c r="I2042" s="6" t="n"/>
      <c r="M2042" s="7" t="n"/>
      <c r="N2042" s="7" t="n"/>
      <c r="O2042" s="7" t="n"/>
      <c r="Q2042" s="7" t="n"/>
      <c r="R2042" s="7" t="n"/>
      <c r="S2042" s="8">
        <f>IF(NOT(ISNUMBER(M2042)),"",IF(G2042="Terreno",IF(AND(ISNUMBER(I2042),I2042&gt;0),M2042/I2042,""),IF(AND(ISNUMBER(H2042),H2042&gt;0),M2042/H2042,"")))</f>
        <v/>
      </c>
      <c r="T2042" s="9">
        <f>IF(AND(ISNUMBER(M2042),ISNUMBER(O2042)),IF(M2042&lt;=O2042,"Valor ≤ venal IPTU",""),"")</f>
        <v/>
      </c>
      <c r="U2042" s="10">
        <f>IF(AND(ISNUMBER(M2042),ISNUMBER(N2042)),IF(N2042&gt;0,M2042/N2042,""),"")</f>
        <v/>
      </c>
      <c r="V2042" s="10">
        <f>IF(AND(ISNUMBER(M2042),ISNUMBER(O2042)),IF(O2042&gt;0,M2042/O2042,""),"")</f>
        <v/>
      </c>
      <c r="W2042" s="10">
        <f>IF(AND(ISNUMBER(M2042),ISNUMBER(R2042)),IF(R2042&gt;0,M2042/R2042,""),"")</f>
        <v/>
      </c>
      <c r="X2042" s="10">
        <f>IF(AND(ISNUMBER(Q2042),ISNUMBER(M2042)),IF(M2042&gt;0,Q2042/M2042,""),"")</f>
        <v/>
      </c>
      <c r="Y2042" s="11">
        <f>IF(ISNUMBER(Z2042),YEAR(Z2042),"")</f>
        <v/>
      </c>
      <c r="Z2042" s="12" t="n"/>
      <c r="AA2042" s="12" t="n"/>
      <c r="AI2042" s="12" t="n"/>
      <c r="AJ2042" s="13">
        <f>IF(LEN(TRIM(AF2042))=0,"",HYPERLINK("https://www.google.com/maps/@?api=1&amp;map_action=pano&amp;viewpoint="&amp;SUBSTITUTE(AF2042," ",""),"Abrir Street View"))</f>
        <v/>
      </c>
    </row>
    <row r="2043">
      <c r="H2043" s="6" t="n"/>
      <c r="I2043" s="6" t="n"/>
      <c r="M2043" s="7" t="n"/>
      <c r="N2043" s="7" t="n"/>
      <c r="O2043" s="7" t="n"/>
      <c r="Q2043" s="7" t="n"/>
      <c r="R2043" s="7" t="n"/>
      <c r="S2043" s="8">
        <f>IF(NOT(ISNUMBER(M2043)),"",IF(G2043="Terreno",IF(AND(ISNUMBER(I2043),I2043&gt;0),M2043/I2043,""),IF(AND(ISNUMBER(H2043),H2043&gt;0),M2043/H2043,"")))</f>
        <v/>
      </c>
      <c r="T2043" s="9">
        <f>IF(AND(ISNUMBER(M2043),ISNUMBER(O2043)),IF(M2043&lt;=O2043,"Valor ≤ venal IPTU",""),"")</f>
        <v/>
      </c>
      <c r="U2043" s="10">
        <f>IF(AND(ISNUMBER(M2043),ISNUMBER(N2043)),IF(N2043&gt;0,M2043/N2043,""),"")</f>
        <v/>
      </c>
      <c r="V2043" s="10">
        <f>IF(AND(ISNUMBER(M2043),ISNUMBER(O2043)),IF(O2043&gt;0,M2043/O2043,""),"")</f>
        <v/>
      </c>
      <c r="W2043" s="10">
        <f>IF(AND(ISNUMBER(M2043),ISNUMBER(R2043)),IF(R2043&gt;0,M2043/R2043,""),"")</f>
        <v/>
      </c>
      <c r="X2043" s="10">
        <f>IF(AND(ISNUMBER(Q2043),ISNUMBER(M2043)),IF(M2043&gt;0,Q2043/M2043,""),"")</f>
        <v/>
      </c>
      <c r="Y2043" s="11">
        <f>IF(ISNUMBER(Z2043),YEAR(Z2043),"")</f>
        <v/>
      </c>
      <c r="Z2043" s="12" t="n"/>
      <c r="AA2043" s="12" t="n"/>
      <c r="AI2043" s="12" t="n"/>
      <c r="AJ2043" s="13">
        <f>IF(LEN(TRIM(AF2043))=0,"",HYPERLINK("https://www.google.com/maps/@?api=1&amp;map_action=pano&amp;viewpoint="&amp;SUBSTITUTE(AF2043," ",""),"Abrir Street View"))</f>
        <v/>
      </c>
    </row>
    <row r="2044">
      <c r="H2044" s="6" t="n"/>
      <c r="I2044" s="6" t="n"/>
      <c r="M2044" s="7" t="n"/>
      <c r="N2044" s="7" t="n"/>
      <c r="O2044" s="7" t="n"/>
      <c r="Q2044" s="7" t="n"/>
      <c r="R2044" s="7" t="n"/>
      <c r="S2044" s="8">
        <f>IF(NOT(ISNUMBER(M2044)),"",IF(G2044="Terreno",IF(AND(ISNUMBER(I2044),I2044&gt;0),M2044/I2044,""),IF(AND(ISNUMBER(H2044),H2044&gt;0),M2044/H2044,"")))</f>
        <v/>
      </c>
      <c r="T2044" s="9">
        <f>IF(AND(ISNUMBER(M2044),ISNUMBER(O2044)),IF(M2044&lt;=O2044,"Valor ≤ venal IPTU",""),"")</f>
        <v/>
      </c>
      <c r="U2044" s="10">
        <f>IF(AND(ISNUMBER(M2044),ISNUMBER(N2044)),IF(N2044&gt;0,M2044/N2044,""),"")</f>
        <v/>
      </c>
      <c r="V2044" s="10">
        <f>IF(AND(ISNUMBER(M2044),ISNUMBER(O2044)),IF(O2044&gt;0,M2044/O2044,""),"")</f>
        <v/>
      </c>
      <c r="W2044" s="10">
        <f>IF(AND(ISNUMBER(M2044),ISNUMBER(R2044)),IF(R2044&gt;0,M2044/R2044,""),"")</f>
        <v/>
      </c>
      <c r="X2044" s="10">
        <f>IF(AND(ISNUMBER(Q2044),ISNUMBER(M2044)),IF(M2044&gt;0,Q2044/M2044,""),"")</f>
        <v/>
      </c>
      <c r="Y2044" s="11">
        <f>IF(ISNUMBER(Z2044),YEAR(Z2044),"")</f>
        <v/>
      </c>
      <c r="Z2044" s="12" t="n"/>
      <c r="AA2044" s="12" t="n"/>
      <c r="AI2044" s="12" t="n"/>
      <c r="AJ2044" s="13">
        <f>IF(LEN(TRIM(AF2044))=0,"",HYPERLINK("https://www.google.com/maps/@?api=1&amp;map_action=pano&amp;viewpoint="&amp;SUBSTITUTE(AF2044," ",""),"Abrir Street View"))</f>
        <v/>
      </c>
    </row>
    <row r="2045">
      <c r="H2045" s="6" t="n"/>
      <c r="I2045" s="6" t="n"/>
      <c r="M2045" s="7" t="n"/>
      <c r="N2045" s="7" t="n"/>
      <c r="O2045" s="7" t="n"/>
      <c r="Q2045" s="7" t="n"/>
      <c r="R2045" s="7" t="n"/>
      <c r="S2045" s="8">
        <f>IF(NOT(ISNUMBER(M2045)),"",IF(G2045="Terreno",IF(AND(ISNUMBER(I2045),I2045&gt;0),M2045/I2045,""),IF(AND(ISNUMBER(H2045),H2045&gt;0),M2045/H2045,"")))</f>
        <v/>
      </c>
      <c r="T2045" s="9">
        <f>IF(AND(ISNUMBER(M2045),ISNUMBER(O2045)),IF(M2045&lt;=O2045,"Valor ≤ venal IPTU",""),"")</f>
        <v/>
      </c>
      <c r="U2045" s="10">
        <f>IF(AND(ISNUMBER(M2045),ISNUMBER(N2045)),IF(N2045&gt;0,M2045/N2045,""),"")</f>
        <v/>
      </c>
      <c r="V2045" s="10">
        <f>IF(AND(ISNUMBER(M2045),ISNUMBER(O2045)),IF(O2045&gt;0,M2045/O2045,""),"")</f>
        <v/>
      </c>
      <c r="W2045" s="10">
        <f>IF(AND(ISNUMBER(M2045),ISNUMBER(R2045)),IF(R2045&gt;0,M2045/R2045,""),"")</f>
        <v/>
      </c>
      <c r="X2045" s="10">
        <f>IF(AND(ISNUMBER(Q2045),ISNUMBER(M2045)),IF(M2045&gt;0,Q2045/M2045,""),"")</f>
        <v/>
      </c>
      <c r="Y2045" s="11">
        <f>IF(ISNUMBER(Z2045),YEAR(Z2045),"")</f>
        <v/>
      </c>
      <c r="Z2045" s="12" t="n"/>
      <c r="AA2045" s="12" t="n"/>
      <c r="AI2045" s="12" t="n"/>
      <c r="AJ2045" s="13">
        <f>IF(LEN(TRIM(AF2045))=0,"",HYPERLINK("https://www.google.com/maps/@?api=1&amp;map_action=pano&amp;viewpoint="&amp;SUBSTITUTE(AF2045," ",""),"Abrir Street View"))</f>
        <v/>
      </c>
    </row>
    <row r="2046">
      <c r="H2046" s="6" t="n"/>
      <c r="I2046" s="6" t="n"/>
      <c r="M2046" s="7" t="n"/>
      <c r="N2046" s="7" t="n"/>
      <c r="O2046" s="7" t="n"/>
      <c r="Q2046" s="7" t="n"/>
      <c r="R2046" s="7" t="n"/>
      <c r="S2046" s="8">
        <f>IF(NOT(ISNUMBER(M2046)),"",IF(G2046="Terreno",IF(AND(ISNUMBER(I2046),I2046&gt;0),M2046/I2046,""),IF(AND(ISNUMBER(H2046),H2046&gt;0),M2046/H2046,"")))</f>
        <v/>
      </c>
      <c r="T2046" s="9">
        <f>IF(AND(ISNUMBER(M2046),ISNUMBER(O2046)),IF(M2046&lt;=O2046,"Valor ≤ venal IPTU",""),"")</f>
        <v/>
      </c>
      <c r="U2046" s="10">
        <f>IF(AND(ISNUMBER(M2046),ISNUMBER(N2046)),IF(N2046&gt;0,M2046/N2046,""),"")</f>
        <v/>
      </c>
      <c r="V2046" s="10">
        <f>IF(AND(ISNUMBER(M2046),ISNUMBER(O2046)),IF(O2046&gt;0,M2046/O2046,""),"")</f>
        <v/>
      </c>
      <c r="W2046" s="10">
        <f>IF(AND(ISNUMBER(M2046),ISNUMBER(R2046)),IF(R2046&gt;0,M2046/R2046,""),"")</f>
        <v/>
      </c>
      <c r="X2046" s="10">
        <f>IF(AND(ISNUMBER(Q2046),ISNUMBER(M2046)),IF(M2046&gt;0,Q2046/M2046,""),"")</f>
        <v/>
      </c>
      <c r="Y2046" s="11">
        <f>IF(ISNUMBER(Z2046),YEAR(Z2046),"")</f>
        <v/>
      </c>
      <c r="Z2046" s="12" t="n"/>
      <c r="AA2046" s="12" t="n"/>
      <c r="AI2046" s="12" t="n"/>
      <c r="AJ2046" s="13">
        <f>IF(LEN(TRIM(AF2046))=0,"",HYPERLINK("https://www.google.com/maps/@?api=1&amp;map_action=pano&amp;viewpoint="&amp;SUBSTITUTE(AF2046," ",""),"Abrir Street View"))</f>
        <v/>
      </c>
    </row>
    <row r="2047">
      <c r="H2047" s="6" t="n"/>
      <c r="I2047" s="6" t="n"/>
      <c r="M2047" s="7" t="n"/>
      <c r="N2047" s="7" t="n"/>
      <c r="O2047" s="7" t="n"/>
      <c r="Q2047" s="7" t="n"/>
      <c r="R2047" s="7" t="n"/>
      <c r="S2047" s="8">
        <f>IF(NOT(ISNUMBER(M2047)),"",IF(G2047="Terreno",IF(AND(ISNUMBER(I2047),I2047&gt;0),M2047/I2047,""),IF(AND(ISNUMBER(H2047),H2047&gt;0),M2047/H2047,"")))</f>
        <v/>
      </c>
      <c r="T2047" s="9">
        <f>IF(AND(ISNUMBER(M2047),ISNUMBER(O2047)),IF(M2047&lt;=O2047,"Valor ≤ venal IPTU",""),"")</f>
        <v/>
      </c>
      <c r="U2047" s="10">
        <f>IF(AND(ISNUMBER(M2047),ISNUMBER(N2047)),IF(N2047&gt;0,M2047/N2047,""),"")</f>
        <v/>
      </c>
      <c r="V2047" s="10">
        <f>IF(AND(ISNUMBER(M2047),ISNUMBER(O2047)),IF(O2047&gt;0,M2047/O2047,""),"")</f>
        <v/>
      </c>
      <c r="W2047" s="10">
        <f>IF(AND(ISNUMBER(M2047),ISNUMBER(R2047)),IF(R2047&gt;0,M2047/R2047,""),"")</f>
        <v/>
      </c>
      <c r="X2047" s="10">
        <f>IF(AND(ISNUMBER(Q2047),ISNUMBER(M2047)),IF(M2047&gt;0,Q2047/M2047,""),"")</f>
        <v/>
      </c>
      <c r="Y2047" s="11">
        <f>IF(ISNUMBER(Z2047),YEAR(Z2047),"")</f>
        <v/>
      </c>
      <c r="Z2047" s="12" t="n"/>
      <c r="AA2047" s="12" t="n"/>
      <c r="AI2047" s="12" t="n"/>
      <c r="AJ2047" s="13">
        <f>IF(LEN(TRIM(AF2047))=0,"",HYPERLINK("https://www.google.com/maps/@?api=1&amp;map_action=pano&amp;viewpoint="&amp;SUBSTITUTE(AF2047," ",""),"Abrir Street View"))</f>
        <v/>
      </c>
    </row>
    <row r="2048">
      <c r="H2048" s="6" t="n"/>
      <c r="I2048" s="6" t="n"/>
      <c r="M2048" s="7" t="n"/>
      <c r="N2048" s="7" t="n"/>
      <c r="O2048" s="7" t="n"/>
      <c r="Q2048" s="7" t="n"/>
      <c r="R2048" s="7" t="n"/>
      <c r="S2048" s="8">
        <f>IF(NOT(ISNUMBER(M2048)),"",IF(G2048="Terreno",IF(AND(ISNUMBER(I2048),I2048&gt;0),M2048/I2048,""),IF(AND(ISNUMBER(H2048),H2048&gt;0),M2048/H2048,"")))</f>
        <v/>
      </c>
      <c r="T2048" s="9">
        <f>IF(AND(ISNUMBER(M2048),ISNUMBER(O2048)),IF(M2048&lt;=O2048,"Valor ≤ venal IPTU",""),"")</f>
        <v/>
      </c>
      <c r="U2048" s="10">
        <f>IF(AND(ISNUMBER(M2048),ISNUMBER(N2048)),IF(N2048&gt;0,M2048/N2048,""),"")</f>
        <v/>
      </c>
      <c r="V2048" s="10">
        <f>IF(AND(ISNUMBER(M2048),ISNUMBER(O2048)),IF(O2048&gt;0,M2048/O2048,""),"")</f>
        <v/>
      </c>
      <c r="W2048" s="10">
        <f>IF(AND(ISNUMBER(M2048),ISNUMBER(R2048)),IF(R2048&gt;0,M2048/R2048,""),"")</f>
        <v/>
      </c>
      <c r="X2048" s="10">
        <f>IF(AND(ISNUMBER(Q2048),ISNUMBER(M2048)),IF(M2048&gt;0,Q2048/M2048,""),"")</f>
        <v/>
      </c>
      <c r="Y2048" s="11">
        <f>IF(ISNUMBER(Z2048),YEAR(Z2048),"")</f>
        <v/>
      </c>
      <c r="Z2048" s="12" t="n"/>
      <c r="AA2048" s="12" t="n"/>
      <c r="AI2048" s="12" t="n"/>
      <c r="AJ2048" s="13">
        <f>IF(LEN(TRIM(AF2048))=0,"",HYPERLINK("https://www.google.com/maps/@?api=1&amp;map_action=pano&amp;viewpoint="&amp;SUBSTITUTE(AF2048," ",""),"Abrir Street View"))</f>
        <v/>
      </c>
    </row>
    <row r="2049">
      <c r="H2049" s="6" t="n"/>
      <c r="I2049" s="6" t="n"/>
      <c r="M2049" s="7" t="n"/>
      <c r="N2049" s="7" t="n"/>
      <c r="O2049" s="7" t="n"/>
      <c r="Q2049" s="7" t="n"/>
      <c r="R2049" s="7" t="n"/>
      <c r="S2049" s="8">
        <f>IF(NOT(ISNUMBER(M2049)),"",IF(G2049="Terreno",IF(AND(ISNUMBER(I2049),I2049&gt;0),M2049/I2049,""),IF(AND(ISNUMBER(H2049),H2049&gt;0),M2049/H2049,"")))</f>
        <v/>
      </c>
      <c r="T2049" s="9">
        <f>IF(AND(ISNUMBER(M2049),ISNUMBER(O2049)),IF(M2049&lt;=O2049,"Valor ≤ venal IPTU",""),"")</f>
        <v/>
      </c>
      <c r="U2049" s="10">
        <f>IF(AND(ISNUMBER(M2049),ISNUMBER(N2049)),IF(N2049&gt;0,M2049/N2049,""),"")</f>
        <v/>
      </c>
      <c r="V2049" s="10">
        <f>IF(AND(ISNUMBER(M2049),ISNUMBER(O2049)),IF(O2049&gt;0,M2049/O2049,""),"")</f>
        <v/>
      </c>
      <c r="W2049" s="10">
        <f>IF(AND(ISNUMBER(M2049),ISNUMBER(R2049)),IF(R2049&gt;0,M2049/R2049,""),"")</f>
        <v/>
      </c>
      <c r="X2049" s="10">
        <f>IF(AND(ISNUMBER(Q2049),ISNUMBER(M2049)),IF(M2049&gt;0,Q2049/M2049,""),"")</f>
        <v/>
      </c>
      <c r="Y2049" s="11">
        <f>IF(ISNUMBER(Z2049),YEAR(Z2049),"")</f>
        <v/>
      </c>
      <c r="Z2049" s="12" t="n"/>
      <c r="AA2049" s="12" t="n"/>
      <c r="AI2049" s="12" t="n"/>
      <c r="AJ2049" s="13">
        <f>IF(LEN(TRIM(AF2049))=0,"",HYPERLINK("https://www.google.com/maps/@?api=1&amp;map_action=pano&amp;viewpoint="&amp;SUBSTITUTE(AF2049," ",""),"Abrir Street View"))</f>
        <v/>
      </c>
    </row>
    <row r="2050">
      <c r="H2050" s="6" t="n"/>
      <c r="I2050" s="6" t="n"/>
      <c r="M2050" s="7" t="n"/>
      <c r="N2050" s="7" t="n"/>
      <c r="O2050" s="7" t="n"/>
      <c r="Q2050" s="7" t="n"/>
      <c r="R2050" s="7" t="n"/>
      <c r="S2050" s="8">
        <f>IF(NOT(ISNUMBER(M2050)),"",IF(G2050="Terreno",IF(AND(ISNUMBER(I2050),I2050&gt;0),M2050/I2050,""),IF(AND(ISNUMBER(H2050),H2050&gt;0),M2050/H2050,"")))</f>
        <v/>
      </c>
      <c r="T2050" s="9">
        <f>IF(AND(ISNUMBER(M2050),ISNUMBER(O2050)),IF(M2050&lt;=O2050,"Valor ≤ venal IPTU",""),"")</f>
        <v/>
      </c>
      <c r="U2050" s="10">
        <f>IF(AND(ISNUMBER(M2050),ISNUMBER(N2050)),IF(N2050&gt;0,M2050/N2050,""),"")</f>
        <v/>
      </c>
      <c r="V2050" s="10">
        <f>IF(AND(ISNUMBER(M2050),ISNUMBER(O2050)),IF(O2050&gt;0,M2050/O2050,""),"")</f>
        <v/>
      </c>
      <c r="W2050" s="10">
        <f>IF(AND(ISNUMBER(M2050),ISNUMBER(R2050)),IF(R2050&gt;0,M2050/R2050,""),"")</f>
        <v/>
      </c>
      <c r="X2050" s="10">
        <f>IF(AND(ISNUMBER(Q2050),ISNUMBER(M2050)),IF(M2050&gt;0,Q2050/M2050,""),"")</f>
        <v/>
      </c>
      <c r="Y2050" s="11">
        <f>IF(ISNUMBER(Z2050),YEAR(Z2050),"")</f>
        <v/>
      </c>
      <c r="Z2050" s="12" t="n"/>
      <c r="AA2050" s="12" t="n"/>
      <c r="AI2050" s="12" t="n"/>
      <c r="AJ2050" s="13">
        <f>IF(LEN(TRIM(AF2050))=0,"",HYPERLINK("https://www.google.com/maps/@?api=1&amp;map_action=pano&amp;viewpoint="&amp;SUBSTITUTE(AF2050," ",""),"Abrir Street View"))</f>
        <v/>
      </c>
    </row>
    <row r="2051">
      <c r="H2051" s="6" t="n"/>
      <c r="I2051" s="6" t="n"/>
      <c r="M2051" s="7" t="n"/>
      <c r="N2051" s="7" t="n"/>
      <c r="O2051" s="7" t="n"/>
      <c r="Q2051" s="7" t="n"/>
      <c r="R2051" s="7" t="n"/>
      <c r="S2051" s="8">
        <f>IF(NOT(ISNUMBER(M2051)),"",IF(G2051="Terreno",IF(AND(ISNUMBER(I2051),I2051&gt;0),M2051/I2051,""),IF(AND(ISNUMBER(H2051),H2051&gt;0),M2051/H2051,"")))</f>
        <v/>
      </c>
      <c r="T2051" s="9">
        <f>IF(AND(ISNUMBER(M2051),ISNUMBER(O2051)),IF(M2051&lt;=O2051,"Valor ≤ venal IPTU",""),"")</f>
        <v/>
      </c>
      <c r="U2051" s="10">
        <f>IF(AND(ISNUMBER(M2051),ISNUMBER(N2051)),IF(N2051&gt;0,M2051/N2051,""),"")</f>
        <v/>
      </c>
      <c r="V2051" s="10">
        <f>IF(AND(ISNUMBER(M2051),ISNUMBER(O2051)),IF(O2051&gt;0,M2051/O2051,""),"")</f>
        <v/>
      </c>
      <c r="W2051" s="10">
        <f>IF(AND(ISNUMBER(M2051),ISNUMBER(R2051)),IF(R2051&gt;0,M2051/R2051,""),"")</f>
        <v/>
      </c>
      <c r="X2051" s="10">
        <f>IF(AND(ISNUMBER(Q2051),ISNUMBER(M2051)),IF(M2051&gt;0,Q2051/M2051,""),"")</f>
        <v/>
      </c>
      <c r="Y2051" s="11">
        <f>IF(ISNUMBER(Z2051),YEAR(Z2051),"")</f>
        <v/>
      </c>
      <c r="Z2051" s="12" t="n"/>
      <c r="AA2051" s="12" t="n"/>
      <c r="AI2051" s="12" t="n"/>
      <c r="AJ2051" s="13">
        <f>IF(LEN(TRIM(AF2051))=0,"",HYPERLINK("https://www.google.com/maps/@?api=1&amp;map_action=pano&amp;viewpoint="&amp;SUBSTITUTE(AF2051," ",""),"Abrir Street View"))</f>
        <v/>
      </c>
    </row>
    <row r="2052">
      <c r="H2052" s="6" t="n"/>
      <c r="I2052" s="6" t="n"/>
      <c r="M2052" s="7" t="n"/>
      <c r="N2052" s="7" t="n"/>
      <c r="O2052" s="7" t="n"/>
      <c r="Q2052" s="7" t="n"/>
      <c r="R2052" s="7" t="n"/>
      <c r="S2052" s="8">
        <f>IF(NOT(ISNUMBER(M2052)),"",IF(G2052="Terreno",IF(AND(ISNUMBER(I2052),I2052&gt;0),M2052/I2052,""),IF(AND(ISNUMBER(H2052),H2052&gt;0),M2052/H2052,"")))</f>
        <v/>
      </c>
      <c r="T2052" s="9">
        <f>IF(AND(ISNUMBER(M2052),ISNUMBER(O2052)),IF(M2052&lt;=O2052,"Valor ≤ venal IPTU",""),"")</f>
        <v/>
      </c>
      <c r="U2052" s="10">
        <f>IF(AND(ISNUMBER(M2052),ISNUMBER(N2052)),IF(N2052&gt;0,M2052/N2052,""),"")</f>
        <v/>
      </c>
      <c r="V2052" s="10">
        <f>IF(AND(ISNUMBER(M2052),ISNUMBER(O2052)),IF(O2052&gt;0,M2052/O2052,""),"")</f>
        <v/>
      </c>
      <c r="W2052" s="10">
        <f>IF(AND(ISNUMBER(M2052),ISNUMBER(R2052)),IF(R2052&gt;0,M2052/R2052,""),"")</f>
        <v/>
      </c>
      <c r="X2052" s="10">
        <f>IF(AND(ISNUMBER(Q2052),ISNUMBER(M2052)),IF(M2052&gt;0,Q2052/M2052,""),"")</f>
        <v/>
      </c>
      <c r="Y2052" s="11">
        <f>IF(ISNUMBER(Z2052),YEAR(Z2052),"")</f>
        <v/>
      </c>
      <c r="Z2052" s="12" t="n"/>
      <c r="AA2052" s="12" t="n"/>
      <c r="AI2052" s="12" t="n"/>
      <c r="AJ2052" s="13">
        <f>IF(LEN(TRIM(AF2052))=0,"",HYPERLINK("https://www.google.com/maps/@?api=1&amp;map_action=pano&amp;viewpoint="&amp;SUBSTITUTE(AF2052," ",""),"Abrir Street View"))</f>
        <v/>
      </c>
    </row>
    <row r="2053">
      <c r="H2053" s="6" t="n"/>
      <c r="I2053" s="6" t="n"/>
      <c r="M2053" s="7" t="n"/>
      <c r="N2053" s="7" t="n"/>
      <c r="O2053" s="7" t="n"/>
      <c r="Q2053" s="7" t="n"/>
      <c r="R2053" s="7" t="n"/>
      <c r="S2053" s="8">
        <f>IF(NOT(ISNUMBER(M2053)),"",IF(G2053="Terreno",IF(AND(ISNUMBER(I2053),I2053&gt;0),M2053/I2053,""),IF(AND(ISNUMBER(H2053),H2053&gt;0),M2053/H2053,"")))</f>
        <v/>
      </c>
      <c r="T2053" s="9">
        <f>IF(AND(ISNUMBER(M2053),ISNUMBER(O2053)),IF(M2053&lt;=O2053,"Valor ≤ venal IPTU",""),"")</f>
        <v/>
      </c>
      <c r="U2053" s="10">
        <f>IF(AND(ISNUMBER(M2053),ISNUMBER(N2053)),IF(N2053&gt;0,M2053/N2053,""),"")</f>
        <v/>
      </c>
      <c r="V2053" s="10">
        <f>IF(AND(ISNUMBER(M2053),ISNUMBER(O2053)),IF(O2053&gt;0,M2053/O2053,""),"")</f>
        <v/>
      </c>
      <c r="W2053" s="10">
        <f>IF(AND(ISNUMBER(M2053),ISNUMBER(R2053)),IF(R2053&gt;0,M2053/R2053,""),"")</f>
        <v/>
      </c>
      <c r="X2053" s="10">
        <f>IF(AND(ISNUMBER(Q2053),ISNUMBER(M2053)),IF(M2053&gt;0,Q2053/M2053,""),"")</f>
        <v/>
      </c>
      <c r="Y2053" s="11">
        <f>IF(ISNUMBER(Z2053),YEAR(Z2053),"")</f>
        <v/>
      </c>
      <c r="Z2053" s="12" t="n"/>
      <c r="AA2053" s="12" t="n"/>
      <c r="AI2053" s="12" t="n"/>
      <c r="AJ2053" s="13">
        <f>IF(LEN(TRIM(AF2053))=0,"",HYPERLINK("https://www.google.com/maps/@?api=1&amp;map_action=pano&amp;viewpoint="&amp;SUBSTITUTE(AF2053," ",""),"Abrir Street View"))</f>
        <v/>
      </c>
    </row>
    <row r="2054">
      <c r="H2054" s="6" t="n"/>
      <c r="I2054" s="6" t="n"/>
      <c r="M2054" s="7" t="n"/>
      <c r="N2054" s="7" t="n"/>
      <c r="O2054" s="7" t="n"/>
      <c r="Q2054" s="7" t="n"/>
      <c r="R2054" s="7" t="n"/>
      <c r="S2054" s="8">
        <f>IF(NOT(ISNUMBER(M2054)),"",IF(G2054="Terreno",IF(AND(ISNUMBER(I2054),I2054&gt;0),M2054/I2054,""),IF(AND(ISNUMBER(H2054),H2054&gt;0),M2054/H2054,"")))</f>
        <v/>
      </c>
      <c r="T2054" s="9">
        <f>IF(AND(ISNUMBER(M2054),ISNUMBER(O2054)),IF(M2054&lt;=O2054,"Valor ≤ venal IPTU",""),"")</f>
        <v/>
      </c>
      <c r="U2054" s="10">
        <f>IF(AND(ISNUMBER(M2054),ISNUMBER(N2054)),IF(N2054&gt;0,M2054/N2054,""),"")</f>
        <v/>
      </c>
      <c r="V2054" s="10">
        <f>IF(AND(ISNUMBER(M2054),ISNUMBER(O2054)),IF(O2054&gt;0,M2054/O2054,""),"")</f>
        <v/>
      </c>
      <c r="W2054" s="10">
        <f>IF(AND(ISNUMBER(M2054),ISNUMBER(R2054)),IF(R2054&gt;0,M2054/R2054,""),"")</f>
        <v/>
      </c>
      <c r="X2054" s="10">
        <f>IF(AND(ISNUMBER(Q2054),ISNUMBER(M2054)),IF(M2054&gt;0,Q2054/M2054,""),"")</f>
        <v/>
      </c>
      <c r="Y2054" s="11">
        <f>IF(ISNUMBER(Z2054),YEAR(Z2054),"")</f>
        <v/>
      </c>
      <c r="Z2054" s="12" t="n"/>
      <c r="AA2054" s="12" t="n"/>
      <c r="AI2054" s="12" t="n"/>
      <c r="AJ2054" s="13">
        <f>IF(LEN(TRIM(AF2054))=0,"",HYPERLINK("https://www.google.com/maps/@?api=1&amp;map_action=pano&amp;viewpoint="&amp;SUBSTITUTE(AF2054," ",""),"Abrir Street View"))</f>
        <v/>
      </c>
    </row>
    <row r="2055">
      <c r="H2055" s="6" t="n"/>
      <c r="I2055" s="6" t="n"/>
      <c r="M2055" s="7" t="n"/>
      <c r="N2055" s="7" t="n"/>
      <c r="O2055" s="7" t="n"/>
      <c r="Q2055" s="7" t="n"/>
      <c r="R2055" s="7" t="n"/>
      <c r="S2055" s="8">
        <f>IF(NOT(ISNUMBER(M2055)),"",IF(G2055="Terreno",IF(AND(ISNUMBER(I2055),I2055&gt;0),M2055/I2055,""),IF(AND(ISNUMBER(H2055),H2055&gt;0),M2055/H2055,"")))</f>
        <v/>
      </c>
      <c r="T2055" s="9">
        <f>IF(AND(ISNUMBER(M2055),ISNUMBER(O2055)),IF(M2055&lt;=O2055,"Valor ≤ venal IPTU",""),"")</f>
        <v/>
      </c>
      <c r="U2055" s="10">
        <f>IF(AND(ISNUMBER(M2055),ISNUMBER(N2055)),IF(N2055&gt;0,M2055/N2055,""),"")</f>
        <v/>
      </c>
      <c r="V2055" s="10">
        <f>IF(AND(ISNUMBER(M2055),ISNUMBER(O2055)),IF(O2055&gt;0,M2055/O2055,""),"")</f>
        <v/>
      </c>
      <c r="W2055" s="10">
        <f>IF(AND(ISNUMBER(M2055),ISNUMBER(R2055)),IF(R2055&gt;0,M2055/R2055,""),"")</f>
        <v/>
      </c>
      <c r="X2055" s="10">
        <f>IF(AND(ISNUMBER(Q2055),ISNUMBER(M2055)),IF(M2055&gt;0,Q2055/M2055,""),"")</f>
        <v/>
      </c>
      <c r="Y2055" s="11">
        <f>IF(ISNUMBER(Z2055),YEAR(Z2055),"")</f>
        <v/>
      </c>
      <c r="Z2055" s="12" t="n"/>
      <c r="AA2055" s="12" t="n"/>
      <c r="AI2055" s="12" t="n"/>
      <c r="AJ2055" s="13">
        <f>IF(LEN(TRIM(AF2055))=0,"",HYPERLINK("https://www.google.com/maps/@?api=1&amp;map_action=pano&amp;viewpoint="&amp;SUBSTITUTE(AF2055," ",""),"Abrir Street View"))</f>
        <v/>
      </c>
    </row>
    <row r="2056">
      <c r="H2056" s="6" t="n"/>
      <c r="I2056" s="6" t="n"/>
      <c r="M2056" s="7" t="n"/>
      <c r="N2056" s="7" t="n"/>
      <c r="O2056" s="7" t="n"/>
      <c r="Q2056" s="7" t="n"/>
      <c r="R2056" s="7" t="n"/>
      <c r="S2056" s="8">
        <f>IF(NOT(ISNUMBER(M2056)),"",IF(G2056="Terreno",IF(AND(ISNUMBER(I2056),I2056&gt;0),M2056/I2056,""),IF(AND(ISNUMBER(H2056),H2056&gt;0),M2056/H2056,"")))</f>
        <v/>
      </c>
      <c r="T2056" s="9">
        <f>IF(AND(ISNUMBER(M2056),ISNUMBER(O2056)),IF(M2056&lt;=O2056,"Valor ≤ venal IPTU",""),"")</f>
        <v/>
      </c>
      <c r="U2056" s="10">
        <f>IF(AND(ISNUMBER(M2056),ISNUMBER(N2056)),IF(N2056&gt;0,M2056/N2056,""),"")</f>
        <v/>
      </c>
      <c r="V2056" s="10">
        <f>IF(AND(ISNUMBER(M2056),ISNUMBER(O2056)),IF(O2056&gt;0,M2056/O2056,""),"")</f>
        <v/>
      </c>
      <c r="W2056" s="10">
        <f>IF(AND(ISNUMBER(M2056),ISNUMBER(R2056)),IF(R2056&gt;0,M2056/R2056,""),"")</f>
        <v/>
      </c>
      <c r="X2056" s="10">
        <f>IF(AND(ISNUMBER(Q2056),ISNUMBER(M2056)),IF(M2056&gt;0,Q2056/M2056,""),"")</f>
        <v/>
      </c>
      <c r="Y2056" s="11">
        <f>IF(ISNUMBER(Z2056),YEAR(Z2056),"")</f>
        <v/>
      </c>
      <c r="Z2056" s="12" t="n"/>
      <c r="AA2056" s="12" t="n"/>
      <c r="AI2056" s="12" t="n"/>
      <c r="AJ2056" s="13">
        <f>IF(LEN(TRIM(AF2056))=0,"",HYPERLINK("https://www.google.com/maps/@?api=1&amp;map_action=pano&amp;viewpoint="&amp;SUBSTITUTE(AF2056," ",""),"Abrir Street View"))</f>
        <v/>
      </c>
    </row>
    <row r="2057">
      <c r="H2057" s="6" t="n"/>
      <c r="I2057" s="6" t="n"/>
      <c r="M2057" s="7" t="n"/>
      <c r="N2057" s="7" t="n"/>
      <c r="O2057" s="7" t="n"/>
      <c r="Q2057" s="7" t="n"/>
      <c r="R2057" s="7" t="n"/>
      <c r="S2057" s="8">
        <f>IF(NOT(ISNUMBER(M2057)),"",IF(G2057="Terreno",IF(AND(ISNUMBER(I2057),I2057&gt;0),M2057/I2057,""),IF(AND(ISNUMBER(H2057),H2057&gt;0),M2057/H2057,"")))</f>
        <v/>
      </c>
      <c r="T2057" s="9">
        <f>IF(AND(ISNUMBER(M2057),ISNUMBER(O2057)),IF(M2057&lt;=O2057,"Valor ≤ venal IPTU",""),"")</f>
        <v/>
      </c>
      <c r="U2057" s="10">
        <f>IF(AND(ISNUMBER(M2057),ISNUMBER(N2057)),IF(N2057&gt;0,M2057/N2057,""),"")</f>
        <v/>
      </c>
      <c r="V2057" s="10">
        <f>IF(AND(ISNUMBER(M2057),ISNUMBER(O2057)),IF(O2057&gt;0,M2057/O2057,""),"")</f>
        <v/>
      </c>
      <c r="W2057" s="10">
        <f>IF(AND(ISNUMBER(M2057),ISNUMBER(R2057)),IF(R2057&gt;0,M2057/R2057,""),"")</f>
        <v/>
      </c>
      <c r="X2057" s="10">
        <f>IF(AND(ISNUMBER(Q2057),ISNUMBER(M2057)),IF(M2057&gt;0,Q2057/M2057,""),"")</f>
        <v/>
      </c>
      <c r="Y2057" s="11">
        <f>IF(ISNUMBER(Z2057),YEAR(Z2057),"")</f>
        <v/>
      </c>
      <c r="Z2057" s="12" t="n"/>
      <c r="AA2057" s="12" t="n"/>
      <c r="AI2057" s="12" t="n"/>
      <c r="AJ2057" s="13">
        <f>IF(LEN(TRIM(AF2057))=0,"",HYPERLINK("https://www.google.com/maps/@?api=1&amp;map_action=pano&amp;viewpoint="&amp;SUBSTITUTE(AF2057," ",""),"Abrir Street View"))</f>
        <v/>
      </c>
    </row>
    <row r="2058">
      <c r="H2058" s="6" t="n"/>
      <c r="I2058" s="6" t="n"/>
      <c r="M2058" s="7" t="n"/>
      <c r="N2058" s="7" t="n"/>
      <c r="O2058" s="7" t="n"/>
      <c r="Q2058" s="7" t="n"/>
      <c r="R2058" s="7" t="n"/>
      <c r="S2058" s="8">
        <f>IF(NOT(ISNUMBER(M2058)),"",IF(G2058="Terreno",IF(AND(ISNUMBER(I2058),I2058&gt;0),M2058/I2058,""),IF(AND(ISNUMBER(H2058),H2058&gt;0),M2058/H2058,"")))</f>
        <v/>
      </c>
      <c r="T2058" s="9">
        <f>IF(AND(ISNUMBER(M2058),ISNUMBER(O2058)),IF(M2058&lt;=O2058,"Valor ≤ venal IPTU",""),"")</f>
        <v/>
      </c>
      <c r="U2058" s="10">
        <f>IF(AND(ISNUMBER(M2058),ISNUMBER(N2058)),IF(N2058&gt;0,M2058/N2058,""),"")</f>
        <v/>
      </c>
      <c r="V2058" s="10">
        <f>IF(AND(ISNUMBER(M2058),ISNUMBER(O2058)),IF(O2058&gt;0,M2058/O2058,""),"")</f>
        <v/>
      </c>
      <c r="W2058" s="10">
        <f>IF(AND(ISNUMBER(M2058),ISNUMBER(R2058)),IF(R2058&gt;0,M2058/R2058,""),"")</f>
        <v/>
      </c>
      <c r="X2058" s="10">
        <f>IF(AND(ISNUMBER(Q2058),ISNUMBER(M2058)),IF(M2058&gt;0,Q2058/M2058,""),"")</f>
        <v/>
      </c>
      <c r="Y2058" s="11">
        <f>IF(ISNUMBER(Z2058),YEAR(Z2058),"")</f>
        <v/>
      </c>
      <c r="Z2058" s="12" t="n"/>
      <c r="AA2058" s="12" t="n"/>
      <c r="AI2058" s="12" t="n"/>
      <c r="AJ2058" s="13">
        <f>IF(LEN(TRIM(AF2058))=0,"",HYPERLINK("https://www.google.com/maps/@?api=1&amp;map_action=pano&amp;viewpoint="&amp;SUBSTITUTE(AF2058," ",""),"Abrir Street View"))</f>
        <v/>
      </c>
    </row>
    <row r="2059">
      <c r="H2059" s="6" t="n"/>
      <c r="I2059" s="6" t="n"/>
      <c r="M2059" s="7" t="n"/>
      <c r="N2059" s="7" t="n"/>
      <c r="O2059" s="7" t="n"/>
      <c r="Q2059" s="7" t="n"/>
      <c r="R2059" s="7" t="n"/>
      <c r="S2059" s="8">
        <f>IF(NOT(ISNUMBER(M2059)),"",IF(G2059="Terreno",IF(AND(ISNUMBER(I2059),I2059&gt;0),M2059/I2059,""),IF(AND(ISNUMBER(H2059),H2059&gt;0),M2059/H2059,"")))</f>
        <v/>
      </c>
      <c r="T2059" s="9">
        <f>IF(AND(ISNUMBER(M2059),ISNUMBER(O2059)),IF(M2059&lt;=O2059,"Valor ≤ venal IPTU",""),"")</f>
        <v/>
      </c>
      <c r="U2059" s="10">
        <f>IF(AND(ISNUMBER(M2059),ISNUMBER(N2059)),IF(N2059&gt;0,M2059/N2059,""),"")</f>
        <v/>
      </c>
      <c r="V2059" s="10">
        <f>IF(AND(ISNUMBER(M2059),ISNUMBER(O2059)),IF(O2059&gt;0,M2059/O2059,""),"")</f>
        <v/>
      </c>
      <c r="W2059" s="10">
        <f>IF(AND(ISNUMBER(M2059),ISNUMBER(R2059)),IF(R2059&gt;0,M2059/R2059,""),"")</f>
        <v/>
      </c>
      <c r="X2059" s="10">
        <f>IF(AND(ISNUMBER(Q2059),ISNUMBER(M2059)),IF(M2059&gt;0,Q2059/M2059,""),"")</f>
        <v/>
      </c>
      <c r="Y2059" s="11">
        <f>IF(ISNUMBER(Z2059),YEAR(Z2059),"")</f>
        <v/>
      </c>
      <c r="Z2059" s="12" t="n"/>
      <c r="AA2059" s="12" t="n"/>
      <c r="AI2059" s="12" t="n"/>
      <c r="AJ2059" s="13">
        <f>IF(LEN(TRIM(AF2059))=0,"",HYPERLINK("https://www.google.com/maps/@?api=1&amp;map_action=pano&amp;viewpoint="&amp;SUBSTITUTE(AF2059," ",""),"Abrir Street View"))</f>
        <v/>
      </c>
    </row>
    <row r="2060">
      <c r="H2060" s="6" t="n"/>
      <c r="I2060" s="6" t="n"/>
      <c r="M2060" s="7" t="n"/>
      <c r="N2060" s="7" t="n"/>
      <c r="O2060" s="7" t="n"/>
      <c r="Q2060" s="7" t="n"/>
      <c r="R2060" s="7" t="n"/>
      <c r="S2060" s="8">
        <f>IF(NOT(ISNUMBER(M2060)),"",IF(G2060="Terreno",IF(AND(ISNUMBER(I2060),I2060&gt;0),M2060/I2060,""),IF(AND(ISNUMBER(H2060),H2060&gt;0),M2060/H2060,"")))</f>
        <v/>
      </c>
      <c r="T2060" s="9">
        <f>IF(AND(ISNUMBER(M2060),ISNUMBER(O2060)),IF(M2060&lt;=O2060,"Valor ≤ venal IPTU",""),"")</f>
        <v/>
      </c>
      <c r="U2060" s="10">
        <f>IF(AND(ISNUMBER(M2060),ISNUMBER(N2060)),IF(N2060&gt;0,M2060/N2060,""),"")</f>
        <v/>
      </c>
      <c r="V2060" s="10">
        <f>IF(AND(ISNUMBER(M2060),ISNUMBER(O2060)),IF(O2060&gt;0,M2060/O2060,""),"")</f>
        <v/>
      </c>
      <c r="W2060" s="10">
        <f>IF(AND(ISNUMBER(M2060),ISNUMBER(R2060)),IF(R2060&gt;0,M2060/R2060,""),"")</f>
        <v/>
      </c>
      <c r="X2060" s="10">
        <f>IF(AND(ISNUMBER(Q2060),ISNUMBER(M2060)),IF(M2060&gt;0,Q2060/M2060,""),"")</f>
        <v/>
      </c>
      <c r="Y2060" s="11">
        <f>IF(ISNUMBER(Z2060),YEAR(Z2060),"")</f>
        <v/>
      </c>
      <c r="Z2060" s="12" t="n"/>
      <c r="AA2060" s="12" t="n"/>
      <c r="AI2060" s="12" t="n"/>
      <c r="AJ2060" s="13">
        <f>IF(LEN(TRIM(AF2060))=0,"",HYPERLINK("https://www.google.com/maps/@?api=1&amp;map_action=pano&amp;viewpoint="&amp;SUBSTITUTE(AF2060," ",""),"Abrir Street View"))</f>
        <v/>
      </c>
    </row>
    <row r="2061">
      <c r="H2061" s="6" t="n"/>
      <c r="I2061" s="6" t="n"/>
      <c r="M2061" s="7" t="n"/>
      <c r="N2061" s="7" t="n"/>
      <c r="O2061" s="7" t="n"/>
      <c r="Q2061" s="7" t="n"/>
      <c r="R2061" s="7" t="n"/>
      <c r="S2061" s="8">
        <f>IF(NOT(ISNUMBER(M2061)),"",IF(G2061="Terreno",IF(AND(ISNUMBER(I2061),I2061&gt;0),M2061/I2061,""),IF(AND(ISNUMBER(H2061),H2061&gt;0),M2061/H2061,"")))</f>
        <v/>
      </c>
      <c r="T2061" s="9">
        <f>IF(AND(ISNUMBER(M2061),ISNUMBER(O2061)),IF(M2061&lt;=O2061,"Valor ≤ venal IPTU",""),"")</f>
        <v/>
      </c>
      <c r="U2061" s="10">
        <f>IF(AND(ISNUMBER(M2061),ISNUMBER(N2061)),IF(N2061&gt;0,M2061/N2061,""),"")</f>
        <v/>
      </c>
      <c r="V2061" s="10">
        <f>IF(AND(ISNUMBER(M2061),ISNUMBER(O2061)),IF(O2061&gt;0,M2061/O2061,""),"")</f>
        <v/>
      </c>
      <c r="W2061" s="10">
        <f>IF(AND(ISNUMBER(M2061),ISNUMBER(R2061)),IF(R2061&gt;0,M2061/R2061,""),"")</f>
        <v/>
      </c>
      <c r="X2061" s="10">
        <f>IF(AND(ISNUMBER(Q2061),ISNUMBER(M2061)),IF(M2061&gt;0,Q2061/M2061,""),"")</f>
        <v/>
      </c>
      <c r="Y2061" s="11">
        <f>IF(ISNUMBER(Z2061),YEAR(Z2061),"")</f>
        <v/>
      </c>
      <c r="Z2061" s="12" t="n"/>
      <c r="AA2061" s="12" t="n"/>
      <c r="AI2061" s="12" t="n"/>
      <c r="AJ2061" s="13">
        <f>IF(LEN(TRIM(AF2061))=0,"",HYPERLINK("https://www.google.com/maps/@?api=1&amp;map_action=pano&amp;viewpoint="&amp;SUBSTITUTE(AF2061," ",""),"Abrir Street View"))</f>
        <v/>
      </c>
    </row>
    <row r="2062">
      <c r="H2062" s="6" t="n"/>
      <c r="I2062" s="6" t="n"/>
      <c r="M2062" s="7" t="n"/>
      <c r="N2062" s="7" t="n"/>
      <c r="O2062" s="7" t="n"/>
      <c r="Q2062" s="7" t="n"/>
      <c r="R2062" s="7" t="n"/>
      <c r="S2062" s="8">
        <f>IF(NOT(ISNUMBER(M2062)),"",IF(G2062="Terreno",IF(AND(ISNUMBER(I2062),I2062&gt;0),M2062/I2062,""),IF(AND(ISNUMBER(H2062),H2062&gt;0),M2062/H2062,"")))</f>
        <v/>
      </c>
      <c r="T2062" s="9">
        <f>IF(AND(ISNUMBER(M2062),ISNUMBER(O2062)),IF(M2062&lt;=O2062,"Valor ≤ venal IPTU",""),"")</f>
        <v/>
      </c>
      <c r="U2062" s="10">
        <f>IF(AND(ISNUMBER(M2062),ISNUMBER(N2062)),IF(N2062&gt;0,M2062/N2062,""),"")</f>
        <v/>
      </c>
      <c r="V2062" s="10">
        <f>IF(AND(ISNUMBER(M2062),ISNUMBER(O2062)),IF(O2062&gt;0,M2062/O2062,""),"")</f>
        <v/>
      </c>
      <c r="W2062" s="10">
        <f>IF(AND(ISNUMBER(M2062),ISNUMBER(R2062)),IF(R2062&gt;0,M2062/R2062,""),"")</f>
        <v/>
      </c>
      <c r="X2062" s="10">
        <f>IF(AND(ISNUMBER(Q2062),ISNUMBER(M2062)),IF(M2062&gt;0,Q2062/M2062,""),"")</f>
        <v/>
      </c>
      <c r="Y2062" s="11">
        <f>IF(ISNUMBER(Z2062),YEAR(Z2062),"")</f>
        <v/>
      </c>
      <c r="Z2062" s="12" t="n"/>
      <c r="AA2062" s="12" t="n"/>
      <c r="AI2062" s="12" t="n"/>
      <c r="AJ2062" s="13">
        <f>IF(LEN(TRIM(AF2062))=0,"",HYPERLINK("https://www.google.com/maps/@?api=1&amp;map_action=pano&amp;viewpoint="&amp;SUBSTITUTE(AF2062," ",""),"Abrir Street View"))</f>
        <v/>
      </c>
    </row>
    <row r="2063">
      <c r="H2063" s="6" t="n"/>
      <c r="I2063" s="6" t="n"/>
      <c r="M2063" s="7" t="n"/>
      <c r="N2063" s="7" t="n"/>
      <c r="O2063" s="7" t="n"/>
      <c r="Q2063" s="7" t="n"/>
      <c r="R2063" s="7" t="n"/>
      <c r="S2063" s="8">
        <f>IF(NOT(ISNUMBER(M2063)),"",IF(G2063="Terreno",IF(AND(ISNUMBER(I2063),I2063&gt;0),M2063/I2063,""),IF(AND(ISNUMBER(H2063),H2063&gt;0),M2063/H2063,"")))</f>
        <v/>
      </c>
      <c r="T2063" s="9">
        <f>IF(AND(ISNUMBER(M2063),ISNUMBER(O2063)),IF(M2063&lt;=O2063,"Valor ≤ venal IPTU",""),"")</f>
        <v/>
      </c>
      <c r="U2063" s="10">
        <f>IF(AND(ISNUMBER(M2063),ISNUMBER(N2063)),IF(N2063&gt;0,M2063/N2063,""),"")</f>
        <v/>
      </c>
      <c r="V2063" s="10">
        <f>IF(AND(ISNUMBER(M2063),ISNUMBER(O2063)),IF(O2063&gt;0,M2063/O2063,""),"")</f>
        <v/>
      </c>
      <c r="W2063" s="10">
        <f>IF(AND(ISNUMBER(M2063),ISNUMBER(R2063)),IF(R2063&gt;0,M2063/R2063,""),"")</f>
        <v/>
      </c>
      <c r="X2063" s="10">
        <f>IF(AND(ISNUMBER(Q2063),ISNUMBER(M2063)),IF(M2063&gt;0,Q2063/M2063,""),"")</f>
        <v/>
      </c>
      <c r="Y2063" s="11">
        <f>IF(ISNUMBER(Z2063),YEAR(Z2063),"")</f>
        <v/>
      </c>
      <c r="Z2063" s="12" t="n"/>
      <c r="AA2063" s="12" t="n"/>
      <c r="AI2063" s="12" t="n"/>
      <c r="AJ2063" s="13">
        <f>IF(LEN(TRIM(AF2063))=0,"",HYPERLINK("https://www.google.com/maps/@?api=1&amp;map_action=pano&amp;viewpoint="&amp;SUBSTITUTE(AF2063," ",""),"Abrir Street View"))</f>
        <v/>
      </c>
    </row>
    <row r="2064">
      <c r="H2064" s="6" t="n"/>
      <c r="I2064" s="6" t="n"/>
      <c r="M2064" s="7" t="n"/>
      <c r="N2064" s="7" t="n"/>
      <c r="O2064" s="7" t="n"/>
      <c r="Q2064" s="7" t="n"/>
      <c r="R2064" s="7" t="n"/>
      <c r="S2064" s="8">
        <f>IF(NOT(ISNUMBER(M2064)),"",IF(G2064="Terreno",IF(AND(ISNUMBER(I2064),I2064&gt;0),M2064/I2064,""),IF(AND(ISNUMBER(H2064),H2064&gt;0),M2064/H2064,"")))</f>
        <v/>
      </c>
      <c r="T2064" s="9">
        <f>IF(AND(ISNUMBER(M2064),ISNUMBER(O2064)),IF(M2064&lt;=O2064,"Valor ≤ venal IPTU",""),"")</f>
        <v/>
      </c>
      <c r="U2064" s="10">
        <f>IF(AND(ISNUMBER(M2064),ISNUMBER(N2064)),IF(N2064&gt;0,M2064/N2064,""),"")</f>
        <v/>
      </c>
      <c r="V2064" s="10">
        <f>IF(AND(ISNUMBER(M2064),ISNUMBER(O2064)),IF(O2064&gt;0,M2064/O2064,""),"")</f>
        <v/>
      </c>
      <c r="W2064" s="10">
        <f>IF(AND(ISNUMBER(M2064),ISNUMBER(R2064)),IF(R2064&gt;0,M2064/R2064,""),"")</f>
        <v/>
      </c>
      <c r="X2064" s="10">
        <f>IF(AND(ISNUMBER(Q2064),ISNUMBER(M2064)),IF(M2064&gt;0,Q2064/M2064,""),"")</f>
        <v/>
      </c>
      <c r="Y2064" s="11">
        <f>IF(ISNUMBER(Z2064),YEAR(Z2064),"")</f>
        <v/>
      </c>
      <c r="Z2064" s="12" t="n"/>
      <c r="AA2064" s="12" t="n"/>
      <c r="AI2064" s="12" t="n"/>
      <c r="AJ2064" s="13">
        <f>IF(LEN(TRIM(AF2064))=0,"",HYPERLINK("https://www.google.com/maps/@?api=1&amp;map_action=pano&amp;viewpoint="&amp;SUBSTITUTE(AF2064," ",""),"Abrir Street View"))</f>
        <v/>
      </c>
    </row>
    <row r="2065">
      <c r="H2065" s="6" t="n"/>
      <c r="I2065" s="6" t="n"/>
      <c r="M2065" s="7" t="n"/>
      <c r="N2065" s="7" t="n"/>
      <c r="O2065" s="7" t="n"/>
      <c r="Q2065" s="7" t="n"/>
      <c r="R2065" s="7" t="n"/>
      <c r="S2065" s="8">
        <f>IF(NOT(ISNUMBER(M2065)),"",IF(G2065="Terreno",IF(AND(ISNUMBER(I2065),I2065&gt;0),M2065/I2065,""),IF(AND(ISNUMBER(H2065),H2065&gt;0),M2065/H2065,"")))</f>
        <v/>
      </c>
      <c r="T2065" s="9">
        <f>IF(AND(ISNUMBER(M2065),ISNUMBER(O2065)),IF(M2065&lt;=O2065,"Valor ≤ venal IPTU",""),"")</f>
        <v/>
      </c>
      <c r="U2065" s="10">
        <f>IF(AND(ISNUMBER(M2065),ISNUMBER(N2065)),IF(N2065&gt;0,M2065/N2065,""),"")</f>
        <v/>
      </c>
      <c r="V2065" s="10">
        <f>IF(AND(ISNUMBER(M2065),ISNUMBER(O2065)),IF(O2065&gt;0,M2065/O2065,""),"")</f>
        <v/>
      </c>
      <c r="W2065" s="10">
        <f>IF(AND(ISNUMBER(M2065),ISNUMBER(R2065)),IF(R2065&gt;0,M2065/R2065,""),"")</f>
        <v/>
      </c>
      <c r="X2065" s="10">
        <f>IF(AND(ISNUMBER(Q2065),ISNUMBER(M2065)),IF(M2065&gt;0,Q2065/M2065,""),"")</f>
        <v/>
      </c>
      <c r="Y2065" s="11">
        <f>IF(ISNUMBER(Z2065),YEAR(Z2065),"")</f>
        <v/>
      </c>
      <c r="Z2065" s="12" t="n"/>
      <c r="AA2065" s="12" t="n"/>
      <c r="AI2065" s="12" t="n"/>
      <c r="AJ2065" s="13">
        <f>IF(LEN(TRIM(AF2065))=0,"",HYPERLINK("https://www.google.com/maps/@?api=1&amp;map_action=pano&amp;viewpoint="&amp;SUBSTITUTE(AF2065," ",""),"Abrir Street View"))</f>
        <v/>
      </c>
    </row>
    <row r="2066">
      <c r="H2066" s="6" t="n"/>
      <c r="I2066" s="6" t="n"/>
      <c r="M2066" s="7" t="n"/>
      <c r="N2066" s="7" t="n"/>
      <c r="O2066" s="7" t="n"/>
      <c r="Q2066" s="7" t="n"/>
      <c r="R2066" s="7" t="n"/>
      <c r="S2066" s="8">
        <f>IF(NOT(ISNUMBER(M2066)),"",IF(G2066="Terreno",IF(AND(ISNUMBER(I2066),I2066&gt;0),M2066/I2066,""),IF(AND(ISNUMBER(H2066),H2066&gt;0),M2066/H2066,"")))</f>
        <v/>
      </c>
      <c r="T2066" s="9">
        <f>IF(AND(ISNUMBER(M2066),ISNUMBER(O2066)),IF(M2066&lt;=O2066,"Valor ≤ venal IPTU",""),"")</f>
        <v/>
      </c>
      <c r="U2066" s="10">
        <f>IF(AND(ISNUMBER(M2066),ISNUMBER(N2066)),IF(N2066&gt;0,M2066/N2066,""),"")</f>
        <v/>
      </c>
      <c r="V2066" s="10">
        <f>IF(AND(ISNUMBER(M2066),ISNUMBER(O2066)),IF(O2066&gt;0,M2066/O2066,""),"")</f>
        <v/>
      </c>
      <c r="W2066" s="10">
        <f>IF(AND(ISNUMBER(M2066),ISNUMBER(R2066)),IF(R2066&gt;0,M2066/R2066,""),"")</f>
        <v/>
      </c>
      <c r="X2066" s="10">
        <f>IF(AND(ISNUMBER(Q2066),ISNUMBER(M2066)),IF(M2066&gt;0,Q2066/M2066,""),"")</f>
        <v/>
      </c>
      <c r="Y2066" s="11">
        <f>IF(ISNUMBER(Z2066),YEAR(Z2066),"")</f>
        <v/>
      </c>
      <c r="Z2066" s="12" t="n"/>
      <c r="AA2066" s="12" t="n"/>
      <c r="AI2066" s="12" t="n"/>
      <c r="AJ2066" s="13">
        <f>IF(LEN(TRIM(AF2066))=0,"",HYPERLINK("https://www.google.com/maps/@?api=1&amp;map_action=pano&amp;viewpoint="&amp;SUBSTITUTE(AF2066," ",""),"Abrir Street View"))</f>
        <v/>
      </c>
    </row>
    <row r="2067">
      <c r="H2067" s="6" t="n"/>
      <c r="I2067" s="6" t="n"/>
      <c r="M2067" s="7" t="n"/>
      <c r="N2067" s="7" t="n"/>
      <c r="O2067" s="7" t="n"/>
      <c r="Q2067" s="7" t="n"/>
      <c r="R2067" s="7" t="n"/>
      <c r="S2067" s="8">
        <f>IF(NOT(ISNUMBER(M2067)),"",IF(G2067="Terreno",IF(AND(ISNUMBER(I2067),I2067&gt;0),M2067/I2067,""),IF(AND(ISNUMBER(H2067),H2067&gt;0),M2067/H2067,"")))</f>
        <v/>
      </c>
      <c r="T2067" s="9">
        <f>IF(AND(ISNUMBER(M2067),ISNUMBER(O2067)),IF(M2067&lt;=O2067,"Valor ≤ venal IPTU",""),"")</f>
        <v/>
      </c>
      <c r="U2067" s="10">
        <f>IF(AND(ISNUMBER(M2067),ISNUMBER(N2067)),IF(N2067&gt;0,M2067/N2067,""),"")</f>
        <v/>
      </c>
      <c r="V2067" s="10">
        <f>IF(AND(ISNUMBER(M2067),ISNUMBER(O2067)),IF(O2067&gt;0,M2067/O2067,""),"")</f>
        <v/>
      </c>
      <c r="W2067" s="10">
        <f>IF(AND(ISNUMBER(M2067),ISNUMBER(R2067)),IF(R2067&gt;0,M2067/R2067,""),"")</f>
        <v/>
      </c>
      <c r="X2067" s="10">
        <f>IF(AND(ISNUMBER(Q2067),ISNUMBER(M2067)),IF(M2067&gt;0,Q2067/M2067,""),"")</f>
        <v/>
      </c>
      <c r="Y2067" s="11">
        <f>IF(ISNUMBER(Z2067),YEAR(Z2067),"")</f>
        <v/>
      </c>
      <c r="Z2067" s="12" t="n"/>
      <c r="AA2067" s="12" t="n"/>
      <c r="AI2067" s="12" t="n"/>
      <c r="AJ2067" s="13">
        <f>IF(LEN(TRIM(AF2067))=0,"",HYPERLINK("https://www.google.com/maps/@?api=1&amp;map_action=pano&amp;viewpoint="&amp;SUBSTITUTE(AF2067," ",""),"Abrir Street View"))</f>
        <v/>
      </c>
    </row>
    <row r="2068">
      <c r="H2068" s="6" t="n"/>
      <c r="I2068" s="6" t="n"/>
      <c r="M2068" s="7" t="n"/>
      <c r="N2068" s="7" t="n"/>
      <c r="O2068" s="7" t="n"/>
      <c r="Q2068" s="7" t="n"/>
      <c r="R2068" s="7" t="n"/>
      <c r="S2068" s="8">
        <f>IF(NOT(ISNUMBER(M2068)),"",IF(G2068="Terreno",IF(AND(ISNUMBER(I2068),I2068&gt;0),M2068/I2068,""),IF(AND(ISNUMBER(H2068),H2068&gt;0),M2068/H2068,"")))</f>
        <v/>
      </c>
      <c r="T2068" s="9">
        <f>IF(AND(ISNUMBER(M2068),ISNUMBER(O2068)),IF(M2068&lt;=O2068,"Valor ≤ venal IPTU",""),"")</f>
        <v/>
      </c>
      <c r="U2068" s="10">
        <f>IF(AND(ISNUMBER(M2068),ISNUMBER(N2068)),IF(N2068&gt;0,M2068/N2068,""),"")</f>
        <v/>
      </c>
      <c r="V2068" s="10">
        <f>IF(AND(ISNUMBER(M2068),ISNUMBER(O2068)),IF(O2068&gt;0,M2068/O2068,""),"")</f>
        <v/>
      </c>
      <c r="W2068" s="10">
        <f>IF(AND(ISNUMBER(M2068),ISNUMBER(R2068)),IF(R2068&gt;0,M2068/R2068,""),"")</f>
        <v/>
      </c>
      <c r="X2068" s="10">
        <f>IF(AND(ISNUMBER(Q2068),ISNUMBER(M2068)),IF(M2068&gt;0,Q2068/M2068,""),"")</f>
        <v/>
      </c>
      <c r="Y2068" s="11">
        <f>IF(ISNUMBER(Z2068),YEAR(Z2068),"")</f>
        <v/>
      </c>
      <c r="Z2068" s="12" t="n"/>
      <c r="AA2068" s="12" t="n"/>
      <c r="AI2068" s="12" t="n"/>
      <c r="AJ2068" s="13">
        <f>IF(LEN(TRIM(AF2068))=0,"",HYPERLINK("https://www.google.com/maps/@?api=1&amp;map_action=pano&amp;viewpoint="&amp;SUBSTITUTE(AF2068," ",""),"Abrir Street View"))</f>
        <v/>
      </c>
    </row>
    <row r="2069">
      <c r="H2069" s="6" t="n"/>
      <c r="I2069" s="6" t="n"/>
      <c r="M2069" s="7" t="n"/>
      <c r="N2069" s="7" t="n"/>
      <c r="O2069" s="7" t="n"/>
      <c r="Q2069" s="7" t="n"/>
      <c r="R2069" s="7" t="n"/>
      <c r="S2069" s="8">
        <f>IF(NOT(ISNUMBER(M2069)),"",IF(G2069="Terreno",IF(AND(ISNUMBER(I2069),I2069&gt;0),M2069/I2069,""),IF(AND(ISNUMBER(H2069),H2069&gt;0),M2069/H2069,"")))</f>
        <v/>
      </c>
      <c r="T2069" s="9">
        <f>IF(AND(ISNUMBER(M2069),ISNUMBER(O2069)),IF(M2069&lt;=O2069,"Valor ≤ venal IPTU",""),"")</f>
        <v/>
      </c>
      <c r="U2069" s="10">
        <f>IF(AND(ISNUMBER(M2069),ISNUMBER(N2069)),IF(N2069&gt;0,M2069/N2069,""),"")</f>
        <v/>
      </c>
      <c r="V2069" s="10">
        <f>IF(AND(ISNUMBER(M2069),ISNUMBER(O2069)),IF(O2069&gt;0,M2069/O2069,""),"")</f>
        <v/>
      </c>
      <c r="W2069" s="10">
        <f>IF(AND(ISNUMBER(M2069),ISNUMBER(R2069)),IF(R2069&gt;0,M2069/R2069,""),"")</f>
        <v/>
      </c>
      <c r="X2069" s="10">
        <f>IF(AND(ISNUMBER(Q2069),ISNUMBER(M2069)),IF(M2069&gt;0,Q2069/M2069,""),"")</f>
        <v/>
      </c>
      <c r="Y2069" s="11">
        <f>IF(ISNUMBER(Z2069),YEAR(Z2069),"")</f>
        <v/>
      </c>
      <c r="Z2069" s="12" t="n"/>
      <c r="AA2069" s="12" t="n"/>
      <c r="AI2069" s="12" t="n"/>
      <c r="AJ2069" s="13">
        <f>IF(LEN(TRIM(AF2069))=0,"",HYPERLINK("https://www.google.com/maps/@?api=1&amp;map_action=pano&amp;viewpoint="&amp;SUBSTITUTE(AF2069," ",""),"Abrir Street View"))</f>
        <v/>
      </c>
    </row>
    <row r="2070">
      <c r="H2070" s="6" t="n"/>
      <c r="I2070" s="6" t="n"/>
      <c r="M2070" s="7" t="n"/>
      <c r="N2070" s="7" t="n"/>
      <c r="O2070" s="7" t="n"/>
      <c r="Q2070" s="7" t="n"/>
      <c r="R2070" s="7" t="n"/>
      <c r="S2070" s="8">
        <f>IF(NOT(ISNUMBER(M2070)),"",IF(G2070="Terreno",IF(AND(ISNUMBER(I2070),I2070&gt;0),M2070/I2070,""),IF(AND(ISNUMBER(H2070),H2070&gt;0),M2070/H2070,"")))</f>
        <v/>
      </c>
      <c r="T2070" s="9">
        <f>IF(AND(ISNUMBER(M2070),ISNUMBER(O2070)),IF(M2070&lt;=O2070,"Valor ≤ venal IPTU",""),"")</f>
        <v/>
      </c>
      <c r="U2070" s="10">
        <f>IF(AND(ISNUMBER(M2070),ISNUMBER(N2070)),IF(N2070&gt;0,M2070/N2070,""),"")</f>
        <v/>
      </c>
      <c r="V2070" s="10">
        <f>IF(AND(ISNUMBER(M2070),ISNUMBER(O2070)),IF(O2070&gt;0,M2070/O2070,""),"")</f>
        <v/>
      </c>
      <c r="W2070" s="10">
        <f>IF(AND(ISNUMBER(M2070),ISNUMBER(R2070)),IF(R2070&gt;0,M2070/R2070,""),"")</f>
        <v/>
      </c>
      <c r="X2070" s="10">
        <f>IF(AND(ISNUMBER(Q2070),ISNUMBER(M2070)),IF(M2070&gt;0,Q2070/M2070,""),"")</f>
        <v/>
      </c>
      <c r="Y2070" s="11">
        <f>IF(ISNUMBER(Z2070),YEAR(Z2070),"")</f>
        <v/>
      </c>
      <c r="Z2070" s="12" t="n"/>
      <c r="AA2070" s="12" t="n"/>
      <c r="AI2070" s="12" t="n"/>
      <c r="AJ2070" s="13">
        <f>IF(LEN(TRIM(AF2070))=0,"",HYPERLINK("https://www.google.com/maps/@?api=1&amp;map_action=pano&amp;viewpoint="&amp;SUBSTITUTE(AF2070," ",""),"Abrir Street View"))</f>
        <v/>
      </c>
    </row>
    <row r="2071">
      <c r="H2071" s="6" t="n"/>
      <c r="I2071" s="6" t="n"/>
      <c r="M2071" s="7" t="n"/>
      <c r="N2071" s="7" t="n"/>
      <c r="O2071" s="7" t="n"/>
      <c r="Q2071" s="7" t="n"/>
      <c r="R2071" s="7" t="n"/>
      <c r="S2071" s="8">
        <f>IF(NOT(ISNUMBER(M2071)),"",IF(G2071="Terreno",IF(AND(ISNUMBER(I2071),I2071&gt;0),M2071/I2071,""),IF(AND(ISNUMBER(H2071),H2071&gt;0),M2071/H2071,"")))</f>
        <v/>
      </c>
      <c r="T2071" s="9">
        <f>IF(AND(ISNUMBER(M2071),ISNUMBER(O2071)),IF(M2071&lt;=O2071,"Valor ≤ venal IPTU",""),"")</f>
        <v/>
      </c>
      <c r="U2071" s="10">
        <f>IF(AND(ISNUMBER(M2071),ISNUMBER(N2071)),IF(N2071&gt;0,M2071/N2071,""),"")</f>
        <v/>
      </c>
      <c r="V2071" s="10">
        <f>IF(AND(ISNUMBER(M2071),ISNUMBER(O2071)),IF(O2071&gt;0,M2071/O2071,""),"")</f>
        <v/>
      </c>
      <c r="W2071" s="10">
        <f>IF(AND(ISNUMBER(M2071),ISNUMBER(R2071)),IF(R2071&gt;0,M2071/R2071,""),"")</f>
        <v/>
      </c>
      <c r="X2071" s="10">
        <f>IF(AND(ISNUMBER(Q2071),ISNUMBER(M2071)),IF(M2071&gt;0,Q2071/M2071,""),"")</f>
        <v/>
      </c>
      <c r="Y2071" s="11">
        <f>IF(ISNUMBER(Z2071),YEAR(Z2071),"")</f>
        <v/>
      </c>
      <c r="Z2071" s="12" t="n"/>
      <c r="AA2071" s="12" t="n"/>
      <c r="AI2071" s="12" t="n"/>
      <c r="AJ2071" s="13">
        <f>IF(LEN(TRIM(AF2071))=0,"",HYPERLINK("https://www.google.com/maps/@?api=1&amp;map_action=pano&amp;viewpoint="&amp;SUBSTITUTE(AF2071," ",""),"Abrir Street View"))</f>
        <v/>
      </c>
    </row>
    <row r="2072">
      <c r="H2072" s="6" t="n"/>
      <c r="I2072" s="6" t="n"/>
      <c r="M2072" s="7" t="n"/>
      <c r="N2072" s="7" t="n"/>
      <c r="O2072" s="7" t="n"/>
      <c r="Q2072" s="7" t="n"/>
      <c r="R2072" s="7" t="n"/>
      <c r="S2072" s="8">
        <f>IF(NOT(ISNUMBER(M2072)),"",IF(G2072="Terreno",IF(AND(ISNUMBER(I2072),I2072&gt;0),M2072/I2072,""),IF(AND(ISNUMBER(H2072),H2072&gt;0),M2072/H2072,"")))</f>
        <v/>
      </c>
      <c r="T2072" s="9">
        <f>IF(AND(ISNUMBER(M2072),ISNUMBER(O2072)),IF(M2072&lt;=O2072,"Valor ≤ venal IPTU",""),"")</f>
        <v/>
      </c>
      <c r="U2072" s="10">
        <f>IF(AND(ISNUMBER(M2072),ISNUMBER(N2072)),IF(N2072&gt;0,M2072/N2072,""),"")</f>
        <v/>
      </c>
      <c r="V2072" s="10">
        <f>IF(AND(ISNUMBER(M2072),ISNUMBER(O2072)),IF(O2072&gt;0,M2072/O2072,""),"")</f>
        <v/>
      </c>
      <c r="W2072" s="10">
        <f>IF(AND(ISNUMBER(M2072),ISNUMBER(R2072)),IF(R2072&gt;0,M2072/R2072,""),"")</f>
        <v/>
      </c>
      <c r="X2072" s="10">
        <f>IF(AND(ISNUMBER(Q2072),ISNUMBER(M2072)),IF(M2072&gt;0,Q2072/M2072,""),"")</f>
        <v/>
      </c>
      <c r="Y2072" s="11">
        <f>IF(ISNUMBER(Z2072),YEAR(Z2072),"")</f>
        <v/>
      </c>
      <c r="Z2072" s="12" t="n"/>
      <c r="AA2072" s="12" t="n"/>
      <c r="AI2072" s="12" t="n"/>
      <c r="AJ2072" s="13">
        <f>IF(LEN(TRIM(AF2072))=0,"",HYPERLINK("https://www.google.com/maps/@?api=1&amp;map_action=pano&amp;viewpoint="&amp;SUBSTITUTE(AF2072," ",""),"Abrir Street View"))</f>
        <v/>
      </c>
    </row>
    <row r="2073">
      <c r="H2073" s="6" t="n"/>
      <c r="I2073" s="6" t="n"/>
      <c r="M2073" s="7" t="n"/>
      <c r="N2073" s="7" t="n"/>
      <c r="O2073" s="7" t="n"/>
      <c r="Q2073" s="7" t="n"/>
      <c r="R2073" s="7" t="n"/>
      <c r="S2073" s="8">
        <f>IF(NOT(ISNUMBER(M2073)),"",IF(G2073="Terreno",IF(AND(ISNUMBER(I2073),I2073&gt;0),M2073/I2073,""),IF(AND(ISNUMBER(H2073),H2073&gt;0),M2073/H2073,"")))</f>
        <v/>
      </c>
      <c r="T2073" s="9">
        <f>IF(AND(ISNUMBER(M2073),ISNUMBER(O2073)),IF(M2073&lt;=O2073,"Valor ≤ venal IPTU",""),"")</f>
        <v/>
      </c>
      <c r="U2073" s="10">
        <f>IF(AND(ISNUMBER(M2073),ISNUMBER(N2073)),IF(N2073&gt;0,M2073/N2073,""),"")</f>
        <v/>
      </c>
      <c r="V2073" s="10">
        <f>IF(AND(ISNUMBER(M2073),ISNUMBER(O2073)),IF(O2073&gt;0,M2073/O2073,""),"")</f>
        <v/>
      </c>
      <c r="W2073" s="10">
        <f>IF(AND(ISNUMBER(M2073),ISNUMBER(R2073)),IF(R2073&gt;0,M2073/R2073,""),"")</f>
        <v/>
      </c>
      <c r="X2073" s="10">
        <f>IF(AND(ISNUMBER(Q2073),ISNUMBER(M2073)),IF(M2073&gt;0,Q2073/M2073,""),"")</f>
        <v/>
      </c>
      <c r="Y2073" s="11">
        <f>IF(ISNUMBER(Z2073),YEAR(Z2073),"")</f>
        <v/>
      </c>
      <c r="Z2073" s="12" t="n"/>
      <c r="AA2073" s="12" t="n"/>
      <c r="AI2073" s="12" t="n"/>
      <c r="AJ2073" s="13">
        <f>IF(LEN(TRIM(AF2073))=0,"",HYPERLINK("https://www.google.com/maps/@?api=1&amp;map_action=pano&amp;viewpoint="&amp;SUBSTITUTE(AF2073," ",""),"Abrir Street View"))</f>
        <v/>
      </c>
    </row>
    <row r="2074">
      <c r="H2074" s="6" t="n"/>
      <c r="I2074" s="6" t="n"/>
      <c r="M2074" s="7" t="n"/>
      <c r="N2074" s="7" t="n"/>
      <c r="O2074" s="7" t="n"/>
      <c r="Q2074" s="7" t="n"/>
      <c r="R2074" s="7" t="n"/>
      <c r="S2074" s="8">
        <f>IF(NOT(ISNUMBER(M2074)),"",IF(G2074="Terreno",IF(AND(ISNUMBER(I2074),I2074&gt;0),M2074/I2074,""),IF(AND(ISNUMBER(H2074),H2074&gt;0),M2074/H2074,"")))</f>
        <v/>
      </c>
      <c r="T2074" s="9">
        <f>IF(AND(ISNUMBER(M2074),ISNUMBER(O2074)),IF(M2074&lt;=O2074,"Valor ≤ venal IPTU",""),"")</f>
        <v/>
      </c>
      <c r="U2074" s="10">
        <f>IF(AND(ISNUMBER(M2074),ISNUMBER(N2074)),IF(N2074&gt;0,M2074/N2074,""),"")</f>
        <v/>
      </c>
      <c r="V2074" s="10">
        <f>IF(AND(ISNUMBER(M2074),ISNUMBER(O2074)),IF(O2074&gt;0,M2074/O2074,""),"")</f>
        <v/>
      </c>
      <c r="W2074" s="10">
        <f>IF(AND(ISNUMBER(M2074),ISNUMBER(R2074)),IF(R2074&gt;0,M2074/R2074,""),"")</f>
        <v/>
      </c>
      <c r="X2074" s="10">
        <f>IF(AND(ISNUMBER(Q2074),ISNUMBER(M2074)),IF(M2074&gt;0,Q2074/M2074,""),"")</f>
        <v/>
      </c>
      <c r="Y2074" s="11">
        <f>IF(ISNUMBER(Z2074),YEAR(Z2074),"")</f>
        <v/>
      </c>
      <c r="Z2074" s="12" t="n"/>
      <c r="AA2074" s="12" t="n"/>
      <c r="AI2074" s="12" t="n"/>
      <c r="AJ2074" s="13">
        <f>IF(LEN(TRIM(AF2074))=0,"",HYPERLINK("https://www.google.com/maps/@?api=1&amp;map_action=pano&amp;viewpoint="&amp;SUBSTITUTE(AF2074," ",""),"Abrir Street View"))</f>
        <v/>
      </c>
    </row>
    <row r="2075">
      <c r="H2075" s="6" t="n"/>
      <c r="I2075" s="6" t="n"/>
      <c r="M2075" s="7" t="n"/>
      <c r="N2075" s="7" t="n"/>
      <c r="O2075" s="7" t="n"/>
      <c r="Q2075" s="7" t="n"/>
      <c r="R2075" s="7" t="n"/>
      <c r="S2075" s="8">
        <f>IF(NOT(ISNUMBER(M2075)),"",IF(G2075="Terreno",IF(AND(ISNUMBER(I2075),I2075&gt;0),M2075/I2075,""),IF(AND(ISNUMBER(H2075),H2075&gt;0),M2075/H2075,"")))</f>
        <v/>
      </c>
      <c r="T2075" s="9">
        <f>IF(AND(ISNUMBER(M2075),ISNUMBER(O2075)),IF(M2075&lt;=O2075,"Valor ≤ venal IPTU",""),"")</f>
        <v/>
      </c>
      <c r="U2075" s="10">
        <f>IF(AND(ISNUMBER(M2075),ISNUMBER(N2075)),IF(N2075&gt;0,M2075/N2075,""),"")</f>
        <v/>
      </c>
      <c r="V2075" s="10">
        <f>IF(AND(ISNUMBER(M2075),ISNUMBER(O2075)),IF(O2075&gt;0,M2075/O2075,""),"")</f>
        <v/>
      </c>
      <c r="W2075" s="10">
        <f>IF(AND(ISNUMBER(M2075),ISNUMBER(R2075)),IF(R2075&gt;0,M2075/R2075,""),"")</f>
        <v/>
      </c>
      <c r="X2075" s="10">
        <f>IF(AND(ISNUMBER(Q2075),ISNUMBER(M2075)),IF(M2075&gt;0,Q2075/M2075,""),"")</f>
        <v/>
      </c>
      <c r="Y2075" s="11">
        <f>IF(ISNUMBER(Z2075),YEAR(Z2075),"")</f>
        <v/>
      </c>
      <c r="Z2075" s="12" t="n"/>
      <c r="AA2075" s="12" t="n"/>
      <c r="AI2075" s="12" t="n"/>
      <c r="AJ2075" s="13">
        <f>IF(LEN(TRIM(AF2075))=0,"",HYPERLINK("https://www.google.com/maps/@?api=1&amp;map_action=pano&amp;viewpoint="&amp;SUBSTITUTE(AF2075," ",""),"Abrir Street View"))</f>
        <v/>
      </c>
    </row>
    <row r="2076">
      <c r="H2076" s="6" t="n"/>
      <c r="I2076" s="6" t="n"/>
      <c r="M2076" s="7" t="n"/>
      <c r="N2076" s="7" t="n"/>
      <c r="O2076" s="7" t="n"/>
      <c r="Q2076" s="7" t="n"/>
      <c r="R2076" s="7" t="n"/>
      <c r="S2076" s="8">
        <f>IF(NOT(ISNUMBER(M2076)),"",IF(G2076="Terreno",IF(AND(ISNUMBER(I2076),I2076&gt;0),M2076/I2076,""),IF(AND(ISNUMBER(H2076),H2076&gt;0),M2076/H2076,"")))</f>
        <v/>
      </c>
      <c r="T2076" s="9">
        <f>IF(AND(ISNUMBER(M2076),ISNUMBER(O2076)),IF(M2076&lt;=O2076,"Valor ≤ venal IPTU",""),"")</f>
        <v/>
      </c>
      <c r="U2076" s="10">
        <f>IF(AND(ISNUMBER(M2076),ISNUMBER(N2076)),IF(N2076&gt;0,M2076/N2076,""),"")</f>
        <v/>
      </c>
      <c r="V2076" s="10">
        <f>IF(AND(ISNUMBER(M2076),ISNUMBER(O2076)),IF(O2076&gt;0,M2076/O2076,""),"")</f>
        <v/>
      </c>
      <c r="W2076" s="10">
        <f>IF(AND(ISNUMBER(M2076),ISNUMBER(R2076)),IF(R2076&gt;0,M2076/R2076,""),"")</f>
        <v/>
      </c>
      <c r="X2076" s="10">
        <f>IF(AND(ISNUMBER(Q2076),ISNUMBER(M2076)),IF(M2076&gt;0,Q2076/M2076,""),"")</f>
        <v/>
      </c>
      <c r="Y2076" s="11">
        <f>IF(ISNUMBER(Z2076),YEAR(Z2076),"")</f>
        <v/>
      </c>
      <c r="Z2076" s="12" t="n"/>
      <c r="AA2076" s="12" t="n"/>
      <c r="AI2076" s="12" t="n"/>
      <c r="AJ2076" s="13">
        <f>IF(LEN(TRIM(AF2076))=0,"",HYPERLINK("https://www.google.com/maps/@?api=1&amp;map_action=pano&amp;viewpoint="&amp;SUBSTITUTE(AF2076," ",""),"Abrir Street View"))</f>
        <v/>
      </c>
    </row>
    <row r="2077">
      <c r="H2077" s="6" t="n"/>
      <c r="I2077" s="6" t="n"/>
      <c r="M2077" s="7" t="n"/>
      <c r="N2077" s="7" t="n"/>
      <c r="O2077" s="7" t="n"/>
      <c r="Q2077" s="7" t="n"/>
      <c r="R2077" s="7" t="n"/>
      <c r="S2077" s="8">
        <f>IF(NOT(ISNUMBER(M2077)),"",IF(G2077="Terreno",IF(AND(ISNUMBER(I2077),I2077&gt;0),M2077/I2077,""),IF(AND(ISNUMBER(H2077),H2077&gt;0),M2077/H2077,"")))</f>
        <v/>
      </c>
      <c r="T2077" s="9">
        <f>IF(AND(ISNUMBER(M2077),ISNUMBER(O2077)),IF(M2077&lt;=O2077,"Valor ≤ venal IPTU",""),"")</f>
        <v/>
      </c>
      <c r="U2077" s="10">
        <f>IF(AND(ISNUMBER(M2077),ISNUMBER(N2077)),IF(N2077&gt;0,M2077/N2077,""),"")</f>
        <v/>
      </c>
      <c r="V2077" s="10">
        <f>IF(AND(ISNUMBER(M2077),ISNUMBER(O2077)),IF(O2077&gt;0,M2077/O2077,""),"")</f>
        <v/>
      </c>
      <c r="W2077" s="10">
        <f>IF(AND(ISNUMBER(M2077),ISNUMBER(R2077)),IF(R2077&gt;0,M2077/R2077,""),"")</f>
        <v/>
      </c>
      <c r="X2077" s="10">
        <f>IF(AND(ISNUMBER(Q2077),ISNUMBER(M2077)),IF(M2077&gt;0,Q2077/M2077,""),"")</f>
        <v/>
      </c>
      <c r="Y2077" s="11">
        <f>IF(ISNUMBER(Z2077),YEAR(Z2077),"")</f>
        <v/>
      </c>
      <c r="Z2077" s="12" t="n"/>
      <c r="AA2077" s="12" t="n"/>
      <c r="AI2077" s="12" t="n"/>
      <c r="AJ2077" s="13">
        <f>IF(LEN(TRIM(AF2077))=0,"",HYPERLINK("https://www.google.com/maps/@?api=1&amp;map_action=pano&amp;viewpoint="&amp;SUBSTITUTE(AF2077," ",""),"Abrir Street View"))</f>
        <v/>
      </c>
    </row>
    <row r="2078">
      <c r="H2078" s="6" t="n"/>
      <c r="I2078" s="6" t="n"/>
      <c r="M2078" s="7" t="n"/>
      <c r="N2078" s="7" t="n"/>
      <c r="O2078" s="7" t="n"/>
      <c r="Q2078" s="7" t="n"/>
      <c r="R2078" s="7" t="n"/>
      <c r="S2078" s="8">
        <f>IF(NOT(ISNUMBER(M2078)),"",IF(G2078="Terreno",IF(AND(ISNUMBER(I2078),I2078&gt;0),M2078/I2078,""),IF(AND(ISNUMBER(H2078),H2078&gt;0),M2078/H2078,"")))</f>
        <v/>
      </c>
      <c r="T2078" s="9">
        <f>IF(AND(ISNUMBER(M2078),ISNUMBER(O2078)),IF(M2078&lt;=O2078,"Valor ≤ venal IPTU",""),"")</f>
        <v/>
      </c>
      <c r="U2078" s="10">
        <f>IF(AND(ISNUMBER(M2078),ISNUMBER(N2078)),IF(N2078&gt;0,M2078/N2078,""),"")</f>
        <v/>
      </c>
      <c r="V2078" s="10">
        <f>IF(AND(ISNUMBER(M2078),ISNUMBER(O2078)),IF(O2078&gt;0,M2078/O2078,""),"")</f>
        <v/>
      </c>
      <c r="W2078" s="10">
        <f>IF(AND(ISNUMBER(M2078),ISNUMBER(R2078)),IF(R2078&gt;0,M2078/R2078,""),"")</f>
        <v/>
      </c>
      <c r="X2078" s="10">
        <f>IF(AND(ISNUMBER(Q2078),ISNUMBER(M2078)),IF(M2078&gt;0,Q2078/M2078,""),"")</f>
        <v/>
      </c>
      <c r="Y2078" s="11">
        <f>IF(ISNUMBER(Z2078),YEAR(Z2078),"")</f>
        <v/>
      </c>
      <c r="Z2078" s="12" t="n"/>
      <c r="AA2078" s="12" t="n"/>
      <c r="AI2078" s="12" t="n"/>
      <c r="AJ2078" s="13">
        <f>IF(LEN(TRIM(AF2078))=0,"",HYPERLINK("https://www.google.com/maps/@?api=1&amp;map_action=pano&amp;viewpoint="&amp;SUBSTITUTE(AF2078," ",""),"Abrir Street View"))</f>
        <v/>
      </c>
    </row>
    <row r="2079">
      <c r="H2079" s="6" t="n"/>
      <c r="I2079" s="6" t="n"/>
      <c r="M2079" s="7" t="n"/>
      <c r="N2079" s="7" t="n"/>
      <c r="O2079" s="7" t="n"/>
      <c r="Q2079" s="7" t="n"/>
      <c r="R2079" s="7" t="n"/>
      <c r="S2079" s="8">
        <f>IF(NOT(ISNUMBER(M2079)),"",IF(G2079="Terreno",IF(AND(ISNUMBER(I2079),I2079&gt;0),M2079/I2079,""),IF(AND(ISNUMBER(H2079),H2079&gt;0),M2079/H2079,"")))</f>
        <v/>
      </c>
      <c r="T2079" s="9">
        <f>IF(AND(ISNUMBER(M2079),ISNUMBER(O2079)),IF(M2079&lt;=O2079,"Valor ≤ venal IPTU",""),"")</f>
        <v/>
      </c>
      <c r="U2079" s="10">
        <f>IF(AND(ISNUMBER(M2079),ISNUMBER(N2079)),IF(N2079&gt;0,M2079/N2079,""),"")</f>
        <v/>
      </c>
      <c r="V2079" s="10">
        <f>IF(AND(ISNUMBER(M2079),ISNUMBER(O2079)),IF(O2079&gt;0,M2079/O2079,""),"")</f>
        <v/>
      </c>
      <c r="W2079" s="10">
        <f>IF(AND(ISNUMBER(M2079),ISNUMBER(R2079)),IF(R2079&gt;0,M2079/R2079,""),"")</f>
        <v/>
      </c>
      <c r="X2079" s="10">
        <f>IF(AND(ISNUMBER(Q2079),ISNUMBER(M2079)),IF(M2079&gt;0,Q2079/M2079,""),"")</f>
        <v/>
      </c>
      <c r="Y2079" s="11">
        <f>IF(ISNUMBER(Z2079),YEAR(Z2079),"")</f>
        <v/>
      </c>
      <c r="Z2079" s="12" t="n"/>
      <c r="AA2079" s="12" t="n"/>
      <c r="AI2079" s="12" t="n"/>
      <c r="AJ2079" s="13">
        <f>IF(LEN(TRIM(AF2079))=0,"",HYPERLINK("https://www.google.com/maps/@?api=1&amp;map_action=pano&amp;viewpoint="&amp;SUBSTITUTE(AF2079," ",""),"Abrir Street View"))</f>
        <v/>
      </c>
    </row>
    <row r="2080">
      <c r="H2080" s="6" t="n"/>
      <c r="I2080" s="6" t="n"/>
      <c r="M2080" s="7" t="n"/>
      <c r="N2080" s="7" t="n"/>
      <c r="O2080" s="7" t="n"/>
      <c r="Q2080" s="7" t="n"/>
      <c r="R2080" s="7" t="n"/>
      <c r="S2080" s="8">
        <f>IF(NOT(ISNUMBER(M2080)),"",IF(G2080="Terreno",IF(AND(ISNUMBER(I2080),I2080&gt;0),M2080/I2080,""),IF(AND(ISNUMBER(H2080),H2080&gt;0),M2080/H2080,"")))</f>
        <v/>
      </c>
      <c r="T2080" s="9">
        <f>IF(AND(ISNUMBER(M2080),ISNUMBER(O2080)),IF(M2080&lt;=O2080,"Valor ≤ venal IPTU",""),"")</f>
        <v/>
      </c>
      <c r="U2080" s="10">
        <f>IF(AND(ISNUMBER(M2080),ISNUMBER(N2080)),IF(N2080&gt;0,M2080/N2080,""),"")</f>
        <v/>
      </c>
      <c r="V2080" s="10">
        <f>IF(AND(ISNUMBER(M2080),ISNUMBER(O2080)),IF(O2080&gt;0,M2080/O2080,""),"")</f>
        <v/>
      </c>
      <c r="W2080" s="10">
        <f>IF(AND(ISNUMBER(M2080),ISNUMBER(R2080)),IF(R2080&gt;0,M2080/R2080,""),"")</f>
        <v/>
      </c>
      <c r="X2080" s="10">
        <f>IF(AND(ISNUMBER(Q2080),ISNUMBER(M2080)),IF(M2080&gt;0,Q2080/M2080,""),"")</f>
        <v/>
      </c>
      <c r="Y2080" s="11">
        <f>IF(ISNUMBER(Z2080),YEAR(Z2080),"")</f>
        <v/>
      </c>
      <c r="Z2080" s="12" t="n"/>
      <c r="AA2080" s="12" t="n"/>
      <c r="AI2080" s="12" t="n"/>
      <c r="AJ2080" s="13">
        <f>IF(LEN(TRIM(AF2080))=0,"",HYPERLINK("https://www.google.com/maps/@?api=1&amp;map_action=pano&amp;viewpoint="&amp;SUBSTITUTE(AF2080," ",""),"Abrir Street View"))</f>
        <v/>
      </c>
    </row>
    <row r="2081">
      <c r="H2081" s="6" t="n"/>
      <c r="I2081" s="6" t="n"/>
      <c r="M2081" s="7" t="n"/>
      <c r="N2081" s="7" t="n"/>
      <c r="O2081" s="7" t="n"/>
      <c r="Q2081" s="7" t="n"/>
      <c r="R2081" s="7" t="n"/>
      <c r="S2081" s="8">
        <f>IF(NOT(ISNUMBER(M2081)),"",IF(G2081="Terreno",IF(AND(ISNUMBER(I2081),I2081&gt;0),M2081/I2081,""),IF(AND(ISNUMBER(H2081),H2081&gt;0),M2081/H2081,"")))</f>
        <v/>
      </c>
      <c r="T2081" s="9">
        <f>IF(AND(ISNUMBER(M2081),ISNUMBER(O2081)),IF(M2081&lt;=O2081,"Valor ≤ venal IPTU",""),"")</f>
        <v/>
      </c>
      <c r="U2081" s="10">
        <f>IF(AND(ISNUMBER(M2081),ISNUMBER(N2081)),IF(N2081&gt;0,M2081/N2081,""),"")</f>
        <v/>
      </c>
      <c r="V2081" s="10">
        <f>IF(AND(ISNUMBER(M2081),ISNUMBER(O2081)),IF(O2081&gt;0,M2081/O2081,""),"")</f>
        <v/>
      </c>
      <c r="W2081" s="10">
        <f>IF(AND(ISNUMBER(M2081),ISNUMBER(R2081)),IF(R2081&gt;0,M2081/R2081,""),"")</f>
        <v/>
      </c>
      <c r="X2081" s="10">
        <f>IF(AND(ISNUMBER(Q2081),ISNUMBER(M2081)),IF(M2081&gt;0,Q2081/M2081,""),"")</f>
        <v/>
      </c>
      <c r="Y2081" s="11">
        <f>IF(ISNUMBER(Z2081),YEAR(Z2081),"")</f>
        <v/>
      </c>
      <c r="Z2081" s="12" t="n"/>
      <c r="AA2081" s="12" t="n"/>
      <c r="AI2081" s="12" t="n"/>
      <c r="AJ2081" s="13">
        <f>IF(LEN(TRIM(AF2081))=0,"",HYPERLINK("https://www.google.com/maps/@?api=1&amp;map_action=pano&amp;viewpoint="&amp;SUBSTITUTE(AF2081," ",""),"Abrir Street View"))</f>
        <v/>
      </c>
    </row>
    <row r="2082">
      <c r="H2082" s="6" t="n"/>
      <c r="I2082" s="6" t="n"/>
      <c r="M2082" s="7" t="n"/>
      <c r="N2082" s="7" t="n"/>
      <c r="O2082" s="7" t="n"/>
      <c r="Q2082" s="7" t="n"/>
      <c r="R2082" s="7" t="n"/>
      <c r="S2082" s="8">
        <f>IF(NOT(ISNUMBER(M2082)),"",IF(G2082="Terreno",IF(AND(ISNUMBER(I2082),I2082&gt;0),M2082/I2082,""),IF(AND(ISNUMBER(H2082),H2082&gt;0),M2082/H2082,"")))</f>
        <v/>
      </c>
      <c r="T2082" s="9">
        <f>IF(AND(ISNUMBER(M2082),ISNUMBER(O2082)),IF(M2082&lt;=O2082,"Valor ≤ venal IPTU",""),"")</f>
        <v/>
      </c>
      <c r="U2082" s="10">
        <f>IF(AND(ISNUMBER(M2082),ISNUMBER(N2082)),IF(N2082&gt;0,M2082/N2082,""),"")</f>
        <v/>
      </c>
      <c r="V2082" s="10">
        <f>IF(AND(ISNUMBER(M2082),ISNUMBER(O2082)),IF(O2082&gt;0,M2082/O2082,""),"")</f>
        <v/>
      </c>
      <c r="W2082" s="10">
        <f>IF(AND(ISNUMBER(M2082),ISNUMBER(R2082)),IF(R2082&gt;0,M2082/R2082,""),"")</f>
        <v/>
      </c>
      <c r="X2082" s="10">
        <f>IF(AND(ISNUMBER(Q2082),ISNUMBER(M2082)),IF(M2082&gt;0,Q2082/M2082,""),"")</f>
        <v/>
      </c>
      <c r="Y2082" s="11">
        <f>IF(ISNUMBER(Z2082),YEAR(Z2082),"")</f>
        <v/>
      </c>
      <c r="Z2082" s="12" t="n"/>
      <c r="AA2082" s="12" t="n"/>
      <c r="AI2082" s="12" t="n"/>
      <c r="AJ2082" s="13">
        <f>IF(LEN(TRIM(AF2082))=0,"",HYPERLINK("https://www.google.com/maps/@?api=1&amp;map_action=pano&amp;viewpoint="&amp;SUBSTITUTE(AF2082," ",""),"Abrir Street View"))</f>
        <v/>
      </c>
    </row>
    <row r="2083">
      <c r="H2083" s="6" t="n"/>
      <c r="I2083" s="6" t="n"/>
      <c r="M2083" s="7" t="n"/>
      <c r="N2083" s="7" t="n"/>
      <c r="O2083" s="7" t="n"/>
      <c r="Q2083" s="7" t="n"/>
      <c r="R2083" s="7" t="n"/>
      <c r="S2083" s="8">
        <f>IF(NOT(ISNUMBER(M2083)),"",IF(G2083="Terreno",IF(AND(ISNUMBER(I2083),I2083&gt;0),M2083/I2083,""),IF(AND(ISNUMBER(H2083),H2083&gt;0),M2083/H2083,"")))</f>
        <v/>
      </c>
      <c r="T2083" s="9">
        <f>IF(AND(ISNUMBER(M2083),ISNUMBER(O2083)),IF(M2083&lt;=O2083,"Valor ≤ venal IPTU",""),"")</f>
        <v/>
      </c>
      <c r="U2083" s="10">
        <f>IF(AND(ISNUMBER(M2083),ISNUMBER(N2083)),IF(N2083&gt;0,M2083/N2083,""),"")</f>
        <v/>
      </c>
      <c r="V2083" s="10">
        <f>IF(AND(ISNUMBER(M2083),ISNUMBER(O2083)),IF(O2083&gt;0,M2083/O2083,""),"")</f>
        <v/>
      </c>
      <c r="W2083" s="10">
        <f>IF(AND(ISNUMBER(M2083),ISNUMBER(R2083)),IF(R2083&gt;0,M2083/R2083,""),"")</f>
        <v/>
      </c>
      <c r="X2083" s="10">
        <f>IF(AND(ISNUMBER(Q2083),ISNUMBER(M2083)),IF(M2083&gt;0,Q2083/M2083,""),"")</f>
        <v/>
      </c>
      <c r="Y2083" s="11">
        <f>IF(ISNUMBER(Z2083),YEAR(Z2083),"")</f>
        <v/>
      </c>
      <c r="Z2083" s="12" t="n"/>
      <c r="AA2083" s="12" t="n"/>
      <c r="AI2083" s="12" t="n"/>
      <c r="AJ2083" s="13">
        <f>IF(LEN(TRIM(AF2083))=0,"",HYPERLINK("https://www.google.com/maps/@?api=1&amp;map_action=pano&amp;viewpoint="&amp;SUBSTITUTE(AF2083," ",""),"Abrir Street View"))</f>
        <v/>
      </c>
    </row>
    <row r="2084">
      <c r="H2084" s="6" t="n"/>
      <c r="I2084" s="6" t="n"/>
      <c r="M2084" s="7" t="n"/>
      <c r="N2084" s="7" t="n"/>
      <c r="O2084" s="7" t="n"/>
      <c r="Q2084" s="7" t="n"/>
      <c r="R2084" s="7" t="n"/>
      <c r="S2084" s="8">
        <f>IF(NOT(ISNUMBER(M2084)),"",IF(G2084="Terreno",IF(AND(ISNUMBER(I2084),I2084&gt;0),M2084/I2084,""),IF(AND(ISNUMBER(H2084),H2084&gt;0),M2084/H2084,"")))</f>
        <v/>
      </c>
      <c r="T2084" s="9">
        <f>IF(AND(ISNUMBER(M2084),ISNUMBER(O2084)),IF(M2084&lt;=O2084,"Valor ≤ venal IPTU",""),"")</f>
        <v/>
      </c>
      <c r="U2084" s="10">
        <f>IF(AND(ISNUMBER(M2084),ISNUMBER(N2084)),IF(N2084&gt;0,M2084/N2084,""),"")</f>
        <v/>
      </c>
      <c r="V2084" s="10">
        <f>IF(AND(ISNUMBER(M2084),ISNUMBER(O2084)),IF(O2084&gt;0,M2084/O2084,""),"")</f>
        <v/>
      </c>
      <c r="W2084" s="10">
        <f>IF(AND(ISNUMBER(M2084),ISNUMBER(R2084)),IF(R2084&gt;0,M2084/R2084,""),"")</f>
        <v/>
      </c>
      <c r="X2084" s="10">
        <f>IF(AND(ISNUMBER(Q2084),ISNUMBER(M2084)),IF(M2084&gt;0,Q2084/M2084,""),"")</f>
        <v/>
      </c>
      <c r="Y2084" s="11">
        <f>IF(ISNUMBER(Z2084),YEAR(Z2084),"")</f>
        <v/>
      </c>
      <c r="Z2084" s="12" t="n"/>
      <c r="AA2084" s="12" t="n"/>
      <c r="AI2084" s="12" t="n"/>
      <c r="AJ2084" s="13">
        <f>IF(LEN(TRIM(AF2084))=0,"",HYPERLINK("https://www.google.com/maps/@?api=1&amp;map_action=pano&amp;viewpoint="&amp;SUBSTITUTE(AF2084," ",""),"Abrir Street View"))</f>
        <v/>
      </c>
    </row>
    <row r="2085">
      <c r="H2085" s="6" t="n"/>
      <c r="I2085" s="6" t="n"/>
      <c r="M2085" s="7" t="n"/>
      <c r="N2085" s="7" t="n"/>
      <c r="O2085" s="7" t="n"/>
      <c r="Q2085" s="7" t="n"/>
      <c r="R2085" s="7" t="n"/>
      <c r="S2085" s="8">
        <f>IF(NOT(ISNUMBER(M2085)),"",IF(G2085="Terreno",IF(AND(ISNUMBER(I2085),I2085&gt;0),M2085/I2085,""),IF(AND(ISNUMBER(H2085),H2085&gt;0),M2085/H2085,"")))</f>
        <v/>
      </c>
      <c r="T2085" s="9">
        <f>IF(AND(ISNUMBER(M2085),ISNUMBER(O2085)),IF(M2085&lt;=O2085,"Valor ≤ venal IPTU",""),"")</f>
        <v/>
      </c>
      <c r="U2085" s="10">
        <f>IF(AND(ISNUMBER(M2085),ISNUMBER(N2085)),IF(N2085&gt;0,M2085/N2085,""),"")</f>
        <v/>
      </c>
      <c r="V2085" s="10">
        <f>IF(AND(ISNUMBER(M2085),ISNUMBER(O2085)),IF(O2085&gt;0,M2085/O2085,""),"")</f>
        <v/>
      </c>
      <c r="W2085" s="10">
        <f>IF(AND(ISNUMBER(M2085),ISNUMBER(R2085)),IF(R2085&gt;0,M2085/R2085,""),"")</f>
        <v/>
      </c>
      <c r="X2085" s="10">
        <f>IF(AND(ISNUMBER(Q2085),ISNUMBER(M2085)),IF(M2085&gt;0,Q2085/M2085,""),"")</f>
        <v/>
      </c>
      <c r="Y2085" s="11">
        <f>IF(ISNUMBER(Z2085),YEAR(Z2085),"")</f>
        <v/>
      </c>
      <c r="Z2085" s="12" t="n"/>
      <c r="AA2085" s="12" t="n"/>
      <c r="AI2085" s="12" t="n"/>
      <c r="AJ2085" s="13">
        <f>IF(LEN(TRIM(AF2085))=0,"",HYPERLINK("https://www.google.com/maps/@?api=1&amp;map_action=pano&amp;viewpoint="&amp;SUBSTITUTE(AF2085," ",""),"Abrir Street View"))</f>
        <v/>
      </c>
    </row>
    <row r="2086">
      <c r="H2086" s="6" t="n"/>
      <c r="I2086" s="6" t="n"/>
      <c r="M2086" s="7" t="n"/>
      <c r="N2086" s="7" t="n"/>
      <c r="O2086" s="7" t="n"/>
      <c r="Q2086" s="7" t="n"/>
      <c r="R2086" s="7" t="n"/>
      <c r="S2086" s="8">
        <f>IF(NOT(ISNUMBER(M2086)),"",IF(G2086="Terreno",IF(AND(ISNUMBER(I2086),I2086&gt;0),M2086/I2086,""),IF(AND(ISNUMBER(H2086),H2086&gt;0),M2086/H2086,"")))</f>
        <v/>
      </c>
      <c r="T2086" s="9">
        <f>IF(AND(ISNUMBER(M2086),ISNUMBER(O2086)),IF(M2086&lt;=O2086,"Valor ≤ venal IPTU",""),"")</f>
        <v/>
      </c>
      <c r="U2086" s="10">
        <f>IF(AND(ISNUMBER(M2086),ISNUMBER(N2086)),IF(N2086&gt;0,M2086/N2086,""),"")</f>
        <v/>
      </c>
      <c r="V2086" s="10">
        <f>IF(AND(ISNUMBER(M2086),ISNUMBER(O2086)),IF(O2086&gt;0,M2086/O2086,""),"")</f>
        <v/>
      </c>
      <c r="W2086" s="10">
        <f>IF(AND(ISNUMBER(M2086),ISNUMBER(R2086)),IF(R2086&gt;0,M2086/R2086,""),"")</f>
        <v/>
      </c>
      <c r="X2086" s="10">
        <f>IF(AND(ISNUMBER(Q2086),ISNUMBER(M2086)),IF(M2086&gt;0,Q2086/M2086,""),"")</f>
        <v/>
      </c>
      <c r="Y2086" s="11">
        <f>IF(ISNUMBER(Z2086),YEAR(Z2086),"")</f>
        <v/>
      </c>
      <c r="Z2086" s="12" t="n"/>
      <c r="AA2086" s="12" t="n"/>
      <c r="AI2086" s="12" t="n"/>
      <c r="AJ2086" s="13">
        <f>IF(LEN(TRIM(AF2086))=0,"",HYPERLINK("https://www.google.com/maps/@?api=1&amp;map_action=pano&amp;viewpoint="&amp;SUBSTITUTE(AF2086," ",""),"Abrir Street View"))</f>
        <v/>
      </c>
    </row>
    <row r="2087">
      <c r="H2087" s="6" t="n"/>
      <c r="I2087" s="6" t="n"/>
      <c r="M2087" s="7" t="n"/>
      <c r="N2087" s="7" t="n"/>
      <c r="O2087" s="7" t="n"/>
      <c r="Q2087" s="7" t="n"/>
      <c r="R2087" s="7" t="n"/>
      <c r="S2087" s="8">
        <f>IF(NOT(ISNUMBER(M2087)),"",IF(G2087="Terreno",IF(AND(ISNUMBER(I2087),I2087&gt;0),M2087/I2087,""),IF(AND(ISNUMBER(H2087),H2087&gt;0),M2087/H2087,"")))</f>
        <v/>
      </c>
      <c r="T2087" s="9">
        <f>IF(AND(ISNUMBER(M2087),ISNUMBER(O2087)),IF(M2087&lt;=O2087,"Valor ≤ venal IPTU",""),"")</f>
        <v/>
      </c>
      <c r="U2087" s="10">
        <f>IF(AND(ISNUMBER(M2087),ISNUMBER(N2087)),IF(N2087&gt;0,M2087/N2087,""),"")</f>
        <v/>
      </c>
      <c r="V2087" s="10">
        <f>IF(AND(ISNUMBER(M2087),ISNUMBER(O2087)),IF(O2087&gt;0,M2087/O2087,""),"")</f>
        <v/>
      </c>
      <c r="W2087" s="10">
        <f>IF(AND(ISNUMBER(M2087),ISNUMBER(R2087)),IF(R2087&gt;0,M2087/R2087,""),"")</f>
        <v/>
      </c>
      <c r="X2087" s="10">
        <f>IF(AND(ISNUMBER(Q2087),ISNUMBER(M2087)),IF(M2087&gt;0,Q2087/M2087,""),"")</f>
        <v/>
      </c>
      <c r="Y2087" s="11">
        <f>IF(ISNUMBER(Z2087),YEAR(Z2087),"")</f>
        <v/>
      </c>
      <c r="Z2087" s="12" t="n"/>
      <c r="AA2087" s="12" t="n"/>
      <c r="AI2087" s="12" t="n"/>
      <c r="AJ2087" s="13">
        <f>IF(LEN(TRIM(AF2087))=0,"",HYPERLINK("https://www.google.com/maps/@?api=1&amp;map_action=pano&amp;viewpoint="&amp;SUBSTITUTE(AF2087," ",""),"Abrir Street View"))</f>
        <v/>
      </c>
    </row>
    <row r="2088">
      <c r="H2088" s="6" t="n"/>
      <c r="I2088" s="6" t="n"/>
      <c r="M2088" s="7" t="n"/>
      <c r="N2088" s="7" t="n"/>
      <c r="O2088" s="7" t="n"/>
      <c r="Q2088" s="7" t="n"/>
      <c r="R2088" s="7" t="n"/>
      <c r="S2088" s="8">
        <f>IF(NOT(ISNUMBER(M2088)),"",IF(G2088="Terreno",IF(AND(ISNUMBER(I2088),I2088&gt;0),M2088/I2088,""),IF(AND(ISNUMBER(H2088),H2088&gt;0),M2088/H2088,"")))</f>
        <v/>
      </c>
      <c r="T2088" s="9">
        <f>IF(AND(ISNUMBER(M2088),ISNUMBER(O2088)),IF(M2088&lt;=O2088,"Valor ≤ venal IPTU",""),"")</f>
        <v/>
      </c>
      <c r="U2088" s="10">
        <f>IF(AND(ISNUMBER(M2088),ISNUMBER(N2088)),IF(N2088&gt;0,M2088/N2088,""),"")</f>
        <v/>
      </c>
      <c r="V2088" s="10">
        <f>IF(AND(ISNUMBER(M2088),ISNUMBER(O2088)),IF(O2088&gt;0,M2088/O2088,""),"")</f>
        <v/>
      </c>
      <c r="W2088" s="10">
        <f>IF(AND(ISNUMBER(M2088),ISNUMBER(R2088)),IF(R2088&gt;0,M2088/R2088,""),"")</f>
        <v/>
      </c>
      <c r="X2088" s="10">
        <f>IF(AND(ISNUMBER(Q2088),ISNUMBER(M2088)),IF(M2088&gt;0,Q2088/M2088,""),"")</f>
        <v/>
      </c>
      <c r="Y2088" s="11">
        <f>IF(ISNUMBER(Z2088),YEAR(Z2088),"")</f>
        <v/>
      </c>
      <c r="Z2088" s="12" t="n"/>
      <c r="AA2088" s="12" t="n"/>
      <c r="AI2088" s="12" t="n"/>
      <c r="AJ2088" s="13">
        <f>IF(LEN(TRIM(AF2088))=0,"",HYPERLINK("https://www.google.com/maps/@?api=1&amp;map_action=pano&amp;viewpoint="&amp;SUBSTITUTE(AF2088," ",""),"Abrir Street View"))</f>
        <v/>
      </c>
    </row>
    <row r="2089">
      <c r="H2089" s="6" t="n"/>
      <c r="I2089" s="6" t="n"/>
      <c r="M2089" s="7" t="n"/>
      <c r="N2089" s="7" t="n"/>
      <c r="O2089" s="7" t="n"/>
      <c r="Q2089" s="7" t="n"/>
      <c r="R2089" s="7" t="n"/>
      <c r="S2089" s="8">
        <f>IF(NOT(ISNUMBER(M2089)),"",IF(G2089="Terreno",IF(AND(ISNUMBER(I2089),I2089&gt;0),M2089/I2089,""),IF(AND(ISNUMBER(H2089),H2089&gt;0),M2089/H2089,"")))</f>
        <v/>
      </c>
      <c r="T2089" s="9">
        <f>IF(AND(ISNUMBER(M2089),ISNUMBER(O2089)),IF(M2089&lt;=O2089,"Valor ≤ venal IPTU",""),"")</f>
        <v/>
      </c>
      <c r="U2089" s="10">
        <f>IF(AND(ISNUMBER(M2089),ISNUMBER(N2089)),IF(N2089&gt;0,M2089/N2089,""),"")</f>
        <v/>
      </c>
      <c r="V2089" s="10">
        <f>IF(AND(ISNUMBER(M2089),ISNUMBER(O2089)),IF(O2089&gt;0,M2089/O2089,""),"")</f>
        <v/>
      </c>
      <c r="W2089" s="10">
        <f>IF(AND(ISNUMBER(M2089),ISNUMBER(R2089)),IF(R2089&gt;0,M2089/R2089,""),"")</f>
        <v/>
      </c>
      <c r="X2089" s="10">
        <f>IF(AND(ISNUMBER(Q2089),ISNUMBER(M2089)),IF(M2089&gt;0,Q2089/M2089,""),"")</f>
        <v/>
      </c>
      <c r="Y2089" s="11">
        <f>IF(ISNUMBER(Z2089),YEAR(Z2089),"")</f>
        <v/>
      </c>
      <c r="Z2089" s="12" t="n"/>
      <c r="AA2089" s="12" t="n"/>
      <c r="AI2089" s="12" t="n"/>
      <c r="AJ2089" s="13">
        <f>IF(LEN(TRIM(AF2089))=0,"",HYPERLINK("https://www.google.com/maps/@?api=1&amp;map_action=pano&amp;viewpoint="&amp;SUBSTITUTE(AF2089," ",""),"Abrir Street View"))</f>
        <v/>
      </c>
    </row>
    <row r="2090">
      <c r="H2090" s="6" t="n"/>
      <c r="I2090" s="6" t="n"/>
      <c r="M2090" s="7" t="n"/>
      <c r="N2090" s="7" t="n"/>
      <c r="O2090" s="7" t="n"/>
      <c r="Q2090" s="7" t="n"/>
      <c r="R2090" s="7" t="n"/>
      <c r="S2090" s="8">
        <f>IF(NOT(ISNUMBER(M2090)),"",IF(G2090="Terreno",IF(AND(ISNUMBER(I2090),I2090&gt;0),M2090/I2090,""),IF(AND(ISNUMBER(H2090),H2090&gt;0),M2090/H2090,"")))</f>
        <v/>
      </c>
      <c r="T2090" s="9">
        <f>IF(AND(ISNUMBER(M2090),ISNUMBER(O2090)),IF(M2090&lt;=O2090,"Valor ≤ venal IPTU",""),"")</f>
        <v/>
      </c>
      <c r="U2090" s="10">
        <f>IF(AND(ISNUMBER(M2090),ISNUMBER(N2090)),IF(N2090&gt;0,M2090/N2090,""),"")</f>
        <v/>
      </c>
      <c r="V2090" s="10">
        <f>IF(AND(ISNUMBER(M2090),ISNUMBER(O2090)),IF(O2090&gt;0,M2090/O2090,""),"")</f>
        <v/>
      </c>
      <c r="W2090" s="10">
        <f>IF(AND(ISNUMBER(M2090),ISNUMBER(R2090)),IF(R2090&gt;0,M2090/R2090,""),"")</f>
        <v/>
      </c>
      <c r="X2090" s="10">
        <f>IF(AND(ISNUMBER(Q2090),ISNUMBER(M2090)),IF(M2090&gt;0,Q2090/M2090,""),"")</f>
        <v/>
      </c>
      <c r="Y2090" s="11">
        <f>IF(ISNUMBER(Z2090),YEAR(Z2090),"")</f>
        <v/>
      </c>
      <c r="Z2090" s="12" t="n"/>
      <c r="AA2090" s="12" t="n"/>
      <c r="AI2090" s="12" t="n"/>
      <c r="AJ2090" s="13">
        <f>IF(LEN(TRIM(AF2090))=0,"",HYPERLINK("https://www.google.com/maps/@?api=1&amp;map_action=pano&amp;viewpoint="&amp;SUBSTITUTE(AF2090," ",""),"Abrir Street View"))</f>
        <v/>
      </c>
    </row>
    <row r="2091">
      <c r="H2091" s="6" t="n"/>
      <c r="I2091" s="6" t="n"/>
      <c r="M2091" s="7" t="n"/>
      <c r="N2091" s="7" t="n"/>
      <c r="O2091" s="7" t="n"/>
      <c r="Q2091" s="7" t="n"/>
      <c r="R2091" s="7" t="n"/>
      <c r="S2091" s="8">
        <f>IF(NOT(ISNUMBER(M2091)),"",IF(G2091="Terreno",IF(AND(ISNUMBER(I2091),I2091&gt;0),M2091/I2091,""),IF(AND(ISNUMBER(H2091),H2091&gt;0),M2091/H2091,"")))</f>
        <v/>
      </c>
      <c r="T2091" s="9">
        <f>IF(AND(ISNUMBER(M2091),ISNUMBER(O2091)),IF(M2091&lt;=O2091,"Valor ≤ venal IPTU",""),"")</f>
        <v/>
      </c>
      <c r="U2091" s="10">
        <f>IF(AND(ISNUMBER(M2091),ISNUMBER(N2091)),IF(N2091&gt;0,M2091/N2091,""),"")</f>
        <v/>
      </c>
      <c r="V2091" s="10">
        <f>IF(AND(ISNUMBER(M2091),ISNUMBER(O2091)),IF(O2091&gt;0,M2091/O2091,""),"")</f>
        <v/>
      </c>
      <c r="W2091" s="10">
        <f>IF(AND(ISNUMBER(M2091),ISNUMBER(R2091)),IF(R2091&gt;0,M2091/R2091,""),"")</f>
        <v/>
      </c>
      <c r="X2091" s="10">
        <f>IF(AND(ISNUMBER(Q2091),ISNUMBER(M2091)),IF(M2091&gt;0,Q2091/M2091,""),"")</f>
        <v/>
      </c>
      <c r="Y2091" s="11">
        <f>IF(ISNUMBER(Z2091),YEAR(Z2091),"")</f>
        <v/>
      </c>
      <c r="Z2091" s="12" t="n"/>
      <c r="AA2091" s="12" t="n"/>
      <c r="AI2091" s="12" t="n"/>
      <c r="AJ2091" s="13">
        <f>IF(LEN(TRIM(AF2091))=0,"",HYPERLINK("https://www.google.com/maps/@?api=1&amp;map_action=pano&amp;viewpoint="&amp;SUBSTITUTE(AF2091," ",""),"Abrir Street View"))</f>
        <v/>
      </c>
    </row>
    <row r="2092">
      <c r="H2092" s="6" t="n"/>
      <c r="I2092" s="6" t="n"/>
      <c r="M2092" s="7" t="n"/>
      <c r="N2092" s="7" t="n"/>
      <c r="O2092" s="7" t="n"/>
      <c r="Q2092" s="7" t="n"/>
      <c r="R2092" s="7" t="n"/>
      <c r="S2092" s="8">
        <f>IF(NOT(ISNUMBER(M2092)),"",IF(G2092="Terreno",IF(AND(ISNUMBER(I2092),I2092&gt;0),M2092/I2092,""),IF(AND(ISNUMBER(H2092),H2092&gt;0),M2092/H2092,"")))</f>
        <v/>
      </c>
      <c r="T2092" s="9">
        <f>IF(AND(ISNUMBER(M2092),ISNUMBER(O2092)),IF(M2092&lt;=O2092,"Valor ≤ venal IPTU",""),"")</f>
        <v/>
      </c>
      <c r="U2092" s="10">
        <f>IF(AND(ISNUMBER(M2092),ISNUMBER(N2092)),IF(N2092&gt;0,M2092/N2092,""),"")</f>
        <v/>
      </c>
      <c r="V2092" s="10">
        <f>IF(AND(ISNUMBER(M2092),ISNUMBER(O2092)),IF(O2092&gt;0,M2092/O2092,""),"")</f>
        <v/>
      </c>
      <c r="W2092" s="10">
        <f>IF(AND(ISNUMBER(M2092),ISNUMBER(R2092)),IF(R2092&gt;0,M2092/R2092,""),"")</f>
        <v/>
      </c>
      <c r="X2092" s="10">
        <f>IF(AND(ISNUMBER(Q2092),ISNUMBER(M2092)),IF(M2092&gt;0,Q2092/M2092,""),"")</f>
        <v/>
      </c>
      <c r="Y2092" s="11">
        <f>IF(ISNUMBER(Z2092),YEAR(Z2092),"")</f>
        <v/>
      </c>
      <c r="Z2092" s="12" t="n"/>
      <c r="AA2092" s="12" t="n"/>
      <c r="AI2092" s="12" t="n"/>
      <c r="AJ2092" s="13">
        <f>IF(LEN(TRIM(AF2092))=0,"",HYPERLINK("https://www.google.com/maps/@?api=1&amp;map_action=pano&amp;viewpoint="&amp;SUBSTITUTE(AF2092," ",""),"Abrir Street View"))</f>
        <v/>
      </c>
    </row>
    <row r="2093">
      <c r="H2093" s="6" t="n"/>
      <c r="I2093" s="6" t="n"/>
      <c r="M2093" s="7" t="n"/>
      <c r="N2093" s="7" t="n"/>
      <c r="O2093" s="7" t="n"/>
      <c r="Q2093" s="7" t="n"/>
      <c r="R2093" s="7" t="n"/>
      <c r="S2093" s="8">
        <f>IF(NOT(ISNUMBER(M2093)),"",IF(G2093="Terreno",IF(AND(ISNUMBER(I2093),I2093&gt;0),M2093/I2093,""),IF(AND(ISNUMBER(H2093),H2093&gt;0),M2093/H2093,"")))</f>
        <v/>
      </c>
      <c r="T2093" s="9">
        <f>IF(AND(ISNUMBER(M2093),ISNUMBER(O2093)),IF(M2093&lt;=O2093,"Valor ≤ venal IPTU",""),"")</f>
        <v/>
      </c>
      <c r="U2093" s="10">
        <f>IF(AND(ISNUMBER(M2093),ISNUMBER(N2093)),IF(N2093&gt;0,M2093/N2093,""),"")</f>
        <v/>
      </c>
      <c r="V2093" s="10">
        <f>IF(AND(ISNUMBER(M2093),ISNUMBER(O2093)),IF(O2093&gt;0,M2093/O2093,""),"")</f>
        <v/>
      </c>
      <c r="W2093" s="10">
        <f>IF(AND(ISNUMBER(M2093),ISNUMBER(R2093)),IF(R2093&gt;0,M2093/R2093,""),"")</f>
        <v/>
      </c>
      <c r="X2093" s="10">
        <f>IF(AND(ISNUMBER(Q2093),ISNUMBER(M2093)),IF(M2093&gt;0,Q2093/M2093,""),"")</f>
        <v/>
      </c>
      <c r="Y2093" s="11">
        <f>IF(ISNUMBER(Z2093),YEAR(Z2093),"")</f>
        <v/>
      </c>
      <c r="Z2093" s="12" t="n"/>
      <c r="AA2093" s="12" t="n"/>
      <c r="AI2093" s="12" t="n"/>
      <c r="AJ2093" s="13">
        <f>IF(LEN(TRIM(AF2093))=0,"",HYPERLINK("https://www.google.com/maps/@?api=1&amp;map_action=pano&amp;viewpoint="&amp;SUBSTITUTE(AF2093," ",""),"Abrir Street View"))</f>
        <v/>
      </c>
    </row>
    <row r="2094">
      <c r="H2094" s="6" t="n"/>
      <c r="I2094" s="6" t="n"/>
      <c r="M2094" s="7" t="n"/>
      <c r="N2094" s="7" t="n"/>
      <c r="O2094" s="7" t="n"/>
      <c r="Q2094" s="7" t="n"/>
      <c r="R2094" s="7" t="n"/>
      <c r="S2094" s="8">
        <f>IF(NOT(ISNUMBER(M2094)),"",IF(G2094="Terreno",IF(AND(ISNUMBER(I2094),I2094&gt;0),M2094/I2094,""),IF(AND(ISNUMBER(H2094),H2094&gt;0),M2094/H2094,"")))</f>
        <v/>
      </c>
      <c r="T2094" s="9">
        <f>IF(AND(ISNUMBER(M2094),ISNUMBER(O2094)),IF(M2094&lt;=O2094,"Valor ≤ venal IPTU",""),"")</f>
        <v/>
      </c>
      <c r="U2094" s="10">
        <f>IF(AND(ISNUMBER(M2094),ISNUMBER(N2094)),IF(N2094&gt;0,M2094/N2094,""),"")</f>
        <v/>
      </c>
      <c r="V2094" s="10">
        <f>IF(AND(ISNUMBER(M2094),ISNUMBER(O2094)),IF(O2094&gt;0,M2094/O2094,""),"")</f>
        <v/>
      </c>
      <c r="W2094" s="10">
        <f>IF(AND(ISNUMBER(M2094),ISNUMBER(R2094)),IF(R2094&gt;0,M2094/R2094,""),"")</f>
        <v/>
      </c>
      <c r="X2094" s="10">
        <f>IF(AND(ISNUMBER(Q2094),ISNUMBER(M2094)),IF(M2094&gt;0,Q2094/M2094,""),"")</f>
        <v/>
      </c>
      <c r="Y2094" s="11">
        <f>IF(ISNUMBER(Z2094),YEAR(Z2094),"")</f>
        <v/>
      </c>
      <c r="Z2094" s="12" t="n"/>
      <c r="AA2094" s="12" t="n"/>
      <c r="AI2094" s="12" t="n"/>
      <c r="AJ2094" s="13">
        <f>IF(LEN(TRIM(AF2094))=0,"",HYPERLINK("https://www.google.com/maps/@?api=1&amp;map_action=pano&amp;viewpoint="&amp;SUBSTITUTE(AF2094," ",""),"Abrir Street View"))</f>
        <v/>
      </c>
    </row>
    <row r="2095">
      <c r="H2095" s="6" t="n"/>
      <c r="I2095" s="6" t="n"/>
      <c r="M2095" s="7" t="n"/>
      <c r="N2095" s="7" t="n"/>
      <c r="O2095" s="7" t="n"/>
      <c r="Q2095" s="7" t="n"/>
      <c r="R2095" s="7" t="n"/>
      <c r="S2095" s="8">
        <f>IF(NOT(ISNUMBER(M2095)),"",IF(G2095="Terreno",IF(AND(ISNUMBER(I2095),I2095&gt;0),M2095/I2095,""),IF(AND(ISNUMBER(H2095),H2095&gt;0),M2095/H2095,"")))</f>
        <v/>
      </c>
      <c r="T2095" s="9">
        <f>IF(AND(ISNUMBER(M2095),ISNUMBER(O2095)),IF(M2095&lt;=O2095,"Valor ≤ venal IPTU",""),"")</f>
        <v/>
      </c>
      <c r="U2095" s="10">
        <f>IF(AND(ISNUMBER(M2095),ISNUMBER(N2095)),IF(N2095&gt;0,M2095/N2095,""),"")</f>
        <v/>
      </c>
      <c r="V2095" s="10">
        <f>IF(AND(ISNUMBER(M2095),ISNUMBER(O2095)),IF(O2095&gt;0,M2095/O2095,""),"")</f>
        <v/>
      </c>
      <c r="W2095" s="10">
        <f>IF(AND(ISNUMBER(M2095),ISNUMBER(R2095)),IF(R2095&gt;0,M2095/R2095,""),"")</f>
        <v/>
      </c>
      <c r="X2095" s="10">
        <f>IF(AND(ISNUMBER(Q2095),ISNUMBER(M2095)),IF(M2095&gt;0,Q2095/M2095,""),"")</f>
        <v/>
      </c>
      <c r="Y2095" s="11">
        <f>IF(ISNUMBER(Z2095),YEAR(Z2095),"")</f>
        <v/>
      </c>
      <c r="Z2095" s="12" t="n"/>
      <c r="AA2095" s="12" t="n"/>
      <c r="AI2095" s="12" t="n"/>
      <c r="AJ2095" s="13">
        <f>IF(LEN(TRIM(AF2095))=0,"",HYPERLINK("https://www.google.com/maps/@?api=1&amp;map_action=pano&amp;viewpoint="&amp;SUBSTITUTE(AF2095," ",""),"Abrir Street View"))</f>
        <v/>
      </c>
    </row>
    <row r="2096">
      <c r="H2096" s="6" t="n"/>
      <c r="I2096" s="6" t="n"/>
      <c r="M2096" s="7" t="n"/>
      <c r="N2096" s="7" t="n"/>
      <c r="O2096" s="7" t="n"/>
      <c r="Q2096" s="7" t="n"/>
      <c r="R2096" s="7" t="n"/>
      <c r="S2096" s="8">
        <f>IF(NOT(ISNUMBER(M2096)),"",IF(G2096="Terreno",IF(AND(ISNUMBER(I2096),I2096&gt;0),M2096/I2096,""),IF(AND(ISNUMBER(H2096),H2096&gt;0),M2096/H2096,"")))</f>
        <v/>
      </c>
      <c r="T2096" s="9">
        <f>IF(AND(ISNUMBER(M2096),ISNUMBER(O2096)),IF(M2096&lt;=O2096,"Valor ≤ venal IPTU",""),"")</f>
        <v/>
      </c>
      <c r="U2096" s="10">
        <f>IF(AND(ISNUMBER(M2096),ISNUMBER(N2096)),IF(N2096&gt;0,M2096/N2096,""),"")</f>
        <v/>
      </c>
      <c r="V2096" s="10">
        <f>IF(AND(ISNUMBER(M2096),ISNUMBER(O2096)),IF(O2096&gt;0,M2096/O2096,""),"")</f>
        <v/>
      </c>
      <c r="W2096" s="10">
        <f>IF(AND(ISNUMBER(M2096),ISNUMBER(R2096)),IF(R2096&gt;0,M2096/R2096,""),"")</f>
        <v/>
      </c>
      <c r="X2096" s="10">
        <f>IF(AND(ISNUMBER(Q2096),ISNUMBER(M2096)),IF(M2096&gt;0,Q2096/M2096,""),"")</f>
        <v/>
      </c>
      <c r="Y2096" s="11">
        <f>IF(ISNUMBER(Z2096),YEAR(Z2096),"")</f>
        <v/>
      </c>
      <c r="Z2096" s="12" t="n"/>
      <c r="AA2096" s="12" t="n"/>
      <c r="AI2096" s="12" t="n"/>
      <c r="AJ2096" s="13">
        <f>IF(LEN(TRIM(AF2096))=0,"",HYPERLINK("https://www.google.com/maps/@?api=1&amp;map_action=pano&amp;viewpoint="&amp;SUBSTITUTE(AF2096," ",""),"Abrir Street View"))</f>
        <v/>
      </c>
    </row>
    <row r="2097">
      <c r="H2097" s="6" t="n"/>
      <c r="I2097" s="6" t="n"/>
      <c r="M2097" s="7" t="n"/>
      <c r="N2097" s="7" t="n"/>
      <c r="O2097" s="7" t="n"/>
      <c r="Q2097" s="7" t="n"/>
      <c r="R2097" s="7" t="n"/>
      <c r="S2097" s="8">
        <f>IF(NOT(ISNUMBER(M2097)),"",IF(G2097="Terreno",IF(AND(ISNUMBER(I2097),I2097&gt;0),M2097/I2097,""),IF(AND(ISNUMBER(H2097),H2097&gt;0),M2097/H2097,"")))</f>
        <v/>
      </c>
      <c r="T2097" s="9">
        <f>IF(AND(ISNUMBER(M2097),ISNUMBER(O2097)),IF(M2097&lt;=O2097,"Valor ≤ venal IPTU",""),"")</f>
        <v/>
      </c>
      <c r="U2097" s="10">
        <f>IF(AND(ISNUMBER(M2097),ISNUMBER(N2097)),IF(N2097&gt;0,M2097/N2097,""),"")</f>
        <v/>
      </c>
      <c r="V2097" s="10">
        <f>IF(AND(ISNUMBER(M2097),ISNUMBER(O2097)),IF(O2097&gt;0,M2097/O2097,""),"")</f>
        <v/>
      </c>
      <c r="W2097" s="10">
        <f>IF(AND(ISNUMBER(M2097),ISNUMBER(R2097)),IF(R2097&gt;0,M2097/R2097,""),"")</f>
        <v/>
      </c>
      <c r="X2097" s="10">
        <f>IF(AND(ISNUMBER(Q2097),ISNUMBER(M2097)),IF(M2097&gt;0,Q2097/M2097,""),"")</f>
        <v/>
      </c>
      <c r="Y2097" s="11">
        <f>IF(ISNUMBER(Z2097),YEAR(Z2097),"")</f>
        <v/>
      </c>
      <c r="Z2097" s="12" t="n"/>
      <c r="AA2097" s="12" t="n"/>
      <c r="AI2097" s="12" t="n"/>
      <c r="AJ2097" s="13">
        <f>IF(LEN(TRIM(AF2097))=0,"",HYPERLINK("https://www.google.com/maps/@?api=1&amp;map_action=pano&amp;viewpoint="&amp;SUBSTITUTE(AF2097," ",""),"Abrir Street View"))</f>
        <v/>
      </c>
    </row>
    <row r="2098">
      <c r="H2098" s="6" t="n"/>
      <c r="I2098" s="6" t="n"/>
      <c r="M2098" s="7" t="n"/>
      <c r="N2098" s="7" t="n"/>
      <c r="O2098" s="7" t="n"/>
      <c r="Q2098" s="7" t="n"/>
      <c r="R2098" s="7" t="n"/>
      <c r="S2098" s="8">
        <f>IF(NOT(ISNUMBER(M2098)),"",IF(G2098="Terreno",IF(AND(ISNUMBER(I2098),I2098&gt;0),M2098/I2098,""),IF(AND(ISNUMBER(H2098),H2098&gt;0),M2098/H2098,"")))</f>
        <v/>
      </c>
      <c r="T2098" s="9">
        <f>IF(AND(ISNUMBER(M2098),ISNUMBER(O2098)),IF(M2098&lt;=O2098,"Valor ≤ venal IPTU",""),"")</f>
        <v/>
      </c>
      <c r="U2098" s="10">
        <f>IF(AND(ISNUMBER(M2098),ISNUMBER(N2098)),IF(N2098&gt;0,M2098/N2098,""),"")</f>
        <v/>
      </c>
      <c r="V2098" s="10">
        <f>IF(AND(ISNUMBER(M2098),ISNUMBER(O2098)),IF(O2098&gt;0,M2098/O2098,""),"")</f>
        <v/>
      </c>
      <c r="W2098" s="10">
        <f>IF(AND(ISNUMBER(M2098),ISNUMBER(R2098)),IF(R2098&gt;0,M2098/R2098,""),"")</f>
        <v/>
      </c>
      <c r="X2098" s="10">
        <f>IF(AND(ISNUMBER(Q2098),ISNUMBER(M2098)),IF(M2098&gt;0,Q2098/M2098,""),"")</f>
        <v/>
      </c>
      <c r="Y2098" s="11">
        <f>IF(ISNUMBER(Z2098),YEAR(Z2098),"")</f>
        <v/>
      </c>
      <c r="Z2098" s="12" t="n"/>
      <c r="AA2098" s="12" t="n"/>
      <c r="AI2098" s="12" t="n"/>
      <c r="AJ2098" s="13">
        <f>IF(LEN(TRIM(AF2098))=0,"",HYPERLINK("https://www.google.com/maps/@?api=1&amp;map_action=pano&amp;viewpoint="&amp;SUBSTITUTE(AF2098," ",""),"Abrir Street View"))</f>
        <v/>
      </c>
    </row>
    <row r="2099">
      <c r="H2099" s="6" t="n"/>
      <c r="I2099" s="6" t="n"/>
      <c r="M2099" s="7" t="n"/>
      <c r="N2099" s="7" t="n"/>
      <c r="O2099" s="7" t="n"/>
      <c r="Q2099" s="7" t="n"/>
      <c r="R2099" s="7" t="n"/>
      <c r="S2099" s="8">
        <f>IF(NOT(ISNUMBER(M2099)),"",IF(G2099="Terreno",IF(AND(ISNUMBER(I2099),I2099&gt;0),M2099/I2099,""),IF(AND(ISNUMBER(H2099),H2099&gt;0),M2099/H2099,"")))</f>
        <v/>
      </c>
      <c r="T2099" s="9">
        <f>IF(AND(ISNUMBER(M2099),ISNUMBER(O2099)),IF(M2099&lt;=O2099,"Valor ≤ venal IPTU",""),"")</f>
        <v/>
      </c>
      <c r="U2099" s="10">
        <f>IF(AND(ISNUMBER(M2099),ISNUMBER(N2099)),IF(N2099&gt;0,M2099/N2099,""),"")</f>
        <v/>
      </c>
      <c r="V2099" s="10">
        <f>IF(AND(ISNUMBER(M2099),ISNUMBER(O2099)),IF(O2099&gt;0,M2099/O2099,""),"")</f>
        <v/>
      </c>
      <c r="W2099" s="10">
        <f>IF(AND(ISNUMBER(M2099),ISNUMBER(R2099)),IF(R2099&gt;0,M2099/R2099,""),"")</f>
        <v/>
      </c>
      <c r="X2099" s="10">
        <f>IF(AND(ISNUMBER(Q2099),ISNUMBER(M2099)),IF(M2099&gt;0,Q2099/M2099,""),"")</f>
        <v/>
      </c>
      <c r="Y2099" s="11">
        <f>IF(ISNUMBER(Z2099),YEAR(Z2099),"")</f>
        <v/>
      </c>
      <c r="Z2099" s="12" t="n"/>
      <c r="AA2099" s="12" t="n"/>
      <c r="AI2099" s="12" t="n"/>
      <c r="AJ2099" s="13">
        <f>IF(LEN(TRIM(AF2099))=0,"",HYPERLINK("https://www.google.com/maps/@?api=1&amp;map_action=pano&amp;viewpoint="&amp;SUBSTITUTE(AF2099," ",""),"Abrir Street View"))</f>
        <v/>
      </c>
    </row>
    <row r="2100">
      <c r="H2100" s="6" t="n"/>
      <c r="I2100" s="6" t="n"/>
      <c r="M2100" s="7" t="n"/>
      <c r="N2100" s="7" t="n"/>
      <c r="O2100" s="7" t="n"/>
      <c r="Q2100" s="7" t="n"/>
      <c r="R2100" s="7" t="n"/>
      <c r="S2100" s="8">
        <f>IF(NOT(ISNUMBER(M2100)),"",IF(G2100="Terreno",IF(AND(ISNUMBER(I2100),I2100&gt;0),M2100/I2100,""),IF(AND(ISNUMBER(H2100),H2100&gt;0),M2100/H2100,"")))</f>
        <v/>
      </c>
      <c r="T2100" s="9">
        <f>IF(AND(ISNUMBER(M2100),ISNUMBER(O2100)),IF(M2100&lt;=O2100,"Valor ≤ venal IPTU",""),"")</f>
        <v/>
      </c>
      <c r="U2100" s="10">
        <f>IF(AND(ISNUMBER(M2100),ISNUMBER(N2100)),IF(N2100&gt;0,M2100/N2100,""),"")</f>
        <v/>
      </c>
      <c r="V2100" s="10">
        <f>IF(AND(ISNUMBER(M2100),ISNUMBER(O2100)),IF(O2100&gt;0,M2100/O2100,""),"")</f>
        <v/>
      </c>
      <c r="W2100" s="10">
        <f>IF(AND(ISNUMBER(M2100),ISNUMBER(R2100)),IF(R2100&gt;0,M2100/R2100,""),"")</f>
        <v/>
      </c>
      <c r="X2100" s="10">
        <f>IF(AND(ISNUMBER(Q2100),ISNUMBER(M2100)),IF(M2100&gt;0,Q2100/M2100,""),"")</f>
        <v/>
      </c>
      <c r="Y2100" s="11">
        <f>IF(ISNUMBER(Z2100),YEAR(Z2100),"")</f>
        <v/>
      </c>
      <c r="Z2100" s="12" t="n"/>
      <c r="AA2100" s="12" t="n"/>
      <c r="AI2100" s="12" t="n"/>
      <c r="AJ2100" s="13">
        <f>IF(LEN(TRIM(AF2100))=0,"",HYPERLINK("https://www.google.com/maps/@?api=1&amp;map_action=pano&amp;viewpoint="&amp;SUBSTITUTE(AF2100," ",""),"Abrir Street View"))</f>
        <v/>
      </c>
    </row>
    <row r="2101">
      <c r="H2101" s="6" t="n"/>
      <c r="I2101" s="6" t="n"/>
      <c r="M2101" s="7" t="n"/>
      <c r="N2101" s="7" t="n"/>
      <c r="O2101" s="7" t="n"/>
      <c r="Q2101" s="7" t="n"/>
      <c r="R2101" s="7" t="n"/>
      <c r="S2101" s="8">
        <f>IF(NOT(ISNUMBER(M2101)),"",IF(G2101="Terreno",IF(AND(ISNUMBER(I2101),I2101&gt;0),M2101/I2101,""),IF(AND(ISNUMBER(H2101),H2101&gt;0),M2101/H2101,"")))</f>
        <v/>
      </c>
      <c r="T2101" s="9">
        <f>IF(AND(ISNUMBER(M2101),ISNUMBER(O2101)),IF(M2101&lt;=O2101,"Valor ≤ venal IPTU",""),"")</f>
        <v/>
      </c>
      <c r="U2101" s="10">
        <f>IF(AND(ISNUMBER(M2101),ISNUMBER(N2101)),IF(N2101&gt;0,M2101/N2101,""),"")</f>
        <v/>
      </c>
      <c r="V2101" s="10">
        <f>IF(AND(ISNUMBER(M2101),ISNUMBER(O2101)),IF(O2101&gt;0,M2101/O2101,""),"")</f>
        <v/>
      </c>
      <c r="W2101" s="10">
        <f>IF(AND(ISNUMBER(M2101),ISNUMBER(R2101)),IF(R2101&gt;0,M2101/R2101,""),"")</f>
        <v/>
      </c>
      <c r="X2101" s="10">
        <f>IF(AND(ISNUMBER(Q2101),ISNUMBER(M2101)),IF(M2101&gt;0,Q2101/M2101,""),"")</f>
        <v/>
      </c>
      <c r="Y2101" s="11">
        <f>IF(ISNUMBER(Z2101),YEAR(Z2101),"")</f>
        <v/>
      </c>
      <c r="Z2101" s="12" t="n"/>
      <c r="AA2101" s="12" t="n"/>
      <c r="AI2101" s="12" t="n"/>
      <c r="AJ2101" s="13">
        <f>IF(LEN(TRIM(AF2101))=0,"",HYPERLINK("https://www.google.com/maps/@?api=1&amp;map_action=pano&amp;viewpoint="&amp;SUBSTITUTE(AF2101," ",""),"Abrir Street View"))</f>
        <v/>
      </c>
    </row>
    <row r="2102">
      <c r="H2102" s="6" t="n"/>
      <c r="I2102" s="6" t="n"/>
      <c r="M2102" s="7" t="n"/>
      <c r="N2102" s="7" t="n"/>
      <c r="O2102" s="7" t="n"/>
      <c r="Q2102" s="7" t="n"/>
      <c r="R2102" s="7" t="n"/>
      <c r="S2102" s="8">
        <f>IF(NOT(ISNUMBER(M2102)),"",IF(G2102="Terreno",IF(AND(ISNUMBER(I2102),I2102&gt;0),M2102/I2102,""),IF(AND(ISNUMBER(H2102),H2102&gt;0),M2102/H2102,"")))</f>
        <v/>
      </c>
      <c r="T2102" s="9">
        <f>IF(AND(ISNUMBER(M2102),ISNUMBER(O2102)),IF(M2102&lt;=O2102,"Valor ≤ venal IPTU",""),"")</f>
        <v/>
      </c>
      <c r="U2102" s="10">
        <f>IF(AND(ISNUMBER(M2102),ISNUMBER(N2102)),IF(N2102&gt;0,M2102/N2102,""),"")</f>
        <v/>
      </c>
      <c r="V2102" s="10">
        <f>IF(AND(ISNUMBER(M2102),ISNUMBER(O2102)),IF(O2102&gt;0,M2102/O2102,""),"")</f>
        <v/>
      </c>
      <c r="W2102" s="10">
        <f>IF(AND(ISNUMBER(M2102),ISNUMBER(R2102)),IF(R2102&gt;0,M2102/R2102,""),"")</f>
        <v/>
      </c>
      <c r="X2102" s="10">
        <f>IF(AND(ISNUMBER(Q2102),ISNUMBER(M2102)),IF(M2102&gt;0,Q2102/M2102,""),"")</f>
        <v/>
      </c>
      <c r="Y2102" s="11">
        <f>IF(ISNUMBER(Z2102),YEAR(Z2102),"")</f>
        <v/>
      </c>
      <c r="Z2102" s="12" t="n"/>
      <c r="AA2102" s="12" t="n"/>
      <c r="AI2102" s="12" t="n"/>
      <c r="AJ2102" s="13">
        <f>IF(LEN(TRIM(AF2102))=0,"",HYPERLINK("https://www.google.com/maps/@?api=1&amp;map_action=pano&amp;viewpoint="&amp;SUBSTITUTE(AF2102," ",""),"Abrir Street View"))</f>
        <v/>
      </c>
    </row>
    <row r="2103">
      <c r="H2103" s="6" t="n"/>
      <c r="I2103" s="6" t="n"/>
      <c r="M2103" s="7" t="n"/>
      <c r="N2103" s="7" t="n"/>
      <c r="O2103" s="7" t="n"/>
      <c r="Q2103" s="7" t="n"/>
      <c r="R2103" s="7" t="n"/>
      <c r="S2103" s="8">
        <f>IF(NOT(ISNUMBER(M2103)),"",IF(G2103="Terreno",IF(AND(ISNUMBER(I2103),I2103&gt;0),M2103/I2103,""),IF(AND(ISNUMBER(H2103),H2103&gt;0),M2103/H2103,"")))</f>
        <v/>
      </c>
      <c r="T2103" s="9">
        <f>IF(AND(ISNUMBER(M2103),ISNUMBER(O2103)),IF(M2103&lt;=O2103,"Valor ≤ venal IPTU",""),"")</f>
        <v/>
      </c>
      <c r="U2103" s="10">
        <f>IF(AND(ISNUMBER(M2103),ISNUMBER(N2103)),IF(N2103&gt;0,M2103/N2103,""),"")</f>
        <v/>
      </c>
      <c r="V2103" s="10">
        <f>IF(AND(ISNUMBER(M2103),ISNUMBER(O2103)),IF(O2103&gt;0,M2103/O2103,""),"")</f>
        <v/>
      </c>
      <c r="W2103" s="10">
        <f>IF(AND(ISNUMBER(M2103),ISNUMBER(R2103)),IF(R2103&gt;0,M2103/R2103,""),"")</f>
        <v/>
      </c>
      <c r="X2103" s="10">
        <f>IF(AND(ISNUMBER(Q2103),ISNUMBER(M2103)),IF(M2103&gt;0,Q2103/M2103,""),"")</f>
        <v/>
      </c>
      <c r="Y2103" s="11">
        <f>IF(ISNUMBER(Z2103),YEAR(Z2103),"")</f>
        <v/>
      </c>
      <c r="Z2103" s="12" t="n"/>
      <c r="AA2103" s="12" t="n"/>
      <c r="AI2103" s="12" t="n"/>
      <c r="AJ2103" s="13">
        <f>IF(LEN(TRIM(AF2103))=0,"",HYPERLINK("https://www.google.com/maps/@?api=1&amp;map_action=pano&amp;viewpoint="&amp;SUBSTITUTE(AF2103," ",""),"Abrir Street View"))</f>
        <v/>
      </c>
    </row>
    <row r="2104">
      <c r="H2104" s="6" t="n"/>
      <c r="I2104" s="6" t="n"/>
      <c r="M2104" s="7" t="n"/>
      <c r="N2104" s="7" t="n"/>
      <c r="O2104" s="7" t="n"/>
      <c r="Q2104" s="7" t="n"/>
      <c r="R2104" s="7" t="n"/>
      <c r="S2104" s="8">
        <f>IF(NOT(ISNUMBER(M2104)),"",IF(G2104="Terreno",IF(AND(ISNUMBER(I2104),I2104&gt;0),M2104/I2104,""),IF(AND(ISNUMBER(H2104),H2104&gt;0),M2104/H2104,"")))</f>
        <v/>
      </c>
      <c r="T2104" s="9">
        <f>IF(AND(ISNUMBER(M2104),ISNUMBER(O2104)),IF(M2104&lt;=O2104,"Valor ≤ venal IPTU",""),"")</f>
        <v/>
      </c>
      <c r="U2104" s="10">
        <f>IF(AND(ISNUMBER(M2104),ISNUMBER(N2104)),IF(N2104&gt;0,M2104/N2104,""),"")</f>
        <v/>
      </c>
      <c r="V2104" s="10">
        <f>IF(AND(ISNUMBER(M2104),ISNUMBER(O2104)),IF(O2104&gt;0,M2104/O2104,""),"")</f>
        <v/>
      </c>
      <c r="W2104" s="10">
        <f>IF(AND(ISNUMBER(M2104),ISNUMBER(R2104)),IF(R2104&gt;0,M2104/R2104,""),"")</f>
        <v/>
      </c>
      <c r="X2104" s="10">
        <f>IF(AND(ISNUMBER(Q2104),ISNUMBER(M2104)),IF(M2104&gt;0,Q2104/M2104,""),"")</f>
        <v/>
      </c>
      <c r="Y2104" s="11">
        <f>IF(ISNUMBER(Z2104),YEAR(Z2104),"")</f>
        <v/>
      </c>
      <c r="Z2104" s="12" t="n"/>
      <c r="AA2104" s="12" t="n"/>
      <c r="AI2104" s="12" t="n"/>
      <c r="AJ2104" s="13">
        <f>IF(LEN(TRIM(AF2104))=0,"",HYPERLINK("https://www.google.com/maps/@?api=1&amp;map_action=pano&amp;viewpoint="&amp;SUBSTITUTE(AF2104," ",""),"Abrir Street View"))</f>
        <v/>
      </c>
    </row>
    <row r="2105">
      <c r="H2105" s="6" t="n"/>
      <c r="I2105" s="6" t="n"/>
      <c r="M2105" s="7" t="n"/>
      <c r="N2105" s="7" t="n"/>
      <c r="O2105" s="7" t="n"/>
      <c r="Q2105" s="7" t="n"/>
      <c r="R2105" s="7" t="n"/>
      <c r="S2105" s="8">
        <f>IF(NOT(ISNUMBER(M2105)),"",IF(G2105="Terreno",IF(AND(ISNUMBER(I2105),I2105&gt;0),M2105/I2105,""),IF(AND(ISNUMBER(H2105),H2105&gt;0),M2105/H2105,"")))</f>
        <v/>
      </c>
      <c r="T2105" s="9">
        <f>IF(AND(ISNUMBER(M2105),ISNUMBER(O2105)),IF(M2105&lt;=O2105,"Valor ≤ venal IPTU",""),"")</f>
        <v/>
      </c>
      <c r="U2105" s="10">
        <f>IF(AND(ISNUMBER(M2105),ISNUMBER(N2105)),IF(N2105&gt;0,M2105/N2105,""),"")</f>
        <v/>
      </c>
      <c r="V2105" s="10">
        <f>IF(AND(ISNUMBER(M2105),ISNUMBER(O2105)),IF(O2105&gt;0,M2105/O2105,""),"")</f>
        <v/>
      </c>
      <c r="W2105" s="10">
        <f>IF(AND(ISNUMBER(M2105),ISNUMBER(R2105)),IF(R2105&gt;0,M2105/R2105,""),"")</f>
        <v/>
      </c>
      <c r="X2105" s="10">
        <f>IF(AND(ISNUMBER(Q2105),ISNUMBER(M2105)),IF(M2105&gt;0,Q2105/M2105,""),"")</f>
        <v/>
      </c>
      <c r="Y2105" s="11">
        <f>IF(ISNUMBER(Z2105),YEAR(Z2105),"")</f>
        <v/>
      </c>
      <c r="Z2105" s="12" t="n"/>
      <c r="AA2105" s="12" t="n"/>
      <c r="AI2105" s="12" t="n"/>
      <c r="AJ2105" s="13">
        <f>IF(LEN(TRIM(AF2105))=0,"",HYPERLINK("https://www.google.com/maps/@?api=1&amp;map_action=pano&amp;viewpoint="&amp;SUBSTITUTE(AF2105," ",""),"Abrir Street View"))</f>
        <v/>
      </c>
    </row>
    <row r="2106">
      <c r="H2106" s="6" t="n"/>
      <c r="I2106" s="6" t="n"/>
      <c r="M2106" s="7" t="n"/>
      <c r="N2106" s="7" t="n"/>
      <c r="O2106" s="7" t="n"/>
      <c r="Q2106" s="7" t="n"/>
      <c r="R2106" s="7" t="n"/>
      <c r="S2106" s="8">
        <f>IF(NOT(ISNUMBER(M2106)),"",IF(G2106="Terreno",IF(AND(ISNUMBER(I2106),I2106&gt;0),M2106/I2106,""),IF(AND(ISNUMBER(H2106),H2106&gt;0),M2106/H2106,"")))</f>
        <v/>
      </c>
      <c r="T2106" s="9">
        <f>IF(AND(ISNUMBER(M2106),ISNUMBER(O2106)),IF(M2106&lt;=O2106,"Valor ≤ venal IPTU",""),"")</f>
        <v/>
      </c>
      <c r="U2106" s="10">
        <f>IF(AND(ISNUMBER(M2106),ISNUMBER(N2106)),IF(N2106&gt;0,M2106/N2106,""),"")</f>
        <v/>
      </c>
      <c r="V2106" s="10">
        <f>IF(AND(ISNUMBER(M2106),ISNUMBER(O2106)),IF(O2106&gt;0,M2106/O2106,""),"")</f>
        <v/>
      </c>
      <c r="W2106" s="10">
        <f>IF(AND(ISNUMBER(M2106),ISNUMBER(R2106)),IF(R2106&gt;0,M2106/R2106,""),"")</f>
        <v/>
      </c>
      <c r="X2106" s="10">
        <f>IF(AND(ISNUMBER(Q2106),ISNUMBER(M2106)),IF(M2106&gt;0,Q2106/M2106,""),"")</f>
        <v/>
      </c>
      <c r="Y2106" s="11">
        <f>IF(ISNUMBER(Z2106),YEAR(Z2106),"")</f>
        <v/>
      </c>
      <c r="Z2106" s="12" t="n"/>
      <c r="AA2106" s="12" t="n"/>
      <c r="AI2106" s="12" t="n"/>
      <c r="AJ2106" s="13">
        <f>IF(LEN(TRIM(AF2106))=0,"",HYPERLINK("https://www.google.com/maps/@?api=1&amp;map_action=pano&amp;viewpoint="&amp;SUBSTITUTE(AF2106," ",""),"Abrir Street View"))</f>
        <v/>
      </c>
    </row>
    <row r="2107">
      <c r="H2107" s="6" t="n"/>
      <c r="I2107" s="6" t="n"/>
      <c r="M2107" s="7" t="n"/>
      <c r="N2107" s="7" t="n"/>
      <c r="O2107" s="7" t="n"/>
      <c r="Q2107" s="7" t="n"/>
      <c r="R2107" s="7" t="n"/>
      <c r="S2107" s="8">
        <f>IF(NOT(ISNUMBER(M2107)),"",IF(G2107="Terreno",IF(AND(ISNUMBER(I2107),I2107&gt;0),M2107/I2107,""),IF(AND(ISNUMBER(H2107),H2107&gt;0),M2107/H2107,"")))</f>
        <v/>
      </c>
      <c r="T2107" s="9">
        <f>IF(AND(ISNUMBER(M2107),ISNUMBER(O2107)),IF(M2107&lt;=O2107,"Valor ≤ venal IPTU",""),"")</f>
        <v/>
      </c>
      <c r="U2107" s="10">
        <f>IF(AND(ISNUMBER(M2107),ISNUMBER(N2107)),IF(N2107&gt;0,M2107/N2107,""),"")</f>
        <v/>
      </c>
      <c r="V2107" s="10">
        <f>IF(AND(ISNUMBER(M2107),ISNUMBER(O2107)),IF(O2107&gt;0,M2107/O2107,""),"")</f>
        <v/>
      </c>
      <c r="W2107" s="10">
        <f>IF(AND(ISNUMBER(M2107),ISNUMBER(R2107)),IF(R2107&gt;0,M2107/R2107,""),"")</f>
        <v/>
      </c>
      <c r="X2107" s="10">
        <f>IF(AND(ISNUMBER(Q2107),ISNUMBER(M2107)),IF(M2107&gt;0,Q2107/M2107,""),"")</f>
        <v/>
      </c>
      <c r="Y2107" s="11">
        <f>IF(ISNUMBER(Z2107),YEAR(Z2107),"")</f>
        <v/>
      </c>
      <c r="Z2107" s="12" t="n"/>
      <c r="AA2107" s="12" t="n"/>
      <c r="AI2107" s="12" t="n"/>
      <c r="AJ2107" s="13">
        <f>IF(LEN(TRIM(AF2107))=0,"",HYPERLINK("https://www.google.com/maps/@?api=1&amp;map_action=pano&amp;viewpoint="&amp;SUBSTITUTE(AF2107," ",""),"Abrir Street View"))</f>
        <v/>
      </c>
    </row>
    <row r="2108">
      <c r="H2108" s="6" t="n"/>
      <c r="I2108" s="6" t="n"/>
      <c r="M2108" s="7" t="n"/>
      <c r="N2108" s="7" t="n"/>
      <c r="O2108" s="7" t="n"/>
      <c r="Q2108" s="7" t="n"/>
      <c r="R2108" s="7" t="n"/>
      <c r="S2108" s="8">
        <f>IF(NOT(ISNUMBER(M2108)),"",IF(G2108="Terreno",IF(AND(ISNUMBER(I2108),I2108&gt;0),M2108/I2108,""),IF(AND(ISNUMBER(H2108),H2108&gt;0),M2108/H2108,"")))</f>
        <v/>
      </c>
      <c r="T2108" s="9">
        <f>IF(AND(ISNUMBER(M2108),ISNUMBER(O2108)),IF(M2108&lt;=O2108,"Valor ≤ venal IPTU",""),"")</f>
        <v/>
      </c>
      <c r="U2108" s="10">
        <f>IF(AND(ISNUMBER(M2108),ISNUMBER(N2108)),IF(N2108&gt;0,M2108/N2108,""),"")</f>
        <v/>
      </c>
      <c r="V2108" s="10">
        <f>IF(AND(ISNUMBER(M2108),ISNUMBER(O2108)),IF(O2108&gt;0,M2108/O2108,""),"")</f>
        <v/>
      </c>
      <c r="W2108" s="10">
        <f>IF(AND(ISNUMBER(M2108),ISNUMBER(R2108)),IF(R2108&gt;0,M2108/R2108,""),"")</f>
        <v/>
      </c>
      <c r="X2108" s="10">
        <f>IF(AND(ISNUMBER(Q2108),ISNUMBER(M2108)),IF(M2108&gt;0,Q2108/M2108,""),"")</f>
        <v/>
      </c>
      <c r="Y2108" s="11">
        <f>IF(ISNUMBER(Z2108),YEAR(Z2108),"")</f>
        <v/>
      </c>
      <c r="Z2108" s="12" t="n"/>
      <c r="AA2108" s="12" t="n"/>
      <c r="AI2108" s="12" t="n"/>
      <c r="AJ2108" s="13">
        <f>IF(LEN(TRIM(AF2108))=0,"",HYPERLINK("https://www.google.com/maps/@?api=1&amp;map_action=pano&amp;viewpoint="&amp;SUBSTITUTE(AF2108," ",""),"Abrir Street View"))</f>
        <v/>
      </c>
    </row>
    <row r="2109">
      <c r="H2109" s="6" t="n"/>
      <c r="I2109" s="6" t="n"/>
      <c r="M2109" s="7" t="n"/>
      <c r="N2109" s="7" t="n"/>
      <c r="O2109" s="7" t="n"/>
      <c r="Q2109" s="7" t="n"/>
      <c r="R2109" s="7" t="n"/>
      <c r="S2109" s="8">
        <f>IF(NOT(ISNUMBER(M2109)),"",IF(G2109="Terreno",IF(AND(ISNUMBER(I2109),I2109&gt;0),M2109/I2109,""),IF(AND(ISNUMBER(H2109),H2109&gt;0),M2109/H2109,"")))</f>
        <v/>
      </c>
      <c r="T2109" s="9">
        <f>IF(AND(ISNUMBER(M2109),ISNUMBER(O2109)),IF(M2109&lt;=O2109,"Valor ≤ venal IPTU",""),"")</f>
        <v/>
      </c>
      <c r="U2109" s="10">
        <f>IF(AND(ISNUMBER(M2109),ISNUMBER(N2109)),IF(N2109&gt;0,M2109/N2109,""),"")</f>
        <v/>
      </c>
      <c r="V2109" s="10">
        <f>IF(AND(ISNUMBER(M2109),ISNUMBER(O2109)),IF(O2109&gt;0,M2109/O2109,""),"")</f>
        <v/>
      </c>
      <c r="W2109" s="10">
        <f>IF(AND(ISNUMBER(M2109),ISNUMBER(R2109)),IF(R2109&gt;0,M2109/R2109,""),"")</f>
        <v/>
      </c>
      <c r="X2109" s="10">
        <f>IF(AND(ISNUMBER(Q2109),ISNUMBER(M2109)),IF(M2109&gt;0,Q2109/M2109,""),"")</f>
        <v/>
      </c>
      <c r="Y2109" s="11">
        <f>IF(ISNUMBER(Z2109),YEAR(Z2109),"")</f>
        <v/>
      </c>
      <c r="Z2109" s="12" t="n"/>
      <c r="AA2109" s="12" t="n"/>
      <c r="AI2109" s="12" t="n"/>
      <c r="AJ2109" s="13">
        <f>IF(LEN(TRIM(AF2109))=0,"",HYPERLINK("https://www.google.com/maps/@?api=1&amp;map_action=pano&amp;viewpoint="&amp;SUBSTITUTE(AF2109," ",""),"Abrir Street View"))</f>
        <v/>
      </c>
    </row>
    <row r="2110">
      <c r="H2110" s="6" t="n"/>
      <c r="I2110" s="6" t="n"/>
      <c r="M2110" s="7" t="n"/>
      <c r="N2110" s="7" t="n"/>
      <c r="O2110" s="7" t="n"/>
      <c r="Q2110" s="7" t="n"/>
      <c r="R2110" s="7" t="n"/>
      <c r="S2110" s="8">
        <f>IF(NOT(ISNUMBER(M2110)),"",IF(G2110="Terreno",IF(AND(ISNUMBER(I2110),I2110&gt;0),M2110/I2110,""),IF(AND(ISNUMBER(H2110),H2110&gt;0),M2110/H2110,"")))</f>
        <v/>
      </c>
      <c r="T2110" s="9">
        <f>IF(AND(ISNUMBER(M2110),ISNUMBER(O2110)),IF(M2110&lt;=O2110,"Valor ≤ venal IPTU",""),"")</f>
        <v/>
      </c>
      <c r="U2110" s="10">
        <f>IF(AND(ISNUMBER(M2110),ISNUMBER(N2110)),IF(N2110&gt;0,M2110/N2110,""),"")</f>
        <v/>
      </c>
      <c r="V2110" s="10">
        <f>IF(AND(ISNUMBER(M2110),ISNUMBER(O2110)),IF(O2110&gt;0,M2110/O2110,""),"")</f>
        <v/>
      </c>
      <c r="W2110" s="10">
        <f>IF(AND(ISNUMBER(M2110),ISNUMBER(R2110)),IF(R2110&gt;0,M2110/R2110,""),"")</f>
        <v/>
      </c>
      <c r="X2110" s="10">
        <f>IF(AND(ISNUMBER(Q2110),ISNUMBER(M2110)),IF(M2110&gt;0,Q2110/M2110,""),"")</f>
        <v/>
      </c>
      <c r="Y2110" s="11">
        <f>IF(ISNUMBER(Z2110),YEAR(Z2110),"")</f>
        <v/>
      </c>
      <c r="Z2110" s="12" t="n"/>
      <c r="AA2110" s="12" t="n"/>
      <c r="AI2110" s="12" t="n"/>
      <c r="AJ2110" s="13">
        <f>IF(LEN(TRIM(AF2110))=0,"",HYPERLINK("https://www.google.com/maps/@?api=1&amp;map_action=pano&amp;viewpoint="&amp;SUBSTITUTE(AF2110," ",""),"Abrir Street View"))</f>
        <v/>
      </c>
    </row>
    <row r="2111">
      <c r="H2111" s="6" t="n"/>
      <c r="I2111" s="6" t="n"/>
      <c r="M2111" s="7" t="n"/>
      <c r="N2111" s="7" t="n"/>
      <c r="O2111" s="7" t="n"/>
      <c r="Q2111" s="7" t="n"/>
      <c r="R2111" s="7" t="n"/>
      <c r="S2111" s="8">
        <f>IF(NOT(ISNUMBER(M2111)),"",IF(G2111="Terreno",IF(AND(ISNUMBER(I2111),I2111&gt;0),M2111/I2111,""),IF(AND(ISNUMBER(H2111),H2111&gt;0),M2111/H2111,"")))</f>
        <v/>
      </c>
      <c r="T2111" s="9">
        <f>IF(AND(ISNUMBER(M2111),ISNUMBER(O2111)),IF(M2111&lt;=O2111,"Valor ≤ venal IPTU",""),"")</f>
        <v/>
      </c>
      <c r="U2111" s="10">
        <f>IF(AND(ISNUMBER(M2111),ISNUMBER(N2111)),IF(N2111&gt;0,M2111/N2111,""),"")</f>
        <v/>
      </c>
      <c r="V2111" s="10">
        <f>IF(AND(ISNUMBER(M2111),ISNUMBER(O2111)),IF(O2111&gt;0,M2111/O2111,""),"")</f>
        <v/>
      </c>
      <c r="W2111" s="10">
        <f>IF(AND(ISNUMBER(M2111),ISNUMBER(R2111)),IF(R2111&gt;0,M2111/R2111,""),"")</f>
        <v/>
      </c>
      <c r="X2111" s="10">
        <f>IF(AND(ISNUMBER(Q2111),ISNUMBER(M2111)),IF(M2111&gt;0,Q2111/M2111,""),"")</f>
        <v/>
      </c>
      <c r="Y2111" s="11">
        <f>IF(ISNUMBER(Z2111),YEAR(Z2111),"")</f>
        <v/>
      </c>
      <c r="Z2111" s="12" t="n"/>
      <c r="AA2111" s="12" t="n"/>
      <c r="AI2111" s="12" t="n"/>
      <c r="AJ2111" s="13">
        <f>IF(LEN(TRIM(AF2111))=0,"",HYPERLINK("https://www.google.com/maps/@?api=1&amp;map_action=pano&amp;viewpoint="&amp;SUBSTITUTE(AF2111," ",""),"Abrir Street View"))</f>
        <v/>
      </c>
    </row>
    <row r="2112">
      <c r="H2112" s="6" t="n"/>
      <c r="I2112" s="6" t="n"/>
      <c r="M2112" s="7" t="n"/>
      <c r="N2112" s="7" t="n"/>
      <c r="O2112" s="7" t="n"/>
      <c r="Q2112" s="7" t="n"/>
      <c r="R2112" s="7" t="n"/>
      <c r="S2112" s="8">
        <f>IF(NOT(ISNUMBER(M2112)),"",IF(G2112="Terreno",IF(AND(ISNUMBER(I2112),I2112&gt;0),M2112/I2112,""),IF(AND(ISNUMBER(H2112),H2112&gt;0),M2112/H2112,"")))</f>
        <v/>
      </c>
      <c r="T2112" s="9">
        <f>IF(AND(ISNUMBER(M2112),ISNUMBER(O2112)),IF(M2112&lt;=O2112,"Valor ≤ venal IPTU",""),"")</f>
        <v/>
      </c>
      <c r="U2112" s="10">
        <f>IF(AND(ISNUMBER(M2112),ISNUMBER(N2112)),IF(N2112&gt;0,M2112/N2112,""),"")</f>
        <v/>
      </c>
      <c r="V2112" s="10">
        <f>IF(AND(ISNUMBER(M2112),ISNUMBER(O2112)),IF(O2112&gt;0,M2112/O2112,""),"")</f>
        <v/>
      </c>
      <c r="W2112" s="10">
        <f>IF(AND(ISNUMBER(M2112),ISNUMBER(R2112)),IF(R2112&gt;0,M2112/R2112,""),"")</f>
        <v/>
      </c>
      <c r="X2112" s="10">
        <f>IF(AND(ISNUMBER(Q2112),ISNUMBER(M2112)),IF(M2112&gt;0,Q2112/M2112,""),"")</f>
        <v/>
      </c>
      <c r="Y2112" s="11">
        <f>IF(ISNUMBER(Z2112),YEAR(Z2112),"")</f>
        <v/>
      </c>
      <c r="Z2112" s="12" t="n"/>
      <c r="AA2112" s="12" t="n"/>
      <c r="AI2112" s="12" t="n"/>
      <c r="AJ2112" s="13">
        <f>IF(LEN(TRIM(AF2112))=0,"",HYPERLINK("https://www.google.com/maps/@?api=1&amp;map_action=pano&amp;viewpoint="&amp;SUBSTITUTE(AF2112," ",""),"Abrir Street View"))</f>
        <v/>
      </c>
    </row>
    <row r="2113">
      <c r="H2113" s="6" t="n"/>
      <c r="I2113" s="6" t="n"/>
      <c r="M2113" s="7" t="n"/>
      <c r="N2113" s="7" t="n"/>
      <c r="O2113" s="7" t="n"/>
      <c r="Q2113" s="7" t="n"/>
      <c r="R2113" s="7" t="n"/>
      <c r="S2113" s="8">
        <f>IF(NOT(ISNUMBER(M2113)),"",IF(G2113="Terreno",IF(AND(ISNUMBER(I2113),I2113&gt;0),M2113/I2113,""),IF(AND(ISNUMBER(H2113),H2113&gt;0),M2113/H2113,"")))</f>
        <v/>
      </c>
      <c r="T2113" s="9">
        <f>IF(AND(ISNUMBER(M2113),ISNUMBER(O2113)),IF(M2113&lt;=O2113,"Valor ≤ venal IPTU",""),"")</f>
        <v/>
      </c>
      <c r="U2113" s="10">
        <f>IF(AND(ISNUMBER(M2113),ISNUMBER(N2113)),IF(N2113&gt;0,M2113/N2113,""),"")</f>
        <v/>
      </c>
      <c r="V2113" s="10">
        <f>IF(AND(ISNUMBER(M2113),ISNUMBER(O2113)),IF(O2113&gt;0,M2113/O2113,""),"")</f>
        <v/>
      </c>
      <c r="W2113" s="10">
        <f>IF(AND(ISNUMBER(M2113),ISNUMBER(R2113)),IF(R2113&gt;0,M2113/R2113,""),"")</f>
        <v/>
      </c>
      <c r="X2113" s="10">
        <f>IF(AND(ISNUMBER(Q2113),ISNUMBER(M2113)),IF(M2113&gt;0,Q2113/M2113,""),"")</f>
        <v/>
      </c>
      <c r="Y2113" s="11">
        <f>IF(ISNUMBER(Z2113),YEAR(Z2113),"")</f>
        <v/>
      </c>
      <c r="Z2113" s="12" t="n"/>
      <c r="AA2113" s="12" t="n"/>
      <c r="AI2113" s="12" t="n"/>
      <c r="AJ2113" s="13">
        <f>IF(LEN(TRIM(AF2113))=0,"",HYPERLINK("https://www.google.com/maps/@?api=1&amp;map_action=pano&amp;viewpoint="&amp;SUBSTITUTE(AF2113," ",""),"Abrir Street View"))</f>
        <v/>
      </c>
    </row>
    <row r="2114">
      <c r="H2114" s="6" t="n"/>
      <c r="I2114" s="6" t="n"/>
      <c r="M2114" s="7" t="n"/>
      <c r="N2114" s="7" t="n"/>
      <c r="O2114" s="7" t="n"/>
      <c r="Q2114" s="7" t="n"/>
      <c r="R2114" s="7" t="n"/>
      <c r="S2114" s="8">
        <f>IF(NOT(ISNUMBER(M2114)),"",IF(G2114="Terreno",IF(AND(ISNUMBER(I2114),I2114&gt;0),M2114/I2114,""),IF(AND(ISNUMBER(H2114),H2114&gt;0),M2114/H2114,"")))</f>
        <v/>
      </c>
      <c r="T2114" s="9">
        <f>IF(AND(ISNUMBER(M2114),ISNUMBER(O2114)),IF(M2114&lt;=O2114,"Valor ≤ venal IPTU",""),"")</f>
        <v/>
      </c>
      <c r="U2114" s="10">
        <f>IF(AND(ISNUMBER(M2114),ISNUMBER(N2114)),IF(N2114&gt;0,M2114/N2114,""),"")</f>
        <v/>
      </c>
      <c r="V2114" s="10">
        <f>IF(AND(ISNUMBER(M2114),ISNUMBER(O2114)),IF(O2114&gt;0,M2114/O2114,""),"")</f>
        <v/>
      </c>
      <c r="W2114" s="10">
        <f>IF(AND(ISNUMBER(M2114),ISNUMBER(R2114)),IF(R2114&gt;0,M2114/R2114,""),"")</f>
        <v/>
      </c>
      <c r="X2114" s="10">
        <f>IF(AND(ISNUMBER(Q2114),ISNUMBER(M2114)),IF(M2114&gt;0,Q2114/M2114,""),"")</f>
        <v/>
      </c>
      <c r="Y2114" s="11">
        <f>IF(ISNUMBER(Z2114),YEAR(Z2114),"")</f>
        <v/>
      </c>
      <c r="Z2114" s="12" t="n"/>
      <c r="AA2114" s="12" t="n"/>
      <c r="AI2114" s="12" t="n"/>
      <c r="AJ2114" s="13">
        <f>IF(LEN(TRIM(AF2114))=0,"",HYPERLINK("https://www.google.com/maps/@?api=1&amp;map_action=pano&amp;viewpoint="&amp;SUBSTITUTE(AF2114," ",""),"Abrir Street View"))</f>
        <v/>
      </c>
    </row>
    <row r="2115">
      <c r="H2115" s="6" t="n"/>
      <c r="I2115" s="6" t="n"/>
      <c r="M2115" s="7" t="n"/>
      <c r="N2115" s="7" t="n"/>
      <c r="O2115" s="7" t="n"/>
      <c r="Q2115" s="7" t="n"/>
      <c r="R2115" s="7" t="n"/>
      <c r="S2115" s="8">
        <f>IF(NOT(ISNUMBER(M2115)),"",IF(G2115="Terreno",IF(AND(ISNUMBER(I2115),I2115&gt;0),M2115/I2115,""),IF(AND(ISNUMBER(H2115),H2115&gt;0),M2115/H2115,"")))</f>
        <v/>
      </c>
      <c r="T2115" s="9">
        <f>IF(AND(ISNUMBER(M2115),ISNUMBER(O2115)),IF(M2115&lt;=O2115,"Valor ≤ venal IPTU",""),"")</f>
        <v/>
      </c>
      <c r="U2115" s="10">
        <f>IF(AND(ISNUMBER(M2115),ISNUMBER(N2115)),IF(N2115&gt;0,M2115/N2115,""),"")</f>
        <v/>
      </c>
      <c r="V2115" s="10">
        <f>IF(AND(ISNUMBER(M2115),ISNUMBER(O2115)),IF(O2115&gt;0,M2115/O2115,""),"")</f>
        <v/>
      </c>
      <c r="W2115" s="10">
        <f>IF(AND(ISNUMBER(M2115),ISNUMBER(R2115)),IF(R2115&gt;0,M2115/R2115,""),"")</f>
        <v/>
      </c>
      <c r="X2115" s="10">
        <f>IF(AND(ISNUMBER(Q2115),ISNUMBER(M2115)),IF(M2115&gt;0,Q2115/M2115,""),"")</f>
        <v/>
      </c>
      <c r="Y2115" s="11">
        <f>IF(ISNUMBER(Z2115),YEAR(Z2115),"")</f>
        <v/>
      </c>
      <c r="Z2115" s="12" t="n"/>
      <c r="AA2115" s="12" t="n"/>
      <c r="AI2115" s="12" t="n"/>
      <c r="AJ2115" s="13">
        <f>IF(LEN(TRIM(AF2115))=0,"",HYPERLINK("https://www.google.com/maps/@?api=1&amp;map_action=pano&amp;viewpoint="&amp;SUBSTITUTE(AF2115," ",""),"Abrir Street View"))</f>
        <v/>
      </c>
    </row>
    <row r="2116">
      <c r="H2116" s="6" t="n"/>
      <c r="I2116" s="6" t="n"/>
      <c r="M2116" s="7" t="n"/>
      <c r="N2116" s="7" t="n"/>
      <c r="O2116" s="7" t="n"/>
      <c r="Q2116" s="7" t="n"/>
      <c r="R2116" s="7" t="n"/>
      <c r="S2116" s="8">
        <f>IF(NOT(ISNUMBER(M2116)),"",IF(G2116="Terreno",IF(AND(ISNUMBER(I2116),I2116&gt;0),M2116/I2116,""),IF(AND(ISNUMBER(H2116),H2116&gt;0),M2116/H2116,"")))</f>
        <v/>
      </c>
      <c r="T2116" s="9">
        <f>IF(AND(ISNUMBER(M2116),ISNUMBER(O2116)),IF(M2116&lt;=O2116,"Valor ≤ venal IPTU",""),"")</f>
        <v/>
      </c>
      <c r="U2116" s="10">
        <f>IF(AND(ISNUMBER(M2116),ISNUMBER(N2116)),IF(N2116&gt;0,M2116/N2116,""),"")</f>
        <v/>
      </c>
      <c r="V2116" s="10">
        <f>IF(AND(ISNUMBER(M2116),ISNUMBER(O2116)),IF(O2116&gt;0,M2116/O2116,""),"")</f>
        <v/>
      </c>
      <c r="W2116" s="10">
        <f>IF(AND(ISNUMBER(M2116),ISNUMBER(R2116)),IF(R2116&gt;0,M2116/R2116,""),"")</f>
        <v/>
      </c>
      <c r="X2116" s="10">
        <f>IF(AND(ISNUMBER(Q2116),ISNUMBER(M2116)),IF(M2116&gt;0,Q2116/M2116,""),"")</f>
        <v/>
      </c>
      <c r="Y2116" s="11">
        <f>IF(ISNUMBER(Z2116),YEAR(Z2116),"")</f>
        <v/>
      </c>
      <c r="Z2116" s="12" t="n"/>
      <c r="AA2116" s="12" t="n"/>
      <c r="AI2116" s="12" t="n"/>
      <c r="AJ2116" s="13">
        <f>IF(LEN(TRIM(AF2116))=0,"",HYPERLINK("https://www.google.com/maps/@?api=1&amp;map_action=pano&amp;viewpoint="&amp;SUBSTITUTE(AF2116," ",""),"Abrir Street View"))</f>
        <v/>
      </c>
    </row>
    <row r="2117">
      <c r="H2117" s="6" t="n"/>
      <c r="I2117" s="6" t="n"/>
      <c r="M2117" s="7" t="n"/>
      <c r="N2117" s="7" t="n"/>
      <c r="O2117" s="7" t="n"/>
      <c r="Q2117" s="7" t="n"/>
      <c r="R2117" s="7" t="n"/>
      <c r="S2117" s="8">
        <f>IF(NOT(ISNUMBER(M2117)),"",IF(G2117="Terreno",IF(AND(ISNUMBER(I2117),I2117&gt;0),M2117/I2117,""),IF(AND(ISNUMBER(H2117),H2117&gt;0),M2117/H2117,"")))</f>
        <v/>
      </c>
      <c r="T2117" s="9">
        <f>IF(AND(ISNUMBER(M2117),ISNUMBER(O2117)),IF(M2117&lt;=O2117,"Valor ≤ venal IPTU",""),"")</f>
        <v/>
      </c>
      <c r="U2117" s="10">
        <f>IF(AND(ISNUMBER(M2117),ISNUMBER(N2117)),IF(N2117&gt;0,M2117/N2117,""),"")</f>
        <v/>
      </c>
      <c r="V2117" s="10">
        <f>IF(AND(ISNUMBER(M2117),ISNUMBER(O2117)),IF(O2117&gt;0,M2117/O2117,""),"")</f>
        <v/>
      </c>
      <c r="W2117" s="10">
        <f>IF(AND(ISNUMBER(M2117),ISNUMBER(R2117)),IF(R2117&gt;0,M2117/R2117,""),"")</f>
        <v/>
      </c>
      <c r="X2117" s="10">
        <f>IF(AND(ISNUMBER(Q2117),ISNUMBER(M2117)),IF(M2117&gt;0,Q2117/M2117,""),"")</f>
        <v/>
      </c>
      <c r="Y2117" s="11">
        <f>IF(ISNUMBER(Z2117),YEAR(Z2117),"")</f>
        <v/>
      </c>
      <c r="Z2117" s="12" t="n"/>
      <c r="AA2117" s="12" t="n"/>
      <c r="AI2117" s="12" t="n"/>
      <c r="AJ2117" s="13">
        <f>IF(LEN(TRIM(AF2117))=0,"",HYPERLINK("https://www.google.com/maps/@?api=1&amp;map_action=pano&amp;viewpoint="&amp;SUBSTITUTE(AF2117," ",""),"Abrir Street View"))</f>
        <v/>
      </c>
    </row>
    <row r="2118">
      <c r="H2118" s="6" t="n"/>
      <c r="I2118" s="6" t="n"/>
      <c r="M2118" s="7" t="n"/>
      <c r="N2118" s="7" t="n"/>
      <c r="O2118" s="7" t="n"/>
      <c r="Q2118" s="7" t="n"/>
      <c r="R2118" s="7" t="n"/>
      <c r="S2118" s="8">
        <f>IF(NOT(ISNUMBER(M2118)),"",IF(G2118="Terreno",IF(AND(ISNUMBER(I2118),I2118&gt;0),M2118/I2118,""),IF(AND(ISNUMBER(H2118),H2118&gt;0),M2118/H2118,"")))</f>
        <v/>
      </c>
      <c r="T2118" s="9">
        <f>IF(AND(ISNUMBER(M2118),ISNUMBER(O2118)),IF(M2118&lt;=O2118,"Valor ≤ venal IPTU",""),"")</f>
        <v/>
      </c>
      <c r="U2118" s="10">
        <f>IF(AND(ISNUMBER(M2118),ISNUMBER(N2118)),IF(N2118&gt;0,M2118/N2118,""),"")</f>
        <v/>
      </c>
      <c r="V2118" s="10">
        <f>IF(AND(ISNUMBER(M2118),ISNUMBER(O2118)),IF(O2118&gt;0,M2118/O2118,""),"")</f>
        <v/>
      </c>
      <c r="W2118" s="10">
        <f>IF(AND(ISNUMBER(M2118),ISNUMBER(R2118)),IF(R2118&gt;0,M2118/R2118,""),"")</f>
        <v/>
      </c>
      <c r="X2118" s="10">
        <f>IF(AND(ISNUMBER(Q2118),ISNUMBER(M2118)),IF(M2118&gt;0,Q2118/M2118,""),"")</f>
        <v/>
      </c>
      <c r="Y2118" s="11">
        <f>IF(ISNUMBER(Z2118),YEAR(Z2118),"")</f>
        <v/>
      </c>
      <c r="Z2118" s="12" t="n"/>
      <c r="AA2118" s="12" t="n"/>
      <c r="AI2118" s="12" t="n"/>
      <c r="AJ2118" s="13">
        <f>IF(LEN(TRIM(AF2118))=0,"",HYPERLINK("https://www.google.com/maps/@?api=1&amp;map_action=pano&amp;viewpoint="&amp;SUBSTITUTE(AF2118," ",""),"Abrir Street View"))</f>
        <v/>
      </c>
    </row>
    <row r="2119">
      <c r="H2119" s="6" t="n"/>
      <c r="I2119" s="6" t="n"/>
      <c r="M2119" s="7" t="n"/>
      <c r="N2119" s="7" t="n"/>
      <c r="O2119" s="7" t="n"/>
      <c r="Q2119" s="7" t="n"/>
      <c r="R2119" s="7" t="n"/>
      <c r="S2119" s="8">
        <f>IF(NOT(ISNUMBER(M2119)),"",IF(G2119="Terreno",IF(AND(ISNUMBER(I2119),I2119&gt;0),M2119/I2119,""),IF(AND(ISNUMBER(H2119),H2119&gt;0),M2119/H2119,"")))</f>
        <v/>
      </c>
      <c r="T2119" s="9">
        <f>IF(AND(ISNUMBER(M2119),ISNUMBER(O2119)),IF(M2119&lt;=O2119,"Valor ≤ venal IPTU",""),"")</f>
        <v/>
      </c>
      <c r="U2119" s="10">
        <f>IF(AND(ISNUMBER(M2119),ISNUMBER(N2119)),IF(N2119&gt;0,M2119/N2119,""),"")</f>
        <v/>
      </c>
      <c r="V2119" s="10">
        <f>IF(AND(ISNUMBER(M2119),ISNUMBER(O2119)),IF(O2119&gt;0,M2119/O2119,""),"")</f>
        <v/>
      </c>
      <c r="W2119" s="10">
        <f>IF(AND(ISNUMBER(M2119),ISNUMBER(R2119)),IF(R2119&gt;0,M2119/R2119,""),"")</f>
        <v/>
      </c>
      <c r="X2119" s="10">
        <f>IF(AND(ISNUMBER(Q2119),ISNUMBER(M2119)),IF(M2119&gt;0,Q2119/M2119,""),"")</f>
        <v/>
      </c>
      <c r="Y2119" s="11">
        <f>IF(ISNUMBER(Z2119),YEAR(Z2119),"")</f>
        <v/>
      </c>
      <c r="Z2119" s="12" t="n"/>
      <c r="AA2119" s="12" t="n"/>
      <c r="AI2119" s="12" t="n"/>
      <c r="AJ2119" s="13">
        <f>IF(LEN(TRIM(AF2119))=0,"",HYPERLINK("https://www.google.com/maps/@?api=1&amp;map_action=pano&amp;viewpoint="&amp;SUBSTITUTE(AF2119," ",""),"Abrir Street View"))</f>
        <v/>
      </c>
    </row>
    <row r="2120">
      <c r="H2120" s="6" t="n"/>
      <c r="I2120" s="6" t="n"/>
      <c r="M2120" s="7" t="n"/>
      <c r="N2120" s="7" t="n"/>
      <c r="O2120" s="7" t="n"/>
      <c r="Q2120" s="7" t="n"/>
      <c r="R2120" s="7" t="n"/>
      <c r="S2120" s="8">
        <f>IF(NOT(ISNUMBER(M2120)),"",IF(G2120="Terreno",IF(AND(ISNUMBER(I2120),I2120&gt;0),M2120/I2120,""),IF(AND(ISNUMBER(H2120),H2120&gt;0),M2120/H2120,"")))</f>
        <v/>
      </c>
      <c r="T2120" s="9">
        <f>IF(AND(ISNUMBER(M2120),ISNUMBER(O2120)),IF(M2120&lt;=O2120,"Valor ≤ venal IPTU",""),"")</f>
        <v/>
      </c>
      <c r="U2120" s="10">
        <f>IF(AND(ISNUMBER(M2120),ISNUMBER(N2120)),IF(N2120&gt;0,M2120/N2120,""),"")</f>
        <v/>
      </c>
      <c r="V2120" s="10">
        <f>IF(AND(ISNUMBER(M2120),ISNUMBER(O2120)),IF(O2120&gt;0,M2120/O2120,""),"")</f>
        <v/>
      </c>
      <c r="W2120" s="10">
        <f>IF(AND(ISNUMBER(M2120),ISNUMBER(R2120)),IF(R2120&gt;0,M2120/R2120,""),"")</f>
        <v/>
      </c>
      <c r="X2120" s="10">
        <f>IF(AND(ISNUMBER(Q2120),ISNUMBER(M2120)),IF(M2120&gt;0,Q2120/M2120,""),"")</f>
        <v/>
      </c>
      <c r="Y2120" s="11">
        <f>IF(ISNUMBER(Z2120),YEAR(Z2120),"")</f>
        <v/>
      </c>
      <c r="Z2120" s="12" t="n"/>
      <c r="AA2120" s="12" t="n"/>
      <c r="AI2120" s="12" t="n"/>
      <c r="AJ2120" s="13">
        <f>IF(LEN(TRIM(AF2120))=0,"",HYPERLINK("https://www.google.com/maps/@?api=1&amp;map_action=pano&amp;viewpoint="&amp;SUBSTITUTE(AF2120," ",""),"Abrir Street View"))</f>
        <v/>
      </c>
    </row>
    <row r="2121">
      <c r="H2121" s="6" t="n"/>
      <c r="I2121" s="6" t="n"/>
      <c r="M2121" s="7" t="n"/>
      <c r="N2121" s="7" t="n"/>
      <c r="O2121" s="7" t="n"/>
      <c r="Q2121" s="7" t="n"/>
      <c r="R2121" s="7" t="n"/>
      <c r="S2121" s="8">
        <f>IF(NOT(ISNUMBER(M2121)),"",IF(G2121="Terreno",IF(AND(ISNUMBER(I2121),I2121&gt;0),M2121/I2121,""),IF(AND(ISNUMBER(H2121),H2121&gt;0),M2121/H2121,"")))</f>
        <v/>
      </c>
      <c r="T2121" s="9">
        <f>IF(AND(ISNUMBER(M2121),ISNUMBER(O2121)),IF(M2121&lt;=O2121,"Valor ≤ venal IPTU",""),"")</f>
        <v/>
      </c>
      <c r="U2121" s="10">
        <f>IF(AND(ISNUMBER(M2121),ISNUMBER(N2121)),IF(N2121&gt;0,M2121/N2121,""),"")</f>
        <v/>
      </c>
      <c r="V2121" s="10">
        <f>IF(AND(ISNUMBER(M2121),ISNUMBER(O2121)),IF(O2121&gt;0,M2121/O2121,""),"")</f>
        <v/>
      </c>
      <c r="W2121" s="10">
        <f>IF(AND(ISNUMBER(M2121),ISNUMBER(R2121)),IF(R2121&gt;0,M2121/R2121,""),"")</f>
        <v/>
      </c>
      <c r="X2121" s="10">
        <f>IF(AND(ISNUMBER(Q2121),ISNUMBER(M2121)),IF(M2121&gt;0,Q2121/M2121,""),"")</f>
        <v/>
      </c>
      <c r="Y2121" s="11">
        <f>IF(ISNUMBER(Z2121),YEAR(Z2121),"")</f>
        <v/>
      </c>
      <c r="Z2121" s="12" t="n"/>
      <c r="AA2121" s="12" t="n"/>
      <c r="AI2121" s="12" t="n"/>
      <c r="AJ2121" s="13">
        <f>IF(LEN(TRIM(AF2121))=0,"",HYPERLINK("https://www.google.com/maps/@?api=1&amp;map_action=pano&amp;viewpoint="&amp;SUBSTITUTE(AF2121," ",""),"Abrir Street View"))</f>
        <v/>
      </c>
    </row>
    <row r="2122">
      <c r="H2122" s="6" t="n"/>
      <c r="I2122" s="6" t="n"/>
      <c r="M2122" s="7" t="n"/>
      <c r="N2122" s="7" t="n"/>
      <c r="O2122" s="7" t="n"/>
      <c r="Q2122" s="7" t="n"/>
      <c r="R2122" s="7" t="n"/>
      <c r="S2122" s="8">
        <f>IF(NOT(ISNUMBER(M2122)),"",IF(G2122="Terreno",IF(AND(ISNUMBER(I2122),I2122&gt;0),M2122/I2122,""),IF(AND(ISNUMBER(H2122),H2122&gt;0),M2122/H2122,"")))</f>
        <v/>
      </c>
      <c r="T2122" s="9">
        <f>IF(AND(ISNUMBER(M2122),ISNUMBER(O2122)),IF(M2122&lt;=O2122,"Valor ≤ venal IPTU",""),"")</f>
        <v/>
      </c>
      <c r="U2122" s="10">
        <f>IF(AND(ISNUMBER(M2122),ISNUMBER(N2122)),IF(N2122&gt;0,M2122/N2122,""),"")</f>
        <v/>
      </c>
      <c r="V2122" s="10">
        <f>IF(AND(ISNUMBER(M2122),ISNUMBER(O2122)),IF(O2122&gt;0,M2122/O2122,""),"")</f>
        <v/>
      </c>
      <c r="W2122" s="10">
        <f>IF(AND(ISNUMBER(M2122),ISNUMBER(R2122)),IF(R2122&gt;0,M2122/R2122,""),"")</f>
        <v/>
      </c>
      <c r="X2122" s="10">
        <f>IF(AND(ISNUMBER(Q2122),ISNUMBER(M2122)),IF(M2122&gt;0,Q2122/M2122,""),"")</f>
        <v/>
      </c>
      <c r="Y2122" s="11">
        <f>IF(ISNUMBER(Z2122),YEAR(Z2122),"")</f>
        <v/>
      </c>
      <c r="Z2122" s="12" t="n"/>
      <c r="AA2122" s="12" t="n"/>
      <c r="AI2122" s="12" t="n"/>
      <c r="AJ2122" s="13">
        <f>IF(LEN(TRIM(AF2122))=0,"",HYPERLINK("https://www.google.com/maps/@?api=1&amp;map_action=pano&amp;viewpoint="&amp;SUBSTITUTE(AF2122," ",""),"Abrir Street View"))</f>
        <v/>
      </c>
    </row>
    <row r="2123">
      <c r="H2123" s="6" t="n"/>
      <c r="I2123" s="6" t="n"/>
      <c r="M2123" s="7" t="n"/>
      <c r="N2123" s="7" t="n"/>
      <c r="O2123" s="7" t="n"/>
      <c r="Q2123" s="7" t="n"/>
      <c r="R2123" s="7" t="n"/>
      <c r="S2123" s="8">
        <f>IF(NOT(ISNUMBER(M2123)),"",IF(G2123="Terreno",IF(AND(ISNUMBER(I2123),I2123&gt;0),M2123/I2123,""),IF(AND(ISNUMBER(H2123),H2123&gt;0),M2123/H2123,"")))</f>
        <v/>
      </c>
      <c r="T2123" s="9">
        <f>IF(AND(ISNUMBER(M2123),ISNUMBER(O2123)),IF(M2123&lt;=O2123,"Valor ≤ venal IPTU",""),"")</f>
        <v/>
      </c>
      <c r="U2123" s="10">
        <f>IF(AND(ISNUMBER(M2123),ISNUMBER(N2123)),IF(N2123&gt;0,M2123/N2123,""),"")</f>
        <v/>
      </c>
      <c r="V2123" s="10">
        <f>IF(AND(ISNUMBER(M2123),ISNUMBER(O2123)),IF(O2123&gt;0,M2123/O2123,""),"")</f>
        <v/>
      </c>
      <c r="W2123" s="10">
        <f>IF(AND(ISNUMBER(M2123),ISNUMBER(R2123)),IF(R2123&gt;0,M2123/R2123,""),"")</f>
        <v/>
      </c>
      <c r="X2123" s="10">
        <f>IF(AND(ISNUMBER(Q2123),ISNUMBER(M2123)),IF(M2123&gt;0,Q2123/M2123,""),"")</f>
        <v/>
      </c>
      <c r="Y2123" s="11">
        <f>IF(ISNUMBER(Z2123),YEAR(Z2123),"")</f>
        <v/>
      </c>
      <c r="Z2123" s="12" t="n"/>
      <c r="AA2123" s="12" t="n"/>
      <c r="AI2123" s="12" t="n"/>
      <c r="AJ2123" s="13">
        <f>IF(LEN(TRIM(AF2123))=0,"",HYPERLINK("https://www.google.com/maps/@?api=1&amp;map_action=pano&amp;viewpoint="&amp;SUBSTITUTE(AF2123," ",""),"Abrir Street View"))</f>
        <v/>
      </c>
    </row>
    <row r="2124">
      <c r="H2124" s="6" t="n"/>
      <c r="I2124" s="6" t="n"/>
      <c r="M2124" s="7" t="n"/>
      <c r="N2124" s="7" t="n"/>
      <c r="O2124" s="7" t="n"/>
      <c r="Q2124" s="7" t="n"/>
      <c r="R2124" s="7" t="n"/>
      <c r="S2124" s="8">
        <f>IF(NOT(ISNUMBER(M2124)),"",IF(G2124="Terreno",IF(AND(ISNUMBER(I2124),I2124&gt;0),M2124/I2124,""),IF(AND(ISNUMBER(H2124),H2124&gt;0),M2124/H2124,"")))</f>
        <v/>
      </c>
      <c r="T2124" s="9">
        <f>IF(AND(ISNUMBER(M2124),ISNUMBER(O2124)),IF(M2124&lt;=O2124,"Valor ≤ venal IPTU",""),"")</f>
        <v/>
      </c>
      <c r="U2124" s="10">
        <f>IF(AND(ISNUMBER(M2124),ISNUMBER(N2124)),IF(N2124&gt;0,M2124/N2124,""),"")</f>
        <v/>
      </c>
      <c r="V2124" s="10">
        <f>IF(AND(ISNUMBER(M2124),ISNUMBER(O2124)),IF(O2124&gt;0,M2124/O2124,""),"")</f>
        <v/>
      </c>
      <c r="W2124" s="10">
        <f>IF(AND(ISNUMBER(M2124),ISNUMBER(R2124)),IF(R2124&gt;0,M2124/R2124,""),"")</f>
        <v/>
      </c>
      <c r="X2124" s="10">
        <f>IF(AND(ISNUMBER(Q2124),ISNUMBER(M2124)),IF(M2124&gt;0,Q2124/M2124,""),"")</f>
        <v/>
      </c>
      <c r="Y2124" s="11">
        <f>IF(ISNUMBER(Z2124),YEAR(Z2124),"")</f>
        <v/>
      </c>
      <c r="Z2124" s="12" t="n"/>
      <c r="AA2124" s="12" t="n"/>
      <c r="AI2124" s="12" t="n"/>
      <c r="AJ2124" s="13">
        <f>IF(LEN(TRIM(AF2124))=0,"",HYPERLINK("https://www.google.com/maps/@?api=1&amp;map_action=pano&amp;viewpoint="&amp;SUBSTITUTE(AF2124," ",""),"Abrir Street View"))</f>
        <v/>
      </c>
    </row>
    <row r="2125">
      <c r="H2125" s="6" t="n"/>
      <c r="I2125" s="6" t="n"/>
      <c r="M2125" s="7" t="n"/>
      <c r="N2125" s="7" t="n"/>
      <c r="O2125" s="7" t="n"/>
      <c r="Q2125" s="7" t="n"/>
      <c r="R2125" s="7" t="n"/>
      <c r="S2125" s="8">
        <f>IF(NOT(ISNUMBER(M2125)),"",IF(G2125="Terreno",IF(AND(ISNUMBER(I2125),I2125&gt;0),M2125/I2125,""),IF(AND(ISNUMBER(H2125),H2125&gt;0),M2125/H2125,"")))</f>
        <v/>
      </c>
      <c r="T2125" s="9">
        <f>IF(AND(ISNUMBER(M2125),ISNUMBER(O2125)),IF(M2125&lt;=O2125,"Valor ≤ venal IPTU",""),"")</f>
        <v/>
      </c>
      <c r="U2125" s="10">
        <f>IF(AND(ISNUMBER(M2125),ISNUMBER(N2125)),IF(N2125&gt;0,M2125/N2125,""),"")</f>
        <v/>
      </c>
      <c r="V2125" s="10">
        <f>IF(AND(ISNUMBER(M2125),ISNUMBER(O2125)),IF(O2125&gt;0,M2125/O2125,""),"")</f>
        <v/>
      </c>
      <c r="W2125" s="10">
        <f>IF(AND(ISNUMBER(M2125),ISNUMBER(R2125)),IF(R2125&gt;0,M2125/R2125,""),"")</f>
        <v/>
      </c>
      <c r="X2125" s="10">
        <f>IF(AND(ISNUMBER(Q2125),ISNUMBER(M2125)),IF(M2125&gt;0,Q2125/M2125,""),"")</f>
        <v/>
      </c>
      <c r="Y2125" s="11">
        <f>IF(ISNUMBER(Z2125),YEAR(Z2125),"")</f>
        <v/>
      </c>
      <c r="Z2125" s="12" t="n"/>
      <c r="AA2125" s="12" t="n"/>
      <c r="AI2125" s="12" t="n"/>
      <c r="AJ2125" s="13">
        <f>IF(LEN(TRIM(AF2125))=0,"",HYPERLINK("https://www.google.com/maps/@?api=1&amp;map_action=pano&amp;viewpoint="&amp;SUBSTITUTE(AF2125," ",""),"Abrir Street View"))</f>
        <v/>
      </c>
    </row>
    <row r="2126">
      <c r="H2126" s="6" t="n"/>
      <c r="I2126" s="6" t="n"/>
      <c r="M2126" s="7" t="n"/>
      <c r="N2126" s="7" t="n"/>
      <c r="O2126" s="7" t="n"/>
      <c r="Q2126" s="7" t="n"/>
      <c r="R2126" s="7" t="n"/>
      <c r="S2126" s="8">
        <f>IF(NOT(ISNUMBER(M2126)),"",IF(G2126="Terreno",IF(AND(ISNUMBER(I2126),I2126&gt;0),M2126/I2126,""),IF(AND(ISNUMBER(H2126),H2126&gt;0),M2126/H2126,"")))</f>
        <v/>
      </c>
      <c r="T2126" s="9">
        <f>IF(AND(ISNUMBER(M2126),ISNUMBER(O2126)),IF(M2126&lt;=O2126,"Valor ≤ venal IPTU",""),"")</f>
        <v/>
      </c>
      <c r="U2126" s="10">
        <f>IF(AND(ISNUMBER(M2126),ISNUMBER(N2126)),IF(N2126&gt;0,M2126/N2126,""),"")</f>
        <v/>
      </c>
      <c r="V2126" s="10">
        <f>IF(AND(ISNUMBER(M2126),ISNUMBER(O2126)),IF(O2126&gt;0,M2126/O2126,""),"")</f>
        <v/>
      </c>
      <c r="W2126" s="10">
        <f>IF(AND(ISNUMBER(M2126),ISNUMBER(R2126)),IF(R2126&gt;0,M2126/R2126,""),"")</f>
        <v/>
      </c>
      <c r="X2126" s="10">
        <f>IF(AND(ISNUMBER(Q2126),ISNUMBER(M2126)),IF(M2126&gt;0,Q2126/M2126,""),"")</f>
        <v/>
      </c>
      <c r="Y2126" s="11">
        <f>IF(ISNUMBER(Z2126),YEAR(Z2126),"")</f>
        <v/>
      </c>
      <c r="Z2126" s="12" t="n"/>
      <c r="AA2126" s="12" t="n"/>
      <c r="AI2126" s="12" t="n"/>
      <c r="AJ2126" s="13">
        <f>IF(LEN(TRIM(AF2126))=0,"",HYPERLINK("https://www.google.com/maps/@?api=1&amp;map_action=pano&amp;viewpoint="&amp;SUBSTITUTE(AF2126," ",""),"Abrir Street View"))</f>
        <v/>
      </c>
    </row>
    <row r="2127">
      <c r="H2127" s="6" t="n"/>
      <c r="I2127" s="6" t="n"/>
      <c r="M2127" s="7" t="n"/>
      <c r="N2127" s="7" t="n"/>
      <c r="O2127" s="7" t="n"/>
      <c r="Q2127" s="7" t="n"/>
      <c r="R2127" s="7" t="n"/>
      <c r="S2127" s="8">
        <f>IF(NOT(ISNUMBER(M2127)),"",IF(G2127="Terreno",IF(AND(ISNUMBER(I2127),I2127&gt;0),M2127/I2127,""),IF(AND(ISNUMBER(H2127),H2127&gt;0),M2127/H2127,"")))</f>
        <v/>
      </c>
      <c r="T2127" s="9">
        <f>IF(AND(ISNUMBER(M2127),ISNUMBER(O2127)),IF(M2127&lt;=O2127,"Valor ≤ venal IPTU",""),"")</f>
        <v/>
      </c>
      <c r="U2127" s="10">
        <f>IF(AND(ISNUMBER(M2127),ISNUMBER(N2127)),IF(N2127&gt;0,M2127/N2127,""),"")</f>
        <v/>
      </c>
      <c r="V2127" s="10">
        <f>IF(AND(ISNUMBER(M2127),ISNUMBER(O2127)),IF(O2127&gt;0,M2127/O2127,""),"")</f>
        <v/>
      </c>
      <c r="W2127" s="10">
        <f>IF(AND(ISNUMBER(M2127),ISNUMBER(R2127)),IF(R2127&gt;0,M2127/R2127,""),"")</f>
        <v/>
      </c>
      <c r="X2127" s="10">
        <f>IF(AND(ISNUMBER(Q2127),ISNUMBER(M2127)),IF(M2127&gt;0,Q2127/M2127,""),"")</f>
        <v/>
      </c>
      <c r="Y2127" s="11">
        <f>IF(ISNUMBER(Z2127),YEAR(Z2127),"")</f>
        <v/>
      </c>
      <c r="Z2127" s="12" t="n"/>
      <c r="AA2127" s="12" t="n"/>
      <c r="AI2127" s="12" t="n"/>
      <c r="AJ2127" s="13">
        <f>IF(LEN(TRIM(AF2127))=0,"",HYPERLINK("https://www.google.com/maps/@?api=1&amp;map_action=pano&amp;viewpoint="&amp;SUBSTITUTE(AF2127," ",""),"Abrir Street View"))</f>
        <v/>
      </c>
    </row>
    <row r="2128">
      <c r="H2128" s="6" t="n"/>
      <c r="I2128" s="6" t="n"/>
      <c r="M2128" s="7" t="n"/>
      <c r="N2128" s="7" t="n"/>
      <c r="O2128" s="7" t="n"/>
      <c r="Q2128" s="7" t="n"/>
      <c r="R2128" s="7" t="n"/>
      <c r="S2128" s="8">
        <f>IF(NOT(ISNUMBER(M2128)),"",IF(G2128="Terreno",IF(AND(ISNUMBER(I2128),I2128&gt;0),M2128/I2128,""),IF(AND(ISNUMBER(H2128),H2128&gt;0),M2128/H2128,"")))</f>
        <v/>
      </c>
      <c r="T2128" s="9">
        <f>IF(AND(ISNUMBER(M2128),ISNUMBER(O2128)),IF(M2128&lt;=O2128,"Valor ≤ venal IPTU",""),"")</f>
        <v/>
      </c>
      <c r="U2128" s="10">
        <f>IF(AND(ISNUMBER(M2128),ISNUMBER(N2128)),IF(N2128&gt;0,M2128/N2128,""),"")</f>
        <v/>
      </c>
      <c r="V2128" s="10">
        <f>IF(AND(ISNUMBER(M2128),ISNUMBER(O2128)),IF(O2128&gt;0,M2128/O2128,""),"")</f>
        <v/>
      </c>
      <c r="W2128" s="10">
        <f>IF(AND(ISNUMBER(M2128),ISNUMBER(R2128)),IF(R2128&gt;0,M2128/R2128,""),"")</f>
        <v/>
      </c>
      <c r="X2128" s="10">
        <f>IF(AND(ISNUMBER(Q2128),ISNUMBER(M2128)),IF(M2128&gt;0,Q2128/M2128,""),"")</f>
        <v/>
      </c>
      <c r="Y2128" s="11">
        <f>IF(ISNUMBER(Z2128),YEAR(Z2128),"")</f>
        <v/>
      </c>
      <c r="Z2128" s="12" t="n"/>
      <c r="AA2128" s="12" t="n"/>
      <c r="AI2128" s="12" t="n"/>
      <c r="AJ2128" s="13">
        <f>IF(LEN(TRIM(AF2128))=0,"",HYPERLINK("https://www.google.com/maps/@?api=1&amp;map_action=pano&amp;viewpoint="&amp;SUBSTITUTE(AF2128," ",""),"Abrir Street View"))</f>
        <v/>
      </c>
    </row>
    <row r="2129">
      <c r="H2129" s="6" t="n"/>
      <c r="I2129" s="6" t="n"/>
      <c r="M2129" s="7" t="n"/>
      <c r="N2129" s="7" t="n"/>
      <c r="O2129" s="7" t="n"/>
      <c r="Q2129" s="7" t="n"/>
      <c r="R2129" s="7" t="n"/>
      <c r="S2129" s="8">
        <f>IF(NOT(ISNUMBER(M2129)),"",IF(G2129="Terreno",IF(AND(ISNUMBER(I2129),I2129&gt;0),M2129/I2129,""),IF(AND(ISNUMBER(H2129),H2129&gt;0),M2129/H2129,"")))</f>
        <v/>
      </c>
      <c r="T2129" s="9">
        <f>IF(AND(ISNUMBER(M2129),ISNUMBER(O2129)),IF(M2129&lt;=O2129,"Valor ≤ venal IPTU",""),"")</f>
        <v/>
      </c>
      <c r="U2129" s="10">
        <f>IF(AND(ISNUMBER(M2129),ISNUMBER(N2129)),IF(N2129&gt;0,M2129/N2129,""),"")</f>
        <v/>
      </c>
      <c r="V2129" s="10">
        <f>IF(AND(ISNUMBER(M2129),ISNUMBER(O2129)),IF(O2129&gt;0,M2129/O2129,""),"")</f>
        <v/>
      </c>
      <c r="W2129" s="10">
        <f>IF(AND(ISNUMBER(M2129),ISNUMBER(R2129)),IF(R2129&gt;0,M2129/R2129,""),"")</f>
        <v/>
      </c>
      <c r="X2129" s="10">
        <f>IF(AND(ISNUMBER(Q2129),ISNUMBER(M2129)),IF(M2129&gt;0,Q2129/M2129,""),"")</f>
        <v/>
      </c>
      <c r="Y2129" s="11">
        <f>IF(ISNUMBER(Z2129),YEAR(Z2129),"")</f>
        <v/>
      </c>
      <c r="Z2129" s="12" t="n"/>
      <c r="AA2129" s="12" t="n"/>
      <c r="AI2129" s="12" t="n"/>
      <c r="AJ2129" s="13">
        <f>IF(LEN(TRIM(AF2129))=0,"",HYPERLINK("https://www.google.com/maps/@?api=1&amp;map_action=pano&amp;viewpoint="&amp;SUBSTITUTE(AF2129," ",""),"Abrir Street View"))</f>
        <v/>
      </c>
    </row>
    <row r="2130">
      <c r="H2130" s="6" t="n"/>
      <c r="I2130" s="6" t="n"/>
      <c r="M2130" s="7" t="n"/>
      <c r="N2130" s="7" t="n"/>
      <c r="O2130" s="7" t="n"/>
      <c r="Q2130" s="7" t="n"/>
      <c r="R2130" s="7" t="n"/>
      <c r="S2130" s="8">
        <f>IF(NOT(ISNUMBER(M2130)),"",IF(G2130="Terreno",IF(AND(ISNUMBER(I2130),I2130&gt;0),M2130/I2130,""),IF(AND(ISNUMBER(H2130),H2130&gt;0),M2130/H2130,"")))</f>
        <v/>
      </c>
      <c r="T2130" s="9">
        <f>IF(AND(ISNUMBER(M2130),ISNUMBER(O2130)),IF(M2130&lt;=O2130,"Valor ≤ venal IPTU",""),"")</f>
        <v/>
      </c>
      <c r="U2130" s="10">
        <f>IF(AND(ISNUMBER(M2130),ISNUMBER(N2130)),IF(N2130&gt;0,M2130/N2130,""),"")</f>
        <v/>
      </c>
      <c r="V2130" s="10">
        <f>IF(AND(ISNUMBER(M2130),ISNUMBER(O2130)),IF(O2130&gt;0,M2130/O2130,""),"")</f>
        <v/>
      </c>
      <c r="W2130" s="10">
        <f>IF(AND(ISNUMBER(M2130),ISNUMBER(R2130)),IF(R2130&gt;0,M2130/R2130,""),"")</f>
        <v/>
      </c>
      <c r="X2130" s="10">
        <f>IF(AND(ISNUMBER(Q2130),ISNUMBER(M2130)),IF(M2130&gt;0,Q2130/M2130,""),"")</f>
        <v/>
      </c>
      <c r="Y2130" s="11">
        <f>IF(ISNUMBER(Z2130),YEAR(Z2130),"")</f>
        <v/>
      </c>
      <c r="Z2130" s="12" t="n"/>
      <c r="AA2130" s="12" t="n"/>
      <c r="AI2130" s="12" t="n"/>
      <c r="AJ2130" s="13">
        <f>IF(LEN(TRIM(AF2130))=0,"",HYPERLINK("https://www.google.com/maps/@?api=1&amp;map_action=pano&amp;viewpoint="&amp;SUBSTITUTE(AF2130," ",""),"Abrir Street View"))</f>
        <v/>
      </c>
    </row>
    <row r="2131">
      <c r="H2131" s="6" t="n"/>
      <c r="I2131" s="6" t="n"/>
      <c r="M2131" s="7" t="n"/>
      <c r="N2131" s="7" t="n"/>
      <c r="O2131" s="7" t="n"/>
      <c r="Q2131" s="7" t="n"/>
      <c r="R2131" s="7" t="n"/>
      <c r="S2131" s="8">
        <f>IF(NOT(ISNUMBER(M2131)),"",IF(G2131="Terreno",IF(AND(ISNUMBER(I2131),I2131&gt;0),M2131/I2131,""),IF(AND(ISNUMBER(H2131),H2131&gt;0),M2131/H2131,"")))</f>
        <v/>
      </c>
      <c r="T2131" s="9">
        <f>IF(AND(ISNUMBER(M2131),ISNUMBER(O2131)),IF(M2131&lt;=O2131,"Valor ≤ venal IPTU",""),"")</f>
        <v/>
      </c>
      <c r="U2131" s="10">
        <f>IF(AND(ISNUMBER(M2131),ISNUMBER(N2131)),IF(N2131&gt;0,M2131/N2131,""),"")</f>
        <v/>
      </c>
      <c r="V2131" s="10">
        <f>IF(AND(ISNUMBER(M2131),ISNUMBER(O2131)),IF(O2131&gt;0,M2131/O2131,""),"")</f>
        <v/>
      </c>
      <c r="W2131" s="10">
        <f>IF(AND(ISNUMBER(M2131),ISNUMBER(R2131)),IF(R2131&gt;0,M2131/R2131,""),"")</f>
        <v/>
      </c>
      <c r="X2131" s="10">
        <f>IF(AND(ISNUMBER(Q2131),ISNUMBER(M2131)),IF(M2131&gt;0,Q2131/M2131,""),"")</f>
        <v/>
      </c>
      <c r="Y2131" s="11">
        <f>IF(ISNUMBER(Z2131),YEAR(Z2131),"")</f>
        <v/>
      </c>
      <c r="Z2131" s="12" t="n"/>
      <c r="AA2131" s="12" t="n"/>
      <c r="AI2131" s="12" t="n"/>
      <c r="AJ2131" s="13">
        <f>IF(LEN(TRIM(AF2131))=0,"",HYPERLINK("https://www.google.com/maps/@?api=1&amp;map_action=pano&amp;viewpoint="&amp;SUBSTITUTE(AF2131," ",""),"Abrir Street View"))</f>
        <v/>
      </c>
    </row>
    <row r="2132">
      <c r="H2132" s="6" t="n"/>
      <c r="I2132" s="6" t="n"/>
      <c r="M2132" s="7" t="n"/>
      <c r="N2132" s="7" t="n"/>
      <c r="O2132" s="7" t="n"/>
      <c r="Q2132" s="7" t="n"/>
      <c r="R2132" s="7" t="n"/>
      <c r="S2132" s="8">
        <f>IF(NOT(ISNUMBER(M2132)),"",IF(G2132="Terreno",IF(AND(ISNUMBER(I2132),I2132&gt;0),M2132/I2132,""),IF(AND(ISNUMBER(H2132),H2132&gt;0),M2132/H2132,"")))</f>
        <v/>
      </c>
      <c r="T2132" s="9">
        <f>IF(AND(ISNUMBER(M2132),ISNUMBER(O2132)),IF(M2132&lt;=O2132,"Valor ≤ venal IPTU",""),"")</f>
        <v/>
      </c>
      <c r="U2132" s="10">
        <f>IF(AND(ISNUMBER(M2132),ISNUMBER(N2132)),IF(N2132&gt;0,M2132/N2132,""),"")</f>
        <v/>
      </c>
      <c r="V2132" s="10">
        <f>IF(AND(ISNUMBER(M2132),ISNUMBER(O2132)),IF(O2132&gt;0,M2132/O2132,""),"")</f>
        <v/>
      </c>
      <c r="W2132" s="10">
        <f>IF(AND(ISNUMBER(M2132),ISNUMBER(R2132)),IF(R2132&gt;0,M2132/R2132,""),"")</f>
        <v/>
      </c>
      <c r="X2132" s="10">
        <f>IF(AND(ISNUMBER(Q2132),ISNUMBER(M2132)),IF(M2132&gt;0,Q2132/M2132,""),"")</f>
        <v/>
      </c>
      <c r="Y2132" s="11">
        <f>IF(ISNUMBER(Z2132),YEAR(Z2132),"")</f>
        <v/>
      </c>
      <c r="Z2132" s="12" t="n"/>
      <c r="AA2132" s="12" t="n"/>
      <c r="AI2132" s="12" t="n"/>
      <c r="AJ2132" s="13">
        <f>IF(LEN(TRIM(AF2132))=0,"",HYPERLINK("https://www.google.com/maps/@?api=1&amp;map_action=pano&amp;viewpoint="&amp;SUBSTITUTE(AF2132," ",""),"Abrir Street View"))</f>
        <v/>
      </c>
    </row>
    <row r="2133">
      <c r="H2133" s="6" t="n"/>
      <c r="I2133" s="6" t="n"/>
      <c r="M2133" s="7" t="n"/>
      <c r="N2133" s="7" t="n"/>
      <c r="O2133" s="7" t="n"/>
      <c r="Q2133" s="7" t="n"/>
      <c r="R2133" s="7" t="n"/>
      <c r="S2133" s="8">
        <f>IF(NOT(ISNUMBER(M2133)),"",IF(G2133="Terreno",IF(AND(ISNUMBER(I2133),I2133&gt;0),M2133/I2133,""),IF(AND(ISNUMBER(H2133),H2133&gt;0),M2133/H2133,"")))</f>
        <v/>
      </c>
      <c r="T2133" s="9">
        <f>IF(AND(ISNUMBER(M2133),ISNUMBER(O2133)),IF(M2133&lt;=O2133,"Valor ≤ venal IPTU",""),"")</f>
        <v/>
      </c>
      <c r="U2133" s="10">
        <f>IF(AND(ISNUMBER(M2133),ISNUMBER(N2133)),IF(N2133&gt;0,M2133/N2133,""),"")</f>
        <v/>
      </c>
      <c r="V2133" s="10">
        <f>IF(AND(ISNUMBER(M2133),ISNUMBER(O2133)),IF(O2133&gt;0,M2133/O2133,""),"")</f>
        <v/>
      </c>
      <c r="W2133" s="10">
        <f>IF(AND(ISNUMBER(M2133),ISNUMBER(R2133)),IF(R2133&gt;0,M2133/R2133,""),"")</f>
        <v/>
      </c>
      <c r="X2133" s="10">
        <f>IF(AND(ISNUMBER(Q2133),ISNUMBER(M2133)),IF(M2133&gt;0,Q2133/M2133,""),"")</f>
        <v/>
      </c>
      <c r="Y2133" s="11">
        <f>IF(ISNUMBER(Z2133),YEAR(Z2133),"")</f>
        <v/>
      </c>
      <c r="Z2133" s="12" t="n"/>
      <c r="AA2133" s="12" t="n"/>
      <c r="AI2133" s="12" t="n"/>
      <c r="AJ2133" s="13">
        <f>IF(LEN(TRIM(AF2133))=0,"",HYPERLINK("https://www.google.com/maps/@?api=1&amp;map_action=pano&amp;viewpoint="&amp;SUBSTITUTE(AF2133," ",""),"Abrir Street View"))</f>
        <v/>
      </c>
    </row>
    <row r="2134">
      <c r="H2134" s="6" t="n"/>
      <c r="I2134" s="6" t="n"/>
      <c r="M2134" s="7" t="n"/>
      <c r="N2134" s="7" t="n"/>
      <c r="O2134" s="7" t="n"/>
      <c r="Q2134" s="7" t="n"/>
      <c r="R2134" s="7" t="n"/>
      <c r="S2134" s="8">
        <f>IF(NOT(ISNUMBER(M2134)),"",IF(G2134="Terreno",IF(AND(ISNUMBER(I2134),I2134&gt;0),M2134/I2134,""),IF(AND(ISNUMBER(H2134),H2134&gt;0),M2134/H2134,"")))</f>
        <v/>
      </c>
      <c r="T2134" s="9">
        <f>IF(AND(ISNUMBER(M2134),ISNUMBER(O2134)),IF(M2134&lt;=O2134,"Valor ≤ venal IPTU",""),"")</f>
        <v/>
      </c>
      <c r="U2134" s="10">
        <f>IF(AND(ISNUMBER(M2134),ISNUMBER(N2134)),IF(N2134&gt;0,M2134/N2134,""),"")</f>
        <v/>
      </c>
      <c r="V2134" s="10">
        <f>IF(AND(ISNUMBER(M2134),ISNUMBER(O2134)),IF(O2134&gt;0,M2134/O2134,""),"")</f>
        <v/>
      </c>
      <c r="W2134" s="10">
        <f>IF(AND(ISNUMBER(M2134),ISNUMBER(R2134)),IF(R2134&gt;0,M2134/R2134,""),"")</f>
        <v/>
      </c>
      <c r="X2134" s="10">
        <f>IF(AND(ISNUMBER(Q2134),ISNUMBER(M2134)),IF(M2134&gt;0,Q2134/M2134,""),"")</f>
        <v/>
      </c>
      <c r="Y2134" s="11">
        <f>IF(ISNUMBER(Z2134),YEAR(Z2134),"")</f>
        <v/>
      </c>
      <c r="Z2134" s="12" t="n"/>
      <c r="AA2134" s="12" t="n"/>
      <c r="AI2134" s="12" t="n"/>
      <c r="AJ2134" s="13">
        <f>IF(LEN(TRIM(AF2134))=0,"",HYPERLINK("https://www.google.com/maps/@?api=1&amp;map_action=pano&amp;viewpoint="&amp;SUBSTITUTE(AF2134," ",""),"Abrir Street View"))</f>
        <v/>
      </c>
    </row>
    <row r="2135">
      <c r="H2135" s="6" t="n"/>
      <c r="I2135" s="6" t="n"/>
      <c r="M2135" s="7" t="n"/>
      <c r="N2135" s="7" t="n"/>
      <c r="O2135" s="7" t="n"/>
      <c r="Q2135" s="7" t="n"/>
      <c r="R2135" s="7" t="n"/>
      <c r="S2135" s="8">
        <f>IF(NOT(ISNUMBER(M2135)),"",IF(G2135="Terreno",IF(AND(ISNUMBER(I2135),I2135&gt;0),M2135/I2135,""),IF(AND(ISNUMBER(H2135),H2135&gt;0),M2135/H2135,"")))</f>
        <v/>
      </c>
      <c r="T2135" s="9">
        <f>IF(AND(ISNUMBER(M2135),ISNUMBER(O2135)),IF(M2135&lt;=O2135,"Valor ≤ venal IPTU",""),"")</f>
        <v/>
      </c>
      <c r="U2135" s="10">
        <f>IF(AND(ISNUMBER(M2135),ISNUMBER(N2135)),IF(N2135&gt;0,M2135/N2135,""),"")</f>
        <v/>
      </c>
      <c r="V2135" s="10">
        <f>IF(AND(ISNUMBER(M2135),ISNUMBER(O2135)),IF(O2135&gt;0,M2135/O2135,""),"")</f>
        <v/>
      </c>
      <c r="W2135" s="10">
        <f>IF(AND(ISNUMBER(M2135),ISNUMBER(R2135)),IF(R2135&gt;0,M2135/R2135,""),"")</f>
        <v/>
      </c>
      <c r="X2135" s="10">
        <f>IF(AND(ISNUMBER(Q2135),ISNUMBER(M2135)),IF(M2135&gt;0,Q2135/M2135,""),"")</f>
        <v/>
      </c>
      <c r="Y2135" s="11">
        <f>IF(ISNUMBER(Z2135),YEAR(Z2135),"")</f>
        <v/>
      </c>
      <c r="Z2135" s="12" t="n"/>
      <c r="AA2135" s="12" t="n"/>
      <c r="AI2135" s="12" t="n"/>
      <c r="AJ2135" s="13">
        <f>IF(LEN(TRIM(AF2135))=0,"",HYPERLINK("https://www.google.com/maps/@?api=1&amp;map_action=pano&amp;viewpoint="&amp;SUBSTITUTE(AF2135," ",""),"Abrir Street View"))</f>
        <v/>
      </c>
    </row>
    <row r="2136">
      <c r="H2136" s="6" t="n"/>
      <c r="I2136" s="6" t="n"/>
      <c r="M2136" s="7" t="n"/>
      <c r="N2136" s="7" t="n"/>
      <c r="O2136" s="7" t="n"/>
      <c r="Q2136" s="7" t="n"/>
      <c r="R2136" s="7" t="n"/>
      <c r="S2136" s="8">
        <f>IF(NOT(ISNUMBER(M2136)),"",IF(G2136="Terreno",IF(AND(ISNUMBER(I2136),I2136&gt;0),M2136/I2136,""),IF(AND(ISNUMBER(H2136),H2136&gt;0),M2136/H2136,"")))</f>
        <v/>
      </c>
      <c r="T2136" s="9">
        <f>IF(AND(ISNUMBER(M2136),ISNUMBER(O2136)),IF(M2136&lt;=O2136,"Valor ≤ venal IPTU",""),"")</f>
        <v/>
      </c>
      <c r="U2136" s="10">
        <f>IF(AND(ISNUMBER(M2136),ISNUMBER(N2136)),IF(N2136&gt;0,M2136/N2136,""),"")</f>
        <v/>
      </c>
      <c r="V2136" s="10">
        <f>IF(AND(ISNUMBER(M2136),ISNUMBER(O2136)),IF(O2136&gt;0,M2136/O2136,""),"")</f>
        <v/>
      </c>
      <c r="W2136" s="10">
        <f>IF(AND(ISNUMBER(M2136),ISNUMBER(R2136)),IF(R2136&gt;0,M2136/R2136,""),"")</f>
        <v/>
      </c>
      <c r="X2136" s="10">
        <f>IF(AND(ISNUMBER(Q2136),ISNUMBER(M2136)),IF(M2136&gt;0,Q2136/M2136,""),"")</f>
        <v/>
      </c>
      <c r="Y2136" s="11">
        <f>IF(ISNUMBER(Z2136),YEAR(Z2136),"")</f>
        <v/>
      </c>
      <c r="Z2136" s="12" t="n"/>
      <c r="AA2136" s="12" t="n"/>
      <c r="AI2136" s="12" t="n"/>
      <c r="AJ2136" s="13">
        <f>IF(LEN(TRIM(AF2136))=0,"",HYPERLINK("https://www.google.com/maps/@?api=1&amp;map_action=pano&amp;viewpoint="&amp;SUBSTITUTE(AF2136," ",""),"Abrir Street View"))</f>
        <v/>
      </c>
    </row>
    <row r="2137">
      <c r="H2137" s="6" t="n"/>
      <c r="I2137" s="6" t="n"/>
      <c r="M2137" s="7" t="n"/>
      <c r="N2137" s="7" t="n"/>
      <c r="O2137" s="7" t="n"/>
      <c r="Q2137" s="7" t="n"/>
      <c r="R2137" s="7" t="n"/>
      <c r="S2137" s="8">
        <f>IF(NOT(ISNUMBER(M2137)),"",IF(G2137="Terreno",IF(AND(ISNUMBER(I2137),I2137&gt;0),M2137/I2137,""),IF(AND(ISNUMBER(H2137),H2137&gt;0),M2137/H2137,"")))</f>
        <v/>
      </c>
      <c r="T2137" s="9">
        <f>IF(AND(ISNUMBER(M2137),ISNUMBER(O2137)),IF(M2137&lt;=O2137,"Valor ≤ venal IPTU",""),"")</f>
        <v/>
      </c>
      <c r="U2137" s="10">
        <f>IF(AND(ISNUMBER(M2137),ISNUMBER(N2137)),IF(N2137&gt;0,M2137/N2137,""),"")</f>
        <v/>
      </c>
      <c r="V2137" s="10">
        <f>IF(AND(ISNUMBER(M2137),ISNUMBER(O2137)),IF(O2137&gt;0,M2137/O2137,""),"")</f>
        <v/>
      </c>
      <c r="W2137" s="10">
        <f>IF(AND(ISNUMBER(M2137),ISNUMBER(R2137)),IF(R2137&gt;0,M2137/R2137,""),"")</f>
        <v/>
      </c>
      <c r="X2137" s="10">
        <f>IF(AND(ISNUMBER(Q2137),ISNUMBER(M2137)),IF(M2137&gt;0,Q2137/M2137,""),"")</f>
        <v/>
      </c>
      <c r="Y2137" s="11">
        <f>IF(ISNUMBER(Z2137),YEAR(Z2137),"")</f>
        <v/>
      </c>
      <c r="Z2137" s="12" t="n"/>
      <c r="AA2137" s="12" t="n"/>
      <c r="AI2137" s="12" t="n"/>
      <c r="AJ2137" s="13">
        <f>IF(LEN(TRIM(AF2137))=0,"",HYPERLINK("https://www.google.com/maps/@?api=1&amp;map_action=pano&amp;viewpoint="&amp;SUBSTITUTE(AF2137," ",""),"Abrir Street View"))</f>
        <v/>
      </c>
    </row>
    <row r="2138">
      <c r="H2138" s="6" t="n"/>
      <c r="I2138" s="6" t="n"/>
      <c r="M2138" s="7" t="n"/>
      <c r="N2138" s="7" t="n"/>
      <c r="O2138" s="7" t="n"/>
      <c r="Q2138" s="7" t="n"/>
      <c r="R2138" s="7" t="n"/>
      <c r="S2138" s="8">
        <f>IF(NOT(ISNUMBER(M2138)),"",IF(G2138="Terreno",IF(AND(ISNUMBER(I2138),I2138&gt;0),M2138/I2138,""),IF(AND(ISNUMBER(H2138),H2138&gt;0),M2138/H2138,"")))</f>
        <v/>
      </c>
      <c r="T2138" s="9">
        <f>IF(AND(ISNUMBER(M2138),ISNUMBER(O2138)),IF(M2138&lt;=O2138,"Valor ≤ venal IPTU",""),"")</f>
        <v/>
      </c>
      <c r="U2138" s="10">
        <f>IF(AND(ISNUMBER(M2138),ISNUMBER(N2138)),IF(N2138&gt;0,M2138/N2138,""),"")</f>
        <v/>
      </c>
      <c r="V2138" s="10">
        <f>IF(AND(ISNUMBER(M2138),ISNUMBER(O2138)),IF(O2138&gt;0,M2138/O2138,""),"")</f>
        <v/>
      </c>
      <c r="W2138" s="10">
        <f>IF(AND(ISNUMBER(M2138),ISNUMBER(R2138)),IF(R2138&gt;0,M2138/R2138,""),"")</f>
        <v/>
      </c>
      <c r="X2138" s="10">
        <f>IF(AND(ISNUMBER(Q2138),ISNUMBER(M2138)),IF(M2138&gt;0,Q2138/M2138,""),"")</f>
        <v/>
      </c>
      <c r="Y2138" s="11">
        <f>IF(ISNUMBER(Z2138),YEAR(Z2138),"")</f>
        <v/>
      </c>
      <c r="Z2138" s="12" t="n"/>
      <c r="AA2138" s="12" t="n"/>
      <c r="AI2138" s="12" t="n"/>
      <c r="AJ2138" s="13">
        <f>IF(LEN(TRIM(AF2138))=0,"",HYPERLINK("https://www.google.com/maps/@?api=1&amp;map_action=pano&amp;viewpoint="&amp;SUBSTITUTE(AF2138," ",""),"Abrir Street View"))</f>
        <v/>
      </c>
    </row>
    <row r="2139">
      <c r="H2139" s="6" t="n"/>
      <c r="I2139" s="6" t="n"/>
      <c r="M2139" s="7" t="n"/>
      <c r="N2139" s="7" t="n"/>
      <c r="O2139" s="7" t="n"/>
      <c r="Q2139" s="7" t="n"/>
      <c r="R2139" s="7" t="n"/>
      <c r="S2139" s="8">
        <f>IF(NOT(ISNUMBER(M2139)),"",IF(G2139="Terreno",IF(AND(ISNUMBER(I2139),I2139&gt;0),M2139/I2139,""),IF(AND(ISNUMBER(H2139),H2139&gt;0),M2139/H2139,"")))</f>
        <v/>
      </c>
      <c r="T2139" s="9">
        <f>IF(AND(ISNUMBER(M2139),ISNUMBER(O2139)),IF(M2139&lt;=O2139,"Valor ≤ venal IPTU",""),"")</f>
        <v/>
      </c>
      <c r="U2139" s="10">
        <f>IF(AND(ISNUMBER(M2139),ISNUMBER(N2139)),IF(N2139&gt;0,M2139/N2139,""),"")</f>
        <v/>
      </c>
      <c r="V2139" s="10">
        <f>IF(AND(ISNUMBER(M2139),ISNUMBER(O2139)),IF(O2139&gt;0,M2139/O2139,""),"")</f>
        <v/>
      </c>
      <c r="W2139" s="10">
        <f>IF(AND(ISNUMBER(M2139),ISNUMBER(R2139)),IF(R2139&gt;0,M2139/R2139,""),"")</f>
        <v/>
      </c>
      <c r="X2139" s="10">
        <f>IF(AND(ISNUMBER(Q2139),ISNUMBER(M2139)),IF(M2139&gt;0,Q2139/M2139,""),"")</f>
        <v/>
      </c>
      <c r="Y2139" s="11">
        <f>IF(ISNUMBER(Z2139),YEAR(Z2139),"")</f>
        <v/>
      </c>
      <c r="Z2139" s="12" t="n"/>
      <c r="AA2139" s="12" t="n"/>
      <c r="AI2139" s="12" t="n"/>
      <c r="AJ2139" s="13">
        <f>IF(LEN(TRIM(AF2139))=0,"",HYPERLINK("https://www.google.com/maps/@?api=1&amp;map_action=pano&amp;viewpoint="&amp;SUBSTITUTE(AF2139," ",""),"Abrir Street View"))</f>
        <v/>
      </c>
    </row>
    <row r="2140">
      <c r="H2140" s="6" t="n"/>
      <c r="I2140" s="6" t="n"/>
      <c r="M2140" s="7" t="n"/>
      <c r="N2140" s="7" t="n"/>
      <c r="O2140" s="7" t="n"/>
      <c r="Q2140" s="7" t="n"/>
      <c r="R2140" s="7" t="n"/>
      <c r="S2140" s="8">
        <f>IF(NOT(ISNUMBER(M2140)),"",IF(G2140="Terreno",IF(AND(ISNUMBER(I2140),I2140&gt;0),M2140/I2140,""),IF(AND(ISNUMBER(H2140),H2140&gt;0),M2140/H2140,"")))</f>
        <v/>
      </c>
      <c r="T2140" s="9">
        <f>IF(AND(ISNUMBER(M2140),ISNUMBER(O2140)),IF(M2140&lt;=O2140,"Valor ≤ venal IPTU",""),"")</f>
        <v/>
      </c>
      <c r="U2140" s="10">
        <f>IF(AND(ISNUMBER(M2140),ISNUMBER(N2140)),IF(N2140&gt;0,M2140/N2140,""),"")</f>
        <v/>
      </c>
      <c r="V2140" s="10">
        <f>IF(AND(ISNUMBER(M2140),ISNUMBER(O2140)),IF(O2140&gt;0,M2140/O2140,""),"")</f>
        <v/>
      </c>
      <c r="W2140" s="10">
        <f>IF(AND(ISNUMBER(M2140),ISNUMBER(R2140)),IF(R2140&gt;0,M2140/R2140,""),"")</f>
        <v/>
      </c>
      <c r="X2140" s="10">
        <f>IF(AND(ISNUMBER(Q2140),ISNUMBER(M2140)),IF(M2140&gt;0,Q2140/M2140,""),"")</f>
        <v/>
      </c>
      <c r="Y2140" s="11">
        <f>IF(ISNUMBER(Z2140),YEAR(Z2140),"")</f>
        <v/>
      </c>
      <c r="Z2140" s="12" t="n"/>
      <c r="AA2140" s="12" t="n"/>
      <c r="AI2140" s="12" t="n"/>
      <c r="AJ2140" s="13">
        <f>IF(LEN(TRIM(AF2140))=0,"",HYPERLINK("https://www.google.com/maps/@?api=1&amp;map_action=pano&amp;viewpoint="&amp;SUBSTITUTE(AF2140," ",""),"Abrir Street View"))</f>
        <v/>
      </c>
    </row>
    <row r="2141">
      <c r="H2141" s="6" t="n"/>
      <c r="I2141" s="6" t="n"/>
      <c r="M2141" s="7" t="n"/>
      <c r="N2141" s="7" t="n"/>
      <c r="O2141" s="7" t="n"/>
      <c r="Q2141" s="7" t="n"/>
      <c r="R2141" s="7" t="n"/>
      <c r="S2141" s="8">
        <f>IF(NOT(ISNUMBER(M2141)),"",IF(G2141="Terreno",IF(AND(ISNUMBER(I2141),I2141&gt;0),M2141/I2141,""),IF(AND(ISNUMBER(H2141),H2141&gt;0),M2141/H2141,"")))</f>
        <v/>
      </c>
      <c r="T2141" s="9">
        <f>IF(AND(ISNUMBER(M2141),ISNUMBER(O2141)),IF(M2141&lt;=O2141,"Valor ≤ venal IPTU",""),"")</f>
        <v/>
      </c>
      <c r="U2141" s="10">
        <f>IF(AND(ISNUMBER(M2141),ISNUMBER(N2141)),IF(N2141&gt;0,M2141/N2141,""),"")</f>
        <v/>
      </c>
      <c r="V2141" s="10">
        <f>IF(AND(ISNUMBER(M2141),ISNUMBER(O2141)),IF(O2141&gt;0,M2141/O2141,""),"")</f>
        <v/>
      </c>
      <c r="W2141" s="10">
        <f>IF(AND(ISNUMBER(M2141),ISNUMBER(R2141)),IF(R2141&gt;0,M2141/R2141,""),"")</f>
        <v/>
      </c>
      <c r="X2141" s="10">
        <f>IF(AND(ISNUMBER(Q2141),ISNUMBER(M2141)),IF(M2141&gt;0,Q2141/M2141,""),"")</f>
        <v/>
      </c>
      <c r="Y2141" s="11">
        <f>IF(ISNUMBER(Z2141),YEAR(Z2141),"")</f>
        <v/>
      </c>
      <c r="Z2141" s="12" t="n"/>
      <c r="AA2141" s="12" t="n"/>
      <c r="AI2141" s="12" t="n"/>
      <c r="AJ2141" s="13">
        <f>IF(LEN(TRIM(AF2141))=0,"",HYPERLINK("https://www.google.com/maps/@?api=1&amp;map_action=pano&amp;viewpoint="&amp;SUBSTITUTE(AF2141," ",""),"Abrir Street View"))</f>
        <v/>
      </c>
    </row>
    <row r="2142">
      <c r="H2142" s="6" t="n"/>
      <c r="I2142" s="6" t="n"/>
      <c r="M2142" s="7" t="n"/>
      <c r="N2142" s="7" t="n"/>
      <c r="O2142" s="7" t="n"/>
      <c r="Q2142" s="7" t="n"/>
      <c r="R2142" s="7" t="n"/>
      <c r="S2142" s="8">
        <f>IF(NOT(ISNUMBER(M2142)),"",IF(G2142="Terreno",IF(AND(ISNUMBER(I2142),I2142&gt;0),M2142/I2142,""),IF(AND(ISNUMBER(H2142),H2142&gt;0),M2142/H2142,"")))</f>
        <v/>
      </c>
      <c r="T2142" s="9">
        <f>IF(AND(ISNUMBER(M2142),ISNUMBER(O2142)),IF(M2142&lt;=O2142,"Valor ≤ venal IPTU",""),"")</f>
        <v/>
      </c>
      <c r="U2142" s="10">
        <f>IF(AND(ISNUMBER(M2142),ISNUMBER(N2142)),IF(N2142&gt;0,M2142/N2142,""),"")</f>
        <v/>
      </c>
      <c r="V2142" s="10">
        <f>IF(AND(ISNUMBER(M2142),ISNUMBER(O2142)),IF(O2142&gt;0,M2142/O2142,""),"")</f>
        <v/>
      </c>
      <c r="W2142" s="10">
        <f>IF(AND(ISNUMBER(M2142),ISNUMBER(R2142)),IF(R2142&gt;0,M2142/R2142,""),"")</f>
        <v/>
      </c>
      <c r="X2142" s="10">
        <f>IF(AND(ISNUMBER(Q2142),ISNUMBER(M2142)),IF(M2142&gt;0,Q2142/M2142,""),"")</f>
        <v/>
      </c>
      <c r="Y2142" s="11">
        <f>IF(ISNUMBER(Z2142),YEAR(Z2142),"")</f>
        <v/>
      </c>
      <c r="Z2142" s="12" t="n"/>
      <c r="AA2142" s="12" t="n"/>
      <c r="AI2142" s="12" t="n"/>
      <c r="AJ2142" s="13">
        <f>IF(LEN(TRIM(AF2142))=0,"",HYPERLINK("https://www.google.com/maps/@?api=1&amp;map_action=pano&amp;viewpoint="&amp;SUBSTITUTE(AF2142," ",""),"Abrir Street View"))</f>
        <v/>
      </c>
    </row>
    <row r="2143">
      <c r="H2143" s="6" t="n"/>
      <c r="I2143" s="6" t="n"/>
      <c r="M2143" s="7" t="n"/>
      <c r="N2143" s="7" t="n"/>
      <c r="O2143" s="7" t="n"/>
      <c r="Q2143" s="7" t="n"/>
      <c r="R2143" s="7" t="n"/>
      <c r="S2143" s="8">
        <f>IF(NOT(ISNUMBER(M2143)),"",IF(G2143="Terreno",IF(AND(ISNUMBER(I2143),I2143&gt;0),M2143/I2143,""),IF(AND(ISNUMBER(H2143),H2143&gt;0),M2143/H2143,"")))</f>
        <v/>
      </c>
      <c r="T2143" s="9">
        <f>IF(AND(ISNUMBER(M2143),ISNUMBER(O2143)),IF(M2143&lt;=O2143,"Valor ≤ venal IPTU",""),"")</f>
        <v/>
      </c>
      <c r="U2143" s="10">
        <f>IF(AND(ISNUMBER(M2143),ISNUMBER(N2143)),IF(N2143&gt;0,M2143/N2143,""),"")</f>
        <v/>
      </c>
      <c r="V2143" s="10">
        <f>IF(AND(ISNUMBER(M2143),ISNUMBER(O2143)),IF(O2143&gt;0,M2143/O2143,""),"")</f>
        <v/>
      </c>
      <c r="W2143" s="10">
        <f>IF(AND(ISNUMBER(M2143),ISNUMBER(R2143)),IF(R2143&gt;0,M2143/R2143,""),"")</f>
        <v/>
      </c>
      <c r="X2143" s="10">
        <f>IF(AND(ISNUMBER(Q2143),ISNUMBER(M2143)),IF(M2143&gt;0,Q2143/M2143,""),"")</f>
        <v/>
      </c>
      <c r="Y2143" s="11">
        <f>IF(ISNUMBER(Z2143),YEAR(Z2143),"")</f>
        <v/>
      </c>
      <c r="Z2143" s="12" t="n"/>
      <c r="AA2143" s="12" t="n"/>
      <c r="AI2143" s="12" t="n"/>
      <c r="AJ2143" s="13">
        <f>IF(LEN(TRIM(AF2143))=0,"",HYPERLINK("https://www.google.com/maps/@?api=1&amp;map_action=pano&amp;viewpoint="&amp;SUBSTITUTE(AF2143," ",""),"Abrir Street View"))</f>
        <v/>
      </c>
    </row>
    <row r="2144">
      <c r="H2144" s="6" t="n"/>
      <c r="I2144" s="6" t="n"/>
      <c r="M2144" s="7" t="n"/>
      <c r="N2144" s="7" t="n"/>
      <c r="O2144" s="7" t="n"/>
      <c r="Q2144" s="7" t="n"/>
      <c r="R2144" s="7" t="n"/>
      <c r="S2144" s="8">
        <f>IF(NOT(ISNUMBER(M2144)),"",IF(G2144="Terreno",IF(AND(ISNUMBER(I2144),I2144&gt;0),M2144/I2144,""),IF(AND(ISNUMBER(H2144),H2144&gt;0),M2144/H2144,"")))</f>
        <v/>
      </c>
      <c r="T2144" s="9">
        <f>IF(AND(ISNUMBER(M2144),ISNUMBER(O2144)),IF(M2144&lt;=O2144,"Valor ≤ venal IPTU",""),"")</f>
        <v/>
      </c>
      <c r="U2144" s="10">
        <f>IF(AND(ISNUMBER(M2144),ISNUMBER(N2144)),IF(N2144&gt;0,M2144/N2144,""),"")</f>
        <v/>
      </c>
      <c r="V2144" s="10">
        <f>IF(AND(ISNUMBER(M2144),ISNUMBER(O2144)),IF(O2144&gt;0,M2144/O2144,""),"")</f>
        <v/>
      </c>
      <c r="W2144" s="10">
        <f>IF(AND(ISNUMBER(M2144),ISNUMBER(R2144)),IF(R2144&gt;0,M2144/R2144,""),"")</f>
        <v/>
      </c>
      <c r="X2144" s="10">
        <f>IF(AND(ISNUMBER(Q2144),ISNUMBER(M2144)),IF(M2144&gt;0,Q2144/M2144,""),"")</f>
        <v/>
      </c>
      <c r="Y2144" s="11">
        <f>IF(ISNUMBER(Z2144),YEAR(Z2144),"")</f>
        <v/>
      </c>
      <c r="Z2144" s="12" t="n"/>
      <c r="AA2144" s="12" t="n"/>
      <c r="AI2144" s="12" t="n"/>
      <c r="AJ2144" s="13">
        <f>IF(LEN(TRIM(AF2144))=0,"",HYPERLINK("https://www.google.com/maps/@?api=1&amp;map_action=pano&amp;viewpoint="&amp;SUBSTITUTE(AF2144," ",""),"Abrir Street View"))</f>
        <v/>
      </c>
    </row>
    <row r="2145">
      <c r="H2145" s="6" t="n"/>
      <c r="I2145" s="6" t="n"/>
      <c r="M2145" s="7" t="n"/>
      <c r="N2145" s="7" t="n"/>
      <c r="O2145" s="7" t="n"/>
      <c r="Q2145" s="7" t="n"/>
      <c r="R2145" s="7" t="n"/>
      <c r="S2145" s="8">
        <f>IF(NOT(ISNUMBER(M2145)),"",IF(G2145="Terreno",IF(AND(ISNUMBER(I2145),I2145&gt;0),M2145/I2145,""),IF(AND(ISNUMBER(H2145),H2145&gt;0),M2145/H2145,"")))</f>
        <v/>
      </c>
      <c r="T2145" s="9">
        <f>IF(AND(ISNUMBER(M2145),ISNUMBER(O2145)),IF(M2145&lt;=O2145,"Valor ≤ venal IPTU",""),"")</f>
        <v/>
      </c>
      <c r="U2145" s="10">
        <f>IF(AND(ISNUMBER(M2145),ISNUMBER(N2145)),IF(N2145&gt;0,M2145/N2145,""),"")</f>
        <v/>
      </c>
      <c r="V2145" s="10">
        <f>IF(AND(ISNUMBER(M2145),ISNUMBER(O2145)),IF(O2145&gt;0,M2145/O2145,""),"")</f>
        <v/>
      </c>
      <c r="W2145" s="10">
        <f>IF(AND(ISNUMBER(M2145),ISNUMBER(R2145)),IF(R2145&gt;0,M2145/R2145,""),"")</f>
        <v/>
      </c>
      <c r="X2145" s="10">
        <f>IF(AND(ISNUMBER(Q2145),ISNUMBER(M2145)),IF(M2145&gt;0,Q2145/M2145,""),"")</f>
        <v/>
      </c>
      <c r="Y2145" s="11">
        <f>IF(ISNUMBER(Z2145),YEAR(Z2145),"")</f>
        <v/>
      </c>
      <c r="Z2145" s="12" t="n"/>
      <c r="AA2145" s="12" t="n"/>
      <c r="AI2145" s="12" t="n"/>
      <c r="AJ2145" s="13">
        <f>IF(LEN(TRIM(AF2145))=0,"",HYPERLINK("https://www.google.com/maps/@?api=1&amp;map_action=pano&amp;viewpoint="&amp;SUBSTITUTE(AF2145," ",""),"Abrir Street View"))</f>
        <v/>
      </c>
    </row>
    <row r="2146">
      <c r="H2146" s="6" t="n"/>
      <c r="I2146" s="6" t="n"/>
      <c r="M2146" s="7" t="n"/>
      <c r="N2146" s="7" t="n"/>
      <c r="O2146" s="7" t="n"/>
      <c r="Q2146" s="7" t="n"/>
      <c r="R2146" s="7" t="n"/>
      <c r="S2146" s="8">
        <f>IF(NOT(ISNUMBER(M2146)),"",IF(G2146="Terreno",IF(AND(ISNUMBER(I2146),I2146&gt;0),M2146/I2146,""),IF(AND(ISNUMBER(H2146),H2146&gt;0),M2146/H2146,"")))</f>
        <v/>
      </c>
      <c r="T2146" s="9">
        <f>IF(AND(ISNUMBER(M2146),ISNUMBER(O2146)),IF(M2146&lt;=O2146,"Valor ≤ venal IPTU",""),"")</f>
        <v/>
      </c>
      <c r="U2146" s="10">
        <f>IF(AND(ISNUMBER(M2146),ISNUMBER(N2146)),IF(N2146&gt;0,M2146/N2146,""),"")</f>
        <v/>
      </c>
      <c r="V2146" s="10">
        <f>IF(AND(ISNUMBER(M2146),ISNUMBER(O2146)),IF(O2146&gt;0,M2146/O2146,""),"")</f>
        <v/>
      </c>
      <c r="W2146" s="10">
        <f>IF(AND(ISNUMBER(M2146),ISNUMBER(R2146)),IF(R2146&gt;0,M2146/R2146,""),"")</f>
        <v/>
      </c>
      <c r="X2146" s="10">
        <f>IF(AND(ISNUMBER(Q2146),ISNUMBER(M2146)),IF(M2146&gt;0,Q2146/M2146,""),"")</f>
        <v/>
      </c>
      <c r="Y2146" s="11">
        <f>IF(ISNUMBER(Z2146),YEAR(Z2146),"")</f>
        <v/>
      </c>
      <c r="Z2146" s="12" t="n"/>
      <c r="AA2146" s="12" t="n"/>
      <c r="AI2146" s="12" t="n"/>
      <c r="AJ2146" s="13">
        <f>IF(LEN(TRIM(AF2146))=0,"",HYPERLINK("https://www.google.com/maps/@?api=1&amp;map_action=pano&amp;viewpoint="&amp;SUBSTITUTE(AF2146," ",""),"Abrir Street View"))</f>
        <v/>
      </c>
    </row>
    <row r="2147">
      <c r="H2147" s="6" t="n"/>
      <c r="I2147" s="6" t="n"/>
      <c r="M2147" s="7" t="n"/>
      <c r="N2147" s="7" t="n"/>
      <c r="O2147" s="7" t="n"/>
      <c r="Q2147" s="7" t="n"/>
      <c r="R2147" s="7" t="n"/>
      <c r="S2147" s="8">
        <f>IF(NOT(ISNUMBER(M2147)),"",IF(G2147="Terreno",IF(AND(ISNUMBER(I2147),I2147&gt;0),M2147/I2147,""),IF(AND(ISNUMBER(H2147),H2147&gt;0),M2147/H2147,"")))</f>
        <v/>
      </c>
      <c r="T2147" s="9">
        <f>IF(AND(ISNUMBER(M2147),ISNUMBER(O2147)),IF(M2147&lt;=O2147,"Valor ≤ venal IPTU",""),"")</f>
        <v/>
      </c>
      <c r="U2147" s="10">
        <f>IF(AND(ISNUMBER(M2147),ISNUMBER(N2147)),IF(N2147&gt;0,M2147/N2147,""),"")</f>
        <v/>
      </c>
      <c r="V2147" s="10">
        <f>IF(AND(ISNUMBER(M2147),ISNUMBER(O2147)),IF(O2147&gt;0,M2147/O2147,""),"")</f>
        <v/>
      </c>
      <c r="W2147" s="10">
        <f>IF(AND(ISNUMBER(M2147),ISNUMBER(R2147)),IF(R2147&gt;0,M2147/R2147,""),"")</f>
        <v/>
      </c>
      <c r="X2147" s="10">
        <f>IF(AND(ISNUMBER(Q2147),ISNUMBER(M2147)),IF(M2147&gt;0,Q2147/M2147,""),"")</f>
        <v/>
      </c>
      <c r="Y2147" s="11">
        <f>IF(ISNUMBER(Z2147),YEAR(Z2147),"")</f>
        <v/>
      </c>
      <c r="Z2147" s="12" t="n"/>
      <c r="AA2147" s="12" t="n"/>
      <c r="AI2147" s="12" t="n"/>
      <c r="AJ2147" s="13">
        <f>IF(LEN(TRIM(AF2147))=0,"",HYPERLINK("https://www.google.com/maps/@?api=1&amp;map_action=pano&amp;viewpoint="&amp;SUBSTITUTE(AF2147," ",""),"Abrir Street View"))</f>
        <v/>
      </c>
    </row>
    <row r="2148">
      <c r="H2148" s="6" t="n"/>
      <c r="I2148" s="6" t="n"/>
      <c r="M2148" s="7" t="n"/>
      <c r="N2148" s="7" t="n"/>
      <c r="O2148" s="7" t="n"/>
      <c r="Q2148" s="7" t="n"/>
      <c r="R2148" s="7" t="n"/>
      <c r="S2148" s="8">
        <f>IF(NOT(ISNUMBER(M2148)),"",IF(G2148="Terreno",IF(AND(ISNUMBER(I2148),I2148&gt;0),M2148/I2148,""),IF(AND(ISNUMBER(H2148),H2148&gt;0),M2148/H2148,"")))</f>
        <v/>
      </c>
      <c r="T2148" s="9">
        <f>IF(AND(ISNUMBER(M2148),ISNUMBER(O2148)),IF(M2148&lt;=O2148,"Valor ≤ venal IPTU",""),"")</f>
        <v/>
      </c>
      <c r="U2148" s="10">
        <f>IF(AND(ISNUMBER(M2148),ISNUMBER(N2148)),IF(N2148&gt;0,M2148/N2148,""),"")</f>
        <v/>
      </c>
      <c r="V2148" s="10">
        <f>IF(AND(ISNUMBER(M2148),ISNUMBER(O2148)),IF(O2148&gt;0,M2148/O2148,""),"")</f>
        <v/>
      </c>
      <c r="W2148" s="10">
        <f>IF(AND(ISNUMBER(M2148),ISNUMBER(R2148)),IF(R2148&gt;0,M2148/R2148,""),"")</f>
        <v/>
      </c>
      <c r="X2148" s="10">
        <f>IF(AND(ISNUMBER(Q2148),ISNUMBER(M2148)),IF(M2148&gt;0,Q2148/M2148,""),"")</f>
        <v/>
      </c>
      <c r="Y2148" s="11">
        <f>IF(ISNUMBER(Z2148),YEAR(Z2148),"")</f>
        <v/>
      </c>
      <c r="Z2148" s="12" t="n"/>
      <c r="AA2148" s="12" t="n"/>
      <c r="AI2148" s="12" t="n"/>
      <c r="AJ2148" s="13">
        <f>IF(LEN(TRIM(AF2148))=0,"",HYPERLINK("https://www.google.com/maps/@?api=1&amp;map_action=pano&amp;viewpoint="&amp;SUBSTITUTE(AF2148," ",""),"Abrir Street View"))</f>
        <v/>
      </c>
    </row>
    <row r="2149">
      <c r="H2149" s="6" t="n"/>
      <c r="I2149" s="6" t="n"/>
      <c r="M2149" s="7" t="n"/>
      <c r="N2149" s="7" t="n"/>
      <c r="O2149" s="7" t="n"/>
      <c r="Q2149" s="7" t="n"/>
      <c r="R2149" s="7" t="n"/>
      <c r="S2149" s="8">
        <f>IF(NOT(ISNUMBER(M2149)),"",IF(G2149="Terreno",IF(AND(ISNUMBER(I2149),I2149&gt;0),M2149/I2149,""),IF(AND(ISNUMBER(H2149),H2149&gt;0),M2149/H2149,"")))</f>
        <v/>
      </c>
      <c r="T2149" s="9">
        <f>IF(AND(ISNUMBER(M2149),ISNUMBER(O2149)),IF(M2149&lt;=O2149,"Valor ≤ venal IPTU",""),"")</f>
        <v/>
      </c>
      <c r="U2149" s="10">
        <f>IF(AND(ISNUMBER(M2149),ISNUMBER(N2149)),IF(N2149&gt;0,M2149/N2149,""),"")</f>
        <v/>
      </c>
      <c r="V2149" s="10">
        <f>IF(AND(ISNUMBER(M2149),ISNUMBER(O2149)),IF(O2149&gt;0,M2149/O2149,""),"")</f>
        <v/>
      </c>
      <c r="W2149" s="10">
        <f>IF(AND(ISNUMBER(M2149),ISNUMBER(R2149)),IF(R2149&gt;0,M2149/R2149,""),"")</f>
        <v/>
      </c>
      <c r="X2149" s="10">
        <f>IF(AND(ISNUMBER(Q2149),ISNUMBER(M2149)),IF(M2149&gt;0,Q2149/M2149,""),"")</f>
        <v/>
      </c>
      <c r="Y2149" s="11">
        <f>IF(ISNUMBER(Z2149),YEAR(Z2149),"")</f>
        <v/>
      </c>
      <c r="Z2149" s="12" t="n"/>
      <c r="AA2149" s="12" t="n"/>
      <c r="AI2149" s="12" t="n"/>
      <c r="AJ2149" s="13">
        <f>IF(LEN(TRIM(AF2149))=0,"",HYPERLINK("https://www.google.com/maps/@?api=1&amp;map_action=pano&amp;viewpoint="&amp;SUBSTITUTE(AF2149," ",""),"Abrir Street View"))</f>
        <v/>
      </c>
    </row>
    <row r="2150">
      <c r="H2150" s="6" t="n"/>
      <c r="I2150" s="6" t="n"/>
      <c r="M2150" s="7" t="n"/>
      <c r="N2150" s="7" t="n"/>
      <c r="O2150" s="7" t="n"/>
      <c r="Q2150" s="7" t="n"/>
      <c r="R2150" s="7" t="n"/>
      <c r="S2150" s="8">
        <f>IF(NOT(ISNUMBER(M2150)),"",IF(G2150="Terreno",IF(AND(ISNUMBER(I2150),I2150&gt;0),M2150/I2150,""),IF(AND(ISNUMBER(H2150),H2150&gt;0),M2150/H2150,"")))</f>
        <v/>
      </c>
      <c r="T2150" s="9">
        <f>IF(AND(ISNUMBER(M2150),ISNUMBER(O2150)),IF(M2150&lt;=O2150,"Valor ≤ venal IPTU",""),"")</f>
        <v/>
      </c>
      <c r="U2150" s="10">
        <f>IF(AND(ISNUMBER(M2150),ISNUMBER(N2150)),IF(N2150&gt;0,M2150/N2150,""),"")</f>
        <v/>
      </c>
      <c r="V2150" s="10">
        <f>IF(AND(ISNUMBER(M2150),ISNUMBER(O2150)),IF(O2150&gt;0,M2150/O2150,""),"")</f>
        <v/>
      </c>
      <c r="W2150" s="10">
        <f>IF(AND(ISNUMBER(M2150),ISNUMBER(R2150)),IF(R2150&gt;0,M2150/R2150,""),"")</f>
        <v/>
      </c>
      <c r="X2150" s="10">
        <f>IF(AND(ISNUMBER(Q2150),ISNUMBER(M2150)),IF(M2150&gt;0,Q2150/M2150,""),"")</f>
        <v/>
      </c>
      <c r="Y2150" s="11">
        <f>IF(ISNUMBER(Z2150),YEAR(Z2150),"")</f>
        <v/>
      </c>
      <c r="Z2150" s="12" t="n"/>
      <c r="AA2150" s="12" t="n"/>
      <c r="AI2150" s="12" t="n"/>
      <c r="AJ2150" s="13">
        <f>IF(LEN(TRIM(AF2150))=0,"",HYPERLINK("https://www.google.com/maps/@?api=1&amp;map_action=pano&amp;viewpoint="&amp;SUBSTITUTE(AF2150," ",""),"Abrir Street View"))</f>
        <v/>
      </c>
    </row>
    <row r="2151">
      <c r="H2151" s="6" t="n"/>
      <c r="I2151" s="6" t="n"/>
      <c r="M2151" s="7" t="n"/>
      <c r="N2151" s="7" t="n"/>
      <c r="O2151" s="7" t="n"/>
      <c r="Q2151" s="7" t="n"/>
      <c r="R2151" s="7" t="n"/>
      <c r="S2151" s="8">
        <f>IF(NOT(ISNUMBER(M2151)),"",IF(G2151="Terreno",IF(AND(ISNUMBER(I2151),I2151&gt;0),M2151/I2151,""),IF(AND(ISNUMBER(H2151),H2151&gt;0),M2151/H2151,"")))</f>
        <v/>
      </c>
      <c r="T2151" s="9">
        <f>IF(AND(ISNUMBER(M2151),ISNUMBER(O2151)),IF(M2151&lt;=O2151,"Valor ≤ venal IPTU",""),"")</f>
        <v/>
      </c>
      <c r="U2151" s="10">
        <f>IF(AND(ISNUMBER(M2151),ISNUMBER(N2151)),IF(N2151&gt;0,M2151/N2151,""),"")</f>
        <v/>
      </c>
      <c r="V2151" s="10">
        <f>IF(AND(ISNUMBER(M2151),ISNUMBER(O2151)),IF(O2151&gt;0,M2151/O2151,""),"")</f>
        <v/>
      </c>
      <c r="W2151" s="10">
        <f>IF(AND(ISNUMBER(M2151),ISNUMBER(R2151)),IF(R2151&gt;0,M2151/R2151,""),"")</f>
        <v/>
      </c>
      <c r="X2151" s="10">
        <f>IF(AND(ISNUMBER(Q2151),ISNUMBER(M2151)),IF(M2151&gt;0,Q2151/M2151,""),"")</f>
        <v/>
      </c>
      <c r="Y2151" s="11">
        <f>IF(ISNUMBER(Z2151),YEAR(Z2151),"")</f>
        <v/>
      </c>
      <c r="Z2151" s="12" t="n"/>
      <c r="AA2151" s="12" t="n"/>
      <c r="AI2151" s="12" t="n"/>
      <c r="AJ2151" s="13">
        <f>IF(LEN(TRIM(AF2151))=0,"",HYPERLINK("https://www.google.com/maps/@?api=1&amp;map_action=pano&amp;viewpoint="&amp;SUBSTITUTE(AF2151," ",""),"Abrir Street View"))</f>
        <v/>
      </c>
    </row>
    <row r="2152">
      <c r="H2152" s="6" t="n"/>
      <c r="I2152" s="6" t="n"/>
      <c r="M2152" s="7" t="n"/>
      <c r="N2152" s="7" t="n"/>
      <c r="O2152" s="7" t="n"/>
      <c r="Q2152" s="7" t="n"/>
      <c r="R2152" s="7" t="n"/>
      <c r="S2152" s="8">
        <f>IF(NOT(ISNUMBER(M2152)),"",IF(G2152="Terreno",IF(AND(ISNUMBER(I2152),I2152&gt;0),M2152/I2152,""),IF(AND(ISNUMBER(H2152),H2152&gt;0),M2152/H2152,"")))</f>
        <v/>
      </c>
      <c r="T2152" s="9">
        <f>IF(AND(ISNUMBER(M2152),ISNUMBER(O2152)),IF(M2152&lt;=O2152,"Valor ≤ venal IPTU",""),"")</f>
        <v/>
      </c>
      <c r="U2152" s="10">
        <f>IF(AND(ISNUMBER(M2152),ISNUMBER(N2152)),IF(N2152&gt;0,M2152/N2152,""),"")</f>
        <v/>
      </c>
      <c r="V2152" s="10">
        <f>IF(AND(ISNUMBER(M2152),ISNUMBER(O2152)),IF(O2152&gt;0,M2152/O2152,""),"")</f>
        <v/>
      </c>
      <c r="W2152" s="10">
        <f>IF(AND(ISNUMBER(M2152),ISNUMBER(R2152)),IF(R2152&gt;0,M2152/R2152,""),"")</f>
        <v/>
      </c>
      <c r="X2152" s="10">
        <f>IF(AND(ISNUMBER(Q2152),ISNUMBER(M2152)),IF(M2152&gt;0,Q2152/M2152,""),"")</f>
        <v/>
      </c>
      <c r="Y2152" s="11">
        <f>IF(ISNUMBER(Z2152),YEAR(Z2152),"")</f>
        <v/>
      </c>
      <c r="Z2152" s="12" t="n"/>
      <c r="AA2152" s="12" t="n"/>
      <c r="AI2152" s="12" t="n"/>
      <c r="AJ2152" s="13">
        <f>IF(LEN(TRIM(AF2152))=0,"",HYPERLINK("https://www.google.com/maps/@?api=1&amp;map_action=pano&amp;viewpoint="&amp;SUBSTITUTE(AF2152," ",""),"Abrir Street View"))</f>
        <v/>
      </c>
    </row>
    <row r="2153">
      <c r="H2153" s="6" t="n"/>
      <c r="I2153" s="6" t="n"/>
      <c r="M2153" s="7" t="n"/>
      <c r="N2153" s="7" t="n"/>
      <c r="O2153" s="7" t="n"/>
      <c r="Q2153" s="7" t="n"/>
      <c r="R2153" s="7" t="n"/>
      <c r="S2153" s="8">
        <f>IF(NOT(ISNUMBER(M2153)),"",IF(G2153="Terreno",IF(AND(ISNUMBER(I2153),I2153&gt;0),M2153/I2153,""),IF(AND(ISNUMBER(H2153),H2153&gt;0),M2153/H2153,"")))</f>
        <v/>
      </c>
      <c r="T2153" s="9">
        <f>IF(AND(ISNUMBER(M2153),ISNUMBER(O2153)),IF(M2153&lt;=O2153,"Valor ≤ venal IPTU",""),"")</f>
        <v/>
      </c>
      <c r="U2153" s="10">
        <f>IF(AND(ISNUMBER(M2153),ISNUMBER(N2153)),IF(N2153&gt;0,M2153/N2153,""),"")</f>
        <v/>
      </c>
      <c r="V2153" s="10">
        <f>IF(AND(ISNUMBER(M2153),ISNUMBER(O2153)),IF(O2153&gt;0,M2153/O2153,""),"")</f>
        <v/>
      </c>
      <c r="W2153" s="10">
        <f>IF(AND(ISNUMBER(M2153),ISNUMBER(R2153)),IF(R2153&gt;0,M2153/R2153,""),"")</f>
        <v/>
      </c>
      <c r="X2153" s="10">
        <f>IF(AND(ISNUMBER(Q2153),ISNUMBER(M2153)),IF(M2153&gt;0,Q2153/M2153,""),"")</f>
        <v/>
      </c>
      <c r="Y2153" s="11">
        <f>IF(ISNUMBER(Z2153),YEAR(Z2153),"")</f>
        <v/>
      </c>
      <c r="Z2153" s="12" t="n"/>
      <c r="AA2153" s="12" t="n"/>
      <c r="AI2153" s="12" t="n"/>
      <c r="AJ2153" s="13">
        <f>IF(LEN(TRIM(AF2153))=0,"",HYPERLINK("https://www.google.com/maps/@?api=1&amp;map_action=pano&amp;viewpoint="&amp;SUBSTITUTE(AF2153," ",""),"Abrir Street View"))</f>
        <v/>
      </c>
    </row>
    <row r="2154">
      <c r="H2154" s="6" t="n"/>
      <c r="I2154" s="6" t="n"/>
      <c r="M2154" s="7" t="n"/>
      <c r="N2154" s="7" t="n"/>
      <c r="O2154" s="7" t="n"/>
      <c r="Q2154" s="7" t="n"/>
      <c r="R2154" s="7" t="n"/>
      <c r="S2154" s="8">
        <f>IF(NOT(ISNUMBER(M2154)),"",IF(G2154="Terreno",IF(AND(ISNUMBER(I2154),I2154&gt;0),M2154/I2154,""),IF(AND(ISNUMBER(H2154),H2154&gt;0),M2154/H2154,"")))</f>
        <v/>
      </c>
      <c r="T2154" s="9">
        <f>IF(AND(ISNUMBER(M2154),ISNUMBER(O2154)),IF(M2154&lt;=O2154,"Valor ≤ venal IPTU",""),"")</f>
        <v/>
      </c>
      <c r="U2154" s="10">
        <f>IF(AND(ISNUMBER(M2154),ISNUMBER(N2154)),IF(N2154&gt;0,M2154/N2154,""),"")</f>
        <v/>
      </c>
      <c r="V2154" s="10">
        <f>IF(AND(ISNUMBER(M2154),ISNUMBER(O2154)),IF(O2154&gt;0,M2154/O2154,""),"")</f>
        <v/>
      </c>
      <c r="W2154" s="10">
        <f>IF(AND(ISNUMBER(M2154),ISNUMBER(R2154)),IF(R2154&gt;0,M2154/R2154,""),"")</f>
        <v/>
      </c>
      <c r="X2154" s="10">
        <f>IF(AND(ISNUMBER(Q2154),ISNUMBER(M2154)),IF(M2154&gt;0,Q2154/M2154,""),"")</f>
        <v/>
      </c>
      <c r="Y2154" s="11">
        <f>IF(ISNUMBER(Z2154),YEAR(Z2154),"")</f>
        <v/>
      </c>
      <c r="Z2154" s="12" t="n"/>
      <c r="AA2154" s="12" t="n"/>
      <c r="AI2154" s="12" t="n"/>
      <c r="AJ2154" s="13">
        <f>IF(LEN(TRIM(AF2154))=0,"",HYPERLINK("https://www.google.com/maps/@?api=1&amp;map_action=pano&amp;viewpoint="&amp;SUBSTITUTE(AF2154," ",""),"Abrir Street View"))</f>
        <v/>
      </c>
    </row>
    <row r="2155">
      <c r="H2155" s="6" t="n"/>
      <c r="I2155" s="6" t="n"/>
      <c r="M2155" s="7" t="n"/>
      <c r="N2155" s="7" t="n"/>
      <c r="O2155" s="7" t="n"/>
      <c r="Q2155" s="7" t="n"/>
      <c r="R2155" s="7" t="n"/>
      <c r="S2155" s="8">
        <f>IF(NOT(ISNUMBER(M2155)),"",IF(G2155="Terreno",IF(AND(ISNUMBER(I2155),I2155&gt;0),M2155/I2155,""),IF(AND(ISNUMBER(H2155),H2155&gt;0),M2155/H2155,"")))</f>
        <v/>
      </c>
      <c r="T2155" s="9">
        <f>IF(AND(ISNUMBER(M2155),ISNUMBER(O2155)),IF(M2155&lt;=O2155,"Valor ≤ venal IPTU",""),"")</f>
        <v/>
      </c>
      <c r="U2155" s="10">
        <f>IF(AND(ISNUMBER(M2155),ISNUMBER(N2155)),IF(N2155&gt;0,M2155/N2155,""),"")</f>
        <v/>
      </c>
      <c r="V2155" s="10">
        <f>IF(AND(ISNUMBER(M2155),ISNUMBER(O2155)),IF(O2155&gt;0,M2155/O2155,""),"")</f>
        <v/>
      </c>
      <c r="W2155" s="10">
        <f>IF(AND(ISNUMBER(M2155),ISNUMBER(R2155)),IF(R2155&gt;0,M2155/R2155,""),"")</f>
        <v/>
      </c>
      <c r="X2155" s="10">
        <f>IF(AND(ISNUMBER(Q2155),ISNUMBER(M2155)),IF(M2155&gt;0,Q2155/M2155,""),"")</f>
        <v/>
      </c>
      <c r="Y2155" s="11">
        <f>IF(ISNUMBER(Z2155),YEAR(Z2155),"")</f>
        <v/>
      </c>
      <c r="Z2155" s="12" t="n"/>
      <c r="AA2155" s="12" t="n"/>
      <c r="AI2155" s="12" t="n"/>
      <c r="AJ2155" s="13">
        <f>IF(LEN(TRIM(AF2155))=0,"",HYPERLINK("https://www.google.com/maps/@?api=1&amp;map_action=pano&amp;viewpoint="&amp;SUBSTITUTE(AF2155," ",""),"Abrir Street View"))</f>
        <v/>
      </c>
    </row>
    <row r="2156">
      <c r="H2156" s="6" t="n"/>
      <c r="I2156" s="6" t="n"/>
      <c r="M2156" s="7" t="n"/>
      <c r="N2156" s="7" t="n"/>
      <c r="O2156" s="7" t="n"/>
      <c r="Q2156" s="7" t="n"/>
      <c r="R2156" s="7" t="n"/>
      <c r="S2156" s="8">
        <f>IF(NOT(ISNUMBER(M2156)),"",IF(G2156="Terreno",IF(AND(ISNUMBER(I2156),I2156&gt;0),M2156/I2156,""),IF(AND(ISNUMBER(H2156),H2156&gt;0),M2156/H2156,"")))</f>
        <v/>
      </c>
      <c r="T2156" s="9">
        <f>IF(AND(ISNUMBER(M2156),ISNUMBER(O2156)),IF(M2156&lt;=O2156,"Valor ≤ venal IPTU",""),"")</f>
        <v/>
      </c>
      <c r="U2156" s="10">
        <f>IF(AND(ISNUMBER(M2156),ISNUMBER(N2156)),IF(N2156&gt;0,M2156/N2156,""),"")</f>
        <v/>
      </c>
      <c r="V2156" s="10">
        <f>IF(AND(ISNUMBER(M2156),ISNUMBER(O2156)),IF(O2156&gt;0,M2156/O2156,""),"")</f>
        <v/>
      </c>
      <c r="W2156" s="10">
        <f>IF(AND(ISNUMBER(M2156),ISNUMBER(R2156)),IF(R2156&gt;0,M2156/R2156,""),"")</f>
        <v/>
      </c>
      <c r="X2156" s="10">
        <f>IF(AND(ISNUMBER(Q2156),ISNUMBER(M2156)),IF(M2156&gt;0,Q2156/M2156,""),"")</f>
        <v/>
      </c>
      <c r="Y2156" s="11">
        <f>IF(ISNUMBER(Z2156),YEAR(Z2156),"")</f>
        <v/>
      </c>
      <c r="Z2156" s="12" t="n"/>
      <c r="AA2156" s="12" t="n"/>
      <c r="AI2156" s="12" t="n"/>
      <c r="AJ2156" s="13">
        <f>IF(LEN(TRIM(AF2156))=0,"",HYPERLINK("https://www.google.com/maps/@?api=1&amp;map_action=pano&amp;viewpoint="&amp;SUBSTITUTE(AF2156," ",""),"Abrir Street View"))</f>
        <v/>
      </c>
    </row>
    <row r="2157">
      <c r="H2157" s="6" t="n"/>
      <c r="I2157" s="6" t="n"/>
      <c r="M2157" s="7" t="n"/>
      <c r="N2157" s="7" t="n"/>
      <c r="O2157" s="7" t="n"/>
      <c r="Q2157" s="7" t="n"/>
      <c r="R2157" s="7" t="n"/>
      <c r="S2157" s="8">
        <f>IF(NOT(ISNUMBER(M2157)),"",IF(G2157="Terreno",IF(AND(ISNUMBER(I2157),I2157&gt;0),M2157/I2157,""),IF(AND(ISNUMBER(H2157),H2157&gt;0),M2157/H2157,"")))</f>
        <v/>
      </c>
      <c r="T2157" s="9">
        <f>IF(AND(ISNUMBER(M2157),ISNUMBER(O2157)),IF(M2157&lt;=O2157,"Valor ≤ venal IPTU",""),"")</f>
        <v/>
      </c>
      <c r="U2157" s="10">
        <f>IF(AND(ISNUMBER(M2157),ISNUMBER(N2157)),IF(N2157&gt;0,M2157/N2157,""),"")</f>
        <v/>
      </c>
      <c r="V2157" s="10">
        <f>IF(AND(ISNUMBER(M2157),ISNUMBER(O2157)),IF(O2157&gt;0,M2157/O2157,""),"")</f>
        <v/>
      </c>
      <c r="W2157" s="10">
        <f>IF(AND(ISNUMBER(M2157),ISNUMBER(R2157)),IF(R2157&gt;0,M2157/R2157,""),"")</f>
        <v/>
      </c>
      <c r="X2157" s="10">
        <f>IF(AND(ISNUMBER(Q2157),ISNUMBER(M2157)),IF(M2157&gt;0,Q2157/M2157,""),"")</f>
        <v/>
      </c>
      <c r="Y2157" s="11">
        <f>IF(ISNUMBER(Z2157),YEAR(Z2157),"")</f>
        <v/>
      </c>
      <c r="Z2157" s="12" t="n"/>
      <c r="AA2157" s="12" t="n"/>
      <c r="AI2157" s="12" t="n"/>
      <c r="AJ2157" s="13">
        <f>IF(LEN(TRIM(AF2157))=0,"",HYPERLINK("https://www.google.com/maps/@?api=1&amp;map_action=pano&amp;viewpoint="&amp;SUBSTITUTE(AF2157," ",""),"Abrir Street View"))</f>
        <v/>
      </c>
    </row>
    <row r="2158">
      <c r="H2158" s="6" t="n"/>
      <c r="I2158" s="6" t="n"/>
      <c r="M2158" s="7" t="n"/>
      <c r="N2158" s="7" t="n"/>
      <c r="O2158" s="7" t="n"/>
      <c r="Q2158" s="7" t="n"/>
      <c r="R2158" s="7" t="n"/>
      <c r="S2158" s="8">
        <f>IF(NOT(ISNUMBER(M2158)),"",IF(G2158="Terreno",IF(AND(ISNUMBER(I2158),I2158&gt;0),M2158/I2158,""),IF(AND(ISNUMBER(H2158),H2158&gt;0),M2158/H2158,"")))</f>
        <v/>
      </c>
      <c r="T2158" s="9">
        <f>IF(AND(ISNUMBER(M2158),ISNUMBER(O2158)),IF(M2158&lt;=O2158,"Valor ≤ venal IPTU",""),"")</f>
        <v/>
      </c>
      <c r="U2158" s="10">
        <f>IF(AND(ISNUMBER(M2158),ISNUMBER(N2158)),IF(N2158&gt;0,M2158/N2158,""),"")</f>
        <v/>
      </c>
      <c r="V2158" s="10">
        <f>IF(AND(ISNUMBER(M2158),ISNUMBER(O2158)),IF(O2158&gt;0,M2158/O2158,""),"")</f>
        <v/>
      </c>
      <c r="W2158" s="10">
        <f>IF(AND(ISNUMBER(M2158),ISNUMBER(R2158)),IF(R2158&gt;0,M2158/R2158,""),"")</f>
        <v/>
      </c>
      <c r="X2158" s="10">
        <f>IF(AND(ISNUMBER(Q2158),ISNUMBER(M2158)),IF(M2158&gt;0,Q2158/M2158,""),"")</f>
        <v/>
      </c>
      <c r="Y2158" s="11">
        <f>IF(ISNUMBER(Z2158),YEAR(Z2158),"")</f>
        <v/>
      </c>
      <c r="Z2158" s="12" t="n"/>
      <c r="AA2158" s="12" t="n"/>
      <c r="AI2158" s="12" t="n"/>
      <c r="AJ2158" s="13">
        <f>IF(LEN(TRIM(AF2158))=0,"",HYPERLINK("https://www.google.com/maps/@?api=1&amp;map_action=pano&amp;viewpoint="&amp;SUBSTITUTE(AF2158," ",""),"Abrir Street View"))</f>
        <v/>
      </c>
    </row>
    <row r="2159">
      <c r="H2159" s="6" t="n"/>
      <c r="I2159" s="6" t="n"/>
      <c r="M2159" s="7" t="n"/>
      <c r="N2159" s="7" t="n"/>
      <c r="O2159" s="7" t="n"/>
      <c r="Q2159" s="7" t="n"/>
      <c r="R2159" s="7" t="n"/>
      <c r="S2159" s="8">
        <f>IF(NOT(ISNUMBER(M2159)),"",IF(G2159="Terreno",IF(AND(ISNUMBER(I2159),I2159&gt;0),M2159/I2159,""),IF(AND(ISNUMBER(H2159),H2159&gt;0),M2159/H2159,"")))</f>
        <v/>
      </c>
      <c r="T2159" s="9">
        <f>IF(AND(ISNUMBER(M2159),ISNUMBER(O2159)),IF(M2159&lt;=O2159,"Valor ≤ venal IPTU",""),"")</f>
        <v/>
      </c>
      <c r="U2159" s="10">
        <f>IF(AND(ISNUMBER(M2159),ISNUMBER(N2159)),IF(N2159&gt;0,M2159/N2159,""),"")</f>
        <v/>
      </c>
      <c r="V2159" s="10">
        <f>IF(AND(ISNUMBER(M2159),ISNUMBER(O2159)),IF(O2159&gt;0,M2159/O2159,""),"")</f>
        <v/>
      </c>
      <c r="W2159" s="10">
        <f>IF(AND(ISNUMBER(M2159),ISNUMBER(R2159)),IF(R2159&gt;0,M2159/R2159,""),"")</f>
        <v/>
      </c>
      <c r="X2159" s="10">
        <f>IF(AND(ISNUMBER(Q2159),ISNUMBER(M2159)),IF(M2159&gt;0,Q2159/M2159,""),"")</f>
        <v/>
      </c>
      <c r="Y2159" s="11">
        <f>IF(ISNUMBER(Z2159),YEAR(Z2159),"")</f>
        <v/>
      </c>
      <c r="Z2159" s="12" t="n"/>
      <c r="AA2159" s="12" t="n"/>
      <c r="AI2159" s="12" t="n"/>
      <c r="AJ2159" s="13">
        <f>IF(LEN(TRIM(AF2159))=0,"",HYPERLINK("https://www.google.com/maps/@?api=1&amp;map_action=pano&amp;viewpoint="&amp;SUBSTITUTE(AF2159," ",""),"Abrir Street View"))</f>
        <v/>
      </c>
    </row>
    <row r="2160">
      <c r="H2160" s="6" t="n"/>
      <c r="I2160" s="6" t="n"/>
      <c r="M2160" s="7" t="n"/>
      <c r="N2160" s="7" t="n"/>
      <c r="O2160" s="7" t="n"/>
      <c r="Q2160" s="7" t="n"/>
      <c r="R2160" s="7" t="n"/>
      <c r="S2160" s="8">
        <f>IF(NOT(ISNUMBER(M2160)),"",IF(G2160="Terreno",IF(AND(ISNUMBER(I2160),I2160&gt;0),M2160/I2160,""),IF(AND(ISNUMBER(H2160),H2160&gt;0),M2160/H2160,"")))</f>
        <v/>
      </c>
      <c r="T2160" s="9">
        <f>IF(AND(ISNUMBER(M2160),ISNUMBER(O2160)),IF(M2160&lt;=O2160,"Valor ≤ venal IPTU",""),"")</f>
        <v/>
      </c>
      <c r="U2160" s="10">
        <f>IF(AND(ISNUMBER(M2160),ISNUMBER(N2160)),IF(N2160&gt;0,M2160/N2160,""),"")</f>
        <v/>
      </c>
      <c r="V2160" s="10">
        <f>IF(AND(ISNUMBER(M2160),ISNUMBER(O2160)),IF(O2160&gt;0,M2160/O2160,""),"")</f>
        <v/>
      </c>
      <c r="W2160" s="10">
        <f>IF(AND(ISNUMBER(M2160),ISNUMBER(R2160)),IF(R2160&gt;0,M2160/R2160,""),"")</f>
        <v/>
      </c>
      <c r="X2160" s="10">
        <f>IF(AND(ISNUMBER(Q2160),ISNUMBER(M2160)),IF(M2160&gt;0,Q2160/M2160,""),"")</f>
        <v/>
      </c>
      <c r="Y2160" s="11">
        <f>IF(ISNUMBER(Z2160),YEAR(Z2160),"")</f>
        <v/>
      </c>
      <c r="Z2160" s="12" t="n"/>
      <c r="AA2160" s="12" t="n"/>
      <c r="AI2160" s="12" t="n"/>
      <c r="AJ2160" s="13">
        <f>IF(LEN(TRIM(AF2160))=0,"",HYPERLINK("https://www.google.com/maps/@?api=1&amp;map_action=pano&amp;viewpoint="&amp;SUBSTITUTE(AF2160," ",""),"Abrir Street View"))</f>
        <v/>
      </c>
    </row>
    <row r="2161">
      <c r="H2161" s="6" t="n"/>
      <c r="I2161" s="6" t="n"/>
      <c r="M2161" s="7" t="n"/>
      <c r="N2161" s="7" t="n"/>
      <c r="O2161" s="7" t="n"/>
      <c r="Q2161" s="7" t="n"/>
      <c r="R2161" s="7" t="n"/>
      <c r="S2161" s="8">
        <f>IF(NOT(ISNUMBER(M2161)),"",IF(G2161="Terreno",IF(AND(ISNUMBER(I2161),I2161&gt;0),M2161/I2161,""),IF(AND(ISNUMBER(H2161),H2161&gt;0),M2161/H2161,"")))</f>
        <v/>
      </c>
      <c r="T2161" s="9">
        <f>IF(AND(ISNUMBER(M2161),ISNUMBER(O2161)),IF(M2161&lt;=O2161,"Valor ≤ venal IPTU",""),"")</f>
        <v/>
      </c>
      <c r="U2161" s="10">
        <f>IF(AND(ISNUMBER(M2161),ISNUMBER(N2161)),IF(N2161&gt;0,M2161/N2161,""),"")</f>
        <v/>
      </c>
      <c r="V2161" s="10">
        <f>IF(AND(ISNUMBER(M2161),ISNUMBER(O2161)),IF(O2161&gt;0,M2161/O2161,""),"")</f>
        <v/>
      </c>
      <c r="W2161" s="10">
        <f>IF(AND(ISNUMBER(M2161),ISNUMBER(R2161)),IF(R2161&gt;0,M2161/R2161,""),"")</f>
        <v/>
      </c>
      <c r="X2161" s="10">
        <f>IF(AND(ISNUMBER(Q2161),ISNUMBER(M2161)),IF(M2161&gt;0,Q2161/M2161,""),"")</f>
        <v/>
      </c>
      <c r="Y2161" s="11">
        <f>IF(ISNUMBER(Z2161),YEAR(Z2161),"")</f>
        <v/>
      </c>
      <c r="Z2161" s="12" t="n"/>
      <c r="AA2161" s="12" t="n"/>
      <c r="AI2161" s="12" t="n"/>
      <c r="AJ2161" s="13">
        <f>IF(LEN(TRIM(AF2161))=0,"",HYPERLINK("https://www.google.com/maps/@?api=1&amp;map_action=pano&amp;viewpoint="&amp;SUBSTITUTE(AF2161," ",""),"Abrir Street View"))</f>
        <v/>
      </c>
    </row>
    <row r="2162">
      <c r="H2162" s="6" t="n"/>
      <c r="I2162" s="6" t="n"/>
      <c r="M2162" s="7" t="n"/>
      <c r="N2162" s="7" t="n"/>
      <c r="O2162" s="7" t="n"/>
      <c r="Q2162" s="7" t="n"/>
      <c r="R2162" s="7" t="n"/>
      <c r="S2162" s="8">
        <f>IF(NOT(ISNUMBER(M2162)),"",IF(G2162="Terreno",IF(AND(ISNUMBER(I2162),I2162&gt;0),M2162/I2162,""),IF(AND(ISNUMBER(H2162),H2162&gt;0),M2162/H2162,"")))</f>
        <v/>
      </c>
      <c r="T2162" s="9">
        <f>IF(AND(ISNUMBER(M2162),ISNUMBER(O2162)),IF(M2162&lt;=O2162,"Valor ≤ venal IPTU",""),"")</f>
        <v/>
      </c>
      <c r="U2162" s="10">
        <f>IF(AND(ISNUMBER(M2162),ISNUMBER(N2162)),IF(N2162&gt;0,M2162/N2162,""),"")</f>
        <v/>
      </c>
      <c r="V2162" s="10">
        <f>IF(AND(ISNUMBER(M2162),ISNUMBER(O2162)),IF(O2162&gt;0,M2162/O2162,""),"")</f>
        <v/>
      </c>
      <c r="W2162" s="10">
        <f>IF(AND(ISNUMBER(M2162),ISNUMBER(R2162)),IF(R2162&gt;0,M2162/R2162,""),"")</f>
        <v/>
      </c>
      <c r="X2162" s="10">
        <f>IF(AND(ISNUMBER(Q2162),ISNUMBER(M2162)),IF(M2162&gt;0,Q2162/M2162,""),"")</f>
        <v/>
      </c>
      <c r="Y2162" s="11">
        <f>IF(ISNUMBER(Z2162),YEAR(Z2162),"")</f>
        <v/>
      </c>
      <c r="Z2162" s="12" t="n"/>
      <c r="AA2162" s="12" t="n"/>
      <c r="AI2162" s="12" t="n"/>
      <c r="AJ2162" s="13">
        <f>IF(LEN(TRIM(AF2162))=0,"",HYPERLINK("https://www.google.com/maps/@?api=1&amp;map_action=pano&amp;viewpoint="&amp;SUBSTITUTE(AF2162," ",""),"Abrir Street View"))</f>
        <v/>
      </c>
    </row>
    <row r="2163">
      <c r="H2163" s="6" t="n"/>
      <c r="I2163" s="6" t="n"/>
      <c r="M2163" s="7" t="n"/>
      <c r="N2163" s="7" t="n"/>
      <c r="O2163" s="7" t="n"/>
      <c r="Q2163" s="7" t="n"/>
      <c r="R2163" s="7" t="n"/>
      <c r="S2163" s="8">
        <f>IF(NOT(ISNUMBER(M2163)),"",IF(G2163="Terreno",IF(AND(ISNUMBER(I2163),I2163&gt;0),M2163/I2163,""),IF(AND(ISNUMBER(H2163),H2163&gt;0),M2163/H2163,"")))</f>
        <v/>
      </c>
      <c r="T2163" s="9">
        <f>IF(AND(ISNUMBER(M2163),ISNUMBER(O2163)),IF(M2163&lt;=O2163,"Valor ≤ venal IPTU",""),"")</f>
        <v/>
      </c>
      <c r="U2163" s="10">
        <f>IF(AND(ISNUMBER(M2163),ISNUMBER(N2163)),IF(N2163&gt;0,M2163/N2163,""),"")</f>
        <v/>
      </c>
      <c r="V2163" s="10">
        <f>IF(AND(ISNUMBER(M2163),ISNUMBER(O2163)),IF(O2163&gt;0,M2163/O2163,""),"")</f>
        <v/>
      </c>
      <c r="W2163" s="10">
        <f>IF(AND(ISNUMBER(M2163),ISNUMBER(R2163)),IF(R2163&gt;0,M2163/R2163,""),"")</f>
        <v/>
      </c>
      <c r="X2163" s="10">
        <f>IF(AND(ISNUMBER(Q2163),ISNUMBER(M2163)),IF(M2163&gt;0,Q2163/M2163,""),"")</f>
        <v/>
      </c>
      <c r="Y2163" s="11">
        <f>IF(ISNUMBER(Z2163),YEAR(Z2163),"")</f>
        <v/>
      </c>
      <c r="Z2163" s="12" t="n"/>
      <c r="AA2163" s="12" t="n"/>
      <c r="AI2163" s="12" t="n"/>
      <c r="AJ2163" s="13">
        <f>IF(LEN(TRIM(AF2163))=0,"",HYPERLINK("https://www.google.com/maps/@?api=1&amp;map_action=pano&amp;viewpoint="&amp;SUBSTITUTE(AF2163," ",""),"Abrir Street View"))</f>
        <v/>
      </c>
    </row>
    <row r="2164">
      <c r="H2164" s="6" t="n"/>
      <c r="I2164" s="6" t="n"/>
      <c r="M2164" s="7" t="n"/>
      <c r="N2164" s="7" t="n"/>
      <c r="O2164" s="7" t="n"/>
      <c r="Q2164" s="7" t="n"/>
      <c r="R2164" s="7" t="n"/>
      <c r="S2164" s="8">
        <f>IF(NOT(ISNUMBER(M2164)),"",IF(G2164="Terreno",IF(AND(ISNUMBER(I2164),I2164&gt;0),M2164/I2164,""),IF(AND(ISNUMBER(H2164),H2164&gt;0),M2164/H2164,"")))</f>
        <v/>
      </c>
      <c r="T2164" s="9">
        <f>IF(AND(ISNUMBER(M2164),ISNUMBER(O2164)),IF(M2164&lt;=O2164,"Valor ≤ venal IPTU",""),"")</f>
        <v/>
      </c>
      <c r="U2164" s="10">
        <f>IF(AND(ISNUMBER(M2164),ISNUMBER(N2164)),IF(N2164&gt;0,M2164/N2164,""),"")</f>
        <v/>
      </c>
      <c r="V2164" s="10">
        <f>IF(AND(ISNUMBER(M2164),ISNUMBER(O2164)),IF(O2164&gt;0,M2164/O2164,""),"")</f>
        <v/>
      </c>
      <c r="W2164" s="10">
        <f>IF(AND(ISNUMBER(M2164),ISNUMBER(R2164)),IF(R2164&gt;0,M2164/R2164,""),"")</f>
        <v/>
      </c>
      <c r="X2164" s="10">
        <f>IF(AND(ISNUMBER(Q2164),ISNUMBER(M2164)),IF(M2164&gt;0,Q2164/M2164,""),"")</f>
        <v/>
      </c>
      <c r="Y2164" s="11">
        <f>IF(ISNUMBER(Z2164),YEAR(Z2164),"")</f>
        <v/>
      </c>
      <c r="Z2164" s="12" t="n"/>
      <c r="AA2164" s="12" t="n"/>
      <c r="AI2164" s="12" t="n"/>
      <c r="AJ2164" s="13">
        <f>IF(LEN(TRIM(AF2164))=0,"",HYPERLINK("https://www.google.com/maps/@?api=1&amp;map_action=pano&amp;viewpoint="&amp;SUBSTITUTE(AF2164," ",""),"Abrir Street View"))</f>
        <v/>
      </c>
    </row>
    <row r="2165">
      <c r="H2165" s="6" t="n"/>
      <c r="I2165" s="6" t="n"/>
      <c r="M2165" s="7" t="n"/>
      <c r="N2165" s="7" t="n"/>
      <c r="O2165" s="7" t="n"/>
      <c r="Q2165" s="7" t="n"/>
      <c r="R2165" s="7" t="n"/>
      <c r="S2165" s="8">
        <f>IF(NOT(ISNUMBER(M2165)),"",IF(G2165="Terreno",IF(AND(ISNUMBER(I2165),I2165&gt;0),M2165/I2165,""),IF(AND(ISNUMBER(H2165),H2165&gt;0),M2165/H2165,"")))</f>
        <v/>
      </c>
      <c r="T2165" s="9">
        <f>IF(AND(ISNUMBER(M2165),ISNUMBER(O2165)),IF(M2165&lt;=O2165,"Valor ≤ venal IPTU",""),"")</f>
        <v/>
      </c>
      <c r="U2165" s="10">
        <f>IF(AND(ISNUMBER(M2165),ISNUMBER(N2165)),IF(N2165&gt;0,M2165/N2165,""),"")</f>
        <v/>
      </c>
      <c r="V2165" s="10">
        <f>IF(AND(ISNUMBER(M2165),ISNUMBER(O2165)),IF(O2165&gt;0,M2165/O2165,""),"")</f>
        <v/>
      </c>
      <c r="W2165" s="10">
        <f>IF(AND(ISNUMBER(M2165),ISNUMBER(R2165)),IF(R2165&gt;0,M2165/R2165,""),"")</f>
        <v/>
      </c>
      <c r="X2165" s="10">
        <f>IF(AND(ISNUMBER(Q2165),ISNUMBER(M2165)),IF(M2165&gt;0,Q2165/M2165,""),"")</f>
        <v/>
      </c>
      <c r="Y2165" s="11">
        <f>IF(ISNUMBER(Z2165),YEAR(Z2165),"")</f>
        <v/>
      </c>
      <c r="Z2165" s="12" t="n"/>
      <c r="AA2165" s="12" t="n"/>
      <c r="AI2165" s="12" t="n"/>
      <c r="AJ2165" s="13">
        <f>IF(LEN(TRIM(AF2165))=0,"",HYPERLINK("https://www.google.com/maps/@?api=1&amp;map_action=pano&amp;viewpoint="&amp;SUBSTITUTE(AF2165," ",""),"Abrir Street View"))</f>
        <v/>
      </c>
    </row>
    <row r="2166">
      <c r="H2166" s="6" t="n"/>
      <c r="I2166" s="6" t="n"/>
      <c r="M2166" s="7" t="n"/>
      <c r="N2166" s="7" t="n"/>
      <c r="O2166" s="7" t="n"/>
      <c r="Q2166" s="7" t="n"/>
      <c r="R2166" s="7" t="n"/>
      <c r="S2166" s="8">
        <f>IF(NOT(ISNUMBER(M2166)),"",IF(G2166="Terreno",IF(AND(ISNUMBER(I2166),I2166&gt;0),M2166/I2166,""),IF(AND(ISNUMBER(H2166),H2166&gt;0),M2166/H2166,"")))</f>
        <v/>
      </c>
      <c r="T2166" s="9">
        <f>IF(AND(ISNUMBER(M2166),ISNUMBER(O2166)),IF(M2166&lt;=O2166,"Valor ≤ venal IPTU",""),"")</f>
        <v/>
      </c>
      <c r="U2166" s="10">
        <f>IF(AND(ISNUMBER(M2166),ISNUMBER(N2166)),IF(N2166&gt;0,M2166/N2166,""),"")</f>
        <v/>
      </c>
      <c r="V2166" s="10">
        <f>IF(AND(ISNUMBER(M2166),ISNUMBER(O2166)),IF(O2166&gt;0,M2166/O2166,""),"")</f>
        <v/>
      </c>
      <c r="W2166" s="10">
        <f>IF(AND(ISNUMBER(M2166),ISNUMBER(R2166)),IF(R2166&gt;0,M2166/R2166,""),"")</f>
        <v/>
      </c>
      <c r="X2166" s="10">
        <f>IF(AND(ISNUMBER(Q2166),ISNUMBER(M2166)),IF(M2166&gt;0,Q2166/M2166,""),"")</f>
        <v/>
      </c>
      <c r="Y2166" s="11">
        <f>IF(ISNUMBER(Z2166),YEAR(Z2166),"")</f>
        <v/>
      </c>
      <c r="Z2166" s="12" t="n"/>
      <c r="AA2166" s="12" t="n"/>
      <c r="AI2166" s="12" t="n"/>
      <c r="AJ2166" s="13">
        <f>IF(LEN(TRIM(AF2166))=0,"",HYPERLINK("https://www.google.com/maps/@?api=1&amp;map_action=pano&amp;viewpoint="&amp;SUBSTITUTE(AF2166," ",""),"Abrir Street View"))</f>
        <v/>
      </c>
    </row>
    <row r="2167">
      <c r="H2167" s="6" t="n"/>
      <c r="I2167" s="6" t="n"/>
      <c r="M2167" s="7" t="n"/>
      <c r="N2167" s="7" t="n"/>
      <c r="O2167" s="7" t="n"/>
      <c r="Q2167" s="7" t="n"/>
      <c r="R2167" s="7" t="n"/>
      <c r="S2167" s="8">
        <f>IF(NOT(ISNUMBER(M2167)),"",IF(G2167="Terreno",IF(AND(ISNUMBER(I2167),I2167&gt;0),M2167/I2167,""),IF(AND(ISNUMBER(H2167),H2167&gt;0),M2167/H2167,"")))</f>
        <v/>
      </c>
      <c r="T2167" s="9">
        <f>IF(AND(ISNUMBER(M2167),ISNUMBER(O2167)),IF(M2167&lt;=O2167,"Valor ≤ venal IPTU",""),"")</f>
        <v/>
      </c>
      <c r="U2167" s="10">
        <f>IF(AND(ISNUMBER(M2167),ISNUMBER(N2167)),IF(N2167&gt;0,M2167/N2167,""),"")</f>
        <v/>
      </c>
      <c r="V2167" s="10">
        <f>IF(AND(ISNUMBER(M2167),ISNUMBER(O2167)),IF(O2167&gt;0,M2167/O2167,""),"")</f>
        <v/>
      </c>
      <c r="W2167" s="10">
        <f>IF(AND(ISNUMBER(M2167),ISNUMBER(R2167)),IF(R2167&gt;0,M2167/R2167,""),"")</f>
        <v/>
      </c>
      <c r="X2167" s="10">
        <f>IF(AND(ISNUMBER(Q2167),ISNUMBER(M2167)),IF(M2167&gt;0,Q2167/M2167,""),"")</f>
        <v/>
      </c>
      <c r="Y2167" s="11">
        <f>IF(ISNUMBER(Z2167),YEAR(Z2167),"")</f>
        <v/>
      </c>
      <c r="Z2167" s="12" t="n"/>
      <c r="AA2167" s="12" t="n"/>
      <c r="AI2167" s="12" t="n"/>
      <c r="AJ2167" s="13">
        <f>IF(LEN(TRIM(AF2167))=0,"",HYPERLINK("https://www.google.com/maps/@?api=1&amp;map_action=pano&amp;viewpoint="&amp;SUBSTITUTE(AF2167," ",""),"Abrir Street View"))</f>
        <v/>
      </c>
    </row>
    <row r="2168">
      <c r="H2168" s="6" t="n"/>
      <c r="I2168" s="6" t="n"/>
      <c r="M2168" s="7" t="n"/>
      <c r="N2168" s="7" t="n"/>
      <c r="O2168" s="7" t="n"/>
      <c r="Q2168" s="7" t="n"/>
      <c r="R2168" s="7" t="n"/>
      <c r="S2168" s="8">
        <f>IF(NOT(ISNUMBER(M2168)),"",IF(G2168="Terreno",IF(AND(ISNUMBER(I2168),I2168&gt;0),M2168/I2168,""),IF(AND(ISNUMBER(H2168),H2168&gt;0),M2168/H2168,"")))</f>
        <v/>
      </c>
      <c r="T2168" s="9">
        <f>IF(AND(ISNUMBER(M2168),ISNUMBER(O2168)),IF(M2168&lt;=O2168,"Valor ≤ venal IPTU",""),"")</f>
        <v/>
      </c>
      <c r="U2168" s="10">
        <f>IF(AND(ISNUMBER(M2168),ISNUMBER(N2168)),IF(N2168&gt;0,M2168/N2168,""),"")</f>
        <v/>
      </c>
      <c r="V2168" s="10">
        <f>IF(AND(ISNUMBER(M2168),ISNUMBER(O2168)),IF(O2168&gt;0,M2168/O2168,""),"")</f>
        <v/>
      </c>
      <c r="W2168" s="10">
        <f>IF(AND(ISNUMBER(M2168),ISNUMBER(R2168)),IF(R2168&gt;0,M2168/R2168,""),"")</f>
        <v/>
      </c>
      <c r="X2168" s="10">
        <f>IF(AND(ISNUMBER(Q2168),ISNUMBER(M2168)),IF(M2168&gt;0,Q2168/M2168,""),"")</f>
        <v/>
      </c>
      <c r="Y2168" s="11">
        <f>IF(ISNUMBER(Z2168),YEAR(Z2168),"")</f>
        <v/>
      </c>
      <c r="Z2168" s="12" t="n"/>
      <c r="AA2168" s="12" t="n"/>
      <c r="AI2168" s="12" t="n"/>
      <c r="AJ2168" s="13">
        <f>IF(LEN(TRIM(AF2168))=0,"",HYPERLINK("https://www.google.com/maps/@?api=1&amp;map_action=pano&amp;viewpoint="&amp;SUBSTITUTE(AF2168," ",""),"Abrir Street View"))</f>
        <v/>
      </c>
    </row>
    <row r="2169">
      <c r="H2169" s="6" t="n"/>
      <c r="I2169" s="6" t="n"/>
      <c r="M2169" s="7" t="n"/>
      <c r="N2169" s="7" t="n"/>
      <c r="O2169" s="7" t="n"/>
      <c r="Q2169" s="7" t="n"/>
      <c r="R2169" s="7" t="n"/>
      <c r="S2169" s="8">
        <f>IF(NOT(ISNUMBER(M2169)),"",IF(G2169="Terreno",IF(AND(ISNUMBER(I2169),I2169&gt;0),M2169/I2169,""),IF(AND(ISNUMBER(H2169),H2169&gt;0),M2169/H2169,"")))</f>
        <v/>
      </c>
      <c r="T2169" s="9">
        <f>IF(AND(ISNUMBER(M2169),ISNUMBER(O2169)),IF(M2169&lt;=O2169,"Valor ≤ venal IPTU",""),"")</f>
        <v/>
      </c>
      <c r="U2169" s="10">
        <f>IF(AND(ISNUMBER(M2169),ISNUMBER(N2169)),IF(N2169&gt;0,M2169/N2169,""),"")</f>
        <v/>
      </c>
      <c r="V2169" s="10">
        <f>IF(AND(ISNUMBER(M2169),ISNUMBER(O2169)),IF(O2169&gt;0,M2169/O2169,""),"")</f>
        <v/>
      </c>
      <c r="W2169" s="10">
        <f>IF(AND(ISNUMBER(M2169),ISNUMBER(R2169)),IF(R2169&gt;0,M2169/R2169,""),"")</f>
        <v/>
      </c>
      <c r="X2169" s="10">
        <f>IF(AND(ISNUMBER(Q2169),ISNUMBER(M2169)),IF(M2169&gt;0,Q2169/M2169,""),"")</f>
        <v/>
      </c>
      <c r="Y2169" s="11">
        <f>IF(ISNUMBER(Z2169),YEAR(Z2169),"")</f>
        <v/>
      </c>
      <c r="Z2169" s="12" t="n"/>
      <c r="AA2169" s="12" t="n"/>
      <c r="AI2169" s="12" t="n"/>
      <c r="AJ2169" s="13">
        <f>IF(LEN(TRIM(AF2169))=0,"",HYPERLINK("https://www.google.com/maps/@?api=1&amp;map_action=pano&amp;viewpoint="&amp;SUBSTITUTE(AF2169," ",""),"Abrir Street View"))</f>
        <v/>
      </c>
    </row>
    <row r="2170">
      <c r="H2170" s="6" t="n"/>
      <c r="I2170" s="6" t="n"/>
      <c r="M2170" s="7" t="n"/>
      <c r="N2170" s="7" t="n"/>
      <c r="O2170" s="7" t="n"/>
      <c r="Q2170" s="7" t="n"/>
      <c r="R2170" s="7" t="n"/>
      <c r="S2170" s="8">
        <f>IF(NOT(ISNUMBER(M2170)),"",IF(G2170="Terreno",IF(AND(ISNUMBER(I2170),I2170&gt;0),M2170/I2170,""),IF(AND(ISNUMBER(H2170),H2170&gt;0),M2170/H2170,"")))</f>
        <v/>
      </c>
      <c r="T2170" s="9">
        <f>IF(AND(ISNUMBER(M2170),ISNUMBER(O2170)),IF(M2170&lt;=O2170,"Valor ≤ venal IPTU",""),"")</f>
        <v/>
      </c>
      <c r="U2170" s="10">
        <f>IF(AND(ISNUMBER(M2170),ISNUMBER(N2170)),IF(N2170&gt;0,M2170/N2170,""),"")</f>
        <v/>
      </c>
      <c r="V2170" s="10">
        <f>IF(AND(ISNUMBER(M2170),ISNUMBER(O2170)),IF(O2170&gt;0,M2170/O2170,""),"")</f>
        <v/>
      </c>
      <c r="W2170" s="10">
        <f>IF(AND(ISNUMBER(M2170),ISNUMBER(R2170)),IF(R2170&gt;0,M2170/R2170,""),"")</f>
        <v/>
      </c>
      <c r="X2170" s="10">
        <f>IF(AND(ISNUMBER(Q2170),ISNUMBER(M2170)),IF(M2170&gt;0,Q2170/M2170,""),"")</f>
        <v/>
      </c>
      <c r="Y2170" s="11">
        <f>IF(ISNUMBER(Z2170),YEAR(Z2170),"")</f>
        <v/>
      </c>
      <c r="Z2170" s="12" t="n"/>
      <c r="AA2170" s="12" t="n"/>
      <c r="AI2170" s="12" t="n"/>
      <c r="AJ2170" s="13">
        <f>IF(LEN(TRIM(AF2170))=0,"",HYPERLINK("https://www.google.com/maps/@?api=1&amp;map_action=pano&amp;viewpoint="&amp;SUBSTITUTE(AF2170," ",""),"Abrir Street View"))</f>
        <v/>
      </c>
    </row>
    <row r="2171">
      <c r="H2171" s="6" t="n"/>
      <c r="I2171" s="6" t="n"/>
      <c r="M2171" s="7" t="n"/>
      <c r="N2171" s="7" t="n"/>
      <c r="O2171" s="7" t="n"/>
      <c r="Q2171" s="7" t="n"/>
      <c r="R2171" s="7" t="n"/>
      <c r="S2171" s="8">
        <f>IF(NOT(ISNUMBER(M2171)),"",IF(G2171="Terreno",IF(AND(ISNUMBER(I2171),I2171&gt;0),M2171/I2171,""),IF(AND(ISNUMBER(H2171),H2171&gt;0),M2171/H2171,"")))</f>
        <v/>
      </c>
      <c r="T2171" s="9">
        <f>IF(AND(ISNUMBER(M2171),ISNUMBER(O2171)),IF(M2171&lt;=O2171,"Valor ≤ venal IPTU",""),"")</f>
        <v/>
      </c>
      <c r="U2171" s="10">
        <f>IF(AND(ISNUMBER(M2171),ISNUMBER(N2171)),IF(N2171&gt;0,M2171/N2171,""),"")</f>
        <v/>
      </c>
      <c r="V2171" s="10">
        <f>IF(AND(ISNUMBER(M2171),ISNUMBER(O2171)),IF(O2171&gt;0,M2171/O2171,""),"")</f>
        <v/>
      </c>
      <c r="W2171" s="10">
        <f>IF(AND(ISNUMBER(M2171),ISNUMBER(R2171)),IF(R2171&gt;0,M2171/R2171,""),"")</f>
        <v/>
      </c>
      <c r="X2171" s="10">
        <f>IF(AND(ISNUMBER(Q2171),ISNUMBER(M2171)),IF(M2171&gt;0,Q2171/M2171,""),"")</f>
        <v/>
      </c>
      <c r="Y2171" s="11">
        <f>IF(ISNUMBER(Z2171),YEAR(Z2171),"")</f>
        <v/>
      </c>
      <c r="Z2171" s="12" t="n"/>
      <c r="AA2171" s="12" t="n"/>
      <c r="AI2171" s="12" t="n"/>
      <c r="AJ2171" s="13">
        <f>IF(LEN(TRIM(AF2171))=0,"",HYPERLINK("https://www.google.com/maps/@?api=1&amp;map_action=pano&amp;viewpoint="&amp;SUBSTITUTE(AF2171," ",""),"Abrir Street View"))</f>
        <v/>
      </c>
    </row>
    <row r="2172">
      <c r="H2172" s="6" t="n"/>
      <c r="I2172" s="6" t="n"/>
      <c r="M2172" s="7" t="n"/>
      <c r="N2172" s="7" t="n"/>
      <c r="O2172" s="7" t="n"/>
      <c r="Q2172" s="7" t="n"/>
      <c r="R2172" s="7" t="n"/>
      <c r="S2172" s="8">
        <f>IF(NOT(ISNUMBER(M2172)),"",IF(G2172="Terreno",IF(AND(ISNUMBER(I2172),I2172&gt;0),M2172/I2172,""),IF(AND(ISNUMBER(H2172),H2172&gt;0),M2172/H2172,"")))</f>
        <v/>
      </c>
      <c r="T2172" s="9">
        <f>IF(AND(ISNUMBER(M2172),ISNUMBER(O2172)),IF(M2172&lt;=O2172,"Valor ≤ venal IPTU",""),"")</f>
        <v/>
      </c>
      <c r="U2172" s="10">
        <f>IF(AND(ISNUMBER(M2172),ISNUMBER(N2172)),IF(N2172&gt;0,M2172/N2172,""),"")</f>
        <v/>
      </c>
      <c r="V2172" s="10">
        <f>IF(AND(ISNUMBER(M2172),ISNUMBER(O2172)),IF(O2172&gt;0,M2172/O2172,""),"")</f>
        <v/>
      </c>
      <c r="W2172" s="10">
        <f>IF(AND(ISNUMBER(M2172),ISNUMBER(R2172)),IF(R2172&gt;0,M2172/R2172,""),"")</f>
        <v/>
      </c>
      <c r="X2172" s="10">
        <f>IF(AND(ISNUMBER(Q2172),ISNUMBER(M2172)),IF(M2172&gt;0,Q2172/M2172,""),"")</f>
        <v/>
      </c>
      <c r="Y2172" s="11">
        <f>IF(ISNUMBER(Z2172),YEAR(Z2172),"")</f>
        <v/>
      </c>
      <c r="Z2172" s="12" t="n"/>
      <c r="AA2172" s="12" t="n"/>
      <c r="AI2172" s="12" t="n"/>
      <c r="AJ2172" s="13">
        <f>IF(LEN(TRIM(AF2172))=0,"",HYPERLINK("https://www.google.com/maps/@?api=1&amp;map_action=pano&amp;viewpoint="&amp;SUBSTITUTE(AF2172," ",""),"Abrir Street View"))</f>
        <v/>
      </c>
    </row>
    <row r="2173">
      <c r="H2173" s="6" t="n"/>
      <c r="I2173" s="6" t="n"/>
      <c r="M2173" s="7" t="n"/>
      <c r="N2173" s="7" t="n"/>
      <c r="O2173" s="7" t="n"/>
      <c r="Q2173" s="7" t="n"/>
      <c r="R2173" s="7" t="n"/>
      <c r="S2173" s="8">
        <f>IF(NOT(ISNUMBER(M2173)),"",IF(G2173="Terreno",IF(AND(ISNUMBER(I2173),I2173&gt;0),M2173/I2173,""),IF(AND(ISNUMBER(H2173),H2173&gt;0),M2173/H2173,"")))</f>
        <v/>
      </c>
      <c r="T2173" s="9">
        <f>IF(AND(ISNUMBER(M2173),ISNUMBER(O2173)),IF(M2173&lt;=O2173,"Valor ≤ venal IPTU",""),"")</f>
        <v/>
      </c>
      <c r="U2173" s="10">
        <f>IF(AND(ISNUMBER(M2173),ISNUMBER(N2173)),IF(N2173&gt;0,M2173/N2173,""),"")</f>
        <v/>
      </c>
      <c r="V2173" s="10">
        <f>IF(AND(ISNUMBER(M2173),ISNUMBER(O2173)),IF(O2173&gt;0,M2173/O2173,""),"")</f>
        <v/>
      </c>
      <c r="W2173" s="10">
        <f>IF(AND(ISNUMBER(M2173),ISNUMBER(R2173)),IF(R2173&gt;0,M2173/R2173,""),"")</f>
        <v/>
      </c>
      <c r="X2173" s="10">
        <f>IF(AND(ISNUMBER(Q2173),ISNUMBER(M2173)),IF(M2173&gt;0,Q2173/M2173,""),"")</f>
        <v/>
      </c>
      <c r="Y2173" s="11">
        <f>IF(ISNUMBER(Z2173),YEAR(Z2173),"")</f>
        <v/>
      </c>
      <c r="Z2173" s="12" t="n"/>
      <c r="AA2173" s="12" t="n"/>
      <c r="AI2173" s="12" t="n"/>
      <c r="AJ2173" s="13">
        <f>IF(LEN(TRIM(AF2173))=0,"",HYPERLINK("https://www.google.com/maps/@?api=1&amp;map_action=pano&amp;viewpoint="&amp;SUBSTITUTE(AF2173," ",""),"Abrir Street View"))</f>
        <v/>
      </c>
    </row>
    <row r="2174">
      <c r="H2174" s="6" t="n"/>
      <c r="I2174" s="6" t="n"/>
      <c r="M2174" s="7" t="n"/>
      <c r="N2174" s="7" t="n"/>
      <c r="O2174" s="7" t="n"/>
      <c r="Q2174" s="7" t="n"/>
      <c r="R2174" s="7" t="n"/>
      <c r="S2174" s="8">
        <f>IF(NOT(ISNUMBER(M2174)),"",IF(G2174="Terreno",IF(AND(ISNUMBER(I2174),I2174&gt;0),M2174/I2174,""),IF(AND(ISNUMBER(H2174),H2174&gt;0),M2174/H2174,"")))</f>
        <v/>
      </c>
      <c r="T2174" s="9">
        <f>IF(AND(ISNUMBER(M2174),ISNUMBER(O2174)),IF(M2174&lt;=O2174,"Valor ≤ venal IPTU",""),"")</f>
        <v/>
      </c>
      <c r="U2174" s="10">
        <f>IF(AND(ISNUMBER(M2174),ISNUMBER(N2174)),IF(N2174&gt;0,M2174/N2174,""),"")</f>
        <v/>
      </c>
      <c r="V2174" s="10">
        <f>IF(AND(ISNUMBER(M2174),ISNUMBER(O2174)),IF(O2174&gt;0,M2174/O2174,""),"")</f>
        <v/>
      </c>
      <c r="W2174" s="10">
        <f>IF(AND(ISNUMBER(M2174),ISNUMBER(R2174)),IF(R2174&gt;0,M2174/R2174,""),"")</f>
        <v/>
      </c>
      <c r="X2174" s="10">
        <f>IF(AND(ISNUMBER(Q2174),ISNUMBER(M2174)),IF(M2174&gt;0,Q2174/M2174,""),"")</f>
        <v/>
      </c>
      <c r="Y2174" s="11">
        <f>IF(ISNUMBER(Z2174),YEAR(Z2174),"")</f>
        <v/>
      </c>
      <c r="Z2174" s="12" t="n"/>
      <c r="AA2174" s="12" t="n"/>
      <c r="AI2174" s="12" t="n"/>
      <c r="AJ2174" s="13">
        <f>IF(LEN(TRIM(AF2174))=0,"",HYPERLINK("https://www.google.com/maps/@?api=1&amp;map_action=pano&amp;viewpoint="&amp;SUBSTITUTE(AF2174," ",""),"Abrir Street View"))</f>
        <v/>
      </c>
    </row>
    <row r="2175">
      <c r="H2175" s="6" t="n"/>
      <c r="I2175" s="6" t="n"/>
      <c r="M2175" s="7" t="n"/>
      <c r="N2175" s="7" t="n"/>
      <c r="O2175" s="7" t="n"/>
      <c r="Q2175" s="7" t="n"/>
      <c r="R2175" s="7" t="n"/>
      <c r="S2175" s="8">
        <f>IF(NOT(ISNUMBER(M2175)),"",IF(G2175="Terreno",IF(AND(ISNUMBER(I2175),I2175&gt;0),M2175/I2175,""),IF(AND(ISNUMBER(H2175),H2175&gt;0),M2175/H2175,"")))</f>
        <v/>
      </c>
      <c r="T2175" s="9">
        <f>IF(AND(ISNUMBER(M2175),ISNUMBER(O2175)),IF(M2175&lt;=O2175,"Valor ≤ venal IPTU",""),"")</f>
        <v/>
      </c>
      <c r="U2175" s="10">
        <f>IF(AND(ISNUMBER(M2175),ISNUMBER(N2175)),IF(N2175&gt;0,M2175/N2175,""),"")</f>
        <v/>
      </c>
      <c r="V2175" s="10">
        <f>IF(AND(ISNUMBER(M2175),ISNUMBER(O2175)),IF(O2175&gt;0,M2175/O2175,""),"")</f>
        <v/>
      </c>
      <c r="W2175" s="10">
        <f>IF(AND(ISNUMBER(M2175),ISNUMBER(R2175)),IF(R2175&gt;0,M2175/R2175,""),"")</f>
        <v/>
      </c>
      <c r="X2175" s="10">
        <f>IF(AND(ISNUMBER(Q2175),ISNUMBER(M2175)),IF(M2175&gt;0,Q2175/M2175,""),"")</f>
        <v/>
      </c>
      <c r="Y2175" s="11">
        <f>IF(ISNUMBER(Z2175),YEAR(Z2175),"")</f>
        <v/>
      </c>
      <c r="Z2175" s="12" t="n"/>
      <c r="AA2175" s="12" t="n"/>
      <c r="AI2175" s="12" t="n"/>
      <c r="AJ2175" s="13">
        <f>IF(LEN(TRIM(AF2175))=0,"",HYPERLINK("https://www.google.com/maps/@?api=1&amp;map_action=pano&amp;viewpoint="&amp;SUBSTITUTE(AF2175," ",""),"Abrir Street View"))</f>
        <v/>
      </c>
    </row>
    <row r="2176">
      <c r="H2176" s="6" t="n"/>
      <c r="I2176" s="6" t="n"/>
      <c r="M2176" s="7" t="n"/>
      <c r="N2176" s="7" t="n"/>
      <c r="O2176" s="7" t="n"/>
      <c r="Q2176" s="7" t="n"/>
      <c r="R2176" s="7" t="n"/>
      <c r="S2176" s="8">
        <f>IF(NOT(ISNUMBER(M2176)),"",IF(G2176="Terreno",IF(AND(ISNUMBER(I2176),I2176&gt;0),M2176/I2176,""),IF(AND(ISNUMBER(H2176),H2176&gt;0),M2176/H2176,"")))</f>
        <v/>
      </c>
      <c r="T2176" s="9">
        <f>IF(AND(ISNUMBER(M2176),ISNUMBER(O2176)),IF(M2176&lt;=O2176,"Valor ≤ venal IPTU",""),"")</f>
        <v/>
      </c>
      <c r="U2176" s="10">
        <f>IF(AND(ISNUMBER(M2176),ISNUMBER(N2176)),IF(N2176&gt;0,M2176/N2176,""),"")</f>
        <v/>
      </c>
      <c r="V2176" s="10">
        <f>IF(AND(ISNUMBER(M2176),ISNUMBER(O2176)),IF(O2176&gt;0,M2176/O2176,""),"")</f>
        <v/>
      </c>
      <c r="W2176" s="10">
        <f>IF(AND(ISNUMBER(M2176),ISNUMBER(R2176)),IF(R2176&gt;0,M2176/R2176,""),"")</f>
        <v/>
      </c>
      <c r="X2176" s="10">
        <f>IF(AND(ISNUMBER(Q2176),ISNUMBER(M2176)),IF(M2176&gt;0,Q2176/M2176,""),"")</f>
        <v/>
      </c>
      <c r="Y2176" s="11">
        <f>IF(ISNUMBER(Z2176),YEAR(Z2176),"")</f>
        <v/>
      </c>
      <c r="Z2176" s="12" t="n"/>
      <c r="AA2176" s="12" t="n"/>
      <c r="AI2176" s="12" t="n"/>
      <c r="AJ2176" s="13">
        <f>IF(LEN(TRIM(AF2176))=0,"",HYPERLINK("https://www.google.com/maps/@?api=1&amp;map_action=pano&amp;viewpoint="&amp;SUBSTITUTE(AF2176," ",""),"Abrir Street View"))</f>
        <v/>
      </c>
    </row>
    <row r="2177">
      <c r="H2177" s="6" t="n"/>
      <c r="I2177" s="6" t="n"/>
      <c r="M2177" s="7" t="n"/>
      <c r="N2177" s="7" t="n"/>
      <c r="O2177" s="7" t="n"/>
      <c r="Q2177" s="7" t="n"/>
      <c r="R2177" s="7" t="n"/>
      <c r="S2177" s="8">
        <f>IF(NOT(ISNUMBER(M2177)),"",IF(G2177="Terreno",IF(AND(ISNUMBER(I2177),I2177&gt;0),M2177/I2177,""),IF(AND(ISNUMBER(H2177),H2177&gt;0),M2177/H2177,"")))</f>
        <v/>
      </c>
      <c r="T2177" s="9">
        <f>IF(AND(ISNUMBER(M2177),ISNUMBER(O2177)),IF(M2177&lt;=O2177,"Valor ≤ venal IPTU",""),"")</f>
        <v/>
      </c>
      <c r="U2177" s="10">
        <f>IF(AND(ISNUMBER(M2177),ISNUMBER(N2177)),IF(N2177&gt;0,M2177/N2177,""),"")</f>
        <v/>
      </c>
      <c r="V2177" s="10">
        <f>IF(AND(ISNUMBER(M2177),ISNUMBER(O2177)),IF(O2177&gt;0,M2177/O2177,""),"")</f>
        <v/>
      </c>
      <c r="W2177" s="10">
        <f>IF(AND(ISNUMBER(M2177),ISNUMBER(R2177)),IF(R2177&gt;0,M2177/R2177,""),"")</f>
        <v/>
      </c>
      <c r="X2177" s="10">
        <f>IF(AND(ISNUMBER(Q2177),ISNUMBER(M2177)),IF(M2177&gt;0,Q2177/M2177,""),"")</f>
        <v/>
      </c>
      <c r="Y2177" s="11">
        <f>IF(ISNUMBER(Z2177),YEAR(Z2177),"")</f>
        <v/>
      </c>
      <c r="Z2177" s="12" t="n"/>
      <c r="AA2177" s="12" t="n"/>
      <c r="AI2177" s="12" t="n"/>
      <c r="AJ2177" s="13">
        <f>IF(LEN(TRIM(AF2177))=0,"",HYPERLINK("https://www.google.com/maps/@?api=1&amp;map_action=pano&amp;viewpoint="&amp;SUBSTITUTE(AF2177," ",""),"Abrir Street View"))</f>
        <v/>
      </c>
    </row>
    <row r="2178">
      <c r="H2178" s="6" t="n"/>
      <c r="I2178" s="6" t="n"/>
      <c r="M2178" s="7" t="n"/>
      <c r="N2178" s="7" t="n"/>
      <c r="O2178" s="7" t="n"/>
      <c r="Q2178" s="7" t="n"/>
      <c r="R2178" s="7" t="n"/>
      <c r="S2178" s="8">
        <f>IF(NOT(ISNUMBER(M2178)),"",IF(G2178="Terreno",IF(AND(ISNUMBER(I2178),I2178&gt;0),M2178/I2178,""),IF(AND(ISNUMBER(H2178),H2178&gt;0),M2178/H2178,"")))</f>
        <v/>
      </c>
      <c r="T2178" s="9">
        <f>IF(AND(ISNUMBER(M2178),ISNUMBER(O2178)),IF(M2178&lt;=O2178,"Valor ≤ venal IPTU",""),"")</f>
        <v/>
      </c>
      <c r="U2178" s="10">
        <f>IF(AND(ISNUMBER(M2178),ISNUMBER(N2178)),IF(N2178&gt;0,M2178/N2178,""),"")</f>
        <v/>
      </c>
      <c r="V2178" s="10">
        <f>IF(AND(ISNUMBER(M2178),ISNUMBER(O2178)),IF(O2178&gt;0,M2178/O2178,""),"")</f>
        <v/>
      </c>
      <c r="W2178" s="10">
        <f>IF(AND(ISNUMBER(M2178),ISNUMBER(R2178)),IF(R2178&gt;0,M2178/R2178,""),"")</f>
        <v/>
      </c>
      <c r="X2178" s="10">
        <f>IF(AND(ISNUMBER(Q2178),ISNUMBER(M2178)),IF(M2178&gt;0,Q2178/M2178,""),"")</f>
        <v/>
      </c>
      <c r="Y2178" s="11">
        <f>IF(ISNUMBER(Z2178),YEAR(Z2178),"")</f>
        <v/>
      </c>
      <c r="Z2178" s="12" t="n"/>
      <c r="AA2178" s="12" t="n"/>
      <c r="AI2178" s="12" t="n"/>
      <c r="AJ2178" s="13">
        <f>IF(LEN(TRIM(AF2178))=0,"",HYPERLINK("https://www.google.com/maps/@?api=1&amp;map_action=pano&amp;viewpoint="&amp;SUBSTITUTE(AF2178," ",""),"Abrir Street View"))</f>
        <v/>
      </c>
    </row>
    <row r="2179">
      <c r="H2179" s="6" t="n"/>
      <c r="I2179" s="6" t="n"/>
      <c r="M2179" s="7" t="n"/>
      <c r="N2179" s="7" t="n"/>
      <c r="O2179" s="7" t="n"/>
      <c r="Q2179" s="7" t="n"/>
      <c r="R2179" s="7" t="n"/>
      <c r="S2179" s="8">
        <f>IF(NOT(ISNUMBER(M2179)),"",IF(G2179="Terreno",IF(AND(ISNUMBER(I2179),I2179&gt;0),M2179/I2179,""),IF(AND(ISNUMBER(H2179),H2179&gt;0),M2179/H2179,"")))</f>
        <v/>
      </c>
      <c r="T2179" s="9">
        <f>IF(AND(ISNUMBER(M2179),ISNUMBER(O2179)),IF(M2179&lt;=O2179,"Valor ≤ venal IPTU",""),"")</f>
        <v/>
      </c>
      <c r="U2179" s="10">
        <f>IF(AND(ISNUMBER(M2179),ISNUMBER(N2179)),IF(N2179&gt;0,M2179/N2179,""),"")</f>
        <v/>
      </c>
      <c r="V2179" s="10">
        <f>IF(AND(ISNUMBER(M2179),ISNUMBER(O2179)),IF(O2179&gt;0,M2179/O2179,""),"")</f>
        <v/>
      </c>
      <c r="W2179" s="10">
        <f>IF(AND(ISNUMBER(M2179),ISNUMBER(R2179)),IF(R2179&gt;0,M2179/R2179,""),"")</f>
        <v/>
      </c>
      <c r="X2179" s="10">
        <f>IF(AND(ISNUMBER(Q2179),ISNUMBER(M2179)),IF(M2179&gt;0,Q2179/M2179,""),"")</f>
        <v/>
      </c>
      <c r="Y2179" s="11">
        <f>IF(ISNUMBER(Z2179),YEAR(Z2179),"")</f>
        <v/>
      </c>
      <c r="Z2179" s="12" t="n"/>
      <c r="AA2179" s="12" t="n"/>
      <c r="AI2179" s="12" t="n"/>
      <c r="AJ2179" s="13">
        <f>IF(LEN(TRIM(AF2179))=0,"",HYPERLINK("https://www.google.com/maps/@?api=1&amp;map_action=pano&amp;viewpoint="&amp;SUBSTITUTE(AF2179," ",""),"Abrir Street View"))</f>
        <v/>
      </c>
    </row>
    <row r="2180">
      <c r="H2180" s="6" t="n"/>
      <c r="I2180" s="6" t="n"/>
      <c r="M2180" s="7" t="n"/>
      <c r="N2180" s="7" t="n"/>
      <c r="O2180" s="7" t="n"/>
      <c r="Q2180" s="7" t="n"/>
      <c r="R2180" s="7" t="n"/>
      <c r="S2180" s="8">
        <f>IF(NOT(ISNUMBER(M2180)),"",IF(G2180="Terreno",IF(AND(ISNUMBER(I2180),I2180&gt;0),M2180/I2180,""),IF(AND(ISNUMBER(H2180),H2180&gt;0),M2180/H2180,"")))</f>
        <v/>
      </c>
      <c r="T2180" s="9">
        <f>IF(AND(ISNUMBER(M2180),ISNUMBER(O2180)),IF(M2180&lt;=O2180,"Valor ≤ venal IPTU",""),"")</f>
        <v/>
      </c>
      <c r="U2180" s="10">
        <f>IF(AND(ISNUMBER(M2180),ISNUMBER(N2180)),IF(N2180&gt;0,M2180/N2180,""),"")</f>
        <v/>
      </c>
      <c r="V2180" s="10">
        <f>IF(AND(ISNUMBER(M2180),ISNUMBER(O2180)),IF(O2180&gt;0,M2180/O2180,""),"")</f>
        <v/>
      </c>
      <c r="W2180" s="10">
        <f>IF(AND(ISNUMBER(M2180),ISNUMBER(R2180)),IF(R2180&gt;0,M2180/R2180,""),"")</f>
        <v/>
      </c>
      <c r="X2180" s="10">
        <f>IF(AND(ISNUMBER(Q2180),ISNUMBER(M2180)),IF(M2180&gt;0,Q2180/M2180,""),"")</f>
        <v/>
      </c>
      <c r="Y2180" s="11">
        <f>IF(ISNUMBER(Z2180),YEAR(Z2180),"")</f>
        <v/>
      </c>
      <c r="Z2180" s="12" t="n"/>
      <c r="AA2180" s="12" t="n"/>
      <c r="AI2180" s="12" t="n"/>
      <c r="AJ2180" s="13">
        <f>IF(LEN(TRIM(AF2180))=0,"",HYPERLINK("https://www.google.com/maps/@?api=1&amp;map_action=pano&amp;viewpoint="&amp;SUBSTITUTE(AF2180," ",""),"Abrir Street View"))</f>
        <v/>
      </c>
    </row>
    <row r="2181">
      <c r="H2181" s="6" t="n"/>
      <c r="I2181" s="6" t="n"/>
      <c r="M2181" s="7" t="n"/>
      <c r="N2181" s="7" t="n"/>
      <c r="O2181" s="7" t="n"/>
      <c r="Q2181" s="7" t="n"/>
      <c r="R2181" s="7" t="n"/>
      <c r="S2181" s="8">
        <f>IF(NOT(ISNUMBER(M2181)),"",IF(G2181="Terreno",IF(AND(ISNUMBER(I2181),I2181&gt;0),M2181/I2181,""),IF(AND(ISNUMBER(H2181),H2181&gt;0),M2181/H2181,"")))</f>
        <v/>
      </c>
      <c r="T2181" s="9">
        <f>IF(AND(ISNUMBER(M2181),ISNUMBER(O2181)),IF(M2181&lt;=O2181,"Valor ≤ venal IPTU",""),"")</f>
        <v/>
      </c>
      <c r="U2181" s="10">
        <f>IF(AND(ISNUMBER(M2181),ISNUMBER(N2181)),IF(N2181&gt;0,M2181/N2181,""),"")</f>
        <v/>
      </c>
      <c r="V2181" s="10">
        <f>IF(AND(ISNUMBER(M2181),ISNUMBER(O2181)),IF(O2181&gt;0,M2181/O2181,""),"")</f>
        <v/>
      </c>
      <c r="W2181" s="10">
        <f>IF(AND(ISNUMBER(M2181),ISNUMBER(R2181)),IF(R2181&gt;0,M2181/R2181,""),"")</f>
        <v/>
      </c>
      <c r="X2181" s="10">
        <f>IF(AND(ISNUMBER(Q2181),ISNUMBER(M2181)),IF(M2181&gt;0,Q2181/M2181,""),"")</f>
        <v/>
      </c>
      <c r="Y2181" s="11">
        <f>IF(ISNUMBER(Z2181),YEAR(Z2181),"")</f>
        <v/>
      </c>
      <c r="Z2181" s="12" t="n"/>
      <c r="AA2181" s="12" t="n"/>
      <c r="AI2181" s="12" t="n"/>
      <c r="AJ2181" s="13">
        <f>IF(LEN(TRIM(AF2181))=0,"",HYPERLINK("https://www.google.com/maps/@?api=1&amp;map_action=pano&amp;viewpoint="&amp;SUBSTITUTE(AF2181," ",""),"Abrir Street View"))</f>
        <v/>
      </c>
    </row>
    <row r="2182">
      <c r="H2182" s="6" t="n"/>
      <c r="I2182" s="6" t="n"/>
      <c r="M2182" s="7" t="n"/>
      <c r="N2182" s="7" t="n"/>
      <c r="O2182" s="7" t="n"/>
      <c r="Q2182" s="7" t="n"/>
      <c r="R2182" s="7" t="n"/>
      <c r="S2182" s="8">
        <f>IF(NOT(ISNUMBER(M2182)),"",IF(G2182="Terreno",IF(AND(ISNUMBER(I2182),I2182&gt;0),M2182/I2182,""),IF(AND(ISNUMBER(H2182),H2182&gt;0),M2182/H2182,"")))</f>
        <v/>
      </c>
      <c r="T2182" s="9">
        <f>IF(AND(ISNUMBER(M2182),ISNUMBER(O2182)),IF(M2182&lt;=O2182,"Valor ≤ venal IPTU",""),"")</f>
        <v/>
      </c>
      <c r="U2182" s="10">
        <f>IF(AND(ISNUMBER(M2182),ISNUMBER(N2182)),IF(N2182&gt;0,M2182/N2182,""),"")</f>
        <v/>
      </c>
      <c r="V2182" s="10">
        <f>IF(AND(ISNUMBER(M2182),ISNUMBER(O2182)),IF(O2182&gt;0,M2182/O2182,""),"")</f>
        <v/>
      </c>
      <c r="W2182" s="10">
        <f>IF(AND(ISNUMBER(M2182),ISNUMBER(R2182)),IF(R2182&gt;0,M2182/R2182,""),"")</f>
        <v/>
      </c>
      <c r="X2182" s="10">
        <f>IF(AND(ISNUMBER(Q2182),ISNUMBER(M2182)),IF(M2182&gt;0,Q2182/M2182,""),"")</f>
        <v/>
      </c>
      <c r="Y2182" s="11">
        <f>IF(ISNUMBER(Z2182),YEAR(Z2182),"")</f>
        <v/>
      </c>
      <c r="Z2182" s="12" t="n"/>
      <c r="AA2182" s="12" t="n"/>
      <c r="AI2182" s="12" t="n"/>
      <c r="AJ2182" s="13">
        <f>IF(LEN(TRIM(AF2182))=0,"",HYPERLINK("https://www.google.com/maps/@?api=1&amp;map_action=pano&amp;viewpoint="&amp;SUBSTITUTE(AF2182," ",""),"Abrir Street View"))</f>
        <v/>
      </c>
    </row>
    <row r="2183">
      <c r="H2183" s="6" t="n"/>
      <c r="I2183" s="6" t="n"/>
      <c r="M2183" s="7" t="n"/>
      <c r="N2183" s="7" t="n"/>
      <c r="O2183" s="7" t="n"/>
      <c r="Q2183" s="7" t="n"/>
      <c r="R2183" s="7" t="n"/>
      <c r="S2183" s="8">
        <f>IF(NOT(ISNUMBER(M2183)),"",IF(G2183="Terreno",IF(AND(ISNUMBER(I2183),I2183&gt;0),M2183/I2183,""),IF(AND(ISNUMBER(H2183),H2183&gt;0),M2183/H2183,"")))</f>
        <v/>
      </c>
      <c r="T2183" s="9">
        <f>IF(AND(ISNUMBER(M2183),ISNUMBER(O2183)),IF(M2183&lt;=O2183,"Valor ≤ venal IPTU",""),"")</f>
        <v/>
      </c>
      <c r="U2183" s="10">
        <f>IF(AND(ISNUMBER(M2183),ISNUMBER(N2183)),IF(N2183&gt;0,M2183/N2183,""),"")</f>
        <v/>
      </c>
      <c r="V2183" s="10">
        <f>IF(AND(ISNUMBER(M2183),ISNUMBER(O2183)),IF(O2183&gt;0,M2183/O2183,""),"")</f>
        <v/>
      </c>
      <c r="W2183" s="10">
        <f>IF(AND(ISNUMBER(M2183),ISNUMBER(R2183)),IF(R2183&gt;0,M2183/R2183,""),"")</f>
        <v/>
      </c>
      <c r="X2183" s="10">
        <f>IF(AND(ISNUMBER(Q2183),ISNUMBER(M2183)),IF(M2183&gt;0,Q2183/M2183,""),"")</f>
        <v/>
      </c>
      <c r="Y2183" s="11">
        <f>IF(ISNUMBER(Z2183),YEAR(Z2183),"")</f>
        <v/>
      </c>
      <c r="Z2183" s="12" t="n"/>
      <c r="AA2183" s="12" t="n"/>
      <c r="AI2183" s="12" t="n"/>
      <c r="AJ2183" s="13">
        <f>IF(LEN(TRIM(AF2183))=0,"",HYPERLINK("https://www.google.com/maps/@?api=1&amp;map_action=pano&amp;viewpoint="&amp;SUBSTITUTE(AF2183," ",""),"Abrir Street View"))</f>
        <v/>
      </c>
    </row>
    <row r="2184">
      <c r="H2184" s="6" t="n"/>
      <c r="I2184" s="6" t="n"/>
      <c r="M2184" s="7" t="n"/>
      <c r="N2184" s="7" t="n"/>
      <c r="O2184" s="7" t="n"/>
      <c r="Q2184" s="7" t="n"/>
      <c r="R2184" s="7" t="n"/>
      <c r="S2184" s="8">
        <f>IF(NOT(ISNUMBER(M2184)),"",IF(G2184="Terreno",IF(AND(ISNUMBER(I2184),I2184&gt;0),M2184/I2184,""),IF(AND(ISNUMBER(H2184),H2184&gt;0),M2184/H2184,"")))</f>
        <v/>
      </c>
      <c r="T2184" s="9">
        <f>IF(AND(ISNUMBER(M2184),ISNUMBER(O2184)),IF(M2184&lt;=O2184,"Valor ≤ venal IPTU",""),"")</f>
        <v/>
      </c>
      <c r="U2184" s="10">
        <f>IF(AND(ISNUMBER(M2184),ISNUMBER(N2184)),IF(N2184&gt;0,M2184/N2184,""),"")</f>
        <v/>
      </c>
      <c r="V2184" s="10">
        <f>IF(AND(ISNUMBER(M2184),ISNUMBER(O2184)),IF(O2184&gt;0,M2184/O2184,""),"")</f>
        <v/>
      </c>
      <c r="W2184" s="10">
        <f>IF(AND(ISNUMBER(M2184),ISNUMBER(R2184)),IF(R2184&gt;0,M2184/R2184,""),"")</f>
        <v/>
      </c>
      <c r="X2184" s="10">
        <f>IF(AND(ISNUMBER(Q2184),ISNUMBER(M2184)),IF(M2184&gt;0,Q2184/M2184,""),"")</f>
        <v/>
      </c>
      <c r="Y2184" s="11">
        <f>IF(ISNUMBER(Z2184),YEAR(Z2184),"")</f>
        <v/>
      </c>
      <c r="Z2184" s="12" t="n"/>
      <c r="AA2184" s="12" t="n"/>
      <c r="AI2184" s="12" t="n"/>
      <c r="AJ2184" s="13">
        <f>IF(LEN(TRIM(AF2184))=0,"",HYPERLINK("https://www.google.com/maps/@?api=1&amp;map_action=pano&amp;viewpoint="&amp;SUBSTITUTE(AF2184," ",""),"Abrir Street View"))</f>
        <v/>
      </c>
    </row>
    <row r="2185">
      <c r="H2185" s="6" t="n"/>
      <c r="I2185" s="6" t="n"/>
      <c r="M2185" s="7" t="n"/>
      <c r="N2185" s="7" t="n"/>
      <c r="O2185" s="7" t="n"/>
      <c r="Q2185" s="7" t="n"/>
      <c r="R2185" s="7" t="n"/>
      <c r="S2185" s="8">
        <f>IF(NOT(ISNUMBER(M2185)),"",IF(G2185="Terreno",IF(AND(ISNUMBER(I2185),I2185&gt;0),M2185/I2185,""),IF(AND(ISNUMBER(H2185),H2185&gt;0),M2185/H2185,"")))</f>
        <v/>
      </c>
      <c r="T2185" s="9">
        <f>IF(AND(ISNUMBER(M2185),ISNUMBER(O2185)),IF(M2185&lt;=O2185,"Valor ≤ venal IPTU",""),"")</f>
        <v/>
      </c>
      <c r="U2185" s="10">
        <f>IF(AND(ISNUMBER(M2185),ISNUMBER(N2185)),IF(N2185&gt;0,M2185/N2185,""),"")</f>
        <v/>
      </c>
      <c r="V2185" s="10">
        <f>IF(AND(ISNUMBER(M2185),ISNUMBER(O2185)),IF(O2185&gt;0,M2185/O2185,""),"")</f>
        <v/>
      </c>
      <c r="W2185" s="10">
        <f>IF(AND(ISNUMBER(M2185),ISNUMBER(R2185)),IF(R2185&gt;0,M2185/R2185,""),"")</f>
        <v/>
      </c>
      <c r="X2185" s="10">
        <f>IF(AND(ISNUMBER(Q2185),ISNUMBER(M2185)),IF(M2185&gt;0,Q2185/M2185,""),"")</f>
        <v/>
      </c>
      <c r="Y2185" s="11">
        <f>IF(ISNUMBER(Z2185),YEAR(Z2185),"")</f>
        <v/>
      </c>
      <c r="Z2185" s="12" t="n"/>
      <c r="AA2185" s="12" t="n"/>
      <c r="AI2185" s="12" t="n"/>
      <c r="AJ2185" s="13">
        <f>IF(LEN(TRIM(AF2185))=0,"",HYPERLINK("https://www.google.com/maps/@?api=1&amp;map_action=pano&amp;viewpoint="&amp;SUBSTITUTE(AF2185," ",""),"Abrir Street View"))</f>
        <v/>
      </c>
    </row>
    <row r="2186">
      <c r="H2186" s="6" t="n"/>
      <c r="I2186" s="6" t="n"/>
      <c r="M2186" s="7" t="n"/>
      <c r="N2186" s="7" t="n"/>
      <c r="O2186" s="7" t="n"/>
      <c r="Q2186" s="7" t="n"/>
      <c r="R2186" s="7" t="n"/>
      <c r="S2186" s="8">
        <f>IF(NOT(ISNUMBER(M2186)),"",IF(G2186="Terreno",IF(AND(ISNUMBER(I2186),I2186&gt;0),M2186/I2186,""),IF(AND(ISNUMBER(H2186),H2186&gt;0),M2186/H2186,"")))</f>
        <v/>
      </c>
      <c r="T2186" s="9">
        <f>IF(AND(ISNUMBER(M2186),ISNUMBER(O2186)),IF(M2186&lt;=O2186,"Valor ≤ venal IPTU",""),"")</f>
        <v/>
      </c>
      <c r="U2186" s="10">
        <f>IF(AND(ISNUMBER(M2186),ISNUMBER(N2186)),IF(N2186&gt;0,M2186/N2186,""),"")</f>
        <v/>
      </c>
      <c r="V2186" s="10">
        <f>IF(AND(ISNUMBER(M2186),ISNUMBER(O2186)),IF(O2186&gt;0,M2186/O2186,""),"")</f>
        <v/>
      </c>
      <c r="W2186" s="10">
        <f>IF(AND(ISNUMBER(M2186),ISNUMBER(R2186)),IF(R2186&gt;0,M2186/R2186,""),"")</f>
        <v/>
      </c>
      <c r="X2186" s="10">
        <f>IF(AND(ISNUMBER(Q2186),ISNUMBER(M2186)),IF(M2186&gt;0,Q2186/M2186,""),"")</f>
        <v/>
      </c>
      <c r="Y2186" s="11">
        <f>IF(ISNUMBER(Z2186),YEAR(Z2186),"")</f>
        <v/>
      </c>
      <c r="Z2186" s="12" t="n"/>
      <c r="AA2186" s="12" t="n"/>
      <c r="AI2186" s="12" t="n"/>
      <c r="AJ2186" s="13">
        <f>IF(LEN(TRIM(AF2186))=0,"",HYPERLINK("https://www.google.com/maps/@?api=1&amp;map_action=pano&amp;viewpoint="&amp;SUBSTITUTE(AF2186," ",""),"Abrir Street View"))</f>
        <v/>
      </c>
    </row>
    <row r="2187">
      <c r="H2187" s="6" t="n"/>
      <c r="I2187" s="6" t="n"/>
      <c r="M2187" s="7" t="n"/>
      <c r="N2187" s="7" t="n"/>
      <c r="O2187" s="7" t="n"/>
      <c r="Q2187" s="7" t="n"/>
      <c r="R2187" s="7" t="n"/>
      <c r="S2187" s="8">
        <f>IF(NOT(ISNUMBER(M2187)),"",IF(G2187="Terreno",IF(AND(ISNUMBER(I2187),I2187&gt;0),M2187/I2187,""),IF(AND(ISNUMBER(H2187),H2187&gt;0),M2187/H2187,"")))</f>
        <v/>
      </c>
      <c r="T2187" s="9">
        <f>IF(AND(ISNUMBER(M2187),ISNUMBER(O2187)),IF(M2187&lt;=O2187,"Valor ≤ venal IPTU",""),"")</f>
        <v/>
      </c>
      <c r="U2187" s="10">
        <f>IF(AND(ISNUMBER(M2187),ISNUMBER(N2187)),IF(N2187&gt;0,M2187/N2187,""),"")</f>
        <v/>
      </c>
      <c r="V2187" s="10">
        <f>IF(AND(ISNUMBER(M2187),ISNUMBER(O2187)),IF(O2187&gt;0,M2187/O2187,""),"")</f>
        <v/>
      </c>
      <c r="W2187" s="10">
        <f>IF(AND(ISNUMBER(M2187),ISNUMBER(R2187)),IF(R2187&gt;0,M2187/R2187,""),"")</f>
        <v/>
      </c>
      <c r="X2187" s="10">
        <f>IF(AND(ISNUMBER(Q2187),ISNUMBER(M2187)),IF(M2187&gt;0,Q2187/M2187,""),"")</f>
        <v/>
      </c>
      <c r="Y2187" s="11">
        <f>IF(ISNUMBER(Z2187),YEAR(Z2187),"")</f>
        <v/>
      </c>
      <c r="Z2187" s="12" t="n"/>
      <c r="AA2187" s="12" t="n"/>
      <c r="AI2187" s="12" t="n"/>
      <c r="AJ2187" s="13">
        <f>IF(LEN(TRIM(AF2187))=0,"",HYPERLINK("https://www.google.com/maps/@?api=1&amp;map_action=pano&amp;viewpoint="&amp;SUBSTITUTE(AF2187," ",""),"Abrir Street View"))</f>
        <v/>
      </c>
    </row>
    <row r="2188">
      <c r="H2188" s="6" t="n"/>
      <c r="I2188" s="6" t="n"/>
      <c r="M2188" s="7" t="n"/>
      <c r="N2188" s="7" t="n"/>
      <c r="O2188" s="7" t="n"/>
      <c r="Q2188" s="7" t="n"/>
      <c r="R2188" s="7" t="n"/>
      <c r="S2188" s="8">
        <f>IF(NOT(ISNUMBER(M2188)),"",IF(G2188="Terreno",IF(AND(ISNUMBER(I2188),I2188&gt;0),M2188/I2188,""),IF(AND(ISNUMBER(H2188),H2188&gt;0),M2188/H2188,"")))</f>
        <v/>
      </c>
      <c r="T2188" s="9">
        <f>IF(AND(ISNUMBER(M2188),ISNUMBER(O2188)),IF(M2188&lt;=O2188,"Valor ≤ venal IPTU",""),"")</f>
        <v/>
      </c>
      <c r="U2188" s="10">
        <f>IF(AND(ISNUMBER(M2188),ISNUMBER(N2188)),IF(N2188&gt;0,M2188/N2188,""),"")</f>
        <v/>
      </c>
      <c r="V2188" s="10">
        <f>IF(AND(ISNUMBER(M2188),ISNUMBER(O2188)),IF(O2188&gt;0,M2188/O2188,""),"")</f>
        <v/>
      </c>
      <c r="W2188" s="10">
        <f>IF(AND(ISNUMBER(M2188),ISNUMBER(R2188)),IF(R2188&gt;0,M2188/R2188,""),"")</f>
        <v/>
      </c>
      <c r="X2188" s="10">
        <f>IF(AND(ISNUMBER(Q2188),ISNUMBER(M2188)),IF(M2188&gt;0,Q2188/M2188,""),"")</f>
        <v/>
      </c>
      <c r="Y2188" s="11">
        <f>IF(ISNUMBER(Z2188),YEAR(Z2188),"")</f>
        <v/>
      </c>
      <c r="Z2188" s="12" t="n"/>
      <c r="AA2188" s="12" t="n"/>
      <c r="AI2188" s="12" t="n"/>
      <c r="AJ2188" s="13">
        <f>IF(LEN(TRIM(AF2188))=0,"",HYPERLINK("https://www.google.com/maps/@?api=1&amp;map_action=pano&amp;viewpoint="&amp;SUBSTITUTE(AF2188," ",""),"Abrir Street View"))</f>
        <v/>
      </c>
    </row>
    <row r="2189">
      <c r="H2189" s="6" t="n"/>
      <c r="I2189" s="6" t="n"/>
      <c r="M2189" s="7" t="n"/>
      <c r="N2189" s="7" t="n"/>
      <c r="O2189" s="7" t="n"/>
      <c r="Q2189" s="7" t="n"/>
      <c r="R2189" s="7" t="n"/>
      <c r="S2189" s="8">
        <f>IF(NOT(ISNUMBER(M2189)),"",IF(G2189="Terreno",IF(AND(ISNUMBER(I2189),I2189&gt;0),M2189/I2189,""),IF(AND(ISNUMBER(H2189),H2189&gt;0),M2189/H2189,"")))</f>
        <v/>
      </c>
      <c r="T2189" s="9">
        <f>IF(AND(ISNUMBER(M2189),ISNUMBER(O2189)),IF(M2189&lt;=O2189,"Valor ≤ venal IPTU",""),"")</f>
        <v/>
      </c>
      <c r="U2189" s="10">
        <f>IF(AND(ISNUMBER(M2189),ISNUMBER(N2189)),IF(N2189&gt;0,M2189/N2189,""),"")</f>
        <v/>
      </c>
      <c r="V2189" s="10">
        <f>IF(AND(ISNUMBER(M2189),ISNUMBER(O2189)),IF(O2189&gt;0,M2189/O2189,""),"")</f>
        <v/>
      </c>
      <c r="W2189" s="10">
        <f>IF(AND(ISNUMBER(M2189),ISNUMBER(R2189)),IF(R2189&gt;0,M2189/R2189,""),"")</f>
        <v/>
      </c>
      <c r="X2189" s="10">
        <f>IF(AND(ISNUMBER(Q2189),ISNUMBER(M2189)),IF(M2189&gt;0,Q2189/M2189,""),"")</f>
        <v/>
      </c>
      <c r="Y2189" s="11">
        <f>IF(ISNUMBER(Z2189),YEAR(Z2189),"")</f>
        <v/>
      </c>
      <c r="Z2189" s="12" t="n"/>
      <c r="AA2189" s="12" t="n"/>
      <c r="AI2189" s="12" t="n"/>
      <c r="AJ2189" s="13">
        <f>IF(LEN(TRIM(AF2189))=0,"",HYPERLINK("https://www.google.com/maps/@?api=1&amp;map_action=pano&amp;viewpoint="&amp;SUBSTITUTE(AF2189," ",""),"Abrir Street View"))</f>
        <v/>
      </c>
    </row>
    <row r="2190">
      <c r="H2190" s="6" t="n"/>
      <c r="I2190" s="6" t="n"/>
      <c r="M2190" s="7" t="n"/>
      <c r="N2190" s="7" t="n"/>
      <c r="O2190" s="7" t="n"/>
      <c r="Q2190" s="7" t="n"/>
      <c r="R2190" s="7" t="n"/>
      <c r="S2190" s="8">
        <f>IF(NOT(ISNUMBER(M2190)),"",IF(G2190="Terreno",IF(AND(ISNUMBER(I2190),I2190&gt;0),M2190/I2190,""),IF(AND(ISNUMBER(H2190),H2190&gt;0),M2190/H2190,"")))</f>
        <v/>
      </c>
      <c r="T2190" s="9">
        <f>IF(AND(ISNUMBER(M2190),ISNUMBER(O2190)),IF(M2190&lt;=O2190,"Valor ≤ venal IPTU",""),"")</f>
        <v/>
      </c>
      <c r="U2190" s="10">
        <f>IF(AND(ISNUMBER(M2190),ISNUMBER(N2190)),IF(N2190&gt;0,M2190/N2190,""),"")</f>
        <v/>
      </c>
      <c r="V2190" s="10">
        <f>IF(AND(ISNUMBER(M2190),ISNUMBER(O2190)),IF(O2190&gt;0,M2190/O2190,""),"")</f>
        <v/>
      </c>
      <c r="W2190" s="10">
        <f>IF(AND(ISNUMBER(M2190),ISNUMBER(R2190)),IF(R2190&gt;0,M2190/R2190,""),"")</f>
        <v/>
      </c>
      <c r="X2190" s="10">
        <f>IF(AND(ISNUMBER(Q2190),ISNUMBER(M2190)),IF(M2190&gt;0,Q2190/M2190,""),"")</f>
        <v/>
      </c>
      <c r="Y2190" s="11">
        <f>IF(ISNUMBER(Z2190),YEAR(Z2190),"")</f>
        <v/>
      </c>
      <c r="Z2190" s="12" t="n"/>
      <c r="AA2190" s="12" t="n"/>
      <c r="AI2190" s="12" t="n"/>
      <c r="AJ2190" s="13">
        <f>IF(LEN(TRIM(AF2190))=0,"",HYPERLINK("https://www.google.com/maps/@?api=1&amp;map_action=pano&amp;viewpoint="&amp;SUBSTITUTE(AF2190," ",""),"Abrir Street View"))</f>
        <v/>
      </c>
    </row>
    <row r="2191">
      <c r="H2191" s="6" t="n"/>
      <c r="I2191" s="6" t="n"/>
      <c r="M2191" s="7" t="n"/>
      <c r="N2191" s="7" t="n"/>
      <c r="O2191" s="7" t="n"/>
      <c r="Q2191" s="7" t="n"/>
      <c r="R2191" s="7" t="n"/>
      <c r="S2191" s="8">
        <f>IF(NOT(ISNUMBER(M2191)),"",IF(G2191="Terreno",IF(AND(ISNUMBER(I2191),I2191&gt;0),M2191/I2191,""),IF(AND(ISNUMBER(H2191),H2191&gt;0),M2191/H2191,"")))</f>
        <v/>
      </c>
      <c r="T2191" s="9">
        <f>IF(AND(ISNUMBER(M2191),ISNUMBER(O2191)),IF(M2191&lt;=O2191,"Valor ≤ venal IPTU",""),"")</f>
        <v/>
      </c>
      <c r="U2191" s="10">
        <f>IF(AND(ISNUMBER(M2191),ISNUMBER(N2191)),IF(N2191&gt;0,M2191/N2191,""),"")</f>
        <v/>
      </c>
      <c r="V2191" s="10">
        <f>IF(AND(ISNUMBER(M2191),ISNUMBER(O2191)),IF(O2191&gt;0,M2191/O2191,""),"")</f>
        <v/>
      </c>
      <c r="W2191" s="10">
        <f>IF(AND(ISNUMBER(M2191),ISNUMBER(R2191)),IF(R2191&gt;0,M2191/R2191,""),"")</f>
        <v/>
      </c>
      <c r="X2191" s="10">
        <f>IF(AND(ISNUMBER(Q2191),ISNUMBER(M2191)),IF(M2191&gt;0,Q2191/M2191,""),"")</f>
        <v/>
      </c>
      <c r="Y2191" s="11">
        <f>IF(ISNUMBER(Z2191),YEAR(Z2191),"")</f>
        <v/>
      </c>
      <c r="Z2191" s="12" t="n"/>
      <c r="AA2191" s="12" t="n"/>
      <c r="AI2191" s="12" t="n"/>
      <c r="AJ2191" s="13">
        <f>IF(LEN(TRIM(AF2191))=0,"",HYPERLINK("https://www.google.com/maps/@?api=1&amp;map_action=pano&amp;viewpoint="&amp;SUBSTITUTE(AF2191," ",""),"Abrir Street View"))</f>
        <v/>
      </c>
    </row>
    <row r="2192">
      <c r="H2192" s="6" t="n"/>
      <c r="I2192" s="6" t="n"/>
      <c r="M2192" s="7" t="n"/>
      <c r="N2192" s="7" t="n"/>
      <c r="O2192" s="7" t="n"/>
      <c r="Q2192" s="7" t="n"/>
      <c r="R2192" s="7" t="n"/>
      <c r="S2192" s="8">
        <f>IF(NOT(ISNUMBER(M2192)),"",IF(G2192="Terreno",IF(AND(ISNUMBER(I2192),I2192&gt;0),M2192/I2192,""),IF(AND(ISNUMBER(H2192),H2192&gt;0),M2192/H2192,"")))</f>
        <v/>
      </c>
      <c r="T2192" s="9">
        <f>IF(AND(ISNUMBER(M2192),ISNUMBER(O2192)),IF(M2192&lt;=O2192,"Valor ≤ venal IPTU",""),"")</f>
        <v/>
      </c>
      <c r="U2192" s="10">
        <f>IF(AND(ISNUMBER(M2192),ISNUMBER(N2192)),IF(N2192&gt;0,M2192/N2192,""),"")</f>
        <v/>
      </c>
      <c r="V2192" s="10">
        <f>IF(AND(ISNUMBER(M2192),ISNUMBER(O2192)),IF(O2192&gt;0,M2192/O2192,""),"")</f>
        <v/>
      </c>
      <c r="W2192" s="10">
        <f>IF(AND(ISNUMBER(M2192),ISNUMBER(R2192)),IF(R2192&gt;0,M2192/R2192,""),"")</f>
        <v/>
      </c>
      <c r="X2192" s="10">
        <f>IF(AND(ISNUMBER(Q2192),ISNUMBER(M2192)),IF(M2192&gt;0,Q2192/M2192,""),"")</f>
        <v/>
      </c>
      <c r="Y2192" s="11">
        <f>IF(ISNUMBER(Z2192),YEAR(Z2192),"")</f>
        <v/>
      </c>
      <c r="Z2192" s="12" t="n"/>
      <c r="AA2192" s="12" t="n"/>
      <c r="AI2192" s="12" t="n"/>
      <c r="AJ2192" s="13">
        <f>IF(LEN(TRIM(AF2192))=0,"",HYPERLINK("https://www.google.com/maps/@?api=1&amp;map_action=pano&amp;viewpoint="&amp;SUBSTITUTE(AF2192," ",""),"Abrir Street View"))</f>
        <v/>
      </c>
    </row>
    <row r="2193">
      <c r="H2193" s="6" t="n"/>
      <c r="I2193" s="6" t="n"/>
      <c r="M2193" s="7" t="n"/>
      <c r="N2193" s="7" t="n"/>
      <c r="O2193" s="7" t="n"/>
      <c r="Q2193" s="7" t="n"/>
      <c r="R2193" s="7" t="n"/>
      <c r="S2193" s="8">
        <f>IF(NOT(ISNUMBER(M2193)),"",IF(G2193="Terreno",IF(AND(ISNUMBER(I2193),I2193&gt;0),M2193/I2193,""),IF(AND(ISNUMBER(H2193),H2193&gt;0),M2193/H2193,"")))</f>
        <v/>
      </c>
      <c r="T2193" s="9">
        <f>IF(AND(ISNUMBER(M2193),ISNUMBER(O2193)),IF(M2193&lt;=O2193,"Valor ≤ venal IPTU",""),"")</f>
        <v/>
      </c>
      <c r="U2193" s="10">
        <f>IF(AND(ISNUMBER(M2193),ISNUMBER(N2193)),IF(N2193&gt;0,M2193/N2193,""),"")</f>
        <v/>
      </c>
      <c r="V2193" s="10">
        <f>IF(AND(ISNUMBER(M2193),ISNUMBER(O2193)),IF(O2193&gt;0,M2193/O2193,""),"")</f>
        <v/>
      </c>
      <c r="W2193" s="10">
        <f>IF(AND(ISNUMBER(M2193),ISNUMBER(R2193)),IF(R2193&gt;0,M2193/R2193,""),"")</f>
        <v/>
      </c>
      <c r="X2193" s="10">
        <f>IF(AND(ISNUMBER(Q2193),ISNUMBER(M2193)),IF(M2193&gt;0,Q2193/M2193,""),"")</f>
        <v/>
      </c>
      <c r="Y2193" s="11">
        <f>IF(ISNUMBER(Z2193),YEAR(Z2193),"")</f>
        <v/>
      </c>
      <c r="Z2193" s="12" t="n"/>
      <c r="AA2193" s="12" t="n"/>
      <c r="AI2193" s="12" t="n"/>
      <c r="AJ2193" s="13">
        <f>IF(LEN(TRIM(AF2193))=0,"",HYPERLINK("https://www.google.com/maps/@?api=1&amp;map_action=pano&amp;viewpoint="&amp;SUBSTITUTE(AF2193," ",""),"Abrir Street View"))</f>
        <v/>
      </c>
    </row>
    <row r="2194">
      <c r="H2194" s="6" t="n"/>
      <c r="I2194" s="6" t="n"/>
      <c r="M2194" s="7" t="n"/>
      <c r="N2194" s="7" t="n"/>
      <c r="O2194" s="7" t="n"/>
      <c r="Q2194" s="7" t="n"/>
      <c r="R2194" s="7" t="n"/>
      <c r="S2194" s="8">
        <f>IF(NOT(ISNUMBER(M2194)),"",IF(G2194="Terreno",IF(AND(ISNUMBER(I2194),I2194&gt;0),M2194/I2194,""),IF(AND(ISNUMBER(H2194),H2194&gt;0),M2194/H2194,"")))</f>
        <v/>
      </c>
      <c r="T2194" s="9">
        <f>IF(AND(ISNUMBER(M2194),ISNUMBER(O2194)),IF(M2194&lt;=O2194,"Valor ≤ venal IPTU",""),"")</f>
        <v/>
      </c>
      <c r="U2194" s="10">
        <f>IF(AND(ISNUMBER(M2194),ISNUMBER(N2194)),IF(N2194&gt;0,M2194/N2194,""),"")</f>
        <v/>
      </c>
      <c r="V2194" s="10">
        <f>IF(AND(ISNUMBER(M2194),ISNUMBER(O2194)),IF(O2194&gt;0,M2194/O2194,""),"")</f>
        <v/>
      </c>
      <c r="W2194" s="10">
        <f>IF(AND(ISNUMBER(M2194),ISNUMBER(R2194)),IF(R2194&gt;0,M2194/R2194,""),"")</f>
        <v/>
      </c>
      <c r="X2194" s="10">
        <f>IF(AND(ISNUMBER(Q2194),ISNUMBER(M2194)),IF(M2194&gt;0,Q2194/M2194,""),"")</f>
        <v/>
      </c>
      <c r="Y2194" s="11">
        <f>IF(ISNUMBER(Z2194),YEAR(Z2194),"")</f>
        <v/>
      </c>
      <c r="Z2194" s="12" t="n"/>
      <c r="AA2194" s="12" t="n"/>
      <c r="AI2194" s="12" t="n"/>
      <c r="AJ2194" s="13">
        <f>IF(LEN(TRIM(AF2194))=0,"",HYPERLINK("https://www.google.com/maps/@?api=1&amp;map_action=pano&amp;viewpoint="&amp;SUBSTITUTE(AF2194," ",""),"Abrir Street View"))</f>
        <v/>
      </c>
    </row>
    <row r="2195">
      <c r="H2195" s="6" t="n"/>
      <c r="I2195" s="6" t="n"/>
      <c r="M2195" s="7" t="n"/>
      <c r="N2195" s="7" t="n"/>
      <c r="O2195" s="7" t="n"/>
      <c r="Q2195" s="7" t="n"/>
      <c r="R2195" s="7" t="n"/>
      <c r="S2195" s="8">
        <f>IF(NOT(ISNUMBER(M2195)),"",IF(G2195="Terreno",IF(AND(ISNUMBER(I2195),I2195&gt;0),M2195/I2195,""),IF(AND(ISNUMBER(H2195),H2195&gt;0),M2195/H2195,"")))</f>
        <v/>
      </c>
      <c r="T2195" s="9">
        <f>IF(AND(ISNUMBER(M2195),ISNUMBER(O2195)),IF(M2195&lt;=O2195,"Valor ≤ venal IPTU",""),"")</f>
        <v/>
      </c>
      <c r="U2195" s="10">
        <f>IF(AND(ISNUMBER(M2195),ISNUMBER(N2195)),IF(N2195&gt;0,M2195/N2195,""),"")</f>
        <v/>
      </c>
      <c r="V2195" s="10">
        <f>IF(AND(ISNUMBER(M2195),ISNUMBER(O2195)),IF(O2195&gt;0,M2195/O2195,""),"")</f>
        <v/>
      </c>
      <c r="W2195" s="10">
        <f>IF(AND(ISNUMBER(M2195),ISNUMBER(R2195)),IF(R2195&gt;0,M2195/R2195,""),"")</f>
        <v/>
      </c>
      <c r="X2195" s="10">
        <f>IF(AND(ISNUMBER(Q2195),ISNUMBER(M2195)),IF(M2195&gt;0,Q2195/M2195,""),"")</f>
        <v/>
      </c>
      <c r="Y2195" s="11">
        <f>IF(ISNUMBER(Z2195),YEAR(Z2195),"")</f>
        <v/>
      </c>
      <c r="Z2195" s="12" t="n"/>
      <c r="AA2195" s="12" t="n"/>
      <c r="AI2195" s="12" t="n"/>
      <c r="AJ2195" s="13">
        <f>IF(LEN(TRIM(AF2195))=0,"",HYPERLINK("https://www.google.com/maps/@?api=1&amp;map_action=pano&amp;viewpoint="&amp;SUBSTITUTE(AF2195," ",""),"Abrir Street View"))</f>
        <v/>
      </c>
    </row>
    <row r="2196">
      <c r="H2196" s="6" t="n"/>
      <c r="I2196" s="6" t="n"/>
      <c r="M2196" s="7" t="n"/>
      <c r="N2196" s="7" t="n"/>
      <c r="O2196" s="7" t="n"/>
      <c r="Q2196" s="7" t="n"/>
      <c r="R2196" s="7" t="n"/>
      <c r="S2196" s="8">
        <f>IF(NOT(ISNUMBER(M2196)),"",IF(G2196="Terreno",IF(AND(ISNUMBER(I2196),I2196&gt;0),M2196/I2196,""),IF(AND(ISNUMBER(H2196),H2196&gt;0),M2196/H2196,"")))</f>
        <v/>
      </c>
      <c r="T2196" s="9">
        <f>IF(AND(ISNUMBER(M2196),ISNUMBER(O2196)),IF(M2196&lt;=O2196,"Valor ≤ venal IPTU",""),"")</f>
        <v/>
      </c>
      <c r="U2196" s="10">
        <f>IF(AND(ISNUMBER(M2196),ISNUMBER(N2196)),IF(N2196&gt;0,M2196/N2196,""),"")</f>
        <v/>
      </c>
      <c r="V2196" s="10">
        <f>IF(AND(ISNUMBER(M2196),ISNUMBER(O2196)),IF(O2196&gt;0,M2196/O2196,""),"")</f>
        <v/>
      </c>
      <c r="W2196" s="10">
        <f>IF(AND(ISNUMBER(M2196),ISNUMBER(R2196)),IF(R2196&gt;0,M2196/R2196,""),"")</f>
        <v/>
      </c>
      <c r="X2196" s="10">
        <f>IF(AND(ISNUMBER(Q2196),ISNUMBER(M2196)),IF(M2196&gt;0,Q2196/M2196,""),"")</f>
        <v/>
      </c>
      <c r="Y2196" s="11">
        <f>IF(ISNUMBER(Z2196),YEAR(Z2196),"")</f>
        <v/>
      </c>
      <c r="Z2196" s="12" t="n"/>
      <c r="AA2196" s="12" t="n"/>
      <c r="AI2196" s="12" t="n"/>
      <c r="AJ2196" s="13">
        <f>IF(LEN(TRIM(AF2196))=0,"",HYPERLINK("https://www.google.com/maps/@?api=1&amp;map_action=pano&amp;viewpoint="&amp;SUBSTITUTE(AF2196," ",""),"Abrir Street View"))</f>
        <v/>
      </c>
    </row>
    <row r="2197">
      <c r="H2197" s="6" t="n"/>
      <c r="I2197" s="6" t="n"/>
      <c r="M2197" s="7" t="n"/>
      <c r="N2197" s="7" t="n"/>
      <c r="O2197" s="7" t="n"/>
      <c r="Q2197" s="7" t="n"/>
      <c r="R2197" s="7" t="n"/>
      <c r="S2197" s="8">
        <f>IF(NOT(ISNUMBER(M2197)),"",IF(G2197="Terreno",IF(AND(ISNUMBER(I2197),I2197&gt;0),M2197/I2197,""),IF(AND(ISNUMBER(H2197),H2197&gt;0),M2197/H2197,"")))</f>
        <v/>
      </c>
      <c r="T2197" s="9">
        <f>IF(AND(ISNUMBER(M2197),ISNUMBER(O2197)),IF(M2197&lt;=O2197,"Valor ≤ venal IPTU",""),"")</f>
        <v/>
      </c>
      <c r="U2197" s="10">
        <f>IF(AND(ISNUMBER(M2197),ISNUMBER(N2197)),IF(N2197&gt;0,M2197/N2197,""),"")</f>
        <v/>
      </c>
      <c r="V2197" s="10">
        <f>IF(AND(ISNUMBER(M2197),ISNUMBER(O2197)),IF(O2197&gt;0,M2197/O2197,""),"")</f>
        <v/>
      </c>
      <c r="W2197" s="10">
        <f>IF(AND(ISNUMBER(M2197),ISNUMBER(R2197)),IF(R2197&gt;0,M2197/R2197,""),"")</f>
        <v/>
      </c>
      <c r="X2197" s="10">
        <f>IF(AND(ISNUMBER(Q2197),ISNUMBER(M2197)),IF(M2197&gt;0,Q2197/M2197,""),"")</f>
        <v/>
      </c>
      <c r="Y2197" s="11">
        <f>IF(ISNUMBER(Z2197),YEAR(Z2197),"")</f>
        <v/>
      </c>
      <c r="Z2197" s="12" t="n"/>
      <c r="AA2197" s="12" t="n"/>
      <c r="AI2197" s="12" t="n"/>
      <c r="AJ2197" s="13">
        <f>IF(LEN(TRIM(AF2197))=0,"",HYPERLINK("https://www.google.com/maps/@?api=1&amp;map_action=pano&amp;viewpoint="&amp;SUBSTITUTE(AF2197," ",""),"Abrir Street View"))</f>
        <v/>
      </c>
    </row>
    <row r="2198">
      <c r="H2198" s="6" t="n"/>
      <c r="I2198" s="6" t="n"/>
      <c r="M2198" s="7" t="n"/>
      <c r="N2198" s="7" t="n"/>
      <c r="O2198" s="7" t="n"/>
      <c r="Q2198" s="7" t="n"/>
      <c r="R2198" s="7" t="n"/>
      <c r="S2198" s="8">
        <f>IF(NOT(ISNUMBER(M2198)),"",IF(G2198="Terreno",IF(AND(ISNUMBER(I2198),I2198&gt;0),M2198/I2198,""),IF(AND(ISNUMBER(H2198),H2198&gt;0),M2198/H2198,"")))</f>
        <v/>
      </c>
      <c r="T2198" s="9">
        <f>IF(AND(ISNUMBER(M2198),ISNUMBER(O2198)),IF(M2198&lt;=O2198,"Valor ≤ venal IPTU",""),"")</f>
        <v/>
      </c>
      <c r="U2198" s="10">
        <f>IF(AND(ISNUMBER(M2198),ISNUMBER(N2198)),IF(N2198&gt;0,M2198/N2198,""),"")</f>
        <v/>
      </c>
      <c r="V2198" s="10">
        <f>IF(AND(ISNUMBER(M2198),ISNUMBER(O2198)),IF(O2198&gt;0,M2198/O2198,""),"")</f>
        <v/>
      </c>
      <c r="W2198" s="10">
        <f>IF(AND(ISNUMBER(M2198),ISNUMBER(R2198)),IF(R2198&gt;0,M2198/R2198,""),"")</f>
        <v/>
      </c>
      <c r="X2198" s="10">
        <f>IF(AND(ISNUMBER(Q2198),ISNUMBER(M2198)),IF(M2198&gt;0,Q2198/M2198,""),"")</f>
        <v/>
      </c>
      <c r="Y2198" s="11">
        <f>IF(ISNUMBER(Z2198),YEAR(Z2198),"")</f>
        <v/>
      </c>
      <c r="Z2198" s="12" t="n"/>
      <c r="AA2198" s="12" t="n"/>
      <c r="AI2198" s="12" t="n"/>
      <c r="AJ2198" s="13">
        <f>IF(LEN(TRIM(AF2198))=0,"",HYPERLINK("https://www.google.com/maps/@?api=1&amp;map_action=pano&amp;viewpoint="&amp;SUBSTITUTE(AF2198," ",""),"Abrir Street View"))</f>
        <v/>
      </c>
    </row>
    <row r="2199">
      <c r="H2199" s="6" t="n"/>
      <c r="I2199" s="6" t="n"/>
      <c r="M2199" s="7" t="n"/>
      <c r="N2199" s="7" t="n"/>
      <c r="O2199" s="7" t="n"/>
      <c r="Q2199" s="7" t="n"/>
      <c r="R2199" s="7" t="n"/>
      <c r="S2199" s="8">
        <f>IF(NOT(ISNUMBER(M2199)),"",IF(G2199="Terreno",IF(AND(ISNUMBER(I2199),I2199&gt;0),M2199/I2199,""),IF(AND(ISNUMBER(H2199),H2199&gt;0),M2199/H2199,"")))</f>
        <v/>
      </c>
      <c r="T2199" s="9">
        <f>IF(AND(ISNUMBER(M2199),ISNUMBER(O2199)),IF(M2199&lt;=O2199,"Valor ≤ venal IPTU",""),"")</f>
        <v/>
      </c>
      <c r="U2199" s="10">
        <f>IF(AND(ISNUMBER(M2199),ISNUMBER(N2199)),IF(N2199&gt;0,M2199/N2199,""),"")</f>
        <v/>
      </c>
      <c r="V2199" s="10">
        <f>IF(AND(ISNUMBER(M2199),ISNUMBER(O2199)),IF(O2199&gt;0,M2199/O2199,""),"")</f>
        <v/>
      </c>
      <c r="W2199" s="10">
        <f>IF(AND(ISNUMBER(M2199),ISNUMBER(R2199)),IF(R2199&gt;0,M2199/R2199,""),"")</f>
        <v/>
      </c>
      <c r="X2199" s="10">
        <f>IF(AND(ISNUMBER(Q2199),ISNUMBER(M2199)),IF(M2199&gt;0,Q2199/M2199,""),"")</f>
        <v/>
      </c>
      <c r="Y2199" s="11">
        <f>IF(ISNUMBER(Z2199),YEAR(Z2199),"")</f>
        <v/>
      </c>
      <c r="Z2199" s="12" t="n"/>
      <c r="AA2199" s="12" t="n"/>
      <c r="AI2199" s="12" t="n"/>
      <c r="AJ2199" s="13">
        <f>IF(LEN(TRIM(AF2199))=0,"",HYPERLINK("https://www.google.com/maps/@?api=1&amp;map_action=pano&amp;viewpoint="&amp;SUBSTITUTE(AF2199," ",""),"Abrir Street View"))</f>
        <v/>
      </c>
    </row>
    <row r="2200">
      <c r="H2200" s="6" t="n"/>
      <c r="I2200" s="6" t="n"/>
      <c r="M2200" s="7" t="n"/>
      <c r="N2200" s="7" t="n"/>
      <c r="O2200" s="7" t="n"/>
      <c r="Q2200" s="7" t="n"/>
      <c r="R2200" s="7" t="n"/>
      <c r="S2200" s="8">
        <f>IF(NOT(ISNUMBER(M2200)),"",IF(G2200="Terreno",IF(AND(ISNUMBER(I2200),I2200&gt;0),M2200/I2200,""),IF(AND(ISNUMBER(H2200),H2200&gt;0),M2200/H2200,"")))</f>
        <v/>
      </c>
      <c r="T2200" s="9">
        <f>IF(AND(ISNUMBER(M2200),ISNUMBER(O2200)),IF(M2200&lt;=O2200,"Valor ≤ venal IPTU",""),"")</f>
        <v/>
      </c>
      <c r="U2200" s="10">
        <f>IF(AND(ISNUMBER(M2200),ISNUMBER(N2200)),IF(N2200&gt;0,M2200/N2200,""),"")</f>
        <v/>
      </c>
      <c r="V2200" s="10">
        <f>IF(AND(ISNUMBER(M2200),ISNUMBER(O2200)),IF(O2200&gt;0,M2200/O2200,""),"")</f>
        <v/>
      </c>
      <c r="W2200" s="10">
        <f>IF(AND(ISNUMBER(M2200),ISNUMBER(R2200)),IF(R2200&gt;0,M2200/R2200,""),"")</f>
        <v/>
      </c>
      <c r="X2200" s="10">
        <f>IF(AND(ISNUMBER(Q2200),ISNUMBER(M2200)),IF(M2200&gt;0,Q2200/M2200,""),"")</f>
        <v/>
      </c>
      <c r="Y2200" s="11">
        <f>IF(ISNUMBER(Z2200),YEAR(Z2200),"")</f>
        <v/>
      </c>
      <c r="Z2200" s="12" t="n"/>
      <c r="AA2200" s="12" t="n"/>
      <c r="AI2200" s="12" t="n"/>
      <c r="AJ2200" s="13">
        <f>IF(LEN(TRIM(AF2200))=0,"",HYPERLINK("https://www.google.com/maps/@?api=1&amp;map_action=pano&amp;viewpoint="&amp;SUBSTITUTE(AF2200," ",""),"Abrir Street View"))</f>
        <v/>
      </c>
    </row>
    <row r="2201">
      <c r="H2201" s="6" t="n"/>
      <c r="I2201" s="6" t="n"/>
      <c r="M2201" s="7" t="n"/>
      <c r="N2201" s="7" t="n"/>
      <c r="O2201" s="7" t="n"/>
      <c r="Q2201" s="7" t="n"/>
      <c r="R2201" s="7" t="n"/>
      <c r="S2201" s="8">
        <f>IF(NOT(ISNUMBER(M2201)),"",IF(G2201="Terreno",IF(AND(ISNUMBER(I2201),I2201&gt;0),M2201/I2201,""),IF(AND(ISNUMBER(H2201),H2201&gt;0),M2201/H2201,"")))</f>
        <v/>
      </c>
      <c r="T2201" s="9">
        <f>IF(AND(ISNUMBER(M2201),ISNUMBER(O2201)),IF(M2201&lt;=O2201,"Valor ≤ venal IPTU",""),"")</f>
        <v/>
      </c>
      <c r="U2201" s="10">
        <f>IF(AND(ISNUMBER(M2201),ISNUMBER(N2201)),IF(N2201&gt;0,M2201/N2201,""),"")</f>
        <v/>
      </c>
      <c r="V2201" s="10">
        <f>IF(AND(ISNUMBER(M2201),ISNUMBER(O2201)),IF(O2201&gt;0,M2201/O2201,""),"")</f>
        <v/>
      </c>
      <c r="W2201" s="10">
        <f>IF(AND(ISNUMBER(M2201),ISNUMBER(R2201)),IF(R2201&gt;0,M2201/R2201,""),"")</f>
        <v/>
      </c>
      <c r="X2201" s="10">
        <f>IF(AND(ISNUMBER(Q2201),ISNUMBER(M2201)),IF(M2201&gt;0,Q2201/M2201,""),"")</f>
        <v/>
      </c>
      <c r="Y2201" s="11">
        <f>IF(ISNUMBER(Z2201),YEAR(Z2201),"")</f>
        <v/>
      </c>
      <c r="Z2201" s="12" t="n"/>
      <c r="AA2201" s="12" t="n"/>
      <c r="AI2201" s="12" t="n"/>
      <c r="AJ2201" s="13">
        <f>IF(LEN(TRIM(AF2201))=0,"",HYPERLINK("https://www.google.com/maps/@?api=1&amp;map_action=pano&amp;viewpoint="&amp;SUBSTITUTE(AF2201," ",""),"Abrir Street View"))</f>
        <v/>
      </c>
    </row>
    <row r="2202">
      <c r="H2202" s="6" t="n"/>
      <c r="I2202" s="6" t="n"/>
      <c r="M2202" s="7" t="n"/>
      <c r="N2202" s="7" t="n"/>
      <c r="O2202" s="7" t="n"/>
      <c r="Q2202" s="7" t="n"/>
      <c r="R2202" s="7" t="n"/>
      <c r="S2202" s="8">
        <f>IF(NOT(ISNUMBER(M2202)),"",IF(G2202="Terreno",IF(AND(ISNUMBER(I2202),I2202&gt;0),M2202/I2202,""),IF(AND(ISNUMBER(H2202),H2202&gt;0),M2202/H2202,"")))</f>
        <v/>
      </c>
      <c r="T2202" s="9">
        <f>IF(AND(ISNUMBER(M2202),ISNUMBER(O2202)),IF(M2202&lt;=O2202,"Valor ≤ venal IPTU",""),"")</f>
        <v/>
      </c>
      <c r="U2202" s="10">
        <f>IF(AND(ISNUMBER(M2202),ISNUMBER(N2202)),IF(N2202&gt;0,M2202/N2202,""),"")</f>
        <v/>
      </c>
      <c r="V2202" s="10">
        <f>IF(AND(ISNUMBER(M2202),ISNUMBER(O2202)),IF(O2202&gt;0,M2202/O2202,""),"")</f>
        <v/>
      </c>
      <c r="W2202" s="10">
        <f>IF(AND(ISNUMBER(M2202),ISNUMBER(R2202)),IF(R2202&gt;0,M2202/R2202,""),"")</f>
        <v/>
      </c>
      <c r="X2202" s="10">
        <f>IF(AND(ISNUMBER(Q2202),ISNUMBER(M2202)),IF(M2202&gt;0,Q2202/M2202,""),"")</f>
        <v/>
      </c>
      <c r="Y2202" s="11">
        <f>IF(ISNUMBER(Z2202),YEAR(Z2202),"")</f>
        <v/>
      </c>
      <c r="Z2202" s="12" t="n"/>
      <c r="AA2202" s="12" t="n"/>
      <c r="AI2202" s="12" t="n"/>
      <c r="AJ2202" s="13">
        <f>IF(LEN(TRIM(AF2202))=0,"",HYPERLINK("https://www.google.com/maps/@?api=1&amp;map_action=pano&amp;viewpoint="&amp;SUBSTITUTE(AF2202," ",""),"Abrir Street View"))</f>
        <v/>
      </c>
    </row>
    <row r="2203">
      <c r="H2203" s="6" t="n"/>
      <c r="I2203" s="6" t="n"/>
      <c r="M2203" s="7" t="n"/>
      <c r="N2203" s="7" t="n"/>
      <c r="O2203" s="7" t="n"/>
      <c r="Q2203" s="7" t="n"/>
      <c r="R2203" s="7" t="n"/>
      <c r="S2203" s="8">
        <f>IF(NOT(ISNUMBER(M2203)),"",IF(G2203="Terreno",IF(AND(ISNUMBER(I2203),I2203&gt;0),M2203/I2203,""),IF(AND(ISNUMBER(H2203),H2203&gt;0),M2203/H2203,"")))</f>
        <v/>
      </c>
      <c r="T2203" s="9">
        <f>IF(AND(ISNUMBER(M2203),ISNUMBER(O2203)),IF(M2203&lt;=O2203,"Valor ≤ venal IPTU",""),"")</f>
        <v/>
      </c>
      <c r="U2203" s="10">
        <f>IF(AND(ISNUMBER(M2203),ISNUMBER(N2203)),IF(N2203&gt;0,M2203/N2203,""),"")</f>
        <v/>
      </c>
      <c r="V2203" s="10">
        <f>IF(AND(ISNUMBER(M2203),ISNUMBER(O2203)),IF(O2203&gt;0,M2203/O2203,""),"")</f>
        <v/>
      </c>
      <c r="W2203" s="10">
        <f>IF(AND(ISNUMBER(M2203),ISNUMBER(R2203)),IF(R2203&gt;0,M2203/R2203,""),"")</f>
        <v/>
      </c>
      <c r="X2203" s="10">
        <f>IF(AND(ISNUMBER(Q2203),ISNUMBER(M2203)),IF(M2203&gt;0,Q2203/M2203,""),"")</f>
        <v/>
      </c>
      <c r="Y2203" s="11">
        <f>IF(ISNUMBER(Z2203),YEAR(Z2203),"")</f>
        <v/>
      </c>
      <c r="Z2203" s="12" t="n"/>
      <c r="AA2203" s="12" t="n"/>
      <c r="AI2203" s="12" t="n"/>
      <c r="AJ2203" s="13">
        <f>IF(LEN(TRIM(AF2203))=0,"",HYPERLINK("https://www.google.com/maps/@?api=1&amp;map_action=pano&amp;viewpoint="&amp;SUBSTITUTE(AF2203," ",""),"Abrir Street View"))</f>
        <v/>
      </c>
    </row>
    <row r="2204">
      <c r="H2204" s="6" t="n"/>
      <c r="I2204" s="6" t="n"/>
      <c r="M2204" s="7" t="n"/>
      <c r="N2204" s="7" t="n"/>
      <c r="O2204" s="7" t="n"/>
      <c r="Q2204" s="7" t="n"/>
      <c r="R2204" s="7" t="n"/>
      <c r="S2204" s="8">
        <f>IF(NOT(ISNUMBER(M2204)),"",IF(G2204="Terreno",IF(AND(ISNUMBER(I2204),I2204&gt;0),M2204/I2204,""),IF(AND(ISNUMBER(H2204),H2204&gt;0),M2204/H2204,"")))</f>
        <v/>
      </c>
      <c r="T2204" s="9">
        <f>IF(AND(ISNUMBER(M2204),ISNUMBER(O2204)),IF(M2204&lt;=O2204,"Valor ≤ venal IPTU",""),"")</f>
        <v/>
      </c>
      <c r="U2204" s="10">
        <f>IF(AND(ISNUMBER(M2204),ISNUMBER(N2204)),IF(N2204&gt;0,M2204/N2204,""),"")</f>
        <v/>
      </c>
      <c r="V2204" s="10">
        <f>IF(AND(ISNUMBER(M2204),ISNUMBER(O2204)),IF(O2204&gt;0,M2204/O2204,""),"")</f>
        <v/>
      </c>
      <c r="W2204" s="10">
        <f>IF(AND(ISNUMBER(M2204),ISNUMBER(R2204)),IF(R2204&gt;0,M2204/R2204,""),"")</f>
        <v/>
      </c>
      <c r="X2204" s="10">
        <f>IF(AND(ISNUMBER(Q2204),ISNUMBER(M2204)),IF(M2204&gt;0,Q2204/M2204,""),"")</f>
        <v/>
      </c>
      <c r="Y2204" s="11">
        <f>IF(ISNUMBER(Z2204),YEAR(Z2204),"")</f>
        <v/>
      </c>
      <c r="Z2204" s="12" t="n"/>
      <c r="AA2204" s="12" t="n"/>
      <c r="AI2204" s="12" t="n"/>
      <c r="AJ2204" s="13">
        <f>IF(LEN(TRIM(AF2204))=0,"",HYPERLINK("https://www.google.com/maps/@?api=1&amp;map_action=pano&amp;viewpoint="&amp;SUBSTITUTE(AF2204," ",""),"Abrir Street View"))</f>
        <v/>
      </c>
    </row>
    <row r="2205">
      <c r="H2205" s="6" t="n"/>
      <c r="I2205" s="6" t="n"/>
      <c r="M2205" s="7" t="n"/>
      <c r="N2205" s="7" t="n"/>
      <c r="O2205" s="7" t="n"/>
      <c r="Q2205" s="7" t="n"/>
      <c r="R2205" s="7" t="n"/>
      <c r="S2205" s="8">
        <f>IF(NOT(ISNUMBER(M2205)),"",IF(G2205="Terreno",IF(AND(ISNUMBER(I2205),I2205&gt;0),M2205/I2205,""),IF(AND(ISNUMBER(H2205),H2205&gt;0),M2205/H2205,"")))</f>
        <v/>
      </c>
      <c r="T2205" s="9">
        <f>IF(AND(ISNUMBER(M2205),ISNUMBER(O2205)),IF(M2205&lt;=O2205,"Valor ≤ venal IPTU",""),"")</f>
        <v/>
      </c>
      <c r="U2205" s="10">
        <f>IF(AND(ISNUMBER(M2205),ISNUMBER(N2205)),IF(N2205&gt;0,M2205/N2205,""),"")</f>
        <v/>
      </c>
      <c r="V2205" s="10">
        <f>IF(AND(ISNUMBER(M2205),ISNUMBER(O2205)),IF(O2205&gt;0,M2205/O2205,""),"")</f>
        <v/>
      </c>
      <c r="W2205" s="10">
        <f>IF(AND(ISNUMBER(M2205),ISNUMBER(R2205)),IF(R2205&gt;0,M2205/R2205,""),"")</f>
        <v/>
      </c>
      <c r="X2205" s="10">
        <f>IF(AND(ISNUMBER(Q2205),ISNUMBER(M2205)),IF(M2205&gt;0,Q2205/M2205,""),"")</f>
        <v/>
      </c>
      <c r="Y2205" s="11">
        <f>IF(ISNUMBER(Z2205),YEAR(Z2205),"")</f>
        <v/>
      </c>
      <c r="Z2205" s="12" t="n"/>
      <c r="AA2205" s="12" t="n"/>
      <c r="AI2205" s="12" t="n"/>
      <c r="AJ2205" s="13">
        <f>IF(LEN(TRIM(AF2205))=0,"",HYPERLINK("https://www.google.com/maps/@?api=1&amp;map_action=pano&amp;viewpoint="&amp;SUBSTITUTE(AF2205," ",""),"Abrir Street View"))</f>
        <v/>
      </c>
    </row>
    <row r="2206">
      <c r="H2206" s="6" t="n"/>
      <c r="I2206" s="6" t="n"/>
      <c r="M2206" s="7" t="n"/>
      <c r="N2206" s="7" t="n"/>
      <c r="O2206" s="7" t="n"/>
      <c r="Q2206" s="7" t="n"/>
      <c r="R2206" s="7" t="n"/>
      <c r="S2206" s="8">
        <f>IF(NOT(ISNUMBER(M2206)),"",IF(G2206="Terreno",IF(AND(ISNUMBER(I2206),I2206&gt;0),M2206/I2206,""),IF(AND(ISNUMBER(H2206),H2206&gt;0),M2206/H2206,"")))</f>
        <v/>
      </c>
      <c r="T2206" s="9">
        <f>IF(AND(ISNUMBER(M2206),ISNUMBER(O2206)),IF(M2206&lt;=O2206,"Valor ≤ venal IPTU",""),"")</f>
        <v/>
      </c>
      <c r="U2206" s="10">
        <f>IF(AND(ISNUMBER(M2206),ISNUMBER(N2206)),IF(N2206&gt;0,M2206/N2206,""),"")</f>
        <v/>
      </c>
      <c r="V2206" s="10">
        <f>IF(AND(ISNUMBER(M2206),ISNUMBER(O2206)),IF(O2206&gt;0,M2206/O2206,""),"")</f>
        <v/>
      </c>
      <c r="W2206" s="10">
        <f>IF(AND(ISNUMBER(M2206),ISNUMBER(R2206)),IF(R2206&gt;0,M2206/R2206,""),"")</f>
        <v/>
      </c>
      <c r="X2206" s="10">
        <f>IF(AND(ISNUMBER(Q2206),ISNUMBER(M2206)),IF(M2206&gt;0,Q2206/M2206,""),"")</f>
        <v/>
      </c>
      <c r="Y2206" s="11">
        <f>IF(ISNUMBER(Z2206),YEAR(Z2206),"")</f>
        <v/>
      </c>
      <c r="Z2206" s="12" t="n"/>
      <c r="AA2206" s="12" t="n"/>
      <c r="AI2206" s="12" t="n"/>
      <c r="AJ2206" s="13">
        <f>IF(LEN(TRIM(AF2206))=0,"",HYPERLINK("https://www.google.com/maps/@?api=1&amp;map_action=pano&amp;viewpoint="&amp;SUBSTITUTE(AF2206," ",""),"Abrir Street View"))</f>
        <v/>
      </c>
    </row>
    <row r="2207">
      <c r="H2207" s="6" t="n"/>
      <c r="I2207" s="6" t="n"/>
      <c r="M2207" s="7" t="n"/>
      <c r="N2207" s="7" t="n"/>
      <c r="O2207" s="7" t="n"/>
      <c r="Q2207" s="7" t="n"/>
      <c r="R2207" s="7" t="n"/>
      <c r="S2207" s="8">
        <f>IF(NOT(ISNUMBER(M2207)),"",IF(G2207="Terreno",IF(AND(ISNUMBER(I2207),I2207&gt;0),M2207/I2207,""),IF(AND(ISNUMBER(H2207),H2207&gt;0),M2207/H2207,"")))</f>
        <v/>
      </c>
      <c r="T2207" s="9">
        <f>IF(AND(ISNUMBER(M2207),ISNUMBER(O2207)),IF(M2207&lt;=O2207,"Valor ≤ venal IPTU",""),"")</f>
        <v/>
      </c>
      <c r="U2207" s="10">
        <f>IF(AND(ISNUMBER(M2207),ISNUMBER(N2207)),IF(N2207&gt;0,M2207/N2207,""),"")</f>
        <v/>
      </c>
      <c r="V2207" s="10">
        <f>IF(AND(ISNUMBER(M2207),ISNUMBER(O2207)),IF(O2207&gt;0,M2207/O2207,""),"")</f>
        <v/>
      </c>
      <c r="W2207" s="10">
        <f>IF(AND(ISNUMBER(M2207),ISNUMBER(R2207)),IF(R2207&gt;0,M2207/R2207,""),"")</f>
        <v/>
      </c>
      <c r="X2207" s="10">
        <f>IF(AND(ISNUMBER(Q2207),ISNUMBER(M2207)),IF(M2207&gt;0,Q2207/M2207,""),"")</f>
        <v/>
      </c>
      <c r="Y2207" s="11">
        <f>IF(ISNUMBER(Z2207),YEAR(Z2207),"")</f>
        <v/>
      </c>
      <c r="Z2207" s="12" t="n"/>
      <c r="AA2207" s="12" t="n"/>
      <c r="AI2207" s="12" t="n"/>
      <c r="AJ2207" s="13">
        <f>IF(LEN(TRIM(AF2207))=0,"",HYPERLINK("https://www.google.com/maps/@?api=1&amp;map_action=pano&amp;viewpoint="&amp;SUBSTITUTE(AF2207," ",""),"Abrir Street View"))</f>
        <v/>
      </c>
    </row>
    <row r="2208">
      <c r="H2208" s="6" t="n"/>
      <c r="I2208" s="6" t="n"/>
      <c r="M2208" s="7" t="n"/>
      <c r="N2208" s="7" t="n"/>
      <c r="O2208" s="7" t="n"/>
      <c r="Q2208" s="7" t="n"/>
      <c r="R2208" s="7" t="n"/>
      <c r="S2208" s="8">
        <f>IF(NOT(ISNUMBER(M2208)),"",IF(G2208="Terreno",IF(AND(ISNUMBER(I2208),I2208&gt;0),M2208/I2208,""),IF(AND(ISNUMBER(H2208),H2208&gt;0),M2208/H2208,"")))</f>
        <v/>
      </c>
      <c r="T2208" s="9">
        <f>IF(AND(ISNUMBER(M2208),ISNUMBER(O2208)),IF(M2208&lt;=O2208,"Valor ≤ venal IPTU",""),"")</f>
        <v/>
      </c>
      <c r="U2208" s="10">
        <f>IF(AND(ISNUMBER(M2208),ISNUMBER(N2208)),IF(N2208&gt;0,M2208/N2208,""),"")</f>
        <v/>
      </c>
      <c r="V2208" s="10">
        <f>IF(AND(ISNUMBER(M2208),ISNUMBER(O2208)),IF(O2208&gt;0,M2208/O2208,""),"")</f>
        <v/>
      </c>
      <c r="W2208" s="10">
        <f>IF(AND(ISNUMBER(M2208),ISNUMBER(R2208)),IF(R2208&gt;0,M2208/R2208,""),"")</f>
        <v/>
      </c>
      <c r="X2208" s="10">
        <f>IF(AND(ISNUMBER(Q2208),ISNUMBER(M2208)),IF(M2208&gt;0,Q2208/M2208,""),"")</f>
        <v/>
      </c>
      <c r="Y2208" s="11">
        <f>IF(ISNUMBER(Z2208),YEAR(Z2208),"")</f>
        <v/>
      </c>
      <c r="Z2208" s="12" t="n"/>
      <c r="AA2208" s="12" t="n"/>
      <c r="AI2208" s="12" t="n"/>
      <c r="AJ2208" s="13">
        <f>IF(LEN(TRIM(AF2208))=0,"",HYPERLINK("https://www.google.com/maps/@?api=1&amp;map_action=pano&amp;viewpoint="&amp;SUBSTITUTE(AF2208," ",""),"Abrir Street View"))</f>
        <v/>
      </c>
    </row>
    <row r="2209">
      <c r="H2209" s="6" t="n"/>
      <c r="I2209" s="6" t="n"/>
      <c r="M2209" s="7" t="n"/>
      <c r="N2209" s="7" t="n"/>
      <c r="O2209" s="7" t="n"/>
      <c r="Q2209" s="7" t="n"/>
      <c r="R2209" s="7" t="n"/>
      <c r="S2209" s="8">
        <f>IF(NOT(ISNUMBER(M2209)),"",IF(G2209="Terreno",IF(AND(ISNUMBER(I2209),I2209&gt;0),M2209/I2209,""),IF(AND(ISNUMBER(H2209),H2209&gt;0),M2209/H2209,"")))</f>
        <v/>
      </c>
      <c r="T2209" s="9">
        <f>IF(AND(ISNUMBER(M2209),ISNUMBER(O2209)),IF(M2209&lt;=O2209,"Valor ≤ venal IPTU",""),"")</f>
        <v/>
      </c>
      <c r="U2209" s="10">
        <f>IF(AND(ISNUMBER(M2209),ISNUMBER(N2209)),IF(N2209&gt;0,M2209/N2209,""),"")</f>
        <v/>
      </c>
      <c r="V2209" s="10">
        <f>IF(AND(ISNUMBER(M2209),ISNUMBER(O2209)),IF(O2209&gt;0,M2209/O2209,""),"")</f>
        <v/>
      </c>
      <c r="W2209" s="10">
        <f>IF(AND(ISNUMBER(M2209),ISNUMBER(R2209)),IF(R2209&gt;0,M2209/R2209,""),"")</f>
        <v/>
      </c>
      <c r="X2209" s="10">
        <f>IF(AND(ISNUMBER(Q2209),ISNUMBER(M2209)),IF(M2209&gt;0,Q2209/M2209,""),"")</f>
        <v/>
      </c>
      <c r="Y2209" s="11">
        <f>IF(ISNUMBER(Z2209),YEAR(Z2209),"")</f>
        <v/>
      </c>
      <c r="Z2209" s="12" t="n"/>
      <c r="AA2209" s="12" t="n"/>
      <c r="AI2209" s="12" t="n"/>
      <c r="AJ2209" s="13">
        <f>IF(LEN(TRIM(AF2209))=0,"",HYPERLINK("https://www.google.com/maps/@?api=1&amp;map_action=pano&amp;viewpoint="&amp;SUBSTITUTE(AF2209," ",""),"Abrir Street View"))</f>
        <v/>
      </c>
    </row>
    <row r="2210">
      <c r="H2210" s="6" t="n"/>
      <c r="I2210" s="6" t="n"/>
      <c r="M2210" s="7" t="n"/>
      <c r="N2210" s="7" t="n"/>
      <c r="O2210" s="7" t="n"/>
      <c r="Q2210" s="7" t="n"/>
      <c r="R2210" s="7" t="n"/>
      <c r="S2210" s="8">
        <f>IF(NOT(ISNUMBER(M2210)),"",IF(G2210="Terreno",IF(AND(ISNUMBER(I2210),I2210&gt;0),M2210/I2210,""),IF(AND(ISNUMBER(H2210),H2210&gt;0),M2210/H2210,"")))</f>
        <v/>
      </c>
      <c r="T2210" s="9">
        <f>IF(AND(ISNUMBER(M2210),ISNUMBER(O2210)),IF(M2210&lt;=O2210,"Valor ≤ venal IPTU",""),"")</f>
        <v/>
      </c>
      <c r="U2210" s="10">
        <f>IF(AND(ISNUMBER(M2210),ISNUMBER(N2210)),IF(N2210&gt;0,M2210/N2210,""),"")</f>
        <v/>
      </c>
      <c r="V2210" s="10">
        <f>IF(AND(ISNUMBER(M2210),ISNUMBER(O2210)),IF(O2210&gt;0,M2210/O2210,""),"")</f>
        <v/>
      </c>
      <c r="W2210" s="10">
        <f>IF(AND(ISNUMBER(M2210),ISNUMBER(R2210)),IF(R2210&gt;0,M2210/R2210,""),"")</f>
        <v/>
      </c>
      <c r="X2210" s="10">
        <f>IF(AND(ISNUMBER(Q2210),ISNUMBER(M2210)),IF(M2210&gt;0,Q2210/M2210,""),"")</f>
        <v/>
      </c>
      <c r="Y2210" s="11">
        <f>IF(ISNUMBER(Z2210),YEAR(Z2210),"")</f>
        <v/>
      </c>
      <c r="Z2210" s="12" t="n"/>
      <c r="AA2210" s="12" t="n"/>
      <c r="AI2210" s="12" t="n"/>
      <c r="AJ2210" s="13">
        <f>IF(LEN(TRIM(AF2210))=0,"",HYPERLINK("https://www.google.com/maps/@?api=1&amp;map_action=pano&amp;viewpoint="&amp;SUBSTITUTE(AF2210," ",""),"Abrir Street View"))</f>
        <v/>
      </c>
    </row>
    <row r="2211">
      <c r="H2211" s="6" t="n"/>
      <c r="I2211" s="6" t="n"/>
      <c r="M2211" s="7" t="n"/>
      <c r="N2211" s="7" t="n"/>
      <c r="O2211" s="7" t="n"/>
      <c r="Q2211" s="7" t="n"/>
      <c r="R2211" s="7" t="n"/>
      <c r="S2211" s="8">
        <f>IF(NOT(ISNUMBER(M2211)),"",IF(G2211="Terreno",IF(AND(ISNUMBER(I2211),I2211&gt;0),M2211/I2211,""),IF(AND(ISNUMBER(H2211),H2211&gt;0),M2211/H2211,"")))</f>
        <v/>
      </c>
      <c r="T2211" s="9">
        <f>IF(AND(ISNUMBER(M2211),ISNUMBER(O2211)),IF(M2211&lt;=O2211,"Valor ≤ venal IPTU",""),"")</f>
        <v/>
      </c>
      <c r="U2211" s="10">
        <f>IF(AND(ISNUMBER(M2211),ISNUMBER(N2211)),IF(N2211&gt;0,M2211/N2211,""),"")</f>
        <v/>
      </c>
      <c r="V2211" s="10">
        <f>IF(AND(ISNUMBER(M2211),ISNUMBER(O2211)),IF(O2211&gt;0,M2211/O2211,""),"")</f>
        <v/>
      </c>
      <c r="W2211" s="10">
        <f>IF(AND(ISNUMBER(M2211),ISNUMBER(R2211)),IF(R2211&gt;0,M2211/R2211,""),"")</f>
        <v/>
      </c>
      <c r="X2211" s="10">
        <f>IF(AND(ISNUMBER(Q2211),ISNUMBER(M2211)),IF(M2211&gt;0,Q2211/M2211,""),"")</f>
        <v/>
      </c>
      <c r="Y2211" s="11">
        <f>IF(ISNUMBER(Z2211),YEAR(Z2211),"")</f>
        <v/>
      </c>
      <c r="Z2211" s="12" t="n"/>
      <c r="AA2211" s="12" t="n"/>
      <c r="AI2211" s="12" t="n"/>
      <c r="AJ2211" s="13">
        <f>IF(LEN(TRIM(AF2211))=0,"",HYPERLINK("https://www.google.com/maps/@?api=1&amp;map_action=pano&amp;viewpoint="&amp;SUBSTITUTE(AF2211," ",""),"Abrir Street View"))</f>
        <v/>
      </c>
    </row>
    <row r="2212">
      <c r="H2212" s="6" t="n"/>
      <c r="I2212" s="6" t="n"/>
      <c r="M2212" s="7" t="n"/>
      <c r="N2212" s="7" t="n"/>
      <c r="O2212" s="7" t="n"/>
      <c r="Q2212" s="7" t="n"/>
      <c r="R2212" s="7" t="n"/>
      <c r="S2212" s="8">
        <f>IF(NOT(ISNUMBER(M2212)),"",IF(G2212="Terreno",IF(AND(ISNUMBER(I2212),I2212&gt;0),M2212/I2212,""),IF(AND(ISNUMBER(H2212),H2212&gt;0),M2212/H2212,"")))</f>
        <v/>
      </c>
      <c r="T2212" s="9">
        <f>IF(AND(ISNUMBER(M2212),ISNUMBER(O2212)),IF(M2212&lt;=O2212,"Valor ≤ venal IPTU",""),"")</f>
        <v/>
      </c>
      <c r="U2212" s="10">
        <f>IF(AND(ISNUMBER(M2212),ISNUMBER(N2212)),IF(N2212&gt;0,M2212/N2212,""),"")</f>
        <v/>
      </c>
      <c r="V2212" s="10">
        <f>IF(AND(ISNUMBER(M2212),ISNUMBER(O2212)),IF(O2212&gt;0,M2212/O2212,""),"")</f>
        <v/>
      </c>
      <c r="W2212" s="10">
        <f>IF(AND(ISNUMBER(M2212),ISNUMBER(R2212)),IF(R2212&gt;0,M2212/R2212,""),"")</f>
        <v/>
      </c>
      <c r="X2212" s="10">
        <f>IF(AND(ISNUMBER(Q2212),ISNUMBER(M2212)),IF(M2212&gt;0,Q2212/M2212,""),"")</f>
        <v/>
      </c>
      <c r="Y2212" s="11">
        <f>IF(ISNUMBER(Z2212),YEAR(Z2212),"")</f>
        <v/>
      </c>
      <c r="Z2212" s="12" t="n"/>
      <c r="AA2212" s="12" t="n"/>
      <c r="AI2212" s="12" t="n"/>
      <c r="AJ2212" s="13">
        <f>IF(LEN(TRIM(AF2212))=0,"",HYPERLINK("https://www.google.com/maps/@?api=1&amp;map_action=pano&amp;viewpoint="&amp;SUBSTITUTE(AF2212," ",""),"Abrir Street View"))</f>
        <v/>
      </c>
    </row>
    <row r="2213">
      <c r="H2213" s="6" t="n"/>
      <c r="I2213" s="6" t="n"/>
      <c r="M2213" s="7" t="n"/>
      <c r="N2213" s="7" t="n"/>
      <c r="O2213" s="7" t="n"/>
      <c r="Q2213" s="7" t="n"/>
      <c r="R2213" s="7" t="n"/>
      <c r="S2213" s="8">
        <f>IF(NOT(ISNUMBER(M2213)),"",IF(G2213="Terreno",IF(AND(ISNUMBER(I2213),I2213&gt;0),M2213/I2213,""),IF(AND(ISNUMBER(H2213),H2213&gt;0),M2213/H2213,"")))</f>
        <v/>
      </c>
      <c r="T2213" s="9">
        <f>IF(AND(ISNUMBER(M2213),ISNUMBER(O2213)),IF(M2213&lt;=O2213,"Valor ≤ venal IPTU",""),"")</f>
        <v/>
      </c>
      <c r="U2213" s="10">
        <f>IF(AND(ISNUMBER(M2213),ISNUMBER(N2213)),IF(N2213&gt;0,M2213/N2213,""),"")</f>
        <v/>
      </c>
      <c r="V2213" s="10">
        <f>IF(AND(ISNUMBER(M2213),ISNUMBER(O2213)),IF(O2213&gt;0,M2213/O2213,""),"")</f>
        <v/>
      </c>
      <c r="W2213" s="10">
        <f>IF(AND(ISNUMBER(M2213),ISNUMBER(R2213)),IF(R2213&gt;0,M2213/R2213,""),"")</f>
        <v/>
      </c>
      <c r="X2213" s="10">
        <f>IF(AND(ISNUMBER(Q2213),ISNUMBER(M2213)),IF(M2213&gt;0,Q2213/M2213,""),"")</f>
        <v/>
      </c>
      <c r="Y2213" s="11">
        <f>IF(ISNUMBER(Z2213),YEAR(Z2213),"")</f>
        <v/>
      </c>
      <c r="Z2213" s="12" t="n"/>
      <c r="AA2213" s="12" t="n"/>
      <c r="AI2213" s="12" t="n"/>
      <c r="AJ2213" s="13">
        <f>IF(LEN(TRIM(AF2213))=0,"",HYPERLINK("https://www.google.com/maps/@?api=1&amp;map_action=pano&amp;viewpoint="&amp;SUBSTITUTE(AF2213," ",""),"Abrir Street View"))</f>
        <v/>
      </c>
    </row>
    <row r="2214">
      <c r="H2214" s="6" t="n"/>
      <c r="I2214" s="6" t="n"/>
      <c r="M2214" s="7" t="n"/>
      <c r="N2214" s="7" t="n"/>
      <c r="O2214" s="7" t="n"/>
      <c r="Q2214" s="7" t="n"/>
      <c r="R2214" s="7" t="n"/>
      <c r="S2214" s="8">
        <f>IF(NOT(ISNUMBER(M2214)),"",IF(G2214="Terreno",IF(AND(ISNUMBER(I2214),I2214&gt;0),M2214/I2214,""),IF(AND(ISNUMBER(H2214),H2214&gt;0),M2214/H2214,"")))</f>
        <v/>
      </c>
      <c r="T2214" s="9">
        <f>IF(AND(ISNUMBER(M2214),ISNUMBER(O2214)),IF(M2214&lt;=O2214,"Valor ≤ venal IPTU",""),"")</f>
        <v/>
      </c>
      <c r="U2214" s="10">
        <f>IF(AND(ISNUMBER(M2214),ISNUMBER(N2214)),IF(N2214&gt;0,M2214/N2214,""),"")</f>
        <v/>
      </c>
      <c r="V2214" s="10">
        <f>IF(AND(ISNUMBER(M2214),ISNUMBER(O2214)),IF(O2214&gt;0,M2214/O2214,""),"")</f>
        <v/>
      </c>
      <c r="W2214" s="10">
        <f>IF(AND(ISNUMBER(M2214),ISNUMBER(R2214)),IF(R2214&gt;0,M2214/R2214,""),"")</f>
        <v/>
      </c>
      <c r="X2214" s="10">
        <f>IF(AND(ISNUMBER(Q2214),ISNUMBER(M2214)),IF(M2214&gt;0,Q2214/M2214,""),"")</f>
        <v/>
      </c>
      <c r="Y2214" s="11">
        <f>IF(ISNUMBER(Z2214),YEAR(Z2214),"")</f>
        <v/>
      </c>
      <c r="Z2214" s="12" t="n"/>
      <c r="AA2214" s="12" t="n"/>
      <c r="AI2214" s="12" t="n"/>
      <c r="AJ2214" s="13">
        <f>IF(LEN(TRIM(AF2214))=0,"",HYPERLINK("https://www.google.com/maps/@?api=1&amp;map_action=pano&amp;viewpoint="&amp;SUBSTITUTE(AF2214," ",""),"Abrir Street View"))</f>
        <v/>
      </c>
    </row>
    <row r="2215">
      <c r="H2215" s="6" t="n"/>
      <c r="I2215" s="6" t="n"/>
      <c r="M2215" s="7" t="n"/>
      <c r="N2215" s="7" t="n"/>
      <c r="O2215" s="7" t="n"/>
      <c r="Q2215" s="7" t="n"/>
      <c r="R2215" s="7" t="n"/>
      <c r="S2215" s="8">
        <f>IF(NOT(ISNUMBER(M2215)),"",IF(G2215="Terreno",IF(AND(ISNUMBER(I2215),I2215&gt;0),M2215/I2215,""),IF(AND(ISNUMBER(H2215),H2215&gt;0),M2215/H2215,"")))</f>
        <v/>
      </c>
      <c r="T2215" s="9">
        <f>IF(AND(ISNUMBER(M2215),ISNUMBER(O2215)),IF(M2215&lt;=O2215,"Valor ≤ venal IPTU",""),"")</f>
        <v/>
      </c>
      <c r="U2215" s="10">
        <f>IF(AND(ISNUMBER(M2215),ISNUMBER(N2215)),IF(N2215&gt;0,M2215/N2215,""),"")</f>
        <v/>
      </c>
      <c r="V2215" s="10">
        <f>IF(AND(ISNUMBER(M2215),ISNUMBER(O2215)),IF(O2215&gt;0,M2215/O2215,""),"")</f>
        <v/>
      </c>
      <c r="W2215" s="10">
        <f>IF(AND(ISNUMBER(M2215),ISNUMBER(R2215)),IF(R2215&gt;0,M2215/R2215,""),"")</f>
        <v/>
      </c>
      <c r="X2215" s="10">
        <f>IF(AND(ISNUMBER(Q2215),ISNUMBER(M2215)),IF(M2215&gt;0,Q2215/M2215,""),"")</f>
        <v/>
      </c>
      <c r="Y2215" s="11">
        <f>IF(ISNUMBER(Z2215),YEAR(Z2215),"")</f>
        <v/>
      </c>
      <c r="Z2215" s="12" t="n"/>
      <c r="AA2215" s="12" t="n"/>
      <c r="AI2215" s="12" t="n"/>
      <c r="AJ2215" s="13">
        <f>IF(LEN(TRIM(AF2215))=0,"",HYPERLINK("https://www.google.com/maps/@?api=1&amp;map_action=pano&amp;viewpoint="&amp;SUBSTITUTE(AF2215," ",""),"Abrir Street View"))</f>
        <v/>
      </c>
    </row>
    <row r="2216">
      <c r="H2216" s="6" t="n"/>
      <c r="I2216" s="6" t="n"/>
      <c r="M2216" s="7" t="n"/>
      <c r="N2216" s="7" t="n"/>
      <c r="O2216" s="7" t="n"/>
      <c r="Q2216" s="7" t="n"/>
      <c r="R2216" s="7" t="n"/>
      <c r="S2216" s="8">
        <f>IF(NOT(ISNUMBER(M2216)),"",IF(G2216="Terreno",IF(AND(ISNUMBER(I2216),I2216&gt;0),M2216/I2216,""),IF(AND(ISNUMBER(H2216),H2216&gt;0),M2216/H2216,"")))</f>
        <v/>
      </c>
      <c r="T2216" s="9">
        <f>IF(AND(ISNUMBER(M2216),ISNUMBER(O2216)),IF(M2216&lt;=O2216,"Valor ≤ venal IPTU",""),"")</f>
        <v/>
      </c>
      <c r="U2216" s="10">
        <f>IF(AND(ISNUMBER(M2216),ISNUMBER(N2216)),IF(N2216&gt;0,M2216/N2216,""),"")</f>
        <v/>
      </c>
      <c r="V2216" s="10">
        <f>IF(AND(ISNUMBER(M2216),ISNUMBER(O2216)),IF(O2216&gt;0,M2216/O2216,""),"")</f>
        <v/>
      </c>
      <c r="W2216" s="10">
        <f>IF(AND(ISNUMBER(M2216),ISNUMBER(R2216)),IF(R2216&gt;0,M2216/R2216,""),"")</f>
        <v/>
      </c>
      <c r="X2216" s="10">
        <f>IF(AND(ISNUMBER(Q2216),ISNUMBER(M2216)),IF(M2216&gt;0,Q2216/M2216,""),"")</f>
        <v/>
      </c>
      <c r="Y2216" s="11">
        <f>IF(ISNUMBER(Z2216),YEAR(Z2216),"")</f>
        <v/>
      </c>
      <c r="Z2216" s="12" t="n"/>
      <c r="AA2216" s="12" t="n"/>
      <c r="AI2216" s="12" t="n"/>
      <c r="AJ2216" s="13">
        <f>IF(LEN(TRIM(AF2216))=0,"",HYPERLINK("https://www.google.com/maps/@?api=1&amp;map_action=pano&amp;viewpoint="&amp;SUBSTITUTE(AF2216," ",""),"Abrir Street View"))</f>
        <v/>
      </c>
    </row>
    <row r="2217">
      <c r="H2217" s="6" t="n"/>
      <c r="I2217" s="6" t="n"/>
      <c r="M2217" s="7" t="n"/>
      <c r="N2217" s="7" t="n"/>
      <c r="O2217" s="7" t="n"/>
      <c r="Q2217" s="7" t="n"/>
      <c r="R2217" s="7" t="n"/>
      <c r="S2217" s="8">
        <f>IF(NOT(ISNUMBER(M2217)),"",IF(G2217="Terreno",IF(AND(ISNUMBER(I2217),I2217&gt;0),M2217/I2217,""),IF(AND(ISNUMBER(H2217),H2217&gt;0),M2217/H2217,"")))</f>
        <v/>
      </c>
      <c r="T2217" s="9">
        <f>IF(AND(ISNUMBER(M2217),ISNUMBER(O2217)),IF(M2217&lt;=O2217,"Valor ≤ venal IPTU",""),"")</f>
        <v/>
      </c>
      <c r="U2217" s="10">
        <f>IF(AND(ISNUMBER(M2217),ISNUMBER(N2217)),IF(N2217&gt;0,M2217/N2217,""),"")</f>
        <v/>
      </c>
      <c r="V2217" s="10">
        <f>IF(AND(ISNUMBER(M2217),ISNUMBER(O2217)),IF(O2217&gt;0,M2217/O2217,""),"")</f>
        <v/>
      </c>
      <c r="W2217" s="10">
        <f>IF(AND(ISNUMBER(M2217),ISNUMBER(R2217)),IF(R2217&gt;0,M2217/R2217,""),"")</f>
        <v/>
      </c>
      <c r="X2217" s="10">
        <f>IF(AND(ISNUMBER(Q2217),ISNUMBER(M2217)),IF(M2217&gt;0,Q2217/M2217,""),"")</f>
        <v/>
      </c>
      <c r="Y2217" s="11">
        <f>IF(ISNUMBER(Z2217),YEAR(Z2217),"")</f>
        <v/>
      </c>
      <c r="Z2217" s="12" t="n"/>
      <c r="AA2217" s="12" t="n"/>
      <c r="AI2217" s="12" t="n"/>
      <c r="AJ2217" s="13">
        <f>IF(LEN(TRIM(AF2217))=0,"",HYPERLINK("https://www.google.com/maps/@?api=1&amp;map_action=pano&amp;viewpoint="&amp;SUBSTITUTE(AF2217," ",""),"Abrir Street View"))</f>
        <v/>
      </c>
    </row>
    <row r="2218">
      <c r="H2218" s="6" t="n"/>
      <c r="I2218" s="6" t="n"/>
      <c r="M2218" s="7" t="n"/>
      <c r="N2218" s="7" t="n"/>
      <c r="O2218" s="7" t="n"/>
      <c r="Q2218" s="7" t="n"/>
      <c r="R2218" s="7" t="n"/>
      <c r="S2218" s="8">
        <f>IF(NOT(ISNUMBER(M2218)),"",IF(G2218="Terreno",IF(AND(ISNUMBER(I2218),I2218&gt;0),M2218/I2218,""),IF(AND(ISNUMBER(H2218),H2218&gt;0),M2218/H2218,"")))</f>
        <v/>
      </c>
      <c r="T2218" s="9">
        <f>IF(AND(ISNUMBER(M2218),ISNUMBER(O2218)),IF(M2218&lt;=O2218,"Valor ≤ venal IPTU",""),"")</f>
        <v/>
      </c>
      <c r="U2218" s="10">
        <f>IF(AND(ISNUMBER(M2218),ISNUMBER(N2218)),IF(N2218&gt;0,M2218/N2218,""),"")</f>
        <v/>
      </c>
      <c r="V2218" s="10">
        <f>IF(AND(ISNUMBER(M2218),ISNUMBER(O2218)),IF(O2218&gt;0,M2218/O2218,""),"")</f>
        <v/>
      </c>
      <c r="W2218" s="10">
        <f>IF(AND(ISNUMBER(M2218),ISNUMBER(R2218)),IF(R2218&gt;0,M2218/R2218,""),"")</f>
        <v/>
      </c>
      <c r="X2218" s="10">
        <f>IF(AND(ISNUMBER(Q2218),ISNUMBER(M2218)),IF(M2218&gt;0,Q2218/M2218,""),"")</f>
        <v/>
      </c>
      <c r="Y2218" s="11">
        <f>IF(ISNUMBER(Z2218),YEAR(Z2218),"")</f>
        <v/>
      </c>
      <c r="Z2218" s="12" t="n"/>
      <c r="AA2218" s="12" t="n"/>
      <c r="AI2218" s="12" t="n"/>
      <c r="AJ2218" s="13">
        <f>IF(LEN(TRIM(AF2218))=0,"",HYPERLINK("https://www.google.com/maps/@?api=1&amp;map_action=pano&amp;viewpoint="&amp;SUBSTITUTE(AF2218," ",""),"Abrir Street View"))</f>
        <v/>
      </c>
    </row>
    <row r="2219">
      <c r="H2219" s="6" t="n"/>
      <c r="I2219" s="6" t="n"/>
      <c r="M2219" s="7" t="n"/>
      <c r="N2219" s="7" t="n"/>
      <c r="O2219" s="7" t="n"/>
      <c r="Q2219" s="7" t="n"/>
      <c r="R2219" s="7" t="n"/>
      <c r="S2219" s="8">
        <f>IF(NOT(ISNUMBER(M2219)),"",IF(G2219="Terreno",IF(AND(ISNUMBER(I2219),I2219&gt;0),M2219/I2219,""),IF(AND(ISNUMBER(H2219),H2219&gt;0),M2219/H2219,"")))</f>
        <v/>
      </c>
      <c r="T2219" s="9">
        <f>IF(AND(ISNUMBER(M2219),ISNUMBER(O2219)),IF(M2219&lt;=O2219,"Valor ≤ venal IPTU",""),"")</f>
        <v/>
      </c>
      <c r="U2219" s="10">
        <f>IF(AND(ISNUMBER(M2219),ISNUMBER(N2219)),IF(N2219&gt;0,M2219/N2219,""),"")</f>
        <v/>
      </c>
      <c r="V2219" s="10">
        <f>IF(AND(ISNUMBER(M2219),ISNUMBER(O2219)),IF(O2219&gt;0,M2219/O2219,""),"")</f>
        <v/>
      </c>
      <c r="W2219" s="10">
        <f>IF(AND(ISNUMBER(M2219),ISNUMBER(R2219)),IF(R2219&gt;0,M2219/R2219,""),"")</f>
        <v/>
      </c>
      <c r="X2219" s="10">
        <f>IF(AND(ISNUMBER(Q2219),ISNUMBER(M2219)),IF(M2219&gt;0,Q2219/M2219,""),"")</f>
        <v/>
      </c>
      <c r="Y2219" s="11">
        <f>IF(ISNUMBER(Z2219),YEAR(Z2219),"")</f>
        <v/>
      </c>
      <c r="Z2219" s="12" t="n"/>
      <c r="AA2219" s="12" t="n"/>
      <c r="AI2219" s="12" t="n"/>
      <c r="AJ2219" s="13">
        <f>IF(LEN(TRIM(AF2219))=0,"",HYPERLINK("https://www.google.com/maps/@?api=1&amp;map_action=pano&amp;viewpoint="&amp;SUBSTITUTE(AF2219," ",""),"Abrir Street View"))</f>
        <v/>
      </c>
    </row>
    <row r="2220">
      <c r="H2220" s="6" t="n"/>
      <c r="I2220" s="6" t="n"/>
      <c r="M2220" s="7" t="n"/>
      <c r="N2220" s="7" t="n"/>
      <c r="O2220" s="7" t="n"/>
      <c r="Q2220" s="7" t="n"/>
      <c r="R2220" s="7" t="n"/>
      <c r="S2220" s="8">
        <f>IF(NOT(ISNUMBER(M2220)),"",IF(G2220="Terreno",IF(AND(ISNUMBER(I2220),I2220&gt;0),M2220/I2220,""),IF(AND(ISNUMBER(H2220),H2220&gt;0),M2220/H2220,"")))</f>
        <v/>
      </c>
      <c r="T2220" s="9">
        <f>IF(AND(ISNUMBER(M2220),ISNUMBER(O2220)),IF(M2220&lt;=O2220,"Valor ≤ venal IPTU",""),"")</f>
        <v/>
      </c>
      <c r="U2220" s="10">
        <f>IF(AND(ISNUMBER(M2220),ISNUMBER(N2220)),IF(N2220&gt;0,M2220/N2220,""),"")</f>
        <v/>
      </c>
      <c r="V2220" s="10">
        <f>IF(AND(ISNUMBER(M2220),ISNUMBER(O2220)),IF(O2220&gt;0,M2220/O2220,""),"")</f>
        <v/>
      </c>
      <c r="W2220" s="10">
        <f>IF(AND(ISNUMBER(M2220),ISNUMBER(R2220)),IF(R2220&gt;0,M2220/R2220,""),"")</f>
        <v/>
      </c>
      <c r="X2220" s="10">
        <f>IF(AND(ISNUMBER(Q2220),ISNUMBER(M2220)),IF(M2220&gt;0,Q2220/M2220,""),"")</f>
        <v/>
      </c>
      <c r="Y2220" s="11">
        <f>IF(ISNUMBER(Z2220),YEAR(Z2220),"")</f>
        <v/>
      </c>
      <c r="Z2220" s="12" t="n"/>
      <c r="AA2220" s="12" t="n"/>
      <c r="AI2220" s="12" t="n"/>
      <c r="AJ2220" s="13">
        <f>IF(LEN(TRIM(AF2220))=0,"",HYPERLINK("https://www.google.com/maps/@?api=1&amp;map_action=pano&amp;viewpoint="&amp;SUBSTITUTE(AF2220," ",""),"Abrir Street View"))</f>
        <v/>
      </c>
    </row>
    <row r="2221">
      <c r="H2221" s="6" t="n"/>
      <c r="I2221" s="6" t="n"/>
      <c r="M2221" s="7" t="n"/>
      <c r="N2221" s="7" t="n"/>
      <c r="O2221" s="7" t="n"/>
      <c r="Q2221" s="7" t="n"/>
      <c r="R2221" s="7" t="n"/>
      <c r="S2221" s="8">
        <f>IF(NOT(ISNUMBER(M2221)),"",IF(G2221="Terreno",IF(AND(ISNUMBER(I2221),I2221&gt;0),M2221/I2221,""),IF(AND(ISNUMBER(H2221),H2221&gt;0),M2221/H2221,"")))</f>
        <v/>
      </c>
      <c r="T2221" s="9">
        <f>IF(AND(ISNUMBER(M2221),ISNUMBER(O2221)),IF(M2221&lt;=O2221,"Valor ≤ venal IPTU",""),"")</f>
        <v/>
      </c>
      <c r="U2221" s="10">
        <f>IF(AND(ISNUMBER(M2221),ISNUMBER(N2221)),IF(N2221&gt;0,M2221/N2221,""),"")</f>
        <v/>
      </c>
      <c r="V2221" s="10">
        <f>IF(AND(ISNUMBER(M2221),ISNUMBER(O2221)),IF(O2221&gt;0,M2221/O2221,""),"")</f>
        <v/>
      </c>
      <c r="W2221" s="10">
        <f>IF(AND(ISNUMBER(M2221),ISNUMBER(R2221)),IF(R2221&gt;0,M2221/R2221,""),"")</f>
        <v/>
      </c>
      <c r="X2221" s="10">
        <f>IF(AND(ISNUMBER(Q2221),ISNUMBER(M2221)),IF(M2221&gt;0,Q2221/M2221,""),"")</f>
        <v/>
      </c>
      <c r="Y2221" s="11">
        <f>IF(ISNUMBER(Z2221),YEAR(Z2221),"")</f>
        <v/>
      </c>
      <c r="Z2221" s="12" t="n"/>
      <c r="AA2221" s="12" t="n"/>
      <c r="AI2221" s="12" t="n"/>
      <c r="AJ2221" s="13">
        <f>IF(LEN(TRIM(AF2221))=0,"",HYPERLINK("https://www.google.com/maps/@?api=1&amp;map_action=pano&amp;viewpoint="&amp;SUBSTITUTE(AF2221," ",""),"Abrir Street View"))</f>
        <v/>
      </c>
    </row>
    <row r="2222">
      <c r="H2222" s="6" t="n"/>
      <c r="I2222" s="6" t="n"/>
      <c r="M2222" s="7" t="n"/>
      <c r="N2222" s="7" t="n"/>
      <c r="O2222" s="7" t="n"/>
      <c r="Q2222" s="7" t="n"/>
      <c r="R2222" s="7" t="n"/>
      <c r="S2222" s="8">
        <f>IF(NOT(ISNUMBER(M2222)),"",IF(G2222="Terreno",IF(AND(ISNUMBER(I2222),I2222&gt;0),M2222/I2222,""),IF(AND(ISNUMBER(H2222),H2222&gt;0),M2222/H2222,"")))</f>
        <v/>
      </c>
      <c r="T2222" s="9">
        <f>IF(AND(ISNUMBER(M2222),ISNUMBER(O2222)),IF(M2222&lt;=O2222,"Valor ≤ venal IPTU",""),"")</f>
        <v/>
      </c>
      <c r="U2222" s="10">
        <f>IF(AND(ISNUMBER(M2222),ISNUMBER(N2222)),IF(N2222&gt;0,M2222/N2222,""),"")</f>
        <v/>
      </c>
      <c r="V2222" s="10">
        <f>IF(AND(ISNUMBER(M2222),ISNUMBER(O2222)),IF(O2222&gt;0,M2222/O2222,""),"")</f>
        <v/>
      </c>
      <c r="W2222" s="10">
        <f>IF(AND(ISNUMBER(M2222),ISNUMBER(R2222)),IF(R2222&gt;0,M2222/R2222,""),"")</f>
        <v/>
      </c>
      <c r="X2222" s="10">
        <f>IF(AND(ISNUMBER(Q2222),ISNUMBER(M2222)),IF(M2222&gt;0,Q2222/M2222,""),"")</f>
        <v/>
      </c>
      <c r="Y2222" s="11">
        <f>IF(ISNUMBER(Z2222),YEAR(Z2222),"")</f>
        <v/>
      </c>
      <c r="Z2222" s="12" t="n"/>
      <c r="AA2222" s="12" t="n"/>
      <c r="AI2222" s="12" t="n"/>
      <c r="AJ2222" s="13">
        <f>IF(LEN(TRIM(AF2222))=0,"",HYPERLINK("https://www.google.com/maps/@?api=1&amp;map_action=pano&amp;viewpoint="&amp;SUBSTITUTE(AF2222," ",""),"Abrir Street View"))</f>
        <v/>
      </c>
    </row>
    <row r="2223">
      <c r="H2223" s="6" t="n"/>
      <c r="I2223" s="6" t="n"/>
      <c r="M2223" s="7" t="n"/>
      <c r="N2223" s="7" t="n"/>
      <c r="O2223" s="7" t="n"/>
      <c r="Q2223" s="7" t="n"/>
      <c r="R2223" s="7" t="n"/>
      <c r="S2223" s="8">
        <f>IF(NOT(ISNUMBER(M2223)),"",IF(G2223="Terreno",IF(AND(ISNUMBER(I2223),I2223&gt;0),M2223/I2223,""),IF(AND(ISNUMBER(H2223),H2223&gt;0),M2223/H2223,"")))</f>
        <v/>
      </c>
      <c r="T2223" s="9">
        <f>IF(AND(ISNUMBER(M2223),ISNUMBER(O2223)),IF(M2223&lt;=O2223,"Valor ≤ venal IPTU",""),"")</f>
        <v/>
      </c>
      <c r="U2223" s="10">
        <f>IF(AND(ISNUMBER(M2223),ISNUMBER(N2223)),IF(N2223&gt;0,M2223/N2223,""),"")</f>
        <v/>
      </c>
      <c r="V2223" s="10">
        <f>IF(AND(ISNUMBER(M2223),ISNUMBER(O2223)),IF(O2223&gt;0,M2223/O2223,""),"")</f>
        <v/>
      </c>
      <c r="W2223" s="10">
        <f>IF(AND(ISNUMBER(M2223),ISNUMBER(R2223)),IF(R2223&gt;0,M2223/R2223,""),"")</f>
        <v/>
      </c>
      <c r="X2223" s="10">
        <f>IF(AND(ISNUMBER(Q2223),ISNUMBER(M2223)),IF(M2223&gt;0,Q2223/M2223,""),"")</f>
        <v/>
      </c>
      <c r="Y2223" s="11">
        <f>IF(ISNUMBER(Z2223),YEAR(Z2223),"")</f>
        <v/>
      </c>
      <c r="Z2223" s="12" t="n"/>
      <c r="AA2223" s="12" t="n"/>
      <c r="AI2223" s="12" t="n"/>
      <c r="AJ2223" s="13">
        <f>IF(LEN(TRIM(AF2223))=0,"",HYPERLINK("https://www.google.com/maps/@?api=1&amp;map_action=pano&amp;viewpoint="&amp;SUBSTITUTE(AF2223," ",""),"Abrir Street View"))</f>
        <v/>
      </c>
    </row>
    <row r="2224">
      <c r="H2224" s="6" t="n"/>
      <c r="I2224" s="6" t="n"/>
      <c r="M2224" s="7" t="n"/>
      <c r="N2224" s="7" t="n"/>
      <c r="O2224" s="7" t="n"/>
      <c r="Q2224" s="7" t="n"/>
      <c r="R2224" s="7" t="n"/>
      <c r="S2224" s="8">
        <f>IF(NOT(ISNUMBER(M2224)),"",IF(G2224="Terreno",IF(AND(ISNUMBER(I2224),I2224&gt;0),M2224/I2224,""),IF(AND(ISNUMBER(H2224),H2224&gt;0),M2224/H2224,"")))</f>
        <v/>
      </c>
      <c r="T2224" s="9">
        <f>IF(AND(ISNUMBER(M2224),ISNUMBER(O2224)),IF(M2224&lt;=O2224,"Valor ≤ venal IPTU",""),"")</f>
        <v/>
      </c>
      <c r="U2224" s="10">
        <f>IF(AND(ISNUMBER(M2224),ISNUMBER(N2224)),IF(N2224&gt;0,M2224/N2224,""),"")</f>
        <v/>
      </c>
      <c r="V2224" s="10">
        <f>IF(AND(ISNUMBER(M2224),ISNUMBER(O2224)),IF(O2224&gt;0,M2224/O2224,""),"")</f>
        <v/>
      </c>
      <c r="W2224" s="10">
        <f>IF(AND(ISNUMBER(M2224),ISNUMBER(R2224)),IF(R2224&gt;0,M2224/R2224,""),"")</f>
        <v/>
      </c>
      <c r="X2224" s="10">
        <f>IF(AND(ISNUMBER(Q2224),ISNUMBER(M2224)),IF(M2224&gt;0,Q2224/M2224,""),"")</f>
        <v/>
      </c>
      <c r="Y2224" s="11">
        <f>IF(ISNUMBER(Z2224),YEAR(Z2224),"")</f>
        <v/>
      </c>
      <c r="Z2224" s="12" t="n"/>
      <c r="AA2224" s="12" t="n"/>
      <c r="AI2224" s="12" t="n"/>
      <c r="AJ2224" s="13">
        <f>IF(LEN(TRIM(AF2224))=0,"",HYPERLINK("https://www.google.com/maps/@?api=1&amp;map_action=pano&amp;viewpoint="&amp;SUBSTITUTE(AF2224," ",""),"Abrir Street View"))</f>
        <v/>
      </c>
    </row>
    <row r="2225">
      <c r="H2225" s="6" t="n"/>
      <c r="I2225" s="6" t="n"/>
      <c r="M2225" s="7" t="n"/>
      <c r="N2225" s="7" t="n"/>
      <c r="O2225" s="7" t="n"/>
      <c r="Q2225" s="7" t="n"/>
      <c r="R2225" s="7" t="n"/>
      <c r="S2225" s="8">
        <f>IF(NOT(ISNUMBER(M2225)),"",IF(G2225="Terreno",IF(AND(ISNUMBER(I2225),I2225&gt;0),M2225/I2225,""),IF(AND(ISNUMBER(H2225),H2225&gt;0),M2225/H2225,"")))</f>
        <v/>
      </c>
      <c r="T2225" s="9">
        <f>IF(AND(ISNUMBER(M2225),ISNUMBER(O2225)),IF(M2225&lt;=O2225,"Valor ≤ venal IPTU",""),"")</f>
        <v/>
      </c>
      <c r="U2225" s="10">
        <f>IF(AND(ISNUMBER(M2225),ISNUMBER(N2225)),IF(N2225&gt;0,M2225/N2225,""),"")</f>
        <v/>
      </c>
      <c r="V2225" s="10">
        <f>IF(AND(ISNUMBER(M2225),ISNUMBER(O2225)),IF(O2225&gt;0,M2225/O2225,""),"")</f>
        <v/>
      </c>
      <c r="W2225" s="10">
        <f>IF(AND(ISNUMBER(M2225),ISNUMBER(R2225)),IF(R2225&gt;0,M2225/R2225,""),"")</f>
        <v/>
      </c>
      <c r="X2225" s="10">
        <f>IF(AND(ISNUMBER(Q2225),ISNUMBER(M2225)),IF(M2225&gt;0,Q2225/M2225,""),"")</f>
        <v/>
      </c>
      <c r="Y2225" s="11">
        <f>IF(ISNUMBER(Z2225),YEAR(Z2225),"")</f>
        <v/>
      </c>
      <c r="Z2225" s="12" t="n"/>
      <c r="AA2225" s="12" t="n"/>
      <c r="AI2225" s="12" t="n"/>
      <c r="AJ2225" s="13">
        <f>IF(LEN(TRIM(AF2225))=0,"",HYPERLINK("https://www.google.com/maps/@?api=1&amp;map_action=pano&amp;viewpoint="&amp;SUBSTITUTE(AF2225," ",""),"Abrir Street View"))</f>
        <v/>
      </c>
    </row>
    <row r="2226">
      <c r="H2226" s="6" t="n"/>
      <c r="I2226" s="6" t="n"/>
      <c r="M2226" s="7" t="n"/>
      <c r="N2226" s="7" t="n"/>
      <c r="O2226" s="7" t="n"/>
      <c r="Q2226" s="7" t="n"/>
      <c r="R2226" s="7" t="n"/>
      <c r="S2226" s="8">
        <f>IF(NOT(ISNUMBER(M2226)),"",IF(G2226="Terreno",IF(AND(ISNUMBER(I2226),I2226&gt;0),M2226/I2226,""),IF(AND(ISNUMBER(H2226),H2226&gt;0),M2226/H2226,"")))</f>
        <v/>
      </c>
      <c r="T2226" s="9">
        <f>IF(AND(ISNUMBER(M2226),ISNUMBER(O2226)),IF(M2226&lt;=O2226,"Valor ≤ venal IPTU",""),"")</f>
        <v/>
      </c>
      <c r="U2226" s="10">
        <f>IF(AND(ISNUMBER(M2226),ISNUMBER(N2226)),IF(N2226&gt;0,M2226/N2226,""),"")</f>
        <v/>
      </c>
      <c r="V2226" s="10">
        <f>IF(AND(ISNUMBER(M2226),ISNUMBER(O2226)),IF(O2226&gt;0,M2226/O2226,""),"")</f>
        <v/>
      </c>
      <c r="W2226" s="10">
        <f>IF(AND(ISNUMBER(M2226),ISNUMBER(R2226)),IF(R2226&gt;0,M2226/R2226,""),"")</f>
        <v/>
      </c>
      <c r="X2226" s="10">
        <f>IF(AND(ISNUMBER(Q2226),ISNUMBER(M2226)),IF(M2226&gt;0,Q2226/M2226,""),"")</f>
        <v/>
      </c>
      <c r="Y2226" s="11">
        <f>IF(ISNUMBER(Z2226),YEAR(Z2226),"")</f>
        <v/>
      </c>
      <c r="Z2226" s="12" t="n"/>
      <c r="AA2226" s="12" t="n"/>
      <c r="AI2226" s="12" t="n"/>
      <c r="AJ2226" s="13">
        <f>IF(LEN(TRIM(AF2226))=0,"",HYPERLINK("https://www.google.com/maps/@?api=1&amp;map_action=pano&amp;viewpoint="&amp;SUBSTITUTE(AF2226," ",""),"Abrir Street View"))</f>
        <v/>
      </c>
    </row>
    <row r="2227">
      <c r="H2227" s="6" t="n"/>
      <c r="I2227" s="6" t="n"/>
      <c r="M2227" s="7" t="n"/>
      <c r="N2227" s="7" t="n"/>
      <c r="O2227" s="7" t="n"/>
      <c r="Q2227" s="7" t="n"/>
      <c r="R2227" s="7" t="n"/>
      <c r="S2227" s="8">
        <f>IF(NOT(ISNUMBER(M2227)),"",IF(G2227="Terreno",IF(AND(ISNUMBER(I2227),I2227&gt;0),M2227/I2227,""),IF(AND(ISNUMBER(H2227),H2227&gt;0),M2227/H2227,"")))</f>
        <v/>
      </c>
      <c r="T2227" s="9">
        <f>IF(AND(ISNUMBER(M2227),ISNUMBER(O2227)),IF(M2227&lt;=O2227,"Valor ≤ venal IPTU",""),"")</f>
        <v/>
      </c>
      <c r="U2227" s="10">
        <f>IF(AND(ISNUMBER(M2227),ISNUMBER(N2227)),IF(N2227&gt;0,M2227/N2227,""),"")</f>
        <v/>
      </c>
      <c r="V2227" s="10">
        <f>IF(AND(ISNUMBER(M2227),ISNUMBER(O2227)),IF(O2227&gt;0,M2227/O2227,""),"")</f>
        <v/>
      </c>
      <c r="W2227" s="10">
        <f>IF(AND(ISNUMBER(M2227),ISNUMBER(R2227)),IF(R2227&gt;0,M2227/R2227,""),"")</f>
        <v/>
      </c>
      <c r="X2227" s="10">
        <f>IF(AND(ISNUMBER(Q2227),ISNUMBER(M2227)),IF(M2227&gt;0,Q2227/M2227,""),"")</f>
        <v/>
      </c>
      <c r="Y2227" s="11">
        <f>IF(ISNUMBER(Z2227),YEAR(Z2227),"")</f>
        <v/>
      </c>
      <c r="Z2227" s="12" t="n"/>
      <c r="AA2227" s="12" t="n"/>
      <c r="AI2227" s="12" t="n"/>
      <c r="AJ2227" s="13">
        <f>IF(LEN(TRIM(AF2227))=0,"",HYPERLINK("https://www.google.com/maps/@?api=1&amp;map_action=pano&amp;viewpoint="&amp;SUBSTITUTE(AF2227," ",""),"Abrir Street View"))</f>
        <v/>
      </c>
    </row>
    <row r="2228">
      <c r="H2228" s="6" t="n"/>
      <c r="I2228" s="6" t="n"/>
      <c r="M2228" s="7" t="n"/>
      <c r="N2228" s="7" t="n"/>
      <c r="O2228" s="7" t="n"/>
      <c r="Q2228" s="7" t="n"/>
      <c r="R2228" s="7" t="n"/>
      <c r="S2228" s="8">
        <f>IF(NOT(ISNUMBER(M2228)),"",IF(G2228="Terreno",IF(AND(ISNUMBER(I2228),I2228&gt;0),M2228/I2228,""),IF(AND(ISNUMBER(H2228),H2228&gt;0),M2228/H2228,"")))</f>
        <v/>
      </c>
      <c r="T2228" s="9">
        <f>IF(AND(ISNUMBER(M2228),ISNUMBER(O2228)),IF(M2228&lt;=O2228,"Valor ≤ venal IPTU",""),"")</f>
        <v/>
      </c>
      <c r="U2228" s="10">
        <f>IF(AND(ISNUMBER(M2228),ISNUMBER(N2228)),IF(N2228&gt;0,M2228/N2228,""),"")</f>
        <v/>
      </c>
      <c r="V2228" s="10">
        <f>IF(AND(ISNUMBER(M2228),ISNUMBER(O2228)),IF(O2228&gt;0,M2228/O2228,""),"")</f>
        <v/>
      </c>
      <c r="W2228" s="10">
        <f>IF(AND(ISNUMBER(M2228),ISNUMBER(R2228)),IF(R2228&gt;0,M2228/R2228,""),"")</f>
        <v/>
      </c>
      <c r="X2228" s="10">
        <f>IF(AND(ISNUMBER(Q2228),ISNUMBER(M2228)),IF(M2228&gt;0,Q2228/M2228,""),"")</f>
        <v/>
      </c>
      <c r="Y2228" s="11">
        <f>IF(ISNUMBER(Z2228),YEAR(Z2228),"")</f>
        <v/>
      </c>
      <c r="Z2228" s="12" t="n"/>
      <c r="AA2228" s="12" t="n"/>
      <c r="AI2228" s="12" t="n"/>
      <c r="AJ2228" s="13">
        <f>IF(LEN(TRIM(AF2228))=0,"",HYPERLINK("https://www.google.com/maps/@?api=1&amp;map_action=pano&amp;viewpoint="&amp;SUBSTITUTE(AF2228," ",""),"Abrir Street View"))</f>
        <v/>
      </c>
    </row>
    <row r="2229">
      <c r="H2229" s="6" t="n"/>
      <c r="I2229" s="6" t="n"/>
      <c r="M2229" s="7" t="n"/>
      <c r="N2229" s="7" t="n"/>
      <c r="O2229" s="7" t="n"/>
      <c r="Q2229" s="7" t="n"/>
      <c r="R2229" s="7" t="n"/>
      <c r="S2229" s="8">
        <f>IF(NOT(ISNUMBER(M2229)),"",IF(G2229="Terreno",IF(AND(ISNUMBER(I2229),I2229&gt;0),M2229/I2229,""),IF(AND(ISNUMBER(H2229),H2229&gt;0),M2229/H2229,"")))</f>
        <v/>
      </c>
      <c r="T2229" s="9">
        <f>IF(AND(ISNUMBER(M2229),ISNUMBER(O2229)),IF(M2229&lt;=O2229,"Valor ≤ venal IPTU",""),"")</f>
        <v/>
      </c>
      <c r="U2229" s="10">
        <f>IF(AND(ISNUMBER(M2229),ISNUMBER(N2229)),IF(N2229&gt;0,M2229/N2229,""),"")</f>
        <v/>
      </c>
      <c r="V2229" s="10">
        <f>IF(AND(ISNUMBER(M2229),ISNUMBER(O2229)),IF(O2229&gt;0,M2229/O2229,""),"")</f>
        <v/>
      </c>
      <c r="W2229" s="10">
        <f>IF(AND(ISNUMBER(M2229),ISNUMBER(R2229)),IF(R2229&gt;0,M2229/R2229,""),"")</f>
        <v/>
      </c>
      <c r="X2229" s="10">
        <f>IF(AND(ISNUMBER(Q2229),ISNUMBER(M2229)),IF(M2229&gt;0,Q2229/M2229,""),"")</f>
        <v/>
      </c>
      <c r="Y2229" s="11">
        <f>IF(ISNUMBER(Z2229),YEAR(Z2229),"")</f>
        <v/>
      </c>
      <c r="Z2229" s="12" t="n"/>
      <c r="AA2229" s="12" t="n"/>
      <c r="AI2229" s="12" t="n"/>
      <c r="AJ2229" s="13">
        <f>IF(LEN(TRIM(AF2229))=0,"",HYPERLINK("https://www.google.com/maps/@?api=1&amp;map_action=pano&amp;viewpoint="&amp;SUBSTITUTE(AF2229," ",""),"Abrir Street View"))</f>
        <v/>
      </c>
    </row>
    <row r="2230">
      <c r="H2230" s="6" t="n"/>
      <c r="I2230" s="6" t="n"/>
      <c r="M2230" s="7" t="n"/>
      <c r="N2230" s="7" t="n"/>
      <c r="O2230" s="7" t="n"/>
      <c r="Q2230" s="7" t="n"/>
      <c r="R2230" s="7" t="n"/>
      <c r="S2230" s="8">
        <f>IF(NOT(ISNUMBER(M2230)),"",IF(G2230="Terreno",IF(AND(ISNUMBER(I2230),I2230&gt;0),M2230/I2230,""),IF(AND(ISNUMBER(H2230),H2230&gt;0),M2230/H2230,"")))</f>
        <v/>
      </c>
      <c r="T2230" s="9">
        <f>IF(AND(ISNUMBER(M2230),ISNUMBER(O2230)),IF(M2230&lt;=O2230,"Valor ≤ venal IPTU",""),"")</f>
        <v/>
      </c>
      <c r="U2230" s="10">
        <f>IF(AND(ISNUMBER(M2230),ISNUMBER(N2230)),IF(N2230&gt;0,M2230/N2230,""),"")</f>
        <v/>
      </c>
      <c r="V2230" s="10">
        <f>IF(AND(ISNUMBER(M2230),ISNUMBER(O2230)),IF(O2230&gt;0,M2230/O2230,""),"")</f>
        <v/>
      </c>
      <c r="W2230" s="10">
        <f>IF(AND(ISNUMBER(M2230),ISNUMBER(R2230)),IF(R2230&gt;0,M2230/R2230,""),"")</f>
        <v/>
      </c>
      <c r="X2230" s="10">
        <f>IF(AND(ISNUMBER(Q2230),ISNUMBER(M2230)),IF(M2230&gt;0,Q2230/M2230,""),"")</f>
        <v/>
      </c>
      <c r="Y2230" s="11">
        <f>IF(ISNUMBER(Z2230),YEAR(Z2230),"")</f>
        <v/>
      </c>
      <c r="Z2230" s="12" t="n"/>
      <c r="AA2230" s="12" t="n"/>
      <c r="AI2230" s="12" t="n"/>
      <c r="AJ2230" s="13">
        <f>IF(LEN(TRIM(AF2230))=0,"",HYPERLINK("https://www.google.com/maps/@?api=1&amp;map_action=pano&amp;viewpoint="&amp;SUBSTITUTE(AF2230," ",""),"Abrir Street View"))</f>
        <v/>
      </c>
    </row>
    <row r="2231">
      <c r="H2231" s="6" t="n"/>
      <c r="I2231" s="6" t="n"/>
      <c r="M2231" s="7" t="n"/>
      <c r="N2231" s="7" t="n"/>
      <c r="O2231" s="7" t="n"/>
      <c r="Q2231" s="7" t="n"/>
      <c r="R2231" s="7" t="n"/>
      <c r="S2231" s="8">
        <f>IF(NOT(ISNUMBER(M2231)),"",IF(G2231="Terreno",IF(AND(ISNUMBER(I2231),I2231&gt;0),M2231/I2231,""),IF(AND(ISNUMBER(H2231),H2231&gt;0),M2231/H2231,"")))</f>
        <v/>
      </c>
      <c r="T2231" s="9">
        <f>IF(AND(ISNUMBER(M2231),ISNUMBER(O2231)),IF(M2231&lt;=O2231,"Valor ≤ venal IPTU",""),"")</f>
        <v/>
      </c>
      <c r="U2231" s="10">
        <f>IF(AND(ISNUMBER(M2231),ISNUMBER(N2231)),IF(N2231&gt;0,M2231/N2231,""),"")</f>
        <v/>
      </c>
      <c r="V2231" s="10">
        <f>IF(AND(ISNUMBER(M2231),ISNUMBER(O2231)),IF(O2231&gt;0,M2231/O2231,""),"")</f>
        <v/>
      </c>
      <c r="W2231" s="10">
        <f>IF(AND(ISNUMBER(M2231),ISNUMBER(R2231)),IF(R2231&gt;0,M2231/R2231,""),"")</f>
        <v/>
      </c>
      <c r="X2231" s="10">
        <f>IF(AND(ISNUMBER(Q2231),ISNUMBER(M2231)),IF(M2231&gt;0,Q2231/M2231,""),"")</f>
        <v/>
      </c>
      <c r="Y2231" s="11">
        <f>IF(ISNUMBER(Z2231),YEAR(Z2231),"")</f>
        <v/>
      </c>
      <c r="Z2231" s="12" t="n"/>
      <c r="AA2231" s="12" t="n"/>
      <c r="AI2231" s="12" t="n"/>
      <c r="AJ2231" s="13">
        <f>IF(LEN(TRIM(AF2231))=0,"",HYPERLINK("https://www.google.com/maps/@?api=1&amp;map_action=pano&amp;viewpoint="&amp;SUBSTITUTE(AF2231," ",""),"Abrir Street View"))</f>
        <v/>
      </c>
    </row>
    <row r="2232">
      <c r="H2232" s="6" t="n"/>
      <c r="I2232" s="6" t="n"/>
      <c r="M2232" s="7" t="n"/>
      <c r="N2232" s="7" t="n"/>
      <c r="O2232" s="7" t="n"/>
      <c r="Q2232" s="7" t="n"/>
      <c r="R2232" s="7" t="n"/>
      <c r="S2232" s="8">
        <f>IF(NOT(ISNUMBER(M2232)),"",IF(G2232="Terreno",IF(AND(ISNUMBER(I2232),I2232&gt;0),M2232/I2232,""),IF(AND(ISNUMBER(H2232),H2232&gt;0),M2232/H2232,"")))</f>
        <v/>
      </c>
      <c r="T2232" s="9">
        <f>IF(AND(ISNUMBER(M2232),ISNUMBER(O2232)),IF(M2232&lt;=O2232,"Valor ≤ venal IPTU",""),"")</f>
        <v/>
      </c>
      <c r="U2232" s="10">
        <f>IF(AND(ISNUMBER(M2232),ISNUMBER(N2232)),IF(N2232&gt;0,M2232/N2232,""),"")</f>
        <v/>
      </c>
      <c r="V2232" s="10">
        <f>IF(AND(ISNUMBER(M2232),ISNUMBER(O2232)),IF(O2232&gt;0,M2232/O2232,""),"")</f>
        <v/>
      </c>
      <c r="W2232" s="10">
        <f>IF(AND(ISNUMBER(M2232),ISNUMBER(R2232)),IF(R2232&gt;0,M2232/R2232,""),"")</f>
        <v/>
      </c>
      <c r="X2232" s="10">
        <f>IF(AND(ISNUMBER(Q2232),ISNUMBER(M2232)),IF(M2232&gt;0,Q2232/M2232,""),"")</f>
        <v/>
      </c>
      <c r="Y2232" s="11">
        <f>IF(ISNUMBER(Z2232),YEAR(Z2232),"")</f>
        <v/>
      </c>
      <c r="Z2232" s="12" t="n"/>
      <c r="AA2232" s="12" t="n"/>
      <c r="AI2232" s="12" t="n"/>
      <c r="AJ2232" s="13">
        <f>IF(LEN(TRIM(AF2232))=0,"",HYPERLINK("https://www.google.com/maps/@?api=1&amp;map_action=pano&amp;viewpoint="&amp;SUBSTITUTE(AF2232," ",""),"Abrir Street View"))</f>
        <v/>
      </c>
    </row>
    <row r="2233">
      <c r="H2233" s="6" t="n"/>
      <c r="I2233" s="6" t="n"/>
      <c r="M2233" s="7" t="n"/>
      <c r="N2233" s="7" t="n"/>
      <c r="O2233" s="7" t="n"/>
      <c r="Q2233" s="7" t="n"/>
      <c r="R2233" s="7" t="n"/>
      <c r="S2233" s="8">
        <f>IF(NOT(ISNUMBER(M2233)),"",IF(G2233="Terreno",IF(AND(ISNUMBER(I2233),I2233&gt;0),M2233/I2233,""),IF(AND(ISNUMBER(H2233),H2233&gt;0),M2233/H2233,"")))</f>
        <v/>
      </c>
      <c r="T2233" s="9">
        <f>IF(AND(ISNUMBER(M2233),ISNUMBER(O2233)),IF(M2233&lt;=O2233,"Valor ≤ venal IPTU",""),"")</f>
        <v/>
      </c>
      <c r="U2233" s="10">
        <f>IF(AND(ISNUMBER(M2233),ISNUMBER(N2233)),IF(N2233&gt;0,M2233/N2233,""),"")</f>
        <v/>
      </c>
      <c r="V2233" s="10">
        <f>IF(AND(ISNUMBER(M2233),ISNUMBER(O2233)),IF(O2233&gt;0,M2233/O2233,""),"")</f>
        <v/>
      </c>
      <c r="W2233" s="10">
        <f>IF(AND(ISNUMBER(M2233),ISNUMBER(R2233)),IF(R2233&gt;0,M2233/R2233,""),"")</f>
        <v/>
      </c>
      <c r="X2233" s="10">
        <f>IF(AND(ISNUMBER(Q2233),ISNUMBER(M2233)),IF(M2233&gt;0,Q2233/M2233,""),"")</f>
        <v/>
      </c>
      <c r="Y2233" s="11">
        <f>IF(ISNUMBER(Z2233),YEAR(Z2233),"")</f>
        <v/>
      </c>
      <c r="Z2233" s="12" t="n"/>
      <c r="AA2233" s="12" t="n"/>
      <c r="AI2233" s="12" t="n"/>
      <c r="AJ2233" s="13">
        <f>IF(LEN(TRIM(AF2233))=0,"",HYPERLINK("https://www.google.com/maps/@?api=1&amp;map_action=pano&amp;viewpoint="&amp;SUBSTITUTE(AF2233," ",""),"Abrir Street View"))</f>
        <v/>
      </c>
    </row>
    <row r="2234">
      <c r="H2234" s="6" t="n"/>
      <c r="I2234" s="6" t="n"/>
      <c r="M2234" s="7" t="n"/>
      <c r="N2234" s="7" t="n"/>
      <c r="O2234" s="7" t="n"/>
      <c r="Q2234" s="7" t="n"/>
      <c r="R2234" s="7" t="n"/>
      <c r="S2234" s="8">
        <f>IF(NOT(ISNUMBER(M2234)),"",IF(G2234="Terreno",IF(AND(ISNUMBER(I2234),I2234&gt;0),M2234/I2234,""),IF(AND(ISNUMBER(H2234),H2234&gt;0),M2234/H2234,"")))</f>
        <v/>
      </c>
      <c r="T2234" s="9">
        <f>IF(AND(ISNUMBER(M2234),ISNUMBER(O2234)),IF(M2234&lt;=O2234,"Valor ≤ venal IPTU",""),"")</f>
        <v/>
      </c>
      <c r="U2234" s="10">
        <f>IF(AND(ISNUMBER(M2234),ISNUMBER(N2234)),IF(N2234&gt;0,M2234/N2234,""),"")</f>
        <v/>
      </c>
      <c r="V2234" s="10">
        <f>IF(AND(ISNUMBER(M2234),ISNUMBER(O2234)),IF(O2234&gt;0,M2234/O2234,""),"")</f>
        <v/>
      </c>
      <c r="W2234" s="10">
        <f>IF(AND(ISNUMBER(M2234),ISNUMBER(R2234)),IF(R2234&gt;0,M2234/R2234,""),"")</f>
        <v/>
      </c>
      <c r="X2234" s="10">
        <f>IF(AND(ISNUMBER(Q2234),ISNUMBER(M2234)),IF(M2234&gt;0,Q2234/M2234,""),"")</f>
        <v/>
      </c>
      <c r="Y2234" s="11">
        <f>IF(ISNUMBER(Z2234),YEAR(Z2234),"")</f>
        <v/>
      </c>
      <c r="Z2234" s="12" t="n"/>
      <c r="AA2234" s="12" t="n"/>
      <c r="AI2234" s="12" t="n"/>
      <c r="AJ2234" s="13">
        <f>IF(LEN(TRIM(AF2234))=0,"",HYPERLINK("https://www.google.com/maps/@?api=1&amp;map_action=pano&amp;viewpoint="&amp;SUBSTITUTE(AF2234," ",""),"Abrir Street View"))</f>
        <v/>
      </c>
    </row>
    <row r="2235">
      <c r="H2235" s="6" t="n"/>
      <c r="I2235" s="6" t="n"/>
      <c r="M2235" s="7" t="n"/>
      <c r="N2235" s="7" t="n"/>
      <c r="O2235" s="7" t="n"/>
      <c r="Q2235" s="7" t="n"/>
      <c r="R2235" s="7" t="n"/>
      <c r="S2235" s="8">
        <f>IF(NOT(ISNUMBER(M2235)),"",IF(G2235="Terreno",IF(AND(ISNUMBER(I2235),I2235&gt;0),M2235/I2235,""),IF(AND(ISNUMBER(H2235),H2235&gt;0),M2235/H2235,"")))</f>
        <v/>
      </c>
      <c r="T2235" s="9">
        <f>IF(AND(ISNUMBER(M2235),ISNUMBER(O2235)),IF(M2235&lt;=O2235,"Valor ≤ venal IPTU",""),"")</f>
        <v/>
      </c>
      <c r="U2235" s="10">
        <f>IF(AND(ISNUMBER(M2235),ISNUMBER(N2235)),IF(N2235&gt;0,M2235/N2235,""),"")</f>
        <v/>
      </c>
      <c r="V2235" s="10">
        <f>IF(AND(ISNUMBER(M2235),ISNUMBER(O2235)),IF(O2235&gt;0,M2235/O2235,""),"")</f>
        <v/>
      </c>
      <c r="W2235" s="10">
        <f>IF(AND(ISNUMBER(M2235),ISNUMBER(R2235)),IF(R2235&gt;0,M2235/R2235,""),"")</f>
        <v/>
      </c>
      <c r="X2235" s="10">
        <f>IF(AND(ISNUMBER(Q2235),ISNUMBER(M2235)),IF(M2235&gt;0,Q2235/M2235,""),"")</f>
        <v/>
      </c>
      <c r="Y2235" s="11">
        <f>IF(ISNUMBER(Z2235),YEAR(Z2235),"")</f>
        <v/>
      </c>
      <c r="Z2235" s="12" t="n"/>
      <c r="AA2235" s="12" t="n"/>
      <c r="AI2235" s="12" t="n"/>
      <c r="AJ2235" s="13">
        <f>IF(LEN(TRIM(AF2235))=0,"",HYPERLINK("https://www.google.com/maps/@?api=1&amp;map_action=pano&amp;viewpoint="&amp;SUBSTITUTE(AF2235," ",""),"Abrir Street View"))</f>
        <v/>
      </c>
    </row>
    <row r="2236">
      <c r="H2236" s="6" t="n"/>
      <c r="I2236" s="6" t="n"/>
      <c r="M2236" s="7" t="n"/>
      <c r="N2236" s="7" t="n"/>
      <c r="O2236" s="7" t="n"/>
      <c r="Q2236" s="7" t="n"/>
      <c r="R2236" s="7" t="n"/>
      <c r="S2236" s="8">
        <f>IF(NOT(ISNUMBER(M2236)),"",IF(G2236="Terreno",IF(AND(ISNUMBER(I2236),I2236&gt;0),M2236/I2236,""),IF(AND(ISNUMBER(H2236),H2236&gt;0),M2236/H2236,"")))</f>
        <v/>
      </c>
      <c r="T2236" s="9">
        <f>IF(AND(ISNUMBER(M2236),ISNUMBER(O2236)),IF(M2236&lt;=O2236,"Valor ≤ venal IPTU",""),"")</f>
        <v/>
      </c>
      <c r="U2236" s="10">
        <f>IF(AND(ISNUMBER(M2236),ISNUMBER(N2236)),IF(N2236&gt;0,M2236/N2236,""),"")</f>
        <v/>
      </c>
      <c r="V2236" s="10">
        <f>IF(AND(ISNUMBER(M2236),ISNUMBER(O2236)),IF(O2236&gt;0,M2236/O2236,""),"")</f>
        <v/>
      </c>
      <c r="W2236" s="10">
        <f>IF(AND(ISNUMBER(M2236),ISNUMBER(R2236)),IF(R2236&gt;0,M2236/R2236,""),"")</f>
        <v/>
      </c>
      <c r="X2236" s="10">
        <f>IF(AND(ISNUMBER(Q2236),ISNUMBER(M2236)),IF(M2236&gt;0,Q2236/M2236,""),"")</f>
        <v/>
      </c>
      <c r="Y2236" s="11">
        <f>IF(ISNUMBER(Z2236),YEAR(Z2236),"")</f>
        <v/>
      </c>
      <c r="Z2236" s="12" t="n"/>
      <c r="AA2236" s="12" t="n"/>
      <c r="AI2236" s="12" t="n"/>
      <c r="AJ2236" s="13">
        <f>IF(LEN(TRIM(AF2236))=0,"",HYPERLINK("https://www.google.com/maps/@?api=1&amp;map_action=pano&amp;viewpoint="&amp;SUBSTITUTE(AF2236," ",""),"Abrir Street View"))</f>
        <v/>
      </c>
    </row>
    <row r="2237">
      <c r="H2237" s="6" t="n"/>
      <c r="I2237" s="6" t="n"/>
      <c r="M2237" s="7" t="n"/>
      <c r="N2237" s="7" t="n"/>
      <c r="O2237" s="7" t="n"/>
      <c r="Q2237" s="7" t="n"/>
      <c r="R2237" s="7" t="n"/>
      <c r="S2237" s="8">
        <f>IF(NOT(ISNUMBER(M2237)),"",IF(G2237="Terreno",IF(AND(ISNUMBER(I2237),I2237&gt;0),M2237/I2237,""),IF(AND(ISNUMBER(H2237),H2237&gt;0),M2237/H2237,"")))</f>
        <v/>
      </c>
      <c r="T2237" s="9">
        <f>IF(AND(ISNUMBER(M2237),ISNUMBER(O2237)),IF(M2237&lt;=O2237,"Valor ≤ venal IPTU",""),"")</f>
        <v/>
      </c>
      <c r="U2237" s="10">
        <f>IF(AND(ISNUMBER(M2237),ISNUMBER(N2237)),IF(N2237&gt;0,M2237/N2237,""),"")</f>
        <v/>
      </c>
      <c r="V2237" s="10">
        <f>IF(AND(ISNUMBER(M2237),ISNUMBER(O2237)),IF(O2237&gt;0,M2237/O2237,""),"")</f>
        <v/>
      </c>
      <c r="W2237" s="10">
        <f>IF(AND(ISNUMBER(M2237),ISNUMBER(R2237)),IF(R2237&gt;0,M2237/R2237,""),"")</f>
        <v/>
      </c>
      <c r="X2237" s="10">
        <f>IF(AND(ISNUMBER(Q2237),ISNUMBER(M2237)),IF(M2237&gt;0,Q2237/M2237,""),"")</f>
        <v/>
      </c>
      <c r="Y2237" s="11">
        <f>IF(ISNUMBER(Z2237),YEAR(Z2237),"")</f>
        <v/>
      </c>
      <c r="Z2237" s="12" t="n"/>
      <c r="AA2237" s="12" t="n"/>
      <c r="AI2237" s="12" t="n"/>
      <c r="AJ2237" s="13">
        <f>IF(LEN(TRIM(AF2237))=0,"",HYPERLINK("https://www.google.com/maps/@?api=1&amp;map_action=pano&amp;viewpoint="&amp;SUBSTITUTE(AF2237," ",""),"Abrir Street View"))</f>
        <v/>
      </c>
    </row>
    <row r="2238">
      <c r="H2238" s="6" t="n"/>
      <c r="I2238" s="6" t="n"/>
      <c r="M2238" s="7" t="n"/>
      <c r="N2238" s="7" t="n"/>
      <c r="O2238" s="7" t="n"/>
      <c r="Q2238" s="7" t="n"/>
      <c r="R2238" s="7" t="n"/>
      <c r="S2238" s="8">
        <f>IF(NOT(ISNUMBER(M2238)),"",IF(G2238="Terreno",IF(AND(ISNUMBER(I2238),I2238&gt;0),M2238/I2238,""),IF(AND(ISNUMBER(H2238),H2238&gt;0),M2238/H2238,"")))</f>
        <v/>
      </c>
      <c r="T2238" s="9">
        <f>IF(AND(ISNUMBER(M2238),ISNUMBER(O2238)),IF(M2238&lt;=O2238,"Valor ≤ venal IPTU",""),"")</f>
        <v/>
      </c>
      <c r="U2238" s="10">
        <f>IF(AND(ISNUMBER(M2238),ISNUMBER(N2238)),IF(N2238&gt;0,M2238/N2238,""),"")</f>
        <v/>
      </c>
      <c r="V2238" s="10">
        <f>IF(AND(ISNUMBER(M2238),ISNUMBER(O2238)),IF(O2238&gt;0,M2238/O2238,""),"")</f>
        <v/>
      </c>
      <c r="W2238" s="10">
        <f>IF(AND(ISNUMBER(M2238),ISNUMBER(R2238)),IF(R2238&gt;0,M2238/R2238,""),"")</f>
        <v/>
      </c>
      <c r="X2238" s="10">
        <f>IF(AND(ISNUMBER(Q2238),ISNUMBER(M2238)),IF(M2238&gt;0,Q2238/M2238,""),"")</f>
        <v/>
      </c>
      <c r="Y2238" s="11">
        <f>IF(ISNUMBER(Z2238),YEAR(Z2238),"")</f>
        <v/>
      </c>
      <c r="Z2238" s="12" t="n"/>
      <c r="AA2238" s="12" t="n"/>
      <c r="AI2238" s="12" t="n"/>
      <c r="AJ2238" s="13">
        <f>IF(LEN(TRIM(AF2238))=0,"",HYPERLINK("https://www.google.com/maps/@?api=1&amp;map_action=pano&amp;viewpoint="&amp;SUBSTITUTE(AF2238," ",""),"Abrir Street View"))</f>
        <v/>
      </c>
    </row>
    <row r="2239">
      <c r="H2239" s="6" t="n"/>
      <c r="I2239" s="6" t="n"/>
      <c r="M2239" s="7" t="n"/>
      <c r="N2239" s="7" t="n"/>
      <c r="O2239" s="7" t="n"/>
      <c r="Q2239" s="7" t="n"/>
      <c r="R2239" s="7" t="n"/>
      <c r="S2239" s="8">
        <f>IF(NOT(ISNUMBER(M2239)),"",IF(G2239="Terreno",IF(AND(ISNUMBER(I2239),I2239&gt;0),M2239/I2239,""),IF(AND(ISNUMBER(H2239),H2239&gt;0),M2239/H2239,"")))</f>
        <v/>
      </c>
      <c r="T2239" s="9">
        <f>IF(AND(ISNUMBER(M2239),ISNUMBER(O2239)),IF(M2239&lt;=O2239,"Valor ≤ venal IPTU",""),"")</f>
        <v/>
      </c>
      <c r="U2239" s="10">
        <f>IF(AND(ISNUMBER(M2239),ISNUMBER(N2239)),IF(N2239&gt;0,M2239/N2239,""),"")</f>
        <v/>
      </c>
      <c r="V2239" s="10">
        <f>IF(AND(ISNUMBER(M2239),ISNUMBER(O2239)),IF(O2239&gt;0,M2239/O2239,""),"")</f>
        <v/>
      </c>
      <c r="W2239" s="10">
        <f>IF(AND(ISNUMBER(M2239),ISNUMBER(R2239)),IF(R2239&gt;0,M2239/R2239,""),"")</f>
        <v/>
      </c>
      <c r="X2239" s="10">
        <f>IF(AND(ISNUMBER(Q2239),ISNUMBER(M2239)),IF(M2239&gt;0,Q2239/M2239,""),"")</f>
        <v/>
      </c>
      <c r="Y2239" s="11">
        <f>IF(ISNUMBER(Z2239),YEAR(Z2239),"")</f>
        <v/>
      </c>
      <c r="Z2239" s="12" t="n"/>
      <c r="AA2239" s="12" t="n"/>
      <c r="AI2239" s="12" t="n"/>
      <c r="AJ2239" s="13">
        <f>IF(LEN(TRIM(AF2239))=0,"",HYPERLINK("https://www.google.com/maps/@?api=1&amp;map_action=pano&amp;viewpoint="&amp;SUBSTITUTE(AF2239," ",""),"Abrir Street View"))</f>
        <v/>
      </c>
    </row>
    <row r="2240">
      <c r="H2240" s="6" t="n"/>
      <c r="I2240" s="6" t="n"/>
      <c r="M2240" s="7" t="n"/>
      <c r="N2240" s="7" t="n"/>
      <c r="O2240" s="7" t="n"/>
      <c r="Q2240" s="7" t="n"/>
      <c r="R2240" s="7" t="n"/>
      <c r="S2240" s="8">
        <f>IF(NOT(ISNUMBER(M2240)),"",IF(G2240="Terreno",IF(AND(ISNUMBER(I2240),I2240&gt;0),M2240/I2240,""),IF(AND(ISNUMBER(H2240),H2240&gt;0),M2240/H2240,"")))</f>
        <v/>
      </c>
      <c r="T2240" s="9">
        <f>IF(AND(ISNUMBER(M2240),ISNUMBER(O2240)),IF(M2240&lt;=O2240,"Valor ≤ venal IPTU",""),"")</f>
        <v/>
      </c>
      <c r="U2240" s="10">
        <f>IF(AND(ISNUMBER(M2240),ISNUMBER(N2240)),IF(N2240&gt;0,M2240/N2240,""),"")</f>
        <v/>
      </c>
      <c r="V2240" s="10">
        <f>IF(AND(ISNUMBER(M2240),ISNUMBER(O2240)),IF(O2240&gt;0,M2240/O2240,""),"")</f>
        <v/>
      </c>
      <c r="W2240" s="10">
        <f>IF(AND(ISNUMBER(M2240),ISNUMBER(R2240)),IF(R2240&gt;0,M2240/R2240,""),"")</f>
        <v/>
      </c>
      <c r="X2240" s="10">
        <f>IF(AND(ISNUMBER(Q2240),ISNUMBER(M2240)),IF(M2240&gt;0,Q2240/M2240,""),"")</f>
        <v/>
      </c>
      <c r="Y2240" s="11">
        <f>IF(ISNUMBER(Z2240),YEAR(Z2240),"")</f>
        <v/>
      </c>
      <c r="Z2240" s="12" t="n"/>
      <c r="AA2240" s="12" t="n"/>
      <c r="AI2240" s="12" t="n"/>
      <c r="AJ2240" s="13">
        <f>IF(LEN(TRIM(AF2240))=0,"",HYPERLINK("https://www.google.com/maps/@?api=1&amp;map_action=pano&amp;viewpoint="&amp;SUBSTITUTE(AF2240," ",""),"Abrir Street View"))</f>
        <v/>
      </c>
    </row>
    <row r="2241">
      <c r="H2241" s="6" t="n"/>
      <c r="I2241" s="6" t="n"/>
      <c r="M2241" s="7" t="n"/>
      <c r="N2241" s="7" t="n"/>
      <c r="O2241" s="7" t="n"/>
      <c r="Q2241" s="7" t="n"/>
      <c r="R2241" s="7" t="n"/>
      <c r="S2241" s="8">
        <f>IF(NOT(ISNUMBER(M2241)),"",IF(G2241="Terreno",IF(AND(ISNUMBER(I2241),I2241&gt;0),M2241/I2241,""),IF(AND(ISNUMBER(H2241),H2241&gt;0),M2241/H2241,"")))</f>
        <v/>
      </c>
      <c r="T2241" s="9">
        <f>IF(AND(ISNUMBER(M2241),ISNUMBER(O2241)),IF(M2241&lt;=O2241,"Valor ≤ venal IPTU",""),"")</f>
        <v/>
      </c>
      <c r="U2241" s="10">
        <f>IF(AND(ISNUMBER(M2241),ISNUMBER(N2241)),IF(N2241&gt;0,M2241/N2241,""),"")</f>
        <v/>
      </c>
      <c r="V2241" s="10">
        <f>IF(AND(ISNUMBER(M2241),ISNUMBER(O2241)),IF(O2241&gt;0,M2241/O2241,""),"")</f>
        <v/>
      </c>
      <c r="W2241" s="10">
        <f>IF(AND(ISNUMBER(M2241),ISNUMBER(R2241)),IF(R2241&gt;0,M2241/R2241,""),"")</f>
        <v/>
      </c>
      <c r="X2241" s="10">
        <f>IF(AND(ISNUMBER(Q2241),ISNUMBER(M2241)),IF(M2241&gt;0,Q2241/M2241,""),"")</f>
        <v/>
      </c>
      <c r="Y2241" s="11">
        <f>IF(ISNUMBER(Z2241),YEAR(Z2241),"")</f>
        <v/>
      </c>
      <c r="Z2241" s="12" t="n"/>
      <c r="AA2241" s="12" t="n"/>
      <c r="AI2241" s="12" t="n"/>
      <c r="AJ2241" s="13">
        <f>IF(LEN(TRIM(AF2241))=0,"",HYPERLINK("https://www.google.com/maps/@?api=1&amp;map_action=pano&amp;viewpoint="&amp;SUBSTITUTE(AF2241," ",""),"Abrir Street View"))</f>
        <v/>
      </c>
    </row>
    <row r="2242">
      <c r="H2242" s="6" t="n"/>
      <c r="I2242" s="6" t="n"/>
      <c r="M2242" s="7" t="n"/>
      <c r="N2242" s="7" t="n"/>
      <c r="O2242" s="7" t="n"/>
      <c r="Q2242" s="7" t="n"/>
      <c r="R2242" s="7" t="n"/>
      <c r="S2242" s="8">
        <f>IF(NOT(ISNUMBER(M2242)),"",IF(G2242="Terreno",IF(AND(ISNUMBER(I2242),I2242&gt;0),M2242/I2242,""),IF(AND(ISNUMBER(H2242),H2242&gt;0),M2242/H2242,"")))</f>
        <v/>
      </c>
      <c r="T2242" s="9">
        <f>IF(AND(ISNUMBER(M2242),ISNUMBER(O2242)),IF(M2242&lt;=O2242,"Valor ≤ venal IPTU",""),"")</f>
        <v/>
      </c>
      <c r="U2242" s="10">
        <f>IF(AND(ISNUMBER(M2242),ISNUMBER(N2242)),IF(N2242&gt;0,M2242/N2242,""),"")</f>
        <v/>
      </c>
      <c r="V2242" s="10">
        <f>IF(AND(ISNUMBER(M2242),ISNUMBER(O2242)),IF(O2242&gt;0,M2242/O2242,""),"")</f>
        <v/>
      </c>
      <c r="W2242" s="10">
        <f>IF(AND(ISNUMBER(M2242),ISNUMBER(R2242)),IF(R2242&gt;0,M2242/R2242,""),"")</f>
        <v/>
      </c>
      <c r="X2242" s="10">
        <f>IF(AND(ISNUMBER(Q2242),ISNUMBER(M2242)),IF(M2242&gt;0,Q2242/M2242,""),"")</f>
        <v/>
      </c>
      <c r="Y2242" s="11">
        <f>IF(ISNUMBER(Z2242),YEAR(Z2242),"")</f>
        <v/>
      </c>
      <c r="Z2242" s="12" t="n"/>
      <c r="AA2242" s="12" t="n"/>
      <c r="AI2242" s="12" t="n"/>
      <c r="AJ2242" s="13">
        <f>IF(LEN(TRIM(AF2242))=0,"",HYPERLINK("https://www.google.com/maps/@?api=1&amp;map_action=pano&amp;viewpoint="&amp;SUBSTITUTE(AF2242," ",""),"Abrir Street View"))</f>
        <v/>
      </c>
    </row>
    <row r="2243">
      <c r="H2243" s="6" t="n"/>
      <c r="I2243" s="6" t="n"/>
      <c r="M2243" s="7" t="n"/>
      <c r="N2243" s="7" t="n"/>
      <c r="O2243" s="7" t="n"/>
      <c r="Q2243" s="7" t="n"/>
      <c r="R2243" s="7" t="n"/>
      <c r="S2243" s="8">
        <f>IF(NOT(ISNUMBER(M2243)),"",IF(G2243="Terreno",IF(AND(ISNUMBER(I2243),I2243&gt;0),M2243/I2243,""),IF(AND(ISNUMBER(H2243),H2243&gt;0),M2243/H2243,"")))</f>
        <v/>
      </c>
      <c r="T2243" s="9">
        <f>IF(AND(ISNUMBER(M2243),ISNUMBER(O2243)),IF(M2243&lt;=O2243,"Valor ≤ venal IPTU",""),"")</f>
        <v/>
      </c>
      <c r="U2243" s="10">
        <f>IF(AND(ISNUMBER(M2243),ISNUMBER(N2243)),IF(N2243&gt;0,M2243/N2243,""),"")</f>
        <v/>
      </c>
      <c r="V2243" s="10">
        <f>IF(AND(ISNUMBER(M2243),ISNUMBER(O2243)),IF(O2243&gt;0,M2243/O2243,""),"")</f>
        <v/>
      </c>
      <c r="W2243" s="10">
        <f>IF(AND(ISNUMBER(M2243),ISNUMBER(R2243)),IF(R2243&gt;0,M2243/R2243,""),"")</f>
        <v/>
      </c>
      <c r="X2243" s="10">
        <f>IF(AND(ISNUMBER(Q2243),ISNUMBER(M2243)),IF(M2243&gt;0,Q2243/M2243,""),"")</f>
        <v/>
      </c>
      <c r="Y2243" s="11">
        <f>IF(ISNUMBER(Z2243),YEAR(Z2243),"")</f>
        <v/>
      </c>
      <c r="Z2243" s="12" t="n"/>
      <c r="AA2243" s="12" t="n"/>
      <c r="AI2243" s="12" t="n"/>
      <c r="AJ2243" s="13">
        <f>IF(LEN(TRIM(AF2243))=0,"",HYPERLINK("https://www.google.com/maps/@?api=1&amp;map_action=pano&amp;viewpoint="&amp;SUBSTITUTE(AF2243," ",""),"Abrir Street View"))</f>
        <v/>
      </c>
    </row>
    <row r="2244">
      <c r="H2244" s="6" t="n"/>
      <c r="I2244" s="6" t="n"/>
      <c r="M2244" s="7" t="n"/>
      <c r="N2244" s="7" t="n"/>
      <c r="O2244" s="7" t="n"/>
      <c r="Q2244" s="7" t="n"/>
      <c r="R2244" s="7" t="n"/>
      <c r="S2244" s="8">
        <f>IF(NOT(ISNUMBER(M2244)),"",IF(G2244="Terreno",IF(AND(ISNUMBER(I2244),I2244&gt;0),M2244/I2244,""),IF(AND(ISNUMBER(H2244),H2244&gt;0),M2244/H2244,"")))</f>
        <v/>
      </c>
      <c r="T2244" s="9">
        <f>IF(AND(ISNUMBER(M2244),ISNUMBER(O2244)),IF(M2244&lt;=O2244,"Valor ≤ venal IPTU",""),"")</f>
        <v/>
      </c>
      <c r="U2244" s="10">
        <f>IF(AND(ISNUMBER(M2244),ISNUMBER(N2244)),IF(N2244&gt;0,M2244/N2244,""),"")</f>
        <v/>
      </c>
      <c r="V2244" s="10">
        <f>IF(AND(ISNUMBER(M2244),ISNUMBER(O2244)),IF(O2244&gt;0,M2244/O2244,""),"")</f>
        <v/>
      </c>
      <c r="W2244" s="10">
        <f>IF(AND(ISNUMBER(M2244),ISNUMBER(R2244)),IF(R2244&gt;0,M2244/R2244,""),"")</f>
        <v/>
      </c>
      <c r="X2244" s="10">
        <f>IF(AND(ISNUMBER(Q2244),ISNUMBER(M2244)),IF(M2244&gt;0,Q2244/M2244,""),"")</f>
        <v/>
      </c>
      <c r="Y2244" s="11">
        <f>IF(ISNUMBER(Z2244),YEAR(Z2244),"")</f>
        <v/>
      </c>
      <c r="Z2244" s="12" t="n"/>
      <c r="AA2244" s="12" t="n"/>
      <c r="AI2244" s="12" t="n"/>
      <c r="AJ2244" s="13">
        <f>IF(LEN(TRIM(AF2244))=0,"",HYPERLINK("https://www.google.com/maps/@?api=1&amp;map_action=pano&amp;viewpoint="&amp;SUBSTITUTE(AF2244," ",""),"Abrir Street View"))</f>
        <v/>
      </c>
    </row>
    <row r="2245">
      <c r="H2245" s="6" t="n"/>
      <c r="I2245" s="6" t="n"/>
      <c r="M2245" s="7" t="n"/>
      <c r="N2245" s="7" t="n"/>
      <c r="O2245" s="7" t="n"/>
      <c r="Q2245" s="7" t="n"/>
      <c r="R2245" s="7" t="n"/>
      <c r="S2245" s="8">
        <f>IF(NOT(ISNUMBER(M2245)),"",IF(G2245="Terreno",IF(AND(ISNUMBER(I2245),I2245&gt;0),M2245/I2245,""),IF(AND(ISNUMBER(H2245),H2245&gt;0),M2245/H2245,"")))</f>
        <v/>
      </c>
      <c r="T2245" s="9">
        <f>IF(AND(ISNUMBER(M2245),ISNUMBER(O2245)),IF(M2245&lt;=O2245,"Valor ≤ venal IPTU",""),"")</f>
        <v/>
      </c>
      <c r="U2245" s="10">
        <f>IF(AND(ISNUMBER(M2245),ISNUMBER(N2245)),IF(N2245&gt;0,M2245/N2245,""),"")</f>
        <v/>
      </c>
      <c r="V2245" s="10">
        <f>IF(AND(ISNUMBER(M2245),ISNUMBER(O2245)),IF(O2245&gt;0,M2245/O2245,""),"")</f>
        <v/>
      </c>
      <c r="W2245" s="10">
        <f>IF(AND(ISNUMBER(M2245),ISNUMBER(R2245)),IF(R2245&gt;0,M2245/R2245,""),"")</f>
        <v/>
      </c>
      <c r="X2245" s="10">
        <f>IF(AND(ISNUMBER(Q2245),ISNUMBER(M2245)),IF(M2245&gt;0,Q2245/M2245,""),"")</f>
        <v/>
      </c>
      <c r="Y2245" s="11">
        <f>IF(ISNUMBER(Z2245),YEAR(Z2245),"")</f>
        <v/>
      </c>
      <c r="Z2245" s="12" t="n"/>
      <c r="AA2245" s="12" t="n"/>
      <c r="AI2245" s="12" t="n"/>
      <c r="AJ2245" s="13">
        <f>IF(LEN(TRIM(AF2245))=0,"",HYPERLINK("https://www.google.com/maps/@?api=1&amp;map_action=pano&amp;viewpoint="&amp;SUBSTITUTE(AF2245," ",""),"Abrir Street View"))</f>
        <v/>
      </c>
    </row>
    <row r="2246">
      <c r="H2246" s="6" t="n"/>
      <c r="I2246" s="6" t="n"/>
      <c r="M2246" s="7" t="n"/>
      <c r="N2246" s="7" t="n"/>
      <c r="O2246" s="7" t="n"/>
      <c r="Q2246" s="7" t="n"/>
      <c r="R2246" s="7" t="n"/>
      <c r="S2246" s="8">
        <f>IF(NOT(ISNUMBER(M2246)),"",IF(G2246="Terreno",IF(AND(ISNUMBER(I2246),I2246&gt;0),M2246/I2246,""),IF(AND(ISNUMBER(H2246),H2246&gt;0),M2246/H2246,"")))</f>
        <v/>
      </c>
      <c r="T2246" s="9">
        <f>IF(AND(ISNUMBER(M2246),ISNUMBER(O2246)),IF(M2246&lt;=O2246,"Valor ≤ venal IPTU",""),"")</f>
        <v/>
      </c>
      <c r="U2246" s="10">
        <f>IF(AND(ISNUMBER(M2246),ISNUMBER(N2246)),IF(N2246&gt;0,M2246/N2246,""),"")</f>
        <v/>
      </c>
      <c r="V2246" s="10">
        <f>IF(AND(ISNUMBER(M2246),ISNUMBER(O2246)),IF(O2246&gt;0,M2246/O2246,""),"")</f>
        <v/>
      </c>
      <c r="W2246" s="10">
        <f>IF(AND(ISNUMBER(M2246),ISNUMBER(R2246)),IF(R2246&gt;0,M2246/R2246,""),"")</f>
        <v/>
      </c>
      <c r="X2246" s="10">
        <f>IF(AND(ISNUMBER(Q2246),ISNUMBER(M2246)),IF(M2246&gt;0,Q2246/M2246,""),"")</f>
        <v/>
      </c>
      <c r="Y2246" s="11">
        <f>IF(ISNUMBER(Z2246),YEAR(Z2246),"")</f>
        <v/>
      </c>
      <c r="Z2246" s="12" t="n"/>
      <c r="AA2246" s="12" t="n"/>
      <c r="AI2246" s="12" t="n"/>
      <c r="AJ2246" s="13">
        <f>IF(LEN(TRIM(AF2246))=0,"",HYPERLINK("https://www.google.com/maps/@?api=1&amp;map_action=pano&amp;viewpoint="&amp;SUBSTITUTE(AF2246," ",""),"Abrir Street View"))</f>
        <v/>
      </c>
    </row>
    <row r="2247">
      <c r="H2247" s="6" t="n"/>
      <c r="I2247" s="6" t="n"/>
      <c r="M2247" s="7" t="n"/>
      <c r="N2247" s="7" t="n"/>
      <c r="O2247" s="7" t="n"/>
      <c r="Q2247" s="7" t="n"/>
      <c r="R2247" s="7" t="n"/>
      <c r="S2247" s="8">
        <f>IF(NOT(ISNUMBER(M2247)),"",IF(G2247="Terreno",IF(AND(ISNUMBER(I2247),I2247&gt;0),M2247/I2247,""),IF(AND(ISNUMBER(H2247),H2247&gt;0),M2247/H2247,"")))</f>
        <v/>
      </c>
      <c r="T2247" s="9">
        <f>IF(AND(ISNUMBER(M2247),ISNUMBER(O2247)),IF(M2247&lt;=O2247,"Valor ≤ venal IPTU",""),"")</f>
        <v/>
      </c>
      <c r="U2247" s="10">
        <f>IF(AND(ISNUMBER(M2247),ISNUMBER(N2247)),IF(N2247&gt;0,M2247/N2247,""),"")</f>
        <v/>
      </c>
      <c r="V2247" s="10">
        <f>IF(AND(ISNUMBER(M2247),ISNUMBER(O2247)),IF(O2247&gt;0,M2247/O2247,""),"")</f>
        <v/>
      </c>
      <c r="W2247" s="10">
        <f>IF(AND(ISNUMBER(M2247),ISNUMBER(R2247)),IF(R2247&gt;0,M2247/R2247,""),"")</f>
        <v/>
      </c>
      <c r="X2247" s="10">
        <f>IF(AND(ISNUMBER(Q2247),ISNUMBER(M2247)),IF(M2247&gt;0,Q2247/M2247,""),"")</f>
        <v/>
      </c>
      <c r="Y2247" s="11">
        <f>IF(ISNUMBER(Z2247),YEAR(Z2247),"")</f>
        <v/>
      </c>
      <c r="Z2247" s="12" t="n"/>
      <c r="AA2247" s="12" t="n"/>
      <c r="AI2247" s="12" t="n"/>
      <c r="AJ2247" s="13">
        <f>IF(LEN(TRIM(AF2247))=0,"",HYPERLINK("https://www.google.com/maps/@?api=1&amp;map_action=pano&amp;viewpoint="&amp;SUBSTITUTE(AF2247," ",""),"Abrir Street View"))</f>
        <v/>
      </c>
    </row>
    <row r="2248">
      <c r="H2248" s="6" t="n"/>
      <c r="I2248" s="6" t="n"/>
      <c r="M2248" s="7" t="n"/>
      <c r="N2248" s="7" t="n"/>
      <c r="O2248" s="7" t="n"/>
      <c r="Q2248" s="7" t="n"/>
      <c r="R2248" s="7" t="n"/>
      <c r="S2248" s="8">
        <f>IF(NOT(ISNUMBER(M2248)),"",IF(G2248="Terreno",IF(AND(ISNUMBER(I2248),I2248&gt;0),M2248/I2248,""),IF(AND(ISNUMBER(H2248),H2248&gt;0),M2248/H2248,"")))</f>
        <v/>
      </c>
      <c r="T2248" s="9">
        <f>IF(AND(ISNUMBER(M2248),ISNUMBER(O2248)),IF(M2248&lt;=O2248,"Valor ≤ venal IPTU",""),"")</f>
        <v/>
      </c>
      <c r="U2248" s="10">
        <f>IF(AND(ISNUMBER(M2248),ISNUMBER(N2248)),IF(N2248&gt;0,M2248/N2248,""),"")</f>
        <v/>
      </c>
      <c r="V2248" s="10">
        <f>IF(AND(ISNUMBER(M2248),ISNUMBER(O2248)),IF(O2248&gt;0,M2248/O2248,""),"")</f>
        <v/>
      </c>
      <c r="W2248" s="10">
        <f>IF(AND(ISNUMBER(M2248),ISNUMBER(R2248)),IF(R2248&gt;0,M2248/R2248,""),"")</f>
        <v/>
      </c>
      <c r="X2248" s="10">
        <f>IF(AND(ISNUMBER(Q2248),ISNUMBER(M2248)),IF(M2248&gt;0,Q2248/M2248,""),"")</f>
        <v/>
      </c>
      <c r="Y2248" s="11">
        <f>IF(ISNUMBER(Z2248),YEAR(Z2248),"")</f>
        <v/>
      </c>
      <c r="Z2248" s="12" t="n"/>
      <c r="AA2248" s="12" t="n"/>
      <c r="AI2248" s="12" t="n"/>
      <c r="AJ2248" s="13">
        <f>IF(LEN(TRIM(AF2248))=0,"",HYPERLINK("https://www.google.com/maps/@?api=1&amp;map_action=pano&amp;viewpoint="&amp;SUBSTITUTE(AF2248," ",""),"Abrir Street View"))</f>
        <v/>
      </c>
    </row>
    <row r="2249">
      <c r="H2249" s="6" t="n"/>
      <c r="I2249" s="6" t="n"/>
      <c r="M2249" s="7" t="n"/>
      <c r="N2249" s="7" t="n"/>
      <c r="O2249" s="7" t="n"/>
      <c r="Q2249" s="7" t="n"/>
      <c r="R2249" s="7" t="n"/>
      <c r="S2249" s="8">
        <f>IF(NOT(ISNUMBER(M2249)),"",IF(G2249="Terreno",IF(AND(ISNUMBER(I2249),I2249&gt;0),M2249/I2249,""),IF(AND(ISNUMBER(H2249),H2249&gt;0),M2249/H2249,"")))</f>
        <v/>
      </c>
      <c r="T2249" s="9">
        <f>IF(AND(ISNUMBER(M2249),ISNUMBER(O2249)),IF(M2249&lt;=O2249,"Valor ≤ venal IPTU",""),"")</f>
        <v/>
      </c>
      <c r="U2249" s="10">
        <f>IF(AND(ISNUMBER(M2249),ISNUMBER(N2249)),IF(N2249&gt;0,M2249/N2249,""),"")</f>
        <v/>
      </c>
      <c r="V2249" s="10">
        <f>IF(AND(ISNUMBER(M2249),ISNUMBER(O2249)),IF(O2249&gt;0,M2249/O2249,""),"")</f>
        <v/>
      </c>
      <c r="W2249" s="10">
        <f>IF(AND(ISNUMBER(M2249),ISNUMBER(R2249)),IF(R2249&gt;0,M2249/R2249,""),"")</f>
        <v/>
      </c>
      <c r="X2249" s="10">
        <f>IF(AND(ISNUMBER(Q2249),ISNUMBER(M2249)),IF(M2249&gt;0,Q2249/M2249,""),"")</f>
        <v/>
      </c>
      <c r="Y2249" s="11">
        <f>IF(ISNUMBER(Z2249),YEAR(Z2249),"")</f>
        <v/>
      </c>
      <c r="Z2249" s="12" t="n"/>
      <c r="AA2249" s="12" t="n"/>
      <c r="AI2249" s="12" t="n"/>
      <c r="AJ2249" s="13">
        <f>IF(LEN(TRIM(AF2249))=0,"",HYPERLINK("https://www.google.com/maps/@?api=1&amp;map_action=pano&amp;viewpoint="&amp;SUBSTITUTE(AF2249," ",""),"Abrir Street View"))</f>
        <v/>
      </c>
    </row>
    <row r="2250">
      <c r="H2250" s="6" t="n"/>
      <c r="I2250" s="6" t="n"/>
      <c r="M2250" s="7" t="n"/>
      <c r="N2250" s="7" t="n"/>
      <c r="O2250" s="7" t="n"/>
      <c r="Q2250" s="7" t="n"/>
      <c r="R2250" s="7" t="n"/>
      <c r="S2250" s="8">
        <f>IF(NOT(ISNUMBER(M2250)),"",IF(G2250="Terreno",IF(AND(ISNUMBER(I2250),I2250&gt;0),M2250/I2250,""),IF(AND(ISNUMBER(H2250),H2250&gt;0),M2250/H2250,"")))</f>
        <v/>
      </c>
      <c r="T2250" s="9">
        <f>IF(AND(ISNUMBER(M2250),ISNUMBER(O2250)),IF(M2250&lt;=O2250,"Valor ≤ venal IPTU",""),"")</f>
        <v/>
      </c>
      <c r="U2250" s="10">
        <f>IF(AND(ISNUMBER(M2250),ISNUMBER(N2250)),IF(N2250&gt;0,M2250/N2250,""),"")</f>
        <v/>
      </c>
      <c r="V2250" s="10">
        <f>IF(AND(ISNUMBER(M2250),ISNUMBER(O2250)),IF(O2250&gt;0,M2250/O2250,""),"")</f>
        <v/>
      </c>
      <c r="W2250" s="10">
        <f>IF(AND(ISNUMBER(M2250),ISNUMBER(R2250)),IF(R2250&gt;0,M2250/R2250,""),"")</f>
        <v/>
      </c>
      <c r="X2250" s="10">
        <f>IF(AND(ISNUMBER(Q2250),ISNUMBER(M2250)),IF(M2250&gt;0,Q2250/M2250,""),"")</f>
        <v/>
      </c>
      <c r="Y2250" s="11">
        <f>IF(ISNUMBER(Z2250),YEAR(Z2250),"")</f>
        <v/>
      </c>
      <c r="Z2250" s="12" t="n"/>
      <c r="AA2250" s="12" t="n"/>
      <c r="AI2250" s="12" t="n"/>
      <c r="AJ2250" s="13">
        <f>IF(LEN(TRIM(AF2250))=0,"",HYPERLINK("https://www.google.com/maps/@?api=1&amp;map_action=pano&amp;viewpoint="&amp;SUBSTITUTE(AF2250," ",""),"Abrir Street View"))</f>
        <v/>
      </c>
    </row>
    <row r="2251">
      <c r="H2251" s="6" t="n"/>
      <c r="I2251" s="6" t="n"/>
      <c r="M2251" s="7" t="n"/>
      <c r="N2251" s="7" t="n"/>
      <c r="O2251" s="7" t="n"/>
      <c r="Q2251" s="7" t="n"/>
      <c r="R2251" s="7" t="n"/>
      <c r="S2251" s="8">
        <f>IF(NOT(ISNUMBER(M2251)),"",IF(G2251="Terreno",IF(AND(ISNUMBER(I2251),I2251&gt;0),M2251/I2251,""),IF(AND(ISNUMBER(H2251),H2251&gt;0),M2251/H2251,"")))</f>
        <v/>
      </c>
      <c r="T2251" s="9">
        <f>IF(AND(ISNUMBER(M2251),ISNUMBER(O2251)),IF(M2251&lt;=O2251,"Valor ≤ venal IPTU",""),"")</f>
        <v/>
      </c>
      <c r="U2251" s="10">
        <f>IF(AND(ISNUMBER(M2251),ISNUMBER(N2251)),IF(N2251&gt;0,M2251/N2251,""),"")</f>
        <v/>
      </c>
      <c r="V2251" s="10">
        <f>IF(AND(ISNUMBER(M2251),ISNUMBER(O2251)),IF(O2251&gt;0,M2251/O2251,""),"")</f>
        <v/>
      </c>
      <c r="W2251" s="10">
        <f>IF(AND(ISNUMBER(M2251),ISNUMBER(R2251)),IF(R2251&gt;0,M2251/R2251,""),"")</f>
        <v/>
      </c>
      <c r="X2251" s="10">
        <f>IF(AND(ISNUMBER(Q2251),ISNUMBER(M2251)),IF(M2251&gt;0,Q2251/M2251,""),"")</f>
        <v/>
      </c>
      <c r="Y2251" s="11">
        <f>IF(ISNUMBER(Z2251),YEAR(Z2251),"")</f>
        <v/>
      </c>
      <c r="Z2251" s="12" t="n"/>
      <c r="AA2251" s="12" t="n"/>
      <c r="AI2251" s="12" t="n"/>
      <c r="AJ2251" s="13">
        <f>IF(LEN(TRIM(AF2251))=0,"",HYPERLINK("https://www.google.com/maps/@?api=1&amp;map_action=pano&amp;viewpoint="&amp;SUBSTITUTE(AF2251," ",""),"Abrir Street View"))</f>
        <v/>
      </c>
    </row>
    <row r="2252">
      <c r="H2252" s="6" t="n"/>
      <c r="I2252" s="6" t="n"/>
      <c r="M2252" s="7" t="n"/>
      <c r="N2252" s="7" t="n"/>
      <c r="O2252" s="7" t="n"/>
      <c r="Q2252" s="7" t="n"/>
      <c r="R2252" s="7" t="n"/>
      <c r="S2252" s="8">
        <f>IF(NOT(ISNUMBER(M2252)),"",IF(G2252="Terreno",IF(AND(ISNUMBER(I2252),I2252&gt;0),M2252/I2252,""),IF(AND(ISNUMBER(H2252),H2252&gt;0),M2252/H2252,"")))</f>
        <v/>
      </c>
      <c r="T2252" s="9">
        <f>IF(AND(ISNUMBER(M2252),ISNUMBER(O2252)),IF(M2252&lt;=O2252,"Valor ≤ venal IPTU",""),"")</f>
        <v/>
      </c>
      <c r="U2252" s="10">
        <f>IF(AND(ISNUMBER(M2252),ISNUMBER(N2252)),IF(N2252&gt;0,M2252/N2252,""),"")</f>
        <v/>
      </c>
      <c r="V2252" s="10">
        <f>IF(AND(ISNUMBER(M2252),ISNUMBER(O2252)),IF(O2252&gt;0,M2252/O2252,""),"")</f>
        <v/>
      </c>
      <c r="W2252" s="10">
        <f>IF(AND(ISNUMBER(M2252),ISNUMBER(R2252)),IF(R2252&gt;0,M2252/R2252,""),"")</f>
        <v/>
      </c>
      <c r="X2252" s="10">
        <f>IF(AND(ISNUMBER(Q2252),ISNUMBER(M2252)),IF(M2252&gt;0,Q2252/M2252,""),"")</f>
        <v/>
      </c>
      <c r="Y2252" s="11">
        <f>IF(ISNUMBER(Z2252),YEAR(Z2252),"")</f>
        <v/>
      </c>
      <c r="Z2252" s="12" t="n"/>
      <c r="AA2252" s="12" t="n"/>
      <c r="AI2252" s="12" t="n"/>
      <c r="AJ2252" s="13">
        <f>IF(LEN(TRIM(AF2252))=0,"",HYPERLINK("https://www.google.com/maps/@?api=1&amp;map_action=pano&amp;viewpoint="&amp;SUBSTITUTE(AF2252," ",""),"Abrir Street View"))</f>
        <v/>
      </c>
    </row>
    <row r="2253">
      <c r="H2253" s="6" t="n"/>
      <c r="I2253" s="6" t="n"/>
      <c r="M2253" s="7" t="n"/>
      <c r="N2253" s="7" t="n"/>
      <c r="O2253" s="7" t="n"/>
      <c r="Q2253" s="7" t="n"/>
      <c r="R2253" s="7" t="n"/>
      <c r="S2253" s="8">
        <f>IF(NOT(ISNUMBER(M2253)),"",IF(G2253="Terreno",IF(AND(ISNUMBER(I2253),I2253&gt;0),M2253/I2253,""),IF(AND(ISNUMBER(H2253),H2253&gt;0),M2253/H2253,"")))</f>
        <v/>
      </c>
      <c r="T2253" s="9">
        <f>IF(AND(ISNUMBER(M2253),ISNUMBER(O2253)),IF(M2253&lt;=O2253,"Valor ≤ venal IPTU",""),"")</f>
        <v/>
      </c>
      <c r="U2253" s="10">
        <f>IF(AND(ISNUMBER(M2253),ISNUMBER(N2253)),IF(N2253&gt;0,M2253/N2253,""),"")</f>
        <v/>
      </c>
      <c r="V2253" s="10">
        <f>IF(AND(ISNUMBER(M2253),ISNUMBER(O2253)),IF(O2253&gt;0,M2253/O2253,""),"")</f>
        <v/>
      </c>
      <c r="W2253" s="10">
        <f>IF(AND(ISNUMBER(M2253),ISNUMBER(R2253)),IF(R2253&gt;0,M2253/R2253,""),"")</f>
        <v/>
      </c>
      <c r="X2253" s="10">
        <f>IF(AND(ISNUMBER(Q2253),ISNUMBER(M2253)),IF(M2253&gt;0,Q2253/M2253,""),"")</f>
        <v/>
      </c>
      <c r="Y2253" s="11">
        <f>IF(ISNUMBER(Z2253),YEAR(Z2253),"")</f>
        <v/>
      </c>
      <c r="Z2253" s="12" t="n"/>
      <c r="AA2253" s="12" t="n"/>
      <c r="AI2253" s="12" t="n"/>
      <c r="AJ2253" s="13">
        <f>IF(LEN(TRIM(AF2253))=0,"",HYPERLINK("https://www.google.com/maps/@?api=1&amp;map_action=pano&amp;viewpoint="&amp;SUBSTITUTE(AF2253," ",""),"Abrir Street View"))</f>
        <v/>
      </c>
    </row>
    <row r="2254">
      <c r="H2254" s="6" t="n"/>
      <c r="I2254" s="6" t="n"/>
      <c r="M2254" s="7" t="n"/>
      <c r="N2254" s="7" t="n"/>
      <c r="O2254" s="7" t="n"/>
      <c r="Q2254" s="7" t="n"/>
      <c r="R2254" s="7" t="n"/>
      <c r="S2254" s="8">
        <f>IF(NOT(ISNUMBER(M2254)),"",IF(G2254="Terreno",IF(AND(ISNUMBER(I2254),I2254&gt;0),M2254/I2254,""),IF(AND(ISNUMBER(H2254),H2254&gt;0),M2254/H2254,"")))</f>
        <v/>
      </c>
      <c r="T2254" s="9">
        <f>IF(AND(ISNUMBER(M2254),ISNUMBER(O2254)),IF(M2254&lt;=O2254,"Valor ≤ venal IPTU",""),"")</f>
        <v/>
      </c>
      <c r="U2254" s="10">
        <f>IF(AND(ISNUMBER(M2254),ISNUMBER(N2254)),IF(N2254&gt;0,M2254/N2254,""),"")</f>
        <v/>
      </c>
      <c r="V2254" s="10">
        <f>IF(AND(ISNUMBER(M2254),ISNUMBER(O2254)),IF(O2254&gt;0,M2254/O2254,""),"")</f>
        <v/>
      </c>
      <c r="W2254" s="10">
        <f>IF(AND(ISNUMBER(M2254),ISNUMBER(R2254)),IF(R2254&gt;0,M2254/R2254,""),"")</f>
        <v/>
      </c>
      <c r="X2254" s="10">
        <f>IF(AND(ISNUMBER(Q2254),ISNUMBER(M2254)),IF(M2254&gt;0,Q2254/M2254,""),"")</f>
        <v/>
      </c>
      <c r="Y2254" s="11">
        <f>IF(ISNUMBER(Z2254),YEAR(Z2254),"")</f>
        <v/>
      </c>
      <c r="Z2254" s="12" t="n"/>
      <c r="AA2254" s="12" t="n"/>
      <c r="AI2254" s="12" t="n"/>
      <c r="AJ2254" s="13">
        <f>IF(LEN(TRIM(AF2254))=0,"",HYPERLINK("https://www.google.com/maps/@?api=1&amp;map_action=pano&amp;viewpoint="&amp;SUBSTITUTE(AF2254," ",""),"Abrir Street View"))</f>
        <v/>
      </c>
    </row>
    <row r="2255">
      <c r="H2255" s="6" t="n"/>
      <c r="I2255" s="6" t="n"/>
      <c r="M2255" s="7" t="n"/>
      <c r="N2255" s="7" t="n"/>
      <c r="O2255" s="7" t="n"/>
      <c r="Q2255" s="7" t="n"/>
      <c r="R2255" s="7" t="n"/>
      <c r="S2255" s="8">
        <f>IF(NOT(ISNUMBER(M2255)),"",IF(G2255="Terreno",IF(AND(ISNUMBER(I2255),I2255&gt;0),M2255/I2255,""),IF(AND(ISNUMBER(H2255),H2255&gt;0),M2255/H2255,"")))</f>
        <v/>
      </c>
      <c r="T2255" s="9">
        <f>IF(AND(ISNUMBER(M2255),ISNUMBER(O2255)),IF(M2255&lt;=O2255,"Valor ≤ venal IPTU",""),"")</f>
        <v/>
      </c>
      <c r="U2255" s="10">
        <f>IF(AND(ISNUMBER(M2255),ISNUMBER(N2255)),IF(N2255&gt;0,M2255/N2255,""),"")</f>
        <v/>
      </c>
      <c r="V2255" s="10">
        <f>IF(AND(ISNUMBER(M2255),ISNUMBER(O2255)),IF(O2255&gt;0,M2255/O2255,""),"")</f>
        <v/>
      </c>
      <c r="W2255" s="10">
        <f>IF(AND(ISNUMBER(M2255),ISNUMBER(R2255)),IF(R2255&gt;0,M2255/R2255,""),"")</f>
        <v/>
      </c>
      <c r="X2255" s="10">
        <f>IF(AND(ISNUMBER(Q2255),ISNUMBER(M2255)),IF(M2255&gt;0,Q2255/M2255,""),"")</f>
        <v/>
      </c>
      <c r="Y2255" s="11">
        <f>IF(ISNUMBER(Z2255),YEAR(Z2255),"")</f>
        <v/>
      </c>
      <c r="Z2255" s="12" t="n"/>
      <c r="AA2255" s="12" t="n"/>
      <c r="AI2255" s="12" t="n"/>
      <c r="AJ2255" s="13">
        <f>IF(LEN(TRIM(AF2255))=0,"",HYPERLINK("https://www.google.com/maps/@?api=1&amp;map_action=pano&amp;viewpoint="&amp;SUBSTITUTE(AF2255," ",""),"Abrir Street View"))</f>
        <v/>
      </c>
    </row>
    <row r="2256">
      <c r="H2256" s="6" t="n"/>
      <c r="I2256" s="6" t="n"/>
      <c r="M2256" s="7" t="n"/>
      <c r="N2256" s="7" t="n"/>
      <c r="O2256" s="7" t="n"/>
      <c r="Q2256" s="7" t="n"/>
      <c r="R2256" s="7" t="n"/>
      <c r="S2256" s="8">
        <f>IF(NOT(ISNUMBER(M2256)),"",IF(G2256="Terreno",IF(AND(ISNUMBER(I2256),I2256&gt;0),M2256/I2256,""),IF(AND(ISNUMBER(H2256),H2256&gt;0),M2256/H2256,"")))</f>
        <v/>
      </c>
      <c r="T2256" s="9">
        <f>IF(AND(ISNUMBER(M2256),ISNUMBER(O2256)),IF(M2256&lt;=O2256,"Valor ≤ venal IPTU",""),"")</f>
        <v/>
      </c>
      <c r="U2256" s="10">
        <f>IF(AND(ISNUMBER(M2256),ISNUMBER(N2256)),IF(N2256&gt;0,M2256/N2256,""),"")</f>
        <v/>
      </c>
      <c r="V2256" s="10">
        <f>IF(AND(ISNUMBER(M2256),ISNUMBER(O2256)),IF(O2256&gt;0,M2256/O2256,""),"")</f>
        <v/>
      </c>
      <c r="W2256" s="10">
        <f>IF(AND(ISNUMBER(M2256),ISNUMBER(R2256)),IF(R2256&gt;0,M2256/R2256,""),"")</f>
        <v/>
      </c>
      <c r="X2256" s="10">
        <f>IF(AND(ISNUMBER(Q2256),ISNUMBER(M2256)),IF(M2256&gt;0,Q2256/M2256,""),"")</f>
        <v/>
      </c>
      <c r="Y2256" s="11">
        <f>IF(ISNUMBER(Z2256),YEAR(Z2256),"")</f>
        <v/>
      </c>
      <c r="Z2256" s="12" t="n"/>
      <c r="AA2256" s="12" t="n"/>
      <c r="AI2256" s="12" t="n"/>
      <c r="AJ2256" s="13">
        <f>IF(LEN(TRIM(AF2256))=0,"",HYPERLINK("https://www.google.com/maps/@?api=1&amp;map_action=pano&amp;viewpoint="&amp;SUBSTITUTE(AF2256," ",""),"Abrir Street View"))</f>
        <v/>
      </c>
    </row>
    <row r="2257">
      <c r="H2257" s="6" t="n"/>
      <c r="I2257" s="6" t="n"/>
      <c r="M2257" s="7" t="n"/>
      <c r="N2257" s="7" t="n"/>
      <c r="O2257" s="7" t="n"/>
      <c r="Q2257" s="7" t="n"/>
      <c r="R2257" s="7" t="n"/>
      <c r="S2257" s="8">
        <f>IF(NOT(ISNUMBER(M2257)),"",IF(G2257="Terreno",IF(AND(ISNUMBER(I2257),I2257&gt;0),M2257/I2257,""),IF(AND(ISNUMBER(H2257),H2257&gt;0),M2257/H2257,"")))</f>
        <v/>
      </c>
      <c r="T2257" s="9">
        <f>IF(AND(ISNUMBER(M2257),ISNUMBER(O2257)),IF(M2257&lt;=O2257,"Valor ≤ venal IPTU",""),"")</f>
        <v/>
      </c>
      <c r="U2257" s="10">
        <f>IF(AND(ISNUMBER(M2257),ISNUMBER(N2257)),IF(N2257&gt;0,M2257/N2257,""),"")</f>
        <v/>
      </c>
      <c r="V2257" s="10">
        <f>IF(AND(ISNUMBER(M2257),ISNUMBER(O2257)),IF(O2257&gt;0,M2257/O2257,""),"")</f>
        <v/>
      </c>
      <c r="W2257" s="10">
        <f>IF(AND(ISNUMBER(M2257),ISNUMBER(R2257)),IF(R2257&gt;0,M2257/R2257,""),"")</f>
        <v/>
      </c>
      <c r="X2257" s="10">
        <f>IF(AND(ISNUMBER(Q2257),ISNUMBER(M2257)),IF(M2257&gt;0,Q2257/M2257,""),"")</f>
        <v/>
      </c>
      <c r="Y2257" s="11">
        <f>IF(ISNUMBER(Z2257),YEAR(Z2257),"")</f>
        <v/>
      </c>
      <c r="Z2257" s="12" t="n"/>
      <c r="AA2257" s="12" t="n"/>
      <c r="AI2257" s="12" t="n"/>
      <c r="AJ2257" s="13">
        <f>IF(LEN(TRIM(AF2257))=0,"",HYPERLINK("https://www.google.com/maps/@?api=1&amp;map_action=pano&amp;viewpoint="&amp;SUBSTITUTE(AF2257," ",""),"Abrir Street View"))</f>
        <v/>
      </c>
    </row>
    <row r="2258">
      <c r="H2258" s="6" t="n"/>
      <c r="I2258" s="6" t="n"/>
      <c r="M2258" s="7" t="n"/>
      <c r="N2258" s="7" t="n"/>
      <c r="O2258" s="7" t="n"/>
      <c r="Q2258" s="7" t="n"/>
      <c r="R2258" s="7" t="n"/>
      <c r="S2258" s="8">
        <f>IF(NOT(ISNUMBER(M2258)),"",IF(G2258="Terreno",IF(AND(ISNUMBER(I2258),I2258&gt;0),M2258/I2258,""),IF(AND(ISNUMBER(H2258),H2258&gt;0),M2258/H2258,"")))</f>
        <v/>
      </c>
      <c r="T2258" s="9">
        <f>IF(AND(ISNUMBER(M2258),ISNUMBER(O2258)),IF(M2258&lt;=O2258,"Valor ≤ venal IPTU",""),"")</f>
        <v/>
      </c>
      <c r="U2258" s="10">
        <f>IF(AND(ISNUMBER(M2258),ISNUMBER(N2258)),IF(N2258&gt;0,M2258/N2258,""),"")</f>
        <v/>
      </c>
      <c r="V2258" s="10">
        <f>IF(AND(ISNUMBER(M2258),ISNUMBER(O2258)),IF(O2258&gt;0,M2258/O2258,""),"")</f>
        <v/>
      </c>
      <c r="W2258" s="10">
        <f>IF(AND(ISNUMBER(M2258),ISNUMBER(R2258)),IF(R2258&gt;0,M2258/R2258,""),"")</f>
        <v/>
      </c>
      <c r="X2258" s="10">
        <f>IF(AND(ISNUMBER(Q2258),ISNUMBER(M2258)),IF(M2258&gt;0,Q2258/M2258,""),"")</f>
        <v/>
      </c>
      <c r="Y2258" s="11">
        <f>IF(ISNUMBER(Z2258),YEAR(Z2258),"")</f>
        <v/>
      </c>
      <c r="Z2258" s="12" t="n"/>
      <c r="AA2258" s="12" t="n"/>
      <c r="AI2258" s="12" t="n"/>
      <c r="AJ2258" s="13">
        <f>IF(LEN(TRIM(AF2258))=0,"",HYPERLINK("https://www.google.com/maps/@?api=1&amp;map_action=pano&amp;viewpoint="&amp;SUBSTITUTE(AF2258," ",""),"Abrir Street View"))</f>
        <v/>
      </c>
    </row>
    <row r="2259">
      <c r="H2259" s="6" t="n"/>
      <c r="I2259" s="6" t="n"/>
      <c r="M2259" s="7" t="n"/>
      <c r="N2259" s="7" t="n"/>
      <c r="O2259" s="7" t="n"/>
      <c r="Q2259" s="7" t="n"/>
      <c r="R2259" s="7" t="n"/>
      <c r="S2259" s="8">
        <f>IF(NOT(ISNUMBER(M2259)),"",IF(G2259="Terreno",IF(AND(ISNUMBER(I2259),I2259&gt;0),M2259/I2259,""),IF(AND(ISNUMBER(H2259),H2259&gt;0),M2259/H2259,"")))</f>
        <v/>
      </c>
      <c r="T2259" s="9">
        <f>IF(AND(ISNUMBER(M2259),ISNUMBER(O2259)),IF(M2259&lt;=O2259,"Valor ≤ venal IPTU",""),"")</f>
        <v/>
      </c>
      <c r="U2259" s="10">
        <f>IF(AND(ISNUMBER(M2259),ISNUMBER(N2259)),IF(N2259&gt;0,M2259/N2259,""),"")</f>
        <v/>
      </c>
      <c r="V2259" s="10">
        <f>IF(AND(ISNUMBER(M2259),ISNUMBER(O2259)),IF(O2259&gt;0,M2259/O2259,""),"")</f>
        <v/>
      </c>
      <c r="W2259" s="10">
        <f>IF(AND(ISNUMBER(M2259),ISNUMBER(R2259)),IF(R2259&gt;0,M2259/R2259,""),"")</f>
        <v/>
      </c>
      <c r="X2259" s="10">
        <f>IF(AND(ISNUMBER(Q2259),ISNUMBER(M2259)),IF(M2259&gt;0,Q2259/M2259,""),"")</f>
        <v/>
      </c>
      <c r="Y2259" s="11">
        <f>IF(ISNUMBER(Z2259),YEAR(Z2259),"")</f>
        <v/>
      </c>
      <c r="Z2259" s="12" t="n"/>
      <c r="AA2259" s="12" t="n"/>
      <c r="AI2259" s="12" t="n"/>
      <c r="AJ2259" s="13">
        <f>IF(LEN(TRIM(AF2259))=0,"",HYPERLINK("https://www.google.com/maps/@?api=1&amp;map_action=pano&amp;viewpoint="&amp;SUBSTITUTE(AF2259," ",""),"Abrir Street View"))</f>
        <v/>
      </c>
    </row>
    <row r="2260">
      <c r="H2260" s="6" t="n"/>
      <c r="I2260" s="6" t="n"/>
      <c r="M2260" s="7" t="n"/>
      <c r="N2260" s="7" t="n"/>
      <c r="O2260" s="7" t="n"/>
      <c r="Q2260" s="7" t="n"/>
      <c r="R2260" s="7" t="n"/>
      <c r="S2260" s="8">
        <f>IF(NOT(ISNUMBER(M2260)),"",IF(G2260="Terreno",IF(AND(ISNUMBER(I2260),I2260&gt;0),M2260/I2260,""),IF(AND(ISNUMBER(H2260),H2260&gt;0),M2260/H2260,"")))</f>
        <v/>
      </c>
      <c r="T2260" s="9">
        <f>IF(AND(ISNUMBER(M2260),ISNUMBER(O2260)),IF(M2260&lt;=O2260,"Valor ≤ venal IPTU",""),"")</f>
        <v/>
      </c>
      <c r="U2260" s="10">
        <f>IF(AND(ISNUMBER(M2260),ISNUMBER(N2260)),IF(N2260&gt;0,M2260/N2260,""),"")</f>
        <v/>
      </c>
      <c r="V2260" s="10">
        <f>IF(AND(ISNUMBER(M2260),ISNUMBER(O2260)),IF(O2260&gt;0,M2260/O2260,""),"")</f>
        <v/>
      </c>
      <c r="W2260" s="10">
        <f>IF(AND(ISNUMBER(M2260),ISNUMBER(R2260)),IF(R2260&gt;0,M2260/R2260,""),"")</f>
        <v/>
      </c>
      <c r="X2260" s="10">
        <f>IF(AND(ISNUMBER(Q2260),ISNUMBER(M2260)),IF(M2260&gt;0,Q2260/M2260,""),"")</f>
        <v/>
      </c>
      <c r="Y2260" s="11">
        <f>IF(ISNUMBER(Z2260),YEAR(Z2260),"")</f>
        <v/>
      </c>
      <c r="Z2260" s="12" t="n"/>
      <c r="AA2260" s="12" t="n"/>
      <c r="AI2260" s="12" t="n"/>
      <c r="AJ2260" s="13">
        <f>IF(LEN(TRIM(AF2260))=0,"",HYPERLINK("https://www.google.com/maps/@?api=1&amp;map_action=pano&amp;viewpoint="&amp;SUBSTITUTE(AF2260," ",""),"Abrir Street View"))</f>
        <v/>
      </c>
    </row>
    <row r="2261">
      <c r="H2261" s="6" t="n"/>
      <c r="I2261" s="6" t="n"/>
      <c r="M2261" s="7" t="n"/>
      <c r="N2261" s="7" t="n"/>
      <c r="O2261" s="7" t="n"/>
      <c r="Q2261" s="7" t="n"/>
      <c r="R2261" s="7" t="n"/>
      <c r="S2261" s="8">
        <f>IF(NOT(ISNUMBER(M2261)),"",IF(G2261="Terreno",IF(AND(ISNUMBER(I2261),I2261&gt;0),M2261/I2261,""),IF(AND(ISNUMBER(H2261),H2261&gt;0),M2261/H2261,"")))</f>
        <v/>
      </c>
      <c r="T2261" s="9">
        <f>IF(AND(ISNUMBER(M2261),ISNUMBER(O2261)),IF(M2261&lt;=O2261,"Valor ≤ venal IPTU",""),"")</f>
        <v/>
      </c>
      <c r="U2261" s="10">
        <f>IF(AND(ISNUMBER(M2261),ISNUMBER(N2261)),IF(N2261&gt;0,M2261/N2261,""),"")</f>
        <v/>
      </c>
      <c r="V2261" s="10">
        <f>IF(AND(ISNUMBER(M2261),ISNUMBER(O2261)),IF(O2261&gt;0,M2261/O2261,""),"")</f>
        <v/>
      </c>
      <c r="W2261" s="10">
        <f>IF(AND(ISNUMBER(M2261),ISNUMBER(R2261)),IF(R2261&gt;0,M2261/R2261,""),"")</f>
        <v/>
      </c>
      <c r="X2261" s="10">
        <f>IF(AND(ISNUMBER(Q2261),ISNUMBER(M2261)),IF(M2261&gt;0,Q2261/M2261,""),"")</f>
        <v/>
      </c>
      <c r="Y2261" s="11">
        <f>IF(ISNUMBER(Z2261),YEAR(Z2261),"")</f>
        <v/>
      </c>
      <c r="Z2261" s="12" t="n"/>
      <c r="AA2261" s="12" t="n"/>
      <c r="AI2261" s="12" t="n"/>
      <c r="AJ2261" s="13">
        <f>IF(LEN(TRIM(AF2261))=0,"",HYPERLINK("https://www.google.com/maps/@?api=1&amp;map_action=pano&amp;viewpoint="&amp;SUBSTITUTE(AF2261," ",""),"Abrir Street View"))</f>
        <v/>
      </c>
    </row>
    <row r="2262">
      <c r="H2262" s="6" t="n"/>
      <c r="I2262" s="6" t="n"/>
      <c r="M2262" s="7" t="n"/>
      <c r="N2262" s="7" t="n"/>
      <c r="O2262" s="7" t="n"/>
      <c r="Q2262" s="7" t="n"/>
      <c r="R2262" s="7" t="n"/>
      <c r="S2262" s="8">
        <f>IF(NOT(ISNUMBER(M2262)),"",IF(G2262="Terreno",IF(AND(ISNUMBER(I2262),I2262&gt;0),M2262/I2262,""),IF(AND(ISNUMBER(H2262),H2262&gt;0),M2262/H2262,"")))</f>
        <v/>
      </c>
      <c r="T2262" s="9">
        <f>IF(AND(ISNUMBER(M2262),ISNUMBER(O2262)),IF(M2262&lt;=O2262,"Valor ≤ venal IPTU",""),"")</f>
        <v/>
      </c>
      <c r="U2262" s="10">
        <f>IF(AND(ISNUMBER(M2262),ISNUMBER(N2262)),IF(N2262&gt;0,M2262/N2262,""),"")</f>
        <v/>
      </c>
      <c r="V2262" s="10">
        <f>IF(AND(ISNUMBER(M2262),ISNUMBER(O2262)),IF(O2262&gt;0,M2262/O2262,""),"")</f>
        <v/>
      </c>
      <c r="W2262" s="10">
        <f>IF(AND(ISNUMBER(M2262),ISNUMBER(R2262)),IF(R2262&gt;0,M2262/R2262,""),"")</f>
        <v/>
      </c>
      <c r="X2262" s="10">
        <f>IF(AND(ISNUMBER(Q2262),ISNUMBER(M2262)),IF(M2262&gt;0,Q2262/M2262,""),"")</f>
        <v/>
      </c>
      <c r="Y2262" s="11">
        <f>IF(ISNUMBER(Z2262),YEAR(Z2262),"")</f>
        <v/>
      </c>
      <c r="Z2262" s="12" t="n"/>
      <c r="AA2262" s="12" t="n"/>
      <c r="AI2262" s="12" t="n"/>
      <c r="AJ2262" s="13">
        <f>IF(LEN(TRIM(AF2262))=0,"",HYPERLINK("https://www.google.com/maps/@?api=1&amp;map_action=pano&amp;viewpoint="&amp;SUBSTITUTE(AF2262," ",""),"Abrir Street View"))</f>
        <v/>
      </c>
    </row>
    <row r="2263">
      <c r="H2263" s="6" t="n"/>
      <c r="I2263" s="6" t="n"/>
      <c r="M2263" s="7" t="n"/>
      <c r="N2263" s="7" t="n"/>
      <c r="O2263" s="7" t="n"/>
      <c r="Q2263" s="7" t="n"/>
      <c r="R2263" s="7" t="n"/>
      <c r="S2263" s="8">
        <f>IF(NOT(ISNUMBER(M2263)),"",IF(G2263="Terreno",IF(AND(ISNUMBER(I2263),I2263&gt;0),M2263/I2263,""),IF(AND(ISNUMBER(H2263),H2263&gt;0),M2263/H2263,"")))</f>
        <v/>
      </c>
      <c r="T2263" s="9">
        <f>IF(AND(ISNUMBER(M2263),ISNUMBER(O2263)),IF(M2263&lt;=O2263,"Valor ≤ venal IPTU",""),"")</f>
        <v/>
      </c>
      <c r="U2263" s="10">
        <f>IF(AND(ISNUMBER(M2263),ISNUMBER(N2263)),IF(N2263&gt;0,M2263/N2263,""),"")</f>
        <v/>
      </c>
      <c r="V2263" s="10">
        <f>IF(AND(ISNUMBER(M2263),ISNUMBER(O2263)),IF(O2263&gt;0,M2263/O2263,""),"")</f>
        <v/>
      </c>
      <c r="W2263" s="10">
        <f>IF(AND(ISNUMBER(M2263),ISNUMBER(R2263)),IF(R2263&gt;0,M2263/R2263,""),"")</f>
        <v/>
      </c>
      <c r="X2263" s="10">
        <f>IF(AND(ISNUMBER(Q2263),ISNUMBER(M2263)),IF(M2263&gt;0,Q2263/M2263,""),"")</f>
        <v/>
      </c>
      <c r="Y2263" s="11">
        <f>IF(ISNUMBER(Z2263),YEAR(Z2263),"")</f>
        <v/>
      </c>
      <c r="Z2263" s="12" t="n"/>
      <c r="AA2263" s="12" t="n"/>
      <c r="AI2263" s="12" t="n"/>
      <c r="AJ2263" s="13">
        <f>IF(LEN(TRIM(AF2263))=0,"",HYPERLINK("https://www.google.com/maps/@?api=1&amp;map_action=pano&amp;viewpoint="&amp;SUBSTITUTE(AF2263," ",""),"Abrir Street View"))</f>
        <v/>
      </c>
    </row>
    <row r="2264">
      <c r="H2264" s="6" t="n"/>
      <c r="I2264" s="6" t="n"/>
      <c r="M2264" s="7" t="n"/>
      <c r="N2264" s="7" t="n"/>
      <c r="O2264" s="7" t="n"/>
      <c r="Q2264" s="7" t="n"/>
      <c r="R2264" s="7" t="n"/>
      <c r="S2264" s="8">
        <f>IF(NOT(ISNUMBER(M2264)),"",IF(G2264="Terreno",IF(AND(ISNUMBER(I2264),I2264&gt;0),M2264/I2264,""),IF(AND(ISNUMBER(H2264),H2264&gt;0),M2264/H2264,"")))</f>
        <v/>
      </c>
      <c r="T2264" s="9">
        <f>IF(AND(ISNUMBER(M2264),ISNUMBER(O2264)),IF(M2264&lt;=O2264,"Valor ≤ venal IPTU",""),"")</f>
        <v/>
      </c>
      <c r="U2264" s="10">
        <f>IF(AND(ISNUMBER(M2264),ISNUMBER(N2264)),IF(N2264&gt;0,M2264/N2264,""),"")</f>
        <v/>
      </c>
      <c r="V2264" s="10">
        <f>IF(AND(ISNUMBER(M2264),ISNUMBER(O2264)),IF(O2264&gt;0,M2264/O2264,""),"")</f>
        <v/>
      </c>
      <c r="W2264" s="10">
        <f>IF(AND(ISNUMBER(M2264),ISNUMBER(R2264)),IF(R2264&gt;0,M2264/R2264,""),"")</f>
        <v/>
      </c>
      <c r="X2264" s="10">
        <f>IF(AND(ISNUMBER(Q2264),ISNUMBER(M2264)),IF(M2264&gt;0,Q2264/M2264,""),"")</f>
        <v/>
      </c>
      <c r="Y2264" s="11">
        <f>IF(ISNUMBER(Z2264),YEAR(Z2264),"")</f>
        <v/>
      </c>
      <c r="Z2264" s="12" t="n"/>
      <c r="AA2264" s="12" t="n"/>
      <c r="AI2264" s="12" t="n"/>
      <c r="AJ2264" s="13">
        <f>IF(LEN(TRIM(AF2264))=0,"",HYPERLINK("https://www.google.com/maps/@?api=1&amp;map_action=pano&amp;viewpoint="&amp;SUBSTITUTE(AF2264," ",""),"Abrir Street View"))</f>
        <v/>
      </c>
    </row>
    <row r="2265">
      <c r="H2265" s="6" t="n"/>
      <c r="I2265" s="6" t="n"/>
      <c r="M2265" s="7" t="n"/>
      <c r="N2265" s="7" t="n"/>
      <c r="O2265" s="7" t="n"/>
      <c r="Q2265" s="7" t="n"/>
      <c r="R2265" s="7" t="n"/>
      <c r="S2265" s="8">
        <f>IF(NOT(ISNUMBER(M2265)),"",IF(G2265="Terreno",IF(AND(ISNUMBER(I2265),I2265&gt;0),M2265/I2265,""),IF(AND(ISNUMBER(H2265),H2265&gt;0),M2265/H2265,"")))</f>
        <v/>
      </c>
      <c r="T2265" s="9">
        <f>IF(AND(ISNUMBER(M2265),ISNUMBER(O2265)),IF(M2265&lt;=O2265,"Valor ≤ venal IPTU",""),"")</f>
        <v/>
      </c>
      <c r="U2265" s="10">
        <f>IF(AND(ISNUMBER(M2265),ISNUMBER(N2265)),IF(N2265&gt;0,M2265/N2265,""),"")</f>
        <v/>
      </c>
      <c r="V2265" s="10">
        <f>IF(AND(ISNUMBER(M2265),ISNUMBER(O2265)),IF(O2265&gt;0,M2265/O2265,""),"")</f>
        <v/>
      </c>
      <c r="W2265" s="10">
        <f>IF(AND(ISNUMBER(M2265),ISNUMBER(R2265)),IF(R2265&gt;0,M2265/R2265,""),"")</f>
        <v/>
      </c>
      <c r="X2265" s="10">
        <f>IF(AND(ISNUMBER(Q2265),ISNUMBER(M2265)),IF(M2265&gt;0,Q2265/M2265,""),"")</f>
        <v/>
      </c>
      <c r="Y2265" s="11">
        <f>IF(ISNUMBER(Z2265),YEAR(Z2265),"")</f>
        <v/>
      </c>
      <c r="Z2265" s="12" t="n"/>
      <c r="AA2265" s="12" t="n"/>
      <c r="AI2265" s="12" t="n"/>
      <c r="AJ2265" s="13">
        <f>IF(LEN(TRIM(AF2265))=0,"",HYPERLINK("https://www.google.com/maps/@?api=1&amp;map_action=pano&amp;viewpoint="&amp;SUBSTITUTE(AF2265," ",""),"Abrir Street View"))</f>
        <v/>
      </c>
    </row>
    <row r="2266">
      <c r="H2266" s="6" t="n"/>
      <c r="I2266" s="6" t="n"/>
      <c r="M2266" s="7" t="n"/>
      <c r="N2266" s="7" t="n"/>
      <c r="O2266" s="7" t="n"/>
      <c r="Q2266" s="7" t="n"/>
      <c r="R2266" s="7" t="n"/>
      <c r="S2266" s="8">
        <f>IF(NOT(ISNUMBER(M2266)),"",IF(G2266="Terreno",IF(AND(ISNUMBER(I2266),I2266&gt;0),M2266/I2266,""),IF(AND(ISNUMBER(H2266),H2266&gt;0),M2266/H2266,"")))</f>
        <v/>
      </c>
      <c r="T2266" s="9">
        <f>IF(AND(ISNUMBER(M2266),ISNUMBER(O2266)),IF(M2266&lt;=O2266,"Valor ≤ venal IPTU",""),"")</f>
        <v/>
      </c>
      <c r="U2266" s="10">
        <f>IF(AND(ISNUMBER(M2266),ISNUMBER(N2266)),IF(N2266&gt;0,M2266/N2266,""),"")</f>
        <v/>
      </c>
      <c r="V2266" s="10">
        <f>IF(AND(ISNUMBER(M2266),ISNUMBER(O2266)),IF(O2266&gt;0,M2266/O2266,""),"")</f>
        <v/>
      </c>
      <c r="W2266" s="10">
        <f>IF(AND(ISNUMBER(M2266),ISNUMBER(R2266)),IF(R2266&gt;0,M2266/R2266,""),"")</f>
        <v/>
      </c>
      <c r="X2266" s="10">
        <f>IF(AND(ISNUMBER(Q2266),ISNUMBER(M2266)),IF(M2266&gt;0,Q2266/M2266,""),"")</f>
        <v/>
      </c>
      <c r="Y2266" s="11">
        <f>IF(ISNUMBER(Z2266),YEAR(Z2266),"")</f>
        <v/>
      </c>
      <c r="Z2266" s="12" t="n"/>
      <c r="AA2266" s="12" t="n"/>
      <c r="AI2266" s="12" t="n"/>
      <c r="AJ2266" s="13">
        <f>IF(LEN(TRIM(AF2266))=0,"",HYPERLINK("https://www.google.com/maps/@?api=1&amp;map_action=pano&amp;viewpoint="&amp;SUBSTITUTE(AF2266," ",""),"Abrir Street View"))</f>
        <v/>
      </c>
    </row>
    <row r="2267">
      <c r="H2267" s="6" t="n"/>
      <c r="I2267" s="6" t="n"/>
      <c r="M2267" s="7" t="n"/>
      <c r="N2267" s="7" t="n"/>
      <c r="O2267" s="7" t="n"/>
      <c r="Q2267" s="7" t="n"/>
      <c r="R2267" s="7" t="n"/>
      <c r="S2267" s="8">
        <f>IF(NOT(ISNUMBER(M2267)),"",IF(G2267="Terreno",IF(AND(ISNUMBER(I2267),I2267&gt;0),M2267/I2267,""),IF(AND(ISNUMBER(H2267),H2267&gt;0),M2267/H2267,"")))</f>
        <v/>
      </c>
      <c r="T2267" s="9">
        <f>IF(AND(ISNUMBER(M2267),ISNUMBER(O2267)),IF(M2267&lt;=O2267,"Valor ≤ venal IPTU",""),"")</f>
        <v/>
      </c>
      <c r="U2267" s="10">
        <f>IF(AND(ISNUMBER(M2267),ISNUMBER(N2267)),IF(N2267&gt;0,M2267/N2267,""),"")</f>
        <v/>
      </c>
      <c r="V2267" s="10">
        <f>IF(AND(ISNUMBER(M2267),ISNUMBER(O2267)),IF(O2267&gt;0,M2267/O2267,""),"")</f>
        <v/>
      </c>
      <c r="W2267" s="10">
        <f>IF(AND(ISNUMBER(M2267),ISNUMBER(R2267)),IF(R2267&gt;0,M2267/R2267,""),"")</f>
        <v/>
      </c>
      <c r="X2267" s="10">
        <f>IF(AND(ISNUMBER(Q2267),ISNUMBER(M2267)),IF(M2267&gt;0,Q2267/M2267,""),"")</f>
        <v/>
      </c>
      <c r="Y2267" s="11">
        <f>IF(ISNUMBER(Z2267),YEAR(Z2267),"")</f>
        <v/>
      </c>
      <c r="Z2267" s="12" t="n"/>
      <c r="AA2267" s="12" t="n"/>
      <c r="AI2267" s="12" t="n"/>
      <c r="AJ2267" s="13">
        <f>IF(LEN(TRIM(AF2267))=0,"",HYPERLINK("https://www.google.com/maps/@?api=1&amp;map_action=pano&amp;viewpoint="&amp;SUBSTITUTE(AF2267," ",""),"Abrir Street View"))</f>
        <v/>
      </c>
    </row>
    <row r="2268">
      <c r="H2268" s="6" t="n"/>
      <c r="I2268" s="6" t="n"/>
      <c r="M2268" s="7" t="n"/>
      <c r="N2268" s="7" t="n"/>
      <c r="O2268" s="7" t="n"/>
      <c r="Q2268" s="7" t="n"/>
      <c r="R2268" s="7" t="n"/>
      <c r="S2268" s="8">
        <f>IF(NOT(ISNUMBER(M2268)),"",IF(G2268="Terreno",IF(AND(ISNUMBER(I2268),I2268&gt;0),M2268/I2268,""),IF(AND(ISNUMBER(H2268),H2268&gt;0),M2268/H2268,"")))</f>
        <v/>
      </c>
      <c r="T2268" s="9">
        <f>IF(AND(ISNUMBER(M2268),ISNUMBER(O2268)),IF(M2268&lt;=O2268,"Valor ≤ venal IPTU",""),"")</f>
        <v/>
      </c>
      <c r="U2268" s="10">
        <f>IF(AND(ISNUMBER(M2268),ISNUMBER(N2268)),IF(N2268&gt;0,M2268/N2268,""),"")</f>
        <v/>
      </c>
      <c r="V2268" s="10">
        <f>IF(AND(ISNUMBER(M2268),ISNUMBER(O2268)),IF(O2268&gt;0,M2268/O2268,""),"")</f>
        <v/>
      </c>
      <c r="W2268" s="10">
        <f>IF(AND(ISNUMBER(M2268),ISNUMBER(R2268)),IF(R2268&gt;0,M2268/R2268,""),"")</f>
        <v/>
      </c>
      <c r="X2268" s="10">
        <f>IF(AND(ISNUMBER(Q2268),ISNUMBER(M2268)),IF(M2268&gt;0,Q2268/M2268,""),"")</f>
        <v/>
      </c>
      <c r="Y2268" s="11">
        <f>IF(ISNUMBER(Z2268),YEAR(Z2268),"")</f>
        <v/>
      </c>
      <c r="Z2268" s="12" t="n"/>
      <c r="AA2268" s="12" t="n"/>
      <c r="AI2268" s="12" t="n"/>
      <c r="AJ2268" s="13">
        <f>IF(LEN(TRIM(AF2268))=0,"",HYPERLINK("https://www.google.com/maps/@?api=1&amp;map_action=pano&amp;viewpoint="&amp;SUBSTITUTE(AF2268," ",""),"Abrir Street View"))</f>
        <v/>
      </c>
    </row>
    <row r="2269">
      <c r="H2269" s="6" t="n"/>
      <c r="I2269" s="6" t="n"/>
      <c r="M2269" s="7" t="n"/>
      <c r="N2269" s="7" t="n"/>
      <c r="O2269" s="7" t="n"/>
      <c r="Q2269" s="7" t="n"/>
      <c r="R2269" s="7" t="n"/>
      <c r="S2269" s="8">
        <f>IF(NOT(ISNUMBER(M2269)),"",IF(G2269="Terreno",IF(AND(ISNUMBER(I2269),I2269&gt;0),M2269/I2269,""),IF(AND(ISNUMBER(H2269),H2269&gt;0),M2269/H2269,"")))</f>
        <v/>
      </c>
      <c r="T2269" s="9">
        <f>IF(AND(ISNUMBER(M2269),ISNUMBER(O2269)),IF(M2269&lt;=O2269,"Valor ≤ venal IPTU",""),"")</f>
        <v/>
      </c>
      <c r="U2269" s="10">
        <f>IF(AND(ISNUMBER(M2269),ISNUMBER(N2269)),IF(N2269&gt;0,M2269/N2269,""),"")</f>
        <v/>
      </c>
      <c r="V2269" s="10">
        <f>IF(AND(ISNUMBER(M2269),ISNUMBER(O2269)),IF(O2269&gt;0,M2269/O2269,""),"")</f>
        <v/>
      </c>
      <c r="W2269" s="10">
        <f>IF(AND(ISNUMBER(M2269),ISNUMBER(R2269)),IF(R2269&gt;0,M2269/R2269,""),"")</f>
        <v/>
      </c>
      <c r="X2269" s="10">
        <f>IF(AND(ISNUMBER(Q2269),ISNUMBER(M2269)),IF(M2269&gt;0,Q2269/M2269,""),"")</f>
        <v/>
      </c>
      <c r="Y2269" s="11">
        <f>IF(ISNUMBER(Z2269),YEAR(Z2269),"")</f>
        <v/>
      </c>
      <c r="Z2269" s="12" t="n"/>
      <c r="AA2269" s="12" t="n"/>
      <c r="AI2269" s="12" t="n"/>
      <c r="AJ2269" s="13">
        <f>IF(LEN(TRIM(AF2269))=0,"",HYPERLINK("https://www.google.com/maps/@?api=1&amp;map_action=pano&amp;viewpoint="&amp;SUBSTITUTE(AF2269," ",""),"Abrir Street View"))</f>
        <v/>
      </c>
    </row>
    <row r="2270">
      <c r="H2270" s="6" t="n"/>
      <c r="I2270" s="6" t="n"/>
      <c r="M2270" s="7" t="n"/>
      <c r="N2270" s="7" t="n"/>
      <c r="O2270" s="7" t="n"/>
      <c r="Q2270" s="7" t="n"/>
      <c r="R2270" s="7" t="n"/>
      <c r="S2270" s="8">
        <f>IF(NOT(ISNUMBER(M2270)),"",IF(G2270="Terreno",IF(AND(ISNUMBER(I2270),I2270&gt;0),M2270/I2270,""),IF(AND(ISNUMBER(H2270),H2270&gt;0),M2270/H2270,"")))</f>
        <v/>
      </c>
      <c r="T2270" s="9">
        <f>IF(AND(ISNUMBER(M2270),ISNUMBER(O2270)),IF(M2270&lt;=O2270,"Valor ≤ venal IPTU",""),"")</f>
        <v/>
      </c>
      <c r="U2270" s="10">
        <f>IF(AND(ISNUMBER(M2270),ISNUMBER(N2270)),IF(N2270&gt;0,M2270/N2270,""),"")</f>
        <v/>
      </c>
      <c r="V2270" s="10">
        <f>IF(AND(ISNUMBER(M2270),ISNUMBER(O2270)),IF(O2270&gt;0,M2270/O2270,""),"")</f>
        <v/>
      </c>
      <c r="W2270" s="10">
        <f>IF(AND(ISNUMBER(M2270),ISNUMBER(R2270)),IF(R2270&gt;0,M2270/R2270,""),"")</f>
        <v/>
      </c>
      <c r="X2270" s="10">
        <f>IF(AND(ISNUMBER(Q2270),ISNUMBER(M2270)),IF(M2270&gt;0,Q2270/M2270,""),"")</f>
        <v/>
      </c>
      <c r="Y2270" s="11">
        <f>IF(ISNUMBER(Z2270),YEAR(Z2270),"")</f>
        <v/>
      </c>
      <c r="Z2270" s="12" t="n"/>
      <c r="AA2270" s="12" t="n"/>
      <c r="AI2270" s="12" t="n"/>
      <c r="AJ2270" s="13">
        <f>IF(LEN(TRIM(AF2270))=0,"",HYPERLINK("https://www.google.com/maps/@?api=1&amp;map_action=pano&amp;viewpoint="&amp;SUBSTITUTE(AF2270," ",""),"Abrir Street View"))</f>
        <v/>
      </c>
    </row>
    <row r="2271">
      <c r="H2271" s="6" t="n"/>
      <c r="I2271" s="6" t="n"/>
      <c r="M2271" s="7" t="n"/>
      <c r="N2271" s="7" t="n"/>
      <c r="O2271" s="7" t="n"/>
      <c r="Q2271" s="7" t="n"/>
      <c r="R2271" s="7" t="n"/>
      <c r="S2271" s="8">
        <f>IF(NOT(ISNUMBER(M2271)),"",IF(G2271="Terreno",IF(AND(ISNUMBER(I2271),I2271&gt;0),M2271/I2271,""),IF(AND(ISNUMBER(H2271),H2271&gt;0),M2271/H2271,"")))</f>
        <v/>
      </c>
      <c r="T2271" s="9">
        <f>IF(AND(ISNUMBER(M2271),ISNUMBER(O2271)),IF(M2271&lt;=O2271,"Valor ≤ venal IPTU",""),"")</f>
        <v/>
      </c>
      <c r="U2271" s="10">
        <f>IF(AND(ISNUMBER(M2271),ISNUMBER(N2271)),IF(N2271&gt;0,M2271/N2271,""),"")</f>
        <v/>
      </c>
      <c r="V2271" s="10">
        <f>IF(AND(ISNUMBER(M2271),ISNUMBER(O2271)),IF(O2271&gt;0,M2271/O2271,""),"")</f>
        <v/>
      </c>
      <c r="W2271" s="10">
        <f>IF(AND(ISNUMBER(M2271),ISNUMBER(R2271)),IF(R2271&gt;0,M2271/R2271,""),"")</f>
        <v/>
      </c>
      <c r="X2271" s="10">
        <f>IF(AND(ISNUMBER(Q2271),ISNUMBER(M2271)),IF(M2271&gt;0,Q2271/M2271,""),"")</f>
        <v/>
      </c>
      <c r="Y2271" s="11">
        <f>IF(ISNUMBER(Z2271),YEAR(Z2271),"")</f>
        <v/>
      </c>
      <c r="Z2271" s="12" t="n"/>
      <c r="AA2271" s="12" t="n"/>
      <c r="AI2271" s="12" t="n"/>
      <c r="AJ2271" s="13">
        <f>IF(LEN(TRIM(AF2271))=0,"",HYPERLINK("https://www.google.com/maps/@?api=1&amp;map_action=pano&amp;viewpoint="&amp;SUBSTITUTE(AF2271," ",""),"Abrir Street View"))</f>
        <v/>
      </c>
    </row>
    <row r="2272">
      <c r="H2272" s="6" t="n"/>
      <c r="I2272" s="6" t="n"/>
      <c r="M2272" s="7" t="n"/>
      <c r="N2272" s="7" t="n"/>
      <c r="O2272" s="7" t="n"/>
      <c r="Q2272" s="7" t="n"/>
      <c r="R2272" s="7" t="n"/>
      <c r="S2272" s="8">
        <f>IF(NOT(ISNUMBER(M2272)),"",IF(G2272="Terreno",IF(AND(ISNUMBER(I2272),I2272&gt;0),M2272/I2272,""),IF(AND(ISNUMBER(H2272),H2272&gt;0),M2272/H2272,"")))</f>
        <v/>
      </c>
      <c r="T2272" s="9">
        <f>IF(AND(ISNUMBER(M2272),ISNUMBER(O2272)),IF(M2272&lt;=O2272,"Valor ≤ venal IPTU",""),"")</f>
        <v/>
      </c>
      <c r="U2272" s="10">
        <f>IF(AND(ISNUMBER(M2272),ISNUMBER(N2272)),IF(N2272&gt;0,M2272/N2272,""),"")</f>
        <v/>
      </c>
      <c r="V2272" s="10">
        <f>IF(AND(ISNUMBER(M2272),ISNUMBER(O2272)),IF(O2272&gt;0,M2272/O2272,""),"")</f>
        <v/>
      </c>
      <c r="W2272" s="10">
        <f>IF(AND(ISNUMBER(M2272),ISNUMBER(R2272)),IF(R2272&gt;0,M2272/R2272,""),"")</f>
        <v/>
      </c>
      <c r="X2272" s="10">
        <f>IF(AND(ISNUMBER(Q2272),ISNUMBER(M2272)),IF(M2272&gt;0,Q2272/M2272,""),"")</f>
        <v/>
      </c>
      <c r="Y2272" s="11">
        <f>IF(ISNUMBER(Z2272),YEAR(Z2272),"")</f>
        <v/>
      </c>
      <c r="Z2272" s="12" t="n"/>
      <c r="AA2272" s="12" t="n"/>
      <c r="AI2272" s="12" t="n"/>
      <c r="AJ2272" s="13">
        <f>IF(LEN(TRIM(AF2272))=0,"",HYPERLINK("https://www.google.com/maps/@?api=1&amp;map_action=pano&amp;viewpoint="&amp;SUBSTITUTE(AF2272," ",""),"Abrir Street View"))</f>
        <v/>
      </c>
    </row>
    <row r="2273">
      <c r="H2273" s="6" t="n"/>
      <c r="I2273" s="6" t="n"/>
      <c r="M2273" s="7" t="n"/>
      <c r="N2273" s="7" t="n"/>
      <c r="O2273" s="7" t="n"/>
      <c r="Q2273" s="7" t="n"/>
      <c r="R2273" s="7" t="n"/>
      <c r="S2273" s="8">
        <f>IF(NOT(ISNUMBER(M2273)),"",IF(G2273="Terreno",IF(AND(ISNUMBER(I2273),I2273&gt;0),M2273/I2273,""),IF(AND(ISNUMBER(H2273),H2273&gt;0),M2273/H2273,"")))</f>
        <v/>
      </c>
      <c r="T2273" s="9">
        <f>IF(AND(ISNUMBER(M2273),ISNUMBER(O2273)),IF(M2273&lt;=O2273,"Valor ≤ venal IPTU",""),"")</f>
        <v/>
      </c>
      <c r="U2273" s="10">
        <f>IF(AND(ISNUMBER(M2273),ISNUMBER(N2273)),IF(N2273&gt;0,M2273/N2273,""),"")</f>
        <v/>
      </c>
      <c r="V2273" s="10">
        <f>IF(AND(ISNUMBER(M2273),ISNUMBER(O2273)),IF(O2273&gt;0,M2273/O2273,""),"")</f>
        <v/>
      </c>
      <c r="W2273" s="10">
        <f>IF(AND(ISNUMBER(M2273),ISNUMBER(R2273)),IF(R2273&gt;0,M2273/R2273,""),"")</f>
        <v/>
      </c>
      <c r="X2273" s="10">
        <f>IF(AND(ISNUMBER(Q2273),ISNUMBER(M2273)),IF(M2273&gt;0,Q2273/M2273,""),"")</f>
        <v/>
      </c>
      <c r="Y2273" s="11">
        <f>IF(ISNUMBER(Z2273),YEAR(Z2273),"")</f>
        <v/>
      </c>
      <c r="Z2273" s="12" t="n"/>
      <c r="AA2273" s="12" t="n"/>
      <c r="AI2273" s="12" t="n"/>
      <c r="AJ2273" s="13">
        <f>IF(LEN(TRIM(AF2273))=0,"",HYPERLINK("https://www.google.com/maps/@?api=1&amp;map_action=pano&amp;viewpoint="&amp;SUBSTITUTE(AF2273," ",""),"Abrir Street View"))</f>
        <v/>
      </c>
    </row>
    <row r="2274">
      <c r="H2274" s="6" t="n"/>
      <c r="I2274" s="6" t="n"/>
      <c r="M2274" s="7" t="n"/>
      <c r="N2274" s="7" t="n"/>
      <c r="O2274" s="7" t="n"/>
      <c r="Q2274" s="7" t="n"/>
      <c r="R2274" s="7" t="n"/>
      <c r="S2274" s="8">
        <f>IF(NOT(ISNUMBER(M2274)),"",IF(G2274="Terreno",IF(AND(ISNUMBER(I2274),I2274&gt;0),M2274/I2274,""),IF(AND(ISNUMBER(H2274),H2274&gt;0),M2274/H2274,"")))</f>
        <v/>
      </c>
      <c r="T2274" s="9">
        <f>IF(AND(ISNUMBER(M2274),ISNUMBER(O2274)),IF(M2274&lt;=O2274,"Valor ≤ venal IPTU",""),"")</f>
        <v/>
      </c>
      <c r="U2274" s="10">
        <f>IF(AND(ISNUMBER(M2274),ISNUMBER(N2274)),IF(N2274&gt;0,M2274/N2274,""),"")</f>
        <v/>
      </c>
      <c r="V2274" s="10">
        <f>IF(AND(ISNUMBER(M2274),ISNUMBER(O2274)),IF(O2274&gt;0,M2274/O2274,""),"")</f>
        <v/>
      </c>
      <c r="W2274" s="10">
        <f>IF(AND(ISNUMBER(M2274),ISNUMBER(R2274)),IF(R2274&gt;0,M2274/R2274,""),"")</f>
        <v/>
      </c>
      <c r="X2274" s="10">
        <f>IF(AND(ISNUMBER(Q2274),ISNUMBER(M2274)),IF(M2274&gt;0,Q2274/M2274,""),"")</f>
        <v/>
      </c>
      <c r="Y2274" s="11">
        <f>IF(ISNUMBER(Z2274),YEAR(Z2274),"")</f>
        <v/>
      </c>
      <c r="Z2274" s="12" t="n"/>
      <c r="AA2274" s="12" t="n"/>
      <c r="AI2274" s="12" t="n"/>
      <c r="AJ2274" s="13">
        <f>IF(LEN(TRIM(AF2274))=0,"",HYPERLINK("https://www.google.com/maps/@?api=1&amp;map_action=pano&amp;viewpoint="&amp;SUBSTITUTE(AF2274," ",""),"Abrir Street View"))</f>
        <v/>
      </c>
    </row>
    <row r="2275">
      <c r="H2275" s="6" t="n"/>
      <c r="I2275" s="6" t="n"/>
      <c r="M2275" s="7" t="n"/>
      <c r="N2275" s="7" t="n"/>
      <c r="O2275" s="7" t="n"/>
      <c r="Q2275" s="7" t="n"/>
      <c r="R2275" s="7" t="n"/>
      <c r="S2275" s="8">
        <f>IF(NOT(ISNUMBER(M2275)),"",IF(G2275="Terreno",IF(AND(ISNUMBER(I2275),I2275&gt;0),M2275/I2275,""),IF(AND(ISNUMBER(H2275),H2275&gt;0),M2275/H2275,"")))</f>
        <v/>
      </c>
      <c r="T2275" s="9">
        <f>IF(AND(ISNUMBER(M2275),ISNUMBER(O2275)),IF(M2275&lt;=O2275,"Valor ≤ venal IPTU",""),"")</f>
        <v/>
      </c>
      <c r="U2275" s="10">
        <f>IF(AND(ISNUMBER(M2275),ISNUMBER(N2275)),IF(N2275&gt;0,M2275/N2275,""),"")</f>
        <v/>
      </c>
      <c r="V2275" s="10">
        <f>IF(AND(ISNUMBER(M2275),ISNUMBER(O2275)),IF(O2275&gt;0,M2275/O2275,""),"")</f>
        <v/>
      </c>
      <c r="W2275" s="10">
        <f>IF(AND(ISNUMBER(M2275),ISNUMBER(R2275)),IF(R2275&gt;0,M2275/R2275,""),"")</f>
        <v/>
      </c>
      <c r="X2275" s="10">
        <f>IF(AND(ISNUMBER(Q2275),ISNUMBER(M2275)),IF(M2275&gt;0,Q2275/M2275,""),"")</f>
        <v/>
      </c>
      <c r="Y2275" s="11">
        <f>IF(ISNUMBER(Z2275),YEAR(Z2275),"")</f>
        <v/>
      </c>
      <c r="Z2275" s="12" t="n"/>
      <c r="AA2275" s="12" t="n"/>
      <c r="AI2275" s="12" t="n"/>
      <c r="AJ2275" s="13">
        <f>IF(LEN(TRIM(AF2275))=0,"",HYPERLINK("https://www.google.com/maps/@?api=1&amp;map_action=pano&amp;viewpoint="&amp;SUBSTITUTE(AF2275," ",""),"Abrir Street View"))</f>
        <v/>
      </c>
    </row>
    <row r="2276">
      <c r="H2276" s="6" t="n"/>
      <c r="I2276" s="6" t="n"/>
      <c r="M2276" s="7" t="n"/>
      <c r="N2276" s="7" t="n"/>
      <c r="O2276" s="7" t="n"/>
      <c r="Q2276" s="7" t="n"/>
      <c r="R2276" s="7" t="n"/>
      <c r="S2276" s="8">
        <f>IF(NOT(ISNUMBER(M2276)),"",IF(G2276="Terreno",IF(AND(ISNUMBER(I2276),I2276&gt;0),M2276/I2276,""),IF(AND(ISNUMBER(H2276),H2276&gt;0),M2276/H2276,"")))</f>
        <v/>
      </c>
      <c r="T2276" s="9">
        <f>IF(AND(ISNUMBER(M2276),ISNUMBER(O2276)),IF(M2276&lt;=O2276,"Valor ≤ venal IPTU",""),"")</f>
        <v/>
      </c>
      <c r="U2276" s="10">
        <f>IF(AND(ISNUMBER(M2276),ISNUMBER(N2276)),IF(N2276&gt;0,M2276/N2276,""),"")</f>
        <v/>
      </c>
      <c r="V2276" s="10">
        <f>IF(AND(ISNUMBER(M2276),ISNUMBER(O2276)),IF(O2276&gt;0,M2276/O2276,""),"")</f>
        <v/>
      </c>
      <c r="W2276" s="10">
        <f>IF(AND(ISNUMBER(M2276),ISNUMBER(R2276)),IF(R2276&gt;0,M2276/R2276,""),"")</f>
        <v/>
      </c>
      <c r="X2276" s="10">
        <f>IF(AND(ISNUMBER(Q2276),ISNUMBER(M2276)),IF(M2276&gt;0,Q2276/M2276,""),"")</f>
        <v/>
      </c>
      <c r="Y2276" s="11">
        <f>IF(ISNUMBER(Z2276),YEAR(Z2276),"")</f>
        <v/>
      </c>
      <c r="Z2276" s="12" t="n"/>
      <c r="AA2276" s="12" t="n"/>
      <c r="AI2276" s="12" t="n"/>
      <c r="AJ2276" s="13">
        <f>IF(LEN(TRIM(AF2276))=0,"",HYPERLINK("https://www.google.com/maps/@?api=1&amp;map_action=pano&amp;viewpoint="&amp;SUBSTITUTE(AF2276," ",""),"Abrir Street View"))</f>
        <v/>
      </c>
    </row>
    <row r="2277">
      <c r="H2277" s="6" t="n"/>
      <c r="I2277" s="6" t="n"/>
      <c r="M2277" s="7" t="n"/>
      <c r="N2277" s="7" t="n"/>
      <c r="O2277" s="7" t="n"/>
      <c r="Q2277" s="7" t="n"/>
      <c r="R2277" s="7" t="n"/>
      <c r="S2277" s="8">
        <f>IF(NOT(ISNUMBER(M2277)),"",IF(G2277="Terreno",IF(AND(ISNUMBER(I2277),I2277&gt;0),M2277/I2277,""),IF(AND(ISNUMBER(H2277),H2277&gt;0),M2277/H2277,"")))</f>
        <v/>
      </c>
      <c r="T2277" s="9">
        <f>IF(AND(ISNUMBER(M2277),ISNUMBER(O2277)),IF(M2277&lt;=O2277,"Valor ≤ venal IPTU",""),"")</f>
        <v/>
      </c>
      <c r="U2277" s="10">
        <f>IF(AND(ISNUMBER(M2277),ISNUMBER(N2277)),IF(N2277&gt;0,M2277/N2277,""),"")</f>
        <v/>
      </c>
      <c r="V2277" s="10">
        <f>IF(AND(ISNUMBER(M2277),ISNUMBER(O2277)),IF(O2277&gt;0,M2277/O2277,""),"")</f>
        <v/>
      </c>
      <c r="W2277" s="10">
        <f>IF(AND(ISNUMBER(M2277),ISNUMBER(R2277)),IF(R2277&gt;0,M2277/R2277,""),"")</f>
        <v/>
      </c>
      <c r="X2277" s="10">
        <f>IF(AND(ISNUMBER(Q2277),ISNUMBER(M2277)),IF(M2277&gt;0,Q2277/M2277,""),"")</f>
        <v/>
      </c>
      <c r="Y2277" s="11">
        <f>IF(ISNUMBER(Z2277),YEAR(Z2277),"")</f>
        <v/>
      </c>
      <c r="Z2277" s="12" t="n"/>
      <c r="AA2277" s="12" t="n"/>
      <c r="AI2277" s="12" t="n"/>
      <c r="AJ2277" s="13">
        <f>IF(LEN(TRIM(AF2277))=0,"",HYPERLINK("https://www.google.com/maps/@?api=1&amp;map_action=pano&amp;viewpoint="&amp;SUBSTITUTE(AF2277," ",""),"Abrir Street View"))</f>
        <v/>
      </c>
    </row>
    <row r="2278">
      <c r="H2278" s="6" t="n"/>
      <c r="I2278" s="6" t="n"/>
      <c r="M2278" s="7" t="n"/>
      <c r="N2278" s="7" t="n"/>
      <c r="O2278" s="7" t="n"/>
      <c r="Q2278" s="7" t="n"/>
      <c r="R2278" s="7" t="n"/>
      <c r="S2278" s="8">
        <f>IF(NOT(ISNUMBER(M2278)),"",IF(G2278="Terreno",IF(AND(ISNUMBER(I2278),I2278&gt;0),M2278/I2278,""),IF(AND(ISNUMBER(H2278),H2278&gt;0),M2278/H2278,"")))</f>
        <v/>
      </c>
      <c r="T2278" s="9">
        <f>IF(AND(ISNUMBER(M2278),ISNUMBER(O2278)),IF(M2278&lt;=O2278,"Valor ≤ venal IPTU",""),"")</f>
        <v/>
      </c>
      <c r="U2278" s="10">
        <f>IF(AND(ISNUMBER(M2278),ISNUMBER(N2278)),IF(N2278&gt;0,M2278/N2278,""),"")</f>
        <v/>
      </c>
      <c r="V2278" s="10">
        <f>IF(AND(ISNUMBER(M2278),ISNUMBER(O2278)),IF(O2278&gt;0,M2278/O2278,""),"")</f>
        <v/>
      </c>
      <c r="W2278" s="10">
        <f>IF(AND(ISNUMBER(M2278),ISNUMBER(R2278)),IF(R2278&gt;0,M2278/R2278,""),"")</f>
        <v/>
      </c>
      <c r="X2278" s="10">
        <f>IF(AND(ISNUMBER(Q2278),ISNUMBER(M2278)),IF(M2278&gt;0,Q2278/M2278,""),"")</f>
        <v/>
      </c>
      <c r="Y2278" s="11">
        <f>IF(ISNUMBER(Z2278),YEAR(Z2278),"")</f>
        <v/>
      </c>
      <c r="Z2278" s="12" t="n"/>
      <c r="AA2278" s="12" t="n"/>
      <c r="AI2278" s="12" t="n"/>
      <c r="AJ2278" s="13">
        <f>IF(LEN(TRIM(AF2278))=0,"",HYPERLINK("https://www.google.com/maps/@?api=1&amp;map_action=pano&amp;viewpoint="&amp;SUBSTITUTE(AF2278," ",""),"Abrir Street View"))</f>
        <v/>
      </c>
    </row>
    <row r="2279">
      <c r="H2279" s="6" t="n"/>
      <c r="I2279" s="6" t="n"/>
      <c r="M2279" s="7" t="n"/>
      <c r="N2279" s="7" t="n"/>
      <c r="O2279" s="7" t="n"/>
      <c r="Q2279" s="7" t="n"/>
      <c r="R2279" s="7" t="n"/>
      <c r="S2279" s="8">
        <f>IF(NOT(ISNUMBER(M2279)),"",IF(G2279="Terreno",IF(AND(ISNUMBER(I2279),I2279&gt;0),M2279/I2279,""),IF(AND(ISNUMBER(H2279),H2279&gt;0),M2279/H2279,"")))</f>
        <v/>
      </c>
      <c r="T2279" s="9">
        <f>IF(AND(ISNUMBER(M2279),ISNUMBER(O2279)),IF(M2279&lt;=O2279,"Valor ≤ venal IPTU",""),"")</f>
        <v/>
      </c>
      <c r="U2279" s="10">
        <f>IF(AND(ISNUMBER(M2279),ISNUMBER(N2279)),IF(N2279&gt;0,M2279/N2279,""),"")</f>
        <v/>
      </c>
      <c r="V2279" s="10">
        <f>IF(AND(ISNUMBER(M2279),ISNUMBER(O2279)),IF(O2279&gt;0,M2279/O2279,""),"")</f>
        <v/>
      </c>
      <c r="W2279" s="10">
        <f>IF(AND(ISNUMBER(M2279),ISNUMBER(R2279)),IF(R2279&gt;0,M2279/R2279,""),"")</f>
        <v/>
      </c>
      <c r="X2279" s="10">
        <f>IF(AND(ISNUMBER(Q2279),ISNUMBER(M2279)),IF(M2279&gt;0,Q2279/M2279,""),"")</f>
        <v/>
      </c>
      <c r="Y2279" s="11">
        <f>IF(ISNUMBER(Z2279),YEAR(Z2279),"")</f>
        <v/>
      </c>
      <c r="Z2279" s="12" t="n"/>
      <c r="AA2279" s="12" t="n"/>
      <c r="AI2279" s="12" t="n"/>
      <c r="AJ2279" s="13">
        <f>IF(LEN(TRIM(AF2279))=0,"",HYPERLINK("https://www.google.com/maps/@?api=1&amp;map_action=pano&amp;viewpoint="&amp;SUBSTITUTE(AF2279," ",""),"Abrir Street View"))</f>
        <v/>
      </c>
    </row>
    <row r="2280">
      <c r="H2280" s="6" t="n"/>
      <c r="I2280" s="6" t="n"/>
      <c r="M2280" s="7" t="n"/>
      <c r="N2280" s="7" t="n"/>
      <c r="O2280" s="7" t="n"/>
      <c r="Q2280" s="7" t="n"/>
      <c r="R2280" s="7" t="n"/>
      <c r="S2280" s="8">
        <f>IF(NOT(ISNUMBER(M2280)),"",IF(G2280="Terreno",IF(AND(ISNUMBER(I2280),I2280&gt;0),M2280/I2280,""),IF(AND(ISNUMBER(H2280),H2280&gt;0),M2280/H2280,"")))</f>
        <v/>
      </c>
      <c r="T2280" s="9">
        <f>IF(AND(ISNUMBER(M2280),ISNUMBER(O2280)),IF(M2280&lt;=O2280,"Valor ≤ venal IPTU",""),"")</f>
        <v/>
      </c>
      <c r="U2280" s="10">
        <f>IF(AND(ISNUMBER(M2280),ISNUMBER(N2280)),IF(N2280&gt;0,M2280/N2280,""),"")</f>
        <v/>
      </c>
      <c r="V2280" s="10">
        <f>IF(AND(ISNUMBER(M2280),ISNUMBER(O2280)),IF(O2280&gt;0,M2280/O2280,""),"")</f>
        <v/>
      </c>
      <c r="W2280" s="10">
        <f>IF(AND(ISNUMBER(M2280),ISNUMBER(R2280)),IF(R2280&gt;0,M2280/R2280,""),"")</f>
        <v/>
      </c>
      <c r="X2280" s="10">
        <f>IF(AND(ISNUMBER(Q2280),ISNUMBER(M2280)),IF(M2280&gt;0,Q2280/M2280,""),"")</f>
        <v/>
      </c>
      <c r="Y2280" s="11">
        <f>IF(ISNUMBER(Z2280),YEAR(Z2280),"")</f>
        <v/>
      </c>
      <c r="Z2280" s="12" t="n"/>
      <c r="AA2280" s="12" t="n"/>
      <c r="AI2280" s="12" t="n"/>
      <c r="AJ2280" s="13">
        <f>IF(LEN(TRIM(AF2280))=0,"",HYPERLINK("https://www.google.com/maps/@?api=1&amp;map_action=pano&amp;viewpoint="&amp;SUBSTITUTE(AF2280," ",""),"Abrir Street View"))</f>
        <v/>
      </c>
    </row>
    <row r="2281">
      <c r="H2281" s="6" t="n"/>
      <c r="I2281" s="6" t="n"/>
      <c r="M2281" s="7" t="n"/>
      <c r="N2281" s="7" t="n"/>
      <c r="O2281" s="7" t="n"/>
      <c r="Q2281" s="7" t="n"/>
      <c r="R2281" s="7" t="n"/>
      <c r="S2281" s="8">
        <f>IF(NOT(ISNUMBER(M2281)),"",IF(G2281="Terreno",IF(AND(ISNUMBER(I2281),I2281&gt;0),M2281/I2281,""),IF(AND(ISNUMBER(H2281),H2281&gt;0),M2281/H2281,"")))</f>
        <v/>
      </c>
      <c r="T2281" s="9">
        <f>IF(AND(ISNUMBER(M2281),ISNUMBER(O2281)),IF(M2281&lt;=O2281,"Valor ≤ venal IPTU",""),"")</f>
        <v/>
      </c>
      <c r="U2281" s="10">
        <f>IF(AND(ISNUMBER(M2281),ISNUMBER(N2281)),IF(N2281&gt;0,M2281/N2281,""),"")</f>
        <v/>
      </c>
      <c r="V2281" s="10">
        <f>IF(AND(ISNUMBER(M2281),ISNUMBER(O2281)),IF(O2281&gt;0,M2281/O2281,""),"")</f>
        <v/>
      </c>
      <c r="W2281" s="10">
        <f>IF(AND(ISNUMBER(M2281),ISNUMBER(R2281)),IF(R2281&gt;0,M2281/R2281,""),"")</f>
        <v/>
      </c>
      <c r="X2281" s="10">
        <f>IF(AND(ISNUMBER(Q2281),ISNUMBER(M2281)),IF(M2281&gt;0,Q2281/M2281,""),"")</f>
        <v/>
      </c>
      <c r="Y2281" s="11">
        <f>IF(ISNUMBER(Z2281),YEAR(Z2281),"")</f>
        <v/>
      </c>
      <c r="Z2281" s="12" t="n"/>
      <c r="AA2281" s="12" t="n"/>
      <c r="AI2281" s="12" t="n"/>
      <c r="AJ2281" s="13">
        <f>IF(LEN(TRIM(AF2281))=0,"",HYPERLINK("https://www.google.com/maps/@?api=1&amp;map_action=pano&amp;viewpoint="&amp;SUBSTITUTE(AF2281," ",""),"Abrir Street View"))</f>
        <v/>
      </c>
    </row>
    <row r="2282">
      <c r="H2282" s="6" t="n"/>
      <c r="I2282" s="6" t="n"/>
      <c r="M2282" s="7" t="n"/>
      <c r="N2282" s="7" t="n"/>
      <c r="O2282" s="7" t="n"/>
      <c r="Q2282" s="7" t="n"/>
      <c r="R2282" s="7" t="n"/>
      <c r="S2282" s="8">
        <f>IF(NOT(ISNUMBER(M2282)),"",IF(G2282="Terreno",IF(AND(ISNUMBER(I2282),I2282&gt;0),M2282/I2282,""),IF(AND(ISNUMBER(H2282),H2282&gt;0),M2282/H2282,"")))</f>
        <v/>
      </c>
      <c r="T2282" s="9">
        <f>IF(AND(ISNUMBER(M2282),ISNUMBER(O2282)),IF(M2282&lt;=O2282,"Valor ≤ venal IPTU",""),"")</f>
        <v/>
      </c>
      <c r="U2282" s="10">
        <f>IF(AND(ISNUMBER(M2282),ISNUMBER(N2282)),IF(N2282&gt;0,M2282/N2282,""),"")</f>
        <v/>
      </c>
      <c r="V2282" s="10">
        <f>IF(AND(ISNUMBER(M2282),ISNUMBER(O2282)),IF(O2282&gt;0,M2282/O2282,""),"")</f>
        <v/>
      </c>
      <c r="W2282" s="10">
        <f>IF(AND(ISNUMBER(M2282),ISNUMBER(R2282)),IF(R2282&gt;0,M2282/R2282,""),"")</f>
        <v/>
      </c>
      <c r="X2282" s="10">
        <f>IF(AND(ISNUMBER(Q2282),ISNUMBER(M2282)),IF(M2282&gt;0,Q2282/M2282,""),"")</f>
        <v/>
      </c>
      <c r="Y2282" s="11">
        <f>IF(ISNUMBER(Z2282),YEAR(Z2282),"")</f>
        <v/>
      </c>
      <c r="Z2282" s="12" t="n"/>
      <c r="AA2282" s="12" t="n"/>
      <c r="AI2282" s="12" t="n"/>
      <c r="AJ2282" s="13">
        <f>IF(LEN(TRIM(AF2282))=0,"",HYPERLINK("https://www.google.com/maps/@?api=1&amp;map_action=pano&amp;viewpoint="&amp;SUBSTITUTE(AF2282," ",""),"Abrir Street View"))</f>
        <v/>
      </c>
    </row>
    <row r="2283">
      <c r="H2283" s="6" t="n"/>
      <c r="I2283" s="6" t="n"/>
      <c r="M2283" s="7" t="n"/>
      <c r="N2283" s="7" t="n"/>
      <c r="O2283" s="7" t="n"/>
      <c r="Q2283" s="7" t="n"/>
      <c r="R2283" s="7" t="n"/>
      <c r="S2283" s="8">
        <f>IF(NOT(ISNUMBER(M2283)),"",IF(G2283="Terreno",IF(AND(ISNUMBER(I2283),I2283&gt;0),M2283/I2283,""),IF(AND(ISNUMBER(H2283),H2283&gt;0),M2283/H2283,"")))</f>
        <v/>
      </c>
      <c r="T2283" s="9">
        <f>IF(AND(ISNUMBER(M2283),ISNUMBER(O2283)),IF(M2283&lt;=O2283,"Valor ≤ venal IPTU",""),"")</f>
        <v/>
      </c>
      <c r="U2283" s="10">
        <f>IF(AND(ISNUMBER(M2283),ISNUMBER(N2283)),IF(N2283&gt;0,M2283/N2283,""),"")</f>
        <v/>
      </c>
      <c r="V2283" s="10">
        <f>IF(AND(ISNUMBER(M2283),ISNUMBER(O2283)),IF(O2283&gt;0,M2283/O2283,""),"")</f>
        <v/>
      </c>
      <c r="W2283" s="10">
        <f>IF(AND(ISNUMBER(M2283),ISNUMBER(R2283)),IF(R2283&gt;0,M2283/R2283,""),"")</f>
        <v/>
      </c>
      <c r="X2283" s="10">
        <f>IF(AND(ISNUMBER(Q2283),ISNUMBER(M2283)),IF(M2283&gt;0,Q2283/M2283,""),"")</f>
        <v/>
      </c>
      <c r="Y2283" s="11">
        <f>IF(ISNUMBER(Z2283),YEAR(Z2283),"")</f>
        <v/>
      </c>
      <c r="Z2283" s="12" t="n"/>
      <c r="AA2283" s="12" t="n"/>
      <c r="AI2283" s="12" t="n"/>
      <c r="AJ2283" s="13">
        <f>IF(LEN(TRIM(AF2283))=0,"",HYPERLINK("https://www.google.com/maps/@?api=1&amp;map_action=pano&amp;viewpoint="&amp;SUBSTITUTE(AF2283," ",""),"Abrir Street View"))</f>
        <v/>
      </c>
    </row>
    <row r="2284">
      <c r="H2284" s="6" t="n"/>
      <c r="I2284" s="6" t="n"/>
      <c r="M2284" s="7" t="n"/>
      <c r="N2284" s="7" t="n"/>
      <c r="O2284" s="7" t="n"/>
      <c r="Q2284" s="7" t="n"/>
      <c r="R2284" s="7" t="n"/>
      <c r="S2284" s="8">
        <f>IF(NOT(ISNUMBER(M2284)),"",IF(G2284="Terreno",IF(AND(ISNUMBER(I2284),I2284&gt;0),M2284/I2284,""),IF(AND(ISNUMBER(H2284),H2284&gt;0),M2284/H2284,"")))</f>
        <v/>
      </c>
      <c r="T2284" s="9">
        <f>IF(AND(ISNUMBER(M2284),ISNUMBER(O2284)),IF(M2284&lt;=O2284,"Valor ≤ venal IPTU",""),"")</f>
        <v/>
      </c>
      <c r="U2284" s="10">
        <f>IF(AND(ISNUMBER(M2284),ISNUMBER(N2284)),IF(N2284&gt;0,M2284/N2284,""),"")</f>
        <v/>
      </c>
      <c r="V2284" s="10">
        <f>IF(AND(ISNUMBER(M2284),ISNUMBER(O2284)),IF(O2284&gt;0,M2284/O2284,""),"")</f>
        <v/>
      </c>
      <c r="W2284" s="10">
        <f>IF(AND(ISNUMBER(M2284),ISNUMBER(R2284)),IF(R2284&gt;0,M2284/R2284,""),"")</f>
        <v/>
      </c>
      <c r="X2284" s="10">
        <f>IF(AND(ISNUMBER(Q2284),ISNUMBER(M2284)),IF(M2284&gt;0,Q2284/M2284,""),"")</f>
        <v/>
      </c>
      <c r="Y2284" s="11">
        <f>IF(ISNUMBER(Z2284),YEAR(Z2284),"")</f>
        <v/>
      </c>
      <c r="Z2284" s="12" t="n"/>
      <c r="AA2284" s="12" t="n"/>
      <c r="AI2284" s="12" t="n"/>
      <c r="AJ2284" s="13">
        <f>IF(LEN(TRIM(AF2284))=0,"",HYPERLINK("https://www.google.com/maps/@?api=1&amp;map_action=pano&amp;viewpoint="&amp;SUBSTITUTE(AF2284," ",""),"Abrir Street View"))</f>
        <v/>
      </c>
    </row>
    <row r="2285">
      <c r="H2285" s="6" t="n"/>
      <c r="I2285" s="6" t="n"/>
      <c r="M2285" s="7" t="n"/>
      <c r="N2285" s="7" t="n"/>
      <c r="O2285" s="7" t="n"/>
      <c r="Q2285" s="7" t="n"/>
      <c r="R2285" s="7" t="n"/>
      <c r="S2285" s="8">
        <f>IF(NOT(ISNUMBER(M2285)),"",IF(G2285="Terreno",IF(AND(ISNUMBER(I2285),I2285&gt;0),M2285/I2285,""),IF(AND(ISNUMBER(H2285),H2285&gt;0),M2285/H2285,"")))</f>
        <v/>
      </c>
      <c r="T2285" s="9">
        <f>IF(AND(ISNUMBER(M2285),ISNUMBER(O2285)),IF(M2285&lt;=O2285,"Valor ≤ venal IPTU",""),"")</f>
        <v/>
      </c>
      <c r="U2285" s="10">
        <f>IF(AND(ISNUMBER(M2285),ISNUMBER(N2285)),IF(N2285&gt;0,M2285/N2285,""),"")</f>
        <v/>
      </c>
      <c r="V2285" s="10">
        <f>IF(AND(ISNUMBER(M2285),ISNUMBER(O2285)),IF(O2285&gt;0,M2285/O2285,""),"")</f>
        <v/>
      </c>
      <c r="W2285" s="10">
        <f>IF(AND(ISNUMBER(M2285),ISNUMBER(R2285)),IF(R2285&gt;0,M2285/R2285,""),"")</f>
        <v/>
      </c>
      <c r="X2285" s="10">
        <f>IF(AND(ISNUMBER(Q2285),ISNUMBER(M2285)),IF(M2285&gt;0,Q2285/M2285,""),"")</f>
        <v/>
      </c>
      <c r="Y2285" s="11">
        <f>IF(ISNUMBER(Z2285),YEAR(Z2285),"")</f>
        <v/>
      </c>
      <c r="Z2285" s="12" t="n"/>
      <c r="AA2285" s="12" t="n"/>
      <c r="AI2285" s="12" t="n"/>
      <c r="AJ2285" s="13">
        <f>IF(LEN(TRIM(AF2285))=0,"",HYPERLINK("https://www.google.com/maps/@?api=1&amp;map_action=pano&amp;viewpoint="&amp;SUBSTITUTE(AF2285," ",""),"Abrir Street View"))</f>
        <v/>
      </c>
    </row>
    <row r="2286">
      <c r="H2286" s="6" t="n"/>
      <c r="I2286" s="6" t="n"/>
      <c r="M2286" s="7" t="n"/>
      <c r="N2286" s="7" t="n"/>
      <c r="O2286" s="7" t="n"/>
      <c r="Q2286" s="7" t="n"/>
      <c r="R2286" s="7" t="n"/>
      <c r="S2286" s="8">
        <f>IF(NOT(ISNUMBER(M2286)),"",IF(G2286="Terreno",IF(AND(ISNUMBER(I2286),I2286&gt;0),M2286/I2286,""),IF(AND(ISNUMBER(H2286),H2286&gt;0),M2286/H2286,"")))</f>
        <v/>
      </c>
      <c r="T2286" s="9">
        <f>IF(AND(ISNUMBER(M2286),ISNUMBER(O2286)),IF(M2286&lt;=O2286,"Valor ≤ venal IPTU",""),"")</f>
        <v/>
      </c>
      <c r="U2286" s="10">
        <f>IF(AND(ISNUMBER(M2286),ISNUMBER(N2286)),IF(N2286&gt;0,M2286/N2286,""),"")</f>
        <v/>
      </c>
      <c r="V2286" s="10">
        <f>IF(AND(ISNUMBER(M2286),ISNUMBER(O2286)),IF(O2286&gt;0,M2286/O2286,""),"")</f>
        <v/>
      </c>
      <c r="W2286" s="10">
        <f>IF(AND(ISNUMBER(M2286),ISNUMBER(R2286)),IF(R2286&gt;0,M2286/R2286,""),"")</f>
        <v/>
      </c>
      <c r="X2286" s="10">
        <f>IF(AND(ISNUMBER(Q2286),ISNUMBER(M2286)),IF(M2286&gt;0,Q2286/M2286,""),"")</f>
        <v/>
      </c>
      <c r="Y2286" s="11">
        <f>IF(ISNUMBER(Z2286),YEAR(Z2286),"")</f>
        <v/>
      </c>
      <c r="Z2286" s="12" t="n"/>
      <c r="AA2286" s="12" t="n"/>
      <c r="AI2286" s="12" t="n"/>
      <c r="AJ2286" s="13">
        <f>IF(LEN(TRIM(AF2286))=0,"",HYPERLINK("https://www.google.com/maps/@?api=1&amp;map_action=pano&amp;viewpoint="&amp;SUBSTITUTE(AF2286," ",""),"Abrir Street View"))</f>
        <v/>
      </c>
    </row>
    <row r="2287">
      <c r="H2287" s="6" t="n"/>
      <c r="I2287" s="6" t="n"/>
      <c r="M2287" s="7" t="n"/>
      <c r="N2287" s="7" t="n"/>
      <c r="O2287" s="7" t="n"/>
      <c r="Q2287" s="7" t="n"/>
      <c r="R2287" s="7" t="n"/>
      <c r="S2287" s="8">
        <f>IF(NOT(ISNUMBER(M2287)),"",IF(G2287="Terreno",IF(AND(ISNUMBER(I2287),I2287&gt;0),M2287/I2287,""),IF(AND(ISNUMBER(H2287),H2287&gt;0),M2287/H2287,"")))</f>
        <v/>
      </c>
      <c r="T2287" s="9">
        <f>IF(AND(ISNUMBER(M2287),ISNUMBER(O2287)),IF(M2287&lt;=O2287,"Valor ≤ venal IPTU",""),"")</f>
        <v/>
      </c>
      <c r="U2287" s="10">
        <f>IF(AND(ISNUMBER(M2287),ISNUMBER(N2287)),IF(N2287&gt;0,M2287/N2287,""),"")</f>
        <v/>
      </c>
      <c r="V2287" s="10">
        <f>IF(AND(ISNUMBER(M2287),ISNUMBER(O2287)),IF(O2287&gt;0,M2287/O2287,""),"")</f>
        <v/>
      </c>
      <c r="W2287" s="10">
        <f>IF(AND(ISNUMBER(M2287),ISNUMBER(R2287)),IF(R2287&gt;0,M2287/R2287,""),"")</f>
        <v/>
      </c>
      <c r="X2287" s="10">
        <f>IF(AND(ISNUMBER(Q2287),ISNUMBER(M2287)),IF(M2287&gt;0,Q2287/M2287,""),"")</f>
        <v/>
      </c>
      <c r="Y2287" s="11">
        <f>IF(ISNUMBER(Z2287),YEAR(Z2287),"")</f>
        <v/>
      </c>
      <c r="Z2287" s="12" t="n"/>
      <c r="AA2287" s="12" t="n"/>
      <c r="AI2287" s="12" t="n"/>
      <c r="AJ2287" s="13">
        <f>IF(LEN(TRIM(AF2287))=0,"",HYPERLINK("https://www.google.com/maps/@?api=1&amp;map_action=pano&amp;viewpoint="&amp;SUBSTITUTE(AF2287," ",""),"Abrir Street View"))</f>
        <v/>
      </c>
    </row>
    <row r="2288">
      <c r="H2288" s="6" t="n"/>
      <c r="I2288" s="6" t="n"/>
      <c r="M2288" s="7" t="n"/>
      <c r="N2288" s="7" t="n"/>
      <c r="O2288" s="7" t="n"/>
      <c r="Q2288" s="7" t="n"/>
      <c r="R2288" s="7" t="n"/>
      <c r="S2288" s="8">
        <f>IF(NOT(ISNUMBER(M2288)),"",IF(G2288="Terreno",IF(AND(ISNUMBER(I2288),I2288&gt;0),M2288/I2288,""),IF(AND(ISNUMBER(H2288),H2288&gt;0),M2288/H2288,"")))</f>
        <v/>
      </c>
      <c r="T2288" s="9">
        <f>IF(AND(ISNUMBER(M2288),ISNUMBER(O2288)),IF(M2288&lt;=O2288,"Valor ≤ venal IPTU",""),"")</f>
        <v/>
      </c>
      <c r="U2288" s="10">
        <f>IF(AND(ISNUMBER(M2288),ISNUMBER(N2288)),IF(N2288&gt;0,M2288/N2288,""),"")</f>
        <v/>
      </c>
      <c r="V2288" s="10">
        <f>IF(AND(ISNUMBER(M2288),ISNUMBER(O2288)),IF(O2288&gt;0,M2288/O2288,""),"")</f>
        <v/>
      </c>
      <c r="W2288" s="10">
        <f>IF(AND(ISNUMBER(M2288),ISNUMBER(R2288)),IF(R2288&gt;0,M2288/R2288,""),"")</f>
        <v/>
      </c>
      <c r="X2288" s="10">
        <f>IF(AND(ISNUMBER(Q2288),ISNUMBER(M2288)),IF(M2288&gt;0,Q2288/M2288,""),"")</f>
        <v/>
      </c>
      <c r="Y2288" s="11">
        <f>IF(ISNUMBER(Z2288),YEAR(Z2288),"")</f>
        <v/>
      </c>
      <c r="Z2288" s="12" t="n"/>
      <c r="AA2288" s="12" t="n"/>
      <c r="AI2288" s="12" t="n"/>
      <c r="AJ2288" s="13">
        <f>IF(LEN(TRIM(AF2288))=0,"",HYPERLINK("https://www.google.com/maps/@?api=1&amp;map_action=pano&amp;viewpoint="&amp;SUBSTITUTE(AF2288," ",""),"Abrir Street View"))</f>
        <v/>
      </c>
    </row>
    <row r="2289">
      <c r="H2289" s="6" t="n"/>
      <c r="I2289" s="6" t="n"/>
      <c r="M2289" s="7" t="n"/>
      <c r="N2289" s="7" t="n"/>
      <c r="O2289" s="7" t="n"/>
      <c r="Q2289" s="7" t="n"/>
      <c r="R2289" s="7" t="n"/>
      <c r="S2289" s="8">
        <f>IF(NOT(ISNUMBER(M2289)),"",IF(G2289="Terreno",IF(AND(ISNUMBER(I2289),I2289&gt;0),M2289/I2289,""),IF(AND(ISNUMBER(H2289),H2289&gt;0),M2289/H2289,"")))</f>
        <v/>
      </c>
      <c r="T2289" s="9">
        <f>IF(AND(ISNUMBER(M2289),ISNUMBER(O2289)),IF(M2289&lt;=O2289,"Valor ≤ venal IPTU",""),"")</f>
        <v/>
      </c>
      <c r="U2289" s="10">
        <f>IF(AND(ISNUMBER(M2289),ISNUMBER(N2289)),IF(N2289&gt;0,M2289/N2289,""),"")</f>
        <v/>
      </c>
      <c r="V2289" s="10">
        <f>IF(AND(ISNUMBER(M2289),ISNUMBER(O2289)),IF(O2289&gt;0,M2289/O2289,""),"")</f>
        <v/>
      </c>
      <c r="W2289" s="10">
        <f>IF(AND(ISNUMBER(M2289),ISNUMBER(R2289)),IF(R2289&gt;0,M2289/R2289,""),"")</f>
        <v/>
      </c>
      <c r="X2289" s="10">
        <f>IF(AND(ISNUMBER(Q2289),ISNUMBER(M2289)),IF(M2289&gt;0,Q2289/M2289,""),"")</f>
        <v/>
      </c>
      <c r="Y2289" s="11">
        <f>IF(ISNUMBER(Z2289),YEAR(Z2289),"")</f>
        <v/>
      </c>
      <c r="Z2289" s="12" t="n"/>
      <c r="AA2289" s="12" t="n"/>
      <c r="AI2289" s="12" t="n"/>
      <c r="AJ2289" s="13">
        <f>IF(LEN(TRIM(AF2289))=0,"",HYPERLINK("https://www.google.com/maps/@?api=1&amp;map_action=pano&amp;viewpoint="&amp;SUBSTITUTE(AF2289," ",""),"Abrir Street View"))</f>
        <v/>
      </c>
    </row>
    <row r="2290">
      <c r="H2290" s="6" t="n"/>
      <c r="I2290" s="6" t="n"/>
      <c r="M2290" s="7" t="n"/>
      <c r="N2290" s="7" t="n"/>
      <c r="O2290" s="7" t="n"/>
      <c r="Q2290" s="7" t="n"/>
      <c r="R2290" s="7" t="n"/>
      <c r="S2290" s="8">
        <f>IF(NOT(ISNUMBER(M2290)),"",IF(G2290="Terreno",IF(AND(ISNUMBER(I2290),I2290&gt;0),M2290/I2290,""),IF(AND(ISNUMBER(H2290),H2290&gt;0),M2290/H2290,"")))</f>
        <v/>
      </c>
      <c r="T2290" s="9">
        <f>IF(AND(ISNUMBER(M2290),ISNUMBER(O2290)),IF(M2290&lt;=O2290,"Valor ≤ venal IPTU",""),"")</f>
        <v/>
      </c>
      <c r="U2290" s="10">
        <f>IF(AND(ISNUMBER(M2290),ISNUMBER(N2290)),IF(N2290&gt;0,M2290/N2290,""),"")</f>
        <v/>
      </c>
      <c r="V2290" s="10">
        <f>IF(AND(ISNUMBER(M2290),ISNUMBER(O2290)),IF(O2290&gt;0,M2290/O2290,""),"")</f>
        <v/>
      </c>
      <c r="W2290" s="10">
        <f>IF(AND(ISNUMBER(M2290),ISNUMBER(R2290)),IF(R2290&gt;0,M2290/R2290,""),"")</f>
        <v/>
      </c>
      <c r="X2290" s="10">
        <f>IF(AND(ISNUMBER(Q2290),ISNUMBER(M2290)),IF(M2290&gt;0,Q2290/M2290,""),"")</f>
        <v/>
      </c>
      <c r="Y2290" s="11">
        <f>IF(ISNUMBER(Z2290),YEAR(Z2290),"")</f>
        <v/>
      </c>
      <c r="Z2290" s="12" t="n"/>
      <c r="AA2290" s="12" t="n"/>
      <c r="AI2290" s="12" t="n"/>
      <c r="AJ2290" s="13">
        <f>IF(LEN(TRIM(AF2290))=0,"",HYPERLINK("https://www.google.com/maps/@?api=1&amp;map_action=pano&amp;viewpoint="&amp;SUBSTITUTE(AF2290," ",""),"Abrir Street View"))</f>
        <v/>
      </c>
    </row>
    <row r="2291">
      <c r="H2291" s="6" t="n"/>
      <c r="I2291" s="6" t="n"/>
      <c r="M2291" s="7" t="n"/>
      <c r="N2291" s="7" t="n"/>
      <c r="O2291" s="7" t="n"/>
      <c r="Q2291" s="7" t="n"/>
      <c r="R2291" s="7" t="n"/>
      <c r="S2291" s="8">
        <f>IF(NOT(ISNUMBER(M2291)),"",IF(G2291="Terreno",IF(AND(ISNUMBER(I2291),I2291&gt;0),M2291/I2291,""),IF(AND(ISNUMBER(H2291),H2291&gt;0),M2291/H2291,"")))</f>
        <v/>
      </c>
      <c r="T2291" s="9">
        <f>IF(AND(ISNUMBER(M2291),ISNUMBER(O2291)),IF(M2291&lt;=O2291,"Valor ≤ venal IPTU",""),"")</f>
        <v/>
      </c>
      <c r="U2291" s="10">
        <f>IF(AND(ISNUMBER(M2291),ISNUMBER(N2291)),IF(N2291&gt;0,M2291/N2291,""),"")</f>
        <v/>
      </c>
      <c r="V2291" s="10">
        <f>IF(AND(ISNUMBER(M2291),ISNUMBER(O2291)),IF(O2291&gt;0,M2291/O2291,""),"")</f>
        <v/>
      </c>
      <c r="W2291" s="10">
        <f>IF(AND(ISNUMBER(M2291),ISNUMBER(R2291)),IF(R2291&gt;0,M2291/R2291,""),"")</f>
        <v/>
      </c>
      <c r="X2291" s="10">
        <f>IF(AND(ISNUMBER(Q2291),ISNUMBER(M2291)),IF(M2291&gt;0,Q2291/M2291,""),"")</f>
        <v/>
      </c>
      <c r="Y2291" s="11">
        <f>IF(ISNUMBER(Z2291),YEAR(Z2291),"")</f>
        <v/>
      </c>
      <c r="Z2291" s="12" t="n"/>
      <c r="AA2291" s="12" t="n"/>
      <c r="AI2291" s="12" t="n"/>
      <c r="AJ2291" s="13">
        <f>IF(LEN(TRIM(AF2291))=0,"",HYPERLINK("https://www.google.com/maps/@?api=1&amp;map_action=pano&amp;viewpoint="&amp;SUBSTITUTE(AF2291," ",""),"Abrir Street View"))</f>
        <v/>
      </c>
    </row>
    <row r="2292">
      <c r="H2292" s="6" t="n"/>
      <c r="I2292" s="6" t="n"/>
      <c r="M2292" s="7" t="n"/>
      <c r="N2292" s="7" t="n"/>
      <c r="O2292" s="7" t="n"/>
      <c r="Q2292" s="7" t="n"/>
      <c r="R2292" s="7" t="n"/>
      <c r="S2292" s="8">
        <f>IF(NOT(ISNUMBER(M2292)),"",IF(G2292="Terreno",IF(AND(ISNUMBER(I2292),I2292&gt;0),M2292/I2292,""),IF(AND(ISNUMBER(H2292),H2292&gt;0),M2292/H2292,"")))</f>
        <v/>
      </c>
      <c r="T2292" s="9">
        <f>IF(AND(ISNUMBER(M2292),ISNUMBER(O2292)),IF(M2292&lt;=O2292,"Valor ≤ venal IPTU",""),"")</f>
        <v/>
      </c>
      <c r="U2292" s="10">
        <f>IF(AND(ISNUMBER(M2292),ISNUMBER(N2292)),IF(N2292&gt;0,M2292/N2292,""),"")</f>
        <v/>
      </c>
      <c r="V2292" s="10">
        <f>IF(AND(ISNUMBER(M2292),ISNUMBER(O2292)),IF(O2292&gt;0,M2292/O2292,""),"")</f>
        <v/>
      </c>
      <c r="W2292" s="10">
        <f>IF(AND(ISNUMBER(M2292),ISNUMBER(R2292)),IF(R2292&gt;0,M2292/R2292,""),"")</f>
        <v/>
      </c>
      <c r="X2292" s="10">
        <f>IF(AND(ISNUMBER(Q2292),ISNUMBER(M2292)),IF(M2292&gt;0,Q2292/M2292,""),"")</f>
        <v/>
      </c>
      <c r="Y2292" s="11">
        <f>IF(ISNUMBER(Z2292),YEAR(Z2292),"")</f>
        <v/>
      </c>
      <c r="Z2292" s="12" t="n"/>
      <c r="AA2292" s="12" t="n"/>
      <c r="AI2292" s="12" t="n"/>
      <c r="AJ2292" s="13">
        <f>IF(LEN(TRIM(AF2292))=0,"",HYPERLINK("https://www.google.com/maps/@?api=1&amp;map_action=pano&amp;viewpoint="&amp;SUBSTITUTE(AF2292," ",""),"Abrir Street View"))</f>
        <v/>
      </c>
    </row>
    <row r="2293">
      <c r="H2293" s="6" t="n"/>
      <c r="I2293" s="6" t="n"/>
      <c r="M2293" s="7" t="n"/>
      <c r="N2293" s="7" t="n"/>
      <c r="O2293" s="7" t="n"/>
      <c r="Q2293" s="7" t="n"/>
      <c r="R2293" s="7" t="n"/>
      <c r="S2293" s="8">
        <f>IF(NOT(ISNUMBER(M2293)),"",IF(G2293="Terreno",IF(AND(ISNUMBER(I2293),I2293&gt;0),M2293/I2293,""),IF(AND(ISNUMBER(H2293),H2293&gt;0),M2293/H2293,"")))</f>
        <v/>
      </c>
      <c r="T2293" s="9">
        <f>IF(AND(ISNUMBER(M2293),ISNUMBER(O2293)),IF(M2293&lt;=O2293,"Valor ≤ venal IPTU",""),"")</f>
        <v/>
      </c>
      <c r="U2293" s="10">
        <f>IF(AND(ISNUMBER(M2293),ISNUMBER(N2293)),IF(N2293&gt;0,M2293/N2293,""),"")</f>
        <v/>
      </c>
      <c r="V2293" s="10">
        <f>IF(AND(ISNUMBER(M2293),ISNUMBER(O2293)),IF(O2293&gt;0,M2293/O2293,""),"")</f>
        <v/>
      </c>
      <c r="W2293" s="10">
        <f>IF(AND(ISNUMBER(M2293),ISNUMBER(R2293)),IF(R2293&gt;0,M2293/R2293,""),"")</f>
        <v/>
      </c>
      <c r="X2293" s="10">
        <f>IF(AND(ISNUMBER(Q2293),ISNUMBER(M2293)),IF(M2293&gt;0,Q2293/M2293,""),"")</f>
        <v/>
      </c>
      <c r="Y2293" s="11">
        <f>IF(ISNUMBER(Z2293),YEAR(Z2293),"")</f>
        <v/>
      </c>
      <c r="Z2293" s="12" t="n"/>
      <c r="AA2293" s="12" t="n"/>
      <c r="AI2293" s="12" t="n"/>
      <c r="AJ2293" s="13">
        <f>IF(LEN(TRIM(AF2293))=0,"",HYPERLINK("https://www.google.com/maps/@?api=1&amp;map_action=pano&amp;viewpoint="&amp;SUBSTITUTE(AF2293," ",""),"Abrir Street View"))</f>
        <v/>
      </c>
    </row>
    <row r="2294">
      <c r="H2294" s="6" t="n"/>
      <c r="I2294" s="6" t="n"/>
      <c r="M2294" s="7" t="n"/>
      <c r="N2294" s="7" t="n"/>
      <c r="O2294" s="7" t="n"/>
      <c r="Q2294" s="7" t="n"/>
      <c r="R2294" s="7" t="n"/>
      <c r="S2294" s="8">
        <f>IF(NOT(ISNUMBER(M2294)),"",IF(G2294="Terreno",IF(AND(ISNUMBER(I2294),I2294&gt;0),M2294/I2294,""),IF(AND(ISNUMBER(H2294),H2294&gt;0),M2294/H2294,"")))</f>
        <v/>
      </c>
      <c r="T2294" s="9">
        <f>IF(AND(ISNUMBER(M2294),ISNUMBER(O2294)),IF(M2294&lt;=O2294,"Valor ≤ venal IPTU",""),"")</f>
        <v/>
      </c>
      <c r="U2294" s="10">
        <f>IF(AND(ISNUMBER(M2294),ISNUMBER(N2294)),IF(N2294&gt;0,M2294/N2294,""),"")</f>
        <v/>
      </c>
      <c r="V2294" s="10">
        <f>IF(AND(ISNUMBER(M2294),ISNUMBER(O2294)),IF(O2294&gt;0,M2294/O2294,""),"")</f>
        <v/>
      </c>
      <c r="W2294" s="10">
        <f>IF(AND(ISNUMBER(M2294),ISNUMBER(R2294)),IF(R2294&gt;0,M2294/R2294,""),"")</f>
        <v/>
      </c>
      <c r="X2294" s="10">
        <f>IF(AND(ISNUMBER(Q2294),ISNUMBER(M2294)),IF(M2294&gt;0,Q2294/M2294,""),"")</f>
        <v/>
      </c>
      <c r="Y2294" s="11">
        <f>IF(ISNUMBER(Z2294),YEAR(Z2294),"")</f>
        <v/>
      </c>
      <c r="Z2294" s="12" t="n"/>
      <c r="AA2294" s="12" t="n"/>
      <c r="AI2294" s="12" t="n"/>
      <c r="AJ2294" s="13">
        <f>IF(LEN(TRIM(AF2294))=0,"",HYPERLINK("https://www.google.com/maps/@?api=1&amp;map_action=pano&amp;viewpoint="&amp;SUBSTITUTE(AF2294," ",""),"Abrir Street View"))</f>
        <v/>
      </c>
    </row>
    <row r="2295">
      <c r="H2295" s="6" t="n"/>
      <c r="I2295" s="6" t="n"/>
      <c r="M2295" s="7" t="n"/>
      <c r="N2295" s="7" t="n"/>
      <c r="O2295" s="7" t="n"/>
      <c r="Q2295" s="7" t="n"/>
      <c r="R2295" s="7" t="n"/>
      <c r="S2295" s="8">
        <f>IF(NOT(ISNUMBER(M2295)),"",IF(G2295="Terreno",IF(AND(ISNUMBER(I2295),I2295&gt;0),M2295/I2295,""),IF(AND(ISNUMBER(H2295),H2295&gt;0),M2295/H2295,"")))</f>
        <v/>
      </c>
      <c r="T2295" s="9">
        <f>IF(AND(ISNUMBER(M2295),ISNUMBER(O2295)),IF(M2295&lt;=O2295,"Valor ≤ venal IPTU",""),"")</f>
        <v/>
      </c>
      <c r="U2295" s="10">
        <f>IF(AND(ISNUMBER(M2295),ISNUMBER(N2295)),IF(N2295&gt;0,M2295/N2295,""),"")</f>
        <v/>
      </c>
      <c r="V2295" s="10">
        <f>IF(AND(ISNUMBER(M2295),ISNUMBER(O2295)),IF(O2295&gt;0,M2295/O2295,""),"")</f>
        <v/>
      </c>
      <c r="W2295" s="10">
        <f>IF(AND(ISNUMBER(M2295),ISNUMBER(R2295)),IF(R2295&gt;0,M2295/R2295,""),"")</f>
        <v/>
      </c>
      <c r="X2295" s="10">
        <f>IF(AND(ISNUMBER(Q2295),ISNUMBER(M2295)),IF(M2295&gt;0,Q2295/M2295,""),"")</f>
        <v/>
      </c>
      <c r="Y2295" s="11">
        <f>IF(ISNUMBER(Z2295),YEAR(Z2295),"")</f>
        <v/>
      </c>
      <c r="Z2295" s="12" t="n"/>
      <c r="AA2295" s="12" t="n"/>
      <c r="AI2295" s="12" t="n"/>
      <c r="AJ2295" s="13">
        <f>IF(LEN(TRIM(AF2295))=0,"",HYPERLINK("https://www.google.com/maps/@?api=1&amp;map_action=pano&amp;viewpoint="&amp;SUBSTITUTE(AF2295," ",""),"Abrir Street View"))</f>
        <v/>
      </c>
    </row>
    <row r="2296">
      <c r="H2296" s="6" t="n"/>
      <c r="I2296" s="6" t="n"/>
      <c r="M2296" s="7" t="n"/>
      <c r="N2296" s="7" t="n"/>
      <c r="O2296" s="7" t="n"/>
      <c r="Q2296" s="7" t="n"/>
      <c r="R2296" s="7" t="n"/>
      <c r="S2296" s="8">
        <f>IF(NOT(ISNUMBER(M2296)),"",IF(G2296="Terreno",IF(AND(ISNUMBER(I2296),I2296&gt;0),M2296/I2296,""),IF(AND(ISNUMBER(H2296),H2296&gt;0),M2296/H2296,"")))</f>
        <v/>
      </c>
      <c r="T2296" s="9">
        <f>IF(AND(ISNUMBER(M2296),ISNUMBER(O2296)),IF(M2296&lt;=O2296,"Valor ≤ venal IPTU",""),"")</f>
        <v/>
      </c>
      <c r="U2296" s="10">
        <f>IF(AND(ISNUMBER(M2296),ISNUMBER(N2296)),IF(N2296&gt;0,M2296/N2296,""),"")</f>
        <v/>
      </c>
      <c r="V2296" s="10">
        <f>IF(AND(ISNUMBER(M2296),ISNUMBER(O2296)),IF(O2296&gt;0,M2296/O2296,""),"")</f>
        <v/>
      </c>
      <c r="W2296" s="10">
        <f>IF(AND(ISNUMBER(M2296),ISNUMBER(R2296)),IF(R2296&gt;0,M2296/R2296,""),"")</f>
        <v/>
      </c>
      <c r="X2296" s="10">
        <f>IF(AND(ISNUMBER(Q2296),ISNUMBER(M2296)),IF(M2296&gt;0,Q2296/M2296,""),"")</f>
        <v/>
      </c>
      <c r="Y2296" s="11">
        <f>IF(ISNUMBER(Z2296),YEAR(Z2296),"")</f>
        <v/>
      </c>
      <c r="Z2296" s="12" t="n"/>
      <c r="AA2296" s="12" t="n"/>
      <c r="AI2296" s="12" t="n"/>
      <c r="AJ2296" s="13">
        <f>IF(LEN(TRIM(AF2296))=0,"",HYPERLINK("https://www.google.com/maps/@?api=1&amp;map_action=pano&amp;viewpoint="&amp;SUBSTITUTE(AF2296," ",""),"Abrir Street View"))</f>
        <v/>
      </c>
    </row>
    <row r="2297">
      <c r="H2297" s="6" t="n"/>
      <c r="I2297" s="6" t="n"/>
      <c r="M2297" s="7" t="n"/>
      <c r="N2297" s="7" t="n"/>
      <c r="O2297" s="7" t="n"/>
      <c r="Q2297" s="7" t="n"/>
      <c r="R2297" s="7" t="n"/>
      <c r="S2297" s="8">
        <f>IF(NOT(ISNUMBER(M2297)),"",IF(G2297="Terreno",IF(AND(ISNUMBER(I2297),I2297&gt;0),M2297/I2297,""),IF(AND(ISNUMBER(H2297),H2297&gt;0),M2297/H2297,"")))</f>
        <v/>
      </c>
      <c r="T2297" s="9">
        <f>IF(AND(ISNUMBER(M2297),ISNUMBER(O2297)),IF(M2297&lt;=O2297,"Valor ≤ venal IPTU",""),"")</f>
        <v/>
      </c>
      <c r="U2297" s="10">
        <f>IF(AND(ISNUMBER(M2297),ISNUMBER(N2297)),IF(N2297&gt;0,M2297/N2297,""),"")</f>
        <v/>
      </c>
      <c r="V2297" s="10">
        <f>IF(AND(ISNUMBER(M2297),ISNUMBER(O2297)),IF(O2297&gt;0,M2297/O2297,""),"")</f>
        <v/>
      </c>
      <c r="W2297" s="10">
        <f>IF(AND(ISNUMBER(M2297),ISNUMBER(R2297)),IF(R2297&gt;0,M2297/R2297,""),"")</f>
        <v/>
      </c>
      <c r="X2297" s="10">
        <f>IF(AND(ISNUMBER(Q2297),ISNUMBER(M2297)),IF(M2297&gt;0,Q2297/M2297,""),"")</f>
        <v/>
      </c>
      <c r="Y2297" s="11">
        <f>IF(ISNUMBER(Z2297),YEAR(Z2297),"")</f>
        <v/>
      </c>
      <c r="Z2297" s="12" t="n"/>
      <c r="AA2297" s="12" t="n"/>
      <c r="AI2297" s="12" t="n"/>
      <c r="AJ2297" s="13">
        <f>IF(LEN(TRIM(AF2297))=0,"",HYPERLINK("https://www.google.com/maps/@?api=1&amp;map_action=pano&amp;viewpoint="&amp;SUBSTITUTE(AF2297," ",""),"Abrir Street View"))</f>
        <v/>
      </c>
    </row>
    <row r="2298">
      <c r="H2298" s="6" t="n"/>
      <c r="I2298" s="6" t="n"/>
      <c r="M2298" s="7" t="n"/>
      <c r="N2298" s="7" t="n"/>
      <c r="O2298" s="7" t="n"/>
      <c r="Q2298" s="7" t="n"/>
      <c r="R2298" s="7" t="n"/>
      <c r="S2298" s="8">
        <f>IF(NOT(ISNUMBER(M2298)),"",IF(G2298="Terreno",IF(AND(ISNUMBER(I2298),I2298&gt;0),M2298/I2298,""),IF(AND(ISNUMBER(H2298),H2298&gt;0),M2298/H2298,"")))</f>
        <v/>
      </c>
      <c r="T2298" s="9">
        <f>IF(AND(ISNUMBER(M2298),ISNUMBER(O2298)),IF(M2298&lt;=O2298,"Valor ≤ venal IPTU",""),"")</f>
        <v/>
      </c>
      <c r="U2298" s="10">
        <f>IF(AND(ISNUMBER(M2298),ISNUMBER(N2298)),IF(N2298&gt;0,M2298/N2298,""),"")</f>
        <v/>
      </c>
      <c r="V2298" s="10">
        <f>IF(AND(ISNUMBER(M2298),ISNUMBER(O2298)),IF(O2298&gt;0,M2298/O2298,""),"")</f>
        <v/>
      </c>
      <c r="W2298" s="10">
        <f>IF(AND(ISNUMBER(M2298),ISNUMBER(R2298)),IF(R2298&gt;0,M2298/R2298,""),"")</f>
        <v/>
      </c>
      <c r="X2298" s="10">
        <f>IF(AND(ISNUMBER(Q2298),ISNUMBER(M2298)),IF(M2298&gt;0,Q2298/M2298,""),"")</f>
        <v/>
      </c>
      <c r="Y2298" s="11">
        <f>IF(ISNUMBER(Z2298),YEAR(Z2298),"")</f>
        <v/>
      </c>
      <c r="Z2298" s="12" t="n"/>
      <c r="AA2298" s="12" t="n"/>
      <c r="AI2298" s="12" t="n"/>
      <c r="AJ2298" s="13">
        <f>IF(LEN(TRIM(AF2298))=0,"",HYPERLINK("https://www.google.com/maps/@?api=1&amp;map_action=pano&amp;viewpoint="&amp;SUBSTITUTE(AF2298," ",""),"Abrir Street View"))</f>
        <v/>
      </c>
    </row>
    <row r="2299">
      <c r="H2299" s="6" t="n"/>
      <c r="I2299" s="6" t="n"/>
      <c r="M2299" s="7" t="n"/>
      <c r="N2299" s="7" t="n"/>
      <c r="O2299" s="7" t="n"/>
      <c r="Q2299" s="7" t="n"/>
      <c r="R2299" s="7" t="n"/>
      <c r="S2299" s="8">
        <f>IF(NOT(ISNUMBER(M2299)),"",IF(G2299="Terreno",IF(AND(ISNUMBER(I2299),I2299&gt;0),M2299/I2299,""),IF(AND(ISNUMBER(H2299),H2299&gt;0),M2299/H2299,"")))</f>
        <v/>
      </c>
      <c r="T2299" s="9">
        <f>IF(AND(ISNUMBER(M2299),ISNUMBER(O2299)),IF(M2299&lt;=O2299,"Valor ≤ venal IPTU",""),"")</f>
        <v/>
      </c>
      <c r="U2299" s="10">
        <f>IF(AND(ISNUMBER(M2299),ISNUMBER(N2299)),IF(N2299&gt;0,M2299/N2299,""),"")</f>
        <v/>
      </c>
      <c r="V2299" s="10">
        <f>IF(AND(ISNUMBER(M2299),ISNUMBER(O2299)),IF(O2299&gt;0,M2299/O2299,""),"")</f>
        <v/>
      </c>
      <c r="W2299" s="10">
        <f>IF(AND(ISNUMBER(M2299),ISNUMBER(R2299)),IF(R2299&gt;0,M2299/R2299,""),"")</f>
        <v/>
      </c>
      <c r="X2299" s="10">
        <f>IF(AND(ISNUMBER(Q2299),ISNUMBER(M2299)),IF(M2299&gt;0,Q2299/M2299,""),"")</f>
        <v/>
      </c>
      <c r="Y2299" s="11">
        <f>IF(ISNUMBER(Z2299),YEAR(Z2299),"")</f>
        <v/>
      </c>
      <c r="Z2299" s="12" t="n"/>
      <c r="AA2299" s="12" t="n"/>
      <c r="AI2299" s="12" t="n"/>
      <c r="AJ2299" s="13">
        <f>IF(LEN(TRIM(AF2299))=0,"",HYPERLINK("https://www.google.com/maps/@?api=1&amp;map_action=pano&amp;viewpoint="&amp;SUBSTITUTE(AF2299," ",""),"Abrir Street View"))</f>
        <v/>
      </c>
    </row>
    <row r="2300">
      <c r="H2300" s="6" t="n"/>
      <c r="I2300" s="6" t="n"/>
      <c r="M2300" s="7" t="n"/>
      <c r="N2300" s="7" t="n"/>
      <c r="O2300" s="7" t="n"/>
      <c r="Q2300" s="7" t="n"/>
      <c r="R2300" s="7" t="n"/>
      <c r="S2300" s="8">
        <f>IF(NOT(ISNUMBER(M2300)),"",IF(G2300="Terreno",IF(AND(ISNUMBER(I2300),I2300&gt;0),M2300/I2300,""),IF(AND(ISNUMBER(H2300),H2300&gt;0),M2300/H2300,"")))</f>
        <v/>
      </c>
      <c r="T2300" s="9">
        <f>IF(AND(ISNUMBER(M2300),ISNUMBER(O2300)),IF(M2300&lt;=O2300,"Valor ≤ venal IPTU",""),"")</f>
        <v/>
      </c>
      <c r="U2300" s="10">
        <f>IF(AND(ISNUMBER(M2300),ISNUMBER(N2300)),IF(N2300&gt;0,M2300/N2300,""),"")</f>
        <v/>
      </c>
      <c r="V2300" s="10">
        <f>IF(AND(ISNUMBER(M2300),ISNUMBER(O2300)),IF(O2300&gt;0,M2300/O2300,""),"")</f>
        <v/>
      </c>
      <c r="W2300" s="10">
        <f>IF(AND(ISNUMBER(M2300),ISNUMBER(R2300)),IF(R2300&gt;0,M2300/R2300,""),"")</f>
        <v/>
      </c>
      <c r="X2300" s="10">
        <f>IF(AND(ISNUMBER(Q2300),ISNUMBER(M2300)),IF(M2300&gt;0,Q2300/M2300,""),"")</f>
        <v/>
      </c>
      <c r="Y2300" s="11">
        <f>IF(ISNUMBER(Z2300),YEAR(Z2300),"")</f>
        <v/>
      </c>
      <c r="Z2300" s="12" t="n"/>
      <c r="AA2300" s="12" t="n"/>
      <c r="AI2300" s="12" t="n"/>
      <c r="AJ2300" s="13">
        <f>IF(LEN(TRIM(AF2300))=0,"",HYPERLINK("https://www.google.com/maps/@?api=1&amp;map_action=pano&amp;viewpoint="&amp;SUBSTITUTE(AF2300," ",""),"Abrir Street View"))</f>
        <v/>
      </c>
    </row>
    <row r="2301">
      <c r="H2301" s="6" t="n"/>
      <c r="I2301" s="6" t="n"/>
      <c r="M2301" s="7" t="n"/>
      <c r="N2301" s="7" t="n"/>
      <c r="O2301" s="7" t="n"/>
      <c r="Q2301" s="7" t="n"/>
      <c r="R2301" s="7" t="n"/>
      <c r="S2301" s="8">
        <f>IF(NOT(ISNUMBER(M2301)),"",IF(G2301="Terreno",IF(AND(ISNUMBER(I2301),I2301&gt;0),M2301/I2301,""),IF(AND(ISNUMBER(H2301),H2301&gt;0),M2301/H2301,"")))</f>
        <v/>
      </c>
      <c r="T2301" s="9">
        <f>IF(AND(ISNUMBER(M2301),ISNUMBER(O2301)),IF(M2301&lt;=O2301,"Valor ≤ venal IPTU",""),"")</f>
        <v/>
      </c>
      <c r="U2301" s="10">
        <f>IF(AND(ISNUMBER(M2301),ISNUMBER(N2301)),IF(N2301&gt;0,M2301/N2301,""),"")</f>
        <v/>
      </c>
      <c r="V2301" s="10">
        <f>IF(AND(ISNUMBER(M2301),ISNUMBER(O2301)),IF(O2301&gt;0,M2301/O2301,""),"")</f>
        <v/>
      </c>
      <c r="W2301" s="10">
        <f>IF(AND(ISNUMBER(M2301),ISNUMBER(R2301)),IF(R2301&gt;0,M2301/R2301,""),"")</f>
        <v/>
      </c>
      <c r="X2301" s="10">
        <f>IF(AND(ISNUMBER(Q2301),ISNUMBER(M2301)),IF(M2301&gt;0,Q2301/M2301,""),"")</f>
        <v/>
      </c>
      <c r="Y2301" s="11">
        <f>IF(ISNUMBER(Z2301),YEAR(Z2301),"")</f>
        <v/>
      </c>
      <c r="Z2301" s="12" t="n"/>
      <c r="AA2301" s="12" t="n"/>
      <c r="AI2301" s="12" t="n"/>
      <c r="AJ2301" s="13">
        <f>IF(LEN(TRIM(AF2301))=0,"",HYPERLINK("https://www.google.com/maps/@?api=1&amp;map_action=pano&amp;viewpoint="&amp;SUBSTITUTE(AF2301," ",""),"Abrir Street View"))</f>
        <v/>
      </c>
    </row>
    <row r="2302">
      <c r="H2302" s="6" t="n"/>
      <c r="I2302" s="6" t="n"/>
      <c r="M2302" s="7" t="n"/>
      <c r="N2302" s="7" t="n"/>
      <c r="O2302" s="7" t="n"/>
      <c r="Q2302" s="7" t="n"/>
      <c r="R2302" s="7" t="n"/>
      <c r="S2302" s="8">
        <f>IF(NOT(ISNUMBER(M2302)),"",IF(G2302="Terreno",IF(AND(ISNUMBER(I2302),I2302&gt;0),M2302/I2302,""),IF(AND(ISNUMBER(H2302),H2302&gt;0),M2302/H2302,"")))</f>
        <v/>
      </c>
      <c r="T2302" s="9">
        <f>IF(AND(ISNUMBER(M2302),ISNUMBER(O2302)),IF(M2302&lt;=O2302,"Valor ≤ venal IPTU",""),"")</f>
        <v/>
      </c>
      <c r="U2302" s="10">
        <f>IF(AND(ISNUMBER(M2302),ISNUMBER(N2302)),IF(N2302&gt;0,M2302/N2302,""),"")</f>
        <v/>
      </c>
      <c r="V2302" s="10">
        <f>IF(AND(ISNUMBER(M2302),ISNUMBER(O2302)),IF(O2302&gt;0,M2302/O2302,""),"")</f>
        <v/>
      </c>
      <c r="W2302" s="10">
        <f>IF(AND(ISNUMBER(M2302),ISNUMBER(R2302)),IF(R2302&gt;0,M2302/R2302,""),"")</f>
        <v/>
      </c>
      <c r="X2302" s="10">
        <f>IF(AND(ISNUMBER(Q2302),ISNUMBER(M2302)),IF(M2302&gt;0,Q2302/M2302,""),"")</f>
        <v/>
      </c>
      <c r="Y2302" s="11">
        <f>IF(ISNUMBER(Z2302),YEAR(Z2302),"")</f>
        <v/>
      </c>
      <c r="Z2302" s="12" t="n"/>
      <c r="AA2302" s="12" t="n"/>
      <c r="AI2302" s="12" t="n"/>
      <c r="AJ2302" s="13">
        <f>IF(LEN(TRIM(AF2302))=0,"",HYPERLINK("https://www.google.com/maps/@?api=1&amp;map_action=pano&amp;viewpoint="&amp;SUBSTITUTE(AF2302," ",""),"Abrir Street View"))</f>
        <v/>
      </c>
    </row>
    <row r="2303">
      <c r="H2303" s="6" t="n"/>
      <c r="I2303" s="6" t="n"/>
      <c r="M2303" s="7" t="n"/>
      <c r="N2303" s="7" t="n"/>
      <c r="O2303" s="7" t="n"/>
      <c r="Q2303" s="7" t="n"/>
      <c r="R2303" s="7" t="n"/>
      <c r="S2303" s="8">
        <f>IF(NOT(ISNUMBER(M2303)),"",IF(G2303="Terreno",IF(AND(ISNUMBER(I2303),I2303&gt;0),M2303/I2303,""),IF(AND(ISNUMBER(H2303),H2303&gt;0),M2303/H2303,"")))</f>
        <v/>
      </c>
      <c r="T2303" s="9">
        <f>IF(AND(ISNUMBER(M2303),ISNUMBER(O2303)),IF(M2303&lt;=O2303,"Valor ≤ venal IPTU",""),"")</f>
        <v/>
      </c>
      <c r="U2303" s="10">
        <f>IF(AND(ISNUMBER(M2303),ISNUMBER(N2303)),IF(N2303&gt;0,M2303/N2303,""),"")</f>
        <v/>
      </c>
      <c r="V2303" s="10">
        <f>IF(AND(ISNUMBER(M2303),ISNUMBER(O2303)),IF(O2303&gt;0,M2303/O2303,""),"")</f>
        <v/>
      </c>
      <c r="W2303" s="10">
        <f>IF(AND(ISNUMBER(M2303),ISNUMBER(R2303)),IF(R2303&gt;0,M2303/R2303,""),"")</f>
        <v/>
      </c>
      <c r="X2303" s="10">
        <f>IF(AND(ISNUMBER(Q2303),ISNUMBER(M2303)),IF(M2303&gt;0,Q2303/M2303,""),"")</f>
        <v/>
      </c>
      <c r="Y2303" s="11">
        <f>IF(ISNUMBER(Z2303),YEAR(Z2303),"")</f>
        <v/>
      </c>
      <c r="Z2303" s="12" t="n"/>
      <c r="AA2303" s="12" t="n"/>
      <c r="AI2303" s="12" t="n"/>
      <c r="AJ2303" s="13">
        <f>IF(LEN(TRIM(AF2303))=0,"",HYPERLINK("https://www.google.com/maps/@?api=1&amp;map_action=pano&amp;viewpoint="&amp;SUBSTITUTE(AF2303," ",""),"Abrir Street View"))</f>
        <v/>
      </c>
    </row>
    <row r="2304">
      <c r="H2304" s="6" t="n"/>
      <c r="I2304" s="6" t="n"/>
      <c r="M2304" s="7" t="n"/>
      <c r="N2304" s="7" t="n"/>
      <c r="O2304" s="7" t="n"/>
      <c r="Q2304" s="7" t="n"/>
      <c r="R2304" s="7" t="n"/>
      <c r="S2304" s="8">
        <f>IF(NOT(ISNUMBER(M2304)),"",IF(G2304="Terreno",IF(AND(ISNUMBER(I2304),I2304&gt;0),M2304/I2304,""),IF(AND(ISNUMBER(H2304),H2304&gt;0),M2304/H2304,"")))</f>
        <v/>
      </c>
      <c r="T2304" s="9">
        <f>IF(AND(ISNUMBER(M2304),ISNUMBER(O2304)),IF(M2304&lt;=O2304,"Valor ≤ venal IPTU",""),"")</f>
        <v/>
      </c>
      <c r="U2304" s="10">
        <f>IF(AND(ISNUMBER(M2304),ISNUMBER(N2304)),IF(N2304&gt;0,M2304/N2304,""),"")</f>
        <v/>
      </c>
      <c r="V2304" s="10">
        <f>IF(AND(ISNUMBER(M2304),ISNUMBER(O2304)),IF(O2304&gt;0,M2304/O2304,""),"")</f>
        <v/>
      </c>
      <c r="W2304" s="10">
        <f>IF(AND(ISNUMBER(M2304),ISNUMBER(R2304)),IF(R2304&gt;0,M2304/R2304,""),"")</f>
        <v/>
      </c>
      <c r="X2304" s="10">
        <f>IF(AND(ISNUMBER(Q2304),ISNUMBER(M2304)),IF(M2304&gt;0,Q2304/M2304,""),"")</f>
        <v/>
      </c>
      <c r="Y2304" s="11">
        <f>IF(ISNUMBER(Z2304),YEAR(Z2304),"")</f>
        <v/>
      </c>
      <c r="Z2304" s="12" t="n"/>
      <c r="AA2304" s="12" t="n"/>
      <c r="AI2304" s="12" t="n"/>
      <c r="AJ2304" s="13">
        <f>IF(LEN(TRIM(AF2304))=0,"",HYPERLINK("https://www.google.com/maps/@?api=1&amp;map_action=pano&amp;viewpoint="&amp;SUBSTITUTE(AF2304," ",""),"Abrir Street View"))</f>
        <v/>
      </c>
    </row>
    <row r="2305">
      <c r="H2305" s="6" t="n"/>
      <c r="I2305" s="6" t="n"/>
      <c r="M2305" s="7" t="n"/>
      <c r="N2305" s="7" t="n"/>
      <c r="O2305" s="7" t="n"/>
      <c r="Q2305" s="7" t="n"/>
      <c r="R2305" s="7" t="n"/>
      <c r="S2305" s="8">
        <f>IF(NOT(ISNUMBER(M2305)),"",IF(G2305="Terreno",IF(AND(ISNUMBER(I2305),I2305&gt;0),M2305/I2305,""),IF(AND(ISNUMBER(H2305),H2305&gt;0),M2305/H2305,"")))</f>
        <v/>
      </c>
      <c r="T2305" s="9">
        <f>IF(AND(ISNUMBER(M2305),ISNUMBER(O2305)),IF(M2305&lt;=O2305,"Valor ≤ venal IPTU",""),"")</f>
        <v/>
      </c>
      <c r="U2305" s="10">
        <f>IF(AND(ISNUMBER(M2305),ISNUMBER(N2305)),IF(N2305&gt;0,M2305/N2305,""),"")</f>
        <v/>
      </c>
      <c r="V2305" s="10">
        <f>IF(AND(ISNUMBER(M2305),ISNUMBER(O2305)),IF(O2305&gt;0,M2305/O2305,""),"")</f>
        <v/>
      </c>
      <c r="W2305" s="10">
        <f>IF(AND(ISNUMBER(M2305),ISNUMBER(R2305)),IF(R2305&gt;0,M2305/R2305,""),"")</f>
        <v/>
      </c>
      <c r="X2305" s="10">
        <f>IF(AND(ISNUMBER(Q2305),ISNUMBER(M2305)),IF(M2305&gt;0,Q2305/M2305,""),"")</f>
        <v/>
      </c>
      <c r="Y2305" s="11">
        <f>IF(ISNUMBER(Z2305),YEAR(Z2305),"")</f>
        <v/>
      </c>
      <c r="Z2305" s="12" t="n"/>
      <c r="AA2305" s="12" t="n"/>
      <c r="AI2305" s="12" t="n"/>
      <c r="AJ2305" s="13">
        <f>IF(LEN(TRIM(AF2305))=0,"",HYPERLINK("https://www.google.com/maps/@?api=1&amp;map_action=pano&amp;viewpoint="&amp;SUBSTITUTE(AF2305," ",""),"Abrir Street View"))</f>
        <v/>
      </c>
    </row>
    <row r="2306">
      <c r="H2306" s="6" t="n"/>
      <c r="I2306" s="6" t="n"/>
      <c r="M2306" s="7" t="n"/>
      <c r="N2306" s="7" t="n"/>
      <c r="O2306" s="7" t="n"/>
      <c r="Q2306" s="7" t="n"/>
      <c r="R2306" s="7" t="n"/>
      <c r="S2306" s="8">
        <f>IF(NOT(ISNUMBER(M2306)),"",IF(G2306="Terreno",IF(AND(ISNUMBER(I2306),I2306&gt;0),M2306/I2306,""),IF(AND(ISNUMBER(H2306),H2306&gt;0),M2306/H2306,"")))</f>
        <v/>
      </c>
      <c r="T2306" s="9">
        <f>IF(AND(ISNUMBER(M2306),ISNUMBER(O2306)),IF(M2306&lt;=O2306,"Valor ≤ venal IPTU",""),"")</f>
        <v/>
      </c>
      <c r="U2306" s="10">
        <f>IF(AND(ISNUMBER(M2306),ISNUMBER(N2306)),IF(N2306&gt;0,M2306/N2306,""),"")</f>
        <v/>
      </c>
      <c r="V2306" s="10">
        <f>IF(AND(ISNUMBER(M2306),ISNUMBER(O2306)),IF(O2306&gt;0,M2306/O2306,""),"")</f>
        <v/>
      </c>
      <c r="W2306" s="10">
        <f>IF(AND(ISNUMBER(M2306),ISNUMBER(R2306)),IF(R2306&gt;0,M2306/R2306,""),"")</f>
        <v/>
      </c>
      <c r="X2306" s="10">
        <f>IF(AND(ISNUMBER(Q2306),ISNUMBER(M2306)),IF(M2306&gt;0,Q2306/M2306,""),"")</f>
        <v/>
      </c>
      <c r="Y2306" s="11">
        <f>IF(ISNUMBER(Z2306),YEAR(Z2306),"")</f>
        <v/>
      </c>
      <c r="Z2306" s="12" t="n"/>
      <c r="AA2306" s="12" t="n"/>
      <c r="AI2306" s="12" t="n"/>
      <c r="AJ2306" s="13">
        <f>IF(LEN(TRIM(AF2306))=0,"",HYPERLINK("https://www.google.com/maps/@?api=1&amp;map_action=pano&amp;viewpoint="&amp;SUBSTITUTE(AF2306," ",""),"Abrir Street View"))</f>
        <v/>
      </c>
    </row>
    <row r="2307">
      <c r="H2307" s="6" t="n"/>
      <c r="I2307" s="6" t="n"/>
      <c r="M2307" s="7" t="n"/>
      <c r="N2307" s="7" t="n"/>
      <c r="O2307" s="7" t="n"/>
      <c r="Q2307" s="7" t="n"/>
      <c r="R2307" s="7" t="n"/>
      <c r="S2307" s="8">
        <f>IF(NOT(ISNUMBER(M2307)),"",IF(G2307="Terreno",IF(AND(ISNUMBER(I2307),I2307&gt;0),M2307/I2307,""),IF(AND(ISNUMBER(H2307),H2307&gt;0),M2307/H2307,"")))</f>
        <v/>
      </c>
      <c r="T2307" s="9">
        <f>IF(AND(ISNUMBER(M2307),ISNUMBER(O2307)),IF(M2307&lt;=O2307,"Valor ≤ venal IPTU",""),"")</f>
        <v/>
      </c>
      <c r="U2307" s="10">
        <f>IF(AND(ISNUMBER(M2307),ISNUMBER(N2307)),IF(N2307&gt;0,M2307/N2307,""),"")</f>
        <v/>
      </c>
      <c r="V2307" s="10">
        <f>IF(AND(ISNUMBER(M2307),ISNUMBER(O2307)),IF(O2307&gt;0,M2307/O2307,""),"")</f>
        <v/>
      </c>
      <c r="W2307" s="10">
        <f>IF(AND(ISNUMBER(M2307),ISNUMBER(R2307)),IF(R2307&gt;0,M2307/R2307,""),"")</f>
        <v/>
      </c>
      <c r="X2307" s="10">
        <f>IF(AND(ISNUMBER(Q2307),ISNUMBER(M2307)),IF(M2307&gt;0,Q2307/M2307,""),"")</f>
        <v/>
      </c>
      <c r="Y2307" s="11">
        <f>IF(ISNUMBER(Z2307),YEAR(Z2307),"")</f>
        <v/>
      </c>
      <c r="Z2307" s="12" t="n"/>
      <c r="AA2307" s="12" t="n"/>
      <c r="AI2307" s="12" t="n"/>
      <c r="AJ2307" s="13">
        <f>IF(LEN(TRIM(AF2307))=0,"",HYPERLINK("https://www.google.com/maps/@?api=1&amp;map_action=pano&amp;viewpoint="&amp;SUBSTITUTE(AF2307," ",""),"Abrir Street View"))</f>
        <v/>
      </c>
    </row>
    <row r="2308">
      <c r="H2308" s="6" t="n"/>
      <c r="I2308" s="6" t="n"/>
      <c r="M2308" s="7" t="n"/>
      <c r="N2308" s="7" t="n"/>
      <c r="O2308" s="7" t="n"/>
      <c r="Q2308" s="7" t="n"/>
      <c r="R2308" s="7" t="n"/>
      <c r="S2308" s="8">
        <f>IF(NOT(ISNUMBER(M2308)),"",IF(G2308="Terreno",IF(AND(ISNUMBER(I2308),I2308&gt;0),M2308/I2308,""),IF(AND(ISNUMBER(H2308),H2308&gt;0),M2308/H2308,"")))</f>
        <v/>
      </c>
      <c r="T2308" s="9">
        <f>IF(AND(ISNUMBER(M2308),ISNUMBER(O2308)),IF(M2308&lt;=O2308,"Valor ≤ venal IPTU",""),"")</f>
        <v/>
      </c>
      <c r="U2308" s="10">
        <f>IF(AND(ISNUMBER(M2308),ISNUMBER(N2308)),IF(N2308&gt;0,M2308/N2308,""),"")</f>
        <v/>
      </c>
      <c r="V2308" s="10">
        <f>IF(AND(ISNUMBER(M2308),ISNUMBER(O2308)),IF(O2308&gt;0,M2308/O2308,""),"")</f>
        <v/>
      </c>
      <c r="W2308" s="10">
        <f>IF(AND(ISNUMBER(M2308),ISNUMBER(R2308)),IF(R2308&gt;0,M2308/R2308,""),"")</f>
        <v/>
      </c>
      <c r="X2308" s="10">
        <f>IF(AND(ISNUMBER(Q2308),ISNUMBER(M2308)),IF(M2308&gt;0,Q2308/M2308,""),"")</f>
        <v/>
      </c>
      <c r="Y2308" s="11">
        <f>IF(ISNUMBER(Z2308),YEAR(Z2308),"")</f>
        <v/>
      </c>
      <c r="Z2308" s="12" t="n"/>
      <c r="AA2308" s="12" t="n"/>
      <c r="AI2308" s="12" t="n"/>
      <c r="AJ2308" s="13">
        <f>IF(LEN(TRIM(AF2308))=0,"",HYPERLINK("https://www.google.com/maps/@?api=1&amp;map_action=pano&amp;viewpoint="&amp;SUBSTITUTE(AF2308," ",""),"Abrir Street View"))</f>
        <v/>
      </c>
    </row>
    <row r="2309">
      <c r="H2309" s="6" t="n"/>
      <c r="I2309" s="6" t="n"/>
      <c r="M2309" s="7" t="n"/>
      <c r="N2309" s="7" t="n"/>
      <c r="O2309" s="7" t="n"/>
      <c r="Q2309" s="7" t="n"/>
      <c r="R2309" s="7" t="n"/>
      <c r="S2309" s="8">
        <f>IF(NOT(ISNUMBER(M2309)),"",IF(G2309="Terreno",IF(AND(ISNUMBER(I2309),I2309&gt;0),M2309/I2309,""),IF(AND(ISNUMBER(H2309),H2309&gt;0),M2309/H2309,"")))</f>
        <v/>
      </c>
      <c r="T2309" s="9">
        <f>IF(AND(ISNUMBER(M2309),ISNUMBER(O2309)),IF(M2309&lt;=O2309,"Valor ≤ venal IPTU",""),"")</f>
        <v/>
      </c>
      <c r="U2309" s="10">
        <f>IF(AND(ISNUMBER(M2309),ISNUMBER(N2309)),IF(N2309&gt;0,M2309/N2309,""),"")</f>
        <v/>
      </c>
      <c r="V2309" s="10">
        <f>IF(AND(ISNUMBER(M2309),ISNUMBER(O2309)),IF(O2309&gt;0,M2309/O2309,""),"")</f>
        <v/>
      </c>
      <c r="W2309" s="10">
        <f>IF(AND(ISNUMBER(M2309),ISNUMBER(R2309)),IF(R2309&gt;0,M2309/R2309,""),"")</f>
        <v/>
      </c>
      <c r="X2309" s="10">
        <f>IF(AND(ISNUMBER(Q2309),ISNUMBER(M2309)),IF(M2309&gt;0,Q2309/M2309,""),"")</f>
        <v/>
      </c>
      <c r="Y2309" s="11">
        <f>IF(ISNUMBER(Z2309),YEAR(Z2309),"")</f>
        <v/>
      </c>
      <c r="Z2309" s="12" t="n"/>
      <c r="AA2309" s="12" t="n"/>
      <c r="AI2309" s="12" t="n"/>
      <c r="AJ2309" s="13">
        <f>IF(LEN(TRIM(AF2309))=0,"",HYPERLINK("https://www.google.com/maps/@?api=1&amp;map_action=pano&amp;viewpoint="&amp;SUBSTITUTE(AF2309," ",""),"Abrir Street View"))</f>
        <v/>
      </c>
    </row>
    <row r="2310">
      <c r="H2310" s="6" t="n"/>
      <c r="I2310" s="6" t="n"/>
      <c r="M2310" s="7" t="n"/>
      <c r="N2310" s="7" t="n"/>
      <c r="O2310" s="7" t="n"/>
      <c r="Q2310" s="7" t="n"/>
      <c r="R2310" s="7" t="n"/>
      <c r="S2310" s="8">
        <f>IF(NOT(ISNUMBER(M2310)),"",IF(G2310="Terreno",IF(AND(ISNUMBER(I2310),I2310&gt;0),M2310/I2310,""),IF(AND(ISNUMBER(H2310),H2310&gt;0),M2310/H2310,"")))</f>
        <v/>
      </c>
      <c r="T2310" s="9">
        <f>IF(AND(ISNUMBER(M2310),ISNUMBER(O2310)),IF(M2310&lt;=O2310,"Valor ≤ venal IPTU",""),"")</f>
        <v/>
      </c>
      <c r="U2310" s="10">
        <f>IF(AND(ISNUMBER(M2310),ISNUMBER(N2310)),IF(N2310&gt;0,M2310/N2310,""),"")</f>
        <v/>
      </c>
      <c r="V2310" s="10">
        <f>IF(AND(ISNUMBER(M2310),ISNUMBER(O2310)),IF(O2310&gt;0,M2310/O2310,""),"")</f>
        <v/>
      </c>
      <c r="W2310" s="10">
        <f>IF(AND(ISNUMBER(M2310),ISNUMBER(R2310)),IF(R2310&gt;0,M2310/R2310,""),"")</f>
        <v/>
      </c>
      <c r="X2310" s="10">
        <f>IF(AND(ISNUMBER(Q2310),ISNUMBER(M2310)),IF(M2310&gt;0,Q2310/M2310,""),"")</f>
        <v/>
      </c>
      <c r="Y2310" s="11">
        <f>IF(ISNUMBER(Z2310),YEAR(Z2310),"")</f>
        <v/>
      </c>
      <c r="Z2310" s="12" t="n"/>
      <c r="AA2310" s="12" t="n"/>
      <c r="AI2310" s="12" t="n"/>
      <c r="AJ2310" s="13">
        <f>IF(LEN(TRIM(AF2310))=0,"",HYPERLINK("https://www.google.com/maps/@?api=1&amp;map_action=pano&amp;viewpoint="&amp;SUBSTITUTE(AF2310," ",""),"Abrir Street View"))</f>
        <v/>
      </c>
    </row>
    <row r="2311">
      <c r="H2311" s="6" t="n"/>
      <c r="I2311" s="6" t="n"/>
      <c r="M2311" s="7" t="n"/>
      <c r="N2311" s="7" t="n"/>
      <c r="O2311" s="7" t="n"/>
      <c r="Q2311" s="7" t="n"/>
      <c r="R2311" s="7" t="n"/>
      <c r="S2311" s="8">
        <f>IF(NOT(ISNUMBER(M2311)),"",IF(G2311="Terreno",IF(AND(ISNUMBER(I2311),I2311&gt;0),M2311/I2311,""),IF(AND(ISNUMBER(H2311),H2311&gt;0),M2311/H2311,"")))</f>
        <v/>
      </c>
      <c r="T2311" s="9">
        <f>IF(AND(ISNUMBER(M2311),ISNUMBER(O2311)),IF(M2311&lt;=O2311,"Valor ≤ venal IPTU",""),"")</f>
        <v/>
      </c>
      <c r="U2311" s="10">
        <f>IF(AND(ISNUMBER(M2311),ISNUMBER(N2311)),IF(N2311&gt;0,M2311/N2311,""),"")</f>
        <v/>
      </c>
      <c r="V2311" s="10">
        <f>IF(AND(ISNUMBER(M2311),ISNUMBER(O2311)),IF(O2311&gt;0,M2311/O2311,""),"")</f>
        <v/>
      </c>
      <c r="W2311" s="10">
        <f>IF(AND(ISNUMBER(M2311),ISNUMBER(R2311)),IF(R2311&gt;0,M2311/R2311,""),"")</f>
        <v/>
      </c>
      <c r="X2311" s="10">
        <f>IF(AND(ISNUMBER(Q2311),ISNUMBER(M2311)),IF(M2311&gt;0,Q2311/M2311,""),"")</f>
        <v/>
      </c>
      <c r="Y2311" s="11">
        <f>IF(ISNUMBER(Z2311),YEAR(Z2311),"")</f>
        <v/>
      </c>
      <c r="Z2311" s="12" t="n"/>
      <c r="AA2311" s="12" t="n"/>
      <c r="AI2311" s="12" t="n"/>
      <c r="AJ2311" s="13">
        <f>IF(LEN(TRIM(AF2311))=0,"",HYPERLINK("https://www.google.com/maps/@?api=1&amp;map_action=pano&amp;viewpoint="&amp;SUBSTITUTE(AF2311," ",""),"Abrir Street View"))</f>
        <v/>
      </c>
    </row>
    <row r="2312">
      <c r="H2312" s="6" t="n"/>
      <c r="I2312" s="6" t="n"/>
      <c r="M2312" s="7" t="n"/>
      <c r="N2312" s="7" t="n"/>
      <c r="O2312" s="7" t="n"/>
      <c r="Q2312" s="7" t="n"/>
      <c r="R2312" s="7" t="n"/>
      <c r="S2312" s="8">
        <f>IF(NOT(ISNUMBER(M2312)),"",IF(G2312="Terreno",IF(AND(ISNUMBER(I2312),I2312&gt;0),M2312/I2312,""),IF(AND(ISNUMBER(H2312),H2312&gt;0),M2312/H2312,"")))</f>
        <v/>
      </c>
      <c r="T2312" s="9">
        <f>IF(AND(ISNUMBER(M2312),ISNUMBER(O2312)),IF(M2312&lt;=O2312,"Valor ≤ venal IPTU",""),"")</f>
        <v/>
      </c>
      <c r="U2312" s="10">
        <f>IF(AND(ISNUMBER(M2312),ISNUMBER(N2312)),IF(N2312&gt;0,M2312/N2312,""),"")</f>
        <v/>
      </c>
      <c r="V2312" s="10">
        <f>IF(AND(ISNUMBER(M2312),ISNUMBER(O2312)),IF(O2312&gt;0,M2312/O2312,""),"")</f>
        <v/>
      </c>
      <c r="W2312" s="10">
        <f>IF(AND(ISNUMBER(M2312),ISNUMBER(R2312)),IF(R2312&gt;0,M2312/R2312,""),"")</f>
        <v/>
      </c>
      <c r="X2312" s="10">
        <f>IF(AND(ISNUMBER(Q2312),ISNUMBER(M2312)),IF(M2312&gt;0,Q2312/M2312,""),"")</f>
        <v/>
      </c>
      <c r="Y2312" s="11">
        <f>IF(ISNUMBER(Z2312),YEAR(Z2312),"")</f>
        <v/>
      </c>
      <c r="Z2312" s="12" t="n"/>
      <c r="AA2312" s="12" t="n"/>
      <c r="AI2312" s="12" t="n"/>
      <c r="AJ2312" s="13">
        <f>IF(LEN(TRIM(AF2312))=0,"",HYPERLINK("https://www.google.com/maps/@?api=1&amp;map_action=pano&amp;viewpoint="&amp;SUBSTITUTE(AF2312," ",""),"Abrir Street View"))</f>
        <v/>
      </c>
    </row>
    <row r="2313">
      <c r="H2313" s="6" t="n"/>
      <c r="I2313" s="6" t="n"/>
      <c r="M2313" s="7" t="n"/>
      <c r="N2313" s="7" t="n"/>
      <c r="O2313" s="7" t="n"/>
      <c r="Q2313" s="7" t="n"/>
      <c r="R2313" s="7" t="n"/>
      <c r="S2313" s="8">
        <f>IF(NOT(ISNUMBER(M2313)),"",IF(G2313="Terreno",IF(AND(ISNUMBER(I2313),I2313&gt;0),M2313/I2313,""),IF(AND(ISNUMBER(H2313),H2313&gt;0),M2313/H2313,"")))</f>
        <v/>
      </c>
      <c r="T2313" s="9">
        <f>IF(AND(ISNUMBER(M2313),ISNUMBER(O2313)),IF(M2313&lt;=O2313,"Valor ≤ venal IPTU",""),"")</f>
        <v/>
      </c>
      <c r="U2313" s="10">
        <f>IF(AND(ISNUMBER(M2313),ISNUMBER(N2313)),IF(N2313&gt;0,M2313/N2313,""),"")</f>
        <v/>
      </c>
      <c r="V2313" s="10">
        <f>IF(AND(ISNUMBER(M2313),ISNUMBER(O2313)),IF(O2313&gt;0,M2313/O2313,""),"")</f>
        <v/>
      </c>
      <c r="W2313" s="10">
        <f>IF(AND(ISNUMBER(M2313),ISNUMBER(R2313)),IF(R2313&gt;0,M2313/R2313,""),"")</f>
        <v/>
      </c>
      <c r="X2313" s="10">
        <f>IF(AND(ISNUMBER(Q2313),ISNUMBER(M2313)),IF(M2313&gt;0,Q2313/M2313,""),"")</f>
        <v/>
      </c>
      <c r="Y2313" s="11">
        <f>IF(ISNUMBER(Z2313),YEAR(Z2313),"")</f>
        <v/>
      </c>
      <c r="Z2313" s="12" t="n"/>
      <c r="AA2313" s="12" t="n"/>
      <c r="AI2313" s="12" t="n"/>
      <c r="AJ2313" s="13">
        <f>IF(LEN(TRIM(AF2313))=0,"",HYPERLINK("https://www.google.com/maps/@?api=1&amp;map_action=pano&amp;viewpoint="&amp;SUBSTITUTE(AF2313," ",""),"Abrir Street View"))</f>
        <v/>
      </c>
    </row>
    <row r="2314">
      <c r="H2314" s="6" t="n"/>
      <c r="I2314" s="6" t="n"/>
      <c r="M2314" s="7" t="n"/>
      <c r="N2314" s="7" t="n"/>
      <c r="O2314" s="7" t="n"/>
      <c r="Q2314" s="7" t="n"/>
      <c r="R2314" s="7" t="n"/>
      <c r="S2314" s="8">
        <f>IF(NOT(ISNUMBER(M2314)),"",IF(G2314="Terreno",IF(AND(ISNUMBER(I2314),I2314&gt;0),M2314/I2314,""),IF(AND(ISNUMBER(H2314),H2314&gt;0),M2314/H2314,"")))</f>
        <v/>
      </c>
      <c r="T2314" s="9">
        <f>IF(AND(ISNUMBER(M2314),ISNUMBER(O2314)),IF(M2314&lt;=O2314,"Valor ≤ venal IPTU",""),"")</f>
        <v/>
      </c>
      <c r="U2314" s="10">
        <f>IF(AND(ISNUMBER(M2314),ISNUMBER(N2314)),IF(N2314&gt;0,M2314/N2314,""),"")</f>
        <v/>
      </c>
      <c r="V2314" s="10">
        <f>IF(AND(ISNUMBER(M2314),ISNUMBER(O2314)),IF(O2314&gt;0,M2314/O2314,""),"")</f>
        <v/>
      </c>
      <c r="W2314" s="10">
        <f>IF(AND(ISNUMBER(M2314),ISNUMBER(R2314)),IF(R2314&gt;0,M2314/R2314,""),"")</f>
        <v/>
      </c>
      <c r="X2314" s="10">
        <f>IF(AND(ISNUMBER(Q2314),ISNUMBER(M2314)),IF(M2314&gt;0,Q2314/M2314,""),"")</f>
        <v/>
      </c>
      <c r="Y2314" s="11">
        <f>IF(ISNUMBER(Z2314),YEAR(Z2314),"")</f>
        <v/>
      </c>
      <c r="Z2314" s="12" t="n"/>
      <c r="AA2314" s="12" t="n"/>
      <c r="AI2314" s="12" t="n"/>
      <c r="AJ2314" s="13">
        <f>IF(LEN(TRIM(AF2314))=0,"",HYPERLINK("https://www.google.com/maps/@?api=1&amp;map_action=pano&amp;viewpoint="&amp;SUBSTITUTE(AF2314," ",""),"Abrir Street View"))</f>
        <v/>
      </c>
    </row>
    <row r="2315">
      <c r="H2315" s="6" t="n"/>
      <c r="I2315" s="6" t="n"/>
      <c r="M2315" s="7" t="n"/>
      <c r="N2315" s="7" t="n"/>
      <c r="O2315" s="7" t="n"/>
      <c r="Q2315" s="7" t="n"/>
      <c r="R2315" s="7" t="n"/>
      <c r="S2315" s="8">
        <f>IF(NOT(ISNUMBER(M2315)),"",IF(G2315="Terreno",IF(AND(ISNUMBER(I2315),I2315&gt;0),M2315/I2315,""),IF(AND(ISNUMBER(H2315),H2315&gt;0),M2315/H2315,"")))</f>
        <v/>
      </c>
      <c r="T2315" s="9">
        <f>IF(AND(ISNUMBER(M2315),ISNUMBER(O2315)),IF(M2315&lt;=O2315,"Valor ≤ venal IPTU",""),"")</f>
        <v/>
      </c>
      <c r="U2315" s="10">
        <f>IF(AND(ISNUMBER(M2315),ISNUMBER(N2315)),IF(N2315&gt;0,M2315/N2315,""),"")</f>
        <v/>
      </c>
      <c r="V2315" s="10">
        <f>IF(AND(ISNUMBER(M2315),ISNUMBER(O2315)),IF(O2315&gt;0,M2315/O2315,""),"")</f>
        <v/>
      </c>
      <c r="W2315" s="10">
        <f>IF(AND(ISNUMBER(M2315),ISNUMBER(R2315)),IF(R2315&gt;0,M2315/R2315,""),"")</f>
        <v/>
      </c>
      <c r="X2315" s="10">
        <f>IF(AND(ISNUMBER(Q2315),ISNUMBER(M2315)),IF(M2315&gt;0,Q2315/M2315,""),"")</f>
        <v/>
      </c>
      <c r="Y2315" s="11">
        <f>IF(ISNUMBER(Z2315),YEAR(Z2315),"")</f>
        <v/>
      </c>
      <c r="Z2315" s="12" t="n"/>
      <c r="AA2315" s="12" t="n"/>
      <c r="AI2315" s="12" t="n"/>
      <c r="AJ2315" s="13">
        <f>IF(LEN(TRIM(AF2315))=0,"",HYPERLINK("https://www.google.com/maps/@?api=1&amp;map_action=pano&amp;viewpoint="&amp;SUBSTITUTE(AF2315," ",""),"Abrir Street View"))</f>
        <v/>
      </c>
    </row>
    <row r="2316">
      <c r="H2316" s="6" t="n"/>
      <c r="I2316" s="6" t="n"/>
      <c r="M2316" s="7" t="n"/>
      <c r="N2316" s="7" t="n"/>
      <c r="O2316" s="7" t="n"/>
      <c r="Q2316" s="7" t="n"/>
      <c r="R2316" s="7" t="n"/>
      <c r="S2316" s="8">
        <f>IF(NOT(ISNUMBER(M2316)),"",IF(G2316="Terreno",IF(AND(ISNUMBER(I2316),I2316&gt;0),M2316/I2316,""),IF(AND(ISNUMBER(H2316),H2316&gt;0),M2316/H2316,"")))</f>
        <v/>
      </c>
      <c r="T2316" s="9">
        <f>IF(AND(ISNUMBER(M2316),ISNUMBER(O2316)),IF(M2316&lt;=O2316,"Valor ≤ venal IPTU",""),"")</f>
        <v/>
      </c>
      <c r="U2316" s="10">
        <f>IF(AND(ISNUMBER(M2316),ISNUMBER(N2316)),IF(N2316&gt;0,M2316/N2316,""),"")</f>
        <v/>
      </c>
      <c r="V2316" s="10">
        <f>IF(AND(ISNUMBER(M2316),ISNUMBER(O2316)),IF(O2316&gt;0,M2316/O2316,""),"")</f>
        <v/>
      </c>
      <c r="W2316" s="10">
        <f>IF(AND(ISNUMBER(M2316),ISNUMBER(R2316)),IF(R2316&gt;0,M2316/R2316,""),"")</f>
        <v/>
      </c>
      <c r="X2316" s="10">
        <f>IF(AND(ISNUMBER(Q2316),ISNUMBER(M2316)),IF(M2316&gt;0,Q2316/M2316,""),"")</f>
        <v/>
      </c>
      <c r="Y2316" s="11">
        <f>IF(ISNUMBER(Z2316),YEAR(Z2316),"")</f>
        <v/>
      </c>
      <c r="Z2316" s="12" t="n"/>
      <c r="AA2316" s="12" t="n"/>
      <c r="AI2316" s="12" t="n"/>
      <c r="AJ2316" s="13">
        <f>IF(LEN(TRIM(AF2316))=0,"",HYPERLINK("https://www.google.com/maps/@?api=1&amp;map_action=pano&amp;viewpoint="&amp;SUBSTITUTE(AF2316," ",""),"Abrir Street View"))</f>
        <v/>
      </c>
    </row>
    <row r="2317">
      <c r="H2317" s="6" t="n"/>
      <c r="I2317" s="6" t="n"/>
      <c r="M2317" s="7" t="n"/>
      <c r="N2317" s="7" t="n"/>
      <c r="O2317" s="7" t="n"/>
      <c r="Q2317" s="7" t="n"/>
      <c r="R2317" s="7" t="n"/>
      <c r="S2317" s="8">
        <f>IF(NOT(ISNUMBER(M2317)),"",IF(G2317="Terreno",IF(AND(ISNUMBER(I2317),I2317&gt;0),M2317/I2317,""),IF(AND(ISNUMBER(H2317),H2317&gt;0),M2317/H2317,"")))</f>
        <v/>
      </c>
      <c r="T2317" s="9">
        <f>IF(AND(ISNUMBER(M2317),ISNUMBER(O2317)),IF(M2317&lt;=O2317,"Valor ≤ venal IPTU",""),"")</f>
        <v/>
      </c>
      <c r="U2317" s="10">
        <f>IF(AND(ISNUMBER(M2317),ISNUMBER(N2317)),IF(N2317&gt;0,M2317/N2317,""),"")</f>
        <v/>
      </c>
      <c r="V2317" s="10">
        <f>IF(AND(ISNUMBER(M2317),ISNUMBER(O2317)),IF(O2317&gt;0,M2317/O2317,""),"")</f>
        <v/>
      </c>
      <c r="W2317" s="10">
        <f>IF(AND(ISNUMBER(M2317),ISNUMBER(R2317)),IF(R2317&gt;0,M2317/R2317,""),"")</f>
        <v/>
      </c>
      <c r="X2317" s="10">
        <f>IF(AND(ISNUMBER(Q2317),ISNUMBER(M2317)),IF(M2317&gt;0,Q2317/M2317,""),"")</f>
        <v/>
      </c>
      <c r="Y2317" s="11">
        <f>IF(ISNUMBER(Z2317),YEAR(Z2317),"")</f>
        <v/>
      </c>
      <c r="Z2317" s="12" t="n"/>
      <c r="AA2317" s="12" t="n"/>
      <c r="AI2317" s="12" t="n"/>
      <c r="AJ2317" s="13">
        <f>IF(LEN(TRIM(AF2317))=0,"",HYPERLINK("https://www.google.com/maps/@?api=1&amp;map_action=pano&amp;viewpoint="&amp;SUBSTITUTE(AF2317," ",""),"Abrir Street View"))</f>
        <v/>
      </c>
    </row>
    <row r="2318">
      <c r="H2318" s="6" t="n"/>
      <c r="I2318" s="6" t="n"/>
      <c r="M2318" s="7" t="n"/>
      <c r="N2318" s="7" t="n"/>
      <c r="O2318" s="7" t="n"/>
      <c r="Q2318" s="7" t="n"/>
      <c r="R2318" s="7" t="n"/>
      <c r="S2318" s="8">
        <f>IF(NOT(ISNUMBER(M2318)),"",IF(G2318="Terreno",IF(AND(ISNUMBER(I2318),I2318&gt;0),M2318/I2318,""),IF(AND(ISNUMBER(H2318),H2318&gt;0),M2318/H2318,"")))</f>
        <v/>
      </c>
      <c r="T2318" s="9">
        <f>IF(AND(ISNUMBER(M2318),ISNUMBER(O2318)),IF(M2318&lt;=O2318,"Valor ≤ venal IPTU",""),"")</f>
        <v/>
      </c>
      <c r="U2318" s="10">
        <f>IF(AND(ISNUMBER(M2318),ISNUMBER(N2318)),IF(N2318&gt;0,M2318/N2318,""),"")</f>
        <v/>
      </c>
      <c r="V2318" s="10">
        <f>IF(AND(ISNUMBER(M2318),ISNUMBER(O2318)),IF(O2318&gt;0,M2318/O2318,""),"")</f>
        <v/>
      </c>
      <c r="W2318" s="10">
        <f>IF(AND(ISNUMBER(M2318),ISNUMBER(R2318)),IF(R2318&gt;0,M2318/R2318,""),"")</f>
        <v/>
      </c>
      <c r="X2318" s="10">
        <f>IF(AND(ISNUMBER(Q2318),ISNUMBER(M2318)),IF(M2318&gt;0,Q2318/M2318,""),"")</f>
        <v/>
      </c>
      <c r="Y2318" s="11">
        <f>IF(ISNUMBER(Z2318),YEAR(Z2318),"")</f>
        <v/>
      </c>
      <c r="Z2318" s="12" t="n"/>
      <c r="AA2318" s="12" t="n"/>
      <c r="AI2318" s="12" t="n"/>
      <c r="AJ2318" s="13">
        <f>IF(LEN(TRIM(AF2318))=0,"",HYPERLINK("https://www.google.com/maps/@?api=1&amp;map_action=pano&amp;viewpoint="&amp;SUBSTITUTE(AF2318," ",""),"Abrir Street View"))</f>
        <v/>
      </c>
    </row>
    <row r="2319">
      <c r="H2319" s="6" t="n"/>
      <c r="I2319" s="6" t="n"/>
      <c r="M2319" s="7" t="n"/>
      <c r="N2319" s="7" t="n"/>
      <c r="O2319" s="7" t="n"/>
      <c r="Q2319" s="7" t="n"/>
      <c r="R2319" s="7" t="n"/>
      <c r="S2319" s="8">
        <f>IF(NOT(ISNUMBER(M2319)),"",IF(G2319="Terreno",IF(AND(ISNUMBER(I2319),I2319&gt;0),M2319/I2319,""),IF(AND(ISNUMBER(H2319),H2319&gt;0),M2319/H2319,"")))</f>
        <v/>
      </c>
      <c r="T2319" s="9">
        <f>IF(AND(ISNUMBER(M2319),ISNUMBER(O2319)),IF(M2319&lt;=O2319,"Valor ≤ venal IPTU",""),"")</f>
        <v/>
      </c>
      <c r="U2319" s="10">
        <f>IF(AND(ISNUMBER(M2319),ISNUMBER(N2319)),IF(N2319&gt;0,M2319/N2319,""),"")</f>
        <v/>
      </c>
      <c r="V2319" s="10">
        <f>IF(AND(ISNUMBER(M2319),ISNUMBER(O2319)),IF(O2319&gt;0,M2319/O2319,""),"")</f>
        <v/>
      </c>
      <c r="W2319" s="10">
        <f>IF(AND(ISNUMBER(M2319),ISNUMBER(R2319)),IF(R2319&gt;0,M2319/R2319,""),"")</f>
        <v/>
      </c>
      <c r="X2319" s="10">
        <f>IF(AND(ISNUMBER(Q2319),ISNUMBER(M2319)),IF(M2319&gt;0,Q2319/M2319,""),"")</f>
        <v/>
      </c>
      <c r="Y2319" s="11">
        <f>IF(ISNUMBER(Z2319),YEAR(Z2319),"")</f>
        <v/>
      </c>
      <c r="Z2319" s="12" t="n"/>
      <c r="AA2319" s="12" t="n"/>
      <c r="AI2319" s="12" t="n"/>
      <c r="AJ2319" s="13">
        <f>IF(LEN(TRIM(AF2319))=0,"",HYPERLINK("https://www.google.com/maps/@?api=1&amp;map_action=pano&amp;viewpoint="&amp;SUBSTITUTE(AF2319," ",""),"Abrir Street View"))</f>
        <v/>
      </c>
    </row>
    <row r="2320">
      <c r="H2320" s="6" t="n"/>
      <c r="I2320" s="6" t="n"/>
      <c r="M2320" s="7" t="n"/>
      <c r="N2320" s="7" t="n"/>
      <c r="O2320" s="7" t="n"/>
      <c r="Q2320" s="7" t="n"/>
      <c r="R2320" s="7" t="n"/>
      <c r="S2320" s="8">
        <f>IF(NOT(ISNUMBER(M2320)),"",IF(G2320="Terreno",IF(AND(ISNUMBER(I2320),I2320&gt;0),M2320/I2320,""),IF(AND(ISNUMBER(H2320),H2320&gt;0),M2320/H2320,"")))</f>
        <v/>
      </c>
      <c r="T2320" s="9">
        <f>IF(AND(ISNUMBER(M2320),ISNUMBER(O2320)),IF(M2320&lt;=O2320,"Valor ≤ venal IPTU",""),"")</f>
        <v/>
      </c>
      <c r="U2320" s="10">
        <f>IF(AND(ISNUMBER(M2320),ISNUMBER(N2320)),IF(N2320&gt;0,M2320/N2320,""),"")</f>
        <v/>
      </c>
      <c r="V2320" s="10">
        <f>IF(AND(ISNUMBER(M2320),ISNUMBER(O2320)),IF(O2320&gt;0,M2320/O2320,""),"")</f>
        <v/>
      </c>
      <c r="W2320" s="10">
        <f>IF(AND(ISNUMBER(M2320),ISNUMBER(R2320)),IF(R2320&gt;0,M2320/R2320,""),"")</f>
        <v/>
      </c>
      <c r="X2320" s="10">
        <f>IF(AND(ISNUMBER(Q2320),ISNUMBER(M2320)),IF(M2320&gt;0,Q2320/M2320,""),"")</f>
        <v/>
      </c>
      <c r="Y2320" s="11">
        <f>IF(ISNUMBER(Z2320),YEAR(Z2320),"")</f>
        <v/>
      </c>
      <c r="Z2320" s="12" t="n"/>
      <c r="AA2320" s="12" t="n"/>
      <c r="AI2320" s="12" t="n"/>
      <c r="AJ2320" s="13">
        <f>IF(LEN(TRIM(AF2320))=0,"",HYPERLINK("https://www.google.com/maps/@?api=1&amp;map_action=pano&amp;viewpoint="&amp;SUBSTITUTE(AF2320," ",""),"Abrir Street View"))</f>
        <v/>
      </c>
    </row>
    <row r="2321">
      <c r="H2321" s="6" t="n"/>
      <c r="I2321" s="6" t="n"/>
      <c r="M2321" s="7" t="n"/>
      <c r="N2321" s="7" t="n"/>
      <c r="O2321" s="7" t="n"/>
      <c r="Q2321" s="7" t="n"/>
      <c r="R2321" s="7" t="n"/>
      <c r="S2321" s="8">
        <f>IF(NOT(ISNUMBER(M2321)),"",IF(G2321="Terreno",IF(AND(ISNUMBER(I2321),I2321&gt;0),M2321/I2321,""),IF(AND(ISNUMBER(H2321),H2321&gt;0),M2321/H2321,"")))</f>
        <v/>
      </c>
      <c r="T2321" s="9">
        <f>IF(AND(ISNUMBER(M2321),ISNUMBER(O2321)),IF(M2321&lt;=O2321,"Valor ≤ venal IPTU",""),"")</f>
        <v/>
      </c>
      <c r="U2321" s="10">
        <f>IF(AND(ISNUMBER(M2321),ISNUMBER(N2321)),IF(N2321&gt;0,M2321/N2321,""),"")</f>
        <v/>
      </c>
      <c r="V2321" s="10">
        <f>IF(AND(ISNUMBER(M2321),ISNUMBER(O2321)),IF(O2321&gt;0,M2321/O2321,""),"")</f>
        <v/>
      </c>
      <c r="W2321" s="10">
        <f>IF(AND(ISNUMBER(M2321),ISNUMBER(R2321)),IF(R2321&gt;0,M2321/R2321,""),"")</f>
        <v/>
      </c>
      <c r="X2321" s="10">
        <f>IF(AND(ISNUMBER(Q2321),ISNUMBER(M2321)),IF(M2321&gt;0,Q2321/M2321,""),"")</f>
        <v/>
      </c>
      <c r="Y2321" s="11">
        <f>IF(ISNUMBER(Z2321),YEAR(Z2321),"")</f>
        <v/>
      </c>
      <c r="Z2321" s="12" t="n"/>
      <c r="AA2321" s="12" t="n"/>
      <c r="AI2321" s="12" t="n"/>
      <c r="AJ2321" s="13">
        <f>IF(LEN(TRIM(AF2321))=0,"",HYPERLINK("https://www.google.com/maps/@?api=1&amp;map_action=pano&amp;viewpoint="&amp;SUBSTITUTE(AF2321," ",""),"Abrir Street View"))</f>
        <v/>
      </c>
    </row>
    <row r="2322">
      <c r="H2322" s="6" t="n"/>
      <c r="I2322" s="6" t="n"/>
      <c r="M2322" s="7" t="n"/>
      <c r="N2322" s="7" t="n"/>
      <c r="O2322" s="7" t="n"/>
      <c r="Q2322" s="7" t="n"/>
      <c r="R2322" s="7" t="n"/>
      <c r="S2322" s="8">
        <f>IF(NOT(ISNUMBER(M2322)),"",IF(G2322="Terreno",IF(AND(ISNUMBER(I2322),I2322&gt;0),M2322/I2322,""),IF(AND(ISNUMBER(H2322),H2322&gt;0),M2322/H2322,"")))</f>
        <v/>
      </c>
      <c r="T2322" s="9">
        <f>IF(AND(ISNUMBER(M2322),ISNUMBER(O2322)),IF(M2322&lt;=O2322,"Valor ≤ venal IPTU",""),"")</f>
        <v/>
      </c>
      <c r="U2322" s="10">
        <f>IF(AND(ISNUMBER(M2322),ISNUMBER(N2322)),IF(N2322&gt;0,M2322/N2322,""),"")</f>
        <v/>
      </c>
      <c r="V2322" s="10">
        <f>IF(AND(ISNUMBER(M2322),ISNUMBER(O2322)),IF(O2322&gt;0,M2322/O2322,""),"")</f>
        <v/>
      </c>
      <c r="W2322" s="10">
        <f>IF(AND(ISNUMBER(M2322),ISNUMBER(R2322)),IF(R2322&gt;0,M2322/R2322,""),"")</f>
        <v/>
      </c>
      <c r="X2322" s="10">
        <f>IF(AND(ISNUMBER(Q2322),ISNUMBER(M2322)),IF(M2322&gt;0,Q2322/M2322,""),"")</f>
        <v/>
      </c>
      <c r="Y2322" s="11">
        <f>IF(ISNUMBER(Z2322),YEAR(Z2322),"")</f>
        <v/>
      </c>
      <c r="Z2322" s="12" t="n"/>
      <c r="AA2322" s="12" t="n"/>
      <c r="AI2322" s="12" t="n"/>
      <c r="AJ2322" s="13">
        <f>IF(LEN(TRIM(AF2322))=0,"",HYPERLINK("https://www.google.com/maps/@?api=1&amp;map_action=pano&amp;viewpoint="&amp;SUBSTITUTE(AF2322," ",""),"Abrir Street View"))</f>
        <v/>
      </c>
    </row>
    <row r="2323">
      <c r="H2323" s="6" t="n"/>
      <c r="I2323" s="6" t="n"/>
      <c r="M2323" s="7" t="n"/>
      <c r="N2323" s="7" t="n"/>
      <c r="O2323" s="7" t="n"/>
      <c r="Q2323" s="7" t="n"/>
      <c r="R2323" s="7" t="n"/>
      <c r="S2323" s="8">
        <f>IF(NOT(ISNUMBER(M2323)),"",IF(G2323="Terreno",IF(AND(ISNUMBER(I2323),I2323&gt;0),M2323/I2323,""),IF(AND(ISNUMBER(H2323),H2323&gt;0),M2323/H2323,"")))</f>
        <v/>
      </c>
      <c r="T2323" s="9">
        <f>IF(AND(ISNUMBER(M2323),ISNUMBER(O2323)),IF(M2323&lt;=O2323,"Valor ≤ venal IPTU",""),"")</f>
        <v/>
      </c>
      <c r="U2323" s="10">
        <f>IF(AND(ISNUMBER(M2323),ISNUMBER(N2323)),IF(N2323&gt;0,M2323/N2323,""),"")</f>
        <v/>
      </c>
      <c r="V2323" s="10">
        <f>IF(AND(ISNUMBER(M2323),ISNUMBER(O2323)),IF(O2323&gt;0,M2323/O2323,""),"")</f>
        <v/>
      </c>
      <c r="W2323" s="10">
        <f>IF(AND(ISNUMBER(M2323),ISNUMBER(R2323)),IF(R2323&gt;0,M2323/R2323,""),"")</f>
        <v/>
      </c>
      <c r="X2323" s="10">
        <f>IF(AND(ISNUMBER(Q2323),ISNUMBER(M2323)),IF(M2323&gt;0,Q2323/M2323,""),"")</f>
        <v/>
      </c>
      <c r="Y2323" s="11">
        <f>IF(ISNUMBER(Z2323),YEAR(Z2323),"")</f>
        <v/>
      </c>
      <c r="Z2323" s="12" t="n"/>
      <c r="AA2323" s="12" t="n"/>
      <c r="AI2323" s="12" t="n"/>
      <c r="AJ2323" s="13">
        <f>IF(LEN(TRIM(AF2323))=0,"",HYPERLINK("https://www.google.com/maps/@?api=1&amp;map_action=pano&amp;viewpoint="&amp;SUBSTITUTE(AF2323," ",""),"Abrir Street View"))</f>
        <v/>
      </c>
    </row>
    <row r="2324">
      <c r="H2324" s="6" t="n"/>
      <c r="I2324" s="6" t="n"/>
      <c r="M2324" s="7" t="n"/>
      <c r="N2324" s="7" t="n"/>
      <c r="O2324" s="7" t="n"/>
      <c r="Q2324" s="7" t="n"/>
      <c r="R2324" s="7" t="n"/>
      <c r="S2324" s="8">
        <f>IF(NOT(ISNUMBER(M2324)),"",IF(G2324="Terreno",IF(AND(ISNUMBER(I2324),I2324&gt;0),M2324/I2324,""),IF(AND(ISNUMBER(H2324),H2324&gt;0),M2324/H2324,"")))</f>
        <v/>
      </c>
      <c r="T2324" s="9">
        <f>IF(AND(ISNUMBER(M2324),ISNUMBER(O2324)),IF(M2324&lt;=O2324,"Valor ≤ venal IPTU",""),"")</f>
        <v/>
      </c>
      <c r="U2324" s="10">
        <f>IF(AND(ISNUMBER(M2324),ISNUMBER(N2324)),IF(N2324&gt;0,M2324/N2324,""),"")</f>
        <v/>
      </c>
      <c r="V2324" s="10">
        <f>IF(AND(ISNUMBER(M2324),ISNUMBER(O2324)),IF(O2324&gt;0,M2324/O2324,""),"")</f>
        <v/>
      </c>
      <c r="W2324" s="10">
        <f>IF(AND(ISNUMBER(M2324),ISNUMBER(R2324)),IF(R2324&gt;0,M2324/R2324,""),"")</f>
        <v/>
      </c>
      <c r="X2324" s="10">
        <f>IF(AND(ISNUMBER(Q2324),ISNUMBER(M2324)),IF(M2324&gt;0,Q2324/M2324,""),"")</f>
        <v/>
      </c>
      <c r="Y2324" s="11">
        <f>IF(ISNUMBER(Z2324),YEAR(Z2324),"")</f>
        <v/>
      </c>
      <c r="Z2324" s="12" t="n"/>
      <c r="AA2324" s="12" t="n"/>
      <c r="AI2324" s="12" t="n"/>
      <c r="AJ2324" s="13">
        <f>IF(LEN(TRIM(AF2324))=0,"",HYPERLINK("https://www.google.com/maps/@?api=1&amp;map_action=pano&amp;viewpoint="&amp;SUBSTITUTE(AF2324," ",""),"Abrir Street View"))</f>
        <v/>
      </c>
    </row>
    <row r="2325">
      <c r="H2325" s="6" t="n"/>
      <c r="I2325" s="6" t="n"/>
      <c r="M2325" s="7" t="n"/>
      <c r="N2325" s="7" t="n"/>
      <c r="O2325" s="7" t="n"/>
      <c r="Q2325" s="7" t="n"/>
      <c r="R2325" s="7" t="n"/>
      <c r="S2325" s="8">
        <f>IF(NOT(ISNUMBER(M2325)),"",IF(G2325="Terreno",IF(AND(ISNUMBER(I2325),I2325&gt;0),M2325/I2325,""),IF(AND(ISNUMBER(H2325),H2325&gt;0),M2325/H2325,"")))</f>
        <v/>
      </c>
      <c r="T2325" s="9">
        <f>IF(AND(ISNUMBER(M2325),ISNUMBER(O2325)),IF(M2325&lt;=O2325,"Valor ≤ venal IPTU",""),"")</f>
        <v/>
      </c>
      <c r="U2325" s="10">
        <f>IF(AND(ISNUMBER(M2325),ISNUMBER(N2325)),IF(N2325&gt;0,M2325/N2325,""),"")</f>
        <v/>
      </c>
      <c r="V2325" s="10">
        <f>IF(AND(ISNUMBER(M2325),ISNUMBER(O2325)),IF(O2325&gt;0,M2325/O2325,""),"")</f>
        <v/>
      </c>
      <c r="W2325" s="10">
        <f>IF(AND(ISNUMBER(M2325),ISNUMBER(R2325)),IF(R2325&gt;0,M2325/R2325,""),"")</f>
        <v/>
      </c>
      <c r="X2325" s="10">
        <f>IF(AND(ISNUMBER(Q2325),ISNUMBER(M2325)),IF(M2325&gt;0,Q2325/M2325,""),"")</f>
        <v/>
      </c>
      <c r="Y2325" s="11">
        <f>IF(ISNUMBER(Z2325),YEAR(Z2325),"")</f>
        <v/>
      </c>
      <c r="Z2325" s="12" t="n"/>
      <c r="AA2325" s="12" t="n"/>
      <c r="AI2325" s="12" t="n"/>
      <c r="AJ2325" s="13">
        <f>IF(LEN(TRIM(AF2325))=0,"",HYPERLINK("https://www.google.com/maps/@?api=1&amp;map_action=pano&amp;viewpoint="&amp;SUBSTITUTE(AF2325," ",""),"Abrir Street View"))</f>
        <v/>
      </c>
    </row>
    <row r="2326">
      <c r="H2326" s="6" t="n"/>
      <c r="I2326" s="6" t="n"/>
      <c r="M2326" s="7" t="n"/>
      <c r="N2326" s="7" t="n"/>
      <c r="O2326" s="7" t="n"/>
      <c r="Q2326" s="7" t="n"/>
      <c r="R2326" s="7" t="n"/>
      <c r="S2326" s="8">
        <f>IF(NOT(ISNUMBER(M2326)),"",IF(G2326="Terreno",IF(AND(ISNUMBER(I2326),I2326&gt;0),M2326/I2326,""),IF(AND(ISNUMBER(H2326),H2326&gt;0),M2326/H2326,"")))</f>
        <v/>
      </c>
      <c r="T2326" s="9">
        <f>IF(AND(ISNUMBER(M2326),ISNUMBER(O2326)),IF(M2326&lt;=O2326,"Valor ≤ venal IPTU",""),"")</f>
        <v/>
      </c>
      <c r="U2326" s="10">
        <f>IF(AND(ISNUMBER(M2326),ISNUMBER(N2326)),IF(N2326&gt;0,M2326/N2326,""),"")</f>
        <v/>
      </c>
      <c r="V2326" s="10">
        <f>IF(AND(ISNUMBER(M2326),ISNUMBER(O2326)),IF(O2326&gt;0,M2326/O2326,""),"")</f>
        <v/>
      </c>
      <c r="W2326" s="10">
        <f>IF(AND(ISNUMBER(M2326),ISNUMBER(R2326)),IF(R2326&gt;0,M2326/R2326,""),"")</f>
        <v/>
      </c>
      <c r="X2326" s="10">
        <f>IF(AND(ISNUMBER(Q2326),ISNUMBER(M2326)),IF(M2326&gt;0,Q2326/M2326,""),"")</f>
        <v/>
      </c>
      <c r="Y2326" s="11">
        <f>IF(ISNUMBER(Z2326),YEAR(Z2326),"")</f>
        <v/>
      </c>
      <c r="Z2326" s="12" t="n"/>
      <c r="AA2326" s="12" t="n"/>
      <c r="AI2326" s="12" t="n"/>
      <c r="AJ2326" s="13">
        <f>IF(LEN(TRIM(AF2326))=0,"",HYPERLINK("https://www.google.com/maps/@?api=1&amp;map_action=pano&amp;viewpoint="&amp;SUBSTITUTE(AF2326," ",""),"Abrir Street View"))</f>
        <v/>
      </c>
    </row>
    <row r="2327">
      <c r="H2327" s="6" t="n"/>
      <c r="I2327" s="6" t="n"/>
      <c r="M2327" s="7" t="n"/>
      <c r="N2327" s="7" t="n"/>
      <c r="O2327" s="7" t="n"/>
      <c r="Q2327" s="7" t="n"/>
      <c r="R2327" s="7" t="n"/>
      <c r="S2327" s="8">
        <f>IF(NOT(ISNUMBER(M2327)),"",IF(G2327="Terreno",IF(AND(ISNUMBER(I2327),I2327&gt;0),M2327/I2327,""),IF(AND(ISNUMBER(H2327),H2327&gt;0),M2327/H2327,"")))</f>
        <v/>
      </c>
      <c r="T2327" s="9">
        <f>IF(AND(ISNUMBER(M2327),ISNUMBER(O2327)),IF(M2327&lt;=O2327,"Valor ≤ venal IPTU",""),"")</f>
        <v/>
      </c>
      <c r="U2327" s="10">
        <f>IF(AND(ISNUMBER(M2327),ISNUMBER(N2327)),IF(N2327&gt;0,M2327/N2327,""),"")</f>
        <v/>
      </c>
      <c r="V2327" s="10">
        <f>IF(AND(ISNUMBER(M2327),ISNUMBER(O2327)),IF(O2327&gt;0,M2327/O2327,""),"")</f>
        <v/>
      </c>
      <c r="W2327" s="10">
        <f>IF(AND(ISNUMBER(M2327),ISNUMBER(R2327)),IF(R2327&gt;0,M2327/R2327,""),"")</f>
        <v/>
      </c>
      <c r="X2327" s="10">
        <f>IF(AND(ISNUMBER(Q2327),ISNUMBER(M2327)),IF(M2327&gt;0,Q2327/M2327,""),"")</f>
        <v/>
      </c>
      <c r="Y2327" s="11">
        <f>IF(ISNUMBER(Z2327),YEAR(Z2327),"")</f>
        <v/>
      </c>
      <c r="Z2327" s="12" t="n"/>
      <c r="AA2327" s="12" t="n"/>
      <c r="AI2327" s="12" t="n"/>
      <c r="AJ2327" s="13">
        <f>IF(LEN(TRIM(AF2327))=0,"",HYPERLINK("https://www.google.com/maps/@?api=1&amp;map_action=pano&amp;viewpoint="&amp;SUBSTITUTE(AF2327," ",""),"Abrir Street View"))</f>
        <v/>
      </c>
    </row>
    <row r="2328">
      <c r="H2328" s="6" t="n"/>
      <c r="I2328" s="6" t="n"/>
      <c r="M2328" s="7" t="n"/>
      <c r="N2328" s="7" t="n"/>
      <c r="O2328" s="7" t="n"/>
      <c r="Q2328" s="7" t="n"/>
      <c r="R2328" s="7" t="n"/>
      <c r="S2328" s="8">
        <f>IF(NOT(ISNUMBER(M2328)),"",IF(G2328="Terreno",IF(AND(ISNUMBER(I2328),I2328&gt;0),M2328/I2328,""),IF(AND(ISNUMBER(H2328),H2328&gt;0),M2328/H2328,"")))</f>
        <v/>
      </c>
      <c r="T2328" s="9">
        <f>IF(AND(ISNUMBER(M2328),ISNUMBER(O2328)),IF(M2328&lt;=O2328,"Valor ≤ venal IPTU",""),"")</f>
        <v/>
      </c>
      <c r="U2328" s="10">
        <f>IF(AND(ISNUMBER(M2328),ISNUMBER(N2328)),IF(N2328&gt;0,M2328/N2328,""),"")</f>
        <v/>
      </c>
      <c r="V2328" s="10">
        <f>IF(AND(ISNUMBER(M2328),ISNUMBER(O2328)),IF(O2328&gt;0,M2328/O2328,""),"")</f>
        <v/>
      </c>
      <c r="W2328" s="10">
        <f>IF(AND(ISNUMBER(M2328),ISNUMBER(R2328)),IF(R2328&gt;0,M2328/R2328,""),"")</f>
        <v/>
      </c>
      <c r="X2328" s="10">
        <f>IF(AND(ISNUMBER(Q2328),ISNUMBER(M2328)),IF(M2328&gt;0,Q2328/M2328,""),"")</f>
        <v/>
      </c>
      <c r="Y2328" s="11">
        <f>IF(ISNUMBER(Z2328),YEAR(Z2328),"")</f>
        <v/>
      </c>
      <c r="Z2328" s="12" t="n"/>
      <c r="AA2328" s="12" t="n"/>
      <c r="AI2328" s="12" t="n"/>
      <c r="AJ2328" s="13">
        <f>IF(LEN(TRIM(AF2328))=0,"",HYPERLINK("https://www.google.com/maps/@?api=1&amp;map_action=pano&amp;viewpoint="&amp;SUBSTITUTE(AF2328," ",""),"Abrir Street View"))</f>
        <v/>
      </c>
    </row>
    <row r="2329">
      <c r="H2329" s="6" t="n"/>
      <c r="I2329" s="6" t="n"/>
      <c r="M2329" s="7" t="n"/>
      <c r="N2329" s="7" t="n"/>
      <c r="O2329" s="7" t="n"/>
      <c r="Q2329" s="7" t="n"/>
      <c r="R2329" s="7" t="n"/>
      <c r="S2329" s="8">
        <f>IF(NOT(ISNUMBER(M2329)),"",IF(G2329="Terreno",IF(AND(ISNUMBER(I2329),I2329&gt;0),M2329/I2329,""),IF(AND(ISNUMBER(H2329),H2329&gt;0),M2329/H2329,"")))</f>
        <v/>
      </c>
      <c r="T2329" s="9">
        <f>IF(AND(ISNUMBER(M2329),ISNUMBER(O2329)),IF(M2329&lt;=O2329,"Valor ≤ venal IPTU",""),"")</f>
        <v/>
      </c>
      <c r="U2329" s="10">
        <f>IF(AND(ISNUMBER(M2329),ISNUMBER(N2329)),IF(N2329&gt;0,M2329/N2329,""),"")</f>
        <v/>
      </c>
      <c r="V2329" s="10">
        <f>IF(AND(ISNUMBER(M2329),ISNUMBER(O2329)),IF(O2329&gt;0,M2329/O2329,""),"")</f>
        <v/>
      </c>
      <c r="W2329" s="10">
        <f>IF(AND(ISNUMBER(M2329),ISNUMBER(R2329)),IF(R2329&gt;0,M2329/R2329,""),"")</f>
        <v/>
      </c>
      <c r="X2329" s="10">
        <f>IF(AND(ISNUMBER(Q2329),ISNUMBER(M2329)),IF(M2329&gt;0,Q2329/M2329,""),"")</f>
        <v/>
      </c>
      <c r="Y2329" s="11">
        <f>IF(ISNUMBER(Z2329),YEAR(Z2329),"")</f>
        <v/>
      </c>
      <c r="Z2329" s="12" t="n"/>
      <c r="AA2329" s="12" t="n"/>
      <c r="AI2329" s="12" t="n"/>
      <c r="AJ2329" s="13">
        <f>IF(LEN(TRIM(AF2329))=0,"",HYPERLINK("https://www.google.com/maps/@?api=1&amp;map_action=pano&amp;viewpoint="&amp;SUBSTITUTE(AF2329," ",""),"Abrir Street View"))</f>
        <v/>
      </c>
    </row>
    <row r="2330">
      <c r="H2330" s="6" t="n"/>
      <c r="I2330" s="6" t="n"/>
      <c r="M2330" s="7" t="n"/>
      <c r="N2330" s="7" t="n"/>
      <c r="O2330" s="7" t="n"/>
      <c r="Q2330" s="7" t="n"/>
      <c r="R2330" s="7" t="n"/>
      <c r="S2330" s="8">
        <f>IF(NOT(ISNUMBER(M2330)),"",IF(G2330="Terreno",IF(AND(ISNUMBER(I2330),I2330&gt;0),M2330/I2330,""),IF(AND(ISNUMBER(H2330),H2330&gt;0),M2330/H2330,"")))</f>
        <v/>
      </c>
      <c r="T2330" s="9">
        <f>IF(AND(ISNUMBER(M2330),ISNUMBER(O2330)),IF(M2330&lt;=O2330,"Valor ≤ venal IPTU",""),"")</f>
        <v/>
      </c>
      <c r="U2330" s="10">
        <f>IF(AND(ISNUMBER(M2330),ISNUMBER(N2330)),IF(N2330&gt;0,M2330/N2330,""),"")</f>
        <v/>
      </c>
      <c r="V2330" s="10">
        <f>IF(AND(ISNUMBER(M2330),ISNUMBER(O2330)),IF(O2330&gt;0,M2330/O2330,""),"")</f>
        <v/>
      </c>
      <c r="W2330" s="10">
        <f>IF(AND(ISNUMBER(M2330),ISNUMBER(R2330)),IF(R2330&gt;0,M2330/R2330,""),"")</f>
        <v/>
      </c>
      <c r="X2330" s="10">
        <f>IF(AND(ISNUMBER(Q2330),ISNUMBER(M2330)),IF(M2330&gt;0,Q2330/M2330,""),"")</f>
        <v/>
      </c>
      <c r="Y2330" s="11">
        <f>IF(ISNUMBER(Z2330),YEAR(Z2330),"")</f>
        <v/>
      </c>
      <c r="Z2330" s="12" t="n"/>
      <c r="AA2330" s="12" t="n"/>
      <c r="AI2330" s="12" t="n"/>
      <c r="AJ2330" s="13">
        <f>IF(LEN(TRIM(AF2330))=0,"",HYPERLINK("https://www.google.com/maps/@?api=1&amp;map_action=pano&amp;viewpoint="&amp;SUBSTITUTE(AF2330," ",""),"Abrir Street View"))</f>
        <v/>
      </c>
    </row>
    <row r="2331">
      <c r="H2331" s="6" t="n"/>
      <c r="I2331" s="6" t="n"/>
      <c r="M2331" s="7" t="n"/>
      <c r="N2331" s="7" t="n"/>
      <c r="O2331" s="7" t="n"/>
      <c r="Q2331" s="7" t="n"/>
      <c r="R2331" s="7" t="n"/>
      <c r="S2331" s="8">
        <f>IF(NOT(ISNUMBER(M2331)),"",IF(G2331="Terreno",IF(AND(ISNUMBER(I2331),I2331&gt;0),M2331/I2331,""),IF(AND(ISNUMBER(H2331),H2331&gt;0),M2331/H2331,"")))</f>
        <v/>
      </c>
      <c r="T2331" s="9">
        <f>IF(AND(ISNUMBER(M2331),ISNUMBER(O2331)),IF(M2331&lt;=O2331,"Valor ≤ venal IPTU",""),"")</f>
        <v/>
      </c>
      <c r="U2331" s="10">
        <f>IF(AND(ISNUMBER(M2331),ISNUMBER(N2331)),IF(N2331&gt;0,M2331/N2331,""),"")</f>
        <v/>
      </c>
      <c r="V2331" s="10">
        <f>IF(AND(ISNUMBER(M2331),ISNUMBER(O2331)),IF(O2331&gt;0,M2331/O2331,""),"")</f>
        <v/>
      </c>
      <c r="W2331" s="10">
        <f>IF(AND(ISNUMBER(M2331),ISNUMBER(R2331)),IF(R2331&gt;0,M2331/R2331,""),"")</f>
        <v/>
      </c>
      <c r="X2331" s="10">
        <f>IF(AND(ISNUMBER(Q2331),ISNUMBER(M2331)),IF(M2331&gt;0,Q2331/M2331,""),"")</f>
        <v/>
      </c>
      <c r="Y2331" s="11">
        <f>IF(ISNUMBER(Z2331),YEAR(Z2331),"")</f>
        <v/>
      </c>
      <c r="Z2331" s="12" t="n"/>
      <c r="AA2331" s="12" t="n"/>
      <c r="AI2331" s="12" t="n"/>
      <c r="AJ2331" s="13">
        <f>IF(LEN(TRIM(AF2331))=0,"",HYPERLINK("https://www.google.com/maps/@?api=1&amp;map_action=pano&amp;viewpoint="&amp;SUBSTITUTE(AF2331," ",""),"Abrir Street View"))</f>
        <v/>
      </c>
    </row>
    <row r="2332">
      <c r="H2332" s="6" t="n"/>
      <c r="I2332" s="6" t="n"/>
      <c r="M2332" s="7" t="n"/>
      <c r="N2332" s="7" t="n"/>
      <c r="O2332" s="7" t="n"/>
      <c r="Q2332" s="7" t="n"/>
      <c r="R2332" s="7" t="n"/>
      <c r="S2332" s="8">
        <f>IF(NOT(ISNUMBER(M2332)),"",IF(G2332="Terreno",IF(AND(ISNUMBER(I2332),I2332&gt;0),M2332/I2332,""),IF(AND(ISNUMBER(H2332),H2332&gt;0),M2332/H2332,"")))</f>
        <v/>
      </c>
      <c r="T2332" s="9">
        <f>IF(AND(ISNUMBER(M2332),ISNUMBER(O2332)),IF(M2332&lt;=O2332,"Valor ≤ venal IPTU",""),"")</f>
        <v/>
      </c>
      <c r="U2332" s="10">
        <f>IF(AND(ISNUMBER(M2332),ISNUMBER(N2332)),IF(N2332&gt;0,M2332/N2332,""),"")</f>
        <v/>
      </c>
      <c r="V2332" s="10">
        <f>IF(AND(ISNUMBER(M2332),ISNUMBER(O2332)),IF(O2332&gt;0,M2332/O2332,""),"")</f>
        <v/>
      </c>
      <c r="W2332" s="10">
        <f>IF(AND(ISNUMBER(M2332),ISNUMBER(R2332)),IF(R2332&gt;0,M2332/R2332,""),"")</f>
        <v/>
      </c>
      <c r="X2332" s="10">
        <f>IF(AND(ISNUMBER(Q2332),ISNUMBER(M2332)),IF(M2332&gt;0,Q2332/M2332,""),"")</f>
        <v/>
      </c>
      <c r="Y2332" s="11">
        <f>IF(ISNUMBER(Z2332),YEAR(Z2332),"")</f>
        <v/>
      </c>
      <c r="Z2332" s="12" t="n"/>
      <c r="AA2332" s="12" t="n"/>
      <c r="AI2332" s="12" t="n"/>
      <c r="AJ2332" s="13">
        <f>IF(LEN(TRIM(AF2332))=0,"",HYPERLINK("https://www.google.com/maps/@?api=1&amp;map_action=pano&amp;viewpoint="&amp;SUBSTITUTE(AF2332," ",""),"Abrir Street View"))</f>
        <v/>
      </c>
    </row>
    <row r="2333">
      <c r="H2333" s="6" t="n"/>
      <c r="I2333" s="6" t="n"/>
      <c r="M2333" s="7" t="n"/>
      <c r="N2333" s="7" t="n"/>
      <c r="O2333" s="7" t="n"/>
      <c r="Q2333" s="7" t="n"/>
      <c r="R2333" s="7" t="n"/>
      <c r="S2333" s="8">
        <f>IF(NOT(ISNUMBER(M2333)),"",IF(G2333="Terreno",IF(AND(ISNUMBER(I2333),I2333&gt;0),M2333/I2333,""),IF(AND(ISNUMBER(H2333),H2333&gt;0),M2333/H2333,"")))</f>
        <v/>
      </c>
      <c r="T2333" s="9">
        <f>IF(AND(ISNUMBER(M2333),ISNUMBER(O2333)),IF(M2333&lt;=O2333,"Valor ≤ venal IPTU",""),"")</f>
        <v/>
      </c>
      <c r="U2333" s="10">
        <f>IF(AND(ISNUMBER(M2333),ISNUMBER(N2333)),IF(N2333&gt;0,M2333/N2333,""),"")</f>
        <v/>
      </c>
      <c r="V2333" s="10">
        <f>IF(AND(ISNUMBER(M2333),ISNUMBER(O2333)),IF(O2333&gt;0,M2333/O2333,""),"")</f>
        <v/>
      </c>
      <c r="W2333" s="10">
        <f>IF(AND(ISNUMBER(M2333),ISNUMBER(R2333)),IF(R2333&gt;0,M2333/R2333,""),"")</f>
        <v/>
      </c>
      <c r="X2333" s="10">
        <f>IF(AND(ISNUMBER(Q2333),ISNUMBER(M2333)),IF(M2333&gt;0,Q2333/M2333,""),"")</f>
        <v/>
      </c>
      <c r="Y2333" s="11">
        <f>IF(ISNUMBER(Z2333),YEAR(Z2333),"")</f>
        <v/>
      </c>
      <c r="Z2333" s="12" t="n"/>
      <c r="AA2333" s="12" t="n"/>
      <c r="AI2333" s="12" t="n"/>
      <c r="AJ2333" s="13">
        <f>IF(LEN(TRIM(AF2333))=0,"",HYPERLINK("https://www.google.com/maps/@?api=1&amp;map_action=pano&amp;viewpoint="&amp;SUBSTITUTE(AF2333," ",""),"Abrir Street View"))</f>
        <v/>
      </c>
    </row>
    <row r="2334">
      <c r="H2334" s="6" t="n"/>
      <c r="I2334" s="6" t="n"/>
      <c r="M2334" s="7" t="n"/>
      <c r="N2334" s="7" t="n"/>
      <c r="O2334" s="7" t="n"/>
      <c r="Q2334" s="7" t="n"/>
      <c r="R2334" s="7" t="n"/>
      <c r="S2334" s="8">
        <f>IF(NOT(ISNUMBER(M2334)),"",IF(G2334="Terreno",IF(AND(ISNUMBER(I2334),I2334&gt;0),M2334/I2334,""),IF(AND(ISNUMBER(H2334),H2334&gt;0),M2334/H2334,"")))</f>
        <v/>
      </c>
      <c r="T2334" s="9">
        <f>IF(AND(ISNUMBER(M2334),ISNUMBER(O2334)),IF(M2334&lt;=O2334,"Valor ≤ venal IPTU",""),"")</f>
        <v/>
      </c>
      <c r="U2334" s="10">
        <f>IF(AND(ISNUMBER(M2334),ISNUMBER(N2334)),IF(N2334&gt;0,M2334/N2334,""),"")</f>
        <v/>
      </c>
      <c r="V2334" s="10">
        <f>IF(AND(ISNUMBER(M2334),ISNUMBER(O2334)),IF(O2334&gt;0,M2334/O2334,""),"")</f>
        <v/>
      </c>
      <c r="W2334" s="10">
        <f>IF(AND(ISNUMBER(M2334),ISNUMBER(R2334)),IF(R2334&gt;0,M2334/R2334,""),"")</f>
        <v/>
      </c>
      <c r="X2334" s="10">
        <f>IF(AND(ISNUMBER(Q2334),ISNUMBER(M2334)),IF(M2334&gt;0,Q2334/M2334,""),"")</f>
        <v/>
      </c>
      <c r="Y2334" s="11">
        <f>IF(ISNUMBER(Z2334),YEAR(Z2334),"")</f>
        <v/>
      </c>
      <c r="Z2334" s="12" t="n"/>
      <c r="AA2334" s="12" t="n"/>
      <c r="AI2334" s="12" t="n"/>
      <c r="AJ2334" s="13">
        <f>IF(LEN(TRIM(AF2334))=0,"",HYPERLINK("https://www.google.com/maps/@?api=1&amp;map_action=pano&amp;viewpoint="&amp;SUBSTITUTE(AF2334," ",""),"Abrir Street View"))</f>
        <v/>
      </c>
    </row>
    <row r="2335">
      <c r="H2335" s="6" t="n"/>
      <c r="I2335" s="6" t="n"/>
      <c r="M2335" s="7" t="n"/>
      <c r="N2335" s="7" t="n"/>
      <c r="O2335" s="7" t="n"/>
      <c r="Q2335" s="7" t="n"/>
      <c r="R2335" s="7" t="n"/>
      <c r="S2335" s="8">
        <f>IF(NOT(ISNUMBER(M2335)),"",IF(G2335="Terreno",IF(AND(ISNUMBER(I2335),I2335&gt;0),M2335/I2335,""),IF(AND(ISNUMBER(H2335),H2335&gt;0),M2335/H2335,"")))</f>
        <v/>
      </c>
      <c r="T2335" s="9">
        <f>IF(AND(ISNUMBER(M2335),ISNUMBER(O2335)),IF(M2335&lt;=O2335,"Valor ≤ venal IPTU",""),"")</f>
        <v/>
      </c>
      <c r="U2335" s="10">
        <f>IF(AND(ISNUMBER(M2335),ISNUMBER(N2335)),IF(N2335&gt;0,M2335/N2335,""),"")</f>
        <v/>
      </c>
      <c r="V2335" s="10">
        <f>IF(AND(ISNUMBER(M2335),ISNUMBER(O2335)),IF(O2335&gt;0,M2335/O2335,""),"")</f>
        <v/>
      </c>
      <c r="W2335" s="10">
        <f>IF(AND(ISNUMBER(M2335),ISNUMBER(R2335)),IF(R2335&gt;0,M2335/R2335,""),"")</f>
        <v/>
      </c>
      <c r="X2335" s="10">
        <f>IF(AND(ISNUMBER(Q2335),ISNUMBER(M2335)),IF(M2335&gt;0,Q2335/M2335,""),"")</f>
        <v/>
      </c>
      <c r="Y2335" s="11">
        <f>IF(ISNUMBER(Z2335),YEAR(Z2335),"")</f>
        <v/>
      </c>
      <c r="Z2335" s="12" t="n"/>
      <c r="AA2335" s="12" t="n"/>
      <c r="AI2335" s="12" t="n"/>
      <c r="AJ2335" s="13">
        <f>IF(LEN(TRIM(AF2335))=0,"",HYPERLINK("https://www.google.com/maps/@?api=1&amp;map_action=pano&amp;viewpoint="&amp;SUBSTITUTE(AF2335," ",""),"Abrir Street View"))</f>
        <v/>
      </c>
    </row>
    <row r="2336">
      <c r="H2336" s="6" t="n"/>
      <c r="I2336" s="6" t="n"/>
      <c r="M2336" s="7" t="n"/>
      <c r="N2336" s="7" t="n"/>
      <c r="O2336" s="7" t="n"/>
      <c r="Q2336" s="7" t="n"/>
      <c r="R2336" s="7" t="n"/>
      <c r="S2336" s="8">
        <f>IF(NOT(ISNUMBER(M2336)),"",IF(G2336="Terreno",IF(AND(ISNUMBER(I2336),I2336&gt;0),M2336/I2336,""),IF(AND(ISNUMBER(H2336),H2336&gt;0),M2336/H2336,"")))</f>
        <v/>
      </c>
      <c r="T2336" s="9">
        <f>IF(AND(ISNUMBER(M2336),ISNUMBER(O2336)),IF(M2336&lt;=O2336,"Valor ≤ venal IPTU",""),"")</f>
        <v/>
      </c>
      <c r="U2336" s="10">
        <f>IF(AND(ISNUMBER(M2336),ISNUMBER(N2336)),IF(N2336&gt;0,M2336/N2336,""),"")</f>
        <v/>
      </c>
      <c r="V2336" s="10">
        <f>IF(AND(ISNUMBER(M2336),ISNUMBER(O2336)),IF(O2336&gt;0,M2336/O2336,""),"")</f>
        <v/>
      </c>
      <c r="W2336" s="10">
        <f>IF(AND(ISNUMBER(M2336),ISNUMBER(R2336)),IF(R2336&gt;0,M2336/R2336,""),"")</f>
        <v/>
      </c>
      <c r="X2336" s="10">
        <f>IF(AND(ISNUMBER(Q2336),ISNUMBER(M2336)),IF(M2336&gt;0,Q2336/M2336,""),"")</f>
        <v/>
      </c>
      <c r="Y2336" s="11">
        <f>IF(ISNUMBER(Z2336),YEAR(Z2336),"")</f>
        <v/>
      </c>
      <c r="Z2336" s="12" t="n"/>
      <c r="AA2336" s="12" t="n"/>
      <c r="AI2336" s="12" t="n"/>
      <c r="AJ2336" s="13">
        <f>IF(LEN(TRIM(AF2336))=0,"",HYPERLINK("https://www.google.com/maps/@?api=1&amp;map_action=pano&amp;viewpoint="&amp;SUBSTITUTE(AF2336," ",""),"Abrir Street View"))</f>
        <v/>
      </c>
    </row>
    <row r="2337">
      <c r="H2337" s="6" t="n"/>
      <c r="I2337" s="6" t="n"/>
      <c r="M2337" s="7" t="n"/>
      <c r="N2337" s="7" t="n"/>
      <c r="O2337" s="7" t="n"/>
      <c r="Q2337" s="7" t="n"/>
      <c r="R2337" s="7" t="n"/>
      <c r="S2337" s="8">
        <f>IF(NOT(ISNUMBER(M2337)),"",IF(G2337="Terreno",IF(AND(ISNUMBER(I2337),I2337&gt;0),M2337/I2337,""),IF(AND(ISNUMBER(H2337),H2337&gt;0),M2337/H2337,"")))</f>
        <v/>
      </c>
      <c r="T2337" s="9">
        <f>IF(AND(ISNUMBER(M2337),ISNUMBER(O2337)),IF(M2337&lt;=O2337,"Valor ≤ venal IPTU",""),"")</f>
        <v/>
      </c>
      <c r="U2337" s="10">
        <f>IF(AND(ISNUMBER(M2337),ISNUMBER(N2337)),IF(N2337&gt;0,M2337/N2337,""),"")</f>
        <v/>
      </c>
      <c r="V2337" s="10">
        <f>IF(AND(ISNUMBER(M2337),ISNUMBER(O2337)),IF(O2337&gt;0,M2337/O2337,""),"")</f>
        <v/>
      </c>
      <c r="W2337" s="10">
        <f>IF(AND(ISNUMBER(M2337),ISNUMBER(R2337)),IF(R2337&gt;0,M2337/R2337,""),"")</f>
        <v/>
      </c>
      <c r="X2337" s="10">
        <f>IF(AND(ISNUMBER(Q2337),ISNUMBER(M2337)),IF(M2337&gt;0,Q2337/M2337,""),"")</f>
        <v/>
      </c>
      <c r="Y2337" s="11">
        <f>IF(ISNUMBER(Z2337),YEAR(Z2337),"")</f>
        <v/>
      </c>
      <c r="Z2337" s="12" t="n"/>
      <c r="AA2337" s="12" t="n"/>
      <c r="AI2337" s="12" t="n"/>
      <c r="AJ2337" s="13">
        <f>IF(LEN(TRIM(AF2337))=0,"",HYPERLINK("https://www.google.com/maps/@?api=1&amp;map_action=pano&amp;viewpoint="&amp;SUBSTITUTE(AF2337," ",""),"Abrir Street View"))</f>
        <v/>
      </c>
    </row>
    <row r="2338">
      <c r="H2338" s="6" t="n"/>
      <c r="I2338" s="6" t="n"/>
      <c r="M2338" s="7" t="n"/>
      <c r="N2338" s="7" t="n"/>
      <c r="O2338" s="7" t="n"/>
      <c r="Q2338" s="7" t="n"/>
      <c r="R2338" s="7" t="n"/>
      <c r="S2338" s="8">
        <f>IF(NOT(ISNUMBER(M2338)),"",IF(G2338="Terreno",IF(AND(ISNUMBER(I2338),I2338&gt;0),M2338/I2338,""),IF(AND(ISNUMBER(H2338),H2338&gt;0),M2338/H2338,"")))</f>
        <v/>
      </c>
      <c r="T2338" s="9">
        <f>IF(AND(ISNUMBER(M2338),ISNUMBER(O2338)),IF(M2338&lt;=O2338,"Valor ≤ venal IPTU",""),"")</f>
        <v/>
      </c>
      <c r="U2338" s="10">
        <f>IF(AND(ISNUMBER(M2338),ISNUMBER(N2338)),IF(N2338&gt;0,M2338/N2338,""),"")</f>
        <v/>
      </c>
      <c r="V2338" s="10">
        <f>IF(AND(ISNUMBER(M2338),ISNUMBER(O2338)),IF(O2338&gt;0,M2338/O2338,""),"")</f>
        <v/>
      </c>
      <c r="W2338" s="10">
        <f>IF(AND(ISNUMBER(M2338),ISNUMBER(R2338)),IF(R2338&gt;0,M2338/R2338,""),"")</f>
        <v/>
      </c>
      <c r="X2338" s="10">
        <f>IF(AND(ISNUMBER(Q2338),ISNUMBER(M2338)),IF(M2338&gt;0,Q2338/M2338,""),"")</f>
        <v/>
      </c>
      <c r="Y2338" s="11">
        <f>IF(ISNUMBER(Z2338),YEAR(Z2338),"")</f>
        <v/>
      </c>
      <c r="Z2338" s="12" t="n"/>
      <c r="AA2338" s="12" t="n"/>
      <c r="AI2338" s="12" t="n"/>
      <c r="AJ2338" s="13">
        <f>IF(LEN(TRIM(AF2338))=0,"",HYPERLINK("https://www.google.com/maps/@?api=1&amp;map_action=pano&amp;viewpoint="&amp;SUBSTITUTE(AF2338," ",""),"Abrir Street View"))</f>
        <v/>
      </c>
    </row>
    <row r="2339">
      <c r="H2339" s="6" t="n"/>
      <c r="I2339" s="6" t="n"/>
      <c r="M2339" s="7" t="n"/>
      <c r="N2339" s="7" t="n"/>
      <c r="O2339" s="7" t="n"/>
      <c r="Q2339" s="7" t="n"/>
      <c r="R2339" s="7" t="n"/>
      <c r="S2339" s="8">
        <f>IF(NOT(ISNUMBER(M2339)),"",IF(G2339="Terreno",IF(AND(ISNUMBER(I2339),I2339&gt;0),M2339/I2339,""),IF(AND(ISNUMBER(H2339),H2339&gt;0),M2339/H2339,"")))</f>
        <v/>
      </c>
      <c r="T2339" s="9">
        <f>IF(AND(ISNUMBER(M2339),ISNUMBER(O2339)),IF(M2339&lt;=O2339,"Valor ≤ venal IPTU",""),"")</f>
        <v/>
      </c>
      <c r="U2339" s="10">
        <f>IF(AND(ISNUMBER(M2339),ISNUMBER(N2339)),IF(N2339&gt;0,M2339/N2339,""),"")</f>
        <v/>
      </c>
      <c r="V2339" s="10">
        <f>IF(AND(ISNUMBER(M2339),ISNUMBER(O2339)),IF(O2339&gt;0,M2339/O2339,""),"")</f>
        <v/>
      </c>
      <c r="W2339" s="10">
        <f>IF(AND(ISNUMBER(M2339),ISNUMBER(R2339)),IF(R2339&gt;0,M2339/R2339,""),"")</f>
        <v/>
      </c>
      <c r="X2339" s="10">
        <f>IF(AND(ISNUMBER(Q2339),ISNUMBER(M2339)),IF(M2339&gt;0,Q2339/M2339,""),"")</f>
        <v/>
      </c>
      <c r="Y2339" s="11">
        <f>IF(ISNUMBER(Z2339),YEAR(Z2339),"")</f>
        <v/>
      </c>
      <c r="Z2339" s="12" t="n"/>
      <c r="AA2339" s="12" t="n"/>
      <c r="AI2339" s="12" t="n"/>
      <c r="AJ2339" s="13">
        <f>IF(LEN(TRIM(AF2339))=0,"",HYPERLINK("https://www.google.com/maps/@?api=1&amp;map_action=pano&amp;viewpoint="&amp;SUBSTITUTE(AF2339," ",""),"Abrir Street View"))</f>
        <v/>
      </c>
    </row>
    <row r="2340">
      <c r="H2340" s="6" t="n"/>
      <c r="I2340" s="6" t="n"/>
      <c r="M2340" s="7" t="n"/>
      <c r="N2340" s="7" t="n"/>
      <c r="O2340" s="7" t="n"/>
      <c r="Q2340" s="7" t="n"/>
      <c r="R2340" s="7" t="n"/>
      <c r="S2340" s="8">
        <f>IF(NOT(ISNUMBER(M2340)),"",IF(G2340="Terreno",IF(AND(ISNUMBER(I2340),I2340&gt;0),M2340/I2340,""),IF(AND(ISNUMBER(H2340),H2340&gt;0),M2340/H2340,"")))</f>
        <v/>
      </c>
      <c r="T2340" s="9">
        <f>IF(AND(ISNUMBER(M2340),ISNUMBER(O2340)),IF(M2340&lt;=O2340,"Valor ≤ venal IPTU",""),"")</f>
        <v/>
      </c>
      <c r="U2340" s="10">
        <f>IF(AND(ISNUMBER(M2340),ISNUMBER(N2340)),IF(N2340&gt;0,M2340/N2340,""),"")</f>
        <v/>
      </c>
      <c r="V2340" s="10">
        <f>IF(AND(ISNUMBER(M2340),ISNUMBER(O2340)),IF(O2340&gt;0,M2340/O2340,""),"")</f>
        <v/>
      </c>
      <c r="W2340" s="10">
        <f>IF(AND(ISNUMBER(M2340),ISNUMBER(R2340)),IF(R2340&gt;0,M2340/R2340,""),"")</f>
        <v/>
      </c>
      <c r="X2340" s="10">
        <f>IF(AND(ISNUMBER(Q2340),ISNUMBER(M2340)),IF(M2340&gt;0,Q2340/M2340,""),"")</f>
        <v/>
      </c>
      <c r="Y2340" s="11">
        <f>IF(ISNUMBER(Z2340),YEAR(Z2340),"")</f>
        <v/>
      </c>
      <c r="Z2340" s="12" t="n"/>
      <c r="AA2340" s="12" t="n"/>
      <c r="AI2340" s="12" t="n"/>
      <c r="AJ2340" s="13">
        <f>IF(LEN(TRIM(AF2340))=0,"",HYPERLINK("https://www.google.com/maps/@?api=1&amp;map_action=pano&amp;viewpoint="&amp;SUBSTITUTE(AF2340," ",""),"Abrir Street View"))</f>
        <v/>
      </c>
    </row>
    <row r="2341">
      <c r="H2341" s="6" t="n"/>
      <c r="I2341" s="6" t="n"/>
      <c r="M2341" s="7" t="n"/>
      <c r="N2341" s="7" t="n"/>
      <c r="O2341" s="7" t="n"/>
      <c r="Q2341" s="7" t="n"/>
      <c r="R2341" s="7" t="n"/>
      <c r="S2341" s="8">
        <f>IF(NOT(ISNUMBER(M2341)),"",IF(G2341="Terreno",IF(AND(ISNUMBER(I2341),I2341&gt;0),M2341/I2341,""),IF(AND(ISNUMBER(H2341),H2341&gt;0),M2341/H2341,"")))</f>
        <v/>
      </c>
      <c r="T2341" s="9">
        <f>IF(AND(ISNUMBER(M2341),ISNUMBER(O2341)),IF(M2341&lt;=O2341,"Valor ≤ venal IPTU",""),"")</f>
        <v/>
      </c>
      <c r="U2341" s="10">
        <f>IF(AND(ISNUMBER(M2341),ISNUMBER(N2341)),IF(N2341&gt;0,M2341/N2341,""),"")</f>
        <v/>
      </c>
      <c r="V2341" s="10">
        <f>IF(AND(ISNUMBER(M2341),ISNUMBER(O2341)),IF(O2341&gt;0,M2341/O2341,""),"")</f>
        <v/>
      </c>
      <c r="W2341" s="10">
        <f>IF(AND(ISNUMBER(M2341),ISNUMBER(R2341)),IF(R2341&gt;0,M2341/R2341,""),"")</f>
        <v/>
      </c>
      <c r="X2341" s="10">
        <f>IF(AND(ISNUMBER(Q2341),ISNUMBER(M2341)),IF(M2341&gt;0,Q2341/M2341,""),"")</f>
        <v/>
      </c>
      <c r="Y2341" s="11">
        <f>IF(ISNUMBER(Z2341),YEAR(Z2341),"")</f>
        <v/>
      </c>
      <c r="Z2341" s="12" t="n"/>
      <c r="AA2341" s="12" t="n"/>
      <c r="AI2341" s="12" t="n"/>
      <c r="AJ2341" s="13">
        <f>IF(LEN(TRIM(AF2341))=0,"",HYPERLINK("https://www.google.com/maps/@?api=1&amp;map_action=pano&amp;viewpoint="&amp;SUBSTITUTE(AF2341," ",""),"Abrir Street View"))</f>
        <v/>
      </c>
    </row>
    <row r="2342">
      <c r="H2342" s="6" t="n"/>
      <c r="I2342" s="6" t="n"/>
      <c r="M2342" s="7" t="n"/>
      <c r="N2342" s="7" t="n"/>
      <c r="O2342" s="7" t="n"/>
      <c r="Q2342" s="7" t="n"/>
      <c r="R2342" s="7" t="n"/>
      <c r="S2342" s="8">
        <f>IF(NOT(ISNUMBER(M2342)),"",IF(G2342="Terreno",IF(AND(ISNUMBER(I2342),I2342&gt;0),M2342/I2342,""),IF(AND(ISNUMBER(H2342),H2342&gt;0),M2342/H2342,"")))</f>
        <v/>
      </c>
      <c r="T2342" s="9">
        <f>IF(AND(ISNUMBER(M2342),ISNUMBER(O2342)),IF(M2342&lt;=O2342,"Valor ≤ venal IPTU",""),"")</f>
        <v/>
      </c>
      <c r="U2342" s="10">
        <f>IF(AND(ISNUMBER(M2342),ISNUMBER(N2342)),IF(N2342&gt;0,M2342/N2342,""),"")</f>
        <v/>
      </c>
      <c r="V2342" s="10">
        <f>IF(AND(ISNUMBER(M2342),ISNUMBER(O2342)),IF(O2342&gt;0,M2342/O2342,""),"")</f>
        <v/>
      </c>
      <c r="W2342" s="10">
        <f>IF(AND(ISNUMBER(M2342),ISNUMBER(R2342)),IF(R2342&gt;0,M2342/R2342,""),"")</f>
        <v/>
      </c>
      <c r="X2342" s="10">
        <f>IF(AND(ISNUMBER(Q2342),ISNUMBER(M2342)),IF(M2342&gt;0,Q2342/M2342,""),"")</f>
        <v/>
      </c>
      <c r="Y2342" s="11">
        <f>IF(ISNUMBER(Z2342),YEAR(Z2342),"")</f>
        <v/>
      </c>
      <c r="Z2342" s="12" t="n"/>
      <c r="AA2342" s="12" t="n"/>
      <c r="AI2342" s="12" t="n"/>
      <c r="AJ2342" s="13">
        <f>IF(LEN(TRIM(AF2342))=0,"",HYPERLINK("https://www.google.com/maps/@?api=1&amp;map_action=pano&amp;viewpoint="&amp;SUBSTITUTE(AF2342," ",""),"Abrir Street View"))</f>
        <v/>
      </c>
    </row>
    <row r="2343">
      <c r="H2343" s="6" t="n"/>
      <c r="I2343" s="6" t="n"/>
      <c r="M2343" s="7" t="n"/>
      <c r="N2343" s="7" t="n"/>
      <c r="O2343" s="7" t="n"/>
      <c r="Q2343" s="7" t="n"/>
      <c r="R2343" s="7" t="n"/>
      <c r="S2343" s="8">
        <f>IF(NOT(ISNUMBER(M2343)),"",IF(G2343="Terreno",IF(AND(ISNUMBER(I2343),I2343&gt;0),M2343/I2343,""),IF(AND(ISNUMBER(H2343),H2343&gt;0),M2343/H2343,"")))</f>
        <v/>
      </c>
      <c r="T2343" s="9">
        <f>IF(AND(ISNUMBER(M2343),ISNUMBER(O2343)),IF(M2343&lt;=O2343,"Valor ≤ venal IPTU",""),"")</f>
        <v/>
      </c>
      <c r="U2343" s="10">
        <f>IF(AND(ISNUMBER(M2343),ISNUMBER(N2343)),IF(N2343&gt;0,M2343/N2343,""),"")</f>
        <v/>
      </c>
      <c r="V2343" s="10">
        <f>IF(AND(ISNUMBER(M2343),ISNUMBER(O2343)),IF(O2343&gt;0,M2343/O2343,""),"")</f>
        <v/>
      </c>
      <c r="W2343" s="10">
        <f>IF(AND(ISNUMBER(M2343),ISNUMBER(R2343)),IF(R2343&gt;0,M2343/R2343,""),"")</f>
        <v/>
      </c>
      <c r="X2343" s="10">
        <f>IF(AND(ISNUMBER(Q2343),ISNUMBER(M2343)),IF(M2343&gt;0,Q2343/M2343,""),"")</f>
        <v/>
      </c>
      <c r="Y2343" s="11">
        <f>IF(ISNUMBER(Z2343),YEAR(Z2343),"")</f>
        <v/>
      </c>
      <c r="Z2343" s="12" t="n"/>
      <c r="AA2343" s="12" t="n"/>
      <c r="AI2343" s="12" t="n"/>
      <c r="AJ2343" s="13">
        <f>IF(LEN(TRIM(AF2343))=0,"",HYPERLINK("https://www.google.com/maps/@?api=1&amp;map_action=pano&amp;viewpoint="&amp;SUBSTITUTE(AF2343," ",""),"Abrir Street View"))</f>
        <v/>
      </c>
    </row>
    <row r="2344">
      <c r="H2344" s="6" t="n"/>
      <c r="I2344" s="6" t="n"/>
      <c r="M2344" s="7" t="n"/>
      <c r="N2344" s="7" t="n"/>
      <c r="O2344" s="7" t="n"/>
      <c r="Q2344" s="7" t="n"/>
      <c r="R2344" s="7" t="n"/>
      <c r="S2344" s="8">
        <f>IF(NOT(ISNUMBER(M2344)),"",IF(G2344="Terreno",IF(AND(ISNUMBER(I2344),I2344&gt;0),M2344/I2344,""),IF(AND(ISNUMBER(H2344),H2344&gt;0),M2344/H2344,"")))</f>
        <v/>
      </c>
      <c r="T2344" s="9">
        <f>IF(AND(ISNUMBER(M2344),ISNUMBER(O2344)),IF(M2344&lt;=O2344,"Valor ≤ venal IPTU",""),"")</f>
        <v/>
      </c>
      <c r="U2344" s="10">
        <f>IF(AND(ISNUMBER(M2344),ISNUMBER(N2344)),IF(N2344&gt;0,M2344/N2344,""),"")</f>
        <v/>
      </c>
      <c r="V2344" s="10">
        <f>IF(AND(ISNUMBER(M2344),ISNUMBER(O2344)),IF(O2344&gt;0,M2344/O2344,""),"")</f>
        <v/>
      </c>
      <c r="W2344" s="10">
        <f>IF(AND(ISNUMBER(M2344),ISNUMBER(R2344)),IF(R2344&gt;0,M2344/R2344,""),"")</f>
        <v/>
      </c>
      <c r="X2344" s="10">
        <f>IF(AND(ISNUMBER(Q2344),ISNUMBER(M2344)),IF(M2344&gt;0,Q2344/M2344,""),"")</f>
        <v/>
      </c>
      <c r="Y2344" s="11">
        <f>IF(ISNUMBER(Z2344),YEAR(Z2344),"")</f>
        <v/>
      </c>
      <c r="Z2344" s="12" t="n"/>
      <c r="AA2344" s="12" t="n"/>
      <c r="AI2344" s="12" t="n"/>
      <c r="AJ2344" s="13">
        <f>IF(LEN(TRIM(AF2344))=0,"",HYPERLINK("https://www.google.com/maps/@?api=1&amp;map_action=pano&amp;viewpoint="&amp;SUBSTITUTE(AF2344," ",""),"Abrir Street View"))</f>
        <v/>
      </c>
    </row>
    <row r="2345">
      <c r="H2345" s="6" t="n"/>
      <c r="I2345" s="6" t="n"/>
      <c r="M2345" s="7" t="n"/>
      <c r="N2345" s="7" t="n"/>
      <c r="O2345" s="7" t="n"/>
      <c r="Q2345" s="7" t="n"/>
      <c r="R2345" s="7" t="n"/>
      <c r="S2345" s="8">
        <f>IF(NOT(ISNUMBER(M2345)),"",IF(G2345="Terreno",IF(AND(ISNUMBER(I2345),I2345&gt;0),M2345/I2345,""),IF(AND(ISNUMBER(H2345),H2345&gt;0),M2345/H2345,"")))</f>
        <v/>
      </c>
      <c r="T2345" s="9">
        <f>IF(AND(ISNUMBER(M2345),ISNUMBER(O2345)),IF(M2345&lt;=O2345,"Valor ≤ venal IPTU",""),"")</f>
        <v/>
      </c>
      <c r="U2345" s="10">
        <f>IF(AND(ISNUMBER(M2345),ISNUMBER(N2345)),IF(N2345&gt;0,M2345/N2345,""),"")</f>
        <v/>
      </c>
      <c r="V2345" s="10">
        <f>IF(AND(ISNUMBER(M2345),ISNUMBER(O2345)),IF(O2345&gt;0,M2345/O2345,""),"")</f>
        <v/>
      </c>
      <c r="W2345" s="10">
        <f>IF(AND(ISNUMBER(M2345),ISNUMBER(R2345)),IF(R2345&gt;0,M2345/R2345,""),"")</f>
        <v/>
      </c>
      <c r="X2345" s="10">
        <f>IF(AND(ISNUMBER(Q2345),ISNUMBER(M2345)),IF(M2345&gt;0,Q2345/M2345,""),"")</f>
        <v/>
      </c>
      <c r="Y2345" s="11">
        <f>IF(ISNUMBER(Z2345),YEAR(Z2345),"")</f>
        <v/>
      </c>
      <c r="Z2345" s="12" t="n"/>
      <c r="AA2345" s="12" t="n"/>
      <c r="AI2345" s="12" t="n"/>
      <c r="AJ2345" s="13">
        <f>IF(LEN(TRIM(AF2345))=0,"",HYPERLINK("https://www.google.com/maps/@?api=1&amp;map_action=pano&amp;viewpoint="&amp;SUBSTITUTE(AF2345," ",""),"Abrir Street View"))</f>
        <v/>
      </c>
    </row>
    <row r="2346">
      <c r="H2346" s="6" t="n"/>
      <c r="I2346" s="6" t="n"/>
      <c r="M2346" s="7" t="n"/>
      <c r="N2346" s="7" t="n"/>
      <c r="O2346" s="7" t="n"/>
      <c r="Q2346" s="7" t="n"/>
      <c r="R2346" s="7" t="n"/>
      <c r="S2346" s="8">
        <f>IF(NOT(ISNUMBER(M2346)),"",IF(G2346="Terreno",IF(AND(ISNUMBER(I2346),I2346&gt;0),M2346/I2346,""),IF(AND(ISNUMBER(H2346),H2346&gt;0),M2346/H2346,"")))</f>
        <v/>
      </c>
      <c r="T2346" s="9">
        <f>IF(AND(ISNUMBER(M2346),ISNUMBER(O2346)),IF(M2346&lt;=O2346,"Valor ≤ venal IPTU",""),"")</f>
        <v/>
      </c>
      <c r="U2346" s="10">
        <f>IF(AND(ISNUMBER(M2346),ISNUMBER(N2346)),IF(N2346&gt;0,M2346/N2346,""),"")</f>
        <v/>
      </c>
      <c r="V2346" s="10">
        <f>IF(AND(ISNUMBER(M2346),ISNUMBER(O2346)),IF(O2346&gt;0,M2346/O2346,""),"")</f>
        <v/>
      </c>
      <c r="W2346" s="10">
        <f>IF(AND(ISNUMBER(M2346),ISNUMBER(R2346)),IF(R2346&gt;0,M2346/R2346,""),"")</f>
        <v/>
      </c>
      <c r="X2346" s="10">
        <f>IF(AND(ISNUMBER(Q2346),ISNUMBER(M2346)),IF(M2346&gt;0,Q2346/M2346,""),"")</f>
        <v/>
      </c>
      <c r="Y2346" s="11">
        <f>IF(ISNUMBER(Z2346),YEAR(Z2346),"")</f>
        <v/>
      </c>
      <c r="Z2346" s="12" t="n"/>
      <c r="AA2346" s="12" t="n"/>
      <c r="AI2346" s="12" t="n"/>
      <c r="AJ2346" s="13">
        <f>IF(LEN(TRIM(AF2346))=0,"",HYPERLINK("https://www.google.com/maps/@?api=1&amp;map_action=pano&amp;viewpoint="&amp;SUBSTITUTE(AF2346," ",""),"Abrir Street View"))</f>
        <v/>
      </c>
    </row>
    <row r="2347">
      <c r="H2347" s="6" t="n"/>
      <c r="I2347" s="6" t="n"/>
      <c r="M2347" s="7" t="n"/>
      <c r="N2347" s="7" t="n"/>
      <c r="O2347" s="7" t="n"/>
      <c r="Q2347" s="7" t="n"/>
      <c r="R2347" s="7" t="n"/>
      <c r="S2347" s="8">
        <f>IF(NOT(ISNUMBER(M2347)),"",IF(G2347="Terreno",IF(AND(ISNUMBER(I2347),I2347&gt;0),M2347/I2347,""),IF(AND(ISNUMBER(H2347),H2347&gt;0),M2347/H2347,"")))</f>
        <v/>
      </c>
      <c r="T2347" s="9">
        <f>IF(AND(ISNUMBER(M2347),ISNUMBER(O2347)),IF(M2347&lt;=O2347,"Valor ≤ venal IPTU",""),"")</f>
        <v/>
      </c>
      <c r="U2347" s="10">
        <f>IF(AND(ISNUMBER(M2347),ISNUMBER(N2347)),IF(N2347&gt;0,M2347/N2347,""),"")</f>
        <v/>
      </c>
      <c r="V2347" s="10">
        <f>IF(AND(ISNUMBER(M2347),ISNUMBER(O2347)),IF(O2347&gt;0,M2347/O2347,""),"")</f>
        <v/>
      </c>
      <c r="W2347" s="10">
        <f>IF(AND(ISNUMBER(M2347),ISNUMBER(R2347)),IF(R2347&gt;0,M2347/R2347,""),"")</f>
        <v/>
      </c>
      <c r="X2347" s="10">
        <f>IF(AND(ISNUMBER(Q2347),ISNUMBER(M2347)),IF(M2347&gt;0,Q2347/M2347,""),"")</f>
        <v/>
      </c>
      <c r="Y2347" s="11">
        <f>IF(ISNUMBER(Z2347),YEAR(Z2347),"")</f>
        <v/>
      </c>
      <c r="Z2347" s="12" t="n"/>
      <c r="AA2347" s="12" t="n"/>
      <c r="AI2347" s="12" t="n"/>
      <c r="AJ2347" s="13">
        <f>IF(LEN(TRIM(AF2347))=0,"",HYPERLINK("https://www.google.com/maps/@?api=1&amp;map_action=pano&amp;viewpoint="&amp;SUBSTITUTE(AF2347," ",""),"Abrir Street View"))</f>
        <v/>
      </c>
    </row>
    <row r="2348">
      <c r="H2348" s="6" t="n"/>
      <c r="I2348" s="6" t="n"/>
      <c r="M2348" s="7" t="n"/>
      <c r="N2348" s="7" t="n"/>
      <c r="O2348" s="7" t="n"/>
      <c r="Q2348" s="7" t="n"/>
      <c r="R2348" s="7" t="n"/>
      <c r="S2348" s="8">
        <f>IF(NOT(ISNUMBER(M2348)),"",IF(G2348="Terreno",IF(AND(ISNUMBER(I2348),I2348&gt;0),M2348/I2348,""),IF(AND(ISNUMBER(H2348),H2348&gt;0),M2348/H2348,"")))</f>
        <v/>
      </c>
      <c r="T2348" s="9">
        <f>IF(AND(ISNUMBER(M2348),ISNUMBER(O2348)),IF(M2348&lt;=O2348,"Valor ≤ venal IPTU",""),"")</f>
        <v/>
      </c>
      <c r="U2348" s="10">
        <f>IF(AND(ISNUMBER(M2348),ISNUMBER(N2348)),IF(N2348&gt;0,M2348/N2348,""),"")</f>
        <v/>
      </c>
      <c r="V2348" s="10">
        <f>IF(AND(ISNUMBER(M2348),ISNUMBER(O2348)),IF(O2348&gt;0,M2348/O2348,""),"")</f>
        <v/>
      </c>
      <c r="W2348" s="10">
        <f>IF(AND(ISNUMBER(M2348),ISNUMBER(R2348)),IF(R2348&gt;0,M2348/R2348,""),"")</f>
        <v/>
      </c>
      <c r="X2348" s="10">
        <f>IF(AND(ISNUMBER(Q2348),ISNUMBER(M2348)),IF(M2348&gt;0,Q2348/M2348,""),"")</f>
        <v/>
      </c>
      <c r="Y2348" s="11">
        <f>IF(ISNUMBER(Z2348),YEAR(Z2348),"")</f>
        <v/>
      </c>
      <c r="Z2348" s="12" t="n"/>
      <c r="AA2348" s="12" t="n"/>
      <c r="AI2348" s="12" t="n"/>
      <c r="AJ2348" s="13">
        <f>IF(LEN(TRIM(AF2348))=0,"",HYPERLINK("https://www.google.com/maps/@?api=1&amp;map_action=pano&amp;viewpoint="&amp;SUBSTITUTE(AF2348," ",""),"Abrir Street View"))</f>
        <v/>
      </c>
    </row>
    <row r="2349">
      <c r="H2349" s="6" t="n"/>
      <c r="I2349" s="6" t="n"/>
      <c r="M2349" s="7" t="n"/>
      <c r="N2349" s="7" t="n"/>
      <c r="O2349" s="7" t="n"/>
      <c r="Q2349" s="7" t="n"/>
      <c r="R2349" s="7" t="n"/>
      <c r="S2349" s="8">
        <f>IF(NOT(ISNUMBER(M2349)),"",IF(G2349="Terreno",IF(AND(ISNUMBER(I2349),I2349&gt;0),M2349/I2349,""),IF(AND(ISNUMBER(H2349),H2349&gt;0),M2349/H2349,"")))</f>
        <v/>
      </c>
      <c r="T2349" s="9">
        <f>IF(AND(ISNUMBER(M2349),ISNUMBER(O2349)),IF(M2349&lt;=O2349,"Valor ≤ venal IPTU",""),"")</f>
        <v/>
      </c>
      <c r="U2349" s="10">
        <f>IF(AND(ISNUMBER(M2349),ISNUMBER(N2349)),IF(N2349&gt;0,M2349/N2349,""),"")</f>
        <v/>
      </c>
      <c r="V2349" s="10">
        <f>IF(AND(ISNUMBER(M2349),ISNUMBER(O2349)),IF(O2349&gt;0,M2349/O2349,""),"")</f>
        <v/>
      </c>
      <c r="W2349" s="10">
        <f>IF(AND(ISNUMBER(M2349),ISNUMBER(R2349)),IF(R2349&gt;0,M2349/R2349,""),"")</f>
        <v/>
      </c>
      <c r="X2349" s="10">
        <f>IF(AND(ISNUMBER(Q2349),ISNUMBER(M2349)),IF(M2349&gt;0,Q2349/M2349,""),"")</f>
        <v/>
      </c>
      <c r="Y2349" s="11">
        <f>IF(ISNUMBER(Z2349),YEAR(Z2349),"")</f>
        <v/>
      </c>
      <c r="Z2349" s="12" t="n"/>
      <c r="AA2349" s="12" t="n"/>
      <c r="AI2349" s="12" t="n"/>
      <c r="AJ2349" s="13">
        <f>IF(LEN(TRIM(AF2349))=0,"",HYPERLINK("https://www.google.com/maps/@?api=1&amp;map_action=pano&amp;viewpoint="&amp;SUBSTITUTE(AF2349," ",""),"Abrir Street View"))</f>
        <v/>
      </c>
    </row>
    <row r="2350">
      <c r="H2350" s="6" t="n"/>
      <c r="I2350" s="6" t="n"/>
      <c r="M2350" s="7" t="n"/>
      <c r="N2350" s="7" t="n"/>
      <c r="O2350" s="7" t="n"/>
      <c r="Q2350" s="7" t="n"/>
      <c r="R2350" s="7" t="n"/>
      <c r="S2350" s="8">
        <f>IF(NOT(ISNUMBER(M2350)),"",IF(G2350="Terreno",IF(AND(ISNUMBER(I2350),I2350&gt;0),M2350/I2350,""),IF(AND(ISNUMBER(H2350),H2350&gt;0),M2350/H2350,"")))</f>
        <v/>
      </c>
      <c r="T2350" s="9">
        <f>IF(AND(ISNUMBER(M2350),ISNUMBER(O2350)),IF(M2350&lt;=O2350,"Valor ≤ venal IPTU",""),"")</f>
        <v/>
      </c>
      <c r="U2350" s="10">
        <f>IF(AND(ISNUMBER(M2350),ISNUMBER(N2350)),IF(N2350&gt;0,M2350/N2350,""),"")</f>
        <v/>
      </c>
      <c r="V2350" s="10">
        <f>IF(AND(ISNUMBER(M2350),ISNUMBER(O2350)),IF(O2350&gt;0,M2350/O2350,""),"")</f>
        <v/>
      </c>
      <c r="W2350" s="10">
        <f>IF(AND(ISNUMBER(M2350),ISNUMBER(R2350)),IF(R2350&gt;0,M2350/R2350,""),"")</f>
        <v/>
      </c>
      <c r="X2350" s="10">
        <f>IF(AND(ISNUMBER(Q2350),ISNUMBER(M2350)),IF(M2350&gt;0,Q2350/M2350,""),"")</f>
        <v/>
      </c>
      <c r="Y2350" s="11">
        <f>IF(ISNUMBER(Z2350),YEAR(Z2350),"")</f>
        <v/>
      </c>
      <c r="Z2350" s="12" t="n"/>
      <c r="AA2350" s="12" t="n"/>
      <c r="AI2350" s="12" t="n"/>
      <c r="AJ2350" s="13">
        <f>IF(LEN(TRIM(AF2350))=0,"",HYPERLINK("https://www.google.com/maps/@?api=1&amp;map_action=pano&amp;viewpoint="&amp;SUBSTITUTE(AF2350," ",""),"Abrir Street View"))</f>
        <v/>
      </c>
    </row>
    <row r="2351">
      <c r="H2351" s="6" t="n"/>
      <c r="I2351" s="6" t="n"/>
      <c r="M2351" s="7" t="n"/>
      <c r="N2351" s="7" t="n"/>
      <c r="O2351" s="7" t="n"/>
      <c r="Q2351" s="7" t="n"/>
      <c r="R2351" s="7" t="n"/>
      <c r="S2351" s="8">
        <f>IF(NOT(ISNUMBER(M2351)),"",IF(G2351="Terreno",IF(AND(ISNUMBER(I2351),I2351&gt;0),M2351/I2351,""),IF(AND(ISNUMBER(H2351),H2351&gt;0),M2351/H2351,"")))</f>
        <v/>
      </c>
      <c r="T2351" s="9">
        <f>IF(AND(ISNUMBER(M2351),ISNUMBER(O2351)),IF(M2351&lt;=O2351,"Valor ≤ venal IPTU",""),"")</f>
        <v/>
      </c>
      <c r="U2351" s="10">
        <f>IF(AND(ISNUMBER(M2351),ISNUMBER(N2351)),IF(N2351&gt;0,M2351/N2351,""),"")</f>
        <v/>
      </c>
      <c r="V2351" s="10">
        <f>IF(AND(ISNUMBER(M2351),ISNUMBER(O2351)),IF(O2351&gt;0,M2351/O2351,""),"")</f>
        <v/>
      </c>
      <c r="W2351" s="10">
        <f>IF(AND(ISNUMBER(M2351),ISNUMBER(R2351)),IF(R2351&gt;0,M2351/R2351,""),"")</f>
        <v/>
      </c>
      <c r="X2351" s="10">
        <f>IF(AND(ISNUMBER(Q2351),ISNUMBER(M2351)),IF(M2351&gt;0,Q2351/M2351,""),"")</f>
        <v/>
      </c>
      <c r="Y2351" s="11">
        <f>IF(ISNUMBER(Z2351),YEAR(Z2351),"")</f>
        <v/>
      </c>
      <c r="Z2351" s="12" t="n"/>
      <c r="AA2351" s="12" t="n"/>
      <c r="AI2351" s="12" t="n"/>
      <c r="AJ2351" s="13">
        <f>IF(LEN(TRIM(AF2351))=0,"",HYPERLINK("https://www.google.com/maps/@?api=1&amp;map_action=pano&amp;viewpoint="&amp;SUBSTITUTE(AF2351," ",""),"Abrir Street View"))</f>
        <v/>
      </c>
    </row>
    <row r="2352">
      <c r="H2352" s="6" t="n"/>
      <c r="I2352" s="6" t="n"/>
      <c r="M2352" s="7" t="n"/>
      <c r="N2352" s="7" t="n"/>
      <c r="O2352" s="7" t="n"/>
      <c r="Q2352" s="7" t="n"/>
      <c r="R2352" s="7" t="n"/>
      <c r="S2352" s="8">
        <f>IF(NOT(ISNUMBER(M2352)),"",IF(G2352="Terreno",IF(AND(ISNUMBER(I2352),I2352&gt;0),M2352/I2352,""),IF(AND(ISNUMBER(H2352),H2352&gt;0),M2352/H2352,"")))</f>
        <v/>
      </c>
      <c r="T2352" s="9">
        <f>IF(AND(ISNUMBER(M2352),ISNUMBER(O2352)),IF(M2352&lt;=O2352,"Valor ≤ venal IPTU",""),"")</f>
        <v/>
      </c>
      <c r="U2352" s="10">
        <f>IF(AND(ISNUMBER(M2352),ISNUMBER(N2352)),IF(N2352&gt;0,M2352/N2352,""),"")</f>
        <v/>
      </c>
      <c r="V2352" s="10">
        <f>IF(AND(ISNUMBER(M2352),ISNUMBER(O2352)),IF(O2352&gt;0,M2352/O2352,""),"")</f>
        <v/>
      </c>
      <c r="W2352" s="10">
        <f>IF(AND(ISNUMBER(M2352),ISNUMBER(R2352)),IF(R2352&gt;0,M2352/R2352,""),"")</f>
        <v/>
      </c>
      <c r="X2352" s="10">
        <f>IF(AND(ISNUMBER(Q2352),ISNUMBER(M2352)),IF(M2352&gt;0,Q2352/M2352,""),"")</f>
        <v/>
      </c>
      <c r="Y2352" s="11">
        <f>IF(ISNUMBER(Z2352),YEAR(Z2352),"")</f>
        <v/>
      </c>
      <c r="Z2352" s="12" t="n"/>
      <c r="AA2352" s="12" t="n"/>
      <c r="AI2352" s="12" t="n"/>
      <c r="AJ2352" s="13">
        <f>IF(LEN(TRIM(AF2352))=0,"",HYPERLINK("https://www.google.com/maps/@?api=1&amp;map_action=pano&amp;viewpoint="&amp;SUBSTITUTE(AF2352," ",""),"Abrir Street View"))</f>
        <v/>
      </c>
    </row>
    <row r="2353">
      <c r="H2353" s="6" t="n"/>
      <c r="I2353" s="6" t="n"/>
      <c r="M2353" s="7" t="n"/>
      <c r="N2353" s="7" t="n"/>
      <c r="O2353" s="7" t="n"/>
      <c r="Q2353" s="7" t="n"/>
      <c r="R2353" s="7" t="n"/>
      <c r="S2353" s="8">
        <f>IF(NOT(ISNUMBER(M2353)),"",IF(G2353="Terreno",IF(AND(ISNUMBER(I2353),I2353&gt;0),M2353/I2353,""),IF(AND(ISNUMBER(H2353),H2353&gt;0),M2353/H2353,"")))</f>
        <v/>
      </c>
      <c r="T2353" s="9">
        <f>IF(AND(ISNUMBER(M2353),ISNUMBER(O2353)),IF(M2353&lt;=O2353,"Valor ≤ venal IPTU",""),"")</f>
        <v/>
      </c>
      <c r="U2353" s="10">
        <f>IF(AND(ISNUMBER(M2353),ISNUMBER(N2353)),IF(N2353&gt;0,M2353/N2353,""),"")</f>
        <v/>
      </c>
      <c r="V2353" s="10">
        <f>IF(AND(ISNUMBER(M2353),ISNUMBER(O2353)),IF(O2353&gt;0,M2353/O2353,""),"")</f>
        <v/>
      </c>
      <c r="W2353" s="10">
        <f>IF(AND(ISNUMBER(M2353),ISNUMBER(R2353)),IF(R2353&gt;0,M2353/R2353,""),"")</f>
        <v/>
      </c>
      <c r="X2353" s="10">
        <f>IF(AND(ISNUMBER(Q2353),ISNUMBER(M2353)),IF(M2353&gt;0,Q2353/M2353,""),"")</f>
        <v/>
      </c>
      <c r="Y2353" s="11">
        <f>IF(ISNUMBER(Z2353),YEAR(Z2353),"")</f>
        <v/>
      </c>
      <c r="Z2353" s="12" t="n"/>
      <c r="AA2353" s="12" t="n"/>
      <c r="AI2353" s="12" t="n"/>
      <c r="AJ2353" s="13">
        <f>IF(LEN(TRIM(AF2353))=0,"",HYPERLINK("https://www.google.com/maps/@?api=1&amp;map_action=pano&amp;viewpoint="&amp;SUBSTITUTE(AF2353," ",""),"Abrir Street View"))</f>
        <v/>
      </c>
    </row>
    <row r="2354">
      <c r="H2354" s="6" t="n"/>
      <c r="I2354" s="6" t="n"/>
      <c r="M2354" s="7" t="n"/>
      <c r="N2354" s="7" t="n"/>
      <c r="O2354" s="7" t="n"/>
      <c r="Q2354" s="7" t="n"/>
      <c r="R2354" s="7" t="n"/>
      <c r="S2354" s="8">
        <f>IF(NOT(ISNUMBER(M2354)),"",IF(G2354="Terreno",IF(AND(ISNUMBER(I2354),I2354&gt;0),M2354/I2354,""),IF(AND(ISNUMBER(H2354),H2354&gt;0),M2354/H2354,"")))</f>
        <v/>
      </c>
      <c r="T2354" s="9">
        <f>IF(AND(ISNUMBER(M2354),ISNUMBER(O2354)),IF(M2354&lt;=O2354,"Valor ≤ venal IPTU",""),"")</f>
        <v/>
      </c>
      <c r="U2354" s="10">
        <f>IF(AND(ISNUMBER(M2354),ISNUMBER(N2354)),IF(N2354&gt;0,M2354/N2354,""),"")</f>
        <v/>
      </c>
      <c r="V2354" s="10">
        <f>IF(AND(ISNUMBER(M2354),ISNUMBER(O2354)),IF(O2354&gt;0,M2354/O2354,""),"")</f>
        <v/>
      </c>
      <c r="W2354" s="10">
        <f>IF(AND(ISNUMBER(M2354),ISNUMBER(R2354)),IF(R2354&gt;0,M2354/R2354,""),"")</f>
        <v/>
      </c>
      <c r="X2354" s="10">
        <f>IF(AND(ISNUMBER(Q2354),ISNUMBER(M2354)),IF(M2354&gt;0,Q2354/M2354,""),"")</f>
        <v/>
      </c>
      <c r="Y2354" s="11">
        <f>IF(ISNUMBER(Z2354),YEAR(Z2354),"")</f>
        <v/>
      </c>
      <c r="Z2354" s="12" t="n"/>
      <c r="AA2354" s="12" t="n"/>
      <c r="AI2354" s="12" t="n"/>
      <c r="AJ2354" s="13">
        <f>IF(LEN(TRIM(AF2354))=0,"",HYPERLINK("https://www.google.com/maps/@?api=1&amp;map_action=pano&amp;viewpoint="&amp;SUBSTITUTE(AF2354," ",""),"Abrir Street View"))</f>
        <v/>
      </c>
    </row>
    <row r="2355">
      <c r="H2355" s="6" t="n"/>
      <c r="I2355" s="6" t="n"/>
      <c r="M2355" s="7" t="n"/>
      <c r="N2355" s="7" t="n"/>
      <c r="O2355" s="7" t="n"/>
      <c r="Q2355" s="7" t="n"/>
      <c r="R2355" s="7" t="n"/>
      <c r="S2355" s="8">
        <f>IF(NOT(ISNUMBER(M2355)),"",IF(G2355="Terreno",IF(AND(ISNUMBER(I2355),I2355&gt;0),M2355/I2355,""),IF(AND(ISNUMBER(H2355),H2355&gt;0),M2355/H2355,"")))</f>
        <v/>
      </c>
      <c r="T2355" s="9">
        <f>IF(AND(ISNUMBER(M2355),ISNUMBER(O2355)),IF(M2355&lt;=O2355,"Valor ≤ venal IPTU",""),"")</f>
        <v/>
      </c>
      <c r="U2355" s="10">
        <f>IF(AND(ISNUMBER(M2355),ISNUMBER(N2355)),IF(N2355&gt;0,M2355/N2355,""),"")</f>
        <v/>
      </c>
      <c r="V2355" s="10">
        <f>IF(AND(ISNUMBER(M2355),ISNUMBER(O2355)),IF(O2355&gt;0,M2355/O2355,""),"")</f>
        <v/>
      </c>
      <c r="W2355" s="10">
        <f>IF(AND(ISNUMBER(M2355),ISNUMBER(R2355)),IF(R2355&gt;0,M2355/R2355,""),"")</f>
        <v/>
      </c>
      <c r="X2355" s="10">
        <f>IF(AND(ISNUMBER(Q2355),ISNUMBER(M2355)),IF(M2355&gt;0,Q2355/M2355,""),"")</f>
        <v/>
      </c>
      <c r="Y2355" s="11">
        <f>IF(ISNUMBER(Z2355),YEAR(Z2355),"")</f>
        <v/>
      </c>
      <c r="Z2355" s="12" t="n"/>
      <c r="AA2355" s="12" t="n"/>
      <c r="AI2355" s="12" t="n"/>
      <c r="AJ2355" s="13">
        <f>IF(LEN(TRIM(AF2355))=0,"",HYPERLINK("https://www.google.com/maps/@?api=1&amp;map_action=pano&amp;viewpoint="&amp;SUBSTITUTE(AF2355," ",""),"Abrir Street View"))</f>
        <v/>
      </c>
    </row>
    <row r="2356">
      <c r="H2356" s="6" t="n"/>
      <c r="I2356" s="6" t="n"/>
      <c r="M2356" s="7" t="n"/>
      <c r="N2356" s="7" t="n"/>
      <c r="O2356" s="7" t="n"/>
      <c r="Q2356" s="7" t="n"/>
      <c r="R2356" s="7" t="n"/>
      <c r="S2356" s="8">
        <f>IF(NOT(ISNUMBER(M2356)),"",IF(G2356="Terreno",IF(AND(ISNUMBER(I2356),I2356&gt;0),M2356/I2356,""),IF(AND(ISNUMBER(H2356),H2356&gt;0),M2356/H2356,"")))</f>
        <v/>
      </c>
      <c r="T2356" s="9">
        <f>IF(AND(ISNUMBER(M2356),ISNUMBER(O2356)),IF(M2356&lt;=O2356,"Valor ≤ venal IPTU",""),"")</f>
        <v/>
      </c>
      <c r="U2356" s="10">
        <f>IF(AND(ISNUMBER(M2356),ISNUMBER(N2356)),IF(N2356&gt;0,M2356/N2356,""),"")</f>
        <v/>
      </c>
      <c r="V2356" s="10">
        <f>IF(AND(ISNUMBER(M2356),ISNUMBER(O2356)),IF(O2356&gt;0,M2356/O2356,""),"")</f>
        <v/>
      </c>
      <c r="W2356" s="10">
        <f>IF(AND(ISNUMBER(M2356),ISNUMBER(R2356)),IF(R2356&gt;0,M2356/R2356,""),"")</f>
        <v/>
      </c>
      <c r="X2356" s="10">
        <f>IF(AND(ISNUMBER(Q2356),ISNUMBER(M2356)),IF(M2356&gt;0,Q2356/M2356,""),"")</f>
        <v/>
      </c>
      <c r="Y2356" s="11">
        <f>IF(ISNUMBER(Z2356),YEAR(Z2356),"")</f>
        <v/>
      </c>
      <c r="Z2356" s="12" t="n"/>
      <c r="AA2356" s="12" t="n"/>
      <c r="AI2356" s="12" t="n"/>
      <c r="AJ2356" s="13">
        <f>IF(LEN(TRIM(AF2356))=0,"",HYPERLINK("https://www.google.com/maps/@?api=1&amp;map_action=pano&amp;viewpoint="&amp;SUBSTITUTE(AF2356," ",""),"Abrir Street View"))</f>
        <v/>
      </c>
    </row>
    <row r="2357">
      <c r="H2357" s="6" t="n"/>
      <c r="I2357" s="6" t="n"/>
      <c r="M2357" s="7" t="n"/>
      <c r="N2357" s="7" t="n"/>
      <c r="O2357" s="7" t="n"/>
      <c r="Q2357" s="7" t="n"/>
      <c r="R2357" s="7" t="n"/>
      <c r="S2357" s="8">
        <f>IF(NOT(ISNUMBER(M2357)),"",IF(G2357="Terreno",IF(AND(ISNUMBER(I2357),I2357&gt;0),M2357/I2357,""),IF(AND(ISNUMBER(H2357),H2357&gt;0),M2357/H2357,"")))</f>
        <v/>
      </c>
      <c r="T2357" s="9">
        <f>IF(AND(ISNUMBER(M2357),ISNUMBER(O2357)),IF(M2357&lt;=O2357,"Valor ≤ venal IPTU",""),"")</f>
        <v/>
      </c>
      <c r="U2357" s="10">
        <f>IF(AND(ISNUMBER(M2357),ISNUMBER(N2357)),IF(N2357&gt;0,M2357/N2357,""),"")</f>
        <v/>
      </c>
      <c r="V2357" s="10">
        <f>IF(AND(ISNUMBER(M2357),ISNUMBER(O2357)),IF(O2357&gt;0,M2357/O2357,""),"")</f>
        <v/>
      </c>
      <c r="W2357" s="10">
        <f>IF(AND(ISNUMBER(M2357),ISNUMBER(R2357)),IF(R2357&gt;0,M2357/R2357,""),"")</f>
        <v/>
      </c>
      <c r="X2357" s="10">
        <f>IF(AND(ISNUMBER(Q2357),ISNUMBER(M2357)),IF(M2357&gt;0,Q2357/M2357,""),"")</f>
        <v/>
      </c>
      <c r="Y2357" s="11">
        <f>IF(ISNUMBER(Z2357),YEAR(Z2357),"")</f>
        <v/>
      </c>
      <c r="Z2357" s="12" t="n"/>
      <c r="AA2357" s="12" t="n"/>
      <c r="AI2357" s="12" t="n"/>
      <c r="AJ2357" s="13">
        <f>IF(LEN(TRIM(AF2357))=0,"",HYPERLINK("https://www.google.com/maps/@?api=1&amp;map_action=pano&amp;viewpoint="&amp;SUBSTITUTE(AF2357," ",""),"Abrir Street View"))</f>
        <v/>
      </c>
    </row>
    <row r="2358">
      <c r="H2358" s="6" t="n"/>
      <c r="I2358" s="6" t="n"/>
      <c r="M2358" s="7" t="n"/>
      <c r="N2358" s="7" t="n"/>
      <c r="O2358" s="7" t="n"/>
      <c r="Q2358" s="7" t="n"/>
      <c r="R2358" s="7" t="n"/>
      <c r="S2358" s="8">
        <f>IF(NOT(ISNUMBER(M2358)),"",IF(G2358="Terreno",IF(AND(ISNUMBER(I2358),I2358&gt;0),M2358/I2358,""),IF(AND(ISNUMBER(H2358),H2358&gt;0),M2358/H2358,"")))</f>
        <v/>
      </c>
      <c r="T2358" s="9">
        <f>IF(AND(ISNUMBER(M2358),ISNUMBER(O2358)),IF(M2358&lt;=O2358,"Valor ≤ venal IPTU",""),"")</f>
        <v/>
      </c>
      <c r="U2358" s="10">
        <f>IF(AND(ISNUMBER(M2358),ISNUMBER(N2358)),IF(N2358&gt;0,M2358/N2358,""),"")</f>
        <v/>
      </c>
      <c r="V2358" s="10">
        <f>IF(AND(ISNUMBER(M2358),ISNUMBER(O2358)),IF(O2358&gt;0,M2358/O2358,""),"")</f>
        <v/>
      </c>
      <c r="W2358" s="10">
        <f>IF(AND(ISNUMBER(M2358),ISNUMBER(R2358)),IF(R2358&gt;0,M2358/R2358,""),"")</f>
        <v/>
      </c>
      <c r="X2358" s="10">
        <f>IF(AND(ISNUMBER(Q2358),ISNUMBER(M2358)),IF(M2358&gt;0,Q2358/M2358,""),"")</f>
        <v/>
      </c>
      <c r="Y2358" s="11">
        <f>IF(ISNUMBER(Z2358),YEAR(Z2358),"")</f>
        <v/>
      </c>
      <c r="Z2358" s="12" t="n"/>
      <c r="AA2358" s="12" t="n"/>
      <c r="AI2358" s="12" t="n"/>
      <c r="AJ2358" s="13">
        <f>IF(LEN(TRIM(AF2358))=0,"",HYPERLINK("https://www.google.com/maps/@?api=1&amp;map_action=pano&amp;viewpoint="&amp;SUBSTITUTE(AF2358," ",""),"Abrir Street View"))</f>
        <v/>
      </c>
    </row>
    <row r="2359">
      <c r="H2359" s="6" t="n"/>
      <c r="I2359" s="6" t="n"/>
      <c r="M2359" s="7" t="n"/>
      <c r="N2359" s="7" t="n"/>
      <c r="O2359" s="7" t="n"/>
      <c r="Q2359" s="7" t="n"/>
      <c r="R2359" s="7" t="n"/>
      <c r="S2359" s="8">
        <f>IF(NOT(ISNUMBER(M2359)),"",IF(G2359="Terreno",IF(AND(ISNUMBER(I2359),I2359&gt;0),M2359/I2359,""),IF(AND(ISNUMBER(H2359),H2359&gt;0),M2359/H2359,"")))</f>
        <v/>
      </c>
      <c r="T2359" s="9">
        <f>IF(AND(ISNUMBER(M2359),ISNUMBER(O2359)),IF(M2359&lt;=O2359,"Valor ≤ venal IPTU",""),"")</f>
        <v/>
      </c>
      <c r="U2359" s="10">
        <f>IF(AND(ISNUMBER(M2359),ISNUMBER(N2359)),IF(N2359&gt;0,M2359/N2359,""),"")</f>
        <v/>
      </c>
      <c r="V2359" s="10">
        <f>IF(AND(ISNUMBER(M2359),ISNUMBER(O2359)),IF(O2359&gt;0,M2359/O2359,""),"")</f>
        <v/>
      </c>
      <c r="W2359" s="10">
        <f>IF(AND(ISNUMBER(M2359),ISNUMBER(R2359)),IF(R2359&gt;0,M2359/R2359,""),"")</f>
        <v/>
      </c>
      <c r="X2359" s="10">
        <f>IF(AND(ISNUMBER(Q2359),ISNUMBER(M2359)),IF(M2359&gt;0,Q2359/M2359,""),"")</f>
        <v/>
      </c>
      <c r="Y2359" s="11">
        <f>IF(ISNUMBER(Z2359),YEAR(Z2359),"")</f>
        <v/>
      </c>
      <c r="Z2359" s="12" t="n"/>
      <c r="AA2359" s="12" t="n"/>
      <c r="AI2359" s="12" t="n"/>
      <c r="AJ2359" s="13">
        <f>IF(LEN(TRIM(AF2359))=0,"",HYPERLINK("https://www.google.com/maps/@?api=1&amp;map_action=pano&amp;viewpoint="&amp;SUBSTITUTE(AF2359," ",""),"Abrir Street View"))</f>
        <v/>
      </c>
    </row>
    <row r="2360">
      <c r="H2360" s="6" t="n"/>
      <c r="I2360" s="6" t="n"/>
      <c r="M2360" s="7" t="n"/>
      <c r="N2360" s="7" t="n"/>
      <c r="O2360" s="7" t="n"/>
      <c r="Q2360" s="7" t="n"/>
      <c r="R2360" s="7" t="n"/>
      <c r="S2360" s="8">
        <f>IF(NOT(ISNUMBER(M2360)),"",IF(G2360="Terreno",IF(AND(ISNUMBER(I2360),I2360&gt;0),M2360/I2360,""),IF(AND(ISNUMBER(H2360),H2360&gt;0),M2360/H2360,"")))</f>
        <v/>
      </c>
      <c r="T2360" s="9">
        <f>IF(AND(ISNUMBER(M2360),ISNUMBER(O2360)),IF(M2360&lt;=O2360,"Valor ≤ venal IPTU",""),"")</f>
        <v/>
      </c>
      <c r="U2360" s="10">
        <f>IF(AND(ISNUMBER(M2360),ISNUMBER(N2360)),IF(N2360&gt;0,M2360/N2360,""),"")</f>
        <v/>
      </c>
      <c r="V2360" s="10">
        <f>IF(AND(ISNUMBER(M2360),ISNUMBER(O2360)),IF(O2360&gt;0,M2360/O2360,""),"")</f>
        <v/>
      </c>
      <c r="W2360" s="10">
        <f>IF(AND(ISNUMBER(M2360),ISNUMBER(R2360)),IF(R2360&gt;0,M2360/R2360,""),"")</f>
        <v/>
      </c>
      <c r="X2360" s="10">
        <f>IF(AND(ISNUMBER(Q2360),ISNUMBER(M2360)),IF(M2360&gt;0,Q2360/M2360,""),"")</f>
        <v/>
      </c>
      <c r="Y2360" s="11">
        <f>IF(ISNUMBER(Z2360),YEAR(Z2360),"")</f>
        <v/>
      </c>
      <c r="Z2360" s="12" t="n"/>
      <c r="AA2360" s="12" t="n"/>
      <c r="AI2360" s="12" t="n"/>
      <c r="AJ2360" s="13">
        <f>IF(LEN(TRIM(AF2360))=0,"",HYPERLINK("https://www.google.com/maps/@?api=1&amp;map_action=pano&amp;viewpoint="&amp;SUBSTITUTE(AF2360," ",""),"Abrir Street View"))</f>
        <v/>
      </c>
    </row>
    <row r="2361">
      <c r="H2361" s="6" t="n"/>
      <c r="I2361" s="6" t="n"/>
      <c r="M2361" s="7" t="n"/>
      <c r="N2361" s="7" t="n"/>
      <c r="O2361" s="7" t="n"/>
      <c r="Q2361" s="7" t="n"/>
      <c r="R2361" s="7" t="n"/>
      <c r="S2361" s="8">
        <f>IF(NOT(ISNUMBER(M2361)),"",IF(G2361="Terreno",IF(AND(ISNUMBER(I2361),I2361&gt;0),M2361/I2361,""),IF(AND(ISNUMBER(H2361),H2361&gt;0),M2361/H2361,"")))</f>
        <v/>
      </c>
      <c r="T2361" s="9">
        <f>IF(AND(ISNUMBER(M2361),ISNUMBER(O2361)),IF(M2361&lt;=O2361,"Valor ≤ venal IPTU",""),"")</f>
        <v/>
      </c>
      <c r="U2361" s="10">
        <f>IF(AND(ISNUMBER(M2361),ISNUMBER(N2361)),IF(N2361&gt;0,M2361/N2361,""),"")</f>
        <v/>
      </c>
      <c r="V2361" s="10">
        <f>IF(AND(ISNUMBER(M2361),ISNUMBER(O2361)),IF(O2361&gt;0,M2361/O2361,""),"")</f>
        <v/>
      </c>
      <c r="W2361" s="10">
        <f>IF(AND(ISNUMBER(M2361),ISNUMBER(R2361)),IF(R2361&gt;0,M2361/R2361,""),"")</f>
        <v/>
      </c>
      <c r="X2361" s="10">
        <f>IF(AND(ISNUMBER(Q2361),ISNUMBER(M2361)),IF(M2361&gt;0,Q2361/M2361,""),"")</f>
        <v/>
      </c>
      <c r="Y2361" s="11">
        <f>IF(ISNUMBER(Z2361),YEAR(Z2361),"")</f>
        <v/>
      </c>
      <c r="Z2361" s="12" t="n"/>
      <c r="AA2361" s="12" t="n"/>
      <c r="AI2361" s="12" t="n"/>
      <c r="AJ2361" s="13">
        <f>IF(LEN(TRIM(AF2361))=0,"",HYPERLINK("https://www.google.com/maps/@?api=1&amp;map_action=pano&amp;viewpoint="&amp;SUBSTITUTE(AF2361," ",""),"Abrir Street View"))</f>
        <v/>
      </c>
    </row>
    <row r="2362">
      <c r="H2362" s="6" t="n"/>
      <c r="I2362" s="6" t="n"/>
      <c r="M2362" s="7" t="n"/>
      <c r="N2362" s="7" t="n"/>
      <c r="O2362" s="7" t="n"/>
      <c r="Q2362" s="7" t="n"/>
      <c r="R2362" s="7" t="n"/>
      <c r="S2362" s="8">
        <f>IF(NOT(ISNUMBER(M2362)),"",IF(G2362="Terreno",IF(AND(ISNUMBER(I2362),I2362&gt;0),M2362/I2362,""),IF(AND(ISNUMBER(H2362),H2362&gt;0),M2362/H2362,"")))</f>
        <v/>
      </c>
      <c r="T2362" s="9">
        <f>IF(AND(ISNUMBER(M2362),ISNUMBER(O2362)),IF(M2362&lt;=O2362,"Valor ≤ venal IPTU",""),"")</f>
        <v/>
      </c>
      <c r="U2362" s="10">
        <f>IF(AND(ISNUMBER(M2362),ISNUMBER(N2362)),IF(N2362&gt;0,M2362/N2362,""),"")</f>
        <v/>
      </c>
      <c r="V2362" s="10">
        <f>IF(AND(ISNUMBER(M2362),ISNUMBER(O2362)),IF(O2362&gt;0,M2362/O2362,""),"")</f>
        <v/>
      </c>
      <c r="W2362" s="10">
        <f>IF(AND(ISNUMBER(M2362),ISNUMBER(R2362)),IF(R2362&gt;0,M2362/R2362,""),"")</f>
        <v/>
      </c>
      <c r="X2362" s="10">
        <f>IF(AND(ISNUMBER(Q2362),ISNUMBER(M2362)),IF(M2362&gt;0,Q2362/M2362,""),"")</f>
        <v/>
      </c>
      <c r="Y2362" s="11">
        <f>IF(ISNUMBER(Z2362),YEAR(Z2362),"")</f>
        <v/>
      </c>
      <c r="Z2362" s="12" t="n"/>
      <c r="AA2362" s="12" t="n"/>
      <c r="AI2362" s="12" t="n"/>
      <c r="AJ2362" s="13">
        <f>IF(LEN(TRIM(AF2362))=0,"",HYPERLINK("https://www.google.com/maps/@?api=1&amp;map_action=pano&amp;viewpoint="&amp;SUBSTITUTE(AF2362," ",""),"Abrir Street View"))</f>
        <v/>
      </c>
    </row>
    <row r="2363">
      <c r="H2363" s="6" t="n"/>
      <c r="I2363" s="6" t="n"/>
      <c r="M2363" s="7" t="n"/>
      <c r="N2363" s="7" t="n"/>
      <c r="O2363" s="7" t="n"/>
      <c r="Q2363" s="7" t="n"/>
      <c r="R2363" s="7" t="n"/>
      <c r="S2363" s="8">
        <f>IF(NOT(ISNUMBER(M2363)),"",IF(G2363="Terreno",IF(AND(ISNUMBER(I2363),I2363&gt;0),M2363/I2363,""),IF(AND(ISNUMBER(H2363),H2363&gt;0),M2363/H2363,"")))</f>
        <v/>
      </c>
      <c r="T2363" s="9">
        <f>IF(AND(ISNUMBER(M2363),ISNUMBER(O2363)),IF(M2363&lt;=O2363,"Valor ≤ venal IPTU",""),"")</f>
        <v/>
      </c>
      <c r="U2363" s="10">
        <f>IF(AND(ISNUMBER(M2363),ISNUMBER(N2363)),IF(N2363&gt;0,M2363/N2363,""),"")</f>
        <v/>
      </c>
      <c r="V2363" s="10">
        <f>IF(AND(ISNUMBER(M2363),ISNUMBER(O2363)),IF(O2363&gt;0,M2363/O2363,""),"")</f>
        <v/>
      </c>
      <c r="W2363" s="10">
        <f>IF(AND(ISNUMBER(M2363),ISNUMBER(R2363)),IF(R2363&gt;0,M2363/R2363,""),"")</f>
        <v/>
      </c>
      <c r="X2363" s="10">
        <f>IF(AND(ISNUMBER(Q2363),ISNUMBER(M2363)),IF(M2363&gt;0,Q2363/M2363,""),"")</f>
        <v/>
      </c>
      <c r="Y2363" s="11">
        <f>IF(ISNUMBER(Z2363),YEAR(Z2363),"")</f>
        <v/>
      </c>
      <c r="Z2363" s="12" t="n"/>
      <c r="AA2363" s="12" t="n"/>
      <c r="AI2363" s="12" t="n"/>
      <c r="AJ2363" s="13">
        <f>IF(LEN(TRIM(AF2363))=0,"",HYPERLINK("https://www.google.com/maps/@?api=1&amp;map_action=pano&amp;viewpoint="&amp;SUBSTITUTE(AF2363," ",""),"Abrir Street View"))</f>
        <v/>
      </c>
    </row>
    <row r="2364">
      <c r="H2364" s="6" t="n"/>
      <c r="I2364" s="6" t="n"/>
      <c r="M2364" s="7" t="n"/>
      <c r="N2364" s="7" t="n"/>
      <c r="O2364" s="7" t="n"/>
      <c r="Q2364" s="7" t="n"/>
      <c r="R2364" s="7" t="n"/>
      <c r="S2364" s="8">
        <f>IF(NOT(ISNUMBER(M2364)),"",IF(G2364="Terreno",IF(AND(ISNUMBER(I2364),I2364&gt;0),M2364/I2364,""),IF(AND(ISNUMBER(H2364),H2364&gt;0),M2364/H2364,"")))</f>
        <v/>
      </c>
      <c r="T2364" s="9">
        <f>IF(AND(ISNUMBER(M2364),ISNUMBER(O2364)),IF(M2364&lt;=O2364,"Valor ≤ venal IPTU",""),"")</f>
        <v/>
      </c>
      <c r="U2364" s="10">
        <f>IF(AND(ISNUMBER(M2364),ISNUMBER(N2364)),IF(N2364&gt;0,M2364/N2364,""),"")</f>
        <v/>
      </c>
      <c r="V2364" s="10">
        <f>IF(AND(ISNUMBER(M2364),ISNUMBER(O2364)),IF(O2364&gt;0,M2364/O2364,""),"")</f>
        <v/>
      </c>
      <c r="W2364" s="10">
        <f>IF(AND(ISNUMBER(M2364),ISNUMBER(R2364)),IF(R2364&gt;0,M2364/R2364,""),"")</f>
        <v/>
      </c>
      <c r="X2364" s="10">
        <f>IF(AND(ISNUMBER(Q2364),ISNUMBER(M2364)),IF(M2364&gt;0,Q2364/M2364,""),"")</f>
        <v/>
      </c>
      <c r="Y2364" s="11">
        <f>IF(ISNUMBER(Z2364),YEAR(Z2364),"")</f>
        <v/>
      </c>
      <c r="Z2364" s="12" t="n"/>
      <c r="AA2364" s="12" t="n"/>
      <c r="AI2364" s="12" t="n"/>
      <c r="AJ2364" s="13">
        <f>IF(LEN(TRIM(AF2364))=0,"",HYPERLINK("https://www.google.com/maps/@?api=1&amp;map_action=pano&amp;viewpoint="&amp;SUBSTITUTE(AF2364," ",""),"Abrir Street View"))</f>
        <v/>
      </c>
    </row>
    <row r="2365">
      <c r="H2365" s="6" t="n"/>
      <c r="I2365" s="6" t="n"/>
      <c r="M2365" s="7" t="n"/>
      <c r="N2365" s="7" t="n"/>
      <c r="O2365" s="7" t="n"/>
      <c r="Q2365" s="7" t="n"/>
      <c r="R2365" s="7" t="n"/>
      <c r="S2365" s="8">
        <f>IF(NOT(ISNUMBER(M2365)),"",IF(G2365="Terreno",IF(AND(ISNUMBER(I2365),I2365&gt;0),M2365/I2365,""),IF(AND(ISNUMBER(H2365),H2365&gt;0),M2365/H2365,"")))</f>
        <v/>
      </c>
      <c r="T2365" s="9">
        <f>IF(AND(ISNUMBER(M2365),ISNUMBER(O2365)),IF(M2365&lt;=O2365,"Valor ≤ venal IPTU",""),"")</f>
        <v/>
      </c>
      <c r="U2365" s="10">
        <f>IF(AND(ISNUMBER(M2365),ISNUMBER(N2365)),IF(N2365&gt;0,M2365/N2365,""),"")</f>
        <v/>
      </c>
      <c r="V2365" s="10">
        <f>IF(AND(ISNUMBER(M2365),ISNUMBER(O2365)),IF(O2365&gt;0,M2365/O2365,""),"")</f>
        <v/>
      </c>
      <c r="W2365" s="10">
        <f>IF(AND(ISNUMBER(M2365),ISNUMBER(R2365)),IF(R2365&gt;0,M2365/R2365,""),"")</f>
        <v/>
      </c>
      <c r="X2365" s="10">
        <f>IF(AND(ISNUMBER(Q2365),ISNUMBER(M2365)),IF(M2365&gt;0,Q2365/M2365,""),"")</f>
        <v/>
      </c>
      <c r="Y2365" s="11">
        <f>IF(ISNUMBER(Z2365),YEAR(Z2365),"")</f>
        <v/>
      </c>
      <c r="Z2365" s="12" t="n"/>
      <c r="AA2365" s="12" t="n"/>
      <c r="AI2365" s="12" t="n"/>
      <c r="AJ2365" s="13">
        <f>IF(LEN(TRIM(AF2365))=0,"",HYPERLINK("https://www.google.com/maps/@?api=1&amp;map_action=pano&amp;viewpoint="&amp;SUBSTITUTE(AF2365," ",""),"Abrir Street View"))</f>
        <v/>
      </c>
    </row>
    <row r="2366">
      <c r="H2366" s="6" t="n"/>
      <c r="I2366" s="6" t="n"/>
      <c r="M2366" s="7" t="n"/>
      <c r="N2366" s="7" t="n"/>
      <c r="O2366" s="7" t="n"/>
      <c r="Q2366" s="7" t="n"/>
      <c r="R2366" s="7" t="n"/>
      <c r="S2366" s="8">
        <f>IF(NOT(ISNUMBER(M2366)),"",IF(G2366="Terreno",IF(AND(ISNUMBER(I2366),I2366&gt;0),M2366/I2366,""),IF(AND(ISNUMBER(H2366),H2366&gt;0),M2366/H2366,"")))</f>
        <v/>
      </c>
      <c r="T2366" s="9">
        <f>IF(AND(ISNUMBER(M2366),ISNUMBER(O2366)),IF(M2366&lt;=O2366,"Valor ≤ venal IPTU",""),"")</f>
        <v/>
      </c>
      <c r="U2366" s="10">
        <f>IF(AND(ISNUMBER(M2366),ISNUMBER(N2366)),IF(N2366&gt;0,M2366/N2366,""),"")</f>
        <v/>
      </c>
      <c r="V2366" s="10">
        <f>IF(AND(ISNUMBER(M2366),ISNUMBER(O2366)),IF(O2366&gt;0,M2366/O2366,""),"")</f>
        <v/>
      </c>
      <c r="W2366" s="10">
        <f>IF(AND(ISNUMBER(M2366),ISNUMBER(R2366)),IF(R2366&gt;0,M2366/R2366,""),"")</f>
        <v/>
      </c>
      <c r="X2366" s="10">
        <f>IF(AND(ISNUMBER(Q2366),ISNUMBER(M2366)),IF(M2366&gt;0,Q2366/M2366,""),"")</f>
        <v/>
      </c>
      <c r="Y2366" s="11">
        <f>IF(ISNUMBER(Z2366),YEAR(Z2366),"")</f>
        <v/>
      </c>
      <c r="Z2366" s="12" t="n"/>
      <c r="AA2366" s="12" t="n"/>
      <c r="AI2366" s="12" t="n"/>
      <c r="AJ2366" s="13">
        <f>IF(LEN(TRIM(AF2366))=0,"",HYPERLINK("https://www.google.com/maps/@?api=1&amp;map_action=pano&amp;viewpoint="&amp;SUBSTITUTE(AF2366," ",""),"Abrir Street View"))</f>
        <v/>
      </c>
    </row>
    <row r="2367">
      <c r="H2367" s="6" t="n"/>
      <c r="I2367" s="6" t="n"/>
      <c r="M2367" s="7" t="n"/>
      <c r="N2367" s="7" t="n"/>
      <c r="O2367" s="7" t="n"/>
      <c r="Q2367" s="7" t="n"/>
      <c r="R2367" s="7" t="n"/>
      <c r="S2367" s="8">
        <f>IF(NOT(ISNUMBER(M2367)),"",IF(G2367="Terreno",IF(AND(ISNUMBER(I2367),I2367&gt;0),M2367/I2367,""),IF(AND(ISNUMBER(H2367),H2367&gt;0),M2367/H2367,"")))</f>
        <v/>
      </c>
      <c r="T2367" s="9">
        <f>IF(AND(ISNUMBER(M2367),ISNUMBER(O2367)),IF(M2367&lt;=O2367,"Valor ≤ venal IPTU",""),"")</f>
        <v/>
      </c>
      <c r="U2367" s="10">
        <f>IF(AND(ISNUMBER(M2367),ISNUMBER(N2367)),IF(N2367&gt;0,M2367/N2367,""),"")</f>
        <v/>
      </c>
      <c r="V2367" s="10">
        <f>IF(AND(ISNUMBER(M2367),ISNUMBER(O2367)),IF(O2367&gt;0,M2367/O2367,""),"")</f>
        <v/>
      </c>
      <c r="W2367" s="10">
        <f>IF(AND(ISNUMBER(M2367),ISNUMBER(R2367)),IF(R2367&gt;0,M2367/R2367,""),"")</f>
        <v/>
      </c>
      <c r="X2367" s="10">
        <f>IF(AND(ISNUMBER(Q2367),ISNUMBER(M2367)),IF(M2367&gt;0,Q2367/M2367,""),"")</f>
        <v/>
      </c>
      <c r="Y2367" s="11">
        <f>IF(ISNUMBER(Z2367),YEAR(Z2367),"")</f>
        <v/>
      </c>
      <c r="Z2367" s="12" t="n"/>
      <c r="AA2367" s="12" t="n"/>
      <c r="AI2367" s="12" t="n"/>
      <c r="AJ2367" s="13">
        <f>IF(LEN(TRIM(AF2367))=0,"",HYPERLINK("https://www.google.com/maps/@?api=1&amp;map_action=pano&amp;viewpoint="&amp;SUBSTITUTE(AF2367," ",""),"Abrir Street View"))</f>
        <v/>
      </c>
    </row>
    <row r="2368">
      <c r="H2368" s="6" t="n"/>
      <c r="I2368" s="6" t="n"/>
      <c r="M2368" s="7" t="n"/>
      <c r="N2368" s="7" t="n"/>
      <c r="O2368" s="7" t="n"/>
      <c r="Q2368" s="7" t="n"/>
      <c r="R2368" s="7" t="n"/>
      <c r="S2368" s="8">
        <f>IF(NOT(ISNUMBER(M2368)),"",IF(G2368="Terreno",IF(AND(ISNUMBER(I2368),I2368&gt;0),M2368/I2368,""),IF(AND(ISNUMBER(H2368),H2368&gt;0),M2368/H2368,"")))</f>
        <v/>
      </c>
      <c r="T2368" s="9">
        <f>IF(AND(ISNUMBER(M2368),ISNUMBER(O2368)),IF(M2368&lt;=O2368,"Valor ≤ venal IPTU",""),"")</f>
        <v/>
      </c>
      <c r="U2368" s="10">
        <f>IF(AND(ISNUMBER(M2368),ISNUMBER(N2368)),IF(N2368&gt;0,M2368/N2368,""),"")</f>
        <v/>
      </c>
      <c r="V2368" s="10">
        <f>IF(AND(ISNUMBER(M2368),ISNUMBER(O2368)),IF(O2368&gt;0,M2368/O2368,""),"")</f>
        <v/>
      </c>
      <c r="W2368" s="10">
        <f>IF(AND(ISNUMBER(M2368),ISNUMBER(R2368)),IF(R2368&gt;0,M2368/R2368,""),"")</f>
        <v/>
      </c>
      <c r="X2368" s="10">
        <f>IF(AND(ISNUMBER(Q2368),ISNUMBER(M2368)),IF(M2368&gt;0,Q2368/M2368,""),"")</f>
        <v/>
      </c>
      <c r="Y2368" s="11">
        <f>IF(ISNUMBER(Z2368),YEAR(Z2368),"")</f>
        <v/>
      </c>
      <c r="Z2368" s="12" t="n"/>
      <c r="AA2368" s="12" t="n"/>
      <c r="AI2368" s="12" t="n"/>
      <c r="AJ2368" s="13">
        <f>IF(LEN(TRIM(AF2368))=0,"",HYPERLINK("https://www.google.com/maps/@?api=1&amp;map_action=pano&amp;viewpoint="&amp;SUBSTITUTE(AF2368," ",""),"Abrir Street View"))</f>
        <v/>
      </c>
    </row>
    <row r="2369">
      <c r="H2369" s="6" t="n"/>
      <c r="I2369" s="6" t="n"/>
      <c r="M2369" s="7" t="n"/>
      <c r="N2369" s="7" t="n"/>
      <c r="O2369" s="7" t="n"/>
      <c r="Q2369" s="7" t="n"/>
      <c r="R2369" s="7" t="n"/>
      <c r="S2369" s="8">
        <f>IF(NOT(ISNUMBER(M2369)),"",IF(G2369="Terreno",IF(AND(ISNUMBER(I2369),I2369&gt;0),M2369/I2369,""),IF(AND(ISNUMBER(H2369),H2369&gt;0),M2369/H2369,"")))</f>
        <v/>
      </c>
      <c r="T2369" s="9">
        <f>IF(AND(ISNUMBER(M2369),ISNUMBER(O2369)),IF(M2369&lt;=O2369,"Valor ≤ venal IPTU",""),"")</f>
        <v/>
      </c>
      <c r="U2369" s="10">
        <f>IF(AND(ISNUMBER(M2369),ISNUMBER(N2369)),IF(N2369&gt;0,M2369/N2369,""),"")</f>
        <v/>
      </c>
      <c r="V2369" s="10">
        <f>IF(AND(ISNUMBER(M2369),ISNUMBER(O2369)),IF(O2369&gt;0,M2369/O2369,""),"")</f>
        <v/>
      </c>
      <c r="W2369" s="10">
        <f>IF(AND(ISNUMBER(M2369),ISNUMBER(R2369)),IF(R2369&gt;0,M2369/R2369,""),"")</f>
        <v/>
      </c>
      <c r="X2369" s="10">
        <f>IF(AND(ISNUMBER(Q2369),ISNUMBER(M2369)),IF(M2369&gt;0,Q2369/M2369,""),"")</f>
        <v/>
      </c>
      <c r="Y2369" s="11">
        <f>IF(ISNUMBER(Z2369),YEAR(Z2369),"")</f>
        <v/>
      </c>
      <c r="Z2369" s="12" t="n"/>
      <c r="AA2369" s="12" t="n"/>
      <c r="AI2369" s="12" t="n"/>
      <c r="AJ2369" s="13">
        <f>IF(LEN(TRIM(AF2369))=0,"",HYPERLINK("https://www.google.com/maps/@?api=1&amp;map_action=pano&amp;viewpoint="&amp;SUBSTITUTE(AF2369," ",""),"Abrir Street View"))</f>
        <v/>
      </c>
    </row>
    <row r="2370">
      <c r="H2370" s="6" t="n"/>
      <c r="I2370" s="6" t="n"/>
      <c r="M2370" s="7" t="n"/>
      <c r="N2370" s="7" t="n"/>
      <c r="O2370" s="7" t="n"/>
      <c r="Q2370" s="7" t="n"/>
      <c r="R2370" s="7" t="n"/>
      <c r="S2370" s="8">
        <f>IF(NOT(ISNUMBER(M2370)),"",IF(G2370="Terreno",IF(AND(ISNUMBER(I2370),I2370&gt;0),M2370/I2370,""),IF(AND(ISNUMBER(H2370),H2370&gt;0),M2370/H2370,"")))</f>
        <v/>
      </c>
      <c r="T2370" s="9">
        <f>IF(AND(ISNUMBER(M2370),ISNUMBER(O2370)),IF(M2370&lt;=O2370,"Valor ≤ venal IPTU",""),"")</f>
        <v/>
      </c>
      <c r="U2370" s="10">
        <f>IF(AND(ISNUMBER(M2370),ISNUMBER(N2370)),IF(N2370&gt;0,M2370/N2370,""),"")</f>
        <v/>
      </c>
      <c r="V2370" s="10">
        <f>IF(AND(ISNUMBER(M2370),ISNUMBER(O2370)),IF(O2370&gt;0,M2370/O2370,""),"")</f>
        <v/>
      </c>
      <c r="W2370" s="10">
        <f>IF(AND(ISNUMBER(M2370),ISNUMBER(R2370)),IF(R2370&gt;0,M2370/R2370,""),"")</f>
        <v/>
      </c>
      <c r="X2370" s="10">
        <f>IF(AND(ISNUMBER(Q2370),ISNUMBER(M2370)),IF(M2370&gt;0,Q2370/M2370,""),"")</f>
        <v/>
      </c>
      <c r="Y2370" s="11">
        <f>IF(ISNUMBER(Z2370),YEAR(Z2370),"")</f>
        <v/>
      </c>
      <c r="Z2370" s="12" t="n"/>
      <c r="AA2370" s="12" t="n"/>
      <c r="AI2370" s="12" t="n"/>
      <c r="AJ2370" s="13">
        <f>IF(LEN(TRIM(AF2370))=0,"",HYPERLINK("https://www.google.com/maps/@?api=1&amp;map_action=pano&amp;viewpoint="&amp;SUBSTITUTE(AF2370," ",""),"Abrir Street View"))</f>
        <v/>
      </c>
    </row>
    <row r="2371">
      <c r="H2371" s="6" t="n"/>
      <c r="I2371" s="6" t="n"/>
      <c r="M2371" s="7" t="n"/>
      <c r="N2371" s="7" t="n"/>
      <c r="O2371" s="7" t="n"/>
      <c r="Q2371" s="7" t="n"/>
      <c r="R2371" s="7" t="n"/>
      <c r="S2371" s="8">
        <f>IF(NOT(ISNUMBER(M2371)),"",IF(G2371="Terreno",IF(AND(ISNUMBER(I2371),I2371&gt;0),M2371/I2371,""),IF(AND(ISNUMBER(H2371),H2371&gt;0),M2371/H2371,"")))</f>
        <v/>
      </c>
      <c r="T2371" s="9">
        <f>IF(AND(ISNUMBER(M2371),ISNUMBER(O2371)),IF(M2371&lt;=O2371,"Valor ≤ venal IPTU",""),"")</f>
        <v/>
      </c>
      <c r="U2371" s="10">
        <f>IF(AND(ISNUMBER(M2371),ISNUMBER(N2371)),IF(N2371&gt;0,M2371/N2371,""),"")</f>
        <v/>
      </c>
      <c r="V2371" s="10">
        <f>IF(AND(ISNUMBER(M2371),ISNUMBER(O2371)),IF(O2371&gt;0,M2371/O2371,""),"")</f>
        <v/>
      </c>
      <c r="W2371" s="10">
        <f>IF(AND(ISNUMBER(M2371),ISNUMBER(R2371)),IF(R2371&gt;0,M2371/R2371,""),"")</f>
        <v/>
      </c>
      <c r="X2371" s="10">
        <f>IF(AND(ISNUMBER(Q2371),ISNUMBER(M2371)),IF(M2371&gt;0,Q2371/M2371,""),"")</f>
        <v/>
      </c>
      <c r="Y2371" s="11">
        <f>IF(ISNUMBER(Z2371),YEAR(Z2371),"")</f>
        <v/>
      </c>
      <c r="Z2371" s="12" t="n"/>
      <c r="AA2371" s="12" t="n"/>
      <c r="AI2371" s="12" t="n"/>
      <c r="AJ2371" s="13">
        <f>IF(LEN(TRIM(AF2371))=0,"",HYPERLINK("https://www.google.com/maps/@?api=1&amp;map_action=pano&amp;viewpoint="&amp;SUBSTITUTE(AF2371," ",""),"Abrir Street View"))</f>
        <v/>
      </c>
    </row>
    <row r="2372">
      <c r="H2372" s="6" t="n"/>
      <c r="I2372" s="6" t="n"/>
      <c r="M2372" s="7" t="n"/>
      <c r="N2372" s="7" t="n"/>
      <c r="O2372" s="7" t="n"/>
      <c r="Q2372" s="7" t="n"/>
      <c r="R2372" s="7" t="n"/>
      <c r="S2372" s="8">
        <f>IF(NOT(ISNUMBER(M2372)),"",IF(G2372="Terreno",IF(AND(ISNUMBER(I2372),I2372&gt;0),M2372/I2372,""),IF(AND(ISNUMBER(H2372),H2372&gt;0),M2372/H2372,"")))</f>
        <v/>
      </c>
      <c r="T2372" s="9">
        <f>IF(AND(ISNUMBER(M2372),ISNUMBER(O2372)),IF(M2372&lt;=O2372,"Valor ≤ venal IPTU",""),"")</f>
        <v/>
      </c>
      <c r="U2372" s="10">
        <f>IF(AND(ISNUMBER(M2372),ISNUMBER(N2372)),IF(N2372&gt;0,M2372/N2372,""),"")</f>
        <v/>
      </c>
      <c r="V2372" s="10">
        <f>IF(AND(ISNUMBER(M2372),ISNUMBER(O2372)),IF(O2372&gt;0,M2372/O2372,""),"")</f>
        <v/>
      </c>
      <c r="W2372" s="10">
        <f>IF(AND(ISNUMBER(M2372),ISNUMBER(R2372)),IF(R2372&gt;0,M2372/R2372,""),"")</f>
        <v/>
      </c>
      <c r="X2372" s="10">
        <f>IF(AND(ISNUMBER(Q2372),ISNUMBER(M2372)),IF(M2372&gt;0,Q2372/M2372,""),"")</f>
        <v/>
      </c>
      <c r="Y2372" s="11">
        <f>IF(ISNUMBER(Z2372),YEAR(Z2372),"")</f>
        <v/>
      </c>
      <c r="Z2372" s="12" t="n"/>
      <c r="AA2372" s="12" t="n"/>
      <c r="AI2372" s="12" t="n"/>
      <c r="AJ2372" s="13">
        <f>IF(LEN(TRIM(AF2372))=0,"",HYPERLINK("https://www.google.com/maps/@?api=1&amp;map_action=pano&amp;viewpoint="&amp;SUBSTITUTE(AF2372," ",""),"Abrir Street View"))</f>
        <v/>
      </c>
    </row>
    <row r="2373">
      <c r="H2373" s="6" t="n"/>
      <c r="I2373" s="6" t="n"/>
      <c r="M2373" s="7" t="n"/>
      <c r="N2373" s="7" t="n"/>
      <c r="O2373" s="7" t="n"/>
      <c r="Q2373" s="7" t="n"/>
      <c r="R2373" s="7" t="n"/>
      <c r="S2373" s="8">
        <f>IF(NOT(ISNUMBER(M2373)),"",IF(G2373="Terreno",IF(AND(ISNUMBER(I2373),I2373&gt;0),M2373/I2373,""),IF(AND(ISNUMBER(H2373),H2373&gt;0),M2373/H2373,"")))</f>
        <v/>
      </c>
      <c r="T2373" s="9">
        <f>IF(AND(ISNUMBER(M2373),ISNUMBER(O2373)),IF(M2373&lt;=O2373,"Valor ≤ venal IPTU",""),"")</f>
        <v/>
      </c>
      <c r="U2373" s="10">
        <f>IF(AND(ISNUMBER(M2373),ISNUMBER(N2373)),IF(N2373&gt;0,M2373/N2373,""),"")</f>
        <v/>
      </c>
      <c r="V2373" s="10">
        <f>IF(AND(ISNUMBER(M2373),ISNUMBER(O2373)),IF(O2373&gt;0,M2373/O2373,""),"")</f>
        <v/>
      </c>
      <c r="W2373" s="10">
        <f>IF(AND(ISNUMBER(M2373),ISNUMBER(R2373)),IF(R2373&gt;0,M2373/R2373,""),"")</f>
        <v/>
      </c>
      <c r="X2373" s="10">
        <f>IF(AND(ISNUMBER(Q2373),ISNUMBER(M2373)),IF(M2373&gt;0,Q2373/M2373,""),"")</f>
        <v/>
      </c>
      <c r="Y2373" s="11">
        <f>IF(ISNUMBER(Z2373),YEAR(Z2373),"")</f>
        <v/>
      </c>
      <c r="Z2373" s="12" t="n"/>
      <c r="AA2373" s="12" t="n"/>
      <c r="AI2373" s="12" t="n"/>
      <c r="AJ2373" s="13">
        <f>IF(LEN(TRIM(AF2373))=0,"",HYPERLINK("https://www.google.com/maps/@?api=1&amp;map_action=pano&amp;viewpoint="&amp;SUBSTITUTE(AF2373," ",""),"Abrir Street View"))</f>
        <v/>
      </c>
    </row>
    <row r="2374">
      <c r="H2374" s="6" t="n"/>
      <c r="I2374" s="6" t="n"/>
      <c r="M2374" s="7" t="n"/>
      <c r="N2374" s="7" t="n"/>
      <c r="O2374" s="7" t="n"/>
      <c r="Q2374" s="7" t="n"/>
      <c r="R2374" s="7" t="n"/>
      <c r="S2374" s="8">
        <f>IF(NOT(ISNUMBER(M2374)),"",IF(G2374="Terreno",IF(AND(ISNUMBER(I2374),I2374&gt;0),M2374/I2374,""),IF(AND(ISNUMBER(H2374),H2374&gt;0),M2374/H2374,"")))</f>
        <v/>
      </c>
      <c r="T2374" s="9">
        <f>IF(AND(ISNUMBER(M2374),ISNUMBER(O2374)),IF(M2374&lt;=O2374,"Valor ≤ venal IPTU",""),"")</f>
        <v/>
      </c>
      <c r="U2374" s="10">
        <f>IF(AND(ISNUMBER(M2374),ISNUMBER(N2374)),IF(N2374&gt;0,M2374/N2374,""),"")</f>
        <v/>
      </c>
      <c r="V2374" s="10">
        <f>IF(AND(ISNUMBER(M2374),ISNUMBER(O2374)),IF(O2374&gt;0,M2374/O2374,""),"")</f>
        <v/>
      </c>
      <c r="W2374" s="10">
        <f>IF(AND(ISNUMBER(M2374),ISNUMBER(R2374)),IF(R2374&gt;0,M2374/R2374,""),"")</f>
        <v/>
      </c>
      <c r="X2374" s="10">
        <f>IF(AND(ISNUMBER(Q2374),ISNUMBER(M2374)),IF(M2374&gt;0,Q2374/M2374,""),"")</f>
        <v/>
      </c>
      <c r="Y2374" s="11">
        <f>IF(ISNUMBER(Z2374),YEAR(Z2374),"")</f>
        <v/>
      </c>
      <c r="Z2374" s="12" t="n"/>
      <c r="AA2374" s="12" t="n"/>
      <c r="AI2374" s="12" t="n"/>
      <c r="AJ2374" s="13">
        <f>IF(LEN(TRIM(AF2374))=0,"",HYPERLINK("https://www.google.com/maps/@?api=1&amp;map_action=pano&amp;viewpoint="&amp;SUBSTITUTE(AF2374," ",""),"Abrir Street View"))</f>
        <v/>
      </c>
    </row>
    <row r="2375">
      <c r="H2375" s="6" t="n"/>
      <c r="I2375" s="6" t="n"/>
      <c r="M2375" s="7" t="n"/>
      <c r="N2375" s="7" t="n"/>
      <c r="O2375" s="7" t="n"/>
      <c r="Q2375" s="7" t="n"/>
      <c r="R2375" s="7" t="n"/>
      <c r="S2375" s="8">
        <f>IF(NOT(ISNUMBER(M2375)),"",IF(G2375="Terreno",IF(AND(ISNUMBER(I2375),I2375&gt;0),M2375/I2375,""),IF(AND(ISNUMBER(H2375),H2375&gt;0),M2375/H2375,"")))</f>
        <v/>
      </c>
      <c r="T2375" s="9">
        <f>IF(AND(ISNUMBER(M2375),ISNUMBER(O2375)),IF(M2375&lt;=O2375,"Valor ≤ venal IPTU",""),"")</f>
        <v/>
      </c>
      <c r="U2375" s="10">
        <f>IF(AND(ISNUMBER(M2375),ISNUMBER(N2375)),IF(N2375&gt;0,M2375/N2375,""),"")</f>
        <v/>
      </c>
      <c r="V2375" s="10">
        <f>IF(AND(ISNUMBER(M2375),ISNUMBER(O2375)),IF(O2375&gt;0,M2375/O2375,""),"")</f>
        <v/>
      </c>
      <c r="W2375" s="10">
        <f>IF(AND(ISNUMBER(M2375),ISNUMBER(R2375)),IF(R2375&gt;0,M2375/R2375,""),"")</f>
        <v/>
      </c>
      <c r="X2375" s="10">
        <f>IF(AND(ISNUMBER(Q2375),ISNUMBER(M2375)),IF(M2375&gt;0,Q2375/M2375,""),"")</f>
        <v/>
      </c>
      <c r="Y2375" s="11">
        <f>IF(ISNUMBER(Z2375),YEAR(Z2375),"")</f>
        <v/>
      </c>
      <c r="Z2375" s="12" t="n"/>
      <c r="AA2375" s="12" t="n"/>
      <c r="AI2375" s="12" t="n"/>
      <c r="AJ2375" s="13">
        <f>IF(LEN(TRIM(AF2375))=0,"",HYPERLINK("https://www.google.com/maps/@?api=1&amp;map_action=pano&amp;viewpoint="&amp;SUBSTITUTE(AF2375," ",""),"Abrir Street View"))</f>
        <v/>
      </c>
    </row>
    <row r="2376">
      <c r="H2376" s="6" t="n"/>
      <c r="I2376" s="6" t="n"/>
      <c r="M2376" s="7" t="n"/>
      <c r="N2376" s="7" t="n"/>
      <c r="O2376" s="7" t="n"/>
      <c r="Q2376" s="7" t="n"/>
      <c r="R2376" s="7" t="n"/>
      <c r="S2376" s="8">
        <f>IF(NOT(ISNUMBER(M2376)),"",IF(G2376="Terreno",IF(AND(ISNUMBER(I2376),I2376&gt;0),M2376/I2376,""),IF(AND(ISNUMBER(H2376),H2376&gt;0),M2376/H2376,"")))</f>
        <v/>
      </c>
      <c r="T2376" s="9">
        <f>IF(AND(ISNUMBER(M2376),ISNUMBER(O2376)),IF(M2376&lt;=O2376,"Valor ≤ venal IPTU",""),"")</f>
        <v/>
      </c>
      <c r="U2376" s="10">
        <f>IF(AND(ISNUMBER(M2376),ISNUMBER(N2376)),IF(N2376&gt;0,M2376/N2376,""),"")</f>
        <v/>
      </c>
      <c r="V2376" s="10">
        <f>IF(AND(ISNUMBER(M2376),ISNUMBER(O2376)),IF(O2376&gt;0,M2376/O2376,""),"")</f>
        <v/>
      </c>
      <c r="W2376" s="10">
        <f>IF(AND(ISNUMBER(M2376),ISNUMBER(R2376)),IF(R2376&gt;0,M2376/R2376,""),"")</f>
        <v/>
      </c>
      <c r="X2376" s="10">
        <f>IF(AND(ISNUMBER(Q2376),ISNUMBER(M2376)),IF(M2376&gt;0,Q2376/M2376,""),"")</f>
        <v/>
      </c>
      <c r="Y2376" s="11">
        <f>IF(ISNUMBER(Z2376),YEAR(Z2376),"")</f>
        <v/>
      </c>
      <c r="Z2376" s="12" t="n"/>
      <c r="AA2376" s="12" t="n"/>
      <c r="AI2376" s="12" t="n"/>
      <c r="AJ2376" s="13">
        <f>IF(LEN(TRIM(AF2376))=0,"",HYPERLINK("https://www.google.com/maps/@?api=1&amp;map_action=pano&amp;viewpoint="&amp;SUBSTITUTE(AF2376," ",""),"Abrir Street View"))</f>
        <v/>
      </c>
    </row>
    <row r="2377">
      <c r="H2377" s="6" t="n"/>
      <c r="I2377" s="6" t="n"/>
      <c r="M2377" s="7" t="n"/>
      <c r="N2377" s="7" t="n"/>
      <c r="O2377" s="7" t="n"/>
      <c r="Q2377" s="7" t="n"/>
      <c r="R2377" s="7" t="n"/>
      <c r="S2377" s="8">
        <f>IF(NOT(ISNUMBER(M2377)),"",IF(G2377="Terreno",IF(AND(ISNUMBER(I2377),I2377&gt;0),M2377/I2377,""),IF(AND(ISNUMBER(H2377),H2377&gt;0),M2377/H2377,"")))</f>
        <v/>
      </c>
      <c r="T2377" s="9">
        <f>IF(AND(ISNUMBER(M2377),ISNUMBER(O2377)),IF(M2377&lt;=O2377,"Valor ≤ venal IPTU",""),"")</f>
        <v/>
      </c>
      <c r="U2377" s="10">
        <f>IF(AND(ISNUMBER(M2377),ISNUMBER(N2377)),IF(N2377&gt;0,M2377/N2377,""),"")</f>
        <v/>
      </c>
      <c r="V2377" s="10">
        <f>IF(AND(ISNUMBER(M2377),ISNUMBER(O2377)),IF(O2377&gt;0,M2377/O2377,""),"")</f>
        <v/>
      </c>
      <c r="W2377" s="10">
        <f>IF(AND(ISNUMBER(M2377),ISNUMBER(R2377)),IF(R2377&gt;0,M2377/R2377,""),"")</f>
        <v/>
      </c>
      <c r="X2377" s="10">
        <f>IF(AND(ISNUMBER(Q2377),ISNUMBER(M2377)),IF(M2377&gt;0,Q2377/M2377,""),"")</f>
        <v/>
      </c>
      <c r="Y2377" s="11">
        <f>IF(ISNUMBER(Z2377),YEAR(Z2377),"")</f>
        <v/>
      </c>
      <c r="Z2377" s="12" t="n"/>
      <c r="AA2377" s="12" t="n"/>
      <c r="AI2377" s="12" t="n"/>
      <c r="AJ2377" s="13">
        <f>IF(LEN(TRIM(AF2377))=0,"",HYPERLINK("https://www.google.com/maps/@?api=1&amp;map_action=pano&amp;viewpoint="&amp;SUBSTITUTE(AF2377," ",""),"Abrir Street View"))</f>
        <v/>
      </c>
    </row>
    <row r="2378">
      <c r="H2378" s="6" t="n"/>
      <c r="I2378" s="6" t="n"/>
      <c r="M2378" s="7" t="n"/>
      <c r="N2378" s="7" t="n"/>
      <c r="O2378" s="7" t="n"/>
      <c r="Q2378" s="7" t="n"/>
      <c r="R2378" s="7" t="n"/>
      <c r="S2378" s="8">
        <f>IF(NOT(ISNUMBER(M2378)),"",IF(G2378="Terreno",IF(AND(ISNUMBER(I2378),I2378&gt;0),M2378/I2378,""),IF(AND(ISNUMBER(H2378),H2378&gt;0),M2378/H2378,"")))</f>
        <v/>
      </c>
      <c r="T2378" s="9">
        <f>IF(AND(ISNUMBER(M2378),ISNUMBER(O2378)),IF(M2378&lt;=O2378,"Valor ≤ venal IPTU",""),"")</f>
        <v/>
      </c>
      <c r="U2378" s="10">
        <f>IF(AND(ISNUMBER(M2378),ISNUMBER(N2378)),IF(N2378&gt;0,M2378/N2378,""),"")</f>
        <v/>
      </c>
      <c r="V2378" s="10">
        <f>IF(AND(ISNUMBER(M2378),ISNUMBER(O2378)),IF(O2378&gt;0,M2378/O2378,""),"")</f>
        <v/>
      </c>
      <c r="W2378" s="10">
        <f>IF(AND(ISNUMBER(M2378),ISNUMBER(R2378)),IF(R2378&gt;0,M2378/R2378,""),"")</f>
        <v/>
      </c>
      <c r="X2378" s="10">
        <f>IF(AND(ISNUMBER(Q2378),ISNUMBER(M2378)),IF(M2378&gt;0,Q2378/M2378,""),"")</f>
        <v/>
      </c>
      <c r="Y2378" s="11">
        <f>IF(ISNUMBER(Z2378),YEAR(Z2378),"")</f>
        <v/>
      </c>
      <c r="Z2378" s="12" t="n"/>
      <c r="AA2378" s="12" t="n"/>
      <c r="AI2378" s="12" t="n"/>
      <c r="AJ2378" s="13">
        <f>IF(LEN(TRIM(AF2378))=0,"",HYPERLINK("https://www.google.com/maps/@?api=1&amp;map_action=pano&amp;viewpoint="&amp;SUBSTITUTE(AF2378," ",""),"Abrir Street View"))</f>
        <v/>
      </c>
    </row>
    <row r="2379">
      <c r="H2379" s="6" t="n"/>
      <c r="I2379" s="6" t="n"/>
      <c r="M2379" s="7" t="n"/>
      <c r="N2379" s="7" t="n"/>
      <c r="O2379" s="7" t="n"/>
      <c r="Q2379" s="7" t="n"/>
      <c r="R2379" s="7" t="n"/>
      <c r="S2379" s="8">
        <f>IF(NOT(ISNUMBER(M2379)),"",IF(G2379="Terreno",IF(AND(ISNUMBER(I2379),I2379&gt;0),M2379/I2379,""),IF(AND(ISNUMBER(H2379),H2379&gt;0),M2379/H2379,"")))</f>
        <v/>
      </c>
      <c r="T2379" s="9">
        <f>IF(AND(ISNUMBER(M2379),ISNUMBER(O2379)),IF(M2379&lt;=O2379,"Valor ≤ venal IPTU",""),"")</f>
        <v/>
      </c>
      <c r="U2379" s="10">
        <f>IF(AND(ISNUMBER(M2379),ISNUMBER(N2379)),IF(N2379&gt;0,M2379/N2379,""),"")</f>
        <v/>
      </c>
      <c r="V2379" s="10">
        <f>IF(AND(ISNUMBER(M2379),ISNUMBER(O2379)),IF(O2379&gt;0,M2379/O2379,""),"")</f>
        <v/>
      </c>
      <c r="W2379" s="10">
        <f>IF(AND(ISNUMBER(M2379),ISNUMBER(R2379)),IF(R2379&gt;0,M2379/R2379,""),"")</f>
        <v/>
      </c>
      <c r="X2379" s="10">
        <f>IF(AND(ISNUMBER(Q2379),ISNUMBER(M2379)),IF(M2379&gt;0,Q2379/M2379,""),"")</f>
        <v/>
      </c>
      <c r="Y2379" s="11">
        <f>IF(ISNUMBER(Z2379),YEAR(Z2379),"")</f>
        <v/>
      </c>
      <c r="Z2379" s="12" t="n"/>
      <c r="AA2379" s="12" t="n"/>
      <c r="AI2379" s="12" t="n"/>
      <c r="AJ2379" s="13">
        <f>IF(LEN(TRIM(AF2379))=0,"",HYPERLINK("https://www.google.com/maps/@?api=1&amp;map_action=pano&amp;viewpoint="&amp;SUBSTITUTE(AF2379," ",""),"Abrir Street View"))</f>
        <v/>
      </c>
    </row>
    <row r="2380">
      <c r="H2380" s="6" t="n"/>
      <c r="I2380" s="6" t="n"/>
      <c r="M2380" s="7" t="n"/>
      <c r="N2380" s="7" t="n"/>
      <c r="O2380" s="7" t="n"/>
      <c r="Q2380" s="7" t="n"/>
      <c r="R2380" s="7" t="n"/>
      <c r="S2380" s="8">
        <f>IF(NOT(ISNUMBER(M2380)),"",IF(G2380="Terreno",IF(AND(ISNUMBER(I2380),I2380&gt;0),M2380/I2380,""),IF(AND(ISNUMBER(H2380),H2380&gt;0),M2380/H2380,"")))</f>
        <v/>
      </c>
      <c r="T2380" s="9">
        <f>IF(AND(ISNUMBER(M2380),ISNUMBER(O2380)),IF(M2380&lt;=O2380,"Valor ≤ venal IPTU",""),"")</f>
        <v/>
      </c>
      <c r="U2380" s="10">
        <f>IF(AND(ISNUMBER(M2380),ISNUMBER(N2380)),IF(N2380&gt;0,M2380/N2380,""),"")</f>
        <v/>
      </c>
      <c r="V2380" s="10">
        <f>IF(AND(ISNUMBER(M2380),ISNUMBER(O2380)),IF(O2380&gt;0,M2380/O2380,""),"")</f>
        <v/>
      </c>
      <c r="W2380" s="10">
        <f>IF(AND(ISNUMBER(M2380),ISNUMBER(R2380)),IF(R2380&gt;0,M2380/R2380,""),"")</f>
        <v/>
      </c>
      <c r="X2380" s="10">
        <f>IF(AND(ISNUMBER(Q2380),ISNUMBER(M2380)),IF(M2380&gt;0,Q2380/M2380,""),"")</f>
        <v/>
      </c>
      <c r="Y2380" s="11">
        <f>IF(ISNUMBER(Z2380),YEAR(Z2380),"")</f>
        <v/>
      </c>
      <c r="Z2380" s="12" t="n"/>
      <c r="AA2380" s="12" t="n"/>
      <c r="AI2380" s="12" t="n"/>
      <c r="AJ2380" s="13">
        <f>IF(LEN(TRIM(AF2380))=0,"",HYPERLINK("https://www.google.com/maps/@?api=1&amp;map_action=pano&amp;viewpoint="&amp;SUBSTITUTE(AF2380," ",""),"Abrir Street View"))</f>
        <v/>
      </c>
    </row>
    <row r="2381">
      <c r="H2381" s="6" t="n"/>
      <c r="I2381" s="6" t="n"/>
      <c r="M2381" s="7" t="n"/>
      <c r="N2381" s="7" t="n"/>
      <c r="O2381" s="7" t="n"/>
      <c r="Q2381" s="7" t="n"/>
      <c r="R2381" s="7" t="n"/>
      <c r="S2381" s="8">
        <f>IF(NOT(ISNUMBER(M2381)),"",IF(G2381="Terreno",IF(AND(ISNUMBER(I2381),I2381&gt;0),M2381/I2381,""),IF(AND(ISNUMBER(H2381),H2381&gt;0),M2381/H2381,"")))</f>
        <v/>
      </c>
      <c r="T2381" s="9">
        <f>IF(AND(ISNUMBER(M2381),ISNUMBER(O2381)),IF(M2381&lt;=O2381,"Valor ≤ venal IPTU",""),"")</f>
        <v/>
      </c>
      <c r="U2381" s="10">
        <f>IF(AND(ISNUMBER(M2381),ISNUMBER(N2381)),IF(N2381&gt;0,M2381/N2381,""),"")</f>
        <v/>
      </c>
      <c r="V2381" s="10">
        <f>IF(AND(ISNUMBER(M2381),ISNUMBER(O2381)),IF(O2381&gt;0,M2381/O2381,""),"")</f>
        <v/>
      </c>
      <c r="W2381" s="10">
        <f>IF(AND(ISNUMBER(M2381),ISNUMBER(R2381)),IF(R2381&gt;0,M2381/R2381,""),"")</f>
        <v/>
      </c>
      <c r="X2381" s="10">
        <f>IF(AND(ISNUMBER(Q2381),ISNUMBER(M2381)),IF(M2381&gt;0,Q2381/M2381,""),"")</f>
        <v/>
      </c>
      <c r="Y2381" s="11">
        <f>IF(ISNUMBER(Z2381),YEAR(Z2381),"")</f>
        <v/>
      </c>
      <c r="Z2381" s="12" t="n"/>
      <c r="AA2381" s="12" t="n"/>
      <c r="AI2381" s="12" t="n"/>
      <c r="AJ2381" s="13">
        <f>IF(LEN(TRIM(AF2381))=0,"",HYPERLINK("https://www.google.com/maps/@?api=1&amp;map_action=pano&amp;viewpoint="&amp;SUBSTITUTE(AF2381," ",""),"Abrir Street View"))</f>
        <v/>
      </c>
    </row>
    <row r="2382">
      <c r="H2382" s="6" t="n"/>
      <c r="I2382" s="6" t="n"/>
      <c r="M2382" s="7" t="n"/>
      <c r="N2382" s="7" t="n"/>
      <c r="O2382" s="7" t="n"/>
      <c r="Q2382" s="7" t="n"/>
      <c r="R2382" s="7" t="n"/>
      <c r="S2382" s="8">
        <f>IF(NOT(ISNUMBER(M2382)),"",IF(G2382="Terreno",IF(AND(ISNUMBER(I2382),I2382&gt;0),M2382/I2382,""),IF(AND(ISNUMBER(H2382),H2382&gt;0),M2382/H2382,"")))</f>
        <v/>
      </c>
      <c r="T2382" s="9">
        <f>IF(AND(ISNUMBER(M2382),ISNUMBER(O2382)),IF(M2382&lt;=O2382,"Valor ≤ venal IPTU",""),"")</f>
        <v/>
      </c>
      <c r="U2382" s="10">
        <f>IF(AND(ISNUMBER(M2382),ISNUMBER(N2382)),IF(N2382&gt;0,M2382/N2382,""),"")</f>
        <v/>
      </c>
      <c r="V2382" s="10">
        <f>IF(AND(ISNUMBER(M2382),ISNUMBER(O2382)),IF(O2382&gt;0,M2382/O2382,""),"")</f>
        <v/>
      </c>
      <c r="W2382" s="10">
        <f>IF(AND(ISNUMBER(M2382),ISNUMBER(R2382)),IF(R2382&gt;0,M2382/R2382,""),"")</f>
        <v/>
      </c>
      <c r="X2382" s="10">
        <f>IF(AND(ISNUMBER(Q2382),ISNUMBER(M2382)),IF(M2382&gt;0,Q2382/M2382,""),"")</f>
        <v/>
      </c>
      <c r="Y2382" s="11">
        <f>IF(ISNUMBER(Z2382),YEAR(Z2382),"")</f>
        <v/>
      </c>
      <c r="Z2382" s="12" t="n"/>
      <c r="AA2382" s="12" t="n"/>
      <c r="AI2382" s="12" t="n"/>
      <c r="AJ2382" s="13">
        <f>IF(LEN(TRIM(AF2382))=0,"",HYPERLINK("https://www.google.com/maps/@?api=1&amp;map_action=pano&amp;viewpoint="&amp;SUBSTITUTE(AF2382," ",""),"Abrir Street View"))</f>
        <v/>
      </c>
    </row>
    <row r="2383">
      <c r="H2383" s="6" t="n"/>
      <c r="I2383" s="6" t="n"/>
      <c r="M2383" s="7" t="n"/>
      <c r="N2383" s="7" t="n"/>
      <c r="O2383" s="7" t="n"/>
      <c r="Q2383" s="7" t="n"/>
      <c r="R2383" s="7" t="n"/>
      <c r="S2383" s="8">
        <f>IF(NOT(ISNUMBER(M2383)),"",IF(G2383="Terreno",IF(AND(ISNUMBER(I2383),I2383&gt;0),M2383/I2383,""),IF(AND(ISNUMBER(H2383),H2383&gt;0),M2383/H2383,"")))</f>
        <v/>
      </c>
      <c r="T2383" s="9">
        <f>IF(AND(ISNUMBER(M2383),ISNUMBER(O2383)),IF(M2383&lt;=O2383,"Valor ≤ venal IPTU",""),"")</f>
        <v/>
      </c>
      <c r="U2383" s="10">
        <f>IF(AND(ISNUMBER(M2383),ISNUMBER(N2383)),IF(N2383&gt;0,M2383/N2383,""),"")</f>
        <v/>
      </c>
      <c r="V2383" s="10">
        <f>IF(AND(ISNUMBER(M2383),ISNUMBER(O2383)),IF(O2383&gt;0,M2383/O2383,""),"")</f>
        <v/>
      </c>
      <c r="W2383" s="10">
        <f>IF(AND(ISNUMBER(M2383),ISNUMBER(R2383)),IF(R2383&gt;0,M2383/R2383,""),"")</f>
        <v/>
      </c>
      <c r="X2383" s="10">
        <f>IF(AND(ISNUMBER(Q2383),ISNUMBER(M2383)),IF(M2383&gt;0,Q2383/M2383,""),"")</f>
        <v/>
      </c>
      <c r="Y2383" s="11">
        <f>IF(ISNUMBER(Z2383),YEAR(Z2383),"")</f>
        <v/>
      </c>
      <c r="Z2383" s="12" t="n"/>
      <c r="AA2383" s="12" t="n"/>
      <c r="AI2383" s="12" t="n"/>
      <c r="AJ2383" s="13">
        <f>IF(LEN(TRIM(AF2383))=0,"",HYPERLINK("https://www.google.com/maps/@?api=1&amp;map_action=pano&amp;viewpoint="&amp;SUBSTITUTE(AF2383," ",""),"Abrir Street View"))</f>
        <v/>
      </c>
    </row>
    <row r="2384">
      <c r="H2384" s="6" t="n"/>
      <c r="I2384" s="6" t="n"/>
      <c r="M2384" s="7" t="n"/>
      <c r="N2384" s="7" t="n"/>
      <c r="O2384" s="7" t="n"/>
      <c r="Q2384" s="7" t="n"/>
      <c r="R2384" s="7" t="n"/>
      <c r="S2384" s="8">
        <f>IF(NOT(ISNUMBER(M2384)),"",IF(G2384="Terreno",IF(AND(ISNUMBER(I2384),I2384&gt;0),M2384/I2384,""),IF(AND(ISNUMBER(H2384),H2384&gt;0),M2384/H2384,"")))</f>
        <v/>
      </c>
      <c r="T2384" s="9">
        <f>IF(AND(ISNUMBER(M2384),ISNUMBER(O2384)),IF(M2384&lt;=O2384,"Valor ≤ venal IPTU",""),"")</f>
        <v/>
      </c>
      <c r="U2384" s="10">
        <f>IF(AND(ISNUMBER(M2384),ISNUMBER(N2384)),IF(N2384&gt;0,M2384/N2384,""),"")</f>
        <v/>
      </c>
      <c r="V2384" s="10">
        <f>IF(AND(ISNUMBER(M2384),ISNUMBER(O2384)),IF(O2384&gt;0,M2384/O2384,""),"")</f>
        <v/>
      </c>
      <c r="W2384" s="10">
        <f>IF(AND(ISNUMBER(M2384),ISNUMBER(R2384)),IF(R2384&gt;0,M2384/R2384,""),"")</f>
        <v/>
      </c>
      <c r="X2384" s="10">
        <f>IF(AND(ISNUMBER(Q2384),ISNUMBER(M2384)),IF(M2384&gt;0,Q2384/M2384,""),"")</f>
        <v/>
      </c>
      <c r="Y2384" s="11">
        <f>IF(ISNUMBER(Z2384),YEAR(Z2384),"")</f>
        <v/>
      </c>
      <c r="Z2384" s="12" t="n"/>
      <c r="AA2384" s="12" t="n"/>
      <c r="AI2384" s="12" t="n"/>
      <c r="AJ2384" s="13">
        <f>IF(LEN(TRIM(AF2384))=0,"",HYPERLINK("https://www.google.com/maps/@?api=1&amp;map_action=pano&amp;viewpoint="&amp;SUBSTITUTE(AF2384," ",""),"Abrir Street View"))</f>
        <v/>
      </c>
    </row>
    <row r="2385">
      <c r="H2385" s="6" t="n"/>
      <c r="I2385" s="6" t="n"/>
      <c r="M2385" s="7" t="n"/>
      <c r="N2385" s="7" t="n"/>
      <c r="O2385" s="7" t="n"/>
      <c r="Q2385" s="7" t="n"/>
      <c r="R2385" s="7" t="n"/>
      <c r="S2385" s="8">
        <f>IF(NOT(ISNUMBER(M2385)),"",IF(G2385="Terreno",IF(AND(ISNUMBER(I2385),I2385&gt;0),M2385/I2385,""),IF(AND(ISNUMBER(H2385),H2385&gt;0),M2385/H2385,"")))</f>
        <v/>
      </c>
      <c r="T2385" s="9">
        <f>IF(AND(ISNUMBER(M2385),ISNUMBER(O2385)),IF(M2385&lt;=O2385,"Valor ≤ venal IPTU",""),"")</f>
        <v/>
      </c>
      <c r="U2385" s="10">
        <f>IF(AND(ISNUMBER(M2385),ISNUMBER(N2385)),IF(N2385&gt;0,M2385/N2385,""),"")</f>
        <v/>
      </c>
      <c r="V2385" s="10">
        <f>IF(AND(ISNUMBER(M2385),ISNUMBER(O2385)),IF(O2385&gt;0,M2385/O2385,""),"")</f>
        <v/>
      </c>
      <c r="W2385" s="10">
        <f>IF(AND(ISNUMBER(M2385),ISNUMBER(R2385)),IF(R2385&gt;0,M2385/R2385,""),"")</f>
        <v/>
      </c>
      <c r="X2385" s="10">
        <f>IF(AND(ISNUMBER(Q2385),ISNUMBER(M2385)),IF(M2385&gt;0,Q2385/M2385,""),"")</f>
        <v/>
      </c>
      <c r="Y2385" s="11">
        <f>IF(ISNUMBER(Z2385),YEAR(Z2385),"")</f>
        <v/>
      </c>
      <c r="Z2385" s="12" t="n"/>
      <c r="AA2385" s="12" t="n"/>
      <c r="AI2385" s="12" t="n"/>
      <c r="AJ2385" s="13">
        <f>IF(LEN(TRIM(AF2385))=0,"",HYPERLINK("https://www.google.com/maps/@?api=1&amp;map_action=pano&amp;viewpoint="&amp;SUBSTITUTE(AF2385," ",""),"Abrir Street View"))</f>
        <v/>
      </c>
    </row>
    <row r="2386">
      <c r="H2386" s="6" t="n"/>
      <c r="I2386" s="6" t="n"/>
      <c r="M2386" s="7" t="n"/>
      <c r="N2386" s="7" t="n"/>
      <c r="O2386" s="7" t="n"/>
      <c r="Q2386" s="7" t="n"/>
      <c r="R2386" s="7" t="n"/>
      <c r="S2386" s="8">
        <f>IF(NOT(ISNUMBER(M2386)),"",IF(G2386="Terreno",IF(AND(ISNUMBER(I2386),I2386&gt;0),M2386/I2386,""),IF(AND(ISNUMBER(H2386),H2386&gt;0),M2386/H2386,"")))</f>
        <v/>
      </c>
      <c r="T2386" s="9">
        <f>IF(AND(ISNUMBER(M2386),ISNUMBER(O2386)),IF(M2386&lt;=O2386,"Valor ≤ venal IPTU",""),"")</f>
        <v/>
      </c>
      <c r="U2386" s="10">
        <f>IF(AND(ISNUMBER(M2386),ISNUMBER(N2386)),IF(N2386&gt;0,M2386/N2386,""),"")</f>
        <v/>
      </c>
      <c r="V2386" s="10">
        <f>IF(AND(ISNUMBER(M2386),ISNUMBER(O2386)),IF(O2386&gt;0,M2386/O2386,""),"")</f>
        <v/>
      </c>
      <c r="W2386" s="10">
        <f>IF(AND(ISNUMBER(M2386),ISNUMBER(R2386)),IF(R2386&gt;0,M2386/R2386,""),"")</f>
        <v/>
      </c>
      <c r="X2386" s="10">
        <f>IF(AND(ISNUMBER(Q2386),ISNUMBER(M2386)),IF(M2386&gt;0,Q2386/M2386,""),"")</f>
        <v/>
      </c>
      <c r="Y2386" s="11">
        <f>IF(ISNUMBER(Z2386),YEAR(Z2386),"")</f>
        <v/>
      </c>
      <c r="Z2386" s="12" t="n"/>
      <c r="AA2386" s="12" t="n"/>
      <c r="AI2386" s="12" t="n"/>
      <c r="AJ2386" s="13">
        <f>IF(LEN(TRIM(AF2386))=0,"",HYPERLINK("https://www.google.com/maps/@?api=1&amp;map_action=pano&amp;viewpoint="&amp;SUBSTITUTE(AF2386," ",""),"Abrir Street View"))</f>
        <v/>
      </c>
    </row>
    <row r="2387">
      <c r="H2387" s="6" t="n"/>
      <c r="I2387" s="6" t="n"/>
      <c r="M2387" s="7" t="n"/>
      <c r="N2387" s="7" t="n"/>
      <c r="O2387" s="7" t="n"/>
      <c r="Q2387" s="7" t="n"/>
      <c r="R2387" s="7" t="n"/>
      <c r="S2387" s="8">
        <f>IF(NOT(ISNUMBER(M2387)),"",IF(G2387="Terreno",IF(AND(ISNUMBER(I2387),I2387&gt;0),M2387/I2387,""),IF(AND(ISNUMBER(H2387),H2387&gt;0),M2387/H2387,"")))</f>
        <v/>
      </c>
      <c r="T2387" s="9">
        <f>IF(AND(ISNUMBER(M2387),ISNUMBER(O2387)),IF(M2387&lt;=O2387,"Valor ≤ venal IPTU",""),"")</f>
        <v/>
      </c>
      <c r="U2387" s="10">
        <f>IF(AND(ISNUMBER(M2387),ISNUMBER(N2387)),IF(N2387&gt;0,M2387/N2387,""),"")</f>
        <v/>
      </c>
      <c r="V2387" s="10">
        <f>IF(AND(ISNUMBER(M2387),ISNUMBER(O2387)),IF(O2387&gt;0,M2387/O2387,""),"")</f>
        <v/>
      </c>
      <c r="W2387" s="10">
        <f>IF(AND(ISNUMBER(M2387),ISNUMBER(R2387)),IF(R2387&gt;0,M2387/R2387,""),"")</f>
        <v/>
      </c>
      <c r="X2387" s="10">
        <f>IF(AND(ISNUMBER(Q2387),ISNUMBER(M2387)),IF(M2387&gt;0,Q2387/M2387,""),"")</f>
        <v/>
      </c>
      <c r="Y2387" s="11">
        <f>IF(ISNUMBER(Z2387),YEAR(Z2387),"")</f>
        <v/>
      </c>
      <c r="Z2387" s="12" t="n"/>
      <c r="AA2387" s="12" t="n"/>
      <c r="AI2387" s="12" t="n"/>
      <c r="AJ2387" s="13">
        <f>IF(LEN(TRIM(AF2387))=0,"",HYPERLINK("https://www.google.com/maps/@?api=1&amp;map_action=pano&amp;viewpoint="&amp;SUBSTITUTE(AF2387," ",""),"Abrir Street View"))</f>
        <v/>
      </c>
    </row>
    <row r="2388">
      <c r="H2388" s="6" t="n"/>
      <c r="I2388" s="6" t="n"/>
      <c r="M2388" s="7" t="n"/>
      <c r="N2388" s="7" t="n"/>
      <c r="O2388" s="7" t="n"/>
      <c r="Q2388" s="7" t="n"/>
      <c r="R2388" s="7" t="n"/>
      <c r="S2388" s="8">
        <f>IF(NOT(ISNUMBER(M2388)),"",IF(G2388="Terreno",IF(AND(ISNUMBER(I2388),I2388&gt;0),M2388/I2388,""),IF(AND(ISNUMBER(H2388),H2388&gt;0),M2388/H2388,"")))</f>
        <v/>
      </c>
      <c r="T2388" s="9">
        <f>IF(AND(ISNUMBER(M2388),ISNUMBER(O2388)),IF(M2388&lt;=O2388,"Valor ≤ venal IPTU",""),"")</f>
        <v/>
      </c>
      <c r="U2388" s="10">
        <f>IF(AND(ISNUMBER(M2388),ISNUMBER(N2388)),IF(N2388&gt;0,M2388/N2388,""),"")</f>
        <v/>
      </c>
      <c r="V2388" s="10">
        <f>IF(AND(ISNUMBER(M2388),ISNUMBER(O2388)),IF(O2388&gt;0,M2388/O2388,""),"")</f>
        <v/>
      </c>
      <c r="W2388" s="10">
        <f>IF(AND(ISNUMBER(M2388),ISNUMBER(R2388)),IF(R2388&gt;0,M2388/R2388,""),"")</f>
        <v/>
      </c>
      <c r="X2388" s="10">
        <f>IF(AND(ISNUMBER(Q2388),ISNUMBER(M2388)),IF(M2388&gt;0,Q2388/M2388,""),"")</f>
        <v/>
      </c>
      <c r="Y2388" s="11">
        <f>IF(ISNUMBER(Z2388),YEAR(Z2388),"")</f>
        <v/>
      </c>
      <c r="Z2388" s="12" t="n"/>
      <c r="AA2388" s="12" t="n"/>
      <c r="AI2388" s="12" t="n"/>
      <c r="AJ2388" s="13">
        <f>IF(LEN(TRIM(AF2388))=0,"",HYPERLINK("https://www.google.com/maps/@?api=1&amp;map_action=pano&amp;viewpoint="&amp;SUBSTITUTE(AF2388," ",""),"Abrir Street View"))</f>
        <v/>
      </c>
    </row>
    <row r="2389">
      <c r="H2389" s="6" t="n"/>
      <c r="I2389" s="6" t="n"/>
      <c r="M2389" s="7" t="n"/>
      <c r="N2389" s="7" t="n"/>
      <c r="O2389" s="7" t="n"/>
      <c r="Q2389" s="7" t="n"/>
      <c r="R2389" s="7" t="n"/>
      <c r="S2389" s="8">
        <f>IF(NOT(ISNUMBER(M2389)),"",IF(G2389="Terreno",IF(AND(ISNUMBER(I2389),I2389&gt;0),M2389/I2389,""),IF(AND(ISNUMBER(H2389),H2389&gt;0),M2389/H2389,"")))</f>
        <v/>
      </c>
      <c r="T2389" s="9">
        <f>IF(AND(ISNUMBER(M2389),ISNUMBER(O2389)),IF(M2389&lt;=O2389,"Valor ≤ venal IPTU",""),"")</f>
        <v/>
      </c>
      <c r="U2389" s="10">
        <f>IF(AND(ISNUMBER(M2389),ISNUMBER(N2389)),IF(N2389&gt;0,M2389/N2389,""),"")</f>
        <v/>
      </c>
      <c r="V2389" s="10">
        <f>IF(AND(ISNUMBER(M2389),ISNUMBER(O2389)),IF(O2389&gt;0,M2389/O2389,""),"")</f>
        <v/>
      </c>
      <c r="W2389" s="10">
        <f>IF(AND(ISNUMBER(M2389),ISNUMBER(R2389)),IF(R2389&gt;0,M2389/R2389,""),"")</f>
        <v/>
      </c>
      <c r="X2389" s="10">
        <f>IF(AND(ISNUMBER(Q2389),ISNUMBER(M2389)),IF(M2389&gt;0,Q2389/M2389,""),"")</f>
        <v/>
      </c>
      <c r="Y2389" s="11">
        <f>IF(ISNUMBER(Z2389),YEAR(Z2389),"")</f>
        <v/>
      </c>
      <c r="Z2389" s="12" t="n"/>
      <c r="AA2389" s="12" t="n"/>
      <c r="AI2389" s="12" t="n"/>
      <c r="AJ2389" s="13">
        <f>IF(LEN(TRIM(AF2389))=0,"",HYPERLINK("https://www.google.com/maps/@?api=1&amp;map_action=pano&amp;viewpoint="&amp;SUBSTITUTE(AF2389," ",""),"Abrir Street View"))</f>
        <v/>
      </c>
    </row>
    <row r="2390">
      <c r="H2390" s="6" t="n"/>
      <c r="I2390" s="6" t="n"/>
      <c r="M2390" s="7" t="n"/>
      <c r="N2390" s="7" t="n"/>
      <c r="O2390" s="7" t="n"/>
      <c r="Q2390" s="7" t="n"/>
      <c r="R2390" s="7" t="n"/>
      <c r="S2390" s="8">
        <f>IF(NOT(ISNUMBER(M2390)),"",IF(G2390="Terreno",IF(AND(ISNUMBER(I2390),I2390&gt;0),M2390/I2390,""),IF(AND(ISNUMBER(H2390),H2390&gt;0),M2390/H2390,"")))</f>
        <v/>
      </c>
      <c r="T2390" s="9">
        <f>IF(AND(ISNUMBER(M2390),ISNUMBER(O2390)),IF(M2390&lt;=O2390,"Valor ≤ venal IPTU",""),"")</f>
        <v/>
      </c>
      <c r="U2390" s="10">
        <f>IF(AND(ISNUMBER(M2390),ISNUMBER(N2390)),IF(N2390&gt;0,M2390/N2390,""),"")</f>
        <v/>
      </c>
      <c r="V2390" s="10">
        <f>IF(AND(ISNUMBER(M2390),ISNUMBER(O2390)),IF(O2390&gt;0,M2390/O2390,""),"")</f>
        <v/>
      </c>
      <c r="W2390" s="10">
        <f>IF(AND(ISNUMBER(M2390),ISNUMBER(R2390)),IF(R2390&gt;0,M2390/R2390,""),"")</f>
        <v/>
      </c>
      <c r="X2390" s="10">
        <f>IF(AND(ISNUMBER(Q2390),ISNUMBER(M2390)),IF(M2390&gt;0,Q2390/M2390,""),"")</f>
        <v/>
      </c>
      <c r="Y2390" s="11">
        <f>IF(ISNUMBER(Z2390),YEAR(Z2390),"")</f>
        <v/>
      </c>
      <c r="Z2390" s="12" t="n"/>
      <c r="AA2390" s="12" t="n"/>
      <c r="AI2390" s="12" t="n"/>
      <c r="AJ2390" s="13">
        <f>IF(LEN(TRIM(AF2390))=0,"",HYPERLINK("https://www.google.com/maps/@?api=1&amp;map_action=pano&amp;viewpoint="&amp;SUBSTITUTE(AF2390," ",""),"Abrir Street View"))</f>
        <v/>
      </c>
    </row>
    <row r="2391">
      <c r="H2391" s="6" t="n"/>
      <c r="I2391" s="6" t="n"/>
      <c r="M2391" s="7" t="n"/>
      <c r="N2391" s="7" t="n"/>
      <c r="O2391" s="7" t="n"/>
      <c r="Q2391" s="7" t="n"/>
      <c r="R2391" s="7" t="n"/>
      <c r="S2391" s="8">
        <f>IF(NOT(ISNUMBER(M2391)),"",IF(G2391="Terreno",IF(AND(ISNUMBER(I2391),I2391&gt;0),M2391/I2391,""),IF(AND(ISNUMBER(H2391),H2391&gt;0),M2391/H2391,"")))</f>
        <v/>
      </c>
      <c r="T2391" s="9">
        <f>IF(AND(ISNUMBER(M2391),ISNUMBER(O2391)),IF(M2391&lt;=O2391,"Valor ≤ venal IPTU",""),"")</f>
        <v/>
      </c>
      <c r="U2391" s="10">
        <f>IF(AND(ISNUMBER(M2391),ISNUMBER(N2391)),IF(N2391&gt;0,M2391/N2391,""),"")</f>
        <v/>
      </c>
      <c r="V2391" s="10">
        <f>IF(AND(ISNUMBER(M2391),ISNUMBER(O2391)),IF(O2391&gt;0,M2391/O2391,""),"")</f>
        <v/>
      </c>
      <c r="W2391" s="10">
        <f>IF(AND(ISNUMBER(M2391),ISNUMBER(R2391)),IF(R2391&gt;0,M2391/R2391,""),"")</f>
        <v/>
      </c>
      <c r="X2391" s="10">
        <f>IF(AND(ISNUMBER(Q2391),ISNUMBER(M2391)),IF(M2391&gt;0,Q2391/M2391,""),"")</f>
        <v/>
      </c>
      <c r="Y2391" s="11">
        <f>IF(ISNUMBER(Z2391),YEAR(Z2391),"")</f>
        <v/>
      </c>
      <c r="Z2391" s="12" t="n"/>
      <c r="AA2391" s="12" t="n"/>
      <c r="AI2391" s="12" t="n"/>
      <c r="AJ2391" s="13">
        <f>IF(LEN(TRIM(AF2391))=0,"",HYPERLINK("https://www.google.com/maps/@?api=1&amp;map_action=pano&amp;viewpoint="&amp;SUBSTITUTE(AF2391," ",""),"Abrir Street View"))</f>
        <v/>
      </c>
    </row>
    <row r="2392">
      <c r="H2392" s="6" t="n"/>
      <c r="I2392" s="6" t="n"/>
      <c r="M2392" s="7" t="n"/>
      <c r="N2392" s="7" t="n"/>
      <c r="O2392" s="7" t="n"/>
      <c r="Q2392" s="7" t="n"/>
      <c r="R2392" s="7" t="n"/>
      <c r="S2392" s="8">
        <f>IF(NOT(ISNUMBER(M2392)),"",IF(G2392="Terreno",IF(AND(ISNUMBER(I2392),I2392&gt;0),M2392/I2392,""),IF(AND(ISNUMBER(H2392),H2392&gt;0),M2392/H2392,"")))</f>
        <v/>
      </c>
      <c r="T2392" s="9">
        <f>IF(AND(ISNUMBER(M2392),ISNUMBER(O2392)),IF(M2392&lt;=O2392,"Valor ≤ venal IPTU",""),"")</f>
        <v/>
      </c>
      <c r="U2392" s="10">
        <f>IF(AND(ISNUMBER(M2392),ISNUMBER(N2392)),IF(N2392&gt;0,M2392/N2392,""),"")</f>
        <v/>
      </c>
      <c r="V2392" s="10">
        <f>IF(AND(ISNUMBER(M2392),ISNUMBER(O2392)),IF(O2392&gt;0,M2392/O2392,""),"")</f>
        <v/>
      </c>
      <c r="W2392" s="10">
        <f>IF(AND(ISNUMBER(M2392),ISNUMBER(R2392)),IF(R2392&gt;0,M2392/R2392,""),"")</f>
        <v/>
      </c>
      <c r="X2392" s="10">
        <f>IF(AND(ISNUMBER(Q2392),ISNUMBER(M2392)),IF(M2392&gt;0,Q2392/M2392,""),"")</f>
        <v/>
      </c>
      <c r="Y2392" s="11">
        <f>IF(ISNUMBER(Z2392),YEAR(Z2392),"")</f>
        <v/>
      </c>
      <c r="Z2392" s="12" t="n"/>
      <c r="AA2392" s="12" t="n"/>
      <c r="AI2392" s="12" t="n"/>
      <c r="AJ2392" s="13">
        <f>IF(LEN(TRIM(AF2392))=0,"",HYPERLINK("https://www.google.com/maps/@?api=1&amp;map_action=pano&amp;viewpoint="&amp;SUBSTITUTE(AF2392," ",""),"Abrir Street View"))</f>
        <v/>
      </c>
    </row>
    <row r="2393">
      <c r="H2393" s="6" t="n"/>
      <c r="I2393" s="6" t="n"/>
      <c r="M2393" s="7" t="n"/>
      <c r="N2393" s="7" t="n"/>
      <c r="O2393" s="7" t="n"/>
      <c r="Q2393" s="7" t="n"/>
      <c r="R2393" s="7" t="n"/>
      <c r="S2393" s="8">
        <f>IF(NOT(ISNUMBER(M2393)),"",IF(G2393="Terreno",IF(AND(ISNUMBER(I2393),I2393&gt;0),M2393/I2393,""),IF(AND(ISNUMBER(H2393),H2393&gt;0),M2393/H2393,"")))</f>
        <v/>
      </c>
      <c r="T2393" s="9">
        <f>IF(AND(ISNUMBER(M2393),ISNUMBER(O2393)),IF(M2393&lt;=O2393,"Valor ≤ venal IPTU",""),"")</f>
        <v/>
      </c>
      <c r="U2393" s="10">
        <f>IF(AND(ISNUMBER(M2393),ISNUMBER(N2393)),IF(N2393&gt;0,M2393/N2393,""),"")</f>
        <v/>
      </c>
      <c r="V2393" s="10">
        <f>IF(AND(ISNUMBER(M2393),ISNUMBER(O2393)),IF(O2393&gt;0,M2393/O2393,""),"")</f>
        <v/>
      </c>
      <c r="W2393" s="10">
        <f>IF(AND(ISNUMBER(M2393),ISNUMBER(R2393)),IF(R2393&gt;0,M2393/R2393,""),"")</f>
        <v/>
      </c>
      <c r="X2393" s="10">
        <f>IF(AND(ISNUMBER(Q2393),ISNUMBER(M2393)),IF(M2393&gt;0,Q2393/M2393,""),"")</f>
        <v/>
      </c>
      <c r="Y2393" s="11">
        <f>IF(ISNUMBER(Z2393),YEAR(Z2393),"")</f>
        <v/>
      </c>
      <c r="Z2393" s="12" t="n"/>
      <c r="AA2393" s="12" t="n"/>
      <c r="AI2393" s="12" t="n"/>
      <c r="AJ2393" s="13">
        <f>IF(LEN(TRIM(AF2393))=0,"",HYPERLINK("https://www.google.com/maps/@?api=1&amp;map_action=pano&amp;viewpoint="&amp;SUBSTITUTE(AF2393," ",""),"Abrir Street View"))</f>
        <v/>
      </c>
    </row>
    <row r="2394">
      <c r="H2394" s="6" t="n"/>
      <c r="I2394" s="6" t="n"/>
      <c r="M2394" s="7" t="n"/>
      <c r="N2394" s="7" t="n"/>
      <c r="O2394" s="7" t="n"/>
      <c r="Q2394" s="7" t="n"/>
      <c r="R2394" s="7" t="n"/>
      <c r="S2394" s="8">
        <f>IF(NOT(ISNUMBER(M2394)),"",IF(G2394="Terreno",IF(AND(ISNUMBER(I2394),I2394&gt;0),M2394/I2394,""),IF(AND(ISNUMBER(H2394),H2394&gt;0),M2394/H2394,"")))</f>
        <v/>
      </c>
      <c r="T2394" s="9">
        <f>IF(AND(ISNUMBER(M2394),ISNUMBER(O2394)),IF(M2394&lt;=O2394,"Valor ≤ venal IPTU",""),"")</f>
        <v/>
      </c>
      <c r="U2394" s="10">
        <f>IF(AND(ISNUMBER(M2394),ISNUMBER(N2394)),IF(N2394&gt;0,M2394/N2394,""),"")</f>
        <v/>
      </c>
      <c r="V2394" s="10">
        <f>IF(AND(ISNUMBER(M2394),ISNUMBER(O2394)),IF(O2394&gt;0,M2394/O2394,""),"")</f>
        <v/>
      </c>
      <c r="W2394" s="10">
        <f>IF(AND(ISNUMBER(M2394),ISNUMBER(R2394)),IF(R2394&gt;0,M2394/R2394,""),"")</f>
        <v/>
      </c>
      <c r="X2394" s="10">
        <f>IF(AND(ISNUMBER(Q2394),ISNUMBER(M2394)),IF(M2394&gt;0,Q2394/M2394,""),"")</f>
        <v/>
      </c>
      <c r="Y2394" s="11">
        <f>IF(ISNUMBER(Z2394),YEAR(Z2394),"")</f>
        <v/>
      </c>
      <c r="Z2394" s="12" t="n"/>
      <c r="AA2394" s="12" t="n"/>
      <c r="AI2394" s="12" t="n"/>
      <c r="AJ2394" s="13">
        <f>IF(LEN(TRIM(AF2394))=0,"",HYPERLINK("https://www.google.com/maps/@?api=1&amp;map_action=pano&amp;viewpoint="&amp;SUBSTITUTE(AF2394," ",""),"Abrir Street View"))</f>
        <v/>
      </c>
    </row>
    <row r="2395">
      <c r="H2395" s="6" t="n"/>
      <c r="I2395" s="6" t="n"/>
      <c r="M2395" s="7" t="n"/>
      <c r="N2395" s="7" t="n"/>
      <c r="O2395" s="7" t="n"/>
      <c r="Q2395" s="7" t="n"/>
      <c r="R2395" s="7" t="n"/>
      <c r="S2395" s="8">
        <f>IF(NOT(ISNUMBER(M2395)),"",IF(G2395="Terreno",IF(AND(ISNUMBER(I2395),I2395&gt;0),M2395/I2395,""),IF(AND(ISNUMBER(H2395),H2395&gt;0),M2395/H2395,"")))</f>
        <v/>
      </c>
      <c r="T2395" s="9">
        <f>IF(AND(ISNUMBER(M2395),ISNUMBER(O2395)),IF(M2395&lt;=O2395,"Valor ≤ venal IPTU",""),"")</f>
        <v/>
      </c>
      <c r="U2395" s="10">
        <f>IF(AND(ISNUMBER(M2395),ISNUMBER(N2395)),IF(N2395&gt;0,M2395/N2395,""),"")</f>
        <v/>
      </c>
      <c r="V2395" s="10">
        <f>IF(AND(ISNUMBER(M2395),ISNUMBER(O2395)),IF(O2395&gt;0,M2395/O2395,""),"")</f>
        <v/>
      </c>
      <c r="W2395" s="10">
        <f>IF(AND(ISNUMBER(M2395),ISNUMBER(R2395)),IF(R2395&gt;0,M2395/R2395,""),"")</f>
        <v/>
      </c>
      <c r="X2395" s="10">
        <f>IF(AND(ISNUMBER(Q2395),ISNUMBER(M2395)),IF(M2395&gt;0,Q2395/M2395,""),"")</f>
        <v/>
      </c>
      <c r="Y2395" s="11">
        <f>IF(ISNUMBER(Z2395),YEAR(Z2395),"")</f>
        <v/>
      </c>
      <c r="Z2395" s="12" t="n"/>
      <c r="AA2395" s="12" t="n"/>
      <c r="AI2395" s="12" t="n"/>
      <c r="AJ2395" s="13">
        <f>IF(LEN(TRIM(AF2395))=0,"",HYPERLINK("https://www.google.com/maps/@?api=1&amp;map_action=pano&amp;viewpoint="&amp;SUBSTITUTE(AF2395," ",""),"Abrir Street View"))</f>
        <v/>
      </c>
    </row>
    <row r="2396">
      <c r="H2396" s="6" t="n"/>
      <c r="I2396" s="6" t="n"/>
      <c r="M2396" s="7" t="n"/>
      <c r="N2396" s="7" t="n"/>
      <c r="O2396" s="7" t="n"/>
      <c r="Q2396" s="7" t="n"/>
      <c r="R2396" s="7" t="n"/>
      <c r="S2396" s="8">
        <f>IF(NOT(ISNUMBER(M2396)),"",IF(G2396="Terreno",IF(AND(ISNUMBER(I2396),I2396&gt;0),M2396/I2396,""),IF(AND(ISNUMBER(H2396),H2396&gt;0),M2396/H2396,"")))</f>
        <v/>
      </c>
      <c r="T2396" s="9">
        <f>IF(AND(ISNUMBER(M2396),ISNUMBER(O2396)),IF(M2396&lt;=O2396,"Valor ≤ venal IPTU",""),"")</f>
        <v/>
      </c>
      <c r="U2396" s="10">
        <f>IF(AND(ISNUMBER(M2396),ISNUMBER(N2396)),IF(N2396&gt;0,M2396/N2396,""),"")</f>
        <v/>
      </c>
      <c r="V2396" s="10">
        <f>IF(AND(ISNUMBER(M2396),ISNUMBER(O2396)),IF(O2396&gt;0,M2396/O2396,""),"")</f>
        <v/>
      </c>
      <c r="W2396" s="10">
        <f>IF(AND(ISNUMBER(M2396),ISNUMBER(R2396)),IF(R2396&gt;0,M2396/R2396,""),"")</f>
        <v/>
      </c>
      <c r="X2396" s="10">
        <f>IF(AND(ISNUMBER(Q2396),ISNUMBER(M2396)),IF(M2396&gt;0,Q2396/M2396,""),"")</f>
        <v/>
      </c>
      <c r="Y2396" s="11">
        <f>IF(ISNUMBER(Z2396),YEAR(Z2396),"")</f>
        <v/>
      </c>
      <c r="Z2396" s="12" t="n"/>
      <c r="AA2396" s="12" t="n"/>
      <c r="AI2396" s="12" t="n"/>
      <c r="AJ2396" s="13">
        <f>IF(LEN(TRIM(AF2396))=0,"",HYPERLINK("https://www.google.com/maps/@?api=1&amp;map_action=pano&amp;viewpoint="&amp;SUBSTITUTE(AF2396," ",""),"Abrir Street View"))</f>
        <v/>
      </c>
    </row>
    <row r="2397">
      <c r="H2397" s="6" t="n"/>
      <c r="I2397" s="6" t="n"/>
      <c r="M2397" s="7" t="n"/>
      <c r="N2397" s="7" t="n"/>
      <c r="O2397" s="7" t="n"/>
      <c r="Q2397" s="7" t="n"/>
      <c r="R2397" s="7" t="n"/>
      <c r="S2397" s="8">
        <f>IF(NOT(ISNUMBER(M2397)),"",IF(G2397="Terreno",IF(AND(ISNUMBER(I2397),I2397&gt;0),M2397/I2397,""),IF(AND(ISNUMBER(H2397),H2397&gt;0),M2397/H2397,"")))</f>
        <v/>
      </c>
      <c r="T2397" s="9">
        <f>IF(AND(ISNUMBER(M2397),ISNUMBER(O2397)),IF(M2397&lt;=O2397,"Valor ≤ venal IPTU",""),"")</f>
        <v/>
      </c>
      <c r="U2397" s="10">
        <f>IF(AND(ISNUMBER(M2397),ISNUMBER(N2397)),IF(N2397&gt;0,M2397/N2397,""),"")</f>
        <v/>
      </c>
      <c r="V2397" s="10">
        <f>IF(AND(ISNUMBER(M2397),ISNUMBER(O2397)),IF(O2397&gt;0,M2397/O2397,""),"")</f>
        <v/>
      </c>
      <c r="W2397" s="10">
        <f>IF(AND(ISNUMBER(M2397),ISNUMBER(R2397)),IF(R2397&gt;0,M2397/R2397,""),"")</f>
        <v/>
      </c>
      <c r="X2397" s="10">
        <f>IF(AND(ISNUMBER(Q2397),ISNUMBER(M2397)),IF(M2397&gt;0,Q2397/M2397,""),"")</f>
        <v/>
      </c>
      <c r="Y2397" s="11">
        <f>IF(ISNUMBER(Z2397),YEAR(Z2397),"")</f>
        <v/>
      </c>
      <c r="Z2397" s="12" t="n"/>
      <c r="AA2397" s="12" t="n"/>
      <c r="AI2397" s="12" t="n"/>
      <c r="AJ2397" s="13">
        <f>IF(LEN(TRIM(AF2397))=0,"",HYPERLINK("https://www.google.com/maps/@?api=1&amp;map_action=pano&amp;viewpoint="&amp;SUBSTITUTE(AF2397," ",""),"Abrir Street View"))</f>
        <v/>
      </c>
    </row>
    <row r="2398">
      <c r="H2398" s="6" t="n"/>
      <c r="I2398" s="6" t="n"/>
      <c r="M2398" s="7" t="n"/>
      <c r="N2398" s="7" t="n"/>
      <c r="O2398" s="7" t="n"/>
      <c r="Q2398" s="7" t="n"/>
      <c r="R2398" s="7" t="n"/>
      <c r="S2398" s="8">
        <f>IF(NOT(ISNUMBER(M2398)),"",IF(G2398="Terreno",IF(AND(ISNUMBER(I2398),I2398&gt;0),M2398/I2398,""),IF(AND(ISNUMBER(H2398),H2398&gt;0),M2398/H2398,"")))</f>
        <v/>
      </c>
      <c r="T2398" s="9">
        <f>IF(AND(ISNUMBER(M2398),ISNUMBER(O2398)),IF(M2398&lt;=O2398,"Valor ≤ venal IPTU",""),"")</f>
        <v/>
      </c>
      <c r="U2398" s="10">
        <f>IF(AND(ISNUMBER(M2398),ISNUMBER(N2398)),IF(N2398&gt;0,M2398/N2398,""),"")</f>
        <v/>
      </c>
      <c r="V2398" s="10">
        <f>IF(AND(ISNUMBER(M2398),ISNUMBER(O2398)),IF(O2398&gt;0,M2398/O2398,""),"")</f>
        <v/>
      </c>
      <c r="W2398" s="10">
        <f>IF(AND(ISNUMBER(M2398),ISNUMBER(R2398)),IF(R2398&gt;0,M2398/R2398,""),"")</f>
        <v/>
      </c>
      <c r="X2398" s="10">
        <f>IF(AND(ISNUMBER(Q2398),ISNUMBER(M2398)),IF(M2398&gt;0,Q2398/M2398,""),"")</f>
        <v/>
      </c>
      <c r="Y2398" s="11">
        <f>IF(ISNUMBER(Z2398),YEAR(Z2398),"")</f>
        <v/>
      </c>
      <c r="Z2398" s="12" t="n"/>
      <c r="AA2398" s="12" t="n"/>
      <c r="AI2398" s="12" t="n"/>
      <c r="AJ2398" s="13">
        <f>IF(LEN(TRIM(AF2398))=0,"",HYPERLINK("https://www.google.com/maps/@?api=1&amp;map_action=pano&amp;viewpoint="&amp;SUBSTITUTE(AF2398," ",""),"Abrir Street View"))</f>
        <v/>
      </c>
    </row>
    <row r="2399">
      <c r="H2399" s="6" t="n"/>
      <c r="I2399" s="6" t="n"/>
      <c r="M2399" s="7" t="n"/>
      <c r="N2399" s="7" t="n"/>
      <c r="O2399" s="7" t="n"/>
      <c r="Q2399" s="7" t="n"/>
      <c r="R2399" s="7" t="n"/>
      <c r="S2399" s="8">
        <f>IF(NOT(ISNUMBER(M2399)),"",IF(G2399="Terreno",IF(AND(ISNUMBER(I2399),I2399&gt;0),M2399/I2399,""),IF(AND(ISNUMBER(H2399),H2399&gt;0),M2399/H2399,"")))</f>
        <v/>
      </c>
      <c r="T2399" s="9">
        <f>IF(AND(ISNUMBER(M2399),ISNUMBER(O2399)),IF(M2399&lt;=O2399,"Valor ≤ venal IPTU",""),"")</f>
        <v/>
      </c>
      <c r="U2399" s="10">
        <f>IF(AND(ISNUMBER(M2399),ISNUMBER(N2399)),IF(N2399&gt;0,M2399/N2399,""),"")</f>
        <v/>
      </c>
      <c r="V2399" s="10">
        <f>IF(AND(ISNUMBER(M2399),ISNUMBER(O2399)),IF(O2399&gt;0,M2399/O2399,""),"")</f>
        <v/>
      </c>
      <c r="W2399" s="10">
        <f>IF(AND(ISNUMBER(M2399),ISNUMBER(R2399)),IF(R2399&gt;0,M2399/R2399,""),"")</f>
        <v/>
      </c>
      <c r="X2399" s="10">
        <f>IF(AND(ISNUMBER(Q2399),ISNUMBER(M2399)),IF(M2399&gt;0,Q2399/M2399,""),"")</f>
        <v/>
      </c>
      <c r="Y2399" s="11">
        <f>IF(ISNUMBER(Z2399),YEAR(Z2399),"")</f>
        <v/>
      </c>
      <c r="Z2399" s="12" t="n"/>
      <c r="AA2399" s="12" t="n"/>
      <c r="AI2399" s="12" t="n"/>
      <c r="AJ2399" s="13">
        <f>IF(LEN(TRIM(AF2399))=0,"",HYPERLINK("https://www.google.com/maps/@?api=1&amp;map_action=pano&amp;viewpoint="&amp;SUBSTITUTE(AF2399," ",""),"Abrir Street View"))</f>
        <v/>
      </c>
    </row>
    <row r="2400">
      <c r="H2400" s="6" t="n"/>
      <c r="I2400" s="6" t="n"/>
      <c r="M2400" s="7" t="n"/>
      <c r="N2400" s="7" t="n"/>
      <c r="O2400" s="7" t="n"/>
      <c r="Q2400" s="7" t="n"/>
      <c r="R2400" s="7" t="n"/>
      <c r="S2400" s="8">
        <f>IF(NOT(ISNUMBER(M2400)),"",IF(G2400="Terreno",IF(AND(ISNUMBER(I2400),I2400&gt;0),M2400/I2400,""),IF(AND(ISNUMBER(H2400),H2400&gt;0),M2400/H2400,"")))</f>
        <v/>
      </c>
      <c r="T2400" s="9">
        <f>IF(AND(ISNUMBER(M2400),ISNUMBER(O2400)),IF(M2400&lt;=O2400,"Valor ≤ venal IPTU",""),"")</f>
        <v/>
      </c>
      <c r="U2400" s="10">
        <f>IF(AND(ISNUMBER(M2400),ISNUMBER(N2400)),IF(N2400&gt;0,M2400/N2400,""),"")</f>
        <v/>
      </c>
      <c r="V2400" s="10">
        <f>IF(AND(ISNUMBER(M2400),ISNUMBER(O2400)),IF(O2400&gt;0,M2400/O2400,""),"")</f>
        <v/>
      </c>
      <c r="W2400" s="10">
        <f>IF(AND(ISNUMBER(M2400),ISNUMBER(R2400)),IF(R2400&gt;0,M2400/R2400,""),"")</f>
        <v/>
      </c>
      <c r="X2400" s="10">
        <f>IF(AND(ISNUMBER(Q2400),ISNUMBER(M2400)),IF(M2400&gt;0,Q2400/M2400,""),"")</f>
        <v/>
      </c>
      <c r="Y2400" s="11">
        <f>IF(ISNUMBER(Z2400),YEAR(Z2400),"")</f>
        <v/>
      </c>
      <c r="Z2400" s="12" t="n"/>
      <c r="AA2400" s="12" t="n"/>
      <c r="AI2400" s="12" t="n"/>
      <c r="AJ2400" s="13">
        <f>IF(LEN(TRIM(AF2400))=0,"",HYPERLINK("https://www.google.com/maps/@?api=1&amp;map_action=pano&amp;viewpoint="&amp;SUBSTITUTE(AF2400," ",""),"Abrir Street View"))</f>
        <v/>
      </c>
    </row>
    <row r="2401">
      <c r="H2401" s="6" t="n"/>
      <c r="I2401" s="6" t="n"/>
      <c r="M2401" s="7" t="n"/>
      <c r="N2401" s="7" t="n"/>
      <c r="O2401" s="7" t="n"/>
      <c r="Q2401" s="7" t="n"/>
      <c r="R2401" s="7" t="n"/>
      <c r="S2401" s="8">
        <f>IF(NOT(ISNUMBER(M2401)),"",IF(G2401="Terreno",IF(AND(ISNUMBER(I2401),I2401&gt;0),M2401/I2401,""),IF(AND(ISNUMBER(H2401),H2401&gt;0),M2401/H2401,"")))</f>
        <v/>
      </c>
      <c r="T2401" s="9">
        <f>IF(AND(ISNUMBER(M2401),ISNUMBER(O2401)),IF(M2401&lt;=O2401,"Valor ≤ venal IPTU",""),"")</f>
        <v/>
      </c>
      <c r="U2401" s="10">
        <f>IF(AND(ISNUMBER(M2401),ISNUMBER(N2401)),IF(N2401&gt;0,M2401/N2401,""),"")</f>
        <v/>
      </c>
      <c r="V2401" s="10">
        <f>IF(AND(ISNUMBER(M2401),ISNUMBER(O2401)),IF(O2401&gt;0,M2401/O2401,""),"")</f>
        <v/>
      </c>
      <c r="W2401" s="10">
        <f>IF(AND(ISNUMBER(M2401),ISNUMBER(R2401)),IF(R2401&gt;0,M2401/R2401,""),"")</f>
        <v/>
      </c>
      <c r="X2401" s="10">
        <f>IF(AND(ISNUMBER(Q2401),ISNUMBER(M2401)),IF(M2401&gt;0,Q2401/M2401,""),"")</f>
        <v/>
      </c>
      <c r="Y2401" s="11">
        <f>IF(ISNUMBER(Z2401),YEAR(Z2401),"")</f>
        <v/>
      </c>
      <c r="Z2401" s="12" t="n"/>
      <c r="AA2401" s="12" t="n"/>
      <c r="AI2401" s="12" t="n"/>
      <c r="AJ2401" s="13">
        <f>IF(LEN(TRIM(AF2401))=0,"",HYPERLINK("https://www.google.com/maps/@?api=1&amp;map_action=pano&amp;viewpoint="&amp;SUBSTITUTE(AF2401," ",""),"Abrir Street View"))</f>
        <v/>
      </c>
    </row>
    <row r="2402">
      <c r="H2402" s="6" t="n"/>
      <c r="I2402" s="6" t="n"/>
      <c r="M2402" s="7" t="n"/>
      <c r="N2402" s="7" t="n"/>
      <c r="O2402" s="7" t="n"/>
      <c r="Q2402" s="7" t="n"/>
      <c r="R2402" s="7" t="n"/>
      <c r="S2402" s="8">
        <f>IF(NOT(ISNUMBER(M2402)),"",IF(G2402="Terreno",IF(AND(ISNUMBER(I2402),I2402&gt;0),M2402/I2402,""),IF(AND(ISNUMBER(H2402),H2402&gt;0),M2402/H2402,"")))</f>
        <v/>
      </c>
      <c r="T2402" s="9">
        <f>IF(AND(ISNUMBER(M2402),ISNUMBER(O2402)),IF(M2402&lt;=O2402,"Valor ≤ venal IPTU",""),"")</f>
        <v/>
      </c>
      <c r="U2402" s="10">
        <f>IF(AND(ISNUMBER(M2402),ISNUMBER(N2402)),IF(N2402&gt;0,M2402/N2402,""),"")</f>
        <v/>
      </c>
      <c r="V2402" s="10">
        <f>IF(AND(ISNUMBER(M2402),ISNUMBER(O2402)),IF(O2402&gt;0,M2402/O2402,""),"")</f>
        <v/>
      </c>
      <c r="W2402" s="10">
        <f>IF(AND(ISNUMBER(M2402),ISNUMBER(R2402)),IF(R2402&gt;0,M2402/R2402,""),"")</f>
        <v/>
      </c>
      <c r="X2402" s="10">
        <f>IF(AND(ISNUMBER(Q2402),ISNUMBER(M2402)),IF(M2402&gt;0,Q2402/M2402,""),"")</f>
        <v/>
      </c>
      <c r="Y2402" s="11">
        <f>IF(ISNUMBER(Z2402),YEAR(Z2402),"")</f>
        <v/>
      </c>
      <c r="Z2402" s="12" t="n"/>
      <c r="AA2402" s="12" t="n"/>
      <c r="AI2402" s="12" t="n"/>
      <c r="AJ2402" s="13">
        <f>IF(LEN(TRIM(AF2402))=0,"",HYPERLINK("https://www.google.com/maps/@?api=1&amp;map_action=pano&amp;viewpoint="&amp;SUBSTITUTE(AF2402," ",""),"Abrir Street View"))</f>
        <v/>
      </c>
    </row>
    <row r="2403">
      <c r="H2403" s="6" t="n"/>
      <c r="I2403" s="6" t="n"/>
      <c r="M2403" s="7" t="n"/>
      <c r="N2403" s="7" t="n"/>
      <c r="O2403" s="7" t="n"/>
      <c r="Q2403" s="7" t="n"/>
      <c r="R2403" s="7" t="n"/>
      <c r="S2403" s="8">
        <f>IF(NOT(ISNUMBER(M2403)),"",IF(G2403="Terreno",IF(AND(ISNUMBER(I2403),I2403&gt;0),M2403/I2403,""),IF(AND(ISNUMBER(H2403),H2403&gt;0),M2403/H2403,"")))</f>
        <v/>
      </c>
      <c r="T2403" s="9">
        <f>IF(AND(ISNUMBER(M2403),ISNUMBER(O2403)),IF(M2403&lt;=O2403,"Valor ≤ venal IPTU",""),"")</f>
        <v/>
      </c>
      <c r="U2403" s="10">
        <f>IF(AND(ISNUMBER(M2403),ISNUMBER(N2403)),IF(N2403&gt;0,M2403/N2403,""),"")</f>
        <v/>
      </c>
      <c r="V2403" s="10">
        <f>IF(AND(ISNUMBER(M2403),ISNUMBER(O2403)),IF(O2403&gt;0,M2403/O2403,""),"")</f>
        <v/>
      </c>
      <c r="W2403" s="10">
        <f>IF(AND(ISNUMBER(M2403),ISNUMBER(R2403)),IF(R2403&gt;0,M2403/R2403,""),"")</f>
        <v/>
      </c>
      <c r="X2403" s="10">
        <f>IF(AND(ISNUMBER(Q2403),ISNUMBER(M2403)),IF(M2403&gt;0,Q2403/M2403,""),"")</f>
        <v/>
      </c>
      <c r="Y2403" s="11">
        <f>IF(ISNUMBER(Z2403),YEAR(Z2403),"")</f>
        <v/>
      </c>
      <c r="Z2403" s="12" t="n"/>
      <c r="AA2403" s="12" t="n"/>
      <c r="AI2403" s="12" t="n"/>
      <c r="AJ2403" s="13">
        <f>IF(LEN(TRIM(AF2403))=0,"",HYPERLINK("https://www.google.com/maps/@?api=1&amp;map_action=pano&amp;viewpoint="&amp;SUBSTITUTE(AF2403," ",""),"Abrir Street View"))</f>
        <v/>
      </c>
    </row>
    <row r="2404">
      <c r="H2404" s="6" t="n"/>
      <c r="I2404" s="6" t="n"/>
      <c r="M2404" s="7" t="n"/>
      <c r="N2404" s="7" t="n"/>
      <c r="O2404" s="7" t="n"/>
      <c r="Q2404" s="7" t="n"/>
      <c r="R2404" s="7" t="n"/>
      <c r="S2404" s="8">
        <f>IF(NOT(ISNUMBER(M2404)),"",IF(G2404="Terreno",IF(AND(ISNUMBER(I2404),I2404&gt;0),M2404/I2404,""),IF(AND(ISNUMBER(H2404),H2404&gt;0),M2404/H2404,"")))</f>
        <v/>
      </c>
      <c r="T2404" s="9">
        <f>IF(AND(ISNUMBER(M2404),ISNUMBER(O2404)),IF(M2404&lt;=O2404,"Valor ≤ venal IPTU",""),"")</f>
        <v/>
      </c>
      <c r="U2404" s="10">
        <f>IF(AND(ISNUMBER(M2404),ISNUMBER(N2404)),IF(N2404&gt;0,M2404/N2404,""),"")</f>
        <v/>
      </c>
      <c r="V2404" s="10">
        <f>IF(AND(ISNUMBER(M2404),ISNUMBER(O2404)),IF(O2404&gt;0,M2404/O2404,""),"")</f>
        <v/>
      </c>
      <c r="W2404" s="10">
        <f>IF(AND(ISNUMBER(M2404),ISNUMBER(R2404)),IF(R2404&gt;0,M2404/R2404,""),"")</f>
        <v/>
      </c>
      <c r="X2404" s="10">
        <f>IF(AND(ISNUMBER(Q2404),ISNUMBER(M2404)),IF(M2404&gt;0,Q2404/M2404,""),"")</f>
        <v/>
      </c>
      <c r="Y2404" s="11">
        <f>IF(ISNUMBER(Z2404),YEAR(Z2404),"")</f>
        <v/>
      </c>
      <c r="Z2404" s="12" t="n"/>
      <c r="AA2404" s="12" t="n"/>
      <c r="AI2404" s="12" t="n"/>
      <c r="AJ2404" s="13">
        <f>IF(LEN(TRIM(AF2404))=0,"",HYPERLINK("https://www.google.com/maps/@?api=1&amp;map_action=pano&amp;viewpoint="&amp;SUBSTITUTE(AF2404," ",""),"Abrir Street View"))</f>
        <v/>
      </c>
    </row>
    <row r="2405">
      <c r="H2405" s="6" t="n"/>
      <c r="I2405" s="6" t="n"/>
      <c r="M2405" s="7" t="n"/>
      <c r="N2405" s="7" t="n"/>
      <c r="O2405" s="7" t="n"/>
      <c r="Q2405" s="7" t="n"/>
      <c r="R2405" s="7" t="n"/>
      <c r="S2405" s="8">
        <f>IF(NOT(ISNUMBER(M2405)),"",IF(G2405="Terreno",IF(AND(ISNUMBER(I2405),I2405&gt;0),M2405/I2405,""),IF(AND(ISNUMBER(H2405),H2405&gt;0),M2405/H2405,"")))</f>
        <v/>
      </c>
      <c r="T2405" s="9">
        <f>IF(AND(ISNUMBER(M2405),ISNUMBER(O2405)),IF(M2405&lt;=O2405,"Valor ≤ venal IPTU",""),"")</f>
        <v/>
      </c>
      <c r="U2405" s="10">
        <f>IF(AND(ISNUMBER(M2405),ISNUMBER(N2405)),IF(N2405&gt;0,M2405/N2405,""),"")</f>
        <v/>
      </c>
      <c r="V2405" s="10">
        <f>IF(AND(ISNUMBER(M2405),ISNUMBER(O2405)),IF(O2405&gt;0,M2405/O2405,""),"")</f>
        <v/>
      </c>
      <c r="W2405" s="10">
        <f>IF(AND(ISNUMBER(M2405),ISNUMBER(R2405)),IF(R2405&gt;0,M2405/R2405,""),"")</f>
        <v/>
      </c>
      <c r="X2405" s="10">
        <f>IF(AND(ISNUMBER(Q2405),ISNUMBER(M2405)),IF(M2405&gt;0,Q2405/M2405,""),"")</f>
        <v/>
      </c>
      <c r="Y2405" s="11">
        <f>IF(ISNUMBER(Z2405),YEAR(Z2405),"")</f>
        <v/>
      </c>
      <c r="Z2405" s="12" t="n"/>
      <c r="AA2405" s="12" t="n"/>
      <c r="AI2405" s="12" t="n"/>
      <c r="AJ2405" s="13">
        <f>IF(LEN(TRIM(AF2405))=0,"",HYPERLINK("https://www.google.com/maps/@?api=1&amp;map_action=pano&amp;viewpoint="&amp;SUBSTITUTE(AF2405," ",""),"Abrir Street View"))</f>
        <v/>
      </c>
    </row>
    <row r="2406">
      <c r="H2406" s="6" t="n"/>
      <c r="I2406" s="6" t="n"/>
      <c r="M2406" s="7" t="n"/>
      <c r="N2406" s="7" t="n"/>
      <c r="O2406" s="7" t="n"/>
      <c r="Q2406" s="7" t="n"/>
      <c r="R2406" s="7" t="n"/>
      <c r="S2406" s="8">
        <f>IF(NOT(ISNUMBER(M2406)),"",IF(G2406="Terreno",IF(AND(ISNUMBER(I2406),I2406&gt;0),M2406/I2406,""),IF(AND(ISNUMBER(H2406),H2406&gt;0),M2406/H2406,"")))</f>
        <v/>
      </c>
      <c r="T2406" s="9">
        <f>IF(AND(ISNUMBER(M2406),ISNUMBER(O2406)),IF(M2406&lt;=O2406,"Valor ≤ venal IPTU",""),"")</f>
        <v/>
      </c>
      <c r="U2406" s="10">
        <f>IF(AND(ISNUMBER(M2406),ISNUMBER(N2406)),IF(N2406&gt;0,M2406/N2406,""),"")</f>
        <v/>
      </c>
      <c r="V2406" s="10">
        <f>IF(AND(ISNUMBER(M2406),ISNUMBER(O2406)),IF(O2406&gt;0,M2406/O2406,""),"")</f>
        <v/>
      </c>
      <c r="W2406" s="10">
        <f>IF(AND(ISNUMBER(M2406),ISNUMBER(R2406)),IF(R2406&gt;0,M2406/R2406,""),"")</f>
        <v/>
      </c>
      <c r="X2406" s="10">
        <f>IF(AND(ISNUMBER(Q2406),ISNUMBER(M2406)),IF(M2406&gt;0,Q2406/M2406,""),"")</f>
        <v/>
      </c>
      <c r="Y2406" s="11">
        <f>IF(ISNUMBER(Z2406),YEAR(Z2406),"")</f>
        <v/>
      </c>
      <c r="Z2406" s="12" t="n"/>
      <c r="AA2406" s="12" t="n"/>
      <c r="AI2406" s="12" t="n"/>
      <c r="AJ2406" s="13">
        <f>IF(LEN(TRIM(AF2406))=0,"",HYPERLINK("https://www.google.com/maps/@?api=1&amp;map_action=pano&amp;viewpoint="&amp;SUBSTITUTE(AF2406," ",""),"Abrir Street View"))</f>
        <v/>
      </c>
    </row>
    <row r="2407">
      <c r="H2407" s="6" t="n"/>
      <c r="I2407" s="6" t="n"/>
      <c r="M2407" s="7" t="n"/>
      <c r="N2407" s="7" t="n"/>
      <c r="O2407" s="7" t="n"/>
      <c r="Q2407" s="7" t="n"/>
      <c r="R2407" s="7" t="n"/>
      <c r="S2407" s="8">
        <f>IF(NOT(ISNUMBER(M2407)),"",IF(G2407="Terreno",IF(AND(ISNUMBER(I2407),I2407&gt;0),M2407/I2407,""),IF(AND(ISNUMBER(H2407),H2407&gt;0),M2407/H2407,"")))</f>
        <v/>
      </c>
      <c r="T2407" s="9">
        <f>IF(AND(ISNUMBER(M2407),ISNUMBER(O2407)),IF(M2407&lt;=O2407,"Valor ≤ venal IPTU",""),"")</f>
        <v/>
      </c>
      <c r="U2407" s="10">
        <f>IF(AND(ISNUMBER(M2407),ISNUMBER(N2407)),IF(N2407&gt;0,M2407/N2407,""),"")</f>
        <v/>
      </c>
      <c r="V2407" s="10">
        <f>IF(AND(ISNUMBER(M2407),ISNUMBER(O2407)),IF(O2407&gt;0,M2407/O2407,""),"")</f>
        <v/>
      </c>
      <c r="W2407" s="10">
        <f>IF(AND(ISNUMBER(M2407),ISNUMBER(R2407)),IF(R2407&gt;0,M2407/R2407,""),"")</f>
        <v/>
      </c>
      <c r="X2407" s="10">
        <f>IF(AND(ISNUMBER(Q2407),ISNUMBER(M2407)),IF(M2407&gt;0,Q2407/M2407,""),"")</f>
        <v/>
      </c>
      <c r="Y2407" s="11">
        <f>IF(ISNUMBER(Z2407),YEAR(Z2407),"")</f>
        <v/>
      </c>
      <c r="Z2407" s="12" t="n"/>
      <c r="AA2407" s="12" t="n"/>
      <c r="AI2407" s="12" t="n"/>
      <c r="AJ2407" s="13">
        <f>IF(LEN(TRIM(AF2407))=0,"",HYPERLINK("https://www.google.com/maps/@?api=1&amp;map_action=pano&amp;viewpoint="&amp;SUBSTITUTE(AF2407," ",""),"Abrir Street View"))</f>
        <v/>
      </c>
    </row>
    <row r="2408">
      <c r="H2408" s="6" t="n"/>
      <c r="I2408" s="6" t="n"/>
      <c r="M2408" s="7" t="n"/>
      <c r="N2408" s="7" t="n"/>
      <c r="O2408" s="7" t="n"/>
      <c r="Q2408" s="7" t="n"/>
      <c r="R2408" s="7" t="n"/>
      <c r="S2408" s="8">
        <f>IF(NOT(ISNUMBER(M2408)),"",IF(G2408="Terreno",IF(AND(ISNUMBER(I2408),I2408&gt;0),M2408/I2408,""),IF(AND(ISNUMBER(H2408),H2408&gt;0),M2408/H2408,"")))</f>
        <v/>
      </c>
      <c r="T2408" s="9">
        <f>IF(AND(ISNUMBER(M2408),ISNUMBER(O2408)),IF(M2408&lt;=O2408,"Valor ≤ venal IPTU",""),"")</f>
        <v/>
      </c>
      <c r="U2408" s="10">
        <f>IF(AND(ISNUMBER(M2408),ISNUMBER(N2408)),IF(N2408&gt;0,M2408/N2408,""),"")</f>
        <v/>
      </c>
      <c r="V2408" s="10">
        <f>IF(AND(ISNUMBER(M2408),ISNUMBER(O2408)),IF(O2408&gt;0,M2408/O2408,""),"")</f>
        <v/>
      </c>
      <c r="W2408" s="10">
        <f>IF(AND(ISNUMBER(M2408),ISNUMBER(R2408)),IF(R2408&gt;0,M2408/R2408,""),"")</f>
        <v/>
      </c>
      <c r="X2408" s="10">
        <f>IF(AND(ISNUMBER(Q2408),ISNUMBER(M2408)),IF(M2408&gt;0,Q2408/M2408,""),"")</f>
        <v/>
      </c>
      <c r="Y2408" s="11">
        <f>IF(ISNUMBER(Z2408),YEAR(Z2408),"")</f>
        <v/>
      </c>
      <c r="Z2408" s="12" t="n"/>
      <c r="AA2408" s="12" t="n"/>
      <c r="AI2408" s="12" t="n"/>
      <c r="AJ2408" s="13">
        <f>IF(LEN(TRIM(AF2408))=0,"",HYPERLINK("https://www.google.com/maps/@?api=1&amp;map_action=pano&amp;viewpoint="&amp;SUBSTITUTE(AF2408," ",""),"Abrir Street View"))</f>
        <v/>
      </c>
    </row>
    <row r="2409">
      <c r="H2409" s="6" t="n"/>
      <c r="I2409" s="6" t="n"/>
      <c r="M2409" s="7" t="n"/>
      <c r="N2409" s="7" t="n"/>
      <c r="O2409" s="7" t="n"/>
      <c r="Q2409" s="7" t="n"/>
      <c r="R2409" s="7" t="n"/>
      <c r="S2409" s="8">
        <f>IF(NOT(ISNUMBER(M2409)),"",IF(G2409="Terreno",IF(AND(ISNUMBER(I2409),I2409&gt;0),M2409/I2409,""),IF(AND(ISNUMBER(H2409),H2409&gt;0),M2409/H2409,"")))</f>
        <v/>
      </c>
      <c r="T2409" s="9">
        <f>IF(AND(ISNUMBER(M2409),ISNUMBER(O2409)),IF(M2409&lt;=O2409,"Valor ≤ venal IPTU",""),"")</f>
        <v/>
      </c>
      <c r="U2409" s="10">
        <f>IF(AND(ISNUMBER(M2409),ISNUMBER(N2409)),IF(N2409&gt;0,M2409/N2409,""),"")</f>
        <v/>
      </c>
      <c r="V2409" s="10">
        <f>IF(AND(ISNUMBER(M2409),ISNUMBER(O2409)),IF(O2409&gt;0,M2409/O2409,""),"")</f>
        <v/>
      </c>
      <c r="W2409" s="10">
        <f>IF(AND(ISNUMBER(M2409),ISNUMBER(R2409)),IF(R2409&gt;0,M2409/R2409,""),"")</f>
        <v/>
      </c>
      <c r="X2409" s="10">
        <f>IF(AND(ISNUMBER(Q2409),ISNUMBER(M2409)),IF(M2409&gt;0,Q2409/M2409,""),"")</f>
        <v/>
      </c>
      <c r="Y2409" s="11">
        <f>IF(ISNUMBER(Z2409),YEAR(Z2409),"")</f>
        <v/>
      </c>
      <c r="Z2409" s="12" t="n"/>
      <c r="AA2409" s="12" t="n"/>
      <c r="AI2409" s="12" t="n"/>
      <c r="AJ2409" s="13">
        <f>IF(LEN(TRIM(AF2409))=0,"",HYPERLINK("https://www.google.com/maps/@?api=1&amp;map_action=pano&amp;viewpoint="&amp;SUBSTITUTE(AF2409," ",""),"Abrir Street View"))</f>
        <v/>
      </c>
    </row>
    <row r="2410">
      <c r="H2410" s="6" t="n"/>
      <c r="I2410" s="6" t="n"/>
      <c r="M2410" s="7" t="n"/>
      <c r="N2410" s="7" t="n"/>
      <c r="O2410" s="7" t="n"/>
      <c r="Q2410" s="7" t="n"/>
      <c r="R2410" s="7" t="n"/>
      <c r="S2410" s="8">
        <f>IF(NOT(ISNUMBER(M2410)),"",IF(G2410="Terreno",IF(AND(ISNUMBER(I2410),I2410&gt;0),M2410/I2410,""),IF(AND(ISNUMBER(H2410),H2410&gt;0),M2410/H2410,"")))</f>
        <v/>
      </c>
      <c r="T2410" s="9">
        <f>IF(AND(ISNUMBER(M2410),ISNUMBER(O2410)),IF(M2410&lt;=O2410,"Valor ≤ venal IPTU",""),"")</f>
        <v/>
      </c>
      <c r="U2410" s="10">
        <f>IF(AND(ISNUMBER(M2410),ISNUMBER(N2410)),IF(N2410&gt;0,M2410/N2410,""),"")</f>
        <v/>
      </c>
      <c r="V2410" s="10">
        <f>IF(AND(ISNUMBER(M2410),ISNUMBER(O2410)),IF(O2410&gt;0,M2410/O2410,""),"")</f>
        <v/>
      </c>
      <c r="W2410" s="10">
        <f>IF(AND(ISNUMBER(M2410),ISNUMBER(R2410)),IF(R2410&gt;0,M2410/R2410,""),"")</f>
        <v/>
      </c>
      <c r="X2410" s="10">
        <f>IF(AND(ISNUMBER(Q2410),ISNUMBER(M2410)),IF(M2410&gt;0,Q2410/M2410,""),"")</f>
        <v/>
      </c>
      <c r="Y2410" s="11">
        <f>IF(ISNUMBER(Z2410),YEAR(Z2410),"")</f>
        <v/>
      </c>
      <c r="Z2410" s="12" t="n"/>
      <c r="AA2410" s="12" t="n"/>
      <c r="AI2410" s="12" t="n"/>
      <c r="AJ2410" s="13">
        <f>IF(LEN(TRIM(AF2410))=0,"",HYPERLINK("https://www.google.com/maps/@?api=1&amp;map_action=pano&amp;viewpoint="&amp;SUBSTITUTE(AF2410," ",""),"Abrir Street View"))</f>
        <v/>
      </c>
    </row>
    <row r="2411">
      <c r="H2411" s="6" t="n"/>
      <c r="I2411" s="6" t="n"/>
      <c r="M2411" s="7" t="n"/>
      <c r="N2411" s="7" t="n"/>
      <c r="O2411" s="7" t="n"/>
      <c r="Q2411" s="7" t="n"/>
      <c r="R2411" s="7" t="n"/>
      <c r="S2411" s="8">
        <f>IF(NOT(ISNUMBER(M2411)),"",IF(G2411="Terreno",IF(AND(ISNUMBER(I2411),I2411&gt;0),M2411/I2411,""),IF(AND(ISNUMBER(H2411),H2411&gt;0),M2411/H2411,"")))</f>
        <v/>
      </c>
      <c r="T2411" s="9">
        <f>IF(AND(ISNUMBER(M2411),ISNUMBER(O2411)),IF(M2411&lt;=O2411,"Valor ≤ venal IPTU",""),"")</f>
        <v/>
      </c>
      <c r="U2411" s="10">
        <f>IF(AND(ISNUMBER(M2411),ISNUMBER(N2411)),IF(N2411&gt;0,M2411/N2411,""),"")</f>
        <v/>
      </c>
      <c r="V2411" s="10">
        <f>IF(AND(ISNUMBER(M2411),ISNUMBER(O2411)),IF(O2411&gt;0,M2411/O2411,""),"")</f>
        <v/>
      </c>
      <c r="W2411" s="10">
        <f>IF(AND(ISNUMBER(M2411),ISNUMBER(R2411)),IF(R2411&gt;0,M2411/R2411,""),"")</f>
        <v/>
      </c>
      <c r="X2411" s="10">
        <f>IF(AND(ISNUMBER(Q2411),ISNUMBER(M2411)),IF(M2411&gt;0,Q2411/M2411,""),"")</f>
        <v/>
      </c>
      <c r="Y2411" s="11">
        <f>IF(ISNUMBER(Z2411),YEAR(Z2411),"")</f>
        <v/>
      </c>
      <c r="Z2411" s="12" t="n"/>
      <c r="AA2411" s="12" t="n"/>
      <c r="AI2411" s="12" t="n"/>
      <c r="AJ2411" s="13">
        <f>IF(LEN(TRIM(AF2411))=0,"",HYPERLINK("https://www.google.com/maps/@?api=1&amp;map_action=pano&amp;viewpoint="&amp;SUBSTITUTE(AF2411," ",""),"Abrir Street View"))</f>
        <v/>
      </c>
    </row>
    <row r="2412">
      <c r="H2412" s="6" t="n"/>
      <c r="I2412" s="6" t="n"/>
      <c r="M2412" s="7" t="n"/>
      <c r="N2412" s="7" t="n"/>
      <c r="O2412" s="7" t="n"/>
      <c r="Q2412" s="7" t="n"/>
      <c r="R2412" s="7" t="n"/>
      <c r="S2412" s="8">
        <f>IF(NOT(ISNUMBER(M2412)),"",IF(G2412="Terreno",IF(AND(ISNUMBER(I2412),I2412&gt;0),M2412/I2412,""),IF(AND(ISNUMBER(H2412),H2412&gt;0),M2412/H2412,"")))</f>
        <v/>
      </c>
      <c r="T2412" s="9">
        <f>IF(AND(ISNUMBER(M2412),ISNUMBER(O2412)),IF(M2412&lt;=O2412,"Valor ≤ venal IPTU",""),"")</f>
        <v/>
      </c>
      <c r="U2412" s="10">
        <f>IF(AND(ISNUMBER(M2412),ISNUMBER(N2412)),IF(N2412&gt;0,M2412/N2412,""),"")</f>
        <v/>
      </c>
      <c r="V2412" s="10">
        <f>IF(AND(ISNUMBER(M2412),ISNUMBER(O2412)),IF(O2412&gt;0,M2412/O2412,""),"")</f>
        <v/>
      </c>
      <c r="W2412" s="10">
        <f>IF(AND(ISNUMBER(M2412),ISNUMBER(R2412)),IF(R2412&gt;0,M2412/R2412,""),"")</f>
        <v/>
      </c>
      <c r="X2412" s="10">
        <f>IF(AND(ISNUMBER(Q2412),ISNUMBER(M2412)),IF(M2412&gt;0,Q2412/M2412,""),"")</f>
        <v/>
      </c>
      <c r="Y2412" s="11">
        <f>IF(ISNUMBER(Z2412),YEAR(Z2412),"")</f>
        <v/>
      </c>
      <c r="Z2412" s="12" t="n"/>
      <c r="AA2412" s="12" t="n"/>
      <c r="AI2412" s="12" t="n"/>
      <c r="AJ2412" s="13">
        <f>IF(LEN(TRIM(AF2412))=0,"",HYPERLINK("https://www.google.com/maps/@?api=1&amp;map_action=pano&amp;viewpoint="&amp;SUBSTITUTE(AF2412," ",""),"Abrir Street View"))</f>
        <v/>
      </c>
    </row>
    <row r="2413">
      <c r="H2413" s="6" t="n"/>
      <c r="I2413" s="6" t="n"/>
      <c r="M2413" s="7" t="n"/>
      <c r="N2413" s="7" t="n"/>
      <c r="O2413" s="7" t="n"/>
      <c r="Q2413" s="7" t="n"/>
      <c r="R2413" s="7" t="n"/>
      <c r="S2413" s="8">
        <f>IF(NOT(ISNUMBER(M2413)),"",IF(G2413="Terreno",IF(AND(ISNUMBER(I2413),I2413&gt;0),M2413/I2413,""),IF(AND(ISNUMBER(H2413),H2413&gt;0),M2413/H2413,"")))</f>
        <v/>
      </c>
      <c r="T2413" s="9">
        <f>IF(AND(ISNUMBER(M2413),ISNUMBER(O2413)),IF(M2413&lt;=O2413,"Valor ≤ venal IPTU",""),"")</f>
        <v/>
      </c>
      <c r="U2413" s="10">
        <f>IF(AND(ISNUMBER(M2413),ISNUMBER(N2413)),IF(N2413&gt;0,M2413/N2413,""),"")</f>
        <v/>
      </c>
      <c r="V2413" s="10">
        <f>IF(AND(ISNUMBER(M2413),ISNUMBER(O2413)),IF(O2413&gt;0,M2413/O2413,""),"")</f>
        <v/>
      </c>
      <c r="W2413" s="10">
        <f>IF(AND(ISNUMBER(M2413),ISNUMBER(R2413)),IF(R2413&gt;0,M2413/R2413,""),"")</f>
        <v/>
      </c>
      <c r="X2413" s="10">
        <f>IF(AND(ISNUMBER(Q2413),ISNUMBER(M2413)),IF(M2413&gt;0,Q2413/M2413,""),"")</f>
        <v/>
      </c>
      <c r="Y2413" s="11">
        <f>IF(ISNUMBER(Z2413),YEAR(Z2413),"")</f>
        <v/>
      </c>
      <c r="Z2413" s="12" t="n"/>
      <c r="AA2413" s="12" t="n"/>
      <c r="AI2413" s="12" t="n"/>
      <c r="AJ2413" s="13">
        <f>IF(LEN(TRIM(AF2413))=0,"",HYPERLINK("https://www.google.com/maps/@?api=1&amp;map_action=pano&amp;viewpoint="&amp;SUBSTITUTE(AF2413," ",""),"Abrir Street View"))</f>
        <v/>
      </c>
    </row>
    <row r="2414">
      <c r="H2414" s="6" t="n"/>
      <c r="I2414" s="6" t="n"/>
      <c r="M2414" s="7" t="n"/>
      <c r="N2414" s="7" t="n"/>
      <c r="O2414" s="7" t="n"/>
      <c r="Q2414" s="7" t="n"/>
      <c r="R2414" s="7" t="n"/>
      <c r="S2414" s="8">
        <f>IF(NOT(ISNUMBER(M2414)),"",IF(G2414="Terreno",IF(AND(ISNUMBER(I2414),I2414&gt;0),M2414/I2414,""),IF(AND(ISNUMBER(H2414),H2414&gt;0),M2414/H2414,"")))</f>
        <v/>
      </c>
      <c r="T2414" s="9">
        <f>IF(AND(ISNUMBER(M2414),ISNUMBER(O2414)),IF(M2414&lt;=O2414,"Valor ≤ venal IPTU",""),"")</f>
        <v/>
      </c>
      <c r="U2414" s="10">
        <f>IF(AND(ISNUMBER(M2414),ISNUMBER(N2414)),IF(N2414&gt;0,M2414/N2414,""),"")</f>
        <v/>
      </c>
      <c r="V2414" s="10">
        <f>IF(AND(ISNUMBER(M2414),ISNUMBER(O2414)),IF(O2414&gt;0,M2414/O2414,""),"")</f>
        <v/>
      </c>
      <c r="W2414" s="10">
        <f>IF(AND(ISNUMBER(M2414),ISNUMBER(R2414)),IF(R2414&gt;0,M2414/R2414,""),"")</f>
        <v/>
      </c>
      <c r="X2414" s="10">
        <f>IF(AND(ISNUMBER(Q2414),ISNUMBER(M2414)),IF(M2414&gt;0,Q2414/M2414,""),"")</f>
        <v/>
      </c>
      <c r="Y2414" s="11">
        <f>IF(ISNUMBER(Z2414),YEAR(Z2414),"")</f>
        <v/>
      </c>
      <c r="Z2414" s="12" t="n"/>
      <c r="AA2414" s="12" t="n"/>
      <c r="AI2414" s="12" t="n"/>
      <c r="AJ2414" s="13">
        <f>IF(LEN(TRIM(AF2414))=0,"",HYPERLINK("https://www.google.com/maps/@?api=1&amp;map_action=pano&amp;viewpoint="&amp;SUBSTITUTE(AF2414," ",""),"Abrir Street View"))</f>
        <v/>
      </c>
    </row>
    <row r="2415">
      <c r="H2415" s="6" t="n"/>
      <c r="I2415" s="6" t="n"/>
      <c r="M2415" s="7" t="n"/>
      <c r="N2415" s="7" t="n"/>
      <c r="O2415" s="7" t="n"/>
      <c r="Q2415" s="7" t="n"/>
      <c r="R2415" s="7" t="n"/>
      <c r="S2415" s="8">
        <f>IF(NOT(ISNUMBER(M2415)),"",IF(G2415="Terreno",IF(AND(ISNUMBER(I2415),I2415&gt;0),M2415/I2415,""),IF(AND(ISNUMBER(H2415),H2415&gt;0),M2415/H2415,"")))</f>
        <v/>
      </c>
      <c r="T2415" s="9">
        <f>IF(AND(ISNUMBER(M2415),ISNUMBER(O2415)),IF(M2415&lt;=O2415,"Valor ≤ venal IPTU",""),"")</f>
        <v/>
      </c>
      <c r="U2415" s="10">
        <f>IF(AND(ISNUMBER(M2415),ISNUMBER(N2415)),IF(N2415&gt;0,M2415/N2415,""),"")</f>
        <v/>
      </c>
      <c r="V2415" s="10">
        <f>IF(AND(ISNUMBER(M2415),ISNUMBER(O2415)),IF(O2415&gt;0,M2415/O2415,""),"")</f>
        <v/>
      </c>
      <c r="W2415" s="10">
        <f>IF(AND(ISNUMBER(M2415),ISNUMBER(R2415)),IF(R2415&gt;0,M2415/R2415,""),"")</f>
        <v/>
      </c>
      <c r="X2415" s="10">
        <f>IF(AND(ISNUMBER(Q2415),ISNUMBER(M2415)),IF(M2415&gt;0,Q2415/M2415,""),"")</f>
        <v/>
      </c>
      <c r="Y2415" s="11">
        <f>IF(ISNUMBER(Z2415),YEAR(Z2415),"")</f>
        <v/>
      </c>
      <c r="Z2415" s="12" t="n"/>
      <c r="AA2415" s="12" t="n"/>
      <c r="AI2415" s="12" t="n"/>
      <c r="AJ2415" s="13">
        <f>IF(LEN(TRIM(AF2415))=0,"",HYPERLINK("https://www.google.com/maps/@?api=1&amp;map_action=pano&amp;viewpoint="&amp;SUBSTITUTE(AF2415," ",""),"Abrir Street View"))</f>
        <v/>
      </c>
    </row>
    <row r="2416">
      <c r="H2416" s="6" t="n"/>
      <c r="I2416" s="6" t="n"/>
      <c r="M2416" s="7" t="n"/>
      <c r="N2416" s="7" t="n"/>
      <c r="O2416" s="7" t="n"/>
      <c r="Q2416" s="7" t="n"/>
      <c r="R2416" s="7" t="n"/>
      <c r="S2416" s="8">
        <f>IF(NOT(ISNUMBER(M2416)),"",IF(G2416="Terreno",IF(AND(ISNUMBER(I2416),I2416&gt;0),M2416/I2416,""),IF(AND(ISNUMBER(H2416),H2416&gt;0),M2416/H2416,"")))</f>
        <v/>
      </c>
      <c r="T2416" s="9">
        <f>IF(AND(ISNUMBER(M2416),ISNUMBER(O2416)),IF(M2416&lt;=O2416,"Valor ≤ venal IPTU",""),"")</f>
        <v/>
      </c>
      <c r="U2416" s="10">
        <f>IF(AND(ISNUMBER(M2416),ISNUMBER(N2416)),IF(N2416&gt;0,M2416/N2416,""),"")</f>
        <v/>
      </c>
      <c r="V2416" s="10">
        <f>IF(AND(ISNUMBER(M2416),ISNUMBER(O2416)),IF(O2416&gt;0,M2416/O2416,""),"")</f>
        <v/>
      </c>
      <c r="W2416" s="10">
        <f>IF(AND(ISNUMBER(M2416),ISNUMBER(R2416)),IF(R2416&gt;0,M2416/R2416,""),"")</f>
        <v/>
      </c>
      <c r="X2416" s="10">
        <f>IF(AND(ISNUMBER(Q2416),ISNUMBER(M2416)),IF(M2416&gt;0,Q2416/M2416,""),"")</f>
        <v/>
      </c>
      <c r="Y2416" s="11">
        <f>IF(ISNUMBER(Z2416),YEAR(Z2416),"")</f>
        <v/>
      </c>
      <c r="Z2416" s="12" t="n"/>
      <c r="AA2416" s="12" t="n"/>
      <c r="AI2416" s="12" t="n"/>
      <c r="AJ2416" s="13">
        <f>IF(LEN(TRIM(AF2416))=0,"",HYPERLINK("https://www.google.com/maps/@?api=1&amp;map_action=pano&amp;viewpoint="&amp;SUBSTITUTE(AF2416," ",""),"Abrir Street View"))</f>
        <v/>
      </c>
    </row>
    <row r="2417">
      <c r="H2417" s="6" t="n"/>
      <c r="I2417" s="6" t="n"/>
      <c r="M2417" s="7" t="n"/>
      <c r="N2417" s="7" t="n"/>
      <c r="O2417" s="7" t="n"/>
      <c r="Q2417" s="7" t="n"/>
      <c r="R2417" s="7" t="n"/>
      <c r="S2417" s="8">
        <f>IF(NOT(ISNUMBER(M2417)),"",IF(G2417="Terreno",IF(AND(ISNUMBER(I2417),I2417&gt;0),M2417/I2417,""),IF(AND(ISNUMBER(H2417),H2417&gt;0),M2417/H2417,"")))</f>
        <v/>
      </c>
      <c r="T2417" s="9">
        <f>IF(AND(ISNUMBER(M2417),ISNUMBER(O2417)),IF(M2417&lt;=O2417,"Valor ≤ venal IPTU",""),"")</f>
        <v/>
      </c>
      <c r="U2417" s="10">
        <f>IF(AND(ISNUMBER(M2417),ISNUMBER(N2417)),IF(N2417&gt;0,M2417/N2417,""),"")</f>
        <v/>
      </c>
      <c r="V2417" s="10">
        <f>IF(AND(ISNUMBER(M2417),ISNUMBER(O2417)),IF(O2417&gt;0,M2417/O2417,""),"")</f>
        <v/>
      </c>
      <c r="W2417" s="10">
        <f>IF(AND(ISNUMBER(M2417),ISNUMBER(R2417)),IF(R2417&gt;0,M2417/R2417,""),"")</f>
        <v/>
      </c>
      <c r="X2417" s="10">
        <f>IF(AND(ISNUMBER(Q2417),ISNUMBER(M2417)),IF(M2417&gt;0,Q2417/M2417,""),"")</f>
        <v/>
      </c>
      <c r="Y2417" s="11">
        <f>IF(ISNUMBER(Z2417),YEAR(Z2417),"")</f>
        <v/>
      </c>
      <c r="Z2417" s="12" t="n"/>
      <c r="AA2417" s="12" t="n"/>
      <c r="AI2417" s="12" t="n"/>
      <c r="AJ2417" s="13">
        <f>IF(LEN(TRIM(AF2417))=0,"",HYPERLINK("https://www.google.com/maps/@?api=1&amp;map_action=pano&amp;viewpoint="&amp;SUBSTITUTE(AF2417," ",""),"Abrir Street View"))</f>
        <v/>
      </c>
    </row>
    <row r="2418">
      <c r="H2418" s="6" t="n"/>
      <c r="I2418" s="6" t="n"/>
      <c r="M2418" s="7" t="n"/>
      <c r="N2418" s="7" t="n"/>
      <c r="O2418" s="7" t="n"/>
      <c r="Q2418" s="7" t="n"/>
      <c r="R2418" s="7" t="n"/>
      <c r="S2418" s="8">
        <f>IF(NOT(ISNUMBER(M2418)),"",IF(G2418="Terreno",IF(AND(ISNUMBER(I2418),I2418&gt;0),M2418/I2418,""),IF(AND(ISNUMBER(H2418),H2418&gt;0),M2418/H2418,"")))</f>
        <v/>
      </c>
      <c r="T2418" s="9">
        <f>IF(AND(ISNUMBER(M2418),ISNUMBER(O2418)),IF(M2418&lt;=O2418,"Valor ≤ venal IPTU",""),"")</f>
        <v/>
      </c>
      <c r="U2418" s="10">
        <f>IF(AND(ISNUMBER(M2418),ISNUMBER(N2418)),IF(N2418&gt;0,M2418/N2418,""),"")</f>
        <v/>
      </c>
      <c r="V2418" s="10">
        <f>IF(AND(ISNUMBER(M2418),ISNUMBER(O2418)),IF(O2418&gt;0,M2418/O2418,""),"")</f>
        <v/>
      </c>
      <c r="W2418" s="10">
        <f>IF(AND(ISNUMBER(M2418),ISNUMBER(R2418)),IF(R2418&gt;0,M2418/R2418,""),"")</f>
        <v/>
      </c>
      <c r="X2418" s="10">
        <f>IF(AND(ISNUMBER(Q2418),ISNUMBER(M2418)),IF(M2418&gt;0,Q2418/M2418,""),"")</f>
        <v/>
      </c>
      <c r="Y2418" s="11">
        <f>IF(ISNUMBER(Z2418),YEAR(Z2418),"")</f>
        <v/>
      </c>
      <c r="Z2418" s="12" t="n"/>
      <c r="AA2418" s="12" t="n"/>
      <c r="AI2418" s="12" t="n"/>
      <c r="AJ2418" s="13">
        <f>IF(LEN(TRIM(AF2418))=0,"",HYPERLINK("https://www.google.com/maps/@?api=1&amp;map_action=pano&amp;viewpoint="&amp;SUBSTITUTE(AF2418," ",""),"Abrir Street View"))</f>
        <v/>
      </c>
    </row>
    <row r="2419">
      <c r="H2419" s="6" t="n"/>
      <c r="I2419" s="6" t="n"/>
      <c r="M2419" s="7" t="n"/>
      <c r="N2419" s="7" t="n"/>
      <c r="O2419" s="7" t="n"/>
      <c r="Q2419" s="7" t="n"/>
      <c r="R2419" s="7" t="n"/>
      <c r="S2419" s="8">
        <f>IF(NOT(ISNUMBER(M2419)),"",IF(G2419="Terreno",IF(AND(ISNUMBER(I2419),I2419&gt;0),M2419/I2419,""),IF(AND(ISNUMBER(H2419),H2419&gt;0),M2419/H2419,"")))</f>
        <v/>
      </c>
      <c r="T2419" s="9">
        <f>IF(AND(ISNUMBER(M2419),ISNUMBER(O2419)),IF(M2419&lt;=O2419,"Valor ≤ venal IPTU",""),"")</f>
        <v/>
      </c>
      <c r="U2419" s="10">
        <f>IF(AND(ISNUMBER(M2419),ISNUMBER(N2419)),IF(N2419&gt;0,M2419/N2419,""),"")</f>
        <v/>
      </c>
      <c r="V2419" s="10">
        <f>IF(AND(ISNUMBER(M2419),ISNUMBER(O2419)),IF(O2419&gt;0,M2419/O2419,""),"")</f>
        <v/>
      </c>
      <c r="W2419" s="10">
        <f>IF(AND(ISNUMBER(M2419),ISNUMBER(R2419)),IF(R2419&gt;0,M2419/R2419,""),"")</f>
        <v/>
      </c>
      <c r="X2419" s="10">
        <f>IF(AND(ISNUMBER(Q2419),ISNUMBER(M2419)),IF(M2419&gt;0,Q2419/M2419,""),"")</f>
        <v/>
      </c>
      <c r="Y2419" s="11">
        <f>IF(ISNUMBER(Z2419),YEAR(Z2419),"")</f>
        <v/>
      </c>
      <c r="Z2419" s="12" t="n"/>
      <c r="AA2419" s="12" t="n"/>
      <c r="AI2419" s="12" t="n"/>
      <c r="AJ2419" s="13">
        <f>IF(LEN(TRIM(AF2419))=0,"",HYPERLINK("https://www.google.com/maps/@?api=1&amp;map_action=pano&amp;viewpoint="&amp;SUBSTITUTE(AF2419," ",""),"Abrir Street View"))</f>
        <v/>
      </c>
    </row>
    <row r="2420">
      <c r="H2420" s="6" t="n"/>
      <c r="I2420" s="6" t="n"/>
      <c r="M2420" s="7" t="n"/>
      <c r="N2420" s="7" t="n"/>
      <c r="O2420" s="7" t="n"/>
      <c r="Q2420" s="7" t="n"/>
      <c r="R2420" s="7" t="n"/>
      <c r="S2420" s="8">
        <f>IF(NOT(ISNUMBER(M2420)),"",IF(G2420="Terreno",IF(AND(ISNUMBER(I2420),I2420&gt;0),M2420/I2420,""),IF(AND(ISNUMBER(H2420),H2420&gt;0),M2420/H2420,"")))</f>
        <v/>
      </c>
      <c r="T2420" s="9">
        <f>IF(AND(ISNUMBER(M2420),ISNUMBER(O2420)),IF(M2420&lt;=O2420,"Valor ≤ venal IPTU",""),"")</f>
        <v/>
      </c>
      <c r="U2420" s="10">
        <f>IF(AND(ISNUMBER(M2420),ISNUMBER(N2420)),IF(N2420&gt;0,M2420/N2420,""),"")</f>
        <v/>
      </c>
      <c r="V2420" s="10">
        <f>IF(AND(ISNUMBER(M2420),ISNUMBER(O2420)),IF(O2420&gt;0,M2420/O2420,""),"")</f>
        <v/>
      </c>
      <c r="W2420" s="10">
        <f>IF(AND(ISNUMBER(M2420),ISNUMBER(R2420)),IF(R2420&gt;0,M2420/R2420,""),"")</f>
        <v/>
      </c>
      <c r="X2420" s="10">
        <f>IF(AND(ISNUMBER(Q2420),ISNUMBER(M2420)),IF(M2420&gt;0,Q2420/M2420,""),"")</f>
        <v/>
      </c>
      <c r="Y2420" s="11">
        <f>IF(ISNUMBER(Z2420),YEAR(Z2420),"")</f>
        <v/>
      </c>
      <c r="Z2420" s="12" t="n"/>
      <c r="AA2420" s="12" t="n"/>
      <c r="AI2420" s="12" t="n"/>
      <c r="AJ2420" s="13">
        <f>IF(LEN(TRIM(AF2420))=0,"",HYPERLINK("https://www.google.com/maps/@?api=1&amp;map_action=pano&amp;viewpoint="&amp;SUBSTITUTE(AF2420," ",""),"Abrir Street View"))</f>
        <v/>
      </c>
    </row>
    <row r="2421">
      <c r="H2421" s="6" t="n"/>
      <c r="I2421" s="6" t="n"/>
      <c r="M2421" s="7" t="n"/>
      <c r="N2421" s="7" t="n"/>
      <c r="O2421" s="7" t="n"/>
      <c r="Q2421" s="7" t="n"/>
      <c r="R2421" s="7" t="n"/>
      <c r="S2421" s="8">
        <f>IF(NOT(ISNUMBER(M2421)),"",IF(G2421="Terreno",IF(AND(ISNUMBER(I2421),I2421&gt;0),M2421/I2421,""),IF(AND(ISNUMBER(H2421),H2421&gt;0),M2421/H2421,"")))</f>
        <v/>
      </c>
      <c r="T2421" s="9">
        <f>IF(AND(ISNUMBER(M2421),ISNUMBER(O2421)),IF(M2421&lt;=O2421,"Valor ≤ venal IPTU",""),"")</f>
        <v/>
      </c>
      <c r="U2421" s="10">
        <f>IF(AND(ISNUMBER(M2421),ISNUMBER(N2421)),IF(N2421&gt;0,M2421/N2421,""),"")</f>
        <v/>
      </c>
      <c r="V2421" s="10">
        <f>IF(AND(ISNUMBER(M2421),ISNUMBER(O2421)),IF(O2421&gt;0,M2421/O2421,""),"")</f>
        <v/>
      </c>
      <c r="W2421" s="10">
        <f>IF(AND(ISNUMBER(M2421),ISNUMBER(R2421)),IF(R2421&gt;0,M2421/R2421,""),"")</f>
        <v/>
      </c>
      <c r="X2421" s="10">
        <f>IF(AND(ISNUMBER(Q2421),ISNUMBER(M2421)),IF(M2421&gt;0,Q2421/M2421,""),"")</f>
        <v/>
      </c>
      <c r="Y2421" s="11">
        <f>IF(ISNUMBER(Z2421),YEAR(Z2421),"")</f>
        <v/>
      </c>
      <c r="Z2421" s="12" t="n"/>
      <c r="AA2421" s="12" t="n"/>
      <c r="AI2421" s="12" t="n"/>
      <c r="AJ2421" s="13">
        <f>IF(LEN(TRIM(AF2421))=0,"",HYPERLINK("https://www.google.com/maps/@?api=1&amp;map_action=pano&amp;viewpoint="&amp;SUBSTITUTE(AF2421," ",""),"Abrir Street View"))</f>
        <v/>
      </c>
    </row>
    <row r="2422">
      <c r="H2422" s="6" t="n"/>
      <c r="I2422" s="6" t="n"/>
      <c r="M2422" s="7" t="n"/>
      <c r="N2422" s="7" t="n"/>
      <c r="O2422" s="7" t="n"/>
      <c r="Q2422" s="7" t="n"/>
      <c r="R2422" s="7" t="n"/>
      <c r="S2422" s="8">
        <f>IF(NOT(ISNUMBER(M2422)),"",IF(G2422="Terreno",IF(AND(ISNUMBER(I2422),I2422&gt;0),M2422/I2422,""),IF(AND(ISNUMBER(H2422),H2422&gt;0),M2422/H2422,"")))</f>
        <v/>
      </c>
      <c r="T2422" s="9">
        <f>IF(AND(ISNUMBER(M2422),ISNUMBER(O2422)),IF(M2422&lt;=O2422,"Valor ≤ venal IPTU",""),"")</f>
        <v/>
      </c>
      <c r="U2422" s="10">
        <f>IF(AND(ISNUMBER(M2422),ISNUMBER(N2422)),IF(N2422&gt;0,M2422/N2422,""),"")</f>
        <v/>
      </c>
      <c r="V2422" s="10">
        <f>IF(AND(ISNUMBER(M2422),ISNUMBER(O2422)),IF(O2422&gt;0,M2422/O2422,""),"")</f>
        <v/>
      </c>
      <c r="W2422" s="10">
        <f>IF(AND(ISNUMBER(M2422),ISNUMBER(R2422)),IF(R2422&gt;0,M2422/R2422,""),"")</f>
        <v/>
      </c>
      <c r="X2422" s="10">
        <f>IF(AND(ISNUMBER(Q2422),ISNUMBER(M2422)),IF(M2422&gt;0,Q2422/M2422,""),"")</f>
        <v/>
      </c>
      <c r="Y2422" s="11">
        <f>IF(ISNUMBER(Z2422),YEAR(Z2422),"")</f>
        <v/>
      </c>
      <c r="Z2422" s="12" t="n"/>
      <c r="AA2422" s="12" t="n"/>
      <c r="AI2422" s="12" t="n"/>
      <c r="AJ2422" s="13">
        <f>IF(LEN(TRIM(AF2422))=0,"",HYPERLINK("https://www.google.com/maps/@?api=1&amp;map_action=pano&amp;viewpoint="&amp;SUBSTITUTE(AF2422," ",""),"Abrir Street View"))</f>
        <v/>
      </c>
    </row>
    <row r="2423">
      <c r="H2423" s="6" t="n"/>
      <c r="I2423" s="6" t="n"/>
      <c r="M2423" s="7" t="n"/>
      <c r="N2423" s="7" t="n"/>
      <c r="O2423" s="7" t="n"/>
      <c r="Q2423" s="7" t="n"/>
      <c r="R2423" s="7" t="n"/>
      <c r="S2423" s="8">
        <f>IF(NOT(ISNUMBER(M2423)),"",IF(G2423="Terreno",IF(AND(ISNUMBER(I2423),I2423&gt;0),M2423/I2423,""),IF(AND(ISNUMBER(H2423),H2423&gt;0),M2423/H2423,"")))</f>
        <v/>
      </c>
      <c r="T2423" s="9">
        <f>IF(AND(ISNUMBER(M2423),ISNUMBER(O2423)),IF(M2423&lt;=O2423,"Valor ≤ venal IPTU",""),"")</f>
        <v/>
      </c>
      <c r="U2423" s="10">
        <f>IF(AND(ISNUMBER(M2423),ISNUMBER(N2423)),IF(N2423&gt;0,M2423/N2423,""),"")</f>
        <v/>
      </c>
      <c r="V2423" s="10">
        <f>IF(AND(ISNUMBER(M2423),ISNUMBER(O2423)),IF(O2423&gt;0,M2423/O2423,""),"")</f>
        <v/>
      </c>
      <c r="W2423" s="10">
        <f>IF(AND(ISNUMBER(M2423),ISNUMBER(R2423)),IF(R2423&gt;0,M2423/R2423,""),"")</f>
        <v/>
      </c>
      <c r="X2423" s="10">
        <f>IF(AND(ISNUMBER(Q2423),ISNUMBER(M2423)),IF(M2423&gt;0,Q2423/M2423,""),"")</f>
        <v/>
      </c>
      <c r="Y2423" s="11">
        <f>IF(ISNUMBER(Z2423),YEAR(Z2423),"")</f>
        <v/>
      </c>
      <c r="Z2423" s="12" t="n"/>
      <c r="AA2423" s="12" t="n"/>
      <c r="AI2423" s="12" t="n"/>
      <c r="AJ2423" s="13">
        <f>IF(LEN(TRIM(AF2423))=0,"",HYPERLINK("https://www.google.com/maps/@?api=1&amp;map_action=pano&amp;viewpoint="&amp;SUBSTITUTE(AF2423," ",""),"Abrir Street View"))</f>
        <v/>
      </c>
    </row>
    <row r="2424">
      <c r="H2424" s="6" t="n"/>
      <c r="I2424" s="6" t="n"/>
      <c r="M2424" s="7" t="n"/>
      <c r="N2424" s="7" t="n"/>
      <c r="O2424" s="7" t="n"/>
      <c r="Q2424" s="7" t="n"/>
      <c r="R2424" s="7" t="n"/>
      <c r="S2424" s="8">
        <f>IF(NOT(ISNUMBER(M2424)),"",IF(G2424="Terreno",IF(AND(ISNUMBER(I2424),I2424&gt;0),M2424/I2424,""),IF(AND(ISNUMBER(H2424),H2424&gt;0),M2424/H2424,"")))</f>
        <v/>
      </c>
      <c r="T2424" s="9">
        <f>IF(AND(ISNUMBER(M2424),ISNUMBER(O2424)),IF(M2424&lt;=O2424,"Valor ≤ venal IPTU",""),"")</f>
        <v/>
      </c>
      <c r="U2424" s="10">
        <f>IF(AND(ISNUMBER(M2424),ISNUMBER(N2424)),IF(N2424&gt;0,M2424/N2424,""),"")</f>
        <v/>
      </c>
      <c r="V2424" s="10">
        <f>IF(AND(ISNUMBER(M2424),ISNUMBER(O2424)),IF(O2424&gt;0,M2424/O2424,""),"")</f>
        <v/>
      </c>
      <c r="W2424" s="10">
        <f>IF(AND(ISNUMBER(M2424),ISNUMBER(R2424)),IF(R2424&gt;0,M2424/R2424,""),"")</f>
        <v/>
      </c>
      <c r="X2424" s="10">
        <f>IF(AND(ISNUMBER(Q2424),ISNUMBER(M2424)),IF(M2424&gt;0,Q2424/M2424,""),"")</f>
        <v/>
      </c>
      <c r="Y2424" s="11">
        <f>IF(ISNUMBER(Z2424),YEAR(Z2424),"")</f>
        <v/>
      </c>
      <c r="Z2424" s="12" t="n"/>
      <c r="AA2424" s="12" t="n"/>
      <c r="AI2424" s="12" t="n"/>
      <c r="AJ2424" s="13">
        <f>IF(LEN(TRIM(AF2424))=0,"",HYPERLINK("https://www.google.com/maps/@?api=1&amp;map_action=pano&amp;viewpoint="&amp;SUBSTITUTE(AF2424," ",""),"Abrir Street View"))</f>
        <v/>
      </c>
    </row>
    <row r="2425">
      <c r="H2425" s="6" t="n"/>
      <c r="I2425" s="6" t="n"/>
      <c r="M2425" s="7" t="n"/>
      <c r="N2425" s="7" t="n"/>
      <c r="O2425" s="7" t="n"/>
      <c r="Q2425" s="7" t="n"/>
      <c r="R2425" s="7" t="n"/>
      <c r="S2425" s="8">
        <f>IF(NOT(ISNUMBER(M2425)),"",IF(G2425="Terreno",IF(AND(ISNUMBER(I2425),I2425&gt;0),M2425/I2425,""),IF(AND(ISNUMBER(H2425),H2425&gt;0),M2425/H2425,"")))</f>
        <v/>
      </c>
      <c r="T2425" s="9">
        <f>IF(AND(ISNUMBER(M2425),ISNUMBER(O2425)),IF(M2425&lt;=O2425,"Valor ≤ venal IPTU",""),"")</f>
        <v/>
      </c>
      <c r="U2425" s="10">
        <f>IF(AND(ISNUMBER(M2425),ISNUMBER(N2425)),IF(N2425&gt;0,M2425/N2425,""),"")</f>
        <v/>
      </c>
      <c r="V2425" s="10">
        <f>IF(AND(ISNUMBER(M2425),ISNUMBER(O2425)),IF(O2425&gt;0,M2425/O2425,""),"")</f>
        <v/>
      </c>
      <c r="W2425" s="10">
        <f>IF(AND(ISNUMBER(M2425),ISNUMBER(R2425)),IF(R2425&gt;0,M2425/R2425,""),"")</f>
        <v/>
      </c>
      <c r="X2425" s="10">
        <f>IF(AND(ISNUMBER(Q2425),ISNUMBER(M2425)),IF(M2425&gt;0,Q2425/M2425,""),"")</f>
        <v/>
      </c>
      <c r="Y2425" s="11">
        <f>IF(ISNUMBER(Z2425),YEAR(Z2425),"")</f>
        <v/>
      </c>
      <c r="Z2425" s="12" t="n"/>
      <c r="AA2425" s="12" t="n"/>
      <c r="AI2425" s="12" t="n"/>
      <c r="AJ2425" s="13">
        <f>IF(LEN(TRIM(AF2425))=0,"",HYPERLINK("https://www.google.com/maps/@?api=1&amp;map_action=pano&amp;viewpoint="&amp;SUBSTITUTE(AF2425," ",""),"Abrir Street View"))</f>
        <v/>
      </c>
    </row>
    <row r="2426">
      <c r="H2426" s="6" t="n"/>
      <c r="I2426" s="6" t="n"/>
      <c r="M2426" s="7" t="n"/>
      <c r="N2426" s="7" t="n"/>
      <c r="O2426" s="7" t="n"/>
      <c r="Q2426" s="7" t="n"/>
      <c r="R2426" s="7" t="n"/>
      <c r="S2426" s="8">
        <f>IF(NOT(ISNUMBER(M2426)),"",IF(G2426="Terreno",IF(AND(ISNUMBER(I2426),I2426&gt;0),M2426/I2426,""),IF(AND(ISNUMBER(H2426),H2426&gt;0),M2426/H2426,"")))</f>
        <v/>
      </c>
      <c r="T2426" s="9">
        <f>IF(AND(ISNUMBER(M2426),ISNUMBER(O2426)),IF(M2426&lt;=O2426,"Valor ≤ venal IPTU",""),"")</f>
        <v/>
      </c>
      <c r="U2426" s="10">
        <f>IF(AND(ISNUMBER(M2426),ISNUMBER(N2426)),IF(N2426&gt;0,M2426/N2426,""),"")</f>
        <v/>
      </c>
      <c r="V2426" s="10">
        <f>IF(AND(ISNUMBER(M2426),ISNUMBER(O2426)),IF(O2426&gt;0,M2426/O2426,""),"")</f>
        <v/>
      </c>
      <c r="W2426" s="10">
        <f>IF(AND(ISNUMBER(M2426),ISNUMBER(R2426)),IF(R2426&gt;0,M2426/R2426,""),"")</f>
        <v/>
      </c>
      <c r="X2426" s="10">
        <f>IF(AND(ISNUMBER(Q2426),ISNUMBER(M2426)),IF(M2426&gt;0,Q2426/M2426,""),"")</f>
        <v/>
      </c>
      <c r="Y2426" s="11">
        <f>IF(ISNUMBER(Z2426),YEAR(Z2426),"")</f>
        <v/>
      </c>
      <c r="Z2426" s="12" t="n"/>
      <c r="AA2426" s="12" t="n"/>
      <c r="AI2426" s="12" t="n"/>
      <c r="AJ2426" s="13">
        <f>IF(LEN(TRIM(AF2426))=0,"",HYPERLINK("https://www.google.com/maps/@?api=1&amp;map_action=pano&amp;viewpoint="&amp;SUBSTITUTE(AF2426," ",""),"Abrir Street View"))</f>
        <v/>
      </c>
    </row>
    <row r="2427">
      <c r="H2427" s="6" t="n"/>
      <c r="I2427" s="6" t="n"/>
      <c r="M2427" s="7" t="n"/>
      <c r="N2427" s="7" t="n"/>
      <c r="O2427" s="7" t="n"/>
      <c r="Q2427" s="7" t="n"/>
      <c r="R2427" s="7" t="n"/>
      <c r="S2427" s="8">
        <f>IF(NOT(ISNUMBER(M2427)),"",IF(G2427="Terreno",IF(AND(ISNUMBER(I2427),I2427&gt;0),M2427/I2427,""),IF(AND(ISNUMBER(H2427),H2427&gt;0),M2427/H2427,"")))</f>
        <v/>
      </c>
      <c r="T2427" s="9">
        <f>IF(AND(ISNUMBER(M2427),ISNUMBER(O2427)),IF(M2427&lt;=O2427,"Valor ≤ venal IPTU",""),"")</f>
        <v/>
      </c>
      <c r="U2427" s="10">
        <f>IF(AND(ISNUMBER(M2427),ISNUMBER(N2427)),IF(N2427&gt;0,M2427/N2427,""),"")</f>
        <v/>
      </c>
      <c r="V2427" s="10">
        <f>IF(AND(ISNUMBER(M2427),ISNUMBER(O2427)),IF(O2427&gt;0,M2427/O2427,""),"")</f>
        <v/>
      </c>
      <c r="W2427" s="10">
        <f>IF(AND(ISNUMBER(M2427),ISNUMBER(R2427)),IF(R2427&gt;0,M2427/R2427,""),"")</f>
        <v/>
      </c>
      <c r="X2427" s="10">
        <f>IF(AND(ISNUMBER(Q2427),ISNUMBER(M2427)),IF(M2427&gt;0,Q2427/M2427,""),"")</f>
        <v/>
      </c>
      <c r="Y2427" s="11">
        <f>IF(ISNUMBER(Z2427),YEAR(Z2427),"")</f>
        <v/>
      </c>
      <c r="Z2427" s="12" t="n"/>
      <c r="AA2427" s="12" t="n"/>
      <c r="AI2427" s="12" t="n"/>
      <c r="AJ2427" s="13">
        <f>IF(LEN(TRIM(AF2427))=0,"",HYPERLINK("https://www.google.com/maps/@?api=1&amp;map_action=pano&amp;viewpoint="&amp;SUBSTITUTE(AF2427," ",""),"Abrir Street View"))</f>
        <v/>
      </c>
    </row>
    <row r="2428">
      <c r="H2428" s="6" t="n"/>
      <c r="I2428" s="6" t="n"/>
      <c r="M2428" s="7" t="n"/>
      <c r="N2428" s="7" t="n"/>
      <c r="O2428" s="7" t="n"/>
      <c r="Q2428" s="7" t="n"/>
      <c r="R2428" s="7" t="n"/>
      <c r="S2428" s="8">
        <f>IF(NOT(ISNUMBER(M2428)),"",IF(G2428="Terreno",IF(AND(ISNUMBER(I2428),I2428&gt;0),M2428/I2428,""),IF(AND(ISNUMBER(H2428),H2428&gt;0),M2428/H2428,"")))</f>
        <v/>
      </c>
      <c r="T2428" s="9">
        <f>IF(AND(ISNUMBER(M2428),ISNUMBER(O2428)),IF(M2428&lt;=O2428,"Valor ≤ venal IPTU",""),"")</f>
        <v/>
      </c>
      <c r="U2428" s="10">
        <f>IF(AND(ISNUMBER(M2428),ISNUMBER(N2428)),IF(N2428&gt;0,M2428/N2428,""),"")</f>
        <v/>
      </c>
      <c r="V2428" s="10">
        <f>IF(AND(ISNUMBER(M2428),ISNUMBER(O2428)),IF(O2428&gt;0,M2428/O2428,""),"")</f>
        <v/>
      </c>
      <c r="W2428" s="10">
        <f>IF(AND(ISNUMBER(M2428),ISNUMBER(R2428)),IF(R2428&gt;0,M2428/R2428,""),"")</f>
        <v/>
      </c>
      <c r="X2428" s="10">
        <f>IF(AND(ISNUMBER(Q2428),ISNUMBER(M2428)),IF(M2428&gt;0,Q2428/M2428,""),"")</f>
        <v/>
      </c>
      <c r="Y2428" s="11">
        <f>IF(ISNUMBER(Z2428),YEAR(Z2428),"")</f>
        <v/>
      </c>
      <c r="Z2428" s="12" t="n"/>
      <c r="AA2428" s="12" t="n"/>
      <c r="AI2428" s="12" t="n"/>
      <c r="AJ2428" s="13">
        <f>IF(LEN(TRIM(AF2428))=0,"",HYPERLINK("https://www.google.com/maps/@?api=1&amp;map_action=pano&amp;viewpoint="&amp;SUBSTITUTE(AF2428," ",""),"Abrir Street View"))</f>
        <v/>
      </c>
    </row>
    <row r="2429">
      <c r="H2429" s="6" t="n"/>
      <c r="I2429" s="6" t="n"/>
      <c r="M2429" s="7" t="n"/>
      <c r="N2429" s="7" t="n"/>
      <c r="O2429" s="7" t="n"/>
      <c r="Q2429" s="7" t="n"/>
      <c r="R2429" s="7" t="n"/>
      <c r="S2429" s="8">
        <f>IF(NOT(ISNUMBER(M2429)),"",IF(G2429="Terreno",IF(AND(ISNUMBER(I2429),I2429&gt;0),M2429/I2429,""),IF(AND(ISNUMBER(H2429),H2429&gt;0),M2429/H2429,"")))</f>
        <v/>
      </c>
      <c r="T2429" s="9">
        <f>IF(AND(ISNUMBER(M2429),ISNUMBER(O2429)),IF(M2429&lt;=O2429,"Valor ≤ venal IPTU",""),"")</f>
        <v/>
      </c>
      <c r="U2429" s="10">
        <f>IF(AND(ISNUMBER(M2429),ISNUMBER(N2429)),IF(N2429&gt;0,M2429/N2429,""),"")</f>
        <v/>
      </c>
      <c r="V2429" s="10">
        <f>IF(AND(ISNUMBER(M2429),ISNUMBER(O2429)),IF(O2429&gt;0,M2429/O2429,""),"")</f>
        <v/>
      </c>
      <c r="W2429" s="10">
        <f>IF(AND(ISNUMBER(M2429),ISNUMBER(R2429)),IF(R2429&gt;0,M2429/R2429,""),"")</f>
        <v/>
      </c>
      <c r="X2429" s="10">
        <f>IF(AND(ISNUMBER(Q2429),ISNUMBER(M2429)),IF(M2429&gt;0,Q2429/M2429,""),"")</f>
        <v/>
      </c>
      <c r="Y2429" s="11">
        <f>IF(ISNUMBER(Z2429),YEAR(Z2429),"")</f>
        <v/>
      </c>
      <c r="Z2429" s="12" t="n"/>
      <c r="AA2429" s="12" t="n"/>
      <c r="AI2429" s="12" t="n"/>
      <c r="AJ2429" s="13">
        <f>IF(LEN(TRIM(AF2429))=0,"",HYPERLINK("https://www.google.com/maps/@?api=1&amp;map_action=pano&amp;viewpoint="&amp;SUBSTITUTE(AF2429," ",""),"Abrir Street View"))</f>
        <v/>
      </c>
    </row>
    <row r="2430">
      <c r="H2430" s="6" t="n"/>
      <c r="I2430" s="6" t="n"/>
      <c r="M2430" s="7" t="n"/>
      <c r="N2430" s="7" t="n"/>
      <c r="O2430" s="7" t="n"/>
      <c r="Q2430" s="7" t="n"/>
      <c r="R2430" s="7" t="n"/>
      <c r="S2430" s="8">
        <f>IF(NOT(ISNUMBER(M2430)),"",IF(G2430="Terreno",IF(AND(ISNUMBER(I2430),I2430&gt;0),M2430/I2430,""),IF(AND(ISNUMBER(H2430),H2430&gt;0),M2430/H2430,"")))</f>
        <v/>
      </c>
      <c r="T2430" s="9">
        <f>IF(AND(ISNUMBER(M2430),ISNUMBER(O2430)),IF(M2430&lt;=O2430,"Valor ≤ venal IPTU",""),"")</f>
        <v/>
      </c>
      <c r="U2430" s="10">
        <f>IF(AND(ISNUMBER(M2430),ISNUMBER(N2430)),IF(N2430&gt;0,M2430/N2430,""),"")</f>
        <v/>
      </c>
      <c r="V2430" s="10">
        <f>IF(AND(ISNUMBER(M2430),ISNUMBER(O2430)),IF(O2430&gt;0,M2430/O2430,""),"")</f>
        <v/>
      </c>
      <c r="W2430" s="10">
        <f>IF(AND(ISNUMBER(M2430),ISNUMBER(R2430)),IF(R2430&gt;0,M2430/R2430,""),"")</f>
        <v/>
      </c>
      <c r="X2430" s="10">
        <f>IF(AND(ISNUMBER(Q2430),ISNUMBER(M2430)),IF(M2430&gt;0,Q2430/M2430,""),"")</f>
        <v/>
      </c>
      <c r="Y2430" s="11">
        <f>IF(ISNUMBER(Z2430),YEAR(Z2430),"")</f>
        <v/>
      </c>
      <c r="Z2430" s="12" t="n"/>
      <c r="AA2430" s="12" t="n"/>
      <c r="AI2430" s="12" t="n"/>
      <c r="AJ2430" s="13">
        <f>IF(LEN(TRIM(AF2430))=0,"",HYPERLINK("https://www.google.com/maps/@?api=1&amp;map_action=pano&amp;viewpoint="&amp;SUBSTITUTE(AF2430," ",""),"Abrir Street View"))</f>
        <v/>
      </c>
    </row>
    <row r="2431">
      <c r="H2431" s="6" t="n"/>
      <c r="I2431" s="6" t="n"/>
      <c r="M2431" s="7" t="n"/>
      <c r="N2431" s="7" t="n"/>
      <c r="O2431" s="7" t="n"/>
      <c r="Q2431" s="7" t="n"/>
      <c r="R2431" s="7" t="n"/>
      <c r="S2431" s="8">
        <f>IF(NOT(ISNUMBER(M2431)),"",IF(G2431="Terreno",IF(AND(ISNUMBER(I2431),I2431&gt;0),M2431/I2431,""),IF(AND(ISNUMBER(H2431),H2431&gt;0),M2431/H2431,"")))</f>
        <v/>
      </c>
      <c r="T2431" s="9">
        <f>IF(AND(ISNUMBER(M2431),ISNUMBER(O2431)),IF(M2431&lt;=O2431,"Valor ≤ venal IPTU",""),"")</f>
        <v/>
      </c>
      <c r="U2431" s="10">
        <f>IF(AND(ISNUMBER(M2431),ISNUMBER(N2431)),IF(N2431&gt;0,M2431/N2431,""),"")</f>
        <v/>
      </c>
      <c r="V2431" s="10">
        <f>IF(AND(ISNUMBER(M2431),ISNUMBER(O2431)),IF(O2431&gt;0,M2431/O2431,""),"")</f>
        <v/>
      </c>
      <c r="W2431" s="10">
        <f>IF(AND(ISNUMBER(M2431),ISNUMBER(R2431)),IF(R2431&gt;0,M2431/R2431,""),"")</f>
        <v/>
      </c>
      <c r="X2431" s="10">
        <f>IF(AND(ISNUMBER(Q2431),ISNUMBER(M2431)),IF(M2431&gt;0,Q2431/M2431,""),"")</f>
        <v/>
      </c>
      <c r="Y2431" s="11">
        <f>IF(ISNUMBER(Z2431),YEAR(Z2431),"")</f>
        <v/>
      </c>
      <c r="Z2431" s="12" t="n"/>
      <c r="AA2431" s="12" t="n"/>
      <c r="AI2431" s="12" t="n"/>
      <c r="AJ2431" s="13">
        <f>IF(LEN(TRIM(AF2431))=0,"",HYPERLINK("https://www.google.com/maps/@?api=1&amp;map_action=pano&amp;viewpoint="&amp;SUBSTITUTE(AF2431," ",""),"Abrir Street View"))</f>
        <v/>
      </c>
    </row>
    <row r="2432">
      <c r="H2432" s="6" t="n"/>
      <c r="I2432" s="6" t="n"/>
      <c r="M2432" s="7" t="n"/>
      <c r="N2432" s="7" t="n"/>
      <c r="O2432" s="7" t="n"/>
      <c r="Q2432" s="7" t="n"/>
      <c r="R2432" s="7" t="n"/>
      <c r="S2432" s="8">
        <f>IF(NOT(ISNUMBER(M2432)),"",IF(G2432="Terreno",IF(AND(ISNUMBER(I2432),I2432&gt;0),M2432/I2432,""),IF(AND(ISNUMBER(H2432),H2432&gt;0),M2432/H2432,"")))</f>
        <v/>
      </c>
      <c r="T2432" s="9">
        <f>IF(AND(ISNUMBER(M2432),ISNUMBER(O2432)),IF(M2432&lt;=O2432,"Valor ≤ venal IPTU",""),"")</f>
        <v/>
      </c>
      <c r="U2432" s="10">
        <f>IF(AND(ISNUMBER(M2432),ISNUMBER(N2432)),IF(N2432&gt;0,M2432/N2432,""),"")</f>
        <v/>
      </c>
      <c r="V2432" s="10">
        <f>IF(AND(ISNUMBER(M2432),ISNUMBER(O2432)),IF(O2432&gt;0,M2432/O2432,""),"")</f>
        <v/>
      </c>
      <c r="W2432" s="10">
        <f>IF(AND(ISNUMBER(M2432),ISNUMBER(R2432)),IF(R2432&gt;0,M2432/R2432,""),"")</f>
        <v/>
      </c>
      <c r="X2432" s="10">
        <f>IF(AND(ISNUMBER(Q2432),ISNUMBER(M2432)),IF(M2432&gt;0,Q2432/M2432,""),"")</f>
        <v/>
      </c>
      <c r="Y2432" s="11">
        <f>IF(ISNUMBER(Z2432),YEAR(Z2432),"")</f>
        <v/>
      </c>
      <c r="Z2432" s="12" t="n"/>
      <c r="AA2432" s="12" t="n"/>
      <c r="AI2432" s="12" t="n"/>
      <c r="AJ2432" s="13">
        <f>IF(LEN(TRIM(AF2432))=0,"",HYPERLINK("https://www.google.com/maps/@?api=1&amp;map_action=pano&amp;viewpoint="&amp;SUBSTITUTE(AF2432," ",""),"Abrir Street View"))</f>
        <v/>
      </c>
    </row>
    <row r="2433">
      <c r="H2433" s="6" t="n"/>
      <c r="I2433" s="6" t="n"/>
      <c r="M2433" s="7" t="n"/>
      <c r="N2433" s="7" t="n"/>
      <c r="O2433" s="7" t="n"/>
      <c r="Q2433" s="7" t="n"/>
      <c r="R2433" s="7" t="n"/>
      <c r="S2433" s="8">
        <f>IF(NOT(ISNUMBER(M2433)),"",IF(G2433="Terreno",IF(AND(ISNUMBER(I2433),I2433&gt;0),M2433/I2433,""),IF(AND(ISNUMBER(H2433),H2433&gt;0),M2433/H2433,"")))</f>
        <v/>
      </c>
      <c r="T2433" s="9">
        <f>IF(AND(ISNUMBER(M2433),ISNUMBER(O2433)),IF(M2433&lt;=O2433,"Valor ≤ venal IPTU",""),"")</f>
        <v/>
      </c>
      <c r="U2433" s="10">
        <f>IF(AND(ISNUMBER(M2433),ISNUMBER(N2433)),IF(N2433&gt;0,M2433/N2433,""),"")</f>
        <v/>
      </c>
      <c r="V2433" s="10">
        <f>IF(AND(ISNUMBER(M2433),ISNUMBER(O2433)),IF(O2433&gt;0,M2433/O2433,""),"")</f>
        <v/>
      </c>
      <c r="W2433" s="10">
        <f>IF(AND(ISNUMBER(M2433),ISNUMBER(R2433)),IF(R2433&gt;0,M2433/R2433,""),"")</f>
        <v/>
      </c>
      <c r="X2433" s="10">
        <f>IF(AND(ISNUMBER(Q2433),ISNUMBER(M2433)),IF(M2433&gt;0,Q2433/M2433,""),"")</f>
        <v/>
      </c>
      <c r="Y2433" s="11">
        <f>IF(ISNUMBER(Z2433),YEAR(Z2433),"")</f>
        <v/>
      </c>
      <c r="Z2433" s="12" t="n"/>
      <c r="AA2433" s="12" t="n"/>
      <c r="AI2433" s="12" t="n"/>
      <c r="AJ2433" s="13">
        <f>IF(LEN(TRIM(AF2433))=0,"",HYPERLINK("https://www.google.com/maps/@?api=1&amp;map_action=pano&amp;viewpoint="&amp;SUBSTITUTE(AF2433," ",""),"Abrir Street View"))</f>
        <v/>
      </c>
    </row>
    <row r="2434">
      <c r="H2434" s="6" t="n"/>
      <c r="I2434" s="6" t="n"/>
      <c r="M2434" s="7" t="n"/>
      <c r="N2434" s="7" t="n"/>
      <c r="O2434" s="7" t="n"/>
      <c r="Q2434" s="7" t="n"/>
      <c r="R2434" s="7" t="n"/>
      <c r="S2434" s="8">
        <f>IF(NOT(ISNUMBER(M2434)),"",IF(G2434="Terreno",IF(AND(ISNUMBER(I2434),I2434&gt;0),M2434/I2434,""),IF(AND(ISNUMBER(H2434),H2434&gt;0),M2434/H2434,"")))</f>
        <v/>
      </c>
      <c r="T2434" s="9">
        <f>IF(AND(ISNUMBER(M2434),ISNUMBER(O2434)),IF(M2434&lt;=O2434,"Valor ≤ venal IPTU",""),"")</f>
        <v/>
      </c>
      <c r="U2434" s="10">
        <f>IF(AND(ISNUMBER(M2434),ISNUMBER(N2434)),IF(N2434&gt;0,M2434/N2434,""),"")</f>
        <v/>
      </c>
      <c r="V2434" s="10">
        <f>IF(AND(ISNUMBER(M2434),ISNUMBER(O2434)),IF(O2434&gt;0,M2434/O2434,""),"")</f>
        <v/>
      </c>
      <c r="W2434" s="10">
        <f>IF(AND(ISNUMBER(M2434),ISNUMBER(R2434)),IF(R2434&gt;0,M2434/R2434,""),"")</f>
        <v/>
      </c>
      <c r="X2434" s="10">
        <f>IF(AND(ISNUMBER(Q2434),ISNUMBER(M2434)),IF(M2434&gt;0,Q2434/M2434,""),"")</f>
        <v/>
      </c>
      <c r="Y2434" s="11">
        <f>IF(ISNUMBER(Z2434),YEAR(Z2434),"")</f>
        <v/>
      </c>
      <c r="Z2434" s="12" t="n"/>
      <c r="AA2434" s="12" t="n"/>
      <c r="AI2434" s="12" t="n"/>
      <c r="AJ2434" s="13">
        <f>IF(LEN(TRIM(AF2434))=0,"",HYPERLINK("https://www.google.com/maps/@?api=1&amp;map_action=pano&amp;viewpoint="&amp;SUBSTITUTE(AF2434," ",""),"Abrir Street View"))</f>
        <v/>
      </c>
    </row>
    <row r="2435">
      <c r="H2435" s="6" t="n"/>
      <c r="I2435" s="6" t="n"/>
      <c r="M2435" s="7" t="n"/>
      <c r="N2435" s="7" t="n"/>
      <c r="O2435" s="7" t="n"/>
      <c r="Q2435" s="7" t="n"/>
      <c r="R2435" s="7" t="n"/>
      <c r="S2435" s="8">
        <f>IF(NOT(ISNUMBER(M2435)),"",IF(G2435="Terreno",IF(AND(ISNUMBER(I2435),I2435&gt;0),M2435/I2435,""),IF(AND(ISNUMBER(H2435),H2435&gt;0),M2435/H2435,"")))</f>
        <v/>
      </c>
      <c r="T2435" s="9">
        <f>IF(AND(ISNUMBER(M2435),ISNUMBER(O2435)),IF(M2435&lt;=O2435,"Valor ≤ venal IPTU",""),"")</f>
        <v/>
      </c>
      <c r="U2435" s="10">
        <f>IF(AND(ISNUMBER(M2435),ISNUMBER(N2435)),IF(N2435&gt;0,M2435/N2435,""),"")</f>
        <v/>
      </c>
      <c r="V2435" s="10">
        <f>IF(AND(ISNUMBER(M2435),ISNUMBER(O2435)),IF(O2435&gt;0,M2435/O2435,""),"")</f>
        <v/>
      </c>
      <c r="W2435" s="10">
        <f>IF(AND(ISNUMBER(M2435),ISNUMBER(R2435)),IF(R2435&gt;0,M2435/R2435,""),"")</f>
        <v/>
      </c>
      <c r="X2435" s="10">
        <f>IF(AND(ISNUMBER(Q2435),ISNUMBER(M2435)),IF(M2435&gt;0,Q2435/M2435,""),"")</f>
        <v/>
      </c>
      <c r="Y2435" s="11">
        <f>IF(ISNUMBER(Z2435),YEAR(Z2435),"")</f>
        <v/>
      </c>
      <c r="Z2435" s="12" t="n"/>
      <c r="AA2435" s="12" t="n"/>
      <c r="AI2435" s="12" t="n"/>
      <c r="AJ2435" s="13">
        <f>IF(LEN(TRIM(AF2435))=0,"",HYPERLINK("https://www.google.com/maps/@?api=1&amp;map_action=pano&amp;viewpoint="&amp;SUBSTITUTE(AF2435," ",""),"Abrir Street View"))</f>
        <v/>
      </c>
    </row>
    <row r="2436">
      <c r="H2436" s="6" t="n"/>
      <c r="I2436" s="6" t="n"/>
      <c r="M2436" s="7" t="n"/>
      <c r="N2436" s="7" t="n"/>
      <c r="O2436" s="7" t="n"/>
      <c r="Q2436" s="7" t="n"/>
      <c r="R2436" s="7" t="n"/>
      <c r="S2436" s="8">
        <f>IF(NOT(ISNUMBER(M2436)),"",IF(G2436="Terreno",IF(AND(ISNUMBER(I2436),I2436&gt;0),M2436/I2436,""),IF(AND(ISNUMBER(H2436),H2436&gt;0),M2436/H2436,"")))</f>
        <v/>
      </c>
      <c r="T2436" s="9">
        <f>IF(AND(ISNUMBER(M2436),ISNUMBER(O2436)),IF(M2436&lt;=O2436,"Valor ≤ venal IPTU",""),"")</f>
        <v/>
      </c>
      <c r="U2436" s="10">
        <f>IF(AND(ISNUMBER(M2436),ISNUMBER(N2436)),IF(N2436&gt;0,M2436/N2436,""),"")</f>
        <v/>
      </c>
      <c r="V2436" s="10">
        <f>IF(AND(ISNUMBER(M2436),ISNUMBER(O2436)),IF(O2436&gt;0,M2436/O2436,""),"")</f>
        <v/>
      </c>
      <c r="W2436" s="10">
        <f>IF(AND(ISNUMBER(M2436),ISNUMBER(R2436)),IF(R2436&gt;0,M2436/R2436,""),"")</f>
        <v/>
      </c>
      <c r="X2436" s="10">
        <f>IF(AND(ISNUMBER(Q2436),ISNUMBER(M2436)),IF(M2436&gt;0,Q2436/M2436,""),"")</f>
        <v/>
      </c>
      <c r="Y2436" s="11">
        <f>IF(ISNUMBER(Z2436),YEAR(Z2436),"")</f>
        <v/>
      </c>
      <c r="Z2436" s="12" t="n"/>
      <c r="AA2436" s="12" t="n"/>
      <c r="AI2436" s="12" t="n"/>
      <c r="AJ2436" s="13">
        <f>IF(LEN(TRIM(AF2436))=0,"",HYPERLINK("https://www.google.com/maps/@?api=1&amp;map_action=pano&amp;viewpoint="&amp;SUBSTITUTE(AF2436," ",""),"Abrir Street View"))</f>
        <v/>
      </c>
    </row>
    <row r="2437">
      <c r="H2437" s="6" t="n"/>
      <c r="I2437" s="6" t="n"/>
      <c r="M2437" s="7" t="n"/>
      <c r="N2437" s="7" t="n"/>
      <c r="O2437" s="7" t="n"/>
      <c r="Q2437" s="7" t="n"/>
      <c r="R2437" s="7" t="n"/>
      <c r="S2437" s="8">
        <f>IF(NOT(ISNUMBER(M2437)),"",IF(G2437="Terreno",IF(AND(ISNUMBER(I2437),I2437&gt;0),M2437/I2437,""),IF(AND(ISNUMBER(H2437),H2437&gt;0),M2437/H2437,"")))</f>
        <v/>
      </c>
      <c r="T2437" s="9">
        <f>IF(AND(ISNUMBER(M2437),ISNUMBER(O2437)),IF(M2437&lt;=O2437,"Valor ≤ venal IPTU",""),"")</f>
        <v/>
      </c>
      <c r="U2437" s="10">
        <f>IF(AND(ISNUMBER(M2437),ISNUMBER(N2437)),IF(N2437&gt;0,M2437/N2437,""),"")</f>
        <v/>
      </c>
      <c r="V2437" s="10">
        <f>IF(AND(ISNUMBER(M2437),ISNUMBER(O2437)),IF(O2437&gt;0,M2437/O2437,""),"")</f>
        <v/>
      </c>
      <c r="W2437" s="10">
        <f>IF(AND(ISNUMBER(M2437),ISNUMBER(R2437)),IF(R2437&gt;0,M2437/R2437,""),"")</f>
        <v/>
      </c>
      <c r="X2437" s="10">
        <f>IF(AND(ISNUMBER(Q2437),ISNUMBER(M2437)),IF(M2437&gt;0,Q2437/M2437,""),"")</f>
        <v/>
      </c>
      <c r="Y2437" s="11">
        <f>IF(ISNUMBER(Z2437),YEAR(Z2437),"")</f>
        <v/>
      </c>
      <c r="Z2437" s="12" t="n"/>
      <c r="AA2437" s="12" t="n"/>
      <c r="AI2437" s="12" t="n"/>
      <c r="AJ2437" s="13">
        <f>IF(LEN(TRIM(AF2437))=0,"",HYPERLINK("https://www.google.com/maps/@?api=1&amp;map_action=pano&amp;viewpoint="&amp;SUBSTITUTE(AF2437," ",""),"Abrir Street View"))</f>
        <v/>
      </c>
    </row>
    <row r="2438">
      <c r="H2438" s="6" t="n"/>
      <c r="I2438" s="6" t="n"/>
      <c r="M2438" s="7" t="n"/>
      <c r="N2438" s="7" t="n"/>
      <c r="O2438" s="7" t="n"/>
      <c r="Q2438" s="7" t="n"/>
      <c r="R2438" s="7" t="n"/>
      <c r="S2438" s="8">
        <f>IF(NOT(ISNUMBER(M2438)),"",IF(G2438="Terreno",IF(AND(ISNUMBER(I2438),I2438&gt;0),M2438/I2438,""),IF(AND(ISNUMBER(H2438),H2438&gt;0),M2438/H2438,"")))</f>
        <v/>
      </c>
      <c r="T2438" s="9">
        <f>IF(AND(ISNUMBER(M2438),ISNUMBER(O2438)),IF(M2438&lt;=O2438,"Valor ≤ venal IPTU",""),"")</f>
        <v/>
      </c>
      <c r="U2438" s="10">
        <f>IF(AND(ISNUMBER(M2438),ISNUMBER(N2438)),IF(N2438&gt;0,M2438/N2438,""),"")</f>
        <v/>
      </c>
      <c r="V2438" s="10">
        <f>IF(AND(ISNUMBER(M2438),ISNUMBER(O2438)),IF(O2438&gt;0,M2438/O2438,""),"")</f>
        <v/>
      </c>
      <c r="W2438" s="10">
        <f>IF(AND(ISNUMBER(M2438),ISNUMBER(R2438)),IF(R2438&gt;0,M2438/R2438,""),"")</f>
        <v/>
      </c>
      <c r="X2438" s="10">
        <f>IF(AND(ISNUMBER(Q2438),ISNUMBER(M2438)),IF(M2438&gt;0,Q2438/M2438,""),"")</f>
        <v/>
      </c>
      <c r="Y2438" s="11">
        <f>IF(ISNUMBER(Z2438),YEAR(Z2438),"")</f>
        <v/>
      </c>
      <c r="Z2438" s="12" t="n"/>
      <c r="AA2438" s="12" t="n"/>
      <c r="AI2438" s="12" t="n"/>
      <c r="AJ2438" s="13">
        <f>IF(LEN(TRIM(AF2438))=0,"",HYPERLINK("https://www.google.com/maps/@?api=1&amp;map_action=pano&amp;viewpoint="&amp;SUBSTITUTE(AF2438," ",""),"Abrir Street View"))</f>
        <v/>
      </c>
    </row>
    <row r="2439">
      <c r="H2439" s="6" t="n"/>
      <c r="I2439" s="6" t="n"/>
      <c r="M2439" s="7" t="n"/>
      <c r="N2439" s="7" t="n"/>
      <c r="O2439" s="7" t="n"/>
      <c r="Q2439" s="7" t="n"/>
      <c r="R2439" s="7" t="n"/>
      <c r="S2439" s="8">
        <f>IF(NOT(ISNUMBER(M2439)),"",IF(G2439="Terreno",IF(AND(ISNUMBER(I2439),I2439&gt;0),M2439/I2439,""),IF(AND(ISNUMBER(H2439),H2439&gt;0),M2439/H2439,"")))</f>
        <v/>
      </c>
      <c r="T2439" s="9">
        <f>IF(AND(ISNUMBER(M2439),ISNUMBER(O2439)),IF(M2439&lt;=O2439,"Valor ≤ venal IPTU",""),"")</f>
        <v/>
      </c>
      <c r="U2439" s="10">
        <f>IF(AND(ISNUMBER(M2439),ISNUMBER(N2439)),IF(N2439&gt;0,M2439/N2439,""),"")</f>
        <v/>
      </c>
      <c r="V2439" s="10">
        <f>IF(AND(ISNUMBER(M2439),ISNUMBER(O2439)),IF(O2439&gt;0,M2439/O2439,""),"")</f>
        <v/>
      </c>
      <c r="W2439" s="10">
        <f>IF(AND(ISNUMBER(M2439),ISNUMBER(R2439)),IF(R2439&gt;0,M2439/R2439,""),"")</f>
        <v/>
      </c>
      <c r="X2439" s="10">
        <f>IF(AND(ISNUMBER(Q2439),ISNUMBER(M2439)),IF(M2439&gt;0,Q2439/M2439,""),"")</f>
        <v/>
      </c>
      <c r="Y2439" s="11">
        <f>IF(ISNUMBER(Z2439),YEAR(Z2439),"")</f>
        <v/>
      </c>
      <c r="Z2439" s="12" t="n"/>
      <c r="AA2439" s="12" t="n"/>
      <c r="AI2439" s="12" t="n"/>
      <c r="AJ2439" s="13">
        <f>IF(LEN(TRIM(AF2439))=0,"",HYPERLINK("https://www.google.com/maps/@?api=1&amp;map_action=pano&amp;viewpoint="&amp;SUBSTITUTE(AF2439," ",""),"Abrir Street View"))</f>
        <v/>
      </c>
    </row>
    <row r="2440">
      <c r="H2440" s="6" t="n"/>
      <c r="I2440" s="6" t="n"/>
      <c r="M2440" s="7" t="n"/>
      <c r="N2440" s="7" t="n"/>
      <c r="O2440" s="7" t="n"/>
      <c r="Q2440" s="7" t="n"/>
      <c r="R2440" s="7" t="n"/>
      <c r="S2440" s="8">
        <f>IF(NOT(ISNUMBER(M2440)),"",IF(G2440="Terreno",IF(AND(ISNUMBER(I2440),I2440&gt;0),M2440/I2440,""),IF(AND(ISNUMBER(H2440),H2440&gt;0),M2440/H2440,"")))</f>
        <v/>
      </c>
      <c r="T2440" s="9">
        <f>IF(AND(ISNUMBER(M2440),ISNUMBER(O2440)),IF(M2440&lt;=O2440,"Valor ≤ venal IPTU",""),"")</f>
        <v/>
      </c>
      <c r="U2440" s="10">
        <f>IF(AND(ISNUMBER(M2440),ISNUMBER(N2440)),IF(N2440&gt;0,M2440/N2440,""),"")</f>
        <v/>
      </c>
      <c r="V2440" s="10">
        <f>IF(AND(ISNUMBER(M2440),ISNUMBER(O2440)),IF(O2440&gt;0,M2440/O2440,""),"")</f>
        <v/>
      </c>
      <c r="W2440" s="10">
        <f>IF(AND(ISNUMBER(M2440),ISNUMBER(R2440)),IF(R2440&gt;0,M2440/R2440,""),"")</f>
        <v/>
      </c>
      <c r="X2440" s="10">
        <f>IF(AND(ISNUMBER(Q2440),ISNUMBER(M2440)),IF(M2440&gt;0,Q2440/M2440,""),"")</f>
        <v/>
      </c>
      <c r="Y2440" s="11">
        <f>IF(ISNUMBER(Z2440),YEAR(Z2440),"")</f>
        <v/>
      </c>
      <c r="Z2440" s="12" t="n"/>
      <c r="AA2440" s="12" t="n"/>
      <c r="AI2440" s="12" t="n"/>
      <c r="AJ2440" s="13">
        <f>IF(LEN(TRIM(AF2440))=0,"",HYPERLINK("https://www.google.com/maps/@?api=1&amp;map_action=pano&amp;viewpoint="&amp;SUBSTITUTE(AF2440," ",""),"Abrir Street View"))</f>
        <v/>
      </c>
    </row>
    <row r="2441">
      <c r="H2441" s="6" t="n"/>
      <c r="I2441" s="6" t="n"/>
      <c r="M2441" s="7" t="n"/>
      <c r="N2441" s="7" t="n"/>
      <c r="O2441" s="7" t="n"/>
      <c r="Q2441" s="7" t="n"/>
      <c r="R2441" s="7" t="n"/>
      <c r="S2441" s="8">
        <f>IF(NOT(ISNUMBER(M2441)),"",IF(G2441="Terreno",IF(AND(ISNUMBER(I2441),I2441&gt;0),M2441/I2441,""),IF(AND(ISNUMBER(H2441),H2441&gt;0),M2441/H2441,"")))</f>
        <v/>
      </c>
      <c r="T2441" s="9">
        <f>IF(AND(ISNUMBER(M2441),ISNUMBER(O2441)),IF(M2441&lt;=O2441,"Valor ≤ venal IPTU",""),"")</f>
        <v/>
      </c>
      <c r="U2441" s="10">
        <f>IF(AND(ISNUMBER(M2441),ISNUMBER(N2441)),IF(N2441&gt;0,M2441/N2441,""),"")</f>
        <v/>
      </c>
      <c r="V2441" s="10">
        <f>IF(AND(ISNUMBER(M2441),ISNUMBER(O2441)),IF(O2441&gt;0,M2441/O2441,""),"")</f>
        <v/>
      </c>
      <c r="W2441" s="10">
        <f>IF(AND(ISNUMBER(M2441),ISNUMBER(R2441)),IF(R2441&gt;0,M2441/R2441,""),"")</f>
        <v/>
      </c>
      <c r="X2441" s="10">
        <f>IF(AND(ISNUMBER(Q2441),ISNUMBER(M2441)),IF(M2441&gt;0,Q2441/M2441,""),"")</f>
        <v/>
      </c>
      <c r="Y2441" s="11">
        <f>IF(ISNUMBER(Z2441),YEAR(Z2441),"")</f>
        <v/>
      </c>
      <c r="Z2441" s="12" t="n"/>
      <c r="AA2441" s="12" t="n"/>
      <c r="AI2441" s="12" t="n"/>
      <c r="AJ2441" s="13">
        <f>IF(LEN(TRIM(AF2441))=0,"",HYPERLINK("https://www.google.com/maps/@?api=1&amp;map_action=pano&amp;viewpoint="&amp;SUBSTITUTE(AF2441," ",""),"Abrir Street View"))</f>
        <v/>
      </c>
    </row>
    <row r="2442">
      <c r="H2442" s="6" t="n"/>
      <c r="I2442" s="6" t="n"/>
      <c r="M2442" s="7" t="n"/>
      <c r="N2442" s="7" t="n"/>
      <c r="O2442" s="7" t="n"/>
      <c r="Q2442" s="7" t="n"/>
      <c r="R2442" s="7" t="n"/>
      <c r="S2442" s="8">
        <f>IF(NOT(ISNUMBER(M2442)),"",IF(G2442="Terreno",IF(AND(ISNUMBER(I2442),I2442&gt;0),M2442/I2442,""),IF(AND(ISNUMBER(H2442),H2442&gt;0),M2442/H2442,"")))</f>
        <v/>
      </c>
      <c r="T2442" s="9">
        <f>IF(AND(ISNUMBER(M2442),ISNUMBER(O2442)),IF(M2442&lt;=O2442,"Valor ≤ venal IPTU",""),"")</f>
        <v/>
      </c>
      <c r="U2442" s="10">
        <f>IF(AND(ISNUMBER(M2442),ISNUMBER(N2442)),IF(N2442&gt;0,M2442/N2442,""),"")</f>
        <v/>
      </c>
      <c r="V2442" s="10">
        <f>IF(AND(ISNUMBER(M2442),ISNUMBER(O2442)),IF(O2442&gt;0,M2442/O2442,""),"")</f>
        <v/>
      </c>
      <c r="W2442" s="10">
        <f>IF(AND(ISNUMBER(M2442),ISNUMBER(R2442)),IF(R2442&gt;0,M2442/R2442,""),"")</f>
        <v/>
      </c>
      <c r="X2442" s="10">
        <f>IF(AND(ISNUMBER(Q2442),ISNUMBER(M2442)),IF(M2442&gt;0,Q2442/M2442,""),"")</f>
        <v/>
      </c>
      <c r="Y2442" s="11">
        <f>IF(ISNUMBER(Z2442),YEAR(Z2442),"")</f>
        <v/>
      </c>
      <c r="Z2442" s="12" t="n"/>
      <c r="AA2442" s="12" t="n"/>
      <c r="AI2442" s="12" t="n"/>
      <c r="AJ2442" s="13">
        <f>IF(LEN(TRIM(AF2442))=0,"",HYPERLINK("https://www.google.com/maps/@?api=1&amp;map_action=pano&amp;viewpoint="&amp;SUBSTITUTE(AF2442," ",""),"Abrir Street View"))</f>
        <v/>
      </c>
    </row>
    <row r="2443">
      <c r="H2443" s="6" t="n"/>
      <c r="I2443" s="6" t="n"/>
      <c r="M2443" s="7" t="n"/>
      <c r="N2443" s="7" t="n"/>
      <c r="O2443" s="7" t="n"/>
      <c r="Q2443" s="7" t="n"/>
      <c r="R2443" s="7" t="n"/>
      <c r="S2443" s="8">
        <f>IF(NOT(ISNUMBER(M2443)),"",IF(G2443="Terreno",IF(AND(ISNUMBER(I2443),I2443&gt;0),M2443/I2443,""),IF(AND(ISNUMBER(H2443),H2443&gt;0),M2443/H2443,"")))</f>
        <v/>
      </c>
      <c r="T2443" s="9">
        <f>IF(AND(ISNUMBER(M2443),ISNUMBER(O2443)),IF(M2443&lt;=O2443,"Valor ≤ venal IPTU",""),"")</f>
        <v/>
      </c>
      <c r="U2443" s="10">
        <f>IF(AND(ISNUMBER(M2443),ISNUMBER(N2443)),IF(N2443&gt;0,M2443/N2443,""),"")</f>
        <v/>
      </c>
      <c r="V2443" s="10">
        <f>IF(AND(ISNUMBER(M2443),ISNUMBER(O2443)),IF(O2443&gt;0,M2443/O2443,""),"")</f>
        <v/>
      </c>
      <c r="W2443" s="10">
        <f>IF(AND(ISNUMBER(M2443),ISNUMBER(R2443)),IF(R2443&gt;0,M2443/R2443,""),"")</f>
        <v/>
      </c>
      <c r="X2443" s="10">
        <f>IF(AND(ISNUMBER(Q2443),ISNUMBER(M2443)),IF(M2443&gt;0,Q2443/M2443,""),"")</f>
        <v/>
      </c>
      <c r="Y2443" s="11">
        <f>IF(ISNUMBER(Z2443),YEAR(Z2443),"")</f>
        <v/>
      </c>
      <c r="Z2443" s="12" t="n"/>
      <c r="AA2443" s="12" t="n"/>
      <c r="AI2443" s="12" t="n"/>
      <c r="AJ2443" s="13">
        <f>IF(LEN(TRIM(AF2443))=0,"",HYPERLINK("https://www.google.com/maps/@?api=1&amp;map_action=pano&amp;viewpoint="&amp;SUBSTITUTE(AF2443," ",""),"Abrir Street View"))</f>
        <v/>
      </c>
    </row>
    <row r="2444">
      <c r="H2444" s="6" t="n"/>
      <c r="I2444" s="6" t="n"/>
      <c r="M2444" s="7" t="n"/>
      <c r="N2444" s="7" t="n"/>
      <c r="O2444" s="7" t="n"/>
      <c r="Q2444" s="7" t="n"/>
      <c r="R2444" s="7" t="n"/>
      <c r="S2444" s="8">
        <f>IF(NOT(ISNUMBER(M2444)),"",IF(G2444="Terreno",IF(AND(ISNUMBER(I2444),I2444&gt;0),M2444/I2444,""),IF(AND(ISNUMBER(H2444),H2444&gt;0),M2444/H2444,"")))</f>
        <v/>
      </c>
      <c r="T2444" s="9">
        <f>IF(AND(ISNUMBER(M2444),ISNUMBER(O2444)),IF(M2444&lt;=O2444,"Valor ≤ venal IPTU",""),"")</f>
        <v/>
      </c>
      <c r="U2444" s="10">
        <f>IF(AND(ISNUMBER(M2444),ISNUMBER(N2444)),IF(N2444&gt;0,M2444/N2444,""),"")</f>
        <v/>
      </c>
      <c r="V2444" s="10">
        <f>IF(AND(ISNUMBER(M2444),ISNUMBER(O2444)),IF(O2444&gt;0,M2444/O2444,""),"")</f>
        <v/>
      </c>
      <c r="W2444" s="10">
        <f>IF(AND(ISNUMBER(M2444),ISNUMBER(R2444)),IF(R2444&gt;0,M2444/R2444,""),"")</f>
        <v/>
      </c>
      <c r="X2444" s="10">
        <f>IF(AND(ISNUMBER(Q2444),ISNUMBER(M2444)),IF(M2444&gt;0,Q2444/M2444,""),"")</f>
        <v/>
      </c>
      <c r="Y2444" s="11">
        <f>IF(ISNUMBER(Z2444),YEAR(Z2444),"")</f>
        <v/>
      </c>
      <c r="Z2444" s="12" t="n"/>
      <c r="AA2444" s="12" t="n"/>
      <c r="AI2444" s="12" t="n"/>
      <c r="AJ2444" s="13">
        <f>IF(LEN(TRIM(AF2444))=0,"",HYPERLINK("https://www.google.com/maps/@?api=1&amp;map_action=pano&amp;viewpoint="&amp;SUBSTITUTE(AF2444," ",""),"Abrir Street View"))</f>
        <v/>
      </c>
    </row>
    <row r="2445">
      <c r="H2445" s="6" t="n"/>
      <c r="I2445" s="6" t="n"/>
      <c r="M2445" s="7" t="n"/>
      <c r="N2445" s="7" t="n"/>
      <c r="O2445" s="7" t="n"/>
      <c r="Q2445" s="7" t="n"/>
      <c r="R2445" s="7" t="n"/>
      <c r="S2445" s="8">
        <f>IF(NOT(ISNUMBER(M2445)),"",IF(G2445="Terreno",IF(AND(ISNUMBER(I2445),I2445&gt;0),M2445/I2445,""),IF(AND(ISNUMBER(H2445),H2445&gt;0),M2445/H2445,"")))</f>
        <v/>
      </c>
      <c r="T2445" s="9">
        <f>IF(AND(ISNUMBER(M2445),ISNUMBER(O2445)),IF(M2445&lt;=O2445,"Valor ≤ venal IPTU",""),"")</f>
        <v/>
      </c>
      <c r="U2445" s="10">
        <f>IF(AND(ISNUMBER(M2445),ISNUMBER(N2445)),IF(N2445&gt;0,M2445/N2445,""),"")</f>
        <v/>
      </c>
      <c r="V2445" s="10">
        <f>IF(AND(ISNUMBER(M2445),ISNUMBER(O2445)),IF(O2445&gt;0,M2445/O2445,""),"")</f>
        <v/>
      </c>
      <c r="W2445" s="10">
        <f>IF(AND(ISNUMBER(M2445),ISNUMBER(R2445)),IF(R2445&gt;0,M2445/R2445,""),"")</f>
        <v/>
      </c>
      <c r="X2445" s="10">
        <f>IF(AND(ISNUMBER(Q2445),ISNUMBER(M2445)),IF(M2445&gt;0,Q2445/M2445,""),"")</f>
        <v/>
      </c>
      <c r="Y2445" s="11">
        <f>IF(ISNUMBER(Z2445),YEAR(Z2445),"")</f>
        <v/>
      </c>
      <c r="Z2445" s="12" t="n"/>
      <c r="AA2445" s="12" t="n"/>
      <c r="AI2445" s="12" t="n"/>
      <c r="AJ2445" s="13">
        <f>IF(LEN(TRIM(AF2445))=0,"",HYPERLINK("https://www.google.com/maps/@?api=1&amp;map_action=pano&amp;viewpoint="&amp;SUBSTITUTE(AF2445," ",""),"Abrir Street View"))</f>
        <v/>
      </c>
    </row>
    <row r="2446">
      <c r="H2446" s="6" t="n"/>
      <c r="I2446" s="6" t="n"/>
      <c r="M2446" s="7" t="n"/>
      <c r="N2446" s="7" t="n"/>
      <c r="O2446" s="7" t="n"/>
      <c r="Q2446" s="7" t="n"/>
      <c r="R2446" s="7" t="n"/>
      <c r="S2446" s="8">
        <f>IF(NOT(ISNUMBER(M2446)),"",IF(G2446="Terreno",IF(AND(ISNUMBER(I2446),I2446&gt;0),M2446/I2446,""),IF(AND(ISNUMBER(H2446),H2446&gt;0),M2446/H2446,"")))</f>
        <v/>
      </c>
      <c r="T2446" s="9">
        <f>IF(AND(ISNUMBER(M2446),ISNUMBER(O2446)),IF(M2446&lt;=O2446,"Valor ≤ venal IPTU",""),"")</f>
        <v/>
      </c>
      <c r="U2446" s="10">
        <f>IF(AND(ISNUMBER(M2446),ISNUMBER(N2446)),IF(N2446&gt;0,M2446/N2446,""),"")</f>
        <v/>
      </c>
      <c r="V2446" s="10">
        <f>IF(AND(ISNUMBER(M2446),ISNUMBER(O2446)),IF(O2446&gt;0,M2446/O2446,""),"")</f>
        <v/>
      </c>
      <c r="W2446" s="10">
        <f>IF(AND(ISNUMBER(M2446),ISNUMBER(R2446)),IF(R2446&gt;0,M2446/R2446,""),"")</f>
        <v/>
      </c>
      <c r="X2446" s="10">
        <f>IF(AND(ISNUMBER(Q2446),ISNUMBER(M2446)),IF(M2446&gt;0,Q2446/M2446,""),"")</f>
        <v/>
      </c>
      <c r="Y2446" s="11">
        <f>IF(ISNUMBER(Z2446),YEAR(Z2446),"")</f>
        <v/>
      </c>
      <c r="Z2446" s="12" t="n"/>
      <c r="AA2446" s="12" t="n"/>
      <c r="AI2446" s="12" t="n"/>
      <c r="AJ2446" s="13">
        <f>IF(LEN(TRIM(AF2446))=0,"",HYPERLINK("https://www.google.com/maps/@?api=1&amp;map_action=pano&amp;viewpoint="&amp;SUBSTITUTE(AF2446," ",""),"Abrir Street View"))</f>
        <v/>
      </c>
    </row>
    <row r="2447">
      <c r="H2447" s="6" t="n"/>
      <c r="I2447" s="6" t="n"/>
      <c r="M2447" s="7" t="n"/>
      <c r="N2447" s="7" t="n"/>
      <c r="O2447" s="7" t="n"/>
      <c r="Q2447" s="7" t="n"/>
      <c r="R2447" s="7" t="n"/>
      <c r="S2447" s="8">
        <f>IF(NOT(ISNUMBER(M2447)),"",IF(G2447="Terreno",IF(AND(ISNUMBER(I2447),I2447&gt;0),M2447/I2447,""),IF(AND(ISNUMBER(H2447),H2447&gt;0),M2447/H2447,"")))</f>
        <v/>
      </c>
      <c r="T2447" s="9">
        <f>IF(AND(ISNUMBER(M2447),ISNUMBER(O2447)),IF(M2447&lt;=O2447,"Valor ≤ venal IPTU",""),"")</f>
        <v/>
      </c>
      <c r="U2447" s="10">
        <f>IF(AND(ISNUMBER(M2447),ISNUMBER(N2447)),IF(N2447&gt;0,M2447/N2447,""),"")</f>
        <v/>
      </c>
      <c r="V2447" s="10">
        <f>IF(AND(ISNUMBER(M2447),ISNUMBER(O2447)),IF(O2447&gt;0,M2447/O2447,""),"")</f>
        <v/>
      </c>
      <c r="W2447" s="10">
        <f>IF(AND(ISNUMBER(M2447),ISNUMBER(R2447)),IF(R2447&gt;0,M2447/R2447,""),"")</f>
        <v/>
      </c>
      <c r="X2447" s="10">
        <f>IF(AND(ISNUMBER(Q2447),ISNUMBER(M2447)),IF(M2447&gt;0,Q2447/M2447,""),"")</f>
        <v/>
      </c>
      <c r="Y2447" s="11">
        <f>IF(ISNUMBER(Z2447),YEAR(Z2447),"")</f>
        <v/>
      </c>
      <c r="Z2447" s="12" t="n"/>
      <c r="AA2447" s="12" t="n"/>
      <c r="AI2447" s="12" t="n"/>
      <c r="AJ2447" s="13">
        <f>IF(LEN(TRIM(AF2447))=0,"",HYPERLINK("https://www.google.com/maps/@?api=1&amp;map_action=pano&amp;viewpoint="&amp;SUBSTITUTE(AF2447," ",""),"Abrir Street View"))</f>
        <v/>
      </c>
    </row>
    <row r="2448">
      <c r="H2448" s="6" t="n"/>
      <c r="I2448" s="6" t="n"/>
      <c r="M2448" s="7" t="n"/>
      <c r="N2448" s="7" t="n"/>
      <c r="O2448" s="7" t="n"/>
      <c r="Q2448" s="7" t="n"/>
      <c r="R2448" s="7" t="n"/>
      <c r="S2448" s="8">
        <f>IF(NOT(ISNUMBER(M2448)),"",IF(G2448="Terreno",IF(AND(ISNUMBER(I2448),I2448&gt;0),M2448/I2448,""),IF(AND(ISNUMBER(H2448),H2448&gt;0),M2448/H2448,"")))</f>
        <v/>
      </c>
      <c r="T2448" s="9">
        <f>IF(AND(ISNUMBER(M2448),ISNUMBER(O2448)),IF(M2448&lt;=O2448,"Valor ≤ venal IPTU",""),"")</f>
        <v/>
      </c>
      <c r="U2448" s="10">
        <f>IF(AND(ISNUMBER(M2448),ISNUMBER(N2448)),IF(N2448&gt;0,M2448/N2448,""),"")</f>
        <v/>
      </c>
      <c r="V2448" s="10">
        <f>IF(AND(ISNUMBER(M2448),ISNUMBER(O2448)),IF(O2448&gt;0,M2448/O2448,""),"")</f>
        <v/>
      </c>
      <c r="W2448" s="10">
        <f>IF(AND(ISNUMBER(M2448),ISNUMBER(R2448)),IF(R2448&gt;0,M2448/R2448,""),"")</f>
        <v/>
      </c>
      <c r="X2448" s="10">
        <f>IF(AND(ISNUMBER(Q2448),ISNUMBER(M2448)),IF(M2448&gt;0,Q2448/M2448,""),"")</f>
        <v/>
      </c>
      <c r="Y2448" s="11">
        <f>IF(ISNUMBER(Z2448),YEAR(Z2448),"")</f>
        <v/>
      </c>
      <c r="Z2448" s="12" t="n"/>
      <c r="AA2448" s="12" t="n"/>
      <c r="AI2448" s="12" t="n"/>
      <c r="AJ2448" s="13">
        <f>IF(LEN(TRIM(AF2448))=0,"",HYPERLINK("https://www.google.com/maps/@?api=1&amp;map_action=pano&amp;viewpoint="&amp;SUBSTITUTE(AF2448," ",""),"Abrir Street View"))</f>
        <v/>
      </c>
    </row>
    <row r="2449">
      <c r="H2449" s="6" t="n"/>
      <c r="I2449" s="6" t="n"/>
      <c r="M2449" s="7" t="n"/>
      <c r="N2449" s="7" t="n"/>
      <c r="O2449" s="7" t="n"/>
      <c r="Q2449" s="7" t="n"/>
      <c r="R2449" s="7" t="n"/>
      <c r="S2449" s="8">
        <f>IF(NOT(ISNUMBER(M2449)),"",IF(G2449="Terreno",IF(AND(ISNUMBER(I2449),I2449&gt;0),M2449/I2449,""),IF(AND(ISNUMBER(H2449),H2449&gt;0),M2449/H2449,"")))</f>
        <v/>
      </c>
      <c r="T2449" s="9">
        <f>IF(AND(ISNUMBER(M2449),ISNUMBER(O2449)),IF(M2449&lt;=O2449,"Valor ≤ venal IPTU",""),"")</f>
        <v/>
      </c>
      <c r="U2449" s="10">
        <f>IF(AND(ISNUMBER(M2449),ISNUMBER(N2449)),IF(N2449&gt;0,M2449/N2449,""),"")</f>
        <v/>
      </c>
      <c r="V2449" s="10">
        <f>IF(AND(ISNUMBER(M2449),ISNUMBER(O2449)),IF(O2449&gt;0,M2449/O2449,""),"")</f>
        <v/>
      </c>
      <c r="W2449" s="10">
        <f>IF(AND(ISNUMBER(M2449),ISNUMBER(R2449)),IF(R2449&gt;0,M2449/R2449,""),"")</f>
        <v/>
      </c>
      <c r="X2449" s="10">
        <f>IF(AND(ISNUMBER(Q2449),ISNUMBER(M2449)),IF(M2449&gt;0,Q2449/M2449,""),"")</f>
        <v/>
      </c>
      <c r="Y2449" s="11">
        <f>IF(ISNUMBER(Z2449),YEAR(Z2449),"")</f>
        <v/>
      </c>
      <c r="Z2449" s="12" t="n"/>
      <c r="AA2449" s="12" t="n"/>
      <c r="AI2449" s="12" t="n"/>
      <c r="AJ2449" s="13">
        <f>IF(LEN(TRIM(AF2449))=0,"",HYPERLINK("https://www.google.com/maps/@?api=1&amp;map_action=pano&amp;viewpoint="&amp;SUBSTITUTE(AF2449," ",""),"Abrir Street View"))</f>
        <v/>
      </c>
    </row>
    <row r="2450">
      <c r="H2450" s="6" t="n"/>
      <c r="I2450" s="6" t="n"/>
      <c r="M2450" s="7" t="n"/>
      <c r="N2450" s="7" t="n"/>
      <c r="O2450" s="7" t="n"/>
      <c r="Q2450" s="7" t="n"/>
      <c r="R2450" s="7" t="n"/>
      <c r="S2450" s="8">
        <f>IF(NOT(ISNUMBER(M2450)),"",IF(G2450="Terreno",IF(AND(ISNUMBER(I2450),I2450&gt;0),M2450/I2450,""),IF(AND(ISNUMBER(H2450),H2450&gt;0),M2450/H2450,"")))</f>
        <v/>
      </c>
      <c r="T2450" s="9">
        <f>IF(AND(ISNUMBER(M2450),ISNUMBER(O2450)),IF(M2450&lt;=O2450,"Valor ≤ venal IPTU",""),"")</f>
        <v/>
      </c>
      <c r="U2450" s="10">
        <f>IF(AND(ISNUMBER(M2450),ISNUMBER(N2450)),IF(N2450&gt;0,M2450/N2450,""),"")</f>
        <v/>
      </c>
      <c r="V2450" s="10">
        <f>IF(AND(ISNUMBER(M2450),ISNUMBER(O2450)),IF(O2450&gt;0,M2450/O2450,""),"")</f>
        <v/>
      </c>
      <c r="W2450" s="10">
        <f>IF(AND(ISNUMBER(M2450),ISNUMBER(R2450)),IF(R2450&gt;0,M2450/R2450,""),"")</f>
        <v/>
      </c>
      <c r="X2450" s="10">
        <f>IF(AND(ISNUMBER(Q2450),ISNUMBER(M2450)),IF(M2450&gt;0,Q2450/M2450,""),"")</f>
        <v/>
      </c>
      <c r="Y2450" s="11">
        <f>IF(ISNUMBER(Z2450),YEAR(Z2450),"")</f>
        <v/>
      </c>
      <c r="Z2450" s="12" t="n"/>
      <c r="AA2450" s="12" t="n"/>
      <c r="AI2450" s="12" t="n"/>
      <c r="AJ2450" s="13">
        <f>IF(LEN(TRIM(AF2450))=0,"",HYPERLINK("https://www.google.com/maps/@?api=1&amp;map_action=pano&amp;viewpoint="&amp;SUBSTITUTE(AF2450," ",""),"Abrir Street View"))</f>
        <v/>
      </c>
    </row>
    <row r="2451">
      <c r="H2451" s="6" t="n"/>
      <c r="I2451" s="6" t="n"/>
      <c r="M2451" s="7" t="n"/>
      <c r="N2451" s="7" t="n"/>
      <c r="O2451" s="7" t="n"/>
      <c r="Q2451" s="7" t="n"/>
      <c r="R2451" s="7" t="n"/>
      <c r="S2451" s="8">
        <f>IF(NOT(ISNUMBER(M2451)),"",IF(G2451="Terreno",IF(AND(ISNUMBER(I2451),I2451&gt;0),M2451/I2451,""),IF(AND(ISNUMBER(H2451),H2451&gt;0),M2451/H2451,"")))</f>
        <v/>
      </c>
      <c r="T2451" s="9">
        <f>IF(AND(ISNUMBER(M2451),ISNUMBER(O2451)),IF(M2451&lt;=O2451,"Valor ≤ venal IPTU",""),"")</f>
        <v/>
      </c>
      <c r="U2451" s="10">
        <f>IF(AND(ISNUMBER(M2451),ISNUMBER(N2451)),IF(N2451&gt;0,M2451/N2451,""),"")</f>
        <v/>
      </c>
      <c r="V2451" s="10">
        <f>IF(AND(ISNUMBER(M2451),ISNUMBER(O2451)),IF(O2451&gt;0,M2451/O2451,""),"")</f>
        <v/>
      </c>
      <c r="W2451" s="10">
        <f>IF(AND(ISNUMBER(M2451),ISNUMBER(R2451)),IF(R2451&gt;0,M2451/R2451,""),"")</f>
        <v/>
      </c>
      <c r="X2451" s="10">
        <f>IF(AND(ISNUMBER(Q2451),ISNUMBER(M2451)),IF(M2451&gt;0,Q2451/M2451,""),"")</f>
        <v/>
      </c>
      <c r="Y2451" s="11">
        <f>IF(ISNUMBER(Z2451),YEAR(Z2451),"")</f>
        <v/>
      </c>
      <c r="Z2451" s="12" t="n"/>
      <c r="AA2451" s="12" t="n"/>
      <c r="AI2451" s="12" t="n"/>
      <c r="AJ2451" s="13">
        <f>IF(LEN(TRIM(AF2451))=0,"",HYPERLINK("https://www.google.com/maps/@?api=1&amp;map_action=pano&amp;viewpoint="&amp;SUBSTITUTE(AF2451," ",""),"Abrir Street View"))</f>
        <v/>
      </c>
    </row>
    <row r="2452">
      <c r="H2452" s="6" t="n"/>
      <c r="I2452" s="6" t="n"/>
      <c r="M2452" s="7" t="n"/>
      <c r="N2452" s="7" t="n"/>
      <c r="O2452" s="7" t="n"/>
      <c r="Q2452" s="7" t="n"/>
      <c r="R2452" s="7" t="n"/>
      <c r="S2452" s="8">
        <f>IF(NOT(ISNUMBER(M2452)),"",IF(G2452="Terreno",IF(AND(ISNUMBER(I2452),I2452&gt;0),M2452/I2452,""),IF(AND(ISNUMBER(H2452),H2452&gt;0),M2452/H2452,"")))</f>
        <v/>
      </c>
      <c r="T2452" s="9">
        <f>IF(AND(ISNUMBER(M2452),ISNUMBER(O2452)),IF(M2452&lt;=O2452,"Valor ≤ venal IPTU",""),"")</f>
        <v/>
      </c>
      <c r="U2452" s="10">
        <f>IF(AND(ISNUMBER(M2452),ISNUMBER(N2452)),IF(N2452&gt;0,M2452/N2452,""),"")</f>
        <v/>
      </c>
      <c r="V2452" s="10">
        <f>IF(AND(ISNUMBER(M2452),ISNUMBER(O2452)),IF(O2452&gt;0,M2452/O2452,""),"")</f>
        <v/>
      </c>
      <c r="W2452" s="10">
        <f>IF(AND(ISNUMBER(M2452),ISNUMBER(R2452)),IF(R2452&gt;0,M2452/R2452,""),"")</f>
        <v/>
      </c>
      <c r="X2452" s="10">
        <f>IF(AND(ISNUMBER(Q2452),ISNUMBER(M2452)),IF(M2452&gt;0,Q2452/M2452,""),"")</f>
        <v/>
      </c>
      <c r="Y2452" s="11">
        <f>IF(ISNUMBER(Z2452),YEAR(Z2452),"")</f>
        <v/>
      </c>
      <c r="Z2452" s="12" t="n"/>
      <c r="AA2452" s="12" t="n"/>
      <c r="AI2452" s="12" t="n"/>
      <c r="AJ2452" s="13">
        <f>IF(LEN(TRIM(AF2452))=0,"",HYPERLINK("https://www.google.com/maps/@?api=1&amp;map_action=pano&amp;viewpoint="&amp;SUBSTITUTE(AF2452," ",""),"Abrir Street View"))</f>
        <v/>
      </c>
    </row>
    <row r="2453">
      <c r="H2453" s="6" t="n"/>
      <c r="I2453" s="6" t="n"/>
      <c r="M2453" s="7" t="n"/>
      <c r="N2453" s="7" t="n"/>
      <c r="O2453" s="7" t="n"/>
      <c r="Q2453" s="7" t="n"/>
      <c r="R2453" s="7" t="n"/>
      <c r="S2453" s="8">
        <f>IF(NOT(ISNUMBER(M2453)),"",IF(G2453="Terreno",IF(AND(ISNUMBER(I2453),I2453&gt;0),M2453/I2453,""),IF(AND(ISNUMBER(H2453),H2453&gt;0),M2453/H2453,"")))</f>
        <v/>
      </c>
      <c r="T2453" s="9">
        <f>IF(AND(ISNUMBER(M2453),ISNUMBER(O2453)),IF(M2453&lt;=O2453,"Valor ≤ venal IPTU",""),"")</f>
        <v/>
      </c>
      <c r="U2453" s="10">
        <f>IF(AND(ISNUMBER(M2453),ISNUMBER(N2453)),IF(N2453&gt;0,M2453/N2453,""),"")</f>
        <v/>
      </c>
      <c r="V2453" s="10">
        <f>IF(AND(ISNUMBER(M2453),ISNUMBER(O2453)),IF(O2453&gt;0,M2453/O2453,""),"")</f>
        <v/>
      </c>
      <c r="W2453" s="10">
        <f>IF(AND(ISNUMBER(M2453),ISNUMBER(R2453)),IF(R2453&gt;0,M2453/R2453,""),"")</f>
        <v/>
      </c>
      <c r="X2453" s="10">
        <f>IF(AND(ISNUMBER(Q2453),ISNUMBER(M2453)),IF(M2453&gt;0,Q2453/M2453,""),"")</f>
        <v/>
      </c>
      <c r="Y2453" s="11">
        <f>IF(ISNUMBER(Z2453),YEAR(Z2453),"")</f>
        <v/>
      </c>
      <c r="Z2453" s="12" t="n"/>
      <c r="AA2453" s="12" t="n"/>
      <c r="AI2453" s="12" t="n"/>
      <c r="AJ2453" s="13">
        <f>IF(LEN(TRIM(AF2453))=0,"",HYPERLINK("https://www.google.com/maps/@?api=1&amp;map_action=pano&amp;viewpoint="&amp;SUBSTITUTE(AF2453," ",""),"Abrir Street View"))</f>
        <v/>
      </c>
    </row>
    <row r="2454">
      <c r="H2454" s="6" t="n"/>
      <c r="I2454" s="6" t="n"/>
      <c r="M2454" s="7" t="n"/>
      <c r="N2454" s="7" t="n"/>
      <c r="O2454" s="7" t="n"/>
      <c r="Q2454" s="7" t="n"/>
      <c r="R2454" s="7" t="n"/>
      <c r="S2454" s="8">
        <f>IF(NOT(ISNUMBER(M2454)),"",IF(G2454="Terreno",IF(AND(ISNUMBER(I2454),I2454&gt;0),M2454/I2454,""),IF(AND(ISNUMBER(H2454),H2454&gt;0),M2454/H2454,"")))</f>
        <v/>
      </c>
      <c r="T2454" s="9">
        <f>IF(AND(ISNUMBER(M2454),ISNUMBER(O2454)),IF(M2454&lt;=O2454,"Valor ≤ venal IPTU",""),"")</f>
        <v/>
      </c>
      <c r="U2454" s="10">
        <f>IF(AND(ISNUMBER(M2454),ISNUMBER(N2454)),IF(N2454&gt;0,M2454/N2454,""),"")</f>
        <v/>
      </c>
      <c r="V2454" s="10">
        <f>IF(AND(ISNUMBER(M2454),ISNUMBER(O2454)),IF(O2454&gt;0,M2454/O2454,""),"")</f>
        <v/>
      </c>
      <c r="W2454" s="10">
        <f>IF(AND(ISNUMBER(M2454),ISNUMBER(R2454)),IF(R2454&gt;0,M2454/R2454,""),"")</f>
        <v/>
      </c>
      <c r="X2454" s="10">
        <f>IF(AND(ISNUMBER(Q2454),ISNUMBER(M2454)),IF(M2454&gt;0,Q2454/M2454,""),"")</f>
        <v/>
      </c>
      <c r="Y2454" s="11">
        <f>IF(ISNUMBER(Z2454),YEAR(Z2454),"")</f>
        <v/>
      </c>
      <c r="Z2454" s="12" t="n"/>
      <c r="AA2454" s="12" t="n"/>
      <c r="AI2454" s="12" t="n"/>
      <c r="AJ2454" s="13">
        <f>IF(LEN(TRIM(AF2454))=0,"",HYPERLINK("https://www.google.com/maps/@?api=1&amp;map_action=pano&amp;viewpoint="&amp;SUBSTITUTE(AF2454," ",""),"Abrir Street View"))</f>
        <v/>
      </c>
    </row>
    <row r="2455">
      <c r="H2455" s="6" t="n"/>
      <c r="I2455" s="6" t="n"/>
      <c r="M2455" s="7" t="n"/>
      <c r="N2455" s="7" t="n"/>
      <c r="O2455" s="7" t="n"/>
      <c r="Q2455" s="7" t="n"/>
      <c r="R2455" s="7" t="n"/>
      <c r="S2455" s="8">
        <f>IF(NOT(ISNUMBER(M2455)),"",IF(G2455="Terreno",IF(AND(ISNUMBER(I2455),I2455&gt;0),M2455/I2455,""),IF(AND(ISNUMBER(H2455),H2455&gt;0),M2455/H2455,"")))</f>
        <v/>
      </c>
      <c r="T2455" s="9">
        <f>IF(AND(ISNUMBER(M2455),ISNUMBER(O2455)),IF(M2455&lt;=O2455,"Valor ≤ venal IPTU",""),"")</f>
        <v/>
      </c>
      <c r="U2455" s="10">
        <f>IF(AND(ISNUMBER(M2455),ISNUMBER(N2455)),IF(N2455&gt;0,M2455/N2455,""),"")</f>
        <v/>
      </c>
      <c r="V2455" s="10">
        <f>IF(AND(ISNUMBER(M2455),ISNUMBER(O2455)),IF(O2455&gt;0,M2455/O2455,""),"")</f>
        <v/>
      </c>
      <c r="W2455" s="10">
        <f>IF(AND(ISNUMBER(M2455),ISNUMBER(R2455)),IF(R2455&gt;0,M2455/R2455,""),"")</f>
        <v/>
      </c>
      <c r="X2455" s="10">
        <f>IF(AND(ISNUMBER(Q2455),ISNUMBER(M2455)),IF(M2455&gt;0,Q2455/M2455,""),"")</f>
        <v/>
      </c>
      <c r="Y2455" s="11">
        <f>IF(ISNUMBER(Z2455),YEAR(Z2455),"")</f>
        <v/>
      </c>
      <c r="Z2455" s="12" t="n"/>
      <c r="AA2455" s="12" t="n"/>
      <c r="AI2455" s="12" t="n"/>
      <c r="AJ2455" s="13">
        <f>IF(LEN(TRIM(AF2455))=0,"",HYPERLINK("https://www.google.com/maps/@?api=1&amp;map_action=pano&amp;viewpoint="&amp;SUBSTITUTE(AF2455," ",""),"Abrir Street View"))</f>
        <v/>
      </c>
    </row>
    <row r="2456">
      <c r="H2456" s="6" t="n"/>
      <c r="I2456" s="6" t="n"/>
      <c r="M2456" s="7" t="n"/>
      <c r="N2456" s="7" t="n"/>
      <c r="O2456" s="7" t="n"/>
      <c r="Q2456" s="7" t="n"/>
      <c r="R2456" s="7" t="n"/>
      <c r="S2456" s="8">
        <f>IF(NOT(ISNUMBER(M2456)),"",IF(G2456="Terreno",IF(AND(ISNUMBER(I2456),I2456&gt;0),M2456/I2456,""),IF(AND(ISNUMBER(H2456),H2456&gt;0),M2456/H2456,"")))</f>
        <v/>
      </c>
      <c r="T2456" s="9">
        <f>IF(AND(ISNUMBER(M2456),ISNUMBER(O2456)),IF(M2456&lt;=O2456,"Valor ≤ venal IPTU",""),"")</f>
        <v/>
      </c>
      <c r="U2456" s="10">
        <f>IF(AND(ISNUMBER(M2456),ISNUMBER(N2456)),IF(N2456&gt;0,M2456/N2456,""),"")</f>
        <v/>
      </c>
      <c r="V2456" s="10">
        <f>IF(AND(ISNUMBER(M2456),ISNUMBER(O2456)),IF(O2456&gt;0,M2456/O2456,""),"")</f>
        <v/>
      </c>
      <c r="W2456" s="10">
        <f>IF(AND(ISNUMBER(M2456),ISNUMBER(R2456)),IF(R2456&gt;0,M2456/R2456,""),"")</f>
        <v/>
      </c>
      <c r="X2456" s="10">
        <f>IF(AND(ISNUMBER(Q2456),ISNUMBER(M2456)),IF(M2456&gt;0,Q2456/M2456,""),"")</f>
        <v/>
      </c>
      <c r="Y2456" s="11">
        <f>IF(ISNUMBER(Z2456),YEAR(Z2456),"")</f>
        <v/>
      </c>
      <c r="Z2456" s="12" t="n"/>
      <c r="AA2456" s="12" t="n"/>
      <c r="AI2456" s="12" t="n"/>
      <c r="AJ2456" s="13">
        <f>IF(LEN(TRIM(AF2456))=0,"",HYPERLINK("https://www.google.com/maps/@?api=1&amp;map_action=pano&amp;viewpoint="&amp;SUBSTITUTE(AF2456," ",""),"Abrir Street View"))</f>
        <v/>
      </c>
    </row>
    <row r="2457">
      <c r="H2457" s="6" t="n"/>
      <c r="I2457" s="6" t="n"/>
      <c r="M2457" s="7" t="n"/>
      <c r="N2457" s="7" t="n"/>
      <c r="O2457" s="7" t="n"/>
      <c r="Q2457" s="7" t="n"/>
      <c r="R2457" s="7" t="n"/>
      <c r="S2457" s="8">
        <f>IF(NOT(ISNUMBER(M2457)),"",IF(G2457="Terreno",IF(AND(ISNUMBER(I2457),I2457&gt;0),M2457/I2457,""),IF(AND(ISNUMBER(H2457),H2457&gt;0),M2457/H2457,"")))</f>
        <v/>
      </c>
      <c r="T2457" s="9">
        <f>IF(AND(ISNUMBER(M2457),ISNUMBER(O2457)),IF(M2457&lt;=O2457,"Valor ≤ venal IPTU",""),"")</f>
        <v/>
      </c>
      <c r="U2457" s="10">
        <f>IF(AND(ISNUMBER(M2457),ISNUMBER(N2457)),IF(N2457&gt;0,M2457/N2457,""),"")</f>
        <v/>
      </c>
      <c r="V2457" s="10">
        <f>IF(AND(ISNUMBER(M2457),ISNUMBER(O2457)),IF(O2457&gt;0,M2457/O2457,""),"")</f>
        <v/>
      </c>
      <c r="W2457" s="10">
        <f>IF(AND(ISNUMBER(M2457),ISNUMBER(R2457)),IF(R2457&gt;0,M2457/R2457,""),"")</f>
        <v/>
      </c>
      <c r="X2457" s="10">
        <f>IF(AND(ISNUMBER(Q2457),ISNUMBER(M2457)),IF(M2457&gt;0,Q2457/M2457,""),"")</f>
        <v/>
      </c>
      <c r="Y2457" s="11">
        <f>IF(ISNUMBER(Z2457),YEAR(Z2457),"")</f>
        <v/>
      </c>
      <c r="Z2457" s="12" t="n"/>
      <c r="AA2457" s="12" t="n"/>
      <c r="AI2457" s="12" t="n"/>
      <c r="AJ2457" s="13">
        <f>IF(LEN(TRIM(AF2457))=0,"",HYPERLINK("https://www.google.com/maps/@?api=1&amp;map_action=pano&amp;viewpoint="&amp;SUBSTITUTE(AF2457," ",""),"Abrir Street View"))</f>
        <v/>
      </c>
    </row>
    <row r="2458">
      <c r="H2458" s="6" t="n"/>
      <c r="I2458" s="6" t="n"/>
      <c r="M2458" s="7" t="n"/>
      <c r="N2458" s="7" t="n"/>
      <c r="O2458" s="7" t="n"/>
      <c r="Q2458" s="7" t="n"/>
      <c r="R2458" s="7" t="n"/>
      <c r="S2458" s="8">
        <f>IF(NOT(ISNUMBER(M2458)),"",IF(G2458="Terreno",IF(AND(ISNUMBER(I2458),I2458&gt;0),M2458/I2458,""),IF(AND(ISNUMBER(H2458),H2458&gt;0),M2458/H2458,"")))</f>
        <v/>
      </c>
      <c r="T2458" s="9">
        <f>IF(AND(ISNUMBER(M2458),ISNUMBER(O2458)),IF(M2458&lt;=O2458,"Valor ≤ venal IPTU",""),"")</f>
        <v/>
      </c>
      <c r="U2458" s="10">
        <f>IF(AND(ISNUMBER(M2458),ISNUMBER(N2458)),IF(N2458&gt;0,M2458/N2458,""),"")</f>
        <v/>
      </c>
      <c r="V2458" s="10">
        <f>IF(AND(ISNUMBER(M2458),ISNUMBER(O2458)),IF(O2458&gt;0,M2458/O2458,""),"")</f>
        <v/>
      </c>
      <c r="W2458" s="10">
        <f>IF(AND(ISNUMBER(M2458),ISNUMBER(R2458)),IF(R2458&gt;0,M2458/R2458,""),"")</f>
        <v/>
      </c>
      <c r="X2458" s="10">
        <f>IF(AND(ISNUMBER(Q2458),ISNUMBER(M2458)),IF(M2458&gt;0,Q2458/M2458,""),"")</f>
        <v/>
      </c>
      <c r="Y2458" s="11">
        <f>IF(ISNUMBER(Z2458),YEAR(Z2458),"")</f>
        <v/>
      </c>
      <c r="Z2458" s="12" t="n"/>
      <c r="AA2458" s="12" t="n"/>
      <c r="AI2458" s="12" t="n"/>
      <c r="AJ2458" s="13">
        <f>IF(LEN(TRIM(AF2458))=0,"",HYPERLINK("https://www.google.com/maps/@?api=1&amp;map_action=pano&amp;viewpoint="&amp;SUBSTITUTE(AF2458," ",""),"Abrir Street View"))</f>
        <v/>
      </c>
    </row>
    <row r="2459">
      <c r="H2459" s="6" t="n"/>
      <c r="I2459" s="6" t="n"/>
      <c r="M2459" s="7" t="n"/>
      <c r="N2459" s="7" t="n"/>
      <c r="O2459" s="7" t="n"/>
      <c r="Q2459" s="7" t="n"/>
      <c r="R2459" s="7" t="n"/>
      <c r="S2459" s="8">
        <f>IF(NOT(ISNUMBER(M2459)),"",IF(G2459="Terreno",IF(AND(ISNUMBER(I2459),I2459&gt;0),M2459/I2459,""),IF(AND(ISNUMBER(H2459),H2459&gt;0),M2459/H2459,"")))</f>
        <v/>
      </c>
      <c r="T2459" s="9">
        <f>IF(AND(ISNUMBER(M2459),ISNUMBER(O2459)),IF(M2459&lt;=O2459,"Valor ≤ venal IPTU",""),"")</f>
        <v/>
      </c>
      <c r="U2459" s="10">
        <f>IF(AND(ISNUMBER(M2459),ISNUMBER(N2459)),IF(N2459&gt;0,M2459/N2459,""),"")</f>
        <v/>
      </c>
      <c r="V2459" s="10">
        <f>IF(AND(ISNUMBER(M2459),ISNUMBER(O2459)),IF(O2459&gt;0,M2459/O2459,""),"")</f>
        <v/>
      </c>
      <c r="W2459" s="10">
        <f>IF(AND(ISNUMBER(M2459),ISNUMBER(R2459)),IF(R2459&gt;0,M2459/R2459,""),"")</f>
        <v/>
      </c>
      <c r="X2459" s="10">
        <f>IF(AND(ISNUMBER(Q2459),ISNUMBER(M2459)),IF(M2459&gt;0,Q2459/M2459,""),"")</f>
        <v/>
      </c>
      <c r="Y2459" s="11">
        <f>IF(ISNUMBER(Z2459),YEAR(Z2459),"")</f>
        <v/>
      </c>
      <c r="Z2459" s="12" t="n"/>
      <c r="AA2459" s="12" t="n"/>
      <c r="AI2459" s="12" t="n"/>
      <c r="AJ2459" s="13">
        <f>IF(LEN(TRIM(AF2459))=0,"",HYPERLINK("https://www.google.com/maps/@?api=1&amp;map_action=pano&amp;viewpoint="&amp;SUBSTITUTE(AF2459," ",""),"Abrir Street View"))</f>
        <v/>
      </c>
    </row>
    <row r="2460">
      <c r="H2460" s="6" t="n"/>
      <c r="I2460" s="6" t="n"/>
      <c r="M2460" s="7" t="n"/>
      <c r="N2460" s="7" t="n"/>
      <c r="O2460" s="7" t="n"/>
      <c r="Q2460" s="7" t="n"/>
      <c r="R2460" s="7" t="n"/>
      <c r="S2460" s="8">
        <f>IF(NOT(ISNUMBER(M2460)),"",IF(G2460="Terreno",IF(AND(ISNUMBER(I2460),I2460&gt;0),M2460/I2460,""),IF(AND(ISNUMBER(H2460),H2460&gt;0),M2460/H2460,"")))</f>
        <v/>
      </c>
      <c r="T2460" s="9">
        <f>IF(AND(ISNUMBER(M2460),ISNUMBER(O2460)),IF(M2460&lt;=O2460,"Valor ≤ venal IPTU",""),"")</f>
        <v/>
      </c>
      <c r="U2460" s="10">
        <f>IF(AND(ISNUMBER(M2460),ISNUMBER(N2460)),IF(N2460&gt;0,M2460/N2460,""),"")</f>
        <v/>
      </c>
      <c r="V2460" s="10">
        <f>IF(AND(ISNUMBER(M2460),ISNUMBER(O2460)),IF(O2460&gt;0,M2460/O2460,""),"")</f>
        <v/>
      </c>
      <c r="W2460" s="10">
        <f>IF(AND(ISNUMBER(M2460),ISNUMBER(R2460)),IF(R2460&gt;0,M2460/R2460,""),"")</f>
        <v/>
      </c>
      <c r="X2460" s="10">
        <f>IF(AND(ISNUMBER(Q2460),ISNUMBER(M2460)),IF(M2460&gt;0,Q2460/M2460,""),"")</f>
        <v/>
      </c>
      <c r="Y2460" s="11">
        <f>IF(ISNUMBER(Z2460),YEAR(Z2460),"")</f>
        <v/>
      </c>
      <c r="Z2460" s="12" t="n"/>
      <c r="AA2460" s="12" t="n"/>
      <c r="AI2460" s="12" t="n"/>
      <c r="AJ2460" s="13">
        <f>IF(LEN(TRIM(AF2460))=0,"",HYPERLINK("https://www.google.com/maps/@?api=1&amp;map_action=pano&amp;viewpoint="&amp;SUBSTITUTE(AF2460," ",""),"Abrir Street View"))</f>
        <v/>
      </c>
    </row>
    <row r="2461">
      <c r="H2461" s="6" t="n"/>
      <c r="I2461" s="6" t="n"/>
      <c r="M2461" s="7" t="n"/>
      <c r="N2461" s="7" t="n"/>
      <c r="O2461" s="7" t="n"/>
      <c r="Q2461" s="7" t="n"/>
      <c r="R2461" s="7" t="n"/>
      <c r="S2461" s="8">
        <f>IF(NOT(ISNUMBER(M2461)),"",IF(G2461="Terreno",IF(AND(ISNUMBER(I2461),I2461&gt;0),M2461/I2461,""),IF(AND(ISNUMBER(H2461),H2461&gt;0),M2461/H2461,"")))</f>
        <v/>
      </c>
      <c r="T2461" s="9">
        <f>IF(AND(ISNUMBER(M2461),ISNUMBER(O2461)),IF(M2461&lt;=O2461,"Valor ≤ venal IPTU",""),"")</f>
        <v/>
      </c>
      <c r="U2461" s="10">
        <f>IF(AND(ISNUMBER(M2461),ISNUMBER(N2461)),IF(N2461&gt;0,M2461/N2461,""),"")</f>
        <v/>
      </c>
      <c r="V2461" s="10">
        <f>IF(AND(ISNUMBER(M2461),ISNUMBER(O2461)),IF(O2461&gt;0,M2461/O2461,""),"")</f>
        <v/>
      </c>
      <c r="W2461" s="10">
        <f>IF(AND(ISNUMBER(M2461),ISNUMBER(R2461)),IF(R2461&gt;0,M2461/R2461,""),"")</f>
        <v/>
      </c>
      <c r="X2461" s="10">
        <f>IF(AND(ISNUMBER(Q2461),ISNUMBER(M2461)),IF(M2461&gt;0,Q2461/M2461,""),"")</f>
        <v/>
      </c>
      <c r="Y2461" s="11">
        <f>IF(ISNUMBER(Z2461),YEAR(Z2461),"")</f>
        <v/>
      </c>
      <c r="Z2461" s="12" t="n"/>
      <c r="AA2461" s="12" t="n"/>
      <c r="AI2461" s="12" t="n"/>
      <c r="AJ2461" s="13">
        <f>IF(LEN(TRIM(AF2461))=0,"",HYPERLINK("https://www.google.com/maps/@?api=1&amp;map_action=pano&amp;viewpoint="&amp;SUBSTITUTE(AF2461," ",""),"Abrir Street View"))</f>
        <v/>
      </c>
    </row>
    <row r="2462">
      <c r="H2462" s="6" t="n"/>
      <c r="I2462" s="6" t="n"/>
      <c r="M2462" s="7" t="n"/>
      <c r="N2462" s="7" t="n"/>
      <c r="O2462" s="7" t="n"/>
      <c r="Q2462" s="7" t="n"/>
      <c r="R2462" s="7" t="n"/>
      <c r="S2462" s="8">
        <f>IF(NOT(ISNUMBER(M2462)),"",IF(G2462="Terreno",IF(AND(ISNUMBER(I2462),I2462&gt;0),M2462/I2462,""),IF(AND(ISNUMBER(H2462),H2462&gt;0),M2462/H2462,"")))</f>
        <v/>
      </c>
      <c r="T2462" s="9">
        <f>IF(AND(ISNUMBER(M2462),ISNUMBER(O2462)),IF(M2462&lt;=O2462,"Valor ≤ venal IPTU",""),"")</f>
        <v/>
      </c>
      <c r="U2462" s="10">
        <f>IF(AND(ISNUMBER(M2462),ISNUMBER(N2462)),IF(N2462&gt;0,M2462/N2462,""),"")</f>
        <v/>
      </c>
      <c r="V2462" s="10">
        <f>IF(AND(ISNUMBER(M2462),ISNUMBER(O2462)),IF(O2462&gt;0,M2462/O2462,""),"")</f>
        <v/>
      </c>
      <c r="W2462" s="10">
        <f>IF(AND(ISNUMBER(M2462),ISNUMBER(R2462)),IF(R2462&gt;0,M2462/R2462,""),"")</f>
        <v/>
      </c>
      <c r="X2462" s="10">
        <f>IF(AND(ISNUMBER(Q2462),ISNUMBER(M2462)),IF(M2462&gt;0,Q2462/M2462,""),"")</f>
        <v/>
      </c>
      <c r="Y2462" s="11">
        <f>IF(ISNUMBER(Z2462),YEAR(Z2462),"")</f>
        <v/>
      </c>
      <c r="Z2462" s="12" t="n"/>
      <c r="AA2462" s="12" t="n"/>
      <c r="AI2462" s="12" t="n"/>
      <c r="AJ2462" s="13">
        <f>IF(LEN(TRIM(AF2462))=0,"",HYPERLINK("https://www.google.com/maps/@?api=1&amp;map_action=pano&amp;viewpoint="&amp;SUBSTITUTE(AF2462," ",""),"Abrir Street View"))</f>
        <v/>
      </c>
    </row>
    <row r="2463">
      <c r="H2463" s="6" t="n"/>
      <c r="I2463" s="6" t="n"/>
      <c r="M2463" s="7" t="n"/>
      <c r="N2463" s="7" t="n"/>
      <c r="O2463" s="7" t="n"/>
      <c r="Q2463" s="7" t="n"/>
      <c r="R2463" s="7" t="n"/>
      <c r="S2463" s="8">
        <f>IF(NOT(ISNUMBER(M2463)),"",IF(G2463="Terreno",IF(AND(ISNUMBER(I2463),I2463&gt;0),M2463/I2463,""),IF(AND(ISNUMBER(H2463),H2463&gt;0),M2463/H2463,"")))</f>
        <v/>
      </c>
      <c r="T2463" s="9">
        <f>IF(AND(ISNUMBER(M2463),ISNUMBER(O2463)),IF(M2463&lt;=O2463,"Valor ≤ venal IPTU",""),"")</f>
        <v/>
      </c>
      <c r="U2463" s="10">
        <f>IF(AND(ISNUMBER(M2463),ISNUMBER(N2463)),IF(N2463&gt;0,M2463/N2463,""),"")</f>
        <v/>
      </c>
      <c r="V2463" s="10">
        <f>IF(AND(ISNUMBER(M2463),ISNUMBER(O2463)),IF(O2463&gt;0,M2463/O2463,""),"")</f>
        <v/>
      </c>
      <c r="W2463" s="10">
        <f>IF(AND(ISNUMBER(M2463),ISNUMBER(R2463)),IF(R2463&gt;0,M2463/R2463,""),"")</f>
        <v/>
      </c>
      <c r="X2463" s="10">
        <f>IF(AND(ISNUMBER(Q2463),ISNUMBER(M2463)),IF(M2463&gt;0,Q2463/M2463,""),"")</f>
        <v/>
      </c>
      <c r="Y2463" s="11">
        <f>IF(ISNUMBER(Z2463),YEAR(Z2463),"")</f>
        <v/>
      </c>
      <c r="Z2463" s="12" t="n"/>
      <c r="AA2463" s="12" t="n"/>
      <c r="AI2463" s="12" t="n"/>
      <c r="AJ2463" s="13">
        <f>IF(LEN(TRIM(AF2463))=0,"",HYPERLINK("https://www.google.com/maps/@?api=1&amp;map_action=pano&amp;viewpoint="&amp;SUBSTITUTE(AF2463," ",""),"Abrir Street View"))</f>
        <v/>
      </c>
    </row>
    <row r="2464">
      <c r="H2464" s="6" t="n"/>
      <c r="I2464" s="6" t="n"/>
      <c r="M2464" s="7" t="n"/>
      <c r="N2464" s="7" t="n"/>
      <c r="O2464" s="7" t="n"/>
      <c r="Q2464" s="7" t="n"/>
      <c r="R2464" s="7" t="n"/>
      <c r="S2464" s="8">
        <f>IF(NOT(ISNUMBER(M2464)),"",IF(G2464="Terreno",IF(AND(ISNUMBER(I2464),I2464&gt;0),M2464/I2464,""),IF(AND(ISNUMBER(H2464),H2464&gt;0),M2464/H2464,"")))</f>
        <v/>
      </c>
      <c r="T2464" s="9">
        <f>IF(AND(ISNUMBER(M2464),ISNUMBER(O2464)),IF(M2464&lt;=O2464,"Valor ≤ venal IPTU",""),"")</f>
        <v/>
      </c>
      <c r="U2464" s="10">
        <f>IF(AND(ISNUMBER(M2464),ISNUMBER(N2464)),IF(N2464&gt;0,M2464/N2464,""),"")</f>
        <v/>
      </c>
      <c r="V2464" s="10">
        <f>IF(AND(ISNUMBER(M2464),ISNUMBER(O2464)),IF(O2464&gt;0,M2464/O2464,""),"")</f>
        <v/>
      </c>
      <c r="W2464" s="10">
        <f>IF(AND(ISNUMBER(M2464),ISNUMBER(R2464)),IF(R2464&gt;0,M2464/R2464,""),"")</f>
        <v/>
      </c>
      <c r="X2464" s="10">
        <f>IF(AND(ISNUMBER(Q2464),ISNUMBER(M2464)),IF(M2464&gt;0,Q2464/M2464,""),"")</f>
        <v/>
      </c>
      <c r="Y2464" s="11">
        <f>IF(ISNUMBER(Z2464),YEAR(Z2464),"")</f>
        <v/>
      </c>
      <c r="Z2464" s="12" t="n"/>
      <c r="AA2464" s="12" t="n"/>
      <c r="AI2464" s="12" t="n"/>
      <c r="AJ2464" s="13">
        <f>IF(LEN(TRIM(AF2464))=0,"",HYPERLINK("https://www.google.com/maps/@?api=1&amp;map_action=pano&amp;viewpoint="&amp;SUBSTITUTE(AF2464," ",""),"Abrir Street View"))</f>
        <v/>
      </c>
    </row>
    <row r="2465">
      <c r="H2465" s="6" t="n"/>
      <c r="I2465" s="6" t="n"/>
      <c r="M2465" s="7" t="n"/>
      <c r="N2465" s="7" t="n"/>
      <c r="O2465" s="7" t="n"/>
      <c r="Q2465" s="7" t="n"/>
      <c r="R2465" s="7" t="n"/>
      <c r="S2465" s="8">
        <f>IF(NOT(ISNUMBER(M2465)),"",IF(G2465="Terreno",IF(AND(ISNUMBER(I2465),I2465&gt;0),M2465/I2465,""),IF(AND(ISNUMBER(H2465),H2465&gt;0),M2465/H2465,"")))</f>
        <v/>
      </c>
      <c r="T2465" s="9">
        <f>IF(AND(ISNUMBER(M2465),ISNUMBER(O2465)),IF(M2465&lt;=O2465,"Valor ≤ venal IPTU",""),"")</f>
        <v/>
      </c>
      <c r="U2465" s="10">
        <f>IF(AND(ISNUMBER(M2465),ISNUMBER(N2465)),IF(N2465&gt;0,M2465/N2465,""),"")</f>
        <v/>
      </c>
      <c r="V2465" s="10">
        <f>IF(AND(ISNUMBER(M2465),ISNUMBER(O2465)),IF(O2465&gt;0,M2465/O2465,""),"")</f>
        <v/>
      </c>
      <c r="W2465" s="10">
        <f>IF(AND(ISNUMBER(M2465),ISNUMBER(R2465)),IF(R2465&gt;0,M2465/R2465,""),"")</f>
        <v/>
      </c>
      <c r="X2465" s="10">
        <f>IF(AND(ISNUMBER(Q2465),ISNUMBER(M2465)),IF(M2465&gt;0,Q2465/M2465,""),"")</f>
        <v/>
      </c>
      <c r="Y2465" s="11">
        <f>IF(ISNUMBER(Z2465),YEAR(Z2465),"")</f>
        <v/>
      </c>
      <c r="Z2465" s="12" t="n"/>
      <c r="AA2465" s="12" t="n"/>
      <c r="AI2465" s="12" t="n"/>
      <c r="AJ2465" s="13">
        <f>IF(LEN(TRIM(AF2465))=0,"",HYPERLINK("https://www.google.com/maps/@?api=1&amp;map_action=pano&amp;viewpoint="&amp;SUBSTITUTE(AF2465," ",""),"Abrir Street View"))</f>
        <v/>
      </c>
    </row>
    <row r="2466">
      <c r="H2466" s="6" t="n"/>
      <c r="I2466" s="6" t="n"/>
      <c r="M2466" s="7" t="n"/>
      <c r="N2466" s="7" t="n"/>
      <c r="O2466" s="7" t="n"/>
      <c r="Q2466" s="7" t="n"/>
      <c r="R2466" s="7" t="n"/>
      <c r="S2466" s="8">
        <f>IF(NOT(ISNUMBER(M2466)),"",IF(G2466="Terreno",IF(AND(ISNUMBER(I2466),I2466&gt;0),M2466/I2466,""),IF(AND(ISNUMBER(H2466),H2466&gt;0),M2466/H2466,"")))</f>
        <v/>
      </c>
      <c r="T2466" s="9">
        <f>IF(AND(ISNUMBER(M2466),ISNUMBER(O2466)),IF(M2466&lt;=O2466,"Valor ≤ venal IPTU",""),"")</f>
        <v/>
      </c>
      <c r="U2466" s="10">
        <f>IF(AND(ISNUMBER(M2466),ISNUMBER(N2466)),IF(N2466&gt;0,M2466/N2466,""),"")</f>
        <v/>
      </c>
      <c r="V2466" s="10">
        <f>IF(AND(ISNUMBER(M2466),ISNUMBER(O2466)),IF(O2466&gt;0,M2466/O2466,""),"")</f>
        <v/>
      </c>
      <c r="W2466" s="10">
        <f>IF(AND(ISNUMBER(M2466),ISNUMBER(R2466)),IF(R2466&gt;0,M2466/R2466,""),"")</f>
        <v/>
      </c>
      <c r="X2466" s="10">
        <f>IF(AND(ISNUMBER(Q2466),ISNUMBER(M2466)),IF(M2466&gt;0,Q2466/M2466,""),"")</f>
        <v/>
      </c>
      <c r="Y2466" s="11">
        <f>IF(ISNUMBER(Z2466),YEAR(Z2466),"")</f>
        <v/>
      </c>
      <c r="Z2466" s="12" t="n"/>
      <c r="AA2466" s="12" t="n"/>
      <c r="AI2466" s="12" t="n"/>
      <c r="AJ2466" s="13">
        <f>IF(LEN(TRIM(AF2466))=0,"",HYPERLINK("https://www.google.com/maps/@?api=1&amp;map_action=pano&amp;viewpoint="&amp;SUBSTITUTE(AF2466," ",""),"Abrir Street View"))</f>
        <v/>
      </c>
    </row>
    <row r="2467">
      <c r="H2467" s="6" t="n"/>
      <c r="I2467" s="6" t="n"/>
      <c r="M2467" s="7" t="n"/>
      <c r="N2467" s="7" t="n"/>
      <c r="O2467" s="7" t="n"/>
      <c r="Q2467" s="7" t="n"/>
      <c r="R2467" s="7" t="n"/>
      <c r="S2467" s="8">
        <f>IF(NOT(ISNUMBER(M2467)),"",IF(G2467="Terreno",IF(AND(ISNUMBER(I2467),I2467&gt;0),M2467/I2467,""),IF(AND(ISNUMBER(H2467),H2467&gt;0),M2467/H2467,"")))</f>
        <v/>
      </c>
      <c r="T2467" s="9">
        <f>IF(AND(ISNUMBER(M2467),ISNUMBER(O2467)),IF(M2467&lt;=O2467,"Valor ≤ venal IPTU",""),"")</f>
        <v/>
      </c>
      <c r="U2467" s="10">
        <f>IF(AND(ISNUMBER(M2467),ISNUMBER(N2467)),IF(N2467&gt;0,M2467/N2467,""),"")</f>
        <v/>
      </c>
      <c r="V2467" s="10">
        <f>IF(AND(ISNUMBER(M2467),ISNUMBER(O2467)),IF(O2467&gt;0,M2467/O2467,""),"")</f>
        <v/>
      </c>
      <c r="W2467" s="10">
        <f>IF(AND(ISNUMBER(M2467),ISNUMBER(R2467)),IF(R2467&gt;0,M2467/R2467,""),"")</f>
        <v/>
      </c>
      <c r="X2467" s="10">
        <f>IF(AND(ISNUMBER(Q2467),ISNUMBER(M2467)),IF(M2467&gt;0,Q2467/M2467,""),"")</f>
        <v/>
      </c>
      <c r="Y2467" s="11">
        <f>IF(ISNUMBER(Z2467),YEAR(Z2467),"")</f>
        <v/>
      </c>
      <c r="Z2467" s="12" t="n"/>
      <c r="AA2467" s="12" t="n"/>
      <c r="AI2467" s="12" t="n"/>
      <c r="AJ2467" s="13">
        <f>IF(LEN(TRIM(AF2467))=0,"",HYPERLINK("https://www.google.com/maps/@?api=1&amp;map_action=pano&amp;viewpoint="&amp;SUBSTITUTE(AF2467," ",""),"Abrir Street View"))</f>
        <v/>
      </c>
    </row>
    <row r="2468">
      <c r="H2468" s="6" t="n"/>
      <c r="I2468" s="6" t="n"/>
      <c r="M2468" s="7" t="n"/>
      <c r="N2468" s="7" t="n"/>
      <c r="O2468" s="7" t="n"/>
      <c r="Q2468" s="7" t="n"/>
      <c r="R2468" s="7" t="n"/>
      <c r="S2468" s="8">
        <f>IF(NOT(ISNUMBER(M2468)),"",IF(G2468="Terreno",IF(AND(ISNUMBER(I2468),I2468&gt;0),M2468/I2468,""),IF(AND(ISNUMBER(H2468),H2468&gt;0),M2468/H2468,"")))</f>
        <v/>
      </c>
      <c r="T2468" s="9">
        <f>IF(AND(ISNUMBER(M2468),ISNUMBER(O2468)),IF(M2468&lt;=O2468,"Valor ≤ venal IPTU",""),"")</f>
        <v/>
      </c>
      <c r="U2468" s="10">
        <f>IF(AND(ISNUMBER(M2468),ISNUMBER(N2468)),IF(N2468&gt;0,M2468/N2468,""),"")</f>
        <v/>
      </c>
      <c r="V2468" s="10">
        <f>IF(AND(ISNUMBER(M2468),ISNUMBER(O2468)),IF(O2468&gt;0,M2468/O2468,""),"")</f>
        <v/>
      </c>
      <c r="W2468" s="10">
        <f>IF(AND(ISNUMBER(M2468),ISNUMBER(R2468)),IF(R2468&gt;0,M2468/R2468,""),"")</f>
        <v/>
      </c>
      <c r="X2468" s="10">
        <f>IF(AND(ISNUMBER(Q2468),ISNUMBER(M2468)),IF(M2468&gt;0,Q2468/M2468,""),"")</f>
        <v/>
      </c>
      <c r="Y2468" s="11">
        <f>IF(ISNUMBER(Z2468),YEAR(Z2468),"")</f>
        <v/>
      </c>
      <c r="Z2468" s="12" t="n"/>
      <c r="AA2468" s="12" t="n"/>
      <c r="AI2468" s="12" t="n"/>
      <c r="AJ2468" s="13">
        <f>IF(LEN(TRIM(AF2468))=0,"",HYPERLINK("https://www.google.com/maps/@?api=1&amp;map_action=pano&amp;viewpoint="&amp;SUBSTITUTE(AF2468," ",""),"Abrir Street View"))</f>
        <v/>
      </c>
    </row>
    <row r="2469">
      <c r="H2469" s="6" t="n"/>
      <c r="I2469" s="6" t="n"/>
      <c r="M2469" s="7" t="n"/>
      <c r="N2469" s="7" t="n"/>
      <c r="O2469" s="7" t="n"/>
      <c r="Q2469" s="7" t="n"/>
      <c r="R2469" s="7" t="n"/>
      <c r="S2469" s="8">
        <f>IF(NOT(ISNUMBER(M2469)),"",IF(G2469="Terreno",IF(AND(ISNUMBER(I2469),I2469&gt;0),M2469/I2469,""),IF(AND(ISNUMBER(H2469),H2469&gt;0),M2469/H2469,"")))</f>
        <v/>
      </c>
      <c r="T2469" s="9">
        <f>IF(AND(ISNUMBER(M2469),ISNUMBER(O2469)),IF(M2469&lt;=O2469,"Valor ≤ venal IPTU",""),"")</f>
        <v/>
      </c>
      <c r="U2469" s="10">
        <f>IF(AND(ISNUMBER(M2469),ISNUMBER(N2469)),IF(N2469&gt;0,M2469/N2469,""),"")</f>
        <v/>
      </c>
      <c r="V2469" s="10">
        <f>IF(AND(ISNUMBER(M2469),ISNUMBER(O2469)),IF(O2469&gt;0,M2469/O2469,""),"")</f>
        <v/>
      </c>
      <c r="W2469" s="10">
        <f>IF(AND(ISNUMBER(M2469),ISNUMBER(R2469)),IF(R2469&gt;0,M2469/R2469,""),"")</f>
        <v/>
      </c>
      <c r="X2469" s="10">
        <f>IF(AND(ISNUMBER(Q2469),ISNUMBER(M2469)),IF(M2469&gt;0,Q2469/M2469,""),"")</f>
        <v/>
      </c>
      <c r="Y2469" s="11">
        <f>IF(ISNUMBER(Z2469),YEAR(Z2469),"")</f>
        <v/>
      </c>
      <c r="Z2469" s="12" t="n"/>
      <c r="AA2469" s="12" t="n"/>
      <c r="AI2469" s="12" t="n"/>
      <c r="AJ2469" s="13">
        <f>IF(LEN(TRIM(AF2469))=0,"",HYPERLINK("https://www.google.com/maps/@?api=1&amp;map_action=pano&amp;viewpoint="&amp;SUBSTITUTE(AF2469," ",""),"Abrir Street View"))</f>
        <v/>
      </c>
    </row>
    <row r="2470">
      <c r="H2470" s="6" t="n"/>
      <c r="I2470" s="6" t="n"/>
      <c r="M2470" s="7" t="n"/>
      <c r="N2470" s="7" t="n"/>
      <c r="O2470" s="7" t="n"/>
      <c r="Q2470" s="7" t="n"/>
      <c r="R2470" s="7" t="n"/>
      <c r="S2470" s="8">
        <f>IF(NOT(ISNUMBER(M2470)),"",IF(G2470="Terreno",IF(AND(ISNUMBER(I2470),I2470&gt;0),M2470/I2470,""),IF(AND(ISNUMBER(H2470),H2470&gt;0),M2470/H2470,"")))</f>
        <v/>
      </c>
      <c r="T2470" s="9">
        <f>IF(AND(ISNUMBER(M2470),ISNUMBER(O2470)),IF(M2470&lt;=O2470,"Valor ≤ venal IPTU",""),"")</f>
        <v/>
      </c>
      <c r="U2470" s="10">
        <f>IF(AND(ISNUMBER(M2470),ISNUMBER(N2470)),IF(N2470&gt;0,M2470/N2470,""),"")</f>
        <v/>
      </c>
      <c r="V2470" s="10">
        <f>IF(AND(ISNUMBER(M2470),ISNUMBER(O2470)),IF(O2470&gt;0,M2470/O2470,""),"")</f>
        <v/>
      </c>
      <c r="W2470" s="10">
        <f>IF(AND(ISNUMBER(M2470),ISNUMBER(R2470)),IF(R2470&gt;0,M2470/R2470,""),"")</f>
        <v/>
      </c>
      <c r="X2470" s="10">
        <f>IF(AND(ISNUMBER(Q2470),ISNUMBER(M2470)),IF(M2470&gt;0,Q2470/M2470,""),"")</f>
        <v/>
      </c>
      <c r="Y2470" s="11">
        <f>IF(ISNUMBER(Z2470),YEAR(Z2470),"")</f>
        <v/>
      </c>
      <c r="Z2470" s="12" t="n"/>
      <c r="AA2470" s="12" t="n"/>
      <c r="AI2470" s="12" t="n"/>
      <c r="AJ2470" s="13">
        <f>IF(LEN(TRIM(AF2470))=0,"",HYPERLINK("https://www.google.com/maps/@?api=1&amp;map_action=pano&amp;viewpoint="&amp;SUBSTITUTE(AF2470," ",""),"Abrir Street View"))</f>
        <v/>
      </c>
    </row>
    <row r="2471">
      <c r="H2471" s="6" t="n"/>
      <c r="I2471" s="6" t="n"/>
      <c r="M2471" s="7" t="n"/>
      <c r="N2471" s="7" t="n"/>
      <c r="O2471" s="7" t="n"/>
      <c r="Q2471" s="7" t="n"/>
      <c r="R2471" s="7" t="n"/>
      <c r="S2471" s="8">
        <f>IF(NOT(ISNUMBER(M2471)),"",IF(G2471="Terreno",IF(AND(ISNUMBER(I2471),I2471&gt;0),M2471/I2471,""),IF(AND(ISNUMBER(H2471),H2471&gt;0),M2471/H2471,"")))</f>
        <v/>
      </c>
      <c r="T2471" s="9">
        <f>IF(AND(ISNUMBER(M2471),ISNUMBER(O2471)),IF(M2471&lt;=O2471,"Valor ≤ venal IPTU",""),"")</f>
        <v/>
      </c>
      <c r="U2471" s="10">
        <f>IF(AND(ISNUMBER(M2471),ISNUMBER(N2471)),IF(N2471&gt;0,M2471/N2471,""),"")</f>
        <v/>
      </c>
      <c r="V2471" s="10">
        <f>IF(AND(ISNUMBER(M2471),ISNUMBER(O2471)),IF(O2471&gt;0,M2471/O2471,""),"")</f>
        <v/>
      </c>
      <c r="W2471" s="10">
        <f>IF(AND(ISNUMBER(M2471),ISNUMBER(R2471)),IF(R2471&gt;0,M2471/R2471,""),"")</f>
        <v/>
      </c>
      <c r="X2471" s="10">
        <f>IF(AND(ISNUMBER(Q2471),ISNUMBER(M2471)),IF(M2471&gt;0,Q2471/M2471,""),"")</f>
        <v/>
      </c>
      <c r="Y2471" s="11">
        <f>IF(ISNUMBER(Z2471),YEAR(Z2471),"")</f>
        <v/>
      </c>
      <c r="Z2471" s="12" t="n"/>
      <c r="AA2471" s="12" t="n"/>
      <c r="AI2471" s="12" t="n"/>
      <c r="AJ2471" s="13">
        <f>IF(LEN(TRIM(AF2471))=0,"",HYPERLINK("https://www.google.com/maps/@?api=1&amp;map_action=pano&amp;viewpoint="&amp;SUBSTITUTE(AF2471," ",""),"Abrir Street View"))</f>
        <v/>
      </c>
    </row>
    <row r="2472">
      <c r="H2472" s="6" t="n"/>
      <c r="I2472" s="6" t="n"/>
      <c r="M2472" s="7" t="n"/>
      <c r="N2472" s="7" t="n"/>
      <c r="O2472" s="7" t="n"/>
      <c r="Q2472" s="7" t="n"/>
      <c r="R2472" s="7" t="n"/>
      <c r="S2472" s="8">
        <f>IF(NOT(ISNUMBER(M2472)),"",IF(G2472="Terreno",IF(AND(ISNUMBER(I2472),I2472&gt;0),M2472/I2472,""),IF(AND(ISNUMBER(H2472),H2472&gt;0),M2472/H2472,"")))</f>
        <v/>
      </c>
      <c r="T2472" s="9">
        <f>IF(AND(ISNUMBER(M2472),ISNUMBER(O2472)),IF(M2472&lt;=O2472,"Valor ≤ venal IPTU",""),"")</f>
        <v/>
      </c>
      <c r="U2472" s="10">
        <f>IF(AND(ISNUMBER(M2472),ISNUMBER(N2472)),IF(N2472&gt;0,M2472/N2472,""),"")</f>
        <v/>
      </c>
      <c r="V2472" s="10">
        <f>IF(AND(ISNUMBER(M2472),ISNUMBER(O2472)),IF(O2472&gt;0,M2472/O2472,""),"")</f>
        <v/>
      </c>
      <c r="W2472" s="10">
        <f>IF(AND(ISNUMBER(M2472),ISNUMBER(R2472)),IF(R2472&gt;0,M2472/R2472,""),"")</f>
        <v/>
      </c>
      <c r="X2472" s="10">
        <f>IF(AND(ISNUMBER(Q2472),ISNUMBER(M2472)),IF(M2472&gt;0,Q2472/M2472,""),"")</f>
        <v/>
      </c>
      <c r="Y2472" s="11">
        <f>IF(ISNUMBER(Z2472),YEAR(Z2472),"")</f>
        <v/>
      </c>
      <c r="Z2472" s="12" t="n"/>
      <c r="AA2472" s="12" t="n"/>
      <c r="AI2472" s="12" t="n"/>
      <c r="AJ2472" s="13">
        <f>IF(LEN(TRIM(AF2472))=0,"",HYPERLINK("https://www.google.com/maps/@?api=1&amp;map_action=pano&amp;viewpoint="&amp;SUBSTITUTE(AF2472," ",""),"Abrir Street View"))</f>
        <v/>
      </c>
    </row>
    <row r="2473">
      <c r="H2473" s="6" t="n"/>
      <c r="I2473" s="6" t="n"/>
      <c r="M2473" s="7" t="n"/>
      <c r="N2473" s="7" t="n"/>
      <c r="O2473" s="7" t="n"/>
      <c r="Q2473" s="7" t="n"/>
      <c r="R2473" s="7" t="n"/>
      <c r="S2473" s="8">
        <f>IF(NOT(ISNUMBER(M2473)),"",IF(G2473="Terreno",IF(AND(ISNUMBER(I2473),I2473&gt;0),M2473/I2473,""),IF(AND(ISNUMBER(H2473),H2473&gt;0),M2473/H2473,"")))</f>
        <v/>
      </c>
      <c r="T2473" s="9">
        <f>IF(AND(ISNUMBER(M2473),ISNUMBER(O2473)),IF(M2473&lt;=O2473,"Valor ≤ venal IPTU",""),"")</f>
        <v/>
      </c>
      <c r="U2473" s="10">
        <f>IF(AND(ISNUMBER(M2473),ISNUMBER(N2473)),IF(N2473&gt;0,M2473/N2473,""),"")</f>
        <v/>
      </c>
      <c r="V2473" s="10">
        <f>IF(AND(ISNUMBER(M2473),ISNUMBER(O2473)),IF(O2473&gt;0,M2473/O2473,""),"")</f>
        <v/>
      </c>
      <c r="W2473" s="10">
        <f>IF(AND(ISNUMBER(M2473),ISNUMBER(R2473)),IF(R2473&gt;0,M2473/R2473,""),"")</f>
        <v/>
      </c>
      <c r="X2473" s="10">
        <f>IF(AND(ISNUMBER(Q2473),ISNUMBER(M2473)),IF(M2473&gt;0,Q2473/M2473,""),"")</f>
        <v/>
      </c>
      <c r="Y2473" s="11">
        <f>IF(ISNUMBER(Z2473),YEAR(Z2473),"")</f>
        <v/>
      </c>
      <c r="Z2473" s="12" t="n"/>
      <c r="AA2473" s="12" t="n"/>
      <c r="AI2473" s="12" t="n"/>
      <c r="AJ2473" s="13">
        <f>IF(LEN(TRIM(AF2473))=0,"",HYPERLINK("https://www.google.com/maps/@?api=1&amp;map_action=pano&amp;viewpoint="&amp;SUBSTITUTE(AF2473," ",""),"Abrir Street View"))</f>
        <v/>
      </c>
    </row>
    <row r="2474">
      <c r="H2474" s="6" t="n"/>
      <c r="I2474" s="6" t="n"/>
      <c r="M2474" s="7" t="n"/>
      <c r="N2474" s="7" t="n"/>
      <c r="O2474" s="7" t="n"/>
      <c r="Q2474" s="7" t="n"/>
      <c r="R2474" s="7" t="n"/>
      <c r="S2474" s="8">
        <f>IF(NOT(ISNUMBER(M2474)),"",IF(G2474="Terreno",IF(AND(ISNUMBER(I2474),I2474&gt;0),M2474/I2474,""),IF(AND(ISNUMBER(H2474),H2474&gt;0),M2474/H2474,"")))</f>
        <v/>
      </c>
      <c r="T2474" s="9">
        <f>IF(AND(ISNUMBER(M2474),ISNUMBER(O2474)),IF(M2474&lt;=O2474,"Valor ≤ venal IPTU",""),"")</f>
        <v/>
      </c>
      <c r="U2474" s="10">
        <f>IF(AND(ISNUMBER(M2474),ISNUMBER(N2474)),IF(N2474&gt;0,M2474/N2474,""),"")</f>
        <v/>
      </c>
      <c r="V2474" s="10">
        <f>IF(AND(ISNUMBER(M2474),ISNUMBER(O2474)),IF(O2474&gt;0,M2474/O2474,""),"")</f>
        <v/>
      </c>
      <c r="W2474" s="10">
        <f>IF(AND(ISNUMBER(M2474),ISNUMBER(R2474)),IF(R2474&gt;0,M2474/R2474,""),"")</f>
        <v/>
      </c>
      <c r="X2474" s="10">
        <f>IF(AND(ISNUMBER(Q2474),ISNUMBER(M2474)),IF(M2474&gt;0,Q2474/M2474,""),"")</f>
        <v/>
      </c>
      <c r="Y2474" s="11">
        <f>IF(ISNUMBER(Z2474),YEAR(Z2474),"")</f>
        <v/>
      </c>
      <c r="Z2474" s="12" t="n"/>
      <c r="AA2474" s="12" t="n"/>
      <c r="AI2474" s="12" t="n"/>
      <c r="AJ2474" s="13">
        <f>IF(LEN(TRIM(AF2474))=0,"",HYPERLINK("https://www.google.com/maps/@?api=1&amp;map_action=pano&amp;viewpoint="&amp;SUBSTITUTE(AF2474," ",""),"Abrir Street View"))</f>
        <v/>
      </c>
    </row>
    <row r="2475">
      <c r="H2475" s="6" t="n"/>
      <c r="I2475" s="6" t="n"/>
      <c r="M2475" s="7" t="n"/>
      <c r="N2475" s="7" t="n"/>
      <c r="O2475" s="7" t="n"/>
      <c r="Q2475" s="7" t="n"/>
      <c r="R2475" s="7" t="n"/>
      <c r="S2475" s="8">
        <f>IF(NOT(ISNUMBER(M2475)),"",IF(G2475="Terreno",IF(AND(ISNUMBER(I2475),I2475&gt;0),M2475/I2475,""),IF(AND(ISNUMBER(H2475),H2475&gt;0),M2475/H2475,"")))</f>
        <v/>
      </c>
      <c r="T2475" s="9">
        <f>IF(AND(ISNUMBER(M2475),ISNUMBER(O2475)),IF(M2475&lt;=O2475,"Valor ≤ venal IPTU",""),"")</f>
        <v/>
      </c>
      <c r="U2475" s="10">
        <f>IF(AND(ISNUMBER(M2475),ISNUMBER(N2475)),IF(N2475&gt;0,M2475/N2475,""),"")</f>
        <v/>
      </c>
      <c r="V2475" s="10">
        <f>IF(AND(ISNUMBER(M2475),ISNUMBER(O2475)),IF(O2475&gt;0,M2475/O2475,""),"")</f>
        <v/>
      </c>
      <c r="W2475" s="10">
        <f>IF(AND(ISNUMBER(M2475),ISNUMBER(R2475)),IF(R2475&gt;0,M2475/R2475,""),"")</f>
        <v/>
      </c>
      <c r="X2475" s="10">
        <f>IF(AND(ISNUMBER(Q2475),ISNUMBER(M2475)),IF(M2475&gt;0,Q2475/M2475,""),"")</f>
        <v/>
      </c>
      <c r="Y2475" s="11">
        <f>IF(ISNUMBER(Z2475),YEAR(Z2475),"")</f>
        <v/>
      </c>
      <c r="Z2475" s="12" t="n"/>
      <c r="AA2475" s="12" t="n"/>
      <c r="AI2475" s="12" t="n"/>
      <c r="AJ2475" s="13">
        <f>IF(LEN(TRIM(AF2475))=0,"",HYPERLINK("https://www.google.com/maps/@?api=1&amp;map_action=pano&amp;viewpoint="&amp;SUBSTITUTE(AF2475," ",""),"Abrir Street View"))</f>
        <v/>
      </c>
    </row>
    <row r="2476">
      <c r="H2476" s="6" t="n"/>
      <c r="I2476" s="6" t="n"/>
      <c r="M2476" s="7" t="n"/>
      <c r="N2476" s="7" t="n"/>
      <c r="O2476" s="7" t="n"/>
      <c r="Q2476" s="7" t="n"/>
      <c r="R2476" s="7" t="n"/>
      <c r="S2476" s="8">
        <f>IF(NOT(ISNUMBER(M2476)),"",IF(G2476="Terreno",IF(AND(ISNUMBER(I2476),I2476&gt;0),M2476/I2476,""),IF(AND(ISNUMBER(H2476),H2476&gt;0),M2476/H2476,"")))</f>
        <v/>
      </c>
      <c r="T2476" s="9">
        <f>IF(AND(ISNUMBER(M2476),ISNUMBER(O2476)),IF(M2476&lt;=O2476,"Valor ≤ venal IPTU",""),"")</f>
        <v/>
      </c>
      <c r="U2476" s="10">
        <f>IF(AND(ISNUMBER(M2476),ISNUMBER(N2476)),IF(N2476&gt;0,M2476/N2476,""),"")</f>
        <v/>
      </c>
      <c r="V2476" s="10">
        <f>IF(AND(ISNUMBER(M2476),ISNUMBER(O2476)),IF(O2476&gt;0,M2476/O2476,""),"")</f>
        <v/>
      </c>
      <c r="W2476" s="10">
        <f>IF(AND(ISNUMBER(M2476),ISNUMBER(R2476)),IF(R2476&gt;0,M2476/R2476,""),"")</f>
        <v/>
      </c>
      <c r="X2476" s="10">
        <f>IF(AND(ISNUMBER(Q2476),ISNUMBER(M2476)),IF(M2476&gt;0,Q2476/M2476,""),"")</f>
        <v/>
      </c>
      <c r="Y2476" s="11">
        <f>IF(ISNUMBER(Z2476),YEAR(Z2476),"")</f>
        <v/>
      </c>
      <c r="Z2476" s="12" t="n"/>
      <c r="AA2476" s="12" t="n"/>
      <c r="AI2476" s="12" t="n"/>
      <c r="AJ2476" s="13">
        <f>IF(LEN(TRIM(AF2476))=0,"",HYPERLINK("https://www.google.com/maps/@?api=1&amp;map_action=pano&amp;viewpoint="&amp;SUBSTITUTE(AF2476," ",""),"Abrir Street View"))</f>
        <v/>
      </c>
    </row>
    <row r="2477">
      <c r="H2477" s="6" t="n"/>
      <c r="I2477" s="6" t="n"/>
      <c r="M2477" s="7" t="n"/>
      <c r="N2477" s="7" t="n"/>
      <c r="O2477" s="7" t="n"/>
      <c r="Q2477" s="7" t="n"/>
      <c r="R2477" s="7" t="n"/>
      <c r="S2477" s="8">
        <f>IF(NOT(ISNUMBER(M2477)),"",IF(G2477="Terreno",IF(AND(ISNUMBER(I2477),I2477&gt;0),M2477/I2477,""),IF(AND(ISNUMBER(H2477),H2477&gt;0),M2477/H2477,"")))</f>
        <v/>
      </c>
      <c r="T2477" s="9">
        <f>IF(AND(ISNUMBER(M2477),ISNUMBER(O2477)),IF(M2477&lt;=O2477,"Valor ≤ venal IPTU",""),"")</f>
        <v/>
      </c>
      <c r="U2477" s="10">
        <f>IF(AND(ISNUMBER(M2477),ISNUMBER(N2477)),IF(N2477&gt;0,M2477/N2477,""),"")</f>
        <v/>
      </c>
      <c r="V2477" s="10">
        <f>IF(AND(ISNUMBER(M2477),ISNUMBER(O2477)),IF(O2477&gt;0,M2477/O2477,""),"")</f>
        <v/>
      </c>
      <c r="W2477" s="10">
        <f>IF(AND(ISNUMBER(M2477),ISNUMBER(R2477)),IF(R2477&gt;0,M2477/R2477,""),"")</f>
        <v/>
      </c>
      <c r="X2477" s="10">
        <f>IF(AND(ISNUMBER(Q2477),ISNUMBER(M2477)),IF(M2477&gt;0,Q2477/M2477,""),"")</f>
        <v/>
      </c>
      <c r="Y2477" s="11">
        <f>IF(ISNUMBER(Z2477),YEAR(Z2477),"")</f>
        <v/>
      </c>
      <c r="Z2477" s="12" t="n"/>
      <c r="AA2477" s="12" t="n"/>
      <c r="AI2477" s="12" t="n"/>
      <c r="AJ2477" s="13">
        <f>IF(LEN(TRIM(AF2477))=0,"",HYPERLINK("https://www.google.com/maps/@?api=1&amp;map_action=pano&amp;viewpoint="&amp;SUBSTITUTE(AF2477," ",""),"Abrir Street View"))</f>
        <v/>
      </c>
    </row>
    <row r="2478">
      <c r="H2478" s="6" t="n"/>
      <c r="I2478" s="6" t="n"/>
      <c r="M2478" s="7" t="n"/>
      <c r="N2478" s="7" t="n"/>
      <c r="O2478" s="7" t="n"/>
      <c r="Q2478" s="7" t="n"/>
      <c r="R2478" s="7" t="n"/>
      <c r="S2478" s="8">
        <f>IF(NOT(ISNUMBER(M2478)),"",IF(G2478="Terreno",IF(AND(ISNUMBER(I2478),I2478&gt;0),M2478/I2478,""),IF(AND(ISNUMBER(H2478),H2478&gt;0),M2478/H2478,"")))</f>
        <v/>
      </c>
      <c r="T2478" s="9">
        <f>IF(AND(ISNUMBER(M2478),ISNUMBER(O2478)),IF(M2478&lt;=O2478,"Valor ≤ venal IPTU",""),"")</f>
        <v/>
      </c>
      <c r="U2478" s="10">
        <f>IF(AND(ISNUMBER(M2478),ISNUMBER(N2478)),IF(N2478&gt;0,M2478/N2478,""),"")</f>
        <v/>
      </c>
      <c r="V2478" s="10">
        <f>IF(AND(ISNUMBER(M2478),ISNUMBER(O2478)),IF(O2478&gt;0,M2478/O2478,""),"")</f>
        <v/>
      </c>
      <c r="W2478" s="10">
        <f>IF(AND(ISNUMBER(M2478),ISNUMBER(R2478)),IF(R2478&gt;0,M2478/R2478,""),"")</f>
        <v/>
      </c>
      <c r="X2478" s="10">
        <f>IF(AND(ISNUMBER(Q2478),ISNUMBER(M2478)),IF(M2478&gt;0,Q2478/M2478,""),"")</f>
        <v/>
      </c>
      <c r="Y2478" s="11">
        <f>IF(ISNUMBER(Z2478),YEAR(Z2478),"")</f>
        <v/>
      </c>
      <c r="Z2478" s="12" t="n"/>
      <c r="AA2478" s="12" t="n"/>
      <c r="AI2478" s="12" t="n"/>
      <c r="AJ2478" s="13">
        <f>IF(LEN(TRIM(AF2478))=0,"",HYPERLINK("https://www.google.com/maps/@?api=1&amp;map_action=pano&amp;viewpoint="&amp;SUBSTITUTE(AF2478," ",""),"Abrir Street View"))</f>
        <v/>
      </c>
    </row>
    <row r="2479">
      <c r="H2479" s="6" t="n"/>
      <c r="I2479" s="6" t="n"/>
      <c r="M2479" s="7" t="n"/>
      <c r="N2479" s="7" t="n"/>
      <c r="O2479" s="7" t="n"/>
      <c r="Q2479" s="7" t="n"/>
      <c r="R2479" s="7" t="n"/>
      <c r="S2479" s="8">
        <f>IF(NOT(ISNUMBER(M2479)),"",IF(G2479="Terreno",IF(AND(ISNUMBER(I2479),I2479&gt;0),M2479/I2479,""),IF(AND(ISNUMBER(H2479),H2479&gt;0),M2479/H2479,"")))</f>
        <v/>
      </c>
      <c r="T2479" s="9">
        <f>IF(AND(ISNUMBER(M2479),ISNUMBER(O2479)),IF(M2479&lt;=O2479,"Valor ≤ venal IPTU",""),"")</f>
        <v/>
      </c>
      <c r="U2479" s="10">
        <f>IF(AND(ISNUMBER(M2479),ISNUMBER(N2479)),IF(N2479&gt;0,M2479/N2479,""),"")</f>
        <v/>
      </c>
      <c r="V2479" s="10">
        <f>IF(AND(ISNUMBER(M2479),ISNUMBER(O2479)),IF(O2479&gt;0,M2479/O2479,""),"")</f>
        <v/>
      </c>
      <c r="W2479" s="10">
        <f>IF(AND(ISNUMBER(M2479),ISNUMBER(R2479)),IF(R2479&gt;0,M2479/R2479,""),"")</f>
        <v/>
      </c>
      <c r="X2479" s="10">
        <f>IF(AND(ISNUMBER(Q2479),ISNUMBER(M2479)),IF(M2479&gt;0,Q2479/M2479,""),"")</f>
        <v/>
      </c>
      <c r="Y2479" s="11">
        <f>IF(ISNUMBER(Z2479),YEAR(Z2479),"")</f>
        <v/>
      </c>
      <c r="Z2479" s="12" t="n"/>
      <c r="AA2479" s="12" t="n"/>
      <c r="AI2479" s="12" t="n"/>
      <c r="AJ2479" s="13">
        <f>IF(LEN(TRIM(AF2479))=0,"",HYPERLINK("https://www.google.com/maps/@?api=1&amp;map_action=pano&amp;viewpoint="&amp;SUBSTITUTE(AF2479," ",""),"Abrir Street View"))</f>
        <v/>
      </c>
    </row>
    <row r="2480">
      <c r="H2480" s="6" t="n"/>
      <c r="I2480" s="6" t="n"/>
      <c r="M2480" s="7" t="n"/>
      <c r="N2480" s="7" t="n"/>
      <c r="O2480" s="7" t="n"/>
      <c r="Q2480" s="7" t="n"/>
      <c r="R2480" s="7" t="n"/>
      <c r="S2480" s="8">
        <f>IF(NOT(ISNUMBER(M2480)),"",IF(G2480="Terreno",IF(AND(ISNUMBER(I2480),I2480&gt;0),M2480/I2480,""),IF(AND(ISNUMBER(H2480),H2480&gt;0),M2480/H2480,"")))</f>
        <v/>
      </c>
      <c r="T2480" s="9">
        <f>IF(AND(ISNUMBER(M2480),ISNUMBER(O2480)),IF(M2480&lt;=O2480,"Valor ≤ venal IPTU",""),"")</f>
        <v/>
      </c>
      <c r="U2480" s="10">
        <f>IF(AND(ISNUMBER(M2480),ISNUMBER(N2480)),IF(N2480&gt;0,M2480/N2480,""),"")</f>
        <v/>
      </c>
      <c r="V2480" s="10">
        <f>IF(AND(ISNUMBER(M2480),ISNUMBER(O2480)),IF(O2480&gt;0,M2480/O2480,""),"")</f>
        <v/>
      </c>
      <c r="W2480" s="10">
        <f>IF(AND(ISNUMBER(M2480),ISNUMBER(R2480)),IF(R2480&gt;0,M2480/R2480,""),"")</f>
        <v/>
      </c>
      <c r="X2480" s="10">
        <f>IF(AND(ISNUMBER(Q2480),ISNUMBER(M2480)),IF(M2480&gt;0,Q2480/M2480,""),"")</f>
        <v/>
      </c>
      <c r="Y2480" s="11">
        <f>IF(ISNUMBER(Z2480),YEAR(Z2480),"")</f>
        <v/>
      </c>
      <c r="Z2480" s="12" t="n"/>
      <c r="AA2480" s="12" t="n"/>
      <c r="AI2480" s="12" t="n"/>
      <c r="AJ2480" s="13">
        <f>IF(LEN(TRIM(AF2480))=0,"",HYPERLINK("https://www.google.com/maps/@?api=1&amp;map_action=pano&amp;viewpoint="&amp;SUBSTITUTE(AF2480," ",""),"Abrir Street View"))</f>
        <v/>
      </c>
    </row>
    <row r="2481">
      <c r="H2481" s="6" t="n"/>
      <c r="I2481" s="6" t="n"/>
      <c r="M2481" s="7" t="n"/>
      <c r="N2481" s="7" t="n"/>
      <c r="O2481" s="7" t="n"/>
      <c r="Q2481" s="7" t="n"/>
      <c r="R2481" s="7" t="n"/>
      <c r="S2481" s="8">
        <f>IF(NOT(ISNUMBER(M2481)),"",IF(G2481="Terreno",IF(AND(ISNUMBER(I2481),I2481&gt;0),M2481/I2481,""),IF(AND(ISNUMBER(H2481),H2481&gt;0),M2481/H2481,"")))</f>
        <v/>
      </c>
      <c r="T2481" s="9">
        <f>IF(AND(ISNUMBER(M2481),ISNUMBER(O2481)),IF(M2481&lt;=O2481,"Valor ≤ venal IPTU",""),"")</f>
        <v/>
      </c>
      <c r="U2481" s="10">
        <f>IF(AND(ISNUMBER(M2481),ISNUMBER(N2481)),IF(N2481&gt;0,M2481/N2481,""),"")</f>
        <v/>
      </c>
      <c r="V2481" s="10">
        <f>IF(AND(ISNUMBER(M2481),ISNUMBER(O2481)),IF(O2481&gt;0,M2481/O2481,""),"")</f>
        <v/>
      </c>
      <c r="W2481" s="10">
        <f>IF(AND(ISNUMBER(M2481),ISNUMBER(R2481)),IF(R2481&gt;0,M2481/R2481,""),"")</f>
        <v/>
      </c>
      <c r="X2481" s="10">
        <f>IF(AND(ISNUMBER(Q2481),ISNUMBER(M2481)),IF(M2481&gt;0,Q2481/M2481,""),"")</f>
        <v/>
      </c>
      <c r="Y2481" s="11">
        <f>IF(ISNUMBER(Z2481),YEAR(Z2481),"")</f>
        <v/>
      </c>
      <c r="Z2481" s="12" t="n"/>
      <c r="AA2481" s="12" t="n"/>
      <c r="AI2481" s="12" t="n"/>
      <c r="AJ2481" s="13">
        <f>IF(LEN(TRIM(AF2481))=0,"",HYPERLINK("https://www.google.com/maps/@?api=1&amp;map_action=pano&amp;viewpoint="&amp;SUBSTITUTE(AF2481," ",""),"Abrir Street View"))</f>
        <v/>
      </c>
    </row>
    <row r="2482">
      <c r="H2482" s="6" t="n"/>
      <c r="I2482" s="6" t="n"/>
      <c r="M2482" s="7" t="n"/>
      <c r="N2482" s="7" t="n"/>
      <c r="O2482" s="7" t="n"/>
      <c r="Q2482" s="7" t="n"/>
      <c r="R2482" s="7" t="n"/>
      <c r="S2482" s="8">
        <f>IF(NOT(ISNUMBER(M2482)),"",IF(G2482="Terreno",IF(AND(ISNUMBER(I2482),I2482&gt;0),M2482/I2482,""),IF(AND(ISNUMBER(H2482),H2482&gt;0),M2482/H2482,"")))</f>
        <v/>
      </c>
      <c r="T2482" s="9">
        <f>IF(AND(ISNUMBER(M2482),ISNUMBER(O2482)),IF(M2482&lt;=O2482,"Valor ≤ venal IPTU",""),"")</f>
        <v/>
      </c>
      <c r="U2482" s="10">
        <f>IF(AND(ISNUMBER(M2482),ISNUMBER(N2482)),IF(N2482&gt;0,M2482/N2482,""),"")</f>
        <v/>
      </c>
      <c r="V2482" s="10">
        <f>IF(AND(ISNUMBER(M2482),ISNUMBER(O2482)),IF(O2482&gt;0,M2482/O2482,""),"")</f>
        <v/>
      </c>
      <c r="W2482" s="10">
        <f>IF(AND(ISNUMBER(M2482),ISNUMBER(R2482)),IF(R2482&gt;0,M2482/R2482,""),"")</f>
        <v/>
      </c>
      <c r="X2482" s="10">
        <f>IF(AND(ISNUMBER(Q2482),ISNUMBER(M2482)),IF(M2482&gt;0,Q2482/M2482,""),"")</f>
        <v/>
      </c>
      <c r="Y2482" s="11">
        <f>IF(ISNUMBER(Z2482),YEAR(Z2482),"")</f>
        <v/>
      </c>
      <c r="Z2482" s="12" t="n"/>
      <c r="AA2482" s="12" t="n"/>
      <c r="AI2482" s="12" t="n"/>
      <c r="AJ2482" s="13">
        <f>IF(LEN(TRIM(AF2482))=0,"",HYPERLINK("https://www.google.com/maps/@?api=1&amp;map_action=pano&amp;viewpoint="&amp;SUBSTITUTE(AF2482," ",""),"Abrir Street View"))</f>
        <v/>
      </c>
    </row>
    <row r="2483">
      <c r="H2483" s="6" t="n"/>
      <c r="I2483" s="6" t="n"/>
      <c r="M2483" s="7" t="n"/>
      <c r="N2483" s="7" t="n"/>
      <c r="O2483" s="7" t="n"/>
      <c r="Q2483" s="7" t="n"/>
      <c r="R2483" s="7" t="n"/>
      <c r="S2483" s="8">
        <f>IF(NOT(ISNUMBER(M2483)),"",IF(G2483="Terreno",IF(AND(ISNUMBER(I2483),I2483&gt;0),M2483/I2483,""),IF(AND(ISNUMBER(H2483),H2483&gt;0),M2483/H2483,"")))</f>
        <v/>
      </c>
      <c r="T2483" s="9">
        <f>IF(AND(ISNUMBER(M2483),ISNUMBER(O2483)),IF(M2483&lt;=O2483,"Valor ≤ venal IPTU",""),"")</f>
        <v/>
      </c>
      <c r="U2483" s="10">
        <f>IF(AND(ISNUMBER(M2483),ISNUMBER(N2483)),IF(N2483&gt;0,M2483/N2483,""),"")</f>
        <v/>
      </c>
      <c r="V2483" s="10">
        <f>IF(AND(ISNUMBER(M2483),ISNUMBER(O2483)),IF(O2483&gt;0,M2483/O2483,""),"")</f>
        <v/>
      </c>
      <c r="W2483" s="10">
        <f>IF(AND(ISNUMBER(M2483),ISNUMBER(R2483)),IF(R2483&gt;0,M2483/R2483,""),"")</f>
        <v/>
      </c>
      <c r="X2483" s="10">
        <f>IF(AND(ISNUMBER(Q2483),ISNUMBER(M2483)),IF(M2483&gt;0,Q2483/M2483,""),"")</f>
        <v/>
      </c>
      <c r="Y2483" s="11">
        <f>IF(ISNUMBER(Z2483),YEAR(Z2483),"")</f>
        <v/>
      </c>
      <c r="Z2483" s="12" t="n"/>
      <c r="AA2483" s="12" t="n"/>
      <c r="AI2483" s="12" t="n"/>
      <c r="AJ2483" s="13">
        <f>IF(LEN(TRIM(AF2483))=0,"",HYPERLINK("https://www.google.com/maps/@?api=1&amp;map_action=pano&amp;viewpoint="&amp;SUBSTITUTE(AF2483," ",""),"Abrir Street View"))</f>
        <v/>
      </c>
    </row>
    <row r="2484">
      <c r="H2484" s="6" t="n"/>
      <c r="I2484" s="6" t="n"/>
      <c r="M2484" s="7" t="n"/>
      <c r="N2484" s="7" t="n"/>
      <c r="O2484" s="7" t="n"/>
      <c r="Q2484" s="7" t="n"/>
      <c r="R2484" s="7" t="n"/>
      <c r="S2484" s="8">
        <f>IF(NOT(ISNUMBER(M2484)),"",IF(G2484="Terreno",IF(AND(ISNUMBER(I2484),I2484&gt;0),M2484/I2484,""),IF(AND(ISNUMBER(H2484),H2484&gt;0),M2484/H2484,"")))</f>
        <v/>
      </c>
      <c r="T2484" s="9">
        <f>IF(AND(ISNUMBER(M2484),ISNUMBER(O2484)),IF(M2484&lt;=O2484,"Valor ≤ venal IPTU",""),"")</f>
        <v/>
      </c>
      <c r="U2484" s="10">
        <f>IF(AND(ISNUMBER(M2484),ISNUMBER(N2484)),IF(N2484&gt;0,M2484/N2484,""),"")</f>
        <v/>
      </c>
      <c r="V2484" s="10">
        <f>IF(AND(ISNUMBER(M2484),ISNUMBER(O2484)),IF(O2484&gt;0,M2484/O2484,""),"")</f>
        <v/>
      </c>
      <c r="W2484" s="10">
        <f>IF(AND(ISNUMBER(M2484),ISNUMBER(R2484)),IF(R2484&gt;0,M2484/R2484,""),"")</f>
        <v/>
      </c>
      <c r="X2484" s="10">
        <f>IF(AND(ISNUMBER(Q2484),ISNUMBER(M2484)),IF(M2484&gt;0,Q2484/M2484,""),"")</f>
        <v/>
      </c>
      <c r="Y2484" s="11">
        <f>IF(ISNUMBER(Z2484),YEAR(Z2484),"")</f>
        <v/>
      </c>
      <c r="Z2484" s="12" t="n"/>
      <c r="AA2484" s="12" t="n"/>
      <c r="AI2484" s="12" t="n"/>
      <c r="AJ2484" s="13">
        <f>IF(LEN(TRIM(AF2484))=0,"",HYPERLINK("https://www.google.com/maps/@?api=1&amp;map_action=pano&amp;viewpoint="&amp;SUBSTITUTE(AF2484," ",""),"Abrir Street View"))</f>
        <v/>
      </c>
    </row>
    <row r="2485">
      <c r="H2485" s="6" t="n"/>
      <c r="I2485" s="6" t="n"/>
      <c r="M2485" s="7" t="n"/>
      <c r="N2485" s="7" t="n"/>
      <c r="O2485" s="7" t="n"/>
      <c r="Q2485" s="7" t="n"/>
      <c r="R2485" s="7" t="n"/>
      <c r="S2485" s="8">
        <f>IF(NOT(ISNUMBER(M2485)),"",IF(G2485="Terreno",IF(AND(ISNUMBER(I2485),I2485&gt;0),M2485/I2485,""),IF(AND(ISNUMBER(H2485),H2485&gt;0),M2485/H2485,"")))</f>
        <v/>
      </c>
      <c r="T2485" s="9">
        <f>IF(AND(ISNUMBER(M2485),ISNUMBER(O2485)),IF(M2485&lt;=O2485,"Valor ≤ venal IPTU",""),"")</f>
        <v/>
      </c>
      <c r="U2485" s="10">
        <f>IF(AND(ISNUMBER(M2485),ISNUMBER(N2485)),IF(N2485&gt;0,M2485/N2485,""),"")</f>
        <v/>
      </c>
      <c r="V2485" s="10">
        <f>IF(AND(ISNUMBER(M2485),ISNUMBER(O2485)),IF(O2485&gt;0,M2485/O2485,""),"")</f>
        <v/>
      </c>
      <c r="W2485" s="10">
        <f>IF(AND(ISNUMBER(M2485),ISNUMBER(R2485)),IF(R2485&gt;0,M2485/R2485,""),"")</f>
        <v/>
      </c>
      <c r="X2485" s="10">
        <f>IF(AND(ISNUMBER(Q2485),ISNUMBER(M2485)),IF(M2485&gt;0,Q2485/M2485,""),"")</f>
        <v/>
      </c>
      <c r="Y2485" s="11">
        <f>IF(ISNUMBER(Z2485),YEAR(Z2485),"")</f>
        <v/>
      </c>
      <c r="Z2485" s="12" t="n"/>
      <c r="AA2485" s="12" t="n"/>
      <c r="AI2485" s="12" t="n"/>
      <c r="AJ2485" s="13">
        <f>IF(LEN(TRIM(AF2485))=0,"",HYPERLINK("https://www.google.com/maps/@?api=1&amp;map_action=pano&amp;viewpoint="&amp;SUBSTITUTE(AF2485," ",""),"Abrir Street View"))</f>
        <v/>
      </c>
    </row>
    <row r="2486">
      <c r="H2486" s="6" t="n"/>
      <c r="I2486" s="6" t="n"/>
      <c r="M2486" s="7" t="n"/>
      <c r="N2486" s="7" t="n"/>
      <c r="O2486" s="7" t="n"/>
      <c r="Q2486" s="7" t="n"/>
      <c r="R2486" s="7" t="n"/>
      <c r="S2486" s="8">
        <f>IF(NOT(ISNUMBER(M2486)),"",IF(G2486="Terreno",IF(AND(ISNUMBER(I2486),I2486&gt;0),M2486/I2486,""),IF(AND(ISNUMBER(H2486),H2486&gt;0),M2486/H2486,"")))</f>
        <v/>
      </c>
      <c r="T2486" s="9">
        <f>IF(AND(ISNUMBER(M2486),ISNUMBER(O2486)),IF(M2486&lt;=O2486,"Valor ≤ venal IPTU",""),"")</f>
        <v/>
      </c>
      <c r="U2486" s="10">
        <f>IF(AND(ISNUMBER(M2486),ISNUMBER(N2486)),IF(N2486&gt;0,M2486/N2486,""),"")</f>
        <v/>
      </c>
      <c r="V2486" s="10">
        <f>IF(AND(ISNUMBER(M2486),ISNUMBER(O2486)),IF(O2486&gt;0,M2486/O2486,""),"")</f>
        <v/>
      </c>
      <c r="W2486" s="10">
        <f>IF(AND(ISNUMBER(M2486),ISNUMBER(R2486)),IF(R2486&gt;0,M2486/R2486,""),"")</f>
        <v/>
      </c>
      <c r="X2486" s="10">
        <f>IF(AND(ISNUMBER(Q2486),ISNUMBER(M2486)),IF(M2486&gt;0,Q2486/M2486,""),"")</f>
        <v/>
      </c>
      <c r="Y2486" s="11">
        <f>IF(ISNUMBER(Z2486),YEAR(Z2486),"")</f>
        <v/>
      </c>
      <c r="Z2486" s="12" t="n"/>
      <c r="AA2486" s="12" t="n"/>
      <c r="AI2486" s="12" t="n"/>
      <c r="AJ2486" s="13">
        <f>IF(LEN(TRIM(AF2486))=0,"",HYPERLINK("https://www.google.com/maps/@?api=1&amp;map_action=pano&amp;viewpoint="&amp;SUBSTITUTE(AF2486," ",""),"Abrir Street View"))</f>
        <v/>
      </c>
    </row>
    <row r="2487">
      <c r="H2487" s="6" t="n"/>
      <c r="I2487" s="6" t="n"/>
      <c r="M2487" s="7" t="n"/>
      <c r="N2487" s="7" t="n"/>
      <c r="O2487" s="7" t="n"/>
      <c r="Q2487" s="7" t="n"/>
      <c r="R2487" s="7" t="n"/>
      <c r="S2487" s="8">
        <f>IF(NOT(ISNUMBER(M2487)),"",IF(G2487="Terreno",IF(AND(ISNUMBER(I2487),I2487&gt;0),M2487/I2487,""),IF(AND(ISNUMBER(H2487),H2487&gt;0),M2487/H2487,"")))</f>
        <v/>
      </c>
      <c r="T2487" s="9">
        <f>IF(AND(ISNUMBER(M2487),ISNUMBER(O2487)),IF(M2487&lt;=O2487,"Valor ≤ venal IPTU",""),"")</f>
        <v/>
      </c>
      <c r="U2487" s="10">
        <f>IF(AND(ISNUMBER(M2487),ISNUMBER(N2487)),IF(N2487&gt;0,M2487/N2487,""),"")</f>
        <v/>
      </c>
      <c r="V2487" s="10">
        <f>IF(AND(ISNUMBER(M2487),ISNUMBER(O2487)),IF(O2487&gt;0,M2487/O2487,""),"")</f>
        <v/>
      </c>
      <c r="W2487" s="10">
        <f>IF(AND(ISNUMBER(M2487),ISNUMBER(R2487)),IF(R2487&gt;0,M2487/R2487,""),"")</f>
        <v/>
      </c>
      <c r="X2487" s="10">
        <f>IF(AND(ISNUMBER(Q2487),ISNUMBER(M2487)),IF(M2487&gt;0,Q2487/M2487,""),"")</f>
        <v/>
      </c>
      <c r="Y2487" s="11">
        <f>IF(ISNUMBER(Z2487),YEAR(Z2487),"")</f>
        <v/>
      </c>
      <c r="Z2487" s="12" t="n"/>
      <c r="AA2487" s="12" t="n"/>
      <c r="AI2487" s="12" t="n"/>
      <c r="AJ2487" s="13">
        <f>IF(LEN(TRIM(AF2487))=0,"",HYPERLINK("https://www.google.com/maps/@?api=1&amp;map_action=pano&amp;viewpoint="&amp;SUBSTITUTE(AF2487," ",""),"Abrir Street View"))</f>
        <v/>
      </c>
    </row>
    <row r="2488">
      <c r="H2488" s="6" t="n"/>
      <c r="I2488" s="6" t="n"/>
      <c r="M2488" s="7" t="n"/>
      <c r="N2488" s="7" t="n"/>
      <c r="O2488" s="7" t="n"/>
      <c r="Q2488" s="7" t="n"/>
      <c r="R2488" s="7" t="n"/>
      <c r="S2488" s="8">
        <f>IF(NOT(ISNUMBER(M2488)),"",IF(G2488="Terreno",IF(AND(ISNUMBER(I2488),I2488&gt;0),M2488/I2488,""),IF(AND(ISNUMBER(H2488),H2488&gt;0),M2488/H2488,"")))</f>
        <v/>
      </c>
      <c r="T2488" s="9">
        <f>IF(AND(ISNUMBER(M2488),ISNUMBER(O2488)),IF(M2488&lt;=O2488,"Valor ≤ venal IPTU",""),"")</f>
        <v/>
      </c>
      <c r="U2488" s="10">
        <f>IF(AND(ISNUMBER(M2488),ISNUMBER(N2488)),IF(N2488&gt;0,M2488/N2488,""),"")</f>
        <v/>
      </c>
      <c r="V2488" s="10">
        <f>IF(AND(ISNUMBER(M2488),ISNUMBER(O2488)),IF(O2488&gt;0,M2488/O2488,""),"")</f>
        <v/>
      </c>
      <c r="W2488" s="10">
        <f>IF(AND(ISNUMBER(M2488),ISNUMBER(R2488)),IF(R2488&gt;0,M2488/R2488,""),"")</f>
        <v/>
      </c>
      <c r="X2488" s="10">
        <f>IF(AND(ISNUMBER(Q2488),ISNUMBER(M2488)),IF(M2488&gt;0,Q2488/M2488,""),"")</f>
        <v/>
      </c>
      <c r="Y2488" s="11">
        <f>IF(ISNUMBER(Z2488),YEAR(Z2488),"")</f>
        <v/>
      </c>
      <c r="Z2488" s="12" t="n"/>
      <c r="AA2488" s="12" t="n"/>
      <c r="AI2488" s="12" t="n"/>
      <c r="AJ2488" s="13">
        <f>IF(LEN(TRIM(AF2488))=0,"",HYPERLINK("https://www.google.com/maps/@?api=1&amp;map_action=pano&amp;viewpoint="&amp;SUBSTITUTE(AF2488," ",""),"Abrir Street View"))</f>
        <v/>
      </c>
    </row>
    <row r="2489">
      <c r="H2489" s="6" t="n"/>
      <c r="I2489" s="6" t="n"/>
      <c r="M2489" s="7" t="n"/>
      <c r="N2489" s="7" t="n"/>
      <c r="O2489" s="7" t="n"/>
      <c r="Q2489" s="7" t="n"/>
      <c r="R2489" s="7" t="n"/>
      <c r="S2489" s="8">
        <f>IF(NOT(ISNUMBER(M2489)),"",IF(G2489="Terreno",IF(AND(ISNUMBER(I2489),I2489&gt;0),M2489/I2489,""),IF(AND(ISNUMBER(H2489),H2489&gt;0),M2489/H2489,"")))</f>
        <v/>
      </c>
      <c r="T2489" s="9">
        <f>IF(AND(ISNUMBER(M2489),ISNUMBER(O2489)),IF(M2489&lt;=O2489,"Valor ≤ venal IPTU",""),"")</f>
        <v/>
      </c>
      <c r="U2489" s="10">
        <f>IF(AND(ISNUMBER(M2489),ISNUMBER(N2489)),IF(N2489&gt;0,M2489/N2489,""),"")</f>
        <v/>
      </c>
      <c r="V2489" s="10">
        <f>IF(AND(ISNUMBER(M2489),ISNUMBER(O2489)),IF(O2489&gt;0,M2489/O2489,""),"")</f>
        <v/>
      </c>
      <c r="W2489" s="10">
        <f>IF(AND(ISNUMBER(M2489),ISNUMBER(R2489)),IF(R2489&gt;0,M2489/R2489,""),"")</f>
        <v/>
      </c>
      <c r="X2489" s="10">
        <f>IF(AND(ISNUMBER(Q2489),ISNUMBER(M2489)),IF(M2489&gt;0,Q2489/M2489,""),"")</f>
        <v/>
      </c>
      <c r="Y2489" s="11">
        <f>IF(ISNUMBER(Z2489),YEAR(Z2489),"")</f>
        <v/>
      </c>
      <c r="Z2489" s="12" t="n"/>
      <c r="AA2489" s="12" t="n"/>
      <c r="AI2489" s="12" t="n"/>
      <c r="AJ2489" s="13">
        <f>IF(LEN(TRIM(AF2489))=0,"",HYPERLINK("https://www.google.com/maps/@?api=1&amp;map_action=pano&amp;viewpoint="&amp;SUBSTITUTE(AF2489," ",""),"Abrir Street View"))</f>
        <v/>
      </c>
    </row>
    <row r="2490">
      <c r="H2490" s="6" t="n"/>
      <c r="I2490" s="6" t="n"/>
      <c r="M2490" s="7" t="n"/>
      <c r="N2490" s="7" t="n"/>
      <c r="O2490" s="7" t="n"/>
      <c r="Q2490" s="7" t="n"/>
      <c r="R2490" s="7" t="n"/>
      <c r="S2490" s="8">
        <f>IF(NOT(ISNUMBER(M2490)),"",IF(G2490="Terreno",IF(AND(ISNUMBER(I2490),I2490&gt;0),M2490/I2490,""),IF(AND(ISNUMBER(H2490),H2490&gt;0),M2490/H2490,"")))</f>
        <v/>
      </c>
      <c r="T2490" s="9">
        <f>IF(AND(ISNUMBER(M2490),ISNUMBER(O2490)),IF(M2490&lt;=O2490,"Valor ≤ venal IPTU",""),"")</f>
        <v/>
      </c>
      <c r="U2490" s="10">
        <f>IF(AND(ISNUMBER(M2490),ISNUMBER(N2490)),IF(N2490&gt;0,M2490/N2490,""),"")</f>
        <v/>
      </c>
      <c r="V2490" s="10">
        <f>IF(AND(ISNUMBER(M2490),ISNUMBER(O2490)),IF(O2490&gt;0,M2490/O2490,""),"")</f>
        <v/>
      </c>
      <c r="W2490" s="10">
        <f>IF(AND(ISNUMBER(M2490),ISNUMBER(R2490)),IF(R2490&gt;0,M2490/R2490,""),"")</f>
        <v/>
      </c>
      <c r="X2490" s="10">
        <f>IF(AND(ISNUMBER(Q2490),ISNUMBER(M2490)),IF(M2490&gt;0,Q2490/M2490,""),"")</f>
        <v/>
      </c>
      <c r="Y2490" s="11">
        <f>IF(ISNUMBER(Z2490),YEAR(Z2490),"")</f>
        <v/>
      </c>
      <c r="Z2490" s="12" t="n"/>
      <c r="AA2490" s="12" t="n"/>
      <c r="AI2490" s="12" t="n"/>
      <c r="AJ2490" s="13">
        <f>IF(LEN(TRIM(AF2490))=0,"",HYPERLINK("https://www.google.com/maps/@?api=1&amp;map_action=pano&amp;viewpoint="&amp;SUBSTITUTE(AF2490," ",""),"Abrir Street View"))</f>
        <v/>
      </c>
    </row>
    <row r="2491">
      <c r="H2491" s="6" t="n"/>
      <c r="I2491" s="6" t="n"/>
      <c r="M2491" s="7" t="n"/>
      <c r="N2491" s="7" t="n"/>
      <c r="O2491" s="7" t="n"/>
      <c r="Q2491" s="7" t="n"/>
      <c r="R2491" s="7" t="n"/>
      <c r="S2491" s="8">
        <f>IF(NOT(ISNUMBER(M2491)),"",IF(G2491="Terreno",IF(AND(ISNUMBER(I2491),I2491&gt;0),M2491/I2491,""),IF(AND(ISNUMBER(H2491),H2491&gt;0),M2491/H2491,"")))</f>
        <v/>
      </c>
      <c r="T2491" s="9">
        <f>IF(AND(ISNUMBER(M2491),ISNUMBER(O2491)),IF(M2491&lt;=O2491,"Valor ≤ venal IPTU",""),"")</f>
        <v/>
      </c>
      <c r="U2491" s="10">
        <f>IF(AND(ISNUMBER(M2491),ISNUMBER(N2491)),IF(N2491&gt;0,M2491/N2491,""),"")</f>
        <v/>
      </c>
      <c r="V2491" s="10">
        <f>IF(AND(ISNUMBER(M2491),ISNUMBER(O2491)),IF(O2491&gt;0,M2491/O2491,""),"")</f>
        <v/>
      </c>
      <c r="W2491" s="10">
        <f>IF(AND(ISNUMBER(M2491),ISNUMBER(R2491)),IF(R2491&gt;0,M2491/R2491,""),"")</f>
        <v/>
      </c>
      <c r="X2491" s="10">
        <f>IF(AND(ISNUMBER(Q2491),ISNUMBER(M2491)),IF(M2491&gt;0,Q2491/M2491,""),"")</f>
        <v/>
      </c>
      <c r="Y2491" s="11">
        <f>IF(ISNUMBER(Z2491),YEAR(Z2491),"")</f>
        <v/>
      </c>
      <c r="Z2491" s="12" t="n"/>
      <c r="AA2491" s="12" t="n"/>
      <c r="AI2491" s="12" t="n"/>
      <c r="AJ2491" s="13">
        <f>IF(LEN(TRIM(AF2491))=0,"",HYPERLINK("https://www.google.com/maps/@?api=1&amp;map_action=pano&amp;viewpoint="&amp;SUBSTITUTE(AF2491," ",""),"Abrir Street View"))</f>
        <v/>
      </c>
    </row>
    <row r="2492">
      <c r="H2492" s="6" t="n"/>
      <c r="I2492" s="6" t="n"/>
      <c r="M2492" s="7" t="n"/>
      <c r="N2492" s="7" t="n"/>
      <c r="O2492" s="7" t="n"/>
      <c r="Q2492" s="7" t="n"/>
      <c r="R2492" s="7" t="n"/>
      <c r="S2492" s="8">
        <f>IF(NOT(ISNUMBER(M2492)),"",IF(G2492="Terreno",IF(AND(ISNUMBER(I2492),I2492&gt;0),M2492/I2492,""),IF(AND(ISNUMBER(H2492),H2492&gt;0),M2492/H2492,"")))</f>
        <v/>
      </c>
      <c r="T2492" s="9">
        <f>IF(AND(ISNUMBER(M2492),ISNUMBER(O2492)),IF(M2492&lt;=O2492,"Valor ≤ venal IPTU",""),"")</f>
        <v/>
      </c>
      <c r="U2492" s="10">
        <f>IF(AND(ISNUMBER(M2492),ISNUMBER(N2492)),IF(N2492&gt;0,M2492/N2492,""),"")</f>
        <v/>
      </c>
      <c r="V2492" s="10">
        <f>IF(AND(ISNUMBER(M2492),ISNUMBER(O2492)),IF(O2492&gt;0,M2492/O2492,""),"")</f>
        <v/>
      </c>
      <c r="W2492" s="10">
        <f>IF(AND(ISNUMBER(M2492),ISNUMBER(R2492)),IF(R2492&gt;0,M2492/R2492,""),"")</f>
        <v/>
      </c>
      <c r="X2492" s="10">
        <f>IF(AND(ISNUMBER(Q2492),ISNUMBER(M2492)),IF(M2492&gt;0,Q2492/M2492,""),"")</f>
        <v/>
      </c>
      <c r="Y2492" s="11">
        <f>IF(ISNUMBER(Z2492),YEAR(Z2492),"")</f>
        <v/>
      </c>
      <c r="Z2492" s="12" t="n"/>
      <c r="AA2492" s="12" t="n"/>
      <c r="AI2492" s="12" t="n"/>
      <c r="AJ2492" s="13">
        <f>IF(LEN(TRIM(AF2492))=0,"",HYPERLINK("https://www.google.com/maps/@?api=1&amp;map_action=pano&amp;viewpoint="&amp;SUBSTITUTE(AF2492," ",""),"Abrir Street View"))</f>
        <v/>
      </c>
    </row>
    <row r="2493">
      <c r="H2493" s="6" t="n"/>
      <c r="I2493" s="6" t="n"/>
      <c r="M2493" s="7" t="n"/>
      <c r="N2493" s="7" t="n"/>
      <c r="O2493" s="7" t="n"/>
      <c r="Q2493" s="7" t="n"/>
      <c r="R2493" s="7" t="n"/>
      <c r="S2493" s="8">
        <f>IF(NOT(ISNUMBER(M2493)),"",IF(G2493="Terreno",IF(AND(ISNUMBER(I2493),I2493&gt;0),M2493/I2493,""),IF(AND(ISNUMBER(H2493),H2493&gt;0),M2493/H2493,"")))</f>
        <v/>
      </c>
      <c r="T2493" s="9">
        <f>IF(AND(ISNUMBER(M2493),ISNUMBER(O2493)),IF(M2493&lt;=O2493,"Valor ≤ venal IPTU",""),"")</f>
        <v/>
      </c>
      <c r="U2493" s="10">
        <f>IF(AND(ISNUMBER(M2493),ISNUMBER(N2493)),IF(N2493&gt;0,M2493/N2493,""),"")</f>
        <v/>
      </c>
      <c r="V2493" s="10">
        <f>IF(AND(ISNUMBER(M2493),ISNUMBER(O2493)),IF(O2493&gt;0,M2493/O2493,""),"")</f>
        <v/>
      </c>
      <c r="W2493" s="10">
        <f>IF(AND(ISNUMBER(M2493),ISNUMBER(R2493)),IF(R2493&gt;0,M2493/R2493,""),"")</f>
        <v/>
      </c>
      <c r="X2493" s="10">
        <f>IF(AND(ISNUMBER(Q2493),ISNUMBER(M2493)),IF(M2493&gt;0,Q2493/M2493,""),"")</f>
        <v/>
      </c>
      <c r="Y2493" s="11">
        <f>IF(ISNUMBER(Z2493),YEAR(Z2493),"")</f>
        <v/>
      </c>
      <c r="Z2493" s="12" t="n"/>
      <c r="AA2493" s="12" t="n"/>
      <c r="AI2493" s="12" t="n"/>
      <c r="AJ2493" s="13">
        <f>IF(LEN(TRIM(AF2493))=0,"",HYPERLINK("https://www.google.com/maps/@?api=1&amp;map_action=pano&amp;viewpoint="&amp;SUBSTITUTE(AF2493," ",""),"Abrir Street View"))</f>
        <v/>
      </c>
    </row>
    <row r="2494">
      <c r="H2494" s="6" t="n"/>
      <c r="I2494" s="6" t="n"/>
      <c r="M2494" s="7" t="n"/>
      <c r="N2494" s="7" t="n"/>
      <c r="O2494" s="7" t="n"/>
      <c r="Q2494" s="7" t="n"/>
      <c r="R2494" s="7" t="n"/>
      <c r="S2494" s="8">
        <f>IF(NOT(ISNUMBER(M2494)),"",IF(G2494="Terreno",IF(AND(ISNUMBER(I2494),I2494&gt;0),M2494/I2494,""),IF(AND(ISNUMBER(H2494),H2494&gt;0),M2494/H2494,"")))</f>
        <v/>
      </c>
      <c r="T2494" s="9">
        <f>IF(AND(ISNUMBER(M2494),ISNUMBER(O2494)),IF(M2494&lt;=O2494,"Valor ≤ venal IPTU",""),"")</f>
        <v/>
      </c>
      <c r="U2494" s="10">
        <f>IF(AND(ISNUMBER(M2494),ISNUMBER(N2494)),IF(N2494&gt;0,M2494/N2494,""),"")</f>
        <v/>
      </c>
      <c r="V2494" s="10">
        <f>IF(AND(ISNUMBER(M2494),ISNUMBER(O2494)),IF(O2494&gt;0,M2494/O2494,""),"")</f>
        <v/>
      </c>
      <c r="W2494" s="10">
        <f>IF(AND(ISNUMBER(M2494),ISNUMBER(R2494)),IF(R2494&gt;0,M2494/R2494,""),"")</f>
        <v/>
      </c>
      <c r="X2494" s="10">
        <f>IF(AND(ISNUMBER(Q2494),ISNUMBER(M2494)),IF(M2494&gt;0,Q2494/M2494,""),"")</f>
        <v/>
      </c>
      <c r="Y2494" s="11">
        <f>IF(ISNUMBER(Z2494),YEAR(Z2494),"")</f>
        <v/>
      </c>
      <c r="Z2494" s="12" t="n"/>
      <c r="AA2494" s="12" t="n"/>
      <c r="AI2494" s="12" t="n"/>
      <c r="AJ2494" s="13">
        <f>IF(LEN(TRIM(AF2494))=0,"",HYPERLINK("https://www.google.com/maps/@?api=1&amp;map_action=pano&amp;viewpoint="&amp;SUBSTITUTE(AF2494," ",""),"Abrir Street View"))</f>
        <v/>
      </c>
    </row>
    <row r="2495">
      <c r="H2495" s="6" t="n"/>
      <c r="I2495" s="6" t="n"/>
      <c r="M2495" s="7" t="n"/>
      <c r="N2495" s="7" t="n"/>
      <c r="O2495" s="7" t="n"/>
      <c r="Q2495" s="7" t="n"/>
      <c r="R2495" s="7" t="n"/>
      <c r="S2495" s="8">
        <f>IF(NOT(ISNUMBER(M2495)),"",IF(G2495="Terreno",IF(AND(ISNUMBER(I2495),I2495&gt;0),M2495/I2495,""),IF(AND(ISNUMBER(H2495),H2495&gt;0),M2495/H2495,"")))</f>
        <v/>
      </c>
      <c r="T2495" s="9">
        <f>IF(AND(ISNUMBER(M2495),ISNUMBER(O2495)),IF(M2495&lt;=O2495,"Valor ≤ venal IPTU",""),"")</f>
        <v/>
      </c>
      <c r="U2495" s="10">
        <f>IF(AND(ISNUMBER(M2495),ISNUMBER(N2495)),IF(N2495&gt;0,M2495/N2495,""),"")</f>
        <v/>
      </c>
      <c r="V2495" s="10">
        <f>IF(AND(ISNUMBER(M2495),ISNUMBER(O2495)),IF(O2495&gt;0,M2495/O2495,""),"")</f>
        <v/>
      </c>
      <c r="W2495" s="10">
        <f>IF(AND(ISNUMBER(M2495),ISNUMBER(R2495)),IF(R2495&gt;0,M2495/R2495,""),"")</f>
        <v/>
      </c>
      <c r="X2495" s="10">
        <f>IF(AND(ISNUMBER(Q2495),ISNUMBER(M2495)),IF(M2495&gt;0,Q2495/M2495,""),"")</f>
        <v/>
      </c>
      <c r="Y2495" s="11">
        <f>IF(ISNUMBER(Z2495),YEAR(Z2495),"")</f>
        <v/>
      </c>
      <c r="Z2495" s="12" t="n"/>
      <c r="AA2495" s="12" t="n"/>
      <c r="AI2495" s="12" t="n"/>
      <c r="AJ2495" s="13">
        <f>IF(LEN(TRIM(AF2495))=0,"",HYPERLINK("https://www.google.com/maps/@?api=1&amp;map_action=pano&amp;viewpoint="&amp;SUBSTITUTE(AF2495," ",""),"Abrir Street View"))</f>
        <v/>
      </c>
    </row>
    <row r="2496">
      <c r="H2496" s="6" t="n"/>
      <c r="I2496" s="6" t="n"/>
      <c r="M2496" s="7" t="n"/>
      <c r="N2496" s="7" t="n"/>
      <c r="O2496" s="7" t="n"/>
      <c r="Q2496" s="7" t="n"/>
      <c r="R2496" s="7" t="n"/>
      <c r="S2496" s="8">
        <f>IF(NOT(ISNUMBER(M2496)),"",IF(G2496="Terreno",IF(AND(ISNUMBER(I2496),I2496&gt;0),M2496/I2496,""),IF(AND(ISNUMBER(H2496),H2496&gt;0),M2496/H2496,"")))</f>
        <v/>
      </c>
      <c r="T2496" s="9">
        <f>IF(AND(ISNUMBER(M2496),ISNUMBER(O2496)),IF(M2496&lt;=O2496,"Valor ≤ venal IPTU",""),"")</f>
        <v/>
      </c>
      <c r="U2496" s="10">
        <f>IF(AND(ISNUMBER(M2496),ISNUMBER(N2496)),IF(N2496&gt;0,M2496/N2496,""),"")</f>
        <v/>
      </c>
      <c r="V2496" s="10">
        <f>IF(AND(ISNUMBER(M2496),ISNUMBER(O2496)),IF(O2496&gt;0,M2496/O2496,""),"")</f>
        <v/>
      </c>
      <c r="W2496" s="10">
        <f>IF(AND(ISNUMBER(M2496),ISNUMBER(R2496)),IF(R2496&gt;0,M2496/R2496,""),"")</f>
        <v/>
      </c>
      <c r="X2496" s="10">
        <f>IF(AND(ISNUMBER(Q2496),ISNUMBER(M2496)),IF(M2496&gt;0,Q2496/M2496,""),"")</f>
        <v/>
      </c>
      <c r="Y2496" s="11">
        <f>IF(ISNUMBER(Z2496),YEAR(Z2496),"")</f>
        <v/>
      </c>
      <c r="Z2496" s="12" t="n"/>
      <c r="AA2496" s="12" t="n"/>
      <c r="AI2496" s="12" t="n"/>
      <c r="AJ2496" s="13">
        <f>IF(LEN(TRIM(AF2496))=0,"",HYPERLINK("https://www.google.com/maps/@?api=1&amp;map_action=pano&amp;viewpoint="&amp;SUBSTITUTE(AF2496," ",""),"Abrir Street View"))</f>
        <v/>
      </c>
    </row>
    <row r="2497">
      <c r="H2497" s="6" t="n"/>
      <c r="I2497" s="6" t="n"/>
      <c r="M2497" s="7" t="n"/>
      <c r="N2497" s="7" t="n"/>
      <c r="O2497" s="7" t="n"/>
      <c r="Q2497" s="7" t="n"/>
      <c r="R2497" s="7" t="n"/>
      <c r="S2497" s="8">
        <f>IF(NOT(ISNUMBER(M2497)),"",IF(G2497="Terreno",IF(AND(ISNUMBER(I2497),I2497&gt;0),M2497/I2497,""),IF(AND(ISNUMBER(H2497),H2497&gt;0),M2497/H2497,"")))</f>
        <v/>
      </c>
      <c r="T2497" s="9">
        <f>IF(AND(ISNUMBER(M2497),ISNUMBER(O2497)),IF(M2497&lt;=O2497,"Valor ≤ venal IPTU",""),"")</f>
        <v/>
      </c>
      <c r="U2497" s="10">
        <f>IF(AND(ISNUMBER(M2497),ISNUMBER(N2497)),IF(N2497&gt;0,M2497/N2497,""),"")</f>
        <v/>
      </c>
      <c r="V2497" s="10">
        <f>IF(AND(ISNUMBER(M2497),ISNUMBER(O2497)),IF(O2497&gt;0,M2497/O2497,""),"")</f>
        <v/>
      </c>
      <c r="W2497" s="10">
        <f>IF(AND(ISNUMBER(M2497),ISNUMBER(R2497)),IF(R2497&gt;0,M2497/R2497,""),"")</f>
        <v/>
      </c>
      <c r="X2497" s="10">
        <f>IF(AND(ISNUMBER(Q2497),ISNUMBER(M2497)),IF(M2497&gt;0,Q2497/M2497,""),"")</f>
        <v/>
      </c>
      <c r="Y2497" s="11">
        <f>IF(ISNUMBER(Z2497),YEAR(Z2497),"")</f>
        <v/>
      </c>
      <c r="Z2497" s="12" t="n"/>
      <c r="AA2497" s="12" t="n"/>
      <c r="AI2497" s="12" t="n"/>
      <c r="AJ2497" s="13">
        <f>IF(LEN(TRIM(AF2497))=0,"",HYPERLINK("https://www.google.com/maps/@?api=1&amp;map_action=pano&amp;viewpoint="&amp;SUBSTITUTE(AF2497," ",""),"Abrir Street View"))</f>
        <v/>
      </c>
    </row>
    <row r="2498">
      <c r="H2498" s="6" t="n"/>
      <c r="I2498" s="6" t="n"/>
      <c r="M2498" s="7" t="n"/>
      <c r="N2498" s="7" t="n"/>
      <c r="O2498" s="7" t="n"/>
      <c r="Q2498" s="7" t="n"/>
      <c r="R2498" s="7" t="n"/>
      <c r="S2498" s="8">
        <f>IF(NOT(ISNUMBER(M2498)),"",IF(G2498="Terreno",IF(AND(ISNUMBER(I2498),I2498&gt;0),M2498/I2498,""),IF(AND(ISNUMBER(H2498),H2498&gt;0),M2498/H2498,"")))</f>
        <v/>
      </c>
      <c r="T2498" s="9">
        <f>IF(AND(ISNUMBER(M2498),ISNUMBER(O2498)),IF(M2498&lt;=O2498,"Valor ≤ venal IPTU",""),"")</f>
        <v/>
      </c>
      <c r="U2498" s="10">
        <f>IF(AND(ISNUMBER(M2498),ISNUMBER(N2498)),IF(N2498&gt;0,M2498/N2498,""),"")</f>
        <v/>
      </c>
      <c r="V2498" s="10">
        <f>IF(AND(ISNUMBER(M2498),ISNUMBER(O2498)),IF(O2498&gt;0,M2498/O2498,""),"")</f>
        <v/>
      </c>
      <c r="W2498" s="10">
        <f>IF(AND(ISNUMBER(M2498),ISNUMBER(R2498)),IF(R2498&gt;0,M2498/R2498,""),"")</f>
        <v/>
      </c>
      <c r="X2498" s="10">
        <f>IF(AND(ISNUMBER(Q2498),ISNUMBER(M2498)),IF(M2498&gt;0,Q2498/M2498,""),"")</f>
        <v/>
      </c>
      <c r="Y2498" s="11">
        <f>IF(ISNUMBER(Z2498),YEAR(Z2498),"")</f>
        <v/>
      </c>
      <c r="Z2498" s="12" t="n"/>
      <c r="AA2498" s="12" t="n"/>
      <c r="AI2498" s="12" t="n"/>
      <c r="AJ2498" s="13">
        <f>IF(LEN(TRIM(AF2498))=0,"",HYPERLINK("https://www.google.com/maps/@?api=1&amp;map_action=pano&amp;viewpoint="&amp;SUBSTITUTE(AF2498," ",""),"Abrir Street View"))</f>
        <v/>
      </c>
    </row>
    <row r="2499">
      <c r="H2499" s="6" t="n"/>
      <c r="I2499" s="6" t="n"/>
      <c r="M2499" s="7" t="n"/>
      <c r="N2499" s="7" t="n"/>
      <c r="O2499" s="7" t="n"/>
      <c r="Q2499" s="7" t="n"/>
      <c r="R2499" s="7" t="n"/>
      <c r="S2499" s="8">
        <f>IF(NOT(ISNUMBER(M2499)),"",IF(G2499="Terreno",IF(AND(ISNUMBER(I2499),I2499&gt;0),M2499/I2499,""),IF(AND(ISNUMBER(H2499),H2499&gt;0),M2499/H2499,"")))</f>
        <v/>
      </c>
      <c r="T2499" s="9">
        <f>IF(AND(ISNUMBER(M2499),ISNUMBER(O2499)),IF(M2499&lt;=O2499,"Valor ≤ venal IPTU",""),"")</f>
        <v/>
      </c>
      <c r="U2499" s="10">
        <f>IF(AND(ISNUMBER(M2499),ISNUMBER(N2499)),IF(N2499&gt;0,M2499/N2499,""),"")</f>
        <v/>
      </c>
      <c r="V2499" s="10">
        <f>IF(AND(ISNUMBER(M2499),ISNUMBER(O2499)),IF(O2499&gt;0,M2499/O2499,""),"")</f>
        <v/>
      </c>
      <c r="W2499" s="10">
        <f>IF(AND(ISNUMBER(M2499),ISNUMBER(R2499)),IF(R2499&gt;0,M2499/R2499,""),"")</f>
        <v/>
      </c>
      <c r="X2499" s="10">
        <f>IF(AND(ISNUMBER(Q2499),ISNUMBER(M2499)),IF(M2499&gt;0,Q2499/M2499,""),"")</f>
        <v/>
      </c>
      <c r="Y2499" s="11">
        <f>IF(ISNUMBER(Z2499),YEAR(Z2499),"")</f>
        <v/>
      </c>
      <c r="Z2499" s="12" t="n"/>
      <c r="AA2499" s="12" t="n"/>
      <c r="AI2499" s="12" t="n"/>
      <c r="AJ2499" s="13">
        <f>IF(LEN(TRIM(AF2499))=0,"",HYPERLINK("https://www.google.com/maps/@?api=1&amp;map_action=pano&amp;viewpoint="&amp;SUBSTITUTE(AF2499," ",""),"Abrir Street View"))</f>
        <v/>
      </c>
    </row>
    <row r="2500">
      <c r="H2500" s="6" t="n"/>
      <c r="I2500" s="6" t="n"/>
      <c r="M2500" s="7" t="n"/>
      <c r="N2500" s="7" t="n"/>
      <c r="O2500" s="7" t="n"/>
      <c r="Q2500" s="7" t="n"/>
      <c r="R2500" s="7" t="n"/>
      <c r="S2500" s="8">
        <f>IF(NOT(ISNUMBER(M2500)),"",IF(G2500="Terreno",IF(AND(ISNUMBER(I2500),I2500&gt;0),M2500/I2500,""),IF(AND(ISNUMBER(H2500),H2500&gt;0),M2500/H2500,"")))</f>
        <v/>
      </c>
      <c r="T2500" s="9">
        <f>IF(AND(ISNUMBER(M2500),ISNUMBER(O2500)),IF(M2500&lt;=O2500,"Valor ≤ venal IPTU",""),"")</f>
        <v/>
      </c>
      <c r="U2500" s="10">
        <f>IF(AND(ISNUMBER(M2500),ISNUMBER(N2500)),IF(N2500&gt;0,M2500/N2500,""),"")</f>
        <v/>
      </c>
      <c r="V2500" s="10">
        <f>IF(AND(ISNUMBER(M2500),ISNUMBER(O2500)),IF(O2500&gt;0,M2500/O2500,""),"")</f>
        <v/>
      </c>
      <c r="W2500" s="10">
        <f>IF(AND(ISNUMBER(M2500),ISNUMBER(R2500)),IF(R2500&gt;0,M2500/R2500,""),"")</f>
        <v/>
      </c>
      <c r="X2500" s="10">
        <f>IF(AND(ISNUMBER(Q2500),ISNUMBER(M2500)),IF(M2500&gt;0,Q2500/M2500,""),"")</f>
        <v/>
      </c>
      <c r="Y2500" s="11">
        <f>IF(ISNUMBER(Z2500),YEAR(Z2500),"")</f>
        <v/>
      </c>
      <c r="Z2500" s="12" t="n"/>
      <c r="AA2500" s="12" t="n"/>
      <c r="AI2500" s="12" t="n"/>
      <c r="AJ2500" s="13">
        <f>IF(LEN(TRIM(AF2500))=0,"",HYPERLINK("https://www.google.com/maps/@?api=1&amp;map_action=pano&amp;viewpoint="&amp;SUBSTITUTE(AF2500," ",""),"Abrir Street View"))</f>
        <v/>
      </c>
    </row>
    <row r="2501">
      <c r="H2501" s="6" t="n"/>
      <c r="I2501" s="6" t="n"/>
      <c r="M2501" s="7" t="n"/>
      <c r="N2501" s="7" t="n"/>
      <c r="O2501" s="7" t="n"/>
      <c r="Q2501" s="7" t="n"/>
      <c r="R2501" s="7" t="n"/>
      <c r="S2501" s="8">
        <f>IF(NOT(ISNUMBER(M2501)),"",IF(G2501="Terreno",IF(AND(ISNUMBER(I2501),I2501&gt;0),M2501/I2501,""),IF(AND(ISNUMBER(H2501),H2501&gt;0),M2501/H2501,"")))</f>
        <v/>
      </c>
      <c r="T2501" s="9">
        <f>IF(AND(ISNUMBER(M2501),ISNUMBER(O2501)),IF(M2501&lt;=O2501,"Valor ≤ venal IPTU",""),"")</f>
        <v/>
      </c>
      <c r="U2501" s="10">
        <f>IF(AND(ISNUMBER(M2501),ISNUMBER(N2501)),IF(N2501&gt;0,M2501/N2501,""),"")</f>
        <v/>
      </c>
      <c r="V2501" s="10">
        <f>IF(AND(ISNUMBER(M2501),ISNUMBER(O2501)),IF(O2501&gt;0,M2501/O2501,""),"")</f>
        <v/>
      </c>
      <c r="W2501" s="10">
        <f>IF(AND(ISNUMBER(M2501),ISNUMBER(R2501)),IF(R2501&gt;0,M2501/R2501,""),"")</f>
        <v/>
      </c>
      <c r="X2501" s="10">
        <f>IF(AND(ISNUMBER(Q2501),ISNUMBER(M2501)),IF(M2501&gt;0,Q2501/M2501,""),"")</f>
        <v/>
      </c>
      <c r="Y2501" s="11">
        <f>IF(ISNUMBER(Z2501),YEAR(Z2501),"")</f>
        <v/>
      </c>
      <c r="Z2501" s="12" t="n"/>
      <c r="AA2501" s="12" t="n"/>
      <c r="AI2501" s="12" t="n"/>
      <c r="AJ2501" s="13">
        <f>IF(LEN(TRIM(AF2501))=0,"",HYPERLINK("https://www.google.com/maps/@?api=1&amp;map_action=pano&amp;viewpoint="&amp;SUBSTITUTE(AF2501," ",""),"Abrir Street View"))</f>
        <v/>
      </c>
    </row>
    <row r="2502">
      <c r="H2502" s="6" t="n"/>
      <c r="I2502" s="6" t="n"/>
      <c r="M2502" s="7" t="n"/>
      <c r="N2502" s="7" t="n"/>
      <c r="O2502" s="7" t="n"/>
      <c r="Q2502" s="7" t="n"/>
      <c r="R2502" s="7" t="n"/>
      <c r="S2502" s="8">
        <f>IF(NOT(ISNUMBER(M2502)),"",IF(G2502="Terreno",IF(AND(ISNUMBER(I2502),I2502&gt;0),M2502/I2502,""),IF(AND(ISNUMBER(H2502),H2502&gt;0),M2502/H2502,"")))</f>
        <v/>
      </c>
      <c r="T2502" s="9">
        <f>IF(AND(ISNUMBER(M2502),ISNUMBER(O2502)),IF(M2502&lt;=O2502,"Valor ≤ venal IPTU",""),"")</f>
        <v/>
      </c>
      <c r="U2502" s="10">
        <f>IF(AND(ISNUMBER(M2502),ISNUMBER(N2502)),IF(N2502&gt;0,M2502/N2502,""),"")</f>
        <v/>
      </c>
      <c r="V2502" s="10">
        <f>IF(AND(ISNUMBER(M2502),ISNUMBER(O2502)),IF(O2502&gt;0,M2502/O2502,""),"")</f>
        <v/>
      </c>
      <c r="W2502" s="10">
        <f>IF(AND(ISNUMBER(M2502),ISNUMBER(R2502)),IF(R2502&gt;0,M2502/R2502,""),"")</f>
        <v/>
      </c>
      <c r="X2502" s="10">
        <f>IF(AND(ISNUMBER(Q2502),ISNUMBER(M2502)),IF(M2502&gt;0,Q2502/M2502,""),"")</f>
        <v/>
      </c>
      <c r="Y2502" s="11">
        <f>IF(ISNUMBER(Z2502),YEAR(Z2502),"")</f>
        <v/>
      </c>
      <c r="Z2502" s="12" t="n"/>
      <c r="AA2502" s="12" t="n"/>
      <c r="AI2502" s="12" t="n"/>
      <c r="AJ2502" s="13">
        <f>IF(LEN(TRIM(AF2502))=0,"",HYPERLINK("https://www.google.com/maps/@?api=1&amp;map_action=pano&amp;viewpoint="&amp;SUBSTITUTE(AF2502," ",""),"Abrir Street View"))</f>
        <v/>
      </c>
    </row>
    <row r="2503">
      <c r="H2503" s="6" t="n"/>
      <c r="I2503" s="6" t="n"/>
      <c r="M2503" s="7" t="n"/>
      <c r="N2503" s="7" t="n"/>
      <c r="O2503" s="7" t="n"/>
      <c r="Q2503" s="7" t="n"/>
      <c r="R2503" s="7" t="n"/>
      <c r="S2503" s="8">
        <f>IF(NOT(ISNUMBER(M2503)),"",IF(G2503="Terreno",IF(AND(ISNUMBER(I2503),I2503&gt;0),M2503/I2503,""),IF(AND(ISNUMBER(H2503),H2503&gt;0),M2503/H2503,"")))</f>
        <v/>
      </c>
      <c r="T2503" s="9">
        <f>IF(AND(ISNUMBER(M2503),ISNUMBER(O2503)),IF(M2503&lt;=O2503,"Valor ≤ venal IPTU",""),"")</f>
        <v/>
      </c>
      <c r="U2503" s="10">
        <f>IF(AND(ISNUMBER(M2503),ISNUMBER(N2503)),IF(N2503&gt;0,M2503/N2503,""),"")</f>
        <v/>
      </c>
      <c r="V2503" s="10">
        <f>IF(AND(ISNUMBER(M2503),ISNUMBER(O2503)),IF(O2503&gt;0,M2503/O2503,""),"")</f>
        <v/>
      </c>
      <c r="W2503" s="10">
        <f>IF(AND(ISNUMBER(M2503),ISNUMBER(R2503)),IF(R2503&gt;0,M2503/R2503,""),"")</f>
        <v/>
      </c>
      <c r="X2503" s="10">
        <f>IF(AND(ISNUMBER(Q2503),ISNUMBER(M2503)),IF(M2503&gt;0,Q2503/M2503,""),"")</f>
        <v/>
      </c>
      <c r="Y2503" s="11">
        <f>IF(ISNUMBER(Z2503),YEAR(Z2503),"")</f>
        <v/>
      </c>
      <c r="Z2503" s="12" t="n"/>
      <c r="AA2503" s="12" t="n"/>
      <c r="AI2503" s="12" t="n"/>
      <c r="AJ2503" s="13">
        <f>IF(LEN(TRIM(AF2503))=0,"",HYPERLINK("https://www.google.com/maps/@?api=1&amp;map_action=pano&amp;viewpoint="&amp;SUBSTITUTE(AF2503," ",""),"Abrir Street View"))</f>
        <v/>
      </c>
    </row>
    <row r="2504">
      <c r="H2504" s="6" t="n"/>
      <c r="I2504" s="6" t="n"/>
      <c r="M2504" s="7" t="n"/>
      <c r="N2504" s="7" t="n"/>
      <c r="O2504" s="7" t="n"/>
      <c r="Q2504" s="7" t="n"/>
      <c r="R2504" s="7" t="n"/>
      <c r="S2504" s="8">
        <f>IF(NOT(ISNUMBER(M2504)),"",IF(G2504="Terreno",IF(AND(ISNUMBER(I2504),I2504&gt;0),M2504/I2504,""),IF(AND(ISNUMBER(H2504),H2504&gt;0),M2504/H2504,"")))</f>
        <v/>
      </c>
      <c r="T2504" s="9">
        <f>IF(AND(ISNUMBER(M2504),ISNUMBER(O2504)),IF(M2504&lt;=O2504,"Valor ≤ venal IPTU",""),"")</f>
        <v/>
      </c>
      <c r="U2504" s="10">
        <f>IF(AND(ISNUMBER(M2504),ISNUMBER(N2504)),IF(N2504&gt;0,M2504/N2504,""),"")</f>
        <v/>
      </c>
      <c r="V2504" s="10">
        <f>IF(AND(ISNUMBER(M2504),ISNUMBER(O2504)),IF(O2504&gt;0,M2504/O2504,""),"")</f>
        <v/>
      </c>
      <c r="W2504" s="10">
        <f>IF(AND(ISNUMBER(M2504),ISNUMBER(R2504)),IF(R2504&gt;0,M2504/R2504,""),"")</f>
        <v/>
      </c>
      <c r="X2504" s="10">
        <f>IF(AND(ISNUMBER(Q2504),ISNUMBER(M2504)),IF(M2504&gt;0,Q2504/M2504,""),"")</f>
        <v/>
      </c>
      <c r="Y2504" s="11">
        <f>IF(ISNUMBER(Z2504),YEAR(Z2504),"")</f>
        <v/>
      </c>
      <c r="Z2504" s="12" t="n"/>
      <c r="AA2504" s="12" t="n"/>
      <c r="AI2504" s="12" t="n"/>
      <c r="AJ2504" s="13">
        <f>IF(LEN(TRIM(AF2504))=0,"",HYPERLINK("https://www.google.com/maps/@?api=1&amp;map_action=pano&amp;viewpoint="&amp;SUBSTITUTE(AF2504," ",""),"Abrir Street View"))</f>
        <v/>
      </c>
    </row>
    <row r="2505">
      <c r="H2505" s="6" t="n"/>
      <c r="I2505" s="6" t="n"/>
      <c r="M2505" s="7" t="n"/>
      <c r="N2505" s="7" t="n"/>
      <c r="O2505" s="7" t="n"/>
      <c r="Q2505" s="7" t="n"/>
      <c r="R2505" s="7" t="n"/>
      <c r="S2505" s="8">
        <f>IF(NOT(ISNUMBER(M2505)),"",IF(G2505="Terreno",IF(AND(ISNUMBER(I2505),I2505&gt;0),M2505/I2505,""),IF(AND(ISNUMBER(H2505),H2505&gt;0),M2505/H2505,"")))</f>
        <v/>
      </c>
      <c r="T2505" s="9">
        <f>IF(AND(ISNUMBER(M2505),ISNUMBER(O2505)),IF(M2505&lt;=O2505,"Valor ≤ venal IPTU",""),"")</f>
        <v/>
      </c>
      <c r="U2505" s="10">
        <f>IF(AND(ISNUMBER(M2505),ISNUMBER(N2505)),IF(N2505&gt;0,M2505/N2505,""),"")</f>
        <v/>
      </c>
      <c r="V2505" s="10">
        <f>IF(AND(ISNUMBER(M2505),ISNUMBER(O2505)),IF(O2505&gt;0,M2505/O2505,""),"")</f>
        <v/>
      </c>
      <c r="W2505" s="10">
        <f>IF(AND(ISNUMBER(M2505),ISNUMBER(R2505)),IF(R2505&gt;0,M2505/R2505,""),"")</f>
        <v/>
      </c>
      <c r="X2505" s="10">
        <f>IF(AND(ISNUMBER(Q2505),ISNUMBER(M2505)),IF(M2505&gt;0,Q2505/M2505,""),"")</f>
        <v/>
      </c>
      <c r="Y2505" s="11">
        <f>IF(ISNUMBER(Z2505),YEAR(Z2505),"")</f>
        <v/>
      </c>
      <c r="Z2505" s="12" t="n"/>
      <c r="AA2505" s="12" t="n"/>
      <c r="AI2505" s="12" t="n"/>
      <c r="AJ2505" s="13">
        <f>IF(LEN(TRIM(AF2505))=0,"",HYPERLINK("https://www.google.com/maps/@?api=1&amp;map_action=pano&amp;viewpoint="&amp;SUBSTITUTE(AF2505," ",""),"Abrir Street View"))</f>
        <v/>
      </c>
    </row>
    <row r="2506">
      <c r="H2506" s="6" t="n"/>
      <c r="I2506" s="6" t="n"/>
      <c r="M2506" s="7" t="n"/>
      <c r="N2506" s="7" t="n"/>
      <c r="O2506" s="7" t="n"/>
      <c r="Q2506" s="7" t="n"/>
      <c r="R2506" s="7" t="n"/>
      <c r="S2506" s="8">
        <f>IF(NOT(ISNUMBER(M2506)),"",IF(G2506="Terreno",IF(AND(ISNUMBER(I2506),I2506&gt;0),M2506/I2506,""),IF(AND(ISNUMBER(H2506),H2506&gt;0),M2506/H2506,"")))</f>
        <v/>
      </c>
      <c r="T2506" s="9">
        <f>IF(AND(ISNUMBER(M2506),ISNUMBER(O2506)),IF(M2506&lt;=O2506,"Valor ≤ venal IPTU",""),"")</f>
        <v/>
      </c>
      <c r="U2506" s="10">
        <f>IF(AND(ISNUMBER(M2506),ISNUMBER(N2506)),IF(N2506&gt;0,M2506/N2506,""),"")</f>
        <v/>
      </c>
      <c r="V2506" s="10">
        <f>IF(AND(ISNUMBER(M2506),ISNUMBER(O2506)),IF(O2506&gt;0,M2506/O2506,""),"")</f>
        <v/>
      </c>
      <c r="W2506" s="10">
        <f>IF(AND(ISNUMBER(M2506),ISNUMBER(R2506)),IF(R2506&gt;0,M2506/R2506,""),"")</f>
        <v/>
      </c>
      <c r="X2506" s="10">
        <f>IF(AND(ISNUMBER(Q2506),ISNUMBER(M2506)),IF(M2506&gt;0,Q2506/M2506,""),"")</f>
        <v/>
      </c>
      <c r="Y2506" s="11">
        <f>IF(ISNUMBER(Z2506),YEAR(Z2506),"")</f>
        <v/>
      </c>
      <c r="Z2506" s="12" t="n"/>
      <c r="AA2506" s="12" t="n"/>
      <c r="AI2506" s="12" t="n"/>
      <c r="AJ2506" s="13">
        <f>IF(LEN(TRIM(AF2506))=0,"",HYPERLINK("https://www.google.com/maps/@?api=1&amp;map_action=pano&amp;viewpoint="&amp;SUBSTITUTE(AF2506," ",""),"Abrir Street View"))</f>
        <v/>
      </c>
    </row>
    <row r="2507">
      <c r="H2507" s="6" t="n"/>
      <c r="I2507" s="6" t="n"/>
      <c r="M2507" s="7" t="n"/>
      <c r="N2507" s="7" t="n"/>
      <c r="O2507" s="7" t="n"/>
      <c r="Q2507" s="7" t="n"/>
      <c r="R2507" s="7" t="n"/>
      <c r="S2507" s="8">
        <f>IF(NOT(ISNUMBER(M2507)),"",IF(G2507="Terreno",IF(AND(ISNUMBER(I2507),I2507&gt;0),M2507/I2507,""),IF(AND(ISNUMBER(H2507),H2507&gt;0),M2507/H2507,"")))</f>
        <v/>
      </c>
      <c r="T2507" s="9">
        <f>IF(AND(ISNUMBER(M2507),ISNUMBER(O2507)),IF(M2507&lt;=O2507,"Valor ≤ venal IPTU",""),"")</f>
        <v/>
      </c>
      <c r="U2507" s="10">
        <f>IF(AND(ISNUMBER(M2507),ISNUMBER(N2507)),IF(N2507&gt;0,M2507/N2507,""),"")</f>
        <v/>
      </c>
      <c r="V2507" s="10">
        <f>IF(AND(ISNUMBER(M2507),ISNUMBER(O2507)),IF(O2507&gt;0,M2507/O2507,""),"")</f>
        <v/>
      </c>
      <c r="W2507" s="10">
        <f>IF(AND(ISNUMBER(M2507),ISNUMBER(R2507)),IF(R2507&gt;0,M2507/R2507,""),"")</f>
        <v/>
      </c>
      <c r="X2507" s="10">
        <f>IF(AND(ISNUMBER(Q2507),ISNUMBER(M2507)),IF(M2507&gt;0,Q2507/M2507,""),"")</f>
        <v/>
      </c>
      <c r="Y2507" s="11">
        <f>IF(ISNUMBER(Z2507),YEAR(Z2507),"")</f>
        <v/>
      </c>
      <c r="Z2507" s="12" t="n"/>
      <c r="AA2507" s="12" t="n"/>
      <c r="AI2507" s="12" t="n"/>
      <c r="AJ2507" s="13">
        <f>IF(LEN(TRIM(AF2507))=0,"",HYPERLINK("https://www.google.com/maps/@?api=1&amp;map_action=pano&amp;viewpoint="&amp;SUBSTITUTE(AF2507," ",""),"Abrir Street View"))</f>
        <v/>
      </c>
    </row>
    <row r="2508">
      <c r="H2508" s="6" t="n"/>
      <c r="I2508" s="6" t="n"/>
      <c r="M2508" s="7" t="n"/>
      <c r="N2508" s="7" t="n"/>
      <c r="O2508" s="7" t="n"/>
      <c r="Q2508" s="7" t="n"/>
      <c r="R2508" s="7" t="n"/>
      <c r="S2508" s="8">
        <f>IF(NOT(ISNUMBER(M2508)),"",IF(G2508="Terreno",IF(AND(ISNUMBER(I2508),I2508&gt;0),M2508/I2508,""),IF(AND(ISNUMBER(H2508),H2508&gt;0),M2508/H2508,"")))</f>
        <v/>
      </c>
      <c r="T2508" s="9">
        <f>IF(AND(ISNUMBER(M2508),ISNUMBER(O2508)),IF(M2508&lt;=O2508,"Valor ≤ venal IPTU",""),"")</f>
        <v/>
      </c>
      <c r="U2508" s="10">
        <f>IF(AND(ISNUMBER(M2508),ISNUMBER(N2508)),IF(N2508&gt;0,M2508/N2508,""),"")</f>
        <v/>
      </c>
      <c r="V2508" s="10">
        <f>IF(AND(ISNUMBER(M2508),ISNUMBER(O2508)),IF(O2508&gt;0,M2508/O2508,""),"")</f>
        <v/>
      </c>
      <c r="W2508" s="10">
        <f>IF(AND(ISNUMBER(M2508),ISNUMBER(R2508)),IF(R2508&gt;0,M2508/R2508,""),"")</f>
        <v/>
      </c>
      <c r="X2508" s="10">
        <f>IF(AND(ISNUMBER(Q2508),ISNUMBER(M2508)),IF(M2508&gt;0,Q2508/M2508,""),"")</f>
        <v/>
      </c>
      <c r="Y2508" s="11">
        <f>IF(ISNUMBER(Z2508),YEAR(Z2508),"")</f>
        <v/>
      </c>
      <c r="Z2508" s="12" t="n"/>
      <c r="AA2508" s="12" t="n"/>
      <c r="AI2508" s="12" t="n"/>
      <c r="AJ2508" s="13">
        <f>IF(LEN(TRIM(AF2508))=0,"",HYPERLINK("https://www.google.com/maps/@?api=1&amp;map_action=pano&amp;viewpoint="&amp;SUBSTITUTE(AF2508," ",""),"Abrir Street View"))</f>
        <v/>
      </c>
    </row>
    <row r="2509">
      <c r="H2509" s="6" t="n"/>
      <c r="I2509" s="6" t="n"/>
      <c r="M2509" s="7" t="n"/>
      <c r="N2509" s="7" t="n"/>
      <c r="O2509" s="7" t="n"/>
      <c r="Q2509" s="7" t="n"/>
      <c r="R2509" s="7" t="n"/>
      <c r="S2509" s="8">
        <f>IF(NOT(ISNUMBER(M2509)),"",IF(G2509="Terreno",IF(AND(ISNUMBER(I2509),I2509&gt;0),M2509/I2509,""),IF(AND(ISNUMBER(H2509),H2509&gt;0),M2509/H2509,"")))</f>
        <v/>
      </c>
      <c r="T2509" s="9">
        <f>IF(AND(ISNUMBER(M2509),ISNUMBER(O2509)),IF(M2509&lt;=O2509,"Valor ≤ venal IPTU",""),"")</f>
        <v/>
      </c>
      <c r="U2509" s="10">
        <f>IF(AND(ISNUMBER(M2509),ISNUMBER(N2509)),IF(N2509&gt;0,M2509/N2509,""),"")</f>
        <v/>
      </c>
      <c r="V2509" s="10">
        <f>IF(AND(ISNUMBER(M2509),ISNUMBER(O2509)),IF(O2509&gt;0,M2509/O2509,""),"")</f>
        <v/>
      </c>
      <c r="W2509" s="10">
        <f>IF(AND(ISNUMBER(M2509),ISNUMBER(R2509)),IF(R2509&gt;0,M2509/R2509,""),"")</f>
        <v/>
      </c>
      <c r="X2509" s="10">
        <f>IF(AND(ISNUMBER(Q2509),ISNUMBER(M2509)),IF(M2509&gt;0,Q2509/M2509,""),"")</f>
        <v/>
      </c>
      <c r="Y2509" s="11">
        <f>IF(ISNUMBER(Z2509),YEAR(Z2509),"")</f>
        <v/>
      </c>
      <c r="Z2509" s="12" t="n"/>
      <c r="AA2509" s="12" t="n"/>
      <c r="AI2509" s="12" t="n"/>
      <c r="AJ2509" s="13">
        <f>IF(LEN(TRIM(AF2509))=0,"",HYPERLINK("https://www.google.com/maps/@?api=1&amp;map_action=pano&amp;viewpoint="&amp;SUBSTITUTE(AF2509," ",""),"Abrir Street View"))</f>
        <v/>
      </c>
    </row>
    <row r="2510">
      <c r="H2510" s="6" t="n"/>
      <c r="I2510" s="6" t="n"/>
      <c r="M2510" s="7" t="n"/>
      <c r="N2510" s="7" t="n"/>
      <c r="O2510" s="7" t="n"/>
      <c r="Q2510" s="7" t="n"/>
      <c r="R2510" s="7" t="n"/>
      <c r="S2510" s="8">
        <f>IF(NOT(ISNUMBER(M2510)),"",IF(G2510="Terreno",IF(AND(ISNUMBER(I2510),I2510&gt;0),M2510/I2510,""),IF(AND(ISNUMBER(H2510),H2510&gt;0),M2510/H2510,"")))</f>
        <v/>
      </c>
      <c r="T2510" s="9">
        <f>IF(AND(ISNUMBER(M2510),ISNUMBER(O2510)),IF(M2510&lt;=O2510,"Valor ≤ venal IPTU",""),"")</f>
        <v/>
      </c>
      <c r="U2510" s="10">
        <f>IF(AND(ISNUMBER(M2510),ISNUMBER(N2510)),IF(N2510&gt;0,M2510/N2510,""),"")</f>
        <v/>
      </c>
      <c r="V2510" s="10">
        <f>IF(AND(ISNUMBER(M2510),ISNUMBER(O2510)),IF(O2510&gt;0,M2510/O2510,""),"")</f>
        <v/>
      </c>
      <c r="W2510" s="10">
        <f>IF(AND(ISNUMBER(M2510),ISNUMBER(R2510)),IF(R2510&gt;0,M2510/R2510,""),"")</f>
        <v/>
      </c>
      <c r="X2510" s="10">
        <f>IF(AND(ISNUMBER(Q2510),ISNUMBER(M2510)),IF(M2510&gt;0,Q2510/M2510,""),"")</f>
        <v/>
      </c>
      <c r="Y2510" s="11">
        <f>IF(ISNUMBER(Z2510),YEAR(Z2510),"")</f>
        <v/>
      </c>
      <c r="Z2510" s="12" t="n"/>
      <c r="AA2510" s="12" t="n"/>
      <c r="AI2510" s="12" t="n"/>
      <c r="AJ2510" s="13">
        <f>IF(LEN(TRIM(AF2510))=0,"",HYPERLINK("https://www.google.com/maps/@?api=1&amp;map_action=pano&amp;viewpoint="&amp;SUBSTITUTE(AF2510," ",""),"Abrir Street View"))</f>
        <v/>
      </c>
    </row>
    <row r="2511">
      <c r="H2511" s="6" t="n"/>
      <c r="I2511" s="6" t="n"/>
      <c r="M2511" s="7" t="n"/>
      <c r="N2511" s="7" t="n"/>
      <c r="O2511" s="7" t="n"/>
      <c r="Q2511" s="7" t="n"/>
      <c r="R2511" s="7" t="n"/>
      <c r="S2511" s="8">
        <f>IF(NOT(ISNUMBER(M2511)),"",IF(G2511="Terreno",IF(AND(ISNUMBER(I2511),I2511&gt;0),M2511/I2511,""),IF(AND(ISNUMBER(H2511),H2511&gt;0),M2511/H2511,"")))</f>
        <v/>
      </c>
      <c r="T2511" s="9">
        <f>IF(AND(ISNUMBER(M2511),ISNUMBER(O2511)),IF(M2511&lt;=O2511,"Valor ≤ venal IPTU",""),"")</f>
        <v/>
      </c>
      <c r="U2511" s="10">
        <f>IF(AND(ISNUMBER(M2511),ISNUMBER(N2511)),IF(N2511&gt;0,M2511/N2511,""),"")</f>
        <v/>
      </c>
      <c r="V2511" s="10">
        <f>IF(AND(ISNUMBER(M2511),ISNUMBER(O2511)),IF(O2511&gt;0,M2511/O2511,""),"")</f>
        <v/>
      </c>
      <c r="W2511" s="10">
        <f>IF(AND(ISNUMBER(M2511),ISNUMBER(R2511)),IF(R2511&gt;0,M2511/R2511,""),"")</f>
        <v/>
      </c>
      <c r="X2511" s="10">
        <f>IF(AND(ISNUMBER(Q2511),ISNUMBER(M2511)),IF(M2511&gt;0,Q2511/M2511,""),"")</f>
        <v/>
      </c>
      <c r="Y2511" s="11">
        <f>IF(ISNUMBER(Z2511),YEAR(Z2511),"")</f>
        <v/>
      </c>
      <c r="Z2511" s="12" t="n"/>
      <c r="AA2511" s="12" t="n"/>
      <c r="AI2511" s="12" t="n"/>
      <c r="AJ2511" s="13">
        <f>IF(LEN(TRIM(AF2511))=0,"",HYPERLINK("https://www.google.com/maps/@?api=1&amp;map_action=pano&amp;viewpoint="&amp;SUBSTITUTE(AF2511," ",""),"Abrir Street View"))</f>
        <v/>
      </c>
    </row>
    <row r="2512">
      <c r="H2512" s="6" t="n"/>
      <c r="I2512" s="6" t="n"/>
      <c r="M2512" s="7" t="n"/>
      <c r="N2512" s="7" t="n"/>
      <c r="O2512" s="7" t="n"/>
      <c r="Q2512" s="7" t="n"/>
      <c r="R2512" s="7" t="n"/>
      <c r="S2512" s="8">
        <f>IF(NOT(ISNUMBER(M2512)),"",IF(G2512="Terreno",IF(AND(ISNUMBER(I2512),I2512&gt;0),M2512/I2512,""),IF(AND(ISNUMBER(H2512),H2512&gt;0),M2512/H2512,"")))</f>
        <v/>
      </c>
      <c r="T2512" s="9">
        <f>IF(AND(ISNUMBER(M2512),ISNUMBER(O2512)),IF(M2512&lt;=O2512,"Valor ≤ venal IPTU",""),"")</f>
        <v/>
      </c>
      <c r="U2512" s="10">
        <f>IF(AND(ISNUMBER(M2512),ISNUMBER(N2512)),IF(N2512&gt;0,M2512/N2512,""),"")</f>
        <v/>
      </c>
      <c r="V2512" s="10">
        <f>IF(AND(ISNUMBER(M2512),ISNUMBER(O2512)),IF(O2512&gt;0,M2512/O2512,""),"")</f>
        <v/>
      </c>
      <c r="W2512" s="10">
        <f>IF(AND(ISNUMBER(M2512),ISNUMBER(R2512)),IF(R2512&gt;0,M2512/R2512,""),"")</f>
        <v/>
      </c>
      <c r="X2512" s="10">
        <f>IF(AND(ISNUMBER(Q2512),ISNUMBER(M2512)),IF(M2512&gt;0,Q2512/M2512,""),"")</f>
        <v/>
      </c>
      <c r="Y2512" s="11">
        <f>IF(ISNUMBER(Z2512),YEAR(Z2512),"")</f>
        <v/>
      </c>
      <c r="Z2512" s="12" t="n"/>
      <c r="AA2512" s="12" t="n"/>
      <c r="AI2512" s="12" t="n"/>
      <c r="AJ2512" s="13">
        <f>IF(LEN(TRIM(AF2512))=0,"",HYPERLINK("https://www.google.com/maps/@?api=1&amp;map_action=pano&amp;viewpoint="&amp;SUBSTITUTE(AF2512," ",""),"Abrir Street View"))</f>
        <v/>
      </c>
    </row>
    <row r="2513">
      <c r="H2513" s="6" t="n"/>
      <c r="I2513" s="6" t="n"/>
      <c r="M2513" s="7" t="n"/>
      <c r="N2513" s="7" t="n"/>
      <c r="O2513" s="7" t="n"/>
      <c r="Q2513" s="7" t="n"/>
      <c r="R2513" s="7" t="n"/>
      <c r="S2513" s="8">
        <f>IF(NOT(ISNUMBER(M2513)),"",IF(G2513="Terreno",IF(AND(ISNUMBER(I2513),I2513&gt;0),M2513/I2513,""),IF(AND(ISNUMBER(H2513),H2513&gt;0),M2513/H2513,"")))</f>
        <v/>
      </c>
      <c r="T2513" s="9">
        <f>IF(AND(ISNUMBER(M2513),ISNUMBER(O2513)),IF(M2513&lt;=O2513,"Valor ≤ venal IPTU",""),"")</f>
        <v/>
      </c>
      <c r="U2513" s="10">
        <f>IF(AND(ISNUMBER(M2513),ISNUMBER(N2513)),IF(N2513&gt;0,M2513/N2513,""),"")</f>
        <v/>
      </c>
      <c r="V2513" s="10">
        <f>IF(AND(ISNUMBER(M2513),ISNUMBER(O2513)),IF(O2513&gt;0,M2513/O2513,""),"")</f>
        <v/>
      </c>
      <c r="W2513" s="10">
        <f>IF(AND(ISNUMBER(M2513),ISNUMBER(R2513)),IF(R2513&gt;0,M2513/R2513,""),"")</f>
        <v/>
      </c>
      <c r="X2513" s="10">
        <f>IF(AND(ISNUMBER(Q2513),ISNUMBER(M2513)),IF(M2513&gt;0,Q2513/M2513,""),"")</f>
        <v/>
      </c>
      <c r="Y2513" s="11">
        <f>IF(ISNUMBER(Z2513),YEAR(Z2513),"")</f>
        <v/>
      </c>
      <c r="Z2513" s="12" t="n"/>
      <c r="AA2513" s="12" t="n"/>
      <c r="AI2513" s="12" t="n"/>
      <c r="AJ2513" s="13">
        <f>IF(LEN(TRIM(AF2513))=0,"",HYPERLINK("https://www.google.com/maps/@?api=1&amp;map_action=pano&amp;viewpoint="&amp;SUBSTITUTE(AF2513," ",""),"Abrir Street View"))</f>
        <v/>
      </c>
    </row>
    <row r="2514">
      <c r="H2514" s="6" t="n"/>
      <c r="I2514" s="6" t="n"/>
      <c r="M2514" s="7" t="n"/>
      <c r="N2514" s="7" t="n"/>
      <c r="O2514" s="7" t="n"/>
      <c r="Q2514" s="7" t="n"/>
      <c r="R2514" s="7" t="n"/>
      <c r="S2514" s="8">
        <f>IF(NOT(ISNUMBER(M2514)),"",IF(G2514="Terreno",IF(AND(ISNUMBER(I2514),I2514&gt;0),M2514/I2514,""),IF(AND(ISNUMBER(H2514),H2514&gt;0),M2514/H2514,"")))</f>
        <v/>
      </c>
      <c r="T2514" s="9">
        <f>IF(AND(ISNUMBER(M2514),ISNUMBER(O2514)),IF(M2514&lt;=O2514,"Valor ≤ venal IPTU",""),"")</f>
        <v/>
      </c>
      <c r="U2514" s="10">
        <f>IF(AND(ISNUMBER(M2514),ISNUMBER(N2514)),IF(N2514&gt;0,M2514/N2514,""),"")</f>
        <v/>
      </c>
      <c r="V2514" s="10">
        <f>IF(AND(ISNUMBER(M2514),ISNUMBER(O2514)),IF(O2514&gt;0,M2514/O2514,""),"")</f>
        <v/>
      </c>
      <c r="W2514" s="10">
        <f>IF(AND(ISNUMBER(M2514),ISNUMBER(R2514)),IF(R2514&gt;0,M2514/R2514,""),"")</f>
        <v/>
      </c>
      <c r="X2514" s="10">
        <f>IF(AND(ISNUMBER(Q2514),ISNUMBER(M2514)),IF(M2514&gt;0,Q2514/M2514,""),"")</f>
        <v/>
      </c>
      <c r="Y2514" s="11">
        <f>IF(ISNUMBER(Z2514),YEAR(Z2514),"")</f>
        <v/>
      </c>
      <c r="Z2514" s="12" t="n"/>
      <c r="AA2514" s="12" t="n"/>
      <c r="AI2514" s="12" t="n"/>
      <c r="AJ2514" s="13">
        <f>IF(LEN(TRIM(AF2514))=0,"",HYPERLINK("https://www.google.com/maps/@?api=1&amp;map_action=pano&amp;viewpoint="&amp;SUBSTITUTE(AF2514," ",""),"Abrir Street View"))</f>
        <v/>
      </c>
    </row>
    <row r="2515">
      <c r="H2515" s="6" t="n"/>
      <c r="I2515" s="6" t="n"/>
      <c r="M2515" s="7" t="n"/>
      <c r="N2515" s="7" t="n"/>
      <c r="O2515" s="7" t="n"/>
      <c r="Q2515" s="7" t="n"/>
      <c r="R2515" s="7" t="n"/>
      <c r="S2515" s="8">
        <f>IF(NOT(ISNUMBER(M2515)),"",IF(G2515="Terreno",IF(AND(ISNUMBER(I2515),I2515&gt;0),M2515/I2515,""),IF(AND(ISNUMBER(H2515),H2515&gt;0),M2515/H2515,"")))</f>
        <v/>
      </c>
      <c r="T2515" s="9">
        <f>IF(AND(ISNUMBER(M2515),ISNUMBER(O2515)),IF(M2515&lt;=O2515,"Valor ≤ venal IPTU",""),"")</f>
        <v/>
      </c>
      <c r="U2515" s="10">
        <f>IF(AND(ISNUMBER(M2515),ISNUMBER(N2515)),IF(N2515&gt;0,M2515/N2515,""),"")</f>
        <v/>
      </c>
      <c r="V2515" s="10">
        <f>IF(AND(ISNUMBER(M2515),ISNUMBER(O2515)),IF(O2515&gt;0,M2515/O2515,""),"")</f>
        <v/>
      </c>
      <c r="W2515" s="10">
        <f>IF(AND(ISNUMBER(M2515),ISNUMBER(R2515)),IF(R2515&gt;0,M2515/R2515,""),"")</f>
        <v/>
      </c>
      <c r="X2515" s="10">
        <f>IF(AND(ISNUMBER(Q2515),ISNUMBER(M2515)),IF(M2515&gt;0,Q2515/M2515,""),"")</f>
        <v/>
      </c>
      <c r="Y2515" s="11">
        <f>IF(ISNUMBER(Z2515),YEAR(Z2515),"")</f>
        <v/>
      </c>
      <c r="Z2515" s="12" t="n"/>
      <c r="AA2515" s="12" t="n"/>
      <c r="AI2515" s="12" t="n"/>
      <c r="AJ2515" s="13">
        <f>IF(LEN(TRIM(AF2515))=0,"",HYPERLINK("https://www.google.com/maps/@?api=1&amp;map_action=pano&amp;viewpoint="&amp;SUBSTITUTE(AF2515," ",""),"Abrir Street View"))</f>
        <v/>
      </c>
    </row>
    <row r="2516">
      <c r="H2516" s="6" t="n"/>
      <c r="I2516" s="6" t="n"/>
      <c r="M2516" s="7" t="n"/>
      <c r="N2516" s="7" t="n"/>
      <c r="O2516" s="7" t="n"/>
      <c r="Q2516" s="7" t="n"/>
      <c r="R2516" s="7" t="n"/>
      <c r="S2516" s="8">
        <f>IF(NOT(ISNUMBER(M2516)),"",IF(G2516="Terreno",IF(AND(ISNUMBER(I2516),I2516&gt;0),M2516/I2516,""),IF(AND(ISNUMBER(H2516),H2516&gt;0),M2516/H2516,"")))</f>
        <v/>
      </c>
      <c r="T2516" s="9">
        <f>IF(AND(ISNUMBER(M2516),ISNUMBER(O2516)),IF(M2516&lt;=O2516,"Valor ≤ venal IPTU",""),"")</f>
        <v/>
      </c>
      <c r="U2516" s="10">
        <f>IF(AND(ISNUMBER(M2516),ISNUMBER(N2516)),IF(N2516&gt;0,M2516/N2516,""),"")</f>
        <v/>
      </c>
      <c r="V2516" s="10">
        <f>IF(AND(ISNUMBER(M2516),ISNUMBER(O2516)),IF(O2516&gt;0,M2516/O2516,""),"")</f>
        <v/>
      </c>
      <c r="W2516" s="10">
        <f>IF(AND(ISNUMBER(M2516),ISNUMBER(R2516)),IF(R2516&gt;0,M2516/R2516,""),"")</f>
        <v/>
      </c>
      <c r="X2516" s="10">
        <f>IF(AND(ISNUMBER(Q2516),ISNUMBER(M2516)),IF(M2516&gt;0,Q2516/M2516,""),"")</f>
        <v/>
      </c>
      <c r="Y2516" s="11">
        <f>IF(ISNUMBER(Z2516),YEAR(Z2516),"")</f>
        <v/>
      </c>
      <c r="Z2516" s="12" t="n"/>
      <c r="AA2516" s="12" t="n"/>
      <c r="AI2516" s="12" t="n"/>
      <c r="AJ2516" s="13">
        <f>IF(LEN(TRIM(AF2516))=0,"",HYPERLINK("https://www.google.com/maps/@?api=1&amp;map_action=pano&amp;viewpoint="&amp;SUBSTITUTE(AF2516," ",""),"Abrir Street View"))</f>
        <v/>
      </c>
    </row>
    <row r="2517">
      <c r="H2517" s="6" t="n"/>
      <c r="I2517" s="6" t="n"/>
      <c r="M2517" s="7" t="n"/>
      <c r="N2517" s="7" t="n"/>
      <c r="O2517" s="7" t="n"/>
      <c r="Q2517" s="7" t="n"/>
      <c r="R2517" s="7" t="n"/>
      <c r="S2517" s="8">
        <f>IF(NOT(ISNUMBER(M2517)),"",IF(G2517="Terreno",IF(AND(ISNUMBER(I2517),I2517&gt;0),M2517/I2517,""),IF(AND(ISNUMBER(H2517),H2517&gt;0),M2517/H2517,"")))</f>
        <v/>
      </c>
      <c r="T2517" s="9">
        <f>IF(AND(ISNUMBER(M2517),ISNUMBER(O2517)),IF(M2517&lt;=O2517,"Valor ≤ venal IPTU",""),"")</f>
        <v/>
      </c>
      <c r="U2517" s="10">
        <f>IF(AND(ISNUMBER(M2517),ISNUMBER(N2517)),IF(N2517&gt;0,M2517/N2517,""),"")</f>
        <v/>
      </c>
      <c r="V2517" s="10">
        <f>IF(AND(ISNUMBER(M2517),ISNUMBER(O2517)),IF(O2517&gt;0,M2517/O2517,""),"")</f>
        <v/>
      </c>
      <c r="W2517" s="10">
        <f>IF(AND(ISNUMBER(M2517),ISNUMBER(R2517)),IF(R2517&gt;0,M2517/R2517,""),"")</f>
        <v/>
      </c>
      <c r="X2517" s="10">
        <f>IF(AND(ISNUMBER(Q2517),ISNUMBER(M2517)),IF(M2517&gt;0,Q2517/M2517,""),"")</f>
        <v/>
      </c>
      <c r="Y2517" s="11">
        <f>IF(ISNUMBER(Z2517),YEAR(Z2517),"")</f>
        <v/>
      </c>
      <c r="Z2517" s="12" t="n"/>
      <c r="AA2517" s="12" t="n"/>
      <c r="AI2517" s="12" t="n"/>
      <c r="AJ2517" s="13">
        <f>IF(LEN(TRIM(AF2517))=0,"",HYPERLINK("https://www.google.com/maps/@?api=1&amp;map_action=pano&amp;viewpoint="&amp;SUBSTITUTE(AF2517," ",""),"Abrir Street View"))</f>
        <v/>
      </c>
    </row>
    <row r="2518">
      <c r="H2518" s="6" t="n"/>
      <c r="I2518" s="6" t="n"/>
      <c r="M2518" s="7" t="n"/>
      <c r="N2518" s="7" t="n"/>
      <c r="O2518" s="7" t="n"/>
      <c r="Q2518" s="7" t="n"/>
      <c r="R2518" s="7" t="n"/>
      <c r="S2518" s="8">
        <f>IF(NOT(ISNUMBER(M2518)),"",IF(G2518="Terreno",IF(AND(ISNUMBER(I2518),I2518&gt;0),M2518/I2518,""),IF(AND(ISNUMBER(H2518),H2518&gt;0),M2518/H2518,"")))</f>
        <v/>
      </c>
      <c r="T2518" s="9">
        <f>IF(AND(ISNUMBER(M2518),ISNUMBER(O2518)),IF(M2518&lt;=O2518,"Valor ≤ venal IPTU",""),"")</f>
        <v/>
      </c>
      <c r="U2518" s="10">
        <f>IF(AND(ISNUMBER(M2518),ISNUMBER(N2518)),IF(N2518&gt;0,M2518/N2518,""),"")</f>
        <v/>
      </c>
      <c r="V2518" s="10">
        <f>IF(AND(ISNUMBER(M2518),ISNUMBER(O2518)),IF(O2518&gt;0,M2518/O2518,""),"")</f>
        <v/>
      </c>
      <c r="W2518" s="10">
        <f>IF(AND(ISNUMBER(M2518),ISNUMBER(R2518)),IF(R2518&gt;0,M2518/R2518,""),"")</f>
        <v/>
      </c>
      <c r="X2518" s="10">
        <f>IF(AND(ISNUMBER(Q2518),ISNUMBER(M2518)),IF(M2518&gt;0,Q2518/M2518,""),"")</f>
        <v/>
      </c>
      <c r="Y2518" s="11">
        <f>IF(ISNUMBER(Z2518),YEAR(Z2518),"")</f>
        <v/>
      </c>
      <c r="Z2518" s="12" t="n"/>
      <c r="AA2518" s="12" t="n"/>
      <c r="AI2518" s="12" t="n"/>
      <c r="AJ2518" s="13">
        <f>IF(LEN(TRIM(AF2518))=0,"",HYPERLINK("https://www.google.com/maps/@?api=1&amp;map_action=pano&amp;viewpoint="&amp;SUBSTITUTE(AF2518," ",""),"Abrir Street View"))</f>
        <v/>
      </c>
    </row>
    <row r="2519">
      <c r="H2519" s="6" t="n"/>
      <c r="I2519" s="6" t="n"/>
      <c r="M2519" s="7" t="n"/>
      <c r="N2519" s="7" t="n"/>
      <c r="O2519" s="7" t="n"/>
      <c r="Q2519" s="7" t="n"/>
      <c r="R2519" s="7" t="n"/>
      <c r="S2519" s="8">
        <f>IF(NOT(ISNUMBER(M2519)),"",IF(G2519="Terreno",IF(AND(ISNUMBER(I2519),I2519&gt;0),M2519/I2519,""),IF(AND(ISNUMBER(H2519),H2519&gt;0),M2519/H2519,"")))</f>
        <v/>
      </c>
      <c r="T2519" s="9">
        <f>IF(AND(ISNUMBER(M2519),ISNUMBER(O2519)),IF(M2519&lt;=O2519,"Valor ≤ venal IPTU",""),"")</f>
        <v/>
      </c>
      <c r="U2519" s="10">
        <f>IF(AND(ISNUMBER(M2519),ISNUMBER(N2519)),IF(N2519&gt;0,M2519/N2519,""),"")</f>
        <v/>
      </c>
      <c r="V2519" s="10">
        <f>IF(AND(ISNUMBER(M2519),ISNUMBER(O2519)),IF(O2519&gt;0,M2519/O2519,""),"")</f>
        <v/>
      </c>
      <c r="W2519" s="10">
        <f>IF(AND(ISNUMBER(M2519),ISNUMBER(R2519)),IF(R2519&gt;0,M2519/R2519,""),"")</f>
        <v/>
      </c>
      <c r="X2519" s="10">
        <f>IF(AND(ISNUMBER(Q2519),ISNUMBER(M2519)),IF(M2519&gt;0,Q2519/M2519,""),"")</f>
        <v/>
      </c>
      <c r="Y2519" s="11">
        <f>IF(ISNUMBER(Z2519),YEAR(Z2519),"")</f>
        <v/>
      </c>
      <c r="Z2519" s="12" t="n"/>
      <c r="AA2519" s="12" t="n"/>
      <c r="AI2519" s="12" t="n"/>
      <c r="AJ2519" s="13">
        <f>IF(LEN(TRIM(AF2519))=0,"",HYPERLINK("https://www.google.com/maps/@?api=1&amp;map_action=pano&amp;viewpoint="&amp;SUBSTITUTE(AF2519," ",""),"Abrir Street View"))</f>
        <v/>
      </c>
    </row>
    <row r="2520">
      <c r="H2520" s="6" t="n"/>
      <c r="I2520" s="6" t="n"/>
      <c r="M2520" s="7" t="n"/>
      <c r="N2520" s="7" t="n"/>
      <c r="O2520" s="7" t="n"/>
      <c r="Q2520" s="7" t="n"/>
      <c r="R2520" s="7" t="n"/>
      <c r="S2520" s="8">
        <f>IF(NOT(ISNUMBER(M2520)),"",IF(G2520="Terreno",IF(AND(ISNUMBER(I2520),I2520&gt;0),M2520/I2520,""),IF(AND(ISNUMBER(H2520),H2520&gt;0),M2520/H2520,"")))</f>
        <v/>
      </c>
      <c r="T2520" s="9">
        <f>IF(AND(ISNUMBER(M2520),ISNUMBER(O2520)),IF(M2520&lt;=O2520,"Valor ≤ venal IPTU",""),"")</f>
        <v/>
      </c>
      <c r="U2520" s="10">
        <f>IF(AND(ISNUMBER(M2520),ISNUMBER(N2520)),IF(N2520&gt;0,M2520/N2520,""),"")</f>
        <v/>
      </c>
      <c r="V2520" s="10">
        <f>IF(AND(ISNUMBER(M2520),ISNUMBER(O2520)),IF(O2520&gt;0,M2520/O2520,""),"")</f>
        <v/>
      </c>
      <c r="W2520" s="10">
        <f>IF(AND(ISNUMBER(M2520),ISNUMBER(R2520)),IF(R2520&gt;0,M2520/R2520,""),"")</f>
        <v/>
      </c>
      <c r="X2520" s="10">
        <f>IF(AND(ISNUMBER(Q2520),ISNUMBER(M2520)),IF(M2520&gt;0,Q2520/M2520,""),"")</f>
        <v/>
      </c>
      <c r="Y2520" s="11">
        <f>IF(ISNUMBER(Z2520),YEAR(Z2520),"")</f>
        <v/>
      </c>
      <c r="Z2520" s="12" t="n"/>
      <c r="AA2520" s="12" t="n"/>
      <c r="AI2520" s="12" t="n"/>
      <c r="AJ2520" s="13">
        <f>IF(LEN(TRIM(AF2520))=0,"",HYPERLINK("https://www.google.com/maps/@?api=1&amp;map_action=pano&amp;viewpoint="&amp;SUBSTITUTE(AF2520," ",""),"Abrir Street View"))</f>
        <v/>
      </c>
    </row>
    <row r="2521">
      <c r="H2521" s="6" t="n"/>
      <c r="I2521" s="6" t="n"/>
      <c r="M2521" s="7" t="n"/>
      <c r="N2521" s="7" t="n"/>
      <c r="O2521" s="7" t="n"/>
      <c r="Q2521" s="7" t="n"/>
      <c r="R2521" s="7" t="n"/>
      <c r="S2521" s="8">
        <f>IF(NOT(ISNUMBER(M2521)),"",IF(G2521="Terreno",IF(AND(ISNUMBER(I2521),I2521&gt;0),M2521/I2521,""),IF(AND(ISNUMBER(H2521),H2521&gt;0),M2521/H2521,"")))</f>
        <v/>
      </c>
      <c r="T2521" s="9">
        <f>IF(AND(ISNUMBER(M2521),ISNUMBER(O2521)),IF(M2521&lt;=O2521,"Valor ≤ venal IPTU",""),"")</f>
        <v/>
      </c>
      <c r="U2521" s="10">
        <f>IF(AND(ISNUMBER(M2521),ISNUMBER(N2521)),IF(N2521&gt;0,M2521/N2521,""),"")</f>
        <v/>
      </c>
      <c r="V2521" s="10">
        <f>IF(AND(ISNUMBER(M2521),ISNUMBER(O2521)),IF(O2521&gt;0,M2521/O2521,""),"")</f>
        <v/>
      </c>
      <c r="W2521" s="10">
        <f>IF(AND(ISNUMBER(M2521),ISNUMBER(R2521)),IF(R2521&gt;0,M2521/R2521,""),"")</f>
        <v/>
      </c>
      <c r="X2521" s="10">
        <f>IF(AND(ISNUMBER(Q2521),ISNUMBER(M2521)),IF(M2521&gt;0,Q2521/M2521,""),"")</f>
        <v/>
      </c>
      <c r="Y2521" s="11">
        <f>IF(ISNUMBER(Z2521),YEAR(Z2521),"")</f>
        <v/>
      </c>
      <c r="Z2521" s="12" t="n"/>
      <c r="AA2521" s="12" t="n"/>
      <c r="AI2521" s="12" t="n"/>
      <c r="AJ2521" s="13">
        <f>IF(LEN(TRIM(AF2521))=0,"",HYPERLINK("https://www.google.com/maps/@?api=1&amp;map_action=pano&amp;viewpoint="&amp;SUBSTITUTE(AF2521," ",""),"Abrir Street View"))</f>
        <v/>
      </c>
    </row>
    <row r="2522">
      <c r="H2522" s="6" t="n"/>
      <c r="I2522" s="6" t="n"/>
      <c r="M2522" s="7" t="n"/>
      <c r="N2522" s="7" t="n"/>
      <c r="O2522" s="7" t="n"/>
      <c r="Q2522" s="7" t="n"/>
      <c r="R2522" s="7" t="n"/>
      <c r="S2522" s="8">
        <f>IF(NOT(ISNUMBER(M2522)),"",IF(G2522="Terreno",IF(AND(ISNUMBER(I2522),I2522&gt;0),M2522/I2522,""),IF(AND(ISNUMBER(H2522),H2522&gt;0),M2522/H2522,"")))</f>
        <v/>
      </c>
      <c r="T2522" s="9">
        <f>IF(AND(ISNUMBER(M2522),ISNUMBER(O2522)),IF(M2522&lt;=O2522,"Valor ≤ venal IPTU",""),"")</f>
        <v/>
      </c>
      <c r="U2522" s="10">
        <f>IF(AND(ISNUMBER(M2522),ISNUMBER(N2522)),IF(N2522&gt;0,M2522/N2522,""),"")</f>
        <v/>
      </c>
      <c r="V2522" s="10">
        <f>IF(AND(ISNUMBER(M2522),ISNUMBER(O2522)),IF(O2522&gt;0,M2522/O2522,""),"")</f>
        <v/>
      </c>
      <c r="W2522" s="10">
        <f>IF(AND(ISNUMBER(M2522),ISNUMBER(R2522)),IF(R2522&gt;0,M2522/R2522,""),"")</f>
        <v/>
      </c>
      <c r="X2522" s="10">
        <f>IF(AND(ISNUMBER(Q2522),ISNUMBER(M2522)),IF(M2522&gt;0,Q2522/M2522,""),"")</f>
        <v/>
      </c>
      <c r="Y2522" s="11">
        <f>IF(ISNUMBER(Z2522),YEAR(Z2522),"")</f>
        <v/>
      </c>
      <c r="Z2522" s="12" t="n"/>
      <c r="AA2522" s="12" t="n"/>
      <c r="AI2522" s="12" t="n"/>
      <c r="AJ2522" s="13">
        <f>IF(LEN(TRIM(AF2522))=0,"",HYPERLINK("https://www.google.com/maps/@?api=1&amp;map_action=pano&amp;viewpoint="&amp;SUBSTITUTE(AF2522," ",""),"Abrir Street View"))</f>
        <v/>
      </c>
    </row>
    <row r="2523">
      <c r="H2523" s="6" t="n"/>
      <c r="I2523" s="6" t="n"/>
      <c r="M2523" s="7" t="n"/>
      <c r="N2523" s="7" t="n"/>
      <c r="O2523" s="7" t="n"/>
      <c r="Q2523" s="7" t="n"/>
      <c r="R2523" s="7" t="n"/>
      <c r="S2523" s="8">
        <f>IF(NOT(ISNUMBER(M2523)),"",IF(G2523="Terreno",IF(AND(ISNUMBER(I2523),I2523&gt;0),M2523/I2523,""),IF(AND(ISNUMBER(H2523),H2523&gt;0),M2523/H2523,"")))</f>
        <v/>
      </c>
      <c r="T2523" s="9">
        <f>IF(AND(ISNUMBER(M2523),ISNUMBER(O2523)),IF(M2523&lt;=O2523,"Valor ≤ venal IPTU",""),"")</f>
        <v/>
      </c>
      <c r="U2523" s="10">
        <f>IF(AND(ISNUMBER(M2523),ISNUMBER(N2523)),IF(N2523&gt;0,M2523/N2523,""),"")</f>
        <v/>
      </c>
      <c r="V2523" s="10">
        <f>IF(AND(ISNUMBER(M2523),ISNUMBER(O2523)),IF(O2523&gt;0,M2523/O2523,""),"")</f>
        <v/>
      </c>
      <c r="W2523" s="10">
        <f>IF(AND(ISNUMBER(M2523),ISNUMBER(R2523)),IF(R2523&gt;0,M2523/R2523,""),"")</f>
        <v/>
      </c>
      <c r="X2523" s="10">
        <f>IF(AND(ISNUMBER(Q2523),ISNUMBER(M2523)),IF(M2523&gt;0,Q2523/M2523,""),"")</f>
        <v/>
      </c>
      <c r="Y2523" s="11">
        <f>IF(ISNUMBER(Z2523),YEAR(Z2523),"")</f>
        <v/>
      </c>
      <c r="Z2523" s="12" t="n"/>
      <c r="AA2523" s="12" t="n"/>
      <c r="AI2523" s="12" t="n"/>
      <c r="AJ2523" s="13">
        <f>IF(LEN(TRIM(AF2523))=0,"",HYPERLINK("https://www.google.com/maps/@?api=1&amp;map_action=pano&amp;viewpoint="&amp;SUBSTITUTE(AF2523," ",""),"Abrir Street View"))</f>
        <v/>
      </c>
    </row>
    <row r="2524">
      <c r="H2524" s="6" t="n"/>
      <c r="I2524" s="6" t="n"/>
      <c r="M2524" s="7" t="n"/>
      <c r="N2524" s="7" t="n"/>
      <c r="O2524" s="7" t="n"/>
      <c r="Q2524" s="7" t="n"/>
      <c r="R2524" s="7" t="n"/>
      <c r="S2524" s="8">
        <f>IF(NOT(ISNUMBER(M2524)),"",IF(G2524="Terreno",IF(AND(ISNUMBER(I2524),I2524&gt;0),M2524/I2524,""),IF(AND(ISNUMBER(H2524),H2524&gt;0),M2524/H2524,"")))</f>
        <v/>
      </c>
      <c r="T2524" s="9">
        <f>IF(AND(ISNUMBER(M2524),ISNUMBER(O2524)),IF(M2524&lt;=O2524,"Valor ≤ venal IPTU",""),"")</f>
        <v/>
      </c>
      <c r="U2524" s="10">
        <f>IF(AND(ISNUMBER(M2524),ISNUMBER(N2524)),IF(N2524&gt;0,M2524/N2524,""),"")</f>
        <v/>
      </c>
      <c r="V2524" s="10">
        <f>IF(AND(ISNUMBER(M2524),ISNUMBER(O2524)),IF(O2524&gt;0,M2524/O2524,""),"")</f>
        <v/>
      </c>
      <c r="W2524" s="10">
        <f>IF(AND(ISNUMBER(M2524),ISNUMBER(R2524)),IF(R2524&gt;0,M2524/R2524,""),"")</f>
        <v/>
      </c>
      <c r="X2524" s="10">
        <f>IF(AND(ISNUMBER(Q2524),ISNUMBER(M2524)),IF(M2524&gt;0,Q2524/M2524,""),"")</f>
        <v/>
      </c>
      <c r="Y2524" s="11">
        <f>IF(ISNUMBER(Z2524),YEAR(Z2524),"")</f>
        <v/>
      </c>
      <c r="Z2524" s="12" t="n"/>
      <c r="AA2524" s="12" t="n"/>
      <c r="AI2524" s="12" t="n"/>
      <c r="AJ2524" s="13">
        <f>IF(LEN(TRIM(AF2524))=0,"",HYPERLINK("https://www.google.com/maps/@?api=1&amp;map_action=pano&amp;viewpoint="&amp;SUBSTITUTE(AF2524," ",""),"Abrir Street View"))</f>
        <v/>
      </c>
    </row>
    <row r="2525">
      <c r="H2525" s="6" t="n"/>
      <c r="I2525" s="6" t="n"/>
      <c r="M2525" s="7" t="n"/>
      <c r="N2525" s="7" t="n"/>
      <c r="O2525" s="7" t="n"/>
      <c r="Q2525" s="7" t="n"/>
      <c r="R2525" s="7" t="n"/>
      <c r="S2525" s="8">
        <f>IF(NOT(ISNUMBER(M2525)),"",IF(G2525="Terreno",IF(AND(ISNUMBER(I2525),I2525&gt;0),M2525/I2525,""),IF(AND(ISNUMBER(H2525),H2525&gt;0),M2525/H2525,"")))</f>
        <v/>
      </c>
      <c r="T2525" s="9">
        <f>IF(AND(ISNUMBER(M2525),ISNUMBER(O2525)),IF(M2525&lt;=O2525,"Valor ≤ venal IPTU",""),"")</f>
        <v/>
      </c>
      <c r="U2525" s="10">
        <f>IF(AND(ISNUMBER(M2525),ISNUMBER(N2525)),IF(N2525&gt;0,M2525/N2525,""),"")</f>
        <v/>
      </c>
      <c r="V2525" s="10">
        <f>IF(AND(ISNUMBER(M2525),ISNUMBER(O2525)),IF(O2525&gt;0,M2525/O2525,""),"")</f>
        <v/>
      </c>
      <c r="W2525" s="10">
        <f>IF(AND(ISNUMBER(M2525),ISNUMBER(R2525)),IF(R2525&gt;0,M2525/R2525,""),"")</f>
        <v/>
      </c>
      <c r="X2525" s="10">
        <f>IF(AND(ISNUMBER(Q2525),ISNUMBER(M2525)),IF(M2525&gt;0,Q2525/M2525,""),"")</f>
        <v/>
      </c>
      <c r="Y2525" s="11">
        <f>IF(ISNUMBER(Z2525),YEAR(Z2525),"")</f>
        <v/>
      </c>
      <c r="Z2525" s="12" t="n"/>
      <c r="AA2525" s="12" t="n"/>
      <c r="AI2525" s="12" t="n"/>
      <c r="AJ2525" s="13">
        <f>IF(LEN(TRIM(AF2525))=0,"",HYPERLINK("https://www.google.com/maps/@?api=1&amp;map_action=pano&amp;viewpoint="&amp;SUBSTITUTE(AF2525," ",""),"Abrir Street View"))</f>
        <v/>
      </c>
    </row>
    <row r="2526">
      <c r="H2526" s="6" t="n"/>
      <c r="I2526" s="6" t="n"/>
      <c r="M2526" s="7" t="n"/>
      <c r="N2526" s="7" t="n"/>
      <c r="O2526" s="7" t="n"/>
      <c r="Q2526" s="7" t="n"/>
      <c r="R2526" s="7" t="n"/>
      <c r="S2526" s="8">
        <f>IF(NOT(ISNUMBER(M2526)),"",IF(G2526="Terreno",IF(AND(ISNUMBER(I2526),I2526&gt;0),M2526/I2526,""),IF(AND(ISNUMBER(H2526),H2526&gt;0),M2526/H2526,"")))</f>
        <v/>
      </c>
      <c r="T2526" s="9">
        <f>IF(AND(ISNUMBER(M2526),ISNUMBER(O2526)),IF(M2526&lt;=O2526,"Valor ≤ venal IPTU",""),"")</f>
        <v/>
      </c>
      <c r="U2526" s="10">
        <f>IF(AND(ISNUMBER(M2526),ISNUMBER(N2526)),IF(N2526&gt;0,M2526/N2526,""),"")</f>
        <v/>
      </c>
      <c r="V2526" s="10">
        <f>IF(AND(ISNUMBER(M2526),ISNUMBER(O2526)),IF(O2526&gt;0,M2526/O2526,""),"")</f>
        <v/>
      </c>
      <c r="W2526" s="10">
        <f>IF(AND(ISNUMBER(M2526),ISNUMBER(R2526)),IF(R2526&gt;0,M2526/R2526,""),"")</f>
        <v/>
      </c>
      <c r="X2526" s="10">
        <f>IF(AND(ISNUMBER(Q2526),ISNUMBER(M2526)),IF(M2526&gt;0,Q2526/M2526,""),"")</f>
        <v/>
      </c>
      <c r="Y2526" s="11">
        <f>IF(ISNUMBER(Z2526),YEAR(Z2526),"")</f>
        <v/>
      </c>
      <c r="Z2526" s="12" t="n"/>
      <c r="AA2526" s="12" t="n"/>
      <c r="AI2526" s="12" t="n"/>
      <c r="AJ2526" s="13">
        <f>IF(LEN(TRIM(AF2526))=0,"",HYPERLINK("https://www.google.com/maps/@?api=1&amp;map_action=pano&amp;viewpoint="&amp;SUBSTITUTE(AF2526," ",""),"Abrir Street View"))</f>
        <v/>
      </c>
    </row>
    <row r="2527">
      <c r="H2527" s="6" t="n"/>
      <c r="I2527" s="6" t="n"/>
      <c r="M2527" s="7" t="n"/>
      <c r="N2527" s="7" t="n"/>
      <c r="O2527" s="7" t="n"/>
      <c r="Q2527" s="7" t="n"/>
      <c r="R2527" s="7" t="n"/>
      <c r="S2527" s="8">
        <f>IF(NOT(ISNUMBER(M2527)),"",IF(G2527="Terreno",IF(AND(ISNUMBER(I2527),I2527&gt;0),M2527/I2527,""),IF(AND(ISNUMBER(H2527),H2527&gt;0),M2527/H2527,"")))</f>
        <v/>
      </c>
      <c r="T2527" s="9">
        <f>IF(AND(ISNUMBER(M2527),ISNUMBER(O2527)),IF(M2527&lt;=O2527,"Valor ≤ venal IPTU",""),"")</f>
        <v/>
      </c>
      <c r="U2527" s="10">
        <f>IF(AND(ISNUMBER(M2527),ISNUMBER(N2527)),IF(N2527&gt;0,M2527/N2527,""),"")</f>
        <v/>
      </c>
      <c r="V2527" s="10">
        <f>IF(AND(ISNUMBER(M2527),ISNUMBER(O2527)),IF(O2527&gt;0,M2527/O2527,""),"")</f>
        <v/>
      </c>
      <c r="W2527" s="10">
        <f>IF(AND(ISNUMBER(M2527),ISNUMBER(R2527)),IF(R2527&gt;0,M2527/R2527,""),"")</f>
        <v/>
      </c>
      <c r="X2527" s="10">
        <f>IF(AND(ISNUMBER(Q2527),ISNUMBER(M2527)),IF(M2527&gt;0,Q2527/M2527,""),"")</f>
        <v/>
      </c>
      <c r="Y2527" s="11">
        <f>IF(ISNUMBER(Z2527),YEAR(Z2527),"")</f>
        <v/>
      </c>
      <c r="Z2527" s="12" t="n"/>
      <c r="AA2527" s="12" t="n"/>
      <c r="AI2527" s="12" t="n"/>
      <c r="AJ2527" s="13">
        <f>IF(LEN(TRIM(AF2527))=0,"",HYPERLINK("https://www.google.com/maps/@?api=1&amp;map_action=pano&amp;viewpoint="&amp;SUBSTITUTE(AF2527," ",""),"Abrir Street View"))</f>
        <v/>
      </c>
    </row>
    <row r="2528">
      <c r="H2528" s="6" t="n"/>
      <c r="I2528" s="6" t="n"/>
      <c r="M2528" s="7" t="n"/>
      <c r="N2528" s="7" t="n"/>
      <c r="O2528" s="7" t="n"/>
      <c r="Q2528" s="7" t="n"/>
      <c r="R2528" s="7" t="n"/>
      <c r="S2528" s="8">
        <f>IF(NOT(ISNUMBER(M2528)),"",IF(G2528="Terreno",IF(AND(ISNUMBER(I2528),I2528&gt;0),M2528/I2528,""),IF(AND(ISNUMBER(H2528),H2528&gt;0),M2528/H2528,"")))</f>
        <v/>
      </c>
      <c r="T2528" s="9">
        <f>IF(AND(ISNUMBER(M2528),ISNUMBER(O2528)),IF(M2528&lt;=O2528,"Valor ≤ venal IPTU",""),"")</f>
        <v/>
      </c>
      <c r="U2528" s="10">
        <f>IF(AND(ISNUMBER(M2528),ISNUMBER(N2528)),IF(N2528&gt;0,M2528/N2528,""),"")</f>
        <v/>
      </c>
      <c r="V2528" s="10">
        <f>IF(AND(ISNUMBER(M2528),ISNUMBER(O2528)),IF(O2528&gt;0,M2528/O2528,""),"")</f>
        <v/>
      </c>
      <c r="W2528" s="10">
        <f>IF(AND(ISNUMBER(M2528),ISNUMBER(R2528)),IF(R2528&gt;0,M2528/R2528,""),"")</f>
        <v/>
      </c>
      <c r="X2528" s="10">
        <f>IF(AND(ISNUMBER(Q2528),ISNUMBER(M2528)),IF(M2528&gt;0,Q2528/M2528,""),"")</f>
        <v/>
      </c>
      <c r="Y2528" s="11">
        <f>IF(ISNUMBER(Z2528),YEAR(Z2528),"")</f>
        <v/>
      </c>
      <c r="Z2528" s="12" t="n"/>
      <c r="AA2528" s="12" t="n"/>
      <c r="AI2528" s="12" t="n"/>
      <c r="AJ2528" s="13">
        <f>IF(LEN(TRIM(AF2528))=0,"",HYPERLINK("https://www.google.com/maps/@?api=1&amp;map_action=pano&amp;viewpoint="&amp;SUBSTITUTE(AF2528," ",""),"Abrir Street View"))</f>
        <v/>
      </c>
    </row>
    <row r="2529">
      <c r="H2529" s="6" t="n"/>
      <c r="I2529" s="6" t="n"/>
      <c r="M2529" s="7" t="n"/>
      <c r="N2529" s="7" t="n"/>
      <c r="O2529" s="7" t="n"/>
      <c r="Q2529" s="7" t="n"/>
      <c r="R2529" s="7" t="n"/>
      <c r="S2529" s="8">
        <f>IF(NOT(ISNUMBER(M2529)),"",IF(G2529="Terreno",IF(AND(ISNUMBER(I2529),I2529&gt;0),M2529/I2529,""),IF(AND(ISNUMBER(H2529),H2529&gt;0),M2529/H2529,"")))</f>
        <v/>
      </c>
      <c r="T2529" s="9">
        <f>IF(AND(ISNUMBER(M2529),ISNUMBER(O2529)),IF(M2529&lt;=O2529,"Valor ≤ venal IPTU",""),"")</f>
        <v/>
      </c>
      <c r="U2529" s="10">
        <f>IF(AND(ISNUMBER(M2529),ISNUMBER(N2529)),IF(N2529&gt;0,M2529/N2529,""),"")</f>
        <v/>
      </c>
      <c r="V2529" s="10">
        <f>IF(AND(ISNUMBER(M2529),ISNUMBER(O2529)),IF(O2529&gt;0,M2529/O2529,""),"")</f>
        <v/>
      </c>
      <c r="W2529" s="10">
        <f>IF(AND(ISNUMBER(M2529),ISNUMBER(R2529)),IF(R2529&gt;0,M2529/R2529,""),"")</f>
        <v/>
      </c>
      <c r="X2529" s="10">
        <f>IF(AND(ISNUMBER(Q2529),ISNUMBER(M2529)),IF(M2529&gt;0,Q2529/M2529,""),"")</f>
        <v/>
      </c>
      <c r="Y2529" s="11">
        <f>IF(ISNUMBER(Z2529),YEAR(Z2529),"")</f>
        <v/>
      </c>
      <c r="Z2529" s="12" t="n"/>
      <c r="AA2529" s="12" t="n"/>
      <c r="AI2529" s="12" t="n"/>
      <c r="AJ2529" s="13">
        <f>IF(LEN(TRIM(AF2529))=0,"",HYPERLINK("https://www.google.com/maps/@?api=1&amp;map_action=pano&amp;viewpoint="&amp;SUBSTITUTE(AF2529," ",""),"Abrir Street View"))</f>
        <v/>
      </c>
    </row>
    <row r="2530">
      <c r="H2530" s="6" t="n"/>
      <c r="I2530" s="6" t="n"/>
      <c r="M2530" s="7" t="n"/>
      <c r="N2530" s="7" t="n"/>
      <c r="O2530" s="7" t="n"/>
      <c r="Q2530" s="7" t="n"/>
      <c r="R2530" s="7" t="n"/>
      <c r="S2530" s="8">
        <f>IF(NOT(ISNUMBER(M2530)),"",IF(G2530="Terreno",IF(AND(ISNUMBER(I2530),I2530&gt;0),M2530/I2530,""),IF(AND(ISNUMBER(H2530),H2530&gt;0),M2530/H2530,"")))</f>
        <v/>
      </c>
      <c r="T2530" s="9">
        <f>IF(AND(ISNUMBER(M2530),ISNUMBER(O2530)),IF(M2530&lt;=O2530,"Valor ≤ venal IPTU",""),"")</f>
        <v/>
      </c>
      <c r="U2530" s="10">
        <f>IF(AND(ISNUMBER(M2530),ISNUMBER(N2530)),IF(N2530&gt;0,M2530/N2530,""),"")</f>
        <v/>
      </c>
      <c r="V2530" s="10">
        <f>IF(AND(ISNUMBER(M2530),ISNUMBER(O2530)),IF(O2530&gt;0,M2530/O2530,""),"")</f>
        <v/>
      </c>
      <c r="W2530" s="10">
        <f>IF(AND(ISNUMBER(M2530),ISNUMBER(R2530)),IF(R2530&gt;0,M2530/R2530,""),"")</f>
        <v/>
      </c>
      <c r="X2530" s="10">
        <f>IF(AND(ISNUMBER(Q2530),ISNUMBER(M2530)),IF(M2530&gt;0,Q2530/M2530,""),"")</f>
        <v/>
      </c>
      <c r="Y2530" s="11">
        <f>IF(ISNUMBER(Z2530),YEAR(Z2530),"")</f>
        <v/>
      </c>
      <c r="Z2530" s="12" t="n"/>
      <c r="AA2530" s="12" t="n"/>
      <c r="AI2530" s="12" t="n"/>
      <c r="AJ2530" s="13">
        <f>IF(LEN(TRIM(AF2530))=0,"",HYPERLINK("https://www.google.com/maps/@?api=1&amp;map_action=pano&amp;viewpoint="&amp;SUBSTITUTE(AF2530," ",""),"Abrir Street View"))</f>
        <v/>
      </c>
    </row>
    <row r="2531">
      <c r="H2531" s="6" t="n"/>
      <c r="I2531" s="6" t="n"/>
      <c r="M2531" s="7" t="n"/>
      <c r="N2531" s="7" t="n"/>
      <c r="O2531" s="7" t="n"/>
      <c r="Q2531" s="7" t="n"/>
      <c r="R2531" s="7" t="n"/>
      <c r="S2531" s="8">
        <f>IF(NOT(ISNUMBER(M2531)),"",IF(G2531="Terreno",IF(AND(ISNUMBER(I2531),I2531&gt;0),M2531/I2531,""),IF(AND(ISNUMBER(H2531),H2531&gt;0),M2531/H2531,"")))</f>
        <v/>
      </c>
      <c r="T2531" s="9">
        <f>IF(AND(ISNUMBER(M2531),ISNUMBER(O2531)),IF(M2531&lt;=O2531,"Valor ≤ venal IPTU",""),"")</f>
        <v/>
      </c>
      <c r="U2531" s="10">
        <f>IF(AND(ISNUMBER(M2531),ISNUMBER(N2531)),IF(N2531&gt;0,M2531/N2531,""),"")</f>
        <v/>
      </c>
      <c r="V2531" s="10">
        <f>IF(AND(ISNUMBER(M2531),ISNUMBER(O2531)),IF(O2531&gt;0,M2531/O2531,""),"")</f>
        <v/>
      </c>
      <c r="W2531" s="10">
        <f>IF(AND(ISNUMBER(M2531),ISNUMBER(R2531)),IF(R2531&gt;0,M2531/R2531,""),"")</f>
        <v/>
      </c>
      <c r="X2531" s="10">
        <f>IF(AND(ISNUMBER(Q2531),ISNUMBER(M2531)),IF(M2531&gt;0,Q2531/M2531,""),"")</f>
        <v/>
      </c>
      <c r="Y2531" s="11">
        <f>IF(ISNUMBER(Z2531),YEAR(Z2531),"")</f>
        <v/>
      </c>
      <c r="Z2531" s="12" t="n"/>
      <c r="AA2531" s="12" t="n"/>
      <c r="AI2531" s="12" t="n"/>
      <c r="AJ2531" s="13">
        <f>IF(LEN(TRIM(AF2531))=0,"",HYPERLINK("https://www.google.com/maps/@?api=1&amp;map_action=pano&amp;viewpoint="&amp;SUBSTITUTE(AF2531," ",""),"Abrir Street View"))</f>
        <v/>
      </c>
    </row>
    <row r="2532">
      <c r="H2532" s="6" t="n"/>
      <c r="I2532" s="6" t="n"/>
      <c r="M2532" s="7" t="n"/>
      <c r="N2532" s="7" t="n"/>
      <c r="O2532" s="7" t="n"/>
      <c r="Q2532" s="7" t="n"/>
      <c r="R2532" s="7" t="n"/>
      <c r="S2532" s="8">
        <f>IF(NOT(ISNUMBER(M2532)),"",IF(G2532="Terreno",IF(AND(ISNUMBER(I2532),I2532&gt;0),M2532/I2532,""),IF(AND(ISNUMBER(H2532),H2532&gt;0),M2532/H2532,"")))</f>
        <v/>
      </c>
      <c r="T2532" s="9">
        <f>IF(AND(ISNUMBER(M2532),ISNUMBER(O2532)),IF(M2532&lt;=O2532,"Valor ≤ venal IPTU",""),"")</f>
        <v/>
      </c>
      <c r="U2532" s="10">
        <f>IF(AND(ISNUMBER(M2532),ISNUMBER(N2532)),IF(N2532&gt;0,M2532/N2532,""),"")</f>
        <v/>
      </c>
      <c r="V2532" s="10">
        <f>IF(AND(ISNUMBER(M2532),ISNUMBER(O2532)),IF(O2532&gt;0,M2532/O2532,""),"")</f>
        <v/>
      </c>
      <c r="W2532" s="10">
        <f>IF(AND(ISNUMBER(M2532),ISNUMBER(R2532)),IF(R2532&gt;0,M2532/R2532,""),"")</f>
        <v/>
      </c>
      <c r="X2532" s="10">
        <f>IF(AND(ISNUMBER(Q2532),ISNUMBER(M2532)),IF(M2532&gt;0,Q2532/M2532,""),"")</f>
        <v/>
      </c>
      <c r="Y2532" s="11">
        <f>IF(ISNUMBER(Z2532),YEAR(Z2532),"")</f>
        <v/>
      </c>
      <c r="Z2532" s="12" t="n"/>
      <c r="AA2532" s="12" t="n"/>
      <c r="AI2532" s="12" t="n"/>
      <c r="AJ2532" s="13">
        <f>IF(LEN(TRIM(AF2532))=0,"",HYPERLINK("https://www.google.com/maps/@?api=1&amp;map_action=pano&amp;viewpoint="&amp;SUBSTITUTE(AF2532," ",""),"Abrir Street View"))</f>
        <v/>
      </c>
    </row>
    <row r="2533">
      <c r="H2533" s="6" t="n"/>
      <c r="I2533" s="6" t="n"/>
      <c r="M2533" s="7" t="n"/>
      <c r="N2533" s="7" t="n"/>
      <c r="O2533" s="7" t="n"/>
      <c r="Q2533" s="7" t="n"/>
      <c r="R2533" s="7" t="n"/>
      <c r="S2533" s="8">
        <f>IF(NOT(ISNUMBER(M2533)),"",IF(G2533="Terreno",IF(AND(ISNUMBER(I2533),I2533&gt;0),M2533/I2533,""),IF(AND(ISNUMBER(H2533),H2533&gt;0),M2533/H2533,"")))</f>
        <v/>
      </c>
      <c r="T2533" s="9">
        <f>IF(AND(ISNUMBER(M2533),ISNUMBER(O2533)),IF(M2533&lt;=O2533,"Valor ≤ venal IPTU",""),"")</f>
        <v/>
      </c>
      <c r="U2533" s="10">
        <f>IF(AND(ISNUMBER(M2533),ISNUMBER(N2533)),IF(N2533&gt;0,M2533/N2533,""),"")</f>
        <v/>
      </c>
      <c r="V2533" s="10">
        <f>IF(AND(ISNUMBER(M2533),ISNUMBER(O2533)),IF(O2533&gt;0,M2533/O2533,""),"")</f>
        <v/>
      </c>
      <c r="W2533" s="10">
        <f>IF(AND(ISNUMBER(M2533),ISNUMBER(R2533)),IF(R2533&gt;0,M2533/R2533,""),"")</f>
        <v/>
      </c>
      <c r="X2533" s="10">
        <f>IF(AND(ISNUMBER(Q2533),ISNUMBER(M2533)),IF(M2533&gt;0,Q2533/M2533,""),"")</f>
        <v/>
      </c>
      <c r="Y2533" s="11">
        <f>IF(ISNUMBER(Z2533),YEAR(Z2533),"")</f>
        <v/>
      </c>
      <c r="Z2533" s="12" t="n"/>
      <c r="AA2533" s="12" t="n"/>
      <c r="AI2533" s="12" t="n"/>
      <c r="AJ2533" s="13">
        <f>IF(LEN(TRIM(AF2533))=0,"",HYPERLINK("https://www.google.com/maps/@?api=1&amp;map_action=pano&amp;viewpoint="&amp;SUBSTITUTE(AF2533," ",""),"Abrir Street View"))</f>
        <v/>
      </c>
    </row>
    <row r="2534">
      <c r="H2534" s="6" t="n"/>
      <c r="I2534" s="6" t="n"/>
      <c r="M2534" s="7" t="n"/>
      <c r="N2534" s="7" t="n"/>
      <c r="O2534" s="7" t="n"/>
      <c r="Q2534" s="7" t="n"/>
      <c r="R2534" s="7" t="n"/>
      <c r="S2534" s="8">
        <f>IF(NOT(ISNUMBER(M2534)),"",IF(G2534="Terreno",IF(AND(ISNUMBER(I2534),I2534&gt;0),M2534/I2534,""),IF(AND(ISNUMBER(H2534),H2534&gt;0),M2534/H2534,"")))</f>
        <v/>
      </c>
      <c r="T2534" s="9">
        <f>IF(AND(ISNUMBER(M2534),ISNUMBER(O2534)),IF(M2534&lt;=O2534,"Valor ≤ venal IPTU",""),"")</f>
        <v/>
      </c>
      <c r="U2534" s="10">
        <f>IF(AND(ISNUMBER(M2534),ISNUMBER(N2534)),IF(N2534&gt;0,M2534/N2534,""),"")</f>
        <v/>
      </c>
      <c r="V2534" s="10">
        <f>IF(AND(ISNUMBER(M2534),ISNUMBER(O2534)),IF(O2534&gt;0,M2534/O2534,""),"")</f>
        <v/>
      </c>
      <c r="W2534" s="10">
        <f>IF(AND(ISNUMBER(M2534),ISNUMBER(R2534)),IF(R2534&gt;0,M2534/R2534,""),"")</f>
        <v/>
      </c>
      <c r="X2534" s="10">
        <f>IF(AND(ISNUMBER(Q2534),ISNUMBER(M2534)),IF(M2534&gt;0,Q2534/M2534,""),"")</f>
        <v/>
      </c>
      <c r="Y2534" s="11">
        <f>IF(ISNUMBER(Z2534),YEAR(Z2534),"")</f>
        <v/>
      </c>
      <c r="Z2534" s="12" t="n"/>
      <c r="AA2534" s="12" t="n"/>
      <c r="AI2534" s="12" t="n"/>
      <c r="AJ2534" s="13">
        <f>IF(LEN(TRIM(AF2534))=0,"",HYPERLINK("https://www.google.com/maps/@?api=1&amp;map_action=pano&amp;viewpoint="&amp;SUBSTITUTE(AF2534," ",""),"Abrir Street View"))</f>
        <v/>
      </c>
    </row>
    <row r="2535">
      <c r="H2535" s="6" t="n"/>
      <c r="I2535" s="6" t="n"/>
      <c r="M2535" s="7" t="n"/>
      <c r="N2535" s="7" t="n"/>
      <c r="O2535" s="7" t="n"/>
      <c r="Q2535" s="7" t="n"/>
      <c r="R2535" s="7" t="n"/>
      <c r="S2535" s="8">
        <f>IF(NOT(ISNUMBER(M2535)),"",IF(G2535="Terreno",IF(AND(ISNUMBER(I2535),I2535&gt;0),M2535/I2535,""),IF(AND(ISNUMBER(H2535),H2535&gt;0),M2535/H2535,"")))</f>
        <v/>
      </c>
      <c r="T2535" s="9">
        <f>IF(AND(ISNUMBER(M2535),ISNUMBER(O2535)),IF(M2535&lt;=O2535,"Valor ≤ venal IPTU",""),"")</f>
        <v/>
      </c>
      <c r="U2535" s="10">
        <f>IF(AND(ISNUMBER(M2535),ISNUMBER(N2535)),IF(N2535&gt;0,M2535/N2535,""),"")</f>
        <v/>
      </c>
      <c r="V2535" s="10">
        <f>IF(AND(ISNUMBER(M2535),ISNUMBER(O2535)),IF(O2535&gt;0,M2535/O2535,""),"")</f>
        <v/>
      </c>
      <c r="W2535" s="10">
        <f>IF(AND(ISNUMBER(M2535),ISNUMBER(R2535)),IF(R2535&gt;0,M2535/R2535,""),"")</f>
        <v/>
      </c>
      <c r="X2535" s="10">
        <f>IF(AND(ISNUMBER(Q2535),ISNUMBER(M2535)),IF(M2535&gt;0,Q2535/M2535,""),"")</f>
        <v/>
      </c>
      <c r="Y2535" s="11">
        <f>IF(ISNUMBER(Z2535),YEAR(Z2535),"")</f>
        <v/>
      </c>
      <c r="Z2535" s="12" t="n"/>
      <c r="AA2535" s="12" t="n"/>
      <c r="AI2535" s="12" t="n"/>
      <c r="AJ2535" s="13">
        <f>IF(LEN(TRIM(AF2535))=0,"",HYPERLINK("https://www.google.com/maps/@?api=1&amp;map_action=pano&amp;viewpoint="&amp;SUBSTITUTE(AF2535," ",""),"Abrir Street View"))</f>
        <v/>
      </c>
    </row>
    <row r="2536">
      <c r="H2536" s="6" t="n"/>
      <c r="I2536" s="6" t="n"/>
      <c r="M2536" s="7" t="n"/>
      <c r="N2536" s="7" t="n"/>
      <c r="O2536" s="7" t="n"/>
      <c r="Q2536" s="7" t="n"/>
      <c r="R2536" s="7" t="n"/>
      <c r="S2536" s="8">
        <f>IF(NOT(ISNUMBER(M2536)),"",IF(G2536="Terreno",IF(AND(ISNUMBER(I2536),I2536&gt;0),M2536/I2536,""),IF(AND(ISNUMBER(H2536),H2536&gt;0),M2536/H2536,"")))</f>
        <v/>
      </c>
      <c r="T2536" s="9">
        <f>IF(AND(ISNUMBER(M2536),ISNUMBER(O2536)),IF(M2536&lt;=O2536,"Valor ≤ venal IPTU",""),"")</f>
        <v/>
      </c>
      <c r="U2536" s="10">
        <f>IF(AND(ISNUMBER(M2536),ISNUMBER(N2536)),IF(N2536&gt;0,M2536/N2536,""),"")</f>
        <v/>
      </c>
      <c r="V2536" s="10">
        <f>IF(AND(ISNUMBER(M2536),ISNUMBER(O2536)),IF(O2536&gt;0,M2536/O2536,""),"")</f>
        <v/>
      </c>
      <c r="W2536" s="10">
        <f>IF(AND(ISNUMBER(M2536),ISNUMBER(R2536)),IF(R2536&gt;0,M2536/R2536,""),"")</f>
        <v/>
      </c>
      <c r="X2536" s="10">
        <f>IF(AND(ISNUMBER(Q2536),ISNUMBER(M2536)),IF(M2536&gt;0,Q2536/M2536,""),"")</f>
        <v/>
      </c>
      <c r="Y2536" s="11">
        <f>IF(ISNUMBER(Z2536),YEAR(Z2536),"")</f>
        <v/>
      </c>
      <c r="Z2536" s="12" t="n"/>
      <c r="AA2536" s="12" t="n"/>
      <c r="AI2536" s="12" t="n"/>
      <c r="AJ2536" s="13">
        <f>IF(LEN(TRIM(AF2536))=0,"",HYPERLINK("https://www.google.com/maps/@?api=1&amp;map_action=pano&amp;viewpoint="&amp;SUBSTITUTE(AF2536," ",""),"Abrir Street View"))</f>
        <v/>
      </c>
    </row>
    <row r="2537">
      <c r="H2537" s="6" t="n"/>
      <c r="I2537" s="6" t="n"/>
      <c r="M2537" s="7" t="n"/>
      <c r="N2537" s="7" t="n"/>
      <c r="O2537" s="7" t="n"/>
      <c r="Q2537" s="7" t="n"/>
      <c r="R2537" s="7" t="n"/>
      <c r="S2537" s="8">
        <f>IF(NOT(ISNUMBER(M2537)),"",IF(G2537="Terreno",IF(AND(ISNUMBER(I2537),I2537&gt;0),M2537/I2537,""),IF(AND(ISNUMBER(H2537),H2537&gt;0),M2537/H2537,"")))</f>
        <v/>
      </c>
      <c r="T2537" s="9">
        <f>IF(AND(ISNUMBER(M2537),ISNUMBER(O2537)),IF(M2537&lt;=O2537,"Valor ≤ venal IPTU",""),"")</f>
        <v/>
      </c>
      <c r="U2537" s="10">
        <f>IF(AND(ISNUMBER(M2537),ISNUMBER(N2537)),IF(N2537&gt;0,M2537/N2537,""),"")</f>
        <v/>
      </c>
      <c r="V2537" s="10">
        <f>IF(AND(ISNUMBER(M2537),ISNUMBER(O2537)),IF(O2537&gt;0,M2537/O2537,""),"")</f>
        <v/>
      </c>
      <c r="W2537" s="10">
        <f>IF(AND(ISNUMBER(M2537),ISNUMBER(R2537)),IF(R2537&gt;0,M2537/R2537,""),"")</f>
        <v/>
      </c>
      <c r="X2537" s="10">
        <f>IF(AND(ISNUMBER(Q2537),ISNUMBER(M2537)),IF(M2537&gt;0,Q2537/M2537,""),"")</f>
        <v/>
      </c>
      <c r="Y2537" s="11">
        <f>IF(ISNUMBER(Z2537),YEAR(Z2537),"")</f>
        <v/>
      </c>
      <c r="Z2537" s="12" t="n"/>
      <c r="AA2537" s="12" t="n"/>
      <c r="AI2537" s="12" t="n"/>
      <c r="AJ2537" s="13">
        <f>IF(LEN(TRIM(AF2537))=0,"",HYPERLINK("https://www.google.com/maps/@?api=1&amp;map_action=pano&amp;viewpoint="&amp;SUBSTITUTE(AF2537," ",""),"Abrir Street View"))</f>
        <v/>
      </c>
    </row>
    <row r="2538">
      <c r="H2538" s="6" t="n"/>
      <c r="I2538" s="6" t="n"/>
      <c r="M2538" s="7" t="n"/>
      <c r="N2538" s="7" t="n"/>
      <c r="O2538" s="7" t="n"/>
      <c r="Q2538" s="7" t="n"/>
      <c r="R2538" s="7" t="n"/>
      <c r="S2538" s="8">
        <f>IF(NOT(ISNUMBER(M2538)),"",IF(G2538="Terreno",IF(AND(ISNUMBER(I2538),I2538&gt;0),M2538/I2538,""),IF(AND(ISNUMBER(H2538),H2538&gt;0),M2538/H2538,"")))</f>
        <v/>
      </c>
      <c r="T2538" s="9">
        <f>IF(AND(ISNUMBER(M2538),ISNUMBER(O2538)),IF(M2538&lt;=O2538,"Valor ≤ venal IPTU",""),"")</f>
        <v/>
      </c>
      <c r="U2538" s="10">
        <f>IF(AND(ISNUMBER(M2538),ISNUMBER(N2538)),IF(N2538&gt;0,M2538/N2538,""),"")</f>
        <v/>
      </c>
      <c r="V2538" s="10">
        <f>IF(AND(ISNUMBER(M2538),ISNUMBER(O2538)),IF(O2538&gt;0,M2538/O2538,""),"")</f>
        <v/>
      </c>
      <c r="W2538" s="10">
        <f>IF(AND(ISNUMBER(M2538),ISNUMBER(R2538)),IF(R2538&gt;0,M2538/R2538,""),"")</f>
        <v/>
      </c>
      <c r="X2538" s="10">
        <f>IF(AND(ISNUMBER(Q2538),ISNUMBER(M2538)),IF(M2538&gt;0,Q2538/M2538,""),"")</f>
        <v/>
      </c>
      <c r="Y2538" s="11">
        <f>IF(ISNUMBER(Z2538),YEAR(Z2538),"")</f>
        <v/>
      </c>
      <c r="Z2538" s="12" t="n"/>
      <c r="AA2538" s="12" t="n"/>
      <c r="AI2538" s="12" t="n"/>
      <c r="AJ2538" s="13">
        <f>IF(LEN(TRIM(AF2538))=0,"",HYPERLINK("https://www.google.com/maps/@?api=1&amp;map_action=pano&amp;viewpoint="&amp;SUBSTITUTE(AF2538," ",""),"Abrir Street View"))</f>
        <v/>
      </c>
    </row>
    <row r="2539">
      <c r="H2539" s="6" t="n"/>
      <c r="I2539" s="6" t="n"/>
      <c r="M2539" s="7" t="n"/>
      <c r="N2539" s="7" t="n"/>
      <c r="O2539" s="7" t="n"/>
      <c r="Q2539" s="7" t="n"/>
      <c r="R2539" s="7" t="n"/>
      <c r="S2539" s="8">
        <f>IF(NOT(ISNUMBER(M2539)),"",IF(G2539="Terreno",IF(AND(ISNUMBER(I2539),I2539&gt;0),M2539/I2539,""),IF(AND(ISNUMBER(H2539),H2539&gt;0),M2539/H2539,"")))</f>
        <v/>
      </c>
      <c r="T2539" s="9">
        <f>IF(AND(ISNUMBER(M2539),ISNUMBER(O2539)),IF(M2539&lt;=O2539,"Valor ≤ venal IPTU",""),"")</f>
        <v/>
      </c>
      <c r="U2539" s="10">
        <f>IF(AND(ISNUMBER(M2539),ISNUMBER(N2539)),IF(N2539&gt;0,M2539/N2539,""),"")</f>
        <v/>
      </c>
      <c r="V2539" s="10">
        <f>IF(AND(ISNUMBER(M2539),ISNUMBER(O2539)),IF(O2539&gt;0,M2539/O2539,""),"")</f>
        <v/>
      </c>
      <c r="W2539" s="10">
        <f>IF(AND(ISNUMBER(M2539),ISNUMBER(R2539)),IF(R2539&gt;0,M2539/R2539,""),"")</f>
        <v/>
      </c>
      <c r="X2539" s="10">
        <f>IF(AND(ISNUMBER(Q2539),ISNUMBER(M2539)),IF(M2539&gt;0,Q2539/M2539,""),"")</f>
        <v/>
      </c>
      <c r="Y2539" s="11">
        <f>IF(ISNUMBER(Z2539),YEAR(Z2539),"")</f>
        <v/>
      </c>
      <c r="Z2539" s="12" t="n"/>
      <c r="AA2539" s="12" t="n"/>
      <c r="AI2539" s="12" t="n"/>
      <c r="AJ2539" s="13">
        <f>IF(LEN(TRIM(AF2539))=0,"",HYPERLINK("https://www.google.com/maps/@?api=1&amp;map_action=pano&amp;viewpoint="&amp;SUBSTITUTE(AF2539," ",""),"Abrir Street View"))</f>
        <v/>
      </c>
    </row>
    <row r="2540">
      <c r="H2540" s="6" t="n"/>
      <c r="I2540" s="6" t="n"/>
      <c r="M2540" s="7" t="n"/>
      <c r="N2540" s="7" t="n"/>
      <c r="O2540" s="7" t="n"/>
      <c r="Q2540" s="7" t="n"/>
      <c r="R2540" s="7" t="n"/>
      <c r="S2540" s="8">
        <f>IF(NOT(ISNUMBER(M2540)),"",IF(G2540="Terreno",IF(AND(ISNUMBER(I2540),I2540&gt;0),M2540/I2540,""),IF(AND(ISNUMBER(H2540),H2540&gt;0),M2540/H2540,"")))</f>
        <v/>
      </c>
      <c r="T2540" s="9">
        <f>IF(AND(ISNUMBER(M2540),ISNUMBER(O2540)),IF(M2540&lt;=O2540,"Valor ≤ venal IPTU",""),"")</f>
        <v/>
      </c>
      <c r="U2540" s="10">
        <f>IF(AND(ISNUMBER(M2540),ISNUMBER(N2540)),IF(N2540&gt;0,M2540/N2540,""),"")</f>
        <v/>
      </c>
      <c r="V2540" s="10">
        <f>IF(AND(ISNUMBER(M2540),ISNUMBER(O2540)),IF(O2540&gt;0,M2540/O2540,""),"")</f>
        <v/>
      </c>
      <c r="W2540" s="10">
        <f>IF(AND(ISNUMBER(M2540),ISNUMBER(R2540)),IF(R2540&gt;0,M2540/R2540,""),"")</f>
        <v/>
      </c>
      <c r="X2540" s="10">
        <f>IF(AND(ISNUMBER(Q2540),ISNUMBER(M2540)),IF(M2540&gt;0,Q2540/M2540,""),"")</f>
        <v/>
      </c>
      <c r="Y2540" s="11">
        <f>IF(ISNUMBER(Z2540),YEAR(Z2540),"")</f>
        <v/>
      </c>
      <c r="Z2540" s="12" t="n"/>
      <c r="AA2540" s="12" t="n"/>
      <c r="AI2540" s="12" t="n"/>
      <c r="AJ2540" s="13">
        <f>IF(LEN(TRIM(AF2540))=0,"",HYPERLINK("https://www.google.com/maps/@?api=1&amp;map_action=pano&amp;viewpoint="&amp;SUBSTITUTE(AF2540," ",""),"Abrir Street View"))</f>
        <v/>
      </c>
    </row>
    <row r="2541">
      <c r="H2541" s="6" t="n"/>
      <c r="I2541" s="6" t="n"/>
      <c r="M2541" s="7" t="n"/>
      <c r="N2541" s="7" t="n"/>
      <c r="O2541" s="7" t="n"/>
      <c r="Q2541" s="7" t="n"/>
      <c r="R2541" s="7" t="n"/>
      <c r="S2541" s="8">
        <f>IF(NOT(ISNUMBER(M2541)),"",IF(G2541="Terreno",IF(AND(ISNUMBER(I2541),I2541&gt;0),M2541/I2541,""),IF(AND(ISNUMBER(H2541),H2541&gt;0),M2541/H2541,"")))</f>
        <v/>
      </c>
      <c r="T2541" s="9">
        <f>IF(AND(ISNUMBER(M2541),ISNUMBER(O2541)),IF(M2541&lt;=O2541,"Valor ≤ venal IPTU",""),"")</f>
        <v/>
      </c>
      <c r="U2541" s="10">
        <f>IF(AND(ISNUMBER(M2541),ISNUMBER(N2541)),IF(N2541&gt;0,M2541/N2541,""),"")</f>
        <v/>
      </c>
      <c r="V2541" s="10">
        <f>IF(AND(ISNUMBER(M2541),ISNUMBER(O2541)),IF(O2541&gt;0,M2541/O2541,""),"")</f>
        <v/>
      </c>
      <c r="W2541" s="10">
        <f>IF(AND(ISNUMBER(M2541),ISNUMBER(R2541)),IF(R2541&gt;0,M2541/R2541,""),"")</f>
        <v/>
      </c>
      <c r="X2541" s="10">
        <f>IF(AND(ISNUMBER(Q2541),ISNUMBER(M2541)),IF(M2541&gt;0,Q2541/M2541,""),"")</f>
        <v/>
      </c>
      <c r="Y2541" s="11">
        <f>IF(ISNUMBER(Z2541),YEAR(Z2541),"")</f>
        <v/>
      </c>
      <c r="Z2541" s="12" t="n"/>
      <c r="AA2541" s="12" t="n"/>
      <c r="AI2541" s="12" t="n"/>
      <c r="AJ2541" s="13">
        <f>IF(LEN(TRIM(AF2541))=0,"",HYPERLINK("https://www.google.com/maps/@?api=1&amp;map_action=pano&amp;viewpoint="&amp;SUBSTITUTE(AF2541," ",""),"Abrir Street View"))</f>
        <v/>
      </c>
    </row>
    <row r="2542">
      <c r="H2542" s="6" t="n"/>
      <c r="I2542" s="6" t="n"/>
      <c r="M2542" s="7" t="n"/>
      <c r="N2542" s="7" t="n"/>
      <c r="O2542" s="7" t="n"/>
      <c r="Q2542" s="7" t="n"/>
      <c r="R2542" s="7" t="n"/>
      <c r="S2542" s="8">
        <f>IF(NOT(ISNUMBER(M2542)),"",IF(G2542="Terreno",IF(AND(ISNUMBER(I2542),I2542&gt;0),M2542/I2542,""),IF(AND(ISNUMBER(H2542),H2542&gt;0),M2542/H2542,"")))</f>
        <v/>
      </c>
      <c r="T2542" s="9">
        <f>IF(AND(ISNUMBER(M2542),ISNUMBER(O2542)),IF(M2542&lt;=O2542,"Valor ≤ venal IPTU",""),"")</f>
        <v/>
      </c>
      <c r="U2542" s="10">
        <f>IF(AND(ISNUMBER(M2542),ISNUMBER(N2542)),IF(N2542&gt;0,M2542/N2542,""),"")</f>
        <v/>
      </c>
      <c r="V2542" s="10">
        <f>IF(AND(ISNUMBER(M2542),ISNUMBER(O2542)),IF(O2542&gt;0,M2542/O2542,""),"")</f>
        <v/>
      </c>
      <c r="W2542" s="10">
        <f>IF(AND(ISNUMBER(M2542),ISNUMBER(R2542)),IF(R2542&gt;0,M2542/R2542,""),"")</f>
        <v/>
      </c>
      <c r="X2542" s="10">
        <f>IF(AND(ISNUMBER(Q2542),ISNUMBER(M2542)),IF(M2542&gt;0,Q2542/M2542,""),"")</f>
        <v/>
      </c>
      <c r="Y2542" s="11">
        <f>IF(ISNUMBER(Z2542),YEAR(Z2542),"")</f>
        <v/>
      </c>
      <c r="Z2542" s="12" t="n"/>
      <c r="AA2542" s="12" t="n"/>
      <c r="AI2542" s="12" t="n"/>
      <c r="AJ2542" s="13">
        <f>IF(LEN(TRIM(AF2542))=0,"",HYPERLINK("https://www.google.com/maps/@?api=1&amp;map_action=pano&amp;viewpoint="&amp;SUBSTITUTE(AF2542," ",""),"Abrir Street View"))</f>
        <v/>
      </c>
    </row>
    <row r="2543">
      <c r="H2543" s="6" t="n"/>
      <c r="I2543" s="6" t="n"/>
      <c r="M2543" s="7" t="n"/>
      <c r="N2543" s="7" t="n"/>
      <c r="O2543" s="7" t="n"/>
      <c r="Q2543" s="7" t="n"/>
      <c r="R2543" s="7" t="n"/>
      <c r="S2543" s="8">
        <f>IF(NOT(ISNUMBER(M2543)),"",IF(G2543="Terreno",IF(AND(ISNUMBER(I2543),I2543&gt;0),M2543/I2543,""),IF(AND(ISNUMBER(H2543),H2543&gt;0),M2543/H2543,"")))</f>
        <v/>
      </c>
      <c r="T2543" s="9">
        <f>IF(AND(ISNUMBER(M2543),ISNUMBER(O2543)),IF(M2543&lt;=O2543,"Valor ≤ venal IPTU",""),"")</f>
        <v/>
      </c>
      <c r="U2543" s="10">
        <f>IF(AND(ISNUMBER(M2543),ISNUMBER(N2543)),IF(N2543&gt;0,M2543/N2543,""),"")</f>
        <v/>
      </c>
      <c r="V2543" s="10">
        <f>IF(AND(ISNUMBER(M2543),ISNUMBER(O2543)),IF(O2543&gt;0,M2543/O2543,""),"")</f>
        <v/>
      </c>
      <c r="W2543" s="10">
        <f>IF(AND(ISNUMBER(M2543),ISNUMBER(R2543)),IF(R2543&gt;0,M2543/R2543,""),"")</f>
        <v/>
      </c>
      <c r="X2543" s="10">
        <f>IF(AND(ISNUMBER(Q2543),ISNUMBER(M2543)),IF(M2543&gt;0,Q2543/M2543,""),"")</f>
        <v/>
      </c>
      <c r="Y2543" s="11">
        <f>IF(ISNUMBER(Z2543),YEAR(Z2543),"")</f>
        <v/>
      </c>
      <c r="Z2543" s="12" t="n"/>
      <c r="AA2543" s="12" t="n"/>
      <c r="AI2543" s="12" t="n"/>
      <c r="AJ2543" s="13">
        <f>IF(LEN(TRIM(AF2543))=0,"",HYPERLINK("https://www.google.com/maps/@?api=1&amp;map_action=pano&amp;viewpoint="&amp;SUBSTITUTE(AF2543," ",""),"Abrir Street View"))</f>
        <v/>
      </c>
    </row>
    <row r="2544">
      <c r="H2544" s="6" t="n"/>
      <c r="I2544" s="6" t="n"/>
      <c r="M2544" s="7" t="n"/>
      <c r="N2544" s="7" t="n"/>
      <c r="O2544" s="7" t="n"/>
      <c r="Q2544" s="7" t="n"/>
      <c r="R2544" s="7" t="n"/>
      <c r="S2544" s="8">
        <f>IF(NOT(ISNUMBER(M2544)),"",IF(G2544="Terreno",IF(AND(ISNUMBER(I2544),I2544&gt;0),M2544/I2544,""),IF(AND(ISNUMBER(H2544),H2544&gt;0),M2544/H2544,"")))</f>
        <v/>
      </c>
      <c r="T2544" s="9">
        <f>IF(AND(ISNUMBER(M2544),ISNUMBER(O2544)),IF(M2544&lt;=O2544,"Valor ≤ venal IPTU",""),"")</f>
        <v/>
      </c>
      <c r="U2544" s="10">
        <f>IF(AND(ISNUMBER(M2544),ISNUMBER(N2544)),IF(N2544&gt;0,M2544/N2544,""),"")</f>
        <v/>
      </c>
      <c r="V2544" s="10">
        <f>IF(AND(ISNUMBER(M2544),ISNUMBER(O2544)),IF(O2544&gt;0,M2544/O2544,""),"")</f>
        <v/>
      </c>
      <c r="W2544" s="10">
        <f>IF(AND(ISNUMBER(M2544),ISNUMBER(R2544)),IF(R2544&gt;0,M2544/R2544,""),"")</f>
        <v/>
      </c>
      <c r="X2544" s="10">
        <f>IF(AND(ISNUMBER(Q2544),ISNUMBER(M2544)),IF(M2544&gt;0,Q2544/M2544,""),"")</f>
        <v/>
      </c>
      <c r="Y2544" s="11">
        <f>IF(ISNUMBER(Z2544),YEAR(Z2544),"")</f>
        <v/>
      </c>
      <c r="Z2544" s="12" t="n"/>
      <c r="AA2544" s="12" t="n"/>
      <c r="AI2544" s="12" t="n"/>
      <c r="AJ2544" s="13">
        <f>IF(LEN(TRIM(AF2544))=0,"",HYPERLINK("https://www.google.com/maps/@?api=1&amp;map_action=pano&amp;viewpoint="&amp;SUBSTITUTE(AF2544," ",""),"Abrir Street View"))</f>
        <v/>
      </c>
    </row>
    <row r="2545">
      <c r="H2545" s="6" t="n"/>
      <c r="I2545" s="6" t="n"/>
      <c r="M2545" s="7" t="n"/>
      <c r="N2545" s="7" t="n"/>
      <c r="O2545" s="7" t="n"/>
      <c r="Q2545" s="7" t="n"/>
      <c r="R2545" s="7" t="n"/>
      <c r="S2545" s="8">
        <f>IF(NOT(ISNUMBER(M2545)),"",IF(G2545="Terreno",IF(AND(ISNUMBER(I2545),I2545&gt;0),M2545/I2545,""),IF(AND(ISNUMBER(H2545),H2545&gt;0),M2545/H2545,"")))</f>
        <v/>
      </c>
      <c r="T2545" s="9">
        <f>IF(AND(ISNUMBER(M2545),ISNUMBER(O2545)),IF(M2545&lt;=O2545,"Valor ≤ venal IPTU",""),"")</f>
        <v/>
      </c>
      <c r="U2545" s="10">
        <f>IF(AND(ISNUMBER(M2545),ISNUMBER(N2545)),IF(N2545&gt;0,M2545/N2545,""),"")</f>
        <v/>
      </c>
      <c r="V2545" s="10">
        <f>IF(AND(ISNUMBER(M2545),ISNUMBER(O2545)),IF(O2545&gt;0,M2545/O2545,""),"")</f>
        <v/>
      </c>
      <c r="W2545" s="10">
        <f>IF(AND(ISNUMBER(M2545),ISNUMBER(R2545)),IF(R2545&gt;0,M2545/R2545,""),"")</f>
        <v/>
      </c>
      <c r="X2545" s="10">
        <f>IF(AND(ISNUMBER(Q2545),ISNUMBER(M2545)),IF(M2545&gt;0,Q2545/M2545,""),"")</f>
        <v/>
      </c>
      <c r="Y2545" s="11">
        <f>IF(ISNUMBER(Z2545),YEAR(Z2545),"")</f>
        <v/>
      </c>
      <c r="Z2545" s="12" t="n"/>
      <c r="AA2545" s="12" t="n"/>
      <c r="AI2545" s="12" t="n"/>
      <c r="AJ2545" s="13">
        <f>IF(LEN(TRIM(AF2545))=0,"",HYPERLINK("https://www.google.com/maps/@?api=1&amp;map_action=pano&amp;viewpoint="&amp;SUBSTITUTE(AF2545," ",""),"Abrir Street View"))</f>
        <v/>
      </c>
    </row>
    <row r="2546">
      <c r="H2546" s="6" t="n"/>
      <c r="I2546" s="6" t="n"/>
      <c r="M2546" s="7" t="n"/>
      <c r="N2546" s="7" t="n"/>
      <c r="O2546" s="7" t="n"/>
      <c r="Q2546" s="7" t="n"/>
      <c r="R2546" s="7" t="n"/>
      <c r="S2546" s="8">
        <f>IF(NOT(ISNUMBER(M2546)),"",IF(G2546="Terreno",IF(AND(ISNUMBER(I2546),I2546&gt;0),M2546/I2546,""),IF(AND(ISNUMBER(H2546),H2546&gt;0),M2546/H2546,"")))</f>
        <v/>
      </c>
      <c r="T2546" s="9">
        <f>IF(AND(ISNUMBER(M2546),ISNUMBER(O2546)),IF(M2546&lt;=O2546,"Valor ≤ venal IPTU",""),"")</f>
        <v/>
      </c>
      <c r="U2546" s="10">
        <f>IF(AND(ISNUMBER(M2546),ISNUMBER(N2546)),IF(N2546&gt;0,M2546/N2546,""),"")</f>
        <v/>
      </c>
      <c r="V2546" s="10">
        <f>IF(AND(ISNUMBER(M2546),ISNUMBER(O2546)),IF(O2546&gt;0,M2546/O2546,""),"")</f>
        <v/>
      </c>
      <c r="W2546" s="10">
        <f>IF(AND(ISNUMBER(M2546),ISNUMBER(R2546)),IF(R2546&gt;0,M2546/R2546,""),"")</f>
        <v/>
      </c>
      <c r="X2546" s="10">
        <f>IF(AND(ISNUMBER(Q2546),ISNUMBER(M2546)),IF(M2546&gt;0,Q2546/M2546,""),"")</f>
        <v/>
      </c>
      <c r="Y2546" s="11">
        <f>IF(ISNUMBER(Z2546),YEAR(Z2546),"")</f>
        <v/>
      </c>
      <c r="Z2546" s="12" t="n"/>
      <c r="AA2546" s="12" t="n"/>
      <c r="AI2546" s="12" t="n"/>
      <c r="AJ2546" s="13">
        <f>IF(LEN(TRIM(AF2546))=0,"",HYPERLINK("https://www.google.com/maps/@?api=1&amp;map_action=pano&amp;viewpoint="&amp;SUBSTITUTE(AF2546," ",""),"Abrir Street View"))</f>
        <v/>
      </c>
    </row>
    <row r="2547">
      <c r="H2547" s="6" t="n"/>
      <c r="I2547" s="6" t="n"/>
      <c r="M2547" s="7" t="n"/>
      <c r="N2547" s="7" t="n"/>
      <c r="O2547" s="7" t="n"/>
      <c r="Q2547" s="7" t="n"/>
      <c r="R2547" s="7" t="n"/>
      <c r="S2547" s="8">
        <f>IF(NOT(ISNUMBER(M2547)),"",IF(G2547="Terreno",IF(AND(ISNUMBER(I2547),I2547&gt;0),M2547/I2547,""),IF(AND(ISNUMBER(H2547),H2547&gt;0),M2547/H2547,"")))</f>
        <v/>
      </c>
      <c r="T2547" s="9">
        <f>IF(AND(ISNUMBER(M2547),ISNUMBER(O2547)),IF(M2547&lt;=O2547,"Valor ≤ venal IPTU",""),"")</f>
        <v/>
      </c>
      <c r="U2547" s="10">
        <f>IF(AND(ISNUMBER(M2547),ISNUMBER(N2547)),IF(N2547&gt;0,M2547/N2547,""),"")</f>
        <v/>
      </c>
      <c r="V2547" s="10">
        <f>IF(AND(ISNUMBER(M2547),ISNUMBER(O2547)),IF(O2547&gt;0,M2547/O2547,""),"")</f>
        <v/>
      </c>
      <c r="W2547" s="10">
        <f>IF(AND(ISNUMBER(M2547),ISNUMBER(R2547)),IF(R2547&gt;0,M2547/R2547,""),"")</f>
        <v/>
      </c>
      <c r="X2547" s="10">
        <f>IF(AND(ISNUMBER(Q2547),ISNUMBER(M2547)),IF(M2547&gt;0,Q2547/M2547,""),"")</f>
        <v/>
      </c>
      <c r="Y2547" s="11">
        <f>IF(ISNUMBER(Z2547),YEAR(Z2547),"")</f>
        <v/>
      </c>
      <c r="Z2547" s="12" t="n"/>
      <c r="AA2547" s="12" t="n"/>
      <c r="AI2547" s="12" t="n"/>
      <c r="AJ2547" s="13">
        <f>IF(LEN(TRIM(AF2547))=0,"",HYPERLINK("https://www.google.com/maps/@?api=1&amp;map_action=pano&amp;viewpoint="&amp;SUBSTITUTE(AF2547," ",""),"Abrir Street View"))</f>
        <v/>
      </c>
    </row>
    <row r="2548">
      <c r="H2548" s="6" t="n"/>
      <c r="I2548" s="6" t="n"/>
      <c r="M2548" s="7" t="n"/>
      <c r="N2548" s="7" t="n"/>
      <c r="O2548" s="7" t="n"/>
      <c r="Q2548" s="7" t="n"/>
      <c r="R2548" s="7" t="n"/>
      <c r="S2548" s="8">
        <f>IF(NOT(ISNUMBER(M2548)),"",IF(G2548="Terreno",IF(AND(ISNUMBER(I2548),I2548&gt;0),M2548/I2548,""),IF(AND(ISNUMBER(H2548),H2548&gt;0),M2548/H2548,"")))</f>
        <v/>
      </c>
      <c r="T2548" s="9">
        <f>IF(AND(ISNUMBER(M2548),ISNUMBER(O2548)),IF(M2548&lt;=O2548,"Valor ≤ venal IPTU",""),"")</f>
        <v/>
      </c>
      <c r="U2548" s="10">
        <f>IF(AND(ISNUMBER(M2548),ISNUMBER(N2548)),IF(N2548&gt;0,M2548/N2548,""),"")</f>
        <v/>
      </c>
      <c r="V2548" s="10">
        <f>IF(AND(ISNUMBER(M2548),ISNUMBER(O2548)),IF(O2548&gt;0,M2548/O2548,""),"")</f>
        <v/>
      </c>
      <c r="W2548" s="10">
        <f>IF(AND(ISNUMBER(M2548),ISNUMBER(R2548)),IF(R2548&gt;0,M2548/R2548,""),"")</f>
        <v/>
      </c>
      <c r="X2548" s="10">
        <f>IF(AND(ISNUMBER(Q2548),ISNUMBER(M2548)),IF(M2548&gt;0,Q2548/M2548,""),"")</f>
        <v/>
      </c>
      <c r="Y2548" s="11">
        <f>IF(ISNUMBER(Z2548),YEAR(Z2548),"")</f>
        <v/>
      </c>
      <c r="Z2548" s="12" t="n"/>
      <c r="AA2548" s="12" t="n"/>
      <c r="AI2548" s="12" t="n"/>
      <c r="AJ2548" s="13">
        <f>IF(LEN(TRIM(AF2548))=0,"",HYPERLINK("https://www.google.com/maps/@?api=1&amp;map_action=pano&amp;viewpoint="&amp;SUBSTITUTE(AF2548," ",""),"Abrir Street View"))</f>
        <v/>
      </c>
    </row>
    <row r="2549">
      <c r="H2549" s="6" t="n"/>
      <c r="I2549" s="6" t="n"/>
      <c r="M2549" s="7" t="n"/>
      <c r="N2549" s="7" t="n"/>
      <c r="O2549" s="7" t="n"/>
      <c r="Q2549" s="7" t="n"/>
      <c r="R2549" s="7" t="n"/>
      <c r="S2549" s="8">
        <f>IF(NOT(ISNUMBER(M2549)),"",IF(G2549="Terreno",IF(AND(ISNUMBER(I2549),I2549&gt;0),M2549/I2549,""),IF(AND(ISNUMBER(H2549),H2549&gt;0),M2549/H2549,"")))</f>
        <v/>
      </c>
      <c r="T2549" s="9">
        <f>IF(AND(ISNUMBER(M2549),ISNUMBER(O2549)),IF(M2549&lt;=O2549,"Valor ≤ venal IPTU",""),"")</f>
        <v/>
      </c>
      <c r="U2549" s="10">
        <f>IF(AND(ISNUMBER(M2549),ISNUMBER(N2549)),IF(N2549&gt;0,M2549/N2549,""),"")</f>
        <v/>
      </c>
      <c r="V2549" s="10">
        <f>IF(AND(ISNUMBER(M2549),ISNUMBER(O2549)),IF(O2549&gt;0,M2549/O2549,""),"")</f>
        <v/>
      </c>
      <c r="W2549" s="10">
        <f>IF(AND(ISNUMBER(M2549),ISNUMBER(R2549)),IF(R2549&gt;0,M2549/R2549,""),"")</f>
        <v/>
      </c>
      <c r="X2549" s="10">
        <f>IF(AND(ISNUMBER(Q2549),ISNUMBER(M2549)),IF(M2549&gt;0,Q2549/M2549,""),"")</f>
        <v/>
      </c>
      <c r="Y2549" s="11">
        <f>IF(ISNUMBER(Z2549),YEAR(Z2549),"")</f>
        <v/>
      </c>
      <c r="Z2549" s="12" t="n"/>
      <c r="AA2549" s="12" t="n"/>
      <c r="AI2549" s="12" t="n"/>
      <c r="AJ2549" s="13">
        <f>IF(LEN(TRIM(AF2549))=0,"",HYPERLINK("https://www.google.com/maps/@?api=1&amp;map_action=pano&amp;viewpoint="&amp;SUBSTITUTE(AF2549," ",""),"Abrir Street View"))</f>
        <v/>
      </c>
    </row>
    <row r="2550">
      <c r="H2550" s="6" t="n"/>
      <c r="I2550" s="6" t="n"/>
      <c r="M2550" s="7" t="n"/>
      <c r="N2550" s="7" t="n"/>
      <c r="O2550" s="7" t="n"/>
      <c r="Q2550" s="7" t="n"/>
      <c r="R2550" s="7" t="n"/>
      <c r="S2550" s="8">
        <f>IF(NOT(ISNUMBER(M2550)),"",IF(G2550="Terreno",IF(AND(ISNUMBER(I2550),I2550&gt;0),M2550/I2550,""),IF(AND(ISNUMBER(H2550),H2550&gt;0),M2550/H2550,"")))</f>
        <v/>
      </c>
      <c r="T2550" s="9">
        <f>IF(AND(ISNUMBER(M2550),ISNUMBER(O2550)),IF(M2550&lt;=O2550,"Valor ≤ venal IPTU",""),"")</f>
        <v/>
      </c>
      <c r="U2550" s="10">
        <f>IF(AND(ISNUMBER(M2550),ISNUMBER(N2550)),IF(N2550&gt;0,M2550/N2550,""),"")</f>
        <v/>
      </c>
      <c r="V2550" s="10">
        <f>IF(AND(ISNUMBER(M2550),ISNUMBER(O2550)),IF(O2550&gt;0,M2550/O2550,""),"")</f>
        <v/>
      </c>
      <c r="W2550" s="10">
        <f>IF(AND(ISNUMBER(M2550),ISNUMBER(R2550)),IF(R2550&gt;0,M2550/R2550,""),"")</f>
        <v/>
      </c>
      <c r="X2550" s="10">
        <f>IF(AND(ISNUMBER(Q2550),ISNUMBER(M2550)),IF(M2550&gt;0,Q2550/M2550,""),"")</f>
        <v/>
      </c>
      <c r="Y2550" s="11">
        <f>IF(ISNUMBER(Z2550),YEAR(Z2550),"")</f>
        <v/>
      </c>
      <c r="Z2550" s="12" t="n"/>
      <c r="AA2550" s="12" t="n"/>
      <c r="AI2550" s="12" t="n"/>
      <c r="AJ2550" s="13">
        <f>IF(LEN(TRIM(AF2550))=0,"",HYPERLINK("https://www.google.com/maps/@?api=1&amp;map_action=pano&amp;viewpoint="&amp;SUBSTITUTE(AF2550," ",""),"Abrir Street View"))</f>
        <v/>
      </c>
    </row>
    <row r="2551">
      <c r="H2551" s="6" t="n"/>
      <c r="I2551" s="6" t="n"/>
      <c r="M2551" s="7" t="n"/>
      <c r="N2551" s="7" t="n"/>
      <c r="O2551" s="7" t="n"/>
      <c r="Q2551" s="7" t="n"/>
      <c r="R2551" s="7" t="n"/>
      <c r="S2551" s="8">
        <f>IF(NOT(ISNUMBER(M2551)),"",IF(G2551="Terreno",IF(AND(ISNUMBER(I2551),I2551&gt;0),M2551/I2551,""),IF(AND(ISNUMBER(H2551),H2551&gt;0),M2551/H2551,"")))</f>
        <v/>
      </c>
      <c r="T2551" s="9">
        <f>IF(AND(ISNUMBER(M2551),ISNUMBER(O2551)),IF(M2551&lt;=O2551,"Valor ≤ venal IPTU",""),"")</f>
        <v/>
      </c>
      <c r="U2551" s="10">
        <f>IF(AND(ISNUMBER(M2551),ISNUMBER(N2551)),IF(N2551&gt;0,M2551/N2551,""),"")</f>
        <v/>
      </c>
      <c r="V2551" s="10">
        <f>IF(AND(ISNUMBER(M2551),ISNUMBER(O2551)),IF(O2551&gt;0,M2551/O2551,""),"")</f>
        <v/>
      </c>
      <c r="W2551" s="10">
        <f>IF(AND(ISNUMBER(M2551),ISNUMBER(R2551)),IF(R2551&gt;0,M2551/R2551,""),"")</f>
        <v/>
      </c>
      <c r="X2551" s="10">
        <f>IF(AND(ISNUMBER(Q2551),ISNUMBER(M2551)),IF(M2551&gt;0,Q2551/M2551,""),"")</f>
        <v/>
      </c>
      <c r="Y2551" s="11">
        <f>IF(ISNUMBER(Z2551),YEAR(Z2551),"")</f>
        <v/>
      </c>
      <c r="Z2551" s="12" t="n"/>
      <c r="AA2551" s="12" t="n"/>
      <c r="AI2551" s="12" t="n"/>
      <c r="AJ2551" s="13">
        <f>IF(LEN(TRIM(AF2551))=0,"",HYPERLINK("https://www.google.com/maps/@?api=1&amp;map_action=pano&amp;viewpoint="&amp;SUBSTITUTE(AF2551," ",""),"Abrir Street View"))</f>
        <v/>
      </c>
    </row>
    <row r="2552">
      <c r="H2552" s="6" t="n"/>
      <c r="I2552" s="6" t="n"/>
      <c r="M2552" s="7" t="n"/>
      <c r="N2552" s="7" t="n"/>
      <c r="O2552" s="7" t="n"/>
      <c r="Q2552" s="7" t="n"/>
      <c r="R2552" s="7" t="n"/>
      <c r="S2552" s="8">
        <f>IF(NOT(ISNUMBER(M2552)),"",IF(G2552="Terreno",IF(AND(ISNUMBER(I2552),I2552&gt;0),M2552/I2552,""),IF(AND(ISNUMBER(H2552),H2552&gt;0),M2552/H2552,"")))</f>
        <v/>
      </c>
      <c r="T2552" s="9">
        <f>IF(AND(ISNUMBER(M2552),ISNUMBER(O2552)),IF(M2552&lt;=O2552,"Valor ≤ venal IPTU",""),"")</f>
        <v/>
      </c>
      <c r="U2552" s="10">
        <f>IF(AND(ISNUMBER(M2552),ISNUMBER(N2552)),IF(N2552&gt;0,M2552/N2552,""),"")</f>
        <v/>
      </c>
      <c r="V2552" s="10">
        <f>IF(AND(ISNUMBER(M2552),ISNUMBER(O2552)),IF(O2552&gt;0,M2552/O2552,""),"")</f>
        <v/>
      </c>
      <c r="W2552" s="10">
        <f>IF(AND(ISNUMBER(M2552),ISNUMBER(R2552)),IF(R2552&gt;0,M2552/R2552,""),"")</f>
        <v/>
      </c>
      <c r="X2552" s="10">
        <f>IF(AND(ISNUMBER(Q2552),ISNUMBER(M2552)),IF(M2552&gt;0,Q2552/M2552,""),"")</f>
        <v/>
      </c>
      <c r="Y2552" s="11">
        <f>IF(ISNUMBER(Z2552),YEAR(Z2552),"")</f>
        <v/>
      </c>
      <c r="Z2552" s="12" t="n"/>
      <c r="AA2552" s="12" t="n"/>
      <c r="AI2552" s="12" t="n"/>
      <c r="AJ2552" s="13">
        <f>IF(LEN(TRIM(AF2552))=0,"",HYPERLINK("https://www.google.com/maps/@?api=1&amp;map_action=pano&amp;viewpoint="&amp;SUBSTITUTE(AF2552," ",""),"Abrir Street View"))</f>
        <v/>
      </c>
    </row>
    <row r="2553">
      <c r="H2553" s="6" t="n"/>
      <c r="I2553" s="6" t="n"/>
      <c r="M2553" s="7" t="n"/>
      <c r="N2553" s="7" t="n"/>
      <c r="O2553" s="7" t="n"/>
      <c r="Q2553" s="7" t="n"/>
      <c r="R2553" s="7" t="n"/>
      <c r="S2553" s="8">
        <f>IF(NOT(ISNUMBER(M2553)),"",IF(G2553="Terreno",IF(AND(ISNUMBER(I2553),I2553&gt;0),M2553/I2553,""),IF(AND(ISNUMBER(H2553),H2553&gt;0),M2553/H2553,"")))</f>
        <v/>
      </c>
      <c r="T2553" s="9">
        <f>IF(AND(ISNUMBER(M2553),ISNUMBER(O2553)),IF(M2553&lt;=O2553,"Valor ≤ venal IPTU",""),"")</f>
        <v/>
      </c>
      <c r="U2553" s="10">
        <f>IF(AND(ISNUMBER(M2553),ISNUMBER(N2553)),IF(N2553&gt;0,M2553/N2553,""),"")</f>
        <v/>
      </c>
      <c r="V2553" s="10">
        <f>IF(AND(ISNUMBER(M2553),ISNUMBER(O2553)),IF(O2553&gt;0,M2553/O2553,""),"")</f>
        <v/>
      </c>
      <c r="W2553" s="10">
        <f>IF(AND(ISNUMBER(M2553),ISNUMBER(R2553)),IF(R2553&gt;0,M2553/R2553,""),"")</f>
        <v/>
      </c>
      <c r="X2553" s="10">
        <f>IF(AND(ISNUMBER(Q2553),ISNUMBER(M2553)),IF(M2553&gt;0,Q2553/M2553,""),"")</f>
        <v/>
      </c>
      <c r="Y2553" s="11">
        <f>IF(ISNUMBER(Z2553),YEAR(Z2553),"")</f>
        <v/>
      </c>
      <c r="Z2553" s="12" t="n"/>
      <c r="AA2553" s="12" t="n"/>
      <c r="AI2553" s="12" t="n"/>
      <c r="AJ2553" s="13">
        <f>IF(LEN(TRIM(AF2553))=0,"",HYPERLINK("https://www.google.com/maps/@?api=1&amp;map_action=pano&amp;viewpoint="&amp;SUBSTITUTE(AF2553," ",""),"Abrir Street View"))</f>
        <v/>
      </c>
    </row>
    <row r="2554">
      <c r="H2554" s="6" t="n"/>
      <c r="I2554" s="6" t="n"/>
      <c r="M2554" s="7" t="n"/>
      <c r="N2554" s="7" t="n"/>
      <c r="O2554" s="7" t="n"/>
      <c r="Q2554" s="7" t="n"/>
      <c r="R2554" s="7" t="n"/>
      <c r="S2554" s="8">
        <f>IF(NOT(ISNUMBER(M2554)),"",IF(G2554="Terreno",IF(AND(ISNUMBER(I2554),I2554&gt;0),M2554/I2554,""),IF(AND(ISNUMBER(H2554),H2554&gt;0),M2554/H2554,"")))</f>
        <v/>
      </c>
      <c r="T2554" s="9">
        <f>IF(AND(ISNUMBER(M2554),ISNUMBER(O2554)),IF(M2554&lt;=O2554,"Valor ≤ venal IPTU",""),"")</f>
        <v/>
      </c>
      <c r="U2554" s="10">
        <f>IF(AND(ISNUMBER(M2554),ISNUMBER(N2554)),IF(N2554&gt;0,M2554/N2554,""),"")</f>
        <v/>
      </c>
      <c r="V2554" s="10">
        <f>IF(AND(ISNUMBER(M2554),ISNUMBER(O2554)),IF(O2554&gt;0,M2554/O2554,""),"")</f>
        <v/>
      </c>
      <c r="W2554" s="10">
        <f>IF(AND(ISNUMBER(M2554),ISNUMBER(R2554)),IF(R2554&gt;0,M2554/R2554,""),"")</f>
        <v/>
      </c>
      <c r="X2554" s="10">
        <f>IF(AND(ISNUMBER(Q2554),ISNUMBER(M2554)),IF(M2554&gt;0,Q2554/M2554,""),"")</f>
        <v/>
      </c>
      <c r="Y2554" s="11">
        <f>IF(ISNUMBER(Z2554),YEAR(Z2554),"")</f>
        <v/>
      </c>
      <c r="Z2554" s="12" t="n"/>
      <c r="AA2554" s="12" t="n"/>
      <c r="AI2554" s="12" t="n"/>
      <c r="AJ2554" s="13">
        <f>IF(LEN(TRIM(AF2554))=0,"",HYPERLINK("https://www.google.com/maps/@?api=1&amp;map_action=pano&amp;viewpoint="&amp;SUBSTITUTE(AF2554," ",""),"Abrir Street View"))</f>
        <v/>
      </c>
    </row>
    <row r="2555">
      <c r="H2555" s="6" t="n"/>
      <c r="I2555" s="6" t="n"/>
      <c r="M2555" s="7" t="n"/>
      <c r="N2555" s="7" t="n"/>
      <c r="O2555" s="7" t="n"/>
      <c r="Q2555" s="7" t="n"/>
      <c r="R2555" s="7" t="n"/>
      <c r="S2555" s="8">
        <f>IF(NOT(ISNUMBER(M2555)),"",IF(G2555="Terreno",IF(AND(ISNUMBER(I2555),I2555&gt;0),M2555/I2555,""),IF(AND(ISNUMBER(H2555),H2555&gt;0),M2555/H2555,"")))</f>
        <v/>
      </c>
      <c r="T2555" s="9">
        <f>IF(AND(ISNUMBER(M2555),ISNUMBER(O2555)),IF(M2555&lt;=O2555,"Valor ≤ venal IPTU",""),"")</f>
        <v/>
      </c>
      <c r="U2555" s="10">
        <f>IF(AND(ISNUMBER(M2555),ISNUMBER(N2555)),IF(N2555&gt;0,M2555/N2555,""),"")</f>
        <v/>
      </c>
      <c r="V2555" s="10">
        <f>IF(AND(ISNUMBER(M2555),ISNUMBER(O2555)),IF(O2555&gt;0,M2555/O2555,""),"")</f>
        <v/>
      </c>
      <c r="W2555" s="10">
        <f>IF(AND(ISNUMBER(M2555),ISNUMBER(R2555)),IF(R2555&gt;0,M2555/R2555,""),"")</f>
        <v/>
      </c>
      <c r="X2555" s="10">
        <f>IF(AND(ISNUMBER(Q2555),ISNUMBER(M2555)),IF(M2555&gt;0,Q2555/M2555,""),"")</f>
        <v/>
      </c>
      <c r="Y2555" s="11">
        <f>IF(ISNUMBER(Z2555),YEAR(Z2555),"")</f>
        <v/>
      </c>
      <c r="Z2555" s="12" t="n"/>
      <c r="AA2555" s="12" t="n"/>
      <c r="AI2555" s="12" t="n"/>
      <c r="AJ2555" s="13">
        <f>IF(LEN(TRIM(AF2555))=0,"",HYPERLINK("https://www.google.com/maps/@?api=1&amp;map_action=pano&amp;viewpoint="&amp;SUBSTITUTE(AF2555," ",""),"Abrir Street View"))</f>
        <v/>
      </c>
    </row>
    <row r="2556">
      <c r="H2556" s="6" t="n"/>
      <c r="I2556" s="6" t="n"/>
      <c r="M2556" s="7" t="n"/>
      <c r="N2556" s="7" t="n"/>
      <c r="O2556" s="7" t="n"/>
      <c r="Q2556" s="7" t="n"/>
      <c r="R2556" s="7" t="n"/>
      <c r="S2556" s="8">
        <f>IF(NOT(ISNUMBER(M2556)),"",IF(G2556="Terreno",IF(AND(ISNUMBER(I2556),I2556&gt;0),M2556/I2556,""),IF(AND(ISNUMBER(H2556),H2556&gt;0),M2556/H2556,"")))</f>
        <v/>
      </c>
      <c r="T2556" s="9">
        <f>IF(AND(ISNUMBER(M2556),ISNUMBER(O2556)),IF(M2556&lt;=O2556,"Valor ≤ venal IPTU",""),"")</f>
        <v/>
      </c>
      <c r="U2556" s="10">
        <f>IF(AND(ISNUMBER(M2556),ISNUMBER(N2556)),IF(N2556&gt;0,M2556/N2556,""),"")</f>
        <v/>
      </c>
      <c r="V2556" s="10">
        <f>IF(AND(ISNUMBER(M2556),ISNUMBER(O2556)),IF(O2556&gt;0,M2556/O2556,""),"")</f>
        <v/>
      </c>
      <c r="W2556" s="10">
        <f>IF(AND(ISNUMBER(M2556),ISNUMBER(R2556)),IF(R2556&gt;0,M2556/R2556,""),"")</f>
        <v/>
      </c>
      <c r="X2556" s="10">
        <f>IF(AND(ISNUMBER(Q2556),ISNUMBER(M2556)),IF(M2556&gt;0,Q2556/M2556,""),"")</f>
        <v/>
      </c>
      <c r="Y2556" s="11">
        <f>IF(ISNUMBER(Z2556),YEAR(Z2556),"")</f>
        <v/>
      </c>
      <c r="Z2556" s="12" t="n"/>
      <c r="AA2556" s="12" t="n"/>
      <c r="AI2556" s="12" t="n"/>
      <c r="AJ2556" s="13">
        <f>IF(LEN(TRIM(AF2556))=0,"",HYPERLINK("https://www.google.com/maps/@?api=1&amp;map_action=pano&amp;viewpoint="&amp;SUBSTITUTE(AF2556," ",""),"Abrir Street View"))</f>
        <v/>
      </c>
    </row>
    <row r="2557">
      <c r="H2557" s="6" t="n"/>
      <c r="I2557" s="6" t="n"/>
      <c r="M2557" s="7" t="n"/>
      <c r="N2557" s="7" t="n"/>
      <c r="O2557" s="7" t="n"/>
      <c r="Q2557" s="7" t="n"/>
      <c r="R2557" s="7" t="n"/>
      <c r="S2557" s="8">
        <f>IF(NOT(ISNUMBER(M2557)),"",IF(G2557="Terreno",IF(AND(ISNUMBER(I2557),I2557&gt;0),M2557/I2557,""),IF(AND(ISNUMBER(H2557),H2557&gt;0),M2557/H2557,"")))</f>
        <v/>
      </c>
      <c r="T2557" s="9">
        <f>IF(AND(ISNUMBER(M2557),ISNUMBER(O2557)),IF(M2557&lt;=O2557,"Valor ≤ venal IPTU",""),"")</f>
        <v/>
      </c>
      <c r="U2557" s="10">
        <f>IF(AND(ISNUMBER(M2557),ISNUMBER(N2557)),IF(N2557&gt;0,M2557/N2557,""),"")</f>
        <v/>
      </c>
      <c r="V2557" s="10">
        <f>IF(AND(ISNUMBER(M2557),ISNUMBER(O2557)),IF(O2557&gt;0,M2557/O2557,""),"")</f>
        <v/>
      </c>
      <c r="W2557" s="10">
        <f>IF(AND(ISNUMBER(M2557),ISNUMBER(R2557)),IF(R2557&gt;0,M2557/R2557,""),"")</f>
        <v/>
      </c>
      <c r="X2557" s="10">
        <f>IF(AND(ISNUMBER(Q2557),ISNUMBER(M2557)),IF(M2557&gt;0,Q2557/M2557,""),"")</f>
        <v/>
      </c>
      <c r="Y2557" s="11">
        <f>IF(ISNUMBER(Z2557),YEAR(Z2557),"")</f>
        <v/>
      </c>
      <c r="Z2557" s="12" t="n"/>
      <c r="AA2557" s="12" t="n"/>
      <c r="AI2557" s="12" t="n"/>
      <c r="AJ2557" s="13">
        <f>IF(LEN(TRIM(AF2557))=0,"",HYPERLINK("https://www.google.com/maps/@?api=1&amp;map_action=pano&amp;viewpoint="&amp;SUBSTITUTE(AF2557," ",""),"Abrir Street View"))</f>
        <v/>
      </c>
    </row>
    <row r="2558">
      <c r="H2558" s="6" t="n"/>
      <c r="I2558" s="6" t="n"/>
      <c r="M2558" s="7" t="n"/>
      <c r="N2558" s="7" t="n"/>
      <c r="O2558" s="7" t="n"/>
      <c r="Q2558" s="7" t="n"/>
      <c r="R2558" s="7" t="n"/>
      <c r="S2558" s="8">
        <f>IF(NOT(ISNUMBER(M2558)),"",IF(G2558="Terreno",IF(AND(ISNUMBER(I2558),I2558&gt;0),M2558/I2558,""),IF(AND(ISNUMBER(H2558),H2558&gt;0),M2558/H2558,"")))</f>
        <v/>
      </c>
      <c r="T2558" s="9">
        <f>IF(AND(ISNUMBER(M2558),ISNUMBER(O2558)),IF(M2558&lt;=O2558,"Valor ≤ venal IPTU",""),"")</f>
        <v/>
      </c>
      <c r="U2558" s="10">
        <f>IF(AND(ISNUMBER(M2558),ISNUMBER(N2558)),IF(N2558&gt;0,M2558/N2558,""),"")</f>
        <v/>
      </c>
      <c r="V2558" s="10">
        <f>IF(AND(ISNUMBER(M2558),ISNUMBER(O2558)),IF(O2558&gt;0,M2558/O2558,""),"")</f>
        <v/>
      </c>
      <c r="W2558" s="10">
        <f>IF(AND(ISNUMBER(M2558),ISNUMBER(R2558)),IF(R2558&gt;0,M2558/R2558,""),"")</f>
        <v/>
      </c>
      <c r="X2558" s="10">
        <f>IF(AND(ISNUMBER(Q2558),ISNUMBER(M2558)),IF(M2558&gt;0,Q2558/M2558,""),"")</f>
        <v/>
      </c>
      <c r="Y2558" s="11">
        <f>IF(ISNUMBER(Z2558),YEAR(Z2558),"")</f>
        <v/>
      </c>
      <c r="Z2558" s="12" t="n"/>
      <c r="AA2558" s="12" t="n"/>
      <c r="AI2558" s="12" t="n"/>
      <c r="AJ2558" s="13">
        <f>IF(LEN(TRIM(AF2558))=0,"",HYPERLINK("https://www.google.com/maps/@?api=1&amp;map_action=pano&amp;viewpoint="&amp;SUBSTITUTE(AF2558," ",""),"Abrir Street View"))</f>
        <v/>
      </c>
    </row>
    <row r="2559">
      <c r="H2559" s="6" t="n"/>
      <c r="I2559" s="6" t="n"/>
      <c r="M2559" s="7" t="n"/>
      <c r="N2559" s="7" t="n"/>
      <c r="O2559" s="7" t="n"/>
      <c r="Q2559" s="7" t="n"/>
      <c r="R2559" s="7" t="n"/>
      <c r="S2559" s="8">
        <f>IF(NOT(ISNUMBER(M2559)),"",IF(G2559="Terreno",IF(AND(ISNUMBER(I2559),I2559&gt;0),M2559/I2559,""),IF(AND(ISNUMBER(H2559),H2559&gt;0),M2559/H2559,"")))</f>
        <v/>
      </c>
      <c r="T2559" s="9">
        <f>IF(AND(ISNUMBER(M2559),ISNUMBER(O2559)),IF(M2559&lt;=O2559,"Valor ≤ venal IPTU",""),"")</f>
        <v/>
      </c>
      <c r="U2559" s="10">
        <f>IF(AND(ISNUMBER(M2559),ISNUMBER(N2559)),IF(N2559&gt;0,M2559/N2559,""),"")</f>
        <v/>
      </c>
      <c r="V2559" s="10">
        <f>IF(AND(ISNUMBER(M2559),ISNUMBER(O2559)),IF(O2559&gt;0,M2559/O2559,""),"")</f>
        <v/>
      </c>
      <c r="W2559" s="10">
        <f>IF(AND(ISNUMBER(M2559),ISNUMBER(R2559)),IF(R2559&gt;0,M2559/R2559,""),"")</f>
        <v/>
      </c>
      <c r="X2559" s="10">
        <f>IF(AND(ISNUMBER(Q2559),ISNUMBER(M2559)),IF(M2559&gt;0,Q2559/M2559,""),"")</f>
        <v/>
      </c>
      <c r="Y2559" s="11">
        <f>IF(ISNUMBER(Z2559),YEAR(Z2559),"")</f>
        <v/>
      </c>
      <c r="Z2559" s="12" t="n"/>
      <c r="AA2559" s="12" t="n"/>
      <c r="AI2559" s="12" t="n"/>
      <c r="AJ2559" s="13">
        <f>IF(LEN(TRIM(AF2559))=0,"",HYPERLINK("https://www.google.com/maps/@?api=1&amp;map_action=pano&amp;viewpoint="&amp;SUBSTITUTE(AF2559," ",""),"Abrir Street View"))</f>
        <v/>
      </c>
    </row>
    <row r="2560">
      <c r="H2560" s="6" t="n"/>
      <c r="I2560" s="6" t="n"/>
      <c r="M2560" s="7" t="n"/>
      <c r="N2560" s="7" t="n"/>
      <c r="O2560" s="7" t="n"/>
      <c r="Q2560" s="7" t="n"/>
      <c r="R2560" s="7" t="n"/>
      <c r="S2560" s="8">
        <f>IF(NOT(ISNUMBER(M2560)),"",IF(G2560="Terreno",IF(AND(ISNUMBER(I2560),I2560&gt;0),M2560/I2560,""),IF(AND(ISNUMBER(H2560),H2560&gt;0),M2560/H2560,"")))</f>
        <v/>
      </c>
      <c r="T2560" s="9">
        <f>IF(AND(ISNUMBER(M2560),ISNUMBER(O2560)),IF(M2560&lt;=O2560,"Valor ≤ venal IPTU",""),"")</f>
        <v/>
      </c>
      <c r="U2560" s="10">
        <f>IF(AND(ISNUMBER(M2560),ISNUMBER(N2560)),IF(N2560&gt;0,M2560/N2560,""),"")</f>
        <v/>
      </c>
      <c r="V2560" s="10">
        <f>IF(AND(ISNUMBER(M2560),ISNUMBER(O2560)),IF(O2560&gt;0,M2560/O2560,""),"")</f>
        <v/>
      </c>
      <c r="W2560" s="10">
        <f>IF(AND(ISNUMBER(M2560),ISNUMBER(R2560)),IF(R2560&gt;0,M2560/R2560,""),"")</f>
        <v/>
      </c>
      <c r="X2560" s="10">
        <f>IF(AND(ISNUMBER(Q2560),ISNUMBER(M2560)),IF(M2560&gt;0,Q2560/M2560,""),"")</f>
        <v/>
      </c>
      <c r="Y2560" s="11">
        <f>IF(ISNUMBER(Z2560),YEAR(Z2560),"")</f>
        <v/>
      </c>
      <c r="Z2560" s="12" t="n"/>
      <c r="AA2560" s="12" t="n"/>
      <c r="AI2560" s="12" t="n"/>
      <c r="AJ2560" s="13">
        <f>IF(LEN(TRIM(AF2560))=0,"",HYPERLINK("https://www.google.com/maps/@?api=1&amp;map_action=pano&amp;viewpoint="&amp;SUBSTITUTE(AF2560," ",""),"Abrir Street View"))</f>
        <v/>
      </c>
    </row>
    <row r="2561">
      <c r="H2561" s="6" t="n"/>
      <c r="I2561" s="6" t="n"/>
      <c r="M2561" s="7" t="n"/>
      <c r="N2561" s="7" t="n"/>
      <c r="O2561" s="7" t="n"/>
      <c r="Q2561" s="7" t="n"/>
      <c r="R2561" s="7" t="n"/>
      <c r="S2561" s="8">
        <f>IF(NOT(ISNUMBER(M2561)),"",IF(G2561="Terreno",IF(AND(ISNUMBER(I2561),I2561&gt;0),M2561/I2561,""),IF(AND(ISNUMBER(H2561),H2561&gt;0),M2561/H2561,"")))</f>
        <v/>
      </c>
      <c r="T2561" s="9">
        <f>IF(AND(ISNUMBER(M2561),ISNUMBER(O2561)),IF(M2561&lt;=O2561,"Valor ≤ venal IPTU",""),"")</f>
        <v/>
      </c>
      <c r="U2561" s="10">
        <f>IF(AND(ISNUMBER(M2561),ISNUMBER(N2561)),IF(N2561&gt;0,M2561/N2561,""),"")</f>
        <v/>
      </c>
      <c r="V2561" s="10">
        <f>IF(AND(ISNUMBER(M2561),ISNUMBER(O2561)),IF(O2561&gt;0,M2561/O2561,""),"")</f>
        <v/>
      </c>
      <c r="W2561" s="10">
        <f>IF(AND(ISNUMBER(M2561),ISNUMBER(R2561)),IF(R2561&gt;0,M2561/R2561,""),"")</f>
        <v/>
      </c>
      <c r="X2561" s="10">
        <f>IF(AND(ISNUMBER(Q2561),ISNUMBER(M2561)),IF(M2561&gt;0,Q2561/M2561,""),"")</f>
        <v/>
      </c>
      <c r="Y2561" s="11">
        <f>IF(ISNUMBER(Z2561),YEAR(Z2561),"")</f>
        <v/>
      </c>
      <c r="Z2561" s="12" t="n"/>
      <c r="AA2561" s="12" t="n"/>
      <c r="AI2561" s="12" t="n"/>
      <c r="AJ2561" s="13">
        <f>IF(LEN(TRIM(AF2561))=0,"",HYPERLINK("https://www.google.com/maps/@?api=1&amp;map_action=pano&amp;viewpoint="&amp;SUBSTITUTE(AF2561," ",""),"Abrir Street View"))</f>
        <v/>
      </c>
    </row>
    <row r="2562">
      <c r="H2562" s="6" t="n"/>
      <c r="I2562" s="6" t="n"/>
      <c r="M2562" s="7" t="n"/>
      <c r="N2562" s="7" t="n"/>
      <c r="O2562" s="7" t="n"/>
      <c r="Q2562" s="7" t="n"/>
      <c r="R2562" s="7" t="n"/>
      <c r="S2562" s="8">
        <f>IF(NOT(ISNUMBER(M2562)),"",IF(G2562="Terreno",IF(AND(ISNUMBER(I2562),I2562&gt;0),M2562/I2562,""),IF(AND(ISNUMBER(H2562),H2562&gt;0),M2562/H2562,"")))</f>
        <v/>
      </c>
      <c r="T2562" s="9">
        <f>IF(AND(ISNUMBER(M2562),ISNUMBER(O2562)),IF(M2562&lt;=O2562,"Valor ≤ venal IPTU",""),"")</f>
        <v/>
      </c>
      <c r="U2562" s="10">
        <f>IF(AND(ISNUMBER(M2562),ISNUMBER(N2562)),IF(N2562&gt;0,M2562/N2562,""),"")</f>
        <v/>
      </c>
      <c r="V2562" s="10">
        <f>IF(AND(ISNUMBER(M2562),ISNUMBER(O2562)),IF(O2562&gt;0,M2562/O2562,""),"")</f>
        <v/>
      </c>
      <c r="W2562" s="10">
        <f>IF(AND(ISNUMBER(M2562),ISNUMBER(R2562)),IF(R2562&gt;0,M2562/R2562,""),"")</f>
        <v/>
      </c>
      <c r="X2562" s="10">
        <f>IF(AND(ISNUMBER(Q2562),ISNUMBER(M2562)),IF(M2562&gt;0,Q2562/M2562,""),"")</f>
        <v/>
      </c>
      <c r="Y2562" s="11">
        <f>IF(ISNUMBER(Z2562),YEAR(Z2562),"")</f>
        <v/>
      </c>
      <c r="Z2562" s="12" t="n"/>
      <c r="AA2562" s="12" t="n"/>
      <c r="AI2562" s="12" t="n"/>
      <c r="AJ2562" s="13">
        <f>IF(LEN(TRIM(AF2562))=0,"",HYPERLINK("https://www.google.com/maps/@?api=1&amp;map_action=pano&amp;viewpoint="&amp;SUBSTITUTE(AF2562," ",""),"Abrir Street View"))</f>
        <v/>
      </c>
    </row>
    <row r="2563">
      <c r="H2563" s="6" t="n"/>
      <c r="I2563" s="6" t="n"/>
      <c r="M2563" s="7" t="n"/>
      <c r="N2563" s="7" t="n"/>
      <c r="O2563" s="7" t="n"/>
      <c r="Q2563" s="7" t="n"/>
      <c r="R2563" s="7" t="n"/>
      <c r="S2563" s="8">
        <f>IF(NOT(ISNUMBER(M2563)),"",IF(G2563="Terreno",IF(AND(ISNUMBER(I2563),I2563&gt;0),M2563/I2563,""),IF(AND(ISNUMBER(H2563),H2563&gt;0),M2563/H2563,"")))</f>
        <v/>
      </c>
      <c r="T2563" s="9">
        <f>IF(AND(ISNUMBER(M2563),ISNUMBER(O2563)),IF(M2563&lt;=O2563,"Valor ≤ venal IPTU",""),"")</f>
        <v/>
      </c>
      <c r="U2563" s="10">
        <f>IF(AND(ISNUMBER(M2563),ISNUMBER(N2563)),IF(N2563&gt;0,M2563/N2563,""),"")</f>
        <v/>
      </c>
      <c r="V2563" s="10">
        <f>IF(AND(ISNUMBER(M2563),ISNUMBER(O2563)),IF(O2563&gt;0,M2563/O2563,""),"")</f>
        <v/>
      </c>
      <c r="W2563" s="10">
        <f>IF(AND(ISNUMBER(M2563),ISNUMBER(R2563)),IF(R2563&gt;0,M2563/R2563,""),"")</f>
        <v/>
      </c>
      <c r="X2563" s="10">
        <f>IF(AND(ISNUMBER(Q2563),ISNUMBER(M2563)),IF(M2563&gt;0,Q2563/M2563,""),"")</f>
        <v/>
      </c>
      <c r="Y2563" s="11">
        <f>IF(ISNUMBER(Z2563),YEAR(Z2563),"")</f>
        <v/>
      </c>
      <c r="Z2563" s="12" t="n"/>
      <c r="AA2563" s="12" t="n"/>
      <c r="AI2563" s="12" t="n"/>
      <c r="AJ2563" s="13">
        <f>IF(LEN(TRIM(AF2563))=0,"",HYPERLINK("https://www.google.com/maps/@?api=1&amp;map_action=pano&amp;viewpoint="&amp;SUBSTITUTE(AF2563," ",""),"Abrir Street View"))</f>
        <v/>
      </c>
    </row>
    <row r="2564">
      <c r="H2564" s="6" t="n"/>
      <c r="I2564" s="6" t="n"/>
      <c r="M2564" s="7" t="n"/>
      <c r="N2564" s="7" t="n"/>
      <c r="O2564" s="7" t="n"/>
      <c r="Q2564" s="7" t="n"/>
      <c r="R2564" s="7" t="n"/>
      <c r="S2564" s="8">
        <f>IF(NOT(ISNUMBER(M2564)),"",IF(G2564="Terreno",IF(AND(ISNUMBER(I2564),I2564&gt;0),M2564/I2564,""),IF(AND(ISNUMBER(H2564),H2564&gt;0),M2564/H2564,"")))</f>
        <v/>
      </c>
      <c r="T2564" s="9">
        <f>IF(AND(ISNUMBER(M2564),ISNUMBER(O2564)),IF(M2564&lt;=O2564,"Valor ≤ venal IPTU",""),"")</f>
        <v/>
      </c>
      <c r="U2564" s="10">
        <f>IF(AND(ISNUMBER(M2564),ISNUMBER(N2564)),IF(N2564&gt;0,M2564/N2564,""),"")</f>
        <v/>
      </c>
      <c r="V2564" s="10">
        <f>IF(AND(ISNUMBER(M2564),ISNUMBER(O2564)),IF(O2564&gt;0,M2564/O2564,""),"")</f>
        <v/>
      </c>
      <c r="W2564" s="10">
        <f>IF(AND(ISNUMBER(M2564),ISNUMBER(R2564)),IF(R2564&gt;0,M2564/R2564,""),"")</f>
        <v/>
      </c>
      <c r="X2564" s="10">
        <f>IF(AND(ISNUMBER(Q2564),ISNUMBER(M2564)),IF(M2564&gt;0,Q2564/M2564,""),"")</f>
        <v/>
      </c>
      <c r="Y2564" s="11">
        <f>IF(ISNUMBER(Z2564),YEAR(Z2564),"")</f>
        <v/>
      </c>
      <c r="Z2564" s="12" t="n"/>
      <c r="AA2564" s="12" t="n"/>
      <c r="AI2564" s="12" t="n"/>
      <c r="AJ2564" s="13">
        <f>IF(LEN(TRIM(AF2564))=0,"",HYPERLINK("https://www.google.com/maps/@?api=1&amp;map_action=pano&amp;viewpoint="&amp;SUBSTITUTE(AF2564," ",""),"Abrir Street View"))</f>
        <v/>
      </c>
    </row>
    <row r="2565">
      <c r="H2565" s="6" t="n"/>
      <c r="I2565" s="6" t="n"/>
      <c r="M2565" s="7" t="n"/>
      <c r="N2565" s="7" t="n"/>
      <c r="O2565" s="7" t="n"/>
      <c r="Q2565" s="7" t="n"/>
      <c r="R2565" s="7" t="n"/>
      <c r="S2565" s="8">
        <f>IF(NOT(ISNUMBER(M2565)),"",IF(G2565="Terreno",IF(AND(ISNUMBER(I2565),I2565&gt;0),M2565/I2565,""),IF(AND(ISNUMBER(H2565),H2565&gt;0),M2565/H2565,"")))</f>
        <v/>
      </c>
      <c r="T2565" s="9">
        <f>IF(AND(ISNUMBER(M2565),ISNUMBER(O2565)),IF(M2565&lt;=O2565,"Valor ≤ venal IPTU",""),"")</f>
        <v/>
      </c>
      <c r="U2565" s="10">
        <f>IF(AND(ISNUMBER(M2565),ISNUMBER(N2565)),IF(N2565&gt;0,M2565/N2565,""),"")</f>
        <v/>
      </c>
      <c r="V2565" s="10">
        <f>IF(AND(ISNUMBER(M2565),ISNUMBER(O2565)),IF(O2565&gt;0,M2565/O2565,""),"")</f>
        <v/>
      </c>
      <c r="W2565" s="10">
        <f>IF(AND(ISNUMBER(M2565),ISNUMBER(R2565)),IF(R2565&gt;0,M2565/R2565,""),"")</f>
        <v/>
      </c>
      <c r="X2565" s="10">
        <f>IF(AND(ISNUMBER(Q2565),ISNUMBER(M2565)),IF(M2565&gt;0,Q2565/M2565,""),"")</f>
        <v/>
      </c>
      <c r="Y2565" s="11">
        <f>IF(ISNUMBER(Z2565),YEAR(Z2565),"")</f>
        <v/>
      </c>
      <c r="Z2565" s="12" t="n"/>
      <c r="AA2565" s="12" t="n"/>
      <c r="AI2565" s="12" t="n"/>
      <c r="AJ2565" s="13">
        <f>IF(LEN(TRIM(AF2565))=0,"",HYPERLINK("https://www.google.com/maps/@?api=1&amp;map_action=pano&amp;viewpoint="&amp;SUBSTITUTE(AF2565," ",""),"Abrir Street View"))</f>
        <v/>
      </c>
    </row>
    <row r="2566">
      <c r="H2566" s="6" t="n"/>
      <c r="I2566" s="6" t="n"/>
      <c r="M2566" s="7" t="n"/>
      <c r="N2566" s="7" t="n"/>
      <c r="O2566" s="7" t="n"/>
      <c r="Q2566" s="7" t="n"/>
      <c r="R2566" s="7" t="n"/>
      <c r="S2566" s="8">
        <f>IF(NOT(ISNUMBER(M2566)),"",IF(G2566="Terreno",IF(AND(ISNUMBER(I2566),I2566&gt;0),M2566/I2566,""),IF(AND(ISNUMBER(H2566),H2566&gt;0),M2566/H2566,"")))</f>
        <v/>
      </c>
      <c r="T2566" s="9">
        <f>IF(AND(ISNUMBER(M2566),ISNUMBER(O2566)),IF(M2566&lt;=O2566,"Valor ≤ venal IPTU",""),"")</f>
        <v/>
      </c>
      <c r="U2566" s="10">
        <f>IF(AND(ISNUMBER(M2566),ISNUMBER(N2566)),IF(N2566&gt;0,M2566/N2566,""),"")</f>
        <v/>
      </c>
      <c r="V2566" s="10">
        <f>IF(AND(ISNUMBER(M2566),ISNUMBER(O2566)),IF(O2566&gt;0,M2566/O2566,""),"")</f>
        <v/>
      </c>
      <c r="W2566" s="10">
        <f>IF(AND(ISNUMBER(M2566),ISNUMBER(R2566)),IF(R2566&gt;0,M2566/R2566,""),"")</f>
        <v/>
      </c>
      <c r="X2566" s="10">
        <f>IF(AND(ISNUMBER(Q2566),ISNUMBER(M2566)),IF(M2566&gt;0,Q2566/M2566,""),"")</f>
        <v/>
      </c>
      <c r="Y2566" s="11">
        <f>IF(ISNUMBER(Z2566),YEAR(Z2566),"")</f>
        <v/>
      </c>
      <c r="Z2566" s="12" t="n"/>
      <c r="AA2566" s="12" t="n"/>
      <c r="AI2566" s="12" t="n"/>
      <c r="AJ2566" s="13">
        <f>IF(LEN(TRIM(AF2566))=0,"",HYPERLINK("https://www.google.com/maps/@?api=1&amp;map_action=pano&amp;viewpoint="&amp;SUBSTITUTE(AF2566," ",""),"Abrir Street View"))</f>
        <v/>
      </c>
    </row>
    <row r="2567">
      <c r="H2567" s="6" t="n"/>
      <c r="I2567" s="6" t="n"/>
      <c r="M2567" s="7" t="n"/>
      <c r="N2567" s="7" t="n"/>
      <c r="O2567" s="7" t="n"/>
      <c r="Q2567" s="7" t="n"/>
      <c r="R2567" s="7" t="n"/>
      <c r="S2567" s="8">
        <f>IF(NOT(ISNUMBER(M2567)),"",IF(G2567="Terreno",IF(AND(ISNUMBER(I2567),I2567&gt;0),M2567/I2567,""),IF(AND(ISNUMBER(H2567),H2567&gt;0),M2567/H2567,"")))</f>
        <v/>
      </c>
      <c r="T2567" s="9">
        <f>IF(AND(ISNUMBER(M2567),ISNUMBER(O2567)),IF(M2567&lt;=O2567,"Valor ≤ venal IPTU",""),"")</f>
        <v/>
      </c>
      <c r="U2567" s="10">
        <f>IF(AND(ISNUMBER(M2567),ISNUMBER(N2567)),IF(N2567&gt;0,M2567/N2567,""),"")</f>
        <v/>
      </c>
      <c r="V2567" s="10">
        <f>IF(AND(ISNUMBER(M2567),ISNUMBER(O2567)),IF(O2567&gt;0,M2567/O2567,""),"")</f>
        <v/>
      </c>
      <c r="W2567" s="10">
        <f>IF(AND(ISNUMBER(M2567),ISNUMBER(R2567)),IF(R2567&gt;0,M2567/R2567,""),"")</f>
        <v/>
      </c>
      <c r="X2567" s="10">
        <f>IF(AND(ISNUMBER(Q2567),ISNUMBER(M2567)),IF(M2567&gt;0,Q2567/M2567,""),"")</f>
        <v/>
      </c>
      <c r="Y2567" s="11">
        <f>IF(ISNUMBER(Z2567),YEAR(Z2567),"")</f>
        <v/>
      </c>
      <c r="Z2567" s="12" t="n"/>
      <c r="AA2567" s="12" t="n"/>
      <c r="AI2567" s="12" t="n"/>
      <c r="AJ2567" s="13">
        <f>IF(LEN(TRIM(AF2567))=0,"",HYPERLINK("https://www.google.com/maps/@?api=1&amp;map_action=pano&amp;viewpoint="&amp;SUBSTITUTE(AF2567," ",""),"Abrir Street View"))</f>
        <v/>
      </c>
    </row>
    <row r="2568">
      <c r="H2568" s="6" t="n"/>
      <c r="I2568" s="6" t="n"/>
      <c r="M2568" s="7" t="n"/>
      <c r="N2568" s="7" t="n"/>
      <c r="O2568" s="7" t="n"/>
      <c r="Q2568" s="7" t="n"/>
      <c r="R2568" s="7" t="n"/>
      <c r="S2568" s="8">
        <f>IF(NOT(ISNUMBER(M2568)),"",IF(G2568="Terreno",IF(AND(ISNUMBER(I2568),I2568&gt;0),M2568/I2568,""),IF(AND(ISNUMBER(H2568),H2568&gt;0),M2568/H2568,"")))</f>
        <v/>
      </c>
      <c r="T2568" s="9">
        <f>IF(AND(ISNUMBER(M2568),ISNUMBER(O2568)),IF(M2568&lt;=O2568,"Valor ≤ venal IPTU",""),"")</f>
        <v/>
      </c>
      <c r="U2568" s="10">
        <f>IF(AND(ISNUMBER(M2568),ISNUMBER(N2568)),IF(N2568&gt;0,M2568/N2568,""),"")</f>
        <v/>
      </c>
      <c r="V2568" s="10">
        <f>IF(AND(ISNUMBER(M2568),ISNUMBER(O2568)),IF(O2568&gt;0,M2568/O2568,""),"")</f>
        <v/>
      </c>
      <c r="W2568" s="10">
        <f>IF(AND(ISNUMBER(M2568),ISNUMBER(R2568)),IF(R2568&gt;0,M2568/R2568,""),"")</f>
        <v/>
      </c>
      <c r="X2568" s="10">
        <f>IF(AND(ISNUMBER(Q2568),ISNUMBER(M2568)),IF(M2568&gt;0,Q2568/M2568,""),"")</f>
        <v/>
      </c>
      <c r="Y2568" s="11">
        <f>IF(ISNUMBER(Z2568),YEAR(Z2568),"")</f>
        <v/>
      </c>
      <c r="Z2568" s="12" t="n"/>
      <c r="AA2568" s="12" t="n"/>
      <c r="AI2568" s="12" t="n"/>
      <c r="AJ2568" s="13">
        <f>IF(LEN(TRIM(AF2568))=0,"",HYPERLINK("https://www.google.com/maps/@?api=1&amp;map_action=pano&amp;viewpoint="&amp;SUBSTITUTE(AF2568," ",""),"Abrir Street View"))</f>
        <v/>
      </c>
    </row>
    <row r="2569">
      <c r="H2569" s="6" t="n"/>
      <c r="I2569" s="6" t="n"/>
      <c r="M2569" s="7" t="n"/>
      <c r="N2569" s="7" t="n"/>
      <c r="O2569" s="7" t="n"/>
      <c r="Q2569" s="7" t="n"/>
      <c r="R2569" s="7" t="n"/>
      <c r="S2569" s="8">
        <f>IF(NOT(ISNUMBER(M2569)),"",IF(G2569="Terreno",IF(AND(ISNUMBER(I2569),I2569&gt;0),M2569/I2569,""),IF(AND(ISNUMBER(H2569),H2569&gt;0),M2569/H2569,"")))</f>
        <v/>
      </c>
      <c r="T2569" s="9">
        <f>IF(AND(ISNUMBER(M2569),ISNUMBER(O2569)),IF(M2569&lt;=O2569,"Valor ≤ venal IPTU",""),"")</f>
        <v/>
      </c>
      <c r="U2569" s="10">
        <f>IF(AND(ISNUMBER(M2569),ISNUMBER(N2569)),IF(N2569&gt;0,M2569/N2569,""),"")</f>
        <v/>
      </c>
      <c r="V2569" s="10">
        <f>IF(AND(ISNUMBER(M2569),ISNUMBER(O2569)),IF(O2569&gt;0,M2569/O2569,""),"")</f>
        <v/>
      </c>
      <c r="W2569" s="10">
        <f>IF(AND(ISNUMBER(M2569),ISNUMBER(R2569)),IF(R2569&gt;0,M2569/R2569,""),"")</f>
        <v/>
      </c>
      <c r="X2569" s="10">
        <f>IF(AND(ISNUMBER(Q2569),ISNUMBER(M2569)),IF(M2569&gt;0,Q2569/M2569,""),"")</f>
        <v/>
      </c>
      <c r="Y2569" s="11">
        <f>IF(ISNUMBER(Z2569),YEAR(Z2569),"")</f>
        <v/>
      </c>
      <c r="Z2569" s="12" t="n"/>
      <c r="AA2569" s="12" t="n"/>
      <c r="AI2569" s="12" t="n"/>
      <c r="AJ2569" s="13">
        <f>IF(LEN(TRIM(AF2569))=0,"",HYPERLINK("https://www.google.com/maps/@?api=1&amp;map_action=pano&amp;viewpoint="&amp;SUBSTITUTE(AF2569," ",""),"Abrir Street View"))</f>
        <v/>
      </c>
    </row>
    <row r="2570">
      <c r="H2570" s="6" t="n"/>
      <c r="I2570" s="6" t="n"/>
      <c r="M2570" s="7" t="n"/>
      <c r="N2570" s="7" t="n"/>
      <c r="O2570" s="7" t="n"/>
      <c r="Q2570" s="7" t="n"/>
      <c r="R2570" s="7" t="n"/>
      <c r="S2570" s="8">
        <f>IF(NOT(ISNUMBER(M2570)),"",IF(G2570="Terreno",IF(AND(ISNUMBER(I2570),I2570&gt;0),M2570/I2570,""),IF(AND(ISNUMBER(H2570),H2570&gt;0),M2570/H2570,"")))</f>
        <v/>
      </c>
      <c r="T2570" s="9">
        <f>IF(AND(ISNUMBER(M2570),ISNUMBER(O2570)),IF(M2570&lt;=O2570,"Valor ≤ venal IPTU",""),"")</f>
        <v/>
      </c>
      <c r="U2570" s="10">
        <f>IF(AND(ISNUMBER(M2570),ISNUMBER(N2570)),IF(N2570&gt;0,M2570/N2570,""),"")</f>
        <v/>
      </c>
      <c r="V2570" s="10">
        <f>IF(AND(ISNUMBER(M2570),ISNUMBER(O2570)),IF(O2570&gt;0,M2570/O2570,""),"")</f>
        <v/>
      </c>
      <c r="W2570" s="10">
        <f>IF(AND(ISNUMBER(M2570),ISNUMBER(R2570)),IF(R2570&gt;0,M2570/R2570,""),"")</f>
        <v/>
      </c>
      <c r="X2570" s="10">
        <f>IF(AND(ISNUMBER(Q2570),ISNUMBER(M2570)),IF(M2570&gt;0,Q2570/M2570,""),"")</f>
        <v/>
      </c>
      <c r="Y2570" s="11">
        <f>IF(ISNUMBER(Z2570),YEAR(Z2570),"")</f>
        <v/>
      </c>
      <c r="Z2570" s="12" t="n"/>
      <c r="AA2570" s="12" t="n"/>
      <c r="AI2570" s="12" t="n"/>
      <c r="AJ2570" s="13">
        <f>IF(LEN(TRIM(AF2570))=0,"",HYPERLINK("https://www.google.com/maps/@?api=1&amp;map_action=pano&amp;viewpoint="&amp;SUBSTITUTE(AF2570," ",""),"Abrir Street View"))</f>
        <v/>
      </c>
    </row>
    <row r="2571">
      <c r="H2571" s="6" t="n"/>
      <c r="I2571" s="6" t="n"/>
      <c r="M2571" s="7" t="n"/>
      <c r="N2571" s="7" t="n"/>
      <c r="O2571" s="7" t="n"/>
      <c r="Q2571" s="7" t="n"/>
      <c r="R2571" s="7" t="n"/>
      <c r="S2571" s="8">
        <f>IF(NOT(ISNUMBER(M2571)),"",IF(G2571="Terreno",IF(AND(ISNUMBER(I2571),I2571&gt;0),M2571/I2571,""),IF(AND(ISNUMBER(H2571),H2571&gt;0),M2571/H2571,"")))</f>
        <v/>
      </c>
      <c r="T2571" s="9">
        <f>IF(AND(ISNUMBER(M2571),ISNUMBER(O2571)),IF(M2571&lt;=O2571,"Valor ≤ venal IPTU",""),"")</f>
        <v/>
      </c>
      <c r="U2571" s="10">
        <f>IF(AND(ISNUMBER(M2571),ISNUMBER(N2571)),IF(N2571&gt;0,M2571/N2571,""),"")</f>
        <v/>
      </c>
      <c r="V2571" s="10">
        <f>IF(AND(ISNUMBER(M2571),ISNUMBER(O2571)),IF(O2571&gt;0,M2571/O2571,""),"")</f>
        <v/>
      </c>
      <c r="W2571" s="10">
        <f>IF(AND(ISNUMBER(M2571),ISNUMBER(R2571)),IF(R2571&gt;0,M2571/R2571,""),"")</f>
        <v/>
      </c>
      <c r="X2571" s="10">
        <f>IF(AND(ISNUMBER(Q2571),ISNUMBER(M2571)),IF(M2571&gt;0,Q2571/M2571,""),"")</f>
        <v/>
      </c>
      <c r="Y2571" s="11">
        <f>IF(ISNUMBER(Z2571),YEAR(Z2571),"")</f>
        <v/>
      </c>
      <c r="Z2571" s="12" t="n"/>
      <c r="AA2571" s="12" t="n"/>
      <c r="AI2571" s="12" t="n"/>
      <c r="AJ2571" s="13">
        <f>IF(LEN(TRIM(AF2571))=0,"",HYPERLINK("https://www.google.com/maps/@?api=1&amp;map_action=pano&amp;viewpoint="&amp;SUBSTITUTE(AF2571," ",""),"Abrir Street View"))</f>
        <v/>
      </c>
    </row>
    <row r="2572">
      <c r="H2572" s="6" t="n"/>
      <c r="I2572" s="6" t="n"/>
      <c r="M2572" s="7" t="n"/>
      <c r="N2572" s="7" t="n"/>
      <c r="O2572" s="7" t="n"/>
      <c r="Q2572" s="7" t="n"/>
      <c r="R2572" s="7" t="n"/>
      <c r="S2572" s="8">
        <f>IF(NOT(ISNUMBER(M2572)),"",IF(G2572="Terreno",IF(AND(ISNUMBER(I2572),I2572&gt;0),M2572/I2572,""),IF(AND(ISNUMBER(H2572),H2572&gt;0),M2572/H2572,"")))</f>
        <v/>
      </c>
      <c r="T2572" s="9">
        <f>IF(AND(ISNUMBER(M2572),ISNUMBER(O2572)),IF(M2572&lt;=O2572,"Valor ≤ venal IPTU",""),"")</f>
        <v/>
      </c>
      <c r="U2572" s="10">
        <f>IF(AND(ISNUMBER(M2572),ISNUMBER(N2572)),IF(N2572&gt;0,M2572/N2572,""),"")</f>
        <v/>
      </c>
      <c r="V2572" s="10">
        <f>IF(AND(ISNUMBER(M2572),ISNUMBER(O2572)),IF(O2572&gt;0,M2572/O2572,""),"")</f>
        <v/>
      </c>
      <c r="W2572" s="10">
        <f>IF(AND(ISNUMBER(M2572),ISNUMBER(R2572)),IF(R2572&gt;0,M2572/R2572,""),"")</f>
        <v/>
      </c>
      <c r="X2572" s="10">
        <f>IF(AND(ISNUMBER(Q2572),ISNUMBER(M2572)),IF(M2572&gt;0,Q2572/M2572,""),"")</f>
        <v/>
      </c>
      <c r="Y2572" s="11">
        <f>IF(ISNUMBER(Z2572),YEAR(Z2572),"")</f>
        <v/>
      </c>
      <c r="Z2572" s="12" t="n"/>
      <c r="AA2572" s="12" t="n"/>
      <c r="AI2572" s="12" t="n"/>
      <c r="AJ2572" s="13">
        <f>IF(LEN(TRIM(AF2572))=0,"",HYPERLINK("https://www.google.com/maps/@?api=1&amp;map_action=pano&amp;viewpoint="&amp;SUBSTITUTE(AF2572," ",""),"Abrir Street View"))</f>
        <v/>
      </c>
    </row>
    <row r="2573">
      <c r="H2573" s="6" t="n"/>
      <c r="I2573" s="6" t="n"/>
      <c r="M2573" s="7" t="n"/>
      <c r="N2573" s="7" t="n"/>
      <c r="O2573" s="7" t="n"/>
      <c r="Q2573" s="7" t="n"/>
      <c r="R2573" s="7" t="n"/>
      <c r="S2573" s="8">
        <f>IF(NOT(ISNUMBER(M2573)),"",IF(G2573="Terreno",IF(AND(ISNUMBER(I2573),I2573&gt;0),M2573/I2573,""),IF(AND(ISNUMBER(H2573),H2573&gt;0),M2573/H2573,"")))</f>
        <v/>
      </c>
      <c r="T2573" s="9">
        <f>IF(AND(ISNUMBER(M2573),ISNUMBER(O2573)),IF(M2573&lt;=O2573,"Valor ≤ venal IPTU",""),"")</f>
        <v/>
      </c>
      <c r="U2573" s="10">
        <f>IF(AND(ISNUMBER(M2573),ISNUMBER(N2573)),IF(N2573&gt;0,M2573/N2573,""),"")</f>
        <v/>
      </c>
      <c r="V2573" s="10">
        <f>IF(AND(ISNUMBER(M2573),ISNUMBER(O2573)),IF(O2573&gt;0,M2573/O2573,""),"")</f>
        <v/>
      </c>
      <c r="W2573" s="10">
        <f>IF(AND(ISNUMBER(M2573),ISNUMBER(R2573)),IF(R2573&gt;0,M2573/R2573,""),"")</f>
        <v/>
      </c>
      <c r="X2573" s="10">
        <f>IF(AND(ISNUMBER(Q2573),ISNUMBER(M2573)),IF(M2573&gt;0,Q2573/M2573,""),"")</f>
        <v/>
      </c>
      <c r="Y2573" s="11">
        <f>IF(ISNUMBER(Z2573),YEAR(Z2573),"")</f>
        <v/>
      </c>
      <c r="Z2573" s="12" t="n"/>
      <c r="AA2573" s="12" t="n"/>
      <c r="AI2573" s="12" t="n"/>
      <c r="AJ2573" s="13">
        <f>IF(LEN(TRIM(AF2573))=0,"",HYPERLINK("https://www.google.com/maps/@?api=1&amp;map_action=pano&amp;viewpoint="&amp;SUBSTITUTE(AF2573," ",""),"Abrir Street View"))</f>
        <v/>
      </c>
    </row>
    <row r="2574">
      <c r="H2574" s="6" t="n"/>
      <c r="I2574" s="6" t="n"/>
      <c r="M2574" s="7" t="n"/>
      <c r="N2574" s="7" t="n"/>
      <c r="O2574" s="7" t="n"/>
      <c r="Q2574" s="7" t="n"/>
      <c r="R2574" s="7" t="n"/>
      <c r="S2574" s="8">
        <f>IF(NOT(ISNUMBER(M2574)),"",IF(G2574="Terreno",IF(AND(ISNUMBER(I2574),I2574&gt;0),M2574/I2574,""),IF(AND(ISNUMBER(H2574),H2574&gt;0),M2574/H2574,"")))</f>
        <v/>
      </c>
      <c r="T2574" s="9">
        <f>IF(AND(ISNUMBER(M2574),ISNUMBER(O2574)),IF(M2574&lt;=O2574,"Valor ≤ venal IPTU",""),"")</f>
        <v/>
      </c>
      <c r="U2574" s="10">
        <f>IF(AND(ISNUMBER(M2574),ISNUMBER(N2574)),IF(N2574&gt;0,M2574/N2574,""),"")</f>
        <v/>
      </c>
      <c r="V2574" s="10">
        <f>IF(AND(ISNUMBER(M2574),ISNUMBER(O2574)),IF(O2574&gt;0,M2574/O2574,""),"")</f>
        <v/>
      </c>
      <c r="W2574" s="10">
        <f>IF(AND(ISNUMBER(M2574),ISNUMBER(R2574)),IF(R2574&gt;0,M2574/R2574,""),"")</f>
        <v/>
      </c>
      <c r="X2574" s="10">
        <f>IF(AND(ISNUMBER(Q2574),ISNUMBER(M2574)),IF(M2574&gt;0,Q2574/M2574,""),"")</f>
        <v/>
      </c>
      <c r="Y2574" s="11">
        <f>IF(ISNUMBER(Z2574),YEAR(Z2574),"")</f>
        <v/>
      </c>
      <c r="Z2574" s="12" t="n"/>
      <c r="AA2574" s="12" t="n"/>
      <c r="AI2574" s="12" t="n"/>
      <c r="AJ2574" s="13">
        <f>IF(LEN(TRIM(AF2574))=0,"",HYPERLINK("https://www.google.com/maps/@?api=1&amp;map_action=pano&amp;viewpoint="&amp;SUBSTITUTE(AF2574," ",""),"Abrir Street View"))</f>
        <v/>
      </c>
    </row>
    <row r="2575">
      <c r="H2575" s="6" t="n"/>
      <c r="I2575" s="6" t="n"/>
      <c r="M2575" s="7" t="n"/>
      <c r="N2575" s="7" t="n"/>
      <c r="O2575" s="7" t="n"/>
      <c r="Q2575" s="7" t="n"/>
      <c r="R2575" s="7" t="n"/>
      <c r="S2575" s="8">
        <f>IF(NOT(ISNUMBER(M2575)),"",IF(G2575="Terreno",IF(AND(ISNUMBER(I2575),I2575&gt;0),M2575/I2575,""),IF(AND(ISNUMBER(H2575),H2575&gt;0),M2575/H2575,"")))</f>
        <v/>
      </c>
      <c r="T2575" s="9">
        <f>IF(AND(ISNUMBER(M2575),ISNUMBER(O2575)),IF(M2575&lt;=O2575,"Valor ≤ venal IPTU",""),"")</f>
        <v/>
      </c>
      <c r="U2575" s="10">
        <f>IF(AND(ISNUMBER(M2575),ISNUMBER(N2575)),IF(N2575&gt;0,M2575/N2575,""),"")</f>
        <v/>
      </c>
      <c r="V2575" s="10">
        <f>IF(AND(ISNUMBER(M2575),ISNUMBER(O2575)),IF(O2575&gt;0,M2575/O2575,""),"")</f>
        <v/>
      </c>
      <c r="W2575" s="10">
        <f>IF(AND(ISNUMBER(M2575),ISNUMBER(R2575)),IF(R2575&gt;0,M2575/R2575,""),"")</f>
        <v/>
      </c>
      <c r="X2575" s="10">
        <f>IF(AND(ISNUMBER(Q2575),ISNUMBER(M2575)),IF(M2575&gt;0,Q2575/M2575,""),"")</f>
        <v/>
      </c>
      <c r="Y2575" s="11">
        <f>IF(ISNUMBER(Z2575),YEAR(Z2575),"")</f>
        <v/>
      </c>
      <c r="Z2575" s="12" t="n"/>
      <c r="AA2575" s="12" t="n"/>
      <c r="AI2575" s="12" t="n"/>
      <c r="AJ2575" s="13">
        <f>IF(LEN(TRIM(AF2575))=0,"",HYPERLINK("https://www.google.com/maps/@?api=1&amp;map_action=pano&amp;viewpoint="&amp;SUBSTITUTE(AF2575," ",""),"Abrir Street View"))</f>
        <v/>
      </c>
    </row>
    <row r="2576">
      <c r="H2576" s="6" t="n"/>
      <c r="I2576" s="6" t="n"/>
      <c r="M2576" s="7" t="n"/>
      <c r="N2576" s="7" t="n"/>
      <c r="O2576" s="7" t="n"/>
      <c r="Q2576" s="7" t="n"/>
      <c r="R2576" s="7" t="n"/>
      <c r="S2576" s="8">
        <f>IF(NOT(ISNUMBER(M2576)),"",IF(G2576="Terreno",IF(AND(ISNUMBER(I2576),I2576&gt;0),M2576/I2576,""),IF(AND(ISNUMBER(H2576),H2576&gt;0),M2576/H2576,"")))</f>
        <v/>
      </c>
      <c r="T2576" s="9">
        <f>IF(AND(ISNUMBER(M2576),ISNUMBER(O2576)),IF(M2576&lt;=O2576,"Valor ≤ venal IPTU",""),"")</f>
        <v/>
      </c>
      <c r="U2576" s="10">
        <f>IF(AND(ISNUMBER(M2576),ISNUMBER(N2576)),IF(N2576&gt;0,M2576/N2576,""),"")</f>
        <v/>
      </c>
      <c r="V2576" s="10">
        <f>IF(AND(ISNUMBER(M2576),ISNUMBER(O2576)),IF(O2576&gt;0,M2576/O2576,""),"")</f>
        <v/>
      </c>
      <c r="W2576" s="10">
        <f>IF(AND(ISNUMBER(M2576),ISNUMBER(R2576)),IF(R2576&gt;0,M2576/R2576,""),"")</f>
        <v/>
      </c>
      <c r="X2576" s="10">
        <f>IF(AND(ISNUMBER(Q2576),ISNUMBER(M2576)),IF(M2576&gt;0,Q2576/M2576,""),"")</f>
        <v/>
      </c>
      <c r="Y2576" s="11">
        <f>IF(ISNUMBER(Z2576),YEAR(Z2576),"")</f>
        <v/>
      </c>
      <c r="Z2576" s="12" t="n"/>
      <c r="AA2576" s="12" t="n"/>
      <c r="AI2576" s="12" t="n"/>
      <c r="AJ2576" s="13">
        <f>IF(LEN(TRIM(AF2576))=0,"",HYPERLINK("https://www.google.com/maps/@?api=1&amp;map_action=pano&amp;viewpoint="&amp;SUBSTITUTE(AF2576," ",""),"Abrir Street View"))</f>
        <v/>
      </c>
    </row>
    <row r="2577">
      <c r="H2577" s="6" t="n"/>
      <c r="I2577" s="6" t="n"/>
      <c r="M2577" s="7" t="n"/>
      <c r="N2577" s="7" t="n"/>
      <c r="O2577" s="7" t="n"/>
      <c r="Q2577" s="7" t="n"/>
      <c r="R2577" s="7" t="n"/>
      <c r="S2577" s="8">
        <f>IF(NOT(ISNUMBER(M2577)),"",IF(G2577="Terreno",IF(AND(ISNUMBER(I2577),I2577&gt;0),M2577/I2577,""),IF(AND(ISNUMBER(H2577),H2577&gt;0),M2577/H2577,"")))</f>
        <v/>
      </c>
      <c r="T2577" s="9">
        <f>IF(AND(ISNUMBER(M2577),ISNUMBER(O2577)),IF(M2577&lt;=O2577,"Valor ≤ venal IPTU",""),"")</f>
        <v/>
      </c>
      <c r="U2577" s="10">
        <f>IF(AND(ISNUMBER(M2577),ISNUMBER(N2577)),IF(N2577&gt;0,M2577/N2577,""),"")</f>
        <v/>
      </c>
      <c r="V2577" s="10">
        <f>IF(AND(ISNUMBER(M2577),ISNUMBER(O2577)),IF(O2577&gt;0,M2577/O2577,""),"")</f>
        <v/>
      </c>
      <c r="W2577" s="10">
        <f>IF(AND(ISNUMBER(M2577),ISNUMBER(R2577)),IF(R2577&gt;0,M2577/R2577,""),"")</f>
        <v/>
      </c>
      <c r="X2577" s="10">
        <f>IF(AND(ISNUMBER(Q2577),ISNUMBER(M2577)),IF(M2577&gt;0,Q2577/M2577,""),"")</f>
        <v/>
      </c>
      <c r="Y2577" s="11">
        <f>IF(ISNUMBER(Z2577),YEAR(Z2577),"")</f>
        <v/>
      </c>
      <c r="Z2577" s="12" t="n"/>
      <c r="AA2577" s="12" t="n"/>
      <c r="AI2577" s="12" t="n"/>
      <c r="AJ2577" s="13">
        <f>IF(LEN(TRIM(AF2577))=0,"",HYPERLINK("https://www.google.com/maps/@?api=1&amp;map_action=pano&amp;viewpoint="&amp;SUBSTITUTE(AF2577," ",""),"Abrir Street View"))</f>
        <v/>
      </c>
    </row>
    <row r="2578">
      <c r="H2578" s="6" t="n"/>
      <c r="I2578" s="6" t="n"/>
      <c r="M2578" s="7" t="n"/>
      <c r="N2578" s="7" t="n"/>
      <c r="O2578" s="7" t="n"/>
      <c r="Q2578" s="7" t="n"/>
      <c r="R2578" s="7" t="n"/>
      <c r="S2578" s="8">
        <f>IF(NOT(ISNUMBER(M2578)),"",IF(G2578="Terreno",IF(AND(ISNUMBER(I2578),I2578&gt;0),M2578/I2578,""),IF(AND(ISNUMBER(H2578),H2578&gt;0),M2578/H2578,"")))</f>
        <v/>
      </c>
      <c r="T2578" s="9">
        <f>IF(AND(ISNUMBER(M2578),ISNUMBER(O2578)),IF(M2578&lt;=O2578,"Valor ≤ venal IPTU",""),"")</f>
        <v/>
      </c>
      <c r="U2578" s="10">
        <f>IF(AND(ISNUMBER(M2578),ISNUMBER(N2578)),IF(N2578&gt;0,M2578/N2578,""),"")</f>
        <v/>
      </c>
      <c r="V2578" s="10">
        <f>IF(AND(ISNUMBER(M2578),ISNUMBER(O2578)),IF(O2578&gt;0,M2578/O2578,""),"")</f>
        <v/>
      </c>
      <c r="W2578" s="10">
        <f>IF(AND(ISNUMBER(M2578),ISNUMBER(R2578)),IF(R2578&gt;0,M2578/R2578,""),"")</f>
        <v/>
      </c>
      <c r="X2578" s="10">
        <f>IF(AND(ISNUMBER(Q2578),ISNUMBER(M2578)),IF(M2578&gt;0,Q2578/M2578,""),"")</f>
        <v/>
      </c>
      <c r="Y2578" s="11">
        <f>IF(ISNUMBER(Z2578),YEAR(Z2578),"")</f>
        <v/>
      </c>
      <c r="Z2578" s="12" t="n"/>
      <c r="AA2578" s="12" t="n"/>
      <c r="AI2578" s="12" t="n"/>
      <c r="AJ2578" s="13">
        <f>IF(LEN(TRIM(AF2578))=0,"",HYPERLINK("https://www.google.com/maps/@?api=1&amp;map_action=pano&amp;viewpoint="&amp;SUBSTITUTE(AF2578," ",""),"Abrir Street View"))</f>
        <v/>
      </c>
    </row>
    <row r="2579">
      <c r="H2579" s="6" t="n"/>
      <c r="I2579" s="6" t="n"/>
      <c r="M2579" s="7" t="n"/>
      <c r="N2579" s="7" t="n"/>
      <c r="O2579" s="7" t="n"/>
      <c r="Q2579" s="7" t="n"/>
      <c r="R2579" s="7" t="n"/>
      <c r="S2579" s="8">
        <f>IF(NOT(ISNUMBER(M2579)),"",IF(G2579="Terreno",IF(AND(ISNUMBER(I2579),I2579&gt;0),M2579/I2579,""),IF(AND(ISNUMBER(H2579),H2579&gt;0),M2579/H2579,"")))</f>
        <v/>
      </c>
      <c r="T2579" s="9">
        <f>IF(AND(ISNUMBER(M2579),ISNUMBER(O2579)),IF(M2579&lt;=O2579,"Valor ≤ venal IPTU",""),"")</f>
        <v/>
      </c>
      <c r="U2579" s="10">
        <f>IF(AND(ISNUMBER(M2579),ISNUMBER(N2579)),IF(N2579&gt;0,M2579/N2579,""),"")</f>
        <v/>
      </c>
      <c r="V2579" s="10">
        <f>IF(AND(ISNUMBER(M2579),ISNUMBER(O2579)),IF(O2579&gt;0,M2579/O2579,""),"")</f>
        <v/>
      </c>
      <c r="W2579" s="10">
        <f>IF(AND(ISNUMBER(M2579),ISNUMBER(R2579)),IF(R2579&gt;0,M2579/R2579,""),"")</f>
        <v/>
      </c>
      <c r="X2579" s="10">
        <f>IF(AND(ISNUMBER(Q2579),ISNUMBER(M2579)),IF(M2579&gt;0,Q2579/M2579,""),"")</f>
        <v/>
      </c>
      <c r="Y2579" s="11">
        <f>IF(ISNUMBER(Z2579),YEAR(Z2579),"")</f>
        <v/>
      </c>
      <c r="Z2579" s="12" t="n"/>
      <c r="AA2579" s="12" t="n"/>
      <c r="AI2579" s="12" t="n"/>
      <c r="AJ2579" s="13">
        <f>IF(LEN(TRIM(AF2579))=0,"",HYPERLINK("https://www.google.com/maps/@?api=1&amp;map_action=pano&amp;viewpoint="&amp;SUBSTITUTE(AF2579," ",""),"Abrir Street View"))</f>
        <v/>
      </c>
    </row>
    <row r="2580">
      <c r="H2580" s="6" t="n"/>
      <c r="I2580" s="6" t="n"/>
      <c r="M2580" s="7" t="n"/>
      <c r="N2580" s="7" t="n"/>
      <c r="O2580" s="7" t="n"/>
      <c r="Q2580" s="7" t="n"/>
      <c r="R2580" s="7" t="n"/>
      <c r="S2580" s="8">
        <f>IF(NOT(ISNUMBER(M2580)),"",IF(G2580="Terreno",IF(AND(ISNUMBER(I2580),I2580&gt;0),M2580/I2580,""),IF(AND(ISNUMBER(H2580),H2580&gt;0),M2580/H2580,"")))</f>
        <v/>
      </c>
      <c r="T2580" s="9">
        <f>IF(AND(ISNUMBER(M2580),ISNUMBER(O2580)),IF(M2580&lt;=O2580,"Valor ≤ venal IPTU",""),"")</f>
        <v/>
      </c>
      <c r="U2580" s="10">
        <f>IF(AND(ISNUMBER(M2580),ISNUMBER(N2580)),IF(N2580&gt;0,M2580/N2580,""),"")</f>
        <v/>
      </c>
      <c r="V2580" s="10">
        <f>IF(AND(ISNUMBER(M2580),ISNUMBER(O2580)),IF(O2580&gt;0,M2580/O2580,""),"")</f>
        <v/>
      </c>
      <c r="W2580" s="10">
        <f>IF(AND(ISNUMBER(M2580),ISNUMBER(R2580)),IF(R2580&gt;0,M2580/R2580,""),"")</f>
        <v/>
      </c>
      <c r="X2580" s="10">
        <f>IF(AND(ISNUMBER(Q2580),ISNUMBER(M2580)),IF(M2580&gt;0,Q2580/M2580,""),"")</f>
        <v/>
      </c>
      <c r="Y2580" s="11">
        <f>IF(ISNUMBER(Z2580),YEAR(Z2580),"")</f>
        <v/>
      </c>
      <c r="Z2580" s="12" t="n"/>
      <c r="AA2580" s="12" t="n"/>
      <c r="AI2580" s="12" t="n"/>
      <c r="AJ2580" s="13">
        <f>IF(LEN(TRIM(AF2580))=0,"",HYPERLINK("https://www.google.com/maps/@?api=1&amp;map_action=pano&amp;viewpoint="&amp;SUBSTITUTE(AF2580," ",""),"Abrir Street View"))</f>
        <v/>
      </c>
    </row>
    <row r="2581">
      <c r="H2581" s="6" t="n"/>
      <c r="I2581" s="6" t="n"/>
      <c r="M2581" s="7" t="n"/>
      <c r="N2581" s="7" t="n"/>
      <c r="O2581" s="7" t="n"/>
      <c r="Q2581" s="7" t="n"/>
      <c r="R2581" s="7" t="n"/>
      <c r="S2581" s="8">
        <f>IF(NOT(ISNUMBER(M2581)),"",IF(G2581="Terreno",IF(AND(ISNUMBER(I2581),I2581&gt;0),M2581/I2581,""),IF(AND(ISNUMBER(H2581),H2581&gt;0),M2581/H2581,"")))</f>
        <v/>
      </c>
      <c r="T2581" s="9">
        <f>IF(AND(ISNUMBER(M2581),ISNUMBER(O2581)),IF(M2581&lt;=O2581,"Valor ≤ venal IPTU",""),"")</f>
        <v/>
      </c>
      <c r="U2581" s="10">
        <f>IF(AND(ISNUMBER(M2581),ISNUMBER(N2581)),IF(N2581&gt;0,M2581/N2581,""),"")</f>
        <v/>
      </c>
      <c r="V2581" s="10">
        <f>IF(AND(ISNUMBER(M2581),ISNUMBER(O2581)),IF(O2581&gt;0,M2581/O2581,""),"")</f>
        <v/>
      </c>
      <c r="W2581" s="10">
        <f>IF(AND(ISNUMBER(M2581),ISNUMBER(R2581)),IF(R2581&gt;0,M2581/R2581,""),"")</f>
        <v/>
      </c>
      <c r="X2581" s="10">
        <f>IF(AND(ISNUMBER(Q2581),ISNUMBER(M2581)),IF(M2581&gt;0,Q2581/M2581,""),"")</f>
        <v/>
      </c>
      <c r="Y2581" s="11">
        <f>IF(ISNUMBER(Z2581),YEAR(Z2581),"")</f>
        <v/>
      </c>
      <c r="Z2581" s="12" t="n"/>
      <c r="AA2581" s="12" t="n"/>
      <c r="AI2581" s="12" t="n"/>
      <c r="AJ2581" s="13">
        <f>IF(LEN(TRIM(AF2581))=0,"",HYPERLINK("https://www.google.com/maps/@?api=1&amp;map_action=pano&amp;viewpoint="&amp;SUBSTITUTE(AF2581," ",""),"Abrir Street View"))</f>
        <v/>
      </c>
    </row>
    <row r="2582">
      <c r="H2582" s="6" t="n"/>
      <c r="I2582" s="6" t="n"/>
      <c r="M2582" s="7" t="n"/>
      <c r="N2582" s="7" t="n"/>
      <c r="O2582" s="7" t="n"/>
      <c r="Q2582" s="7" t="n"/>
      <c r="R2582" s="7" t="n"/>
      <c r="S2582" s="8">
        <f>IF(NOT(ISNUMBER(M2582)),"",IF(G2582="Terreno",IF(AND(ISNUMBER(I2582),I2582&gt;0),M2582/I2582,""),IF(AND(ISNUMBER(H2582),H2582&gt;0),M2582/H2582,"")))</f>
        <v/>
      </c>
      <c r="T2582" s="9">
        <f>IF(AND(ISNUMBER(M2582),ISNUMBER(O2582)),IF(M2582&lt;=O2582,"Valor ≤ venal IPTU",""),"")</f>
        <v/>
      </c>
      <c r="U2582" s="10">
        <f>IF(AND(ISNUMBER(M2582),ISNUMBER(N2582)),IF(N2582&gt;0,M2582/N2582,""),"")</f>
        <v/>
      </c>
      <c r="V2582" s="10">
        <f>IF(AND(ISNUMBER(M2582),ISNUMBER(O2582)),IF(O2582&gt;0,M2582/O2582,""),"")</f>
        <v/>
      </c>
      <c r="W2582" s="10">
        <f>IF(AND(ISNUMBER(M2582),ISNUMBER(R2582)),IF(R2582&gt;0,M2582/R2582,""),"")</f>
        <v/>
      </c>
      <c r="X2582" s="10">
        <f>IF(AND(ISNUMBER(Q2582),ISNUMBER(M2582)),IF(M2582&gt;0,Q2582/M2582,""),"")</f>
        <v/>
      </c>
      <c r="Y2582" s="11">
        <f>IF(ISNUMBER(Z2582),YEAR(Z2582),"")</f>
        <v/>
      </c>
      <c r="Z2582" s="12" t="n"/>
      <c r="AA2582" s="12" t="n"/>
      <c r="AI2582" s="12" t="n"/>
      <c r="AJ2582" s="13">
        <f>IF(LEN(TRIM(AF2582))=0,"",HYPERLINK("https://www.google.com/maps/@?api=1&amp;map_action=pano&amp;viewpoint="&amp;SUBSTITUTE(AF2582," ",""),"Abrir Street View"))</f>
        <v/>
      </c>
    </row>
    <row r="2583">
      <c r="H2583" s="6" t="n"/>
      <c r="I2583" s="6" t="n"/>
      <c r="M2583" s="7" t="n"/>
      <c r="N2583" s="7" t="n"/>
      <c r="O2583" s="7" t="n"/>
      <c r="Q2583" s="7" t="n"/>
      <c r="R2583" s="7" t="n"/>
      <c r="S2583" s="8">
        <f>IF(NOT(ISNUMBER(M2583)),"",IF(G2583="Terreno",IF(AND(ISNUMBER(I2583),I2583&gt;0),M2583/I2583,""),IF(AND(ISNUMBER(H2583),H2583&gt;0),M2583/H2583,"")))</f>
        <v/>
      </c>
      <c r="T2583" s="9">
        <f>IF(AND(ISNUMBER(M2583),ISNUMBER(O2583)),IF(M2583&lt;=O2583,"Valor ≤ venal IPTU",""),"")</f>
        <v/>
      </c>
      <c r="U2583" s="10">
        <f>IF(AND(ISNUMBER(M2583),ISNUMBER(N2583)),IF(N2583&gt;0,M2583/N2583,""),"")</f>
        <v/>
      </c>
      <c r="V2583" s="10">
        <f>IF(AND(ISNUMBER(M2583),ISNUMBER(O2583)),IF(O2583&gt;0,M2583/O2583,""),"")</f>
        <v/>
      </c>
      <c r="W2583" s="10">
        <f>IF(AND(ISNUMBER(M2583),ISNUMBER(R2583)),IF(R2583&gt;0,M2583/R2583,""),"")</f>
        <v/>
      </c>
      <c r="X2583" s="10">
        <f>IF(AND(ISNUMBER(Q2583),ISNUMBER(M2583)),IF(M2583&gt;0,Q2583/M2583,""),"")</f>
        <v/>
      </c>
      <c r="Y2583" s="11">
        <f>IF(ISNUMBER(Z2583),YEAR(Z2583),"")</f>
        <v/>
      </c>
      <c r="Z2583" s="12" t="n"/>
      <c r="AA2583" s="12" t="n"/>
      <c r="AI2583" s="12" t="n"/>
      <c r="AJ2583" s="13">
        <f>IF(LEN(TRIM(AF2583))=0,"",HYPERLINK("https://www.google.com/maps/@?api=1&amp;map_action=pano&amp;viewpoint="&amp;SUBSTITUTE(AF2583," ",""),"Abrir Street View"))</f>
        <v/>
      </c>
    </row>
    <row r="2584">
      <c r="H2584" s="6" t="n"/>
      <c r="I2584" s="6" t="n"/>
      <c r="M2584" s="7" t="n"/>
      <c r="N2584" s="7" t="n"/>
      <c r="O2584" s="7" t="n"/>
      <c r="Q2584" s="7" t="n"/>
      <c r="R2584" s="7" t="n"/>
      <c r="S2584" s="8">
        <f>IF(NOT(ISNUMBER(M2584)),"",IF(G2584="Terreno",IF(AND(ISNUMBER(I2584),I2584&gt;0),M2584/I2584,""),IF(AND(ISNUMBER(H2584),H2584&gt;0),M2584/H2584,"")))</f>
        <v/>
      </c>
      <c r="T2584" s="9">
        <f>IF(AND(ISNUMBER(M2584),ISNUMBER(O2584)),IF(M2584&lt;=O2584,"Valor ≤ venal IPTU",""),"")</f>
        <v/>
      </c>
      <c r="U2584" s="10">
        <f>IF(AND(ISNUMBER(M2584),ISNUMBER(N2584)),IF(N2584&gt;0,M2584/N2584,""),"")</f>
        <v/>
      </c>
      <c r="V2584" s="10">
        <f>IF(AND(ISNUMBER(M2584),ISNUMBER(O2584)),IF(O2584&gt;0,M2584/O2584,""),"")</f>
        <v/>
      </c>
      <c r="W2584" s="10">
        <f>IF(AND(ISNUMBER(M2584),ISNUMBER(R2584)),IF(R2584&gt;0,M2584/R2584,""),"")</f>
        <v/>
      </c>
      <c r="X2584" s="10">
        <f>IF(AND(ISNUMBER(Q2584),ISNUMBER(M2584)),IF(M2584&gt;0,Q2584/M2584,""),"")</f>
        <v/>
      </c>
      <c r="Y2584" s="11">
        <f>IF(ISNUMBER(Z2584),YEAR(Z2584),"")</f>
        <v/>
      </c>
      <c r="Z2584" s="12" t="n"/>
      <c r="AA2584" s="12" t="n"/>
      <c r="AI2584" s="12" t="n"/>
      <c r="AJ2584" s="13">
        <f>IF(LEN(TRIM(AF2584))=0,"",HYPERLINK("https://www.google.com/maps/@?api=1&amp;map_action=pano&amp;viewpoint="&amp;SUBSTITUTE(AF2584," ",""),"Abrir Street View"))</f>
        <v/>
      </c>
    </row>
    <row r="2585">
      <c r="H2585" s="6" t="n"/>
      <c r="I2585" s="6" t="n"/>
      <c r="M2585" s="7" t="n"/>
      <c r="N2585" s="7" t="n"/>
      <c r="O2585" s="7" t="n"/>
      <c r="Q2585" s="7" t="n"/>
      <c r="R2585" s="7" t="n"/>
      <c r="S2585" s="8">
        <f>IF(NOT(ISNUMBER(M2585)),"",IF(G2585="Terreno",IF(AND(ISNUMBER(I2585),I2585&gt;0),M2585/I2585,""),IF(AND(ISNUMBER(H2585),H2585&gt;0),M2585/H2585,"")))</f>
        <v/>
      </c>
      <c r="T2585" s="9">
        <f>IF(AND(ISNUMBER(M2585),ISNUMBER(O2585)),IF(M2585&lt;=O2585,"Valor ≤ venal IPTU",""),"")</f>
        <v/>
      </c>
      <c r="U2585" s="10">
        <f>IF(AND(ISNUMBER(M2585),ISNUMBER(N2585)),IF(N2585&gt;0,M2585/N2585,""),"")</f>
        <v/>
      </c>
      <c r="V2585" s="10">
        <f>IF(AND(ISNUMBER(M2585),ISNUMBER(O2585)),IF(O2585&gt;0,M2585/O2585,""),"")</f>
        <v/>
      </c>
      <c r="W2585" s="10">
        <f>IF(AND(ISNUMBER(M2585),ISNUMBER(R2585)),IF(R2585&gt;0,M2585/R2585,""),"")</f>
        <v/>
      </c>
      <c r="X2585" s="10">
        <f>IF(AND(ISNUMBER(Q2585),ISNUMBER(M2585)),IF(M2585&gt;0,Q2585/M2585,""),"")</f>
        <v/>
      </c>
      <c r="Y2585" s="11">
        <f>IF(ISNUMBER(Z2585),YEAR(Z2585),"")</f>
        <v/>
      </c>
      <c r="Z2585" s="12" t="n"/>
      <c r="AA2585" s="12" t="n"/>
      <c r="AI2585" s="12" t="n"/>
      <c r="AJ2585" s="13">
        <f>IF(LEN(TRIM(AF2585))=0,"",HYPERLINK("https://www.google.com/maps/@?api=1&amp;map_action=pano&amp;viewpoint="&amp;SUBSTITUTE(AF2585," ",""),"Abrir Street View"))</f>
        <v/>
      </c>
    </row>
    <row r="2586">
      <c r="H2586" s="6" t="n"/>
      <c r="I2586" s="6" t="n"/>
      <c r="M2586" s="7" t="n"/>
      <c r="N2586" s="7" t="n"/>
      <c r="O2586" s="7" t="n"/>
      <c r="Q2586" s="7" t="n"/>
      <c r="R2586" s="7" t="n"/>
      <c r="S2586" s="8">
        <f>IF(NOT(ISNUMBER(M2586)),"",IF(G2586="Terreno",IF(AND(ISNUMBER(I2586),I2586&gt;0),M2586/I2586,""),IF(AND(ISNUMBER(H2586),H2586&gt;0),M2586/H2586,"")))</f>
        <v/>
      </c>
      <c r="T2586" s="9">
        <f>IF(AND(ISNUMBER(M2586),ISNUMBER(O2586)),IF(M2586&lt;=O2586,"Valor ≤ venal IPTU",""),"")</f>
        <v/>
      </c>
      <c r="U2586" s="10">
        <f>IF(AND(ISNUMBER(M2586),ISNUMBER(N2586)),IF(N2586&gt;0,M2586/N2586,""),"")</f>
        <v/>
      </c>
      <c r="V2586" s="10">
        <f>IF(AND(ISNUMBER(M2586),ISNUMBER(O2586)),IF(O2586&gt;0,M2586/O2586,""),"")</f>
        <v/>
      </c>
      <c r="W2586" s="10">
        <f>IF(AND(ISNUMBER(M2586),ISNUMBER(R2586)),IF(R2586&gt;0,M2586/R2586,""),"")</f>
        <v/>
      </c>
      <c r="X2586" s="10">
        <f>IF(AND(ISNUMBER(Q2586),ISNUMBER(M2586)),IF(M2586&gt;0,Q2586/M2586,""),"")</f>
        <v/>
      </c>
      <c r="Y2586" s="11">
        <f>IF(ISNUMBER(Z2586),YEAR(Z2586),"")</f>
        <v/>
      </c>
      <c r="Z2586" s="12" t="n"/>
      <c r="AA2586" s="12" t="n"/>
      <c r="AI2586" s="12" t="n"/>
      <c r="AJ2586" s="13">
        <f>IF(LEN(TRIM(AF2586))=0,"",HYPERLINK("https://www.google.com/maps/@?api=1&amp;map_action=pano&amp;viewpoint="&amp;SUBSTITUTE(AF2586," ",""),"Abrir Street View"))</f>
        <v/>
      </c>
    </row>
    <row r="2587">
      <c r="H2587" s="6" t="n"/>
      <c r="I2587" s="6" t="n"/>
      <c r="M2587" s="7" t="n"/>
      <c r="N2587" s="7" t="n"/>
      <c r="O2587" s="7" t="n"/>
      <c r="Q2587" s="7" t="n"/>
      <c r="R2587" s="7" t="n"/>
      <c r="S2587" s="8">
        <f>IF(NOT(ISNUMBER(M2587)),"",IF(G2587="Terreno",IF(AND(ISNUMBER(I2587),I2587&gt;0),M2587/I2587,""),IF(AND(ISNUMBER(H2587),H2587&gt;0),M2587/H2587,"")))</f>
        <v/>
      </c>
      <c r="T2587" s="9">
        <f>IF(AND(ISNUMBER(M2587),ISNUMBER(O2587)),IF(M2587&lt;=O2587,"Valor ≤ venal IPTU",""),"")</f>
        <v/>
      </c>
      <c r="U2587" s="10">
        <f>IF(AND(ISNUMBER(M2587),ISNUMBER(N2587)),IF(N2587&gt;0,M2587/N2587,""),"")</f>
        <v/>
      </c>
      <c r="V2587" s="10">
        <f>IF(AND(ISNUMBER(M2587),ISNUMBER(O2587)),IF(O2587&gt;0,M2587/O2587,""),"")</f>
        <v/>
      </c>
      <c r="W2587" s="10">
        <f>IF(AND(ISNUMBER(M2587),ISNUMBER(R2587)),IF(R2587&gt;0,M2587/R2587,""),"")</f>
        <v/>
      </c>
      <c r="X2587" s="10">
        <f>IF(AND(ISNUMBER(Q2587),ISNUMBER(M2587)),IF(M2587&gt;0,Q2587/M2587,""),"")</f>
        <v/>
      </c>
      <c r="Y2587" s="11">
        <f>IF(ISNUMBER(Z2587),YEAR(Z2587),"")</f>
        <v/>
      </c>
      <c r="Z2587" s="12" t="n"/>
      <c r="AA2587" s="12" t="n"/>
      <c r="AI2587" s="12" t="n"/>
      <c r="AJ2587" s="13">
        <f>IF(LEN(TRIM(AF2587))=0,"",HYPERLINK("https://www.google.com/maps/@?api=1&amp;map_action=pano&amp;viewpoint="&amp;SUBSTITUTE(AF2587," ",""),"Abrir Street View"))</f>
        <v/>
      </c>
    </row>
    <row r="2588">
      <c r="H2588" s="6" t="n"/>
      <c r="I2588" s="6" t="n"/>
      <c r="M2588" s="7" t="n"/>
      <c r="N2588" s="7" t="n"/>
      <c r="O2588" s="7" t="n"/>
      <c r="Q2588" s="7" t="n"/>
      <c r="R2588" s="7" t="n"/>
      <c r="S2588" s="8">
        <f>IF(NOT(ISNUMBER(M2588)),"",IF(G2588="Terreno",IF(AND(ISNUMBER(I2588),I2588&gt;0),M2588/I2588,""),IF(AND(ISNUMBER(H2588),H2588&gt;0),M2588/H2588,"")))</f>
        <v/>
      </c>
      <c r="T2588" s="9">
        <f>IF(AND(ISNUMBER(M2588),ISNUMBER(O2588)),IF(M2588&lt;=O2588,"Valor ≤ venal IPTU",""),"")</f>
        <v/>
      </c>
      <c r="U2588" s="10">
        <f>IF(AND(ISNUMBER(M2588),ISNUMBER(N2588)),IF(N2588&gt;0,M2588/N2588,""),"")</f>
        <v/>
      </c>
      <c r="V2588" s="10">
        <f>IF(AND(ISNUMBER(M2588),ISNUMBER(O2588)),IF(O2588&gt;0,M2588/O2588,""),"")</f>
        <v/>
      </c>
      <c r="W2588" s="10">
        <f>IF(AND(ISNUMBER(M2588),ISNUMBER(R2588)),IF(R2588&gt;0,M2588/R2588,""),"")</f>
        <v/>
      </c>
      <c r="X2588" s="10">
        <f>IF(AND(ISNUMBER(Q2588),ISNUMBER(M2588)),IF(M2588&gt;0,Q2588/M2588,""),"")</f>
        <v/>
      </c>
      <c r="Y2588" s="11">
        <f>IF(ISNUMBER(Z2588),YEAR(Z2588),"")</f>
        <v/>
      </c>
      <c r="Z2588" s="12" t="n"/>
      <c r="AA2588" s="12" t="n"/>
      <c r="AI2588" s="12" t="n"/>
      <c r="AJ2588" s="13">
        <f>IF(LEN(TRIM(AF2588))=0,"",HYPERLINK("https://www.google.com/maps/@?api=1&amp;map_action=pano&amp;viewpoint="&amp;SUBSTITUTE(AF2588," ",""),"Abrir Street View"))</f>
        <v/>
      </c>
    </row>
    <row r="2589">
      <c r="H2589" s="6" t="n"/>
      <c r="I2589" s="6" t="n"/>
      <c r="M2589" s="7" t="n"/>
      <c r="N2589" s="7" t="n"/>
      <c r="O2589" s="7" t="n"/>
      <c r="Q2589" s="7" t="n"/>
      <c r="R2589" s="7" t="n"/>
      <c r="S2589" s="8">
        <f>IF(NOT(ISNUMBER(M2589)),"",IF(G2589="Terreno",IF(AND(ISNUMBER(I2589),I2589&gt;0),M2589/I2589,""),IF(AND(ISNUMBER(H2589),H2589&gt;0),M2589/H2589,"")))</f>
        <v/>
      </c>
      <c r="T2589" s="9">
        <f>IF(AND(ISNUMBER(M2589),ISNUMBER(O2589)),IF(M2589&lt;=O2589,"Valor ≤ venal IPTU",""),"")</f>
        <v/>
      </c>
      <c r="U2589" s="10">
        <f>IF(AND(ISNUMBER(M2589),ISNUMBER(N2589)),IF(N2589&gt;0,M2589/N2589,""),"")</f>
        <v/>
      </c>
      <c r="V2589" s="10">
        <f>IF(AND(ISNUMBER(M2589),ISNUMBER(O2589)),IF(O2589&gt;0,M2589/O2589,""),"")</f>
        <v/>
      </c>
      <c r="W2589" s="10">
        <f>IF(AND(ISNUMBER(M2589),ISNUMBER(R2589)),IF(R2589&gt;0,M2589/R2589,""),"")</f>
        <v/>
      </c>
      <c r="X2589" s="10">
        <f>IF(AND(ISNUMBER(Q2589),ISNUMBER(M2589)),IF(M2589&gt;0,Q2589/M2589,""),"")</f>
        <v/>
      </c>
      <c r="Y2589" s="11">
        <f>IF(ISNUMBER(Z2589),YEAR(Z2589),"")</f>
        <v/>
      </c>
      <c r="Z2589" s="12" t="n"/>
      <c r="AA2589" s="12" t="n"/>
      <c r="AI2589" s="12" t="n"/>
      <c r="AJ2589" s="13">
        <f>IF(LEN(TRIM(AF2589))=0,"",HYPERLINK("https://www.google.com/maps/@?api=1&amp;map_action=pano&amp;viewpoint="&amp;SUBSTITUTE(AF2589," ",""),"Abrir Street View"))</f>
        <v/>
      </c>
    </row>
    <row r="2590">
      <c r="H2590" s="6" t="n"/>
      <c r="I2590" s="6" t="n"/>
      <c r="M2590" s="7" t="n"/>
      <c r="N2590" s="7" t="n"/>
      <c r="O2590" s="7" t="n"/>
      <c r="Q2590" s="7" t="n"/>
      <c r="R2590" s="7" t="n"/>
      <c r="S2590" s="8">
        <f>IF(NOT(ISNUMBER(M2590)),"",IF(G2590="Terreno",IF(AND(ISNUMBER(I2590),I2590&gt;0),M2590/I2590,""),IF(AND(ISNUMBER(H2590),H2590&gt;0),M2590/H2590,"")))</f>
        <v/>
      </c>
      <c r="T2590" s="9">
        <f>IF(AND(ISNUMBER(M2590),ISNUMBER(O2590)),IF(M2590&lt;=O2590,"Valor ≤ venal IPTU",""),"")</f>
        <v/>
      </c>
      <c r="U2590" s="10">
        <f>IF(AND(ISNUMBER(M2590),ISNUMBER(N2590)),IF(N2590&gt;0,M2590/N2590,""),"")</f>
        <v/>
      </c>
      <c r="V2590" s="10">
        <f>IF(AND(ISNUMBER(M2590),ISNUMBER(O2590)),IF(O2590&gt;0,M2590/O2590,""),"")</f>
        <v/>
      </c>
      <c r="W2590" s="10">
        <f>IF(AND(ISNUMBER(M2590),ISNUMBER(R2590)),IF(R2590&gt;0,M2590/R2590,""),"")</f>
        <v/>
      </c>
      <c r="X2590" s="10">
        <f>IF(AND(ISNUMBER(Q2590),ISNUMBER(M2590)),IF(M2590&gt;0,Q2590/M2590,""),"")</f>
        <v/>
      </c>
      <c r="Y2590" s="11">
        <f>IF(ISNUMBER(Z2590),YEAR(Z2590),"")</f>
        <v/>
      </c>
      <c r="Z2590" s="12" t="n"/>
      <c r="AA2590" s="12" t="n"/>
      <c r="AI2590" s="12" t="n"/>
      <c r="AJ2590" s="13">
        <f>IF(LEN(TRIM(AF2590))=0,"",HYPERLINK("https://www.google.com/maps/@?api=1&amp;map_action=pano&amp;viewpoint="&amp;SUBSTITUTE(AF2590," ",""),"Abrir Street View"))</f>
        <v/>
      </c>
    </row>
    <row r="2591">
      <c r="H2591" s="6" t="n"/>
      <c r="I2591" s="6" t="n"/>
      <c r="M2591" s="7" t="n"/>
      <c r="N2591" s="7" t="n"/>
      <c r="O2591" s="7" t="n"/>
      <c r="Q2591" s="7" t="n"/>
      <c r="R2591" s="7" t="n"/>
      <c r="S2591" s="8">
        <f>IF(NOT(ISNUMBER(M2591)),"",IF(G2591="Terreno",IF(AND(ISNUMBER(I2591),I2591&gt;0),M2591/I2591,""),IF(AND(ISNUMBER(H2591),H2591&gt;0),M2591/H2591,"")))</f>
        <v/>
      </c>
      <c r="T2591" s="9">
        <f>IF(AND(ISNUMBER(M2591),ISNUMBER(O2591)),IF(M2591&lt;=O2591,"Valor ≤ venal IPTU",""),"")</f>
        <v/>
      </c>
      <c r="U2591" s="10">
        <f>IF(AND(ISNUMBER(M2591),ISNUMBER(N2591)),IF(N2591&gt;0,M2591/N2591,""),"")</f>
        <v/>
      </c>
      <c r="V2591" s="10">
        <f>IF(AND(ISNUMBER(M2591),ISNUMBER(O2591)),IF(O2591&gt;0,M2591/O2591,""),"")</f>
        <v/>
      </c>
      <c r="W2591" s="10">
        <f>IF(AND(ISNUMBER(M2591),ISNUMBER(R2591)),IF(R2591&gt;0,M2591/R2591,""),"")</f>
        <v/>
      </c>
      <c r="X2591" s="10">
        <f>IF(AND(ISNUMBER(Q2591),ISNUMBER(M2591)),IF(M2591&gt;0,Q2591/M2591,""),"")</f>
        <v/>
      </c>
      <c r="Y2591" s="11">
        <f>IF(ISNUMBER(Z2591),YEAR(Z2591),"")</f>
        <v/>
      </c>
      <c r="Z2591" s="12" t="n"/>
      <c r="AA2591" s="12" t="n"/>
      <c r="AI2591" s="12" t="n"/>
      <c r="AJ2591" s="13">
        <f>IF(LEN(TRIM(AF2591))=0,"",HYPERLINK("https://www.google.com/maps/@?api=1&amp;map_action=pano&amp;viewpoint="&amp;SUBSTITUTE(AF2591," ",""),"Abrir Street View"))</f>
        <v/>
      </c>
    </row>
    <row r="2592">
      <c r="H2592" s="6" t="n"/>
      <c r="I2592" s="6" t="n"/>
      <c r="M2592" s="7" t="n"/>
      <c r="N2592" s="7" t="n"/>
      <c r="O2592" s="7" t="n"/>
      <c r="Q2592" s="7" t="n"/>
      <c r="R2592" s="7" t="n"/>
      <c r="S2592" s="8">
        <f>IF(NOT(ISNUMBER(M2592)),"",IF(G2592="Terreno",IF(AND(ISNUMBER(I2592),I2592&gt;0),M2592/I2592,""),IF(AND(ISNUMBER(H2592),H2592&gt;0),M2592/H2592,"")))</f>
        <v/>
      </c>
      <c r="T2592" s="9">
        <f>IF(AND(ISNUMBER(M2592),ISNUMBER(O2592)),IF(M2592&lt;=O2592,"Valor ≤ venal IPTU",""),"")</f>
        <v/>
      </c>
      <c r="U2592" s="10">
        <f>IF(AND(ISNUMBER(M2592),ISNUMBER(N2592)),IF(N2592&gt;0,M2592/N2592,""),"")</f>
        <v/>
      </c>
      <c r="V2592" s="10">
        <f>IF(AND(ISNUMBER(M2592),ISNUMBER(O2592)),IF(O2592&gt;0,M2592/O2592,""),"")</f>
        <v/>
      </c>
      <c r="W2592" s="10">
        <f>IF(AND(ISNUMBER(M2592),ISNUMBER(R2592)),IF(R2592&gt;0,M2592/R2592,""),"")</f>
        <v/>
      </c>
      <c r="X2592" s="10">
        <f>IF(AND(ISNUMBER(Q2592),ISNUMBER(M2592)),IF(M2592&gt;0,Q2592/M2592,""),"")</f>
        <v/>
      </c>
      <c r="Y2592" s="11">
        <f>IF(ISNUMBER(Z2592),YEAR(Z2592),"")</f>
        <v/>
      </c>
      <c r="Z2592" s="12" t="n"/>
      <c r="AA2592" s="12" t="n"/>
      <c r="AI2592" s="12" t="n"/>
      <c r="AJ2592" s="13">
        <f>IF(LEN(TRIM(AF2592))=0,"",HYPERLINK("https://www.google.com/maps/@?api=1&amp;map_action=pano&amp;viewpoint="&amp;SUBSTITUTE(AF2592," ",""),"Abrir Street View"))</f>
        <v/>
      </c>
    </row>
    <row r="2593">
      <c r="H2593" s="6" t="n"/>
      <c r="I2593" s="6" t="n"/>
      <c r="M2593" s="7" t="n"/>
      <c r="N2593" s="7" t="n"/>
      <c r="O2593" s="7" t="n"/>
      <c r="Q2593" s="7" t="n"/>
      <c r="R2593" s="7" t="n"/>
      <c r="S2593" s="8">
        <f>IF(NOT(ISNUMBER(M2593)),"",IF(G2593="Terreno",IF(AND(ISNUMBER(I2593),I2593&gt;0),M2593/I2593,""),IF(AND(ISNUMBER(H2593),H2593&gt;0),M2593/H2593,"")))</f>
        <v/>
      </c>
      <c r="T2593" s="9">
        <f>IF(AND(ISNUMBER(M2593),ISNUMBER(O2593)),IF(M2593&lt;=O2593,"Valor ≤ venal IPTU",""),"")</f>
        <v/>
      </c>
      <c r="U2593" s="10">
        <f>IF(AND(ISNUMBER(M2593),ISNUMBER(N2593)),IF(N2593&gt;0,M2593/N2593,""),"")</f>
        <v/>
      </c>
      <c r="V2593" s="10">
        <f>IF(AND(ISNUMBER(M2593),ISNUMBER(O2593)),IF(O2593&gt;0,M2593/O2593,""),"")</f>
        <v/>
      </c>
      <c r="W2593" s="10">
        <f>IF(AND(ISNUMBER(M2593),ISNUMBER(R2593)),IF(R2593&gt;0,M2593/R2593,""),"")</f>
        <v/>
      </c>
      <c r="X2593" s="10">
        <f>IF(AND(ISNUMBER(Q2593),ISNUMBER(M2593)),IF(M2593&gt;0,Q2593/M2593,""),"")</f>
        <v/>
      </c>
      <c r="Y2593" s="11">
        <f>IF(ISNUMBER(Z2593),YEAR(Z2593),"")</f>
        <v/>
      </c>
      <c r="Z2593" s="12" t="n"/>
      <c r="AA2593" s="12" t="n"/>
      <c r="AI2593" s="12" t="n"/>
      <c r="AJ2593" s="13">
        <f>IF(LEN(TRIM(AF2593))=0,"",HYPERLINK("https://www.google.com/maps/@?api=1&amp;map_action=pano&amp;viewpoint="&amp;SUBSTITUTE(AF2593," ",""),"Abrir Street View"))</f>
        <v/>
      </c>
    </row>
    <row r="2594">
      <c r="H2594" s="6" t="n"/>
      <c r="I2594" s="6" t="n"/>
      <c r="M2594" s="7" t="n"/>
      <c r="N2594" s="7" t="n"/>
      <c r="O2594" s="7" t="n"/>
      <c r="Q2594" s="7" t="n"/>
      <c r="R2594" s="7" t="n"/>
      <c r="S2594" s="8">
        <f>IF(NOT(ISNUMBER(M2594)),"",IF(G2594="Terreno",IF(AND(ISNUMBER(I2594),I2594&gt;0),M2594/I2594,""),IF(AND(ISNUMBER(H2594),H2594&gt;0),M2594/H2594,"")))</f>
        <v/>
      </c>
      <c r="T2594" s="9">
        <f>IF(AND(ISNUMBER(M2594),ISNUMBER(O2594)),IF(M2594&lt;=O2594,"Valor ≤ venal IPTU",""),"")</f>
        <v/>
      </c>
      <c r="U2594" s="10">
        <f>IF(AND(ISNUMBER(M2594),ISNUMBER(N2594)),IF(N2594&gt;0,M2594/N2594,""),"")</f>
        <v/>
      </c>
      <c r="V2594" s="10">
        <f>IF(AND(ISNUMBER(M2594),ISNUMBER(O2594)),IF(O2594&gt;0,M2594/O2594,""),"")</f>
        <v/>
      </c>
      <c r="W2594" s="10">
        <f>IF(AND(ISNUMBER(M2594),ISNUMBER(R2594)),IF(R2594&gt;0,M2594/R2594,""),"")</f>
        <v/>
      </c>
      <c r="X2594" s="10">
        <f>IF(AND(ISNUMBER(Q2594),ISNUMBER(M2594)),IF(M2594&gt;0,Q2594/M2594,""),"")</f>
        <v/>
      </c>
      <c r="Y2594" s="11">
        <f>IF(ISNUMBER(Z2594),YEAR(Z2594),"")</f>
        <v/>
      </c>
      <c r="Z2594" s="12" t="n"/>
      <c r="AA2594" s="12" t="n"/>
      <c r="AI2594" s="12" t="n"/>
      <c r="AJ2594" s="13">
        <f>IF(LEN(TRIM(AF2594))=0,"",HYPERLINK("https://www.google.com/maps/@?api=1&amp;map_action=pano&amp;viewpoint="&amp;SUBSTITUTE(AF2594," ",""),"Abrir Street View"))</f>
        <v/>
      </c>
    </row>
    <row r="2595">
      <c r="H2595" s="6" t="n"/>
      <c r="I2595" s="6" t="n"/>
      <c r="M2595" s="7" t="n"/>
      <c r="N2595" s="7" t="n"/>
      <c r="O2595" s="7" t="n"/>
      <c r="Q2595" s="7" t="n"/>
      <c r="R2595" s="7" t="n"/>
      <c r="S2595" s="8">
        <f>IF(NOT(ISNUMBER(M2595)),"",IF(G2595="Terreno",IF(AND(ISNUMBER(I2595),I2595&gt;0),M2595/I2595,""),IF(AND(ISNUMBER(H2595),H2595&gt;0),M2595/H2595,"")))</f>
        <v/>
      </c>
      <c r="T2595" s="9">
        <f>IF(AND(ISNUMBER(M2595),ISNUMBER(O2595)),IF(M2595&lt;=O2595,"Valor ≤ venal IPTU",""),"")</f>
        <v/>
      </c>
      <c r="U2595" s="10">
        <f>IF(AND(ISNUMBER(M2595),ISNUMBER(N2595)),IF(N2595&gt;0,M2595/N2595,""),"")</f>
        <v/>
      </c>
      <c r="V2595" s="10">
        <f>IF(AND(ISNUMBER(M2595),ISNUMBER(O2595)),IF(O2595&gt;0,M2595/O2595,""),"")</f>
        <v/>
      </c>
      <c r="W2595" s="10">
        <f>IF(AND(ISNUMBER(M2595),ISNUMBER(R2595)),IF(R2595&gt;0,M2595/R2595,""),"")</f>
        <v/>
      </c>
      <c r="X2595" s="10">
        <f>IF(AND(ISNUMBER(Q2595),ISNUMBER(M2595)),IF(M2595&gt;0,Q2595/M2595,""),"")</f>
        <v/>
      </c>
      <c r="Y2595" s="11">
        <f>IF(ISNUMBER(Z2595),YEAR(Z2595),"")</f>
        <v/>
      </c>
      <c r="Z2595" s="12" t="n"/>
      <c r="AA2595" s="12" t="n"/>
      <c r="AI2595" s="12" t="n"/>
      <c r="AJ2595" s="13">
        <f>IF(LEN(TRIM(AF2595))=0,"",HYPERLINK("https://www.google.com/maps/@?api=1&amp;map_action=pano&amp;viewpoint="&amp;SUBSTITUTE(AF2595," ",""),"Abrir Street View"))</f>
        <v/>
      </c>
    </row>
    <row r="2596">
      <c r="H2596" s="6" t="n"/>
      <c r="I2596" s="6" t="n"/>
      <c r="M2596" s="7" t="n"/>
      <c r="N2596" s="7" t="n"/>
      <c r="O2596" s="7" t="n"/>
      <c r="Q2596" s="7" t="n"/>
      <c r="R2596" s="7" t="n"/>
      <c r="S2596" s="8">
        <f>IF(NOT(ISNUMBER(M2596)),"",IF(G2596="Terreno",IF(AND(ISNUMBER(I2596),I2596&gt;0),M2596/I2596,""),IF(AND(ISNUMBER(H2596),H2596&gt;0),M2596/H2596,"")))</f>
        <v/>
      </c>
      <c r="T2596" s="9">
        <f>IF(AND(ISNUMBER(M2596),ISNUMBER(O2596)),IF(M2596&lt;=O2596,"Valor ≤ venal IPTU",""),"")</f>
        <v/>
      </c>
      <c r="U2596" s="10">
        <f>IF(AND(ISNUMBER(M2596),ISNUMBER(N2596)),IF(N2596&gt;0,M2596/N2596,""),"")</f>
        <v/>
      </c>
      <c r="V2596" s="10">
        <f>IF(AND(ISNUMBER(M2596),ISNUMBER(O2596)),IF(O2596&gt;0,M2596/O2596,""),"")</f>
        <v/>
      </c>
      <c r="W2596" s="10">
        <f>IF(AND(ISNUMBER(M2596),ISNUMBER(R2596)),IF(R2596&gt;0,M2596/R2596,""),"")</f>
        <v/>
      </c>
      <c r="X2596" s="10">
        <f>IF(AND(ISNUMBER(Q2596),ISNUMBER(M2596)),IF(M2596&gt;0,Q2596/M2596,""),"")</f>
        <v/>
      </c>
      <c r="Y2596" s="11">
        <f>IF(ISNUMBER(Z2596),YEAR(Z2596),"")</f>
        <v/>
      </c>
      <c r="Z2596" s="12" t="n"/>
      <c r="AA2596" s="12" t="n"/>
      <c r="AI2596" s="12" t="n"/>
      <c r="AJ2596" s="13">
        <f>IF(LEN(TRIM(AF2596))=0,"",HYPERLINK("https://www.google.com/maps/@?api=1&amp;map_action=pano&amp;viewpoint="&amp;SUBSTITUTE(AF2596," ",""),"Abrir Street View"))</f>
        <v/>
      </c>
    </row>
    <row r="2597">
      <c r="H2597" s="6" t="n"/>
      <c r="I2597" s="6" t="n"/>
      <c r="M2597" s="7" t="n"/>
      <c r="N2597" s="7" t="n"/>
      <c r="O2597" s="7" t="n"/>
      <c r="Q2597" s="7" t="n"/>
      <c r="R2597" s="7" t="n"/>
      <c r="S2597" s="8">
        <f>IF(NOT(ISNUMBER(M2597)),"",IF(G2597="Terreno",IF(AND(ISNUMBER(I2597),I2597&gt;0),M2597/I2597,""),IF(AND(ISNUMBER(H2597),H2597&gt;0),M2597/H2597,"")))</f>
        <v/>
      </c>
      <c r="T2597" s="9">
        <f>IF(AND(ISNUMBER(M2597),ISNUMBER(O2597)),IF(M2597&lt;=O2597,"Valor ≤ venal IPTU",""),"")</f>
        <v/>
      </c>
      <c r="U2597" s="10">
        <f>IF(AND(ISNUMBER(M2597),ISNUMBER(N2597)),IF(N2597&gt;0,M2597/N2597,""),"")</f>
        <v/>
      </c>
      <c r="V2597" s="10">
        <f>IF(AND(ISNUMBER(M2597),ISNUMBER(O2597)),IF(O2597&gt;0,M2597/O2597,""),"")</f>
        <v/>
      </c>
      <c r="W2597" s="10">
        <f>IF(AND(ISNUMBER(M2597),ISNUMBER(R2597)),IF(R2597&gt;0,M2597/R2597,""),"")</f>
        <v/>
      </c>
      <c r="X2597" s="10">
        <f>IF(AND(ISNUMBER(Q2597),ISNUMBER(M2597)),IF(M2597&gt;0,Q2597/M2597,""),"")</f>
        <v/>
      </c>
      <c r="Y2597" s="11">
        <f>IF(ISNUMBER(Z2597),YEAR(Z2597),"")</f>
        <v/>
      </c>
      <c r="Z2597" s="12" t="n"/>
      <c r="AA2597" s="12" t="n"/>
      <c r="AI2597" s="12" t="n"/>
      <c r="AJ2597" s="13">
        <f>IF(LEN(TRIM(AF2597))=0,"",HYPERLINK("https://www.google.com/maps/@?api=1&amp;map_action=pano&amp;viewpoint="&amp;SUBSTITUTE(AF2597," ",""),"Abrir Street View"))</f>
        <v/>
      </c>
    </row>
    <row r="2598">
      <c r="H2598" s="6" t="n"/>
      <c r="I2598" s="6" t="n"/>
      <c r="M2598" s="7" t="n"/>
      <c r="N2598" s="7" t="n"/>
      <c r="O2598" s="7" t="n"/>
      <c r="Q2598" s="7" t="n"/>
      <c r="R2598" s="7" t="n"/>
      <c r="S2598" s="8">
        <f>IF(NOT(ISNUMBER(M2598)),"",IF(G2598="Terreno",IF(AND(ISNUMBER(I2598),I2598&gt;0),M2598/I2598,""),IF(AND(ISNUMBER(H2598),H2598&gt;0),M2598/H2598,"")))</f>
        <v/>
      </c>
      <c r="T2598" s="9">
        <f>IF(AND(ISNUMBER(M2598),ISNUMBER(O2598)),IF(M2598&lt;=O2598,"Valor ≤ venal IPTU",""),"")</f>
        <v/>
      </c>
      <c r="U2598" s="10">
        <f>IF(AND(ISNUMBER(M2598),ISNUMBER(N2598)),IF(N2598&gt;0,M2598/N2598,""),"")</f>
        <v/>
      </c>
      <c r="V2598" s="10">
        <f>IF(AND(ISNUMBER(M2598),ISNUMBER(O2598)),IF(O2598&gt;0,M2598/O2598,""),"")</f>
        <v/>
      </c>
      <c r="W2598" s="10">
        <f>IF(AND(ISNUMBER(M2598),ISNUMBER(R2598)),IF(R2598&gt;0,M2598/R2598,""),"")</f>
        <v/>
      </c>
      <c r="X2598" s="10">
        <f>IF(AND(ISNUMBER(Q2598),ISNUMBER(M2598)),IF(M2598&gt;0,Q2598/M2598,""),"")</f>
        <v/>
      </c>
      <c r="Y2598" s="11">
        <f>IF(ISNUMBER(Z2598),YEAR(Z2598),"")</f>
        <v/>
      </c>
      <c r="Z2598" s="12" t="n"/>
      <c r="AA2598" s="12" t="n"/>
      <c r="AI2598" s="12" t="n"/>
      <c r="AJ2598" s="13">
        <f>IF(LEN(TRIM(AF2598))=0,"",HYPERLINK("https://www.google.com/maps/@?api=1&amp;map_action=pano&amp;viewpoint="&amp;SUBSTITUTE(AF2598," ",""),"Abrir Street View"))</f>
        <v/>
      </c>
    </row>
    <row r="2599">
      <c r="H2599" s="6" t="n"/>
      <c r="I2599" s="6" t="n"/>
      <c r="M2599" s="7" t="n"/>
      <c r="N2599" s="7" t="n"/>
      <c r="O2599" s="7" t="n"/>
      <c r="Q2599" s="7" t="n"/>
      <c r="R2599" s="7" t="n"/>
      <c r="S2599" s="8">
        <f>IF(NOT(ISNUMBER(M2599)),"",IF(G2599="Terreno",IF(AND(ISNUMBER(I2599),I2599&gt;0),M2599/I2599,""),IF(AND(ISNUMBER(H2599),H2599&gt;0),M2599/H2599,"")))</f>
        <v/>
      </c>
      <c r="T2599" s="9">
        <f>IF(AND(ISNUMBER(M2599),ISNUMBER(O2599)),IF(M2599&lt;=O2599,"Valor ≤ venal IPTU",""),"")</f>
        <v/>
      </c>
      <c r="U2599" s="10">
        <f>IF(AND(ISNUMBER(M2599),ISNUMBER(N2599)),IF(N2599&gt;0,M2599/N2599,""),"")</f>
        <v/>
      </c>
      <c r="V2599" s="10">
        <f>IF(AND(ISNUMBER(M2599),ISNUMBER(O2599)),IF(O2599&gt;0,M2599/O2599,""),"")</f>
        <v/>
      </c>
      <c r="W2599" s="10">
        <f>IF(AND(ISNUMBER(M2599),ISNUMBER(R2599)),IF(R2599&gt;0,M2599/R2599,""),"")</f>
        <v/>
      </c>
      <c r="X2599" s="10">
        <f>IF(AND(ISNUMBER(Q2599),ISNUMBER(M2599)),IF(M2599&gt;0,Q2599/M2599,""),"")</f>
        <v/>
      </c>
      <c r="Y2599" s="11">
        <f>IF(ISNUMBER(Z2599),YEAR(Z2599),"")</f>
        <v/>
      </c>
      <c r="Z2599" s="12" t="n"/>
      <c r="AA2599" s="12" t="n"/>
      <c r="AI2599" s="12" t="n"/>
      <c r="AJ2599" s="13">
        <f>IF(LEN(TRIM(AF2599))=0,"",HYPERLINK("https://www.google.com/maps/@?api=1&amp;map_action=pano&amp;viewpoint="&amp;SUBSTITUTE(AF2599," ",""),"Abrir Street View"))</f>
        <v/>
      </c>
    </row>
    <row r="2600">
      <c r="H2600" s="6" t="n"/>
      <c r="I2600" s="6" t="n"/>
      <c r="M2600" s="7" t="n"/>
      <c r="N2600" s="7" t="n"/>
      <c r="O2600" s="7" t="n"/>
      <c r="Q2600" s="7" t="n"/>
      <c r="R2600" s="7" t="n"/>
      <c r="S2600" s="8">
        <f>IF(NOT(ISNUMBER(M2600)),"",IF(G2600="Terreno",IF(AND(ISNUMBER(I2600),I2600&gt;0),M2600/I2600,""),IF(AND(ISNUMBER(H2600),H2600&gt;0),M2600/H2600,"")))</f>
        <v/>
      </c>
      <c r="T2600" s="9">
        <f>IF(AND(ISNUMBER(M2600),ISNUMBER(O2600)),IF(M2600&lt;=O2600,"Valor ≤ venal IPTU",""),"")</f>
        <v/>
      </c>
      <c r="U2600" s="10">
        <f>IF(AND(ISNUMBER(M2600),ISNUMBER(N2600)),IF(N2600&gt;0,M2600/N2600,""),"")</f>
        <v/>
      </c>
      <c r="V2600" s="10">
        <f>IF(AND(ISNUMBER(M2600),ISNUMBER(O2600)),IF(O2600&gt;0,M2600/O2600,""),"")</f>
        <v/>
      </c>
      <c r="W2600" s="10">
        <f>IF(AND(ISNUMBER(M2600),ISNUMBER(R2600)),IF(R2600&gt;0,M2600/R2600,""),"")</f>
        <v/>
      </c>
      <c r="X2600" s="10">
        <f>IF(AND(ISNUMBER(Q2600),ISNUMBER(M2600)),IF(M2600&gt;0,Q2600/M2600,""),"")</f>
        <v/>
      </c>
      <c r="Y2600" s="11">
        <f>IF(ISNUMBER(Z2600),YEAR(Z2600),"")</f>
        <v/>
      </c>
      <c r="Z2600" s="12" t="n"/>
      <c r="AA2600" s="12" t="n"/>
      <c r="AI2600" s="12" t="n"/>
      <c r="AJ2600" s="13">
        <f>IF(LEN(TRIM(AF2600))=0,"",HYPERLINK("https://www.google.com/maps/@?api=1&amp;map_action=pano&amp;viewpoint="&amp;SUBSTITUTE(AF2600," ",""),"Abrir Street View"))</f>
        <v/>
      </c>
    </row>
    <row r="2601">
      <c r="H2601" s="6" t="n"/>
      <c r="I2601" s="6" t="n"/>
      <c r="M2601" s="7" t="n"/>
      <c r="N2601" s="7" t="n"/>
      <c r="O2601" s="7" t="n"/>
      <c r="Q2601" s="7" t="n"/>
      <c r="R2601" s="7" t="n"/>
      <c r="S2601" s="8">
        <f>IF(NOT(ISNUMBER(M2601)),"",IF(G2601="Terreno",IF(AND(ISNUMBER(I2601),I2601&gt;0),M2601/I2601,""),IF(AND(ISNUMBER(H2601),H2601&gt;0),M2601/H2601,"")))</f>
        <v/>
      </c>
      <c r="T2601" s="9">
        <f>IF(AND(ISNUMBER(M2601),ISNUMBER(O2601)),IF(M2601&lt;=O2601,"Valor ≤ venal IPTU",""),"")</f>
        <v/>
      </c>
      <c r="U2601" s="10">
        <f>IF(AND(ISNUMBER(M2601),ISNUMBER(N2601)),IF(N2601&gt;0,M2601/N2601,""),"")</f>
        <v/>
      </c>
      <c r="V2601" s="10">
        <f>IF(AND(ISNUMBER(M2601),ISNUMBER(O2601)),IF(O2601&gt;0,M2601/O2601,""),"")</f>
        <v/>
      </c>
      <c r="W2601" s="10">
        <f>IF(AND(ISNUMBER(M2601),ISNUMBER(R2601)),IF(R2601&gt;0,M2601/R2601,""),"")</f>
        <v/>
      </c>
      <c r="X2601" s="10">
        <f>IF(AND(ISNUMBER(Q2601),ISNUMBER(M2601)),IF(M2601&gt;0,Q2601/M2601,""),"")</f>
        <v/>
      </c>
      <c r="Y2601" s="11">
        <f>IF(ISNUMBER(Z2601),YEAR(Z2601),"")</f>
        <v/>
      </c>
      <c r="Z2601" s="12" t="n"/>
      <c r="AA2601" s="12" t="n"/>
      <c r="AI2601" s="12" t="n"/>
      <c r="AJ2601" s="13">
        <f>IF(LEN(TRIM(AF2601))=0,"",HYPERLINK("https://www.google.com/maps/@?api=1&amp;map_action=pano&amp;viewpoint="&amp;SUBSTITUTE(AF2601," ",""),"Abrir Street View"))</f>
        <v/>
      </c>
    </row>
    <row r="2602">
      <c r="H2602" s="6" t="n"/>
      <c r="I2602" s="6" t="n"/>
      <c r="M2602" s="7" t="n"/>
      <c r="N2602" s="7" t="n"/>
      <c r="O2602" s="7" t="n"/>
      <c r="Q2602" s="7" t="n"/>
      <c r="R2602" s="7" t="n"/>
      <c r="S2602" s="8">
        <f>IF(NOT(ISNUMBER(M2602)),"",IF(G2602="Terreno",IF(AND(ISNUMBER(I2602),I2602&gt;0),M2602/I2602,""),IF(AND(ISNUMBER(H2602),H2602&gt;0),M2602/H2602,"")))</f>
        <v/>
      </c>
      <c r="T2602" s="9">
        <f>IF(AND(ISNUMBER(M2602),ISNUMBER(O2602)),IF(M2602&lt;=O2602,"Valor ≤ venal IPTU",""),"")</f>
        <v/>
      </c>
      <c r="U2602" s="10">
        <f>IF(AND(ISNUMBER(M2602),ISNUMBER(N2602)),IF(N2602&gt;0,M2602/N2602,""),"")</f>
        <v/>
      </c>
      <c r="V2602" s="10">
        <f>IF(AND(ISNUMBER(M2602),ISNUMBER(O2602)),IF(O2602&gt;0,M2602/O2602,""),"")</f>
        <v/>
      </c>
      <c r="W2602" s="10">
        <f>IF(AND(ISNUMBER(M2602),ISNUMBER(R2602)),IF(R2602&gt;0,M2602/R2602,""),"")</f>
        <v/>
      </c>
      <c r="X2602" s="10">
        <f>IF(AND(ISNUMBER(Q2602),ISNUMBER(M2602)),IF(M2602&gt;0,Q2602/M2602,""),"")</f>
        <v/>
      </c>
      <c r="Y2602" s="11">
        <f>IF(ISNUMBER(Z2602),YEAR(Z2602),"")</f>
        <v/>
      </c>
      <c r="Z2602" s="12" t="n"/>
      <c r="AA2602" s="12" t="n"/>
      <c r="AI2602" s="12" t="n"/>
      <c r="AJ2602" s="13">
        <f>IF(LEN(TRIM(AF2602))=0,"",HYPERLINK("https://www.google.com/maps/@?api=1&amp;map_action=pano&amp;viewpoint="&amp;SUBSTITUTE(AF2602," ",""),"Abrir Street View"))</f>
        <v/>
      </c>
    </row>
    <row r="2603">
      <c r="H2603" s="6" t="n"/>
      <c r="I2603" s="6" t="n"/>
      <c r="M2603" s="7" t="n"/>
      <c r="N2603" s="7" t="n"/>
      <c r="O2603" s="7" t="n"/>
      <c r="Q2603" s="7" t="n"/>
      <c r="R2603" s="7" t="n"/>
      <c r="S2603" s="8">
        <f>IF(NOT(ISNUMBER(M2603)),"",IF(G2603="Terreno",IF(AND(ISNUMBER(I2603),I2603&gt;0),M2603/I2603,""),IF(AND(ISNUMBER(H2603),H2603&gt;0),M2603/H2603,"")))</f>
        <v/>
      </c>
      <c r="T2603" s="9">
        <f>IF(AND(ISNUMBER(M2603),ISNUMBER(O2603)),IF(M2603&lt;=O2603,"Valor ≤ venal IPTU",""),"")</f>
        <v/>
      </c>
      <c r="U2603" s="10">
        <f>IF(AND(ISNUMBER(M2603),ISNUMBER(N2603)),IF(N2603&gt;0,M2603/N2603,""),"")</f>
        <v/>
      </c>
      <c r="V2603" s="10">
        <f>IF(AND(ISNUMBER(M2603),ISNUMBER(O2603)),IF(O2603&gt;0,M2603/O2603,""),"")</f>
        <v/>
      </c>
      <c r="W2603" s="10">
        <f>IF(AND(ISNUMBER(M2603),ISNUMBER(R2603)),IF(R2603&gt;0,M2603/R2603,""),"")</f>
        <v/>
      </c>
      <c r="X2603" s="10">
        <f>IF(AND(ISNUMBER(Q2603),ISNUMBER(M2603)),IF(M2603&gt;0,Q2603/M2603,""),"")</f>
        <v/>
      </c>
      <c r="Y2603" s="11">
        <f>IF(ISNUMBER(Z2603),YEAR(Z2603),"")</f>
        <v/>
      </c>
      <c r="Z2603" s="12" t="n"/>
      <c r="AA2603" s="12" t="n"/>
      <c r="AI2603" s="12" t="n"/>
      <c r="AJ2603" s="13">
        <f>IF(LEN(TRIM(AF2603))=0,"",HYPERLINK("https://www.google.com/maps/@?api=1&amp;map_action=pano&amp;viewpoint="&amp;SUBSTITUTE(AF2603," ",""),"Abrir Street View"))</f>
        <v/>
      </c>
    </row>
    <row r="2604">
      <c r="H2604" s="6" t="n"/>
      <c r="I2604" s="6" t="n"/>
      <c r="M2604" s="7" t="n"/>
      <c r="N2604" s="7" t="n"/>
      <c r="O2604" s="7" t="n"/>
      <c r="Q2604" s="7" t="n"/>
      <c r="R2604" s="7" t="n"/>
      <c r="S2604" s="8">
        <f>IF(NOT(ISNUMBER(M2604)),"",IF(G2604="Terreno",IF(AND(ISNUMBER(I2604),I2604&gt;0),M2604/I2604,""),IF(AND(ISNUMBER(H2604),H2604&gt;0),M2604/H2604,"")))</f>
        <v/>
      </c>
      <c r="T2604" s="9">
        <f>IF(AND(ISNUMBER(M2604),ISNUMBER(O2604)),IF(M2604&lt;=O2604,"Valor ≤ venal IPTU",""),"")</f>
        <v/>
      </c>
      <c r="U2604" s="10">
        <f>IF(AND(ISNUMBER(M2604),ISNUMBER(N2604)),IF(N2604&gt;0,M2604/N2604,""),"")</f>
        <v/>
      </c>
      <c r="V2604" s="10">
        <f>IF(AND(ISNUMBER(M2604),ISNUMBER(O2604)),IF(O2604&gt;0,M2604/O2604,""),"")</f>
        <v/>
      </c>
      <c r="W2604" s="10">
        <f>IF(AND(ISNUMBER(M2604),ISNUMBER(R2604)),IF(R2604&gt;0,M2604/R2604,""),"")</f>
        <v/>
      </c>
      <c r="X2604" s="10">
        <f>IF(AND(ISNUMBER(Q2604),ISNUMBER(M2604)),IF(M2604&gt;0,Q2604/M2604,""),"")</f>
        <v/>
      </c>
      <c r="Y2604" s="11">
        <f>IF(ISNUMBER(Z2604),YEAR(Z2604),"")</f>
        <v/>
      </c>
      <c r="Z2604" s="12" t="n"/>
      <c r="AA2604" s="12" t="n"/>
      <c r="AI2604" s="12" t="n"/>
      <c r="AJ2604" s="13">
        <f>IF(LEN(TRIM(AF2604))=0,"",HYPERLINK("https://www.google.com/maps/@?api=1&amp;map_action=pano&amp;viewpoint="&amp;SUBSTITUTE(AF2604," ",""),"Abrir Street View"))</f>
        <v/>
      </c>
    </row>
    <row r="2605">
      <c r="H2605" s="6" t="n"/>
      <c r="I2605" s="6" t="n"/>
      <c r="M2605" s="7" t="n"/>
      <c r="N2605" s="7" t="n"/>
      <c r="O2605" s="7" t="n"/>
      <c r="Q2605" s="7" t="n"/>
      <c r="R2605" s="7" t="n"/>
      <c r="S2605" s="8">
        <f>IF(NOT(ISNUMBER(M2605)),"",IF(G2605="Terreno",IF(AND(ISNUMBER(I2605),I2605&gt;0),M2605/I2605,""),IF(AND(ISNUMBER(H2605),H2605&gt;0),M2605/H2605,"")))</f>
        <v/>
      </c>
      <c r="T2605" s="9">
        <f>IF(AND(ISNUMBER(M2605),ISNUMBER(O2605)),IF(M2605&lt;=O2605,"Valor ≤ venal IPTU",""),"")</f>
        <v/>
      </c>
      <c r="U2605" s="10">
        <f>IF(AND(ISNUMBER(M2605),ISNUMBER(N2605)),IF(N2605&gt;0,M2605/N2605,""),"")</f>
        <v/>
      </c>
      <c r="V2605" s="10">
        <f>IF(AND(ISNUMBER(M2605),ISNUMBER(O2605)),IF(O2605&gt;0,M2605/O2605,""),"")</f>
        <v/>
      </c>
      <c r="W2605" s="10">
        <f>IF(AND(ISNUMBER(M2605),ISNUMBER(R2605)),IF(R2605&gt;0,M2605/R2605,""),"")</f>
        <v/>
      </c>
      <c r="X2605" s="10">
        <f>IF(AND(ISNUMBER(Q2605),ISNUMBER(M2605)),IF(M2605&gt;0,Q2605/M2605,""),"")</f>
        <v/>
      </c>
      <c r="Y2605" s="11">
        <f>IF(ISNUMBER(Z2605),YEAR(Z2605),"")</f>
        <v/>
      </c>
      <c r="Z2605" s="12" t="n"/>
      <c r="AA2605" s="12" t="n"/>
      <c r="AI2605" s="12" t="n"/>
      <c r="AJ2605" s="13">
        <f>IF(LEN(TRIM(AF2605))=0,"",HYPERLINK("https://www.google.com/maps/@?api=1&amp;map_action=pano&amp;viewpoint="&amp;SUBSTITUTE(AF2605," ",""),"Abrir Street View"))</f>
        <v/>
      </c>
    </row>
    <row r="2606">
      <c r="H2606" s="6" t="n"/>
      <c r="I2606" s="6" t="n"/>
      <c r="M2606" s="7" t="n"/>
      <c r="N2606" s="7" t="n"/>
      <c r="O2606" s="7" t="n"/>
      <c r="Q2606" s="7" t="n"/>
      <c r="R2606" s="7" t="n"/>
      <c r="S2606" s="8">
        <f>IF(NOT(ISNUMBER(M2606)),"",IF(G2606="Terreno",IF(AND(ISNUMBER(I2606),I2606&gt;0),M2606/I2606,""),IF(AND(ISNUMBER(H2606),H2606&gt;0),M2606/H2606,"")))</f>
        <v/>
      </c>
      <c r="T2606" s="9">
        <f>IF(AND(ISNUMBER(M2606),ISNUMBER(O2606)),IF(M2606&lt;=O2606,"Valor ≤ venal IPTU",""),"")</f>
        <v/>
      </c>
      <c r="U2606" s="10">
        <f>IF(AND(ISNUMBER(M2606),ISNUMBER(N2606)),IF(N2606&gt;0,M2606/N2606,""),"")</f>
        <v/>
      </c>
      <c r="V2606" s="10">
        <f>IF(AND(ISNUMBER(M2606),ISNUMBER(O2606)),IF(O2606&gt;0,M2606/O2606,""),"")</f>
        <v/>
      </c>
      <c r="W2606" s="10">
        <f>IF(AND(ISNUMBER(M2606),ISNUMBER(R2606)),IF(R2606&gt;0,M2606/R2606,""),"")</f>
        <v/>
      </c>
      <c r="X2606" s="10">
        <f>IF(AND(ISNUMBER(Q2606),ISNUMBER(M2606)),IF(M2606&gt;0,Q2606/M2606,""),"")</f>
        <v/>
      </c>
      <c r="Y2606" s="11">
        <f>IF(ISNUMBER(Z2606),YEAR(Z2606),"")</f>
        <v/>
      </c>
      <c r="Z2606" s="12" t="n"/>
      <c r="AA2606" s="12" t="n"/>
      <c r="AI2606" s="12" t="n"/>
      <c r="AJ2606" s="13">
        <f>IF(LEN(TRIM(AF2606))=0,"",HYPERLINK("https://www.google.com/maps/@?api=1&amp;map_action=pano&amp;viewpoint="&amp;SUBSTITUTE(AF2606," ",""),"Abrir Street View"))</f>
        <v/>
      </c>
    </row>
    <row r="2607">
      <c r="H2607" s="6" t="n"/>
      <c r="I2607" s="6" t="n"/>
      <c r="M2607" s="7" t="n"/>
      <c r="N2607" s="7" t="n"/>
      <c r="O2607" s="7" t="n"/>
      <c r="Q2607" s="7" t="n"/>
      <c r="R2607" s="7" t="n"/>
      <c r="S2607" s="8">
        <f>IF(NOT(ISNUMBER(M2607)),"",IF(G2607="Terreno",IF(AND(ISNUMBER(I2607),I2607&gt;0),M2607/I2607,""),IF(AND(ISNUMBER(H2607),H2607&gt;0),M2607/H2607,"")))</f>
        <v/>
      </c>
      <c r="T2607" s="9">
        <f>IF(AND(ISNUMBER(M2607),ISNUMBER(O2607)),IF(M2607&lt;=O2607,"Valor ≤ venal IPTU",""),"")</f>
        <v/>
      </c>
      <c r="U2607" s="10">
        <f>IF(AND(ISNUMBER(M2607),ISNUMBER(N2607)),IF(N2607&gt;0,M2607/N2607,""),"")</f>
        <v/>
      </c>
      <c r="V2607" s="10">
        <f>IF(AND(ISNUMBER(M2607),ISNUMBER(O2607)),IF(O2607&gt;0,M2607/O2607,""),"")</f>
        <v/>
      </c>
      <c r="W2607" s="10">
        <f>IF(AND(ISNUMBER(M2607),ISNUMBER(R2607)),IF(R2607&gt;0,M2607/R2607,""),"")</f>
        <v/>
      </c>
      <c r="X2607" s="10">
        <f>IF(AND(ISNUMBER(Q2607),ISNUMBER(M2607)),IF(M2607&gt;0,Q2607/M2607,""),"")</f>
        <v/>
      </c>
      <c r="Y2607" s="11">
        <f>IF(ISNUMBER(Z2607),YEAR(Z2607),"")</f>
        <v/>
      </c>
      <c r="Z2607" s="12" t="n"/>
      <c r="AA2607" s="12" t="n"/>
      <c r="AI2607" s="12" t="n"/>
      <c r="AJ2607" s="13">
        <f>IF(LEN(TRIM(AF2607))=0,"",HYPERLINK("https://www.google.com/maps/@?api=1&amp;map_action=pano&amp;viewpoint="&amp;SUBSTITUTE(AF2607," ",""),"Abrir Street View"))</f>
        <v/>
      </c>
    </row>
    <row r="2608">
      <c r="H2608" s="6" t="n"/>
      <c r="I2608" s="6" t="n"/>
      <c r="M2608" s="7" t="n"/>
      <c r="N2608" s="7" t="n"/>
      <c r="O2608" s="7" t="n"/>
      <c r="Q2608" s="7" t="n"/>
      <c r="R2608" s="7" t="n"/>
      <c r="S2608" s="8">
        <f>IF(NOT(ISNUMBER(M2608)),"",IF(G2608="Terreno",IF(AND(ISNUMBER(I2608),I2608&gt;0),M2608/I2608,""),IF(AND(ISNUMBER(H2608),H2608&gt;0),M2608/H2608,"")))</f>
        <v/>
      </c>
      <c r="T2608" s="9">
        <f>IF(AND(ISNUMBER(M2608),ISNUMBER(O2608)),IF(M2608&lt;=O2608,"Valor ≤ venal IPTU",""),"")</f>
        <v/>
      </c>
      <c r="U2608" s="10">
        <f>IF(AND(ISNUMBER(M2608),ISNUMBER(N2608)),IF(N2608&gt;0,M2608/N2608,""),"")</f>
        <v/>
      </c>
      <c r="V2608" s="10">
        <f>IF(AND(ISNUMBER(M2608),ISNUMBER(O2608)),IF(O2608&gt;0,M2608/O2608,""),"")</f>
        <v/>
      </c>
      <c r="W2608" s="10">
        <f>IF(AND(ISNUMBER(M2608),ISNUMBER(R2608)),IF(R2608&gt;0,M2608/R2608,""),"")</f>
        <v/>
      </c>
      <c r="X2608" s="10">
        <f>IF(AND(ISNUMBER(Q2608),ISNUMBER(M2608)),IF(M2608&gt;0,Q2608/M2608,""),"")</f>
        <v/>
      </c>
      <c r="Y2608" s="11">
        <f>IF(ISNUMBER(Z2608),YEAR(Z2608),"")</f>
        <v/>
      </c>
      <c r="Z2608" s="12" t="n"/>
      <c r="AA2608" s="12" t="n"/>
      <c r="AI2608" s="12" t="n"/>
      <c r="AJ2608" s="13">
        <f>IF(LEN(TRIM(AF2608))=0,"",HYPERLINK("https://www.google.com/maps/@?api=1&amp;map_action=pano&amp;viewpoint="&amp;SUBSTITUTE(AF2608," ",""),"Abrir Street View"))</f>
        <v/>
      </c>
    </row>
    <row r="2609">
      <c r="H2609" s="6" t="n"/>
      <c r="I2609" s="6" t="n"/>
      <c r="M2609" s="7" t="n"/>
      <c r="N2609" s="7" t="n"/>
      <c r="O2609" s="7" t="n"/>
      <c r="Q2609" s="7" t="n"/>
      <c r="R2609" s="7" t="n"/>
      <c r="S2609" s="8">
        <f>IF(NOT(ISNUMBER(M2609)),"",IF(G2609="Terreno",IF(AND(ISNUMBER(I2609),I2609&gt;0),M2609/I2609,""),IF(AND(ISNUMBER(H2609),H2609&gt;0),M2609/H2609,"")))</f>
        <v/>
      </c>
      <c r="T2609" s="9">
        <f>IF(AND(ISNUMBER(M2609),ISNUMBER(O2609)),IF(M2609&lt;=O2609,"Valor ≤ venal IPTU",""),"")</f>
        <v/>
      </c>
      <c r="U2609" s="10">
        <f>IF(AND(ISNUMBER(M2609),ISNUMBER(N2609)),IF(N2609&gt;0,M2609/N2609,""),"")</f>
        <v/>
      </c>
      <c r="V2609" s="10">
        <f>IF(AND(ISNUMBER(M2609),ISNUMBER(O2609)),IF(O2609&gt;0,M2609/O2609,""),"")</f>
        <v/>
      </c>
      <c r="W2609" s="10">
        <f>IF(AND(ISNUMBER(M2609),ISNUMBER(R2609)),IF(R2609&gt;0,M2609/R2609,""),"")</f>
        <v/>
      </c>
      <c r="X2609" s="10">
        <f>IF(AND(ISNUMBER(Q2609),ISNUMBER(M2609)),IF(M2609&gt;0,Q2609/M2609,""),"")</f>
        <v/>
      </c>
      <c r="Y2609" s="11">
        <f>IF(ISNUMBER(Z2609),YEAR(Z2609),"")</f>
        <v/>
      </c>
      <c r="Z2609" s="12" t="n"/>
      <c r="AA2609" s="12" t="n"/>
      <c r="AI2609" s="12" t="n"/>
      <c r="AJ2609" s="13">
        <f>IF(LEN(TRIM(AF2609))=0,"",HYPERLINK("https://www.google.com/maps/@?api=1&amp;map_action=pano&amp;viewpoint="&amp;SUBSTITUTE(AF2609," ",""),"Abrir Street View"))</f>
        <v/>
      </c>
    </row>
    <row r="2610">
      <c r="H2610" s="6" t="n"/>
      <c r="I2610" s="6" t="n"/>
      <c r="M2610" s="7" t="n"/>
      <c r="N2610" s="7" t="n"/>
      <c r="O2610" s="7" t="n"/>
      <c r="Q2610" s="7" t="n"/>
      <c r="R2610" s="7" t="n"/>
      <c r="S2610" s="8">
        <f>IF(NOT(ISNUMBER(M2610)),"",IF(G2610="Terreno",IF(AND(ISNUMBER(I2610),I2610&gt;0),M2610/I2610,""),IF(AND(ISNUMBER(H2610),H2610&gt;0),M2610/H2610,"")))</f>
        <v/>
      </c>
      <c r="T2610" s="9">
        <f>IF(AND(ISNUMBER(M2610),ISNUMBER(O2610)),IF(M2610&lt;=O2610,"Valor ≤ venal IPTU",""),"")</f>
        <v/>
      </c>
      <c r="U2610" s="10">
        <f>IF(AND(ISNUMBER(M2610),ISNUMBER(N2610)),IF(N2610&gt;0,M2610/N2610,""),"")</f>
        <v/>
      </c>
      <c r="V2610" s="10">
        <f>IF(AND(ISNUMBER(M2610),ISNUMBER(O2610)),IF(O2610&gt;0,M2610/O2610,""),"")</f>
        <v/>
      </c>
      <c r="W2610" s="10">
        <f>IF(AND(ISNUMBER(M2610),ISNUMBER(R2610)),IF(R2610&gt;0,M2610/R2610,""),"")</f>
        <v/>
      </c>
      <c r="X2610" s="10">
        <f>IF(AND(ISNUMBER(Q2610),ISNUMBER(M2610)),IF(M2610&gt;0,Q2610/M2610,""),"")</f>
        <v/>
      </c>
      <c r="Y2610" s="11">
        <f>IF(ISNUMBER(Z2610),YEAR(Z2610),"")</f>
        <v/>
      </c>
      <c r="Z2610" s="12" t="n"/>
      <c r="AA2610" s="12" t="n"/>
      <c r="AI2610" s="12" t="n"/>
      <c r="AJ2610" s="13">
        <f>IF(LEN(TRIM(AF2610))=0,"",HYPERLINK("https://www.google.com/maps/@?api=1&amp;map_action=pano&amp;viewpoint="&amp;SUBSTITUTE(AF2610," ",""),"Abrir Street View"))</f>
        <v/>
      </c>
    </row>
    <row r="2611">
      <c r="H2611" s="6" t="n"/>
      <c r="I2611" s="6" t="n"/>
      <c r="M2611" s="7" t="n"/>
      <c r="N2611" s="7" t="n"/>
      <c r="O2611" s="7" t="n"/>
      <c r="Q2611" s="7" t="n"/>
      <c r="R2611" s="7" t="n"/>
      <c r="S2611" s="8">
        <f>IF(NOT(ISNUMBER(M2611)),"",IF(G2611="Terreno",IF(AND(ISNUMBER(I2611),I2611&gt;0),M2611/I2611,""),IF(AND(ISNUMBER(H2611),H2611&gt;0),M2611/H2611,"")))</f>
        <v/>
      </c>
      <c r="T2611" s="9">
        <f>IF(AND(ISNUMBER(M2611),ISNUMBER(O2611)),IF(M2611&lt;=O2611,"Valor ≤ venal IPTU",""),"")</f>
        <v/>
      </c>
      <c r="U2611" s="10">
        <f>IF(AND(ISNUMBER(M2611),ISNUMBER(N2611)),IF(N2611&gt;0,M2611/N2611,""),"")</f>
        <v/>
      </c>
      <c r="V2611" s="10">
        <f>IF(AND(ISNUMBER(M2611),ISNUMBER(O2611)),IF(O2611&gt;0,M2611/O2611,""),"")</f>
        <v/>
      </c>
      <c r="W2611" s="10">
        <f>IF(AND(ISNUMBER(M2611),ISNUMBER(R2611)),IF(R2611&gt;0,M2611/R2611,""),"")</f>
        <v/>
      </c>
      <c r="X2611" s="10">
        <f>IF(AND(ISNUMBER(Q2611),ISNUMBER(M2611)),IF(M2611&gt;0,Q2611/M2611,""),"")</f>
        <v/>
      </c>
      <c r="Y2611" s="11">
        <f>IF(ISNUMBER(Z2611),YEAR(Z2611),"")</f>
        <v/>
      </c>
      <c r="Z2611" s="12" t="n"/>
      <c r="AA2611" s="12" t="n"/>
      <c r="AI2611" s="12" t="n"/>
      <c r="AJ2611" s="13">
        <f>IF(LEN(TRIM(AF2611))=0,"",HYPERLINK("https://www.google.com/maps/@?api=1&amp;map_action=pano&amp;viewpoint="&amp;SUBSTITUTE(AF2611," ",""),"Abrir Street View"))</f>
        <v/>
      </c>
    </row>
    <row r="2612">
      <c r="H2612" s="6" t="n"/>
      <c r="I2612" s="6" t="n"/>
      <c r="M2612" s="7" t="n"/>
      <c r="N2612" s="7" t="n"/>
      <c r="O2612" s="7" t="n"/>
      <c r="Q2612" s="7" t="n"/>
      <c r="R2612" s="7" t="n"/>
      <c r="S2612" s="8">
        <f>IF(NOT(ISNUMBER(M2612)),"",IF(G2612="Terreno",IF(AND(ISNUMBER(I2612),I2612&gt;0),M2612/I2612,""),IF(AND(ISNUMBER(H2612),H2612&gt;0),M2612/H2612,"")))</f>
        <v/>
      </c>
      <c r="T2612" s="9">
        <f>IF(AND(ISNUMBER(M2612),ISNUMBER(O2612)),IF(M2612&lt;=O2612,"Valor ≤ venal IPTU",""),"")</f>
        <v/>
      </c>
      <c r="U2612" s="10">
        <f>IF(AND(ISNUMBER(M2612),ISNUMBER(N2612)),IF(N2612&gt;0,M2612/N2612,""),"")</f>
        <v/>
      </c>
      <c r="V2612" s="10">
        <f>IF(AND(ISNUMBER(M2612),ISNUMBER(O2612)),IF(O2612&gt;0,M2612/O2612,""),"")</f>
        <v/>
      </c>
      <c r="W2612" s="10">
        <f>IF(AND(ISNUMBER(M2612),ISNUMBER(R2612)),IF(R2612&gt;0,M2612/R2612,""),"")</f>
        <v/>
      </c>
      <c r="X2612" s="10">
        <f>IF(AND(ISNUMBER(Q2612),ISNUMBER(M2612)),IF(M2612&gt;0,Q2612/M2612,""),"")</f>
        <v/>
      </c>
      <c r="Y2612" s="11">
        <f>IF(ISNUMBER(Z2612),YEAR(Z2612),"")</f>
        <v/>
      </c>
      <c r="Z2612" s="12" t="n"/>
      <c r="AA2612" s="12" t="n"/>
      <c r="AI2612" s="12" t="n"/>
      <c r="AJ2612" s="13">
        <f>IF(LEN(TRIM(AF2612))=0,"",HYPERLINK("https://www.google.com/maps/@?api=1&amp;map_action=pano&amp;viewpoint="&amp;SUBSTITUTE(AF2612," ",""),"Abrir Street View"))</f>
        <v/>
      </c>
    </row>
    <row r="2613">
      <c r="H2613" s="6" t="n"/>
      <c r="I2613" s="6" t="n"/>
      <c r="M2613" s="7" t="n"/>
      <c r="N2613" s="7" t="n"/>
      <c r="O2613" s="7" t="n"/>
      <c r="Q2613" s="7" t="n"/>
      <c r="R2613" s="7" t="n"/>
      <c r="S2613" s="8">
        <f>IF(NOT(ISNUMBER(M2613)),"",IF(G2613="Terreno",IF(AND(ISNUMBER(I2613),I2613&gt;0),M2613/I2613,""),IF(AND(ISNUMBER(H2613),H2613&gt;0),M2613/H2613,"")))</f>
        <v/>
      </c>
      <c r="T2613" s="9">
        <f>IF(AND(ISNUMBER(M2613),ISNUMBER(O2613)),IF(M2613&lt;=O2613,"Valor ≤ venal IPTU",""),"")</f>
        <v/>
      </c>
      <c r="U2613" s="10">
        <f>IF(AND(ISNUMBER(M2613),ISNUMBER(N2613)),IF(N2613&gt;0,M2613/N2613,""),"")</f>
        <v/>
      </c>
      <c r="V2613" s="10">
        <f>IF(AND(ISNUMBER(M2613),ISNUMBER(O2613)),IF(O2613&gt;0,M2613/O2613,""),"")</f>
        <v/>
      </c>
      <c r="W2613" s="10">
        <f>IF(AND(ISNUMBER(M2613),ISNUMBER(R2613)),IF(R2613&gt;0,M2613/R2613,""),"")</f>
        <v/>
      </c>
      <c r="X2613" s="10">
        <f>IF(AND(ISNUMBER(Q2613),ISNUMBER(M2613)),IF(M2613&gt;0,Q2613/M2613,""),"")</f>
        <v/>
      </c>
      <c r="Y2613" s="11">
        <f>IF(ISNUMBER(Z2613),YEAR(Z2613),"")</f>
        <v/>
      </c>
      <c r="Z2613" s="12" t="n"/>
      <c r="AA2613" s="12" t="n"/>
      <c r="AI2613" s="12" t="n"/>
      <c r="AJ2613" s="13">
        <f>IF(LEN(TRIM(AF2613))=0,"",HYPERLINK("https://www.google.com/maps/@?api=1&amp;map_action=pano&amp;viewpoint="&amp;SUBSTITUTE(AF2613," ",""),"Abrir Street View"))</f>
        <v/>
      </c>
    </row>
    <row r="2614">
      <c r="H2614" s="6" t="n"/>
      <c r="I2614" s="6" t="n"/>
      <c r="M2614" s="7" t="n"/>
      <c r="N2614" s="7" t="n"/>
      <c r="O2614" s="7" t="n"/>
      <c r="Q2614" s="7" t="n"/>
      <c r="R2614" s="7" t="n"/>
      <c r="S2614" s="8">
        <f>IF(NOT(ISNUMBER(M2614)),"",IF(G2614="Terreno",IF(AND(ISNUMBER(I2614),I2614&gt;0),M2614/I2614,""),IF(AND(ISNUMBER(H2614),H2614&gt;0),M2614/H2614,"")))</f>
        <v/>
      </c>
      <c r="T2614" s="9">
        <f>IF(AND(ISNUMBER(M2614),ISNUMBER(O2614)),IF(M2614&lt;=O2614,"Valor ≤ venal IPTU",""),"")</f>
        <v/>
      </c>
      <c r="U2614" s="10">
        <f>IF(AND(ISNUMBER(M2614),ISNUMBER(N2614)),IF(N2614&gt;0,M2614/N2614,""),"")</f>
        <v/>
      </c>
      <c r="V2614" s="10">
        <f>IF(AND(ISNUMBER(M2614),ISNUMBER(O2614)),IF(O2614&gt;0,M2614/O2614,""),"")</f>
        <v/>
      </c>
      <c r="W2614" s="10">
        <f>IF(AND(ISNUMBER(M2614),ISNUMBER(R2614)),IF(R2614&gt;0,M2614/R2614,""),"")</f>
        <v/>
      </c>
      <c r="X2614" s="10">
        <f>IF(AND(ISNUMBER(Q2614),ISNUMBER(M2614)),IF(M2614&gt;0,Q2614/M2614,""),"")</f>
        <v/>
      </c>
      <c r="Y2614" s="11">
        <f>IF(ISNUMBER(Z2614),YEAR(Z2614),"")</f>
        <v/>
      </c>
      <c r="Z2614" s="12" t="n"/>
      <c r="AA2614" s="12" t="n"/>
      <c r="AI2614" s="12" t="n"/>
      <c r="AJ2614" s="13">
        <f>IF(LEN(TRIM(AF2614))=0,"",HYPERLINK("https://www.google.com/maps/@?api=1&amp;map_action=pano&amp;viewpoint="&amp;SUBSTITUTE(AF2614," ",""),"Abrir Street View"))</f>
        <v/>
      </c>
    </row>
    <row r="2615">
      <c r="H2615" s="6" t="n"/>
      <c r="I2615" s="6" t="n"/>
      <c r="M2615" s="7" t="n"/>
      <c r="N2615" s="7" t="n"/>
      <c r="O2615" s="7" t="n"/>
      <c r="Q2615" s="7" t="n"/>
      <c r="R2615" s="7" t="n"/>
      <c r="S2615" s="8">
        <f>IF(NOT(ISNUMBER(M2615)),"",IF(G2615="Terreno",IF(AND(ISNUMBER(I2615),I2615&gt;0),M2615/I2615,""),IF(AND(ISNUMBER(H2615),H2615&gt;0),M2615/H2615,"")))</f>
        <v/>
      </c>
      <c r="T2615" s="9">
        <f>IF(AND(ISNUMBER(M2615),ISNUMBER(O2615)),IF(M2615&lt;=O2615,"Valor ≤ venal IPTU",""),"")</f>
        <v/>
      </c>
      <c r="U2615" s="10">
        <f>IF(AND(ISNUMBER(M2615),ISNUMBER(N2615)),IF(N2615&gt;0,M2615/N2615,""),"")</f>
        <v/>
      </c>
      <c r="V2615" s="10">
        <f>IF(AND(ISNUMBER(M2615),ISNUMBER(O2615)),IF(O2615&gt;0,M2615/O2615,""),"")</f>
        <v/>
      </c>
      <c r="W2615" s="10">
        <f>IF(AND(ISNUMBER(M2615),ISNUMBER(R2615)),IF(R2615&gt;0,M2615/R2615,""),"")</f>
        <v/>
      </c>
      <c r="X2615" s="10">
        <f>IF(AND(ISNUMBER(Q2615),ISNUMBER(M2615)),IF(M2615&gt;0,Q2615/M2615,""),"")</f>
        <v/>
      </c>
      <c r="Y2615" s="11">
        <f>IF(ISNUMBER(Z2615),YEAR(Z2615),"")</f>
        <v/>
      </c>
      <c r="Z2615" s="12" t="n"/>
      <c r="AA2615" s="12" t="n"/>
      <c r="AI2615" s="12" t="n"/>
      <c r="AJ2615" s="13">
        <f>IF(LEN(TRIM(AF2615))=0,"",HYPERLINK("https://www.google.com/maps/@?api=1&amp;map_action=pano&amp;viewpoint="&amp;SUBSTITUTE(AF2615," ",""),"Abrir Street View"))</f>
        <v/>
      </c>
    </row>
    <row r="2616">
      <c r="H2616" s="6" t="n"/>
      <c r="I2616" s="6" t="n"/>
      <c r="M2616" s="7" t="n"/>
      <c r="N2616" s="7" t="n"/>
      <c r="O2616" s="7" t="n"/>
      <c r="Q2616" s="7" t="n"/>
      <c r="R2616" s="7" t="n"/>
      <c r="S2616" s="8">
        <f>IF(NOT(ISNUMBER(M2616)),"",IF(G2616="Terreno",IF(AND(ISNUMBER(I2616),I2616&gt;0),M2616/I2616,""),IF(AND(ISNUMBER(H2616),H2616&gt;0),M2616/H2616,"")))</f>
        <v/>
      </c>
      <c r="T2616" s="9">
        <f>IF(AND(ISNUMBER(M2616),ISNUMBER(O2616)),IF(M2616&lt;=O2616,"Valor ≤ venal IPTU",""),"")</f>
        <v/>
      </c>
      <c r="U2616" s="10">
        <f>IF(AND(ISNUMBER(M2616),ISNUMBER(N2616)),IF(N2616&gt;0,M2616/N2616,""),"")</f>
        <v/>
      </c>
      <c r="V2616" s="10">
        <f>IF(AND(ISNUMBER(M2616),ISNUMBER(O2616)),IF(O2616&gt;0,M2616/O2616,""),"")</f>
        <v/>
      </c>
      <c r="W2616" s="10">
        <f>IF(AND(ISNUMBER(M2616),ISNUMBER(R2616)),IF(R2616&gt;0,M2616/R2616,""),"")</f>
        <v/>
      </c>
      <c r="X2616" s="10">
        <f>IF(AND(ISNUMBER(Q2616),ISNUMBER(M2616)),IF(M2616&gt;0,Q2616/M2616,""),"")</f>
        <v/>
      </c>
      <c r="Y2616" s="11">
        <f>IF(ISNUMBER(Z2616),YEAR(Z2616),"")</f>
        <v/>
      </c>
      <c r="Z2616" s="12" t="n"/>
      <c r="AA2616" s="12" t="n"/>
      <c r="AI2616" s="12" t="n"/>
      <c r="AJ2616" s="13">
        <f>IF(LEN(TRIM(AF2616))=0,"",HYPERLINK("https://www.google.com/maps/@?api=1&amp;map_action=pano&amp;viewpoint="&amp;SUBSTITUTE(AF2616," ",""),"Abrir Street View"))</f>
        <v/>
      </c>
    </row>
    <row r="2617">
      <c r="H2617" s="6" t="n"/>
      <c r="I2617" s="6" t="n"/>
      <c r="M2617" s="7" t="n"/>
      <c r="N2617" s="7" t="n"/>
      <c r="O2617" s="7" t="n"/>
      <c r="Q2617" s="7" t="n"/>
      <c r="R2617" s="7" t="n"/>
      <c r="S2617" s="8">
        <f>IF(NOT(ISNUMBER(M2617)),"",IF(G2617="Terreno",IF(AND(ISNUMBER(I2617),I2617&gt;0),M2617/I2617,""),IF(AND(ISNUMBER(H2617),H2617&gt;0),M2617/H2617,"")))</f>
        <v/>
      </c>
      <c r="T2617" s="9">
        <f>IF(AND(ISNUMBER(M2617),ISNUMBER(O2617)),IF(M2617&lt;=O2617,"Valor ≤ venal IPTU",""),"")</f>
        <v/>
      </c>
      <c r="U2617" s="10">
        <f>IF(AND(ISNUMBER(M2617),ISNUMBER(N2617)),IF(N2617&gt;0,M2617/N2617,""),"")</f>
        <v/>
      </c>
      <c r="V2617" s="10">
        <f>IF(AND(ISNUMBER(M2617),ISNUMBER(O2617)),IF(O2617&gt;0,M2617/O2617,""),"")</f>
        <v/>
      </c>
      <c r="W2617" s="10">
        <f>IF(AND(ISNUMBER(M2617),ISNUMBER(R2617)),IF(R2617&gt;0,M2617/R2617,""),"")</f>
        <v/>
      </c>
      <c r="X2617" s="10">
        <f>IF(AND(ISNUMBER(Q2617),ISNUMBER(M2617)),IF(M2617&gt;0,Q2617/M2617,""),"")</f>
        <v/>
      </c>
      <c r="Y2617" s="11">
        <f>IF(ISNUMBER(Z2617),YEAR(Z2617),"")</f>
        <v/>
      </c>
      <c r="Z2617" s="12" t="n"/>
      <c r="AA2617" s="12" t="n"/>
      <c r="AI2617" s="12" t="n"/>
      <c r="AJ2617" s="13">
        <f>IF(LEN(TRIM(AF2617))=0,"",HYPERLINK("https://www.google.com/maps/@?api=1&amp;map_action=pano&amp;viewpoint="&amp;SUBSTITUTE(AF2617," ",""),"Abrir Street View"))</f>
        <v/>
      </c>
    </row>
    <row r="2618">
      <c r="H2618" s="6" t="n"/>
      <c r="I2618" s="6" t="n"/>
      <c r="M2618" s="7" t="n"/>
      <c r="N2618" s="7" t="n"/>
      <c r="O2618" s="7" t="n"/>
      <c r="Q2618" s="7" t="n"/>
      <c r="R2618" s="7" t="n"/>
      <c r="S2618" s="8">
        <f>IF(NOT(ISNUMBER(M2618)),"",IF(G2618="Terreno",IF(AND(ISNUMBER(I2618),I2618&gt;0),M2618/I2618,""),IF(AND(ISNUMBER(H2618),H2618&gt;0),M2618/H2618,"")))</f>
        <v/>
      </c>
      <c r="T2618" s="9">
        <f>IF(AND(ISNUMBER(M2618),ISNUMBER(O2618)),IF(M2618&lt;=O2618,"Valor ≤ venal IPTU",""),"")</f>
        <v/>
      </c>
      <c r="U2618" s="10">
        <f>IF(AND(ISNUMBER(M2618),ISNUMBER(N2618)),IF(N2618&gt;0,M2618/N2618,""),"")</f>
        <v/>
      </c>
      <c r="V2618" s="10">
        <f>IF(AND(ISNUMBER(M2618),ISNUMBER(O2618)),IF(O2618&gt;0,M2618/O2618,""),"")</f>
        <v/>
      </c>
      <c r="W2618" s="10">
        <f>IF(AND(ISNUMBER(M2618),ISNUMBER(R2618)),IF(R2618&gt;0,M2618/R2618,""),"")</f>
        <v/>
      </c>
      <c r="X2618" s="10">
        <f>IF(AND(ISNUMBER(Q2618),ISNUMBER(M2618)),IF(M2618&gt;0,Q2618/M2618,""),"")</f>
        <v/>
      </c>
      <c r="Y2618" s="11">
        <f>IF(ISNUMBER(Z2618),YEAR(Z2618),"")</f>
        <v/>
      </c>
      <c r="Z2618" s="12" t="n"/>
      <c r="AA2618" s="12" t="n"/>
      <c r="AI2618" s="12" t="n"/>
      <c r="AJ2618" s="13">
        <f>IF(LEN(TRIM(AF2618))=0,"",HYPERLINK("https://www.google.com/maps/@?api=1&amp;map_action=pano&amp;viewpoint="&amp;SUBSTITUTE(AF2618," ",""),"Abrir Street View"))</f>
        <v/>
      </c>
    </row>
    <row r="2619">
      <c r="H2619" s="6" t="n"/>
      <c r="I2619" s="6" t="n"/>
      <c r="M2619" s="7" t="n"/>
      <c r="N2619" s="7" t="n"/>
      <c r="O2619" s="7" t="n"/>
      <c r="Q2619" s="7" t="n"/>
      <c r="R2619" s="7" t="n"/>
      <c r="S2619" s="8">
        <f>IF(NOT(ISNUMBER(M2619)),"",IF(G2619="Terreno",IF(AND(ISNUMBER(I2619),I2619&gt;0),M2619/I2619,""),IF(AND(ISNUMBER(H2619),H2619&gt;0),M2619/H2619,"")))</f>
        <v/>
      </c>
      <c r="T2619" s="9">
        <f>IF(AND(ISNUMBER(M2619),ISNUMBER(O2619)),IF(M2619&lt;=O2619,"Valor ≤ venal IPTU",""),"")</f>
        <v/>
      </c>
      <c r="U2619" s="10">
        <f>IF(AND(ISNUMBER(M2619),ISNUMBER(N2619)),IF(N2619&gt;0,M2619/N2619,""),"")</f>
        <v/>
      </c>
      <c r="V2619" s="10">
        <f>IF(AND(ISNUMBER(M2619),ISNUMBER(O2619)),IF(O2619&gt;0,M2619/O2619,""),"")</f>
        <v/>
      </c>
      <c r="W2619" s="10">
        <f>IF(AND(ISNUMBER(M2619),ISNUMBER(R2619)),IF(R2619&gt;0,M2619/R2619,""),"")</f>
        <v/>
      </c>
      <c r="X2619" s="10">
        <f>IF(AND(ISNUMBER(Q2619),ISNUMBER(M2619)),IF(M2619&gt;0,Q2619/M2619,""),"")</f>
        <v/>
      </c>
      <c r="Y2619" s="11">
        <f>IF(ISNUMBER(Z2619),YEAR(Z2619),"")</f>
        <v/>
      </c>
      <c r="Z2619" s="12" t="n"/>
      <c r="AA2619" s="12" t="n"/>
      <c r="AI2619" s="12" t="n"/>
      <c r="AJ2619" s="13">
        <f>IF(LEN(TRIM(AF2619))=0,"",HYPERLINK("https://www.google.com/maps/@?api=1&amp;map_action=pano&amp;viewpoint="&amp;SUBSTITUTE(AF2619," ",""),"Abrir Street View"))</f>
        <v/>
      </c>
    </row>
    <row r="2620">
      <c r="H2620" s="6" t="n"/>
      <c r="I2620" s="6" t="n"/>
      <c r="M2620" s="7" t="n"/>
      <c r="N2620" s="7" t="n"/>
      <c r="O2620" s="7" t="n"/>
      <c r="Q2620" s="7" t="n"/>
      <c r="R2620" s="7" t="n"/>
      <c r="S2620" s="8">
        <f>IF(NOT(ISNUMBER(M2620)),"",IF(G2620="Terreno",IF(AND(ISNUMBER(I2620),I2620&gt;0),M2620/I2620,""),IF(AND(ISNUMBER(H2620),H2620&gt;0),M2620/H2620,"")))</f>
        <v/>
      </c>
      <c r="T2620" s="9">
        <f>IF(AND(ISNUMBER(M2620),ISNUMBER(O2620)),IF(M2620&lt;=O2620,"Valor ≤ venal IPTU",""),"")</f>
        <v/>
      </c>
      <c r="U2620" s="10">
        <f>IF(AND(ISNUMBER(M2620),ISNUMBER(N2620)),IF(N2620&gt;0,M2620/N2620,""),"")</f>
        <v/>
      </c>
      <c r="V2620" s="10">
        <f>IF(AND(ISNUMBER(M2620),ISNUMBER(O2620)),IF(O2620&gt;0,M2620/O2620,""),"")</f>
        <v/>
      </c>
      <c r="W2620" s="10">
        <f>IF(AND(ISNUMBER(M2620),ISNUMBER(R2620)),IF(R2620&gt;0,M2620/R2620,""),"")</f>
        <v/>
      </c>
      <c r="X2620" s="10">
        <f>IF(AND(ISNUMBER(Q2620),ISNUMBER(M2620)),IF(M2620&gt;0,Q2620/M2620,""),"")</f>
        <v/>
      </c>
      <c r="Y2620" s="11">
        <f>IF(ISNUMBER(Z2620),YEAR(Z2620),"")</f>
        <v/>
      </c>
      <c r="Z2620" s="12" t="n"/>
      <c r="AA2620" s="12" t="n"/>
      <c r="AI2620" s="12" t="n"/>
      <c r="AJ2620" s="13">
        <f>IF(LEN(TRIM(AF2620))=0,"",HYPERLINK("https://www.google.com/maps/@?api=1&amp;map_action=pano&amp;viewpoint="&amp;SUBSTITUTE(AF2620," ",""),"Abrir Street View"))</f>
        <v/>
      </c>
    </row>
    <row r="2621">
      <c r="H2621" s="6" t="n"/>
      <c r="I2621" s="6" t="n"/>
      <c r="M2621" s="7" t="n"/>
      <c r="N2621" s="7" t="n"/>
      <c r="O2621" s="7" t="n"/>
      <c r="Q2621" s="7" t="n"/>
      <c r="R2621" s="7" t="n"/>
      <c r="S2621" s="8">
        <f>IF(NOT(ISNUMBER(M2621)),"",IF(G2621="Terreno",IF(AND(ISNUMBER(I2621),I2621&gt;0),M2621/I2621,""),IF(AND(ISNUMBER(H2621),H2621&gt;0),M2621/H2621,"")))</f>
        <v/>
      </c>
      <c r="T2621" s="9">
        <f>IF(AND(ISNUMBER(M2621),ISNUMBER(O2621)),IF(M2621&lt;=O2621,"Valor ≤ venal IPTU",""),"")</f>
        <v/>
      </c>
      <c r="U2621" s="10">
        <f>IF(AND(ISNUMBER(M2621),ISNUMBER(N2621)),IF(N2621&gt;0,M2621/N2621,""),"")</f>
        <v/>
      </c>
      <c r="V2621" s="10">
        <f>IF(AND(ISNUMBER(M2621),ISNUMBER(O2621)),IF(O2621&gt;0,M2621/O2621,""),"")</f>
        <v/>
      </c>
      <c r="W2621" s="10">
        <f>IF(AND(ISNUMBER(M2621),ISNUMBER(R2621)),IF(R2621&gt;0,M2621/R2621,""),"")</f>
        <v/>
      </c>
      <c r="X2621" s="10">
        <f>IF(AND(ISNUMBER(Q2621),ISNUMBER(M2621)),IF(M2621&gt;0,Q2621/M2621,""),"")</f>
        <v/>
      </c>
      <c r="Y2621" s="11">
        <f>IF(ISNUMBER(Z2621),YEAR(Z2621),"")</f>
        <v/>
      </c>
      <c r="Z2621" s="12" t="n"/>
      <c r="AA2621" s="12" t="n"/>
      <c r="AI2621" s="12" t="n"/>
      <c r="AJ2621" s="13">
        <f>IF(LEN(TRIM(AF2621))=0,"",HYPERLINK("https://www.google.com/maps/@?api=1&amp;map_action=pano&amp;viewpoint="&amp;SUBSTITUTE(AF2621," ",""),"Abrir Street View"))</f>
        <v/>
      </c>
    </row>
    <row r="2622">
      <c r="H2622" s="6" t="n"/>
      <c r="I2622" s="6" t="n"/>
      <c r="M2622" s="7" t="n"/>
      <c r="N2622" s="7" t="n"/>
      <c r="O2622" s="7" t="n"/>
      <c r="Q2622" s="7" t="n"/>
      <c r="R2622" s="7" t="n"/>
      <c r="S2622" s="8">
        <f>IF(NOT(ISNUMBER(M2622)),"",IF(G2622="Terreno",IF(AND(ISNUMBER(I2622),I2622&gt;0),M2622/I2622,""),IF(AND(ISNUMBER(H2622),H2622&gt;0),M2622/H2622,"")))</f>
        <v/>
      </c>
      <c r="T2622" s="9">
        <f>IF(AND(ISNUMBER(M2622),ISNUMBER(O2622)),IF(M2622&lt;=O2622,"Valor ≤ venal IPTU",""),"")</f>
        <v/>
      </c>
      <c r="U2622" s="10">
        <f>IF(AND(ISNUMBER(M2622),ISNUMBER(N2622)),IF(N2622&gt;0,M2622/N2622,""),"")</f>
        <v/>
      </c>
      <c r="V2622" s="10">
        <f>IF(AND(ISNUMBER(M2622),ISNUMBER(O2622)),IF(O2622&gt;0,M2622/O2622,""),"")</f>
        <v/>
      </c>
      <c r="W2622" s="10">
        <f>IF(AND(ISNUMBER(M2622),ISNUMBER(R2622)),IF(R2622&gt;0,M2622/R2622,""),"")</f>
        <v/>
      </c>
      <c r="X2622" s="10">
        <f>IF(AND(ISNUMBER(Q2622),ISNUMBER(M2622)),IF(M2622&gt;0,Q2622/M2622,""),"")</f>
        <v/>
      </c>
      <c r="Y2622" s="11">
        <f>IF(ISNUMBER(Z2622),YEAR(Z2622),"")</f>
        <v/>
      </c>
      <c r="Z2622" s="12" t="n"/>
      <c r="AA2622" s="12" t="n"/>
      <c r="AI2622" s="12" t="n"/>
      <c r="AJ2622" s="13">
        <f>IF(LEN(TRIM(AF2622))=0,"",HYPERLINK("https://www.google.com/maps/@?api=1&amp;map_action=pano&amp;viewpoint="&amp;SUBSTITUTE(AF2622," ",""),"Abrir Street View"))</f>
        <v/>
      </c>
    </row>
    <row r="2623">
      <c r="H2623" s="6" t="n"/>
      <c r="I2623" s="6" t="n"/>
      <c r="M2623" s="7" t="n"/>
      <c r="N2623" s="7" t="n"/>
      <c r="O2623" s="7" t="n"/>
      <c r="Q2623" s="7" t="n"/>
      <c r="R2623" s="7" t="n"/>
      <c r="S2623" s="8">
        <f>IF(NOT(ISNUMBER(M2623)),"",IF(G2623="Terreno",IF(AND(ISNUMBER(I2623),I2623&gt;0),M2623/I2623,""),IF(AND(ISNUMBER(H2623),H2623&gt;0),M2623/H2623,"")))</f>
        <v/>
      </c>
      <c r="T2623" s="9">
        <f>IF(AND(ISNUMBER(M2623),ISNUMBER(O2623)),IF(M2623&lt;=O2623,"Valor ≤ venal IPTU",""),"")</f>
        <v/>
      </c>
      <c r="U2623" s="10">
        <f>IF(AND(ISNUMBER(M2623),ISNUMBER(N2623)),IF(N2623&gt;0,M2623/N2623,""),"")</f>
        <v/>
      </c>
      <c r="V2623" s="10">
        <f>IF(AND(ISNUMBER(M2623),ISNUMBER(O2623)),IF(O2623&gt;0,M2623/O2623,""),"")</f>
        <v/>
      </c>
      <c r="W2623" s="10">
        <f>IF(AND(ISNUMBER(M2623),ISNUMBER(R2623)),IF(R2623&gt;0,M2623/R2623,""),"")</f>
        <v/>
      </c>
      <c r="X2623" s="10">
        <f>IF(AND(ISNUMBER(Q2623),ISNUMBER(M2623)),IF(M2623&gt;0,Q2623/M2623,""),"")</f>
        <v/>
      </c>
      <c r="Y2623" s="11">
        <f>IF(ISNUMBER(Z2623),YEAR(Z2623),"")</f>
        <v/>
      </c>
      <c r="Z2623" s="12" t="n"/>
      <c r="AA2623" s="12" t="n"/>
      <c r="AI2623" s="12" t="n"/>
      <c r="AJ2623" s="13">
        <f>IF(LEN(TRIM(AF2623))=0,"",HYPERLINK("https://www.google.com/maps/@?api=1&amp;map_action=pano&amp;viewpoint="&amp;SUBSTITUTE(AF2623," ",""),"Abrir Street View"))</f>
        <v/>
      </c>
    </row>
    <row r="2624">
      <c r="H2624" s="6" t="n"/>
      <c r="I2624" s="6" t="n"/>
      <c r="M2624" s="7" t="n"/>
      <c r="N2624" s="7" t="n"/>
      <c r="O2624" s="7" t="n"/>
      <c r="Q2624" s="7" t="n"/>
      <c r="R2624" s="7" t="n"/>
      <c r="S2624" s="8">
        <f>IF(NOT(ISNUMBER(M2624)),"",IF(G2624="Terreno",IF(AND(ISNUMBER(I2624),I2624&gt;0),M2624/I2624,""),IF(AND(ISNUMBER(H2624),H2624&gt;0),M2624/H2624,"")))</f>
        <v/>
      </c>
      <c r="T2624" s="9">
        <f>IF(AND(ISNUMBER(M2624),ISNUMBER(O2624)),IF(M2624&lt;=O2624,"Valor ≤ venal IPTU",""),"")</f>
        <v/>
      </c>
      <c r="U2624" s="10">
        <f>IF(AND(ISNUMBER(M2624),ISNUMBER(N2624)),IF(N2624&gt;0,M2624/N2624,""),"")</f>
        <v/>
      </c>
      <c r="V2624" s="10">
        <f>IF(AND(ISNUMBER(M2624),ISNUMBER(O2624)),IF(O2624&gt;0,M2624/O2624,""),"")</f>
        <v/>
      </c>
      <c r="W2624" s="10">
        <f>IF(AND(ISNUMBER(M2624),ISNUMBER(R2624)),IF(R2624&gt;0,M2624/R2624,""),"")</f>
        <v/>
      </c>
      <c r="X2624" s="10">
        <f>IF(AND(ISNUMBER(Q2624),ISNUMBER(M2624)),IF(M2624&gt;0,Q2624/M2624,""),"")</f>
        <v/>
      </c>
      <c r="Y2624" s="11">
        <f>IF(ISNUMBER(Z2624),YEAR(Z2624),"")</f>
        <v/>
      </c>
      <c r="Z2624" s="12" t="n"/>
      <c r="AA2624" s="12" t="n"/>
      <c r="AI2624" s="12" t="n"/>
      <c r="AJ2624" s="13">
        <f>IF(LEN(TRIM(AF2624))=0,"",HYPERLINK("https://www.google.com/maps/@?api=1&amp;map_action=pano&amp;viewpoint="&amp;SUBSTITUTE(AF2624," ",""),"Abrir Street View"))</f>
        <v/>
      </c>
    </row>
    <row r="2625">
      <c r="H2625" s="6" t="n"/>
      <c r="I2625" s="6" t="n"/>
      <c r="M2625" s="7" t="n"/>
      <c r="N2625" s="7" t="n"/>
      <c r="O2625" s="7" t="n"/>
      <c r="Q2625" s="7" t="n"/>
      <c r="R2625" s="7" t="n"/>
      <c r="S2625" s="8">
        <f>IF(NOT(ISNUMBER(M2625)),"",IF(G2625="Terreno",IF(AND(ISNUMBER(I2625),I2625&gt;0),M2625/I2625,""),IF(AND(ISNUMBER(H2625),H2625&gt;0),M2625/H2625,"")))</f>
        <v/>
      </c>
      <c r="T2625" s="9">
        <f>IF(AND(ISNUMBER(M2625),ISNUMBER(O2625)),IF(M2625&lt;=O2625,"Valor ≤ venal IPTU",""),"")</f>
        <v/>
      </c>
      <c r="U2625" s="10">
        <f>IF(AND(ISNUMBER(M2625),ISNUMBER(N2625)),IF(N2625&gt;0,M2625/N2625,""),"")</f>
        <v/>
      </c>
      <c r="V2625" s="10">
        <f>IF(AND(ISNUMBER(M2625),ISNUMBER(O2625)),IF(O2625&gt;0,M2625/O2625,""),"")</f>
        <v/>
      </c>
      <c r="W2625" s="10">
        <f>IF(AND(ISNUMBER(M2625),ISNUMBER(R2625)),IF(R2625&gt;0,M2625/R2625,""),"")</f>
        <v/>
      </c>
      <c r="X2625" s="10">
        <f>IF(AND(ISNUMBER(Q2625),ISNUMBER(M2625)),IF(M2625&gt;0,Q2625/M2625,""),"")</f>
        <v/>
      </c>
      <c r="Y2625" s="11">
        <f>IF(ISNUMBER(Z2625),YEAR(Z2625),"")</f>
        <v/>
      </c>
      <c r="Z2625" s="12" t="n"/>
      <c r="AA2625" s="12" t="n"/>
      <c r="AI2625" s="12" t="n"/>
      <c r="AJ2625" s="13">
        <f>IF(LEN(TRIM(AF2625))=0,"",HYPERLINK("https://www.google.com/maps/@?api=1&amp;map_action=pano&amp;viewpoint="&amp;SUBSTITUTE(AF2625," ",""),"Abrir Street View"))</f>
        <v/>
      </c>
    </row>
    <row r="2626">
      <c r="H2626" s="6" t="n"/>
      <c r="I2626" s="6" t="n"/>
      <c r="M2626" s="7" t="n"/>
      <c r="N2626" s="7" t="n"/>
      <c r="O2626" s="7" t="n"/>
      <c r="Q2626" s="7" t="n"/>
      <c r="R2626" s="7" t="n"/>
      <c r="S2626" s="8">
        <f>IF(NOT(ISNUMBER(M2626)),"",IF(G2626="Terreno",IF(AND(ISNUMBER(I2626),I2626&gt;0),M2626/I2626,""),IF(AND(ISNUMBER(H2626),H2626&gt;0),M2626/H2626,"")))</f>
        <v/>
      </c>
      <c r="T2626" s="9">
        <f>IF(AND(ISNUMBER(M2626),ISNUMBER(O2626)),IF(M2626&lt;=O2626,"Valor ≤ venal IPTU",""),"")</f>
        <v/>
      </c>
      <c r="U2626" s="10">
        <f>IF(AND(ISNUMBER(M2626),ISNUMBER(N2626)),IF(N2626&gt;0,M2626/N2626,""),"")</f>
        <v/>
      </c>
      <c r="V2626" s="10">
        <f>IF(AND(ISNUMBER(M2626),ISNUMBER(O2626)),IF(O2626&gt;0,M2626/O2626,""),"")</f>
        <v/>
      </c>
      <c r="W2626" s="10">
        <f>IF(AND(ISNUMBER(M2626),ISNUMBER(R2626)),IF(R2626&gt;0,M2626/R2626,""),"")</f>
        <v/>
      </c>
      <c r="X2626" s="10">
        <f>IF(AND(ISNUMBER(Q2626),ISNUMBER(M2626)),IF(M2626&gt;0,Q2626/M2626,""),"")</f>
        <v/>
      </c>
      <c r="Y2626" s="11">
        <f>IF(ISNUMBER(Z2626),YEAR(Z2626),"")</f>
        <v/>
      </c>
      <c r="Z2626" s="12" t="n"/>
      <c r="AA2626" s="12" t="n"/>
      <c r="AI2626" s="12" t="n"/>
      <c r="AJ2626" s="13">
        <f>IF(LEN(TRIM(AF2626))=0,"",HYPERLINK("https://www.google.com/maps/@?api=1&amp;map_action=pano&amp;viewpoint="&amp;SUBSTITUTE(AF2626," ",""),"Abrir Street View"))</f>
        <v/>
      </c>
    </row>
    <row r="2627">
      <c r="H2627" s="6" t="n"/>
      <c r="I2627" s="6" t="n"/>
      <c r="M2627" s="7" t="n"/>
      <c r="N2627" s="7" t="n"/>
      <c r="O2627" s="7" t="n"/>
      <c r="Q2627" s="7" t="n"/>
      <c r="R2627" s="7" t="n"/>
      <c r="S2627" s="8">
        <f>IF(NOT(ISNUMBER(M2627)),"",IF(G2627="Terreno",IF(AND(ISNUMBER(I2627),I2627&gt;0),M2627/I2627,""),IF(AND(ISNUMBER(H2627),H2627&gt;0),M2627/H2627,"")))</f>
        <v/>
      </c>
      <c r="T2627" s="9">
        <f>IF(AND(ISNUMBER(M2627),ISNUMBER(O2627)),IF(M2627&lt;=O2627,"Valor ≤ venal IPTU",""),"")</f>
        <v/>
      </c>
      <c r="U2627" s="10">
        <f>IF(AND(ISNUMBER(M2627),ISNUMBER(N2627)),IF(N2627&gt;0,M2627/N2627,""),"")</f>
        <v/>
      </c>
      <c r="V2627" s="10">
        <f>IF(AND(ISNUMBER(M2627),ISNUMBER(O2627)),IF(O2627&gt;0,M2627/O2627,""),"")</f>
        <v/>
      </c>
      <c r="W2627" s="10">
        <f>IF(AND(ISNUMBER(M2627),ISNUMBER(R2627)),IF(R2627&gt;0,M2627/R2627,""),"")</f>
        <v/>
      </c>
      <c r="X2627" s="10">
        <f>IF(AND(ISNUMBER(Q2627),ISNUMBER(M2627)),IF(M2627&gt;0,Q2627/M2627,""),"")</f>
        <v/>
      </c>
      <c r="Y2627" s="11">
        <f>IF(ISNUMBER(Z2627),YEAR(Z2627),"")</f>
        <v/>
      </c>
      <c r="Z2627" s="12" t="n"/>
      <c r="AA2627" s="12" t="n"/>
      <c r="AI2627" s="12" t="n"/>
      <c r="AJ2627" s="13">
        <f>IF(LEN(TRIM(AF2627))=0,"",HYPERLINK("https://www.google.com/maps/@?api=1&amp;map_action=pano&amp;viewpoint="&amp;SUBSTITUTE(AF2627," ",""),"Abrir Street View"))</f>
        <v/>
      </c>
    </row>
    <row r="2628">
      <c r="H2628" s="6" t="n"/>
      <c r="I2628" s="6" t="n"/>
      <c r="M2628" s="7" t="n"/>
      <c r="N2628" s="7" t="n"/>
      <c r="O2628" s="7" t="n"/>
      <c r="Q2628" s="7" t="n"/>
      <c r="R2628" s="7" t="n"/>
      <c r="S2628" s="8">
        <f>IF(NOT(ISNUMBER(M2628)),"",IF(G2628="Terreno",IF(AND(ISNUMBER(I2628),I2628&gt;0),M2628/I2628,""),IF(AND(ISNUMBER(H2628),H2628&gt;0),M2628/H2628,"")))</f>
        <v/>
      </c>
      <c r="T2628" s="9">
        <f>IF(AND(ISNUMBER(M2628),ISNUMBER(O2628)),IF(M2628&lt;=O2628,"Valor ≤ venal IPTU",""),"")</f>
        <v/>
      </c>
      <c r="U2628" s="10">
        <f>IF(AND(ISNUMBER(M2628),ISNUMBER(N2628)),IF(N2628&gt;0,M2628/N2628,""),"")</f>
        <v/>
      </c>
      <c r="V2628" s="10">
        <f>IF(AND(ISNUMBER(M2628),ISNUMBER(O2628)),IF(O2628&gt;0,M2628/O2628,""),"")</f>
        <v/>
      </c>
      <c r="W2628" s="10">
        <f>IF(AND(ISNUMBER(M2628),ISNUMBER(R2628)),IF(R2628&gt;0,M2628/R2628,""),"")</f>
        <v/>
      </c>
      <c r="X2628" s="10">
        <f>IF(AND(ISNUMBER(Q2628),ISNUMBER(M2628)),IF(M2628&gt;0,Q2628/M2628,""),"")</f>
        <v/>
      </c>
      <c r="Y2628" s="11">
        <f>IF(ISNUMBER(Z2628),YEAR(Z2628),"")</f>
        <v/>
      </c>
      <c r="Z2628" s="12" t="n"/>
      <c r="AA2628" s="12" t="n"/>
      <c r="AI2628" s="12" t="n"/>
      <c r="AJ2628" s="13">
        <f>IF(LEN(TRIM(AF2628))=0,"",HYPERLINK("https://www.google.com/maps/@?api=1&amp;map_action=pano&amp;viewpoint="&amp;SUBSTITUTE(AF2628," ",""),"Abrir Street View"))</f>
        <v/>
      </c>
    </row>
    <row r="2629">
      <c r="H2629" s="6" t="n"/>
      <c r="I2629" s="6" t="n"/>
      <c r="M2629" s="7" t="n"/>
      <c r="N2629" s="7" t="n"/>
      <c r="O2629" s="7" t="n"/>
      <c r="Q2629" s="7" t="n"/>
      <c r="R2629" s="7" t="n"/>
      <c r="S2629" s="8">
        <f>IF(NOT(ISNUMBER(M2629)),"",IF(G2629="Terreno",IF(AND(ISNUMBER(I2629),I2629&gt;0),M2629/I2629,""),IF(AND(ISNUMBER(H2629),H2629&gt;0),M2629/H2629,"")))</f>
        <v/>
      </c>
      <c r="T2629" s="9">
        <f>IF(AND(ISNUMBER(M2629),ISNUMBER(O2629)),IF(M2629&lt;=O2629,"Valor ≤ venal IPTU",""),"")</f>
        <v/>
      </c>
      <c r="U2629" s="10">
        <f>IF(AND(ISNUMBER(M2629),ISNUMBER(N2629)),IF(N2629&gt;0,M2629/N2629,""),"")</f>
        <v/>
      </c>
      <c r="V2629" s="10">
        <f>IF(AND(ISNUMBER(M2629),ISNUMBER(O2629)),IF(O2629&gt;0,M2629/O2629,""),"")</f>
        <v/>
      </c>
      <c r="W2629" s="10">
        <f>IF(AND(ISNUMBER(M2629),ISNUMBER(R2629)),IF(R2629&gt;0,M2629/R2629,""),"")</f>
        <v/>
      </c>
      <c r="X2629" s="10">
        <f>IF(AND(ISNUMBER(Q2629),ISNUMBER(M2629)),IF(M2629&gt;0,Q2629/M2629,""),"")</f>
        <v/>
      </c>
      <c r="Y2629" s="11">
        <f>IF(ISNUMBER(Z2629),YEAR(Z2629),"")</f>
        <v/>
      </c>
      <c r="Z2629" s="12" t="n"/>
      <c r="AA2629" s="12" t="n"/>
      <c r="AI2629" s="12" t="n"/>
      <c r="AJ2629" s="13">
        <f>IF(LEN(TRIM(AF2629))=0,"",HYPERLINK("https://www.google.com/maps/@?api=1&amp;map_action=pano&amp;viewpoint="&amp;SUBSTITUTE(AF2629," ",""),"Abrir Street View"))</f>
        <v/>
      </c>
    </row>
    <row r="2630">
      <c r="H2630" s="6" t="n"/>
      <c r="I2630" s="6" t="n"/>
      <c r="M2630" s="7" t="n"/>
      <c r="N2630" s="7" t="n"/>
      <c r="O2630" s="7" t="n"/>
      <c r="Q2630" s="7" t="n"/>
      <c r="R2630" s="7" t="n"/>
      <c r="S2630" s="8">
        <f>IF(NOT(ISNUMBER(M2630)),"",IF(G2630="Terreno",IF(AND(ISNUMBER(I2630),I2630&gt;0),M2630/I2630,""),IF(AND(ISNUMBER(H2630),H2630&gt;0),M2630/H2630,"")))</f>
        <v/>
      </c>
      <c r="T2630" s="9">
        <f>IF(AND(ISNUMBER(M2630),ISNUMBER(O2630)),IF(M2630&lt;=O2630,"Valor ≤ venal IPTU",""),"")</f>
        <v/>
      </c>
      <c r="U2630" s="10">
        <f>IF(AND(ISNUMBER(M2630),ISNUMBER(N2630)),IF(N2630&gt;0,M2630/N2630,""),"")</f>
        <v/>
      </c>
      <c r="V2630" s="10">
        <f>IF(AND(ISNUMBER(M2630),ISNUMBER(O2630)),IF(O2630&gt;0,M2630/O2630,""),"")</f>
        <v/>
      </c>
      <c r="W2630" s="10">
        <f>IF(AND(ISNUMBER(M2630),ISNUMBER(R2630)),IF(R2630&gt;0,M2630/R2630,""),"")</f>
        <v/>
      </c>
      <c r="X2630" s="10">
        <f>IF(AND(ISNUMBER(Q2630),ISNUMBER(M2630)),IF(M2630&gt;0,Q2630/M2630,""),"")</f>
        <v/>
      </c>
      <c r="Y2630" s="11">
        <f>IF(ISNUMBER(Z2630),YEAR(Z2630),"")</f>
        <v/>
      </c>
      <c r="Z2630" s="12" t="n"/>
      <c r="AA2630" s="12" t="n"/>
      <c r="AI2630" s="12" t="n"/>
      <c r="AJ2630" s="13">
        <f>IF(LEN(TRIM(AF2630))=0,"",HYPERLINK("https://www.google.com/maps/@?api=1&amp;map_action=pano&amp;viewpoint="&amp;SUBSTITUTE(AF2630," ",""),"Abrir Street View"))</f>
        <v/>
      </c>
    </row>
    <row r="2631">
      <c r="H2631" s="6" t="n"/>
      <c r="I2631" s="6" t="n"/>
      <c r="M2631" s="7" t="n"/>
      <c r="N2631" s="7" t="n"/>
      <c r="O2631" s="7" t="n"/>
      <c r="Q2631" s="7" t="n"/>
      <c r="R2631" s="7" t="n"/>
      <c r="S2631" s="8">
        <f>IF(NOT(ISNUMBER(M2631)),"",IF(G2631="Terreno",IF(AND(ISNUMBER(I2631),I2631&gt;0),M2631/I2631,""),IF(AND(ISNUMBER(H2631),H2631&gt;0),M2631/H2631,"")))</f>
        <v/>
      </c>
      <c r="T2631" s="9">
        <f>IF(AND(ISNUMBER(M2631),ISNUMBER(O2631)),IF(M2631&lt;=O2631,"Valor ≤ venal IPTU",""),"")</f>
        <v/>
      </c>
      <c r="U2631" s="10">
        <f>IF(AND(ISNUMBER(M2631),ISNUMBER(N2631)),IF(N2631&gt;0,M2631/N2631,""),"")</f>
        <v/>
      </c>
      <c r="V2631" s="10">
        <f>IF(AND(ISNUMBER(M2631),ISNUMBER(O2631)),IF(O2631&gt;0,M2631/O2631,""),"")</f>
        <v/>
      </c>
      <c r="W2631" s="10">
        <f>IF(AND(ISNUMBER(M2631),ISNUMBER(R2631)),IF(R2631&gt;0,M2631/R2631,""),"")</f>
        <v/>
      </c>
      <c r="X2631" s="10">
        <f>IF(AND(ISNUMBER(Q2631),ISNUMBER(M2631)),IF(M2631&gt;0,Q2631/M2631,""),"")</f>
        <v/>
      </c>
      <c r="Y2631" s="11">
        <f>IF(ISNUMBER(Z2631),YEAR(Z2631),"")</f>
        <v/>
      </c>
      <c r="Z2631" s="12" t="n"/>
      <c r="AA2631" s="12" t="n"/>
      <c r="AI2631" s="12" t="n"/>
      <c r="AJ2631" s="13">
        <f>IF(LEN(TRIM(AF2631))=0,"",HYPERLINK("https://www.google.com/maps/@?api=1&amp;map_action=pano&amp;viewpoint="&amp;SUBSTITUTE(AF2631," ",""),"Abrir Street View"))</f>
        <v/>
      </c>
    </row>
    <row r="2632">
      <c r="H2632" s="6" t="n"/>
      <c r="I2632" s="6" t="n"/>
      <c r="M2632" s="7" t="n"/>
      <c r="N2632" s="7" t="n"/>
      <c r="O2632" s="7" t="n"/>
      <c r="Q2632" s="7" t="n"/>
      <c r="R2632" s="7" t="n"/>
      <c r="S2632" s="8">
        <f>IF(NOT(ISNUMBER(M2632)),"",IF(G2632="Terreno",IF(AND(ISNUMBER(I2632),I2632&gt;0),M2632/I2632,""),IF(AND(ISNUMBER(H2632),H2632&gt;0),M2632/H2632,"")))</f>
        <v/>
      </c>
      <c r="T2632" s="9">
        <f>IF(AND(ISNUMBER(M2632),ISNUMBER(O2632)),IF(M2632&lt;=O2632,"Valor ≤ venal IPTU",""),"")</f>
        <v/>
      </c>
      <c r="U2632" s="10">
        <f>IF(AND(ISNUMBER(M2632),ISNUMBER(N2632)),IF(N2632&gt;0,M2632/N2632,""),"")</f>
        <v/>
      </c>
      <c r="V2632" s="10">
        <f>IF(AND(ISNUMBER(M2632),ISNUMBER(O2632)),IF(O2632&gt;0,M2632/O2632,""),"")</f>
        <v/>
      </c>
      <c r="W2632" s="10">
        <f>IF(AND(ISNUMBER(M2632),ISNUMBER(R2632)),IF(R2632&gt;0,M2632/R2632,""),"")</f>
        <v/>
      </c>
      <c r="X2632" s="10">
        <f>IF(AND(ISNUMBER(Q2632),ISNUMBER(M2632)),IF(M2632&gt;0,Q2632/M2632,""),"")</f>
        <v/>
      </c>
      <c r="Y2632" s="11">
        <f>IF(ISNUMBER(Z2632),YEAR(Z2632),"")</f>
        <v/>
      </c>
      <c r="Z2632" s="12" t="n"/>
      <c r="AA2632" s="12" t="n"/>
      <c r="AI2632" s="12" t="n"/>
      <c r="AJ2632" s="13">
        <f>IF(LEN(TRIM(AF2632))=0,"",HYPERLINK("https://www.google.com/maps/@?api=1&amp;map_action=pano&amp;viewpoint="&amp;SUBSTITUTE(AF2632," ",""),"Abrir Street View"))</f>
        <v/>
      </c>
    </row>
    <row r="2633">
      <c r="H2633" s="6" t="n"/>
      <c r="I2633" s="6" t="n"/>
      <c r="M2633" s="7" t="n"/>
      <c r="N2633" s="7" t="n"/>
      <c r="O2633" s="7" t="n"/>
      <c r="Q2633" s="7" t="n"/>
      <c r="R2633" s="7" t="n"/>
      <c r="S2633" s="8">
        <f>IF(NOT(ISNUMBER(M2633)),"",IF(G2633="Terreno",IF(AND(ISNUMBER(I2633),I2633&gt;0),M2633/I2633,""),IF(AND(ISNUMBER(H2633),H2633&gt;0),M2633/H2633,"")))</f>
        <v/>
      </c>
      <c r="T2633" s="9">
        <f>IF(AND(ISNUMBER(M2633),ISNUMBER(O2633)),IF(M2633&lt;=O2633,"Valor ≤ venal IPTU",""),"")</f>
        <v/>
      </c>
      <c r="U2633" s="10">
        <f>IF(AND(ISNUMBER(M2633),ISNUMBER(N2633)),IF(N2633&gt;0,M2633/N2633,""),"")</f>
        <v/>
      </c>
      <c r="V2633" s="10">
        <f>IF(AND(ISNUMBER(M2633),ISNUMBER(O2633)),IF(O2633&gt;0,M2633/O2633,""),"")</f>
        <v/>
      </c>
      <c r="W2633" s="10">
        <f>IF(AND(ISNUMBER(M2633),ISNUMBER(R2633)),IF(R2633&gt;0,M2633/R2633,""),"")</f>
        <v/>
      </c>
      <c r="X2633" s="10">
        <f>IF(AND(ISNUMBER(Q2633),ISNUMBER(M2633)),IF(M2633&gt;0,Q2633/M2633,""),"")</f>
        <v/>
      </c>
      <c r="Y2633" s="11">
        <f>IF(ISNUMBER(Z2633),YEAR(Z2633),"")</f>
        <v/>
      </c>
      <c r="Z2633" s="12" t="n"/>
      <c r="AA2633" s="12" t="n"/>
      <c r="AI2633" s="12" t="n"/>
      <c r="AJ2633" s="13">
        <f>IF(LEN(TRIM(AF2633))=0,"",HYPERLINK("https://www.google.com/maps/@?api=1&amp;map_action=pano&amp;viewpoint="&amp;SUBSTITUTE(AF2633," ",""),"Abrir Street View"))</f>
        <v/>
      </c>
    </row>
    <row r="2634">
      <c r="H2634" s="6" t="n"/>
      <c r="I2634" s="6" t="n"/>
      <c r="M2634" s="7" t="n"/>
      <c r="N2634" s="7" t="n"/>
      <c r="O2634" s="7" t="n"/>
      <c r="Q2634" s="7" t="n"/>
      <c r="R2634" s="7" t="n"/>
      <c r="S2634" s="8">
        <f>IF(NOT(ISNUMBER(M2634)),"",IF(G2634="Terreno",IF(AND(ISNUMBER(I2634),I2634&gt;0),M2634/I2634,""),IF(AND(ISNUMBER(H2634),H2634&gt;0),M2634/H2634,"")))</f>
        <v/>
      </c>
      <c r="T2634" s="9">
        <f>IF(AND(ISNUMBER(M2634),ISNUMBER(O2634)),IF(M2634&lt;=O2634,"Valor ≤ venal IPTU",""),"")</f>
        <v/>
      </c>
      <c r="U2634" s="10">
        <f>IF(AND(ISNUMBER(M2634),ISNUMBER(N2634)),IF(N2634&gt;0,M2634/N2634,""),"")</f>
        <v/>
      </c>
      <c r="V2634" s="10">
        <f>IF(AND(ISNUMBER(M2634),ISNUMBER(O2634)),IF(O2634&gt;0,M2634/O2634,""),"")</f>
        <v/>
      </c>
      <c r="W2634" s="10">
        <f>IF(AND(ISNUMBER(M2634),ISNUMBER(R2634)),IF(R2634&gt;0,M2634/R2634,""),"")</f>
        <v/>
      </c>
      <c r="X2634" s="10">
        <f>IF(AND(ISNUMBER(Q2634),ISNUMBER(M2634)),IF(M2634&gt;0,Q2634/M2634,""),"")</f>
        <v/>
      </c>
      <c r="Y2634" s="11">
        <f>IF(ISNUMBER(Z2634),YEAR(Z2634),"")</f>
        <v/>
      </c>
      <c r="Z2634" s="12" t="n"/>
      <c r="AA2634" s="12" t="n"/>
      <c r="AI2634" s="12" t="n"/>
      <c r="AJ2634" s="13">
        <f>IF(LEN(TRIM(AF2634))=0,"",HYPERLINK("https://www.google.com/maps/@?api=1&amp;map_action=pano&amp;viewpoint="&amp;SUBSTITUTE(AF2634," ",""),"Abrir Street View"))</f>
        <v/>
      </c>
    </row>
    <row r="2635">
      <c r="H2635" s="6" t="n"/>
      <c r="I2635" s="6" t="n"/>
      <c r="M2635" s="7" t="n"/>
      <c r="N2635" s="7" t="n"/>
      <c r="O2635" s="7" t="n"/>
      <c r="Q2635" s="7" t="n"/>
      <c r="R2635" s="7" t="n"/>
      <c r="S2635" s="8">
        <f>IF(NOT(ISNUMBER(M2635)),"",IF(G2635="Terreno",IF(AND(ISNUMBER(I2635),I2635&gt;0),M2635/I2635,""),IF(AND(ISNUMBER(H2635),H2635&gt;0),M2635/H2635,"")))</f>
        <v/>
      </c>
      <c r="T2635" s="9">
        <f>IF(AND(ISNUMBER(M2635),ISNUMBER(O2635)),IF(M2635&lt;=O2635,"Valor ≤ venal IPTU",""),"")</f>
        <v/>
      </c>
      <c r="U2635" s="10">
        <f>IF(AND(ISNUMBER(M2635),ISNUMBER(N2635)),IF(N2635&gt;0,M2635/N2635,""),"")</f>
        <v/>
      </c>
      <c r="V2635" s="10">
        <f>IF(AND(ISNUMBER(M2635),ISNUMBER(O2635)),IF(O2635&gt;0,M2635/O2635,""),"")</f>
        <v/>
      </c>
      <c r="W2635" s="10">
        <f>IF(AND(ISNUMBER(M2635),ISNUMBER(R2635)),IF(R2635&gt;0,M2635/R2635,""),"")</f>
        <v/>
      </c>
      <c r="X2635" s="10">
        <f>IF(AND(ISNUMBER(Q2635),ISNUMBER(M2635)),IF(M2635&gt;0,Q2635/M2635,""),"")</f>
        <v/>
      </c>
      <c r="Y2635" s="11">
        <f>IF(ISNUMBER(Z2635),YEAR(Z2635),"")</f>
        <v/>
      </c>
      <c r="Z2635" s="12" t="n"/>
      <c r="AA2635" s="12" t="n"/>
      <c r="AI2635" s="12" t="n"/>
      <c r="AJ2635" s="13">
        <f>IF(LEN(TRIM(AF2635))=0,"",HYPERLINK("https://www.google.com/maps/@?api=1&amp;map_action=pano&amp;viewpoint="&amp;SUBSTITUTE(AF2635," ",""),"Abrir Street View"))</f>
        <v/>
      </c>
    </row>
    <row r="2636">
      <c r="H2636" s="6" t="n"/>
      <c r="I2636" s="6" t="n"/>
      <c r="M2636" s="7" t="n"/>
      <c r="N2636" s="7" t="n"/>
      <c r="O2636" s="7" t="n"/>
      <c r="Q2636" s="7" t="n"/>
      <c r="R2636" s="7" t="n"/>
      <c r="S2636" s="8">
        <f>IF(NOT(ISNUMBER(M2636)),"",IF(G2636="Terreno",IF(AND(ISNUMBER(I2636),I2636&gt;0),M2636/I2636,""),IF(AND(ISNUMBER(H2636),H2636&gt;0),M2636/H2636,"")))</f>
        <v/>
      </c>
      <c r="T2636" s="9">
        <f>IF(AND(ISNUMBER(M2636),ISNUMBER(O2636)),IF(M2636&lt;=O2636,"Valor ≤ venal IPTU",""),"")</f>
        <v/>
      </c>
      <c r="U2636" s="10">
        <f>IF(AND(ISNUMBER(M2636),ISNUMBER(N2636)),IF(N2636&gt;0,M2636/N2636,""),"")</f>
        <v/>
      </c>
      <c r="V2636" s="10">
        <f>IF(AND(ISNUMBER(M2636),ISNUMBER(O2636)),IF(O2636&gt;0,M2636/O2636,""),"")</f>
        <v/>
      </c>
      <c r="W2636" s="10">
        <f>IF(AND(ISNUMBER(M2636),ISNUMBER(R2636)),IF(R2636&gt;0,M2636/R2636,""),"")</f>
        <v/>
      </c>
      <c r="X2636" s="10">
        <f>IF(AND(ISNUMBER(Q2636),ISNUMBER(M2636)),IF(M2636&gt;0,Q2636/M2636,""),"")</f>
        <v/>
      </c>
      <c r="Y2636" s="11">
        <f>IF(ISNUMBER(Z2636),YEAR(Z2636),"")</f>
        <v/>
      </c>
      <c r="Z2636" s="12" t="n"/>
      <c r="AA2636" s="12" t="n"/>
      <c r="AI2636" s="12" t="n"/>
      <c r="AJ2636" s="13">
        <f>IF(LEN(TRIM(AF2636))=0,"",HYPERLINK("https://www.google.com/maps/@?api=1&amp;map_action=pano&amp;viewpoint="&amp;SUBSTITUTE(AF2636," ",""),"Abrir Street View"))</f>
        <v/>
      </c>
    </row>
    <row r="2637">
      <c r="H2637" s="6" t="n"/>
      <c r="I2637" s="6" t="n"/>
      <c r="M2637" s="7" t="n"/>
      <c r="N2637" s="7" t="n"/>
      <c r="O2637" s="7" t="n"/>
      <c r="Q2637" s="7" t="n"/>
      <c r="R2637" s="7" t="n"/>
      <c r="S2637" s="8">
        <f>IF(NOT(ISNUMBER(M2637)),"",IF(G2637="Terreno",IF(AND(ISNUMBER(I2637),I2637&gt;0),M2637/I2637,""),IF(AND(ISNUMBER(H2637),H2637&gt;0),M2637/H2637,"")))</f>
        <v/>
      </c>
      <c r="T2637" s="9">
        <f>IF(AND(ISNUMBER(M2637),ISNUMBER(O2637)),IF(M2637&lt;=O2637,"Valor ≤ venal IPTU",""),"")</f>
        <v/>
      </c>
      <c r="U2637" s="10">
        <f>IF(AND(ISNUMBER(M2637),ISNUMBER(N2637)),IF(N2637&gt;0,M2637/N2637,""),"")</f>
        <v/>
      </c>
      <c r="V2637" s="10">
        <f>IF(AND(ISNUMBER(M2637),ISNUMBER(O2637)),IF(O2637&gt;0,M2637/O2637,""),"")</f>
        <v/>
      </c>
      <c r="W2637" s="10">
        <f>IF(AND(ISNUMBER(M2637),ISNUMBER(R2637)),IF(R2637&gt;0,M2637/R2637,""),"")</f>
        <v/>
      </c>
      <c r="X2637" s="10">
        <f>IF(AND(ISNUMBER(Q2637),ISNUMBER(M2637)),IF(M2637&gt;0,Q2637/M2637,""),"")</f>
        <v/>
      </c>
      <c r="Y2637" s="11">
        <f>IF(ISNUMBER(Z2637),YEAR(Z2637),"")</f>
        <v/>
      </c>
      <c r="Z2637" s="12" t="n"/>
      <c r="AA2637" s="12" t="n"/>
      <c r="AI2637" s="12" t="n"/>
      <c r="AJ2637" s="13">
        <f>IF(LEN(TRIM(AF2637))=0,"",HYPERLINK("https://www.google.com/maps/@?api=1&amp;map_action=pano&amp;viewpoint="&amp;SUBSTITUTE(AF2637," ",""),"Abrir Street View"))</f>
        <v/>
      </c>
    </row>
    <row r="2638">
      <c r="H2638" s="6" t="n"/>
      <c r="I2638" s="6" t="n"/>
      <c r="M2638" s="7" t="n"/>
      <c r="N2638" s="7" t="n"/>
      <c r="O2638" s="7" t="n"/>
      <c r="Q2638" s="7" t="n"/>
      <c r="R2638" s="7" t="n"/>
      <c r="S2638" s="8">
        <f>IF(NOT(ISNUMBER(M2638)),"",IF(G2638="Terreno",IF(AND(ISNUMBER(I2638),I2638&gt;0),M2638/I2638,""),IF(AND(ISNUMBER(H2638),H2638&gt;0),M2638/H2638,"")))</f>
        <v/>
      </c>
      <c r="T2638" s="9">
        <f>IF(AND(ISNUMBER(M2638),ISNUMBER(O2638)),IF(M2638&lt;=O2638,"Valor ≤ venal IPTU",""),"")</f>
        <v/>
      </c>
      <c r="U2638" s="10">
        <f>IF(AND(ISNUMBER(M2638),ISNUMBER(N2638)),IF(N2638&gt;0,M2638/N2638,""),"")</f>
        <v/>
      </c>
      <c r="V2638" s="10">
        <f>IF(AND(ISNUMBER(M2638),ISNUMBER(O2638)),IF(O2638&gt;0,M2638/O2638,""),"")</f>
        <v/>
      </c>
      <c r="W2638" s="10">
        <f>IF(AND(ISNUMBER(M2638),ISNUMBER(R2638)),IF(R2638&gt;0,M2638/R2638,""),"")</f>
        <v/>
      </c>
      <c r="X2638" s="10">
        <f>IF(AND(ISNUMBER(Q2638),ISNUMBER(M2638)),IF(M2638&gt;0,Q2638/M2638,""),"")</f>
        <v/>
      </c>
      <c r="Y2638" s="11">
        <f>IF(ISNUMBER(Z2638),YEAR(Z2638),"")</f>
        <v/>
      </c>
      <c r="Z2638" s="12" t="n"/>
      <c r="AA2638" s="12" t="n"/>
      <c r="AI2638" s="12" t="n"/>
      <c r="AJ2638" s="13">
        <f>IF(LEN(TRIM(AF2638))=0,"",HYPERLINK("https://www.google.com/maps/@?api=1&amp;map_action=pano&amp;viewpoint="&amp;SUBSTITUTE(AF2638," ",""),"Abrir Street View"))</f>
        <v/>
      </c>
    </row>
    <row r="2639">
      <c r="H2639" s="6" t="n"/>
      <c r="I2639" s="6" t="n"/>
      <c r="M2639" s="7" t="n"/>
      <c r="N2639" s="7" t="n"/>
      <c r="O2639" s="7" t="n"/>
      <c r="Q2639" s="7" t="n"/>
      <c r="R2639" s="7" t="n"/>
      <c r="S2639" s="8">
        <f>IF(NOT(ISNUMBER(M2639)),"",IF(G2639="Terreno",IF(AND(ISNUMBER(I2639),I2639&gt;0),M2639/I2639,""),IF(AND(ISNUMBER(H2639),H2639&gt;0),M2639/H2639,"")))</f>
        <v/>
      </c>
      <c r="T2639" s="9">
        <f>IF(AND(ISNUMBER(M2639),ISNUMBER(O2639)),IF(M2639&lt;=O2639,"Valor ≤ venal IPTU",""),"")</f>
        <v/>
      </c>
      <c r="U2639" s="10">
        <f>IF(AND(ISNUMBER(M2639),ISNUMBER(N2639)),IF(N2639&gt;0,M2639/N2639,""),"")</f>
        <v/>
      </c>
      <c r="V2639" s="10">
        <f>IF(AND(ISNUMBER(M2639),ISNUMBER(O2639)),IF(O2639&gt;0,M2639/O2639,""),"")</f>
        <v/>
      </c>
      <c r="W2639" s="10">
        <f>IF(AND(ISNUMBER(M2639),ISNUMBER(R2639)),IF(R2639&gt;0,M2639/R2639,""),"")</f>
        <v/>
      </c>
      <c r="X2639" s="10">
        <f>IF(AND(ISNUMBER(Q2639),ISNUMBER(M2639)),IF(M2639&gt;0,Q2639/M2639,""),"")</f>
        <v/>
      </c>
      <c r="Y2639" s="11">
        <f>IF(ISNUMBER(Z2639),YEAR(Z2639),"")</f>
        <v/>
      </c>
      <c r="Z2639" s="12" t="n"/>
      <c r="AA2639" s="12" t="n"/>
      <c r="AI2639" s="12" t="n"/>
      <c r="AJ2639" s="13">
        <f>IF(LEN(TRIM(AF2639))=0,"",HYPERLINK("https://www.google.com/maps/@?api=1&amp;map_action=pano&amp;viewpoint="&amp;SUBSTITUTE(AF2639," ",""),"Abrir Street View"))</f>
        <v/>
      </c>
    </row>
    <row r="2640">
      <c r="H2640" s="6" t="n"/>
      <c r="I2640" s="6" t="n"/>
      <c r="M2640" s="7" t="n"/>
      <c r="N2640" s="7" t="n"/>
      <c r="O2640" s="7" t="n"/>
      <c r="Q2640" s="7" t="n"/>
      <c r="R2640" s="7" t="n"/>
      <c r="S2640" s="8">
        <f>IF(NOT(ISNUMBER(M2640)),"",IF(G2640="Terreno",IF(AND(ISNUMBER(I2640),I2640&gt;0),M2640/I2640,""),IF(AND(ISNUMBER(H2640),H2640&gt;0),M2640/H2640,"")))</f>
        <v/>
      </c>
      <c r="T2640" s="9">
        <f>IF(AND(ISNUMBER(M2640),ISNUMBER(O2640)),IF(M2640&lt;=O2640,"Valor ≤ venal IPTU",""),"")</f>
        <v/>
      </c>
      <c r="U2640" s="10">
        <f>IF(AND(ISNUMBER(M2640),ISNUMBER(N2640)),IF(N2640&gt;0,M2640/N2640,""),"")</f>
        <v/>
      </c>
      <c r="V2640" s="10">
        <f>IF(AND(ISNUMBER(M2640),ISNUMBER(O2640)),IF(O2640&gt;0,M2640/O2640,""),"")</f>
        <v/>
      </c>
      <c r="W2640" s="10">
        <f>IF(AND(ISNUMBER(M2640),ISNUMBER(R2640)),IF(R2640&gt;0,M2640/R2640,""),"")</f>
        <v/>
      </c>
      <c r="X2640" s="10">
        <f>IF(AND(ISNUMBER(Q2640),ISNUMBER(M2640)),IF(M2640&gt;0,Q2640/M2640,""),"")</f>
        <v/>
      </c>
      <c r="Y2640" s="11">
        <f>IF(ISNUMBER(Z2640),YEAR(Z2640),"")</f>
        <v/>
      </c>
      <c r="Z2640" s="12" t="n"/>
      <c r="AA2640" s="12" t="n"/>
      <c r="AI2640" s="12" t="n"/>
      <c r="AJ2640" s="13">
        <f>IF(LEN(TRIM(AF2640))=0,"",HYPERLINK("https://www.google.com/maps/@?api=1&amp;map_action=pano&amp;viewpoint="&amp;SUBSTITUTE(AF2640," ",""),"Abrir Street View"))</f>
        <v/>
      </c>
    </row>
    <row r="2641">
      <c r="H2641" s="6" t="n"/>
      <c r="I2641" s="6" t="n"/>
      <c r="M2641" s="7" t="n"/>
      <c r="N2641" s="7" t="n"/>
      <c r="O2641" s="7" t="n"/>
      <c r="Q2641" s="7" t="n"/>
      <c r="R2641" s="7" t="n"/>
      <c r="S2641" s="8">
        <f>IF(NOT(ISNUMBER(M2641)),"",IF(G2641="Terreno",IF(AND(ISNUMBER(I2641),I2641&gt;0),M2641/I2641,""),IF(AND(ISNUMBER(H2641),H2641&gt;0),M2641/H2641,"")))</f>
        <v/>
      </c>
      <c r="T2641" s="9">
        <f>IF(AND(ISNUMBER(M2641),ISNUMBER(O2641)),IF(M2641&lt;=O2641,"Valor ≤ venal IPTU",""),"")</f>
        <v/>
      </c>
      <c r="U2641" s="10">
        <f>IF(AND(ISNUMBER(M2641),ISNUMBER(N2641)),IF(N2641&gt;0,M2641/N2641,""),"")</f>
        <v/>
      </c>
      <c r="V2641" s="10">
        <f>IF(AND(ISNUMBER(M2641),ISNUMBER(O2641)),IF(O2641&gt;0,M2641/O2641,""),"")</f>
        <v/>
      </c>
      <c r="W2641" s="10">
        <f>IF(AND(ISNUMBER(M2641),ISNUMBER(R2641)),IF(R2641&gt;0,M2641/R2641,""),"")</f>
        <v/>
      </c>
      <c r="X2641" s="10">
        <f>IF(AND(ISNUMBER(Q2641),ISNUMBER(M2641)),IF(M2641&gt;0,Q2641/M2641,""),"")</f>
        <v/>
      </c>
      <c r="Y2641" s="11">
        <f>IF(ISNUMBER(Z2641),YEAR(Z2641),"")</f>
        <v/>
      </c>
      <c r="Z2641" s="12" t="n"/>
      <c r="AA2641" s="12" t="n"/>
      <c r="AI2641" s="12" t="n"/>
      <c r="AJ2641" s="13">
        <f>IF(LEN(TRIM(AF2641))=0,"",HYPERLINK("https://www.google.com/maps/@?api=1&amp;map_action=pano&amp;viewpoint="&amp;SUBSTITUTE(AF2641," ",""),"Abrir Street View"))</f>
        <v/>
      </c>
    </row>
    <row r="2642">
      <c r="H2642" s="6" t="n"/>
      <c r="I2642" s="6" t="n"/>
      <c r="M2642" s="7" t="n"/>
      <c r="N2642" s="7" t="n"/>
      <c r="O2642" s="7" t="n"/>
      <c r="Q2642" s="7" t="n"/>
      <c r="R2642" s="7" t="n"/>
      <c r="S2642" s="8">
        <f>IF(NOT(ISNUMBER(M2642)),"",IF(G2642="Terreno",IF(AND(ISNUMBER(I2642),I2642&gt;0),M2642/I2642,""),IF(AND(ISNUMBER(H2642),H2642&gt;0),M2642/H2642,"")))</f>
        <v/>
      </c>
      <c r="T2642" s="9">
        <f>IF(AND(ISNUMBER(M2642),ISNUMBER(O2642)),IF(M2642&lt;=O2642,"Valor ≤ venal IPTU",""),"")</f>
        <v/>
      </c>
      <c r="U2642" s="10">
        <f>IF(AND(ISNUMBER(M2642),ISNUMBER(N2642)),IF(N2642&gt;0,M2642/N2642,""),"")</f>
        <v/>
      </c>
      <c r="V2642" s="10">
        <f>IF(AND(ISNUMBER(M2642),ISNUMBER(O2642)),IF(O2642&gt;0,M2642/O2642,""),"")</f>
        <v/>
      </c>
      <c r="W2642" s="10">
        <f>IF(AND(ISNUMBER(M2642),ISNUMBER(R2642)),IF(R2642&gt;0,M2642/R2642,""),"")</f>
        <v/>
      </c>
      <c r="X2642" s="10">
        <f>IF(AND(ISNUMBER(Q2642),ISNUMBER(M2642)),IF(M2642&gt;0,Q2642/M2642,""),"")</f>
        <v/>
      </c>
      <c r="Y2642" s="11">
        <f>IF(ISNUMBER(Z2642),YEAR(Z2642),"")</f>
        <v/>
      </c>
      <c r="Z2642" s="12" t="n"/>
      <c r="AA2642" s="12" t="n"/>
      <c r="AI2642" s="12" t="n"/>
      <c r="AJ2642" s="13">
        <f>IF(LEN(TRIM(AF2642))=0,"",HYPERLINK("https://www.google.com/maps/@?api=1&amp;map_action=pano&amp;viewpoint="&amp;SUBSTITUTE(AF2642," ",""),"Abrir Street View"))</f>
        <v/>
      </c>
    </row>
    <row r="2643">
      <c r="H2643" s="6" t="n"/>
      <c r="I2643" s="6" t="n"/>
      <c r="M2643" s="7" t="n"/>
      <c r="N2643" s="7" t="n"/>
      <c r="O2643" s="7" t="n"/>
      <c r="Q2643" s="7" t="n"/>
      <c r="R2643" s="7" t="n"/>
      <c r="S2643" s="8">
        <f>IF(NOT(ISNUMBER(M2643)),"",IF(G2643="Terreno",IF(AND(ISNUMBER(I2643),I2643&gt;0),M2643/I2643,""),IF(AND(ISNUMBER(H2643),H2643&gt;0),M2643/H2643,"")))</f>
        <v/>
      </c>
      <c r="T2643" s="9">
        <f>IF(AND(ISNUMBER(M2643),ISNUMBER(O2643)),IF(M2643&lt;=O2643,"Valor ≤ venal IPTU",""),"")</f>
        <v/>
      </c>
      <c r="U2643" s="10">
        <f>IF(AND(ISNUMBER(M2643),ISNUMBER(N2643)),IF(N2643&gt;0,M2643/N2643,""),"")</f>
        <v/>
      </c>
      <c r="V2643" s="10">
        <f>IF(AND(ISNUMBER(M2643),ISNUMBER(O2643)),IF(O2643&gt;0,M2643/O2643,""),"")</f>
        <v/>
      </c>
      <c r="W2643" s="10">
        <f>IF(AND(ISNUMBER(M2643),ISNUMBER(R2643)),IF(R2643&gt;0,M2643/R2643,""),"")</f>
        <v/>
      </c>
      <c r="X2643" s="10">
        <f>IF(AND(ISNUMBER(Q2643),ISNUMBER(M2643)),IF(M2643&gt;0,Q2643/M2643,""),"")</f>
        <v/>
      </c>
      <c r="Y2643" s="11">
        <f>IF(ISNUMBER(Z2643),YEAR(Z2643),"")</f>
        <v/>
      </c>
      <c r="Z2643" s="12" t="n"/>
      <c r="AA2643" s="12" t="n"/>
      <c r="AI2643" s="12" t="n"/>
      <c r="AJ2643" s="13">
        <f>IF(LEN(TRIM(AF2643))=0,"",HYPERLINK("https://www.google.com/maps/@?api=1&amp;map_action=pano&amp;viewpoint="&amp;SUBSTITUTE(AF2643," ",""),"Abrir Street View"))</f>
        <v/>
      </c>
    </row>
    <row r="2644">
      <c r="H2644" s="6" t="n"/>
      <c r="I2644" s="6" t="n"/>
      <c r="M2644" s="7" t="n"/>
      <c r="N2644" s="7" t="n"/>
      <c r="O2644" s="7" t="n"/>
      <c r="Q2644" s="7" t="n"/>
      <c r="R2644" s="7" t="n"/>
      <c r="S2644" s="8">
        <f>IF(NOT(ISNUMBER(M2644)),"",IF(G2644="Terreno",IF(AND(ISNUMBER(I2644),I2644&gt;0),M2644/I2644,""),IF(AND(ISNUMBER(H2644),H2644&gt;0),M2644/H2644,"")))</f>
        <v/>
      </c>
      <c r="T2644" s="9">
        <f>IF(AND(ISNUMBER(M2644),ISNUMBER(O2644)),IF(M2644&lt;=O2644,"Valor ≤ venal IPTU",""),"")</f>
        <v/>
      </c>
      <c r="U2644" s="10">
        <f>IF(AND(ISNUMBER(M2644),ISNUMBER(N2644)),IF(N2644&gt;0,M2644/N2644,""),"")</f>
        <v/>
      </c>
      <c r="V2644" s="10">
        <f>IF(AND(ISNUMBER(M2644),ISNUMBER(O2644)),IF(O2644&gt;0,M2644/O2644,""),"")</f>
        <v/>
      </c>
      <c r="W2644" s="10">
        <f>IF(AND(ISNUMBER(M2644),ISNUMBER(R2644)),IF(R2644&gt;0,M2644/R2644,""),"")</f>
        <v/>
      </c>
      <c r="X2644" s="10">
        <f>IF(AND(ISNUMBER(Q2644),ISNUMBER(M2644)),IF(M2644&gt;0,Q2644/M2644,""),"")</f>
        <v/>
      </c>
      <c r="Y2644" s="11">
        <f>IF(ISNUMBER(Z2644),YEAR(Z2644),"")</f>
        <v/>
      </c>
      <c r="Z2644" s="12" t="n"/>
      <c r="AA2644" s="12" t="n"/>
      <c r="AI2644" s="12" t="n"/>
      <c r="AJ2644" s="13">
        <f>IF(LEN(TRIM(AF2644))=0,"",HYPERLINK("https://www.google.com/maps/@?api=1&amp;map_action=pano&amp;viewpoint="&amp;SUBSTITUTE(AF2644," ",""),"Abrir Street View"))</f>
        <v/>
      </c>
    </row>
    <row r="2645">
      <c r="H2645" s="6" t="n"/>
      <c r="I2645" s="6" t="n"/>
      <c r="M2645" s="7" t="n"/>
      <c r="N2645" s="7" t="n"/>
      <c r="O2645" s="7" t="n"/>
      <c r="Q2645" s="7" t="n"/>
      <c r="R2645" s="7" t="n"/>
      <c r="S2645" s="8">
        <f>IF(NOT(ISNUMBER(M2645)),"",IF(G2645="Terreno",IF(AND(ISNUMBER(I2645),I2645&gt;0),M2645/I2645,""),IF(AND(ISNUMBER(H2645),H2645&gt;0),M2645/H2645,"")))</f>
        <v/>
      </c>
      <c r="T2645" s="9">
        <f>IF(AND(ISNUMBER(M2645),ISNUMBER(O2645)),IF(M2645&lt;=O2645,"Valor ≤ venal IPTU",""),"")</f>
        <v/>
      </c>
      <c r="U2645" s="10">
        <f>IF(AND(ISNUMBER(M2645),ISNUMBER(N2645)),IF(N2645&gt;0,M2645/N2645,""),"")</f>
        <v/>
      </c>
      <c r="V2645" s="10">
        <f>IF(AND(ISNUMBER(M2645),ISNUMBER(O2645)),IF(O2645&gt;0,M2645/O2645,""),"")</f>
        <v/>
      </c>
      <c r="W2645" s="10">
        <f>IF(AND(ISNUMBER(M2645),ISNUMBER(R2645)),IF(R2645&gt;0,M2645/R2645,""),"")</f>
        <v/>
      </c>
      <c r="X2645" s="10">
        <f>IF(AND(ISNUMBER(Q2645),ISNUMBER(M2645)),IF(M2645&gt;0,Q2645/M2645,""),"")</f>
        <v/>
      </c>
      <c r="Y2645" s="11">
        <f>IF(ISNUMBER(Z2645),YEAR(Z2645),"")</f>
        <v/>
      </c>
      <c r="Z2645" s="12" t="n"/>
      <c r="AA2645" s="12" t="n"/>
      <c r="AI2645" s="12" t="n"/>
      <c r="AJ2645" s="13">
        <f>IF(LEN(TRIM(AF2645))=0,"",HYPERLINK("https://www.google.com/maps/@?api=1&amp;map_action=pano&amp;viewpoint="&amp;SUBSTITUTE(AF2645," ",""),"Abrir Street View"))</f>
        <v/>
      </c>
    </row>
    <row r="2646">
      <c r="H2646" s="6" t="n"/>
      <c r="I2646" s="6" t="n"/>
      <c r="M2646" s="7" t="n"/>
      <c r="N2646" s="7" t="n"/>
      <c r="O2646" s="7" t="n"/>
      <c r="Q2646" s="7" t="n"/>
      <c r="R2646" s="7" t="n"/>
      <c r="S2646" s="8">
        <f>IF(NOT(ISNUMBER(M2646)),"",IF(G2646="Terreno",IF(AND(ISNUMBER(I2646),I2646&gt;0),M2646/I2646,""),IF(AND(ISNUMBER(H2646),H2646&gt;0),M2646/H2646,"")))</f>
        <v/>
      </c>
      <c r="T2646" s="9">
        <f>IF(AND(ISNUMBER(M2646),ISNUMBER(O2646)),IF(M2646&lt;=O2646,"Valor ≤ venal IPTU",""),"")</f>
        <v/>
      </c>
      <c r="U2646" s="10">
        <f>IF(AND(ISNUMBER(M2646),ISNUMBER(N2646)),IF(N2646&gt;0,M2646/N2646,""),"")</f>
        <v/>
      </c>
      <c r="V2646" s="10">
        <f>IF(AND(ISNUMBER(M2646),ISNUMBER(O2646)),IF(O2646&gt;0,M2646/O2646,""),"")</f>
        <v/>
      </c>
      <c r="W2646" s="10">
        <f>IF(AND(ISNUMBER(M2646),ISNUMBER(R2646)),IF(R2646&gt;0,M2646/R2646,""),"")</f>
        <v/>
      </c>
      <c r="X2646" s="10">
        <f>IF(AND(ISNUMBER(Q2646),ISNUMBER(M2646)),IF(M2646&gt;0,Q2646/M2646,""),"")</f>
        <v/>
      </c>
      <c r="Y2646" s="11">
        <f>IF(ISNUMBER(Z2646),YEAR(Z2646),"")</f>
        <v/>
      </c>
      <c r="Z2646" s="12" t="n"/>
      <c r="AA2646" s="12" t="n"/>
      <c r="AI2646" s="12" t="n"/>
      <c r="AJ2646" s="13">
        <f>IF(LEN(TRIM(AF2646))=0,"",HYPERLINK("https://www.google.com/maps/@?api=1&amp;map_action=pano&amp;viewpoint="&amp;SUBSTITUTE(AF2646," ",""),"Abrir Street View"))</f>
        <v/>
      </c>
    </row>
    <row r="2647">
      <c r="H2647" s="6" t="n"/>
      <c r="I2647" s="6" t="n"/>
      <c r="M2647" s="7" t="n"/>
      <c r="N2647" s="7" t="n"/>
      <c r="O2647" s="7" t="n"/>
      <c r="Q2647" s="7" t="n"/>
      <c r="R2647" s="7" t="n"/>
      <c r="S2647" s="8">
        <f>IF(NOT(ISNUMBER(M2647)),"",IF(G2647="Terreno",IF(AND(ISNUMBER(I2647),I2647&gt;0),M2647/I2647,""),IF(AND(ISNUMBER(H2647),H2647&gt;0),M2647/H2647,"")))</f>
        <v/>
      </c>
      <c r="T2647" s="9">
        <f>IF(AND(ISNUMBER(M2647),ISNUMBER(O2647)),IF(M2647&lt;=O2647,"Valor ≤ venal IPTU",""),"")</f>
        <v/>
      </c>
      <c r="U2647" s="10">
        <f>IF(AND(ISNUMBER(M2647),ISNUMBER(N2647)),IF(N2647&gt;0,M2647/N2647,""),"")</f>
        <v/>
      </c>
      <c r="V2647" s="10">
        <f>IF(AND(ISNUMBER(M2647),ISNUMBER(O2647)),IF(O2647&gt;0,M2647/O2647,""),"")</f>
        <v/>
      </c>
      <c r="W2647" s="10">
        <f>IF(AND(ISNUMBER(M2647),ISNUMBER(R2647)),IF(R2647&gt;0,M2647/R2647,""),"")</f>
        <v/>
      </c>
      <c r="X2647" s="10">
        <f>IF(AND(ISNUMBER(Q2647),ISNUMBER(M2647)),IF(M2647&gt;0,Q2647/M2647,""),"")</f>
        <v/>
      </c>
      <c r="Y2647" s="11">
        <f>IF(ISNUMBER(Z2647),YEAR(Z2647),"")</f>
        <v/>
      </c>
      <c r="Z2647" s="12" t="n"/>
      <c r="AA2647" s="12" t="n"/>
      <c r="AI2647" s="12" t="n"/>
      <c r="AJ2647" s="13">
        <f>IF(LEN(TRIM(AF2647))=0,"",HYPERLINK("https://www.google.com/maps/@?api=1&amp;map_action=pano&amp;viewpoint="&amp;SUBSTITUTE(AF2647," ",""),"Abrir Street View"))</f>
        <v/>
      </c>
    </row>
    <row r="2648">
      <c r="H2648" s="6" t="n"/>
      <c r="I2648" s="6" t="n"/>
      <c r="M2648" s="7" t="n"/>
      <c r="N2648" s="7" t="n"/>
      <c r="O2648" s="7" t="n"/>
      <c r="Q2648" s="7" t="n"/>
      <c r="R2648" s="7" t="n"/>
      <c r="S2648" s="8">
        <f>IF(NOT(ISNUMBER(M2648)),"",IF(G2648="Terreno",IF(AND(ISNUMBER(I2648),I2648&gt;0),M2648/I2648,""),IF(AND(ISNUMBER(H2648),H2648&gt;0),M2648/H2648,"")))</f>
        <v/>
      </c>
      <c r="T2648" s="9">
        <f>IF(AND(ISNUMBER(M2648),ISNUMBER(O2648)),IF(M2648&lt;=O2648,"Valor ≤ venal IPTU",""),"")</f>
        <v/>
      </c>
      <c r="U2648" s="10">
        <f>IF(AND(ISNUMBER(M2648),ISNUMBER(N2648)),IF(N2648&gt;0,M2648/N2648,""),"")</f>
        <v/>
      </c>
      <c r="V2648" s="10">
        <f>IF(AND(ISNUMBER(M2648),ISNUMBER(O2648)),IF(O2648&gt;0,M2648/O2648,""),"")</f>
        <v/>
      </c>
      <c r="W2648" s="10">
        <f>IF(AND(ISNUMBER(M2648),ISNUMBER(R2648)),IF(R2648&gt;0,M2648/R2648,""),"")</f>
        <v/>
      </c>
      <c r="X2648" s="10">
        <f>IF(AND(ISNUMBER(Q2648),ISNUMBER(M2648)),IF(M2648&gt;0,Q2648/M2648,""),"")</f>
        <v/>
      </c>
      <c r="Y2648" s="11">
        <f>IF(ISNUMBER(Z2648),YEAR(Z2648),"")</f>
        <v/>
      </c>
      <c r="Z2648" s="12" t="n"/>
      <c r="AA2648" s="12" t="n"/>
      <c r="AI2648" s="12" t="n"/>
      <c r="AJ2648" s="13">
        <f>IF(LEN(TRIM(AF2648))=0,"",HYPERLINK("https://www.google.com/maps/@?api=1&amp;map_action=pano&amp;viewpoint="&amp;SUBSTITUTE(AF2648," ",""),"Abrir Street View"))</f>
        <v/>
      </c>
    </row>
    <row r="2649">
      <c r="H2649" s="6" t="n"/>
      <c r="I2649" s="6" t="n"/>
      <c r="M2649" s="7" t="n"/>
      <c r="N2649" s="7" t="n"/>
      <c r="O2649" s="7" t="n"/>
      <c r="Q2649" s="7" t="n"/>
      <c r="R2649" s="7" t="n"/>
      <c r="S2649" s="8">
        <f>IF(NOT(ISNUMBER(M2649)),"",IF(G2649="Terreno",IF(AND(ISNUMBER(I2649),I2649&gt;0),M2649/I2649,""),IF(AND(ISNUMBER(H2649),H2649&gt;0),M2649/H2649,"")))</f>
        <v/>
      </c>
      <c r="T2649" s="9">
        <f>IF(AND(ISNUMBER(M2649),ISNUMBER(O2649)),IF(M2649&lt;=O2649,"Valor ≤ venal IPTU",""),"")</f>
        <v/>
      </c>
      <c r="U2649" s="10">
        <f>IF(AND(ISNUMBER(M2649),ISNUMBER(N2649)),IF(N2649&gt;0,M2649/N2649,""),"")</f>
        <v/>
      </c>
      <c r="V2649" s="10">
        <f>IF(AND(ISNUMBER(M2649),ISNUMBER(O2649)),IF(O2649&gt;0,M2649/O2649,""),"")</f>
        <v/>
      </c>
      <c r="W2649" s="10">
        <f>IF(AND(ISNUMBER(M2649),ISNUMBER(R2649)),IF(R2649&gt;0,M2649/R2649,""),"")</f>
        <v/>
      </c>
      <c r="X2649" s="10">
        <f>IF(AND(ISNUMBER(Q2649),ISNUMBER(M2649)),IF(M2649&gt;0,Q2649/M2649,""),"")</f>
        <v/>
      </c>
      <c r="Y2649" s="11">
        <f>IF(ISNUMBER(Z2649),YEAR(Z2649),"")</f>
        <v/>
      </c>
      <c r="Z2649" s="12" t="n"/>
      <c r="AA2649" s="12" t="n"/>
      <c r="AI2649" s="12" t="n"/>
      <c r="AJ2649" s="13">
        <f>IF(LEN(TRIM(AF2649))=0,"",HYPERLINK("https://www.google.com/maps/@?api=1&amp;map_action=pano&amp;viewpoint="&amp;SUBSTITUTE(AF2649," ",""),"Abrir Street View"))</f>
        <v/>
      </c>
    </row>
    <row r="2650">
      <c r="H2650" s="6" t="n"/>
      <c r="I2650" s="6" t="n"/>
      <c r="M2650" s="7" t="n"/>
      <c r="N2650" s="7" t="n"/>
      <c r="O2650" s="7" t="n"/>
      <c r="Q2650" s="7" t="n"/>
      <c r="R2650" s="7" t="n"/>
      <c r="S2650" s="8">
        <f>IF(NOT(ISNUMBER(M2650)),"",IF(G2650="Terreno",IF(AND(ISNUMBER(I2650),I2650&gt;0),M2650/I2650,""),IF(AND(ISNUMBER(H2650),H2650&gt;0),M2650/H2650,"")))</f>
        <v/>
      </c>
      <c r="T2650" s="9">
        <f>IF(AND(ISNUMBER(M2650),ISNUMBER(O2650)),IF(M2650&lt;=O2650,"Valor ≤ venal IPTU",""),"")</f>
        <v/>
      </c>
      <c r="U2650" s="10">
        <f>IF(AND(ISNUMBER(M2650),ISNUMBER(N2650)),IF(N2650&gt;0,M2650/N2650,""),"")</f>
        <v/>
      </c>
      <c r="V2650" s="10">
        <f>IF(AND(ISNUMBER(M2650),ISNUMBER(O2650)),IF(O2650&gt;0,M2650/O2650,""),"")</f>
        <v/>
      </c>
      <c r="W2650" s="10">
        <f>IF(AND(ISNUMBER(M2650),ISNUMBER(R2650)),IF(R2650&gt;0,M2650/R2650,""),"")</f>
        <v/>
      </c>
      <c r="X2650" s="10">
        <f>IF(AND(ISNUMBER(Q2650),ISNUMBER(M2650)),IF(M2650&gt;0,Q2650/M2650,""),"")</f>
        <v/>
      </c>
      <c r="Y2650" s="11">
        <f>IF(ISNUMBER(Z2650),YEAR(Z2650),"")</f>
        <v/>
      </c>
      <c r="Z2650" s="12" t="n"/>
      <c r="AA2650" s="12" t="n"/>
      <c r="AI2650" s="12" t="n"/>
      <c r="AJ2650" s="13">
        <f>IF(LEN(TRIM(AF2650))=0,"",HYPERLINK("https://www.google.com/maps/@?api=1&amp;map_action=pano&amp;viewpoint="&amp;SUBSTITUTE(AF2650," ",""),"Abrir Street View"))</f>
        <v/>
      </c>
    </row>
    <row r="2651">
      <c r="H2651" s="6" t="n"/>
      <c r="I2651" s="6" t="n"/>
      <c r="M2651" s="7" t="n"/>
      <c r="N2651" s="7" t="n"/>
      <c r="O2651" s="7" t="n"/>
      <c r="Q2651" s="7" t="n"/>
      <c r="R2651" s="7" t="n"/>
      <c r="S2651" s="8">
        <f>IF(NOT(ISNUMBER(M2651)),"",IF(G2651="Terreno",IF(AND(ISNUMBER(I2651),I2651&gt;0),M2651/I2651,""),IF(AND(ISNUMBER(H2651),H2651&gt;0),M2651/H2651,"")))</f>
        <v/>
      </c>
      <c r="T2651" s="9">
        <f>IF(AND(ISNUMBER(M2651),ISNUMBER(O2651)),IF(M2651&lt;=O2651,"Valor ≤ venal IPTU",""),"")</f>
        <v/>
      </c>
      <c r="U2651" s="10">
        <f>IF(AND(ISNUMBER(M2651),ISNUMBER(N2651)),IF(N2651&gt;0,M2651/N2651,""),"")</f>
        <v/>
      </c>
      <c r="V2651" s="10">
        <f>IF(AND(ISNUMBER(M2651),ISNUMBER(O2651)),IF(O2651&gt;0,M2651/O2651,""),"")</f>
        <v/>
      </c>
      <c r="W2651" s="10">
        <f>IF(AND(ISNUMBER(M2651),ISNUMBER(R2651)),IF(R2651&gt;0,M2651/R2651,""),"")</f>
        <v/>
      </c>
      <c r="X2651" s="10">
        <f>IF(AND(ISNUMBER(Q2651),ISNUMBER(M2651)),IF(M2651&gt;0,Q2651/M2651,""),"")</f>
        <v/>
      </c>
      <c r="Y2651" s="11">
        <f>IF(ISNUMBER(Z2651),YEAR(Z2651),"")</f>
        <v/>
      </c>
      <c r="Z2651" s="12" t="n"/>
      <c r="AA2651" s="12" t="n"/>
      <c r="AI2651" s="12" t="n"/>
      <c r="AJ2651" s="13">
        <f>IF(LEN(TRIM(AF2651))=0,"",HYPERLINK("https://www.google.com/maps/@?api=1&amp;map_action=pano&amp;viewpoint="&amp;SUBSTITUTE(AF2651," ",""),"Abrir Street View"))</f>
        <v/>
      </c>
    </row>
    <row r="2652">
      <c r="H2652" s="6" t="n"/>
      <c r="I2652" s="6" t="n"/>
      <c r="M2652" s="7" t="n"/>
      <c r="N2652" s="7" t="n"/>
      <c r="O2652" s="7" t="n"/>
      <c r="Q2652" s="7" t="n"/>
      <c r="R2652" s="7" t="n"/>
      <c r="S2652" s="8">
        <f>IF(NOT(ISNUMBER(M2652)),"",IF(G2652="Terreno",IF(AND(ISNUMBER(I2652),I2652&gt;0),M2652/I2652,""),IF(AND(ISNUMBER(H2652),H2652&gt;0),M2652/H2652,"")))</f>
        <v/>
      </c>
      <c r="T2652" s="9">
        <f>IF(AND(ISNUMBER(M2652),ISNUMBER(O2652)),IF(M2652&lt;=O2652,"Valor ≤ venal IPTU",""),"")</f>
        <v/>
      </c>
      <c r="U2652" s="10">
        <f>IF(AND(ISNUMBER(M2652),ISNUMBER(N2652)),IF(N2652&gt;0,M2652/N2652,""),"")</f>
        <v/>
      </c>
      <c r="V2652" s="10">
        <f>IF(AND(ISNUMBER(M2652),ISNUMBER(O2652)),IF(O2652&gt;0,M2652/O2652,""),"")</f>
        <v/>
      </c>
      <c r="W2652" s="10">
        <f>IF(AND(ISNUMBER(M2652),ISNUMBER(R2652)),IF(R2652&gt;0,M2652/R2652,""),"")</f>
        <v/>
      </c>
      <c r="X2652" s="10">
        <f>IF(AND(ISNUMBER(Q2652),ISNUMBER(M2652)),IF(M2652&gt;0,Q2652/M2652,""),"")</f>
        <v/>
      </c>
      <c r="Y2652" s="11">
        <f>IF(ISNUMBER(Z2652),YEAR(Z2652),"")</f>
        <v/>
      </c>
      <c r="Z2652" s="12" t="n"/>
      <c r="AA2652" s="12" t="n"/>
      <c r="AI2652" s="12" t="n"/>
      <c r="AJ2652" s="13">
        <f>IF(LEN(TRIM(AF2652))=0,"",HYPERLINK("https://www.google.com/maps/@?api=1&amp;map_action=pano&amp;viewpoint="&amp;SUBSTITUTE(AF2652," ",""),"Abrir Street View"))</f>
        <v/>
      </c>
    </row>
    <row r="2653">
      <c r="H2653" s="6" t="n"/>
      <c r="I2653" s="6" t="n"/>
      <c r="M2653" s="7" t="n"/>
      <c r="N2653" s="7" t="n"/>
      <c r="O2653" s="7" t="n"/>
      <c r="Q2653" s="7" t="n"/>
      <c r="R2653" s="7" t="n"/>
      <c r="S2653" s="8">
        <f>IF(NOT(ISNUMBER(M2653)),"",IF(G2653="Terreno",IF(AND(ISNUMBER(I2653),I2653&gt;0),M2653/I2653,""),IF(AND(ISNUMBER(H2653),H2653&gt;0),M2653/H2653,"")))</f>
        <v/>
      </c>
      <c r="T2653" s="9">
        <f>IF(AND(ISNUMBER(M2653),ISNUMBER(O2653)),IF(M2653&lt;=O2653,"Valor ≤ venal IPTU",""),"")</f>
        <v/>
      </c>
      <c r="U2653" s="10">
        <f>IF(AND(ISNUMBER(M2653),ISNUMBER(N2653)),IF(N2653&gt;0,M2653/N2653,""),"")</f>
        <v/>
      </c>
      <c r="V2653" s="10">
        <f>IF(AND(ISNUMBER(M2653),ISNUMBER(O2653)),IF(O2653&gt;0,M2653/O2653,""),"")</f>
        <v/>
      </c>
      <c r="W2653" s="10">
        <f>IF(AND(ISNUMBER(M2653),ISNUMBER(R2653)),IF(R2653&gt;0,M2653/R2653,""),"")</f>
        <v/>
      </c>
      <c r="X2653" s="10">
        <f>IF(AND(ISNUMBER(Q2653),ISNUMBER(M2653)),IF(M2653&gt;0,Q2653/M2653,""),"")</f>
        <v/>
      </c>
      <c r="Y2653" s="11">
        <f>IF(ISNUMBER(Z2653),YEAR(Z2653),"")</f>
        <v/>
      </c>
      <c r="Z2653" s="12" t="n"/>
      <c r="AA2653" s="12" t="n"/>
      <c r="AI2653" s="12" t="n"/>
      <c r="AJ2653" s="13">
        <f>IF(LEN(TRIM(AF2653))=0,"",HYPERLINK("https://www.google.com/maps/@?api=1&amp;map_action=pano&amp;viewpoint="&amp;SUBSTITUTE(AF2653," ",""),"Abrir Street View"))</f>
        <v/>
      </c>
    </row>
    <row r="2654">
      <c r="H2654" s="6" t="n"/>
      <c r="I2654" s="6" t="n"/>
      <c r="M2654" s="7" t="n"/>
      <c r="N2654" s="7" t="n"/>
      <c r="O2654" s="7" t="n"/>
      <c r="Q2654" s="7" t="n"/>
      <c r="R2654" s="7" t="n"/>
      <c r="S2654" s="8">
        <f>IF(NOT(ISNUMBER(M2654)),"",IF(G2654="Terreno",IF(AND(ISNUMBER(I2654),I2654&gt;0),M2654/I2654,""),IF(AND(ISNUMBER(H2654),H2654&gt;0),M2654/H2654,"")))</f>
        <v/>
      </c>
      <c r="T2654" s="9">
        <f>IF(AND(ISNUMBER(M2654),ISNUMBER(O2654)),IF(M2654&lt;=O2654,"Valor ≤ venal IPTU",""),"")</f>
        <v/>
      </c>
      <c r="U2654" s="10">
        <f>IF(AND(ISNUMBER(M2654),ISNUMBER(N2654)),IF(N2654&gt;0,M2654/N2654,""),"")</f>
        <v/>
      </c>
      <c r="V2654" s="10">
        <f>IF(AND(ISNUMBER(M2654),ISNUMBER(O2654)),IF(O2654&gt;0,M2654/O2654,""),"")</f>
        <v/>
      </c>
      <c r="W2654" s="10">
        <f>IF(AND(ISNUMBER(M2654),ISNUMBER(R2654)),IF(R2654&gt;0,M2654/R2654,""),"")</f>
        <v/>
      </c>
      <c r="X2654" s="10">
        <f>IF(AND(ISNUMBER(Q2654),ISNUMBER(M2654)),IF(M2654&gt;0,Q2654/M2654,""),"")</f>
        <v/>
      </c>
      <c r="Y2654" s="11">
        <f>IF(ISNUMBER(Z2654),YEAR(Z2654),"")</f>
        <v/>
      </c>
      <c r="Z2654" s="12" t="n"/>
      <c r="AA2654" s="12" t="n"/>
      <c r="AI2654" s="12" t="n"/>
      <c r="AJ2654" s="13">
        <f>IF(LEN(TRIM(AF2654))=0,"",HYPERLINK("https://www.google.com/maps/@?api=1&amp;map_action=pano&amp;viewpoint="&amp;SUBSTITUTE(AF2654," ",""),"Abrir Street View"))</f>
        <v/>
      </c>
    </row>
    <row r="2655">
      <c r="H2655" s="6" t="n"/>
      <c r="I2655" s="6" t="n"/>
      <c r="M2655" s="7" t="n"/>
      <c r="N2655" s="7" t="n"/>
      <c r="O2655" s="7" t="n"/>
      <c r="Q2655" s="7" t="n"/>
      <c r="R2655" s="7" t="n"/>
      <c r="S2655" s="8">
        <f>IF(NOT(ISNUMBER(M2655)),"",IF(G2655="Terreno",IF(AND(ISNUMBER(I2655),I2655&gt;0),M2655/I2655,""),IF(AND(ISNUMBER(H2655),H2655&gt;0),M2655/H2655,"")))</f>
        <v/>
      </c>
      <c r="T2655" s="9">
        <f>IF(AND(ISNUMBER(M2655),ISNUMBER(O2655)),IF(M2655&lt;=O2655,"Valor ≤ venal IPTU",""),"")</f>
        <v/>
      </c>
      <c r="U2655" s="10">
        <f>IF(AND(ISNUMBER(M2655),ISNUMBER(N2655)),IF(N2655&gt;0,M2655/N2655,""),"")</f>
        <v/>
      </c>
      <c r="V2655" s="10">
        <f>IF(AND(ISNUMBER(M2655),ISNUMBER(O2655)),IF(O2655&gt;0,M2655/O2655,""),"")</f>
        <v/>
      </c>
      <c r="W2655" s="10">
        <f>IF(AND(ISNUMBER(M2655),ISNUMBER(R2655)),IF(R2655&gt;0,M2655/R2655,""),"")</f>
        <v/>
      </c>
      <c r="X2655" s="10">
        <f>IF(AND(ISNUMBER(Q2655),ISNUMBER(M2655)),IF(M2655&gt;0,Q2655/M2655,""),"")</f>
        <v/>
      </c>
      <c r="Y2655" s="11">
        <f>IF(ISNUMBER(Z2655),YEAR(Z2655),"")</f>
        <v/>
      </c>
      <c r="Z2655" s="12" t="n"/>
      <c r="AA2655" s="12" t="n"/>
      <c r="AI2655" s="12" t="n"/>
      <c r="AJ2655" s="13">
        <f>IF(LEN(TRIM(AF2655))=0,"",HYPERLINK("https://www.google.com/maps/@?api=1&amp;map_action=pano&amp;viewpoint="&amp;SUBSTITUTE(AF2655," ",""),"Abrir Street View"))</f>
        <v/>
      </c>
    </row>
    <row r="2656">
      <c r="H2656" s="6" t="n"/>
      <c r="I2656" s="6" t="n"/>
      <c r="M2656" s="7" t="n"/>
      <c r="N2656" s="7" t="n"/>
      <c r="O2656" s="7" t="n"/>
      <c r="Q2656" s="7" t="n"/>
      <c r="R2656" s="7" t="n"/>
      <c r="S2656" s="8">
        <f>IF(NOT(ISNUMBER(M2656)),"",IF(G2656="Terreno",IF(AND(ISNUMBER(I2656),I2656&gt;0),M2656/I2656,""),IF(AND(ISNUMBER(H2656),H2656&gt;0),M2656/H2656,"")))</f>
        <v/>
      </c>
      <c r="T2656" s="9">
        <f>IF(AND(ISNUMBER(M2656),ISNUMBER(O2656)),IF(M2656&lt;=O2656,"Valor ≤ venal IPTU",""),"")</f>
        <v/>
      </c>
      <c r="U2656" s="10">
        <f>IF(AND(ISNUMBER(M2656),ISNUMBER(N2656)),IF(N2656&gt;0,M2656/N2656,""),"")</f>
        <v/>
      </c>
      <c r="V2656" s="10">
        <f>IF(AND(ISNUMBER(M2656),ISNUMBER(O2656)),IF(O2656&gt;0,M2656/O2656,""),"")</f>
        <v/>
      </c>
      <c r="W2656" s="10">
        <f>IF(AND(ISNUMBER(M2656),ISNUMBER(R2656)),IF(R2656&gt;0,M2656/R2656,""),"")</f>
        <v/>
      </c>
      <c r="X2656" s="10">
        <f>IF(AND(ISNUMBER(Q2656),ISNUMBER(M2656)),IF(M2656&gt;0,Q2656/M2656,""),"")</f>
        <v/>
      </c>
      <c r="Y2656" s="11">
        <f>IF(ISNUMBER(Z2656),YEAR(Z2656),"")</f>
        <v/>
      </c>
      <c r="Z2656" s="12" t="n"/>
      <c r="AA2656" s="12" t="n"/>
      <c r="AI2656" s="12" t="n"/>
      <c r="AJ2656" s="13">
        <f>IF(LEN(TRIM(AF2656))=0,"",HYPERLINK("https://www.google.com/maps/@?api=1&amp;map_action=pano&amp;viewpoint="&amp;SUBSTITUTE(AF2656," ",""),"Abrir Street View"))</f>
        <v/>
      </c>
    </row>
    <row r="2657">
      <c r="H2657" s="6" t="n"/>
      <c r="I2657" s="6" t="n"/>
      <c r="M2657" s="7" t="n"/>
      <c r="N2657" s="7" t="n"/>
      <c r="O2657" s="7" t="n"/>
      <c r="Q2657" s="7" t="n"/>
      <c r="R2657" s="7" t="n"/>
      <c r="S2657" s="8">
        <f>IF(NOT(ISNUMBER(M2657)),"",IF(G2657="Terreno",IF(AND(ISNUMBER(I2657),I2657&gt;0),M2657/I2657,""),IF(AND(ISNUMBER(H2657),H2657&gt;0),M2657/H2657,"")))</f>
        <v/>
      </c>
      <c r="T2657" s="9">
        <f>IF(AND(ISNUMBER(M2657),ISNUMBER(O2657)),IF(M2657&lt;=O2657,"Valor ≤ venal IPTU",""),"")</f>
        <v/>
      </c>
      <c r="U2657" s="10">
        <f>IF(AND(ISNUMBER(M2657),ISNUMBER(N2657)),IF(N2657&gt;0,M2657/N2657,""),"")</f>
        <v/>
      </c>
      <c r="V2657" s="10">
        <f>IF(AND(ISNUMBER(M2657),ISNUMBER(O2657)),IF(O2657&gt;0,M2657/O2657,""),"")</f>
        <v/>
      </c>
      <c r="W2657" s="10">
        <f>IF(AND(ISNUMBER(M2657),ISNUMBER(R2657)),IF(R2657&gt;0,M2657/R2657,""),"")</f>
        <v/>
      </c>
      <c r="X2657" s="10">
        <f>IF(AND(ISNUMBER(Q2657),ISNUMBER(M2657)),IF(M2657&gt;0,Q2657/M2657,""),"")</f>
        <v/>
      </c>
      <c r="Y2657" s="11">
        <f>IF(ISNUMBER(Z2657),YEAR(Z2657),"")</f>
        <v/>
      </c>
      <c r="Z2657" s="12" t="n"/>
      <c r="AA2657" s="12" t="n"/>
      <c r="AI2657" s="12" t="n"/>
      <c r="AJ2657" s="13">
        <f>IF(LEN(TRIM(AF2657))=0,"",HYPERLINK("https://www.google.com/maps/@?api=1&amp;map_action=pano&amp;viewpoint="&amp;SUBSTITUTE(AF2657," ",""),"Abrir Street View"))</f>
        <v/>
      </c>
    </row>
    <row r="2658">
      <c r="H2658" s="6" t="n"/>
      <c r="I2658" s="6" t="n"/>
      <c r="M2658" s="7" t="n"/>
      <c r="N2658" s="7" t="n"/>
      <c r="O2658" s="7" t="n"/>
      <c r="Q2658" s="7" t="n"/>
      <c r="R2658" s="7" t="n"/>
      <c r="S2658" s="8">
        <f>IF(NOT(ISNUMBER(M2658)),"",IF(G2658="Terreno",IF(AND(ISNUMBER(I2658),I2658&gt;0),M2658/I2658,""),IF(AND(ISNUMBER(H2658),H2658&gt;0),M2658/H2658,"")))</f>
        <v/>
      </c>
      <c r="T2658" s="9">
        <f>IF(AND(ISNUMBER(M2658),ISNUMBER(O2658)),IF(M2658&lt;=O2658,"Valor ≤ venal IPTU",""),"")</f>
        <v/>
      </c>
      <c r="U2658" s="10">
        <f>IF(AND(ISNUMBER(M2658),ISNUMBER(N2658)),IF(N2658&gt;0,M2658/N2658,""),"")</f>
        <v/>
      </c>
      <c r="V2658" s="10">
        <f>IF(AND(ISNUMBER(M2658),ISNUMBER(O2658)),IF(O2658&gt;0,M2658/O2658,""),"")</f>
        <v/>
      </c>
      <c r="W2658" s="10">
        <f>IF(AND(ISNUMBER(M2658),ISNUMBER(R2658)),IF(R2658&gt;0,M2658/R2658,""),"")</f>
        <v/>
      </c>
      <c r="X2658" s="10">
        <f>IF(AND(ISNUMBER(Q2658),ISNUMBER(M2658)),IF(M2658&gt;0,Q2658/M2658,""),"")</f>
        <v/>
      </c>
      <c r="Y2658" s="11">
        <f>IF(ISNUMBER(Z2658),YEAR(Z2658),"")</f>
        <v/>
      </c>
      <c r="Z2658" s="12" t="n"/>
      <c r="AA2658" s="12" t="n"/>
      <c r="AI2658" s="12" t="n"/>
      <c r="AJ2658" s="13">
        <f>IF(LEN(TRIM(AF2658))=0,"",HYPERLINK("https://www.google.com/maps/@?api=1&amp;map_action=pano&amp;viewpoint="&amp;SUBSTITUTE(AF2658," ",""),"Abrir Street View"))</f>
        <v/>
      </c>
    </row>
    <row r="2659">
      <c r="H2659" s="6" t="n"/>
      <c r="I2659" s="6" t="n"/>
      <c r="M2659" s="7" t="n"/>
      <c r="N2659" s="7" t="n"/>
      <c r="O2659" s="7" t="n"/>
      <c r="Q2659" s="7" t="n"/>
      <c r="R2659" s="7" t="n"/>
      <c r="S2659" s="8">
        <f>IF(NOT(ISNUMBER(M2659)),"",IF(G2659="Terreno",IF(AND(ISNUMBER(I2659),I2659&gt;0),M2659/I2659,""),IF(AND(ISNUMBER(H2659),H2659&gt;0),M2659/H2659,"")))</f>
        <v/>
      </c>
      <c r="T2659" s="9">
        <f>IF(AND(ISNUMBER(M2659),ISNUMBER(O2659)),IF(M2659&lt;=O2659,"Valor ≤ venal IPTU",""),"")</f>
        <v/>
      </c>
      <c r="U2659" s="10">
        <f>IF(AND(ISNUMBER(M2659),ISNUMBER(N2659)),IF(N2659&gt;0,M2659/N2659,""),"")</f>
        <v/>
      </c>
      <c r="V2659" s="10">
        <f>IF(AND(ISNUMBER(M2659),ISNUMBER(O2659)),IF(O2659&gt;0,M2659/O2659,""),"")</f>
        <v/>
      </c>
      <c r="W2659" s="10">
        <f>IF(AND(ISNUMBER(M2659),ISNUMBER(R2659)),IF(R2659&gt;0,M2659/R2659,""),"")</f>
        <v/>
      </c>
      <c r="X2659" s="10">
        <f>IF(AND(ISNUMBER(Q2659),ISNUMBER(M2659)),IF(M2659&gt;0,Q2659/M2659,""),"")</f>
        <v/>
      </c>
      <c r="Y2659" s="11">
        <f>IF(ISNUMBER(Z2659),YEAR(Z2659),"")</f>
        <v/>
      </c>
      <c r="Z2659" s="12" t="n"/>
      <c r="AA2659" s="12" t="n"/>
      <c r="AI2659" s="12" t="n"/>
      <c r="AJ2659" s="13">
        <f>IF(LEN(TRIM(AF2659))=0,"",HYPERLINK("https://www.google.com/maps/@?api=1&amp;map_action=pano&amp;viewpoint="&amp;SUBSTITUTE(AF2659," ",""),"Abrir Street View"))</f>
        <v/>
      </c>
    </row>
    <row r="2660">
      <c r="H2660" s="6" t="n"/>
      <c r="I2660" s="6" t="n"/>
      <c r="M2660" s="7" t="n"/>
      <c r="N2660" s="7" t="n"/>
      <c r="O2660" s="7" t="n"/>
      <c r="Q2660" s="7" t="n"/>
      <c r="R2660" s="7" t="n"/>
      <c r="S2660" s="8">
        <f>IF(NOT(ISNUMBER(M2660)),"",IF(G2660="Terreno",IF(AND(ISNUMBER(I2660),I2660&gt;0),M2660/I2660,""),IF(AND(ISNUMBER(H2660),H2660&gt;0),M2660/H2660,"")))</f>
        <v/>
      </c>
      <c r="T2660" s="9">
        <f>IF(AND(ISNUMBER(M2660),ISNUMBER(O2660)),IF(M2660&lt;=O2660,"Valor ≤ venal IPTU",""),"")</f>
        <v/>
      </c>
      <c r="U2660" s="10">
        <f>IF(AND(ISNUMBER(M2660),ISNUMBER(N2660)),IF(N2660&gt;0,M2660/N2660,""),"")</f>
        <v/>
      </c>
      <c r="V2660" s="10">
        <f>IF(AND(ISNUMBER(M2660),ISNUMBER(O2660)),IF(O2660&gt;0,M2660/O2660,""),"")</f>
        <v/>
      </c>
      <c r="W2660" s="10">
        <f>IF(AND(ISNUMBER(M2660),ISNUMBER(R2660)),IF(R2660&gt;0,M2660/R2660,""),"")</f>
        <v/>
      </c>
      <c r="X2660" s="10">
        <f>IF(AND(ISNUMBER(Q2660),ISNUMBER(M2660)),IF(M2660&gt;0,Q2660/M2660,""),"")</f>
        <v/>
      </c>
      <c r="Y2660" s="11">
        <f>IF(ISNUMBER(Z2660),YEAR(Z2660),"")</f>
        <v/>
      </c>
      <c r="Z2660" s="12" t="n"/>
      <c r="AA2660" s="12" t="n"/>
      <c r="AI2660" s="12" t="n"/>
      <c r="AJ2660" s="13">
        <f>IF(LEN(TRIM(AF2660))=0,"",HYPERLINK("https://www.google.com/maps/@?api=1&amp;map_action=pano&amp;viewpoint="&amp;SUBSTITUTE(AF2660," ",""),"Abrir Street View"))</f>
        <v/>
      </c>
    </row>
    <row r="2661">
      <c r="H2661" s="6" t="n"/>
      <c r="I2661" s="6" t="n"/>
      <c r="M2661" s="7" t="n"/>
      <c r="N2661" s="7" t="n"/>
      <c r="O2661" s="7" t="n"/>
      <c r="Q2661" s="7" t="n"/>
      <c r="R2661" s="7" t="n"/>
      <c r="S2661" s="8">
        <f>IF(NOT(ISNUMBER(M2661)),"",IF(G2661="Terreno",IF(AND(ISNUMBER(I2661),I2661&gt;0),M2661/I2661,""),IF(AND(ISNUMBER(H2661),H2661&gt;0),M2661/H2661,"")))</f>
        <v/>
      </c>
      <c r="T2661" s="9">
        <f>IF(AND(ISNUMBER(M2661),ISNUMBER(O2661)),IF(M2661&lt;=O2661,"Valor ≤ venal IPTU",""),"")</f>
        <v/>
      </c>
      <c r="U2661" s="10">
        <f>IF(AND(ISNUMBER(M2661),ISNUMBER(N2661)),IF(N2661&gt;0,M2661/N2661,""),"")</f>
        <v/>
      </c>
      <c r="V2661" s="10">
        <f>IF(AND(ISNUMBER(M2661),ISNUMBER(O2661)),IF(O2661&gt;0,M2661/O2661,""),"")</f>
        <v/>
      </c>
      <c r="W2661" s="10">
        <f>IF(AND(ISNUMBER(M2661),ISNUMBER(R2661)),IF(R2661&gt;0,M2661/R2661,""),"")</f>
        <v/>
      </c>
      <c r="X2661" s="10">
        <f>IF(AND(ISNUMBER(Q2661),ISNUMBER(M2661)),IF(M2661&gt;0,Q2661/M2661,""),"")</f>
        <v/>
      </c>
      <c r="Y2661" s="11">
        <f>IF(ISNUMBER(Z2661),YEAR(Z2661),"")</f>
        <v/>
      </c>
      <c r="Z2661" s="12" t="n"/>
      <c r="AA2661" s="12" t="n"/>
      <c r="AI2661" s="12" t="n"/>
      <c r="AJ2661" s="13">
        <f>IF(LEN(TRIM(AF2661))=0,"",HYPERLINK("https://www.google.com/maps/@?api=1&amp;map_action=pano&amp;viewpoint="&amp;SUBSTITUTE(AF2661," ",""),"Abrir Street View"))</f>
        <v/>
      </c>
    </row>
    <row r="2662">
      <c r="H2662" s="6" t="n"/>
      <c r="I2662" s="6" t="n"/>
      <c r="M2662" s="7" t="n"/>
      <c r="N2662" s="7" t="n"/>
      <c r="O2662" s="7" t="n"/>
      <c r="Q2662" s="7" t="n"/>
      <c r="R2662" s="7" t="n"/>
      <c r="S2662" s="8">
        <f>IF(NOT(ISNUMBER(M2662)),"",IF(G2662="Terreno",IF(AND(ISNUMBER(I2662),I2662&gt;0),M2662/I2662,""),IF(AND(ISNUMBER(H2662),H2662&gt;0),M2662/H2662,"")))</f>
        <v/>
      </c>
      <c r="T2662" s="9">
        <f>IF(AND(ISNUMBER(M2662),ISNUMBER(O2662)),IF(M2662&lt;=O2662,"Valor ≤ venal IPTU",""),"")</f>
        <v/>
      </c>
      <c r="U2662" s="10">
        <f>IF(AND(ISNUMBER(M2662),ISNUMBER(N2662)),IF(N2662&gt;0,M2662/N2662,""),"")</f>
        <v/>
      </c>
      <c r="V2662" s="10">
        <f>IF(AND(ISNUMBER(M2662),ISNUMBER(O2662)),IF(O2662&gt;0,M2662/O2662,""),"")</f>
        <v/>
      </c>
      <c r="W2662" s="10">
        <f>IF(AND(ISNUMBER(M2662),ISNUMBER(R2662)),IF(R2662&gt;0,M2662/R2662,""),"")</f>
        <v/>
      </c>
      <c r="X2662" s="10">
        <f>IF(AND(ISNUMBER(Q2662),ISNUMBER(M2662)),IF(M2662&gt;0,Q2662/M2662,""),"")</f>
        <v/>
      </c>
      <c r="Y2662" s="11">
        <f>IF(ISNUMBER(Z2662),YEAR(Z2662),"")</f>
        <v/>
      </c>
      <c r="Z2662" s="12" t="n"/>
      <c r="AA2662" s="12" t="n"/>
      <c r="AI2662" s="12" t="n"/>
      <c r="AJ2662" s="13">
        <f>IF(LEN(TRIM(AF2662))=0,"",HYPERLINK("https://www.google.com/maps/@?api=1&amp;map_action=pano&amp;viewpoint="&amp;SUBSTITUTE(AF2662," ",""),"Abrir Street View"))</f>
        <v/>
      </c>
    </row>
    <row r="2663">
      <c r="H2663" s="6" t="n"/>
      <c r="I2663" s="6" t="n"/>
      <c r="M2663" s="7" t="n"/>
      <c r="N2663" s="7" t="n"/>
      <c r="O2663" s="7" t="n"/>
      <c r="Q2663" s="7" t="n"/>
      <c r="R2663" s="7" t="n"/>
      <c r="S2663" s="8">
        <f>IF(NOT(ISNUMBER(M2663)),"",IF(G2663="Terreno",IF(AND(ISNUMBER(I2663),I2663&gt;0),M2663/I2663,""),IF(AND(ISNUMBER(H2663),H2663&gt;0),M2663/H2663,"")))</f>
        <v/>
      </c>
      <c r="T2663" s="9">
        <f>IF(AND(ISNUMBER(M2663),ISNUMBER(O2663)),IF(M2663&lt;=O2663,"Valor ≤ venal IPTU",""),"")</f>
        <v/>
      </c>
      <c r="U2663" s="10">
        <f>IF(AND(ISNUMBER(M2663),ISNUMBER(N2663)),IF(N2663&gt;0,M2663/N2663,""),"")</f>
        <v/>
      </c>
      <c r="V2663" s="10">
        <f>IF(AND(ISNUMBER(M2663),ISNUMBER(O2663)),IF(O2663&gt;0,M2663/O2663,""),"")</f>
        <v/>
      </c>
      <c r="W2663" s="10">
        <f>IF(AND(ISNUMBER(M2663),ISNUMBER(R2663)),IF(R2663&gt;0,M2663/R2663,""),"")</f>
        <v/>
      </c>
      <c r="X2663" s="10">
        <f>IF(AND(ISNUMBER(Q2663),ISNUMBER(M2663)),IF(M2663&gt;0,Q2663/M2663,""),"")</f>
        <v/>
      </c>
      <c r="Y2663" s="11">
        <f>IF(ISNUMBER(Z2663),YEAR(Z2663),"")</f>
        <v/>
      </c>
      <c r="Z2663" s="12" t="n"/>
      <c r="AA2663" s="12" t="n"/>
      <c r="AI2663" s="12" t="n"/>
      <c r="AJ2663" s="13">
        <f>IF(LEN(TRIM(AF2663))=0,"",HYPERLINK("https://www.google.com/maps/@?api=1&amp;map_action=pano&amp;viewpoint="&amp;SUBSTITUTE(AF2663," ",""),"Abrir Street View"))</f>
        <v/>
      </c>
    </row>
    <row r="2664">
      <c r="H2664" s="6" t="n"/>
      <c r="I2664" s="6" t="n"/>
      <c r="M2664" s="7" t="n"/>
      <c r="N2664" s="7" t="n"/>
      <c r="O2664" s="7" t="n"/>
      <c r="Q2664" s="7" t="n"/>
      <c r="R2664" s="7" t="n"/>
      <c r="S2664" s="8">
        <f>IF(NOT(ISNUMBER(M2664)),"",IF(G2664="Terreno",IF(AND(ISNUMBER(I2664),I2664&gt;0),M2664/I2664,""),IF(AND(ISNUMBER(H2664),H2664&gt;0),M2664/H2664,"")))</f>
        <v/>
      </c>
      <c r="T2664" s="9">
        <f>IF(AND(ISNUMBER(M2664),ISNUMBER(O2664)),IF(M2664&lt;=O2664,"Valor ≤ venal IPTU",""),"")</f>
        <v/>
      </c>
      <c r="U2664" s="10">
        <f>IF(AND(ISNUMBER(M2664),ISNUMBER(N2664)),IF(N2664&gt;0,M2664/N2664,""),"")</f>
        <v/>
      </c>
      <c r="V2664" s="10">
        <f>IF(AND(ISNUMBER(M2664),ISNUMBER(O2664)),IF(O2664&gt;0,M2664/O2664,""),"")</f>
        <v/>
      </c>
      <c r="W2664" s="10">
        <f>IF(AND(ISNUMBER(M2664),ISNUMBER(R2664)),IF(R2664&gt;0,M2664/R2664,""),"")</f>
        <v/>
      </c>
      <c r="X2664" s="10">
        <f>IF(AND(ISNUMBER(Q2664),ISNUMBER(M2664)),IF(M2664&gt;0,Q2664/M2664,""),"")</f>
        <v/>
      </c>
      <c r="Y2664" s="11">
        <f>IF(ISNUMBER(Z2664),YEAR(Z2664),"")</f>
        <v/>
      </c>
      <c r="Z2664" s="12" t="n"/>
      <c r="AA2664" s="12" t="n"/>
      <c r="AI2664" s="12" t="n"/>
      <c r="AJ2664" s="13">
        <f>IF(LEN(TRIM(AF2664))=0,"",HYPERLINK("https://www.google.com/maps/@?api=1&amp;map_action=pano&amp;viewpoint="&amp;SUBSTITUTE(AF2664," ",""),"Abrir Street View"))</f>
        <v/>
      </c>
    </row>
    <row r="2665">
      <c r="H2665" s="6" t="n"/>
      <c r="I2665" s="6" t="n"/>
      <c r="M2665" s="7" t="n"/>
      <c r="N2665" s="7" t="n"/>
      <c r="O2665" s="7" t="n"/>
      <c r="Q2665" s="7" t="n"/>
      <c r="R2665" s="7" t="n"/>
      <c r="S2665" s="8">
        <f>IF(NOT(ISNUMBER(M2665)),"",IF(G2665="Terreno",IF(AND(ISNUMBER(I2665),I2665&gt;0),M2665/I2665,""),IF(AND(ISNUMBER(H2665),H2665&gt;0),M2665/H2665,"")))</f>
        <v/>
      </c>
      <c r="T2665" s="9">
        <f>IF(AND(ISNUMBER(M2665),ISNUMBER(O2665)),IF(M2665&lt;=O2665,"Valor ≤ venal IPTU",""),"")</f>
        <v/>
      </c>
      <c r="U2665" s="10">
        <f>IF(AND(ISNUMBER(M2665),ISNUMBER(N2665)),IF(N2665&gt;0,M2665/N2665,""),"")</f>
        <v/>
      </c>
      <c r="V2665" s="10">
        <f>IF(AND(ISNUMBER(M2665),ISNUMBER(O2665)),IF(O2665&gt;0,M2665/O2665,""),"")</f>
        <v/>
      </c>
      <c r="W2665" s="10">
        <f>IF(AND(ISNUMBER(M2665),ISNUMBER(R2665)),IF(R2665&gt;0,M2665/R2665,""),"")</f>
        <v/>
      </c>
      <c r="X2665" s="10">
        <f>IF(AND(ISNUMBER(Q2665),ISNUMBER(M2665)),IF(M2665&gt;0,Q2665/M2665,""),"")</f>
        <v/>
      </c>
      <c r="Y2665" s="11">
        <f>IF(ISNUMBER(Z2665),YEAR(Z2665),"")</f>
        <v/>
      </c>
      <c r="Z2665" s="12" t="n"/>
      <c r="AA2665" s="12" t="n"/>
      <c r="AI2665" s="12" t="n"/>
      <c r="AJ2665" s="13">
        <f>IF(LEN(TRIM(AF2665))=0,"",HYPERLINK("https://www.google.com/maps/@?api=1&amp;map_action=pano&amp;viewpoint="&amp;SUBSTITUTE(AF2665," ",""),"Abrir Street View"))</f>
        <v/>
      </c>
    </row>
    <row r="2666">
      <c r="H2666" s="6" t="n"/>
      <c r="I2666" s="6" t="n"/>
      <c r="M2666" s="7" t="n"/>
      <c r="N2666" s="7" t="n"/>
      <c r="O2666" s="7" t="n"/>
      <c r="Q2666" s="7" t="n"/>
      <c r="R2666" s="7" t="n"/>
      <c r="S2666" s="8">
        <f>IF(NOT(ISNUMBER(M2666)),"",IF(G2666="Terreno",IF(AND(ISNUMBER(I2666),I2666&gt;0),M2666/I2666,""),IF(AND(ISNUMBER(H2666),H2666&gt;0),M2666/H2666,"")))</f>
        <v/>
      </c>
      <c r="T2666" s="9">
        <f>IF(AND(ISNUMBER(M2666),ISNUMBER(O2666)),IF(M2666&lt;=O2666,"Valor ≤ venal IPTU",""),"")</f>
        <v/>
      </c>
      <c r="U2666" s="10">
        <f>IF(AND(ISNUMBER(M2666),ISNUMBER(N2666)),IF(N2666&gt;0,M2666/N2666,""),"")</f>
        <v/>
      </c>
      <c r="V2666" s="10">
        <f>IF(AND(ISNUMBER(M2666),ISNUMBER(O2666)),IF(O2666&gt;0,M2666/O2666,""),"")</f>
        <v/>
      </c>
      <c r="W2666" s="10">
        <f>IF(AND(ISNUMBER(M2666),ISNUMBER(R2666)),IF(R2666&gt;0,M2666/R2666,""),"")</f>
        <v/>
      </c>
      <c r="X2666" s="10">
        <f>IF(AND(ISNUMBER(Q2666),ISNUMBER(M2666)),IF(M2666&gt;0,Q2666/M2666,""),"")</f>
        <v/>
      </c>
      <c r="Y2666" s="11">
        <f>IF(ISNUMBER(Z2666),YEAR(Z2666),"")</f>
        <v/>
      </c>
      <c r="Z2666" s="12" t="n"/>
      <c r="AA2666" s="12" t="n"/>
      <c r="AI2666" s="12" t="n"/>
      <c r="AJ2666" s="13">
        <f>IF(LEN(TRIM(AF2666))=0,"",HYPERLINK("https://www.google.com/maps/@?api=1&amp;map_action=pano&amp;viewpoint="&amp;SUBSTITUTE(AF2666," ",""),"Abrir Street View"))</f>
        <v/>
      </c>
    </row>
    <row r="2667">
      <c r="H2667" s="6" t="n"/>
      <c r="I2667" s="6" t="n"/>
      <c r="M2667" s="7" t="n"/>
      <c r="N2667" s="7" t="n"/>
      <c r="O2667" s="7" t="n"/>
      <c r="Q2667" s="7" t="n"/>
      <c r="R2667" s="7" t="n"/>
      <c r="S2667" s="8">
        <f>IF(NOT(ISNUMBER(M2667)),"",IF(G2667="Terreno",IF(AND(ISNUMBER(I2667),I2667&gt;0),M2667/I2667,""),IF(AND(ISNUMBER(H2667),H2667&gt;0),M2667/H2667,"")))</f>
        <v/>
      </c>
      <c r="T2667" s="9">
        <f>IF(AND(ISNUMBER(M2667),ISNUMBER(O2667)),IF(M2667&lt;=O2667,"Valor ≤ venal IPTU",""),"")</f>
        <v/>
      </c>
      <c r="U2667" s="10">
        <f>IF(AND(ISNUMBER(M2667),ISNUMBER(N2667)),IF(N2667&gt;0,M2667/N2667,""),"")</f>
        <v/>
      </c>
      <c r="V2667" s="10">
        <f>IF(AND(ISNUMBER(M2667),ISNUMBER(O2667)),IF(O2667&gt;0,M2667/O2667,""),"")</f>
        <v/>
      </c>
      <c r="W2667" s="10">
        <f>IF(AND(ISNUMBER(M2667),ISNUMBER(R2667)),IF(R2667&gt;0,M2667/R2667,""),"")</f>
        <v/>
      </c>
      <c r="X2667" s="10">
        <f>IF(AND(ISNUMBER(Q2667),ISNUMBER(M2667)),IF(M2667&gt;0,Q2667/M2667,""),"")</f>
        <v/>
      </c>
      <c r="Y2667" s="11">
        <f>IF(ISNUMBER(Z2667),YEAR(Z2667),"")</f>
        <v/>
      </c>
      <c r="Z2667" s="12" t="n"/>
      <c r="AA2667" s="12" t="n"/>
      <c r="AI2667" s="12" t="n"/>
      <c r="AJ2667" s="13">
        <f>IF(LEN(TRIM(AF2667))=0,"",HYPERLINK("https://www.google.com/maps/@?api=1&amp;map_action=pano&amp;viewpoint="&amp;SUBSTITUTE(AF2667," ",""),"Abrir Street View"))</f>
        <v/>
      </c>
    </row>
    <row r="2668">
      <c r="H2668" s="6" t="n"/>
      <c r="I2668" s="6" t="n"/>
      <c r="M2668" s="7" t="n"/>
      <c r="N2668" s="7" t="n"/>
      <c r="O2668" s="7" t="n"/>
      <c r="Q2668" s="7" t="n"/>
      <c r="R2668" s="7" t="n"/>
      <c r="S2668" s="8">
        <f>IF(NOT(ISNUMBER(M2668)),"",IF(G2668="Terreno",IF(AND(ISNUMBER(I2668),I2668&gt;0),M2668/I2668,""),IF(AND(ISNUMBER(H2668),H2668&gt;0),M2668/H2668,"")))</f>
        <v/>
      </c>
      <c r="T2668" s="9">
        <f>IF(AND(ISNUMBER(M2668),ISNUMBER(O2668)),IF(M2668&lt;=O2668,"Valor ≤ venal IPTU",""),"")</f>
        <v/>
      </c>
      <c r="U2668" s="10">
        <f>IF(AND(ISNUMBER(M2668),ISNUMBER(N2668)),IF(N2668&gt;0,M2668/N2668,""),"")</f>
        <v/>
      </c>
      <c r="V2668" s="10">
        <f>IF(AND(ISNUMBER(M2668),ISNUMBER(O2668)),IF(O2668&gt;0,M2668/O2668,""),"")</f>
        <v/>
      </c>
      <c r="W2668" s="10">
        <f>IF(AND(ISNUMBER(M2668),ISNUMBER(R2668)),IF(R2668&gt;0,M2668/R2668,""),"")</f>
        <v/>
      </c>
      <c r="X2668" s="10">
        <f>IF(AND(ISNUMBER(Q2668),ISNUMBER(M2668)),IF(M2668&gt;0,Q2668/M2668,""),"")</f>
        <v/>
      </c>
      <c r="Y2668" s="11">
        <f>IF(ISNUMBER(Z2668),YEAR(Z2668),"")</f>
        <v/>
      </c>
      <c r="Z2668" s="12" t="n"/>
      <c r="AA2668" s="12" t="n"/>
      <c r="AI2668" s="12" t="n"/>
      <c r="AJ2668" s="13">
        <f>IF(LEN(TRIM(AF2668))=0,"",HYPERLINK("https://www.google.com/maps/@?api=1&amp;map_action=pano&amp;viewpoint="&amp;SUBSTITUTE(AF2668," ",""),"Abrir Street View"))</f>
        <v/>
      </c>
    </row>
    <row r="2669">
      <c r="H2669" s="6" t="n"/>
      <c r="I2669" s="6" t="n"/>
      <c r="M2669" s="7" t="n"/>
      <c r="N2669" s="7" t="n"/>
      <c r="O2669" s="7" t="n"/>
      <c r="Q2669" s="7" t="n"/>
      <c r="R2669" s="7" t="n"/>
      <c r="S2669" s="8">
        <f>IF(NOT(ISNUMBER(M2669)),"",IF(G2669="Terreno",IF(AND(ISNUMBER(I2669),I2669&gt;0),M2669/I2669,""),IF(AND(ISNUMBER(H2669),H2669&gt;0),M2669/H2669,"")))</f>
        <v/>
      </c>
      <c r="T2669" s="9">
        <f>IF(AND(ISNUMBER(M2669),ISNUMBER(O2669)),IF(M2669&lt;=O2669,"Valor ≤ venal IPTU",""),"")</f>
        <v/>
      </c>
      <c r="U2669" s="10">
        <f>IF(AND(ISNUMBER(M2669),ISNUMBER(N2669)),IF(N2669&gt;0,M2669/N2669,""),"")</f>
        <v/>
      </c>
      <c r="V2669" s="10">
        <f>IF(AND(ISNUMBER(M2669),ISNUMBER(O2669)),IF(O2669&gt;0,M2669/O2669,""),"")</f>
        <v/>
      </c>
      <c r="W2669" s="10">
        <f>IF(AND(ISNUMBER(M2669),ISNUMBER(R2669)),IF(R2669&gt;0,M2669/R2669,""),"")</f>
        <v/>
      </c>
      <c r="X2669" s="10">
        <f>IF(AND(ISNUMBER(Q2669),ISNUMBER(M2669)),IF(M2669&gt;0,Q2669/M2669,""),"")</f>
        <v/>
      </c>
      <c r="Y2669" s="11">
        <f>IF(ISNUMBER(Z2669),YEAR(Z2669),"")</f>
        <v/>
      </c>
      <c r="Z2669" s="12" t="n"/>
      <c r="AA2669" s="12" t="n"/>
      <c r="AI2669" s="12" t="n"/>
      <c r="AJ2669" s="13">
        <f>IF(LEN(TRIM(AF2669))=0,"",HYPERLINK("https://www.google.com/maps/@?api=1&amp;map_action=pano&amp;viewpoint="&amp;SUBSTITUTE(AF2669," ",""),"Abrir Street View"))</f>
        <v/>
      </c>
    </row>
    <row r="2670">
      <c r="H2670" s="6" t="n"/>
      <c r="I2670" s="6" t="n"/>
      <c r="M2670" s="7" t="n"/>
      <c r="N2670" s="7" t="n"/>
      <c r="O2670" s="7" t="n"/>
      <c r="Q2670" s="7" t="n"/>
      <c r="R2670" s="7" t="n"/>
      <c r="S2670" s="8">
        <f>IF(NOT(ISNUMBER(M2670)),"",IF(G2670="Terreno",IF(AND(ISNUMBER(I2670),I2670&gt;0),M2670/I2670,""),IF(AND(ISNUMBER(H2670),H2670&gt;0),M2670/H2670,"")))</f>
        <v/>
      </c>
      <c r="T2670" s="9">
        <f>IF(AND(ISNUMBER(M2670),ISNUMBER(O2670)),IF(M2670&lt;=O2670,"Valor ≤ venal IPTU",""),"")</f>
        <v/>
      </c>
      <c r="U2670" s="10">
        <f>IF(AND(ISNUMBER(M2670),ISNUMBER(N2670)),IF(N2670&gt;0,M2670/N2670,""),"")</f>
        <v/>
      </c>
      <c r="V2670" s="10">
        <f>IF(AND(ISNUMBER(M2670),ISNUMBER(O2670)),IF(O2670&gt;0,M2670/O2670,""),"")</f>
        <v/>
      </c>
      <c r="W2670" s="10">
        <f>IF(AND(ISNUMBER(M2670),ISNUMBER(R2670)),IF(R2670&gt;0,M2670/R2670,""),"")</f>
        <v/>
      </c>
      <c r="X2670" s="10">
        <f>IF(AND(ISNUMBER(Q2670),ISNUMBER(M2670)),IF(M2670&gt;0,Q2670/M2670,""),"")</f>
        <v/>
      </c>
      <c r="Y2670" s="11">
        <f>IF(ISNUMBER(Z2670),YEAR(Z2670),"")</f>
        <v/>
      </c>
      <c r="Z2670" s="12" t="n"/>
      <c r="AA2670" s="12" t="n"/>
      <c r="AI2670" s="12" t="n"/>
      <c r="AJ2670" s="13">
        <f>IF(LEN(TRIM(AF2670))=0,"",HYPERLINK("https://www.google.com/maps/@?api=1&amp;map_action=pano&amp;viewpoint="&amp;SUBSTITUTE(AF2670," ",""),"Abrir Street View"))</f>
        <v/>
      </c>
    </row>
    <row r="2671">
      <c r="H2671" s="6" t="n"/>
      <c r="I2671" s="6" t="n"/>
      <c r="M2671" s="7" t="n"/>
      <c r="N2671" s="7" t="n"/>
      <c r="O2671" s="7" t="n"/>
      <c r="Q2671" s="7" t="n"/>
      <c r="R2671" s="7" t="n"/>
      <c r="S2671" s="8">
        <f>IF(NOT(ISNUMBER(M2671)),"",IF(G2671="Terreno",IF(AND(ISNUMBER(I2671),I2671&gt;0),M2671/I2671,""),IF(AND(ISNUMBER(H2671),H2671&gt;0),M2671/H2671,"")))</f>
        <v/>
      </c>
      <c r="T2671" s="9">
        <f>IF(AND(ISNUMBER(M2671),ISNUMBER(O2671)),IF(M2671&lt;=O2671,"Valor ≤ venal IPTU",""),"")</f>
        <v/>
      </c>
      <c r="U2671" s="10">
        <f>IF(AND(ISNUMBER(M2671),ISNUMBER(N2671)),IF(N2671&gt;0,M2671/N2671,""),"")</f>
        <v/>
      </c>
      <c r="V2671" s="10">
        <f>IF(AND(ISNUMBER(M2671),ISNUMBER(O2671)),IF(O2671&gt;0,M2671/O2671,""),"")</f>
        <v/>
      </c>
      <c r="W2671" s="10">
        <f>IF(AND(ISNUMBER(M2671),ISNUMBER(R2671)),IF(R2671&gt;0,M2671/R2671,""),"")</f>
        <v/>
      </c>
      <c r="X2671" s="10">
        <f>IF(AND(ISNUMBER(Q2671),ISNUMBER(M2671)),IF(M2671&gt;0,Q2671/M2671,""),"")</f>
        <v/>
      </c>
      <c r="Y2671" s="11">
        <f>IF(ISNUMBER(Z2671),YEAR(Z2671),"")</f>
        <v/>
      </c>
      <c r="Z2671" s="12" t="n"/>
      <c r="AA2671" s="12" t="n"/>
      <c r="AI2671" s="12" t="n"/>
      <c r="AJ2671" s="13">
        <f>IF(LEN(TRIM(AF2671))=0,"",HYPERLINK("https://www.google.com/maps/@?api=1&amp;map_action=pano&amp;viewpoint="&amp;SUBSTITUTE(AF2671," ",""),"Abrir Street View"))</f>
        <v/>
      </c>
    </row>
    <row r="2672">
      <c r="H2672" s="6" t="n"/>
      <c r="I2672" s="6" t="n"/>
      <c r="M2672" s="7" t="n"/>
      <c r="N2672" s="7" t="n"/>
      <c r="O2672" s="7" t="n"/>
      <c r="Q2672" s="7" t="n"/>
      <c r="R2672" s="7" t="n"/>
      <c r="S2672" s="8">
        <f>IF(NOT(ISNUMBER(M2672)),"",IF(G2672="Terreno",IF(AND(ISNUMBER(I2672),I2672&gt;0),M2672/I2672,""),IF(AND(ISNUMBER(H2672),H2672&gt;0),M2672/H2672,"")))</f>
        <v/>
      </c>
      <c r="T2672" s="9">
        <f>IF(AND(ISNUMBER(M2672),ISNUMBER(O2672)),IF(M2672&lt;=O2672,"Valor ≤ venal IPTU",""),"")</f>
        <v/>
      </c>
      <c r="U2672" s="10">
        <f>IF(AND(ISNUMBER(M2672),ISNUMBER(N2672)),IF(N2672&gt;0,M2672/N2672,""),"")</f>
        <v/>
      </c>
      <c r="V2672" s="10">
        <f>IF(AND(ISNUMBER(M2672),ISNUMBER(O2672)),IF(O2672&gt;0,M2672/O2672,""),"")</f>
        <v/>
      </c>
      <c r="W2672" s="10">
        <f>IF(AND(ISNUMBER(M2672),ISNUMBER(R2672)),IF(R2672&gt;0,M2672/R2672,""),"")</f>
        <v/>
      </c>
      <c r="X2672" s="10">
        <f>IF(AND(ISNUMBER(Q2672),ISNUMBER(M2672)),IF(M2672&gt;0,Q2672/M2672,""),"")</f>
        <v/>
      </c>
      <c r="Y2672" s="11">
        <f>IF(ISNUMBER(Z2672),YEAR(Z2672),"")</f>
        <v/>
      </c>
      <c r="Z2672" s="12" t="n"/>
      <c r="AA2672" s="12" t="n"/>
      <c r="AI2672" s="12" t="n"/>
      <c r="AJ2672" s="13">
        <f>IF(LEN(TRIM(AF2672))=0,"",HYPERLINK("https://www.google.com/maps/@?api=1&amp;map_action=pano&amp;viewpoint="&amp;SUBSTITUTE(AF2672," ",""),"Abrir Street View"))</f>
        <v/>
      </c>
    </row>
    <row r="2673">
      <c r="H2673" s="6" t="n"/>
      <c r="I2673" s="6" t="n"/>
      <c r="M2673" s="7" t="n"/>
      <c r="N2673" s="7" t="n"/>
      <c r="O2673" s="7" t="n"/>
      <c r="Q2673" s="7" t="n"/>
      <c r="R2673" s="7" t="n"/>
      <c r="S2673" s="8">
        <f>IF(NOT(ISNUMBER(M2673)),"",IF(G2673="Terreno",IF(AND(ISNUMBER(I2673),I2673&gt;0),M2673/I2673,""),IF(AND(ISNUMBER(H2673),H2673&gt;0),M2673/H2673,"")))</f>
        <v/>
      </c>
      <c r="T2673" s="9">
        <f>IF(AND(ISNUMBER(M2673),ISNUMBER(O2673)),IF(M2673&lt;=O2673,"Valor ≤ venal IPTU",""),"")</f>
        <v/>
      </c>
      <c r="U2673" s="10">
        <f>IF(AND(ISNUMBER(M2673),ISNUMBER(N2673)),IF(N2673&gt;0,M2673/N2673,""),"")</f>
        <v/>
      </c>
      <c r="V2673" s="10">
        <f>IF(AND(ISNUMBER(M2673),ISNUMBER(O2673)),IF(O2673&gt;0,M2673/O2673,""),"")</f>
        <v/>
      </c>
      <c r="W2673" s="10">
        <f>IF(AND(ISNUMBER(M2673),ISNUMBER(R2673)),IF(R2673&gt;0,M2673/R2673,""),"")</f>
        <v/>
      </c>
      <c r="X2673" s="10">
        <f>IF(AND(ISNUMBER(Q2673),ISNUMBER(M2673)),IF(M2673&gt;0,Q2673/M2673,""),"")</f>
        <v/>
      </c>
      <c r="Y2673" s="11">
        <f>IF(ISNUMBER(Z2673),YEAR(Z2673),"")</f>
        <v/>
      </c>
      <c r="Z2673" s="12" t="n"/>
      <c r="AA2673" s="12" t="n"/>
      <c r="AI2673" s="12" t="n"/>
      <c r="AJ2673" s="13">
        <f>IF(LEN(TRIM(AF2673))=0,"",HYPERLINK("https://www.google.com/maps/@?api=1&amp;map_action=pano&amp;viewpoint="&amp;SUBSTITUTE(AF2673," ",""),"Abrir Street View"))</f>
        <v/>
      </c>
    </row>
    <row r="2674">
      <c r="H2674" s="6" t="n"/>
      <c r="I2674" s="6" t="n"/>
      <c r="M2674" s="7" t="n"/>
      <c r="N2674" s="7" t="n"/>
      <c r="O2674" s="7" t="n"/>
      <c r="Q2674" s="7" t="n"/>
      <c r="R2674" s="7" t="n"/>
      <c r="S2674" s="8">
        <f>IF(NOT(ISNUMBER(M2674)),"",IF(G2674="Terreno",IF(AND(ISNUMBER(I2674),I2674&gt;0),M2674/I2674,""),IF(AND(ISNUMBER(H2674),H2674&gt;0),M2674/H2674,"")))</f>
        <v/>
      </c>
      <c r="T2674" s="9">
        <f>IF(AND(ISNUMBER(M2674),ISNUMBER(O2674)),IF(M2674&lt;=O2674,"Valor ≤ venal IPTU",""),"")</f>
        <v/>
      </c>
      <c r="U2674" s="10">
        <f>IF(AND(ISNUMBER(M2674),ISNUMBER(N2674)),IF(N2674&gt;0,M2674/N2674,""),"")</f>
        <v/>
      </c>
      <c r="V2674" s="10">
        <f>IF(AND(ISNUMBER(M2674),ISNUMBER(O2674)),IF(O2674&gt;0,M2674/O2674,""),"")</f>
        <v/>
      </c>
      <c r="W2674" s="10">
        <f>IF(AND(ISNUMBER(M2674),ISNUMBER(R2674)),IF(R2674&gt;0,M2674/R2674,""),"")</f>
        <v/>
      </c>
      <c r="X2674" s="10">
        <f>IF(AND(ISNUMBER(Q2674),ISNUMBER(M2674)),IF(M2674&gt;0,Q2674/M2674,""),"")</f>
        <v/>
      </c>
      <c r="Y2674" s="11">
        <f>IF(ISNUMBER(Z2674),YEAR(Z2674),"")</f>
        <v/>
      </c>
      <c r="Z2674" s="12" t="n"/>
      <c r="AA2674" s="12" t="n"/>
      <c r="AI2674" s="12" t="n"/>
      <c r="AJ2674" s="13">
        <f>IF(LEN(TRIM(AF2674))=0,"",HYPERLINK("https://www.google.com/maps/@?api=1&amp;map_action=pano&amp;viewpoint="&amp;SUBSTITUTE(AF2674," ",""),"Abrir Street View"))</f>
        <v/>
      </c>
    </row>
    <row r="2675">
      <c r="H2675" s="6" t="n"/>
      <c r="I2675" s="6" t="n"/>
      <c r="M2675" s="7" t="n"/>
      <c r="N2675" s="7" t="n"/>
      <c r="O2675" s="7" t="n"/>
      <c r="Q2675" s="7" t="n"/>
      <c r="R2675" s="7" t="n"/>
      <c r="S2675" s="8">
        <f>IF(NOT(ISNUMBER(M2675)),"",IF(G2675="Terreno",IF(AND(ISNUMBER(I2675),I2675&gt;0),M2675/I2675,""),IF(AND(ISNUMBER(H2675),H2675&gt;0),M2675/H2675,"")))</f>
        <v/>
      </c>
      <c r="T2675" s="9">
        <f>IF(AND(ISNUMBER(M2675),ISNUMBER(O2675)),IF(M2675&lt;=O2675,"Valor ≤ venal IPTU",""),"")</f>
        <v/>
      </c>
      <c r="U2675" s="10">
        <f>IF(AND(ISNUMBER(M2675),ISNUMBER(N2675)),IF(N2675&gt;0,M2675/N2675,""),"")</f>
        <v/>
      </c>
      <c r="V2675" s="10">
        <f>IF(AND(ISNUMBER(M2675),ISNUMBER(O2675)),IF(O2675&gt;0,M2675/O2675,""),"")</f>
        <v/>
      </c>
      <c r="W2675" s="10">
        <f>IF(AND(ISNUMBER(M2675),ISNUMBER(R2675)),IF(R2675&gt;0,M2675/R2675,""),"")</f>
        <v/>
      </c>
      <c r="X2675" s="10">
        <f>IF(AND(ISNUMBER(Q2675),ISNUMBER(M2675)),IF(M2675&gt;0,Q2675/M2675,""),"")</f>
        <v/>
      </c>
      <c r="Y2675" s="11">
        <f>IF(ISNUMBER(Z2675),YEAR(Z2675),"")</f>
        <v/>
      </c>
      <c r="Z2675" s="12" t="n"/>
      <c r="AA2675" s="12" t="n"/>
      <c r="AI2675" s="12" t="n"/>
      <c r="AJ2675" s="13">
        <f>IF(LEN(TRIM(AF2675))=0,"",HYPERLINK("https://www.google.com/maps/@?api=1&amp;map_action=pano&amp;viewpoint="&amp;SUBSTITUTE(AF2675," ",""),"Abrir Street View"))</f>
        <v/>
      </c>
    </row>
    <row r="2676">
      <c r="H2676" s="6" t="n"/>
      <c r="I2676" s="6" t="n"/>
      <c r="M2676" s="7" t="n"/>
      <c r="N2676" s="7" t="n"/>
      <c r="O2676" s="7" t="n"/>
      <c r="Q2676" s="7" t="n"/>
      <c r="R2676" s="7" t="n"/>
      <c r="S2676" s="8">
        <f>IF(NOT(ISNUMBER(M2676)),"",IF(G2676="Terreno",IF(AND(ISNUMBER(I2676),I2676&gt;0),M2676/I2676,""),IF(AND(ISNUMBER(H2676),H2676&gt;0),M2676/H2676,"")))</f>
        <v/>
      </c>
      <c r="T2676" s="9">
        <f>IF(AND(ISNUMBER(M2676),ISNUMBER(O2676)),IF(M2676&lt;=O2676,"Valor ≤ venal IPTU",""),"")</f>
        <v/>
      </c>
      <c r="U2676" s="10">
        <f>IF(AND(ISNUMBER(M2676),ISNUMBER(N2676)),IF(N2676&gt;0,M2676/N2676,""),"")</f>
        <v/>
      </c>
      <c r="V2676" s="10">
        <f>IF(AND(ISNUMBER(M2676),ISNUMBER(O2676)),IF(O2676&gt;0,M2676/O2676,""),"")</f>
        <v/>
      </c>
      <c r="W2676" s="10">
        <f>IF(AND(ISNUMBER(M2676),ISNUMBER(R2676)),IF(R2676&gt;0,M2676/R2676,""),"")</f>
        <v/>
      </c>
      <c r="X2676" s="10">
        <f>IF(AND(ISNUMBER(Q2676),ISNUMBER(M2676)),IF(M2676&gt;0,Q2676/M2676,""),"")</f>
        <v/>
      </c>
      <c r="Y2676" s="11">
        <f>IF(ISNUMBER(Z2676),YEAR(Z2676),"")</f>
        <v/>
      </c>
      <c r="Z2676" s="12" t="n"/>
      <c r="AA2676" s="12" t="n"/>
      <c r="AI2676" s="12" t="n"/>
      <c r="AJ2676" s="13">
        <f>IF(LEN(TRIM(AF2676))=0,"",HYPERLINK("https://www.google.com/maps/@?api=1&amp;map_action=pano&amp;viewpoint="&amp;SUBSTITUTE(AF2676," ",""),"Abrir Street View"))</f>
        <v/>
      </c>
    </row>
    <row r="2677">
      <c r="H2677" s="6" t="n"/>
      <c r="I2677" s="6" t="n"/>
      <c r="M2677" s="7" t="n"/>
      <c r="N2677" s="7" t="n"/>
      <c r="O2677" s="7" t="n"/>
      <c r="Q2677" s="7" t="n"/>
      <c r="R2677" s="7" t="n"/>
      <c r="S2677" s="8">
        <f>IF(NOT(ISNUMBER(M2677)),"",IF(G2677="Terreno",IF(AND(ISNUMBER(I2677),I2677&gt;0),M2677/I2677,""),IF(AND(ISNUMBER(H2677),H2677&gt;0),M2677/H2677,"")))</f>
        <v/>
      </c>
      <c r="T2677" s="9">
        <f>IF(AND(ISNUMBER(M2677),ISNUMBER(O2677)),IF(M2677&lt;=O2677,"Valor ≤ venal IPTU",""),"")</f>
        <v/>
      </c>
      <c r="U2677" s="10">
        <f>IF(AND(ISNUMBER(M2677),ISNUMBER(N2677)),IF(N2677&gt;0,M2677/N2677,""),"")</f>
        <v/>
      </c>
      <c r="V2677" s="10">
        <f>IF(AND(ISNUMBER(M2677),ISNUMBER(O2677)),IF(O2677&gt;0,M2677/O2677,""),"")</f>
        <v/>
      </c>
      <c r="W2677" s="10">
        <f>IF(AND(ISNUMBER(M2677),ISNUMBER(R2677)),IF(R2677&gt;0,M2677/R2677,""),"")</f>
        <v/>
      </c>
      <c r="X2677" s="10">
        <f>IF(AND(ISNUMBER(Q2677),ISNUMBER(M2677)),IF(M2677&gt;0,Q2677/M2677,""),"")</f>
        <v/>
      </c>
      <c r="Y2677" s="11">
        <f>IF(ISNUMBER(Z2677),YEAR(Z2677),"")</f>
        <v/>
      </c>
      <c r="Z2677" s="12" t="n"/>
      <c r="AA2677" s="12" t="n"/>
      <c r="AI2677" s="12" t="n"/>
      <c r="AJ2677" s="13">
        <f>IF(LEN(TRIM(AF2677))=0,"",HYPERLINK("https://www.google.com/maps/@?api=1&amp;map_action=pano&amp;viewpoint="&amp;SUBSTITUTE(AF2677," ",""),"Abrir Street View"))</f>
        <v/>
      </c>
    </row>
    <row r="2678">
      <c r="H2678" s="6" t="n"/>
      <c r="I2678" s="6" t="n"/>
      <c r="M2678" s="7" t="n"/>
      <c r="N2678" s="7" t="n"/>
      <c r="O2678" s="7" t="n"/>
      <c r="Q2678" s="7" t="n"/>
      <c r="R2678" s="7" t="n"/>
      <c r="S2678" s="8">
        <f>IF(NOT(ISNUMBER(M2678)),"",IF(G2678="Terreno",IF(AND(ISNUMBER(I2678),I2678&gt;0),M2678/I2678,""),IF(AND(ISNUMBER(H2678),H2678&gt;0),M2678/H2678,"")))</f>
        <v/>
      </c>
      <c r="T2678" s="9">
        <f>IF(AND(ISNUMBER(M2678),ISNUMBER(O2678)),IF(M2678&lt;=O2678,"Valor ≤ venal IPTU",""),"")</f>
        <v/>
      </c>
      <c r="U2678" s="10">
        <f>IF(AND(ISNUMBER(M2678),ISNUMBER(N2678)),IF(N2678&gt;0,M2678/N2678,""),"")</f>
        <v/>
      </c>
      <c r="V2678" s="10">
        <f>IF(AND(ISNUMBER(M2678),ISNUMBER(O2678)),IF(O2678&gt;0,M2678/O2678,""),"")</f>
        <v/>
      </c>
      <c r="W2678" s="10">
        <f>IF(AND(ISNUMBER(M2678),ISNUMBER(R2678)),IF(R2678&gt;0,M2678/R2678,""),"")</f>
        <v/>
      </c>
      <c r="X2678" s="10">
        <f>IF(AND(ISNUMBER(Q2678),ISNUMBER(M2678)),IF(M2678&gt;0,Q2678/M2678,""),"")</f>
        <v/>
      </c>
      <c r="Y2678" s="11">
        <f>IF(ISNUMBER(Z2678),YEAR(Z2678),"")</f>
        <v/>
      </c>
      <c r="Z2678" s="12" t="n"/>
      <c r="AA2678" s="12" t="n"/>
      <c r="AI2678" s="12" t="n"/>
      <c r="AJ2678" s="13">
        <f>IF(LEN(TRIM(AF2678))=0,"",HYPERLINK("https://www.google.com/maps/@?api=1&amp;map_action=pano&amp;viewpoint="&amp;SUBSTITUTE(AF2678," ",""),"Abrir Street View"))</f>
        <v/>
      </c>
    </row>
    <row r="2679">
      <c r="H2679" s="6" t="n"/>
      <c r="I2679" s="6" t="n"/>
      <c r="M2679" s="7" t="n"/>
      <c r="N2679" s="7" t="n"/>
      <c r="O2679" s="7" t="n"/>
      <c r="Q2679" s="7" t="n"/>
      <c r="R2679" s="7" t="n"/>
      <c r="S2679" s="8">
        <f>IF(NOT(ISNUMBER(M2679)),"",IF(G2679="Terreno",IF(AND(ISNUMBER(I2679),I2679&gt;0),M2679/I2679,""),IF(AND(ISNUMBER(H2679),H2679&gt;0),M2679/H2679,"")))</f>
        <v/>
      </c>
      <c r="T2679" s="9">
        <f>IF(AND(ISNUMBER(M2679),ISNUMBER(O2679)),IF(M2679&lt;=O2679,"Valor ≤ venal IPTU",""),"")</f>
        <v/>
      </c>
      <c r="U2679" s="10">
        <f>IF(AND(ISNUMBER(M2679),ISNUMBER(N2679)),IF(N2679&gt;0,M2679/N2679,""),"")</f>
        <v/>
      </c>
      <c r="V2679" s="10">
        <f>IF(AND(ISNUMBER(M2679),ISNUMBER(O2679)),IF(O2679&gt;0,M2679/O2679,""),"")</f>
        <v/>
      </c>
      <c r="W2679" s="10">
        <f>IF(AND(ISNUMBER(M2679),ISNUMBER(R2679)),IF(R2679&gt;0,M2679/R2679,""),"")</f>
        <v/>
      </c>
      <c r="X2679" s="10">
        <f>IF(AND(ISNUMBER(Q2679),ISNUMBER(M2679)),IF(M2679&gt;0,Q2679/M2679,""),"")</f>
        <v/>
      </c>
      <c r="Y2679" s="11">
        <f>IF(ISNUMBER(Z2679),YEAR(Z2679),"")</f>
        <v/>
      </c>
      <c r="Z2679" s="12" t="n"/>
      <c r="AA2679" s="12" t="n"/>
      <c r="AI2679" s="12" t="n"/>
      <c r="AJ2679" s="13">
        <f>IF(LEN(TRIM(AF2679))=0,"",HYPERLINK("https://www.google.com/maps/@?api=1&amp;map_action=pano&amp;viewpoint="&amp;SUBSTITUTE(AF2679," ",""),"Abrir Street View"))</f>
        <v/>
      </c>
    </row>
    <row r="2680">
      <c r="H2680" s="6" t="n"/>
      <c r="I2680" s="6" t="n"/>
      <c r="M2680" s="7" t="n"/>
      <c r="N2680" s="7" t="n"/>
      <c r="O2680" s="7" t="n"/>
      <c r="Q2680" s="7" t="n"/>
      <c r="R2680" s="7" t="n"/>
      <c r="S2680" s="8">
        <f>IF(NOT(ISNUMBER(M2680)),"",IF(G2680="Terreno",IF(AND(ISNUMBER(I2680),I2680&gt;0),M2680/I2680,""),IF(AND(ISNUMBER(H2680),H2680&gt;0),M2680/H2680,"")))</f>
        <v/>
      </c>
      <c r="T2680" s="9">
        <f>IF(AND(ISNUMBER(M2680),ISNUMBER(O2680)),IF(M2680&lt;=O2680,"Valor ≤ venal IPTU",""),"")</f>
        <v/>
      </c>
      <c r="U2680" s="10">
        <f>IF(AND(ISNUMBER(M2680),ISNUMBER(N2680)),IF(N2680&gt;0,M2680/N2680,""),"")</f>
        <v/>
      </c>
      <c r="V2680" s="10">
        <f>IF(AND(ISNUMBER(M2680),ISNUMBER(O2680)),IF(O2680&gt;0,M2680/O2680,""),"")</f>
        <v/>
      </c>
      <c r="W2680" s="10">
        <f>IF(AND(ISNUMBER(M2680),ISNUMBER(R2680)),IF(R2680&gt;0,M2680/R2680,""),"")</f>
        <v/>
      </c>
      <c r="X2680" s="10">
        <f>IF(AND(ISNUMBER(Q2680),ISNUMBER(M2680)),IF(M2680&gt;0,Q2680/M2680,""),"")</f>
        <v/>
      </c>
      <c r="Y2680" s="11">
        <f>IF(ISNUMBER(Z2680),YEAR(Z2680),"")</f>
        <v/>
      </c>
      <c r="Z2680" s="12" t="n"/>
      <c r="AA2680" s="12" t="n"/>
      <c r="AI2680" s="12" t="n"/>
      <c r="AJ2680" s="13">
        <f>IF(LEN(TRIM(AF2680))=0,"",HYPERLINK("https://www.google.com/maps/@?api=1&amp;map_action=pano&amp;viewpoint="&amp;SUBSTITUTE(AF2680," ",""),"Abrir Street View"))</f>
        <v/>
      </c>
    </row>
    <row r="2681">
      <c r="H2681" s="6" t="n"/>
      <c r="I2681" s="6" t="n"/>
      <c r="M2681" s="7" t="n"/>
      <c r="N2681" s="7" t="n"/>
      <c r="O2681" s="7" t="n"/>
      <c r="Q2681" s="7" t="n"/>
      <c r="R2681" s="7" t="n"/>
      <c r="S2681" s="8">
        <f>IF(NOT(ISNUMBER(M2681)),"",IF(G2681="Terreno",IF(AND(ISNUMBER(I2681),I2681&gt;0),M2681/I2681,""),IF(AND(ISNUMBER(H2681),H2681&gt;0),M2681/H2681,"")))</f>
        <v/>
      </c>
      <c r="T2681" s="9">
        <f>IF(AND(ISNUMBER(M2681),ISNUMBER(O2681)),IF(M2681&lt;=O2681,"Valor ≤ venal IPTU",""),"")</f>
        <v/>
      </c>
      <c r="U2681" s="10">
        <f>IF(AND(ISNUMBER(M2681),ISNUMBER(N2681)),IF(N2681&gt;0,M2681/N2681,""),"")</f>
        <v/>
      </c>
      <c r="V2681" s="10">
        <f>IF(AND(ISNUMBER(M2681),ISNUMBER(O2681)),IF(O2681&gt;0,M2681/O2681,""),"")</f>
        <v/>
      </c>
      <c r="W2681" s="10">
        <f>IF(AND(ISNUMBER(M2681),ISNUMBER(R2681)),IF(R2681&gt;0,M2681/R2681,""),"")</f>
        <v/>
      </c>
      <c r="X2681" s="10">
        <f>IF(AND(ISNUMBER(Q2681),ISNUMBER(M2681)),IF(M2681&gt;0,Q2681/M2681,""),"")</f>
        <v/>
      </c>
      <c r="Y2681" s="11">
        <f>IF(ISNUMBER(Z2681),YEAR(Z2681),"")</f>
        <v/>
      </c>
      <c r="Z2681" s="12" t="n"/>
      <c r="AA2681" s="12" t="n"/>
      <c r="AI2681" s="12" t="n"/>
      <c r="AJ2681" s="13">
        <f>IF(LEN(TRIM(AF2681))=0,"",HYPERLINK("https://www.google.com/maps/@?api=1&amp;map_action=pano&amp;viewpoint="&amp;SUBSTITUTE(AF2681," ",""),"Abrir Street View"))</f>
        <v/>
      </c>
    </row>
    <row r="2682">
      <c r="H2682" s="6" t="n"/>
      <c r="I2682" s="6" t="n"/>
      <c r="M2682" s="7" t="n"/>
      <c r="N2682" s="7" t="n"/>
      <c r="O2682" s="7" t="n"/>
      <c r="Q2682" s="7" t="n"/>
      <c r="R2682" s="7" t="n"/>
      <c r="S2682" s="8">
        <f>IF(NOT(ISNUMBER(M2682)),"",IF(G2682="Terreno",IF(AND(ISNUMBER(I2682),I2682&gt;0),M2682/I2682,""),IF(AND(ISNUMBER(H2682),H2682&gt;0),M2682/H2682,"")))</f>
        <v/>
      </c>
      <c r="T2682" s="9">
        <f>IF(AND(ISNUMBER(M2682),ISNUMBER(O2682)),IF(M2682&lt;=O2682,"Valor ≤ venal IPTU",""),"")</f>
        <v/>
      </c>
      <c r="U2682" s="10">
        <f>IF(AND(ISNUMBER(M2682),ISNUMBER(N2682)),IF(N2682&gt;0,M2682/N2682,""),"")</f>
        <v/>
      </c>
      <c r="V2682" s="10">
        <f>IF(AND(ISNUMBER(M2682),ISNUMBER(O2682)),IF(O2682&gt;0,M2682/O2682,""),"")</f>
        <v/>
      </c>
      <c r="W2682" s="10">
        <f>IF(AND(ISNUMBER(M2682),ISNUMBER(R2682)),IF(R2682&gt;0,M2682/R2682,""),"")</f>
        <v/>
      </c>
      <c r="X2682" s="10">
        <f>IF(AND(ISNUMBER(Q2682),ISNUMBER(M2682)),IF(M2682&gt;0,Q2682/M2682,""),"")</f>
        <v/>
      </c>
      <c r="Y2682" s="11">
        <f>IF(ISNUMBER(Z2682),YEAR(Z2682),"")</f>
        <v/>
      </c>
      <c r="Z2682" s="12" t="n"/>
      <c r="AA2682" s="12" t="n"/>
      <c r="AI2682" s="12" t="n"/>
      <c r="AJ2682" s="13">
        <f>IF(LEN(TRIM(AF2682))=0,"",HYPERLINK("https://www.google.com/maps/@?api=1&amp;map_action=pano&amp;viewpoint="&amp;SUBSTITUTE(AF2682," ",""),"Abrir Street View"))</f>
        <v/>
      </c>
    </row>
    <row r="2683">
      <c r="H2683" s="6" t="n"/>
      <c r="I2683" s="6" t="n"/>
      <c r="M2683" s="7" t="n"/>
      <c r="N2683" s="7" t="n"/>
      <c r="O2683" s="7" t="n"/>
      <c r="Q2683" s="7" t="n"/>
      <c r="R2683" s="7" t="n"/>
      <c r="S2683" s="8">
        <f>IF(NOT(ISNUMBER(M2683)),"",IF(G2683="Terreno",IF(AND(ISNUMBER(I2683),I2683&gt;0),M2683/I2683,""),IF(AND(ISNUMBER(H2683),H2683&gt;0),M2683/H2683,"")))</f>
        <v/>
      </c>
      <c r="T2683" s="9">
        <f>IF(AND(ISNUMBER(M2683),ISNUMBER(O2683)),IF(M2683&lt;=O2683,"Valor ≤ venal IPTU",""),"")</f>
        <v/>
      </c>
      <c r="U2683" s="10">
        <f>IF(AND(ISNUMBER(M2683),ISNUMBER(N2683)),IF(N2683&gt;0,M2683/N2683,""),"")</f>
        <v/>
      </c>
      <c r="V2683" s="10">
        <f>IF(AND(ISNUMBER(M2683),ISNUMBER(O2683)),IF(O2683&gt;0,M2683/O2683,""),"")</f>
        <v/>
      </c>
      <c r="W2683" s="10">
        <f>IF(AND(ISNUMBER(M2683),ISNUMBER(R2683)),IF(R2683&gt;0,M2683/R2683,""),"")</f>
        <v/>
      </c>
      <c r="X2683" s="10">
        <f>IF(AND(ISNUMBER(Q2683),ISNUMBER(M2683)),IF(M2683&gt;0,Q2683/M2683,""),"")</f>
        <v/>
      </c>
      <c r="Y2683" s="11">
        <f>IF(ISNUMBER(Z2683),YEAR(Z2683),"")</f>
        <v/>
      </c>
      <c r="Z2683" s="12" t="n"/>
      <c r="AA2683" s="12" t="n"/>
      <c r="AI2683" s="12" t="n"/>
      <c r="AJ2683" s="13">
        <f>IF(LEN(TRIM(AF2683))=0,"",HYPERLINK("https://www.google.com/maps/@?api=1&amp;map_action=pano&amp;viewpoint="&amp;SUBSTITUTE(AF2683," ",""),"Abrir Street View"))</f>
        <v/>
      </c>
    </row>
    <row r="2684">
      <c r="H2684" s="6" t="n"/>
      <c r="I2684" s="6" t="n"/>
      <c r="M2684" s="7" t="n"/>
      <c r="N2684" s="7" t="n"/>
      <c r="O2684" s="7" t="n"/>
      <c r="Q2684" s="7" t="n"/>
      <c r="R2684" s="7" t="n"/>
      <c r="S2684" s="8">
        <f>IF(NOT(ISNUMBER(M2684)),"",IF(G2684="Terreno",IF(AND(ISNUMBER(I2684),I2684&gt;0),M2684/I2684,""),IF(AND(ISNUMBER(H2684),H2684&gt;0),M2684/H2684,"")))</f>
        <v/>
      </c>
      <c r="T2684" s="9">
        <f>IF(AND(ISNUMBER(M2684),ISNUMBER(O2684)),IF(M2684&lt;=O2684,"Valor ≤ venal IPTU",""),"")</f>
        <v/>
      </c>
      <c r="U2684" s="10">
        <f>IF(AND(ISNUMBER(M2684),ISNUMBER(N2684)),IF(N2684&gt;0,M2684/N2684,""),"")</f>
        <v/>
      </c>
      <c r="V2684" s="10">
        <f>IF(AND(ISNUMBER(M2684),ISNUMBER(O2684)),IF(O2684&gt;0,M2684/O2684,""),"")</f>
        <v/>
      </c>
      <c r="W2684" s="10">
        <f>IF(AND(ISNUMBER(M2684),ISNUMBER(R2684)),IF(R2684&gt;0,M2684/R2684,""),"")</f>
        <v/>
      </c>
      <c r="X2684" s="10">
        <f>IF(AND(ISNUMBER(Q2684),ISNUMBER(M2684)),IF(M2684&gt;0,Q2684/M2684,""),"")</f>
        <v/>
      </c>
      <c r="Y2684" s="11">
        <f>IF(ISNUMBER(Z2684),YEAR(Z2684),"")</f>
        <v/>
      </c>
      <c r="Z2684" s="12" t="n"/>
      <c r="AA2684" s="12" t="n"/>
      <c r="AI2684" s="12" t="n"/>
      <c r="AJ2684" s="13">
        <f>IF(LEN(TRIM(AF2684))=0,"",HYPERLINK("https://www.google.com/maps/@?api=1&amp;map_action=pano&amp;viewpoint="&amp;SUBSTITUTE(AF2684," ",""),"Abrir Street View"))</f>
        <v/>
      </c>
    </row>
    <row r="2685">
      <c r="H2685" s="6" t="n"/>
      <c r="I2685" s="6" t="n"/>
      <c r="M2685" s="7" t="n"/>
      <c r="N2685" s="7" t="n"/>
      <c r="O2685" s="7" t="n"/>
      <c r="Q2685" s="7" t="n"/>
      <c r="R2685" s="7" t="n"/>
      <c r="S2685" s="8">
        <f>IF(NOT(ISNUMBER(M2685)),"",IF(G2685="Terreno",IF(AND(ISNUMBER(I2685),I2685&gt;0),M2685/I2685,""),IF(AND(ISNUMBER(H2685),H2685&gt;0),M2685/H2685,"")))</f>
        <v/>
      </c>
      <c r="T2685" s="9">
        <f>IF(AND(ISNUMBER(M2685),ISNUMBER(O2685)),IF(M2685&lt;=O2685,"Valor ≤ venal IPTU",""),"")</f>
        <v/>
      </c>
      <c r="U2685" s="10">
        <f>IF(AND(ISNUMBER(M2685),ISNUMBER(N2685)),IF(N2685&gt;0,M2685/N2685,""),"")</f>
        <v/>
      </c>
      <c r="V2685" s="10">
        <f>IF(AND(ISNUMBER(M2685),ISNUMBER(O2685)),IF(O2685&gt;0,M2685/O2685,""),"")</f>
        <v/>
      </c>
      <c r="W2685" s="10">
        <f>IF(AND(ISNUMBER(M2685),ISNUMBER(R2685)),IF(R2685&gt;0,M2685/R2685,""),"")</f>
        <v/>
      </c>
      <c r="X2685" s="10">
        <f>IF(AND(ISNUMBER(Q2685),ISNUMBER(M2685)),IF(M2685&gt;0,Q2685/M2685,""),"")</f>
        <v/>
      </c>
      <c r="Y2685" s="11">
        <f>IF(ISNUMBER(Z2685),YEAR(Z2685),"")</f>
        <v/>
      </c>
      <c r="Z2685" s="12" t="n"/>
      <c r="AA2685" s="12" t="n"/>
      <c r="AI2685" s="12" t="n"/>
      <c r="AJ2685" s="13">
        <f>IF(LEN(TRIM(AF2685))=0,"",HYPERLINK("https://www.google.com/maps/@?api=1&amp;map_action=pano&amp;viewpoint="&amp;SUBSTITUTE(AF2685," ",""),"Abrir Street View"))</f>
        <v/>
      </c>
    </row>
    <row r="2686">
      <c r="H2686" s="6" t="n"/>
      <c r="I2686" s="6" t="n"/>
      <c r="M2686" s="7" t="n"/>
      <c r="N2686" s="7" t="n"/>
      <c r="O2686" s="7" t="n"/>
      <c r="Q2686" s="7" t="n"/>
      <c r="R2686" s="7" t="n"/>
      <c r="S2686" s="8">
        <f>IF(NOT(ISNUMBER(M2686)),"",IF(G2686="Terreno",IF(AND(ISNUMBER(I2686),I2686&gt;0),M2686/I2686,""),IF(AND(ISNUMBER(H2686),H2686&gt;0),M2686/H2686,"")))</f>
        <v/>
      </c>
      <c r="T2686" s="9">
        <f>IF(AND(ISNUMBER(M2686),ISNUMBER(O2686)),IF(M2686&lt;=O2686,"Valor ≤ venal IPTU",""),"")</f>
        <v/>
      </c>
      <c r="U2686" s="10">
        <f>IF(AND(ISNUMBER(M2686),ISNUMBER(N2686)),IF(N2686&gt;0,M2686/N2686,""),"")</f>
        <v/>
      </c>
      <c r="V2686" s="10">
        <f>IF(AND(ISNUMBER(M2686),ISNUMBER(O2686)),IF(O2686&gt;0,M2686/O2686,""),"")</f>
        <v/>
      </c>
      <c r="W2686" s="10">
        <f>IF(AND(ISNUMBER(M2686),ISNUMBER(R2686)),IF(R2686&gt;0,M2686/R2686,""),"")</f>
        <v/>
      </c>
      <c r="X2686" s="10">
        <f>IF(AND(ISNUMBER(Q2686),ISNUMBER(M2686)),IF(M2686&gt;0,Q2686/M2686,""),"")</f>
        <v/>
      </c>
      <c r="Y2686" s="11">
        <f>IF(ISNUMBER(Z2686),YEAR(Z2686),"")</f>
        <v/>
      </c>
      <c r="Z2686" s="12" t="n"/>
      <c r="AA2686" s="12" t="n"/>
      <c r="AI2686" s="12" t="n"/>
      <c r="AJ2686" s="13">
        <f>IF(LEN(TRIM(AF2686))=0,"",HYPERLINK("https://www.google.com/maps/@?api=1&amp;map_action=pano&amp;viewpoint="&amp;SUBSTITUTE(AF2686," ",""),"Abrir Street View"))</f>
        <v/>
      </c>
    </row>
    <row r="2687">
      <c r="H2687" s="6" t="n"/>
      <c r="I2687" s="6" t="n"/>
      <c r="M2687" s="7" t="n"/>
      <c r="N2687" s="7" t="n"/>
      <c r="O2687" s="7" t="n"/>
      <c r="Q2687" s="7" t="n"/>
      <c r="R2687" s="7" t="n"/>
      <c r="S2687" s="8">
        <f>IF(NOT(ISNUMBER(M2687)),"",IF(G2687="Terreno",IF(AND(ISNUMBER(I2687),I2687&gt;0),M2687/I2687,""),IF(AND(ISNUMBER(H2687),H2687&gt;0),M2687/H2687,"")))</f>
        <v/>
      </c>
      <c r="T2687" s="9">
        <f>IF(AND(ISNUMBER(M2687),ISNUMBER(O2687)),IF(M2687&lt;=O2687,"Valor ≤ venal IPTU",""),"")</f>
        <v/>
      </c>
      <c r="U2687" s="10">
        <f>IF(AND(ISNUMBER(M2687),ISNUMBER(N2687)),IF(N2687&gt;0,M2687/N2687,""),"")</f>
        <v/>
      </c>
      <c r="V2687" s="10">
        <f>IF(AND(ISNUMBER(M2687),ISNUMBER(O2687)),IF(O2687&gt;0,M2687/O2687,""),"")</f>
        <v/>
      </c>
      <c r="W2687" s="10">
        <f>IF(AND(ISNUMBER(M2687),ISNUMBER(R2687)),IF(R2687&gt;0,M2687/R2687,""),"")</f>
        <v/>
      </c>
      <c r="X2687" s="10">
        <f>IF(AND(ISNUMBER(Q2687),ISNUMBER(M2687)),IF(M2687&gt;0,Q2687/M2687,""),"")</f>
        <v/>
      </c>
      <c r="Y2687" s="11">
        <f>IF(ISNUMBER(Z2687),YEAR(Z2687),"")</f>
        <v/>
      </c>
      <c r="Z2687" s="12" t="n"/>
      <c r="AA2687" s="12" t="n"/>
      <c r="AI2687" s="12" t="n"/>
      <c r="AJ2687" s="13">
        <f>IF(LEN(TRIM(AF2687))=0,"",HYPERLINK("https://www.google.com/maps/@?api=1&amp;map_action=pano&amp;viewpoint="&amp;SUBSTITUTE(AF2687," ",""),"Abrir Street View"))</f>
        <v/>
      </c>
    </row>
    <row r="2688">
      <c r="H2688" s="6" t="n"/>
      <c r="I2688" s="6" t="n"/>
      <c r="M2688" s="7" t="n"/>
      <c r="N2688" s="7" t="n"/>
      <c r="O2688" s="7" t="n"/>
      <c r="Q2688" s="7" t="n"/>
      <c r="R2688" s="7" t="n"/>
      <c r="S2688" s="8">
        <f>IF(NOT(ISNUMBER(M2688)),"",IF(G2688="Terreno",IF(AND(ISNUMBER(I2688),I2688&gt;0),M2688/I2688,""),IF(AND(ISNUMBER(H2688),H2688&gt;0),M2688/H2688,"")))</f>
        <v/>
      </c>
      <c r="T2688" s="9">
        <f>IF(AND(ISNUMBER(M2688),ISNUMBER(O2688)),IF(M2688&lt;=O2688,"Valor ≤ venal IPTU",""),"")</f>
        <v/>
      </c>
      <c r="U2688" s="10">
        <f>IF(AND(ISNUMBER(M2688),ISNUMBER(N2688)),IF(N2688&gt;0,M2688/N2688,""),"")</f>
        <v/>
      </c>
      <c r="V2688" s="10">
        <f>IF(AND(ISNUMBER(M2688),ISNUMBER(O2688)),IF(O2688&gt;0,M2688/O2688,""),"")</f>
        <v/>
      </c>
      <c r="W2688" s="10">
        <f>IF(AND(ISNUMBER(M2688),ISNUMBER(R2688)),IF(R2688&gt;0,M2688/R2688,""),"")</f>
        <v/>
      </c>
      <c r="X2688" s="10">
        <f>IF(AND(ISNUMBER(Q2688),ISNUMBER(M2688)),IF(M2688&gt;0,Q2688/M2688,""),"")</f>
        <v/>
      </c>
      <c r="Y2688" s="11">
        <f>IF(ISNUMBER(Z2688),YEAR(Z2688),"")</f>
        <v/>
      </c>
      <c r="Z2688" s="12" t="n"/>
      <c r="AA2688" s="12" t="n"/>
      <c r="AI2688" s="12" t="n"/>
      <c r="AJ2688" s="13">
        <f>IF(LEN(TRIM(AF2688))=0,"",HYPERLINK("https://www.google.com/maps/@?api=1&amp;map_action=pano&amp;viewpoint="&amp;SUBSTITUTE(AF2688," ",""),"Abrir Street View"))</f>
        <v/>
      </c>
    </row>
    <row r="2689">
      <c r="H2689" s="6" t="n"/>
      <c r="I2689" s="6" t="n"/>
      <c r="M2689" s="7" t="n"/>
      <c r="N2689" s="7" t="n"/>
      <c r="O2689" s="7" t="n"/>
      <c r="Q2689" s="7" t="n"/>
      <c r="R2689" s="7" t="n"/>
      <c r="S2689" s="8">
        <f>IF(NOT(ISNUMBER(M2689)),"",IF(G2689="Terreno",IF(AND(ISNUMBER(I2689),I2689&gt;0),M2689/I2689,""),IF(AND(ISNUMBER(H2689),H2689&gt;0),M2689/H2689,"")))</f>
        <v/>
      </c>
      <c r="T2689" s="9">
        <f>IF(AND(ISNUMBER(M2689),ISNUMBER(O2689)),IF(M2689&lt;=O2689,"Valor ≤ venal IPTU",""),"")</f>
        <v/>
      </c>
      <c r="U2689" s="10">
        <f>IF(AND(ISNUMBER(M2689),ISNUMBER(N2689)),IF(N2689&gt;0,M2689/N2689,""),"")</f>
        <v/>
      </c>
      <c r="V2689" s="10">
        <f>IF(AND(ISNUMBER(M2689),ISNUMBER(O2689)),IF(O2689&gt;0,M2689/O2689,""),"")</f>
        <v/>
      </c>
      <c r="W2689" s="10">
        <f>IF(AND(ISNUMBER(M2689),ISNUMBER(R2689)),IF(R2689&gt;0,M2689/R2689,""),"")</f>
        <v/>
      </c>
      <c r="X2689" s="10">
        <f>IF(AND(ISNUMBER(Q2689),ISNUMBER(M2689)),IF(M2689&gt;0,Q2689/M2689,""),"")</f>
        <v/>
      </c>
      <c r="Y2689" s="11">
        <f>IF(ISNUMBER(Z2689),YEAR(Z2689),"")</f>
        <v/>
      </c>
      <c r="Z2689" s="12" t="n"/>
      <c r="AA2689" s="12" t="n"/>
      <c r="AI2689" s="12" t="n"/>
      <c r="AJ2689" s="13">
        <f>IF(LEN(TRIM(AF2689))=0,"",HYPERLINK("https://www.google.com/maps/@?api=1&amp;map_action=pano&amp;viewpoint="&amp;SUBSTITUTE(AF2689," ",""),"Abrir Street View"))</f>
        <v/>
      </c>
    </row>
    <row r="2690">
      <c r="H2690" s="6" t="n"/>
      <c r="I2690" s="6" t="n"/>
      <c r="M2690" s="7" t="n"/>
      <c r="N2690" s="7" t="n"/>
      <c r="O2690" s="7" t="n"/>
      <c r="Q2690" s="7" t="n"/>
      <c r="R2690" s="7" t="n"/>
      <c r="S2690" s="8">
        <f>IF(NOT(ISNUMBER(M2690)),"",IF(G2690="Terreno",IF(AND(ISNUMBER(I2690),I2690&gt;0),M2690/I2690,""),IF(AND(ISNUMBER(H2690),H2690&gt;0),M2690/H2690,"")))</f>
        <v/>
      </c>
      <c r="T2690" s="9">
        <f>IF(AND(ISNUMBER(M2690),ISNUMBER(O2690)),IF(M2690&lt;=O2690,"Valor ≤ venal IPTU",""),"")</f>
        <v/>
      </c>
      <c r="U2690" s="10">
        <f>IF(AND(ISNUMBER(M2690),ISNUMBER(N2690)),IF(N2690&gt;0,M2690/N2690,""),"")</f>
        <v/>
      </c>
      <c r="V2690" s="10">
        <f>IF(AND(ISNUMBER(M2690),ISNUMBER(O2690)),IF(O2690&gt;0,M2690/O2690,""),"")</f>
        <v/>
      </c>
      <c r="W2690" s="10">
        <f>IF(AND(ISNUMBER(M2690),ISNUMBER(R2690)),IF(R2690&gt;0,M2690/R2690,""),"")</f>
        <v/>
      </c>
      <c r="X2690" s="10">
        <f>IF(AND(ISNUMBER(Q2690),ISNUMBER(M2690)),IF(M2690&gt;0,Q2690/M2690,""),"")</f>
        <v/>
      </c>
      <c r="Y2690" s="11">
        <f>IF(ISNUMBER(Z2690),YEAR(Z2690),"")</f>
        <v/>
      </c>
      <c r="Z2690" s="12" t="n"/>
      <c r="AA2690" s="12" t="n"/>
      <c r="AI2690" s="12" t="n"/>
      <c r="AJ2690" s="13">
        <f>IF(LEN(TRIM(AF2690))=0,"",HYPERLINK("https://www.google.com/maps/@?api=1&amp;map_action=pano&amp;viewpoint="&amp;SUBSTITUTE(AF2690," ",""),"Abrir Street View"))</f>
        <v/>
      </c>
    </row>
    <row r="2691">
      <c r="H2691" s="6" t="n"/>
      <c r="I2691" s="6" t="n"/>
      <c r="M2691" s="7" t="n"/>
      <c r="N2691" s="7" t="n"/>
      <c r="O2691" s="7" t="n"/>
      <c r="Q2691" s="7" t="n"/>
      <c r="R2691" s="7" t="n"/>
      <c r="S2691" s="8">
        <f>IF(NOT(ISNUMBER(M2691)),"",IF(G2691="Terreno",IF(AND(ISNUMBER(I2691),I2691&gt;0),M2691/I2691,""),IF(AND(ISNUMBER(H2691),H2691&gt;0),M2691/H2691,"")))</f>
        <v/>
      </c>
      <c r="T2691" s="9">
        <f>IF(AND(ISNUMBER(M2691),ISNUMBER(O2691)),IF(M2691&lt;=O2691,"Valor ≤ venal IPTU",""),"")</f>
        <v/>
      </c>
      <c r="U2691" s="10">
        <f>IF(AND(ISNUMBER(M2691),ISNUMBER(N2691)),IF(N2691&gt;0,M2691/N2691,""),"")</f>
        <v/>
      </c>
      <c r="V2691" s="10">
        <f>IF(AND(ISNUMBER(M2691),ISNUMBER(O2691)),IF(O2691&gt;0,M2691/O2691,""),"")</f>
        <v/>
      </c>
      <c r="W2691" s="10">
        <f>IF(AND(ISNUMBER(M2691),ISNUMBER(R2691)),IF(R2691&gt;0,M2691/R2691,""),"")</f>
        <v/>
      </c>
      <c r="X2691" s="10">
        <f>IF(AND(ISNUMBER(Q2691),ISNUMBER(M2691)),IF(M2691&gt;0,Q2691/M2691,""),"")</f>
        <v/>
      </c>
      <c r="Y2691" s="11">
        <f>IF(ISNUMBER(Z2691),YEAR(Z2691),"")</f>
        <v/>
      </c>
      <c r="Z2691" s="12" t="n"/>
      <c r="AA2691" s="12" t="n"/>
      <c r="AI2691" s="12" t="n"/>
      <c r="AJ2691" s="13">
        <f>IF(LEN(TRIM(AF2691))=0,"",HYPERLINK("https://www.google.com/maps/@?api=1&amp;map_action=pano&amp;viewpoint="&amp;SUBSTITUTE(AF2691," ",""),"Abrir Street View"))</f>
        <v/>
      </c>
    </row>
    <row r="2692">
      <c r="H2692" s="6" t="n"/>
      <c r="I2692" s="6" t="n"/>
      <c r="M2692" s="7" t="n"/>
      <c r="N2692" s="7" t="n"/>
      <c r="O2692" s="7" t="n"/>
      <c r="Q2692" s="7" t="n"/>
      <c r="R2692" s="7" t="n"/>
      <c r="S2692" s="8">
        <f>IF(NOT(ISNUMBER(M2692)),"",IF(G2692="Terreno",IF(AND(ISNUMBER(I2692),I2692&gt;0),M2692/I2692,""),IF(AND(ISNUMBER(H2692),H2692&gt;0),M2692/H2692,"")))</f>
        <v/>
      </c>
      <c r="T2692" s="9">
        <f>IF(AND(ISNUMBER(M2692),ISNUMBER(O2692)),IF(M2692&lt;=O2692,"Valor ≤ venal IPTU",""),"")</f>
        <v/>
      </c>
      <c r="U2692" s="10">
        <f>IF(AND(ISNUMBER(M2692),ISNUMBER(N2692)),IF(N2692&gt;0,M2692/N2692,""),"")</f>
        <v/>
      </c>
      <c r="V2692" s="10">
        <f>IF(AND(ISNUMBER(M2692),ISNUMBER(O2692)),IF(O2692&gt;0,M2692/O2692,""),"")</f>
        <v/>
      </c>
      <c r="W2692" s="10">
        <f>IF(AND(ISNUMBER(M2692),ISNUMBER(R2692)),IF(R2692&gt;0,M2692/R2692,""),"")</f>
        <v/>
      </c>
      <c r="X2692" s="10">
        <f>IF(AND(ISNUMBER(Q2692),ISNUMBER(M2692)),IF(M2692&gt;0,Q2692/M2692,""),"")</f>
        <v/>
      </c>
      <c r="Y2692" s="11">
        <f>IF(ISNUMBER(Z2692),YEAR(Z2692),"")</f>
        <v/>
      </c>
      <c r="Z2692" s="12" t="n"/>
      <c r="AA2692" s="12" t="n"/>
      <c r="AI2692" s="12" t="n"/>
      <c r="AJ2692" s="13">
        <f>IF(LEN(TRIM(AF2692))=0,"",HYPERLINK("https://www.google.com/maps/@?api=1&amp;map_action=pano&amp;viewpoint="&amp;SUBSTITUTE(AF2692," ",""),"Abrir Street View"))</f>
        <v/>
      </c>
    </row>
    <row r="2693">
      <c r="H2693" s="6" t="n"/>
      <c r="I2693" s="6" t="n"/>
      <c r="M2693" s="7" t="n"/>
      <c r="N2693" s="7" t="n"/>
      <c r="O2693" s="7" t="n"/>
      <c r="Q2693" s="7" t="n"/>
      <c r="R2693" s="7" t="n"/>
      <c r="S2693" s="8">
        <f>IF(NOT(ISNUMBER(M2693)),"",IF(G2693="Terreno",IF(AND(ISNUMBER(I2693),I2693&gt;0),M2693/I2693,""),IF(AND(ISNUMBER(H2693),H2693&gt;0),M2693/H2693,"")))</f>
        <v/>
      </c>
      <c r="T2693" s="9">
        <f>IF(AND(ISNUMBER(M2693),ISNUMBER(O2693)),IF(M2693&lt;=O2693,"Valor ≤ venal IPTU",""),"")</f>
        <v/>
      </c>
      <c r="U2693" s="10">
        <f>IF(AND(ISNUMBER(M2693),ISNUMBER(N2693)),IF(N2693&gt;0,M2693/N2693,""),"")</f>
        <v/>
      </c>
      <c r="V2693" s="10">
        <f>IF(AND(ISNUMBER(M2693),ISNUMBER(O2693)),IF(O2693&gt;0,M2693/O2693,""),"")</f>
        <v/>
      </c>
      <c r="W2693" s="10">
        <f>IF(AND(ISNUMBER(M2693),ISNUMBER(R2693)),IF(R2693&gt;0,M2693/R2693,""),"")</f>
        <v/>
      </c>
      <c r="X2693" s="10">
        <f>IF(AND(ISNUMBER(Q2693),ISNUMBER(M2693)),IF(M2693&gt;0,Q2693/M2693,""),"")</f>
        <v/>
      </c>
      <c r="Y2693" s="11">
        <f>IF(ISNUMBER(Z2693),YEAR(Z2693),"")</f>
        <v/>
      </c>
      <c r="Z2693" s="12" t="n"/>
      <c r="AA2693" s="12" t="n"/>
      <c r="AI2693" s="12" t="n"/>
      <c r="AJ2693" s="13">
        <f>IF(LEN(TRIM(AF2693))=0,"",HYPERLINK("https://www.google.com/maps/@?api=1&amp;map_action=pano&amp;viewpoint="&amp;SUBSTITUTE(AF2693," ",""),"Abrir Street View"))</f>
        <v/>
      </c>
    </row>
    <row r="2694">
      <c r="H2694" s="6" t="n"/>
      <c r="I2694" s="6" t="n"/>
      <c r="M2694" s="7" t="n"/>
      <c r="N2694" s="7" t="n"/>
      <c r="O2694" s="7" t="n"/>
      <c r="Q2694" s="7" t="n"/>
      <c r="R2694" s="7" t="n"/>
      <c r="S2694" s="8">
        <f>IF(NOT(ISNUMBER(M2694)),"",IF(G2694="Terreno",IF(AND(ISNUMBER(I2694),I2694&gt;0),M2694/I2694,""),IF(AND(ISNUMBER(H2694),H2694&gt;0),M2694/H2694,"")))</f>
        <v/>
      </c>
      <c r="T2694" s="9">
        <f>IF(AND(ISNUMBER(M2694),ISNUMBER(O2694)),IF(M2694&lt;=O2694,"Valor ≤ venal IPTU",""),"")</f>
        <v/>
      </c>
      <c r="U2694" s="10">
        <f>IF(AND(ISNUMBER(M2694),ISNUMBER(N2694)),IF(N2694&gt;0,M2694/N2694,""),"")</f>
        <v/>
      </c>
      <c r="V2694" s="10">
        <f>IF(AND(ISNUMBER(M2694),ISNUMBER(O2694)),IF(O2694&gt;0,M2694/O2694,""),"")</f>
        <v/>
      </c>
      <c r="W2694" s="10">
        <f>IF(AND(ISNUMBER(M2694),ISNUMBER(R2694)),IF(R2694&gt;0,M2694/R2694,""),"")</f>
        <v/>
      </c>
      <c r="X2694" s="10">
        <f>IF(AND(ISNUMBER(Q2694),ISNUMBER(M2694)),IF(M2694&gt;0,Q2694/M2694,""),"")</f>
        <v/>
      </c>
      <c r="Y2694" s="11">
        <f>IF(ISNUMBER(Z2694),YEAR(Z2694),"")</f>
        <v/>
      </c>
      <c r="Z2694" s="12" t="n"/>
      <c r="AA2694" s="12" t="n"/>
      <c r="AI2694" s="12" t="n"/>
      <c r="AJ2694" s="13">
        <f>IF(LEN(TRIM(AF2694))=0,"",HYPERLINK("https://www.google.com/maps/@?api=1&amp;map_action=pano&amp;viewpoint="&amp;SUBSTITUTE(AF2694," ",""),"Abrir Street View"))</f>
        <v/>
      </c>
    </row>
    <row r="2695">
      <c r="H2695" s="6" t="n"/>
      <c r="I2695" s="6" t="n"/>
      <c r="M2695" s="7" t="n"/>
      <c r="N2695" s="7" t="n"/>
      <c r="O2695" s="7" t="n"/>
      <c r="Q2695" s="7" t="n"/>
      <c r="R2695" s="7" t="n"/>
      <c r="S2695" s="8">
        <f>IF(NOT(ISNUMBER(M2695)),"",IF(G2695="Terreno",IF(AND(ISNUMBER(I2695),I2695&gt;0),M2695/I2695,""),IF(AND(ISNUMBER(H2695),H2695&gt;0),M2695/H2695,"")))</f>
        <v/>
      </c>
      <c r="T2695" s="9">
        <f>IF(AND(ISNUMBER(M2695),ISNUMBER(O2695)),IF(M2695&lt;=O2695,"Valor ≤ venal IPTU",""),"")</f>
        <v/>
      </c>
      <c r="U2695" s="10">
        <f>IF(AND(ISNUMBER(M2695),ISNUMBER(N2695)),IF(N2695&gt;0,M2695/N2695,""),"")</f>
        <v/>
      </c>
      <c r="V2695" s="10">
        <f>IF(AND(ISNUMBER(M2695),ISNUMBER(O2695)),IF(O2695&gt;0,M2695/O2695,""),"")</f>
        <v/>
      </c>
      <c r="W2695" s="10">
        <f>IF(AND(ISNUMBER(M2695),ISNUMBER(R2695)),IF(R2695&gt;0,M2695/R2695,""),"")</f>
        <v/>
      </c>
      <c r="X2695" s="10">
        <f>IF(AND(ISNUMBER(Q2695),ISNUMBER(M2695)),IF(M2695&gt;0,Q2695/M2695,""),"")</f>
        <v/>
      </c>
      <c r="Y2695" s="11">
        <f>IF(ISNUMBER(Z2695),YEAR(Z2695),"")</f>
        <v/>
      </c>
      <c r="Z2695" s="12" t="n"/>
      <c r="AA2695" s="12" t="n"/>
      <c r="AI2695" s="12" t="n"/>
      <c r="AJ2695" s="13">
        <f>IF(LEN(TRIM(AF2695))=0,"",HYPERLINK("https://www.google.com/maps/@?api=1&amp;map_action=pano&amp;viewpoint="&amp;SUBSTITUTE(AF2695," ",""),"Abrir Street View"))</f>
        <v/>
      </c>
    </row>
    <row r="2696">
      <c r="H2696" s="6" t="n"/>
      <c r="I2696" s="6" t="n"/>
      <c r="M2696" s="7" t="n"/>
      <c r="N2696" s="7" t="n"/>
      <c r="O2696" s="7" t="n"/>
      <c r="Q2696" s="7" t="n"/>
      <c r="R2696" s="7" t="n"/>
      <c r="S2696" s="8">
        <f>IF(NOT(ISNUMBER(M2696)),"",IF(G2696="Terreno",IF(AND(ISNUMBER(I2696),I2696&gt;0),M2696/I2696,""),IF(AND(ISNUMBER(H2696),H2696&gt;0),M2696/H2696,"")))</f>
        <v/>
      </c>
      <c r="T2696" s="9">
        <f>IF(AND(ISNUMBER(M2696),ISNUMBER(O2696)),IF(M2696&lt;=O2696,"Valor ≤ venal IPTU",""),"")</f>
        <v/>
      </c>
      <c r="U2696" s="10">
        <f>IF(AND(ISNUMBER(M2696),ISNUMBER(N2696)),IF(N2696&gt;0,M2696/N2696,""),"")</f>
        <v/>
      </c>
      <c r="V2696" s="10">
        <f>IF(AND(ISNUMBER(M2696),ISNUMBER(O2696)),IF(O2696&gt;0,M2696/O2696,""),"")</f>
        <v/>
      </c>
      <c r="W2696" s="10">
        <f>IF(AND(ISNUMBER(M2696),ISNUMBER(R2696)),IF(R2696&gt;0,M2696/R2696,""),"")</f>
        <v/>
      </c>
      <c r="X2696" s="10">
        <f>IF(AND(ISNUMBER(Q2696),ISNUMBER(M2696)),IF(M2696&gt;0,Q2696/M2696,""),"")</f>
        <v/>
      </c>
      <c r="Y2696" s="11">
        <f>IF(ISNUMBER(Z2696),YEAR(Z2696),"")</f>
        <v/>
      </c>
      <c r="Z2696" s="12" t="n"/>
      <c r="AA2696" s="12" t="n"/>
      <c r="AI2696" s="12" t="n"/>
      <c r="AJ2696" s="13">
        <f>IF(LEN(TRIM(AF2696))=0,"",HYPERLINK("https://www.google.com/maps/@?api=1&amp;map_action=pano&amp;viewpoint="&amp;SUBSTITUTE(AF2696," ",""),"Abrir Street View"))</f>
        <v/>
      </c>
    </row>
    <row r="2697">
      <c r="H2697" s="6" t="n"/>
      <c r="I2697" s="6" t="n"/>
      <c r="M2697" s="7" t="n"/>
      <c r="N2697" s="7" t="n"/>
      <c r="O2697" s="7" t="n"/>
      <c r="Q2697" s="7" t="n"/>
      <c r="R2697" s="7" t="n"/>
      <c r="S2697" s="8">
        <f>IF(NOT(ISNUMBER(M2697)),"",IF(G2697="Terreno",IF(AND(ISNUMBER(I2697),I2697&gt;0),M2697/I2697,""),IF(AND(ISNUMBER(H2697),H2697&gt;0),M2697/H2697,"")))</f>
        <v/>
      </c>
      <c r="T2697" s="9">
        <f>IF(AND(ISNUMBER(M2697),ISNUMBER(O2697)),IF(M2697&lt;=O2697,"Valor ≤ venal IPTU",""),"")</f>
        <v/>
      </c>
      <c r="U2697" s="10">
        <f>IF(AND(ISNUMBER(M2697),ISNUMBER(N2697)),IF(N2697&gt;0,M2697/N2697,""),"")</f>
        <v/>
      </c>
      <c r="V2697" s="10">
        <f>IF(AND(ISNUMBER(M2697),ISNUMBER(O2697)),IF(O2697&gt;0,M2697/O2697,""),"")</f>
        <v/>
      </c>
      <c r="W2697" s="10">
        <f>IF(AND(ISNUMBER(M2697),ISNUMBER(R2697)),IF(R2697&gt;0,M2697/R2697,""),"")</f>
        <v/>
      </c>
      <c r="X2697" s="10">
        <f>IF(AND(ISNUMBER(Q2697),ISNUMBER(M2697)),IF(M2697&gt;0,Q2697/M2697,""),"")</f>
        <v/>
      </c>
      <c r="Y2697" s="11">
        <f>IF(ISNUMBER(Z2697),YEAR(Z2697),"")</f>
        <v/>
      </c>
      <c r="Z2697" s="12" t="n"/>
      <c r="AA2697" s="12" t="n"/>
      <c r="AI2697" s="12" t="n"/>
      <c r="AJ2697" s="13">
        <f>IF(LEN(TRIM(AF2697))=0,"",HYPERLINK("https://www.google.com/maps/@?api=1&amp;map_action=pano&amp;viewpoint="&amp;SUBSTITUTE(AF2697," ",""),"Abrir Street View"))</f>
        <v/>
      </c>
    </row>
    <row r="2698">
      <c r="H2698" s="6" t="n"/>
      <c r="I2698" s="6" t="n"/>
      <c r="M2698" s="7" t="n"/>
      <c r="N2698" s="7" t="n"/>
      <c r="O2698" s="7" t="n"/>
      <c r="Q2698" s="7" t="n"/>
      <c r="R2698" s="7" t="n"/>
      <c r="S2698" s="8">
        <f>IF(NOT(ISNUMBER(M2698)),"",IF(G2698="Terreno",IF(AND(ISNUMBER(I2698),I2698&gt;0),M2698/I2698,""),IF(AND(ISNUMBER(H2698),H2698&gt;0),M2698/H2698,"")))</f>
        <v/>
      </c>
      <c r="T2698" s="9">
        <f>IF(AND(ISNUMBER(M2698),ISNUMBER(O2698)),IF(M2698&lt;=O2698,"Valor ≤ venal IPTU",""),"")</f>
        <v/>
      </c>
      <c r="U2698" s="10">
        <f>IF(AND(ISNUMBER(M2698),ISNUMBER(N2698)),IF(N2698&gt;0,M2698/N2698,""),"")</f>
        <v/>
      </c>
      <c r="V2698" s="10">
        <f>IF(AND(ISNUMBER(M2698),ISNUMBER(O2698)),IF(O2698&gt;0,M2698/O2698,""),"")</f>
        <v/>
      </c>
      <c r="W2698" s="10">
        <f>IF(AND(ISNUMBER(M2698),ISNUMBER(R2698)),IF(R2698&gt;0,M2698/R2698,""),"")</f>
        <v/>
      </c>
      <c r="X2698" s="10">
        <f>IF(AND(ISNUMBER(Q2698),ISNUMBER(M2698)),IF(M2698&gt;0,Q2698/M2698,""),"")</f>
        <v/>
      </c>
      <c r="Y2698" s="11">
        <f>IF(ISNUMBER(Z2698),YEAR(Z2698),"")</f>
        <v/>
      </c>
      <c r="Z2698" s="12" t="n"/>
      <c r="AA2698" s="12" t="n"/>
      <c r="AI2698" s="12" t="n"/>
      <c r="AJ2698" s="13">
        <f>IF(LEN(TRIM(AF2698))=0,"",HYPERLINK("https://www.google.com/maps/@?api=1&amp;map_action=pano&amp;viewpoint="&amp;SUBSTITUTE(AF2698," ",""),"Abrir Street View"))</f>
        <v/>
      </c>
    </row>
    <row r="2699">
      <c r="H2699" s="6" t="n"/>
      <c r="I2699" s="6" t="n"/>
      <c r="M2699" s="7" t="n"/>
      <c r="N2699" s="7" t="n"/>
      <c r="O2699" s="7" t="n"/>
      <c r="Q2699" s="7" t="n"/>
      <c r="R2699" s="7" t="n"/>
      <c r="S2699" s="8">
        <f>IF(NOT(ISNUMBER(M2699)),"",IF(G2699="Terreno",IF(AND(ISNUMBER(I2699),I2699&gt;0),M2699/I2699,""),IF(AND(ISNUMBER(H2699),H2699&gt;0),M2699/H2699,"")))</f>
        <v/>
      </c>
      <c r="T2699" s="9">
        <f>IF(AND(ISNUMBER(M2699),ISNUMBER(O2699)),IF(M2699&lt;=O2699,"Valor ≤ venal IPTU",""),"")</f>
        <v/>
      </c>
      <c r="U2699" s="10">
        <f>IF(AND(ISNUMBER(M2699),ISNUMBER(N2699)),IF(N2699&gt;0,M2699/N2699,""),"")</f>
        <v/>
      </c>
      <c r="V2699" s="10">
        <f>IF(AND(ISNUMBER(M2699),ISNUMBER(O2699)),IF(O2699&gt;0,M2699/O2699,""),"")</f>
        <v/>
      </c>
      <c r="W2699" s="10">
        <f>IF(AND(ISNUMBER(M2699),ISNUMBER(R2699)),IF(R2699&gt;0,M2699/R2699,""),"")</f>
        <v/>
      </c>
      <c r="X2699" s="10">
        <f>IF(AND(ISNUMBER(Q2699),ISNUMBER(M2699)),IF(M2699&gt;0,Q2699/M2699,""),"")</f>
        <v/>
      </c>
      <c r="Y2699" s="11">
        <f>IF(ISNUMBER(Z2699),YEAR(Z2699),"")</f>
        <v/>
      </c>
      <c r="Z2699" s="12" t="n"/>
      <c r="AA2699" s="12" t="n"/>
      <c r="AI2699" s="12" t="n"/>
      <c r="AJ2699" s="13">
        <f>IF(LEN(TRIM(AF2699))=0,"",HYPERLINK("https://www.google.com/maps/@?api=1&amp;map_action=pano&amp;viewpoint="&amp;SUBSTITUTE(AF2699," ",""),"Abrir Street View"))</f>
        <v/>
      </c>
    </row>
    <row r="2700">
      <c r="H2700" s="6" t="n"/>
      <c r="I2700" s="6" t="n"/>
      <c r="M2700" s="7" t="n"/>
      <c r="N2700" s="7" t="n"/>
      <c r="O2700" s="7" t="n"/>
      <c r="Q2700" s="7" t="n"/>
      <c r="R2700" s="7" t="n"/>
      <c r="S2700" s="8">
        <f>IF(NOT(ISNUMBER(M2700)),"",IF(G2700="Terreno",IF(AND(ISNUMBER(I2700),I2700&gt;0),M2700/I2700,""),IF(AND(ISNUMBER(H2700),H2700&gt;0),M2700/H2700,"")))</f>
        <v/>
      </c>
      <c r="T2700" s="9">
        <f>IF(AND(ISNUMBER(M2700),ISNUMBER(O2700)),IF(M2700&lt;=O2700,"Valor ≤ venal IPTU",""),"")</f>
        <v/>
      </c>
      <c r="U2700" s="10">
        <f>IF(AND(ISNUMBER(M2700),ISNUMBER(N2700)),IF(N2700&gt;0,M2700/N2700,""),"")</f>
        <v/>
      </c>
      <c r="V2700" s="10">
        <f>IF(AND(ISNUMBER(M2700),ISNUMBER(O2700)),IF(O2700&gt;0,M2700/O2700,""),"")</f>
        <v/>
      </c>
      <c r="W2700" s="10">
        <f>IF(AND(ISNUMBER(M2700),ISNUMBER(R2700)),IF(R2700&gt;0,M2700/R2700,""),"")</f>
        <v/>
      </c>
      <c r="X2700" s="10">
        <f>IF(AND(ISNUMBER(Q2700),ISNUMBER(M2700)),IF(M2700&gt;0,Q2700/M2700,""),"")</f>
        <v/>
      </c>
      <c r="Y2700" s="11">
        <f>IF(ISNUMBER(Z2700),YEAR(Z2700),"")</f>
        <v/>
      </c>
      <c r="Z2700" s="12" t="n"/>
      <c r="AA2700" s="12" t="n"/>
      <c r="AI2700" s="12" t="n"/>
      <c r="AJ2700" s="13">
        <f>IF(LEN(TRIM(AF2700))=0,"",HYPERLINK("https://www.google.com/maps/@?api=1&amp;map_action=pano&amp;viewpoint="&amp;SUBSTITUTE(AF2700," ",""),"Abrir Street View"))</f>
        <v/>
      </c>
    </row>
    <row r="2701">
      <c r="H2701" s="6" t="n"/>
      <c r="I2701" s="6" t="n"/>
      <c r="M2701" s="7" t="n"/>
      <c r="N2701" s="7" t="n"/>
      <c r="O2701" s="7" t="n"/>
      <c r="Q2701" s="7" t="n"/>
      <c r="R2701" s="7" t="n"/>
      <c r="S2701" s="8">
        <f>IF(NOT(ISNUMBER(M2701)),"",IF(G2701="Terreno",IF(AND(ISNUMBER(I2701),I2701&gt;0),M2701/I2701,""),IF(AND(ISNUMBER(H2701),H2701&gt;0),M2701/H2701,"")))</f>
        <v/>
      </c>
      <c r="T2701" s="9">
        <f>IF(AND(ISNUMBER(M2701),ISNUMBER(O2701)),IF(M2701&lt;=O2701,"Valor ≤ venal IPTU",""),"")</f>
        <v/>
      </c>
      <c r="U2701" s="10">
        <f>IF(AND(ISNUMBER(M2701),ISNUMBER(N2701)),IF(N2701&gt;0,M2701/N2701,""),"")</f>
        <v/>
      </c>
      <c r="V2701" s="10">
        <f>IF(AND(ISNUMBER(M2701),ISNUMBER(O2701)),IF(O2701&gt;0,M2701/O2701,""),"")</f>
        <v/>
      </c>
      <c r="W2701" s="10">
        <f>IF(AND(ISNUMBER(M2701),ISNUMBER(R2701)),IF(R2701&gt;0,M2701/R2701,""),"")</f>
        <v/>
      </c>
      <c r="X2701" s="10">
        <f>IF(AND(ISNUMBER(Q2701),ISNUMBER(M2701)),IF(M2701&gt;0,Q2701/M2701,""),"")</f>
        <v/>
      </c>
      <c r="Y2701" s="11">
        <f>IF(ISNUMBER(Z2701),YEAR(Z2701),"")</f>
        <v/>
      </c>
      <c r="Z2701" s="12" t="n"/>
      <c r="AA2701" s="12" t="n"/>
      <c r="AI2701" s="12" t="n"/>
      <c r="AJ2701" s="13">
        <f>IF(LEN(TRIM(AF2701))=0,"",HYPERLINK("https://www.google.com/maps/@?api=1&amp;map_action=pano&amp;viewpoint="&amp;SUBSTITUTE(AF2701," ",""),"Abrir Street View"))</f>
        <v/>
      </c>
    </row>
    <row r="2702">
      <c r="H2702" s="6" t="n"/>
      <c r="I2702" s="6" t="n"/>
      <c r="M2702" s="7" t="n"/>
      <c r="N2702" s="7" t="n"/>
      <c r="O2702" s="7" t="n"/>
      <c r="Q2702" s="7" t="n"/>
      <c r="R2702" s="7" t="n"/>
      <c r="S2702" s="8">
        <f>IF(NOT(ISNUMBER(M2702)),"",IF(G2702="Terreno",IF(AND(ISNUMBER(I2702),I2702&gt;0),M2702/I2702,""),IF(AND(ISNUMBER(H2702),H2702&gt;0),M2702/H2702,"")))</f>
        <v/>
      </c>
      <c r="T2702" s="9">
        <f>IF(AND(ISNUMBER(M2702),ISNUMBER(O2702)),IF(M2702&lt;=O2702,"Valor ≤ venal IPTU",""),"")</f>
        <v/>
      </c>
      <c r="U2702" s="10">
        <f>IF(AND(ISNUMBER(M2702),ISNUMBER(N2702)),IF(N2702&gt;0,M2702/N2702,""),"")</f>
        <v/>
      </c>
      <c r="V2702" s="10">
        <f>IF(AND(ISNUMBER(M2702),ISNUMBER(O2702)),IF(O2702&gt;0,M2702/O2702,""),"")</f>
        <v/>
      </c>
      <c r="W2702" s="10">
        <f>IF(AND(ISNUMBER(M2702),ISNUMBER(R2702)),IF(R2702&gt;0,M2702/R2702,""),"")</f>
        <v/>
      </c>
      <c r="X2702" s="10">
        <f>IF(AND(ISNUMBER(Q2702),ISNUMBER(M2702)),IF(M2702&gt;0,Q2702/M2702,""),"")</f>
        <v/>
      </c>
      <c r="Y2702" s="11">
        <f>IF(ISNUMBER(Z2702),YEAR(Z2702),"")</f>
        <v/>
      </c>
      <c r="Z2702" s="12" t="n"/>
      <c r="AA2702" s="12" t="n"/>
      <c r="AI2702" s="12" t="n"/>
      <c r="AJ2702" s="13">
        <f>IF(LEN(TRIM(AF2702))=0,"",HYPERLINK("https://www.google.com/maps/@?api=1&amp;map_action=pano&amp;viewpoint="&amp;SUBSTITUTE(AF2702," ",""),"Abrir Street View"))</f>
        <v/>
      </c>
    </row>
    <row r="2703">
      <c r="H2703" s="6" t="n"/>
      <c r="I2703" s="6" t="n"/>
      <c r="M2703" s="7" t="n"/>
      <c r="N2703" s="7" t="n"/>
      <c r="O2703" s="7" t="n"/>
      <c r="Q2703" s="7" t="n"/>
      <c r="R2703" s="7" t="n"/>
      <c r="S2703" s="8">
        <f>IF(NOT(ISNUMBER(M2703)),"",IF(G2703="Terreno",IF(AND(ISNUMBER(I2703),I2703&gt;0),M2703/I2703,""),IF(AND(ISNUMBER(H2703),H2703&gt;0),M2703/H2703,"")))</f>
        <v/>
      </c>
      <c r="T2703" s="9">
        <f>IF(AND(ISNUMBER(M2703),ISNUMBER(O2703)),IF(M2703&lt;=O2703,"Valor ≤ venal IPTU",""),"")</f>
        <v/>
      </c>
      <c r="U2703" s="10">
        <f>IF(AND(ISNUMBER(M2703),ISNUMBER(N2703)),IF(N2703&gt;0,M2703/N2703,""),"")</f>
        <v/>
      </c>
      <c r="V2703" s="10">
        <f>IF(AND(ISNUMBER(M2703),ISNUMBER(O2703)),IF(O2703&gt;0,M2703/O2703,""),"")</f>
        <v/>
      </c>
      <c r="W2703" s="10">
        <f>IF(AND(ISNUMBER(M2703),ISNUMBER(R2703)),IF(R2703&gt;0,M2703/R2703,""),"")</f>
        <v/>
      </c>
      <c r="X2703" s="10">
        <f>IF(AND(ISNUMBER(Q2703),ISNUMBER(M2703)),IF(M2703&gt;0,Q2703/M2703,""),"")</f>
        <v/>
      </c>
      <c r="Y2703" s="11">
        <f>IF(ISNUMBER(Z2703),YEAR(Z2703),"")</f>
        <v/>
      </c>
      <c r="Z2703" s="12" t="n"/>
      <c r="AA2703" s="12" t="n"/>
      <c r="AI2703" s="12" t="n"/>
      <c r="AJ2703" s="13">
        <f>IF(LEN(TRIM(AF2703))=0,"",HYPERLINK("https://www.google.com/maps/@?api=1&amp;map_action=pano&amp;viewpoint="&amp;SUBSTITUTE(AF2703," ",""),"Abrir Street View"))</f>
        <v/>
      </c>
    </row>
    <row r="2704">
      <c r="H2704" s="6" t="n"/>
      <c r="I2704" s="6" t="n"/>
      <c r="M2704" s="7" t="n"/>
      <c r="N2704" s="7" t="n"/>
      <c r="O2704" s="7" t="n"/>
      <c r="Q2704" s="7" t="n"/>
      <c r="R2704" s="7" t="n"/>
      <c r="S2704" s="8">
        <f>IF(NOT(ISNUMBER(M2704)),"",IF(G2704="Terreno",IF(AND(ISNUMBER(I2704),I2704&gt;0),M2704/I2704,""),IF(AND(ISNUMBER(H2704),H2704&gt;0),M2704/H2704,"")))</f>
        <v/>
      </c>
      <c r="T2704" s="9">
        <f>IF(AND(ISNUMBER(M2704),ISNUMBER(O2704)),IF(M2704&lt;=O2704,"Valor ≤ venal IPTU",""),"")</f>
        <v/>
      </c>
      <c r="U2704" s="10">
        <f>IF(AND(ISNUMBER(M2704),ISNUMBER(N2704)),IF(N2704&gt;0,M2704/N2704,""),"")</f>
        <v/>
      </c>
      <c r="V2704" s="10">
        <f>IF(AND(ISNUMBER(M2704),ISNUMBER(O2704)),IF(O2704&gt;0,M2704/O2704,""),"")</f>
        <v/>
      </c>
      <c r="W2704" s="10">
        <f>IF(AND(ISNUMBER(M2704),ISNUMBER(R2704)),IF(R2704&gt;0,M2704/R2704,""),"")</f>
        <v/>
      </c>
      <c r="X2704" s="10">
        <f>IF(AND(ISNUMBER(Q2704),ISNUMBER(M2704)),IF(M2704&gt;0,Q2704/M2704,""),"")</f>
        <v/>
      </c>
      <c r="Y2704" s="11">
        <f>IF(ISNUMBER(Z2704),YEAR(Z2704),"")</f>
        <v/>
      </c>
      <c r="Z2704" s="12" t="n"/>
      <c r="AA2704" s="12" t="n"/>
      <c r="AI2704" s="12" t="n"/>
      <c r="AJ2704" s="13">
        <f>IF(LEN(TRIM(AF2704))=0,"",HYPERLINK("https://www.google.com/maps/@?api=1&amp;map_action=pano&amp;viewpoint="&amp;SUBSTITUTE(AF2704," ",""),"Abrir Street View"))</f>
        <v/>
      </c>
    </row>
    <row r="2705">
      <c r="H2705" s="6" t="n"/>
      <c r="I2705" s="6" t="n"/>
      <c r="M2705" s="7" t="n"/>
      <c r="N2705" s="7" t="n"/>
      <c r="O2705" s="7" t="n"/>
      <c r="Q2705" s="7" t="n"/>
      <c r="R2705" s="7" t="n"/>
      <c r="S2705" s="8">
        <f>IF(NOT(ISNUMBER(M2705)),"",IF(G2705="Terreno",IF(AND(ISNUMBER(I2705),I2705&gt;0),M2705/I2705,""),IF(AND(ISNUMBER(H2705),H2705&gt;0),M2705/H2705,"")))</f>
        <v/>
      </c>
      <c r="T2705" s="9">
        <f>IF(AND(ISNUMBER(M2705),ISNUMBER(O2705)),IF(M2705&lt;=O2705,"Valor ≤ venal IPTU",""),"")</f>
        <v/>
      </c>
      <c r="U2705" s="10">
        <f>IF(AND(ISNUMBER(M2705),ISNUMBER(N2705)),IF(N2705&gt;0,M2705/N2705,""),"")</f>
        <v/>
      </c>
      <c r="V2705" s="10">
        <f>IF(AND(ISNUMBER(M2705),ISNUMBER(O2705)),IF(O2705&gt;0,M2705/O2705,""),"")</f>
        <v/>
      </c>
      <c r="W2705" s="10">
        <f>IF(AND(ISNUMBER(M2705),ISNUMBER(R2705)),IF(R2705&gt;0,M2705/R2705,""),"")</f>
        <v/>
      </c>
      <c r="X2705" s="10">
        <f>IF(AND(ISNUMBER(Q2705),ISNUMBER(M2705)),IF(M2705&gt;0,Q2705/M2705,""),"")</f>
        <v/>
      </c>
      <c r="Y2705" s="11">
        <f>IF(ISNUMBER(Z2705),YEAR(Z2705),"")</f>
        <v/>
      </c>
      <c r="Z2705" s="12" t="n"/>
      <c r="AA2705" s="12" t="n"/>
      <c r="AI2705" s="12" t="n"/>
      <c r="AJ2705" s="13">
        <f>IF(LEN(TRIM(AF2705))=0,"",HYPERLINK("https://www.google.com/maps/@?api=1&amp;map_action=pano&amp;viewpoint="&amp;SUBSTITUTE(AF2705," ",""),"Abrir Street View"))</f>
        <v/>
      </c>
    </row>
    <row r="2706">
      <c r="H2706" s="6" t="n"/>
      <c r="I2706" s="6" t="n"/>
      <c r="M2706" s="7" t="n"/>
      <c r="N2706" s="7" t="n"/>
      <c r="O2706" s="7" t="n"/>
      <c r="Q2706" s="7" t="n"/>
      <c r="R2706" s="7" t="n"/>
      <c r="S2706" s="8">
        <f>IF(NOT(ISNUMBER(M2706)),"",IF(G2706="Terreno",IF(AND(ISNUMBER(I2706),I2706&gt;0),M2706/I2706,""),IF(AND(ISNUMBER(H2706),H2706&gt;0),M2706/H2706,"")))</f>
        <v/>
      </c>
      <c r="T2706" s="9">
        <f>IF(AND(ISNUMBER(M2706),ISNUMBER(O2706)),IF(M2706&lt;=O2706,"Valor ≤ venal IPTU",""),"")</f>
        <v/>
      </c>
      <c r="U2706" s="10">
        <f>IF(AND(ISNUMBER(M2706),ISNUMBER(N2706)),IF(N2706&gt;0,M2706/N2706,""),"")</f>
        <v/>
      </c>
      <c r="V2706" s="10">
        <f>IF(AND(ISNUMBER(M2706),ISNUMBER(O2706)),IF(O2706&gt;0,M2706/O2706,""),"")</f>
        <v/>
      </c>
      <c r="W2706" s="10">
        <f>IF(AND(ISNUMBER(M2706),ISNUMBER(R2706)),IF(R2706&gt;0,M2706/R2706,""),"")</f>
        <v/>
      </c>
      <c r="X2706" s="10">
        <f>IF(AND(ISNUMBER(Q2706),ISNUMBER(M2706)),IF(M2706&gt;0,Q2706/M2706,""),"")</f>
        <v/>
      </c>
      <c r="Y2706" s="11">
        <f>IF(ISNUMBER(Z2706),YEAR(Z2706),"")</f>
        <v/>
      </c>
      <c r="Z2706" s="12" t="n"/>
      <c r="AA2706" s="12" t="n"/>
      <c r="AI2706" s="12" t="n"/>
      <c r="AJ2706" s="13">
        <f>IF(LEN(TRIM(AF2706))=0,"",HYPERLINK("https://www.google.com/maps/@?api=1&amp;map_action=pano&amp;viewpoint="&amp;SUBSTITUTE(AF2706," ",""),"Abrir Street View"))</f>
        <v/>
      </c>
    </row>
    <row r="2707">
      <c r="H2707" s="6" t="n"/>
      <c r="I2707" s="6" t="n"/>
      <c r="M2707" s="7" t="n"/>
      <c r="N2707" s="7" t="n"/>
      <c r="O2707" s="7" t="n"/>
      <c r="Q2707" s="7" t="n"/>
      <c r="R2707" s="7" t="n"/>
      <c r="S2707" s="8">
        <f>IF(NOT(ISNUMBER(M2707)),"",IF(G2707="Terreno",IF(AND(ISNUMBER(I2707),I2707&gt;0),M2707/I2707,""),IF(AND(ISNUMBER(H2707),H2707&gt;0),M2707/H2707,"")))</f>
        <v/>
      </c>
      <c r="T2707" s="9">
        <f>IF(AND(ISNUMBER(M2707),ISNUMBER(O2707)),IF(M2707&lt;=O2707,"Valor ≤ venal IPTU",""),"")</f>
        <v/>
      </c>
      <c r="U2707" s="10">
        <f>IF(AND(ISNUMBER(M2707),ISNUMBER(N2707)),IF(N2707&gt;0,M2707/N2707,""),"")</f>
        <v/>
      </c>
      <c r="V2707" s="10">
        <f>IF(AND(ISNUMBER(M2707),ISNUMBER(O2707)),IF(O2707&gt;0,M2707/O2707,""),"")</f>
        <v/>
      </c>
      <c r="W2707" s="10">
        <f>IF(AND(ISNUMBER(M2707),ISNUMBER(R2707)),IF(R2707&gt;0,M2707/R2707,""),"")</f>
        <v/>
      </c>
      <c r="X2707" s="10">
        <f>IF(AND(ISNUMBER(Q2707),ISNUMBER(M2707)),IF(M2707&gt;0,Q2707/M2707,""),"")</f>
        <v/>
      </c>
      <c r="Y2707" s="11">
        <f>IF(ISNUMBER(Z2707),YEAR(Z2707),"")</f>
        <v/>
      </c>
      <c r="Z2707" s="12" t="n"/>
      <c r="AA2707" s="12" t="n"/>
      <c r="AI2707" s="12" t="n"/>
      <c r="AJ2707" s="13">
        <f>IF(LEN(TRIM(AF2707))=0,"",HYPERLINK("https://www.google.com/maps/@?api=1&amp;map_action=pano&amp;viewpoint="&amp;SUBSTITUTE(AF2707," ",""),"Abrir Street View"))</f>
        <v/>
      </c>
    </row>
    <row r="2708">
      <c r="H2708" s="6" t="n"/>
      <c r="I2708" s="6" t="n"/>
      <c r="M2708" s="7" t="n"/>
      <c r="N2708" s="7" t="n"/>
      <c r="O2708" s="7" t="n"/>
      <c r="Q2708" s="7" t="n"/>
      <c r="R2708" s="7" t="n"/>
      <c r="S2708" s="8">
        <f>IF(NOT(ISNUMBER(M2708)),"",IF(G2708="Terreno",IF(AND(ISNUMBER(I2708),I2708&gt;0),M2708/I2708,""),IF(AND(ISNUMBER(H2708),H2708&gt;0),M2708/H2708,"")))</f>
        <v/>
      </c>
      <c r="T2708" s="9">
        <f>IF(AND(ISNUMBER(M2708),ISNUMBER(O2708)),IF(M2708&lt;=O2708,"Valor ≤ venal IPTU",""),"")</f>
        <v/>
      </c>
      <c r="U2708" s="10">
        <f>IF(AND(ISNUMBER(M2708),ISNUMBER(N2708)),IF(N2708&gt;0,M2708/N2708,""),"")</f>
        <v/>
      </c>
      <c r="V2708" s="10">
        <f>IF(AND(ISNUMBER(M2708),ISNUMBER(O2708)),IF(O2708&gt;0,M2708/O2708,""),"")</f>
        <v/>
      </c>
      <c r="W2708" s="10">
        <f>IF(AND(ISNUMBER(M2708),ISNUMBER(R2708)),IF(R2708&gt;0,M2708/R2708,""),"")</f>
        <v/>
      </c>
      <c r="X2708" s="10">
        <f>IF(AND(ISNUMBER(Q2708),ISNUMBER(M2708)),IF(M2708&gt;0,Q2708/M2708,""),"")</f>
        <v/>
      </c>
      <c r="Y2708" s="11">
        <f>IF(ISNUMBER(Z2708),YEAR(Z2708),"")</f>
        <v/>
      </c>
      <c r="Z2708" s="12" t="n"/>
      <c r="AA2708" s="12" t="n"/>
      <c r="AI2708" s="12" t="n"/>
      <c r="AJ2708" s="13">
        <f>IF(LEN(TRIM(AF2708))=0,"",HYPERLINK("https://www.google.com/maps/@?api=1&amp;map_action=pano&amp;viewpoint="&amp;SUBSTITUTE(AF2708," ",""),"Abrir Street View"))</f>
        <v/>
      </c>
    </row>
    <row r="2709">
      <c r="H2709" s="6" t="n"/>
      <c r="I2709" s="6" t="n"/>
      <c r="M2709" s="7" t="n"/>
      <c r="N2709" s="7" t="n"/>
      <c r="O2709" s="7" t="n"/>
      <c r="Q2709" s="7" t="n"/>
      <c r="R2709" s="7" t="n"/>
      <c r="S2709" s="8">
        <f>IF(NOT(ISNUMBER(M2709)),"",IF(G2709="Terreno",IF(AND(ISNUMBER(I2709),I2709&gt;0),M2709/I2709,""),IF(AND(ISNUMBER(H2709),H2709&gt;0),M2709/H2709,"")))</f>
        <v/>
      </c>
      <c r="T2709" s="9">
        <f>IF(AND(ISNUMBER(M2709),ISNUMBER(O2709)),IF(M2709&lt;=O2709,"Valor ≤ venal IPTU",""),"")</f>
        <v/>
      </c>
      <c r="U2709" s="10">
        <f>IF(AND(ISNUMBER(M2709),ISNUMBER(N2709)),IF(N2709&gt;0,M2709/N2709,""),"")</f>
        <v/>
      </c>
      <c r="V2709" s="10">
        <f>IF(AND(ISNUMBER(M2709),ISNUMBER(O2709)),IF(O2709&gt;0,M2709/O2709,""),"")</f>
        <v/>
      </c>
      <c r="W2709" s="10">
        <f>IF(AND(ISNUMBER(M2709),ISNUMBER(R2709)),IF(R2709&gt;0,M2709/R2709,""),"")</f>
        <v/>
      </c>
      <c r="X2709" s="10">
        <f>IF(AND(ISNUMBER(Q2709),ISNUMBER(M2709)),IF(M2709&gt;0,Q2709/M2709,""),"")</f>
        <v/>
      </c>
      <c r="Y2709" s="11">
        <f>IF(ISNUMBER(Z2709),YEAR(Z2709),"")</f>
        <v/>
      </c>
      <c r="Z2709" s="12" t="n"/>
      <c r="AA2709" s="12" t="n"/>
      <c r="AI2709" s="12" t="n"/>
      <c r="AJ2709" s="13">
        <f>IF(LEN(TRIM(AF2709))=0,"",HYPERLINK("https://www.google.com/maps/@?api=1&amp;map_action=pano&amp;viewpoint="&amp;SUBSTITUTE(AF2709," ",""),"Abrir Street View"))</f>
        <v/>
      </c>
    </row>
    <row r="2710">
      <c r="H2710" s="6" t="n"/>
      <c r="I2710" s="6" t="n"/>
      <c r="M2710" s="7" t="n"/>
      <c r="N2710" s="7" t="n"/>
      <c r="O2710" s="7" t="n"/>
      <c r="Q2710" s="7" t="n"/>
      <c r="R2710" s="7" t="n"/>
      <c r="S2710" s="8">
        <f>IF(NOT(ISNUMBER(M2710)),"",IF(G2710="Terreno",IF(AND(ISNUMBER(I2710),I2710&gt;0),M2710/I2710,""),IF(AND(ISNUMBER(H2710),H2710&gt;0),M2710/H2710,"")))</f>
        <v/>
      </c>
      <c r="T2710" s="9">
        <f>IF(AND(ISNUMBER(M2710),ISNUMBER(O2710)),IF(M2710&lt;=O2710,"Valor ≤ venal IPTU",""),"")</f>
        <v/>
      </c>
      <c r="U2710" s="10">
        <f>IF(AND(ISNUMBER(M2710),ISNUMBER(N2710)),IF(N2710&gt;0,M2710/N2710,""),"")</f>
        <v/>
      </c>
      <c r="V2710" s="10">
        <f>IF(AND(ISNUMBER(M2710),ISNUMBER(O2710)),IF(O2710&gt;0,M2710/O2710,""),"")</f>
        <v/>
      </c>
      <c r="W2710" s="10">
        <f>IF(AND(ISNUMBER(M2710),ISNUMBER(R2710)),IF(R2710&gt;0,M2710/R2710,""),"")</f>
        <v/>
      </c>
      <c r="X2710" s="10">
        <f>IF(AND(ISNUMBER(Q2710),ISNUMBER(M2710)),IF(M2710&gt;0,Q2710/M2710,""),"")</f>
        <v/>
      </c>
      <c r="Y2710" s="11">
        <f>IF(ISNUMBER(Z2710),YEAR(Z2710),"")</f>
        <v/>
      </c>
      <c r="Z2710" s="12" t="n"/>
      <c r="AA2710" s="12" t="n"/>
      <c r="AI2710" s="12" t="n"/>
      <c r="AJ2710" s="13">
        <f>IF(LEN(TRIM(AF2710))=0,"",HYPERLINK("https://www.google.com/maps/@?api=1&amp;map_action=pano&amp;viewpoint="&amp;SUBSTITUTE(AF2710," ",""),"Abrir Street View"))</f>
        <v/>
      </c>
    </row>
    <row r="2711">
      <c r="H2711" s="6" t="n"/>
      <c r="I2711" s="6" t="n"/>
      <c r="M2711" s="7" t="n"/>
      <c r="N2711" s="7" t="n"/>
      <c r="O2711" s="7" t="n"/>
      <c r="Q2711" s="7" t="n"/>
      <c r="R2711" s="7" t="n"/>
      <c r="S2711" s="8">
        <f>IF(NOT(ISNUMBER(M2711)),"",IF(G2711="Terreno",IF(AND(ISNUMBER(I2711),I2711&gt;0),M2711/I2711,""),IF(AND(ISNUMBER(H2711),H2711&gt;0),M2711/H2711,"")))</f>
        <v/>
      </c>
      <c r="T2711" s="9">
        <f>IF(AND(ISNUMBER(M2711),ISNUMBER(O2711)),IF(M2711&lt;=O2711,"Valor ≤ venal IPTU",""),"")</f>
        <v/>
      </c>
      <c r="U2711" s="10">
        <f>IF(AND(ISNUMBER(M2711),ISNUMBER(N2711)),IF(N2711&gt;0,M2711/N2711,""),"")</f>
        <v/>
      </c>
      <c r="V2711" s="10">
        <f>IF(AND(ISNUMBER(M2711),ISNUMBER(O2711)),IF(O2711&gt;0,M2711/O2711,""),"")</f>
        <v/>
      </c>
      <c r="W2711" s="10">
        <f>IF(AND(ISNUMBER(M2711),ISNUMBER(R2711)),IF(R2711&gt;0,M2711/R2711,""),"")</f>
        <v/>
      </c>
      <c r="X2711" s="10">
        <f>IF(AND(ISNUMBER(Q2711),ISNUMBER(M2711)),IF(M2711&gt;0,Q2711/M2711,""),"")</f>
        <v/>
      </c>
      <c r="Y2711" s="11">
        <f>IF(ISNUMBER(Z2711),YEAR(Z2711),"")</f>
        <v/>
      </c>
      <c r="Z2711" s="12" t="n"/>
      <c r="AA2711" s="12" t="n"/>
      <c r="AI2711" s="12" t="n"/>
      <c r="AJ2711" s="13">
        <f>IF(LEN(TRIM(AF2711))=0,"",HYPERLINK("https://www.google.com/maps/@?api=1&amp;map_action=pano&amp;viewpoint="&amp;SUBSTITUTE(AF2711," ",""),"Abrir Street View"))</f>
        <v/>
      </c>
    </row>
    <row r="2712">
      <c r="H2712" s="6" t="n"/>
      <c r="I2712" s="6" t="n"/>
      <c r="M2712" s="7" t="n"/>
      <c r="N2712" s="7" t="n"/>
      <c r="O2712" s="7" t="n"/>
      <c r="Q2712" s="7" t="n"/>
      <c r="R2712" s="7" t="n"/>
      <c r="S2712" s="8">
        <f>IF(NOT(ISNUMBER(M2712)),"",IF(G2712="Terreno",IF(AND(ISNUMBER(I2712),I2712&gt;0),M2712/I2712,""),IF(AND(ISNUMBER(H2712),H2712&gt;0),M2712/H2712,"")))</f>
        <v/>
      </c>
      <c r="T2712" s="9">
        <f>IF(AND(ISNUMBER(M2712),ISNUMBER(O2712)),IF(M2712&lt;=O2712,"Valor ≤ venal IPTU",""),"")</f>
        <v/>
      </c>
      <c r="U2712" s="10">
        <f>IF(AND(ISNUMBER(M2712),ISNUMBER(N2712)),IF(N2712&gt;0,M2712/N2712,""),"")</f>
        <v/>
      </c>
      <c r="V2712" s="10">
        <f>IF(AND(ISNUMBER(M2712),ISNUMBER(O2712)),IF(O2712&gt;0,M2712/O2712,""),"")</f>
        <v/>
      </c>
      <c r="W2712" s="10">
        <f>IF(AND(ISNUMBER(M2712),ISNUMBER(R2712)),IF(R2712&gt;0,M2712/R2712,""),"")</f>
        <v/>
      </c>
      <c r="X2712" s="10">
        <f>IF(AND(ISNUMBER(Q2712),ISNUMBER(M2712)),IF(M2712&gt;0,Q2712/M2712,""),"")</f>
        <v/>
      </c>
      <c r="Y2712" s="11">
        <f>IF(ISNUMBER(Z2712),YEAR(Z2712),"")</f>
        <v/>
      </c>
      <c r="Z2712" s="12" t="n"/>
      <c r="AA2712" s="12" t="n"/>
      <c r="AI2712" s="12" t="n"/>
      <c r="AJ2712" s="13">
        <f>IF(LEN(TRIM(AF2712))=0,"",HYPERLINK("https://www.google.com/maps/@?api=1&amp;map_action=pano&amp;viewpoint="&amp;SUBSTITUTE(AF2712," ",""),"Abrir Street View"))</f>
        <v/>
      </c>
    </row>
    <row r="2713">
      <c r="H2713" s="6" t="n"/>
      <c r="I2713" s="6" t="n"/>
      <c r="M2713" s="7" t="n"/>
      <c r="N2713" s="7" t="n"/>
      <c r="O2713" s="7" t="n"/>
      <c r="Q2713" s="7" t="n"/>
      <c r="R2713" s="7" t="n"/>
      <c r="S2713" s="8">
        <f>IF(NOT(ISNUMBER(M2713)),"",IF(G2713="Terreno",IF(AND(ISNUMBER(I2713),I2713&gt;0),M2713/I2713,""),IF(AND(ISNUMBER(H2713),H2713&gt;0),M2713/H2713,"")))</f>
        <v/>
      </c>
      <c r="T2713" s="9">
        <f>IF(AND(ISNUMBER(M2713),ISNUMBER(O2713)),IF(M2713&lt;=O2713,"Valor ≤ venal IPTU",""),"")</f>
        <v/>
      </c>
      <c r="U2713" s="10">
        <f>IF(AND(ISNUMBER(M2713),ISNUMBER(N2713)),IF(N2713&gt;0,M2713/N2713,""),"")</f>
        <v/>
      </c>
      <c r="V2713" s="10">
        <f>IF(AND(ISNUMBER(M2713),ISNUMBER(O2713)),IF(O2713&gt;0,M2713/O2713,""),"")</f>
        <v/>
      </c>
      <c r="W2713" s="10">
        <f>IF(AND(ISNUMBER(M2713),ISNUMBER(R2713)),IF(R2713&gt;0,M2713/R2713,""),"")</f>
        <v/>
      </c>
      <c r="X2713" s="10">
        <f>IF(AND(ISNUMBER(Q2713),ISNUMBER(M2713)),IF(M2713&gt;0,Q2713/M2713,""),"")</f>
        <v/>
      </c>
      <c r="Y2713" s="11">
        <f>IF(ISNUMBER(Z2713),YEAR(Z2713),"")</f>
        <v/>
      </c>
      <c r="Z2713" s="12" t="n"/>
      <c r="AA2713" s="12" t="n"/>
      <c r="AI2713" s="12" t="n"/>
      <c r="AJ2713" s="13">
        <f>IF(LEN(TRIM(AF2713))=0,"",HYPERLINK("https://www.google.com/maps/@?api=1&amp;map_action=pano&amp;viewpoint="&amp;SUBSTITUTE(AF2713," ",""),"Abrir Street View"))</f>
        <v/>
      </c>
    </row>
    <row r="2714">
      <c r="H2714" s="6" t="n"/>
      <c r="I2714" s="6" t="n"/>
      <c r="M2714" s="7" t="n"/>
      <c r="N2714" s="7" t="n"/>
      <c r="O2714" s="7" t="n"/>
      <c r="Q2714" s="7" t="n"/>
      <c r="R2714" s="7" t="n"/>
      <c r="S2714" s="8">
        <f>IF(NOT(ISNUMBER(M2714)),"",IF(G2714="Terreno",IF(AND(ISNUMBER(I2714),I2714&gt;0),M2714/I2714,""),IF(AND(ISNUMBER(H2714),H2714&gt;0),M2714/H2714,"")))</f>
        <v/>
      </c>
      <c r="T2714" s="9">
        <f>IF(AND(ISNUMBER(M2714),ISNUMBER(O2714)),IF(M2714&lt;=O2714,"Valor ≤ venal IPTU",""),"")</f>
        <v/>
      </c>
      <c r="U2714" s="10">
        <f>IF(AND(ISNUMBER(M2714),ISNUMBER(N2714)),IF(N2714&gt;0,M2714/N2714,""),"")</f>
        <v/>
      </c>
      <c r="V2714" s="10">
        <f>IF(AND(ISNUMBER(M2714),ISNUMBER(O2714)),IF(O2714&gt;0,M2714/O2714,""),"")</f>
        <v/>
      </c>
      <c r="W2714" s="10">
        <f>IF(AND(ISNUMBER(M2714),ISNUMBER(R2714)),IF(R2714&gt;0,M2714/R2714,""),"")</f>
        <v/>
      </c>
      <c r="X2714" s="10">
        <f>IF(AND(ISNUMBER(Q2714),ISNUMBER(M2714)),IF(M2714&gt;0,Q2714/M2714,""),"")</f>
        <v/>
      </c>
      <c r="Y2714" s="11">
        <f>IF(ISNUMBER(Z2714),YEAR(Z2714),"")</f>
        <v/>
      </c>
      <c r="Z2714" s="12" t="n"/>
      <c r="AA2714" s="12" t="n"/>
      <c r="AI2714" s="12" t="n"/>
      <c r="AJ2714" s="13">
        <f>IF(LEN(TRIM(AF2714))=0,"",HYPERLINK("https://www.google.com/maps/@?api=1&amp;map_action=pano&amp;viewpoint="&amp;SUBSTITUTE(AF2714," ",""),"Abrir Street View"))</f>
        <v/>
      </c>
    </row>
    <row r="2715">
      <c r="H2715" s="6" t="n"/>
      <c r="I2715" s="6" t="n"/>
      <c r="M2715" s="7" t="n"/>
      <c r="N2715" s="7" t="n"/>
      <c r="O2715" s="7" t="n"/>
      <c r="Q2715" s="7" t="n"/>
      <c r="R2715" s="7" t="n"/>
      <c r="S2715" s="8">
        <f>IF(NOT(ISNUMBER(M2715)),"",IF(G2715="Terreno",IF(AND(ISNUMBER(I2715),I2715&gt;0),M2715/I2715,""),IF(AND(ISNUMBER(H2715),H2715&gt;0),M2715/H2715,"")))</f>
        <v/>
      </c>
      <c r="T2715" s="9">
        <f>IF(AND(ISNUMBER(M2715),ISNUMBER(O2715)),IF(M2715&lt;=O2715,"Valor ≤ venal IPTU",""),"")</f>
        <v/>
      </c>
      <c r="U2715" s="10">
        <f>IF(AND(ISNUMBER(M2715),ISNUMBER(N2715)),IF(N2715&gt;0,M2715/N2715,""),"")</f>
        <v/>
      </c>
      <c r="V2715" s="10">
        <f>IF(AND(ISNUMBER(M2715),ISNUMBER(O2715)),IF(O2715&gt;0,M2715/O2715,""),"")</f>
        <v/>
      </c>
      <c r="W2715" s="10">
        <f>IF(AND(ISNUMBER(M2715),ISNUMBER(R2715)),IF(R2715&gt;0,M2715/R2715,""),"")</f>
        <v/>
      </c>
      <c r="X2715" s="10">
        <f>IF(AND(ISNUMBER(Q2715),ISNUMBER(M2715)),IF(M2715&gt;0,Q2715/M2715,""),"")</f>
        <v/>
      </c>
      <c r="Y2715" s="11">
        <f>IF(ISNUMBER(Z2715),YEAR(Z2715),"")</f>
        <v/>
      </c>
      <c r="Z2715" s="12" t="n"/>
      <c r="AA2715" s="12" t="n"/>
      <c r="AI2715" s="12" t="n"/>
      <c r="AJ2715" s="13">
        <f>IF(LEN(TRIM(AF2715))=0,"",HYPERLINK("https://www.google.com/maps/@?api=1&amp;map_action=pano&amp;viewpoint="&amp;SUBSTITUTE(AF2715," ",""),"Abrir Street View"))</f>
        <v/>
      </c>
    </row>
    <row r="2716">
      <c r="H2716" s="6" t="n"/>
      <c r="I2716" s="6" t="n"/>
      <c r="M2716" s="7" t="n"/>
      <c r="N2716" s="7" t="n"/>
      <c r="O2716" s="7" t="n"/>
      <c r="Q2716" s="7" t="n"/>
      <c r="R2716" s="7" t="n"/>
      <c r="S2716" s="8">
        <f>IF(NOT(ISNUMBER(M2716)),"",IF(G2716="Terreno",IF(AND(ISNUMBER(I2716),I2716&gt;0),M2716/I2716,""),IF(AND(ISNUMBER(H2716),H2716&gt;0),M2716/H2716,"")))</f>
        <v/>
      </c>
      <c r="T2716" s="9">
        <f>IF(AND(ISNUMBER(M2716),ISNUMBER(O2716)),IF(M2716&lt;=O2716,"Valor ≤ venal IPTU",""),"")</f>
        <v/>
      </c>
      <c r="U2716" s="10">
        <f>IF(AND(ISNUMBER(M2716),ISNUMBER(N2716)),IF(N2716&gt;0,M2716/N2716,""),"")</f>
        <v/>
      </c>
      <c r="V2716" s="10">
        <f>IF(AND(ISNUMBER(M2716),ISNUMBER(O2716)),IF(O2716&gt;0,M2716/O2716,""),"")</f>
        <v/>
      </c>
      <c r="W2716" s="10">
        <f>IF(AND(ISNUMBER(M2716),ISNUMBER(R2716)),IF(R2716&gt;0,M2716/R2716,""),"")</f>
        <v/>
      </c>
      <c r="X2716" s="10">
        <f>IF(AND(ISNUMBER(Q2716),ISNUMBER(M2716)),IF(M2716&gt;0,Q2716/M2716,""),"")</f>
        <v/>
      </c>
      <c r="Y2716" s="11">
        <f>IF(ISNUMBER(Z2716),YEAR(Z2716),"")</f>
        <v/>
      </c>
      <c r="Z2716" s="12" t="n"/>
      <c r="AA2716" s="12" t="n"/>
      <c r="AI2716" s="12" t="n"/>
      <c r="AJ2716" s="13">
        <f>IF(LEN(TRIM(AF2716))=0,"",HYPERLINK("https://www.google.com/maps/@?api=1&amp;map_action=pano&amp;viewpoint="&amp;SUBSTITUTE(AF2716," ",""),"Abrir Street View"))</f>
        <v/>
      </c>
    </row>
    <row r="2717">
      <c r="H2717" s="6" t="n"/>
      <c r="I2717" s="6" t="n"/>
      <c r="M2717" s="7" t="n"/>
      <c r="N2717" s="7" t="n"/>
      <c r="O2717" s="7" t="n"/>
      <c r="Q2717" s="7" t="n"/>
      <c r="R2717" s="7" t="n"/>
      <c r="S2717" s="8">
        <f>IF(NOT(ISNUMBER(M2717)),"",IF(G2717="Terreno",IF(AND(ISNUMBER(I2717),I2717&gt;0),M2717/I2717,""),IF(AND(ISNUMBER(H2717),H2717&gt;0),M2717/H2717,"")))</f>
        <v/>
      </c>
      <c r="T2717" s="9">
        <f>IF(AND(ISNUMBER(M2717),ISNUMBER(O2717)),IF(M2717&lt;=O2717,"Valor ≤ venal IPTU",""),"")</f>
        <v/>
      </c>
      <c r="U2717" s="10">
        <f>IF(AND(ISNUMBER(M2717),ISNUMBER(N2717)),IF(N2717&gt;0,M2717/N2717,""),"")</f>
        <v/>
      </c>
      <c r="V2717" s="10">
        <f>IF(AND(ISNUMBER(M2717),ISNUMBER(O2717)),IF(O2717&gt;0,M2717/O2717,""),"")</f>
        <v/>
      </c>
      <c r="W2717" s="10">
        <f>IF(AND(ISNUMBER(M2717),ISNUMBER(R2717)),IF(R2717&gt;0,M2717/R2717,""),"")</f>
        <v/>
      </c>
      <c r="X2717" s="10">
        <f>IF(AND(ISNUMBER(Q2717),ISNUMBER(M2717)),IF(M2717&gt;0,Q2717/M2717,""),"")</f>
        <v/>
      </c>
      <c r="Y2717" s="11">
        <f>IF(ISNUMBER(Z2717),YEAR(Z2717),"")</f>
        <v/>
      </c>
      <c r="Z2717" s="12" t="n"/>
      <c r="AA2717" s="12" t="n"/>
      <c r="AI2717" s="12" t="n"/>
      <c r="AJ2717" s="13">
        <f>IF(LEN(TRIM(AF2717))=0,"",HYPERLINK("https://www.google.com/maps/@?api=1&amp;map_action=pano&amp;viewpoint="&amp;SUBSTITUTE(AF2717," ",""),"Abrir Street View"))</f>
        <v/>
      </c>
    </row>
    <row r="2718">
      <c r="H2718" s="6" t="n"/>
      <c r="I2718" s="6" t="n"/>
      <c r="M2718" s="7" t="n"/>
      <c r="N2718" s="7" t="n"/>
      <c r="O2718" s="7" t="n"/>
      <c r="Q2718" s="7" t="n"/>
      <c r="R2718" s="7" t="n"/>
      <c r="S2718" s="8">
        <f>IF(NOT(ISNUMBER(M2718)),"",IF(G2718="Terreno",IF(AND(ISNUMBER(I2718),I2718&gt;0),M2718/I2718,""),IF(AND(ISNUMBER(H2718),H2718&gt;0),M2718/H2718,"")))</f>
        <v/>
      </c>
      <c r="T2718" s="9">
        <f>IF(AND(ISNUMBER(M2718),ISNUMBER(O2718)),IF(M2718&lt;=O2718,"Valor ≤ venal IPTU",""),"")</f>
        <v/>
      </c>
      <c r="U2718" s="10">
        <f>IF(AND(ISNUMBER(M2718),ISNUMBER(N2718)),IF(N2718&gt;0,M2718/N2718,""),"")</f>
        <v/>
      </c>
      <c r="V2718" s="10">
        <f>IF(AND(ISNUMBER(M2718),ISNUMBER(O2718)),IF(O2718&gt;0,M2718/O2718,""),"")</f>
        <v/>
      </c>
      <c r="W2718" s="10">
        <f>IF(AND(ISNUMBER(M2718),ISNUMBER(R2718)),IF(R2718&gt;0,M2718/R2718,""),"")</f>
        <v/>
      </c>
      <c r="X2718" s="10">
        <f>IF(AND(ISNUMBER(Q2718),ISNUMBER(M2718)),IF(M2718&gt;0,Q2718/M2718,""),"")</f>
        <v/>
      </c>
      <c r="Y2718" s="11">
        <f>IF(ISNUMBER(Z2718),YEAR(Z2718),"")</f>
        <v/>
      </c>
      <c r="Z2718" s="12" t="n"/>
      <c r="AA2718" s="12" t="n"/>
      <c r="AI2718" s="12" t="n"/>
      <c r="AJ2718" s="13">
        <f>IF(LEN(TRIM(AF2718))=0,"",HYPERLINK("https://www.google.com/maps/@?api=1&amp;map_action=pano&amp;viewpoint="&amp;SUBSTITUTE(AF2718," ",""),"Abrir Street View"))</f>
        <v/>
      </c>
    </row>
    <row r="2719">
      <c r="H2719" s="6" t="n"/>
      <c r="I2719" s="6" t="n"/>
      <c r="M2719" s="7" t="n"/>
      <c r="N2719" s="7" t="n"/>
      <c r="O2719" s="7" t="n"/>
      <c r="Q2719" s="7" t="n"/>
      <c r="R2719" s="7" t="n"/>
      <c r="S2719" s="8">
        <f>IF(NOT(ISNUMBER(M2719)),"",IF(G2719="Terreno",IF(AND(ISNUMBER(I2719),I2719&gt;0),M2719/I2719,""),IF(AND(ISNUMBER(H2719),H2719&gt;0),M2719/H2719,"")))</f>
        <v/>
      </c>
      <c r="T2719" s="9">
        <f>IF(AND(ISNUMBER(M2719),ISNUMBER(O2719)),IF(M2719&lt;=O2719,"Valor ≤ venal IPTU",""),"")</f>
        <v/>
      </c>
      <c r="U2719" s="10">
        <f>IF(AND(ISNUMBER(M2719),ISNUMBER(N2719)),IF(N2719&gt;0,M2719/N2719,""),"")</f>
        <v/>
      </c>
      <c r="V2719" s="10">
        <f>IF(AND(ISNUMBER(M2719),ISNUMBER(O2719)),IF(O2719&gt;0,M2719/O2719,""),"")</f>
        <v/>
      </c>
      <c r="W2719" s="10">
        <f>IF(AND(ISNUMBER(M2719),ISNUMBER(R2719)),IF(R2719&gt;0,M2719/R2719,""),"")</f>
        <v/>
      </c>
      <c r="X2719" s="10">
        <f>IF(AND(ISNUMBER(Q2719),ISNUMBER(M2719)),IF(M2719&gt;0,Q2719/M2719,""),"")</f>
        <v/>
      </c>
      <c r="Y2719" s="11">
        <f>IF(ISNUMBER(Z2719),YEAR(Z2719),"")</f>
        <v/>
      </c>
      <c r="Z2719" s="12" t="n"/>
      <c r="AA2719" s="12" t="n"/>
      <c r="AI2719" s="12" t="n"/>
      <c r="AJ2719" s="13">
        <f>IF(LEN(TRIM(AF2719))=0,"",HYPERLINK("https://www.google.com/maps/@?api=1&amp;map_action=pano&amp;viewpoint="&amp;SUBSTITUTE(AF2719," ",""),"Abrir Street View"))</f>
        <v/>
      </c>
    </row>
    <row r="2720">
      <c r="H2720" s="6" t="n"/>
      <c r="I2720" s="6" t="n"/>
      <c r="M2720" s="7" t="n"/>
      <c r="N2720" s="7" t="n"/>
      <c r="O2720" s="7" t="n"/>
      <c r="Q2720" s="7" t="n"/>
      <c r="R2720" s="7" t="n"/>
      <c r="S2720" s="8">
        <f>IF(NOT(ISNUMBER(M2720)),"",IF(G2720="Terreno",IF(AND(ISNUMBER(I2720),I2720&gt;0),M2720/I2720,""),IF(AND(ISNUMBER(H2720),H2720&gt;0),M2720/H2720,"")))</f>
        <v/>
      </c>
      <c r="T2720" s="9">
        <f>IF(AND(ISNUMBER(M2720),ISNUMBER(O2720)),IF(M2720&lt;=O2720,"Valor ≤ venal IPTU",""),"")</f>
        <v/>
      </c>
      <c r="U2720" s="10">
        <f>IF(AND(ISNUMBER(M2720),ISNUMBER(N2720)),IF(N2720&gt;0,M2720/N2720,""),"")</f>
        <v/>
      </c>
      <c r="V2720" s="10">
        <f>IF(AND(ISNUMBER(M2720),ISNUMBER(O2720)),IF(O2720&gt;0,M2720/O2720,""),"")</f>
        <v/>
      </c>
      <c r="W2720" s="10">
        <f>IF(AND(ISNUMBER(M2720),ISNUMBER(R2720)),IF(R2720&gt;0,M2720/R2720,""),"")</f>
        <v/>
      </c>
      <c r="X2720" s="10">
        <f>IF(AND(ISNUMBER(Q2720),ISNUMBER(M2720)),IF(M2720&gt;0,Q2720/M2720,""),"")</f>
        <v/>
      </c>
      <c r="Y2720" s="11">
        <f>IF(ISNUMBER(Z2720),YEAR(Z2720),"")</f>
        <v/>
      </c>
      <c r="Z2720" s="12" t="n"/>
      <c r="AA2720" s="12" t="n"/>
      <c r="AI2720" s="12" t="n"/>
      <c r="AJ2720" s="13">
        <f>IF(LEN(TRIM(AF2720))=0,"",HYPERLINK("https://www.google.com/maps/@?api=1&amp;map_action=pano&amp;viewpoint="&amp;SUBSTITUTE(AF2720," ",""),"Abrir Street View"))</f>
        <v/>
      </c>
    </row>
    <row r="2721">
      <c r="H2721" s="6" t="n"/>
      <c r="I2721" s="6" t="n"/>
      <c r="M2721" s="7" t="n"/>
      <c r="N2721" s="7" t="n"/>
      <c r="O2721" s="7" t="n"/>
      <c r="Q2721" s="7" t="n"/>
      <c r="R2721" s="7" t="n"/>
      <c r="S2721" s="8">
        <f>IF(NOT(ISNUMBER(M2721)),"",IF(G2721="Terreno",IF(AND(ISNUMBER(I2721),I2721&gt;0),M2721/I2721,""),IF(AND(ISNUMBER(H2721),H2721&gt;0),M2721/H2721,"")))</f>
        <v/>
      </c>
      <c r="T2721" s="9">
        <f>IF(AND(ISNUMBER(M2721),ISNUMBER(O2721)),IF(M2721&lt;=O2721,"Valor ≤ venal IPTU",""),"")</f>
        <v/>
      </c>
      <c r="U2721" s="10">
        <f>IF(AND(ISNUMBER(M2721),ISNUMBER(N2721)),IF(N2721&gt;0,M2721/N2721,""),"")</f>
        <v/>
      </c>
      <c r="V2721" s="10">
        <f>IF(AND(ISNUMBER(M2721),ISNUMBER(O2721)),IF(O2721&gt;0,M2721/O2721,""),"")</f>
        <v/>
      </c>
      <c r="W2721" s="10">
        <f>IF(AND(ISNUMBER(M2721),ISNUMBER(R2721)),IF(R2721&gt;0,M2721/R2721,""),"")</f>
        <v/>
      </c>
      <c r="X2721" s="10">
        <f>IF(AND(ISNUMBER(Q2721),ISNUMBER(M2721)),IF(M2721&gt;0,Q2721/M2721,""),"")</f>
        <v/>
      </c>
      <c r="Y2721" s="11">
        <f>IF(ISNUMBER(Z2721),YEAR(Z2721),"")</f>
        <v/>
      </c>
      <c r="Z2721" s="12" t="n"/>
      <c r="AA2721" s="12" t="n"/>
      <c r="AI2721" s="12" t="n"/>
      <c r="AJ2721" s="13">
        <f>IF(LEN(TRIM(AF2721))=0,"",HYPERLINK("https://www.google.com/maps/@?api=1&amp;map_action=pano&amp;viewpoint="&amp;SUBSTITUTE(AF2721," ",""),"Abrir Street View"))</f>
        <v/>
      </c>
    </row>
    <row r="2722">
      <c r="H2722" s="6" t="n"/>
      <c r="I2722" s="6" t="n"/>
      <c r="M2722" s="7" t="n"/>
      <c r="N2722" s="7" t="n"/>
      <c r="O2722" s="7" t="n"/>
      <c r="Q2722" s="7" t="n"/>
      <c r="R2722" s="7" t="n"/>
      <c r="S2722" s="8">
        <f>IF(NOT(ISNUMBER(M2722)),"",IF(G2722="Terreno",IF(AND(ISNUMBER(I2722),I2722&gt;0),M2722/I2722,""),IF(AND(ISNUMBER(H2722),H2722&gt;0),M2722/H2722,"")))</f>
        <v/>
      </c>
      <c r="T2722" s="9">
        <f>IF(AND(ISNUMBER(M2722),ISNUMBER(O2722)),IF(M2722&lt;=O2722,"Valor ≤ venal IPTU",""),"")</f>
        <v/>
      </c>
      <c r="U2722" s="10">
        <f>IF(AND(ISNUMBER(M2722),ISNUMBER(N2722)),IF(N2722&gt;0,M2722/N2722,""),"")</f>
        <v/>
      </c>
      <c r="V2722" s="10">
        <f>IF(AND(ISNUMBER(M2722),ISNUMBER(O2722)),IF(O2722&gt;0,M2722/O2722,""),"")</f>
        <v/>
      </c>
      <c r="W2722" s="10">
        <f>IF(AND(ISNUMBER(M2722),ISNUMBER(R2722)),IF(R2722&gt;0,M2722/R2722,""),"")</f>
        <v/>
      </c>
      <c r="X2722" s="10">
        <f>IF(AND(ISNUMBER(Q2722),ISNUMBER(M2722)),IF(M2722&gt;0,Q2722/M2722,""),"")</f>
        <v/>
      </c>
      <c r="Y2722" s="11">
        <f>IF(ISNUMBER(Z2722),YEAR(Z2722),"")</f>
        <v/>
      </c>
      <c r="Z2722" s="12" t="n"/>
      <c r="AA2722" s="12" t="n"/>
      <c r="AI2722" s="12" t="n"/>
      <c r="AJ2722" s="13">
        <f>IF(LEN(TRIM(AF2722))=0,"",HYPERLINK("https://www.google.com/maps/@?api=1&amp;map_action=pano&amp;viewpoint="&amp;SUBSTITUTE(AF2722," ",""),"Abrir Street View"))</f>
        <v/>
      </c>
    </row>
    <row r="2723">
      <c r="H2723" s="6" t="n"/>
      <c r="I2723" s="6" t="n"/>
      <c r="M2723" s="7" t="n"/>
      <c r="N2723" s="7" t="n"/>
      <c r="O2723" s="7" t="n"/>
      <c r="Q2723" s="7" t="n"/>
      <c r="R2723" s="7" t="n"/>
      <c r="S2723" s="8">
        <f>IF(NOT(ISNUMBER(M2723)),"",IF(G2723="Terreno",IF(AND(ISNUMBER(I2723),I2723&gt;0),M2723/I2723,""),IF(AND(ISNUMBER(H2723),H2723&gt;0),M2723/H2723,"")))</f>
        <v/>
      </c>
      <c r="T2723" s="9">
        <f>IF(AND(ISNUMBER(M2723),ISNUMBER(O2723)),IF(M2723&lt;=O2723,"Valor ≤ venal IPTU",""),"")</f>
        <v/>
      </c>
      <c r="U2723" s="10">
        <f>IF(AND(ISNUMBER(M2723),ISNUMBER(N2723)),IF(N2723&gt;0,M2723/N2723,""),"")</f>
        <v/>
      </c>
      <c r="V2723" s="10">
        <f>IF(AND(ISNUMBER(M2723),ISNUMBER(O2723)),IF(O2723&gt;0,M2723/O2723,""),"")</f>
        <v/>
      </c>
      <c r="W2723" s="10">
        <f>IF(AND(ISNUMBER(M2723),ISNUMBER(R2723)),IF(R2723&gt;0,M2723/R2723,""),"")</f>
        <v/>
      </c>
      <c r="X2723" s="10">
        <f>IF(AND(ISNUMBER(Q2723),ISNUMBER(M2723)),IF(M2723&gt;0,Q2723/M2723,""),"")</f>
        <v/>
      </c>
      <c r="Y2723" s="11">
        <f>IF(ISNUMBER(Z2723),YEAR(Z2723),"")</f>
        <v/>
      </c>
      <c r="Z2723" s="12" t="n"/>
      <c r="AA2723" s="12" t="n"/>
      <c r="AI2723" s="12" t="n"/>
      <c r="AJ2723" s="13">
        <f>IF(LEN(TRIM(AF2723))=0,"",HYPERLINK("https://www.google.com/maps/@?api=1&amp;map_action=pano&amp;viewpoint="&amp;SUBSTITUTE(AF2723," ",""),"Abrir Street View"))</f>
        <v/>
      </c>
    </row>
    <row r="2724">
      <c r="H2724" s="6" t="n"/>
      <c r="I2724" s="6" t="n"/>
      <c r="M2724" s="7" t="n"/>
      <c r="N2724" s="7" t="n"/>
      <c r="O2724" s="7" t="n"/>
      <c r="Q2724" s="7" t="n"/>
      <c r="R2724" s="7" t="n"/>
      <c r="S2724" s="8">
        <f>IF(NOT(ISNUMBER(M2724)),"",IF(G2724="Terreno",IF(AND(ISNUMBER(I2724),I2724&gt;0),M2724/I2724,""),IF(AND(ISNUMBER(H2724),H2724&gt;0),M2724/H2724,"")))</f>
        <v/>
      </c>
      <c r="T2724" s="9">
        <f>IF(AND(ISNUMBER(M2724),ISNUMBER(O2724)),IF(M2724&lt;=O2724,"Valor ≤ venal IPTU",""),"")</f>
        <v/>
      </c>
      <c r="U2724" s="10">
        <f>IF(AND(ISNUMBER(M2724),ISNUMBER(N2724)),IF(N2724&gt;0,M2724/N2724,""),"")</f>
        <v/>
      </c>
      <c r="V2724" s="10">
        <f>IF(AND(ISNUMBER(M2724),ISNUMBER(O2724)),IF(O2724&gt;0,M2724/O2724,""),"")</f>
        <v/>
      </c>
      <c r="W2724" s="10">
        <f>IF(AND(ISNUMBER(M2724),ISNUMBER(R2724)),IF(R2724&gt;0,M2724/R2724,""),"")</f>
        <v/>
      </c>
      <c r="X2724" s="10">
        <f>IF(AND(ISNUMBER(Q2724),ISNUMBER(M2724)),IF(M2724&gt;0,Q2724/M2724,""),"")</f>
        <v/>
      </c>
      <c r="Y2724" s="11">
        <f>IF(ISNUMBER(Z2724),YEAR(Z2724),"")</f>
        <v/>
      </c>
      <c r="Z2724" s="12" t="n"/>
      <c r="AA2724" s="12" t="n"/>
      <c r="AI2724" s="12" t="n"/>
      <c r="AJ2724" s="13">
        <f>IF(LEN(TRIM(AF2724))=0,"",HYPERLINK("https://www.google.com/maps/@?api=1&amp;map_action=pano&amp;viewpoint="&amp;SUBSTITUTE(AF2724," ",""),"Abrir Street View"))</f>
        <v/>
      </c>
    </row>
    <row r="2725">
      <c r="H2725" s="6" t="n"/>
      <c r="I2725" s="6" t="n"/>
      <c r="M2725" s="7" t="n"/>
      <c r="N2725" s="7" t="n"/>
      <c r="O2725" s="7" t="n"/>
      <c r="Q2725" s="7" t="n"/>
      <c r="R2725" s="7" t="n"/>
      <c r="S2725" s="8">
        <f>IF(NOT(ISNUMBER(M2725)),"",IF(G2725="Terreno",IF(AND(ISNUMBER(I2725),I2725&gt;0),M2725/I2725,""),IF(AND(ISNUMBER(H2725),H2725&gt;0),M2725/H2725,"")))</f>
        <v/>
      </c>
      <c r="T2725" s="9">
        <f>IF(AND(ISNUMBER(M2725),ISNUMBER(O2725)),IF(M2725&lt;=O2725,"Valor ≤ venal IPTU",""),"")</f>
        <v/>
      </c>
      <c r="U2725" s="10">
        <f>IF(AND(ISNUMBER(M2725),ISNUMBER(N2725)),IF(N2725&gt;0,M2725/N2725,""),"")</f>
        <v/>
      </c>
      <c r="V2725" s="10">
        <f>IF(AND(ISNUMBER(M2725),ISNUMBER(O2725)),IF(O2725&gt;0,M2725/O2725,""),"")</f>
        <v/>
      </c>
      <c r="W2725" s="10">
        <f>IF(AND(ISNUMBER(M2725),ISNUMBER(R2725)),IF(R2725&gt;0,M2725/R2725,""),"")</f>
        <v/>
      </c>
      <c r="X2725" s="10">
        <f>IF(AND(ISNUMBER(Q2725),ISNUMBER(M2725)),IF(M2725&gt;0,Q2725/M2725,""),"")</f>
        <v/>
      </c>
      <c r="Y2725" s="11">
        <f>IF(ISNUMBER(Z2725),YEAR(Z2725),"")</f>
        <v/>
      </c>
      <c r="Z2725" s="12" t="n"/>
      <c r="AA2725" s="12" t="n"/>
      <c r="AI2725" s="12" t="n"/>
      <c r="AJ2725" s="13">
        <f>IF(LEN(TRIM(AF2725))=0,"",HYPERLINK("https://www.google.com/maps/@?api=1&amp;map_action=pano&amp;viewpoint="&amp;SUBSTITUTE(AF2725," ",""),"Abrir Street View"))</f>
        <v/>
      </c>
    </row>
    <row r="2726">
      <c r="H2726" s="6" t="n"/>
      <c r="I2726" s="6" t="n"/>
      <c r="M2726" s="7" t="n"/>
      <c r="N2726" s="7" t="n"/>
      <c r="O2726" s="7" t="n"/>
      <c r="Q2726" s="7" t="n"/>
      <c r="R2726" s="7" t="n"/>
      <c r="S2726" s="8">
        <f>IF(NOT(ISNUMBER(M2726)),"",IF(G2726="Terreno",IF(AND(ISNUMBER(I2726),I2726&gt;0),M2726/I2726,""),IF(AND(ISNUMBER(H2726),H2726&gt;0),M2726/H2726,"")))</f>
        <v/>
      </c>
      <c r="T2726" s="9">
        <f>IF(AND(ISNUMBER(M2726),ISNUMBER(O2726)),IF(M2726&lt;=O2726,"Valor ≤ venal IPTU",""),"")</f>
        <v/>
      </c>
      <c r="U2726" s="10">
        <f>IF(AND(ISNUMBER(M2726),ISNUMBER(N2726)),IF(N2726&gt;0,M2726/N2726,""),"")</f>
        <v/>
      </c>
      <c r="V2726" s="10">
        <f>IF(AND(ISNUMBER(M2726),ISNUMBER(O2726)),IF(O2726&gt;0,M2726/O2726,""),"")</f>
        <v/>
      </c>
      <c r="W2726" s="10">
        <f>IF(AND(ISNUMBER(M2726),ISNUMBER(R2726)),IF(R2726&gt;0,M2726/R2726,""),"")</f>
        <v/>
      </c>
      <c r="X2726" s="10">
        <f>IF(AND(ISNUMBER(Q2726),ISNUMBER(M2726)),IF(M2726&gt;0,Q2726/M2726,""),"")</f>
        <v/>
      </c>
      <c r="Y2726" s="11">
        <f>IF(ISNUMBER(Z2726),YEAR(Z2726),"")</f>
        <v/>
      </c>
      <c r="Z2726" s="12" t="n"/>
      <c r="AA2726" s="12" t="n"/>
      <c r="AI2726" s="12" t="n"/>
      <c r="AJ2726" s="13">
        <f>IF(LEN(TRIM(AF2726))=0,"",HYPERLINK("https://www.google.com/maps/@?api=1&amp;map_action=pano&amp;viewpoint="&amp;SUBSTITUTE(AF2726," ",""),"Abrir Street View"))</f>
        <v/>
      </c>
    </row>
    <row r="2727">
      <c r="H2727" s="6" t="n"/>
      <c r="I2727" s="6" t="n"/>
      <c r="M2727" s="7" t="n"/>
      <c r="N2727" s="7" t="n"/>
      <c r="O2727" s="7" t="n"/>
      <c r="Q2727" s="7" t="n"/>
      <c r="R2727" s="7" t="n"/>
      <c r="S2727" s="8">
        <f>IF(NOT(ISNUMBER(M2727)),"",IF(G2727="Terreno",IF(AND(ISNUMBER(I2727),I2727&gt;0),M2727/I2727,""),IF(AND(ISNUMBER(H2727),H2727&gt;0),M2727/H2727,"")))</f>
        <v/>
      </c>
      <c r="T2727" s="9">
        <f>IF(AND(ISNUMBER(M2727),ISNUMBER(O2727)),IF(M2727&lt;=O2727,"Valor ≤ venal IPTU",""),"")</f>
        <v/>
      </c>
      <c r="U2727" s="10">
        <f>IF(AND(ISNUMBER(M2727),ISNUMBER(N2727)),IF(N2727&gt;0,M2727/N2727,""),"")</f>
        <v/>
      </c>
      <c r="V2727" s="10">
        <f>IF(AND(ISNUMBER(M2727),ISNUMBER(O2727)),IF(O2727&gt;0,M2727/O2727,""),"")</f>
        <v/>
      </c>
      <c r="W2727" s="10">
        <f>IF(AND(ISNUMBER(M2727),ISNUMBER(R2727)),IF(R2727&gt;0,M2727/R2727,""),"")</f>
        <v/>
      </c>
      <c r="X2727" s="10">
        <f>IF(AND(ISNUMBER(Q2727),ISNUMBER(M2727)),IF(M2727&gt;0,Q2727/M2727,""),"")</f>
        <v/>
      </c>
      <c r="Y2727" s="11">
        <f>IF(ISNUMBER(Z2727),YEAR(Z2727),"")</f>
        <v/>
      </c>
      <c r="Z2727" s="12" t="n"/>
      <c r="AA2727" s="12" t="n"/>
      <c r="AI2727" s="12" t="n"/>
      <c r="AJ2727" s="13">
        <f>IF(LEN(TRIM(AF2727))=0,"",HYPERLINK("https://www.google.com/maps/@?api=1&amp;map_action=pano&amp;viewpoint="&amp;SUBSTITUTE(AF2727," ",""),"Abrir Street View"))</f>
        <v/>
      </c>
    </row>
    <row r="2728">
      <c r="H2728" s="6" t="n"/>
      <c r="I2728" s="6" t="n"/>
      <c r="M2728" s="7" t="n"/>
      <c r="N2728" s="7" t="n"/>
      <c r="O2728" s="7" t="n"/>
      <c r="Q2728" s="7" t="n"/>
      <c r="R2728" s="7" t="n"/>
      <c r="S2728" s="8">
        <f>IF(NOT(ISNUMBER(M2728)),"",IF(G2728="Terreno",IF(AND(ISNUMBER(I2728),I2728&gt;0),M2728/I2728,""),IF(AND(ISNUMBER(H2728),H2728&gt;0),M2728/H2728,"")))</f>
        <v/>
      </c>
      <c r="T2728" s="9">
        <f>IF(AND(ISNUMBER(M2728),ISNUMBER(O2728)),IF(M2728&lt;=O2728,"Valor ≤ venal IPTU",""),"")</f>
        <v/>
      </c>
      <c r="U2728" s="10">
        <f>IF(AND(ISNUMBER(M2728),ISNUMBER(N2728)),IF(N2728&gt;0,M2728/N2728,""),"")</f>
        <v/>
      </c>
      <c r="V2728" s="10">
        <f>IF(AND(ISNUMBER(M2728),ISNUMBER(O2728)),IF(O2728&gt;0,M2728/O2728,""),"")</f>
        <v/>
      </c>
      <c r="W2728" s="10">
        <f>IF(AND(ISNUMBER(M2728),ISNUMBER(R2728)),IF(R2728&gt;0,M2728/R2728,""),"")</f>
        <v/>
      </c>
      <c r="X2728" s="10">
        <f>IF(AND(ISNUMBER(Q2728),ISNUMBER(M2728)),IF(M2728&gt;0,Q2728/M2728,""),"")</f>
        <v/>
      </c>
      <c r="Y2728" s="11">
        <f>IF(ISNUMBER(Z2728),YEAR(Z2728),"")</f>
        <v/>
      </c>
      <c r="Z2728" s="12" t="n"/>
      <c r="AA2728" s="12" t="n"/>
      <c r="AI2728" s="12" t="n"/>
      <c r="AJ2728" s="13">
        <f>IF(LEN(TRIM(AF2728))=0,"",HYPERLINK("https://www.google.com/maps/@?api=1&amp;map_action=pano&amp;viewpoint="&amp;SUBSTITUTE(AF2728," ",""),"Abrir Street View"))</f>
        <v/>
      </c>
    </row>
    <row r="2729">
      <c r="H2729" s="6" t="n"/>
      <c r="I2729" s="6" t="n"/>
      <c r="M2729" s="7" t="n"/>
      <c r="N2729" s="7" t="n"/>
      <c r="O2729" s="7" t="n"/>
      <c r="Q2729" s="7" t="n"/>
      <c r="R2729" s="7" t="n"/>
      <c r="S2729" s="8">
        <f>IF(NOT(ISNUMBER(M2729)),"",IF(G2729="Terreno",IF(AND(ISNUMBER(I2729),I2729&gt;0),M2729/I2729,""),IF(AND(ISNUMBER(H2729),H2729&gt;0),M2729/H2729,"")))</f>
        <v/>
      </c>
      <c r="T2729" s="9">
        <f>IF(AND(ISNUMBER(M2729),ISNUMBER(O2729)),IF(M2729&lt;=O2729,"Valor ≤ venal IPTU",""),"")</f>
        <v/>
      </c>
      <c r="U2729" s="10">
        <f>IF(AND(ISNUMBER(M2729),ISNUMBER(N2729)),IF(N2729&gt;0,M2729/N2729,""),"")</f>
        <v/>
      </c>
      <c r="V2729" s="10">
        <f>IF(AND(ISNUMBER(M2729),ISNUMBER(O2729)),IF(O2729&gt;0,M2729/O2729,""),"")</f>
        <v/>
      </c>
      <c r="W2729" s="10">
        <f>IF(AND(ISNUMBER(M2729),ISNUMBER(R2729)),IF(R2729&gt;0,M2729/R2729,""),"")</f>
        <v/>
      </c>
      <c r="X2729" s="10">
        <f>IF(AND(ISNUMBER(Q2729),ISNUMBER(M2729)),IF(M2729&gt;0,Q2729/M2729,""),"")</f>
        <v/>
      </c>
      <c r="Y2729" s="11">
        <f>IF(ISNUMBER(Z2729),YEAR(Z2729),"")</f>
        <v/>
      </c>
      <c r="Z2729" s="12" t="n"/>
      <c r="AA2729" s="12" t="n"/>
      <c r="AI2729" s="12" t="n"/>
      <c r="AJ2729" s="13">
        <f>IF(LEN(TRIM(AF2729))=0,"",HYPERLINK("https://www.google.com/maps/@?api=1&amp;map_action=pano&amp;viewpoint="&amp;SUBSTITUTE(AF2729," ",""),"Abrir Street View"))</f>
        <v/>
      </c>
    </row>
    <row r="2730">
      <c r="H2730" s="6" t="n"/>
      <c r="I2730" s="6" t="n"/>
      <c r="M2730" s="7" t="n"/>
      <c r="N2730" s="7" t="n"/>
      <c r="O2730" s="7" t="n"/>
      <c r="Q2730" s="7" t="n"/>
      <c r="R2730" s="7" t="n"/>
      <c r="S2730" s="8">
        <f>IF(NOT(ISNUMBER(M2730)),"",IF(G2730="Terreno",IF(AND(ISNUMBER(I2730),I2730&gt;0),M2730/I2730,""),IF(AND(ISNUMBER(H2730),H2730&gt;0),M2730/H2730,"")))</f>
        <v/>
      </c>
      <c r="T2730" s="9">
        <f>IF(AND(ISNUMBER(M2730),ISNUMBER(O2730)),IF(M2730&lt;=O2730,"Valor ≤ venal IPTU",""),"")</f>
        <v/>
      </c>
      <c r="U2730" s="10">
        <f>IF(AND(ISNUMBER(M2730),ISNUMBER(N2730)),IF(N2730&gt;0,M2730/N2730,""),"")</f>
        <v/>
      </c>
      <c r="V2730" s="10">
        <f>IF(AND(ISNUMBER(M2730),ISNUMBER(O2730)),IF(O2730&gt;0,M2730/O2730,""),"")</f>
        <v/>
      </c>
      <c r="W2730" s="10">
        <f>IF(AND(ISNUMBER(M2730),ISNUMBER(R2730)),IF(R2730&gt;0,M2730/R2730,""),"")</f>
        <v/>
      </c>
      <c r="X2730" s="10">
        <f>IF(AND(ISNUMBER(Q2730),ISNUMBER(M2730)),IF(M2730&gt;0,Q2730/M2730,""),"")</f>
        <v/>
      </c>
      <c r="Y2730" s="11">
        <f>IF(ISNUMBER(Z2730),YEAR(Z2730),"")</f>
        <v/>
      </c>
      <c r="Z2730" s="12" t="n"/>
      <c r="AA2730" s="12" t="n"/>
      <c r="AI2730" s="12" t="n"/>
      <c r="AJ2730" s="13">
        <f>IF(LEN(TRIM(AF2730))=0,"",HYPERLINK("https://www.google.com/maps/@?api=1&amp;map_action=pano&amp;viewpoint="&amp;SUBSTITUTE(AF2730," ",""),"Abrir Street View"))</f>
        <v/>
      </c>
    </row>
    <row r="2731">
      <c r="H2731" s="6" t="n"/>
      <c r="I2731" s="6" t="n"/>
      <c r="M2731" s="7" t="n"/>
      <c r="N2731" s="7" t="n"/>
      <c r="O2731" s="7" t="n"/>
      <c r="Q2731" s="7" t="n"/>
      <c r="R2731" s="7" t="n"/>
      <c r="S2731" s="8">
        <f>IF(NOT(ISNUMBER(M2731)),"",IF(G2731="Terreno",IF(AND(ISNUMBER(I2731),I2731&gt;0),M2731/I2731,""),IF(AND(ISNUMBER(H2731),H2731&gt;0),M2731/H2731,"")))</f>
        <v/>
      </c>
      <c r="T2731" s="9">
        <f>IF(AND(ISNUMBER(M2731),ISNUMBER(O2731)),IF(M2731&lt;=O2731,"Valor ≤ venal IPTU",""),"")</f>
        <v/>
      </c>
      <c r="U2731" s="10">
        <f>IF(AND(ISNUMBER(M2731),ISNUMBER(N2731)),IF(N2731&gt;0,M2731/N2731,""),"")</f>
        <v/>
      </c>
      <c r="V2731" s="10">
        <f>IF(AND(ISNUMBER(M2731),ISNUMBER(O2731)),IF(O2731&gt;0,M2731/O2731,""),"")</f>
        <v/>
      </c>
      <c r="W2731" s="10">
        <f>IF(AND(ISNUMBER(M2731),ISNUMBER(R2731)),IF(R2731&gt;0,M2731/R2731,""),"")</f>
        <v/>
      </c>
      <c r="X2731" s="10">
        <f>IF(AND(ISNUMBER(Q2731),ISNUMBER(M2731)),IF(M2731&gt;0,Q2731/M2731,""),"")</f>
        <v/>
      </c>
      <c r="Y2731" s="11">
        <f>IF(ISNUMBER(Z2731),YEAR(Z2731),"")</f>
        <v/>
      </c>
      <c r="Z2731" s="12" t="n"/>
      <c r="AA2731" s="12" t="n"/>
      <c r="AI2731" s="12" t="n"/>
      <c r="AJ2731" s="13">
        <f>IF(LEN(TRIM(AF2731))=0,"",HYPERLINK("https://www.google.com/maps/@?api=1&amp;map_action=pano&amp;viewpoint="&amp;SUBSTITUTE(AF2731," ",""),"Abrir Street View"))</f>
        <v/>
      </c>
    </row>
    <row r="2732">
      <c r="H2732" s="6" t="n"/>
      <c r="I2732" s="6" t="n"/>
      <c r="M2732" s="7" t="n"/>
      <c r="N2732" s="7" t="n"/>
      <c r="O2732" s="7" t="n"/>
      <c r="Q2732" s="7" t="n"/>
      <c r="R2732" s="7" t="n"/>
      <c r="S2732" s="8">
        <f>IF(NOT(ISNUMBER(M2732)),"",IF(G2732="Terreno",IF(AND(ISNUMBER(I2732),I2732&gt;0),M2732/I2732,""),IF(AND(ISNUMBER(H2732),H2732&gt;0),M2732/H2732,"")))</f>
        <v/>
      </c>
      <c r="T2732" s="9">
        <f>IF(AND(ISNUMBER(M2732),ISNUMBER(O2732)),IF(M2732&lt;=O2732,"Valor ≤ venal IPTU",""),"")</f>
        <v/>
      </c>
      <c r="U2732" s="10">
        <f>IF(AND(ISNUMBER(M2732),ISNUMBER(N2732)),IF(N2732&gt;0,M2732/N2732,""),"")</f>
        <v/>
      </c>
      <c r="V2732" s="10">
        <f>IF(AND(ISNUMBER(M2732),ISNUMBER(O2732)),IF(O2732&gt;0,M2732/O2732,""),"")</f>
        <v/>
      </c>
      <c r="W2732" s="10">
        <f>IF(AND(ISNUMBER(M2732),ISNUMBER(R2732)),IF(R2732&gt;0,M2732/R2732,""),"")</f>
        <v/>
      </c>
      <c r="X2732" s="10">
        <f>IF(AND(ISNUMBER(Q2732),ISNUMBER(M2732)),IF(M2732&gt;0,Q2732/M2732,""),"")</f>
        <v/>
      </c>
      <c r="Y2732" s="11">
        <f>IF(ISNUMBER(Z2732),YEAR(Z2732),"")</f>
        <v/>
      </c>
      <c r="Z2732" s="12" t="n"/>
      <c r="AA2732" s="12" t="n"/>
      <c r="AI2732" s="12" t="n"/>
      <c r="AJ2732" s="13">
        <f>IF(LEN(TRIM(AF2732))=0,"",HYPERLINK("https://www.google.com/maps/@?api=1&amp;map_action=pano&amp;viewpoint="&amp;SUBSTITUTE(AF2732," ",""),"Abrir Street View"))</f>
        <v/>
      </c>
    </row>
    <row r="2733">
      <c r="H2733" s="6" t="n"/>
      <c r="I2733" s="6" t="n"/>
      <c r="M2733" s="7" t="n"/>
      <c r="N2733" s="7" t="n"/>
      <c r="O2733" s="7" t="n"/>
      <c r="Q2733" s="7" t="n"/>
      <c r="R2733" s="7" t="n"/>
      <c r="S2733" s="8">
        <f>IF(NOT(ISNUMBER(M2733)),"",IF(G2733="Terreno",IF(AND(ISNUMBER(I2733),I2733&gt;0),M2733/I2733,""),IF(AND(ISNUMBER(H2733),H2733&gt;0),M2733/H2733,"")))</f>
        <v/>
      </c>
      <c r="T2733" s="9">
        <f>IF(AND(ISNUMBER(M2733),ISNUMBER(O2733)),IF(M2733&lt;=O2733,"Valor ≤ venal IPTU",""),"")</f>
        <v/>
      </c>
      <c r="U2733" s="10">
        <f>IF(AND(ISNUMBER(M2733),ISNUMBER(N2733)),IF(N2733&gt;0,M2733/N2733,""),"")</f>
        <v/>
      </c>
      <c r="V2733" s="10">
        <f>IF(AND(ISNUMBER(M2733),ISNUMBER(O2733)),IF(O2733&gt;0,M2733/O2733,""),"")</f>
        <v/>
      </c>
      <c r="W2733" s="10">
        <f>IF(AND(ISNUMBER(M2733),ISNUMBER(R2733)),IF(R2733&gt;0,M2733/R2733,""),"")</f>
        <v/>
      </c>
      <c r="X2733" s="10">
        <f>IF(AND(ISNUMBER(Q2733),ISNUMBER(M2733)),IF(M2733&gt;0,Q2733/M2733,""),"")</f>
        <v/>
      </c>
      <c r="Y2733" s="11">
        <f>IF(ISNUMBER(Z2733),YEAR(Z2733),"")</f>
        <v/>
      </c>
      <c r="Z2733" s="12" t="n"/>
      <c r="AA2733" s="12" t="n"/>
      <c r="AI2733" s="12" t="n"/>
      <c r="AJ2733" s="13">
        <f>IF(LEN(TRIM(AF2733))=0,"",HYPERLINK("https://www.google.com/maps/@?api=1&amp;map_action=pano&amp;viewpoint="&amp;SUBSTITUTE(AF2733," ",""),"Abrir Street View"))</f>
        <v/>
      </c>
    </row>
    <row r="2734">
      <c r="H2734" s="6" t="n"/>
      <c r="I2734" s="6" t="n"/>
      <c r="M2734" s="7" t="n"/>
      <c r="N2734" s="7" t="n"/>
      <c r="O2734" s="7" t="n"/>
      <c r="Q2734" s="7" t="n"/>
      <c r="R2734" s="7" t="n"/>
      <c r="S2734" s="8">
        <f>IF(NOT(ISNUMBER(M2734)),"",IF(G2734="Terreno",IF(AND(ISNUMBER(I2734),I2734&gt;0),M2734/I2734,""),IF(AND(ISNUMBER(H2734),H2734&gt;0),M2734/H2734,"")))</f>
        <v/>
      </c>
      <c r="T2734" s="9">
        <f>IF(AND(ISNUMBER(M2734),ISNUMBER(O2734)),IF(M2734&lt;=O2734,"Valor ≤ venal IPTU",""),"")</f>
        <v/>
      </c>
      <c r="U2734" s="10">
        <f>IF(AND(ISNUMBER(M2734),ISNUMBER(N2734)),IF(N2734&gt;0,M2734/N2734,""),"")</f>
        <v/>
      </c>
      <c r="V2734" s="10">
        <f>IF(AND(ISNUMBER(M2734),ISNUMBER(O2734)),IF(O2734&gt;0,M2734/O2734,""),"")</f>
        <v/>
      </c>
      <c r="W2734" s="10">
        <f>IF(AND(ISNUMBER(M2734),ISNUMBER(R2734)),IF(R2734&gt;0,M2734/R2734,""),"")</f>
        <v/>
      </c>
      <c r="X2734" s="10">
        <f>IF(AND(ISNUMBER(Q2734),ISNUMBER(M2734)),IF(M2734&gt;0,Q2734/M2734,""),"")</f>
        <v/>
      </c>
      <c r="Y2734" s="11">
        <f>IF(ISNUMBER(Z2734),YEAR(Z2734),"")</f>
        <v/>
      </c>
      <c r="Z2734" s="12" t="n"/>
      <c r="AA2734" s="12" t="n"/>
      <c r="AI2734" s="12" t="n"/>
      <c r="AJ2734" s="13">
        <f>IF(LEN(TRIM(AF2734))=0,"",HYPERLINK("https://www.google.com/maps/@?api=1&amp;map_action=pano&amp;viewpoint="&amp;SUBSTITUTE(AF2734," ",""),"Abrir Street View"))</f>
        <v/>
      </c>
    </row>
    <row r="2735">
      <c r="H2735" s="6" t="n"/>
      <c r="I2735" s="6" t="n"/>
      <c r="M2735" s="7" t="n"/>
      <c r="N2735" s="7" t="n"/>
      <c r="O2735" s="7" t="n"/>
      <c r="Q2735" s="7" t="n"/>
      <c r="R2735" s="7" t="n"/>
      <c r="S2735" s="8">
        <f>IF(NOT(ISNUMBER(M2735)),"",IF(G2735="Terreno",IF(AND(ISNUMBER(I2735),I2735&gt;0),M2735/I2735,""),IF(AND(ISNUMBER(H2735),H2735&gt;0),M2735/H2735,"")))</f>
        <v/>
      </c>
      <c r="T2735" s="9">
        <f>IF(AND(ISNUMBER(M2735),ISNUMBER(O2735)),IF(M2735&lt;=O2735,"Valor ≤ venal IPTU",""),"")</f>
        <v/>
      </c>
      <c r="U2735" s="10">
        <f>IF(AND(ISNUMBER(M2735),ISNUMBER(N2735)),IF(N2735&gt;0,M2735/N2735,""),"")</f>
        <v/>
      </c>
      <c r="V2735" s="10">
        <f>IF(AND(ISNUMBER(M2735),ISNUMBER(O2735)),IF(O2735&gt;0,M2735/O2735,""),"")</f>
        <v/>
      </c>
      <c r="W2735" s="10">
        <f>IF(AND(ISNUMBER(M2735),ISNUMBER(R2735)),IF(R2735&gt;0,M2735/R2735,""),"")</f>
        <v/>
      </c>
      <c r="X2735" s="10">
        <f>IF(AND(ISNUMBER(Q2735),ISNUMBER(M2735)),IF(M2735&gt;0,Q2735/M2735,""),"")</f>
        <v/>
      </c>
      <c r="Y2735" s="11">
        <f>IF(ISNUMBER(Z2735),YEAR(Z2735),"")</f>
        <v/>
      </c>
      <c r="Z2735" s="12" t="n"/>
      <c r="AA2735" s="12" t="n"/>
      <c r="AI2735" s="12" t="n"/>
      <c r="AJ2735" s="13">
        <f>IF(LEN(TRIM(AF2735))=0,"",HYPERLINK("https://www.google.com/maps/@?api=1&amp;map_action=pano&amp;viewpoint="&amp;SUBSTITUTE(AF2735," ",""),"Abrir Street View"))</f>
        <v/>
      </c>
    </row>
    <row r="2736">
      <c r="H2736" s="6" t="n"/>
      <c r="I2736" s="6" t="n"/>
      <c r="M2736" s="7" t="n"/>
      <c r="N2736" s="7" t="n"/>
      <c r="O2736" s="7" t="n"/>
      <c r="Q2736" s="7" t="n"/>
      <c r="R2736" s="7" t="n"/>
      <c r="S2736" s="8">
        <f>IF(NOT(ISNUMBER(M2736)),"",IF(G2736="Terreno",IF(AND(ISNUMBER(I2736),I2736&gt;0),M2736/I2736,""),IF(AND(ISNUMBER(H2736),H2736&gt;0),M2736/H2736,"")))</f>
        <v/>
      </c>
      <c r="T2736" s="9">
        <f>IF(AND(ISNUMBER(M2736),ISNUMBER(O2736)),IF(M2736&lt;=O2736,"Valor ≤ venal IPTU",""),"")</f>
        <v/>
      </c>
      <c r="U2736" s="10">
        <f>IF(AND(ISNUMBER(M2736),ISNUMBER(N2736)),IF(N2736&gt;0,M2736/N2736,""),"")</f>
        <v/>
      </c>
      <c r="V2736" s="10">
        <f>IF(AND(ISNUMBER(M2736),ISNUMBER(O2736)),IF(O2736&gt;0,M2736/O2736,""),"")</f>
        <v/>
      </c>
      <c r="W2736" s="10">
        <f>IF(AND(ISNUMBER(M2736),ISNUMBER(R2736)),IF(R2736&gt;0,M2736/R2736,""),"")</f>
        <v/>
      </c>
      <c r="X2736" s="10">
        <f>IF(AND(ISNUMBER(Q2736),ISNUMBER(M2736)),IF(M2736&gt;0,Q2736/M2736,""),"")</f>
        <v/>
      </c>
      <c r="Y2736" s="11">
        <f>IF(ISNUMBER(Z2736),YEAR(Z2736),"")</f>
        <v/>
      </c>
      <c r="Z2736" s="12" t="n"/>
      <c r="AA2736" s="12" t="n"/>
      <c r="AI2736" s="12" t="n"/>
      <c r="AJ2736" s="13">
        <f>IF(LEN(TRIM(AF2736))=0,"",HYPERLINK("https://www.google.com/maps/@?api=1&amp;map_action=pano&amp;viewpoint="&amp;SUBSTITUTE(AF2736," ",""),"Abrir Street View"))</f>
        <v/>
      </c>
    </row>
    <row r="2737">
      <c r="H2737" s="6" t="n"/>
      <c r="I2737" s="6" t="n"/>
      <c r="M2737" s="7" t="n"/>
      <c r="N2737" s="7" t="n"/>
      <c r="O2737" s="7" t="n"/>
      <c r="Q2737" s="7" t="n"/>
      <c r="R2737" s="7" t="n"/>
      <c r="S2737" s="8">
        <f>IF(NOT(ISNUMBER(M2737)),"",IF(G2737="Terreno",IF(AND(ISNUMBER(I2737),I2737&gt;0),M2737/I2737,""),IF(AND(ISNUMBER(H2737),H2737&gt;0),M2737/H2737,"")))</f>
        <v/>
      </c>
      <c r="T2737" s="9">
        <f>IF(AND(ISNUMBER(M2737),ISNUMBER(O2737)),IF(M2737&lt;=O2737,"Valor ≤ venal IPTU",""),"")</f>
        <v/>
      </c>
      <c r="U2737" s="10">
        <f>IF(AND(ISNUMBER(M2737),ISNUMBER(N2737)),IF(N2737&gt;0,M2737/N2737,""),"")</f>
        <v/>
      </c>
      <c r="V2737" s="10">
        <f>IF(AND(ISNUMBER(M2737),ISNUMBER(O2737)),IF(O2737&gt;0,M2737/O2737,""),"")</f>
        <v/>
      </c>
      <c r="W2737" s="10">
        <f>IF(AND(ISNUMBER(M2737),ISNUMBER(R2737)),IF(R2737&gt;0,M2737/R2737,""),"")</f>
        <v/>
      </c>
      <c r="X2737" s="10">
        <f>IF(AND(ISNUMBER(Q2737),ISNUMBER(M2737)),IF(M2737&gt;0,Q2737/M2737,""),"")</f>
        <v/>
      </c>
      <c r="Y2737" s="11">
        <f>IF(ISNUMBER(Z2737),YEAR(Z2737),"")</f>
        <v/>
      </c>
      <c r="Z2737" s="12" t="n"/>
      <c r="AA2737" s="12" t="n"/>
      <c r="AI2737" s="12" t="n"/>
      <c r="AJ2737" s="13">
        <f>IF(LEN(TRIM(AF2737))=0,"",HYPERLINK("https://www.google.com/maps/@?api=1&amp;map_action=pano&amp;viewpoint="&amp;SUBSTITUTE(AF2737," ",""),"Abrir Street View"))</f>
        <v/>
      </c>
    </row>
    <row r="2738">
      <c r="H2738" s="6" t="n"/>
      <c r="I2738" s="6" t="n"/>
      <c r="M2738" s="7" t="n"/>
      <c r="N2738" s="7" t="n"/>
      <c r="O2738" s="7" t="n"/>
      <c r="Q2738" s="7" t="n"/>
      <c r="R2738" s="7" t="n"/>
      <c r="S2738" s="8">
        <f>IF(NOT(ISNUMBER(M2738)),"",IF(G2738="Terreno",IF(AND(ISNUMBER(I2738),I2738&gt;0),M2738/I2738,""),IF(AND(ISNUMBER(H2738),H2738&gt;0),M2738/H2738,"")))</f>
        <v/>
      </c>
      <c r="T2738" s="9">
        <f>IF(AND(ISNUMBER(M2738),ISNUMBER(O2738)),IF(M2738&lt;=O2738,"Valor ≤ venal IPTU",""),"")</f>
        <v/>
      </c>
      <c r="U2738" s="10">
        <f>IF(AND(ISNUMBER(M2738),ISNUMBER(N2738)),IF(N2738&gt;0,M2738/N2738,""),"")</f>
        <v/>
      </c>
      <c r="V2738" s="10">
        <f>IF(AND(ISNUMBER(M2738),ISNUMBER(O2738)),IF(O2738&gt;0,M2738/O2738,""),"")</f>
        <v/>
      </c>
      <c r="W2738" s="10">
        <f>IF(AND(ISNUMBER(M2738),ISNUMBER(R2738)),IF(R2738&gt;0,M2738/R2738,""),"")</f>
        <v/>
      </c>
      <c r="X2738" s="10">
        <f>IF(AND(ISNUMBER(Q2738),ISNUMBER(M2738)),IF(M2738&gt;0,Q2738/M2738,""),"")</f>
        <v/>
      </c>
      <c r="Y2738" s="11">
        <f>IF(ISNUMBER(Z2738),YEAR(Z2738),"")</f>
        <v/>
      </c>
      <c r="Z2738" s="12" t="n"/>
      <c r="AA2738" s="12" t="n"/>
      <c r="AI2738" s="12" t="n"/>
      <c r="AJ2738" s="13">
        <f>IF(LEN(TRIM(AF2738))=0,"",HYPERLINK("https://www.google.com/maps/@?api=1&amp;map_action=pano&amp;viewpoint="&amp;SUBSTITUTE(AF2738," ",""),"Abrir Street View"))</f>
        <v/>
      </c>
    </row>
    <row r="2739">
      <c r="H2739" s="6" t="n"/>
      <c r="I2739" s="6" t="n"/>
      <c r="M2739" s="7" t="n"/>
      <c r="N2739" s="7" t="n"/>
      <c r="O2739" s="7" t="n"/>
      <c r="Q2739" s="7" t="n"/>
      <c r="R2739" s="7" t="n"/>
      <c r="S2739" s="8">
        <f>IF(NOT(ISNUMBER(M2739)),"",IF(G2739="Terreno",IF(AND(ISNUMBER(I2739),I2739&gt;0),M2739/I2739,""),IF(AND(ISNUMBER(H2739),H2739&gt;0),M2739/H2739,"")))</f>
        <v/>
      </c>
      <c r="T2739" s="9">
        <f>IF(AND(ISNUMBER(M2739),ISNUMBER(O2739)),IF(M2739&lt;=O2739,"Valor ≤ venal IPTU",""),"")</f>
        <v/>
      </c>
      <c r="U2739" s="10">
        <f>IF(AND(ISNUMBER(M2739),ISNUMBER(N2739)),IF(N2739&gt;0,M2739/N2739,""),"")</f>
        <v/>
      </c>
      <c r="V2739" s="10">
        <f>IF(AND(ISNUMBER(M2739),ISNUMBER(O2739)),IF(O2739&gt;0,M2739/O2739,""),"")</f>
        <v/>
      </c>
      <c r="W2739" s="10">
        <f>IF(AND(ISNUMBER(M2739),ISNUMBER(R2739)),IF(R2739&gt;0,M2739/R2739,""),"")</f>
        <v/>
      </c>
      <c r="X2739" s="10">
        <f>IF(AND(ISNUMBER(Q2739),ISNUMBER(M2739)),IF(M2739&gt;0,Q2739/M2739,""),"")</f>
        <v/>
      </c>
      <c r="Y2739" s="11">
        <f>IF(ISNUMBER(Z2739),YEAR(Z2739),"")</f>
        <v/>
      </c>
      <c r="Z2739" s="12" t="n"/>
      <c r="AA2739" s="12" t="n"/>
      <c r="AI2739" s="12" t="n"/>
      <c r="AJ2739" s="13">
        <f>IF(LEN(TRIM(AF2739))=0,"",HYPERLINK("https://www.google.com/maps/@?api=1&amp;map_action=pano&amp;viewpoint="&amp;SUBSTITUTE(AF2739," ",""),"Abrir Street View"))</f>
        <v/>
      </c>
    </row>
    <row r="2740">
      <c r="H2740" s="6" t="n"/>
      <c r="I2740" s="6" t="n"/>
      <c r="M2740" s="7" t="n"/>
      <c r="N2740" s="7" t="n"/>
      <c r="O2740" s="7" t="n"/>
      <c r="Q2740" s="7" t="n"/>
      <c r="R2740" s="7" t="n"/>
      <c r="S2740" s="8">
        <f>IF(NOT(ISNUMBER(M2740)),"",IF(G2740="Terreno",IF(AND(ISNUMBER(I2740),I2740&gt;0),M2740/I2740,""),IF(AND(ISNUMBER(H2740),H2740&gt;0),M2740/H2740,"")))</f>
        <v/>
      </c>
      <c r="T2740" s="9">
        <f>IF(AND(ISNUMBER(M2740),ISNUMBER(O2740)),IF(M2740&lt;=O2740,"Valor ≤ venal IPTU",""),"")</f>
        <v/>
      </c>
      <c r="U2740" s="10">
        <f>IF(AND(ISNUMBER(M2740),ISNUMBER(N2740)),IF(N2740&gt;0,M2740/N2740,""),"")</f>
        <v/>
      </c>
      <c r="V2740" s="10">
        <f>IF(AND(ISNUMBER(M2740),ISNUMBER(O2740)),IF(O2740&gt;0,M2740/O2740,""),"")</f>
        <v/>
      </c>
      <c r="W2740" s="10">
        <f>IF(AND(ISNUMBER(M2740),ISNUMBER(R2740)),IF(R2740&gt;0,M2740/R2740,""),"")</f>
        <v/>
      </c>
      <c r="X2740" s="10">
        <f>IF(AND(ISNUMBER(Q2740),ISNUMBER(M2740)),IF(M2740&gt;0,Q2740/M2740,""),"")</f>
        <v/>
      </c>
      <c r="Y2740" s="11">
        <f>IF(ISNUMBER(Z2740),YEAR(Z2740),"")</f>
        <v/>
      </c>
      <c r="Z2740" s="12" t="n"/>
      <c r="AA2740" s="12" t="n"/>
      <c r="AI2740" s="12" t="n"/>
      <c r="AJ2740" s="13">
        <f>IF(LEN(TRIM(AF2740))=0,"",HYPERLINK("https://www.google.com/maps/@?api=1&amp;map_action=pano&amp;viewpoint="&amp;SUBSTITUTE(AF2740," ",""),"Abrir Street View"))</f>
        <v/>
      </c>
    </row>
    <row r="2741">
      <c r="H2741" s="6" t="n"/>
      <c r="I2741" s="6" t="n"/>
      <c r="M2741" s="7" t="n"/>
      <c r="N2741" s="7" t="n"/>
      <c r="O2741" s="7" t="n"/>
      <c r="Q2741" s="7" t="n"/>
      <c r="R2741" s="7" t="n"/>
      <c r="S2741" s="8">
        <f>IF(NOT(ISNUMBER(M2741)),"",IF(G2741="Terreno",IF(AND(ISNUMBER(I2741),I2741&gt;0),M2741/I2741,""),IF(AND(ISNUMBER(H2741),H2741&gt;0),M2741/H2741,"")))</f>
        <v/>
      </c>
      <c r="T2741" s="9">
        <f>IF(AND(ISNUMBER(M2741),ISNUMBER(O2741)),IF(M2741&lt;=O2741,"Valor ≤ venal IPTU",""),"")</f>
        <v/>
      </c>
      <c r="U2741" s="10">
        <f>IF(AND(ISNUMBER(M2741),ISNUMBER(N2741)),IF(N2741&gt;0,M2741/N2741,""),"")</f>
        <v/>
      </c>
      <c r="V2741" s="10">
        <f>IF(AND(ISNUMBER(M2741),ISNUMBER(O2741)),IF(O2741&gt;0,M2741/O2741,""),"")</f>
        <v/>
      </c>
      <c r="W2741" s="10">
        <f>IF(AND(ISNUMBER(M2741),ISNUMBER(R2741)),IF(R2741&gt;0,M2741/R2741,""),"")</f>
        <v/>
      </c>
      <c r="X2741" s="10">
        <f>IF(AND(ISNUMBER(Q2741),ISNUMBER(M2741)),IF(M2741&gt;0,Q2741/M2741,""),"")</f>
        <v/>
      </c>
      <c r="Y2741" s="11">
        <f>IF(ISNUMBER(Z2741),YEAR(Z2741),"")</f>
        <v/>
      </c>
      <c r="Z2741" s="12" t="n"/>
      <c r="AA2741" s="12" t="n"/>
      <c r="AI2741" s="12" t="n"/>
      <c r="AJ2741" s="13">
        <f>IF(LEN(TRIM(AF2741))=0,"",HYPERLINK("https://www.google.com/maps/@?api=1&amp;map_action=pano&amp;viewpoint="&amp;SUBSTITUTE(AF2741," ",""),"Abrir Street View"))</f>
        <v/>
      </c>
    </row>
    <row r="2742">
      <c r="H2742" s="6" t="n"/>
      <c r="I2742" s="6" t="n"/>
      <c r="M2742" s="7" t="n"/>
      <c r="N2742" s="7" t="n"/>
      <c r="O2742" s="7" t="n"/>
      <c r="Q2742" s="7" t="n"/>
      <c r="R2742" s="7" t="n"/>
      <c r="S2742" s="8">
        <f>IF(NOT(ISNUMBER(M2742)),"",IF(G2742="Terreno",IF(AND(ISNUMBER(I2742),I2742&gt;0),M2742/I2742,""),IF(AND(ISNUMBER(H2742),H2742&gt;0),M2742/H2742,"")))</f>
        <v/>
      </c>
      <c r="T2742" s="9">
        <f>IF(AND(ISNUMBER(M2742),ISNUMBER(O2742)),IF(M2742&lt;=O2742,"Valor ≤ venal IPTU",""),"")</f>
        <v/>
      </c>
      <c r="U2742" s="10">
        <f>IF(AND(ISNUMBER(M2742),ISNUMBER(N2742)),IF(N2742&gt;0,M2742/N2742,""),"")</f>
        <v/>
      </c>
      <c r="V2742" s="10">
        <f>IF(AND(ISNUMBER(M2742),ISNUMBER(O2742)),IF(O2742&gt;0,M2742/O2742,""),"")</f>
        <v/>
      </c>
      <c r="W2742" s="10">
        <f>IF(AND(ISNUMBER(M2742),ISNUMBER(R2742)),IF(R2742&gt;0,M2742/R2742,""),"")</f>
        <v/>
      </c>
      <c r="X2742" s="10">
        <f>IF(AND(ISNUMBER(Q2742),ISNUMBER(M2742)),IF(M2742&gt;0,Q2742/M2742,""),"")</f>
        <v/>
      </c>
      <c r="Y2742" s="11">
        <f>IF(ISNUMBER(Z2742),YEAR(Z2742),"")</f>
        <v/>
      </c>
      <c r="Z2742" s="12" t="n"/>
      <c r="AA2742" s="12" t="n"/>
      <c r="AI2742" s="12" t="n"/>
      <c r="AJ2742" s="13">
        <f>IF(LEN(TRIM(AF2742))=0,"",HYPERLINK("https://www.google.com/maps/@?api=1&amp;map_action=pano&amp;viewpoint="&amp;SUBSTITUTE(AF2742," ",""),"Abrir Street View"))</f>
        <v/>
      </c>
    </row>
    <row r="2743">
      <c r="H2743" s="6" t="n"/>
      <c r="I2743" s="6" t="n"/>
      <c r="M2743" s="7" t="n"/>
      <c r="N2743" s="7" t="n"/>
      <c r="O2743" s="7" t="n"/>
      <c r="Q2743" s="7" t="n"/>
      <c r="R2743" s="7" t="n"/>
      <c r="S2743" s="8">
        <f>IF(NOT(ISNUMBER(M2743)),"",IF(G2743="Terreno",IF(AND(ISNUMBER(I2743),I2743&gt;0),M2743/I2743,""),IF(AND(ISNUMBER(H2743),H2743&gt;0),M2743/H2743,"")))</f>
        <v/>
      </c>
      <c r="T2743" s="9">
        <f>IF(AND(ISNUMBER(M2743),ISNUMBER(O2743)),IF(M2743&lt;=O2743,"Valor ≤ venal IPTU",""),"")</f>
        <v/>
      </c>
      <c r="U2743" s="10">
        <f>IF(AND(ISNUMBER(M2743),ISNUMBER(N2743)),IF(N2743&gt;0,M2743/N2743,""),"")</f>
        <v/>
      </c>
      <c r="V2743" s="10">
        <f>IF(AND(ISNUMBER(M2743),ISNUMBER(O2743)),IF(O2743&gt;0,M2743/O2743,""),"")</f>
        <v/>
      </c>
      <c r="W2743" s="10">
        <f>IF(AND(ISNUMBER(M2743),ISNUMBER(R2743)),IF(R2743&gt;0,M2743/R2743,""),"")</f>
        <v/>
      </c>
      <c r="X2743" s="10">
        <f>IF(AND(ISNUMBER(Q2743),ISNUMBER(M2743)),IF(M2743&gt;0,Q2743/M2743,""),"")</f>
        <v/>
      </c>
      <c r="Y2743" s="11">
        <f>IF(ISNUMBER(Z2743),YEAR(Z2743),"")</f>
        <v/>
      </c>
      <c r="Z2743" s="12" t="n"/>
      <c r="AA2743" s="12" t="n"/>
      <c r="AI2743" s="12" t="n"/>
      <c r="AJ2743" s="13">
        <f>IF(LEN(TRIM(AF2743))=0,"",HYPERLINK("https://www.google.com/maps/@?api=1&amp;map_action=pano&amp;viewpoint="&amp;SUBSTITUTE(AF2743," ",""),"Abrir Street View"))</f>
        <v/>
      </c>
    </row>
    <row r="2744">
      <c r="H2744" s="6" t="n"/>
      <c r="I2744" s="6" t="n"/>
      <c r="M2744" s="7" t="n"/>
      <c r="N2744" s="7" t="n"/>
      <c r="O2744" s="7" t="n"/>
      <c r="Q2744" s="7" t="n"/>
      <c r="R2744" s="7" t="n"/>
      <c r="S2744" s="8">
        <f>IF(NOT(ISNUMBER(M2744)),"",IF(G2744="Terreno",IF(AND(ISNUMBER(I2744),I2744&gt;0),M2744/I2744,""),IF(AND(ISNUMBER(H2744),H2744&gt;0),M2744/H2744,"")))</f>
        <v/>
      </c>
      <c r="T2744" s="9">
        <f>IF(AND(ISNUMBER(M2744),ISNUMBER(O2744)),IF(M2744&lt;=O2744,"Valor ≤ venal IPTU",""),"")</f>
        <v/>
      </c>
      <c r="U2744" s="10">
        <f>IF(AND(ISNUMBER(M2744),ISNUMBER(N2744)),IF(N2744&gt;0,M2744/N2744,""),"")</f>
        <v/>
      </c>
      <c r="V2744" s="10">
        <f>IF(AND(ISNUMBER(M2744),ISNUMBER(O2744)),IF(O2744&gt;0,M2744/O2744,""),"")</f>
        <v/>
      </c>
      <c r="W2744" s="10">
        <f>IF(AND(ISNUMBER(M2744),ISNUMBER(R2744)),IF(R2744&gt;0,M2744/R2744,""),"")</f>
        <v/>
      </c>
      <c r="X2744" s="10">
        <f>IF(AND(ISNUMBER(Q2744),ISNUMBER(M2744)),IF(M2744&gt;0,Q2744/M2744,""),"")</f>
        <v/>
      </c>
      <c r="Y2744" s="11">
        <f>IF(ISNUMBER(Z2744),YEAR(Z2744),"")</f>
        <v/>
      </c>
      <c r="Z2744" s="12" t="n"/>
      <c r="AA2744" s="12" t="n"/>
      <c r="AI2744" s="12" t="n"/>
      <c r="AJ2744" s="13">
        <f>IF(LEN(TRIM(AF2744))=0,"",HYPERLINK("https://www.google.com/maps/@?api=1&amp;map_action=pano&amp;viewpoint="&amp;SUBSTITUTE(AF2744," ",""),"Abrir Street View"))</f>
        <v/>
      </c>
    </row>
    <row r="2745">
      <c r="H2745" s="6" t="n"/>
      <c r="I2745" s="6" t="n"/>
      <c r="M2745" s="7" t="n"/>
      <c r="N2745" s="7" t="n"/>
      <c r="O2745" s="7" t="n"/>
      <c r="Q2745" s="7" t="n"/>
      <c r="R2745" s="7" t="n"/>
      <c r="S2745" s="8">
        <f>IF(NOT(ISNUMBER(M2745)),"",IF(G2745="Terreno",IF(AND(ISNUMBER(I2745),I2745&gt;0),M2745/I2745,""),IF(AND(ISNUMBER(H2745),H2745&gt;0),M2745/H2745,"")))</f>
        <v/>
      </c>
      <c r="T2745" s="9">
        <f>IF(AND(ISNUMBER(M2745),ISNUMBER(O2745)),IF(M2745&lt;=O2745,"Valor ≤ venal IPTU",""),"")</f>
        <v/>
      </c>
      <c r="U2745" s="10">
        <f>IF(AND(ISNUMBER(M2745),ISNUMBER(N2745)),IF(N2745&gt;0,M2745/N2745,""),"")</f>
        <v/>
      </c>
      <c r="V2745" s="10">
        <f>IF(AND(ISNUMBER(M2745),ISNUMBER(O2745)),IF(O2745&gt;0,M2745/O2745,""),"")</f>
        <v/>
      </c>
      <c r="W2745" s="10">
        <f>IF(AND(ISNUMBER(M2745),ISNUMBER(R2745)),IF(R2745&gt;0,M2745/R2745,""),"")</f>
        <v/>
      </c>
      <c r="X2745" s="10">
        <f>IF(AND(ISNUMBER(Q2745),ISNUMBER(M2745)),IF(M2745&gt;0,Q2745/M2745,""),"")</f>
        <v/>
      </c>
      <c r="Y2745" s="11">
        <f>IF(ISNUMBER(Z2745),YEAR(Z2745),"")</f>
        <v/>
      </c>
      <c r="Z2745" s="12" t="n"/>
      <c r="AA2745" s="12" t="n"/>
      <c r="AI2745" s="12" t="n"/>
      <c r="AJ2745" s="13">
        <f>IF(LEN(TRIM(AF2745))=0,"",HYPERLINK("https://www.google.com/maps/@?api=1&amp;map_action=pano&amp;viewpoint="&amp;SUBSTITUTE(AF2745," ",""),"Abrir Street View"))</f>
        <v/>
      </c>
    </row>
    <row r="2746">
      <c r="H2746" s="6" t="n"/>
      <c r="I2746" s="6" t="n"/>
      <c r="M2746" s="7" t="n"/>
      <c r="N2746" s="7" t="n"/>
      <c r="O2746" s="7" t="n"/>
      <c r="Q2746" s="7" t="n"/>
      <c r="R2746" s="7" t="n"/>
      <c r="S2746" s="8">
        <f>IF(NOT(ISNUMBER(M2746)),"",IF(G2746="Terreno",IF(AND(ISNUMBER(I2746),I2746&gt;0),M2746/I2746,""),IF(AND(ISNUMBER(H2746),H2746&gt;0),M2746/H2746,"")))</f>
        <v/>
      </c>
      <c r="T2746" s="9">
        <f>IF(AND(ISNUMBER(M2746),ISNUMBER(O2746)),IF(M2746&lt;=O2746,"Valor ≤ venal IPTU",""),"")</f>
        <v/>
      </c>
      <c r="U2746" s="10">
        <f>IF(AND(ISNUMBER(M2746),ISNUMBER(N2746)),IF(N2746&gt;0,M2746/N2746,""),"")</f>
        <v/>
      </c>
      <c r="V2746" s="10">
        <f>IF(AND(ISNUMBER(M2746),ISNUMBER(O2746)),IF(O2746&gt;0,M2746/O2746,""),"")</f>
        <v/>
      </c>
      <c r="W2746" s="10">
        <f>IF(AND(ISNUMBER(M2746),ISNUMBER(R2746)),IF(R2746&gt;0,M2746/R2746,""),"")</f>
        <v/>
      </c>
      <c r="X2746" s="10">
        <f>IF(AND(ISNUMBER(Q2746),ISNUMBER(M2746)),IF(M2746&gt;0,Q2746/M2746,""),"")</f>
        <v/>
      </c>
      <c r="Y2746" s="11">
        <f>IF(ISNUMBER(Z2746),YEAR(Z2746),"")</f>
        <v/>
      </c>
      <c r="Z2746" s="12" t="n"/>
      <c r="AA2746" s="12" t="n"/>
      <c r="AI2746" s="12" t="n"/>
      <c r="AJ2746" s="13">
        <f>IF(LEN(TRIM(AF2746))=0,"",HYPERLINK("https://www.google.com/maps/@?api=1&amp;map_action=pano&amp;viewpoint="&amp;SUBSTITUTE(AF2746," ",""),"Abrir Street View"))</f>
        <v/>
      </c>
    </row>
    <row r="2747">
      <c r="H2747" s="6" t="n"/>
      <c r="I2747" s="6" t="n"/>
      <c r="M2747" s="7" t="n"/>
      <c r="N2747" s="7" t="n"/>
      <c r="O2747" s="7" t="n"/>
      <c r="Q2747" s="7" t="n"/>
      <c r="R2747" s="7" t="n"/>
      <c r="S2747" s="8">
        <f>IF(NOT(ISNUMBER(M2747)),"",IF(G2747="Terreno",IF(AND(ISNUMBER(I2747),I2747&gt;0),M2747/I2747,""),IF(AND(ISNUMBER(H2747),H2747&gt;0),M2747/H2747,"")))</f>
        <v/>
      </c>
      <c r="T2747" s="9">
        <f>IF(AND(ISNUMBER(M2747),ISNUMBER(O2747)),IF(M2747&lt;=O2747,"Valor ≤ venal IPTU",""),"")</f>
        <v/>
      </c>
      <c r="U2747" s="10">
        <f>IF(AND(ISNUMBER(M2747),ISNUMBER(N2747)),IF(N2747&gt;0,M2747/N2747,""),"")</f>
        <v/>
      </c>
      <c r="V2747" s="10">
        <f>IF(AND(ISNUMBER(M2747),ISNUMBER(O2747)),IF(O2747&gt;0,M2747/O2747,""),"")</f>
        <v/>
      </c>
      <c r="W2747" s="10">
        <f>IF(AND(ISNUMBER(M2747),ISNUMBER(R2747)),IF(R2747&gt;0,M2747/R2747,""),"")</f>
        <v/>
      </c>
      <c r="X2747" s="10">
        <f>IF(AND(ISNUMBER(Q2747),ISNUMBER(M2747)),IF(M2747&gt;0,Q2747/M2747,""),"")</f>
        <v/>
      </c>
      <c r="Y2747" s="11">
        <f>IF(ISNUMBER(Z2747),YEAR(Z2747),"")</f>
        <v/>
      </c>
      <c r="Z2747" s="12" t="n"/>
      <c r="AA2747" s="12" t="n"/>
      <c r="AI2747" s="12" t="n"/>
      <c r="AJ2747" s="13">
        <f>IF(LEN(TRIM(AF2747))=0,"",HYPERLINK("https://www.google.com/maps/@?api=1&amp;map_action=pano&amp;viewpoint="&amp;SUBSTITUTE(AF2747," ",""),"Abrir Street View"))</f>
        <v/>
      </c>
    </row>
    <row r="2748">
      <c r="H2748" s="6" t="n"/>
      <c r="I2748" s="6" t="n"/>
      <c r="M2748" s="7" t="n"/>
      <c r="N2748" s="7" t="n"/>
      <c r="O2748" s="7" t="n"/>
      <c r="Q2748" s="7" t="n"/>
      <c r="R2748" s="7" t="n"/>
      <c r="S2748" s="8">
        <f>IF(NOT(ISNUMBER(M2748)),"",IF(G2748="Terreno",IF(AND(ISNUMBER(I2748),I2748&gt;0),M2748/I2748,""),IF(AND(ISNUMBER(H2748),H2748&gt;0),M2748/H2748,"")))</f>
        <v/>
      </c>
      <c r="T2748" s="9">
        <f>IF(AND(ISNUMBER(M2748),ISNUMBER(O2748)),IF(M2748&lt;=O2748,"Valor ≤ venal IPTU",""),"")</f>
        <v/>
      </c>
      <c r="U2748" s="10">
        <f>IF(AND(ISNUMBER(M2748),ISNUMBER(N2748)),IF(N2748&gt;0,M2748/N2748,""),"")</f>
        <v/>
      </c>
      <c r="V2748" s="10">
        <f>IF(AND(ISNUMBER(M2748),ISNUMBER(O2748)),IF(O2748&gt;0,M2748/O2748,""),"")</f>
        <v/>
      </c>
      <c r="W2748" s="10">
        <f>IF(AND(ISNUMBER(M2748),ISNUMBER(R2748)),IF(R2748&gt;0,M2748/R2748,""),"")</f>
        <v/>
      </c>
      <c r="X2748" s="10">
        <f>IF(AND(ISNUMBER(Q2748),ISNUMBER(M2748)),IF(M2748&gt;0,Q2748/M2748,""),"")</f>
        <v/>
      </c>
      <c r="Y2748" s="11">
        <f>IF(ISNUMBER(Z2748),YEAR(Z2748),"")</f>
        <v/>
      </c>
      <c r="Z2748" s="12" t="n"/>
      <c r="AA2748" s="12" t="n"/>
      <c r="AI2748" s="12" t="n"/>
      <c r="AJ2748" s="13">
        <f>IF(LEN(TRIM(AF2748))=0,"",HYPERLINK("https://www.google.com/maps/@?api=1&amp;map_action=pano&amp;viewpoint="&amp;SUBSTITUTE(AF2748," ",""),"Abrir Street View"))</f>
        <v/>
      </c>
    </row>
    <row r="2749">
      <c r="H2749" s="6" t="n"/>
      <c r="I2749" s="6" t="n"/>
      <c r="M2749" s="7" t="n"/>
      <c r="N2749" s="7" t="n"/>
      <c r="O2749" s="7" t="n"/>
      <c r="Q2749" s="7" t="n"/>
      <c r="R2749" s="7" t="n"/>
      <c r="S2749" s="8">
        <f>IF(NOT(ISNUMBER(M2749)),"",IF(G2749="Terreno",IF(AND(ISNUMBER(I2749),I2749&gt;0),M2749/I2749,""),IF(AND(ISNUMBER(H2749),H2749&gt;0),M2749/H2749,"")))</f>
        <v/>
      </c>
      <c r="T2749" s="9">
        <f>IF(AND(ISNUMBER(M2749),ISNUMBER(O2749)),IF(M2749&lt;=O2749,"Valor ≤ venal IPTU",""),"")</f>
        <v/>
      </c>
      <c r="U2749" s="10">
        <f>IF(AND(ISNUMBER(M2749),ISNUMBER(N2749)),IF(N2749&gt;0,M2749/N2749,""),"")</f>
        <v/>
      </c>
      <c r="V2749" s="10">
        <f>IF(AND(ISNUMBER(M2749),ISNUMBER(O2749)),IF(O2749&gt;0,M2749/O2749,""),"")</f>
        <v/>
      </c>
      <c r="W2749" s="10">
        <f>IF(AND(ISNUMBER(M2749),ISNUMBER(R2749)),IF(R2749&gt;0,M2749/R2749,""),"")</f>
        <v/>
      </c>
      <c r="X2749" s="10">
        <f>IF(AND(ISNUMBER(Q2749),ISNUMBER(M2749)),IF(M2749&gt;0,Q2749/M2749,""),"")</f>
        <v/>
      </c>
      <c r="Y2749" s="11">
        <f>IF(ISNUMBER(Z2749),YEAR(Z2749),"")</f>
        <v/>
      </c>
      <c r="Z2749" s="12" t="n"/>
      <c r="AA2749" s="12" t="n"/>
      <c r="AI2749" s="12" t="n"/>
      <c r="AJ2749" s="13">
        <f>IF(LEN(TRIM(AF2749))=0,"",HYPERLINK("https://www.google.com/maps/@?api=1&amp;map_action=pano&amp;viewpoint="&amp;SUBSTITUTE(AF2749," ",""),"Abrir Street View"))</f>
        <v/>
      </c>
    </row>
    <row r="2750">
      <c r="H2750" s="6" t="n"/>
      <c r="I2750" s="6" t="n"/>
      <c r="M2750" s="7" t="n"/>
      <c r="N2750" s="7" t="n"/>
      <c r="O2750" s="7" t="n"/>
      <c r="Q2750" s="7" t="n"/>
      <c r="R2750" s="7" t="n"/>
      <c r="S2750" s="8">
        <f>IF(NOT(ISNUMBER(M2750)),"",IF(G2750="Terreno",IF(AND(ISNUMBER(I2750),I2750&gt;0),M2750/I2750,""),IF(AND(ISNUMBER(H2750),H2750&gt;0),M2750/H2750,"")))</f>
        <v/>
      </c>
      <c r="T2750" s="9">
        <f>IF(AND(ISNUMBER(M2750),ISNUMBER(O2750)),IF(M2750&lt;=O2750,"Valor ≤ venal IPTU",""),"")</f>
        <v/>
      </c>
      <c r="U2750" s="10">
        <f>IF(AND(ISNUMBER(M2750),ISNUMBER(N2750)),IF(N2750&gt;0,M2750/N2750,""),"")</f>
        <v/>
      </c>
      <c r="V2750" s="10">
        <f>IF(AND(ISNUMBER(M2750),ISNUMBER(O2750)),IF(O2750&gt;0,M2750/O2750,""),"")</f>
        <v/>
      </c>
      <c r="W2750" s="10">
        <f>IF(AND(ISNUMBER(M2750),ISNUMBER(R2750)),IF(R2750&gt;0,M2750/R2750,""),"")</f>
        <v/>
      </c>
      <c r="X2750" s="10">
        <f>IF(AND(ISNUMBER(Q2750),ISNUMBER(M2750)),IF(M2750&gt;0,Q2750/M2750,""),"")</f>
        <v/>
      </c>
      <c r="Y2750" s="11">
        <f>IF(ISNUMBER(Z2750),YEAR(Z2750),"")</f>
        <v/>
      </c>
      <c r="Z2750" s="12" t="n"/>
      <c r="AA2750" s="12" t="n"/>
      <c r="AI2750" s="12" t="n"/>
      <c r="AJ2750" s="13">
        <f>IF(LEN(TRIM(AF2750))=0,"",HYPERLINK("https://www.google.com/maps/@?api=1&amp;map_action=pano&amp;viewpoint="&amp;SUBSTITUTE(AF2750," ",""),"Abrir Street View"))</f>
        <v/>
      </c>
    </row>
    <row r="2751">
      <c r="H2751" s="6" t="n"/>
      <c r="I2751" s="6" t="n"/>
      <c r="M2751" s="7" t="n"/>
      <c r="N2751" s="7" t="n"/>
      <c r="O2751" s="7" t="n"/>
      <c r="Q2751" s="7" t="n"/>
      <c r="R2751" s="7" t="n"/>
      <c r="S2751" s="8">
        <f>IF(NOT(ISNUMBER(M2751)),"",IF(G2751="Terreno",IF(AND(ISNUMBER(I2751),I2751&gt;0),M2751/I2751,""),IF(AND(ISNUMBER(H2751),H2751&gt;0),M2751/H2751,"")))</f>
        <v/>
      </c>
      <c r="T2751" s="9">
        <f>IF(AND(ISNUMBER(M2751),ISNUMBER(O2751)),IF(M2751&lt;=O2751,"Valor ≤ venal IPTU",""),"")</f>
        <v/>
      </c>
      <c r="U2751" s="10">
        <f>IF(AND(ISNUMBER(M2751),ISNUMBER(N2751)),IF(N2751&gt;0,M2751/N2751,""),"")</f>
        <v/>
      </c>
      <c r="V2751" s="10">
        <f>IF(AND(ISNUMBER(M2751),ISNUMBER(O2751)),IF(O2751&gt;0,M2751/O2751,""),"")</f>
        <v/>
      </c>
      <c r="W2751" s="10">
        <f>IF(AND(ISNUMBER(M2751),ISNUMBER(R2751)),IF(R2751&gt;0,M2751/R2751,""),"")</f>
        <v/>
      </c>
      <c r="X2751" s="10">
        <f>IF(AND(ISNUMBER(Q2751),ISNUMBER(M2751)),IF(M2751&gt;0,Q2751/M2751,""),"")</f>
        <v/>
      </c>
      <c r="Y2751" s="11">
        <f>IF(ISNUMBER(Z2751),YEAR(Z2751),"")</f>
        <v/>
      </c>
      <c r="Z2751" s="12" t="n"/>
      <c r="AA2751" s="12" t="n"/>
      <c r="AI2751" s="12" t="n"/>
      <c r="AJ2751" s="13">
        <f>IF(LEN(TRIM(AF2751))=0,"",HYPERLINK("https://www.google.com/maps/@?api=1&amp;map_action=pano&amp;viewpoint="&amp;SUBSTITUTE(AF2751," ",""),"Abrir Street View"))</f>
        <v/>
      </c>
    </row>
    <row r="2752">
      <c r="H2752" s="6" t="n"/>
      <c r="I2752" s="6" t="n"/>
      <c r="M2752" s="7" t="n"/>
      <c r="N2752" s="7" t="n"/>
      <c r="O2752" s="7" t="n"/>
      <c r="Q2752" s="7" t="n"/>
      <c r="R2752" s="7" t="n"/>
      <c r="S2752" s="8">
        <f>IF(NOT(ISNUMBER(M2752)),"",IF(G2752="Terreno",IF(AND(ISNUMBER(I2752),I2752&gt;0),M2752/I2752,""),IF(AND(ISNUMBER(H2752),H2752&gt;0),M2752/H2752,"")))</f>
        <v/>
      </c>
      <c r="T2752" s="9">
        <f>IF(AND(ISNUMBER(M2752),ISNUMBER(O2752)),IF(M2752&lt;=O2752,"Valor ≤ venal IPTU",""),"")</f>
        <v/>
      </c>
      <c r="U2752" s="10">
        <f>IF(AND(ISNUMBER(M2752),ISNUMBER(N2752)),IF(N2752&gt;0,M2752/N2752,""),"")</f>
        <v/>
      </c>
      <c r="V2752" s="10">
        <f>IF(AND(ISNUMBER(M2752),ISNUMBER(O2752)),IF(O2752&gt;0,M2752/O2752,""),"")</f>
        <v/>
      </c>
      <c r="W2752" s="10">
        <f>IF(AND(ISNUMBER(M2752),ISNUMBER(R2752)),IF(R2752&gt;0,M2752/R2752,""),"")</f>
        <v/>
      </c>
      <c r="X2752" s="10">
        <f>IF(AND(ISNUMBER(Q2752),ISNUMBER(M2752)),IF(M2752&gt;0,Q2752/M2752,""),"")</f>
        <v/>
      </c>
      <c r="Y2752" s="11">
        <f>IF(ISNUMBER(Z2752),YEAR(Z2752),"")</f>
        <v/>
      </c>
      <c r="Z2752" s="12" t="n"/>
      <c r="AA2752" s="12" t="n"/>
      <c r="AI2752" s="12" t="n"/>
      <c r="AJ2752" s="13">
        <f>IF(LEN(TRIM(AF2752))=0,"",HYPERLINK("https://www.google.com/maps/@?api=1&amp;map_action=pano&amp;viewpoint="&amp;SUBSTITUTE(AF2752," ",""),"Abrir Street View"))</f>
        <v/>
      </c>
    </row>
    <row r="2753">
      <c r="H2753" s="6" t="n"/>
      <c r="I2753" s="6" t="n"/>
      <c r="M2753" s="7" t="n"/>
      <c r="N2753" s="7" t="n"/>
      <c r="O2753" s="7" t="n"/>
      <c r="Q2753" s="7" t="n"/>
      <c r="R2753" s="7" t="n"/>
      <c r="S2753" s="8">
        <f>IF(NOT(ISNUMBER(M2753)),"",IF(G2753="Terreno",IF(AND(ISNUMBER(I2753),I2753&gt;0),M2753/I2753,""),IF(AND(ISNUMBER(H2753),H2753&gt;0),M2753/H2753,"")))</f>
        <v/>
      </c>
      <c r="T2753" s="9">
        <f>IF(AND(ISNUMBER(M2753),ISNUMBER(O2753)),IF(M2753&lt;=O2753,"Valor ≤ venal IPTU",""),"")</f>
        <v/>
      </c>
      <c r="U2753" s="10">
        <f>IF(AND(ISNUMBER(M2753),ISNUMBER(N2753)),IF(N2753&gt;0,M2753/N2753,""),"")</f>
        <v/>
      </c>
      <c r="V2753" s="10">
        <f>IF(AND(ISNUMBER(M2753),ISNUMBER(O2753)),IF(O2753&gt;0,M2753/O2753,""),"")</f>
        <v/>
      </c>
      <c r="W2753" s="10">
        <f>IF(AND(ISNUMBER(M2753),ISNUMBER(R2753)),IF(R2753&gt;0,M2753/R2753,""),"")</f>
        <v/>
      </c>
      <c r="X2753" s="10">
        <f>IF(AND(ISNUMBER(Q2753),ISNUMBER(M2753)),IF(M2753&gt;0,Q2753/M2753,""),"")</f>
        <v/>
      </c>
      <c r="Y2753" s="11">
        <f>IF(ISNUMBER(Z2753),YEAR(Z2753),"")</f>
        <v/>
      </c>
      <c r="Z2753" s="12" t="n"/>
      <c r="AA2753" s="12" t="n"/>
      <c r="AI2753" s="12" t="n"/>
      <c r="AJ2753" s="13">
        <f>IF(LEN(TRIM(AF2753))=0,"",HYPERLINK("https://www.google.com/maps/@?api=1&amp;map_action=pano&amp;viewpoint="&amp;SUBSTITUTE(AF2753," ",""),"Abrir Street View"))</f>
        <v/>
      </c>
    </row>
    <row r="2754">
      <c r="H2754" s="6" t="n"/>
      <c r="I2754" s="6" t="n"/>
      <c r="M2754" s="7" t="n"/>
      <c r="N2754" s="7" t="n"/>
      <c r="O2754" s="7" t="n"/>
      <c r="Q2754" s="7" t="n"/>
      <c r="R2754" s="7" t="n"/>
      <c r="S2754" s="8">
        <f>IF(NOT(ISNUMBER(M2754)),"",IF(G2754="Terreno",IF(AND(ISNUMBER(I2754),I2754&gt;0),M2754/I2754,""),IF(AND(ISNUMBER(H2754),H2754&gt;0),M2754/H2754,"")))</f>
        <v/>
      </c>
      <c r="T2754" s="9">
        <f>IF(AND(ISNUMBER(M2754),ISNUMBER(O2754)),IF(M2754&lt;=O2754,"Valor ≤ venal IPTU",""),"")</f>
        <v/>
      </c>
      <c r="U2754" s="10">
        <f>IF(AND(ISNUMBER(M2754),ISNUMBER(N2754)),IF(N2754&gt;0,M2754/N2754,""),"")</f>
        <v/>
      </c>
      <c r="V2754" s="10">
        <f>IF(AND(ISNUMBER(M2754),ISNUMBER(O2754)),IF(O2754&gt;0,M2754/O2754,""),"")</f>
        <v/>
      </c>
      <c r="W2754" s="10">
        <f>IF(AND(ISNUMBER(M2754),ISNUMBER(R2754)),IF(R2754&gt;0,M2754/R2754,""),"")</f>
        <v/>
      </c>
      <c r="X2754" s="10">
        <f>IF(AND(ISNUMBER(Q2754),ISNUMBER(M2754)),IF(M2754&gt;0,Q2754/M2754,""),"")</f>
        <v/>
      </c>
      <c r="Y2754" s="11">
        <f>IF(ISNUMBER(Z2754),YEAR(Z2754),"")</f>
        <v/>
      </c>
      <c r="Z2754" s="12" t="n"/>
      <c r="AA2754" s="12" t="n"/>
      <c r="AI2754" s="12" t="n"/>
      <c r="AJ2754" s="13">
        <f>IF(LEN(TRIM(AF2754))=0,"",HYPERLINK("https://www.google.com/maps/@?api=1&amp;map_action=pano&amp;viewpoint="&amp;SUBSTITUTE(AF2754," ",""),"Abrir Street View"))</f>
        <v/>
      </c>
    </row>
    <row r="2755">
      <c r="H2755" s="6" t="n"/>
      <c r="I2755" s="6" t="n"/>
      <c r="M2755" s="7" t="n"/>
      <c r="N2755" s="7" t="n"/>
      <c r="O2755" s="7" t="n"/>
      <c r="Q2755" s="7" t="n"/>
      <c r="R2755" s="7" t="n"/>
      <c r="S2755" s="8">
        <f>IF(NOT(ISNUMBER(M2755)),"",IF(G2755="Terreno",IF(AND(ISNUMBER(I2755),I2755&gt;0),M2755/I2755,""),IF(AND(ISNUMBER(H2755),H2755&gt;0),M2755/H2755,"")))</f>
        <v/>
      </c>
      <c r="T2755" s="9">
        <f>IF(AND(ISNUMBER(M2755),ISNUMBER(O2755)),IF(M2755&lt;=O2755,"Valor ≤ venal IPTU",""),"")</f>
        <v/>
      </c>
      <c r="U2755" s="10">
        <f>IF(AND(ISNUMBER(M2755),ISNUMBER(N2755)),IF(N2755&gt;0,M2755/N2755,""),"")</f>
        <v/>
      </c>
      <c r="V2755" s="10">
        <f>IF(AND(ISNUMBER(M2755),ISNUMBER(O2755)),IF(O2755&gt;0,M2755/O2755,""),"")</f>
        <v/>
      </c>
      <c r="W2755" s="10">
        <f>IF(AND(ISNUMBER(M2755),ISNUMBER(R2755)),IF(R2755&gt;0,M2755/R2755,""),"")</f>
        <v/>
      </c>
      <c r="X2755" s="10">
        <f>IF(AND(ISNUMBER(Q2755),ISNUMBER(M2755)),IF(M2755&gt;0,Q2755/M2755,""),"")</f>
        <v/>
      </c>
      <c r="Y2755" s="11">
        <f>IF(ISNUMBER(Z2755),YEAR(Z2755),"")</f>
        <v/>
      </c>
      <c r="Z2755" s="12" t="n"/>
      <c r="AA2755" s="12" t="n"/>
      <c r="AI2755" s="12" t="n"/>
      <c r="AJ2755" s="13">
        <f>IF(LEN(TRIM(AF2755))=0,"",HYPERLINK("https://www.google.com/maps/@?api=1&amp;map_action=pano&amp;viewpoint="&amp;SUBSTITUTE(AF2755," ",""),"Abrir Street View"))</f>
        <v/>
      </c>
    </row>
    <row r="2756">
      <c r="H2756" s="6" t="n"/>
      <c r="I2756" s="6" t="n"/>
      <c r="M2756" s="7" t="n"/>
      <c r="N2756" s="7" t="n"/>
      <c r="O2756" s="7" t="n"/>
      <c r="Q2756" s="7" t="n"/>
      <c r="R2756" s="7" t="n"/>
      <c r="S2756" s="8">
        <f>IF(NOT(ISNUMBER(M2756)),"",IF(G2756="Terreno",IF(AND(ISNUMBER(I2756),I2756&gt;0),M2756/I2756,""),IF(AND(ISNUMBER(H2756),H2756&gt;0),M2756/H2756,"")))</f>
        <v/>
      </c>
      <c r="T2756" s="9">
        <f>IF(AND(ISNUMBER(M2756),ISNUMBER(O2756)),IF(M2756&lt;=O2756,"Valor ≤ venal IPTU",""),"")</f>
        <v/>
      </c>
      <c r="U2756" s="10">
        <f>IF(AND(ISNUMBER(M2756),ISNUMBER(N2756)),IF(N2756&gt;0,M2756/N2756,""),"")</f>
        <v/>
      </c>
      <c r="V2756" s="10">
        <f>IF(AND(ISNUMBER(M2756),ISNUMBER(O2756)),IF(O2756&gt;0,M2756/O2756,""),"")</f>
        <v/>
      </c>
      <c r="W2756" s="10">
        <f>IF(AND(ISNUMBER(M2756),ISNUMBER(R2756)),IF(R2756&gt;0,M2756/R2756,""),"")</f>
        <v/>
      </c>
      <c r="X2756" s="10">
        <f>IF(AND(ISNUMBER(Q2756),ISNUMBER(M2756)),IF(M2756&gt;0,Q2756/M2756,""),"")</f>
        <v/>
      </c>
      <c r="Y2756" s="11">
        <f>IF(ISNUMBER(Z2756),YEAR(Z2756),"")</f>
        <v/>
      </c>
      <c r="Z2756" s="12" t="n"/>
      <c r="AA2756" s="12" t="n"/>
      <c r="AI2756" s="12" t="n"/>
      <c r="AJ2756" s="13">
        <f>IF(LEN(TRIM(AF2756))=0,"",HYPERLINK("https://www.google.com/maps/@?api=1&amp;map_action=pano&amp;viewpoint="&amp;SUBSTITUTE(AF2756," ",""),"Abrir Street View"))</f>
        <v/>
      </c>
    </row>
    <row r="2757">
      <c r="H2757" s="6" t="n"/>
      <c r="I2757" s="6" t="n"/>
      <c r="M2757" s="7" t="n"/>
      <c r="N2757" s="7" t="n"/>
      <c r="O2757" s="7" t="n"/>
      <c r="Q2757" s="7" t="n"/>
      <c r="R2757" s="7" t="n"/>
      <c r="S2757" s="8">
        <f>IF(NOT(ISNUMBER(M2757)),"",IF(G2757="Terreno",IF(AND(ISNUMBER(I2757),I2757&gt;0),M2757/I2757,""),IF(AND(ISNUMBER(H2757),H2757&gt;0),M2757/H2757,"")))</f>
        <v/>
      </c>
      <c r="T2757" s="9">
        <f>IF(AND(ISNUMBER(M2757),ISNUMBER(O2757)),IF(M2757&lt;=O2757,"Valor ≤ venal IPTU",""),"")</f>
        <v/>
      </c>
      <c r="U2757" s="10">
        <f>IF(AND(ISNUMBER(M2757),ISNUMBER(N2757)),IF(N2757&gt;0,M2757/N2757,""),"")</f>
        <v/>
      </c>
      <c r="V2757" s="10">
        <f>IF(AND(ISNUMBER(M2757),ISNUMBER(O2757)),IF(O2757&gt;0,M2757/O2757,""),"")</f>
        <v/>
      </c>
      <c r="W2757" s="10">
        <f>IF(AND(ISNUMBER(M2757),ISNUMBER(R2757)),IF(R2757&gt;0,M2757/R2757,""),"")</f>
        <v/>
      </c>
      <c r="X2757" s="10">
        <f>IF(AND(ISNUMBER(Q2757),ISNUMBER(M2757)),IF(M2757&gt;0,Q2757/M2757,""),"")</f>
        <v/>
      </c>
      <c r="Y2757" s="11">
        <f>IF(ISNUMBER(Z2757),YEAR(Z2757),"")</f>
        <v/>
      </c>
      <c r="Z2757" s="12" t="n"/>
      <c r="AA2757" s="12" t="n"/>
      <c r="AI2757" s="12" t="n"/>
      <c r="AJ2757" s="13">
        <f>IF(LEN(TRIM(AF2757))=0,"",HYPERLINK("https://www.google.com/maps/@?api=1&amp;map_action=pano&amp;viewpoint="&amp;SUBSTITUTE(AF2757," ",""),"Abrir Street View"))</f>
        <v/>
      </c>
    </row>
    <row r="2758">
      <c r="H2758" s="6" t="n"/>
      <c r="I2758" s="6" t="n"/>
      <c r="M2758" s="7" t="n"/>
      <c r="N2758" s="7" t="n"/>
      <c r="O2758" s="7" t="n"/>
      <c r="Q2758" s="7" t="n"/>
      <c r="R2758" s="7" t="n"/>
      <c r="S2758" s="8">
        <f>IF(NOT(ISNUMBER(M2758)),"",IF(G2758="Terreno",IF(AND(ISNUMBER(I2758),I2758&gt;0),M2758/I2758,""),IF(AND(ISNUMBER(H2758),H2758&gt;0),M2758/H2758,"")))</f>
        <v/>
      </c>
      <c r="T2758" s="9">
        <f>IF(AND(ISNUMBER(M2758),ISNUMBER(O2758)),IF(M2758&lt;=O2758,"Valor ≤ venal IPTU",""),"")</f>
        <v/>
      </c>
      <c r="U2758" s="10">
        <f>IF(AND(ISNUMBER(M2758),ISNUMBER(N2758)),IF(N2758&gt;0,M2758/N2758,""),"")</f>
        <v/>
      </c>
      <c r="V2758" s="10">
        <f>IF(AND(ISNUMBER(M2758),ISNUMBER(O2758)),IF(O2758&gt;0,M2758/O2758,""),"")</f>
        <v/>
      </c>
      <c r="W2758" s="10">
        <f>IF(AND(ISNUMBER(M2758),ISNUMBER(R2758)),IF(R2758&gt;0,M2758/R2758,""),"")</f>
        <v/>
      </c>
      <c r="X2758" s="10">
        <f>IF(AND(ISNUMBER(Q2758),ISNUMBER(M2758)),IF(M2758&gt;0,Q2758/M2758,""),"")</f>
        <v/>
      </c>
      <c r="Y2758" s="11">
        <f>IF(ISNUMBER(Z2758),YEAR(Z2758),"")</f>
        <v/>
      </c>
      <c r="Z2758" s="12" t="n"/>
      <c r="AA2758" s="12" t="n"/>
      <c r="AI2758" s="12" t="n"/>
      <c r="AJ2758" s="13">
        <f>IF(LEN(TRIM(AF2758))=0,"",HYPERLINK("https://www.google.com/maps/@?api=1&amp;map_action=pano&amp;viewpoint="&amp;SUBSTITUTE(AF2758," ",""),"Abrir Street View"))</f>
        <v/>
      </c>
    </row>
    <row r="2759">
      <c r="H2759" s="6" t="n"/>
      <c r="I2759" s="6" t="n"/>
      <c r="M2759" s="7" t="n"/>
      <c r="N2759" s="7" t="n"/>
      <c r="O2759" s="7" t="n"/>
      <c r="Q2759" s="7" t="n"/>
      <c r="R2759" s="7" t="n"/>
      <c r="S2759" s="8">
        <f>IF(NOT(ISNUMBER(M2759)),"",IF(G2759="Terreno",IF(AND(ISNUMBER(I2759),I2759&gt;0),M2759/I2759,""),IF(AND(ISNUMBER(H2759),H2759&gt;0),M2759/H2759,"")))</f>
        <v/>
      </c>
      <c r="T2759" s="9">
        <f>IF(AND(ISNUMBER(M2759),ISNUMBER(O2759)),IF(M2759&lt;=O2759,"Valor ≤ venal IPTU",""),"")</f>
        <v/>
      </c>
      <c r="U2759" s="10">
        <f>IF(AND(ISNUMBER(M2759),ISNUMBER(N2759)),IF(N2759&gt;0,M2759/N2759,""),"")</f>
        <v/>
      </c>
      <c r="V2759" s="10">
        <f>IF(AND(ISNUMBER(M2759),ISNUMBER(O2759)),IF(O2759&gt;0,M2759/O2759,""),"")</f>
        <v/>
      </c>
      <c r="W2759" s="10">
        <f>IF(AND(ISNUMBER(M2759),ISNUMBER(R2759)),IF(R2759&gt;0,M2759/R2759,""),"")</f>
        <v/>
      </c>
      <c r="X2759" s="10">
        <f>IF(AND(ISNUMBER(Q2759),ISNUMBER(M2759)),IF(M2759&gt;0,Q2759/M2759,""),"")</f>
        <v/>
      </c>
      <c r="Y2759" s="11">
        <f>IF(ISNUMBER(Z2759),YEAR(Z2759),"")</f>
        <v/>
      </c>
      <c r="Z2759" s="12" t="n"/>
      <c r="AA2759" s="12" t="n"/>
      <c r="AI2759" s="12" t="n"/>
      <c r="AJ2759" s="13">
        <f>IF(LEN(TRIM(AF2759))=0,"",HYPERLINK("https://www.google.com/maps/@?api=1&amp;map_action=pano&amp;viewpoint="&amp;SUBSTITUTE(AF2759," ",""),"Abrir Street View"))</f>
        <v/>
      </c>
    </row>
    <row r="2760">
      <c r="H2760" s="6" t="n"/>
      <c r="I2760" s="6" t="n"/>
      <c r="M2760" s="7" t="n"/>
      <c r="N2760" s="7" t="n"/>
      <c r="O2760" s="7" t="n"/>
      <c r="Q2760" s="7" t="n"/>
      <c r="R2760" s="7" t="n"/>
      <c r="S2760" s="8">
        <f>IF(NOT(ISNUMBER(M2760)),"",IF(G2760="Terreno",IF(AND(ISNUMBER(I2760),I2760&gt;0),M2760/I2760,""),IF(AND(ISNUMBER(H2760),H2760&gt;0),M2760/H2760,"")))</f>
        <v/>
      </c>
      <c r="T2760" s="9">
        <f>IF(AND(ISNUMBER(M2760),ISNUMBER(O2760)),IF(M2760&lt;=O2760,"Valor ≤ venal IPTU",""),"")</f>
        <v/>
      </c>
      <c r="U2760" s="10">
        <f>IF(AND(ISNUMBER(M2760),ISNUMBER(N2760)),IF(N2760&gt;0,M2760/N2760,""),"")</f>
        <v/>
      </c>
      <c r="V2760" s="10">
        <f>IF(AND(ISNUMBER(M2760),ISNUMBER(O2760)),IF(O2760&gt;0,M2760/O2760,""),"")</f>
        <v/>
      </c>
      <c r="W2760" s="10">
        <f>IF(AND(ISNUMBER(M2760),ISNUMBER(R2760)),IF(R2760&gt;0,M2760/R2760,""),"")</f>
        <v/>
      </c>
      <c r="X2760" s="10">
        <f>IF(AND(ISNUMBER(Q2760),ISNUMBER(M2760)),IF(M2760&gt;0,Q2760/M2760,""),"")</f>
        <v/>
      </c>
      <c r="Y2760" s="11">
        <f>IF(ISNUMBER(Z2760),YEAR(Z2760),"")</f>
        <v/>
      </c>
      <c r="Z2760" s="12" t="n"/>
      <c r="AA2760" s="12" t="n"/>
      <c r="AI2760" s="12" t="n"/>
      <c r="AJ2760" s="13">
        <f>IF(LEN(TRIM(AF2760))=0,"",HYPERLINK("https://www.google.com/maps/@?api=1&amp;map_action=pano&amp;viewpoint="&amp;SUBSTITUTE(AF2760," ",""),"Abrir Street View"))</f>
        <v/>
      </c>
    </row>
    <row r="2761">
      <c r="H2761" s="6" t="n"/>
      <c r="I2761" s="6" t="n"/>
      <c r="M2761" s="7" t="n"/>
      <c r="N2761" s="7" t="n"/>
      <c r="O2761" s="7" t="n"/>
      <c r="Q2761" s="7" t="n"/>
      <c r="R2761" s="7" t="n"/>
      <c r="S2761" s="8">
        <f>IF(NOT(ISNUMBER(M2761)),"",IF(G2761="Terreno",IF(AND(ISNUMBER(I2761),I2761&gt;0),M2761/I2761,""),IF(AND(ISNUMBER(H2761),H2761&gt;0),M2761/H2761,"")))</f>
        <v/>
      </c>
      <c r="T2761" s="9">
        <f>IF(AND(ISNUMBER(M2761),ISNUMBER(O2761)),IF(M2761&lt;=O2761,"Valor ≤ venal IPTU",""),"")</f>
        <v/>
      </c>
      <c r="U2761" s="10">
        <f>IF(AND(ISNUMBER(M2761),ISNUMBER(N2761)),IF(N2761&gt;0,M2761/N2761,""),"")</f>
        <v/>
      </c>
      <c r="V2761" s="10">
        <f>IF(AND(ISNUMBER(M2761),ISNUMBER(O2761)),IF(O2761&gt;0,M2761/O2761,""),"")</f>
        <v/>
      </c>
      <c r="W2761" s="10">
        <f>IF(AND(ISNUMBER(M2761),ISNUMBER(R2761)),IF(R2761&gt;0,M2761/R2761,""),"")</f>
        <v/>
      </c>
      <c r="X2761" s="10">
        <f>IF(AND(ISNUMBER(Q2761),ISNUMBER(M2761)),IF(M2761&gt;0,Q2761/M2761,""),"")</f>
        <v/>
      </c>
      <c r="Y2761" s="11">
        <f>IF(ISNUMBER(Z2761),YEAR(Z2761),"")</f>
        <v/>
      </c>
      <c r="Z2761" s="12" t="n"/>
      <c r="AA2761" s="12" t="n"/>
      <c r="AI2761" s="12" t="n"/>
      <c r="AJ2761" s="13">
        <f>IF(LEN(TRIM(AF2761))=0,"",HYPERLINK("https://www.google.com/maps/@?api=1&amp;map_action=pano&amp;viewpoint="&amp;SUBSTITUTE(AF2761," ",""),"Abrir Street View"))</f>
        <v/>
      </c>
    </row>
    <row r="2762">
      <c r="H2762" s="6" t="n"/>
      <c r="I2762" s="6" t="n"/>
      <c r="M2762" s="7" t="n"/>
      <c r="N2762" s="7" t="n"/>
      <c r="O2762" s="7" t="n"/>
      <c r="Q2762" s="7" t="n"/>
      <c r="R2762" s="7" t="n"/>
      <c r="S2762" s="8">
        <f>IF(NOT(ISNUMBER(M2762)),"",IF(G2762="Terreno",IF(AND(ISNUMBER(I2762),I2762&gt;0),M2762/I2762,""),IF(AND(ISNUMBER(H2762),H2762&gt;0),M2762/H2762,"")))</f>
        <v/>
      </c>
      <c r="T2762" s="9">
        <f>IF(AND(ISNUMBER(M2762),ISNUMBER(O2762)),IF(M2762&lt;=O2762,"Valor ≤ venal IPTU",""),"")</f>
        <v/>
      </c>
      <c r="U2762" s="10">
        <f>IF(AND(ISNUMBER(M2762),ISNUMBER(N2762)),IF(N2762&gt;0,M2762/N2762,""),"")</f>
        <v/>
      </c>
      <c r="V2762" s="10">
        <f>IF(AND(ISNUMBER(M2762),ISNUMBER(O2762)),IF(O2762&gt;0,M2762/O2762,""),"")</f>
        <v/>
      </c>
      <c r="W2762" s="10">
        <f>IF(AND(ISNUMBER(M2762),ISNUMBER(R2762)),IF(R2762&gt;0,M2762/R2762,""),"")</f>
        <v/>
      </c>
      <c r="X2762" s="10">
        <f>IF(AND(ISNUMBER(Q2762),ISNUMBER(M2762)),IF(M2762&gt;0,Q2762/M2762,""),"")</f>
        <v/>
      </c>
      <c r="Y2762" s="11">
        <f>IF(ISNUMBER(Z2762),YEAR(Z2762),"")</f>
        <v/>
      </c>
      <c r="Z2762" s="12" t="n"/>
      <c r="AA2762" s="12" t="n"/>
      <c r="AI2762" s="12" t="n"/>
      <c r="AJ2762" s="13">
        <f>IF(LEN(TRIM(AF2762))=0,"",HYPERLINK("https://www.google.com/maps/@?api=1&amp;map_action=pano&amp;viewpoint="&amp;SUBSTITUTE(AF2762," ",""),"Abrir Street View"))</f>
        <v/>
      </c>
    </row>
    <row r="2763">
      <c r="H2763" s="6" t="n"/>
      <c r="I2763" s="6" t="n"/>
      <c r="M2763" s="7" t="n"/>
      <c r="N2763" s="7" t="n"/>
      <c r="O2763" s="7" t="n"/>
      <c r="Q2763" s="7" t="n"/>
      <c r="R2763" s="7" t="n"/>
      <c r="S2763" s="8">
        <f>IF(NOT(ISNUMBER(M2763)),"",IF(G2763="Terreno",IF(AND(ISNUMBER(I2763),I2763&gt;0),M2763/I2763,""),IF(AND(ISNUMBER(H2763),H2763&gt;0),M2763/H2763,"")))</f>
        <v/>
      </c>
      <c r="T2763" s="9">
        <f>IF(AND(ISNUMBER(M2763),ISNUMBER(O2763)),IF(M2763&lt;=O2763,"Valor ≤ venal IPTU",""),"")</f>
        <v/>
      </c>
      <c r="U2763" s="10">
        <f>IF(AND(ISNUMBER(M2763),ISNUMBER(N2763)),IF(N2763&gt;0,M2763/N2763,""),"")</f>
        <v/>
      </c>
      <c r="V2763" s="10">
        <f>IF(AND(ISNUMBER(M2763),ISNUMBER(O2763)),IF(O2763&gt;0,M2763/O2763,""),"")</f>
        <v/>
      </c>
      <c r="W2763" s="10">
        <f>IF(AND(ISNUMBER(M2763),ISNUMBER(R2763)),IF(R2763&gt;0,M2763/R2763,""),"")</f>
        <v/>
      </c>
      <c r="X2763" s="10">
        <f>IF(AND(ISNUMBER(Q2763),ISNUMBER(M2763)),IF(M2763&gt;0,Q2763/M2763,""),"")</f>
        <v/>
      </c>
      <c r="Y2763" s="11">
        <f>IF(ISNUMBER(Z2763),YEAR(Z2763),"")</f>
        <v/>
      </c>
      <c r="Z2763" s="12" t="n"/>
      <c r="AA2763" s="12" t="n"/>
      <c r="AI2763" s="12" t="n"/>
      <c r="AJ2763" s="13">
        <f>IF(LEN(TRIM(AF2763))=0,"",HYPERLINK("https://www.google.com/maps/@?api=1&amp;map_action=pano&amp;viewpoint="&amp;SUBSTITUTE(AF2763," ",""),"Abrir Street View"))</f>
        <v/>
      </c>
    </row>
    <row r="2764">
      <c r="H2764" s="6" t="n"/>
      <c r="I2764" s="6" t="n"/>
      <c r="M2764" s="7" t="n"/>
      <c r="N2764" s="7" t="n"/>
      <c r="O2764" s="7" t="n"/>
      <c r="Q2764" s="7" t="n"/>
      <c r="R2764" s="7" t="n"/>
      <c r="S2764" s="8">
        <f>IF(NOT(ISNUMBER(M2764)),"",IF(G2764="Terreno",IF(AND(ISNUMBER(I2764),I2764&gt;0),M2764/I2764,""),IF(AND(ISNUMBER(H2764),H2764&gt;0),M2764/H2764,"")))</f>
        <v/>
      </c>
      <c r="T2764" s="9">
        <f>IF(AND(ISNUMBER(M2764),ISNUMBER(O2764)),IF(M2764&lt;=O2764,"Valor ≤ venal IPTU",""),"")</f>
        <v/>
      </c>
      <c r="U2764" s="10">
        <f>IF(AND(ISNUMBER(M2764),ISNUMBER(N2764)),IF(N2764&gt;0,M2764/N2764,""),"")</f>
        <v/>
      </c>
      <c r="V2764" s="10">
        <f>IF(AND(ISNUMBER(M2764),ISNUMBER(O2764)),IF(O2764&gt;0,M2764/O2764,""),"")</f>
        <v/>
      </c>
      <c r="W2764" s="10">
        <f>IF(AND(ISNUMBER(M2764),ISNUMBER(R2764)),IF(R2764&gt;0,M2764/R2764,""),"")</f>
        <v/>
      </c>
      <c r="X2764" s="10">
        <f>IF(AND(ISNUMBER(Q2764),ISNUMBER(M2764)),IF(M2764&gt;0,Q2764/M2764,""),"")</f>
        <v/>
      </c>
      <c r="Y2764" s="11">
        <f>IF(ISNUMBER(Z2764),YEAR(Z2764),"")</f>
        <v/>
      </c>
      <c r="Z2764" s="12" t="n"/>
      <c r="AA2764" s="12" t="n"/>
      <c r="AI2764" s="12" t="n"/>
      <c r="AJ2764" s="13">
        <f>IF(LEN(TRIM(AF2764))=0,"",HYPERLINK("https://www.google.com/maps/@?api=1&amp;map_action=pano&amp;viewpoint="&amp;SUBSTITUTE(AF2764," ",""),"Abrir Street View"))</f>
        <v/>
      </c>
    </row>
    <row r="2765">
      <c r="H2765" s="6" t="n"/>
      <c r="I2765" s="6" t="n"/>
      <c r="M2765" s="7" t="n"/>
      <c r="N2765" s="7" t="n"/>
      <c r="O2765" s="7" t="n"/>
      <c r="Q2765" s="7" t="n"/>
      <c r="R2765" s="7" t="n"/>
      <c r="S2765" s="8">
        <f>IF(NOT(ISNUMBER(M2765)),"",IF(G2765="Terreno",IF(AND(ISNUMBER(I2765),I2765&gt;0),M2765/I2765,""),IF(AND(ISNUMBER(H2765),H2765&gt;0),M2765/H2765,"")))</f>
        <v/>
      </c>
      <c r="T2765" s="9">
        <f>IF(AND(ISNUMBER(M2765),ISNUMBER(O2765)),IF(M2765&lt;=O2765,"Valor ≤ venal IPTU",""),"")</f>
        <v/>
      </c>
      <c r="U2765" s="10">
        <f>IF(AND(ISNUMBER(M2765),ISNUMBER(N2765)),IF(N2765&gt;0,M2765/N2765,""),"")</f>
        <v/>
      </c>
      <c r="V2765" s="10">
        <f>IF(AND(ISNUMBER(M2765),ISNUMBER(O2765)),IF(O2765&gt;0,M2765/O2765,""),"")</f>
        <v/>
      </c>
      <c r="W2765" s="10">
        <f>IF(AND(ISNUMBER(M2765),ISNUMBER(R2765)),IF(R2765&gt;0,M2765/R2765,""),"")</f>
        <v/>
      </c>
      <c r="X2765" s="10">
        <f>IF(AND(ISNUMBER(Q2765),ISNUMBER(M2765)),IF(M2765&gt;0,Q2765/M2765,""),"")</f>
        <v/>
      </c>
      <c r="Y2765" s="11">
        <f>IF(ISNUMBER(Z2765),YEAR(Z2765),"")</f>
        <v/>
      </c>
      <c r="Z2765" s="12" t="n"/>
      <c r="AA2765" s="12" t="n"/>
      <c r="AI2765" s="12" t="n"/>
      <c r="AJ2765" s="13">
        <f>IF(LEN(TRIM(AF2765))=0,"",HYPERLINK("https://www.google.com/maps/@?api=1&amp;map_action=pano&amp;viewpoint="&amp;SUBSTITUTE(AF2765," ",""),"Abrir Street View"))</f>
        <v/>
      </c>
    </row>
    <row r="2766">
      <c r="H2766" s="6" t="n"/>
      <c r="I2766" s="6" t="n"/>
      <c r="M2766" s="7" t="n"/>
      <c r="N2766" s="7" t="n"/>
      <c r="O2766" s="7" t="n"/>
      <c r="Q2766" s="7" t="n"/>
      <c r="R2766" s="7" t="n"/>
      <c r="S2766" s="8">
        <f>IF(NOT(ISNUMBER(M2766)),"",IF(G2766="Terreno",IF(AND(ISNUMBER(I2766),I2766&gt;0),M2766/I2766,""),IF(AND(ISNUMBER(H2766),H2766&gt;0),M2766/H2766,"")))</f>
        <v/>
      </c>
      <c r="T2766" s="9">
        <f>IF(AND(ISNUMBER(M2766),ISNUMBER(O2766)),IF(M2766&lt;=O2766,"Valor ≤ venal IPTU",""),"")</f>
        <v/>
      </c>
      <c r="U2766" s="10">
        <f>IF(AND(ISNUMBER(M2766),ISNUMBER(N2766)),IF(N2766&gt;0,M2766/N2766,""),"")</f>
        <v/>
      </c>
      <c r="V2766" s="10">
        <f>IF(AND(ISNUMBER(M2766),ISNUMBER(O2766)),IF(O2766&gt;0,M2766/O2766,""),"")</f>
        <v/>
      </c>
      <c r="W2766" s="10">
        <f>IF(AND(ISNUMBER(M2766),ISNUMBER(R2766)),IF(R2766&gt;0,M2766/R2766,""),"")</f>
        <v/>
      </c>
      <c r="X2766" s="10">
        <f>IF(AND(ISNUMBER(Q2766),ISNUMBER(M2766)),IF(M2766&gt;0,Q2766/M2766,""),"")</f>
        <v/>
      </c>
      <c r="Y2766" s="11">
        <f>IF(ISNUMBER(Z2766),YEAR(Z2766),"")</f>
        <v/>
      </c>
      <c r="Z2766" s="12" t="n"/>
      <c r="AA2766" s="12" t="n"/>
      <c r="AI2766" s="12" t="n"/>
      <c r="AJ2766" s="13">
        <f>IF(LEN(TRIM(AF2766))=0,"",HYPERLINK("https://www.google.com/maps/@?api=1&amp;map_action=pano&amp;viewpoint="&amp;SUBSTITUTE(AF2766," ",""),"Abrir Street View"))</f>
        <v/>
      </c>
    </row>
    <row r="2767">
      <c r="H2767" s="6" t="n"/>
      <c r="I2767" s="6" t="n"/>
      <c r="M2767" s="7" t="n"/>
      <c r="N2767" s="7" t="n"/>
      <c r="O2767" s="7" t="n"/>
      <c r="Q2767" s="7" t="n"/>
      <c r="R2767" s="7" t="n"/>
      <c r="S2767" s="8">
        <f>IF(NOT(ISNUMBER(M2767)),"",IF(G2767="Terreno",IF(AND(ISNUMBER(I2767),I2767&gt;0),M2767/I2767,""),IF(AND(ISNUMBER(H2767),H2767&gt;0),M2767/H2767,"")))</f>
        <v/>
      </c>
      <c r="T2767" s="9">
        <f>IF(AND(ISNUMBER(M2767),ISNUMBER(O2767)),IF(M2767&lt;=O2767,"Valor ≤ venal IPTU",""),"")</f>
        <v/>
      </c>
      <c r="U2767" s="10">
        <f>IF(AND(ISNUMBER(M2767),ISNUMBER(N2767)),IF(N2767&gt;0,M2767/N2767,""),"")</f>
        <v/>
      </c>
      <c r="V2767" s="10">
        <f>IF(AND(ISNUMBER(M2767),ISNUMBER(O2767)),IF(O2767&gt;0,M2767/O2767,""),"")</f>
        <v/>
      </c>
      <c r="W2767" s="10">
        <f>IF(AND(ISNUMBER(M2767),ISNUMBER(R2767)),IF(R2767&gt;0,M2767/R2767,""),"")</f>
        <v/>
      </c>
      <c r="X2767" s="10">
        <f>IF(AND(ISNUMBER(Q2767),ISNUMBER(M2767)),IF(M2767&gt;0,Q2767/M2767,""),"")</f>
        <v/>
      </c>
      <c r="Y2767" s="11">
        <f>IF(ISNUMBER(Z2767),YEAR(Z2767),"")</f>
        <v/>
      </c>
      <c r="Z2767" s="12" t="n"/>
      <c r="AA2767" s="12" t="n"/>
      <c r="AI2767" s="12" t="n"/>
      <c r="AJ2767" s="13">
        <f>IF(LEN(TRIM(AF2767))=0,"",HYPERLINK("https://www.google.com/maps/@?api=1&amp;map_action=pano&amp;viewpoint="&amp;SUBSTITUTE(AF2767," ",""),"Abrir Street View"))</f>
        <v/>
      </c>
    </row>
    <row r="2768">
      <c r="H2768" s="6" t="n"/>
      <c r="I2768" s="6" t="n"/>
      <c r="M2768" s="7" t="n"/>
      <c r="N2768" s="7" t="n"/>
      <c r="O2768" s="7" t="n"/>
      <c r="Q2768" s="7" t="n"/>
      <c r="R2768" s="7" t="n"/>
      <c r="S2768" s="8">
        <f>IF(NOT(ISNUMBER(M2768)),"",IF(G2768="Terreno",IF(AND(ISNUMBER(I2768),I2768&gt;0),M2768/I2768,""),IF(AND(ISNUMBER(H2768),H2768&gt;0),M2768/H2768,"")))</f>
        <v/>
      </c>
      <c r="T2768" s="9">
        <f>IF(AND(ISNUMBER(M2768),ISNUMBER(O2768)),IF(M2768&lt;=O2768,"Valor ≤ venal IPTU",""),"")</f>
        <v/>
      </c>
      <c r="U2768" s="10">
        <f>IF(AND(ISNUMBER(M2768),ISNUMBER(N2768)),IF(N2768&gt;0,M2768/N2768,""),"")</f>
        <v/>
      </c>
      <c r="V2768" s="10">
        <f>IF(AND(ISNUMBER(M2768),ISNUMBER(O2768)),IF(O2768&gt;0,M2768/O2768,""),"")</f>
        <v/>
      </c>
      <c r="W2768" s="10">
        <f>IF(AND(ISNUMBER(M2768),ISNUMBER(R2768)),IF(R2768&gt;0,M2768/R2768,""),"")</f>
        <v/>
      </c>
      <c r="X2768" s="10">
        <f>IF(AND(ISNUMBER(Q2768),ISNUMBER(M2768)),IF(M2768&gt;0,Q2768/M2768,""),"")</f>
        <v/>
      </c>
      <c r="Y2768" s="11">
        <f>IF(ISNUMBER(Z2768),YEAR(Z2768),"")</f>
        <v/>
      </c>
      <c r="Z2768" s="12" t="n"/>
      <c r="AA2768" s="12" t="n"/>
      <c r="AI2768" s="12" t="n"/>
      <c r="AJ2768" s="13">
        <f>IF(LEN(TRIM(AF2768))=0,"",HYPERLINK("https://www.google.com/maps/@?api=1&amp;map_action=pano&amp;viewpoint="&amp;SUBSTITUTE(AF2768," ",""),"Abrir Street View"))</f>
        <v/>
      </c>
    </row>
    <row r="2769">
      <c r="H2769" s="6" t="n"/>
      <c r="I2769" s="6" t="n"/>
      <c r="M2769" s="7" t="n"/>
      <c r="N2769" s="7" t="n"/>
      <c r="O2769" s="7" t="n"/>
      <c r="Q2769" s="7" t="n"/>
      <c r="R2769" s="7" t="n"/>
      <c r="S2769" s="8">
        <f>IF(NOT(ISNUMBER(M2769)),"",IF(G2769="Terreno",IF(AND(ISNUMBER(I2769),I2769&gt;0),M2769/I2769,""),IF(AND(ISNUMBER(H2769),H2769&gt;0),M2769/H2769,"")))</f>
        <v/>
      </c>
      <c r="T2769" s="9">
        <f>IF(AND(ISNUMBER(M2769),ISNUMBER(O2769)),IF(M2769&lt;=O2769,"Valor ≤ venal IPTU",""),"")</f>
        <v/>
      </c>
      <c r="U2769" s="10">
        <f>IF(AND(ISNUMBER(M2769),ISNUMBER(N2769)),IF(N2769&gt;0,M2769/N2769,""),"")</f>
        <v/>
      </c>
      <c r="V2769" s="10">
        <f>IF(AND(ISNUMBER(M2769),ISNUMBER(O2769)),IF(O2769&gt;0,M2769/O2769,""),"")</f>
        <v/>
      </c>
      <c r="W2769" s="10">
        <f>IF(AND(ISNUMBER(M2769),ISNUMBER(R2769)),IF(R2769&gt;0,M2769/R2769,""),"")</f>
        <v/>
      </c>
      <c r="X2769" s="10">
        <f>IF(AND(ISNUMBER(Q2769),ISNUMBER(M2769)),IF(M2769&gt;0,Q2769/M2769,""),"")</f>
        <v/>
      </c>
      <c r="Y2769" s="11">
        <f>IF(ISNUMBER(Z2769),YEAR(Z2769),"")</f>
        <v/>
      </c>
      <c r="Z2769" s="12" t="n"/>
      <c r="AA2769" s="12" t="n"/>
      <c r="AI2769" s="12" t="n"/>
      <c r="AJ2769" s="13">
        <f>IF(LEN(TRIM(AF2769))=0,"",HYPERLINK("https://www.google.com/maps/@?api=1&amp;map_action=pano&amp;viewpoint="&amp;SUBSTITUTE(AF2769," ",""),"Abrir Street View"))</f>
        <v/>
      </c>
    </row>
    <row r="2770">
      <c r="H2770" s="6" t="n"/>
      <c r="I2770" s="6" t="n"/>
      <c r="M2770" s="7" t="n"/>
      <c r="N2770" s="7" t="n"/>
      <c r="O2770" s="7" t="n"/>
      <c r="Q2770" s="7" t="n"/>
      <c r="R2770" s="7" t="n"/>
      <c r="S2770" s="8">
        <f>IF(NOT(ISNUMBER(M2770)),"",IF(G2770="Terreno",IF(AND(ISNUMBER(I2770),I2770&gt;0),M2770/I2770,""),IF(AND(ISNUMBER(H2770),H2770&gt;0),M2770/H2770,"")))</f>
        <v/>
      </c>
      <c r="T2770" s="9">
        <f>IF(AND(ISNUMBER(M2770),ISNUMBER(O2770)),IF(M2770&lt;=O2770,"Valor ≤ venal IPTU",""),"")</f>
        <v/>
      </c>
      <c r="U2770" s="10">
        <f>IF(AND(ISNUMBER(M2770),ISNUMBER(N2770)),IF(N2770&gt;0,M2770/N2770,""),"")</f>
        <v/>
      </c>
      <c r="V2770" s="10">
        <f>IF(AND(ISNUMBER(M2770),ISNUMBER(O2770)),IF(O2770&gt;0,M2770/O2770,""),"")</f>
        <v/>
      </c>
      <c r="W2770" s="10">
        <f>IF(AND(ISNUMBER(M2770),ISNUMBER(R2770)),IF(R2770&gt;0,M2770/R2770,""),"")</f>
        <v/>
      </c>
      <c r="X2770" s="10">
        <f>IF(AND(ISNUMBER(Q2770),ISNUMBER(M2770)),IF(M2770&gt;0,Q2770/M2770,""),"")</f>
        <v/>
      </c>
      <c r="Y2770" s="11">
        <f>IF(ISNUMBER(Z2770),YEAR(Z2770),"")</f>
        <v/>
      </c>
      <c r="Z2770" s="12" t="n"/>
      <c r="AA2770" s="12" t="n"/>
      <c r="AI2770" s="12" t="n"/>
      <c r="AJ2770" s="13">
        <f>IF(LEN(TRIM(AF2770))=0,"",HYPERLINK("https://www.google.com/maps/@?api=1&amp;map_action=pano&amp;viewpoint="&amp;SUBSTITUTE(AF2770," ",""),"Abrir Street View"))</f>
        <v/>
      </c>
    </row>
    <row r="2771">
      <c r="H2771" s="6" t="n"/>
      <c r="I2771" s="6" t="n"/>
      <c r="M2771" s="7" t="n"/>
      <c r="N2771" s="7" t="n"/>
      <c r="O2771" s="7" t="n"/>
      <c r="Q2771" s="7" t="n"/>
      <c r="R2771" s="7" t="n"/>
      <c r="S2771" s="8">
        <f>IF(NOT(ISNUMBER(M2771)),"",IF(G2771="Terreno",IF(AND(ISNUMBER(I2771),I2771&gt;0),M2771/I2771,""),IF(AND(ISNUMBER(H2771),H2771&gt;0),M2771/H2771,"")))</f>
        <v/>
      </c>
      <c r="T2771" s="9">
        <f>IF(AND(ISNUMBER(M2771),ISNUMBER(O2771)),IF(M2771&lt;=O2771,"Valor ≤ venal IPTU",""),"")</f>
        <v/>
      </c>
      <c r="U2771" s="10">
        <f>IF(AND(ISNUMBER(M2771),ISNUMBER(N2771)),IF(N2771&gt;0,M2771/N2771,""),"")</f>
        <v/>
      </c>
      <c r="V2771" s="10">
        <f>IF(AND(ISNUMBER(M2771),ISNUMBER(O2771)),IF(O2771&gt;0,M2771/O2771,""),"")</f>
        <v/>
      </c>
      <c r="W2771" s="10">
        <f>IF(AND(ISNUMBER(M2771),ISNUMBER(R2771)),IF(R2771&gt;0,M2771/R2771,""),"")</f>
        <v/>
      </c>
      <c r="X2771" s="10">
        <f>IF(AND(ISNUMBER(Q2771),ISNUMBER(M2771)),IF(M2771&gt;0,Q2771/M2771,""),"")</f>
        <v/>
      </c>
      <c r="Y2771" s="11">
        <f>IF(ISNUMBER(Z2771),YEAR(Z2771),"")</f>
        <v/>
      </c>
      <c r="Z2771" s="12" t="n"/>
      <c r="AA2771" s="12" t="n"/>
      <c r="AI2771" s="12" t="n"/>
      <c r="AJ2771" s="13">
        <f>IF(LEN(TRIM(AF2771))=0,"",HYPERLINK("https://www.google.com/maps/@?api=1&amp;map_action=pano&amp;viewpoint="&amp;SUBSTITUTE(AF2771," ",""),"Abrir Street View"))</f>
        <v/>
      </c>
    </row>
    <row r="2772">
      <c r="H2772" s="6" t="n"/>
      <c r="I2772" s="6" t="n"/>
      <c r="M2772" s="7" t="n"/>
      <c r="N2772" s="7" t="n"/>
      <c r="O2772" s="7" t="n"/>
      <c r="Q2772" s="7" t="n"/>
      <c r="R2772" s="7" t="n"/>
      <c r="S2772" s="8">
        <f>IF(NOT(ISNUMBER(M2772)),"",IF(G2772="Terreno",IF(AND(ISNUMBER(I2772),I2772&gt;0),M2772/I2772,""),IF(AND(ISNUMBER(H2772),H2772&gt;0),M2772/H2772,"")))</f>
        <v/>
      </c>
      <c r="T2772" s="9">
        <f>IF(AND(ISNUMBER(M2772),ISNUMBER(O2772)),IF(M2772&lt;=O2772,"Valor ≤ venal IPTU",""),"")</f>
        <v/>
      </c>
      <c r="U2772" s="10">
        <f>IF(AND(ISNUMBER(M2772),ISNUMBER(N2772)),IF(N2772&gt;0,M2772/N2772,""),"")</f>
        <v/>
      </c>
      <c r="V2772" s="10">
        <f>IF(AND(ISNUMBER(M2772),ISNUMBER(O2772)),IF(O2772&gt;0,M2772/O2772,""),"")</f>
        <v/>
      </c>
      <c r="W2772" s="10">
        <f>IF(AND(ISNUMBER(M2772),ISNUMBER(R2772)),IF(R2772&gt;0,M2772/R2772,""),"")</f>
        <v/>
      </c>
      <c r="X2772" s="10">
        <f>IF(AND(ISNUMBER(Q2772),ISNUMBER(M2772)),IF(M2772&gt;0,Q2772/M2772,""),"")</f>
        <v/>
      </c>
      <c r="Y2772" s="11">
        <f>IF(ISNUMBER(Z2772),YEAR(Z2772),"")</f>
        <v/>
      </c>
      <c r="Z2772" s="12" t="n"/>
      <c r="AA2772" s="12" t="n"/>
      <c r="AI2772" s="12" t="n"/>
      <c r="AJ2772" s="13">
        <f>IF(LEN(TRIM(AF2772))=0,"",HYPERLINK("https://www.google.com/maps/@?api=1&amp;map_action=pano&amp;viewpoint="&amp;SUBSTITUTE(AF2772," ",""),"Abrir Street View"))</f>
        <v/>
      </c>
    </row>
    <row r="2773">
      <c r="H2773" s="6" t="n"/>
      <c r="I2773" s="6" t="n"/>
      <c r="M2773" s="7" t="n"/>
      <c r="N2773" s="7" t="n"/>
      <c r="O2773" s="7" t="n"/>
      <c r="Q2773" s="7" t="n"/>
      <c r="R2773" s="7" t="n"/>
      <c r="S2773" s="8">
        <f>IF(NOT(ISNUMBER(M2773)),"",IF(G2773="Terreno",IF(AND(ISNUMBER(I2773),I2773&gt;0),M2773/I2773,""),IF(AND(ISNUMBER(H2773),H2773&gt;0),M2773/H2773,"")))</f>
        <v/>
      </c>
      <c r="T2773" s="9">
        <f>IF(AND(ISNUMBER(M2773),ISNUMBER(O2773)),IF(M2773&lt;=O2773,"Valor ≤ venal IPTU",""),"")</f>
        <v/>
      </c>
      <c r="U2773" s="10">
        <f>IF(AND(ISNUMBER(M2773),ISNUMBER(N2773)),IF(N2773&gt;0,M2773/N2773,""),"")</f>
        <v/>
      </c>
      <c r="V2773" s="10">
        <f>IF(AND(ISNUMBER(M2773),ISNUMBER(O2773)),IF(O2773&gt;0,M2773/O2773,""),"")</f>
        <v/>
      </c>
      <c r="W2773" s="10">
        <f>IF(AND(ISNUMBER(M2773),ISNUMBER(R2773)),IF(R2773&gt;0,M2773/R2773,""),"")</f>
        <v/>
      </c>
      <c r="X2773" s="10">
        <f>IF(AND(ISNUMBER(Q2773),ISNUMBER(M2773)),IF(M2773&gt;0,Q2773/M2773,""),"")</f>
        <v/>
      </c>
      <c r="Y2773" s="11">
        <f>IF(ISNUMBER(Z2773),YEAR(Z2773),"")</f>
        <v/>
      </c>
      <c r="Z2773" s="12" t="n"/>
      <c r="AA2773" s="12" t="n"/>
      <c r="AI2773" s="12" t="n"/>
      <c r="AJ2773" s="13">
        <f>IF(LEN(TRIM(AF2773))=0,"",HYPERLINK("https://www.google.com/maps/@?api=1&amp;map_action=pano&amp;viewpoint="&amp;SUBSTITUTE(AF2773," ",""),"Abrir Street View"))</f>
        <v/>
      </c>
    </row>
    <row r="2774">
      <c r="H2774" s="6" t="n"/>
      <c r="I2774" s="6" t="n"/>
      <c r="M2774" s="7" t="n"/>
      <c r="N2774" s="7" t="n"/>
      <c r="O2774" s="7" t="n"/>
      <c r="Q2774" s="7" t="n"/>
      <c r="R2774" s="7" t="n"/>
      <c r="S2774" s="8">
        <f>IF(NOT(ISNUMBER(M2774)),"",IF(G2774="Terreno",IF(AND(ISNUMBER(I2774),I2774&gt;0),M2774/I2774,""),IF(AND(ISNUMBER(H2774),H2774&gt;0),M2774/H2774,"")))</f>
        <v/>
      </c>
      <c r="T2774" s="9">
        <f>IF(AND(ISNUMBER(M2774),ISNUMBER(O2774)),IF(M2774&lt;=O2774,"Valor ≤ venal IPTU",""),"")</f>
        <v/>
      </c>
      <c r="U2774" s="10">
        <f>IF(AND(ISNUMBER(M2774),ISNUMBER(N2774)),IF(N2774&gt;0,M2774/N2774,""),"")</f>
        <v/>
      </c>
      <c r="V2774" s="10">
        <f>IF(AND(ISNUMBER(M2774),ISNUMBER(O2774)),IF(O2774&gt;0,M2774/O2774,""),"")</f>
        <v/>
      </c>
      <c r="W2774" s="10">
        <f>IF(AND(ISNUMBER(M2774),ISNUMBER(R2774)),IF(R2774&gt;0,M2774/R2774,""),"")</f>
        <v/>
      </c>
      <c r="X2774" s="10">
        <f>IF(AND(ISNUMBER(Q2774),ISNUMBER(M2774)),IF(M2774&gt;0,Q2774/M2774,""),"")</f>
        <v/>
      </c>
      <c r="Y2774" s="11">
        <f>IF(ISNUMBER(Z2774),YEAR(Z2774),"")</f>
        <v/>
      </c>
      <c r="Z2774" s="12" t="n"/>
      <c r="AA2774" s="12" t="n"/>
      <c r="AI2774" s="12" t="n"/>
      <c r="AJ2774" s="13">
        <f>IF(LEN(TRIM(AF2774))=0,"",HYPERLINK("https://www.google.com/maps/@?api=1&amp;map_action=pano&amp;viewpoint="&amp;SUBSTITUTE(AF2774," ",""),"Abrir Street View"))</f>
        <v/>
      </c>
    </row>
    <row r="2775">
      <c r="H2775" s="6" t="n"/>
      <c r="I2775" s="6" t="n"/>
      <c r="M2775" s="7" t="n"/>
      <c r="N2775" s="7" t="n"/>
      <c r="O2775" s="7" t="n"/>
      <c r="Q2775" s="7" t="n"/>
      <c r="R2775" s="7" t="n"/>
      <c r="S2775" s="8">
        <f>IF(NOT(ISNUMBER(M2775)),"",IF(G2775="Terreno",IF(AND(ISNUMBER(I2775),I2775&gt;0),M2775/I2775,""),IF(AND(ISNUMBER(H2775),H2775&gt;0),M2775/H2775,"")))</f>
        <v/>
      </c>
      <c r="T2775" s="9">
        <f>IF(AND(ISNUMBER(M2775),ISNUMBER(O2775)),IF(M2775&lt;=O2775,"Valor ≤ venal IPTU",""),"")</f>
        <v/>
      </c>
      <c r="U2775" s="10">
        <f>IF(AND(ISNUMBER(M2775),ISNUMBER(N2775)),IF(N2775&gt;0,M2775/N2775,""),"")</f>
        <v/>
      </c>
      <c r="V2775" s="10">
        <f>IF(AND(ISNUMBER(M2775),ISNUMBER(O2775)),IF(O2775&gt;0,M2775/O2775,""),"")</f>
        <v/>
      </c>
      <c r="W2775" s="10">
        <f>IF(AND(ISNUMBER(M2775),ISNUMBER(R2775)),IF(R2775&gt;0,M2775/R2775,""),"")</f>
        <v/>
      </c>
      <c r="X2775" s="10">
        <f>IF(AND(ISNUMBER(Q2775),ISNUMBER(M2775)),IF(M2775&gt;0,Q2775/M2775,""),"")</f>
        <v/>
      </c>
      <c r="Y2775" s="11">
        <f>IF(ISNUMBER(Z2775),YEAR(Z2775),"")</f>
        <v/>
      </c>
      <c r="Z2775" s="12" t="n"/>
      <c r="AA2775" s="12" t="n"/>
      <c r="AI2775" s="12" t="n"/>
      <c r="AJ2775" s="13">
        <f>IF(LEN(TRIM(AF2775))=0,"",HYPERLINK("https://www.google.com/maps/@?api=1&amp;map_action=pano&amp;viewpoint="&amp;SUBSTITUTE(AF2775," ",""),"Abrir Street View"))</f>
        <v/>
      </c>
    </row>
    <row r="2776">
      <c r="H2776" s="6" t="n"/>
      <c r="I2776" s="6" t="n"/>
      <c r="M2776" s="7" t="n"/>
      <c r="N2776" s="7" t="n"/>
      <c r="O2776" s="7" t="n"/>
      <c r="Q2776" s="7" t="n"/>
      <c r="R2776" s="7" t="n"/>
      <c r="S2776" s="8">
        <f>IF(NOT(ISNUMBER(M2776)),"",IF(G2776="Terreno",IF(AND(ISNUMBER(I2776),I2776&gt;0),M2776/I2776,""),IF(AND(ISNUMBER(H2776),H2776&gt;0),M2776/H2776,"")))</f>
        <v/>
      </c>
      <c r="T2776" s="9">
        <f>IF(AND(ISNUMBER(M2776),ISNUMBER(O2776)),IF(M2776&lt;=O2776,"Valor ≤ venal IPTU",""),"")</f>
        <v/>
      </c>
      <c r="U2776" s="10">
        <f>IF(AND(ISNUMBER(M2776),ISNUMBER(N2776)),IF(N2776&gt;0,M2776/N2776,""),"")</f>
        <v/>
      </c>
      <c r="V2776" s="10">
        <f>IF(AND(ISNUMBER(M2776),ISNUMBER(O2776)),IF(O2776&gt;0,M2776/O2776,""),"")</f>
        <v/>
      </c>
      <c r="W2776" s="10">
        <f>IF(AND(ISNUMBER(M2776),ISNUMBER(R2776)),IF(R2776&gt;0,M2776/R2776,""),"")</f>
        <v/>
      </c>
      <c r="X2776" s="10">
        <f>IF(AND(ISNUMBER(Q2776),ISNUMBER(M2776)),IF(M2776&gt;0,Q2776/M2776,""),"")</f>
        <v/>
      </c>
      <c r="Y2776" s="11">
        <f>IF(ISNUMBER(Z2776),YEAR(Z2776),"")</f>
        <v/>
      </c>
      <c r="Z2776" s="12" t="n"/>
      <c r="AA2776" s="12" t="n"/>
      <c r="AI2776" s="12" t="n"/>
      <c r="AJ2776" s="13">
        <f>IF(LEN(TRIM(AF2776))=0,"",HYPERLINK("https://www.google.com/maps/@?api=1&amp;map_action=pano&amp;viewpoint="&amp;SUBSTITUTE(AF2776," ",""),"Abrir Street View"))</f>
        <v/>
      </c>
    </row>
    <row r="2777">
      <c r="H2777" s="6" t="n"/>
      <c r="I2777" s="6" t="n"/>
      <c r="M2777" s="7" t="n"/>
      <c r="N2777" s="7" t="n"/>
      <c r="O2777" s="7" t="n"/>
      <c r="Q2777" s="7" t="n"/>
      <c r="R2777" s="7" t="n"/>
      <c r="S2777" s="8">
        <f>IF(NOT(ISNUMBER(M2777)),"",IF(G2777="Terreno",IF(AND(ISNUMBER(I2777),I2777&gt;0),M2777/I2777,""),IF(AND(ISNUMBER(H2777),H2777&gt;0),M2777/H2777,"")))</f>
        <v/>
      </c>
      <c r="T2777" s="9">
        <f>IF(AND(ISNUMBER(M2777),ISNUMBER(O2777)),IF(M2777&lt;=O2777,"Valor ≤ venal IPTU",""),"")</f>
        <v/>
      </c>
      <c r="U2777" s="10">
        <f>IF(AND(ISNUMBER(M2777),ISNUMBER(N2777)),IF(N2777&gt;0,M2777/N2777,""),"")</f>
        <v/>
      </c>
      <c r="V2777" s="10">
        <f>IF(AND(ISNUMBER(M2777),ISNUMBER(O2777)),IF(O2777&gt;0,M2777/O2777,""),"")</f>
        <v/>
      </c>
      <c r="W2777" s="10">
        <f>IF(AND(ISNUMBER(M2777),ISNUMBER(R2777)),IF(R2777&gt;0,M2777/R2777,""),"")</f>
        <v/>
      </c>
      <c r="X2777" s="10">
        <f>IF(AND(ISNUMBER(Q2777),ISNUMBER(M2777)),IF(M2777&gt;0,Q2777/M2777,""),"")</f>
        <v/>
      </c>
      <c r="Y2777" s="11">
        <f>IF(ISNUMBER(Z2777),YEAR(Z2777),"")</f>
        <v/>
      </c>
      <c r="Z2777" s="12" t="n"/>
      <c r="AA2777" s="12" t="n"/>
      <c r="AI2777" s="12" t="n"/>
      <c r="AJ2777" s="13">
        <f>IF(LEN(TRIM(AF2777))=0,"",HYPERLINK("https://www.google.com/maps/@?api=1&amp;map_action=pano&amp;viewpoint="&amp;SUBSTITUTE(AF2777," ",""),"Abrir Street View"))</f>
        <v/>
      </c>
    </row>
    <row r="2778">
      <c r="H2778" s="6" t="n"/>
      <c r="I2778" s="6" t="n"/>
      <c r="M2778" s="7" t="n"/>
      <c r="N2778" s="7" t="n"/>
      <c r="O2778" s="7" t="n"/>
      <c r="Q2778" s="7" t="n"/>
      <c r="R2778" s="7" t="n"/>
      <c r="S2778" s="8">
        <f>IF(NOT(ISNUMBER(M2778)),"",IF(G2778="Terreno",IF(AND(ISNUMBER(I2778),I2778&gt;0),M2778/I2778,""),IF(AND(ISNUMBER(H2778),H2778&gt;0),M2778/H2778,"")))</f>
        <v/>
      </c>
      <c r="T2778" s="9">
        <f>IF(AND(ISNUMBER(M2778),ISNUMBER(O2778)),IF(M2778&lt;=O2778,"Valor ≤ venal IPTU",""),"")</f>
        <v/>
      </c>
      <c r="U2778" s="10">
        <f>IF(AND(ISNUMBER(M2778),ISNUMBER(N2778)),IF(N2778&gt;0,M2778/N2778,""),"")</f>
        <v/>
      </c>
      <c r="V2778" s="10">
        <f>IF(AND(ISNUMBER(M2778),ISNUMBER(O2778)),IF(O2778&gt;0,M2778/O2778,""),"")</f>
        <v/>
      </c>
      <c r="W2778" s="10">
        <f>IF(AND(ISNUMBER(M2778),ISNUMBER(R2778)),IF(R2778&gt;0,M2778/R2778,""),"")</f>
        <v/>
      </c>
      <c r="X2778" s="10">
        <f>IF(AND(ISNUMBER(Q2778),ISNUMBER(M2778)),IF(M2778&gt;0,Q2778/M2778,""),"")</f>
        <v/>
      </c>
      <c r="Y2778" s="11">
        <f>IF(ISNUMBER(Z2778),YEAR(Z2778),"")</f>
        <v/>
      </c>
      <c r="Z2778" s="12" t="n"/>
      <c r="AA2778" s="12" t="n"/>
      <c r="AI2778" s="12" t="n"/>
      <c r="AJ2778" s="13">
        <f>IF(LEN(TRIM(AF2778))=0,"",HYPERLINK("https://www.google.com/maps/@?api=1&amp;map_action=pano&amp;viewpoint="&amp;SUBSTITUTE(AF2778," ",""),"Abrir Street View"))</f>
        <v/>
      </c>
    </row>
    <row r="2779">
      <c r="H2779" s="6" t="n"/>
      <c r="I2779" s="6" t="n"/>
      <c r="M2779" s="7" t="n"/>
      <c r="N2779" s="7" t="n"/>
      <c r="O2779" s="7" t="n"/>
      <c r="Q2779" s="7" t="n"/>
      <c r="R2779" s="7" t="n"/>
      <c r="S2779" s="8">
        <f>IF(NOT(ISNUMBER(M2779)),"",IF(G2779="Terreno",IF(AND(ISNUMBER(I2779),I2779&gt;0),M2779/I2779,""),IF(AND(ISNUMBER(H2779),H2779&gt;0),M2779/H2779,"")))</f>
        <v/>
      </c>
      <c r="T2779" s="9">
        <f>IF(AND(ISNUMBER(M2779),ISNUMBER(O2779)),IF(M2779&lt;=O2779,"Valor ≤ venal IPTU",""),"")</f>
        <v/>
      </c>
      <c r="U2779" s="10">
        <f>IF(AND(ISNUMBER(M2779),ISNUMBER(N2779)),IF(N2779&gt;0,M2779/N2779,""),"")</f>
        <v/>
      </c>
      <c r="V2779" s="10">
        <f>IF(AND(ISNUMBER(M2779),ISNUMBER(O2779)),IF(O2779&gt;0,M2779/O2779,""),"")</f>
        <v/>
      </c>
      <c r="W2779" s="10">
        <f>IF(AND(ISNUMBER(M2779),ISNUMBER(R2779)),IF(R2779&gt;0,M2779/R2779,""),"")</f>
        <v/>
      </c>
      <c r="X2779" s="10">
        <f>IF(AND(ISNUMBER(Q2779),ISNUMBER(M2779)),IF(M2779&gt;0,Q2779/M2779,""),"")</f>
        <v/>
      </c>
      <c r="Y2779" s="11">
        <f>IF(ISNUMBER(Z2779),YEAR(Z2779),"")</f>
        <v/>
      </c>
      <c r="Z2779" s="12" t="n"/>
      <c r="AA2779" s="12" t="n"/>
      <c r="AI2779" s="12" t="n"/>
      <c r="AJ2779" s="13">
        <f>IF(LEN(TRIM(AF2779))=0,"",HYPERLINK("https://www.google.com/maps/@?api=1&amp;map_action=pano&amp;viewpoint="&amp;SUBSTITUTE(AF2779," ",""),"Abrir Street View"))</f>
        <v/>
      </c>
    </row>
    <row r="2780">
      <c r="H2780" s="6" t="n"/>
      <c r="I2780" s="6" t="n"/>
      <c r="M2780" s="7" t="n"/>
      <c r="N2780" s="7" t="n"/>
      <c r="O2780" s="7" t="n"/>
      <c r="Q2780" s="7" t="n"/>
      <c r="R2780" s="7" t="n"/>
      <c r="S2780" s="8">
        <f>IF(NOT(ISNUMBER(M2780)),"",IF(G2780="Terreno",IF(AND(ISNUMBER(I2780),I2780&gt;0),M2780/I2780,""),IF(AND(ISNUMBER(H2780),H2780&gt;0),M2780/H2780,"")))</f>
        <v/>
      </c>
      <c r="T2780" s="9">
        <f>IF(AND(ISNUMBER(M2780),ISNUMBER(O2780)),IF(M2780&lt;=O2780,"Valor ≤ venal IPTU",""),"")</f>
        <v/>
      </c>
      <c r="U2780" s="10">
        <f>IF(AND(ISNUMBER(M2780),ISNUMBER(N2780)),IF(N2780&gt;0,M2780/N2780,""),"")</f>
        <v/>
      </c>
      <c r="V2780" s="10">
        <f>IF(AND(ISNUMBER(M2780),ISNUMBER(O2780)),IF(O2780&gt;0,M2780/O2780,""),"")</f>
        <v/>
      </c>
      <c r="W2780" s="10">
        <f>IF(AND(ISNUMBER(M2780),ISNUMBER(R2780)),IF(R2780&gt;0,M2780/R2780,""),"")</f>
        <v/>
      </c>
      <c r="X2780" s="10">
        <f>IF(AND(ISNUMBER(Q2780),ISNUMBER(M2780)),IF(M2780&gt;0,Q2780/M2780,""),"")</f>
        <v/>
      </c>
      <c r="Y2780" s="11">
        <f>IF(ISNUMBER(Z2780),YEAR(Z2780),"")</f>
        <v/>
      </c>
      <c r="Z2780" s="12" t="n"/>
      <c r="AA2780" s="12" t="n"/>
      <c r="AI2780" s="12" t="n"/>
      <c r="AJ2780" s="13">
        <f>IF(LEN(TRIM(AF2780))=0,"",HYPERLINK("https://www.google.com/maps/@?api=1&amp;map_action=pano&amp;viewpoint="&amp;SUBSTITUTE(AF2780," ",""),"Abrir Street View"))</f>
        <v/>
      </c>
    </row>
    <row r="2781">
      <c r="H2781" s="6" t="n"/>
      <c r="I2781" s="6" t="n"/>
      <c r="M2781" s="7" t="n"/>
      <c r="N2781" s="7" t="n"/>
      <c r="O2781" s="7" t="n"/>
      <c r="Q2781" s="7" t="n"/>
      <c r="R2781" s="7" t="n"/>
      <c r="S2781" s="8">
        <f>IF(NOT(ISNUMBER(M2781)),"",IF(G2781="Terreno",IF(AND(ISNUMBER(I2781),I2781&gt;0),M2781/I2781,""),IF(AND(ISNUMBER(H2781),H2781&gt;0),M2781/H2781,"")))</f>
        <v/>
      </c>
      <c r="T2781" s="9">
        <f>IF(AND(ISNUMBER(M2781),ISNUMBER(O2781)),IF(M2781&lt;=O2781,"Valor ≤ venal IPTU",""),"")</f>
        <v/>
      </c>
      <c r="U2781" s="10">
        <f>IF(AND(ISNUMBER(M2781),ISNUMBER(N2781)),IF(N2781&gt;0,M2781/N2781,""),"")</f>
        <v/>
      </c>
      <c r="V2781" s="10">
        <f>IF(AND(ISNUMBER(M2781),ISNUMBER(O2781)),IF(O2781&gt;0,M2781/O2781,""),"")</f>
        <v/>
      </c>
      <c r="W2781" s="10">
        <f>IF(AND(ISNUMBER(M2781),ISNUMBER(R2781)),IF(R2781&gt;0,M2781/R2781,""),"")</f>
        <v/>
      </c>
      <c r="X2781" s="10">
        <f>IF(AND(ISNUMBER(Q2781),ISNUMBER(M2781)),IF(M2781&gt;0,Q2781/M2781,""),"")</f>
        <v/>
      </c>
      <c r="Y2781" s="11">
        <f>IF(ISNUMBER(Z2781),YEAR(Z2781),"")</f>
        <v/>
      </c>
      <c r="Z2781" s="12" t="n"/>
      <c r="AA2781" s="12" t="n"/>
      <c r="AI2781" s="12" t="n"/>
      <c r="AJ2781" s="13">
        <f>IF(LEN(TRIM(AF2781))=0,"",HYPERLINK("https://www.google.com/maps/@?api=1&amp;map_action=pano&amp;viewpoint="&amp;SUBSTITUTE(AF2781," ",""),"Abrir Street View"))</f>
        <v/>
      </c>
    </row>
    <row r="2782">
      <c r="H2782" s="6" t="n"/>
      <c r="I2782" s="6" t="n"/>
      <c r="M2782" s="7" t="n"/>
      <c r="N2782" s="7" t="n"/>
      <c r="O2782" s="7" t="n"/>
      <c r="Q2782" s="7" t="n"/>
      <c r="R2782" s="7" t="n"/>
      <c r="S2782" s="8">
        <f>IF(NOT(ISNUMBER(M2782)),"",IF(G2782="Terreno",IF(AND(ISNUMBER(I2782),I2782&gt;0),M2782/I2782,""),IF(AND(ISNUMBER(H2782),H2782&gt;0),M2782/H2782,"")))</f>
        <v/>
      </c>
      <c r="T2782" s="9">
        <f>IF(AND(ISNUMBER(M2782),ISNUMBER(O2782)),IF(M2782&lt;=O2782,"Valor ≤ venal IPTU",""),"")</f>
        <v/>
      </c>
      <c r="U2782" s="10">
        <f>IF(AND(ISNUMBER(M2782),ISNUMBER(N2782)),IF(N2782&gt;0,M2782/N2782,""),"")</f>
        <v/>
      </c>
      <c r="V2782" s="10">
        <f>IF(AND(ISNUMBER(M2782),ISNUMBER(O2782)),IF(O2782&gt;0,M2782/O2782,""),"")</f>
        <v/>
      </c>
      <c r="W2782" s="10">
        <f>IF(AND(ISNUMBER(M2782),ISNUMBER(R2782)),IF(R2782&gt;0,M2782/R2782,""),"")</f>
        <v/>
      </c>
      <c r="X2782" s="10">
        <f>IF(AND(ISNUMBER(Q2782),ISNUMBER(M2782)),IF(M2782&gt;0,Q2782/M2782,""),"")</f>
        <v/>
      </c>
      <c r="Y2782" s="11">
        <f>IF(ISNUMBER(Z2782),YEAR(Z2782),"")</f>
        <v/>
      </c>
      <c r="Z2782" s="12" t="n"/>
      <c r="AA2782" s="12" t="n"/>
      <c r="AI2782" s="12" t="n"/>
      <c r="AJ2782" s="13">
        <f>IF(LEN(TRIM(AF2782))=0,"",HYPERLINK("https://www.google.com/maps/@?api=1&amp;map_action=pano&amp;viewpoint="&amp;SUBSTITUTE(AF2782," ",""),"Abrir Street View"))</f>
        <v/>
      </c>
    </row>
    <row r="2783">
      <c r="H2783" s="6" t="n"/>
      <c r="I2783" s="6" t="n"/>
      <c r="M2783" s="7" t="n"/>
      <c r="N2783" s="7" t="n"/>
      <c r="O2783" s="7" t="n"/>
      <c r="Q2783" s="7" t="n"/>
      <c r="R2783" s="7" t="n"/>
      <c r="S2783" s="8">
        <f>IF(NOT(ISNUMBER(M2783)),"",IF(G2783="Terreno",IF(AND(ISNUMBER(I2783),I2783&gt;0),M2783/I2783,""),IF(AND(ISNUMBER(H2783),H2783&gt;0),M2783/H2783,"")))</f>
        <v/>
      </c>
      <c r="T2783" s="9">
        <f>IF(AND(ISNUMBER(M2783),ISNUMBER(O2783)),IF(M2783&lt;=O2783,"Valor ≤ venal IPTU",""),"")</f>
        <v/>
      </c>
      <c r="U2783" s="10">
        <f>IF(AND(ISNUMBER(M2783),ISNUMBER(N2783)),IF(N2783&gt;0,M2783/N2783,""),"")</f>
        <v/>
      </c>
      <c r="V2783" s="10">
        <f>IF(AND(ISNUMBER(M2783),ISNUMBER(O2783)),IF(O2783&gt;0,M2783/O2783,""),"")</f>
        <v/>
      </c>
      <c r="W2783" s="10">
        <f>IF(AND(ISNUMBER(M2783),ISNUMBER(R2783)),IF(R2783&gt;0,M2783/R2783,""),"")</f>
        <v/>
      </c>
      <c r="X2783" s="10">
        <f>IF(AND(ISNUMBER(Q2783),ISNUMBER(M2783)),IF(M2783&gt;0,Q2783/M2783,""),"")</f>
        <v/>
      </c>
      <c r="Y2783" s="11">
        <f>IF(ISNUMBER(Z2783),YEAR(Z2783),"")</f>
        <v/>
      </c>
      <c r="Z2783" s="12" t="n"/>
      <c r="AA2783" s="12" t="n"/>
      <c r="AI2783" s="12" t="n"/>
      <c r="AJ2783" s="13">
        <f>IF(LEN(TRIM(AF2783))=0,"",HYPERLINK("https://www.google.com/maps/@?api=1&amp;map_action=pano&amp;viewpoint="&amp;SUBSTITUTE(AF2783," ",""),"Abrir Street View"))</f>
        <v/>
      </c>
    </row>
    <row r="2784">
      <c r="H2784" s="6" t="n"/>
      <c r="I2784" s="6" t="n"/>
      <c r="M2784" s="7" t="n"/>
      <c r="N2784" s="7" t="n"/>
      <c r="O2784" s="7" t="n"/>
      <c r="Q2784" s="7" t="n"/>
      <c r="R2784" s="7" t="n"/>
      <c r="S2784" s="8">
        <f>IF(NOT(ISNUMBER(M2784)),"",IF(G2784="Terreno",IF(AND(ISNUMBER(I2784),I2784&gt;0),M2784/I2784,""),IF(AND(ISNUMBER(H2784),H2784&gt;0),M2784/H2784,"")))</f>
        <v/>
      </c>
      <c r="T2784" s="9">
        <f>IF(AND(ISNUMBER(M2784),ISNUMBER(O2784)),IF(M2784&lt;=O2784,"Valor ≤ venal IPTU",""),"")</f>
        <v/>
      </c>
      <c r="U2784" s="10">
        <f>IF(AND(ISNUMBER(M2784),ISNUMBER(N2784)),IF(N2784&gt;0,M2784/N2784,""),"")</f>
        <v/>
      </c>
      <c r="V2784" s="10">
        <f>IF(AND(ISNUMBER(M2784),ISNUMBER(O2784)),IF(O2784&gt;0,M2784/O2784,""),"")</f>
        <v/>
      </c>
      <c r="W2784" s="10">
        <f>IF(AND(ISNUMBER(M2784),ISNUMBER(R2784)),IF(R2784&gt;0,M2784/R2784,""),"")</f>
        <v/>
      </c>
      <c r="X2784" s="10">
        <f>IF(AND(ISNUMBER(Q2784),ISNUMBER(M2784)),IF(M2784&gt;0,Q2784/M2784,""),"")</f>
        <v/>
      </c>
      <c r="Y2784" s="11">
        <f>IF(ISNUMBER(Z2784),YEAR(Z2784),"")</f>
        <v/>
      </c>
      <c r="Z2784" s="12" t="n"/>
      <c r="AA2784" s="12" t="n"/>
      <c r="AI2784" s="12" t="n"/>
      <c r="AJ2784" s="13">
        <f>IF(LEN(TRIM(AF2784))=0,"",HYPERLINK("https://www.google.com/maps/@?api=1&amp;map_action=pano&amp;viewpoint="&amp;SUBSTITUTE(AF2784," ",""),"Abrir Street View"))</f>
        <v/>
      </c>
    </row>
    <row r="2785">
      <c r="H2785" s="6" t="n"/>
      <c r="I2785" s="6" t="n"/>
      <c r="M2785" s="7" t="n"/>
      <c r="N2785" s="7" t="n"/>
      <c r="O2785" s="7" t="n"/>
      <c r="Q2785" s="7" t="n"/>
      <c r="R2785" s="7" t="n"/>
      <c r="S2785" s="8">
        <f>IF(NOT(ISNUMBER(M2785)),"",IF(G2785="Terreno",IF(AND(ISNUMBER(I2785),I2785&gt;0),M2785/I2785,""),IF(AND(ISNUMBER(H2785),H2785&gt;0),M2785/H2785,"")))</f>
        <v/>
      </c>
      <c r="T2785" s="9">
        <f>IF(AND(ISNUMBER(M2785),ISNUMBER(O2785)),IF(M2785&lt;=O2785,"Valor ≤ venal IPTU",""),"")</f>
        <v/>
      </c>
      <c r="U2785" s="10">
        <f>IF(AND(ISNUMBER(M2785),ISNUMBER(N2785)),IF(N2785&gt;0,M2785/N2785,""),"")</f>
        <v/>
      </c>
      <c r="V2785" s="10">
        <f>IF(AND(ISNUMBER(M2785),ISNUMBER(O2785)),IF(O2785&gt;0,M2785/O2785,""),"")</f>
        <v/>
      </c>
      <c r="W2785" s="10">
        <f>IF(AND(ISNUMBER(M2785),ISNUMBER(R2785)),IF(R2785&gt;0,M2785/R2785,""),"")</f>
        <v/>
      </c>
      <c r="X2785" s="10">
        <f>IF(AND(ISNUMBER(Q2785),ISNUMBER(M2785)),IF(M2785&gt;0,Q2785/M2785,""),"")</f>
        <v/>
      </c>
      <c r="Y2785" s="11">
        <f>IF(ISNUMBER(Z2785),YEAR(Z2785),"")</f>
        <v/>
      </c>
      <c r="Z2785" s="12" t="n"/>
      <c r="AA2785" s="12" t="n"/>
      <c r="AI2785" s="12" t="n"/>
      <c r="AJ2785" s="13">
        <f>IF(LEN(TRIM(AF2785))=0,"",HYPERLINK("https://www.google.com/maps/@?api=1&amp;map_action=pano&amp;viewpoint="&amp;SUBSTITUTE(AF2785," ",""),"Abrir Street View"))</f>
        <v/>
      </c>
    </row>
    <row r="2786">
      <c r="H2786" s="6" t="n"/>
      <c r="I2786" s="6" t="n"/>
      <c r="M2786" s="7" t="n"/>
      <c r="N2786" s="7" t="n"/>
      <c r="O2786" s="7" t="n"/>
      <c r="Q2786" s="7" t="n"/>
      <c r="R2786" s="7" t="n"/>
      <c r="S2786" s="8">
        <f>IF(NOT(ISNUMBER(M2786)),"",IF(G2786="Terreno",IF(AND(ISNUMBER(I2786),I2786&gt;0),M2786/I2786,""),IF(AND(ISNUMBER(H2786),H2786&gt;0),M2786/H2786,"")))</f>
        <v/>
      </c>
      <c r="T2786" s="9">
        <f>IF(AND(ISNUMBER(M2786),ISNUMBER(O2786)),IF(M2786&lt;=O2786,"Valor ≤ venal IPTU",""),"")</f>
        <v/>
      </c>
      <c r="U2786" s="10">
        <f>IF(AND(ISNUMBER(M2786),ISNUMBER(N2786)),IF(N2786&gt;0,M2786/N2786,""),"")</f>
        <v/>
      </c>
      <c r="V2786" s="10">
        <f>IF(AND(ISNUMBER(M2786),ISNUMBER(O2786)),IF(O2786&gt;0,M2786/O2786,""),"")</f>
        <v/>
      </c>
      <c r="W2786" s="10">
        <f>IF(AND(ISNUMBER(M2786),ISNUMBER(R2786)),IF(R2786&gt;0,M2786/R2786,""),"")</f>
        <v/>
      </c>
      <c r="X2786" s="10">
        <f>IF(AND(ISNUMBER(Q2786),ISNUMBER(M2786)),IF(M2786&gt;0,Q2786/M2786,""),"")</f>
        <v/>
      </c>
      <c r="Y2786" s="11">
        <f>IF(ISNUMBER(Z2786),YEAR(Z2786),"")</f>
        <v/>
      </c>
      <c r="Z2786" s="12" t="n"/>
      <c r="AA2786" s="12" t="n"/>
      <c r="AI2786" s="12" t="n"/>
      <c r="AJ2786" s="13">
        <f>IF(LEN(TRIM(AF2786))=0,"",HYPERLINK("https://www.google.com/maps/@?api=1&amp;map_action=pano&amp;viewpoint="&amp;SUBSTITUTE(AF2786," ",""),"Abrir Street View"))</f>
        <v/>
      </c>
    </row>
    <row r="2787">
      <c r="H2787" s="6" t="n"/>
      <c r="I2787" s="6" t="n"/>
      <c r="M2787" s="7" t="n"/>
      <c r="N2787" s="7" t="n"/>
      <c r="O2787" s="7" t="n"/>
      <c r="Q2787" s="7" t="n"/>
      <c r="R2787" s="7" t="n"/>
      <c r="S2787" s="8">
        <f>IF(NOT(ISNUMBER(M2787)),"",IF(G2787="Terreno",IF(AND(ISNUMBER(I2787),I2787&gt;0),M2787/I2787,""),IF(AND(ISNUMBER(H2787),H2787&gt;0),M2787/H2787,"")))</f>
        <v/>
      </c>
      <c r="T2787" s="9">
        <f>IF(AND(ISNUMBER(M2787),ISNUMBER(O2787)),IF(M2787&lt;=O2787,"Valor ≤ venal IPTU",""),"")</f>
        <v/>
      </c>
      <c r="U2787" s="10">
        <f>IF(AND(ISNUMBER(M2787),ISNUMBER(N2787)),IF(N2787&gt;0,M2787/N2787,""),"")</f>
        <v/>
      </c>
      <c r="V2787" s="10">
        <f>IF(AND(ISNUMBER(M2787),ISNUMBER(O2787)),IF(O2787&gt;0,M2787/O2787,""),"")</f>
        <v/>
      </c>
      <c r="W2787" s="10">
        <f>IF(AND(ISNUMBER(M2787),ISNUMBER(R2787)),IF(R2787&gt;0,M2787/R2787,""),"")</f>
        <v/>
      </c>
      <c r="X2787" s="10">
        <f>IF(AND(ISNUMBER(Q2787),ISNUMBER(M2787)),IF(M2787&gt;0,Q2787/M2787,""),"")</f>
        <v/>
      </c>
      <c r="Y2787" s="11">
        <f>IF(ISNUMBER(Z2787),YEAR(Z2787),"")</f>
        <v/>
      </c>
      <c r="Z2787" s="12" t="n"/>
      <c r="AA2787" s="12" t="n"/>
      <c r="AI2787" s="12" t="n"/>
      <c r="AJ2787" s="13">
        <f>IF(LEN(TRIM(AF2787))=0,"",HYPERLINK("https://www.google.com/maps/@?api=1&amp;map_action=pano&amp;viewpoint="&amp;SUBSTITUTE(AF2787," ",""),"Abrir Street View"))</f>
        <v/>
      </c>
    </row>
    <row r="2788">
      <c r="H2788" s="6" t="n"/>
      <c r="I2788" s="6" t="n"/>
      <c r="M2788" s="7" t="n"/>
      <c r="N2788" s="7" t="n"/>
      <c r="O2788" s="7" t="n"/>
      <c r="Q2788" s="7" t="n"/>
      <c r="R2788" s="7" t="n"/>
      <c r="S2788" s="8">
        <f>IF(NOT(ISNUMBER(M2788)),"",IF(G2788="Terreno",IF(AND(ISNUMBER(I2788),I2788&gt;0),M2788/I2788,""),IF(AND(ISNUMBER(H2788),H2788&gt;0),M2788/H2788,"")))</f>
        <v/>
      </c>
      <c r="T2788" s="9">
        <f>IF(AND(ISNUMBER(M2788),ISNUMBER(O2788)),IF(M2788&lt;=O2788,"Valor ≤ venal IPTU",""),"")</f>
        <v/>
      </c>
      <c r="U2788" s="10">
        <f>IF(AND(ISNUMBER(M2788),ISNUMBER(N2788)),IF(N2788&gt;0,M2788/N2788,""),"")</f>
        <v/>
      </c>
      <c r="V2788" s="10">
        <f>IF(AND(ISNUMBER(M2788),ISNUMBER(O2788)),IF(O2788&gt;0,M2788/O2788,""),"")</f>
        <v/>
      </c>
      <c r="W2788" s="10">
        <f>IF(AND(ISNUMBER(M2788),ISNUMBER(R2788)),IF(R2788&gt;0,M2788/R2788,""),"")</f>
        <v/>
      </c>
      <c r="X2788" s="10">
        <f>IF(AND(ISNUMBER(Q2788),ISNUMBER(M2788)),IF(M2788&gt;0,Q2788/M2788,""),"")</f>
        <v/>
      </c>
      <c r="Y2788" s="11">
        <f>IF(ISNUMBER(Z2788),YEAR(Z2788),"")</f>
        <v/>
      </c>
      <c r="Z2788" s="12" t="n"/>
      <c r="AA2788" s="12" t="n"/>
      <c r="AI2788" s="12" t="n"/>
      <c r="AJ2788" s="13">
        <f>IF(LEN(TRIM(AF2788))=0,"",HYPERLINK("https://www.google.com/maps/@?api=1&amp;map_action=pano&amp;viewpoint="&amp;SUBSTITUTE(AF2788," ",""),"Abrir Street View"))</f>
        <v/>
      </c>
    </row>
    <row r="2789">
      <c r="H2789" s="6" t="n"/>
      <c r="I2789" s="6" t="n"/>
      <c r="M2789" s="7" t="n"/>
      <c r="N2789" s="7" t="n"/>
      <c r="O2789" s="7" t="n"/>
      <c r="Q2789" s="7" t="n"/>
      <c r="R2789" s="7" t="n"/>
      <c r="S2789" s="8">
        <f>IF(NOT(ISNUMBER(M2789)),"",IF(G2789="Terreno",IF(AND(ISNUMBER(I2789),I2789&gt;0),M2789/I2789,""),IF(AND(ISNUMBER(H2789),H2789&gt;0),M2789/H2789,"")))</f>
        <v/>
      </c>
      <c r="T2789" s="9">
        <f>IF(AND(ISNUMBER(M2789),ISNUMBER(O2789)),IF(M2789&lt;=O2789,"Valor ≤ venal IPTU",""),"")</f>
        <v/>
      </c>
      <c r="U2789" s="10">
        <f>IF(AND(ISNUMBER(M2789),ISNUMBER(N2789)),IF(N2789&gt;0,M2789/N2789,""),"")</f>
        <v/>
      </c>
      <c r="V2789" s="10">
        <f>IF(AND(ISNUMBER(M2789),ISNUMBER(O2789)),IF(O2789&gt;0,M2789/O2789,""),"")</f>
        <v/>
      </c>
      <c r="W2789" s="10">
        <f>IF(AND(ISNUMBER(M2789),ISNUMBER(R2789)),IF(R2789&gt;0,M2789/R2789,""),"")</f>
        <v/>
      </c>
      <c r="X2789" s="10">
        <f>IF(AND(ISNUMBER(Q2789),ISNUMBER(M2789)),IF(M2789&gt;0,Q2789/M2789,""),"")</f>
        <v/>
      </c>
      <c r="Y2789" s="11">
        <f>IF(ISNUMBER(Z2789),YEAR(Z2789),"")</f>
        <v/>
      </c>
      <c r="Z2789" s="12" t="n"/>
      <c r="AA2789" s="12" t="n"/>
      <c r="AI2789" s="12" t="n"/>
      <c r="AJ2789" s="13">
        <f>IF(LEN(TRIM(AF2789))=0,"",HYPERLINK("https://www.google.com/maps/@?api=1&amp;map_action=pano&amp;viewpoint="&amp;SUBSTITUTE(AF2789," ",""),"Abrir Street View"))</f>
        <v/>
      </c>
    </row>
    <row r="2790">
      <c r="H2790" s="6" t="n"/>
      <c r="I2790" s="6" t="n"/>
      <c r="M2790" s="7" t="n"/>
      <c r="N2790" s="7" t="n"/>
      <c r="O2790" s="7" t="n"/>
      <c r="Q2790" s="7" t="n"/>
      <c r="R2790" s="7" t="n"/>
      <c r="S2790" s="8">
        <f>IF(NOT(ISNUMBER(M2790)),"",IF(G2790="Terreno",IF(AND(ISNUMBER(I2790),I2790&gt;0),M2790/I2790,""),IF(AND(ISNUMBER(H2790),H2790&gt;0),M2790/H2790,"")))</f>
        <v/>
      </c>
      <c r="T2790" s="9">
        <f>IF(AND(ISNUMBER(M2790),ISNUMBER(O2790)),IF(M2790&lt;=O2790,"Valor ≤ venal IPTU",""),"")</f>
        <v/>
      </c>
      <c r="U2790" s="10">
        <f>IF(AND(ISNUMBER(M2790),ISNUMBER(N2790)),IF(N2790&gt;0,M2790/N2790,""),"")</f>
        <v/>
      </c>
      <c r="V2790" s="10">
        <f>IF(AND(ISNUMBER(M2790),ISNUMBER(O2790)),IF(O2790&gt;0,M2790/O2790,""),"")</f>
        <v/>
      </c>
      <c r="W2790" s="10">
        <f>IF(AND(ISNUMBER(M2790),ISNUMBER(R2790)),IF(R2790&gt;0,M2790/R2790,""),"")</f>
        <v/>
      </c>
      <c r="X2790" s="10">
        <f>IF(AND(ISNUMBER(Q2790),ISNUMBER(M2790)),IF(M2790&gt;0,Q2790/M2790,""),"")</f>
        <v/>
      </c>
      <c r="Y2790" s="11">
        <f>IF(ISNUMBER(Z2790),YEAR(Z2790),"")</f>
        <v/>
      </c>
      <c r="Z2790" s="12" t="n"/>
      <c r="AA2790" s="12" t="n"/>
      <c r="AI2790" s="12" t="n"/>
      <c r="AJ2790" s="13">
        <f>IF(LEN(TRIM(AF2790))=0,"",HYPERLINK("https://www.google.com/maps/@?api=1&amp;map_action=pano&amp;viewpoint="&amp;SUBSTITUTE(AF2790," ",""),"Abrir Street View"))</f>
        <v/>
      </c>
    </row>
    <row r="2791">
      <c r="H2791" s="6" t="n"/>
      <c r="I2791" s="6" t="n"/>
      <c r="M2791" s="7" t="n"/>
      <c r="N2791" s="7" t="n"/>
      <c r="O2791" s="7" t="n"/>
      <c r="Q2791" s="7" t="n"/>
      <c r="R2791" s="7" t="n"/>
      <c r="S2791" s="8">
        <f>IF(NOT(ISNUMBER(M2791)),"",IF(G2791="Terreno",IF(AND(ISNUMBER(I2791),I2791&gt;0),M2791/I2791,""),IF(AND(ISNUMBER(H2791),H2791&gt;0),M2791/H2791,"")))</f>
        <v/>
      </c>
      <c r="T2791" s="9">
        <f>IF(AND(ISNUMBER(M2791),ISNUMBER(O2791)),IF(M2791&lt;=O2791,"Valor ≤ venal IPTU",""),"")</f>
        <v/>
      </c>
      <c r="U2791" s="10">
        <f>IF(AND(ISNUMBER(M2791),ISNUMBER(N2791)),IF(N2791&gt;0,M2791/N2791,""),"")</f>
        <v/>
      </c>
      <c r="V2791" s="10">
        <f>IF(AND(ISNUMBER(M2791),ISNUMBER(O2791)),IF(O2791&gt;0,M2791/O2791,""),"")</f>
        <v/>
      </c>
      <c r="W2791" s="10">
        <f>IF(AND(ISNUMBER(M2791),ISNUMBER(R2791)),IF(R2791&gt;0,M2791/R2791,""),"")</f>
        <v/>
      </c>
      <c r="X2791" s="10">
        <f>IF(AND(ISNUMBER(Q2791),ISNUMBER(M2791)),IF(M2791&gt;0,Q2791/M2791,""),"")</f>
        <v/>
      </c>
      <c r="Y2791" s="11">
        <f>IF(ISNUMBER(Z2791),YEAR(Z2791),"")</f>
        <v/>
      </c>
      <c r="Z2791" s="12" t="n"/>
      <c r="AA2791" s="12" t="n"/>
      <c r="AI2791" s="12" t="n"/>
      <c r="AJ2791" s="13">
        <f>IF(LEN(TRIM(AF2791))=0,"",HYPERLINK("https://www.google.com/maps/@?api=1&amp;map_action=pano&amp;viewpoint="&amp;SUBSTITUTE(AF2791," ",""),"Abrir Street View"))</f>
        <v/>
      </c>
    </row>
    <row r="2792">
      <c r="H2792" s="6" t="n"/>
      <c r="I2792" s="6" t="n"/>
      <c r="M2792" s="7" t="n"/>
      <c r="N2792" s="7" t="n"/>
      <c r="O2792" s="7" t="n"/>
      <c r="Q2792" s="7" t="n"/>
      <c r="R2792" s="7" t="n"/>
      <c r="S2792" s="8">
        <f>IF(NOT(ISNUMBER(M2792)),"",IF(G2792="Terreno",IF(AND(ISNUMBER(I2792),I2792&gt;0),M2792/I2792,""),IF(AND(ISNUMBER(H2792),H2792&gt;0),M2792/H2792,"")))</f>
        <v/>
      </c>
      <c r="T2792" s="9">
        <f>IF(AND(ISNUMBER(M2792),ISNUMBER(O2792)),IF(M2792&lt;=O2792,"Valor ≤ venal IPTU",""),"")</f>
        <v/>
      </c>
      <c r="U2792" s="10">
        <f>IF(AND(ISNUMBER(M2792),ISNUMBER(N2792)),IF(N2792&gt;0,M2792/N2792,""),"")</f>
        <v/>
      </c>
      <c r="V2792" s="10">
        <f>IF(AND(ISNUMBER(M2792),ISNUMBER(O2792)),IF(O2792&gt;0,M2792/O2792,""),"")</f>
        <v/>
      </c>
      <c r="W2792" s="10">
        <f>IF(AND(ISNUMBER(M2792),ISNUMBER(R2792)),IF(R2792&gt;0,M2792/R2792,""),"")</f>
        <v/>
      </c>
      <c r="X2792" s="10">
        <f>IF(AND(ISNUMBER(Q2792),ISNUMBER(M2792)),IF(M2792&gt;0,Q2792/M2792,""),"")</f>
        <v/>
      </c>
      <c r="Y2792" s="11">
        <f>IF(ISNUMBER(Z2792),YEAR(Z2792),"")</f>
        <v/>
      </c>
      <c r="Z2792" s="12" t="n"/>
      <c r="AA2792" s="12" t="n"/>
      <c r="AI2792" s="12" t="n"/>
      <c r="AJ2792" s="13">
        <f>IF(LEN(TRIM(AF2792))=0,"",HYPERLINK("https://www.google.com/maps/@?api=1&amp;map_action=pano&amp;viewpoint="&amp;SUBSTITUTE(AF2792," ",""),"Abrir Street View"))</f>
        <v/>
      </c>
    </row>
    <row r="2793">
      <c r="H2793" s="6" t="n"/>
      <c r="I2793" s="6" t="n"/>
      <c r="M2793" s="7" t="n"/>
      <c r="N2793" s="7" t="n"/>
      <c r="O2793" s="7" t="n"/>
      <c r="Q2793" s="7" t="n"/>
      <c r="R2793" s="7" t="n"/>
      <c r="S2793" s="8">
        <f>IF(NOT(ISNUMBER(M2793)),"",IF(G2793="Terreno",IF(AND(ISNUMBER(I2793),I2793&gt;0),M2793/I2793,""),IF(AND(ISNUMBER(H2793),H2793&gt;0),M2793/H2793,"")))</f>
        <v/>
      </c>
      <c r="T2793" s="9">
        <f>IF(AND(ISNUMBER(M2793),ISNUMBER(O2793)),IF(M2793&lt;=O2793,"Valor ≤ venal IPTU",""),"")</f>
        <v/>
      </c>
      <c r="U2793" s="10">
        <f>IF(AND(ISNUMBER(M2793),ISNUMBER(N2793)),IF(N2793&gt;0,M2793/N2793,""),"")</f>
        <v/>
      </c>
      <c r="V2793" s="10">
        <f>IF(AND(ISNUMBER(M2793),ISNUMBER(O2793)),IF(O2793&gt;0,M2793/O2793,""),"")</f>
        <v/>
      </c>
      <c r="W2793" s="10">
        <f>IF(AND(ISNUMBER(M2793),ISNUMBER(R2793)),IF(R2793&gt;0,M2793/R2793,""),"")</f>
        <v/>
      </c>
      <c r="X2793" s="10">
        <f>IF(AND(ISNUMBER(Q2793),ISNUMBER(M2793)),IF(M2793&gt;0,Q2793/M2793,""),"")</f>
        <v/>
      </c>
      <c r="Y2793" s="11">
        <f>IF(ISNUMBER(Z2793),YEAR(Z2793),"")</f>
        <v/>
      </c>
      <c r="Z2793" s="12" t="n"/>
      <c r="AA2793" s="12" t="n"/>
      <c r="AI2793" s="12" t="n"/>
      <c r="AJ2793" s="13">
        <f>IF(LEN(TRIM(AF2793))=0,"",HYPERLINK("https://www.google.com/maps/@?api=1&amp;map_action=pano&amp;viewpoint="&amp;SUBSTITUTE(AF2793," ",""),"Abrir Street View"))</f>
        <v/>
      </c>
    </row>
    <row r="2794">
      <c r="H2794" s="6" t="n"/>
      <c r="I2794" s="6" t="n"/>
      <c r="M2794" s="7" t="n"/>
      <c r="N2794" s="7" t="n"/>
      <c r="O2794" s="7" t="n"/>
      <c r="Q2794" s="7" t="n"/>
      <c r="R2794" s="7" t="n"/>
      <c r="S2794" s="8">
        <f>IF(NOT(ISNUMBER(M2794)),"",IF(G2794="Terreno",IF(AND(ISNUMBER(I2794),I2794&gt;0),M2794/I2794,""),IF(AND(ISNUMBER(H2794),H2794&gt;0),M2794/H2794,"")))</f>
        <v/>
      </c>
      <c r="T2794" s="9">
        <f>IF(AND(ISNUMBER(M2794),ISNUMBER(O2794)),IF(M2794&lt;=O2794,"Valor ≤ venal IPTU",""),"")</f>
        <v/>
      </c>
      <c r="U2794" s="10">
        <f>IF(AND(ISNUMBER(M2794),ISNUMBER(N2794)),IF(N2794&gt;0,M2794/N2794,""),"")</f>
        <v/>
      </c>
      <c r="V2794" s="10">
        <f>IF(AND(ISNUMBER(M2794),ISNUMBER(O2794)),IF(O2794&gt;0,M2794/O2794,""),"")</f>
        <v/>
      </c>
      <c r="W2794" s="10">
        <f>IF(AND(ISNUMBER(M2794),ISNUMBER(R2794)),IF(R2794&gt;0,M2794/R2794,""),"")</f>
        <v/>
      </c>
      <c r="X2794" s="10">
        <f>IF(AND(ISNUMBER(Q2794),ISNUMBER(M2794)),IF(M2794&gt;0,Q2794/M2794,""),"")</f>
        <v/>
      </c>
      <c r="Y2794" s="11">
        <f>IF(ISNUMBER(Z2794),YEAR(Z2794),"")</f>
        <v/>
      </c>
      <c r="Z2794" s="12" t="n"/>
      <c r="AA2794" s="12" t="n"/>
      <c r="AI2794" s="12" t="n"/>
      <c r="AJ2794" s="13">
        <f>IF(LEN(TRIM(AF2794))=0,"",HYPERLINK("https://www.google.com/maps/@?api=1&amp;map_action=pano&amp;viewpoint="&amp;SUBSTITUTE(AF2794," ",""),"Abrir Street View"))</f>
        <v/>
      </c>
    </row>
    <row r="2795">
      <c r="H2795" s="6" t="n"/>
      <c r="I2795" s="6" t="n"/>
      <c r="M2795" s="7" t="n"/>
      <c r="N2795" s="7" t="n"/>
      <c r="O2795" s="7" t="n"/>
      <c r="Q2795" s="7" t="n"/>
      <c r="R2795" s="7" t="n"/>
      <c r="S2795" s="8">
        <f>IF(NOT(ISNUMBER(M2795)),"",IF(G2795="Terreno",IF(AND(ISNUMBER(I2795),I2795&gt;0),M2795/I2795,""),IF(AND(ISNUMBER(H2795),H2795&gt;0),M2795/H2795,"")))</f>
        <v/>
      </c>
      <c r="T2795" s="9">
        <f>IF(AND(ISNUMBER(M2795),ISNUMBER(O2795)),IF(M2795&lt;=O2795,"Valor ≤ venal IPTU",""),"")</f>
        <v/>
      </c>
      <c r="U2795" s="10">
        <f>IF(AND(ISNUMBER(M2795),ISNUMBER(N2795)),IF(N2795&gt;0,M2795/N2795,""),"")</f>
        <v/>
      </c>
      <c r="V2795" s="10">
        <f>IF(AND(ISNUMBER(M2795),ISNUMBER(O2795)),IF(O2795&gt;0,M2795/O2795,""),"")</f>
        <v/>
      </c>
      <c r="W2795" s="10">
        <f>IF(AND(ISNUMBER(M2795),ISNUMBER(R2795)),IF(R2795&gt;0,M2795/R2795,""),"")</f>
        <v/>
      </c>
      <c r="X2795" s="10">
        <f>IF(AND(ISNUMBER(Q2795),ISNUMBER(M2795)),IF(M2795&gt;0,Q2795/M2795,""),"")</f>
        <v/>
      </c>
      <c r="Y2795" s="11">
        <f>IF(ISNUMBER(Z2795),YEAR(Z2795),"")</f>
        <v/>
      </c>
      <c r="Z2795" s="12" t="n"/>
      <c r="AA2795" s="12" t="n"/>
      <c r="AI2795" s="12" t="n"/>
      <c r="AJ2795" s="13">
        <f>IF(LEN(TRIM(AF2795))=0,"",HYPERLINK("https://www.google.com/maps/@?api=1&amp;map_action=pano&amp;viewpoint="&amp;SUBSTITUTE(AF2795," ",""),"Abrir Street View"))</f>
        <v/>
      </c>
    </row>
    <row r="2796">
      <c r="H2796" s="6" t="n"/>
      <c r="I2796" s="6" t="n"/>
      <c r="M2796" s="7" t="n"/>
      <c r="N2796" s="7" t="n"/>
      <c r="O2796" s="7" t="n"/>
      <c r="Q2796" s="7" t="n"/>
      <c r="R2796" s="7" t="n"/>
      <c r="S2796" s="8">
        <f>IF(NOT(ISNUMBER(M2796)),"",IF(G2796="Terreno",IF(AND(ISNUMBER(I2796),I2796&gt;0),M2796/I2796,""),IF(AND(ISNUMBER(H2796),H2796&gt;0),M2796/H2796,"")))</f>
        <v/>
      </c>
      <c r="T2796" s="9">
        <f>IF(AND(ISNUMBER(M2796),ISNUMBER(O2796)),IF(M2796&lt;=O2796,"Valor ≤ venal IPTU",""),"")</f>
        <v/>
      </c>
      <c r="U2796" s="10">
        <f>IF(AND(ISNUMBER(M2796),ISNUMBER(N2796)),IF(N2796&gt;0,M2796/N2796,""),"")</f>
        <v/>
      </c>
      <c r="V2796" s="10">
        <f>IF(AND(ISNUMBER(M2796),ISNUMBER(O2796)),IF(O2796&gt;0,M2796/O2796,""),"")</f>
        <v/>
      </c>
      <c r="W2796" s="10">
        <f>IF(AND(ISNUMBER(M2796),ISNUMBER(R2796)),IF(R2796&gt;0,M2796/R2796,""),"")</f>
        <v/>
      </c>
      <c r="X2796" s="10">
        <f>IF(AND(ISNUMBER(Q2796),ISNUMBER(M2796)),IF(M2796&gt;0,Q2796/M2796,""),"")</f>
        <v/>
      </c>
      <c r="Y2796" s="11">
        <f>IF(ISNUMBER(Z2796),YEAR(Z2796),"")</f>
        <v/>
      </c>
      <c r="Z2796" s="12" t="n"/>
      <c r="AA2796" s="12" t="n"/>
      <c r="AI2796" s="12" t="n"/>
      <c r="AJ2796" s="13">
        <f>IF(LEN(TRIM(AF2796))=0,"",HYPERLINK("https://www.google.com/maps/@?api=1&amp;map_action=pano&amp;viewpoint="&amp;SUBSTITUTE(AF2796," ",""),"Abrir Street View"))</f>
        <v/>
      </c>
    </row>
    <row r="2797">
      <c r="H2797" s="6" t="n"/>
      <c r="I2797" s="6" t="n"/>
      <c r="M2797" s="7" t="n"/>
      <c r="N2797" s="7" t="n"/>
      <c r="O2797" s="7" t="n"/>
      <c r="Q2797" s="7" t="n"/>
      <c r="R2797" s="7" t="n"/>
      <c r="S2797" s="8">
        <f>IF(NOT(ISNUMBER(M2797)),"",IF(G2797="Terreno",IF(AND(ISNUMBER(I2797),I2797&gt;0),M2797/I2797,""),IF(AND(ISNUMBER(H2797),H2797&gt;0),M2797/H2797,"")))</f>
        <v/>
      </c>
      <c r="T2797" s="9">
        <f>IF(AND(ISNUMBER(M2797),ISNUMBER(O2797)),IF(M2797&lt;=O2797,"Valor ≤ venal IPTU",""),"")</f>
        <v/>
      </c>
      <c r="U2797" s="10">
        <f>IF(AND(ISNUMBER(M2797),ISNUMBER(N2797)),IF(N2797&gt;0,M2797/N2797,""),"")</f>
        <v/>
      </c>
      <c r="V2797" s="10">
        <f>IF(AND(ISNUMBER(M2797),ISNUMBER(O2797)),IF(O2797&gt;0,M2797/O2797,""),"")</f>
        <v/>
      </c>
      <c r="W2797" s="10">
        <f>IF(AND(ISNUMBER(M2797),ISNUMBER(R2797)),IF(R2797&gt;0,M2797/R2797,""),"")</f>
        <v/>
      </c>
      <c r="X2797" s="10">
        <f>IF(AND(ISNUMBER(Q2797),ISNUMBER(M2797)),IF(M2797&gt;0,Q2797/M2797,""),"")</f>
        <v/>
      </c>
      <c r="Y2797" s="11">
        <f>IF(ISNUMBER(Z2797),YEAR(Z2797),"")</f>
        <v/>
      </c>
      <c r="Z2797" s="12" t="n"/>
      <c r="AA2797" s="12" t="n"/>
      <c r="AI2797" s="12" t="n"/>
      <c r="AJ2797" s="13">
        <f>IF(LEN(TRIM(AF2797))=0,"",HYPERLINK("https://www.google.com/maps/@?api=1&amp;map_action=pano&amp;viewpoint="&amp;SUBSTITUTE(AF2797," ",""),"Abrir Street View"))</f>
        <v/>
      </c>
    </row>
    <row r="2798">
      <c r="H2798" s="6" t="n"/>
      <c r="I2798" s="6" t="n"/>
      <c r="M2798" s="7" t="n"/>
      <c r="N2798" s="7" t="n"/>
      <c r="O2798" s="7" t="n"/>
      <c r="Q2798" s="7" t="n"/>
      <c r="R2798" s="7" t="n"/>
      <c r="S2798" s="8">
        <f>IF(NOT(ISNUMBER(M2798)),"",IF(G2798="Terreno",IF(AND(ISNUMBER(I2798),I2798&gt;0),M2798/I2798,""),IF(AND(ISNUMBER(H2798),H2798&gt;0),M2798/H2798,"")))</f>
        <v/>
      </c>
      <c r="T2798" s="9">
        <f>IF(AND(ISNUMBER(M2798),ISNUMBER(O2798)),IF(M2798&lt;=O2798,"Valor ≤ venal IPTU",""),"")</f>
        <v/>
      </c>
      <c r="U2798" s="10">
        <f>IF(AND(ISNUMBER(M2798),ISNUMBER(N2798)),IF(N2798&gt;0,M2798/N2798,""),"")</f>
        <v/>
      </c>
      <c r="V2798" s="10">
        <f>IF(AND(ISNUMBER(M2798),ISNUMBER(O2798)),IF(O2798&gt;0,M2798/O2798,""),"")</f>
        <v/>
      </c>
      <c r="W2798" s="10">
        <f>IF(AND(ISNUMBER(M2798),ISNUMBER(R2798)),IF(R2798&gt;0,M2798/R2798,""),"")</f>
        <v/>
      </c>
      <c r="X2798" s="10">
        <f>IF(AND(ISNUMBER(Q2798),ISNUMBER(M2798)),IF(M2798&gt;0,Q2798/M2798,""),"")</f>
        <v/>
      </c>
      <c r="Y2798" s="11">
        <f>IF(ISNUMBER(Z2798),YEAR(Z2798),"")</f>
        <v/>
      </c>
      <c r="Z2798" s="12" t="n"/>
      <c r="AA2798" s="12" t="n"/>
      <c r="AI2798" s="12" t="n"/>
      <c r="AJ2798" s="13">
        <f>IF(LEN(TRIM(AF2798))=0,"",HYPERLINK("https://www.google.com/maps/@?api=1&amp;map_action=pano&amp;viewpoint="&amp;SUBSTITUTE(AF2798," ",""),"Abrir Street View"))</f>
        <v/>
      </c>
    </row>
    <row r="2799">
      <c r="H2799" s="6" t="n"/>
      <c r="I2799" s="6" t="n"/>
      <c r="M2799" s="7" t="n"/>
      <c r="N2799" s="7" t="n"/>
      <c r="O2799" s="7" t="n"/>
      <c r="Q2799" s="7" t="n"/>
      <c r="R2799" s="7" t="n"/>
      <c r="S2799" s="8">
        <f>IF(NOT(ISNUMBER(M2799)),"",IF(G2799="Terreno",IF(AND(ISNUMBER(I2799),I2799&gt;0),M2799/I2799,""),IF(AND(ISNUMBER(H2799),H2799&gt;0),M2799/H2799,"")))</f>
        <v/>
      </c>
      <c r="T2799" s="9">
        <f>IF(AND(ISNUMBER(M2799),ISNUMBER(O2799)),IF(M2799&lt;=O2799,"Valor ≤ venal IPTU",""),"")</f>
        <v/>
      </c>
      <c r="U2799" s="10">
        <f>IF(AND(ISNUMBER(M2799),ISNUMBER(N2799)),IF(N2799&gt;0,M2799/N2799,""),"")</f>
        <v/>
      </c>
      <c r="V2799" s="10">
        <f>IF(AND(ISNUMBER(M2799),ISNUMBER(O2799)),IF(O2799&gt;0,M2799/O2799,""),"")</f>
        <v/>
      </c>
      <c r="W2799" s="10">
        <f>IF(AND(ISNUMBER(M2799),ISNUMBER(R2799)),IF(R2799&gt;0,M2799/R2799,""),"")</f>
        <v/>
      </c>
      <c r="X2799" s="10">
        <f>IF(AND(ISNUMBER(Q2799),ISNUMBER(M2799)),IF(M2799&gt;0,Q2799/M2799,""),"")</f>
        <v/>
      </c>
      <c r="Y2799" s="11">
        <f>IF(ISNUMBER(Z2799),YEAR(Z2799),"")</f>
        <v/>
      </c>
      <c r="Z2799" s="12" t="n"/>
      <c r="AA2799" s="12" t="n"/>
      <c r="AI2799" s="12" t="n"/>
      <c r="AJ2799" s="13">
        <f>IF(LEN(TRIM(AF2799))=0,"",HYPERLINK("https://www.google.com/maps/@?api=1&amp;map_action=pano&amp;viewpoint="&amp;SUBSTITUTE(AF2799," ",""),"Abrir Street View"))</f>
        <v/>
      </c>
    </row>
    <row r="2800">
      <c r="H2800" s="6" t="n"/>
      <c r="I2800" s="6" t="n"/>
      <c r="M2800" s="7" t="n"/>
      <c r="N2800" s="7" t="n"/>
      <c r="O2800" s="7" t="n"/>
      <c r="Q2800" s="7" t="n"/>
      <c r="R2800" s="7" t="n"/>
      <c r="S2800" s="8">
        <f>IF(NOT(ISNUMBER(M2800)),"",IF(G2800="Terreno",IF(AND(ISNUMBER(I2800),I2800&gt;0),M2800/I2800,""),IF(AND(ISNUMBER(H2800),H2800&gt;0),M2800/H2800,"")))</f>
        <v/>
      </c>
      <c r="T2800" s="9">
        <f>IF(AND(ISNUMBER(M2800),ISNUMBER(O2800)),IF(M2800&lt;=O2800,"Valor ≤ venal IPTU",""),"")</f>
        <v/>
      </c>
      <c r="U2800" s="10">
        <f>IF(AND(ISNUMBER(M2800),ISNUMBER(N2800)),IF(N2800&gt;0,M2800/N2800,""),"")</f>
        <v/>
      </c>
      <c r="V2800" s="10">
        <f>IF(AND(ISNUMBER(M2800),ISNUMBER(O2800)),IF(O2800&gt;0,M2800/O2800,""),"")</f>
        <v/>
      </c>
      <c r="W2800" s="10">
        <f>IF(AND(ISNUMBER(M2800),ISNUMBER(R2800)),IF(R2800&gt;0,M2800/R2800,""),"")</f>
        <v/>
      </c>
      <c r="X2800" s="10">
        <f>IF(AND(ISNUMBER(Q2800),ISNUMBER(M2800)),IF(M2800&gt;0,Q2800/M2800,""),"")</f>
        <v/>
      </c>
      <c r="Y2800" s="11">
        <f>IF(ISNUMBER(Z2800),YEAR(Z2800),"")</f>
        <v/>
      </c>
      <c r="Z2800" s="12" t="n"/>
      <c r="AA2800" s="12" t="n"/>
      <c r="AI2800" s="12" t="n"/>
      <c r="AJ2800" s="13">
        <f>IF(LEN(TRIM(AF2800))=0,"",HYPERLINK("https://www.google.com/maps/@?api=1&amp;map_action=pano&amp;viewpoint="&amp;SUBSTITUTE(AF2800," ",""),"Abrir Street View"))</f>
        <v/>
      </c>
    </row>
    <row r="2801">
      <c r="H2801" s="6" t="n"/>
      <c r="I2801" s="6" t="n"/>
      <c r="M2801" s="7" t="n"/>
      <c r="N2801" s="7" t="n"/>
      <c r="O2801" s="7" t="n"/>
      <c r="Q2801" s="7" t="n"/>
      <c r="R2801" s="7" t="n"/>
      <c r="S2801" s="8">
        <f>IF(NOT(ISNUMBER(M2801)),"",IF(G2801="Terreno",IF(AND(ISNUMBER(I2801),I2801&gt;0),M2801/I2801,""),IF(AND(ISNUMBER(H2801),H2801&gt;0),M2801/H2801,"")))</f>
        <v/>
      </c>
      <c r="T2801" s="9">
        <f>IF(AND(ISNUMBER(M2801),ISNUMBER(O2801)),IF(M2801&lt;=O2801,"Valor ≤ venal IPTU",""),"")</f>
        <v/>
      </c>
      <c r="U2801" s="10">
        <f>IF(AND(ISNUMBER(M2801),ISNUMBER(N2801)),IF(N2801&gt;0,M2801/N2801,""),"")</f>
        <v/>
      </c>
      <c r="V2801" s="10">
        <f>IF(AND(ISNUMBER(M2801),ISNUMBER(O2801)),IF(O2801&gt;0,M2801/O2801,""),"")</f>
        <v/>
      </c>
      <c r="W2801" s="10">
        <f>IF(AND(ISNUMBER(M2801),ISNUMBER(R2801)),IF(R2801&gt;0,M2801/R2801,""),"")</f>
        <v/>
      </c>
      <c r="X2801" s="10">
        <f>IF(AND(ISNUMBER(Q2801),ISNUMBER(M2801)),IF(M2801&gt;0,Q2801/M2801,""),"")</f>
        <v/>
      </c>
      <c r="Y2801" s="11">
        <f>IF(ISNUMBER(Z2801),YEAR(Z2801),"")</f>
        <v/>
      </c>
      <c r="Z2801" s="12" t="n"/>
      <c r="AA2801" s="12" t="n"/>
      <c r="AI2801" s="12" t="n"/>
      <c r="AJ2801" s="13">
        <f>IF(LEN(TRIM(AF2801))=0,"",HYPERLINK("https://www.google.com/maps/@?api=1&amp;map_action=pano&amp;viewpoint="&amp;SUBSTITUTE(AF2801," ",""),"Abrir Street View"))</f>
        <v/>
      </c>
    </row>
    <row r="2802">
      <c r="H2802" s="6" t="n"/>
      <c r="I2802" s="6" t="n"/>
      <c r="M2802" s="7" t="n"/>
      <c r="N2802" s="7" t="n"/>
      <c r="O2802" s="7" t="n"/>
      <c r="Q2802" s="7" t="n"/>
      <c r="R2802" s="7" t="n"/>
      <c r="S2802" s="8">
        <f>IF(NOT(ISNUMBER(M2802)),"",IF(G2802="Terreno",IF(AND(ISNUMBER(I2802),I2802&gt;0),M2802/I2802,""),IF(AND(ISNUMBER(H2802),H2802&gt;0),M2802/H2802,"")))</f>
        <v/>
      </c>
      <c r="T2802" s="9">
        <f>IF(AND(ISNUMBER(M2802),ISNUMBER(O2802)),IF(M2802&lt;=O2802,"Valor ≤ venal IPTU",""),"")</f>
        <v/>
      </c>
      <c r="U2802" s="10">
        <f>IF(AND(ISNUMBER(M2802),ISNUMBER(N2802)),IF(N2802&gt;0,M2802/N2802,""),"")</f>
        <v/>
      </c>
      <c r="V2802" s="10">
        <f>IF(AND(ISNUMBER(M2802),ISNUMBER(O2802)),IF(O2802&gt;0,M2802/O2802,""),"")</f>
        <v/>
      </c>
      <c r="W2802" s="10">
        <f>IF(AND(ISNUMBER(M2802),ISNUMBER(R2802)),IF(R2802&gt;0,M2802/R2802,""),"")</f>
        <v/>
      </c>
      <c r="X2802" s="10">
        <f>IF(AND(ISNUMBER(Q2802),ISNUMBER(M2802)),IF(M2802&gt;0,Q2802/M2802,""),"")</f>
        <v/>
      </c>
      <c r="Y2802" s="11">
        <f>IF(ISNUMBER(Z2802),YEAR(Z2802),"")</f>
        <v/>
      </c>
      <c r="Z2802" s="12" t="n"/>
      <c r="AA2802" s="12" t="n"/>
      <c r="AI2802" s="12" t="n"/>
      <c r="AJ2802" s="13">
        <f>IF(LEN(TRIM(AF2802))=0,"",HYPERLINK("https://www.google.com/maps/@?api=1&amp;map_action=pano&amp;viewpoint="&amp;SUBSTITUTE(AF2802," ",""),"Abrir Street View"))</f>
        <v/>
      </c>
    </row>
    <row r="2803">
      <c r="H2803" s="6" t="n"/>
      <c r="I2803" s="6" t="n"/>
      <c r="M2803" s="7" t="n"/>
      <c r="N2803" s="7" t="n"/>
      <c r="O2803" s="7" t="n"/>
      <c r="Q2803" s="7" t="n"/>
      <c r="R2803" s="7" t="n"/>
      <c r="S2803" s="8">
        <f>IF(NOT(ISNUMBER(M2803)),"",IF(G2803="Terreno",IF(AND(ISNUMBER(I2803),I2803&gt;0),M2803/I2803,""),IF(AND(ISNUMBER(H2803),H2803&gt;0),M2803/H2803,"")))</f>
        <v/>
      </c>
      <c r="T2803" s="9">
        <f>IF(AND(ISNUMBER(M2803),ISNUMBER(O2803)),IF(M2803&lt;=O2803,"Valor ≤ venal IPTU",""),"")</f>
        <v/>
      </c>
      <c r="U2803" s="10">
        <f>IF(AND(ISNUMBER(M2803),ISNUMBER(N2803)),IF(N2803&gt;0,M2803/N2803,""),"")</f>
        <v/>
      </c>
      <c r="V2803" s="10">
        <f>IF(AND(ISNUMBER(M2803),ISNUMBER(O2803)),IF(O2803&gt;0,M2803/O2803,""),"")</f>
        <v/>
      </c>
      <c r="W2803" s="10">
        <f>IF(AND(ISNUMBER(M2803),ISNUMBER(R2803)),IF(R2803&gt;0,M2803/R2803,""),"")</f>
        <v/>
      </c>
      <c r="X2803" s="10">
        <f>IF(AND(ISNUMBER(Q2803),ISNUMBER(M2803)),IF(M2803&gt;0,Q2803/M2803,""),"")</f>
        <v/>
      </c>
      <c r="Y2803" s="11">
        <f>IF(ISNUMBER(Z2803),YEAR(Z2803),"")</f>
        <v/>
      </c>
      <c r="Z2803" s="12" t="n"/>
      <c r="AA2803" s="12" t="n"/>
      <c r="AI2803" s="12" t="n"/>
      <c r="AJ2803" s="13">
        <f>IF(LEN(TRIM(AF2803))=0,"",HYPERLINK("https://www.google.com/maps/@?api=1&amp;map_action=pano&amp;viewpoint="&amp;SUBSTITUTE(AF2803," ",""),"Abrir Street View"))</f>
        <v/>
      </c>
    </row>
    <row r="2804">
      <c r="H2804" s="6" t="n"/>
      <c r="I2804" s="6" t="n"/>
      <c r="M2804" s="7" t="n"/>
      <c r="N2804" s="7" t="n"/>
      <c r="O2804" s="7" t="n"/>
      <c r="Q2804" s="7" t="n"/>
      <c r="R2804" s="7" t="n"/>
      <c r="S2804" s="8">
        <f>IF(NOT(ISNUMBER(M2804)),"",IF(G2804="Terreno",IF(AND(ISNUMBER(I2804),I2804&gt;0),M2804/I2804,""),IF(AND(ISNUMBER(H2804),H2804&gt;0),M2804/H2804,"")))</f>
        <v/>
      </c>
      <c r="T2804" s="9">
        <f>IF(AND(ISNUMBER(M2804),ISNUMBER(O2804)),IF(M2804&lt;=O2804,"Valor ≤ venal IPTU",""),"")</f>
        <v/>
      </c>
      <c r="U2804" s="10">
        <f>IF(AND(ISNUMBER(M2804),ISNUMBER(N2804)),IF(N2804&gt;0,M2804/N2804,""),"")</f>
        <v/>
      </c>
      <c r="V2804" s="10">
        <f>IF(AND(ISNUMBER(M2804),ISNUMBER(O2804)),IF(O2804&gt;0,M2804/O2804,""),"")</f>
        <v/>
      </c>
      <c r="W2804" s="10">
        <f>IF(AND(ISNUMBER(M2804),ISNUMBER(R2804)),IF(R2804&gt;0,M2804/R2804,""),"")</f>
        <v/>
      </c>
      <c r="X2804" s="10">
        <f>IF(AND(ISNUMBER(Q2804),ISNUMBER(M2804)),IF(M2804&gt;0,Q2804/M2804,""),"")</f>
        <v/>
      </c>
      <c r="Y2804" s="11">
        <f>IF(ISNUMBER(Z2804),YEAR(Z2804),"")</f>
        <v/>
      </c>
      <c r="Z2804" s="12" t="n"/>
      <c r="AA2804" s="12" t="n"/>
      <c r="AI2804" s="12" t="n"/>
      <c r="AJ2804" s="13">
        <f>IF(LEN(TRIM(AF2804))=0,"",HYPERLINK("https://www.google.com/maps/@?api=1&amp;map_action=pano&amp;viewpoint="&amp;SUBSTITUTE(AF2804," ",""),"Abrir Street View"))</f>
        <v/>
      </c>
    </row>
    <row r="2805">
      <c r="H2805" s="6" t="n"/>
      <c r="I2805" s="6" t="n"/>
      <c r="M2805" s="7" t="n"/>
      <c r="N2805" s="7" t="n"/>
      <c r="O2805" s="7" t="n"/>
      <c r="Q2805" s="7" t="n"/>
      <c r="R2805" s="7" t="n"/>
      <c r="S2805" s="8">
        <f>IF(NOT(ISNUMBER(M2805)),"",IF(G2805="Terreno",IF(AND(ISNUMBER(I2805),I2805&gt;0),M2805/I2805,""),IF(AND(ISNUMBER(H2805),H2805&gt;0),M2805/H2805,"")))</f>
        <v/>
      </c>
      <c r="T2805" s="9">
        <f>IF(AND(ISNUMBER(M2805),ISNUMBER(O2805)),IF(M2805&lt;=O2805,"Valor ≤ venal IPTU",""),"")</f>
        <v/>
      </c>
      <c r="U2805" s="10">
        <f>IF(AND(ISNUMBER(M2805),ISNUMBER(N2805)),IF(N2805&gt;0,M2805/N2805,""),"")</f>
        <v/>
      </c>
      <c r="V2805" s="10">
        <f>IF(AND(ISNUMBER(M2805),ISNUMBER(O2805)),IF(O2805&gt;0,M2805/O2805,""),"")</f>
        <v/>
      </c>
      <c r="W2805" s="10">
        <f>IF(AND(ISNUMBER(M2805),ISNUMBER(R2805)),IF(R2805&gt;0,M2805/R2805,""),"")</f>
        <v/>
      </c>
      <c r="X2805" s="10">
        <f>IF(AND(ISNUMBER(Q2805),ISNUMBER(M2805)),IF(M2805&gt;0,Q2805/M2805,""),"")</f>
        <v/>
      </c>
      <c r="Y2805" s="11">
        <f>IF(ISNUMBER(Z2805),YEAR(Z2805),"")</f>
        <v/>
      </c>
      <c r="Z2805" s="12" t="n"/>
      <c r="AA2805" s="12" t="n"/>
      <c r="AI2805" s="12" t="n"/>
      <c r="AJ2805" s="13">
        <f>IF(LEN(TRIM(AF2805))=0,"",HYPERLINK("https://www.google.com/maps/@?api=1&amp;map_action=pano&amp;viewpoint="&amp;SUBSTITUTE(AF2805," ",""),"Abrir Street View"))</f>
        <v/>
      </c>
    </row>
    <row r="2806">
      <c r="H2806" s="6" t="n"/>
      <c r="I2806" s="6" t="n"/>
      <c r="M2806" s="7" t="n"/>
      <c r="N2806" s="7" t="n"/>
      <c r="O2806" s="7" t="n"/>
      <c r="Q2806" s="7" t="n"/>
      <c r="R2806" s="7" t="n"/>
      <c r="S2806" s="8">
        <f>IF(NOT(ISNUMBER(M2806)),"",IF(G2806="Terreno",IF(AND(ISNUMBER(I2806),I2806&gt;0),M2806/I2806,""),IF(AND(ISNUMBER(H2806),H2806&gt;0),M2806/H2806,"")))</f>
        <v/>
      </c>
      <c r="T2806" s="9">
        <f>IF(AND(ISNUMBER(M2806),ISNUMBER(O2806)),IF(M2806&lt;=O2806,"Valor ≤ venal IPTU",""),"")</f>
        <v/>
      </c>
      <c r="U2806" s="10">
        <f>IF(AND(ISNUMBER(M2806),ISNUMBER(N2806)),IF(N2806&gt;0,M2806/N2806,""),"")</f>
        <v/>
      </c>
      <c r="V2806" s="10">
        <f>IF(AND(ISNUMBER(M2806),ISNUMBER(O2806)),IF(O2806&gt;0,M2806/O2806,""),"")</f>
        <v/>
      </c>
      <c r="W2806" s="10">
        <f>IF(AND(ISNUMBER(M2806),ISNUMBER(R2806)),IF(R2806&gt;0,M2806/R2806,""),"")</f>
        <v/>
      </c>
      <c r="X2806" s="10">
        <f>IF(AND(ISNUMBER(Q2806),ISNUMBER(M2806)),IF(M2806&gt;0,Q2806/M2806,""),"")</f>
        <v/>
      </c>
      <c r="Y2806" s="11">
        <f>IF(ISNUMBER(Z2806),YEAR(Z2806),"")</f>
        <v/>
      </c>
      <c r="Z2806" s="12" t="n"/>
      <c r="AA2806" s="12" t="n"/>
      <c r="AI2806" s="12" t="n"/>
      <c r="AJ2806" s="13">
        <f>IF(LEN(TRIM(AF2806))=0,"",HYPERLINK("https://www.google.com/maps/@?api=1&amp;map_action=pano&amp;viewpoint="&amp;SUBSTITUTE(AF2806," ",""),"Abrir Street View"))</f>
        <v/>
      </c>
    </row>
    <row r="2807">
      <c r="H2807" s="6" t="n"/>
      <c r="I2807" s="6" t="n"/>
      <c r="M2807" s="7" t="n"/>
      <c r="N2807" s="7" t="n"/>
      <c r="O2807" s="7" t="n"/>
      <c r="Q2807" s="7" t="n"/>
      <c r="R2807" s="7" t="n"/>
      <c r="S2807" s="8">
        <f>IF(NOT(ISNUMBER(M2807)),"",IF(G2807="Terreno",IF(AND(ISNUMBER(I2807),I2807&gt;0),M2807/I2807,""),IF(AND(ISNUMBER(H2807),H2807&gt;0),M2807/H2807,"")))</f>
        <v/>
      </c>
      <c r="T2807" s="9">
        <f>IF(AND(ISNUMBER(M2807),ISNUMBER(O2807)),IF(M2807&lt;=O2807,"Valor ≤ venal IPTU",""),"")</f>
        <v/>
      </c>
      <c r="U2807" s="10">
        <f>IF(AND(ISNUMBER(M2807),ISNUMBER(N2807)),IF(N2807&gt;0,M2807/N2807,""),"")</f>
        <v/>
      </c>
      <c r="V2807" s="10">
        <f>IF(AND(ISNUMBER(M2807),ISNUMBER(O2807)),IF(O2807&gt;0,M2807/O2807,""),"")</f>
        <v/>
      </c>
      <c r="W2807" s="10">
        <f>IF(AND(ISNUMBER(M2807),ISNUMBER(R2807)),IF(R2807&gt;0,M2807/R2807,""),"")</f>
        <v/>
      </c>
      <c r="X2807" s="10">
        <f>IF(AND(ISNUMBER(Q2807),ISNUMBER(M2807)),IF(M2807&gt;0,Q2807/M2807,""),"")</f>
        <v/>
      </c>
      <c r="Y2807" s="11">
        <f>IF(ISNUMBER(Z2807),YEAR(Z2807),"")</f>
        <v/>
      </c>
      <c r="Z2807" s="12" t="n"/>
      <c r="AA2807" s="12" t="n"/>
      <c r="AI2807" s="12" t="n"/>
      <c r="AJ2807" s="13">
        <f>IF(LEN(TRIM(AF2807))=0,"",HYPERLINK("https://www.google.com/maps/@?api=1&amp;map_action=pano&amp;viewpoint="&amp;SUBSTITUTE(AF2807," ",""),"Abrir Street View"))</f>
        <v/>
      </c>
    </row>
    <row r="2808">
      <c r="H2808" s="6" t="n"/>
      <c r="I2808" s="6" t="n"/>
      <c r="M2808" s="7" t="n"/>
      <c r="N2808" s="7" t="n"/>
      <c r="O2808" s="7" t="n"/>
      <c r="Q2808" s="7" t="n"/>
      <c r="R2808" s="7" t="n"/>
      <c r="S2808" s="8">
        <f>IF(NOT(ISNUMBER(M2808)),"",IF(G2808="Terreno",IF(AND(ISNUMBER(I2808),I2808&gt;0),M2808/I2808,""),IF(AND(ISNUMBER(H2808),H2808&gt;0),M2808/H2808,"")))</f>
        <v/>
      </c>
      <c r="T2808" s="9">
        <f>IF(AND(ISNUMBER(M2808),ISNUMBER(O2808)),IF(M2808&lt;=O2808,"Valor ≤ venal IPTU",""),"")</f>
        <v/>
      </c>
      <c r="U2808" s="10">
        <f>IF(AND(ISNUMBER(M2808),ISNUMBER(N2808)),IF(N2808&gt;0,M2808/N2808,""),"")</f>
        <v/>
      </c>
      <c r="V2808" s="10">
        <f>IF(AND(ISNUMBER(M2808),ISNUMBER(O2808)),IF(O2808&gt;0,M2808/O2808,""),"")</f>
        <v/>
      </c>
      <c r="W2808" s="10">
        <f>IF(AND(ISNUMBER(M2808),ISNUMBER(R2808)),IF(R2808&gt;0,M2808/R2808,""),"")</f>
        <v/>
      </c>
      <c r="X2808" s="10">
        <f>IF(AND(ISNUMBER(Q2808),ISNUMBER(M2808)),IF(M2808&gt;0,Q2808/M2808,""),"")</f>
        <v/>
      </c>
      <c r="Y2808" s="11">
        <f>IF(ISNUMBER(Z2808),YEAR(Z2808),"")</f>
        <v/>
      </c>
      <c r="Z2808" s="12" t="n"/>
      <c r="AA2808" s="12" t="n"/>
      <c r="AI2808" s="12" t="n"/>
      <c r="AJ2808" s="13">
        <f>IF(LEN(TRIM(AF2808))=0,"",HYPERLINK("https://www.google.com/maps/@?api=1&amp;map_action=pano&amp;viewpoint="&amp;SUBSTITUTE(AF2808," ",""),"Abrir Street View"))</f>
        <v/>
      </c>
    </row>
    <row r="2809">
      <c r="H2809" s="6" t="n"/>
      <c r="I2809" s="6" t="n"/>
      <c r="M2809" s="7" t="n"/>
      <c r="N2809" s="7" t="n"/>
      <c r="O2809" s="7" t="n"/>
      <c r="Q2809" s="7" t="n"/>
      <c r="R2809" s="7" t="n"/>
      <c r="S2809" s="8">
        <f>IF(NOT(ISNUMBER(M2809)),"",IF(G2809="Terreno",IF(AND(ISNUMBER(I2809),I2809&gt;0),M2809/I2809,""),IF(AND(ISNUMBER(H2809),H2809&gt;0),M2809/H2809,"")))</f>
        <v/>
      </c>
      <c r="T2809" s="9">
        <f>IF(AND(ISNUMBER(M2809),ISNUMBER(O2809)),IF(M2809&lt;=O2809,"Valor ≤ venal IPTU",""),"")</f>
        <v/>
      </c>
      <c r="U2809" s="10">
        <f>IF(AND(ISNUMBER(M2809),ISNUMBER(N2809)),IF(N2809&gt;0,M2809/N2809,""),"")</f>
        <v/>
      </c>
      <c r="V2809" s="10">
        <f>IF(AND(ISNUMBER(M2809),ISNUMBER(O2809)),IF(O2809&gt;0,M2809/O2809,""),"")</f>
        <v/>
      </c>
      <c r="W2809" s="10">
        <f>IF(AND(ISNUMBER(M2809),ISNUMBER(R2809)),IF(R2809&gt;0,M2809/R2809,""),"")</f>
        <v/>
      </c>
      <c r="X2809" s="10">
        <f>IF(AND(ISNUMBER(Q2809),ISNUMBER(M2809)),IF(M2809&gt;0,Q2809/M2809,""),"")</f>
        <v/>
      </c>
      <c r="Y2809" s="11">
        <f>IF(ISNUMBER(Z2809),YEAR(Z2809),"")</f>
        <v/>
      </c>
      <c r="Z2809" s="12" t="n"/>
      <c r="AA2809" s="12" t="n"/>
      <c r="AI2809" s="12" t="n"/>
      <c r="AJ2809" s="13">
        <f>IF(LEN(TRIM(AF2809))=0,"",HYPERLINK("https://www.google.com/maps/@?api=1&amp;map_action=pano&amp;viewpoint="&amp;SUBSTITUTE(AF2809," ",""),"Abrir Street View"))</f>
        <v/>
      </c>
    </row>
    <row r="2810">
      <c r="H2810" s="6" t="n"/>
      <c r="I2810" s="6" t="n"/>
      <c r="M2810" s="7" t="n"/>
      <c r="N2810" s="7" t="n"/>
      <c r="O2810" s="7" t="n"/>
      <c r="Q2810" s="7" t="n"/>
      <c r="R2810" s="7" t="n"/>
      <c r="S2810" s="8">
        <f>IF(NOT(ISNUMBER(M2810)),"",IF(G2810="Terreno",IF(AND(ISNUMBER(I2810),I2810&gt;0),M2810/I2810,""),IF(AND(ISNUMBER(H2810),H2810&gt;0),M2810/H2810,"")))</f>
        <v/>
      </c>
      <c r="T2810" s="9">
        <f>IF(AND(ISNUMBER(M2810),ISNUMBER(O2810)),IF(M2810&lt;=O2810,"Valor ≤ venal IPTU",""),"")</f>
        <v/>
      </c>
      <c r="U2810" s="10">
        <f>IF(AND(ISNUMBER(M2810),ISNUMBER(N2810)),IF(N2810&gt;0,M2810/N2810,""),"")</f>
        <v/>
      </c>
      <c r="V2810" s="10">
        <f>IF(AND(ISNUMBER(M2810),ISNUMBER(O2810)),IF(O2810&gt;0,M2810/O2810,""),"")</f>
        <v/>
      </c>
      <c r="W2810" s="10">
        <f>IF(AND(ISNUMBER(M2810),ISNUMBER(R2810)),IF(R2810&gt;0,M2810/R2810,""),"")</f>
        <v/>
      </c>
      <c r="X2810" s="10">
        <f>IF(AND(ISNUMBER(Q2810),ISNUMBER(M2810)),IF(M2810&gt;0,Q2810/M2810,""),"")</f>
        <v/>
      </c>
      <c r="Y2810" s="11">
        <f>IF(ISNUMBER(Z2810),YEAR(Z2810),"")</f>
        <v/>
      </c>
      <c r="Z2810" s="12" t="n"/>
      <c r="AA2810" s="12" t="n"/>
      <c r="AI2810" s="12" t="n"/>
      <c r="AJ2810" s="13">
        <f>IF(LEN(TRIM(AF2810))=0,"",HYPERLINK("https://www.google.com/maps/@?api=1&amp;map_action=pano&amp;viewpoint="&amp;SUBSTITUTE(AF2810," ",""),"Abrir Street View"))</f>
        <v/>
      </c>
    </row>
    <row r="2811">
      <c r="H2811" s="6" t="n"/>
      <c r="I2811" s="6" t="n"/>
      <c r="M2811" s="7" t="n"/>
      <c r="N2811" s="7" t="n"/>
      <c r="O2811" s="7" t="n"/>
      <c r="Q2811" s="7" t="n"/>
      <c r="R2811" s="7" t="n"/>
      <c r="S2811" s="8">
        <f>IF(NOT(ISNUMBER(M2811)),"",IF(G2811="Terreno",IF(AND(ISNUMBER(I2811),I2811&gt;0),M2811/I2811,""),IF(AND(ISNUMBER(H2811),H2811&gt;0),M2811/H2811,"")))</f>
        <v/>
      </c>
      <c r="T2811" s="9">
        <f>IF(AND(ISNUMBER(M2811),ISNUMBER(O2811)),IF(M2811&lt;=O2811,"Valor ≤ venal IPTU",""),"")</f>
        <v/>
      </c>
      <c r="U2811" s="10">
        <f>IF(AND(ISNUMBER(M2811),ISNUMBER(N2811)),IF(N2811&gt;0,M2811/N2811,""),"")</f>
        <v/>
      </c>
      <c r="V2811" s="10">
        <f>IF(AND(ISNUMBER(M2811),ISNUMBER(O2811)),IF(O2811&gt;0,M2811/O2811,""),"")</f>
        <v/>
      </c>
      <c r="W2811" s="10">
        <f>IF(AND(ISNUMBER(M2811),ISNUMBER(R2811)),IF(R2811&gt;0,M2811/R2811,""),"")</f>
        <v/>
      </c>
      <c r="X2811" s="10">
        <f>IF(AND(ISNUMBER(Q2811),ISNUMBER(M2811)),IF(M2811&gt;0,Q2811/M2811,""),"")</f>
        <v/>
      </c>
      <c r="Y2811" s="11">
        <f>IF(ISNUMBER(Z2811),YEAR(Z2811),"")</f>
        <v/>
      </c>
      <c r="Z2811" s="12" t="n"/>
      <c r="AA2811" s="12" t="n"/>
      <c r="AI2811" s="12" t="n"/>
      <c r="AJ2811" s="13">
        <f>IF(LEN(TRIM(AF2811))=0,"",HYPERLINK("https://www.google.com/maps/@?api=1&amp;map_action=pano&amp;viewpoint="&amp;SUBSTITUTE(AF2811," ",""),"Abrir Street View"))</f>
        <v/>
      </c>
    </row>
    <row r="2812">
      <c r="H2812" s="6" t="n"/>
      <c r="I2812" s="6" t="n"/>
      <c r="M2812" s="7" t="n"/>
      <c r="N2812" s="7" t="n"/>
      <c r="O2812" s="7" t="n"/>
      <c r="Q2812" s="7" t="n"/>
      <c r="R2812" s="7" t="n"/>
      <c r="S2812" s="8">
        <f>IF(NOT(ISNUMBER(M2812)),"",IF(G2812="Terreno",IF(AND(ISNUMBER(I2812),I2812&gt;0),M2812/I2812,""),IF(AND(ISNUMBER(H2812),H2812&gt;0),M2812/H2812,"")))</f>
        <v/>
      </c>
      <c r="T2812" s="9">
        <f>IF(AND(ISNUMBER(M2812),ISNUMBER(O2812)),IF(M2812&lt;=O2812,"Valor ≤ venal IPTU",""),"")</f>
        <v/>
      </c>
      <c r="U2812" s="10">
        <f>IF(AND(ISNUMBER(M2812),ISNUMBER(N2812)),IF(N2812&gt;0,M2812/N2812,""),"")</f>
        <v/>
      </c>
      <c r="V2812" s="10">
        <f>IF(AND(ISNUMBER(M2812),ISNUMBER(O2812)),IF(O2812&gt;0,M2812/O2812,""),"")</f>
        <v/>
      </c>
      <c r="W2812" s="10">
        <f>IF(AND(ISNUMBER(M2812),ISNUMBER(R2812)),IF(R2812&gt;0,M2812/R2812,""),"")</f>
        <v/>
      </c>
      <c r="X2812" s="10">
        <f>IF(AND(ISNUMBER(Q2812),ISNUMBER(M2812)),IF(M2812&gt;0,Q2812/M2812,""),"")</f>
        <v/>
      </c>
      <c r="Y2812" s="11">
        <f>IF(ISNUMBER(Z2812),YEAR(Z2812),"")</f>
        <v/>
      </c>
      <c r="Z2812" s="12" t="n"/>
      <c r="AA2812" s="12" t="n"/>
      <c r="AI2812" s="12" t="n"/>
      <c r="AJ2812" s="13">
        <f>IF(LEN(TRIM(AF2812))=0,"",HYPERLINK("https://www.google.com/maps/@?api=1&amp;map_action=pano&amp;viewpoint="&amp;SUBSTITUTE(AF2812," ",""),"Abrir Street View"))</f>
        <v/>
      </c>
    </row>
    <row r="2813">
      <c r="H2813" s="6" t="n"/>
      <c r="I2813" s="6" t="n"/>
      <c r="M2813" s="7" t="n"/>
      <c r="N2813" s="7" t="n"/>
      <c r="O2813" s="7" t="n"/>
      <c r="Q2813" s="7" t="n"/>
      <c r="R2813" s="7" t="n"/>
      <c r="S2813" s="8">
        <f>IF(NOT(ISNUMBER(M2813)),"",IF(G2813="Terreno",IF(AND(ISNUMBER(I2813),I2813&gt;0),M2813/I2813,""),IF(AND(ISNUMBER(H2813),H2813&gt;0),M2813/H2813,"")))</f>
        <v/>
      </c>
      <c r="T2813" s="9">
        <f>IF(AND(ISNUMBER(M2813),ISNUMBER(O2813)),IF(M2813&lt;=O2813,"Valor ≤ venal IPTU",""),"")</f>
        <v/>
      </c>
      <c r="U2813" s="10">
        <f>IF(AND(ISNUMBER(M2813),ISNUMBER(N2813)),IF(N2813&gt;0,M2813/N2813,""),"")</f>
        <v/>
      </c>
      <c r="V2813" s="10">
        <f>IF(AND(ISNUMBER(M2813),ISNUMBER(O2813)),IF(O2813&gt;0,M2813/O2813,""),"")</f>
        <v/>
      </c>
      <c r="W2813" s="10">
        <f>IF(AND(ISNUMBER(M2813),ISNUMBER(R2813)),IF(R2813&gt;0,M2813/R2813,""),"")</f>
        <v/>
      </c>
      <c r="X2813" s="10">
        <f>IF(AND(ISNUMBER(Q2813),ISNUMBER(M2813)),IF(M2813&gt;0,Q2813/M2813,""),"")</f>
        <v/>
      </c>
      <c r="Y2813" s="11">
        <f>IF(ISNUMBER(Z2813),YEAR(Z2813),"")</f>
        <v/>
      </c>
      <c r="Z2813" s="12" t="n"/>
      <c r="AA2813" s="12" t="n"/>
      <c r="AI2813" s="12" t="n"/>
      <c r="AJ2813" s="13">
        <f>IF(LEN(TRIM(AF2813))=0,"",HYPERLINK("https://www.google.com/maps/@?api=1&amp;map_action=pano&amp;viewpoint="&amp;SUBSTITUTE(AF2813," ",""),"Abrir Street View"))</f>
        <v/>
      </c>
    </row>
    <row r="2814">
      <c r="H2814" s="6" t="n"/>
      <c r="I2814" s="6" t="n"/>
      <c r="M2814" s="7" t="n"/>
      <c r="N2814" s="7" t="n"/>
      <c r="O2814" s="7" t="n"/>
      <c r="Q2814" s="7" t="n"/>
      <c r="R2814" s="7" t="n"/>
      <c r="S2814" s="8">
        <f>IF(NOT(ISNUMBER(M2814)),"",IF(G2814="Terreno",IF(AND(ISNUMBER(I2814),I2814&gt;0),M2814/I2814,""),IF(AND(ISNUMBER(H2814),H2814&gt;0),M2814/H2814,"")))</f>
        <v/>
      </c>
      <c r="T2814" s="9">
        <f>IF(AND(ISNUMBER(M2814),ISNUMBER(O2814)),IF(M2814&lt;=O2814,"Valor ≤ venal IPTU",""),"")</f>
        <v/>
      </c>
      <c r="U2814" s="10">
        <f>IF(AND(ISNUMBER(M2814),ISNUMBER(N2814)),IF(N2814&gt;0,M2814/N2814,""),"")</f>
        <v/>
      </c>
      <c r="V2814" s="10">
        <f>IF(AND(ISNUMBER(M2814),ISNUMBER(O2814)),IF(O2814&gt;0,M2814/O2814,""),"")</f>
        <v/>
      </c>
      <c r="W2814" s="10">
        <f>IF(AND(ISNUMBER(M2814),ISNUMBER(R2814)),IF(R2814&gt;0,M2814/R2814,""),"")</f>
        <v/>
      </c>
      <c r="X2814" s="10">
        <f>IF(AND(ISNUMBER(Q2814),ISNUMBER(M2814)),IF(M2814&gt;0,Q2814/M2814,""),"")</f>
        <v/>
      </c>
      <c r="Y2814" s="11">
        <f>IF(ISNUMBER(Z2814),YEAR(Z2814),"")</f>
        <v/>
      </c>
      <c r="Z2814" s="12" t="n"/>
      <c r="AA2814" s="12" t="n"/>
      <c r="AI2814" s="12" t="n"/>
      <c r="AJ2814" s="13">
        <f>IF(LEN(TRIM(AF2814))=0,"",HYPERLINK("https://www.google.com/maps/@?api=1&amp;map_action=pano&amp;viewpoint="&amp;SUBSTITUTE(AF2814," ",""),"Abrir Street View"))</f>
        <v/>
      </c>
    </row>
    <row r="2815">
      <c r="H2815" s="6" t="n"/>
      <c r="I2815" s="6" t="n"/>
      <c r="M2815" s="7" t="n"/>
      <c r="N2815" s="7" t="n"/>
      <c r="O2815" s="7" t="n"/>
      <c r="Q2815" s="7" t="n"/>
      <c r="R2815" s="7" t="n"/>
      <c r="S2815" s="8">
        <f>IF(NOT(ISNUMBER(M2815)),"",IF(G2815="Terreno",IF(AND(ISNUMBER(I2815),I2815&gt;0),M2815/I2815,""),IF(AND(ISNUMBER(H2815),H2815&gt;0),M2815/H2815,"")))</f>
        <v/>
      </c>
      <c r="T2815" s="9">
        <f>IF(AND(ISNUMBER(M2815),ISNUMBER(O2815)),IF(M2815&lt;=O2815,"Valor ≤ venal IPTU",""),"")</f>
        <v/>
      </c>
      <c r="U2815" s="10">
        <f>IF(AND(ISNUMBER(M2815),ISNUMBER(N2815)),IF(N2815&gt;0,M2815/N2815,""),"")</f>
        <v/>
      </c>
      <c r="V2815" s="10">
        <f>IF(AND(ISNUMBER(M2815),ISNUMBER(O2815)),IF(O2815&gt;0,M2815/O2815,""),"")</f>
        <v/>
      </c>
      <c r="W2815" s="10">
        <f>IF(AND(ISNUMBER(M2815),ISNUMBER(R2815)),IF(R2815&gt;0,M2815/R2815,""),"")</f>
        <v/>
      </c>
      <c r="X2815" s="10">
        <f>IF(AND(ISNUMBER(Q2815),ISNUMBER(M2815)),IF(M2815&gt;0,Q2815/M2815,""),"")</f>
        <v/>
      </c>
      <c r="Y2815" s="11">
        <f>IF(ISNUMBER(Z2815),YEAR(Z2815),"")</f>
        <v/>
      </c>
      <c r="Z2815" s="12" t="n"/>
      <c r="AA2815" s="12" t="n"/>
      <c r="AI2815" s="12" t="n"/>
      <c r="AJ2815" s="13">
        <f>IF(LEN(TRIM(AF2815))=0,"",HYPERLINK("https://www.google.com/maps/@?api=1&amp;map_action=pano&amp;viewpoint="&amp;SUBSTITUTE(AF2815," ",""),"Abrir Street View"))</f>
        <v/>
      </c>
    </row>
    <row r="2816">
      <c r="H2816" s="6" t="n"/>
      <c r="I2816" s="6" t="n"/>
      <c r="M2816" s="7" t="n"/>
      <c r="N2816" s="7" t="n"/>
      <c r="O2816" s="7" t="n"/>
      <c r="Q2816" s="7" t="n"/>
      <c r="R2816" s="7" t="n"/>
      <c r="S2816" s="8">
        <f>IF(NOT(ISNUMBER(M2816)),"",IF(G2816="Terreno",IF(AND(ISNUMBER(I2816),I2816&gt;0),M2816/I2816,""),IF(AND(ISNUMBER(H2816),H2816&gt;0),M2816/H2816,"")))</f>
        <v/>
      </c>
      <c r="T2816" s="9">
        <f>IF(AND(ISNUMBER(M2816),ISNUMBER(O2816)),IF(M2816&lt;=O2816,"Valor ≤ venal IPTU",""),"")</f>
        <v/>
      </c>
      <c r="U2816" s="10">
        <f>IF(AND(ISNUMBER(M2816),ISNUMBER(N2816)),IF(N2816&gt;0,M2816/N2816,""),"")</f>
        <v/>
      </c>
      <c r="V2816" s="10">
        <f>IF(AND(ISNUMBER(M2816),ISNUMBER(O2816)),IF(O2816&gt;0,M2816/O2816,""),"")</f>
        <v/>
      </c>
      <c r="W2816" s="10">
        <f>IF(AND(ISNUMBER(M2816),ISNUMBER(R2816)),IF(R2816&gt;0,M2816/R2816,""),"")</f>
        <v/>
      </c>
      <c r="X2816" s="10">
        <f>IF(AND(ISNUMBER(Q2816),ISNUMBER(M2816)),IF(M2816&gt;0,Q2816/M2816,""),"")</f>
        <v/>
      </c>
      <c r="Y2816" s="11">
        <f>IF(ISNUMBER(Z2816),YEAR(Z2816),"")</f>
        <v/>
      </c>
      <c r="Z2816" s="12" t="n"/>
      <c r="AA2816" s="12" t="n"/>
      <c r="AI2816" s="12" t="n"/>
      <c r="AJ2816" s="13">
        <f>IF(LEN(TRIM(AF2816))=0,"",HYPERLINK("https://www.google.com/maps/@?api=1&amp;map_action=pano&amp;viewpoint="&amp;SUBSTITUTE(AF2816," ",""),"Abrir Street View"))</f>
        <v/>
      </c>
    </row>
    <row r="2817">
      <c r="H2817" s="6" t="n"/>
      <c r="I2817" s="6" t="n"/>
      <c r="M2817" s="7" t="n"/>
      <c r="N2817" s="7" t="n"/>
      <c r="O2817" s="7" t="n"/>
      <c r="Q2817" s="7" t="n"/>
      <c r="R2817" s="7" t="n"/>
      <c r="S2817" s="8">
        <f>IF(NOT(ISNUMBER(M2817)),"",IF(G2817="Terreno",IF(AND(ISNUMBER(I2817),I2817&gt;0),M2817/I2817,""),IF(AND(ISNUMBER(H2817),H2817&gt;0),M2817/H2817,"")))</f>
        <v/>
      </c>
      <c r="T2817" s="9">
        <f>IF(AND(ISNUMBER(M2817),ISNUMBER(O2817)),IF(M2817&lt;=O2817,"Valor ≤ venal IPTU",""),"")</f>
        <v/>
      </c>
      <c r="U2817" s="10">
        <f>IF(AND(ISNUMBER(M2817),ISNUMBER(N2817)),IF(N2817&gt;0,M2817/N2817,""),"")</f>
        <v/>
      </c>
      <c r="V2817" s="10">
        <f>IF(AND(ISNUMBER(M2817),ISNUMBER(O2817)),IF(O2817&gt;0,M2817/O2817,""),"")</f>
        <v/>
      </c>
      <c r="W2817" s="10">
        <f>IF(AND(ISNUMBER(M2817),ISNUMBER(R2817)),IF(R2817&gt;0,M2817/R2817,""),"")</f>
        <v/>
      </c>
      <c r="X2817" s="10">
        <f>IF(AND(ISNUMBER(Q2817),ISNUMBER(M2817)),IF(M2817&gt;0,Q2817/M2817,""),"")</f>
        <v/>
      </c>
      <c r="Y2817" s="11">
        <f>IF(ISNUMBER(Z2817),YEAR(Z2817),"")</f>
        <v/>
      </c>
      <c r="Z2817" s="12" t="n"/>
      <c r="AA2817" s="12" t="n"/>
      <c r="AI2817" s="12" t="n"/>
      <c r="AJ2817" s="13">
        <f>IF(LEN(TRIM(AF2817))=0,"",HYPERLINK("https://www.google.com/maps/@?api=1&amp;map_action=pano&amp;viewpoint="&amp;SUBSTITUTE(AF2817," ",""),"Abrir Street View"))</f>
        <v/>
      </c>
    </row>
    <row r="2818">
      <c r="H2818" s="6" t="n"/>
      <c r="I2818" s="6" t="n"/>
      <c r="M2818" s="7" t="n"/>
      <c r="N2818" s="7" t="n"/>
      <c r="O2818" s="7" t="n"/>
      <c r="Q2818" s="7" t="n"/>
      <c r="R2818" s="7" t="n"/>
      <c r="S2818" s="8">
        <f>IF(NOT(ISNUMBER(M2818)),"",IF(G2818="Terreno",IF(AND(ISNUMBER(I2818),I2818&gt;0),M2818/I2818,""),IF(AND(ISNUMBER(H2818),H2818&gt;0),M2818/H2818,"")))</f>
        <v/>
      </c>
      <c r="T2818" s="9">
        <f>IF(AND(ISNUMBER(M2818),ISNUMBER(O2818)),IF(M2818&lt;=O2818,"Valor ≤ venal IPTU",""),"")</f>
        <v/>
      </c>
      <c r="U2818" s="10">
        <f>IF(AND(ISNUMBER(M2818),ISNUMBER(N2818)),IF(N2818&gt;0,M2818/N2818,""),"")</f>
        <v/>
      </c>
      <c r="V2818" s="10">
        <f>IF(AND(ISNUMBER(M2818),ISNUMBER(O2818)),IF(O2818&gt;0,M2818/O2818,""),"")</f>
        <v/>
      </c>
      <c r="W2818" s="10">
        <f>IF(AND(ISNUMBER(M2818),ISNUMBER(R2818)),IF(R2818&gt;0,M2818/R2818,""),"")</f>
        <v/>
      </c>
      <c r="X2818" s="10">
        <f>IF(AND(ISNUMBER(Q2818),ISNUMBER(M2818)),IF(M2818&gt;0,Q2818/M2818,""),"")</f>
        <v/>
      </c>
      <c r="Y2818" s="11">
        <f>IF(ISNUMBER(Z2818),YEAR(Z2818),"")</f>
        <v/>
      </c>
      <c r="Z2818" s="12" t="n"/>
      <c r="AA2818" s="12" t="n"/>
      <c r="AI2818" s="12" t="n"/>
      <c r="AJ2818" s="13">
        <f>IF(LEN(TRIM(AF2818))=0,"",HYPERLINK("https://www.google.com/maps/@?api=1&amp;map_action=pano&amp;viewpoint="&amp;SUBSTITUTE(AF2818," ",""),"Abrir Street View"))</f>
        <v/>
      </c>
    </row>
    <row r="2819">
      <c r="H2819" s="6" t="n"/>
      <c r="I2819" s="6" t="n"/>
      <c r="M2819" s="7" t="n"/>
      <c r="N2819" s="7" t="n"/>
      <c r="O2819" s="7" t="n"/>
      <c r="Q2819" s="7" t="n"/>
      <c r="R2819" s="7" t="n"/>
      <c r="S2819" s="8">
        <f>IF(NOT(ISNUMBER(M2819)),"",IF(G2819="Terreno",IF(AND(ISNUMBER(I2819),I2819&gt;0),M2819/I2819,""),IF(AND(ISNUMBER(H2819),H2819&gt;0),M2819/H2819,"")))</f>
        <v/>
      </c>
      <c r="T2819" s="9">
        <f>IF(AND(ISNUMBER(M2819),ISNUMBER(O2819)),IF(M2819&lt;=O2819,"Valor ≤ venal IPTU",""),"")</f>
        <v/>
      </c>
      <c r="U2819" s="10">
        <f>IF(AND(ISNUMBER(M2819),ISNUMBER(N2819)),IF(N2819&gt;0,M2819/N2819,""),"")</f>
        <v/>
      </c>
      <c r="V2819" s="10">
        <f>IF(AND(ISNUMBER(M2819),ISNUMBER(O2819)),IF(O2819&gt;0,M2819/O2819,""),"")</f>
        <v/>
      </c>
      <c r="W2819" s="10">
        <f>IF(AND(ISNUMBER(M2819),ISNUMBER(R2819)),IF(R2819&gt;0,M2819/R2819,""),"")</f>
        <v/>
      </c>
      <c r="X2819" s="10">
        <f>IF(AND(ISNUMBER(Q2819),ISNUMBER(M2819)),IF(M2819&gt;0,Q2819/M2819,""),"")</f>
        <v/>
      </c>
      <c r="Y2819" s="11">
        <f>IF(ISNUMBER(Z2819),YEAR(Z2819),"")</f>
        <v/>
      </c>
      <c r="Z2819" s="12" t="n"/>
      <c r="AA2819" s="12" t="n"/>
      <c r="AI2819" s="12" t="n"/>
      <c r="AJ2819" s="13">
        <f>IF(LEN(TRIM(AF2819))=0,"",HYPERLINK("https://www.google.com/maps/@?api=1&amp;map_action=pano&amp;viewpoint="&amp;SUBSTITUTE(AF2819," ",""),"Abrir Street View"))</f>
        <v/>
      </c>
    </row>
    <row r="2820">
      <c r="H2820" s="6" t="n"/>
      <c r="I2820" s="6" t="n"/>
      <c r="M2820" s="7" t="n"/>
      <c r="N2820" s="7" t="n"/>
      <c r="O2820" s="7" t="n"/>
      <c r="Q2820" s="7" t="n"/>
      <c r="R2820" s="7" t="n"/>
      <c r="S2820" s="8">
        <f>IF(NOT(ISNUMBER(M2820)),"",IF(G2820="Terreno",IF(AND(ISNUMBER(I2820),I2820&gt;0),M2820/I2820,""),IF(AND(ISNUMBER(H2820),H2820&gt;0),M2820/H2820,"")))</f>
        <v/>
      </c>
      <c r="T2820" s="9">
        <f>IF(AND(ISNUMBER(M2820),ISNUMBER(O2820)),IF(M2820&lt;=O2820,"Valor ≤ venal IPTU",""),"")</f>
        <v/>
      </c>
      <c r="U2820" s="10">
        <f>IF(AND(ISNUMBER(M2820),ISNUMBER(N2820)),IF(N2820&gt;0,M2820/N2820,""),"")</f>
        <v/>
      </c>
      <c r="V2820" s="10">
        <f>IF(AND(ISNUMBER(M2820),ISNUMBER(O2820)),IF(O2820&gt;0,M2820/O2820,""),"")</f>
        <v/>
      </c>
      <c r="W2820" s="10">
        <f>IF(AND(ISNUMBER(M2820),ISNUMBER(R2820)),IF(R2820&gt;0,M2820/R2820,""),"")</f>
        <v/>
      </c>
      <c r="X2820" s="10">
        <f>IF(AND(ISNUMBER(Q2820),ISNUMBER(M2820)),IF(M2820&gt;0,Q2820/M2820,""),"")</f>
        <v/>
      </c>
      <c r="Y2820" s="11">
        <f>IF(ISNUMBER(Z2820),YEAR(Z2820),"")</f>
        <v/>
      </c>
      <c r="Z2820" s="12" t="n"/>
      <c r="AA2820" s="12" t="n"/>
      <c r="AI2820" s="12" t="n"/>
      <c r="AJ2820" s="13">
        <f>IF(LEN(TRIM(AF2820))=0,"",HYPERLINK("https://www.google.com/maps/@?api=1&amp;map_action=pano&amp;viewpoint="&amp;SUBSTITUTE(AF2820," ",""),"Abrir Street View"))</f>
        <v/>
      </c>
    </row>
    <row r="2821">
      <c r="H2821" s="6" t="n"/>
      <c r="I2821" s="6" t="n"/>
      <c r="M2821" s="7" t="n"/>
      <c r="N2821" s="7" t="n"/>
      <c r="O2821" s="7" t="n"/>
      <c r="Q2821" s="7" t="n"/>
      <c r="R2821" s="7" t="n"/>
      <c r="S2821" s="8">
        <f>IF(NOT(ISNUMBER(M2821)),"",IF(G2821="Terreno",IF(AND(ISNUMBER(I2821),I2821&gt;0),M2821/I2821,""),IF(AND(ISNUMBER(H2821),H2821&gt;0),M2821/H2821,"")))</f>
        <v/>
      </c>
      <c r="T2821" s="9">
        <f>IF(AND(ISNUMBER(M2821),ISNUMBER(O2821)),IF(M2821&lt;=O2821,"Valor ≤ venal IPTU",""),"")</f>
        <v/>
      </c>
      <c r="U2821" s="10">
        <f>IF(AND(ISNUMBER(M2821),ISNUMBER(N2821)),IF(N2821&gt;0,M2821/N2821,""),"")</f>
        <v/>
      </c>
      <c r="V2821" s="10">
        <f>IF(AND(ISNUMBER(M2821),ISNUMBER(O2821)),IF(O2821&gt;0,M2821/O2821,""),"")</f>
        <v/>
      </c>
      <c r="W2821" s="10">
        <f>IF(AND(ISNUMBER(M2821),ISNUMBER(R2821)),IF(R2821&gt;0,M2821/R2821,""),"")</f>
        <v/>
      </c>
      <c r="X2821" s="10">
        <f>IF(AND(ISNUMBER(Q2821),ISNUMBER(M2821)),IF(M2821&gt;0,Q2821/M2821,""),"")</f>
        <v/>
      </c>
      <c r="Y2821" s="11">
        <f>IF(ISNUMBER(Z2821),YEAR(Z2821),"")</f>
        <v/>
      </c>
      <c r="Z2821" s="12" t="n"/>
      <c r="AA2821" s="12" t="n"/>
      <c r="AI2821" s="12" t="n"/>
      <c r="AJ2821" s="13">
        <f>IF(LEN(TRIM(AF2821))=0,"",HYPERLINK("https://www.google.com/maps/@?api=1&amp;map_action=pano&amp;viewpoint="&amp;SUBSTITUTE(AF2821," ",""),"Abrir Street View"))</f>
        <v/>
      </c>
    </row>
    <row r="2822">
      <c r="H2822" s="6" t="n"/>
      <c r="I2822" s="6" t="n"/>
      <c r="M2822" s="7" t="n"/>
      <c r="N2822" s="7" t="n"/>
      <c r="O2822" s="7" t="n"/>
      <c r="Q2822" s="7" t="n"/>
      <c r="R2822" s="7" t="n"/>
      <c r="S2822" s="8">
        <f>IF(NOT(ISNUMBER(M2822)),"",IF(G2822="Terreno",IF(AND(ISNUMBER(I2822),I2822&gt;0),M2822/I2822,""),IF(AND(ISNUMBER(H2822),H2822&gt;0),M2822/H2822,"")))</f>
        <v/>
      </c>
      <c r="T2822" s="9">
        <f>IF(AND(ISNUMBER(M2822),ISNUMBER(O2822)),IF(M2822&lt;=O2822,"Valor ≤ venal IPTU",""),"")</f>
        <v/>
      </c>
      <c r="U2822" s="10">
        <f>IF(AND(ISNUMBER(M2822),ISNUMBER(N2822)),IF(N2822&gt;0,M2822/N2822,""),"")</f>
        <v/>
      </c>
      <c r="V2822" s="10">
        <f>IF(AND(ISNUMBER(M2822),ISNUMBER(O2822)),IF(O2822&gt;0,M2822/O2822,""),"")</f>
        <v/>
      </c>
      <c r="W2822" s="10">
        <f>IF(AND(ISNUMBER(M2822),ISNUMBER(R2822)),IF(R2822&gt;0,M2822/R2822,""),"")</f>
        <v/>
      </c>
      <c r="X2822" s="10">
        <f>IF(AND(ISNUMBER(Q2822),ISNUMBER(M2822)),IF(M2822&gt;0,Q2822/M2822,""),"")</f>
        <v/>
      </c>
      <c r="Y2822" s="11">
        <f>IF(ISNUMBER(Z2822),YEAR(Z2822),"")</f>
        <v/>
      </c>
      <c r="Z2822" s="12" t="n"/>
      <c r="AA2822" s="12" t="n"/>
      <c r="AI2822" s="12" t="n"/>
      <c r="AJ2822" s="13">
        <f>IF(LEN(TRIM(AF2822))=0,"",HYPERLINK("https://www.google.com/maps/@?api=1&amp;map_action=pano&amp;viewpoint="&amp;SUBSTITUTE(AF2822," ",""),"Abrir Street View"))</f>
        <v/>
      </c>
    </row>
    <row r="2823">
      <c r="H2823" s="6" t="n"/>
      <c r="I2823" s="6" t="n"/>
      <c r="M2823" s="7" t="n"/>
      <c r="N2823" s="7" t="n"/>
      <c r="O2823" s="7" t="n"/>
      <c r="Q2823" s="7" t="n"/>
      <c r="R2823" s="7" t="n"/>
      <c r="S2823" s="8">
        <f>IF(NOT(ISNUMBER(M2823)),"",IF(G2823="Terreno",IF(AND(ISNUMBER(I2823),I2823&gt;0),M2823/I2823,""),IF(AND(ISNUMBER(H2823),H2823&gt;0),M2823/H2823,"")))</f>
        <v/>
      </c>
      <c r="T2823" s="9">
        <f>IF(AND(ISNUMBER(M2823),ISNUMBER(O2823)),IF(M2823&lt;=O2823,"Valor ≤ venal IPTU",""),"")</f>
        <v/>
      </c>
      <c r="U2823" s="10">
        <f>IF(AND(ISNUMBER(M2823),ISNUMBER(N2823)),IF(N2823&gt;0,M2823/N2823,""),"")</f>
        <v/>
      </c>
      <c r="V2823" s="10">
        <f>IF(AND(ISNUMBER(M2823),ISNUMBER(O2823)),IF(O2823&gt;0,M2823/O2823,""),"")</f>
        <v/>
      </c>
      <c r="W2823" s="10">
        <f>IF(AND(ISNUMBER(M2823),ISNUMBER(R2823)),IF(R2823&gt;0,M2823/R2823,""),"")</f>
        <v/>
      </c>
      <c r="X2823" s="10">
        <f>IF(AND(ISNUMBER(Q2823),ISNUMBER(M2823)),IF(M2823&gt;0,Q2823/M2823,""),"")</f>
        <v/>
      </c>
      <c r="Y2823" s="11">
        <f>IF(ISNUMBER(Z2823),YEAR(Z2823),"")</f>
        <v/>
      </c>
      <c r="Z2823" s="12" t="n"/>
      <c r="AA2823" s="12" t="n"/>
      <c r="AI2823" s="12" t="n"/>
      <c r="AJ2823" s="13">
        <f>IF(LEN(TRIM(AF2823))=0,"",HYPERLINK("https://www.google.com/maps/@?api=1&amp;map_action=pano&amp;viewpoint="&amp;SUBSTITUTE(AF2823," ",""),"Abrir Street View"))</f>
        <v/>
      </c>
    </row>
    <row r="2824">
      <c r="H2824" s="6" t="n"/>
      <c r="I2824" s="6" t="n"/>
      <c r="M2824" s="7" t="n"/>
      <c r="N2824" s="7" t="n"/>
      <c r="O2824" s="7" t="n"/>
      <c r="Q2824" s="7" t="n"/>
      <c r="R2824" s="7" t="n"/>
      <c r="S2824" s="8">
        <f>IF(NOT(ISNUMBER(M2824)),"",IF(G2824="Terreno",IF(AND(ISNUMBER(I2824),I2824&gt;0),M2824/I2824,""),IF(AND(ISNUMBER(H2824),H2824&gt;0),M2824/H2824,"")))</f>
        <v/>
      </c>
      <c r="T2824" s="9">
        <f>IF(AND(ISNUMBER(M2824),ISNUMBER(O2824)),IF(M2824&lt;=O2824,"Valor ≤ venal IPTU",""),"")</f>
        <v/>
      </c>
      <c r="U2824" s="10">
        <f>IF(AND(ISNUMBER(M2824),ISNUMBER(N2824)),IF(N2824&gt;0,M2824/N2824,""),"")</f>
        <v/>
      </c>
      <c r="V2824" s="10">
        <f>IF(AND(ISNUMBER(M2824),ISNUMBER(O2824)),IF(O2824&gt;0,M2824/O2824,""),"")</f>
        <v/>
      </c>
      <c r="W2824" s="10">
        <f>IF(AND(ISNUMBER(M2824),ISNUMBER(R2824)),IF(R2824&gt;0,M2824/R2824,""),"")</f>
        <v/>
      </c>
      <c r="X2824" s="10">
        <f>IF(AND(ISNUMBER(Q2824),ISNUMBER(M2824)),IF(M2824&gt;0,Q2824/M2824,""),"")</f>
        <v/>
      </c>
      <c r="Y2824" s="11">
        <f>IF(ISNUMBER(Z2824),YEAR(Z2824),"")</f>
        <v/>
      </c>
      <c r="Z2824" s="12" t="n"/>
      <c r="AA2824" s="12" t="n"/>
      <c r="AI2824" s="12" t="n"/>
      <c r="AJ2824" s="13">
        <f>IF(LEN(TRIM(AF2824))=0,"",HYPERLINK("https://www.google.com/maps/@?api=1&amp;map_action=pano&amp;viewpoint="&amp;SUBSTITUTE(AF2824," ",""),"Abrir Street View"))</f>
        <v/>
      </c>
    </row>
    <row r="2825">
      <c r="H2825" s="6" t="n"/>
      <c r="I2825" s="6" t="n"/>
      <c r="M2825" s="7" t="n"/>
      <c r="N2825" s="7" t="n"/>
      <c r="O2825" s="7" t="n"/>
      <c r="Q2825" s="7" t="n"/>
      <c r="R2825" s="7" t="n"/>
      <c r="S2825" s="8">
        <f>IF(NOT(ISNUMBER(M2825)),"",IF(G2825="Terreno",IF(AND(ISNUMBER(I2825),I2825&gt;0),M2825/I2825,""),IF(AND(ISNUMBER(H2825),H2825&gt;0),M2825/H2825,"")))</f>
        <v/>
      </c>
      <c r="T2825" s="9">
        <f>IF(AND(ISNUMBER(M2825),ISNUMBER(O2825)),IF(M2825&lt;=O2825,"Valor ≤ venal IPTU",""),"")</f>
        <v/>
      </c>
      <c r="U2825" s="10">
        <f>IF(AND(ISNUMBER(M2825),ISNUMBER(N2825)),IF(N2825&gt;0,M2825/N2825,""),"")</f>
        <v/>
      </c>
      <c r="V2825" s="10">
        <f>IF(AND(ISNUMBER(M2825),ISNUMBER(O2825)),IF(O2825&gt;0,M2825/O2825,""),"")</f>
        <v/>
      </c>
      <c r="W2825" s="10">
        <f>IF(AND(ISNUMBER(M2825),ISNUMBER(R2825)),IF(R2825&gt;0,M2825/R2825,""),"")</f>
        <v/>
      </c>
      <c r="X2825" s="10">
        <f>IF(AND(ISNUMBER(Q2825),ISNUMBER(M2825)),IF(M2825&gt;0,Q2825/M2825,""),"")</f>
        <v/>
      </c>
      <c r="Y2825" s="11">
        <f>IF(ISNUMBER(Z2825),YEAR(Z2825),"")</f>
        <v/>
      </c>
      <c r="Z2825" s="12" t="n"/>
      <c r="AA2825" s="12" t="n"/>
      <c r="AI2825" s="12" t="n"/>
      <c r="AJ2825" s="13">
        <f>IF(LEN(TRIM(AF2825))=0,"",HYPERLINK("https://www.google.com/maps/@?api=1&amp;map_action=pano&amp;viewpoint="&amp;SUBSTITUTE(AF2825," ",""),"Abrir Street View"))</f>
        <v/>
      </c>
    </row>
    <row r="2826">
      <c r="H2826" s="6" t="n"/>
      <c r="I2826" s="6" t="n"/>
      <c r="M2826" s="7" t="n"/>
      <c r="N2826" s="7" t="n"/>
      <c r="O2826" s="7" t="n"/>
      <c r="Q2826" s="7" t="n"/>
      <c r="R2826" s="7" t="n"/>
      <c r="S2826" s="8">
        <f>IF(NOT(ISNUMBER(M2826)),"",IF(G2826="Terreno",IF(AND(ISNUMBER(I2826),I2826&gt;0),M2826/I2826,""),IF(AND(ISNUMBER(H2826),H2826&gt;0),M2826/H2826,"")))</f>
        <v/>
      </c>
      <c r="T2826" s="9">
        <f>IF(AND(ISNUMBER(M2826),ISNUMBER(O2826)),IF(M2826&lt;=O2826,"Valor ≤ venal IPTU",""),"")</f>
        <v/>
      </c>
      <c r="U2826" s="10">
        <f>IF(AND(ISNUMBER(M2826),ISNUMBER(N2826)),IF(N2826&gt;0,M2826/N2826,""),"")</f>
        <v/>
      </c>
      <c r="V2826" s="10">
        <f>IF(AND(ISNUMBER(M2826),ISNUMBER(O2826)),IF(O2826&gt;0,M2826/O2826,""),"")</f>
        <v/>
      </c>
      <c r="W2826" s="10">
        <f>IF(AND(ISNUMBER(M2826),ISNUMBER(R2826)),IF(R2826&gt;0,M2826/R2826,""),"")</f>
        <v/>
      </c>
      <c r="X2826" s="10">
        <f>IF(AND(ISNUMBER(Q2826),ISNUMBER(M2826)),IF(M2826&gt;0,Q2826/M2826,""),"")</f>
        <v/>
      </c>
      <c r="Y2826" s="11">
        <f>IF(ISNUMBER(Z2826),YEAR(Z2826),"")</f>
        <v/>
      </c>
      <c r="Z2826" s="12" t="n"/>
      <c r="AA2826" s="12" t="n"/>
      <c r="AI2826" s="12" t="n"/>
      <c r="AJ2826" s="13">
        <f>IF(LEN(TRIM(AF2826))=0,"",HYPERLINK("https://www.google.com/maps/@?api=1&amp;map_action=pano&amp;viewpoint="&amp;SUBSTITUTE(AF2826," ",""),"Abrir Street View"))</f>
        <v/>
      </c>
    </row>
    <row r="2827">
      <c r="H2827" s="6" t="n"/>
      <c r="I2827" s="6" t="n"/>
      <c r="M2827" s="7" t="n"/>
      <c r="N2827" s="7" t="n"/>
      <c r="O2827" s="7" t="n"/>
      <c r="Q2827" s="7" t="n"/>
      <c r="R2827" s="7" t="n"/>
      <c r="S2827" s="8">
        <f>IF(NOT(ISNUMBER(M2827)),"",IF(G2827="Terreno",IF(AND(ISNUMBER(I2827),I2827&gt;0),M2827/I2827,""),IF(AND(ISNUMBER(H2827),H2827&gt;0),M2827/H2827,"")))</f>
        <v/>
      </c>
      <c r="T2827" s="9">
        <f>IF(AND(ISNUMBER(M2827),ISNUMBER(O2827)),IF(M2827&lt;=O2827,"Valor ≤ venal IPTU",""),"")</f>
        <v/>
      </c>
      <c r="U2827" s="10">
        <f>IF(AND(ISNUMBER(M2827),ISNUMBER(N2827)),IF(N2827&gt;0,M2827/N2827,""),"")</f>
        <v/>
      </c>
      <c r="V2827" s="10">
        <f>IF(AND(ISNUMBER(M2827),ISNUMBER(O2827)),IF(O2827&gt;0,M2827/O2827,""),"")</f>
        <v/>
      </c>
      <c r="W2827" s="10">
        <f>IF(AND(ISNUMBER(M2827),ISNUMBER(R2827)),IF(R2827&gt;0,M2827/R2827,""),"")</f>
        <v/>
      </c>
      <c r="X2827" s="10">
        <f>IF(AND(ISNUMBER(Q2827),ISNUMBER(M2827)),IF(M2827&gt;0,Q2827/M2827,""),"")</f>
        <v/>
      </c>
      <c r="Y2827" s="11">
        <f>IF(ISNUMBER(Z2827),YEAR(Z2827),"")</f>
        <v/>
      </c>
      <c r="Z2827" s="12" t="n"/>
      <c r="AA2827" s="12" t="n"/>
      <c r="AI2827" s="12" t="n"/>
      <c r="AJ2827" s="13">
        <f>IF(LEN(TRIM(AF2827))=0,"",HYPERLINK("https://www.google.com/maps/@?api=1&amp;map_action=pano&amp;viewpoint="&amp;SUBSTITUTE(AF2827," ",""),"Abrir Street View"))</f>
        <v/>
      </c>
    </row>
    <row r="2828">
      <c r="H2828" s="6" t="n"/>
      <c r="I2828" s="6" t="n"/>
      <c r="M2828" s="7" t="n"/>
      <c r="N2828" s="7" t="n"/>
      <c r="O2828" s="7" t="n"/>
      <c r="Q2828" s="7" t="n"/>
      <c r="R2828" s="7" t="n"/>
      <c r="S2828" s="8">
        <f>IF(NOT(ISNUMBER(M2828)),"",IF(G2828="Terreno",IF(AND(ISNUMBER(I2828),I2828&gt;0),M2828/I2828,""),IF(AND(ISNUMBER(H2828),H2828&gt;0),M2828/H2828,"")))</f>
        <v/>
      </c>
      <c r="T2828" s="9">
        <f>IF(AND(ISNUMBER(M2828),ISNUMBER(O2828)),IF(M2828&lt;=O2828,"Valor ≤ venal IPTU",""),"")</f>
        <v/>
      </c>
      <c r="U2828" s="10">
        <f>IF(AND(ISNUMBER(M2828),ISNUMBER(N2828)),IF(N2828&gt;0,M2828/N2828,""),"")</f>
        <v/>
      </c>
      <c r="V2828" s="10">
        <f>IF(AND(ISNUMBER(M2828),ISNUMBER(O2828)),IF(O2828&gt;0,M2828/O2828,""),"")</f>
        <v/>
      </c>
      <c r="W2828" s="10">
        <f>IF(AND(ISNUMBER(M2828),ISNUMBER(R2828)),IF(R2828&gt;0,M2828/R2828,""),"")</f>
        <v/>
      </c>
      <c r="X2828" s="10">
        <f>IF(AND(ISNUMBER(Q2828),ISNUMBER(M2828)),IF(M2828&gt;0,Q2828/M2828,""),"")</f>
        <v/>
      </c>
      <c r="Y2828" s="11">
        <f>IF(ISNUMBER(Z2828),YEAR(Z2828),"")</f>
        <v/>
      </c>
      <c r="Z2828" s="12" t="n"/>
      <c r="AA2828" s="12" t="n"/>
      <c r="AI2828" s="12" t="n"/>
      <c r="AJ2828" s="13">
        <f>IF(LEN(TRIM(AF2828))=0,"",HYPERLINK("https://www.google.com/maps/@?api=1&amp;map_action=pano&amp;viewpoint="&amp;SUBSTITUTE(AF2828," ",""),"Abrir Street View"))</f>
        <v/>
      </c>
    </row>
    <row r="2829">
      <c r="H2829" s="6" t="n"/>
      <c r="I2829" s="6" t="n"/>
      <c r="M2829" s="7" t="n"/>
      <c r="N2829" s="7" t="n"/>
      <c r="O2829" s="7" t="n"/>
      <c r="Q2829" s="7" t="n"/>
      <c r="R2829" s="7" t="n"/>
      <c r="S2829" s="8">
        <f>IF(NOT(ISNUMBER(M2829)),"",IF(G2829="Terreno",IF(AND(ISNUMBER(I2829),I2829&gt;0),M2829/I2829,""),IF(AND(ISNUMBER(H2829),H2829&gt;0),M2829/H2829,"")))</f>
        <v/>
      </c>
      <c r="T2829" s="9">
        <f>IF(AND(ISNUMBER(M2829),ISNUMBER(O2829)),IF(M2829&lt;=O2829,"Valor ≤ venal IPTU",""),"")</f>
        <v/>
      </c>
      <c r="U2829" s="10">
        <f>IF(AND(ISNUMBER(M2829),ISNUMBER(N2829)),IF(N2829&gt;0,M2829/N2829,""),"")</f>
        <v/>
      </c>
      <c r="V2829" s="10">
        <f>IF(AND(ISNUMBER(M2829),ISNUMBER(O2829)),IF(O2829&gt;0,M2829/O2829,""),"")</f>
        <v/>
      </c>
      <c r="W2829" s="10">
        <f>IF(AND(ISNUMBER(M2829),ISNUMBER(R2829)),IF(R2829&gt;0,M2829/R2829,""),"")</f>
        <v/>
      </c>
      <c r="X2829" s="10">
        <f>IF(AND(ISNUMBER(Q2829),ISNUMBER(M2829)),IF(M2829&gt;0,Q2829/M2829,""),"")</f>
        <v/>
      </c>
      <c r="Y2829" s="11">
        <f>IF(ISNUMBER(Z2829),YEAR(Z2829),"")</f>
        <v/>
      </c>
      <c r="Z2829" s="12" t="n"/>
      <c r="AA2829" s="12" t="n"/>
      <c r="AI2829" s="12" t="n"/>
      <c r="AJ2829" s="13">
        <f>IF(LEN(TRIM(AF2829))=0,"",HYPERLINK("https://www.google.com/maps/@?api=1&amp;map_action=pano&amp;viewpoint="&amp;SUBSTITUTE(AF2829," ",""),"Abrir Street View"))</f>
        <v/>
      </c>
    </row>
    <row r="2830">
      <c r="H2830" s="6" t="n"/>
      <c r="I2830" s="6" t="n"/>
      <c r="M2830" s="7" t="n"/>
      <c r="N2830" s="7" t="n"/>
      <c r="O2830" s="7" t="n"/>
      <c r="Q2830" s="7" t="n"/>
      <c r="R2830" s="7" t="n"/>
      <c r="S2830" s="8">
        <f>IF(NOT(ISNUMBER(M2830)),"",IF(G2830="Terreno",IF(AND(ISNUMBER(I2830),I2830&gt;0),M2830/I2830,""),IF(AND(ISNUMBER(H2830),H2830&gt;0),M2830/H2830,"")))</f>
        <v/>
      </c>
      <c r="T2830" s="9">
        <f>IF(AND(ISNUMBER(M2830),ISNUMBER(O2830)),IF(M2830&lt;=O2830,"Valor ≤ venal IPTU",""),"")</f>
        <v/>
      </c>
      <c r="U2830" s="10">
        <f>IF(AND(ISNUMBER(M2830),ISNUMBER(N2830)),IF(N2830&gt;0,M2830/N2830,""),"")</f>
        <v/>
      </c>
      <c r="V2830" s="10">
        <f>IF(AND(ISNUMBER(M2830),ISNUMBER(O2830)),IF(O2830&gt;0,M2830/O2830,""),"")</f>
        <v/>
      </c>
      <c r="W2830" s="10">
        <f>IF(AND(ISNUMBER(M2830),ISNUMBER(R2830)),IF(R2830&gt;0,M2830/R2830,""),"")</f>
        <v/>
      </c>
      <c r="X2830" s="10">
        <f>IF(AND(ISNUMBER(Q2830),ISNUMBER(M2830)),IF(M2830&gt;0,Q2830/M2830,""),"")</f>
        <v/>
      </c>
      <c r="Y2830" s="11">
        <f>IF(ISNUMBER(Z2830),YEAR(Z2830),"")</f>
        <v/>
      </c>
      <c r="Z2830" s="12" t="n"/>
      <c r="AA2830" s="12" t="n"/>
      <c r="AI2830" s="12" t="n"/>
      <c r="AJ2830" s="13">
        <f>IF(LEN(TRIM(AF2830))=0,"",HYPERLINK("https://www.google.com/maps/@?api=1&amp;map_action=pano&amp;viewpoint="&amp;SUBSTITUTE(AF2830," ",""),"Abrir Street View"))</f>
        <v/>
      </c>
    </row>
    <row r="2831">
      <c r="H2831" s="6" t="n"/>
      <c r="I2831" s="6" t="n"/>
      <c r="M2831" s="7" t="n"/>
      <c r="N2831" s="7" t="n"/>
      <c r="O2831" s="7" t="n"/>
      <c r="Q2831" s="7" t="n"/>
      <c r="R2831" s="7" t="n"/>
      <c r="S2831" s="8">
        <f>IF(NOT(ISNUMBER(M2831)),"",IF(G2831="Terreno",IF(AND(ISNUMBER(I2831),I2831&gt;0),M2831/I2831,""),IF(AND(ISNUMBER(H2831),H2831&gt;0),M2831/H2831,"")))</f>
        <v/>
      </c>
      <c r="T2831" s="9">
        <f>IF(AND(ISNUMBER(M2831),ISNUMBER(O2831)),IF(M2831&lt;=O2831,"Valor ≤ venal IPTU",""),"")</f>
        <v/>
      </c>
      <c r="U2831" s="10">
        <f>IF(AND(ISNUMBER(M2831),ISNUMBER(N2831)),IF(N2831&gt;0,M2831/N2831,""),"")</f>
        <v/>
      </c>
      <c r="V2831" s="10">
        <f>IF(AND(ISNUMBER(M2831),ISNUMBER(O2831)),IF(O2831&gt;0,M2831/O2831,""),"")</f>
        <v/>
      </c>
      <c r="W2831" s="10">
        <f>IF(AND(ISNUMBER(M2831),ISNUMBER(R2831)),IF(R2831&gt;0,M2831/R2831,""),"")</f>
        <v/>
      </c>
      <c r="X2831" s="10">
        <f>IF(AND(ISNUMBER(Q2831),ISNUMBER(M2831)),IF(M2831&gt;0,Q2831/M2831,""),"")</f>
        <v/>
      </c>
      <c r="Y2831" s="11">
        <f>IF(ISNUMBER(Z2831),YEAR(Z2831),"")</f>
        <v/>
      </c>
      <c r="Z2831" s="12" t="n"/>
      <c r="AA2831" s="12" t="n"/>
      <c r="AI2831" s="12" t="n"/>
      <c r="AJ2831" s="13">
        <f>IF(LEN(TRIM(AF2831))=0,"",HYPERLINK("https://www.google.com/maps/@?api=1&amp;map_action=pano&amp;viewpoint="&amp;SUBSTITUTE(AF2831," ",""),"Abrir Street View"))</f>
        <v/>
      </c>
    </row>
    <row r="2832">
      <c r="H2832" s="6" t="n"/>
      <c r="I2832" s="6" t="n"/>
      <c r="M2832" s="7" t="n"/>
      <c r="N2832" s="7" t="n"/>
      <c r="O2832" s="7" t="n"/>
      <c r="Q2832" s="7" t="n"/>
      <c r="R2832" s="7" t="n"/>
      <c r="S2832" s="8">
        <f>IF(NOT(ISNUMBER(M2832)),"",IF(G2832="Terreno",IF(AND(ISNUMBER(I2832),I2832&gt;0),M2832/I2832,""),IF(AND(ISNUMBER(H2832),H2832&gt;0),M2832/H2832,"")))</f>
        <v/>
      </c>
      <c r="T2832" s="9">
        <f>IF(AND(ISNUMBER(M2832),ISNUMBER(O2832)),IF(M2832&lt;=O2832,"Valor ≤ venal IPTU",""),"")</f>
        <v/>
      </c>
      <c r="U2832" s="10">
        <f>IF(AND(ISNUMBER(M2832),ISNUMBER(N2832)),IF(N2832&gt;0,M2832/N2832,""),"")</f>
        <v/>
      </c>
      <c r="V2832" s="10">
        <f>IF(AND(ISNUMBER(M2832),ISNUMBER(O2832)),IF(O2832&gt;0,M2832/O2832,""),"")</f>
        <v/>
      </c>
      <c r="W2832" s="10">
        <f>IF(AND(ISNUMBER(M2832),ISNUMBER(R2832)),IF(R2832&gt;0,M2832/R2832,""),"")</f>
        <v/>
      </c>
      <c r="X2832" s="10">
        <f>IF(AND(ISNUMBER(Q2832),ISNUMBER(M2832)),IF(M2832&gt;0,Q2832/M2832,""),"")</f>
        <v/>
      </c>
      <c r="Y2832" s="11">
        <f>IF(ISNUMBER(Z2832),YEAR(Z2832),"")</f>
        <v/>
      </c>
      <c r="Z2832" s="12" t="n"/>
      <c r="AA2832" s="12" t="n"/>
      <c r="AI2832" s="12" t="n"/>
      <c r="AJ2832" s="13">
        <f>IF(LEN(TRIM(AF2832))=0,"",HYPERLINK("https://www.google.com/maps/@?api=1&amp;map_action=pano&amp;viewpoint="&amp;SUBSTITUTE(AF2832," ",""),"Abrir Street View"))</f>
        <v/>
      </c>
    </row>
    <row r="2833">
      <c r="H2833" s="6" t="n"/>
      <c r="I2833" s="6" t="n"/>
      <c r="M2833" s="7" t="n"/>
      <c r="N2833" s="7" t="n"/>
      <c r="O2833" s="7" t="n"/>
      <c r="Q2833" s="7" t="n"/>
      <c r="R2833" s="7" t="n"/>
      <c r="S2833" s="8">
        <f>IF(NOT(ISNUMBER(M2833)),"",IF(G2833="Terreno",IF(AND(ISNUMBER(I2833),I2833&gt;0),M2833/I2833,""),IF(AND(ISNUMBER(H2833),H2833&gt;0),M2833/H2833,"")))</f>
        <v/>
      </c>
      <c r="T2833" s="9">
        <f>IF(AND(ISNUMBER(M2833),ISNUMBER(O2833)),IF(M2833&lt;=O2833,"Valor ≤ venal IPTU",""),"")</f>
        <v/>
      </c>
      <c r="U2833" s="10">
        <f>IF(AND(ISNUMBER(M2833),ISNUMBER(N2833)),IF(N2833&gt;0,M2833/N2833,""),"")</f>
        <v/>
      </c>
      <c r="V2833" s="10">
        <f>IF(AND(ISNUMBER(M2833),ISNUMBER(O2833)),IF(O2833&gt;0,M2833/O2833,""),"")</f>
        <v/>
      </c>
      <c r="W2833" s="10">
        <f>IF(AND(ISNUMBER(M2833),ISNUMBER(R2833)),IF(R2833&gt;0,M2833/R2833,""),"")</f>
        <v/>
      </c>
      <c r="X2833" s="10">
        <f>IF(AND(ISNUMBER(Q2833),ISNUMBER(M2833)),IF(M2833&gt;0,Q2833/M2833,""),"")</f>
        <v/>
      </c>
      <c r="Y2833" s="11">
        <f>IF(ISNUMBER(Z2833),YEAR(Z2833),"")</f>
        <v/>
      </c>
      <c r="Z2833" s="12" t="n"/>
      <c r="AA2833" s="12" t="n"/>
      <c r="AI2833" s="12" t="n"/>
      <c r="AJ2833" s="13">
        <f>IF(LEN(TRIM(AF2833))=0,"",HYPERLINK("https://www.google.com/maps/@?api=1&amp;map_action=pano&amp;viewpoint="&amp;SUBSTITUTE(AF2833," ",""),"Abrir Street View"))</f>
        <v/>
      </c>
    </row>
    <row r="2834">
      <c r="H2834" s="6" t="n"/>
      <c r="I2834" s="6" t="n"/>
      <c r="M2834" s="7" t="n"/>
      <c r="N2834" s="7" t="n"/>
      <c r="O2834" s="7" t="n"/>
      <c r="Q2834" s="7" t="n"/>
      <c r="R2834" s="7" t="n"/>
      <c r="S2834" s="8">
        <f>IF(NOT(ISNUMBER(M2834)),"",IF(G2834="Terreno",IF(AND(ISNUMBER(I2834),I2834&gt;0),M2834/I2834,""),IF(AND(ISNUMBER(H2834),H2834&gt;0),M2834/H2834,"")))</f>
        <v/>
      </c>
      <c r="T2834" s="9">
        <f>IF(AND(ISNUMBER(M2834),ISNUMBER(O2834)),IF(M2834&lt;=O2834,"Valor ≤ venal IPTU",""),"")</f>
        <v/>
      </c>
      <c r="U2834" s="10">
        <f>IF(AND(ISNUMBER(M2834),ISNUMBER(N2834)),IF(N2834&gt;0,M2834/N2834,""),"")</f>
        <v/>
      </c>
      <c r="V2834" s="10">
        <f>IF(AND(ISNUMBER(M2834),ISNUMBER(O2834)),IF(O2834&gt;0,M2834/O2834,""),"")</f>
        <v/>
      </c>
      <c r="W2834" s="10">
        <f>IF(AND(ISNUMBER(M2834),ISNUMBER(R2834)),IF(R2834&gt;0,M2834/R2834,""),"")</f>
        <v/>
      </c>
      <c r="X2834" s="10">
        <f>IF(AND(ISNUMBER(Q2834),ISNUMBER(M2834)),IF(M2834&gt;0,Q2834/M2834,""),"")</f>
        <v/>
      </c>
      <c r="Y2834" s="11">
        <f>IF(ISNUMBER(Z2834),YEAR(Z2834),"")</f>
        <v/>
      </c>
      <c r="Z2834" s="12" t="n"/>
      <c r="AA2834" s="12" t="n"/>
      <c r="AI2834" s="12" t="n"/>
      <c r="AJ2834" s="13">
        <f>IF(LEN(TRIM(AF2834))=0,"",HYPERLINK("https://www.google.com/maps/@?api=1&amp;map_action=pano&amp;viewpoint="&amp;SUBSTITUTE(AF2834," ",""),"Abrir Street View"))</f>
        <v/>
      </c>
    </row>
    <row r="2835">
      <c r="H2835" s="6" t="n"/>
      <c r="I2835" s="6" t="n"/>
      <c r="M2835" s="7" t="n"/>
      <c r="N2835" s="7" t="n"/>
      <c r="O2835" s="7" t="n"/>
      <c r="Q2835" s="7" t="n"/>
      <c r="R2835" s="7" t="n"/>
      <c r="S2835" s="8">
        <f>IF(NOT(ISNUMBER(M2835)),"",IF(G2835="Terreno",IF(AND(ISNUMBER(I2835),I2835&gt;0),M2835/I2835,""),IF(AND(ISNUMBER(H2835),H2835&gt;0),M2835/H2835,"")))</f>
        <v/>
      </c>
      <c r="T2835" s="9">
        <f>IF(AND(ISNUMBER(M2835),ISNUMBER(O2835)),IF(M2835&lt;=O2835,"Valor ≤ venal IPTU",""),"")</f>
        <v/>
      </c>
      <c r="U2835" s="10">
        <f>IF(AND(ISNUMBER(M2835),ISNUMBER(N2835)),IF(N2835&gt;0,M2835/N2835,""),"")</f>
        <v/>
      </c>
      <c r="V2835" s="10">
        <f>IF(AND(ISNUMBER(M2835),ISNUMBER(O2835)),IF(O2835&gt;0,M2835/O2835,""),"")</f>
        <v/>
      </c>
      <c r="W2835" s="10">
        <f>IF(AND(ISNUMBER(M2835),ISNUMBER(R2835)),IF(R2835&gt;0,M2835/R2835,""),"")</f>
        <v/>
      </c>
      <c r="X2835" s="10">
        <f>IF(AND(ISNUMBER(Q2835),ISNUMBER(M2835)),IF(M2835&gt;0,Q2835/M2835,""),"")</f>
        <v/>
      </c>
      <c r="Y2835" s="11">
        <f>IF(ISNUMBER(Z2835),YEAR(Z2835),"")</f>
        <v/>
      </c>
      <c r="Z2835" s="12" t="n"/>
      <c r="AA2835" s="12" t="n"/>
      <c r="AI2835" s="12" t="n"/>
      <c r="AJ2835" s="13">
        <f>IF(LEN(TRIM(AF2835))=0,"",HYPERLINK("https://www.google.com/maps/@?api=1&amp;map_action=pano&amp;viewpoint="&amp;SUBSTITUTE(AF2835," ",""),"Abrir Street View"))</f>
        <v/>
      </c>
    </row>
    <row r="2836">
      <c r="H2836" s="6" t="n"/>
      <c r="I2836" s="6" t="n"/>
      <c r="M2836" s="7" t="n"/>
      <c r="N2836" s="7" t="n"/>
      <c r="O2836" s="7" t="n"/>
      <c r="Q2836" s="7" t="n"/>
      <c r="R2836" s="7" t="n"/>
      <c r="S2836" s="8">
        <f>IF(NOT(ISNUMBER(M2836)),"",IF(G2836="Terreno",IF(AND(ISNUMBER(I2836),I2836&gt;0),M2836/I2836,""),IF(AND(ISNUMBER(H2836),H2836&gt;0),M2836/H2836,"")))</f>
        <v/>
      </c>
      <c r="T2836" s="9">
        <f>IF(AND(ISNUMBER(M2836),ISNUMBER(O2836)),IF(M2836&lt;=O2836,"Valor ≤ venal IPTU",""),"")</f>
        <v/>
      </c>
      <c r="U2836" s="10">
        <f>IF(AND(ISNUMBER(M2836),ISNUMBER(N2836)),IF(N2836&gt;0,M2836/N2836,""),"")</f>
        <v/>
      </c>
      <c r="V2836" s="10">
        <f>IF(AND(ISNUMBER(M2836),ISNUMBER(O2836)),IF(O2836&gt;0,M2836/O2836,""),"")</f>
        <v/>
      </c>
      <c r="W2836" s="10">
        <f>IF(AND(ISNUMBER(M2836),ISNUMBER(R2836)),IF(R2836&gt;0,M2836/R2836,""),"")</f>
        <v/>
      </c>
      <c r="X2836" s="10">
        <f>IF(AND(ISNUMBER(Q2836),ISNUMBER(M2836)),IF(M2836&gt;0,Q2836/M2836,""),"")</f>
        <v/>
      </c>
      <c r="Y2836" s="11">
        <f>IF(ISNUMBER(Z2836),YEAR(Z2836),"")</f>
        <v/>
      </c>
      <c r="Z2836" s="12" t="n"/>
      <c r="AA2836" s="12" t="n"/>
      <c r="AI2836" s="12" t="n"/>
      <c r="AJ2836" s="13">
        <f>IF(LEN(TRIM(AF2836))=0,"",HYPERLINK("https://www.google.com/maps/@?api=1&amp;map_action=pano&amp;viewpoint="&amp;SUBSTITUTE(AF2836," ",""),"Abrir Street View"))</f>
        <v/>
      </c>
    </row>
    <row r="2837">
      <c r="H2837" s="6" t="n"/>
      <c r="I2837" s="6" t="n"/>
      <c r="M2837" s="7" t="n"/>
      <c r="N2837" s="7" t="n"/>
      <c r="O2837" s="7" t="n"/>
      <c r="Q2837" s="7" t="n"/>
      <c r="R2837" s="7" t="n"/>
      <c r="S2837" s="8">
        <f>IF(NOT(ISNUMBER(M2837)),"",IF(G2837="Terreno",IF(AND(ISNUMBER(I2837),I2837&gt;0),M2837/I2837,""),IF(AND(ISNUMBER(H2837),H2837&gt;0),M2837/H2837,"")))</f>
        <v/>
      </c>
      <c r="T2837" s="9">
        <f>IF(AND(ISNUMBER(M2837),ISNUMBER(O2837)),IF(M2837&lt;=O2837,"Valor ≤ venal IPTU",""),"")</f>
        <v/>
      </c>
      <c r="U2837" s="10">
        <f>IF(AND(ISNUMBER(M2837),ISNUMBER(N2837)),IF(N2837&gt;0,M2837/N2837,""),"")</f>
        <v/>
      </c>
      <c r="V2837" s="10">
        <f>IF(AND(ISNUMBER(M2837),ISNUMBER(O2837)),IF(O2837&gt;0,M2837/O2837,""),"")</f>
        <v/>
      </c>
      <c r="W2837" s="10">
        <f>IF(AND(ISNUMBER(M2837),ISNUMBER(R2837)),IF(R2837&gt;0,M2837/R2837,""),"")</f>
        <v/>
      </c>
      <c r="X2837" s="10">
        <f>IF(AND(ISNUMBER(Q2837),ISNUMBER(M2837)),IF(M2837&gt;0,Q2837/M2837,""),"")</f>
        <v/>
      </c>
      <c r="Y2837" s="11">
        <f>IF(ISNUMBER(Z2837),YEAR(Z2837),"")</f>
        <v/>
      </c>
      <c r="Z2837" s="12" t="n"/>
      <c r="AA2837" s="12" t="n"/>
      <c r="AI2837" s="12" t="n"/>
      <c r="AJ2837" s="13">
        <f>IF(LEN(TRIM(AF2837))=0,"",HYPERLINK("https://www.google.com/maps/@?api=1&amp;map_action=pano&amp;viewpoint="&amp;SUBSTITUTE(AF2837," ",""),"Abrir Street View"))</f>
        <v/>
      </c>
    </row>
    <row r="2838">
      <c r="H2838" s="6" t="n"/>
      <c r="I2838" s="6" t="n"/>
      <c r="M2838" s="7" t="n"/>
      <c r="N2838" s="7" t="n"/>
      <c r="O2838" s="7" t="n"/>
      <c r="Q2838" s="7" t="n"/>
      <c r="R2838" s="7" t="n"/>
      <c r="S2838" s="8">
        <f>IF(NOT(ISNUMBER(M2838)),"",IF(G2838="Terreno",IF(AND(ISNUMBER(I2838),I2838&gt;0),M2838/I2838,""),IF(AND(ISNUMBER(H2838),H2838&gt;0),M2838/H2838,"")))</f>
        <v/>
      </c>
      <c r="T2838" s="9">
        <f>IF(AND(ISNUMBER(M2838),ISNUMBER(O2838)),IF(M2838&lt;=O2838,"Valor ≤ venal IPTU",""),"")</f>
        <v/>
      </c>
      <c r="U2838" s="10">
        <f>IF(AND(ISNUMBER(M2838),ISNUMBER(N2838)),IF(N2838&gt;0,M2838/N2838,""),"")</f>
        <v/>
      </c>
      <c r="V2838" s="10">
        <f>IF(AND(ISNUMBER(M2838),ISNUMBER(O2838)),IF(O2838&gt;0,M2838/O2838,""),"")</f>
        <v/>
      </c>
      <c r="W2838" s="10">
        <f>IF(AND(ISNUMBER(M2838),ISNUMBER(R2838)),IF(R2838&gt;0,M2838/R2838,""),"")</f>
        <v/>
      </c>
      <c r="X2838" s="10">
        <f>IF(AND(ISNUMBER(Q2838),ISNUMBER(M2838)),IF(M2838&gt;0,Q2838/M2838,""),"")</f>
        <v/>
      </c>
      <c r="Y2838" s="11">
        <f>IF(ISNUMBER(Z2838),YEAR(Z2838),"")</f>
        <v/>
      </c>
      <c r="Z2838" s="12" t="n"/>
      <c r="AA2838" s="12" t="n"/>
      <c r="AI2838" s="12" t="n"/>
      <c r="AJ2838" s="13">
        <f>IF(LEN(TRIM(AF2838))=0,"",HYPERLINK("https://www.google.com/maps/@?api=1&amp;map_action=pano&amp;viewpoint="&amp;SUBSTITUTE(AF2838," ",""),"Abrir Street View"))</f>
        <v/>
      </c>
    </row>
    <row r="2839">
      <c r="H2839" s="6" t="n"/>
      <c r="I2839" s="6" t="n"/>
      <c r="M2839" s="7" t="n"/>
      <c r="N2839" s="7" t="n"/>
      <c r="O2839" s="7" t="n"/>
      <c r="Q2839" s="7" t="n"/>
      <c r="R2839" s="7" t="n"/>
      <c r="S2839" s="8">
        <f>IF(NOT(ISNUMBER(M2839)),"",IF(G2839="Terreno",IF(AND(ISNUMBER(I2839),I2839&gt;0),M2839/I2839,""),IF(AND(ISNUMBER(H2839),H2839&gt;0),M2839/H2839,"")))</f>
        <v/>
      </c>
      <c r="T2839" s="9">
        <f>IF(AND(ISNUMBER(M2839),ISNUMBER(O2839)),IF(M2839&lt;=O2839,"Valor ≤ venal IPTU",""),"")</f>
        <v/>
      </c>
      <c r="U2839" s="10">
        <f>IF(AND(ISNUMBER(M2839),ISNUMBER(N2839)),IF(N2839&gt;0,M2839/N2839,""),"")</f>
        <v/>
      </c>
      <c r="V2839" s="10">
        <f>IF(AND(ISNUMBER(M2839),ISNUMBER(O2839)),IF(O2839&gt;0,M2839/O2839,""),"")</f>
        <v/>
      </c>
      <c r="W2839" s="10">
        <f>IF(AND(ISNUMBER(M2839),ISNUMBER(R2839)),IF(R2839&gt;0,M2839/R2839,""),"")</f>
        <v/>
      </c>
      <c r="X2839" s="10">
        <f>IF(AND(ISNUMBER(Q2839),ISNUMBER(M2839)),IF(M2839&gt;0,Q2839/M2839,""),"")</f>
        <v/>
      </c>
      <c r="Y2839" s="11">
        <f>IF(ISNUMBER(Z2839),YEAR(Z2839),"")</f>
        <v/>
      </c>
      <c r="Z2839" s="12" t="n"/>
      <c r="AA2839" s="12" t="n"/>
      <c r="AI2839" s="12" t="n"/>
      <c r="AJ2839" s="13">
        <f>IF(LEN(TRIM(AF2839))=0,"",HYPERLINK("https://www.google.com/maps/@?api=1&amp;map_action=pano&amp;viewpoint="&amp;SUBSTITUTE(AF2839," ",""),"Abrir Street View"))</f>
        <v/>
      </c>
    </row>
    <row r="2840">
      <c r="H2840" s="6" t="n"/>
      <c r="I2840" s="6" t="n"/>
      <c r="M2840" s="7" t="n"/>
      <c r="N2840" s="7" t="n"/>
      <c r="O2840" s="7" t="n"/>
      <c r="Q2840" s="7" t="n"/>
      <c r="R2840" s="7" t="n"/>
      <c r="S2840" s="8">
        <f>IF(NOT(ISNUMBER(M2840)),"",IF(G2840="Terreno",IF(AND(ISNUMBER(I2840),I2840&gt;0),M2840/I2840,""),IF(AND(ISNUMBER(H2840),H2840&gt;0),M2840/H2840,"")))</f>
        <v/>
      </c>
      <c r="T2840" s="9">
        <f>IF(AND(ISNUMBER(M2840),ISNUMBER(O2840)),IF(M2840&lt;=O2840,"Valor ≤ venal IPTU",""),"")</f>
        <v/>
      </c>
      <c r="U2840" s="10">
        <f>IF(AND(ISNUMBER(M2840),ISNUMBER(N2840)),IF(N2840&gt;0,M2840/N2840,""),"")</f>
        <v/>
      </c>
      <c r="V2840" s="10">
        <f>IF(AND(ISNUMBER(M2840),ISNUMBER(O2840)),IF(O2840&gt;0,M2840/O2840,""),"")</f>
        <v/>
      </c>
      <c r="W2840" s="10">
        <f>IF(AND(ISNUMBER(M2840),ISNUMBER(R2840)),IF(R2840&gt;0,M2840/R2840,""),"")</f>
        <v/>
      </c>
      <c r="X2840" s="10">
        <f>IF(AND(ISNUMBER(Q2840),ISNUMBER(M2840)),IF(M2840&gt;0,Q2840/M2840,""),"")</f>
        <v/>
      </c>
      <c r="Y2840" s="11">
        <f>IF(ISNUMBER(Z2840),YEAR(Z2840),"")</f>
        <v/>
      </c>
      <c r="Z2840" s="12" t="n"/>
      <c r="AA2840" s="12" t="n"/>
      <c r="AI2840" s="12" t="n"/>
      <c r="AJ2840" s="13">
        <f>IF(LEN(TRIM(AF2840))=0,"",HYPERLINK("https://www.google.com/maps/@?api=1&amp;map_action=pano&amp;viewpoint="&amp;SUBSTITUTE(AF2840," ",""),"Abrir Street View"))</f>
        <v/>
      </c>
    </row>
    <row r="2841">
      <c r="H2841" s="6" t="n"/>
      <c r="I2841" s="6" t="n"/>
      <c r="M2841" s="7" t="n"/>
      <c r="N2841" s="7" t="n"/>
      <c r="O2841" s="7" t="n"/>
      <c r="Q2841" s="7" t="n"/>
      <c r="R2841" s="7" t="n"/>
      <c r="S2841" s="8">
        <f>IF(NOT(ISNUMBER(M2841)),"",IF(G2841="Terreno",IF(AND(ISNUMBER(I2841),I2841&gt;0),M2841/I2841,""),IF(AND(ISNUMBER(H2841),H2841&gt;0),M2841/H2841,"")))</f>
        <v/>
      </c>
      <c r="T2841" s="9">
        <f>IF(AND(ISNUMBER(M2841),ISNUMBER(O2841)),IF(M2841&lt;=O2841,"Valor ≤ venal IPTU",""),"")</f>
        <v/>
      </c>
      <c r="U2841" s="10">
        <f>IF(AND(ISNUMBER(M2841),ISNUMBER(N2841)),IF(N2841&gt;0,M2841/N2841,""),"")</f>
        <v/>
      </c>
      <c r="V2841" s="10">
        <f>IF(AND(ISNUMBER(M2841),ISNUMBER(O2841)),IF(O2841&gt;0,M2841/O2841,""),"")</f>
        <v/>
      </c>
      <c r="W2841" s="10">
        <f>IF(AND(ISNUMBER(M2841),ISNUMBER(R2841)),IF(R2841&gt;0,M2841/R2841,""),"")</f>
        <v/>
      </c>
      <c r="X2841" s="10">
        <f>IF(AND(ISNUMBER(Q2841),ISNUMBER(M2841)),IF(M2841&gt;0,Q2841/M2841,""),"")</f>
        <v/>
      </c>
      <c r="Y2841" s="11">
        <f>IF(ISNUMBER(Z2841),YEAR(Z2841),"")</f>
        <v/>
      </c>
      <c r="Z2841" s="12" t="n"/>
      <c r="AA2841" s="12" t="n"/>
      <c r="AI2841" s="12" t="n"/>
      <c r="AJ2841" s="13">
        <f>IF(LEN(TRIM(AF2841))=0,"",HYPERLINK("https://www.google.com/maps/@?api=1&amp;map_action=pano&amp;viewpoint="&amp;SUBSTITUTE(AF2841," ",""),"Abrir Street View"))</f>
        <v/>
      </c>
    </row>
    <row r="2842">
      <c r="H2842" s="6" t="n"/>
      <c r="I2842" s="6" t="n"/>
      <c r="M2842" s="7" t="n"/>
      <c r="N2842" s="7" t="n"/>
      <c r="O2842" s="7" t="n"/>
      <c r="Q2842" s="7" t="n"/>
      <c r="R2842" s="7" t="n"/>
      <c r="S2842" s="8">
        <f>IF(NOT(ISNUMBER(M2842)),"",IF(G2842="Terreno",IF(AND(ISNUMBER(I2842),I2842&gt;0),M2842/I2842,""),IF(AND(ISNUMBER(H2842),H2842&gt;0),M2842/H2842,"")))</f>
        <v/>
      </c>
      <c r="T2842" s="9">
        <f>IF(AND(ISNUMBER(M2842),ISNUMBER(O2842)),IF(M2842&lt;=O2842,"Valor ≤ venal IPTU",""),"")</f>
        <v/>
      </c>
      <c r="U2842" s="10">
        <f>IF(AND(ISNUMBER(M2842),ISNUMBER(N2842)),IF(N2842&gt;0,M2842/N2842,""),"")</f>
        <v/>
      </c>
      <c r="V2842" s="10">
        <f>IF(AND(ISNUMBER(M2842),ISNUMBER(O2842)),IF(O2842&gt;0,M2842/O2842,""),"")</f>
        <v/>
      </c>
      <c r="W2842" s="10">
        <f>IF(AND(ISNUMBER(M2842),ISNUMBER(R2842)),IF(R2842&gt;0,M2842/R2842,""),"")</f>
        <v/>
      </c>
      <c r="X2842" s="10">
        <f>IF(AND(ISNUMBER(Q2842),ISNUMBER(M2842)),IF(M2842&gt;0,Q2842/M2842,""),"")</f>
        <v/>
      </c>
      <c r="Y2842" s="11">
        <f>IF(ISNUMBER(Z2842),YEAR(Z2842),"")</f>
        <v/>
      </c>
      <c r="Z2842" s="12" t="n"/>
      <c r="AA2842" s="12" t="n"/>
      <c r="AI2842" s="12" t="n"/>
      <c r="AJ2842" s="13">
        <f>IF(LEN(TRIM(AF2842))=0,"",HYPERLINK("https://www.google.com/maps/@?api=1&amp;map_action=pano&amp;viewpoint="&amp;SUBSTITUTE(AF2842," ",""),"Abrir Street View"))</f>
        <v/>
      </c>
    </row>
    <row r="2843">
      <c r="H2843" s="6" t="n"/>
      <c r="I2843" s="6" t="n"/>
      <c r="M2843" s="7" t="n"/>
      <c r="N2843" s="7" t="n"/>
      <c r="O2843" s="7" t="n"/>
      <c r="Q2843" s="7" t="n"/>
      <c r="R2843" s="7" t="n"/>
      <c r="S2843" s="8">
        <f>IF(NOT(ISNUMBER(M2843)),"",IF(G2843="Terreno",IF(AND(ISNUMBER(I2843),I2843&gt;0),M2843/I2843,""),IF(AND(ISNUMBER(H2843),H2843&gt;0),M2843/H2843,"")))</f>
        <v/>
      </c>
      <c r="T2843" s="9">
        <f>IF(AND(ISNUMBER(M2843),ISNUMBER(O2843)),IF(M2843&lt;=O2843,"Valor ≤ venal IPTU",""),"")</f>
        <v/>
      </c>
      <c r="U2843" s="10">
        <f>IF(AND(ISNUMBER(M2843),ISNUMBER(N2843)),IF(N2843&gt;0,M2843/N2843,""),"")</f>
        <v/>
      </c>
      <c r="V2843" s="10">
        <f>IF(AND(ISNUMBER(M2843),ISNUMBER(O2843)),IF(O2843&gt;0,M2843/O2843,""),"")</f>
        <v/>
      </c>
      <c r="W2843" s="10">
        <f>IF(AND(ISNUMBER(M2843),ISNUMBER(R2843)),IF(R2843&gt;0,M2843/R2843,""),"")</f>
        <v/>
      </c>
      <c r="X2843" s="10">
        <f>IF(AND(ISNUMBER(Q2843),ISNUMBER(M2843)),IF(M2843&gt;0,Q2843/M2843,""),"")</f>
        <v/>
      </c>
      <c r="Y2843" s="11">
        <f>IF(ISNUMBER(Z2843),YEAR(Z2843),"")</f>
        <v/>
      </c>
      <c r="Z2843" s="12" t="n"/>
      <c r="AA2843" s="12" t="n"/>
      <c r="AI2843" s="12" t="n"/>
      <c r="AJ2843" s="13">
        <f>IF(LEN(TRIM(AF2843))=0,"",HYPERLINK("https://www.google.com/maps/@?api=1&amp;map_action=pano&amp;viewpoint="&amp;SUBSTITUTE(AF2843," ",""),"Abrir Street View"))</f>
        <v/>
      </c>
    </row>
    <row r="2844">
      <c r="H2844" s="6" t="n"/>
      <c r="I2844" s="6" t="n"/>
      <c r="M2844" s="7" t="n"/>
      <c r="N2844" s="7" t="n"/>
      <c r="O2844" s="7" t="n"/>
      <c r="Q2844" s="7" t="n"/>
      <c r="R2844" s="7" t="n"/>
      <c r="S2844" s="8">
        <f>IF(NOT(ISNUMBER(M2844)),"",IF(G2844="Terreno",IF(AND(ISNUMBER(I2844),I2844&gt;0),M2844/I2844,""),IF(AND(ISNUMBER(H2844),H2844&gt;0),M2844/H2844,"")))</f>
        <v/>
      </c>
      <c r="T2844" s="9">
        <f>IF(AND(ISNUMBER(M2844),ISNUMBER(O2844)),IF(M2844&lt;=O2844,"Valor ≤ venal IPTU",""),"")</f>
        <v/>
      </c>
      <c r="U2844" s="10">
        <f>IF(AND(ISNUMBER(M2844),ISNUMBER(N2844)),IF(N2844&gt;0,M2844/N2844,""),"")</f>
        <v/>
      </c>
      <c r="V2844" s="10">
        <f>IF(AND(ISNUMBER(M2844),ISNUMBER(O2844)),IF(O2844&gt;0,M2844/O2844,""),"")</f>
        <v/>
      </c>
      <c r="W2844" s="10">
        <f>IF(AND(ISNUMBER(M2844),ISNUMBER(R2844)),IF(R2844&gt;0,M2844/R2844,""),"")</f>
        <v/>
      </c>
      <c r="X2844" s="10">
        <f>IF(AND(ISNUMBER(Q2844),ISNUMBER(M2844)),IF(M2844&gt;0,Q2844/M2844,""),"")</f>
        <v/>
      </c>
      <c r="Y2844" s="11">
        <f>IF(ISNUMBER(Z2844),YEAR(Z2844),"")</f>
        <v/>
      </c>
      <c r="Z2844" s="12" t="n"/>
      <c r="AA2844" s="12" t="n"/>
      <c r="AI2844" s="12" t="n"/>
      <c r="AJ2844" s="13">
        <f>IF(LEN(TRIM(AF2844))=0,"",HYPERLINK("https://www.google.com/maps/@?api=1&amp;map_action=pano&amp;viewpoint="&amp;SUBSTITUTE(AF2844," ",""),"Abrir Street View"))</f>
        <v/>
      </c>
    </row>
    <row r="2845">
      <c r="H2845" s="6" t="n"/>
      <c r="I2845" s="6" t="n"/>
      <c r="M2845" s="7" t="n"/>
      <c r="N2845" s="7" t="n"/>
      <c r="O2845" s="7" t="n"/>
      <c r="Q2845" s="7" t="n"/>
      <c r="R2845" s="7" t="n"/>
      <c r="S2845" s="8">
        <f>IF(NOT(ISNUMBER(M2845)),"",IF(G2845="Terreno",IF(AND(ISNUMBER(I2845),I2845&gt;0),M2845/I2845,""),IF(AND(ISNUMBER(H2845),H2845&gt;0),M2845/H2845,"")))</f>
        <v/>
      </c>
      <c r="T2845" s="9">
        <f>IF(AND(ISNUMBER(M2845),ISNUMBER(O2845)),IF(M2845&lt;=O2845,"Valor ≤ venal IPTU",""),"")</f>
        <v/>
      </c>
      <c r="U2845" s="10">
        <f>IF(AND(ISNUMBER(M2845),ISNUMBER(N2845)),IF(N2845&gt;0,M2845/N2845,""),"")</f>
        <v/>
      </c>
      <c r="V2845" s="10">
        <f>IF(AND(ISNUMBER(M2845),ISNUMBER(O2845)),IF(O2845&gt;0,M2845/O2845,""),"")</f>
        <v/>
      </c>
      <c r="W2845" s="10">
        <f>IF(AND(ISNUMBER(M2845),ISNUMBER(R2845)),IF(R2845&gt;0,M2845/R2845,""),"")</f>
        <v/>
      </c>
      <c r="X2845" s="10">
        <f>IF(AND(ISNUMBER(Q2845),ISNUMBER(M2845)),IF(M2845&gt;0,Q2845/M2845,""),"")</f>
        <v/>
      </c>
      <c r="Y2845" s="11">
        <f>IF(ISNUMBER(Z2845),YEAR(Z2845),"")</f>
        <v/>
      </c>
      <c r="Z2845" s="12" t="n"/>
      <c r="AA2845" s="12" t="n"/>
      <c r="AI2845" s="12" t="n"/>
      <c r="AJ2845" s="13">
        <f>IF(LEN(TRIM(AF2845))=0,"",HYPERLINK("https://www.google.com/maps/@?api=1&amp;map_action=pano&amp;viewpoint="&amp;SUBSTITUTE(AF2845," ",""),"Abrir Street View"))</f>
        <v/>
      </c>
    </row>
    <row r="2846">
      <c r="H2846" s="6" t="n"/>
      <c r="I2846" s="6" t="n"/>
      <c r="M2846" s="7" t="n"/>
      <c r="N2846" s="7" t="n"/>
      <c r="O2846" s="7" t="n"/>
      <c r="Q2846" s="7" t="n"/>
      <c r="R2846" s="7" t="n"/>
      <c r="S2846" s="8">
        <f>IF(NOT(ISNUMBER(M2846)),"",IF(G2846="Terreno",IF(AND(ISNUMBER(I2846),I2846&gt;0),M2846/I2846,""),IF(AND(ISNUMBER(H2846),H2846&gt;0),M2846/H2846,"")))</f>
        <v/>
      </c>
      <c r="T2846" s="9">
        <f>IF(AND(ISNUMBER(M2846),ISNUMBER(O2846)),IF(M2846&lt;=O2846,"Valor ≤ venal IPTU",""),"")</f>
        <v/>
      </c>
      <c r="U2846" s="10">
        <f>IF(AND(ISNUMBER(M2846),ISNUMBER(N2846)),IF(N2846&gt;0,M2846/N2846,""),"")</f>
        <v/>
      </c>
      <c r="V2846" s="10">
        <f>IF(AND(ISNUMBER(M2846),ISNUMBER(O2846)),IF(O2846&gt;0,M2846/O2846,""),"")</f>
        <v/>
      </c>
      <c r="W2846" s="10">
        <f>IF(AND(ISNUMBER(M2846),ISNUMBER(R2846)),IF(R2846&gt;0,M2846/R2846,""),"")</f>
        <v/>
      </c>
      <c r="X2846" s="10">
        <f>IF(AND(ISNUMBER(Q2846),ISNUMBER(M2846)),IF(M2846&gt;0,Q2846/M2846,""),"")</f>
        <v/>
      </c>
      <c r="Y2846" s="11">
        <f>IF(ISNUMBER(Z2846),YEAR(Z2846),"")</f>
        <v/>
      </c>
      <c r="Z2846" s="12" t="n"/>
      <c r="AA2846" s="12" t="n"/>
      <c r="AI2846" s="12" t="n"/>
      <c r="AJ2846" s="13">
        <f>IF(LEN(TRIM(AF2846))=0,"",HYPERLINK("https://www.google.com/maps/@?api=1&amp;map_action=pano&amp;viewpoint="&amp;SUBSTITUTE(AF2846," ",""),"Abrir Street View"))</f>
        <v/>
      </c>
    </row>
    <row r="2847">
      <c r="H2847" s="6" t="n"/>
      <c r="I2847" s="6" t="n"/>
      <c r="M2847" s="7" t="n"/>
      <c r="N2847" s="7" t="n"/>
      <c r="O2847" s="7" t="n"/>
      <c r="Q2847" s="7" t="n"/>
      <c r="R2847" s="7" t="n"/>
      <c r="S2847" s="8">
        <f>IF(NOT(ISNUMBER(M2847)),"",IF(G2847="Terreno",IF(AND(ISNUMBER(I2847),I2847&gt;0),M2847/I2847,""),IF(AND(ISNUMBER(H2847),H2847&gt;0),M2847/H2847,"")))</f>
        <v/>
      </c>
      <c r="T2847" s="9">
        <f>IF(AND(ISNUMBER(M2847),ISNUMBER(O2847)),IF(M2847&lt;=O2847,"Valor ≤ venal IPTU",""),"")</f>
        <v/>
      </c>
      <c r="U2847" s="10">
        <f>IF(AND(ISNUMBER(M2847),ISNUMBER(N2847)),IF(N2847&gt;0,M2847/N2847,""),"")</f>
        <v/>
      </c>
      <c r="V2847" s="10">
        <f>IF(AND(ISNUMBER(M2847),ISNUMBER(O2847)),IF(O2847&gt;0,M2847/O2847,""),"")</f>
        <v/>
      </c>
      <c r="W2847" s="10">
        <f>IF(AND(ISNUMBER(M2847),ISNUMBER(R2847)),IF(R2847&gt;0,M2847/R2847,""),"")</f>
        <v/>
      </c>
      <c r="X2847" s="10">
        <f>IF(AND(ISNUMBER(Q2847),ISNUMBER(M2847)),IF(M2847&gt;0,Q2847/M2847,""),"")</f>
        <v/>
      </c>
      <c r="Y2847" s="11">
        <f>IF(ISNUMBER(Z2847),YEAR(Z2847),"")</f>
        <v/>
      </c>
      <c r="Z2847" s="12" t="n"/>
      <c r="AA2847" s="12" t="n"/>
      <c r="AI2847" s="12" t="n"/>
      <c r="AJ2847" s="13">
        <f>IF(LEN(TRIM(AF2847))=0,"",HYPERLINK("https://www.google.com/maps/@?api=1&amp;map_action=pano&amp;viewpoint="&amp;SUBSTITUTE(AF2847," ",""),"Abrir Street View"))</f>
        <v/>
      </c>
    </row>
    <row r="2848">
      <c r="H2848" s="6" t="n"/>
      <c r="I2848" s="6" t="n"/>
      <c r="M2848" s="7" t="n"/>
      <c r="N2848" s="7" t="n"/>
      <c r="O2848" s="7" t="n"/>
      <c r="Q2848" s="7" t="n"/>
      <c r="R2848" s="7" t="n"/>
      <c r="S2848" s="8">
        <f>IF(NOT(ISNUMBER(M2848)),"",IF(G2848="Terreno",IF(AND(ISNUMBER(I2848),I2848&gt;0),M2848/I2848,""),IF(AND(ISNUMBER(H2848),H2848&gt;0),M2848/H2848,"")))</f>
        <v/>
      </c>
      <c r="T2848" s="9">
        <f>IF(AND(ISNUMBER(M2848),ISNUMBER(O2848)),IF(M2848&lt;=O2848,"Valor ≤ venal IPTU",""),"")</f>
        <v/>
      </c>
      <c r="U2848" s="10">
        <f>IF(AND(ISNUMBER(M2848),ISNUMBER(N2848)),IF(N2848&gt;0,M2848/N2848,""),"")</f>
        <v/>
      </c>
      <c r="V2848" s="10">
        <f>IF(AND(ISNUMBER(M2848),ISNUMBER(O2848)),IF(O2848&gt;0,M2848/O2848,""),"")</f>
        <v/>
      </c>
      <c r="W2848" s="10">
        <f>IF(AND(ISNUMBER(M2848),ISNUMBER(R2848)),IF(R2848&gt;0,M2848/R2848,""),"")</f>
        <v/>
      </c>
      <c r="X2848" s="10">
        <f>IF(AND(ISNUMBER(Q2848),ISNUMBER(M2848)),IF(M2848&gt;0,Q2848/M2848,""),"")</f>
        <v/>
      </c>
      <c r="Y2848" s="11">
        <f>IF(ISNUMBER(Z2848),YEAR(Z2848),"")</f>
        <v/>
      </c>
      <c r="Z2848" s="12" t="n"/>
      <c r="AA2848" s="12" t="n"/>
      <c r="AI2848" s="12" t="n"/>
      <c r="AJ2848" s="13">
        <f>IF(LEN(TRIM(AF2848))=0,"",HYPERLINK("https://www.google.com/maps/@?api=1&amp;map_action=pano&amp;viewpoint="&amp;SUBSTITUTE(AF2848," ",""),"Abrir Street View"))</f>
        <v/>
      </c>
    </row>
    <row r="2849">
      <c r="H2849" s="6" t="n"/>
      <c r="I2849" s="6" t="n"/>
      <c r="M2849" s="7" t="n"/>
      <c r="N2849" s="7" t="n"/>
      <c r="O2849" s="7" t="n"/>
      <c r="Q2849" s="7" t="n"/>
      <c r="R2849" s="7" t="n"/>
      <c r="S2849" s="8">
        <f>IF(NOT(ISNUMBER(M2849)),"",IF(G2849="Terreno",IF(AND(ISNUMBER(I2849),I2849&gt;0),M2849/I2849,""),IF(AND(ISNUMBER(H2849),H2849&gt;0),M2849/H2849,"")))</f>
        <v/>
      </c>
      <c r="T2849" s="9">
        <f>IF(AND(ISNUMBER(M2849),ISNUMBER(O2849)),IF(M2849&lt;=O2849,"Valor ≤ venal IPTU",""),"")</f>
        <v/>
      </c>
      <c r="U2849" s="10">
        <f>IF(AND(ISNUMBER(M2849),ISNUMBER(N2849)),IF(N2849&gt;0,M2849/N2849,""),"")</f>
        <v/>
      </c>
      <c r="V2849" s="10">
        <f>IF(AND(ISNUMBER(M2849),ISNUMBER(O2849)),IF(O2849&gt;0,M2849/O2849,""),"")</f>
        <v/>
      </c>
      <c r="W2849" s="10">
        <f>IF(AND(ISNUMBER(M2849),ISNUMBER(R2849)),IF(R2849&gt;0,M2849/R2849,""),"")</f>
        <v/>
      </c>
      <c r="X2849" s="10">
        <f>IF(AND(ISNUMBER(Q2849),ISNUMBER(M2849)),IF(M2849&gt;0,Q2849/M2849,""),"")</f>
        <v/>
      </c>
      <c r="Y2849" s="11">
        <f>IF(ISNUMBER(Z2849),YEAR(Z2849),"")</f>
        <v/>
      </c>
      <c r="Z2849" s="12" t="n"/>
      <c r="AA2849" s="12" t="n"/>
      <c r="AI2849" s="12" t="n"/>
      <c r="AJ2849" s="13">
        <f>IF(LEN(TRIM(AF2849))=0,"",HYPERLINK("https://www.google.com/maps/@?api=1&amp;map_action=pano&amp;viewpoint="&amp;SUBSTITUTE(AF2849," ",""),"Abrir Street View"))</f>
        <v/>
      </c>
    </row>
    <row r="2850">
      <c r="H2850" s="6" t="n"/>
      <c r="I2850" s="6" t="n"/>
      <c r="M2850" s="7" t="n"/>
      <c r="N2850" s="7" t="n"/>
      <c r="O2850" s="7" t="n"/>
      <c r="Q2850" s="7" t="n"/>
      <c r="R2850" s="7" t="n"/>
      <c r="S2850" s="8">
        <f>IF(NOT(ISNUMBER(M2850)),"",IF(G2850="Terreno",IF(AND(ISNUMBER(I2850),I2850&gt;0),M2850/I2850,""),IF(AND(ISNUMBER(H2850),H2850&gt;0),M2850/H2850,"")))</f>
        <v/>
      </c>
      <c r="T2850" s="9">
        <f>IF(AND(ISNUMBER(M2850),ISNUMBER(O2850)),IF(M2850&lt;=O2850,"Valor ≤ venal IPTU",""),"")</f>
        <v/>
      </c>
      <c r="U2850" s="10">
        <f>IF(AND(ISNUMBER(M2850),ISNUMBER(N2850)),IF(N2850&gt;0,M2850/N2850,""),"")</f>
        <v/>
      </c>
      <c r="V2850" s="10">
        <f>IF(AND(ISNUMBER(M2850),ISNUMBER(O2850)),IF(O2850&gt;0,M2850/O2850,""),"")</f>
        <v/>
      </c>
      <c r="W2850" s="10">
        <f>IF(AND(ISNUMBER(M2850),ISNUMBER(R2850)),IF(R2850&gt;0,M2850/R2850,""),"")</f>
        <v/>
      </c>
      <c r="X2850" s="10">
        <f>IF(AND(ISNUMBER(Q2850),ISNUMBER(M2850)),IF(M2850&gt;0,Q2850/M2850,""),"")</f>
        <v/>
      </c>
      <c r="Y2850" s="11">
        <f>IF(ISNUMBER(Z2850),YEAR(Z2850),"")</f>
        <v/>
      </c>
      <c r="Z2850" s="12" t="n"/>
      <c r="AA2850" s="12" t="n"/>
      <c r="AI2850" s="12" t="n"/>
      <c r="AJ2850" s="13">
        <f>IF(LEN(TRIM(AF2850))=0,"",HYPERLINK("https://www.google.com/maps/@?api=1&amp;map_action=pano&amp;viewpoint="&amp;SUBSTITUTE(AF2850," ",""),"Abrir Street View"))</f>
        <v/>
      </c>
    </row>
    <row r="2851">
      <c r="H2851" s="6" t="n"/>
      <c r="I2851" s="6" t="n"/>
      <c r="M2851" s="7" t="n"/>
      <c r="N2851" s="7" t="n"/>
      <c r="O2851" s="7" t="n"/>
      <c r="Q2851" s="7" t="n"/>
      <c r="R2851" s="7" t="n"/>
      <c r="S2851" s="8">
        <f>IF(NOT(ISNUMBER(M2851)),"",IF(G2851="Terreno",IF(AND(ISNUMBER(I2851),I2851&gt;0),M2851/I2851,""),IF(AND(ISNUMBER(H2851),H2851&gt;0),M2851/H2851,"")))</f>
        <v/>
      </c>
      <c r="T2851" s="9">
        <f>IF(AND(ISNUMBER(M2851),ISNUMBER(O2851)),IF(M2851&lt;=O2851,"Valor ≤ venal IPTU",""),"")</f>
        <v/>
      </c>
      <c r="U2851" s="10">
        <f>IF(AND(ISNUMBER(M2851),ISNUMBER(N2851)),IF(N2851&gt;0,M2851/N2851,""),"")</f>
        <v/>
      </c>
      <c r="V2851" s="10">
        <f>IF(AND(ISNUMBER(M2851),ISNUMBER(O2851)),IF(O2851&gt;0,M2851/O2851,""),"")</f>
        <v/>
      </c>
      <c r="W2851" s="10">
        <f>IF(AND(ISNUMBER(M2851),ISNUMBER(R2851)),IF(R2851&gt;0,M2851/R2851,""),"")</f>
        <v/>
      </c>
      <c r="X2851" s="10">
        <f>IF(AND(ISNUMBER(Q2851),ISNUMBER(M2851)),IF(M2851&gt;0,Q2851/M2851,""),"")</f>
        <v/>
      </c>
      <c r="Y2851" s="11">
        <f>IF(ISNUMBER(Z2851),YEAR(Z2851),"")</f>
        <v/>
      </c>
      <c r="Z2851" s="12" t="n"/>
      <c r="AA2851" s="12" t="n"/>
      <c r="AI2851" s="12" t="n"/>
      <c r="AJ2851" s="13">
        <f>IF(LEN(TRIM(AF2851))=0,"",HYPERLINK("https://www.google.com/maps/@?api=1&amp;map_action=pano&amp;viewpoint="&amp;SUBSTITUTE(AF2851," ",""),"Abrir Street View"))</f>
        <v/>
      </c>
    </row>
    <row r="2852">
      <c r="H2852" s="6" t="n"/>
      <c r="I2852" s="6" t="n"/>
      <c r="M2852" s="7" t="n"/>
      <c r="N2852" s="7" t="n"/>
      <c r="O2852" s="7" t="n"/>
      <c r="Q2852" s="7" t="n"/>
      <c r="R2852" s="7" t="n"/>
      <c r="S2852" s="8">
        <f>IF(NOT(ISNUMBER(M2852)),"",IF(G2852="Terreno",IF(AND(ISNUMBER(I2852),I2852&gt;0),M2852/I2852,""),IF(AND(ISNUMBER(H2852),H2852&gt;0),M2852/H2852,"")))</f>
        <v/>
      </c>
      <c r="T2852" s="9">
        <f>IF(AND(ISNUMBER(M2852),ISNUMBER(O2852)),IF(M2852&lt;=O2852,"Valor ≤ venal IPTU",""),"")</f>
        <v/>
      </c>
      <c r="U2852" s="10">
        <f>IF(AND(ISNUMBER(M2852),ISNUMBER(N2852)),IF(N2852&gt;0,M2852/N2852,""),"")</f>
        <v/>
      </c>
      <c r="V2852" s="10">
        <f>IF(AND(ISNUMBER(M2852),ISNUMBER(O2852)),IF(O2852&gt;0,M2852/O2852,""),"")</f>
        <v/>
      </c>
      <c r="W2852" s="10">
        <f>IF(AND(ISNUMBER(M2852),ISNUMBER(R2852)),IF(R2852&gt;0,M2852/R2852,""),"")</f>
        <v/>
      </c>
      <c r="X2852" s="10">
        <f>IF(AND(ISNUMBER(Q2852),ISNUMBER(M2852)),IF(M2852&gt;0,Q2852/M2852,""),"")</f>
        <v/>
      </c>
      <c r="Y2852" s="11">
        <f>IF(ISNUMBER(Z2852),YEAR(Z2852),"")</f>
        <v/>
      </c>
      <c r="Z2852" s="12" t="n"/>
      <c r="AA2852" s="12" t="n"/>
      <c r="AI2852" s="12" t="n"/>
      <c r="AJ2852" s="13">
        <f>IF(LEN(TRIM(AF2852))=0,"",HYPERLINK("https://www.google.com/maps/@?api=1&amp;map_action=pano&amp;viewpoint="&amp;SUBSTITUTE(AF2852," ",""),"Abrir Street View"))</f>
        <v/>
      </c>
    </row>
    <row r="2853">
      <c r="H2853" s="6" t="n"/>
      <c r="I2853" s="6" t="n"/>
      <c r="M2853" s="7" t="n"/>
      <c r="N2853" s="7" t="n"/>
      <c r="O2853" s="7" t="n"/>
      <c r="Q2853" s="7" t="n"/>
      <c r="R2853" s="7" t="n"/>
      <c r="S2853" s="8">
        <f>IF(NOT(ISNUMBER(M2853)),"",IF(G2853="Terreno",IF(AND(ISNUMBER(I2853),I2853&gt;0),M2853/I2853,""),IF(AND(ISNUMBER(H2853),H2853&gt;0),M2853/H2853,"")))</f>
        <v/>
      </c>
      <c r="T2853" s="9">
        <f>IF(AND(ISNUMBER(M2853),ISNUMBER(O2853)),IF(M2853&lt;=O2853,"Valor ≤ venal IPTU",""),"")</f>
        <v/>
      </c>
      <c r="U2853" s="10">
        <f>IF(AND(ISNUMBER(M2853),ISNUMBER(N2853)),IF(N2853&gt;0,M2853/N2853,""),"")</f>
        <v/>
      </c>
      <c r="V2853" s="10">
        <f>IF(AND(ISNUMBER(M2853),ISNUMBER(O2853)),IF(O2853&gt;0,M2853/O2853,""),"")</f>
        <v/>
      </c>
      <c r="W2853" s="10">
        <f>IF(AND(ISNUMBER(M2853),ISNUMBER(R2853)),IF(R2853&gt;0,M2853/R2853,""),"")</f>
        <v/>
      </c>
      <c r="X2853" s="10">
        <f>IF(AND(ISNUMBER(Q2853),ISNUMBER(M2853)),IF(M2853&gt;0,Q2853/M2853,""),"")</f>
        <v/>
      </c>
      <c r="Y2853" s="11">
        <f>IF(ISNUMBER(Z2853),YEAR(Z2853),"")</f>
        <v/>
      </c>
      <c r="Z2853" s="12" t="n"/>
      <c r="AA2853" s="12" t="n"/>
      <c r="AI2853" s="12" t="n"/>
      <c r="AJ2853" s="13">
        <f>IF(LEN(TRIM(AF2853))=0,"",HYPERLINK("https://www.google.com/maps/@?api=1&amp;map_action=pano&amp;viewpoint="&amp;SUBSTITUTE(AF2853," ",""),"Abrir Street View"))</f>
        <v/>
      </c>
    </row>
    <row r="2854">
      <c r="H2854" s="6" t="n"/>
      <c r="I2854" s="6" t="n"/>
      <c r="M2854" s="7" t="n"/>
      <c r="N2854" s="7" t="n"/>
      <c r="O2854" s="7" t="n"/>
      <c r="Q2854" s="7" t="n"/>
      <c r="R2854" s="7" t="n"/>
      <c r="S2854" s="8">
        <f>IF(NOT(ISNUMBER(M2854)),"",IF(G2854="Terreno",IF(AND(ISNUMBER(I2854),I2854&gt;0),M2854/I2854,""),IF(AND(ISNUMBER(H2854),H2854&gt;0),M2854/H2854,"")))</f>
        <v/>
      </c>
      <c r="T2854" s="9">
        <f>IF(AND(ISNUMBER(M2854),ISNUMBER(O2854)),IF(M2854&lt;=O2854,"Valor ≤ venal IPTU",""),"")</f>
        <v/>
      </c>
      <c r="U2854" s="10">
        <f>IF(AND(ISNUMBER(M2854),ISNUMBER(N2854)),IF(N2854&gt;0,M2854/N2854,""),"")</f>
        <v/>
      </c>
      <c r="V2854" s="10">
        <f>IF(AND(ISNUMBER(M2854),ISNUMBER(O2854)),IF(O2854&gt;0,M2854/O2854,""),"")</f>
        <v/>
      </c>
      <c r="W2854" s="10">
        <f>IF(AND(ISNUMBER(M2854),ISNUMBER(R2854)),IF(R2854&gt;0,M2854/R2854,""),"")</f>
        <v/>
      </c>
      <c r="X2854" s="10">
        <f>IF(AND(ISNUMBER(Q2854),ISNUMBER(M2854)),IF(M2854&gt;0,Q2854/M2854,""),"")</f>
        <v/>
      </c>
      <c r="Y2854" s="11">
        <f>IF(ISNUMBER(Z2854),YEAR(Z2854),"")</f>
        <v/>
      </c>
      <c r="Z2854" s="12" t="n"/>
      <c r="AA2854" s="12" t="n"/>
      <c r="AI2854" s="12" t="n"/>
      <c r="AJ2854" s="13">
        <f>IF(LEN(TRIM(AF2854))=0,"",HYPERLINK("https://www.google.com/maps/@?api=1&amp;map_action=pano&amp;viewpoint="&amp;SUBSTITUTE(AF2854," ",""),"Abrir Street View"))</f>
        <v/>
      </c>
    </row>
    <row r="2855">
      <c r="H2855" s="6" t="n"/>
      <c r="I2855" s="6" t="n"/>
      <c r="M2855" s="7" t="n"/>
      <c r="N2855" s="7" t="n"/>
      <c r="O2855" s="7" t="n"/>
      <c r="Q2855" s="7" t="n"/>
      <c r="R2855" s="7" t="n"/>
      <c r="S2855" s="8">
        <f>IF(NOT(ISNUMBER(M2855)),"",IF(G2855="Terreno",IF(AND(ISNUMBER(I2855),I2855&gt;0),M2855/I2855,""),IF(AND(ISNUMBER(H2855),H2855&gt;0),M2855/H2855,"")))</f>
        <v/>
      </c>
      <c r="T2855" s="9">
        <f>IF(AND(ISNUMBER(M2855),ISNUMBER(O2855)),IF(M2855&lt;=O2855,"Valor ≤ venal IPTU",""),"")</f>
        <v/>
      </c>
      <c r="U2855" s="10">
        <f>IF(AND(ISNUMBER(M2855),ISNUMBER(N2855)),IF(N2855&gt;0,M2855/N2855,""),"")</f>
        <v/>
      </c>
      <c r="V2855" s="10">
        <f>IF(AND(ISNUMBER(M2855),ISNUMBER(O2855)),IF(O2855&gt;0,M2855/O2855,""),"")</f>
        <v/>
      </c>
      <c r="W2855" s="10">
        <f>IF(AND(ISNUMBER(M2855),ISNUMBER(R2855)),IF(R2855&gt;0,M2855/R2855,""),"")</f>
        <v/>
      </c>
      <c r="X2855" s="10">
        <f>IF(AND(ISNUMBER(Q2855),ISNUMBER(M2855)),IF(M2855&gt;0,Q2855/M2855,""),"")</f>
        <v/>
      </c>
      <c r="Y2855" s="11">
        <f>IF(ISNUMBER(Z2855),YEAR(Z2855),"")</f>
        <v/>
      </c>
      <c r="Z2855" s="12" t="n"/>
      <c r="AA2855" s="12" t="n"/>
      <c r="AI2855" s="12" t="n"/>
      <c r="AJ2855" s="13">
        <f>IF(LEN(TRIM(AF2855))=0,"",HYPERLINK("https://www.google.com/maps/@?api=1&amp;map_action=pano&amp;viewpoint="&amp;SUBSTITUTE(AF2855," ",""),"Abrir Street View"))</f>
        <v/>
      </c>
    </row>
    <row r="2856">
      <c r="H2856" s="6" t="n"/>
      <c r="I2856" s="6" t="n"/>
      <c r="M2856" s="7" t="n"/>
      <c r="N2856" s="7" t="n"/>
      <c r="O2856" s="7" t="n"/>
      <c r="Q2856" s="7" t="n"/>
      <c r="R2856" s="7" t="n"/>
      <c r="S2856" s="8">
        <f>IF(NOT(ISNUMBER(M2856)),"",IF(G2856="Terreno",IF(AND(ISNUMBER(I2856),I2856&gt;0),M2856/I2856,""),IF(AND(ISNUMBER(H2856),H2856&gt;0),M2856/H2856,"")))</f>
        <v/>
      </c>
      <c r="T2856" s="9">
        <f>IF(AND(ISNUMBER(M2856),ISNUMBER(O2856)),IF(M2856&lt;=O2856,"Valor ≤ venal IPTU",""),"")</f>
        <v/>
      </c>
      <c r="U2856" s="10">
        <f>IF(AND(ISNUMBER(M2856),ISNUMBER(N2856)),IF(N2856&gt;0,M2856/N2856,""),"")</f>
        <v/>
      </c>
      <c r="V2856" s="10">
        <f>IF(AND(ISNUMBER(M2856),ISNUMBER(O2856)),IF(O2856&gt;0,M2856/O2856,""),"")</f>
        <v/>
      </c>
      <c r="W2856" s="10">
        <f>IF(AND(ISNUMBER(M2856),ISNUMBER(R2856)),IF(R2856&gt;0,M2856/R2856,""),"")</f>
        <v/>
      </c>
      <c r="X2856" s="10">
        <f>IF(AND(ISNUMBER(Q2856),ISNUMBER(M2856)),IF(M2856&gt;0,Q2856/M2856,""),"")</f>
        <v/>
      </c>
      <c r="Y2856" s="11">
        <f>IF(ISNUMBER(Z2856),YEAR(Z2856),"")</f>
        <v/>
      </c>
      <c r="Z2856" s="12" t="n"/>
      <c r="AA2856" s="12" t="n"/>
      <c r="AI2856" s="12" t="n"/>
      <c r="AJ2856" s="13">
        <f>IF(LEN(TRIM(AF2856))=0,"",HYPERLINK("https://www.google.com/maps/@?api=1&amp;map_action=pano&amp;viewpoint="&amp;SUBSTITUTE(AF2856," ",""),"Abrir Street View"))</f>
        <v/>
      </c>
    </row>
    <row r="2857">
      <c r="H2857" s="6" t="n"/>
      <c r="I2857" s="6" t="n"/>
      <c r="M2857" s="7" t="n"/>
      <c r="N2857" s="7" t="n"/>
      <c r="O2857" s="7" t="n"/>
      <c r="Q2857" s="7" t="n"/>
      <c r="R2857" s="7" t="n"/>
      <c r="S2857" s="8">
        <f>IF(NOT(ISNUMBER(M2857)),"",IF(G2857="Terreno",IF(AND(ISNUMBER(I2857),I2857&gt;0),M2857/I2857,""),IF(AND(ISNUMBER(H2857),H2857&gt;0),M2857/H2857,"")))</f>
        <v/>
      </c>
      <c r="T2857" s="9">
        <f>IF(AND(ISNUMBER(M2857),ISNUMBER(O2857)),IF(M2857&lt;=O2857,"Valor ≤ venal IPTU",""),"")</f>
        <v/>
      </c>
      <c r="U2857" s="10">
        <f>IF(AND(ISNUMBER(M2857),ISNUMBER(N2857)),IF(N2857&gt;0,M2857/N2857,""),"")</f>
        <v/>
      </c>
      <c r="V2857" s="10">
        <f>IF(AND(ISNUMBER(M2857),ISNUMBER(O2857)),IF(O2857&gt;0,M2857/O2857,""),"")</f>
        <v/>
      </c>
      <c r="W2857" s="10">
        <f>IF(AND(ISNUMBER(M2857),ISNUMBER(R2857)),IF(R2857&gt;0,M2857/R2857,""),"")</f>
        <v/>
      </c>
      <c r="X2857" s="10">
        <f>IF(AND(ISNUMBER(Q2857),ISNUMBER(M2857)),IF(M2857&gt;0,Q2857/M2857,""),"")</f>
        <v/>
      </c>
      <c r="Y2857" s="11">
        <f>IF(ISNUMBER(Z2857),YEAR(Z2857),"")</f>
        <v/>
      </c>
      <c r="Z2857" s="12" t="n"/>
      <c r="AA2857" s="12" t="n"/>
      <c r="AI2857" s="12" t="n"/>
      <c r="AJ2857" s="13">
        <f>IF(LEN(TRIM(AF2857))=0,"",HYPERLINK("https://www.google.com/maps/@?api=1&amp;map_action=pano&amp;viewpoint="&amp;SUBSTITUTE(AF2857," ",""),"Abrir Street View"))</f>
        <v/>
      </c>
    </row>
    <row r="2858">
      <c r="H2858" s="6" t="n"/>
      <c r="I2858" s="6" t="n"/>
      <c r="M2858" s="7" t="n"/>
      <c r="N2858" s="7" t="n"/>
      <c r="O2858" s="7" t="n"/>
      <c r="Q2858" s="7" t="n"/>
      <c r="R2858" s="7" t="n"/>
      <c r="S2858" s="8">
        <f>IF(NOT(ISNUMBER(M2858)),"",IF(G2858="Terreno",IF(AND(ISNUMBER(I2858),I2858&gt;0),M2858/I2858,""),IF(AND(ISNUMBER(H2858),H2858&gt;0),M2858/H2858,"")))</f>
        <v/>
      </c>
      <c r="T2858" s="9">
        <f>IF(AND(ISNUMBER(M2858),ISNUMBER(O2858)),IF(M2858&lt;=O2858,"Valor ≤ venal IPTU",""),"")</f>
        <v/>
      </c>
      <c r="U2858" s="10">
        <f>IF(AND(ISNUMBER(M2858),ISNUMBER(N2858)),IF(N2858&gt;0,M2858/N2858,""),"")</f>
        <v/>
      </c>
      <c r="V2858" s="10">
        <f>IF(AND(ISNUMBER(M2858),ISNUMBER(O2858)),IF(O2858&gt;0,M2858/O2858,""),"")</f>
        <v/>
      </c>
      <c r="W2858" s="10">
        <f>IF(AND(ISNUMBER(M2858),ISNUMBER(R2858)),IF(R2858&gt;0,M2858/R2858,""),"")</f>
        <v/>
      </c>
      <c r="X2858" s="10">
        <f>IF(AND(ISNUMBER(Q2858),ISNUMBER(M2858)),IF(M2858&gt;0,Q2858/M2858,""),"")</f>
        <v/>
      </c>
      <c r="Y2858" s="11">
        <f>IF(ISNUMBER(Z2858),YEAR(Z2858),"")</f>
        <v/>
      </c>
      <c r="Z2858" s="12" t="n"/>
      <c r="AA2858" s="12" t="n"/>
      <c r="AI2858" s="12" t="n"/>
      <c r="AJ2858" s="13">
        <f>IF(LEN(TRIM(AF2858))=0,"",HYPERLINK("https://www.google.com/maps/@?api=1&amp;map_action=pano&amp;viewpoint="&amp;SUBSTITUTE(AF2858," ",""),"Abrir Street View"))</f>
        <v/>
      </c>
    </row>
    <row r="2859">
      <c r="H2859" s="6" t="n"/>
      <c r="I2859" s="6" t="n"/>
      <c r="M2859" s="7" t="n"/>
      <c r="N2859" s="7" t="n"/>
      <c r="O2859" s="7" t="n"/>
      <c r="Q2859" s="7" t="n"/>
      <c r="R2859" s="7" t="n"/>
      <c r="S2859" s="8">
        <f>IF(NOT(ISNUMBER(M2859)),"",IF(G2859="Terreno",IF(AND(ISNUMBER(I2859),I2859&gt;0),M2859/I2859,""),IF(AND(ISNUMBER(H2859),H2859&gt;0),M2859/H2859,"")))</f>
        <v/>
      </c>
      <c r="T2859" s="9">
        <f>IF(AND(ISNUMBER(M2859),ISNUMBER(O2859)),IF(M2859&lt;=O2859,"Valor ≤ venal IPTU",""),"")</f>
        <v/>
      </c>
      <c r="U2859" s="10">
        <f>IF(AND(ISNUMBER(M2859),ISNUMBER(N2859)),IF(N2859&gt;0,M2859/N2859,""),"")</f>
        <v/>
      </c>
      <c r="V2859" s="10">
        <f>IF(AND(ISNUMBER(M2859),ISNUMBER(O2859)),IF(O2859&gt;0,M2859/O2859,""),"")</f>
        <v/>
      </c>
      <c r="W2859" s="10">
        <f>IF(AND(ISNUMBER(M2859),ISNUMBER(R2859)),IF(R2859&gt;0,M2859/R2859,""),"")</f>
        <v/>
      </c>
      <c r="X2859" s="10">
        <f>IF(AND(ISNUMBER(Q2859),ISNUMBER(M2859)),IF(M2859&gt;0,Q2859/M2859,""),"")</f>
        <v/>
      </c>
      <c r="Y2859" s="11">
        <f>IF(ISNUMBER(Z2859),YEAR(Z2859),"")</f>
        <v/>
      </c>
      <c r="Z2859" s="12" t="n"/>
      <c r="AA2859" s="12" t="n"/>
      <c r="AI2859" s="12" t="n"/>
      <c r="AJ2859" s="13">
        <f>IF(LEN(TRIM(AF2859))=0,"",HYPERLINK("https://www.google.com/maps/@?api=1&amp;map_action=pano&amp;viewpoint="&amp;SUBSTITUTE(AF2859," ",""),"Abrir Street View"))</f>
        <v/>
      </c>
    </row>
    <row r="2860">
      <c r="H2860" s="6" t="n"/>
      <c r="I2860" s="6" t="n"/>
      <c r="M2860" s="7" t="n"/>
      <c r="N2860" s="7" t="n"/>
      <c r="O2860" s="7" t="n"/>
      <c r="Q2860" s="7" t="n"/>
      <c r="R2860" s="7" t="n"/>
      <c r="S2860" s="8">
        <f>IF(NOT(ISNUMBER(M2860)),"",IF(G2860="Terreno",IF(AND(ISNUMBER(I2860),I2860&gt;0),M2860/I2860,""),IF(AND(ISNUMBER(H2860),H2860&gt;0),M2860/H2860,"")))</f>
        <v/>
      </c>
      <c r="T2860" s="9">
        <f>IF(AND(ISNUMBER(M2860),ISNUMBER(O2860)),IF(M2860&lt;=O2860,"Valor ≤ venal IPTU",""),"")</f>
        <v/>
      </c>
      <c r="U2860" s="10">
        <f>IF(AND(ISNUMBER(M2860),ISNUMBER(N2860)),IF(N2860&gt;0,M2860/N2860,""),"")</f>
        <v/>
      </c>
      <c r="V2860" s="10">
        <f>IF(AND(ISNUMBER(M2860),ISNUMBER(O2860)),IF(O2860&gt;0,M2860/O2860,""),"")</f>
        <v/>
      </c>
      <c r="W2860" s="10">
        <f>IF(AND(ISNUMBER(M2860),ISNUMBER(R2860)),IF(R2860&gt;0,M2860/R2860,""),"")</f>
        <v/>
      </c>
      <c r="X2860" s="10">
        <f>IF(AND(ISNUMBER(Q2860),ISNUMBER(M2860)),IF(M2860&gt;0,Q2860/M2860,""),"")</f>
        <v/>
      </c>
      <c r="Y2860" s="11">
        <f>IF(ISNUMBER(Z2860),YEAR(Z2860),"")</f>
        <v/>
      </c>
      <c r="Z2860" s="12" t="n"/>
      <c r="AA2860" s="12" t="n"/>
      <c r="AI2860" s="12" t="n"/>
      <c r="AJ2860" s="13">
        <f>IF(LEN(TRIM(AF2860))=0,"",HYPERLINK("https://www.google.com/maps/@?api=1&amp;map_action=pano&amp;viewpoint="&amp;SUBSTITUTE(AF2860," ",""),"Abrir Street View"))</f>
        <v/>
      </c>
    </row>
    <row r="2861">
      <c r="H2861" s="6" t="n"/>
      <c r="I2861" s="6" t="n"/>
      <c r="M2861" s="7" t="n"/>
      <c r="N2861" s="7" t="n"/>
      <c r="O2861" s="7" t="n"/>
      <c r="Q2861" s="7" t="n"/>
      <c r="R2861" s="7" t="n"/>
      <c r="S2861" s="8">
        <f>IF(NOT(ISNUMBER(M2861)),"",IF(G2861="Terreno",IF(AND(ISNUMBER(I2861),I2861&gt;0),M2861/I2861,""),IF(AND(ISNUMBER(H2861),H2861&gt;0),M2861/H2861,"")))</f>
        <v/>
      </c>
      <c r="T2861" s="9">
        <f>IF(AND(ISNUMBER(M2861),ISNUMBER(O2861)),IF(M2861&lt;=O2861,"Valor ≤ venal IPTU",""),"")</f>
        <v/>
      </c>
      <c r="U2861" s="10">
        <f>IF(AND(ISNUMBER(M2861),ISNUMBER(N2861)),IF(N2861&gt;0,M2861/N2861,""),"")</f>
        <v/>
      </c>
      <c r="V2861" s="10">
        <f>IF(AND(ISNUMBER(M2861),ISNUMBER(O2861)),IF(O2861&gt;0,M2861/O2861,""),"")</f>
        <v/>
      </c>
      <c r="W2861" s="10">
        <f>IF(AND(ISNUMBER(M2861),ISNUMBER(R2861)),IF(R2861&gt;0,M2861/R2861,""),"")</f>
        <v/>
      </c>
      <c r="X2861" s="10">
        <f>IF(AND(ISNUMBER(Q2861),ISNUMBER(M2861)),IF(M2861&gt;0,Q2861/M2861,""),"")</f>
        <v/>
      </c>
      <c r="Y2861" s="11">
        <f>IF(ISNUMBER(Z2861),YEAR(Z2861),"")</f>
        <v/>
      </c>
      <c r="Z2861" s="12" t="n"/>
      <c r="AA2861" s="12" t="n"/>
      <c r="AI2861" s="12" t="n"/>
      <c r="AJ2861" s="13">
        <f>IF(LEN(TRIM(AF2861))=0,"",HYPERLINK("https://www.google.com/maps/@?api=1&amp;map_action=pano&amp;viewpoint="&amp;SUBSTITUTE(AF2861," ",""),"Abrir Street View"))</f>
        <v/>
      </c>
    </row>
    <row r="2862">
      <c r="H2862" s="6" t="n"/>
      <c r="I2862" s="6" t="n"/>
      <c r="M2862" s="7" t="n"/>
      <c r="N2862" s="7" t="n"/>
      <c r="O2862" s="7" t="n"/>
      <c r="Q2862" s="7" t="n"/>
      <c r="R2862" s="7" t="n"/>
      <c r="S2862" s="8">
        <f>IF(NOT(ISNUMBER(M2862)),"",IF(G2862="Terreno",IF(AND(ISNUMBER(I2862),I2862&gt;0),M2862/I2862,""),IF(AND(ISNUMBER(H2862),H2862&gt;0),M2862/H2862,"")))</f>
        <v/>
      </c>
      <c r="T2862" s="9">
        <f>IF(AND(ISNUMBER(M2862),ISNUMBER(O2862)),IF(M2862&lt;=O2862,"Valor ≤ venal IPTU",""),"")</f>
        <v/>
      </c>
      <c r="U2862" s="10">
        <f>IF(AND(ISNUMBER(M2862),ISNUMBER(N2862)),IF(N2862&gt;0,M2862/N2862,""),"")</f>
        <v/>
      </c>
      <c r="V2862" s="10">
        <f>IF(AND(ISNUMBER(M2862),ISNUMBER(O2862)),IF(O2862&gt;0,M2862/O2862,""),"")</f>
        <v/>
      </c>
      <c r="W2862" s="10">
        <f>IF(AND(ISNUMBER(M2862),ISNUMBER(R2862)),IF(R2862&gt;0,M2862/R2862,""),"")</f>
        <v/>
      </c>
      <c r="X2862" s="10">
        <f>IF(AND(ISNUMBER(Q2862),ISNUMBER(M2862)),IF(M2862&gt;0,Q2862/M2862,""),"")</f>
        <v/>
      </c>
      <c r="Y2862" s="11">
        <f>IF(ISNUMBER(Z2862),YEAR(Z2862),"")</f>
        <v/>
      </c>
      <c r="Z2862" s="12" t="n"/>
      <c r="AA2862" s="12" t="n"/>
      <c r="AI2862" s="12" t="n"/>
      <c r="AJ2862" s="13">
        <f>IF(LEN(TRIM(AF2862))=0,"",HYPERLINK("https://www.google.com/maps/@?api=1&amp;map_action=pano&amp;viewpoint="&amp;SUBSTITUTE(AF2862," ",""),"Abrir Street View"))</f>
        <v/>
      </c>
    </row>
    <row r="2863">
      <c r="H2863" s="6" t="n"/>
      <c r="I2863" s="6" t="n"/>
      <c r="M2863" s="7" t="n"/>
      <c r="N2863" s="7" t="n"/>
      <c r="O2863" s="7" t="n"/>
      <c r="Q2863" s="7" t="n"/>
      <c r="R2863" s="7" t="n"/>
      <c r="S2863" s="8">
        <f>IF(NOT(ISNUMBER(M2863)),"",IF(G2863="Terreno",IF(AND(ISNUMBER(I2863),I2863&gt;0),M2863/I2863,""),IF(AND(ISNUMBER(H2863),H2863&gt;0),M2863/H2863,"")))</f>
        <v/>
      </c>
      <c r="T2863" s="9">
        <f>IF(AND(ISNUMBER(M2863),ISNUMBER(O2863)),IF(M2863&lt;=O2863,"Valor ≤ venal IPTU",""),"")</f>
        <v/>
      </c>
      <c r="U2863" s="10">
        <f>IF(AND(ISNUMBER(M2863),ISNUMBER(N2863)),IF(N2863&gt;0,M2863/N2863,""),"")</f>
        <v/>
      </c>
      <c r="V2863" s="10">
        <f>IF(AND(ISNUMBER(M2863),ISNUMBER(O2863)),IF(O2863&gt;0,M2863/O2863,""),"")</f>
        <v/>
      </c>
      <c r="W2863" s="10">
        <f>IF(AND(ISNUMBER(M2863),ISNUMBER(R2863)),IF(R2863&gt;0,M2863/R2863,""),"")</f>
        <v/>
      </c>
      <c r="X2863" s="10">
        <f>IF(AND(ISNUMBER(Q2863),ISNUMBER(M2863)),IF(M2863&gt;0,Q2863/M2863,""),"")</f>
        <v/>
      </c>
      <c r="Y2863" s="11">
        <f>IF(ISNUMBER(Z2863),YEAR(Z2863),"")</f>
        <v/>
      </c>
      <c r="Z2863" s="12" t="n"/>
      <c r="AA2863" s="12" t="n"/>
      <c r="AI2863" s="12" t="n"/>
      <c r="AJ2863" s="13">
        <f>IF(LEN(TRIM(AF2863))=0,"",HYPERLINK("https://www.google.com/maps/@?api=1&amp;map_action=pano&amp;viewpoint="&amp;SUBSTITUTE(AF2863," ",""),"Abrir Street View"))</f>
        <v/>
      </c>
    </row>
    <row r="2864">
      <c r="H2864" s="6" t="n"/>
      <c r="I2864" s="6" t="n"/>
      <c r="M2864" s="7" t="n"/>
      <c r="N2864" s="7" t="n"/>
      <c r="O2864" s="7" t="n"/>
      <c r="Q2864" s="7" t="n"/>
      <c r="R2864" s="7" t="n"/>
      <c r="S2864" s="8">
        <f>IF(NOT(ISNUMBER(M2864)),"",IF(G2864="Terreno",IF(AND(ISNUMBER(I2864),I2864&gt;0),M2864/I2864,""),IF(AND(ISNUMBER(H2864),H2864&gt;0),M2864/H2864,"")))</f>
        <v/>
      </c>
      <c r="T2864" s="9">
        <f>IF(AND(ISNUMBER(M2864),ISNUMBER(O2864)),IF(M2864&lt;=O2864,"Valor ≤ venal IPTU",""),"")</f>
        <v/>
      </c>
      <c r="U2864" s="10">
        <f>IF(AND(ISNUMBER(M2864),ISNUMBER(N2864)),IF(N2864&gt;0,M2864/N2864,""),"")</f>
        <v/>
      </c>
      <c r="V2864" s="10">
        <f>IF(AND(ISNUMBER(M2864),ISNUMBER(O2864)),IF(O2864&gt;0,M2864/O2864,""),"")</f>
        <v/>
      </c>
      <c r="W2864" s="10">
        <f>IF(AND(ISNUMBER(M2864),ISNUMBER(R2864)),IF(R2864&gt;0,M2864/R2864,""),"")</f>
        <v/>
      </c>
      <c r="X2864" s="10">
        <f>IF(AND(ISNUMBER(Q2864),ISNUMBER(M2864)),IF(M2864&gt;0,Q2864/M2864,""),"")</f>
        <v/>
      </c>
      <c r="Y2864" s="11">
        <f>IF(ISNUMBER(Z2864),YEAR(Z2864),"")</f>
        <v/>
      </c>
      <c r="Z2864" s="12" t="n"/>
      <c r="AA2864" s="12" t="n"/>
      <c r="AI2864" s="12" t="n"/>
      <c r="AJ2864" s="13">
        <f>IF(LEN(TRIM(AF2864))=0,"",HYPERLINK("https://www.google.com/maps/@?api=1&amp;map_action=pano&amp;viewpoint="&amp;SUBSTITUTE(AF2864," ",""),"Abrir Street View"))</f>
        <v/>
      </c>
    </row>
    <row r="2865">
      <c r="H2865" s="6" t="n"/>
      <c r="I2865" s="6" t="n"/>
      <c r="M2865" s="7" t="n"/>
      <c r="N2865" s="7" t="n"/>
      <c r="O2865" s="7" t="n"/>
      <c r="Q2865" s="7" t="n"/>
      <c r="R2865" s="7" t="n"/>
      <c r="S2865" s="8">
        <f>IF(NOT(ISNUMBER(M2865)),"",IF(G2865="Terreno",IF(AND(ISNUMBER(I2865),I2865&gt;0),M2865/I2865,""),IF(AND(ISNUMBER(H2865),H2865&gt;0),M2865/H2865,"")))</f>
        <v/>
      </c>
      <c r="T2865" s="9">
        <f>IF(AND(ISNUMBER(M2865),ISNUMBER(O2865)),IF(M2865&lt;=O2865,"Valor ≤ venal IPTU",""),"")</f>
        <v/>
      </c>
      <c r="U2865" s="10">
        <f>IF(AND(ISNUMBER(M2865),ISNUMBER(N2865)),IF(N2865&gt;0,M2865/N2865,""),"")</f>
        <v/>
      </c>
      <c r="V2865" s="10">
        <f>IF(AND(ISNUMBER(M2865),ISNUMBER(O2865)),IF(O2865&gt;0,M2865/O2865,""),"")</f>
        <v/>
      </c>
      <c r="W2865" s="10">
        <f>IF(AND(ISNUMBER(M2865),ISNUMBER(R2865)),IF(R2865&gt;0,M2865/R2865,""),"")</f>
        <v/>
      </c>
      <c r="X2865" s="10">
        <f>IF(AND(ISNUMBER(Q2865),ISNUMBER(M2865)),IF(M2865&gt;0,Q2865/M2865,""),"")</f>
        <v/>
      </c>
      <c r="Y2865" s="11">
        <f>IF(ISNUMBER(Z2865),YEAR(Z2865),"")</f>
        <v/>
      </c>
      <c r="Z2865" s="12" t="n"/>
      <c r="AA2865" s="12" t="n"/>
      <c r="AI2865" s="12" t="n"/>
      <c r="AJ2865" s="13">
        <f>IF(LEN(TRIM(AF2865))=0,"",HYPERLINK("https://www.google.com/maps/@?api=1&amp;map_action=pano&amp;viewpoint="&amp;SUBSTITUTE(AF2865," ",""),"Abrir Street View"))</f>
        <v/>
      </c>
    </row>
    <row r="2866">
      <c r="H2866" s="6" t="n"/>
      <c r="I2866" s="6" t="n"/>
      <c r="M2866" s="7" t="n"/>
      <c r="N2866" s="7" t="n"/>
      <c r="O2866" s="7" t="n"/>
      <c r="Q2866" s="7" t="n"/>
      <c r="R2866" s="7" t="n"/>
      <c r="S2866" s="8">
        <f>IF(NOT(ISNUMBER(M2866)),"",IF(G2866="Terreno",IF(AND(ISNUMBER(I2866),I2866&gt;0),M2866/I2866,""),IF(AND(ISNUMBER(H2866),H2866&gt;0),M2866/H2866,"")))</f>
        <v/>
      </c>
      <c r="T2866" s="9">
        <f>IF(AND(ISNUMBER(M2866),ISNUMBER(O2866)),IF(M2866&lt;=O2866,"Valor ≤ venal IPTU",""),"")</f>
        <v/>
      </c>
      <c r="U2866" s="10">
        <f>IF(AND(ISNUMBER(M2866),ISNUMBER(N2866)),IF(N2866&gt;0,M2866/N2866,""),"")</f>
        <v/>
      </c>
      <c r="V2866" s="10">
        <f>IF(AND(ISNUMBER(M2866),ISNUMBER(O2866)),IF(O2866&gt;0,M2866/O2866,""),"")</f>
        <v/>
      </c>
      <c r="W2866" s="10">
        <f>IF(AND(ISNUMBER(M2866),ISNUMBER(R2866)),IF(R2866&gt;0,M2866/R2866,""),"")</f>
        <v/>
      </c>
      <c r="X2866" s="10">
        <f>IF(AND(ISNUMBER(Q2866),ISNUMBER(M2866)),IF(M2866&gt;0,Q2866/M2866,""),"")</f>
        <v/>
      </c>
      <c r="Y2866" s="11">
        <f>IF(ISNUMBER(Z2866),YEAR(Z2866),"")</f>
        <v/>
      </c>
      <c r="Z2866" s="12" t="n"/>
      <c r="AA2866" s="12" t="n"/>
      <c r="AI2866" s="12" t="n"/>
      <c r="AJ2866" s="13">
        <f>IF(LEN(TRIM(AF2866))=0,"",HYPERLINK("https://www.google.com/maps/@?api=1&amp;map_action=pano&amp;viewpoint="&amp;SUBSTITUTE(AF2866," ",""),"Abrir Street View"))</f>
        <v/>
      </c>
    </row>
    <row r="2867">
      <c r="H2867" s="6" t="n"/>
      <c r="I2867" s="6" t="n"/>
      <c r="M2867" s="7" t="n"/>
      <c r="N2867" s="7" t="n"/>
      <c r="O2867" s="7" t="n"/>
      <c r="Q2867" s="7" t="n"/>
      <c r="R2867" s="7" t="n"/>
      <c r="S2867" s="8">
        <f>IF(NOT(ISNUMBER(M2867)),"",IF(G2867="Terreno",IF(AND(ISNUMBER(I2867),I2867&gt;0),M2867/I2867,""),IF(AND(ISNUMBER(H2867),H2867&gt;0),M2867/H2867,"")))</f>
        <v/>
      </c>
      <c r="T2867" s="9">
        <f>IF(AND(ISNUMBER(M2867),ISNUMBER(O2867)),IF(M2867&lt;=O2867,"Valor ≤ venal IPTU",""),"")</f>
        <v/>
      </c>
      <c r="U2867" s="10">
        <f>IF(AND(ISNUMBER(M2867),ISNUMBER(N2867)),IF(N2867&gt;0,M2867/N2867,""),"")</f>
        <v/>
      </c>
      <c r="V2867" s="10">
        <f>IF(AND(ISNUMBER(M2867),ISNUMBER(O2867)),IF(O2867&gt;0,M2867/O2867,""),"")</f>
        <v/>
      </c>
      <c r="W2867" s="10">
        <f>IF(AND(ISNUMBER(M2867),ISNUMBER(R2867)),IF(R2867&gt;0,M2867/R2867,""),"")</f>
        <v/>
      </c>
      <c r="X2867" s="10">
        <f>IF(AND(ISNUMBER(Q2867),ISNUMBER(M2867)),IF(M2867&gt;0,Q2867/M2867,""),"")</f>
        <v/>
      </c>
      <c r="Y2867" s="11">
        <f>IF(ISNUMBER(Z2867),YEAR(Z2867),"")</f>
        <v/>
      </c>
      <c r="Z2867" s="12" t="n"/>
      <c r="AA2867" s="12" t="n"/>
      <c r="AI2867" s="12" t="n"/>
      <c r="AJ2867" s="13">
        <f>IF(LEN(TRIM(AF2867))=0,"",HYPERLINK("https://www.google.com/maps/@?api=1&amp;map_action=pano&amp;viewpoint="&amp;SUBSTITUTE(AF2867," ",""),"Abrir Street View"))</f>
        <v/>
      </c>
    </row>
    <row r="2868">
      <c r="H2868" s="6" t="n"/>
      <c r="I2868" s="6" t="n"/>
      <c r="M2868" s="7" t="n"/>
      <c r="N2868" s="7" t="n"/>
      <c r="O2868" s="7" t="n"/>
      <c r="Q2868" s="7" t="n"/>
      <c r="R2868" s="7" t="n"/>
      <c r="S2868" s="8">
        <f>IF(NOT(ISNUMBER(M2868)),"",IF(G2868="Terreno",IF(AND(ISNUMBER(I2868),I2868&gt;0),M2868/I2868,""),IF(AND(ISNUMBER(H2868),H2868&gt;0),M2868/H2868,"")))</f>
        <v/>
      </c>
      <c r="T2868" s="9">
        <f>IF(AND(ISNUMBER(M2868),ISNUMBER(O2868)),IF(M2868&lt;=O2868,"Valor ≤ venal IPTU",""),"")</f>
        <v/>
      </c>
      <c r="U2868" s="10">
        <f>IF(AND(ISNUMBER(M2868),ISNUMBER(N2868)),IF(N2868&gt;0,M2868/N2868,""),"")</f>
        <v/>
      </c>
      <c r="V2868" s="10">
        <f>IF(AND(ISNUMBER(M2868),ISNUMBER(O2868)),IF(O2868&gt;0,M2868/O2868,""),"")</f>
        <v/>
      </c>
      <c r="W2868" s="10">
        <f>IF(AND(ISNUMBER(M2868),ISNUMBER(R2868)),IF(R2868&gt;0,M2868/R2868,""),"")</f>
        <v/>
      </c>
      <c r="X2868" s="10">
        <f>IF(AND(ISNUMBER(Q2868),ISNUMBER(M2868)),IF(M2868&gt;0,Q2868/M2868,""),"")</f>
        <v/>
      </c>
      <c r="Y2868" s="11">
        <f>IF(ISNUMBER(Z2868),YEAR(Z2868),"")</f>
        <v/>
      </c>
      <c r="Z2868" s="12" t="n"/>
      <c r="AA2868" s="12" t="n"/>
      <c r="AI2868" s="12" t="n"/>
      <c r="AJ2868" s="13">
        <f>IF(LEN(TRIM(AF2868))=0,"",HYPERLINK("https://www.google.com/maps/@?api=1&amp;map_action=pano&amp;viewpoint="&amp;SUBSTITUTE(AF2868," ",""),"Abrir Street View"))</f>
        <v/>
      </c>
    </row>
    <row r="2869">
      <c r="H2869" s="6" t="n"/>
      <c r="I2869" s="6" t="n"/>
      <c r="M2869" s="7" t="n"/>
      <c r="N2869" s="7" t="n"/>
      <c r="O2869" s="7" t="n"/>
      <c r="Q2869" s="7" t="n"/>
      <c r="R2869" s="7" t="n"/>
      <c r="S2869" s="8">
        <f>IF(NOT(ISNUMBER(M2869)),"",IF(G2869="Terreno",IF(AND(ISNUMBER(I2869),I2869&gt;0),M2869/I2869,""),IF(AND(ISNUMBER(H2869),H2869&gt;0),M2869/H2869,"")))</f>
        <v/>
      </c>
      <c r="T2869" s="9">
        <f>IF(AND(ISNUMBER(M2869),ISNUMBER(O2869)),IF(M2869&lt;=O2869,"Valor ≤ venal IPTU",""),"")</f>
        <v/>
      </c>
      <c r="U2869" s="10">
        <f>IF(AND(ISNUMBER(M2869),ISNUMBER(N2869)),IF(N2869&gt;0,M2869/N2869,""),"")</f>
        <v/>
      </c>
      <c r="V2869" s="10">
        <f>IF(AND(ISNUMBER(M2869),ISNUMBER(O2869)),IF(O2869&gt;0,M2869/O2869,""),"")</f>
        <v/>
      </c>
      <c r="W2869" s="10">
        <f>IF(AND(ISNUMBER(M2869),ISNUMBER(R2869)),IF(R2869&gt;0,M2869/R2869,""),"")</f>
        <v/>
      </c>
      <c r="X2869" s="10">
        <f>IF(AND(ISNUMBER(Q2869),ISNUMBER(M2869)),IF(M2869&gt;0,Q2869/M2869,""),"")</f>
        <v/>
      </c>
      <c r="Y2869" s="11">
        <f>IF(ISNUMBER(Z2869),YEAR(Z2869),"")</f>
        <v/>
      </c>
      <c r="Z2869" s="12" t="n"/>
      <c r="AA2869" s="12" t="n"/>
      <c r="AI2869" s="12" t="n"/>
      <c r="AJ2869" s="13">
        <f>IF(LEN(TRIM(AF2869))=0,"",HYPERLINK("https://www.google.com/maps/@?api=1&amp;map_action=pano&amp;viewpoint="&amp;SUBSTITUTE(AF2869," ",""),"Abrir Street View"))</f>
        <v/>
      </c>
    </row>
    <row r="2870">
      <c r="H2870" s="6" t="n"/>
      <c r="I2870" s="6" t="n"/>
      <c r="M2870" s="7" t="n"/>
      <c r="N2870" s="7" t="n"/>
      <c r="O2870" s="7" t="n"/>
      <c r="Q2870" s="7" t="n"/>
      <c r="R2870" s="7" t="n"/>
      <c r="S2870" s="8">
        <f>IF(NOT(ISNUMBER(M2870)),"",IF(G2870="Terreno",IF(AND(ISNUMBER(I2870),I2870&gt;0),M2870/I2870,""),IF(AND(ISNUMBER(H2870),H2870&gt;0),M2870/H2870,"")))</f>
        <v/>
      </c>
      <c r="T2870" s="9">
        <f>IF(AND(ISNUMBER(M2870),ISNUMBER(O2870)),IF(M2870&lt;=O2870,"Valor ≤ venal IPTU",""),"")</f>
        <v/>
      </c>
      <c r="U2870" s="10">
        <f>IF(AND(ISNUMBER(M2870),ISNUMBER(N2870)),IF(N2870&gt;0,M2870/N2870,""),"")</f>
        <v/>
      </c>
      <c r="V2870" s="10">
        <f>IF(AND(ISNUMBER(M2870),ISNUMBER(O2870)),IF(O2870&gt;0,M2870/O2870,""),"")</f>
        <v/>
      </c>
      <c r="W2870" s="10">
        <f>IF(AND(ISNUMBER(M2870),ISNUMBER(R2870)),IF(R2870&gt;0,M2870/R2870,""),"")</f>
        <v/>
      </c>
      <c r="X2870" s="10">
        <f>IF(AND(ISNUMBER(Q2870),ISNUMBER(M2870)),IF(M2870&gt;0,Q2870/M2870,""),"")</f>
        <v/>
      </c>
      <c r="Y2870" s="11">
        <f>IF(ISNUMBER(Z2870),YEAR(Z2870),"")</f>
        <v/>
      </c>
      <c r="Z2870" s="12" t="n"/>
      <c r="AA2870" s="12" t="n"/>
      <c r="AI2870" s="12" t="n"/>
      <c r="AJ2870" s="13">
        <f>IF(LEN(TRIM(AF2870))=0,"",HYPERLINK("https://www.google.com/maps/@?api=1&amp;map_action=pano&amp;viewpoint="&amp;SUBSTITUTE(AF2870," ",""),"Abrir Street View"))</f>
        <v/>
      </c>
    </row>
    <row r="2871">
      <c r="H2871" s="6" t="n"/>
      <c r="I2871" s="6" t="n"/>
      <c r="M2871" s="7" t="n"/>
      <c r="N2871" s="7" t="n"/>
      <c r="O2871" s="7" t="n"/>
      <c r="Q2871" s="7" t="n"/>
      <c r="R2871" s="7" t="n"/>
      <c r="S2871" s="8">
        <f>IF(NOT(ISNUMBER(M2871)),"",IF(G2871="Terreno",IF(AND(ISNUMBER(I2871),I2871&gt;0),M2871/I2871,""),IF(AND(ISNUMBER(H2871),H2871&gt;0),M2871/H2871,"")))</f>
        <v/>
      </c>
      <c r="T2871" s="9">
        <f>IF(AND(ISNUMBER(M2871),ISNUMBER(O2871)),IF(M2871&lt;=O2871,"Valor ≤ venal IPTU",""),"")</f>
        <v/>
      </c>
      <c r="U2871" s="10">
        <f>IF(AND(ISNUMBER(M2871),ISNUMBER(N2871)),IF(N2871&gt;0,M2871/N2871,""),"")</f>
        <v/>
      </c>
      <c r="V2871" s="10">
        <f>IF(AND(ISNUMBER(M2871),ISNUMBER(O2871)),IF(O2871&gt;0,M2871/O2871,""),"")</f>
        <v/>
      </c>
      <c r="W2871" s="10">
        <f>IF(AND(ISNUMBER(M2871),ISNUMBER(R2871)),IF(R2871&gt;0,M2871/R2871,""),"")</f>
        <v/>
      </c>
      <c r="X2871" s="10">
        <f>IF(AND(ISNUMBER(Q2871),ISNUMBER(M2871)),IF(M2871&gt;0,Q2871/M2871,""),"")</f>
        <v/>
      </c>
      <c r="Y2871" s="11">
        <f>IF(ISNUMBER(Z2871),YEAR(Z2871),"")</f>
        <v/>
      </c>
      <c r="Z2871" s="12" t="n"/>
      <c r="AA2871" s="12" t="n"/>
      <c r="AI2871" s="12" t="n"/>
      <c r="AJ2871" s="13">
        <f>IF(LEN(TRIM(AF2871))=0,"",HYPERLINK("https://www.google.com/maps/@?api=1&amp;map_action=pano&amp;viewpoint="&amp;SUBSTITUTE(AF2871," ",""),"Abrir Street View"))</f>
        <v/>
      </c>
    </row>
    <row r="2872">
      <c r="H2872" s="6" t="n"/>
      <c r="I2872" s="6" t="n"/>
      <c r="M2872" s="7" t="n"/>
      <c r="N2872" s="7" t="n"/>
      <c r="O2872" s="7" t="n"/>
      <c r="Q2872" s="7" t="n"/>
      <c r="R2872" s="7" t="n"/>
      <c r="S2872" s="8">
        <f>IF(NOT(ISNUMBER(M2872)),"",IF(G2872="Terreno",IF(AND(ISNUMBER(I2872),I2872&gt;0),M2872/I2872,""),IF(AND(ISNUMBER(H2872),H2872&gt;0),M2872/H2872,"")))</f>
        <v/>
      </c>
      <c r="T2872" s="9">
        <f>IF(AND(ISNUMBER(M2872),ISNUMBER(O2872)),IF(M2872&lt;=O2872,"Valor ≤ venal IPTU",""),"")</f>
        <v/>
      </c>
      <c r="U2872" s="10">
        <f>IF(AND(ISNUMBER(M2872),ISNUMBER(N2872)),IF(N2872&gt;0,M2872/N2872,""),"")</f>
        <v/>
      </c>
      <c r="V2872" s="10">
        <f>IF(AND(ISNUMBER(M2872),ISNUMBER(O2872)),IF(O2872&gt;0,M2872/O2872,""),"")</f>
        <v/>
      </c>
      <c r="W2872" s="10">
        <f>IF(AND(ISNUMBER(M2872),ISNUMBER(R2872)),IF(R2872&gt;0,M2872/R2872,""),"")</f>
        <v/>
      </c>
      <c r="X2872" s="10">
        <f>IF(AND(ISNUMBER(Q2872),ISNUMBER(M2872)),IF(M2872&gt;0,Q2872/M2872,""),"")</f>
        <v/>
      </c>
      <c r="Y2872" s="11">
        <f>IF(ISNUMBER(Z2872),YEAR(Z2872),"")</f>
        <v/>
      </c>
      <c r="Z2872" s="12" t="n"/>
      <c r="AA2872" s="12" t="n"/>
      <c r="AI2872" s="12" t="n"/>
      <c r="AJ2872" s="13">
        <f>IF(LEN(TRIM(AF2872))=0,"",HYPERLINK("https://www.google.com/maps/@?api=1&amp;map_action=pano&amp;viewpoint="&amp;SUBSTITUTE(AF2872," ",""),"Abrir Street View"))</f>
        <v/>
      </c>
    </row>
    <row r="2873">
      <c r="H2873" s="6" t="n"/>
      <c r="I2873" s="6" t="n"/>
      <c r="M2873" s="7" t="n"/>
      <c r="N2873" s="7" t="n"/>
      <c r="O2873" s="7" t="n"/>
      <c r="Q2873" s="7" t="n"/>
      <c r="R2873" s="7" t="n"/>
      <c r="S2873" s="8">
        <f>IF(NOT(ISNUMBER(M2873)),"",IF(G2873="Terreno",IF(AND(ISNUMBER(I2873),I2873&gt;0),M2873/I2873,""),IF(AND(ISNUMBER(H2873),H2873&gt;0),M2873/H2873,"")))</f>
        <v/>
      </c>
      <c r="T2873" s="9">
        <f>IF(AND(ISNUMBER(M2873),ISNUMBER(O2873)),IF(M2873&lt;=O2873,"Valor ≤ venal IPTU",""),"")</f>
        <v/>
      </c>
      <c r="U2873" s="10">
        <f>IF(AND(ISNUMBER(M2873),ISNUMBER(N2873)),IF(N2873&gt;0,M2873/N2873,""),"")</f>
        <v/>
      </c>
      <c r="V2873" s="10">
        <f>IF(AND(ISNUMBER(M2873),ISNUMBER(O2873)),IF(O2873&gt;0,M2873/O2873,""),"")</f>
        <v/>
      </c>
      <c r="W2873" s="10">
        <f>IF(AND(ISNUMBER(M2873),ISNUMBER(R2873)),IF(R2873&gt;0,M2873/R2873,""),"")</f>
        <v/>
      </c>
      <c r="X2873" s="10">
        <f>IF(AND(ISNUMBER(Q2873),ISNUMBER(M2873)),IF(M2873&gt;0,Q2873/M2873,""),"")</f>
        <v/>
      </c>
      <c r="Y2873" s="11">
        <f>IF(ISNUMBER(Z2873),YEAR(Z2873),"")</f>
        <v/>
      </c>
      <c r="Z2873" s="12" t="n"/>
      <c r="AA2873" s="12" t="n"/>
      <c r="AI2873" s="12" t="n"/>
      <c r="AJ2873" s="13">
        <f>IF(LEN(TRIM(AF2873))=0,"",HYPERLINK("https://www.google.com/maps/@?api=1&amp;map_action=pano&amp;viewpoint="&amp;SUBSTITUTE(AF2873," ",""),"Abrir Street View"))</f>
        <v/>
      </c>
    </row>
    <row r="2874">
      <c r="H2874" s="6" t="n"/>
      <c r="I2874" s="6" t="n"/>
      <c r="M2874" s="7" t="n"/>
      <c r="N2874" s="7" t="n"/>
      <c r="O2874" s="7" t="n"/>
      <c r="Q2874" s="7" t="n"/>
      <c r="R2874" s="7" t="n"/>
      <c r="S2874" s="8">
        <f>IF(NOT(ISNUMBER(M2874)),"",IF(G2874="Terreno",IF(AND(ISNUMBER(I2874),I2874&gt;0),M2874/I2874,""),IF(AND(ISNUMBER(H2874),H2874&gt;0),M2874/H2874,"")))</f>
        <v/>
      </c>
      <c r="T2874" s="9">
        <f>IF(AND(ISNUMBER(M2874),ISNUMBER(O2874)),IF(M2874&lt;=O2874,"Valor ≤ venal IPTU",""),"")</f>
        <v/>
      </c>
      <c r="U2874" s="10">
        <f>IF(AND(ISNUMBER(M2874),ISNUMBER(N2874)),IF(N2874&gt;0,M2874/N2874,""),"")</f>
        <v/>
      </c>
      <c r="V2874" s="10">
        <f>IF(AND(ISNUMBER(M2874),ISNUMBER(O2874)),IF(O2874&gt;0,M2874/O2874,""),"")</f>
        <v/>
      </c>
      <c r="W2874" s="10">
        <f>IF(AND(ISNUMBER(M2874),ISNUMBER(R2874)),IF(R2874&gt;0,M2874/R2874,""),"")</f>
        <v/>
      </c>
      <c r="X2874" s="10">
        <f>IF(AND(ISNUMBER(Q2874),ISNUMBER(M2874)),IF(M2874&gt;0,Q2874/M2874,""),"")</f>
        <v/>
      </c>
      <c r="Y2874" s="11">
        <f>IF(ISNUMBER(Z2874),YEAR(Z2874),"")</f>
        <v/>
      </c>
      <c r="Z2874" s="12" t="n"/>
      <c r="AA2874" s="12" t="n"/>
      <c r="AI2874" s="12" t="n"/>
      <c r="AJ2874" s="13">
        <f>IF(LEN(TRIM(AF2874))=0,"",HYPERLINK("https://www.google.com/maps/@?api=1&amp;map_action=pano&amp;viewpoint="&amp;SUBSTITUTE(AF2874," ",""),"Abrir Street View"))</f>
        <v/>
      </c>
    </row>
    <row r="2875">
      <c r="H2875" s="6" t="n"/>
      <c r="I2875" s="6" t="n"/>
      <c r="M2875" s="7" t="n"/>
      <c r="N2875" s="7" t="n"/>
      <c r="O2875" s="7" t="n"/>
      <c r="Q2875" s="7" t="n"/>
      <c r="R2875" s="7" t="n"/>
      <c r="S2875" s="8">
        <f>IF(NOT(ISNUMBER(M2875)),"",IF(G2875="Terreno",IF(AND(ISNUMBER(I2875),I2875&gt;0),M2875/I2875,""),IF(AND(ISNUMBER(H2875),H2875&gt;0),M2875/H2875,"")))</f>
        <v/>
      </c>
      <c r="T2875" s="9">
        <f>IF(AND(ISNUMBER(M2875),ISNUMBER(O2875)),IF(M2875&lt;=O2875,"Valor ≤ venal IPTU",""),"")</f>
        <v/>
      </c>
      <c r="U2875" s="10">
        <f>IF(AND(ISNUMBER(M2875),ISNUMBER(N2875)),IF(N2875&gt;0,M2875/N2875,""),"")</f>
        <v/>
      </c>
      <c r="V2875" s="10">
        <f>IF(AND(ISNUMBER(M2875),ISNUMBER(O2875)),IF(O2875&gt;0,M2875/O2875,""),"")</f>
        <v/>
      </c>
      <c r="W2875" s="10">
        <f>IF(AND(ISNUMBER(M2875),ISNUMBER(R2875)),IF(R2875&gt;0,M2875/R2875,""),"")</f>
        <v/>
      </c>
      <c r="X2875" s="10">
        <f>IF(AND(ISNUMBER(Q2875),ISNUMBER(M2875)),IF(M2875&gt;0,Q2875/M2875,""),"")</f>
        <v/>
      </c>
      <c r="Y2875" s="11">
        <f>IF(ISNUMBER(Z2875),YEAR(Z2875),"")</f>
        <v/>
      </c>
      <c r="Z2875" s="12" t="n"/>
      <c r="AA2875" s="12" t="n"/>
      <c r="AI2875" s="12" t="n"/>
      <c r="AJ2875" s="13">
        <f>IF(LEN(TRIM(AF2875))=0,"",HYPERLINK("https://www.google.com/maps/@?api=1&amp;map_action=pano&amp;viewpoint="&amp;SUBSTITUTE(AF2875," ",""),"Abrir Street View"))</f>
        <v/>
      </c>
    </row>
    <row r="2876">
      <c r="H2876" s="6" t="n"/>
      <c r="I2876" s="6" t="n"/>
      <c r="M2876" s="7" t="n"/>
      <c r="N2876" s="7" t="n"/>
      <c r="O2876" s="7" t="n"/>
      <c r="Q2876" s="7" t="n"/>
      <c r="R2876" s="7" t="n"/>
      <c r="S2876" s="8">
        <f>IF(NOT(ISNUMBER(M2876)),"",IF(G2876="Terreno",IF(AND(ISNUMBER(I2876),I2876&gt;0),M2876/I2876,""),IF(AND(ISNUMBER(H2876),H2876&gt;0),M2876/H2876,"")))</f>
        <v/>
      </c>
      <c r="T2876" s="9">
        <f>IF(AND(ISNUMBER(M2876),ISNUMBER(O2876)),IF(M2876&lt;=O2876,"Valor ≤ venal IPTU",""),"")</f>
        <v/>
      </c>
      <c r="U2876" s="10">
        <f>IF(AND(ISNUMBER(M2876),ISNUMBER(N2876)),IF(N2876&gt;0,M2876/N2876,""),"")</f>
        <v/>
      </c>
      <c r="V2876" s="10">
        <f>IF(AND(ISNUMBER(M2876),ISNUMBER(O2876)),IF(O2876&gt;0,M2876/O2876,""),"")</f>
        <v/>
      </c>
      <c r="W2876" s="10">
        <f>IF(AND(ISNUMBER(M2876),ISNUMBER(R2876)),IF(R2876&gt;0,M2876/R2876,""),"")</f>
        <v/>
      </c>
      <c r="X2876" s="10">
        <f>IF(AND(ISNUMBER(Q2876),ISNUMBER(M2876)),IF(M2876&gt;0,Q2876/M2876,""),"")</f>
        <v/>
      </c>
      <c r="Y2876" s="11">
        <f>IF(ISNUMBER(Z2876),YEAR(Z2876),"")</f>
        <v/>
      </c>
      <c r="Z2876" s="12" t="n"/>
      <c r="AA2876" s="12" t="n"/>
      <c r="AI2876" s="12" t="n"/>
      <c r="AJ2876" s="13">
        <f>IF(LEN(TRIM(AF2876))=0,"",HYPERLINK("https://www.google.com/maps/@?api=1&amp;map_action=pano&amp;viewpoint="&amp;SUBSTITUTE(AF2876," ",""),"Abrir Street View"))</f>
        <v/>
      </c>
    </row>
    <row r="2877">
      <c r="H2877" s="6" t="n"/>
      <c r="I2877" s="6" t="n"/>
      <c r="M2877" s="7" t="n"/>
      <c r="N2877" s="7" t="n"/>
      <c r="O2877" s="7" t="n"/>
      <c r="Q2877" s="7" t="n"/>
      <c r="R2877" s="7" t="n"/>
      <c r="S2877" s="8">
        <f>IF(NOT(ISNUMBER(M2877)),"",IF(G2877="Terreno",IF(AND(ISNUMBER(I2877),I2877&gt;0),M2877/I2877,""),IF(AND(ISNUMBER(H2877),H2877&gt;0),M2877/H2877,"")))</f>
        <v/>
      </c>
      <c r="T2877" s="9">
        <f>IF(AND(ISNUMBER(M2877),ISNUMBER(O2877)),IF(M2877&lt;=O2877,"Valor ≤ venal IPTU",""),"")</f>
        <v/>
      </c>
      <c r="U2877" s="10">
        <f>IF(AND(ISNUMBER(M2877),ISNUMBER(N2877)),IF(N2877&gt;0,M2877/N2877,""),"")</f>
        <v/>
      </c>
      <c r="V2877" s="10">
        <f>IF(AND(ISNUMBER(M2877),ISNUMBER(O2877)),IF(O2877&gt;0,M2877/O2877,""),"")</f>
        <v/>
      </c>
      <c r="W2877" s="10">
        <f>IF(AND(ISNUMBER(M2877),ISNUMBER(R2877)),IF(R2877&gt;0,M2877/R2877,""),"")</f>
        <v/>
      </c>
      <c r="X2877" s="10">
        <f>IF(AND(ISNUMBER(Q2877),ISNUMBER(M2877)),IF(M2877&gt;0,Q2877/M2877,""),"")</f>
        <v/>
      </c>
      <c r="Y2877" s="11">
        <f>IF(ISNUMBER(Z2877),YEAR(Z2877),"")</f>
        <v/>
      </c>
      <c r="Z2877" s="12" t="n"/>
      <c r="AA2877" s="12" t="n"/>
      <c r="AI2877" s="12" t="n"/>
      <c r="AJ2877" s="13">
        <f>IF(LEN(TRIM(AF2877))=0,"",HYPERLINK("https://www.google.com/maps/@?api=1&amp;map_action=pano&amp;viewpoint="&amp;SUBSTITUTE(AF2877," ",""),"Abrir Street View"))</f>
        <v/>
      </c>
    </row>
    <row r="2878">
      <c r="H2878" s="6" t="n"/>
      <c r="I2878" s="6" t="n"/>
      <c r="M2878" s="7" t="n"/>
      <c r="N2878" s="7" t="n"/>
      <c r="O2878" s="7" t="n"/>
      <c r="Q2878" s="7" t="n"/>
      <c r="R2878" s="7" t="n"/>
      <c r="S2878" s="8">
        <f>IF(NOT(ISNUMBER(M2878)),"",IF(G2878="Terreno",IF(AND(ISNUMBER(I2878),I2878&gt;0),M2878/I2878,""),IF(AND(ISNUMBER(H2878),H2878&gt;0),M2878/H2878,"")))</f>
        <v/>
      </c>
      <c r="T2878" s="9">
        <f>IF(AND(ISNUMBER(M2878),ISNUMBER(O2878)),IF(M2878&lt;=O2878,"Valor ≤ venal IPTU",""),"")</f>
        <v/>
      </c>
      <c r="U2878" s="10">
        <f>IF(AND(ISNUMBER(M2878),ISNUMBER(N2878)),IF(N2878&gt;0,M2878/N2878,""),"")</f>
        <v/>
      </c>
      <c r="V2878" s="10">
        <f>IF(AND(ISNUMBER(M2878),ISNUMBER(O2878)),IF(O2878&gt;0,M2878/O2878,""),"")</f>
        <v/>
      </c>
      <c r="W2878" s="10">
        <f>IF(AND(ISNUMBER(M2878),ISNUMBER(R2878)),IF(R2878&gt;0,M2878/R2878,""),"")</f>
        <v/>
      </c>
      <c r="X2878" s="10">
        <f>IF(AND(ISNUMBER(Q2878),ISNUMBER(M2878)),IF(M2878&gt;0,Q2878/M2878,""),"")</f>
        <v/>
      </c>
      <c r="Y2878" s="11">
        <f>IF(ISNUMBER(Z2878),YEAR(Z2878),"")</f>
        <v/>
      </c>
      <c r="Z2878" s="12" t="n"/>
      <c r="AA2878" s="12" t="n"/>
      <c r="AI2878" s="12" t="n"/>
      <c r="AJ2878" s="13">
        <f>IF(LEN(TRIM(AF2878))=0,"",HYPERLINK("https://www.google.com/maps/@?api=1&amp;map_action=pano&amp;viewpoint="&amp;SUBSTITUTE(AF2878," ",""),"Abrir Street View"))</f>
        <v/>
      </c>
    </row>
    <row r="2879">
      <c r="H2879" s="6" t="n"/>
      <c r="I2879" s="6" t="n"/>
      <c r="M2879" s="7" t="n"/>
      <c r="N2879" s="7" t="n"/>
      <c r="O2879" s="7" t="n"/>
      <c r="Q2879" s="7" t="n"/>
      <c r="R2879" s="7" t="n"/>
      <c r="S2879" s="8">
        <f>IF(NOT(ISNUMBER(M2879)),"",IF(G2879="Terreno",IF(AND(ISNUMBER(I2879),I2879&gt;0),M2879/I2879,""),IF(AND(ISNUMBER(H2879),H2879&gt;0),M2879/H2879,"")))</f>
        <v/>
      </c>
      <c r="T2879" s="9">
        <f>IF(AND(ISNUMBER(M2879),ISNUMBER(O2879)),IF(M2879&lt;=O2879,"Valor ≤ venal IPTU",""),"")</f>
        <v/>
      </c>
      <c r="U2879" s="10">
        <f>IF(AND(ISNUMBER(M2879),ISNUMBER(N2879)),IF(N2879&gt;0,M2879/N2879,""),"")</f>
        <v/>
      </c>
      <c r="V2879" s="10">
        <f>IF(AND(ISNUMBER(M2879),ISNUMBER(O2879)),IF(O2879&gt;0,M2879/O2879,""),"")</f>
        <v/>
      </c>
      <c r="W2879" s="10">
        <f>IF(AND(ISNUMBER(M2879),ISNUMBER(R2879)),IF(R2879&gt;0,M2879/R2879,""),"")</f>
        <v/>
      </c>
      <c r="X2879" s="10">
        <f>IF(AND(ISNUMBER(Q2879),ISNUMBER(M2879)),IF(M2879&gt;0,Q2879/M2879,""),"")</f>
        <v/>
      </c>
      <c r="Y2879" s="11">
        <f>IF(ISNUMBER(Z2879),YEAR(Z2879),"")</f>
        <v/>
      </c>
      <c r="Z2879" s="12" t="n"/>
      <c r="AA2879" s="12" t="n"/>
      <c r="AI2879" s="12" t="n"/>
      <c r="AJ2879" s="13">
        <f>IF(LEN(TRIM(AF2879))=0,"",HYPERLINK("https://www.google.com/maps/@?api=1&amp;map_action=pano&amp;viewpoint="&amp;SUBSTITUTE(AF2879," ",""),"Abrir Street View"))</f>
        <v/>
      </c>
    </row>
    <row r="2880">
      <c r="H2880" s="6" t="n"/>
      <c r="I2880" s="6" t="n"/>
      <c r="M2880" s="7" t="n"/>
      <c r="N2880" s="7" t="n"/>
      <c r="O2880" s="7" t="n"/>
      <c r="Q2880" s="7" t="n"/>
      <c r="R2880" s="7" t="n"/>
      <c r="S2880" s="8">
        <f>IF(NOT(ISNUMBER(M2880)),"",IF(G2880="Terreno",IF(AND(ISNUMBER(I2880),I2880&gt;0),M2880/I2880,""),IF(AND(ISNUMBER(H2880),H2880&gt;0),M2880/H2880,"")))</f>
        <v/>
      </c>
      <c r="T2880" s="9">
        <f>IF(AND(ISNUMBER(M2880),ISNUMBER(O2880)),IF(M2880&lt;=O2880,"Valor ≤ venal IPTU",""),"")</f>
        <v/>
      </c>
      <c r="U2880" s="10">
        <f>IF(AND(ISNUMBER(M2880),ISNUMBER(N2880)),IF(N2880&gt;0,M2880/N2880,""),"")</f>
        <v/>
      </c>
      <c r="V2880" s="10">
        <f>IF(AND(ISNUMBER(M2880),ISNUMBER(O2880)),IF(O2880&gt;0,M2880/O2880,""),"")</f>
        <v/>
      </c>
      <c r="W2880" s="10">
        <f>IF(AND(ISNUMBER(M2880),ISNUMBER(R2880)),IF(R2880&gt;0,M2880/R2880,""),"")</f>
        <v/>
      </c>
      <c r="X2880" s="10">
        <f>IF(AND(ISNUMBER(Q2880),ISNUMBER(M2880)),IF(M2880&gt;0,Q2880/M2880,""),"")</f>
        <v/>
      </c>
      <c r="Y2880" s="11">
        <f>IF(ISNUMBER(Z2880),YEAR(Z2880),"")</f>
        <v/>
      </c>
      <c r="Z2880" s="12" t="n"/>
      <c r="AA2880" s="12" t="n"/>
      <c r="AI2880" s="12" t="n"/>
      <c r="AJ2880" s="13">
        <f>IF(LEN(TRIM(AF2880))=0,"",HYPERLINK("https://www.google.com/maps/@?api=1&amp;map_action=pano&amp;viewpoint="&amp;SUBSTITUTE(AF2880," ",""),"Abrir Street View"))</f>
        <v/>
      </c>
    </row>
    <row r="2881">
      <c r="H2881" s="6" t="n"/>
      <c r="I2881" s="6" t="n"/>
      <c r="M2881" s="7" t="n"/>
      <c r="N2881" s="7" t="n"/>
      <c r="O2881" s="7" t="n"/>
      <c r="Q2881" s="7" t="n"/>
      <c r="R2881" s="7" t="n"/>
      <c r="S2881" s="8">
        <f>IF(NOT(ISNUMBER(M2881)),"",IF(G2881="Terreno",IF(AND(ISNUMBER(I2881),I2881&gt;0),M2881/I2881,""),IF(AND(ISNUMBER(H2881),H2881&gt;0),M2881/H2881,"")))</f>
        <v/>
      </c>
      <c r="T2881" s="9">
        <f>IF(AND(ISNUMBER(M2881),ISNUMBER(O2881)),IF(M2881&lt;=O2881,"Valor ≤ venal IPTU",""),"")</f>
        <v/>
      </c>
      <c r="U2881" s="10">
        <f>IF(AND(ISNUMBER(M2881),ISNUMBER(N2881)),IF(N2881&gt;0,M2881/N2881,""),"")</f>
        <v/>
      </c>
      <c r="V2881" s="10">
        <f>IF(AND(ISNUMBER(M2881),ISNUMBER(O2881)),IF(O2881&gt;0,M2881/O2881,""),"")</f>
        <v/>
      </c>
      <c r="W2881" s="10">
        <f>IF(AND(ISNUMBER(M2881),ISNUMBER(R2881)),IF(R2881&gt;0,M2881/R2881,""),"")</f>
        <v/>
      </c>
      <c r="X2881" s="10">
        <f>IF(AND(ISNUMBER(Q2881),ISNUMBER(M2881)),IF(M2881&gt;0,Q2881/M2881,""),"")</f>
        <v/>
      </c>
      <c r="Y2881" s="11">
        <f>IF(ISNUMBER(Z2881),YEAR(Z2881),"")</f>
        <v/>
      </c>
      <c r="Z2881" s="12" t="n"/>
      <c r="AA2881" s="12" t="n"/>
      <c r="AI2881" s="12" t="n"/>
      <c r="AJ2881" s="13">
        <f>IF(LEN(TRIM(AF2881))=0,"",HYPERLINK("https://www.google.com/maps/@?api=1&amp;map_action=pano&amp;viewpoint="&amp;SUBSTITUTE(AF2881," ",""),"Abrir Street View"))</f>
        <v/>
      </c>
    </row>
    <row r="2882">
      <c r="H2882" s="6" t="n"/>
      <c r="I2882" s="6" t="n"/>
      <c r="M2882" s="7" t="n"/>
      <c r="N2882" s="7" t="n"/>
      <c r="O2882" s="7" t="n"/>
      <c r="Q2882" s="7" t="n"/>
      <c r="R2882" s="7" t="n"/>
      <c r="S2882" s="8">
        <f>IF(NOT(ISNUMBER(M2882)),"",IF(G2882="Terreno",IF(AND(ISNUMBER(I2882),I2882&gt;0),M2882/I2882,""),IF(AND(ISNUMBER(H2882),H2882&gt;0),M2882/H2882,"")))</f>
        <v/>
      </c>
      <c r="T2882" s="9">
        <f>IF(AND(ISNUMBER(M2882),ISNUMBER(O2882)),IF(M2882&lt;=O2882,"Valor ≤ venal IPTU",""),"")</f>
        <v/>
      </c>
      <c r="U2882" s="10">
        <f>IF(AND(ISNUMBER(M2882),ISNUMBER(N2882)),IF(N2882&gt;0,M2882/N2882,""),"")</f>
        <v/>
      </c>
      <c r="V2882" s="10">
        <f>IF(AND(ISNUMBER(M2882),ISNUMBER(O2882)),IF(O2882&gt;0,M2882/O2882,""),"")</f>
        <v/>
      </c>
      <c r="W2882" s="10">
        <f>IF(AND(ISNUMBER(M2882),ISNUMBER(R2882)),IF(R2882&gt;0,M2882/R2882,""),"")</f>
        <v/>
      </c>
      <c r="X2882" s="10">
        <f>IF(AND(ISNUMBER(Q2882),ISNUMBER(M2882)),IF(M2882&gt;0,Q2882/M2882,""),"")</f>
        <v/>
      </c>
      <c r="Y2882" s="11">
        <f>IF(ISNUMBER(Z2882),YEAR(Z2882),"")</f>
        <v/>
      </c>
      <c r="Z2882" s="12" t="n"/>
      <c r="AA2882" s="12" t="n"/>
      <c r="AI2882" s="12" t="n"/>
      <c r="AJ2882" s="13">
        <f>IF(LEN(TRIM(AF2882))=0,"",HYPERLINK("https://www.google.com/maps/@?api=1&amp;map_action=pano&amp;viewpoint="&amp;SUBSTITUTE(AF2882," ",""),"Abrir Street View"))</f>
        <v/>
      </c>
    </row>
    <row r="2883">
      <c r="H2883" s="6" t="n"/>
      <c r="I2883" s="6" t="n"/>
      <c r="M2883" s="7" t="n"/>
      <c r="N2883" s="7" t="n"/>
      <c r="O2883" s="7" t="n"/>
      <c r="Q2883" s="7" t="n"/>
      <c r="R2883" s="7" t="n"/>
      <c r="S2883" s="8">
        <f>IF(NOT(ISNUMBER(M2883)),"",IF(G2883="Terreno",IF(AND(ISNUMBER(I2883),I2883&gt;0),M2883/I2883,""),IF(AND(ISNUMBER(H2883),H2883&gt;0),M2883/H2883,"")))</f>
        <v/>
      </c>
      <c r="T2883" s="9">
        <f>IF(AND(ISNUMBER(M2883),ISNUMBER(O2883)),IF(M2883&lt;=O2883,"Valor ≤ venal IPTU",""),"")</f>
        <v/>
      </c>
      <c r="U2883" s="10">
        <f>IF(AND(ISNUMBER(M2883),ISNUMBER(N2883)),IF(N2883&gt;0,M2883/N2883,""),"")</f>
        <v/>
      </c>
      <c r="V2883" s="10">
        <f>IF(AND(ISNUMBER(M2883),ISNUMBER(O2883)),IF(O2883&gt;0,M2883/O2883,""),"")</f>
        <v/>
      </c>
      <c r="W2883" s="10">
        <f>IF(AND(ISNUMBER(M2883),ISNUMBER(R2883)),IF(R2883&gt;0,M2883/R2883,""),"")</f>
        <v/>
      </c>
      <c r="X2883" s="10">
        <f>IF(AND(ISNUMBER(Q2883),ISNUMBER(M2883)),IF(M2883&gt;0,Q2883/M2883,""),"")</f>
        <v/>
      </c>
      <c r="Y2883" s="11">
        <f>IF(ISNUMBER(Z2883),YEAR(Z2883),"")</f>
        <v/>
      </c>
      <c r="Z2883" s="12" t="n"/>
      <c r="AA2883" s="12" t="n"/>
      <c r="AI2883" s="12" t="n"/>
      <c r="AJ2883" s="13">
        <f>IF(LEN(TRIM(AF2883))=0,"",HYPERLINK("https://www.google.com/maps/@?api=1&amp;map_action=pano&amp;viewpoint="&amp;SUBSTITUTE(AF2883," ",""),"Abrir Street View"))</f>
        <v/>
      </c>
    </row>
    <row r="2884">
      <c r="H2884" s="6" t="n"/>
      <c r="I2884" s="6" t="n"/>
      <c r="M2884" s="7" t="n"/>
      <c r="N2884" s="7" t="n"/>
      <c r="O2884" s="7" t="n"/>
      <c r="Q2884" s="7" t="n"/>
      <c r="R2884" s="7" t="n"/>
      <c r="S2884" s="8">
        <f>IF(NOT(ISNUMBER(M2884)),"",IF(G2884="Terreno",IF(AND(ISNUMBER(I2884),I2884&gt;0),M2884/I2884,""),IF(AND(ISNUMBER(H2884),H2884&gt;0),M2884/H2884,"")))</f>
        <v/>
      </c>
      <c r="T2884" s="9">
        <f>IF(AND(ISNUMBER(M2884),ISNUMBER(O2884)),IF(M2884&lt;=O2884,"Valor ≤ venal IPTU",""),"")</f>
        <v/>
      </c>
      <c r="U2884" s="10">
        <f>IF(AND(ISNUMBER(M2884),ISNUMBER(N2884)),IF(N2884&gt;0,M2884/N2884,""),"")</f>
        <v/>
      </c>
      <c r="V2884" s="10">
        <f>IF(AND(ISNUMBER(M2884),ISNUMBER(O2884)),IF(O2884&gt;0,M2884/O2884,""),"")</f>
        <v/>
      </c>
      <c r="W2884" s="10">
        <f>IF(AND(ISNUMBER(M2884),ISNUMBER(R2884)),IF(R2884&gt;0,M2884/R2884,""),"")</f>
        <v/>
      </c>
      <c r="X2884" s="10">
        <f>IF(AND(ISNUMBER(Q2884),ISNUMBER(M2884)),IF(M2884&gt;0,Q2884/M2884,""),"")</f>
        <v/>
      </c>
      <c r="Y2884" s="11">
        <f>IF(ISNUMBER(Z2884),YEAR(Z2884),"")</f>
        <v/>
      </c>
      <c r="Z2884" s="12" t="n"/>
      <c r="AA2884" s="12" t="n"/>
      <c r="AI2884" s="12" t="n"/>
      <c r="AJ2884" s="13">
        <f>IF(LEN(TRIM(AF2884))=0,"",HYPERLINK("https://www.google.com/maps/@?api=1&amp;map_action=pano&amp;viewpoint="&amp;SUBSTITUTE(AF2884," ",""),"Abrir Street View"))</f>
        <v/>
      </c>
    </row>
    <row r="2885">
      <c r="H2885" s="6" t="n"/>
      <c r="I2885" s="6" t="n"/>
      <c r="M2885" s="7" t="n"/>
      <c r="N2885" s="7" t="n"/>
      <c r="O2885" s="7" t="n"/>
      <c r="Q2885" s="7" t="n"/>
      <c r="R2885" s="7" t="n"/>
      <c r="S2885" s="8">
        <f>IF(NOT(ISNUMBER(M2885)),"",IF(G2885="Terreno",IF(AND(ISNUMBER(I2885),I2885&gt;0),M2885/I2885,""),IF(AND(ISNUMBER(H2885),H2885&gt;0),M2885/H2885,"")))</f>
        <v/>
      </c>
      <c r="T2885" s="9">
        <f>IF(AND(ISNUMBER(M2885),ISNUMBER(O2885)),IF(M2885&lt;=O2885,"Valor ≤ venal IPTU",""),"")</f>
        <v/>
      </c>
      <c r="U2885" s="10">
        <f>IF(AND(ISNUMBER(M2885),ISNUMBER(N2885)),IF(N2885&gt;0,M2885/N2885,""),"")</f>
        <v/>
      </c>
      <c r="V2885" s="10">
        <f>IF(AND(ISNUMBER(M2885),ISNUMBER(O2885)),IF(O2885&gt;0,M2885/O2885,""),"")</f>
        <v/>
      </c>
      <c r="W2885" s="10">
        <f>IF(AND(ISNUMBER(M2885),ISNUMBER(R2885)),IF(R2885&gt;0,M2885/R2885,""),"")</f>
        <v/>
      </c>
      <c r="X2885" s="10">
        <f>IF(AND(ISNUMBER(Q2885),ISNUMBER(M2885)),IF(M2885&gt;0,Q2885/M2885,""),"")</f>
        <v/>
      </c>
      <c r="Y2885" s="11">
        <f>IF(ISNUMBER(Z2885),YEAR(Z2885),"")</f>
        <v/>
      </c>
      <c r="Z2885" s="12" t="n"/>
      <c r="AA2885" s="12" t="n"/>
      <c r="AI2885" s="12" t="n"/>
      <c r="AJ2885" s="13">
        <f>IF(LEN(TRIM(AF2885))=0,"",HYPERLINK("https://www.google.com/maps/@?api=1&amp;map_action=pano&amp;viewpoint="&amp;SUBSTITUTE(AF2885," ",""),"Abrir Street View"))</f>
        <v/>
      </c>
    </row>
    <row r="2886">
      <c r="H2886" s="6" t="n"/>
      <c r="I2886" s="6" t="n"/>
      <c r="M2886" s="7" t="n"/>
      <c r="N2886" s="7" t="n"/>
      <c r="O2886" s="7" t="n"/>
      <c r="Q2886" s="7" t="n"/>
      <c r="R2886" s="7" t="n"/>
      <c r="S2886" s="8">
        <f>IF(NOT(ISNUMBER(M2886)),"",IF(G2886="Terreno",IF(AND(ISNUMBER(I2886),I2886&gt;0),M2886/I2886,""),IF(AND(ISNUMBER(H2886),H2886&gt;0),M2886/H2886,"")))</f>
        <v/>
      </c>
      <c r="T2886" s="9">
        <f>IF(AND(ISNUMBER(M2886),ISNUMBER(O2886)),IF(M2886&lt;=O2886,"Valor ≤ venal IPTU",""),"")</f>
        <v/>
      </c>
      <c r="U2886" s="10">
        <f>IF(AND(ISNUMBER(M2886),ISNUMBER(N2886)),IF(N2886&gt;0,M2886/N2886,""),"")</f>
        <v/>
      </c>
      <c r="V2886" s="10">
        <f>IF(AND(ISNUMBER(M2886),ISNUMBER(O2886)),IF(O2886&gt;0,M2886/O2886,""),"")</f>
        <v/>
      </c>
      <c r="W2886" s="10">
        <f>IF(AND(ISNUMBER(M2886),ISNUMBER(R2886)),IF(R2886&gt;0,M2886/R2886,""),"")</f>
        <v/>
      </c>
      <c r="X2886" s="10">
        <f>IF(AND(ISNUMBER(Q2886),ISNUMBER(M2886)),IF(M2886&gt;0,Q2886/M2886,""),"")</f>
        <v/>
      </c>
      <c r="Y2886" s="11">
        <f>IF(ISNUMBER(Z2886),YEAR(Z2886),"")</f>
        <v/>
      </c>
      <c r="Z2886" s="12" t="n"/>
      <c r="AA2886" s="12" t="n"/>
      <c r="AI2886" s="12" t="n"/>
      <c r="AJ2886" s="13">
        <f>IF(LEN(TRIM(AF2886))=0,"",HYPERLINK("https://www.google.com/maps/@?api=1&amp;map_action=pano&amp;viewpoint="&amp;SUBSTITUTE(AF2886," ",""),"Abrir Street View"))</f>
        <v/>
      </c>
    </row>
    <row r="2887">
      <c r="H2887" s="6" t="n"/>
      <c r="I2887" s="6" t="n"/>
      <c r="M2887" s="7" t="n"/>
      <c r="N2887" s="7" t="n"/>
      <c r="O2887" s="7" t="n"/>
      <c r="Q2887" s="7" t="n"/>
      <c r="R2887" s="7" t="n"/>
      <c r="S2887" s="8">
        <f>IF(NOT(ISNUMBER(M2887)),"",IF(G2887="Terreno",IF(AND(ISNUMBER(I2887),I2887&gt;0),M2887/I2887,""),IF(AND(ISNUMBER(H2887),H2887&gt;0),M2887/H2887,"")))</f>
        <v/>
      </c>
      <c r="T2887" s="9">
        <f>IF(AND(ISNUMBER(M2887),ISNUMBER(O2887)),IF(M2887&lt;=O2887,"Valor ≤ venal IPTU",""),"")</f>
        <v/>
      </c>
      <c r="U2887" s="10">
        <f>IF(AND(ISNUMBER(M2887),ISNUMBER(N2887)),IF(N2887&gt;0,M2887/N2887,""),"")</f>
        <v/>
      </c>
      <c r="V2887" s="10">
        <f>IF(AND(ISNUMBER(M2887),ISNUMBER(O2887)),IF(O2887&gt;0,M2887/O2887,""),"")</f>
        <v/>
      </c>
      <c r="W2887" s="10">
        <f>IF(AND(ISNUMBER(M2887),ISNUMBER(R2887)),IF(R2887&gt;0,M2887/R2887,""),"")</f>
        <v/>
      </c>
      <c r="X2887" s="10">
        <f>IF(AND(ISNUMBER(Q2887),ISNUMBER(M2887)),IF(M2887&gt;0,Q2887/M2887,""),"")</f>
        <v/>
      </c>
      <c r="Y2887" s="11">
        <f>IF(ISNUMBER(Z2887),YEAR(Z2887),"")</f>
        <v/>
      </c>
      <c r="Z2887" s="12" t="n"/>
      <c r="AA2887" s="12" t="n"/>
      <c r="AI2887" s="12" t="n"/>
      <c r="AJ2887" s="13">
        <f>IF(LEN(TRIM(AF2887))=0,"",HYPERLINK("https://www.google.com/maps/@?api=1&amp;map_action=pano&amp;viewpoint="&amp;SUBSTITUTE(AF2887," ",""),"Abrir Street View"))</f>
        <v/>
      </c>
    </row>
    <row r="2888">
      <c r="H2888" s="6" t="n"/>
      <c r="I2888" s="6" t="n"/>
      <c r="M2888" s="7" t="n"/>
      <c r="N2888" s="7" t="n"/>
      <c r="O2888" s="7" t="n"/>
      <c r="Q2888" s="7" t="n"/>
      <c r="R2888" s="7" t="n"/>
      <c r="S2888" s="8">
        <f>IF(NOT(ISNUMBER(M2888)),"",IF(G2888="Terreno",IF(AND(ISNUMBER(I2888),I2888&gt;0),M2888/I2888,""),IF(AND(ISNUMBER(H2888),H2888&gt;0),M2888/H2888,"")))</f>
        <v/>
      </c>
      <c r="T2888" s="9">
        <f>IF(AND(ISNUMBER(M2888),ISNUMBER(O2888)),IF(M2888&lt;=O2888,"Valor ≤ venal IPTU",""),"")</f>
        <v/>
      </c>
      <c r="U2888" s="10">
        <f>IF(AND(ISNUMBER(M2888),ISNUMBER(N2888)),IF(N2888&gt;0,M2888/N2888,""),"")</f>
        <v/>
      </c>
      <c r="V2888" s="10">
        <f>IF(AND(ISNUMBER(M2888),ISNUMBER(O2888)),IF(O2888&gt;0,M2888/O2888,""),"")</f>
        <v/>
      </c>
      <c r="W2888" s="10">
        <f>IF(AND(ISNUMBER(M2888),ISNUMBER(R2888)),IF(R2888&gt;0,M2888/R2888,""),"")</f>
        <v/>
      </c>
      <c r="X2888" s="10">
        <f>IF(AND(ISNUMBER(Q2888),ISNUMBER(M2888)),IF(M2888&gt;0,Q2888/M2888,""),"")</f>
        <v/>
      </c>
      <c r="Y2888" s="11">
        <f>IF(ISNUMBER(Z2888),YEAR(Z2888),"")</f>
        <v/>
      </c>
      <c r="Z2888" s="12" t="n"/>
      <c r="AA2888" s="12" t="n"/>
      <c r="AI2888" s="12" t="n"/>
      <c r="AJ2888" s="13">
        <f>IF(LEN(TRIM(AF2888))=0,"",HYPERLINK("https://www.google.com/maps/@?api=1&amp;map_action=pano&amp;viewpoint="&amp;SUBSTITUTE(AF2888," ",""),"Abrir Street View"))</f>
        <v/>
      </c>
    </row>
    <row r="2889">
      <c r="H2889" s="6" t="n"/>
      <c r="I2889" s="6" t="n"/>
      <c r="M2889" s="7" t="n"/>
      <c r="N2889" s="7" t="n"/>
      <c r="O2889" s="7" t="n"/>
      <c r="Q2889" s="7" t="n"/>
      <c r="R2889" s="7" t="n"/>
      <c r="S2889" s="8">
        <f>IF(NOT(ISNUMBER(M2889)),"",IF(G2889="Terreno",IF(AND(ISNUMBER(I2889),I2889&gt;0),M2889/I2889,""),IF(AND(ISNUMBER(H2889),H2889&gt;0),M2889/H2889,"")))</f>
        <v/>
      </c>
      <c r="T2889" s="9">
        <f>IF(AND(ISNUMBER(M2889),ISNUMBER(O2889)),IF(M2889&lt;=O2889,"Valor ≤ venal IPTU",""),"")</f>
        <v/>
      </c>
      <c r="U2889" s="10">
        <f>IF(AND(ISNUMBER(M2889),ISNUMBER(N2889)),IF(N2889&gt;0,M2889/N2889,""),"")</f>
        <v/>
      </c>
      <c r="V2889" s="10">
        <f>IF(AND(ISNUMBER(M2889),ISNUMBER(O2889)),IF(O2889&gt;0,M2889/O2889,""),"")</f>
        <v/>
      </c>
      <c r="W2889" s="10">
        <f>IF(AND(ISNUMBER(M2889),ISNUMBER(R2889)),IF(R2889&gt;0,M2889/R2889,""),"")</f>
        <v/>
      </c>
      <c r="X2889" s="10">
        <f>IF(AND(ISNUMBER(Q2889),ISNUMBER(M2889)),IF(M2889&gt;0,Q2889/M2889,""),"")</f>
        <v/>
      </c>
      <c r="Y2889" s="11">
        <f>IF(ISNUMBER(Z2889),YEAR(Z2889),"")</f>
        <v/>
      </c>
      <c r="Z2889" s="12" t="n"/>
      <c r="AA2889" s="12" t="n"/>
      <c r="AI2889" s="12" t="n"/>
      <c r="AJ2889" s="13">
        <f>IF(LEN(TRIM(AF2889))=0,"",HYPERLINK("https://www.google.com/maps/@?api=1&amp;map_action=pano&amp;viewpoint="&amp;SUBSTITUTE(AF2889," ",""),"Abrir Street View"))</f>
        <v/>
      </c>
    </row>
    <row r="2890">
      <c r="H2890" s="6" t="n"/>
      <c r="I2890" s="6" t="n"/>
      <c r="M2890" s="7" t="n"/>
      <c r="N2890" s="7" t="n"/>
      <c r="O2890" s="7" t="n"/>
      <c r="Q2890" s="7" t="n"/>
      <c r="R2890" s="7" t="n"/>
      <c r="S2890" s="8">
        <f>IF(NOT(ISNUMBER(M2890)),"",IF(G2890="Terreno",IF(AND(ISNUMBER(I2890),I2890&gt;0),M2890/I2890,""),IF(AND(ISNUMBER(H2890),H2890&gt;0),M2890/H2890,"")))</f>
        <v/>
      </c>
      <c r="T2890" s="9">
        <f>IF(AND(ISNUMBER(M2890),ISNUMBER(O2890)),IF(M2890&lt;=O2890,"Valor ≤ venal IPTU",""),"")</f>
        <v/>
      </c>
      <c r="U2890" s="10">
        <f>IF(AND(ISNUMBER(M2890),ISNUMBER(N2890)),IF(N2890&gt;0,M2890/N2890,""),"")</f>
        <v/>
      </c>
      <c r="V2890" s="10">
        <f>IF(AND(ISNUMBER(M2890),ISNUMBER(O2890)),IF(O2890&gt;0,M2890/O2890,""),"")</f>
        <v/>
      </c>
      <c r="W2890" s="10">
        <f>IF(AND(ISNUMBER(M2890),ISNUMBER(R2890)),IF(R2890&gt;0,M2890/R2890,""),"")</f>
        <v/>
      </c>
      <c r="X2890" s="10">
        <f>IF(AND(ISNUMBER(Q2890),ISNUMBER(M2890)),IF(M2890&gt;0,Q2890/M2890,""),"")</f>
        <v/>
      </c>
      <c r="Y2890" s="11">
        <f>IF(ISNUMBER(Z2890),YEAR(Z2890),"")</f>
        <v/>
      </c>
      <c r="Z2890" s="12" t="n"/>
      <c r="AA2890" s="12" t="n"/>
      <c r="AI2890" s="12" t="n"/>
      <c r="AJ2890" s="13">
        <f>IF(LEN(TRIM(AF2890))=0,"",HYPERLINK("https://www.google.com/maps/@?api=1&amp;map_action=pano&amp;viewpoint="&amp;SUBSTITUTE(AF2890," ",""),"Abrir Street View"))</f>
        <v/>
      </c>
    </row>
    <row r="2891">
      <c r="H2891" s="6" t="n"/>
      <c r="I2891" s="6" t="n"/>
      <c r="M2891" s="7" t="n"/>
      <c r="N2891" s="7" t="n"/>
      <c r="O2891" s="7" t="n"/>
      <c r="Q2891" s="7" t="n"/>
      <c r="R2891" s="7" t="n"/>
      <c r="S2891" s="8">
        <f>IF(NOT(ISNUMBER(M2891)),"",IF(G2891="Terreno",IF(AND(ISNUMBER(I2891),I2891&gt;0),M2891/I2891,""),IF(AND(ISNUMBER(H2891),H2891&gt;0),M2891/H2891,"")))</f>
        <v/>
      </c>
      <c r="T2891" s="9">
        <f>IF(AND(ISNUMBER(M2891),ISNUMBER(O2891)),IF(M2891&lt;=O2891,"Valor ≤ venal IPTU",""),"")</f>
        <v/>
      </c>
      <c r="U2891" s="10">
        <f>IF(AND(ISNUMBER(M2891),ISNUMBER(N2891)),IF(N2891&gt;0,M2891/N2891,""),"")</f>
        <v/>
      </c>
      <c r="V2891" s="10">
        <f>IF(AND(ISNUMBER(M2891),ISNUMBER(O2891)),IF(O2891&gt;0,M2891/O2891,""),"")</f>
        <v/>
      </c>
      <c r="W2891" s="10">
        <f>IF(AND(ISNUMBER(M2891),ISNUMBER(R2891)),IF(R2891&gt;0,M2891/R2891,""),"")</f>
        <v/>
      </c>
      <c r="X2891" s="10">
        <f>IF(AND(ISNUMBER(Q2891),ISNUMBER(M2891)),IF(M2891&gt;0,Q2891/M2891,""),"")</f>
        <v/>
      </c>
      <c r="Y2891" s="11">
        <f>IF(ISNUMBER(Z2891),YEAR(Z2891),"")</f>
        <v/>
      </c>
      <c r="Z2891" s="12" t="n"/>
      <c r="AA2891" s="12" t="n"/>
      <c r="AI2891" s="12" t="n"/>
      <c r="AJ2891" s="13">
        <f>IF(LEN(TRIM(AF2891))=0,"",HYPERLINK("https://www.google.com/maps/@?api=1&amp;map_action=pano&amp;viewpoint="&amp;SUBSTITUTE(AF2891," ",""),"Abrir Street View"))</f>
        <v/>
      </c>
    </row>
    <row r="2892">
      <c r="H2892" s="6" t="n"/>
      <c r="I2892" s="6" t="n"/>
      <c r="M2892" s="7" t="n"/>
      <c r="N2892" s="7" t="n"/>
      <c r="O2892" s="7" t="n"/>
      <c r="Q2892" s="7" t="n"/>
      <c r="R2892" s="7" t="n"/>
      <c r="S2892" s="8">
        <f>IF(NOT(ISNUMBER(M2892)),"",IF(G2892="Terreno",IF(AND(ISNUMBER(I2892),I2892&gt;0),M2892/I2892,""),IF(AND(ISNUMBER(H2892),H2892&gt;0),M2892/H2892,"")))</f>
        <v/>
      </c>
      <c r="T2892" s="9">
        <f>IF(AND(ISNUMBER(M2892),ISNUMBER(O2892)),IF(M2892&lt;=O2892,"Valor ≤ venal IPTU",""),"")</f>
        <v/>
      </c>
      <c r="U2892" s="10">
        <f>IF(AND(ISNUMBER(M2892),ISNUMBER(N2892)),IF(N2892&gt;0,M2892/N2892,""),"")</f>
        <v/>
      </c>
      <c r="V2892" s="10">
        <f>IF(AND(ISNUMBER(M2892),ISNUMBER(O2892)),IF(O2892&gt;0,M2892/O2892,""),"")</f>
        <v/>
      </c>
      <c r="W2892" s="10">
        <f>IF(AND(ISNUMBER(M2892),ISNUMBER(R2892)),IF(R2892&gt;0,M2892/R2892,""),"")</f>
        <v/>
      </c>
      <c r="X2892" s="10">
        <f>IF(AND(ISNUMBER(Q2892),ISNUMBER(M2892)),IF(M2892&gt;0,Q2892/M2892,""),"")</f>
        <v/>
      </c>
      <c r="Y2892" s="11">
        <f>IF(ISNUMBER(Z2892),YEAR(Z2892),"")</f>
        <v/>
      </c>
      <c r="Z2892" s="12" t="n"/>
      <c r="AA2892" s="12" t="n"/>
      <c r="AI2892" s="12" t="n"/>
      <c r="AJ2892" s="13">
        <f>IF(LEN(TRIM(AF2892))=0,"",HYPERLINK("https://www.google.com/maps/@?api=1&amp;map_action=pano&amp;viewpoint="&amp;SUBSTITUTE(AF2892," ",""),"Abrir Street View"))</f>
        <v/>
      </c>
    </row>
    <row r="2893">
      <c r="H2893" s="6" t="n"/>
      <c r="I2893" s="6" t="n"/>
      <c r="M2893" s="7" t="n"/>
      <c r="N2893" s="7" t="n"/>
      <c r="O2893" s="7" t="n"/>
      <c r="Q2893" s="7" t="n"/>
      <c r="R2893" s="7" t="n"/>
      <c r="S2893" s="8">
        <f>IF(NOT(ISNUMBER(M2893)),"",IF(G2893="Terreno",IF(AND(ISNUMBER(I2893),I2893&gt;0),M2893/I2893,""),IF(AND(ISNUMBER(H2893),H2893&gt;0),M2893/H2893,"")))</f>
        <v/>
      </c>
      <c r="T2893" s="9">
        <f>IF(AND(ISNUMBER(M2893),ISNUMBER(O2893)),IF(M2893&lt;=O2893,"Valor ≤ venal IPTU",""),"")</f>
        <v/>
      </c>
      <c r="U2893" s="10">
        <f>IF(AND(ISNUMBER(M2893),ISNUMBER(N2893)),IF(N2893&gt;0,M2893/N2893,""),"")</f>
        <v/>
      </c>
      <c r="V2893" s="10">
        <f>IF(AND(ISNUMBER(M2893),ISNUMBER(O2893)),IF(O2893&gt;0,M2893/O2893,""),"")</f>
        <v/>
      </c>
      <c r="W2893" s="10">
        <f>IF(AND(ISNUMBER(M2893),ISNUMBER(R2893)),IF(R2893&gt;0,M2893/R2893,""),"")</f>
        <v/>
      </c>
      <c r="X2893" s="10">
        <f>IF(AND(ISNUMBER(Q2893),ISNUMBER(M2893)),IF(M2893&gt;0,Q2893/M2893,""),"")</f>
        <v/>
      </c>
      <c r="Y2893" s="11">
        <f>IF(ISNUMBER(Z2893),YEAR(Z2893),"")</f>
        <v/>
      </c>
      <c r="Z2893" s="12" t="n"/>
      <c r="AA2893" s="12" t="n"/>
      <c r="AI2893" s="12" t="n"/>
      <c r="AJ2893" s="13">
        <f>IF(LEN(TRIM(AF2893))=0,"",HYPERLINK("https://www.google.com/maps/@?api=1&amp;map_action=pano&amp;viewpoint="&amp;SUBSTITUTE(AF2893," ",""),"Abrir Street View"))</f>
        <v/>
      </c>
    </row>
    <row r="2894">
      <c r="H2894" s="6" t="n"/>
      <c r="I2894" s="6" t="n"/>
      <c r="M2894" s="7" t="n"/>
      <c r="N2894" s="7" t="n"/>
      <c r="O2894" s="7" t="n"/>
      <c r="Q2894" s="7" t="n"/>
      <c r="R2894" s="7" t="n"/>
      <c r="S2894" s="8">
        <f>IF(NOT(ISNUMBER(M2894)),"",IF(G2894="Terreno",IF(AND(ISNUMBER(I2894),I2894&gt;0),M2894/I2894,""),IF(AND(ISNUMBER(H2894),H2894&gt;0),M2894/H2894,"")))</f>
        <v/>
      </c>
      <c r="T2894" s="9">
        <f>IF(AND(ISNUMBER(M2894),ISNUMBER(O2894)),IF(M2894&lt;=O2894,"Valor ≤ venal IPTU",""),"")</f>
        <v/>
      </c>
      <c r="U2894" s="10">
        <f>IF(AND(ISNUMBER(M2894),ISNUMBER(N2894)),IF(N2894&gt;0,M2894/N2894,""),"")</f>
        <v/>
      </c>
      <c r="V2894" s="10">
        <f>IF(AND(ISNUMBER(M2894),ISNUMBER(O2894)),IF(O2894&gt;0,M2894/O2894,""),"")</f>
        <v/>
      </c>
      <c r="W2894" s="10">
        <f>IF(AND(ISNUMBER(M2894),ISNUMBER(R2894)),IF(R2894&gt;0,M2894/R2894,""),"")</f>
        <v/>
      </c>
      <c r="X2894" s="10">
        <f>IF(AND(ISNUMBER(Q2894),ISNUMBER(M2894)),IF(M2894&gt;0,Q2894/M2894,""),"")</f>
        <v/>
      </c>
      <c r="Y2894" s="11">
        <f>IF(ISNUMBER(Z2894),YEAR(Z2894),"")</f>
        <v/>
      </c>
      <c r="Z2894" s="12" t="n"/>
      <c r="AA2894" s="12" t="n"/>
      <c r="AI2894" s="12" t="n"/>
      <c r="AJ2894" s="13">
        <f>IF(LEN(TRIM(AF2894))=0,"",HYPERLINK("https://www.google.com/maps/@?api=1&amp;map_action=pano&amp;viewpoint="&amp;SUBSTITUTE(AF2894," ",""),"Abrir Street View"))</f>
        <v/>
      </c>
    </row>
    <row r="2895">
      <c r="H2895" s="6" t="n"/>
      <c r="I2895" s="6" t="n"/>
      <c r="M2895" s="7" t="n"/>
      <c r="N2895" s="7" t="n"/>
      <c r="O2895" s="7" t="n"/>
      <c r="Q2895" s="7" t="n"/>
      <c r="R2895" s="7" t="n"/>
      <c r="S2895" s="8">
        <f>IF(NOT(ISNUMBER(M2895)),"",IF(G2895="Terreno",IF(AND(ISNUMBER(I2895),I2895&gt;0),M2895/I2895,""),IF(AND(ISNUMBER(H2895),H2895&gt;0),M2895/H2895,"")))</f>
        <v/>
      </c>
      <c r="T2895" s="9">
        <f>IF(AND(ISNUMBER(M2895),ISNUMBER(O2895)),IF(M2895&lt;=O2895,"Valor ≤ venal IPTU",""),"")</f>
        <v/>
      </c>
      <c r="U2895" s="10">
        <f>IF(AND(ISNUMBER(M2895),ISNUMBER(N2895)),IF(N2895&gt;0,M2895/N2895,""),"")</f>
        <v/>
      </c>
      <c r="V2895" s="10">
        <f>IF(AND(ISNUMBER(M2895),ISNUMBER(O2895)),IF(O2895&gt;0,M2895/O2895,""),"")</f>
        <v/>
      </c>
      <c r="W2895" s="10">
        <f>IF(AND(ISNUMBER(M2895),ISNUMBER(R2895)),IF(R2895&gt;0,M2895/R2895,""),"")</f>
        <v/>
      </c>
      <c r="X2895" s="10">
        <f>IF(AND(ISNUMBER(Q2895),ISNUMBER(M2895)),IF(M2895&gt;0,Q2895/M2895,""),"")</f>
        <v/>
      </c>
      <c r="Y2895" s="11">
        <f>IF(ISNUMBER(Z2895),YEAR(Z2895),"")</f>
        <v/>
      </c>
      <c r="Z2895" s="12" t="n"/>
      <c r="AA2895" s="12" t="n"/>
      <c r="AI2895" s="12" t="n"/>
      <c r="AJ2895" s="13">
        <f>IF(LEN(TRIM(AF2895))=0,"",HYPERLINK("https://www.google.com/maps/@?api=1&amp;map_action=pano&amp;viewpoint="&amp;SUBSTITUTE(AF2895," ",""),"Abrir Street View"))</f>
        <v/>
      </c>
    </row>
    <row r="2896">
      <c r="H2896" s="6" t="n"/>
      <c r="I2896" s="6" t="n"/>
      <c r="M2896" s="7" t="n"/>
      <c r="N2896" s="7" t="n"/>
      <c r="O2896" s="7" t="n"/>
      <c r="Q2896" s="7" t="n"/>
      <c r="R2896" s="7" t="n"/>
      <c r="S2896" s="8">
        <f>IF(NOT(ISNUMBER(M2896)),"",IF(G2896="Terreno",IF(AND(ISNUMBER(I2896),I2896&gt;0),M2896/I2896,""),IF(AND(ISNUMBER(H2896),H2896&gt;0),M2896/H2896,"")))</f>
        <v/>
      </c>
      <c r="T2896" s="9">
        <f>IF(AND(ISNUMBER(M2896),ISNUMBER(O2896)),IF(M2896&lt;=O2896,"Valor ≤ venal IPTU",""),"")</f>
        <v/>
      </c>
      <c r="U2896" s="10">
        <f>IF(AND(ISNUMBER(M2896),ISNUMBER(N2896)),IF(N2896&gt;0,M2896/N2896,""),"")</f>
        <v/>
      </c>
      <c r="V2896" s="10">
        <f>IF(AND(ISNUMBER(M2896),ISNUMBER(O2896)),IF(O2896&gt;0,M2896/O2896,""),"")</f>
        <v/>
      </c>
      <c r="W2896" s="10">
        <f>IF(AND(ISNUMBER(M2896),ISNUMBER(R2896)),IF(R2896&gt;0,M2896/R2896,""),"")</f>
        <v/>
      </c>
      <c r="X2896" s="10">
        <f>IF(AND(ISNUMBER(Q2896),ISNUMBER(M2896)),IF(M2896&gt;0,Q2896/M2896,""),"")</f>
        <v/>
      </c>
      <c r="Y2896" s="11">
        <f>IF(ISNUMBER(Z2896),YEAR(Z2896),"")</f>
        <v/>
      </c>
      <c r="Z2896" s="12" t="n"/>
      <c r="AA2896" s="12" t="n"/>
      <c r="AI2896" s="12" t="n"/>
      <c r="AJ2896" s="13">
        <f>IF(LEN(TRIM(AF2896))=0,"",HYPERLINK("https://www.google.com/maps/@?api=1&amp;map_action=pano&amp;viewpoint="&amp;SUBSTITUTE(AF2896," ",""),"Abrir Street View"))</f>
        <v/>
      </c>
    </row>
    <row r="2897">
      <c r="H2897" s="6" t="n"/>
      <c r="I2897" s="6" t="n"/>
      <c r="M2897" s="7" t="n"/>
      <c r="N2897" s="7" t="n"/>
      <c r="O2897" s="7" t="n"/>
      <c r="Q2897" s="7" t="n"/>
      <c r="R2897" s="7" t="n"/>
      <c r="S2897" s="8">
        <f>IF(NOT(ISNUMBER(M2897)),"",IF(G2897="Terreno",IF(AND(ISNUMBER(I2897),I2897&gt;0),M2897/I2897,""),IF(AND(ISNUMBER(H2897),H2897&gt;0),M2897/H2897,"")))</f>
        <v/>
      </c>
      <c r="T2897" s="9">
        <f>IF(AND(ISNUMBER(M2897),ISNUMBER(O2897)),IF(M2897&lt;=O2897,"Valor ≤ venal IPTU",""),"")</f>
        <v/>
      </c>
      <c r="U2897" s="10">
        <f>IF(AND(ISNUMBER(M2897),ISNUMBER(N2897)),IF(N2897&gt;0,M2897/N2897,""),"")</f>
        <v/>
      </c>
      <c r="V2897" s="10">
        <f>IF(AND(ISNUMBER(M2897),ISNUMBER(O2897)),IF(O2897&gt;0,M2897/O2897,""),"")</f>
        <v/>
      </c>
      <c r="W2897" s="10">
        <f>IF(AND(ISNUMBER(M2897),ISNUMBER(R2897)),IF(R2897&gt;0,M2897/R2897,""),"")</f>
        <v/>
      </c>
      <c r="X2897" s="10">
        <f>IF(AND(ISNUMBER(Q2897),ISNUMBER(M2897)),IF(M2897&gt;0,Q2897/M2897,""),"")</f>
        <v/>
      </c>
      <c r="Y2897" s="11">
        <f>IF(ISNUMBER(Z2897),YEAR(Z2897),"")</f>
        <v/>
      </c>
      <c r="Z2897" s="12" t="n"/>
      <c r="AA2897" s="12" t="n"/>
      <c r="AI2897" s="12" t="n"/>
      <c r="AJ2897" s="13">
        <f>IF(LEN(TRIM(AF2897))=0,"",HYPERLINK("https://www.google.com/maps/@?api=1&amp;map_action=pano&amp;viewpoint="&amp;SUBSTITUTE(AF2897," ",""),"Abrir Street View"))</f>
        <v/>
      </c>
    </row>
    <row r="2898">
      <c r="H2898" s="6" t="n"/>
      <c r="I2898" s="6" t="n"/>
      <c r="M2898" s="7" t="n"/>
      <c r="N2898" s="7" t="n"/>
      <c r="O2898" s="7" t="n"/>
      <c r="Q2898" s="7" t="n"/>
      <c r="R2898" s="7" t="n"/>
      <c r="S2898" s="8">
        <f>IF(NOT(ISNUMBER(M2898)),"",IF(G2898="Terreno",IF(AND(ISNUMBER(I2898),I2898&gt;0),M2898/I2898,""),IF(AND(ISNUMBER(H2898),H2898&gt;0),M2898/H2898,"")))</f>
        <v/>
      </c>
      <c r="T2898" s="9">
        <f>IF(AND(ISNUMBER(M2898),ISNUMBER(O2898)),IF(M2898&lt;=O2898,"Valor ≤ venal IPTU",""),"")</f>
        <v/>
      </c>
      <c r="U2898" s="10">
        <f>IF(AND(ISNUMBER(M2898),ISNUMBER(N2898)),IF(N2898&gt;0,M2898/N2898,""),"")</f>
        <v/>
      </c>
      <c r="V2898" s="10">
        <f>IF(AND(ISNUMBER(M2898),ISNUMBER(O2898)),IF(O2898&gt;0,M2898/O2898,""),"")</f>
        <v/>
      </c>
      <c r="W2898" s="10">
        <f>IF(AND(ISNUMBER(M2898),ISNUMBER(R2898)),IF(R2898&gt;0,M2898/R2898,""),"")</f>
        <v/>
      </c>
      <c r="X2898" s="10">
        <f>IF(AND(ISNUMBER(Q2898),ISNUMBER(M2898)),IF(M2898&gt;0,Q2898/M2898,""),"")</f>
        <v/>
      </c>
      <c r="Y2898" s="11">
        <f>IF(ISNUMBER(Z2898),YEAR(Z2898),"")</f>
        <v/>
      </c>
      <c r="Z2898" s="12" t="n"/>
      <c r="AA2898" s="12" t="n"/>
      <c r="AI2898" s="12" t="n"/>
      <c r="AJ2898" s="13">
        <f>IF(LEN(TRIM(AF2898))=0,"",HYPERLINK("https://www.google.com/maps/@?api=1&amp;map_action=pano&amp;viewpoint="&amp;SUBSTITUTE(AF2898," ",""),"Abrir Street View"))</f>
        <v/>
      </c>
    </row>
    <row r="2899">
      <c r="H2899" s="6" t="n"/>
      <c r="I2899" s="6" t="n"/>
      <c r="M2899" s="7" t="n"/>
      <c r="N2899" s="7" t="n"/>
      <c r="O2899" s="7" t="n"/>
      <c r="Q2899" s="7" t="n"/>
      <c r="R2899" s="7" t="n"/>
      <c r="S2899" s="8">
        <f>IF(NOT(ISNUMBER(M2899)),"",IF(G2899="Terreno",IF(AND(ISNUMBER(I2899),I2899&gt;0),M2899/I2899,""),IF(AND(ISNUMBER(H2899),H2899&gt;0),M2899/H2899,"")))</f>
        <v/>
      </c>
      <c r="T2899" s="9">
        <f>IF(AND(ISNUMBER(M2899),ISNUMBER(O2899)),IF(M2899&lt;=O2899,"Valor ≤ venal IPTU",""),"")</f>
        <v/>
      </c>
      <c r="U2899" s="10">
        <f>IF(AND(ISNUMBER(M2899),ISNUMBER(N2899)),IF(N2899&gt;0,M2899/N2899,""),"")</f>
        <v/>
      </c>
      <c r="V2899" s="10">
        <f>IF(AND(ISNUMBER(M2899),ISNUMBER(O2899)),IF(O2899&gt;0,M2899/O2899,""),"")</f>
        <v/>
      </c>
      <c r="W2899" s="10">
        <f>IF(AND(ISNUMBER(M2899),ISNUMBER(R2899)),IF(R2899&gt;0,M2899/R2899,""),"")</f>
        <v/>
      </c>
      <c r="X2899" s="10">
        <f>IF(AND(ISNUMBER(Q2899),ISNUMBER(M2899)),IF(M2899&gt;0,Q2899/M2899,""),"")</f>
        <v/>
      </c>
      <c r="Y2899" s="11">
        <f>IF(ISNUMBER(Z2899),YEAR(Z2899),"")</f>
        <v/>
      </c>
      <c r="Z2899" s="12" t="n"/>
      <c r="AA2899" s="12" t="n"/>
      <c r="AI2899" s="12" t="n"/>
      <c r="AJ2899" s="13">
        <f>IF(LEN(TRIM(AF2899))=0,"",HYPERLINK("https://www.google.com/maps/@?api=1&amp;map_action=pano&amp;viewpoint="&amp;SUBSTITUTE(AF2899," ",""),"Abrir Street View"))</f>
        <v/>
      </c>
    </row>
    <row r="2900">
      <c r="H2900" s="6" t="n"/>
      <c r="I2900" s="6" t="n"/>
      <c r="M2900" s="7" t="n"/>
      <c r="N2900" s="7" t="n"/>
      <c r="O2900" s="7" t="n"/>
      <c r="Q2900" s="7" t="n"/>
      <c r="R2900" s="7" t="n"/>
      <c r="S2900" s="8">
        <f>IF(NOT(ISNUMBER(M2900)),"",IF(G2900="Terreno",IF(AND(ISNUMBER(I2900),I2900&gt;0),M2900/I2900,""),IF(AND(ISNUMBER(H2900),H2900&gt;0),M2900/H2900,"")))</f>
        <v/>
      </c>
      <c r="T2900" s="9">
        <f>IF(AND(ISNUMBER(M2900),ISNUMBER(O2900)),IF(M2900&lt;=O2900,"Valor ≤ venal IPTU",""),"")</f>
        <v/>
      </c>
      <c r="U2900" s="10">
        <f>IF(AND(ISNUMBER(M2900),ISNUMBER(N2900)),IF(N2900&gt;0,M2900/N2900,""),"")</f>
        <v/>
      </c>
      <c r="V2900" s="10">
        <f>IF(AND(ISNUMBER(M2900),ISNUMBER(O2900)),IF(O2900&gt;0,M2900/O2900,""),"")</f>
        <v/>
      </c>
      <c r="W2900" s="10">
        <f>IF(AND(ISNUMBER(M2900),ISNUMBER(R2900)),IF(R2900&gt;0,M2900/R2900,""),"")</f>
        <v/>
      </c>
      <c r="X2900" s="10">
        <f>IF(AND(ISNUMBER(Q2900),ISNUMBER(M2900)),IF(M2900&gt;0,Q2900/M2900,""),"")</f>
        <v/>
      </c>
      <c r="Y2900" s="11">
        <f>IF(ISNUMBER(Z2900),YEAR(Z2900),"")</f>
        <v/>
      </c>
      <c r="Z2900" s="12" t="n"/>
      <c r="AA2900" s="12" t="n"/>
      <c r="AI2900" s="12" t="n"/>
      <c r="AJ2900" s="13">
        <f>IF(LEN(TRIM(AF2900))=0,"",HYPERLINK("https://www.google.com/maps/@?api=1&amp;map_action=pano&amp;viewpoint="&amp;SUBSTITUTE(AF2900," ",""),"Abrir Street View"))</f>
        <v/>
      </c>
    </row>
    <row r="2901">
      <c r="H2901" s="6" t="n"/>
      <c r="I2901" s="6" t="n"/>
      <c r="M2901" s="7" t="n"/>
      <c r="N2901" s="7" t="n"/>
      <c r="O2901" s="7" t="n"/>
      <c r="Q2901" s="7" t="n"/>
      <c r="R2901" s="7" t="n"/>
      <c r="S2901" s="8">
        <f>IF(NOT(ISNUMBER(M2901)),"",IF(G2901="Terreno",IF(AND(ISNUMBER(I2901),I2901&gt;0),M2901/I2901,""),IF(AND(ISNUMBER(H2901),H2901&gt;0),M2901/H2901,"")))</f>
        <v/>
      </c>
      <c r="T2901" s="9">
        <f>IF(AND(ISNUMBER(M2901),ISNUMBER(O2901)),IF(M2901&lt;=O2901,"Valor ≤ venal IPTU",""),"")</f>
        <v/>
      </c>
      <c r="U2901" s="10">
        <f>IF(AND(ISNUMBER(M2901),ISNUMBER(N2901)),IF(N2901&gt;0,M2901/N2901,""),"")</f>
        <v/>
      </c>
      <c r="V2901" s="10">
        <f>IF(AND(ISNUMBER(M2901),ISNUMBER(O2901)),IF(O2901&gt;0,M2901/O2901,""),"")</f>
        <v/>
      </c>
      <c r="W2901" s="10">
        <f>IF(AND(ISNUMBER(M2901),ISNUMBER(R2901)),IF(R2901&gt;0,M2901/R2901,""),"")</f>
        <v/>
      </c>
      <c r="X2901" s="10">
        <f>IF(AND(ISNUMBER(Q2901),ISNUMBER(M2901)),IF(M2901&gt;0,Q2901/M2901,""),"")</f>
        <v/>
      </c>
      <c r="Y2901" s="11">
        <f>IF(ISNUMBER(Z2901),YEAR(Z2901),"")</f>
        <v/>
      </c>
      <c r="Z2901" s="12" t="n"/>
      <c r="AA2901" s="12" t="n"/>
      <c r="AI2901" s="12" t="n"/>
      <c r="AJ2901" s="13">
        <f>IF(LEN(TRIM(AF2901))=0,"",HYPERLINK("https://www.google.com/maps/@?api=1&amp;map_action=pano&amp;viewpoint="&amp;SUBSTITUTE(AF2901," ",""),"Abrir Street View"))</f>
        <v/>
      </c>
    </row>
    <row r="2902">
      <c r="H2902" s="6" t="n"/>
      <c r="I2902" s="6" t="n"/>
      <c r="M2902" s="7" t="n"/>
      <c r="N2902" s="7" t="n"/>
      <c r="O2902" s="7" t="n"/>
      <c r="Q2902" s="7" t="n"/>
      <c r="R2902" s="7" t="n"/>
      <c r="S2902" s="8">
        <f>IF(NOT(ISNUMBER(M2902)),"",IF(G2902="Terreno",IF(AND(ISNUMBER(I2902),I2902&gt;0),M2902/I2902,""),IF(AND(ISNUMBER(H2902),H2902&gt;0),M2902/H2902,"")))</f>
        <v/>
      </c>
      <c r="T2902" s="9">
        <f>IF(AND(ISNUMBER(M2902),ISNUMBER(O2902)),IF(M2902&lt;=O2902,"Valor ≤ venal IPTU",""),"")</f>
        <v/>
      </c>
      <c r="U2902" s="10">
        <f>IF(AND(ISNUMBER(M2902),ISNUMBER(N2902)),IF(N2902&gt;0,M2902/N2902,""),"")</f>
        <v/>
      </c>
      <c r="V2902" s="10">
        <f>IF(AND(ISNUMBER(M2902),ISNUMBER(O2902)),IF(O2902&gt;0,M2902/O2902,""),"")</f>
        <v/>
      </c>
      <c r="W2902" s="10">
        <f>IF(AND(ISNUMBER(M2902),ISNUMBER(R2902)),IF(R2902&gt;0,M2902/R2902,""),"")</f>
        <v/>
      </c>
      <c r="X2902" s="10">
        <f>IF(AND(ISNUMBER(Q2902),ISNUMBER(M2902)),IF(M2902&gt;0,Q2902/M2902,""),"")</f>
        <v/>
      </c>
      <c r="Y2902" s="11">
        <f>IF(ISNUMBER(Z2902),YEAR(Z2902),"")</f>
        <v/>
      </c>
      <c r="Z2902" s="12" t="n"/>
      <c r="AA2902" s="12" t="n"/>
      <c r="AI2902" s="12" t="n"/>
      <c r="AJ2902" s="13">
        <f>IF(LEN(TRIM(AF2902))=0,"",HYPERLINK("https://www.google.com/maps/@?api=1&amp;map_action=pano&amp;viewpoint="&amp;SUBSTITUTE(AF2902," ",""),"Abrir Street View"))</f>
        <v/>
      </c>
    </row>
    <row r="2903">
      <c r="H2903" s="6" t="n"/>
      <c r="I2903" s="6" t="n"/>
      <c r="M2903" s="7" t="n"/>
      <c r="N2903" s="7" t="n"/>
      <c r="O2903" s="7" t="n"/>
      <c r="Q2903" s="7" t="n"/>
      <c r="R2903" s="7" t="n"/>
      <c r="S2903" s="8">
        <f>IF(NOT(ISNUMBER(M2903)),"",IF(G2903="Terreno",IF(AND(ISNUMBER(I2903),I2903&gt;0),M2903/I2903,""),IF(AND(ISNUMBER(H2903),H2903&gt;0),M2903/H2903,"")))</f>
        <v/>
      </c>
      <c r="T2903" s="9">
        <f>IF(AND(ISNUMBER(M2903),ISNUMBER(O2903)),IF(M2903&lt;=O2903,"Valor ≤ venal IPTU",""),"")</f>
        <v/>
      </c>
      <c r="U2903" s="10">
        <f>IF(AND(ISNUMBER(M2903),ISNUMBER(N2903)),IF(N2903&gt;0,M2903/N2903,""),"")</f>
        <v/>
      </c>
      <c r="V2903" s="10">
        <f>IF(AND(ISNUMBER(M2903),ISNUMBER(O2903)),IF(O2903&gt;0,M2903/O2903,""),"")</f>
        <v/>
      </c>
      <c r="W2903" s="10">
        <f>IF(AND(ISNUMBER(M2903),ISNUMBER(R2903)),IF(R2903&gt;0,M2903/R2903,""),"")</f>
        <v/>
      </c>
      <c r="X2903" s="10">
        <f>IF(AND(ISNUMBER(Q2903),ISNUMBER(M2903)),IF(M2903&gt;0,Q2903/M2903,""),"")</f>
        <v/>
      </c>
      <c r="Y2903" s="11">
        <f>IF(ISNUMBER(Z2903),YEAR(Z2903),"")</f>
        <v/>
      </c>
      <c r="Z2903" s="12" t="n"/>
      <c r="AA2903" s="12" t="n"/>
      <c r="AI2903" s="12" t="n"/>
      <c r="AJ2903" s="13">
        <f>IF(LEN(TRIM(AF2903))=0,"",HYPERLINK("https://www.google.com/maps/@?api=1&amp;map_action=pano&amp;viewpoint="&amp;SUBSTITUTE(AF2903," ",""),"Abrir Street View"))</f>
        <v/>
      </c>
    </row>
    <row r="2904">
      <c r="H2904" s="6" t="n"/>
      <c r="I2904" s="6" t="n"/>
      <c r="M2904" s="7" t="n"/>
      <c r="N2904" s="7" t="n"/>
      <c r="O2904" s="7" t="n"/>
      <c r="Q2904" s="7" t="n"/>
      <c r="R2904" s="7" t="n"/>
      <c r="S2904" s="8">
        <f>IF(NOT(ISNUMBER(M2904)),"",IF(G2904="Terreno",IF(AND(ISNUMBER(I2904),I2904&gt;0),M2904/I2904,""),IF(AND(ISNUMBER(H2904),H2904&gt;0),M2904/H2904,"")))</f>
        <v/>
      </c>
      <c r="T2904" s="9">
        <f>IF(AND(ISNUMBER(M2904),ISNUMBER(O2904)),IF(M2904&lt;=O2904,"Valor ≤ venal IPTU",""),"")</f>
        <v/>
      </c>
      <c r="U2904" s="10">
        <f>IF(AND(ISNUMBER(M2904),ISNUMBER(N2904)),IF(N2904&gt;0,M2904/N2904,""),"")</f>
        <v/>
      </c>
      <c r="V2904" s="10">
        <f>IF(AND(ISNUMBER(M2904),ISNUMBER(O2904)),IF(O2904&gt;0,M2904/O2904,""),"")</f>
        <v/>
      </c>
      <c r="W2904" s="10">
        <f>IF(AND(ISNUMBER(M2904),ISNUMBER(R2904)),IF(R2904&gt;0,M2904/R2904,""),"")</f>
        <v/>
      </c>
      <c r="X2904" s="10">
        <f>IF(AND(ISNUMBER(Q2904),ISNUMBER(M2904)),IF(M2904&gt;0,Q2904/M2904,""),"")</f>
        <v/>
      </c>
      <c r="Y2904" s="11">
        <f>IF(ISNUMBER(Z2904),YEAR(Z2904),"")</f>
        <v/>
      </c>
      <c r="Z2904" s="12" t="n"/>
      <c r="AA2904" s="12" t="n"/>
      <c r="AI2904" s="12" t="n"/>
      <c r="AJ2904" s="13">
        <f>IF(LEN(TRIM(AF2904))=0,"",HYPERLINK("https://www.google.com/maps/@?api=1&amp;map_action=pano&amp;viewpoint="&amp;SUBSTITUTE(AF2904," ",""),"Abrir Street View"))</f>
        <v/>
      </c>
    </row>
    <row r="2905">
      <c r="H2905" s="6" t="n"/>
      <c r="I2905" s="6" t="n"/>
      <c r="M2905" s="7" t="n"/>
      <c r="N2905" s="7" t="n"/>
      <c r="O2905" s="7" t="n"/>
      <c r="Q2905" s="7" t="n"/>
      <c r="R2905" s="7" t="n"/>
      <c r="S2905" s="8">
        <f>IF(NOT(ISNUMBER(M2905)),"",IF(G2905="Terreno",IF(AND(ISNUMBER(I2905),I2905&gt;0),M2905/I2905,""),IF(AND(ISNUMBER(H2905),H2905&gt;0),M2905/H2905,"")))</f>
        <v/>
      </c>
      <c r="T2905" s="9">
        <f>IF(AND(ISNUMBER(M2905),ISNUMBER(O2905)),IF(M2905&lt;=O2905,"Valor ≤ venal IPTU",""),"")</f>
        <v/>
      </c>
      <c r="U2905" s="10">
        <f>IF(AND(ISNUMBER(M2905),ISNUMBER(N2905)),IF(N2905&gt;0,M2905/N2905,""),"")</f>
        <v/>
      </c>
      <c r="V2905" s="10">
        <f>IF(AND(ISNUMBER(M2905),ISNUMBER(O2905)),IF(O2905&gt;0,M2905/O2905,""),"")</f>
        <v/>
      </c>
      <c r="W2905" s="10">
        <f>IF(AND(ISNUMBER(M2905),ISNUMBER(R2905)),IF(R2905&gt;0,M2905/R2905,""),"")</f>
        <v/>
      </c>
      <c r="X2905" s="10">
        <f>IF(AND(ISNUMBER(Q2905),ISNUMBER(M2905)),IF(M2905&gt;0,Q2905/M2905,""),"")</f>
        <v/>
      </c>
      <c r="Y2905" s="11">
        <f>IF(ISNUMBER(Z2905),YEAR(Z2905),"")</f>
        <v/>
      </c>
      <c r="Z2905" s="12" t="n"/>
      <c r="AA2905" s="12" t="n"/>
      <c r="AI2905" s="12" t="n"/>
      <c r="AJ2905" s="13">
        <f>IF(LEN(TRIM(AF2905))=0,"",HYPERLINK("https://www.google.com/maps/@?api=1&amp;map_action=pano&amp;viewpoint="&amp;SUBSTITUTE(AF2905," ",""),"Abrir Street View"))</f>
        <v/>
      </c>
    </row>
    <row r="2906">
      <c r="H2906" s="6" t="n"/>
      <c r="I2906" s="6" t="n"/>
      <c r="M2906" s="7" t="n"/>
      <c r="N2906" s="7" t="n"/>
      <c r="O2906" s="7" t="n"/>
      <c r="Q2906" s="7" t="n"/>
      <c r="R2906" s="7" t="n"/>
      <c r="S2906" s="8">
        <f>IF(NOT(ISNUMBER(M2906)),"",IF(G2906="Terreno",IF(AND(ISNUMBER(I2906),I2906&gt;0),M2906/I2906,""),IF(AND(ISNUMBER(H2906),H2906&gt;0),M2906/H2906,"")))</f>
        <v/>
      </c>
      <c r="T2906" s="9">
        <f>IF(AND(ISNUMBER(M2906),ISNUMBER(O2906)),IF(M2906&lt;=O2906,"Valor ≤ venal IPTU",""),"")</f>
        <v/>
      </c>
      <c r="U2906" s="10">
        <f>IF(AND(ISNUMBER(M2906),ISNUMBER(N2906)),IF(N2906&gt;0,M2906/N2906,""),"")</f>
        <v/>
      </c>
      <c r="V2906" s="10">
        <f>IF(AND(ISNUMBER(M2906),ISNUMBER(O2906)),IF(O2906&gt;0,M2906/O2906,""),"")</f>
        <v/>
      </c>
      <c r="W2906" s="10">
        <f>IF(AND(ISNUMBER(M2906),ISNUMBER(R2906)),IF(R2906&gt;0,M2906/R2906,""),"")</f>
        <v/>
      </c>
      <c r="X2906" s="10">
        <f>IF(AND(ISNUMBER(Q2906),ISNUMBER(M2906)),IF(M2906&gt;0,Q2906/M2906,""),"")</f>
        <v/>
      </c>
      <c r="Y2906" s="11">
        <f>IF(ISNUMBER(Z2906),YEAR(Z2906),"")</f>
        <v/>
      </c>
      <c r="Z2906" s="12" t="n"/>
      <c r="AA2906" s="12" t="n"/>
      <c r="AI2906" s="12" t="n"/>
      <c r="AJ2906" s="13">
        <f>IF(LEN(TRIM(AF2906))=0,"",HYPERLINK("https://www.google.com/maps/@?api=1&amp;map_action=pano&amp;viewpoint="&amp;SUBSTITUTE(AF2906," ",""),"Abrir Street View"))</f>
        <v/>
      </c>
    </row>
    <row r="2907">
      <c r="H2907" s="6" t="n"/>
      <c r="I2907" s="6" t="n"/>
      <c r="M2907" s="7" t="n"/>
      <c r="N2907" s="7" t="n"/>
      <c r="O2907" s="7" t="n"/>
      <c r="Q2907" s="7" t="n"/>
      <c r="R2907" s="7" t="n"/>
      <c r="S2907" s="8">
        <f>IF(NOT(ISNUMBER(M2907)),"",IF(G2907="Terreno",IF(AND(ISNUMBER(I2907),I2907&gt;0),M2907/I2907,""),IF(AND(ISNUMBER(H2907),H2907&gt;0),M2907/H2907,"")))</f>
        <v/>
      </c>
      <c r="T2907" s="9">
        <f>IF(AND(ISNUMBER(M2907),ISNUMBER(O2907)),IF(M2907&lt;=O2907,"Valor ≤ venal IPTU",""),"")</f>
        <v/>
      </c>
      <c r="U2907" s="10">
        <f>IF(AND(ISNUMBER(M2907),ISNUMBER(N2907)),IF(N2907&gt;0,M2907/N2907,""),"")</f>
        <v/>
      </c>
      <c r="V2907" s="10">
        <f>IF(AND(ISNUMBER(M2907),ISNUMBER(O2907)),IF(O2907&gt;0,M2907/O2907,""),"")</f>
        <v/>
      </c>
      <c r="W2907" s="10">
        <f>IF(AND(ISNUMBER(M2907),ISNUMBER(R2907)),IF(R2907&gt;0,M2907/R2907,""),"")</f>
        <v/>
      </c>
      <c r="X2907" s="10">
        <f>IF(AND(ISNUMBER(Q2907),ISNUMBER(M2907)),IF(M2907&gt;0,Q2907/M2907,""),"")</f>
        <v/>
      </c>
      <c r="Y2907" s="11">
        <f>IF(ISNUMBER(Z2907),YEAR(Z2907),"")</f>
        <v/>
      </c>
      <c r="Z2907" s="12" t="n"/>
      <c r="AA2907" s="12" t="n"/>
      <c r="AI2907" s="12" t="n"/>
      <c r="AJ2907" s="13">
        <f>IF(LEN(TRIM(AF2907))=0,"",HYPERLINK("https://www.google.com/maps/@?api=1&amp;map_action=pano&amp;viewpoint="&amp;SUBSTITUTE(AF2907," ",""),"Abrir Street View"))</f>
        <v/>
      </c>
    </row>
    <row r="2908">
      <c r="H2908" s="6" t="n"/>
      <c r="I2908" s="6" t="n"/>
      <c r="M2908" s="7" t="n"/>
      <c r="N2908" s="7" t="n"/>
      <c r="O2908" s="7" t="n"/>
      <c r="Q2908" s="7" t="n"/>
      <c r="R2908" s="7" t="n"/>
      <c r="S2908" s="8">
        <f>IF(NOT(ISNUMBER(M2908)),"",IF(G2908="Terreno",IF(AND(ISNUMBER(I2908),I2908&gt;0),M2908/I2908,""),IF(AND(ISNUMBER(H2908),H2908&gt;0),M2908/H2908,"")))</f>
        <v/>
      </c>
      <c r="T2908" s="9">
        <f>IF(AND(ISNUMBER(M2908),ISNUMBER(O2908)),IF(M2908&lt;=O2908,"Valor ≤ venal IPTU",""),"")</f>
        <v/>
      </c>
      <c r="U2908" s="10">
        <f>IF(AND(ISNUMBER(M2908),ISNUMBER(N2908)),IF(N2908&gt;0,M2908/N2908,""),"")</f>
        <v/>
      </c>
      <c r="V2908" s="10">
        <f>IF(AND(ISNUMBER(M2908),ISNUMBER(O2908)),IF(O2908&gt;0,M2908/O2908,""),"")</f>
        <v/>
      </c>
      <c r="W2908" s="10">
        <f>IF(AND(ISNUMBER(M2908),ISNUMBER(R2908)),IF(R2908&gt;0,M2908/R2908,""),"")</f>
        <v/>
      </c>
      <c r="X2908" s="10">
        <f>IF(AND(ISNUMBER(Q2908),ISNUMBER(M2908)),IF(M2908&gt;0,Q2908/M2908,""),"")</f>
        <v/>
      </c>
      <c r="Y2908" s="11">
        <f>IF(ISNUMBER(Z2908),YEAR(Z2908),"")</f>
        <v/>
      </c>
      <c r="Z2908" s="12" t="n"/>
      <c r="AA2908" s="12" t="n"/>
      <c r="AI2908" s="12" t="n"/>
      <c r="AJ2908" s="13">
        <f>IF(LEN(TRIM(AF2908))=0,"",HYPERLINK("https://www.google.com/maps/@?api=1&amp;map_action=pano&amp;viewpoint="&amp;SUBSTITUTE(AF2908," ",""),"Abrir Street View"))</f>
        <v/>
      </c>
    </row>
    <row r="2909">
      <c r="H2909" s="6" t="n"/>
      <c r="I2909" s="6" t="n"/>
      <c r="M2909" s="7" t="n"/>
      <c r="N2909" s="7" t="n"/>
      <c r="O2909" s="7" t="n"/>
      <c r="Q2909" s="7" t="n"/>
      <c r="R2909" s="7" t="n"/>
      <c r="S2909" s="8">
        <f>IF(NOT(ISNUMBER(M2909)),"",IF(G2909="Terreno",IF(AND(ISNUMBER(I2909),I2909&gt;0),M2909/I2909,""),IF(AND(ISNUMBER(H2909),H2909&gt;0),M2909/H2909,"")))</f>
        <v/>
      </c>
      <c r="T2909" s="9">
        <f>IF(AND(ISNUMBER(M2909),ISNUMBER(O2909)),IF(M2909&lt;=O2909,"Valor ≤ venal IPTU",""),"")</f>
        <v/>
      </c>
      <c r="U2909" s="10">
        <f>IF(AND(ISNUMBER(M2909),ISNUMBER(N2909)),IF(N2909&gt;0,M2909/N2909,""),"")</f>
        <v/>
      </c>
      <c r="V2909" s="10">
        <f>IF(AND(ISNUMBER(M2909),ISNUMBER(O2909)),IF(O2909&gt;0,M2909/O2909,""),"")</f>
        <v/>
      </c>
      <c r="W2909" s="10">
        <f>IF(AND(ISNUMBER(M2909),ISNUMBER(R2909)),IF(R2909&gt;0,M2909/R2909,""),"")</f>
        <v/>
      </c>
      <c r="X2909" s="10">
        <f>IF(AND(ISNUMBER(Q2909),ISNUMBER(M2909)),IF(M2909&gt;0,Q2909/M2909,""),"")</f>
        <v/>
      </c>
      <c r="Y2909" s="11">
        <f>IF(ISNUMBER(Z2909),YEAR(Z2909),"")</f>
        <v/>
      </c>
      <c r="Z2909" s="12" t="n"/>
      <c r="AA2909" s="12" t="n"/>
      <c r="AI2909" s="12" t="n"/>
      <c r="AJ2909" s="13">
        <f>IF(LEN(TRIM(AF2909))=0,"",HYPERLINK("https://www.google.com/maps/@?api=1&amp;map_action=pano&amp;viewpoint="&amp;SUBSTITUTE(AF2909," ",""),"Abrir Street View"))</f>
        <v/>
      </c>
    </row>
    <row r="2910">
      <c r="H2910" s="6" t="n"/>
      <c r="I2910" s="6" t="n"/>
      <c r="M2910" s="7" t="n"/>
      <c r="N2910" s="7" t="n"/>
      <c r="O2910" s="7" t="n"/>
      <c r="Q2910" s="7" t="n"/>
      <c r="R2910" s="7" t="n"/>
      <c r="S2910" s="8">
        <f>IF(NOT(ISNUMBER(M2910)),"",IF(G2910="Terreno",IF(AND(ISNUMBER(I2910),I2910&gt;0),M2910/I2910,""),IF(AND(ISNUMBER(H2910),H2910&gt;0),M2910/H2910,"")))</f>
        <v/>
      </c>
      <c r="T2910" s="9">
        <f>IF(AND(ISNUMBER(M2910),ISNUMBER(O2910)),IF(M2910&lt;=O2910,"Valor ≤ venal IPTU",""),"")</f>
        <v/>
      </c>
      <c r="U2910" s="10">
        <f>IF(AND(ISNUMBER(M2910),ISNUMBER(N2910)),IF(N2910&gt;0,M2910/N2910,""),"")</f>
        <v/>
      </c>
      <c r="V2910" s="10">
        <f>IF(AND(ISNUMBER(M2910),ISNUMBER(O2910)),IF(O2910&gt;0,M2910/O2910,""),"")</f>
        <v/>
      </c>
      <c r="W2910" s="10">
        <f>IF(AND(ISNUMBER(M2910),ISNUMBER(R2910)),IF(R2910&gt;0,M2910/R2910,""),"")</f>
        <v/>
      </c>
      <c r="X2910" s="10">
        <f>IF(AND(ISNUMBER(Q2910),ISNUMBER(M2910)),IF(M2910&gt;0,Q2910/M2910,""),"")</f>
        <v/>
      </c>
      <c r="Y2910" s="11">
        <f>IF(ISNUMBER(Z2910),YEAR(Z2910),"")</f>
        <v/>
      </c>
      <c r="Z2910" s="12" t="n"/>
      <c r="AA2910" s="12" t="n"/>
      <c r="AI2910" s="12" t="n"/>
      <c r="AJ2910" s="13">
        <f>IF(LEN(TRIM(AF2910))=0,"",HYPERLINK("https://www.google.com/maps/@?api=1&amp;map_action=pano&amp;viewpoint="&amp;SUBSTITUTE(AF2910," ",""),"Abrir Street View"))</f>
        <v/>
      </c>
    </row>
    <row r="2911">
      <c r="H2911" s="6" t="n"/>
      <c r="I2911" s="6" t="n"/>
      <c r="M2911" s="7" t="n"/>
      <c r="N2911" s="7" t="n"/>
      <c r="O2911" s="7" t="n"/>
      <c r="Q2911" s="7" t="n"/>
      <c r="R2911" s="7" t="n"/>
      <c r="S2911" s="8">
        <f>IF(NOT(ISNUMBER(M2911)),"",IF(G2911="Terreno",IF(AND(ISNUMBER(I2911),I2911&gt;0),M2911/I2911,""),IF(AND(ISNUMBER(H2911),H2911&gt;0),M2911/H2911,"")))</f>
        <v/>
      </c>
      <c r="T2911" s="9">
        <f>IF(AND(ISNUMBER(M2911),ISNUMBER(O2911)),IF(M2911&lt;=O2911,"Valor ≤ venal IPTU",""),"")</f>
        <v/>
      </c>
      <c r="U2911" s="10">
        <f>IF(AND(ISNUMBER(M2911),ISNUMBER(N2911)),IF(N2911&gt;0,M2911/N2911,""),"")</f>
        <v/>
      </c>
      <c r="V2911" s="10">
        <f>IF(AND(ISNUMBER(M2911),ISNUMBER(O2911)),IF(O2911&gt;0,M2911/O2911,""),"")</f>
        <v/>
      </c>
      <c r="W2911" s="10">
        <f>IF(AND(ISNUMBER(M2911),ISNUMBER(R2911)),IF(R2911&gt;0,M2911/R2911,""),"")</f>
        <v/>
      </c>
      <c r="X2911" s="10">
        <f>IF(AND(ISNUMBER(Q2911),ISNUMBER(M2911)),IF(M2911&gt;0,Q2911/M2911,""),"")</f>
        <v/>
      </c>
      <c r="Y2911" s="11">
        <f>IF(ISNUMBER(Z2911),YEAR(Z2911),"")</f>
        <v/>
      </c>
      <c r="Z2911" s="12" t="n"/>
      <c r="AA2911" s="12" t="n"/>
      <c r="AI2911" s="12" t="n"/>
      <c r="AJ2911" s="13">
        <f>IF(LEN(TRIM(AF2911))=0,"",HYPERLINK("https://www.google.com/maps/@?api=1&amp;map_action=pano&amp;viewpoint="&amp;SUBSTITUTE(AF2911," ",""),"Abrir Street View"))</f>
        <v/>
      </c>
    </row>
    <row r="2912">
      <c r="H2912" s="6" t="n"/>
      <c r="I2912" s="6" t="n"/>
      <c r="M2912" s="7" t="n"/>
      <c r="N2912" s="7" t="n"/>
      <c r="O2912" s="7" t="n"/>
      <c r="Q2912" s="7" t="n"/>
      <c r="R2912" s="7" t="n"/>
      <c r="S2912" s="8">
        <f>IF(NOT(ISNUMBER(M2912)),"",IF(G2912="Terreno",IF(AND(ISNUMBER(I2912),I2912&gt;0),M2912/I2912,""),IF(AND(ISNUMBER(H2912),H2912&gt;0),M2912/H2912,"")))</f>
        <v/>
      </c>
      <c r="T2912" s="9">
        <f>IF(AND(ISNUMBER(M2912),ISNUMBER(O2912)),IF(M2912&lt;=O2912,"Valor ≤ venal IPTU",""),"")</f>
        <v/>
      </c>
      <c r="U2912" s="10">
        <f>IF(AND(ISNUMBER(M2912),ISNUMBER(N2912)),IF(N2912&gt;0,M2912/N2912,""),"")</f>
        <v/>
      </c>
      <c r="V2912" s="10">
        <f>IF(AND(ISNUMBER(M2912),ISNUMBER(O2912)),IF(O2912&gt;0,M2912/O2912,""),"")</f>
        <v/>
      </c>
      <c r="W2912" s="10">
        <f>IF(AND(ISNUMBER(M2912),ISNUMBER(R2912)),IF(R2912&gt;0,M2912/R2912,""),"")</f>
        <v/>
      </c>
      <c r="X2912" s="10">
        <f>IF(AND(ISNUMBER(Q2912),ISNUMBER(M2912)),IF(M2912&gt;0,Q2912/M2912,""),"")</f>
        <v/>
      </c>
      <c r="Y2912" s="11">
        <f>IF(ISNUMBER(Z2912),YEAR(Z2912),"")</f>
        <v/>
      </c>
      <c r="Z2912" s="12" t="n"/>
      <c r="AA2912" s="12" t="n"/>
      <c r="AI2912" s="12" t="n"/>
      <c r="AJ2912" s="13">
        <f>IF(LEN(TRIM(AF2912))=0,"",HYPERLINK("https://www.google.com/maps/@?api=1&amp;map_action=pano&amp;viewpoint="&amp;SUBSTITUTE(AF2912," ",""),"Abrir Street View"))</f>
        <v/>
      </c>
    </row>
    <row r="2913">
      <c r="H2913" s="6" t="n"/>
      <c r="I2913" s="6" t="n"/>
      <c r="M2913" s="7" t="n"/>
      <c r="N2913" s="7" t="n"/>
      <c r="O2913" s="7" t="n"/>
      <c r="Q2913" s="7" t="n"/>
      <c r="R2913" s="7" t="n"/>
      <c r="S2913" s="8">
        <f>IF(NOT(ISNUMBER(M2913)),"",IF(G2913="Terreno",IF(AND(ISNUMBER(I2913),I2913&gt;0),M2913/I2913,""),IF(AND(ISNUMBER(H2913),H2913&gt;0),M2913/H2913,"")))</f>
        <v/>
      </c>
      <c r="T2913" s="9">
        <f>IF(AND(ISNUMBER(M2913),ISNUMBER(O2913)),IF(M2913&lt;=O2913,"Valor ≤ venal IPTU",""),"")</f>
        <v/>
      </c>
      <c r="U2913" s="10">
        <f>IF(AND(ISNUMBER(M2913),ISNUMBER(N2913)),IF(N2913&gt;0,M2913/N2913,""),"")</f>
        <v/>
      </c>
      <c r="V2913" s="10">
        <f>IF(AND(ISNUMBER(M2913),ISNUMBER(O2913)),IF(O2913&gt;0,M2913/O2913,""),"")</f>
        <v/>
      </c>
      <c r="W2913" s="10">
        <f>IF(AND(ISNUMBER(M2913),ISNUMBER(R2913)),IF(R2913&gt;0,M2913/R2913,""),"")</f>
        <v/>
      </c>
      <c r="X2913" s="10">
        <f>IF(AND(ISNUMBER(Q2913),ISNUMBER(M2913)),IF(M2913&gt;0,Q2913/M2913,""),"")</f>
        <v/>
      </c>
      <c r="Y2913" s="11">
        <f>IF(ISNUMBER(Z2913),YEAR(Z2913),"")</f>
        <v/>
      </c>
      <c r="Z2913" s="12" t="n"/>
      <c r="AA2913" s="12" t="n"/>
      <c r="AI2913" s="12" t="n"/>
      <c r="AJ2913" s="13">
        <f>IF(LEN(TRIM(AF2913))=0,"",HYPERLINK("https://www.google.com/maps/@?api=1&amp;map_action=pano&amp;viewpoint="&amp;SUBSTITUTE(AF2913," ",""),"Abrir Street View"))</f>
        <v/>
      </c>
    </row>
    <row r="2914">
      <c r="H2914" s="6" t="n"/>
      <c r="I2914" s="6" t="n"/>
      <c r="M2914" s="7" t="n"/>
      <c r="N2914" s="7" t="n"/>
      <c r="O2914" s="7" t="n"/>
      <c r="Q2914" s="7" t="n"/>
      <c r="R2914" s="7" t="n"/>
      <c r="S2914" s="8">
        <f>IF(NOT(ISNUMBER(M2914)),"",IF(G2914="Terreno",IF(AND(ISNUMBER(I2914),I2914&gt;0),M2914/I2914,""),IF(AND(ISNUMBER(H2914),H2914&gt;0),M2914/H2914,"")))</f>
        <v/>
      </c>
      <c r="T2914" s="9">
        <f>IF(AND(ISNUMBER(M2914),ISNUMBER(O2914)),IF(M2914&lt;=O2914,"Valor ≤ venal IPTU",""),"")</f>
        <v/>
      </c>
      <c r="U2914" s="10">
        <f>IF(AND(ISNUMBER(M2914),ISNUMBER(N2914)),IF(N2914&gt;0,M2914/N2914,""),"")</f>
        <v/>
      </c>
      <c r="V2914" s="10">
        <f>IF(AND(ISNUMBER(M2914),ISNUMBER(O2914)),IF(O2914&gt;0,M2914/O2914,""),"")</f>
        <v/>
      </c>
      <c r="W2914" s="10">
        <f>IF(AND(ISNUMBER(M2914),ISNUMBER(R2914)),IF(R2914&gt;0,M2914/R2914,""),"")</f>
        <v/>
      </c>
      <c r="X2914" s="10">
        <f>IF(AND(ISNUMBER(Q2914),ISNUMBER(M2914)),IF(M2914&gt;0,Q2914/M2914,""),"")</f>
        <v/>
      </c>
      <c r="Y2914" s="11">
        <f>IF(ISNUMBER(Z2914),YEAR(Z2914),"")</f>
        <v/>
      </c>
      <c r="Z2914" s="12" t="n"/>
      <c r="AA2914" s="12" t="n"/>
      <c r="AI2914" s="12" t="n"/>
      <c r="AJ2914" s="13">
        <f>IF(LEN(TRIM(AF2914))=0,"",HYPERLINK("https://www.google.com/maps/@?api=1&amp;map_action=pano&amp;viewpoint="&amp;SUBSTITUTE(AF2914," ",""),"Abrir Street View"))</f>
        <v/>
      </c>
    </row>
    <row r="2915">
      <c r="H2915" s="6" t="n"/>
      <c r="I2915" s="6" t="n"/>
      <c r="M2915" s="7" t="n"/>
      <c r="N2915" s="7" t="n"/>
      <c r="O2915" s="7" t="n"/>
      <c r="Q2915" s="7" t="n"/>
      <c r="R2915" s="7" t="n"/>
      <c r="S2915" s="8">
        <f>IF(NOT(ISNUMBER(M2915)),"",IF(G2915="Terreno",IF(AND(ISNUMBER(I2915),I2915&gt;0),M2915/I2915,""),IF(AND(ISNUMBER(H2915),H2915&gt;0),M2915/H2915,"")))</f>
        <v/>
      </c>
      <c r="T2915" s="9">
        <f>IF(AND(ISNUMBER(M2915),ISNUMBER(O2915)),IF(M2915&lt;=O2915,"Valor ≤ venal IPTU",""),"")</f>
        <v/>
      </c>
      <c r="U2915" s="10">
        <f>IF(AND(ISNUMBER(M2915),ISNUMBER(N2915)),IF(N2915&gt;0,M2915/N2915,""),"")</f>
        <v/>
      </c>
      <c r="V2915" s="10">
        <f>IF(AND(ISNUMBER(M2915),ISNUMBER(O2915)),IF(O2915&gt;0,M2915/O2915,""),"")</f>
        <v/>
      </c>
      <c r="W2915" s="10">
        <f>IF(AND(ISNUMBER(M2915),ISNUMBER(R2915)),IF(R2915&gt;0,M2915/R2915,""),"")</f>
        <v/>
      </c>
      <c r="X2915" s="10">
        <f>IF(AND(ISNUMBER(Q2915),ISNUMBER(M2915)),IF(M2915&gt;0,Q2915/M2915,""),"")</f>
        <v/>
      </c>
      <c r="Y2915" s="11">
        <f>IF(ISNUMBER(Z2915),YEAR(Z2915),"")</f>
        <v/>
      </c>
      <c r="Z2915" s="12" t="n"/>
      <c r="AA2915" s="12" t="n"/>
      <c r="AI2915" s="12" t="n"/>
      <c r="AJ2915" s="13">
        <f>IF(LEN(TRIM(AF2915))=0,"",HYPERLINK("https://www.google.com/maps/@?api=1&amp;map_action=pano&amp;viewpoint="&amp;SUBSTITUTE(AF2915," ",""),"Abrir Street View"))</f>
        <v/>
      </c>
    </row>
    <row r="2916">
      <c r="H2916" s="6" t="n"/>
      <c r="I2916" s="6" t="n"/>
      <c r="M2916" s="7" t="n"/>
      <c r="N2916" s="7" t="n"/>
      <c r="O2916" s="7" t="n"/>
      <c r="Q2916" s="7" t="n"/>
      <c r="R2916" s="7" t="n"/>
      <c r="S2916" s="8">
        <f>IF(NOT(ISNUMBER(M2916)),"",IF(G2916="Terreno",IF(AND(ISNUMBER(I2916),I2916&gt;0),M2916/I2916,""),IF(AND(ISNUMBER(H2916),H2916&gt;0),M2916/H2916,"")))</f>
        <v/>
      </c>
      <c r="T2916" s="9">
        <f>IF(AND(ISNUMBER(M2916),ISNUMBER(O2916)),IF(M2916&lt;=O2916,"Valor ≤ venal IPTU",""),"")</f>
        <v/>
      </c>
      <c r="U2916" s="10">
        <f>IF(AND(ISNUMBER(M2916),ISNUMBER(N2916)),IF(N2916&gt;0,M2916/N2916,""),"")</f>
        <v/>
      </c>
      <c r="V2916" s="10">
        <f>IF(AND(ISNUMBER(M2916),ISNUMBER(O2916)),IF(O2916&gt;0,M2916/O2916,""),"")</f>
        <v/>
      </c>
      <c r="W2916" s="10">
        <f>IF(AND(ISNUMBER(M2916),ISNUMBER(R2916)),IF(R2916&gt;0,M2916/R2916,""),"")</f>
        <v/>
      </c>
      <c r="X2916" s="10">
        <f>IF(AND(ISNUMBER(Q2916),ISNUMBER(M2916)),IF(M2916&gt;0,Q2916/M2916,""),"")</f>
        <v/>
      </c>
      <c r="Y2916" s="11">
        <f>IF(ISNUMBER(Z2916),YEAR(Z2916),"")</f>
        <v/>
      </c>
      <c r="Z2916" s="12" t="n"/>
      <c r="AA2916" s="12" t="n"/>
      <c r="AI2916" s="12" t="n"/>
      <c r="AJ2916" s="13">
        <f>IF(LEN(TRIM(AF2916))=0,"",HYPERLINK("https://www.google.com/maps/@?api=1&amp;map_action=pano&amp;viewpoint="&amp;SUBSTITUTE(AF2916," ",""),"Abrir Street View"))</f>
        <v/>
      </c>
    </row>
    <row r="2917">
      <c r="H2917" s="6" t="n"/>
      <c r="I2917" s="6" t="n"/>
      <c r="M2917" s="7" t="n"/>
      <c r="N2917" s="7" t="n"/>
      <c r="O2917" s="7" t="n"/>
      <c r="Q2917" s="7" t="n"/>
      <c r="R2917" s="7" t="n"/>
      <c r="S2917" s="8">
        <f>IF(NOT(ISNUMBER(M2917)),"",IF(G2917="Terreno",IF(AND(ISNUMBER(I2917),I2917&gt;0),M2917/I2917,""),IF(AND(ISNUMBER(H2917),H2917&gt;0),M2917/H2917,"")))</f>
        <v/>
      </c>
      <c r="T2917" s="9">
        <f>IF(AND(ISNUMBER(M2917),ISNUMBER(O2917)),IF(M2917&lt;=O2917,"Valor ≤ venal IPTU",""),"")</f>
        <v/>
      </c>
      <c r="U2917" s="10">
        <f>IF(AND(ISNUMBER(M2917),ISNUMBER(N2917)),IF(N2917&gt;0,M2917/N2917,""),"")</f>
        <v/>
      </c>
      <c r="V2917" s="10">
        <f>IF(AND(ISNUMBER(M2917),ISNUMBER(O2917)),IF(O2917&gt;0,M2917/O2917,""),"")</f>
        <v/>
      </c>
      <c r="W2917" s="10">
        <f>IF(AND(ISNUMBER(M2917),ISNUMBER(R2917)),IF(R2917&gt;0,M2917/R2917,""),"")</f>
        <v/>
      </c>
      <c r="X2917" s="10">
        <f>IF(AND(ISNUMBER(Q2917),ISNUMBER(M2917)),IF(M2917&gt;0,Q2917/M2917,""),"")</f>
        <v/>
      </c>
      <c r="Y2917" s="11">
        <f>IF(ISNUMBER(Z2917),YEAR(Z2917),"")</f>
        <v/>
      </c>
      <c r="Z2917" s="12" t="n"/>
      <c r="AA2917" s="12" t="n"/>
      <c r="AI2917" s="12" t="n"/>
      <c r="AJ2917" s="13">
        <f>IF(LEN(TRIM(AF2917))=0,"",HYPERLINK("https://www.google.com/maps/@?api=1&amp;map_action=pano&amp;viewpoint="&amp;SUBSTITUTE(AF2917," ",""),"Abrir Street View"))</f>
        <v/>
      </c>
    </row>
    <row r="2918">
      <c r="H2918" s="6" t="n"/>
      <c r="I2918" s="6" t="n"/>
      <c r="M2918" s="7" t="n"/>
      <c r="N2918" s="7" t="n"/>
      <c r="O2918" s="7" t="n"/>
      <c r="Q2918" s="7" t="n"/>
      <c r="R2918" s="7" t="n"/>
      <c r="S2918" s="8">
        <f>IF(NOT(ISNUMBER(M2918)),"",IF(G2918="Terreno",IF(AND(ISNUMBER(I2918),I2918&gt;0),M2918/I2918,""),IF(AND(ISNUMBER(H2918),H2918&gt;0),M2918/H2918,"")))</f>
        <v/>
      </c>
      <c r="T2918" s="9">
        <f>IF(AND(ISNUMBER(M2918),ISNUMBER(O2918)),IF(M2918&lt;=O2918,"Valor ≤ venal IPTU",""),"")</f>
        <v/>
      </c>
      <c r="U2918" s="10">
        <f>IF(AND(ISNUMBER(M2918),ISNUMBER(N2918)),IF(N2918&gt;0,M2918/N2918,""),"")</f>
        <v/>
      </c>
      <c r="V2918" s="10">
        <f>IF(AND(ISNUMBER(M2918),ISNUMBER(O2918)),IF(O2918&gt;0,M2918/O2918,""),"")</f>
        <v/>
      </c>
      <c r="W2918" s="10">
        <f>IF(AND(ISNUMBER(M2918),ISNUMBER(R2918)),IF(R2918&gt;0,M2918/R2918,""),"")</f>
        <v/>
      </c>
      <c r="X2918" s="10">
        <f>IF(AND(ISNUMBER(Q2918),ISNUMBER(M2918)),IF(M2918&gt;0,Q2918/M2918,""),"")</f>
        <v/>
      </c>
      <c r="Y2918" s="11">
        <f>IF(ISNUMBER(Z2918),YEAR(Z2918),"")</f>
        <v/>
      </c>
      <c r="Z2918" s="12" t="n"/>
      <c r="AA2918" s="12" t="n"/>
      <c r="AI2918" s="12" t="n"/>
      <c r="AJ2918" s="13">
        <f>IF(LEN(TRIM(AF2918))=0,"",HYPERLINK("https://www.google.com/maps/@?api=1&amp;map_action=pano&amp;viewpoint="&amp;SUBSTITUTE(AF2918," ",""),"Abrir Street View"))</f>
        <v/>
      </c>
    </row>
    <row r="2919">
      <c r="H2919" s="6" t="n"/>
      <c r="I2919" s="6" t="n"/>
      <c r="M2919" s="7" t="n"/>
      <c r="N2919" s="7" t="n"/>
      <c r="O2919" s="7" t="n"/>
      <c r="Q2919" s="7" t="n"/>
      <c r="R2919" s="7" t="n"/>
      <c r="S2919" s="8">
        <f>IF(NOT(ISNUMBER(M2919)),"",IF(G2919="Terreno",IF(AND(ISNUMBER(I2919),I2919&gt;0),M2919/I2919,""),IF(AND(ISNUMBER(H2919),H2919&gt;0),M2919/H2919,"")))</f>
        <v/>
      </c>
      <c r="T2919" s="9">
        <f>IF(AND(ISNUMBER(M2919),ISNUMBER(O2919)),IF(M2919&lt;=O2919,"Valor ≤ venal IPTU",""),"")</f>
        <v/>
      </c>
      <c r="U2919" s="10">
        <f>IF(AND(ISNUMBER(M2919),ISNUMBER(N2919)),IF(N2919&gt;0,M2919/N2919,""),"")</f>
        <v/>
      </c>
      <c r="V2919" s="10">
        <f>IF(AND(ISNUMBER(M2919),ISNUMBER(O2919)),IF(O2919&gt;0,M2919/O2919,""),"")</f>
        <v/>
      </c>
      <c r="W2919" s="10">
        <f>IF(AND(ISNUMBER(M2919),ISNUMBER(R2919)),IF(R2919&gt;0,M2919/R2919,""),"")</f>
        <v/>
      </c>
      <c r="X2919" s="10">
        <f>IF(AND(ISNUMBER(Q2919),ISNUMBER(M2919)),IF(M2919&gt;0,Q2919/M2919,""),"")</f>
        <v/>
      </c>
      <c r="Y2919" s="11">
        <f>IF(ISNUMBER(Z2919),YEAR(Z2919),"")</f>
        <v/>
      </c>
      <c r="Z2919" s="12" t="n"/>
      <c r="AA2919" s="12" t="n"/>
      <c r="AI2919" s="12" t="n"/>
      <c r="AJ2919" s="13">
        <f>IF(LEN(TRIM(AF2919))=0,"",HYPERLINK("https://www.google.com/maps/@?api=1&amp;map_action=pano&amp;viewpoint="&amp;SUBSTITUTE(AF2919," ",""),"Abrir Street View"))</f>
        <v/>
      </c>
    </row>
    <row r="2920">
      <c r="H2920" s="6" t="n"/>
      <c r="I2920" s="6" t="n"/>
      <c r="M2920" s="7" t="n"/>
      <c r="N2920" s="7" t="n"/>
      <c r="O2920" s="7" t="n"/>
      <c r="Q2920" s="7" t="n"/>
      <c r="R2920" s="7" t="n"/>
      <c r="S2920" s="8">
        <f>IF(NOT(ISNUMBER(M2920)),"",IF(G2920="Terreno",IF(AND(ISNUMBER(I2920),I2920&gt;0),M2920/I2920,""),IF(AND(ISNUMBER(H2920),H2920&gt;0),M2920/H2920,"")))</f>
        <v/>
      </c>
      <c r="T2920" s="9">
        <f>IF(AND(ISNUMBER(M2920),ISNUMBER(O2920)),IF(M2920&lt;=O2920,"Valor ≤ venal IPTU",""),"")</f>
        <v/>
      </c>
      <c r="U2920" s="10">
        <f>IF(AND(ISNUMBER(M2920),ISNUMBER(N2920)),IF(N2920&gt;0,M2920/N2920,""),"")</f>
        <v/>
      </c>
      <c r="V2920" s="10">
        <f>IF(AND(ISNUMBER(M2920),ISNUMBER(O2920)),IF(O2920&gt;0,M2920/O2920,""),"")</f>
        <v/>
      </c>
      <c r="W2920" s="10">
        <f>IF(AND(ISNUMBER(M2920),ISNUMBER(R2920)),IF(R2920&gt;0,M2920/R2920,""),"")</f>
        <v/>
      </c>
      <c r="X2920" s="10">
        <f>IF(AND(ISNUMBER(Q2920),ISNUMBER(M2920)),IF(M2920&gt;0,Q2920/M2920,""),"")</f>
        <v/>
      </c>
      <c r="Y2920" s="11">
        <f>IF(ISNUMBER(Z2920),YEAR(Z2920),"")</f>
        <v/>
      </c>
      <c r="Z2920" s="12" t="n"/>
      <c r="AA2920" s="12" t="n"/>
      <c r="AI2920" s="12" t="n"/>
      <c r="AJ2920" s="13">
        <f>IF(LEN(TRIM(AF2920))=0,"",HYPERLINK("https://www.google.com/maps/@?api=1&amp;map_action=pano&amp;viewpoint="&amp;SUBSTITUTE(AF2920," ",""),"Abrir Street View"))</f>
        <v/>
      </c>
    </row>
    <row r="2921">
      <c r="H2921" s="6" t="n"/>
      <c r="I2921" s="6" t="n"/>
      <c r="M2921" s="7" t="n"/>
      <c r="N2921" s="7" t="n"/>
      <c r="O2921" s="7" t="n"/>
      <c r="Q2921" s="7" t="n"/>
      <c r="R2921" s="7" t="n"/>
      <c r="S2921" s="8">
        <f>IF(NOT(ISNUMBER(M2921)),"",IF(G2921="Terreno",IF(AND(ISNUMBER(I2921),I2921&gt;0),M2921/I2921,""),IF(AND(ISNUMBER(H2921),H2921&gt;0),M2921/H2921,"")))</f>
        <v/>
      </c>
      <c r="T2921" s="9">
        <f>IF(AND(ISNUMBER(M2921),ISNUMBER(O2921)),IF(M2921&lt;=O2921,"Valor ≤ venal IPTU",""),"")</f>
        <v/>
      </c>
      <c r="U2921" s="10">
        <f>IF(AND(ISNUMBER(M2921),ISNUMBER(N2921)),IF(N2921&gt;0,M2921/N2921,""),"")</f>
        <v/>
      </c>
      <c r="V2921" s="10">
        <f>IF(AND(ISNUMBER(M2921),ISNUMBER(O2921)),IF(O2921&gt;0,M2921/O2921,""),"")</f>
        <v/>
      </c>
      <c r="W2921" s="10">
        <f>IF(AND(ISNUMBER(M2921),ISNUMBER(R2921)),IF(R2921&gt;0,M2921/R2921,""),"")</f>
        <v/>
      </c>
      <c r="X2921" s="10">
        <f>IF(AND(ISNUMBER(Q2921),ISNUMBER(M2921)),IF(M2921&gt;0,Q2921/M2921,""),"")</f>
        <v/>
      </c>
      <c r="Y2921" s="11">
        <f>IF(ISNUMBER(Z2921),YEAR(Z2921),"")</f>
        <v/>
      </c>
      <c r="Z2921" s="12" t="n"/>
      <c r="AA2921" s="12" t="n"/>
      <c r="AI2921" s="12" t="n"/>
      <c r="AJ2921" s="13">
        <f>IF(LEN(TRIM(AF2921))=0,"",HYPERLINK("https://www.google.com/maps/@?api=1&amp;map_action=pano&amp;viewpoint="&amp;SUBSTITUTE(AF2921," ",""),"Abrir Street View"))</f>
        <v/>
      </c>
    </row>
    <row r="2922">
      <c r="H2922" s="6" t="n"/>
      <c r="I2922" s="6" t="n"/>
      <c r="M2922" s="7" t="n"/>
      <c r="N2922" s="7" t="n"/>
      <c r="O2922" s="7" t="n"/>
      <c r="Q2922" s="7" t="n"/>
      <c r="R2922" s="7" t="n"/>
      <c r="S2922" s="8">
        <f>IF(NOT(ISNUMBER(M2922)),"",IF(G2922="Terreno",IF(AND(ISNUMBER(I2922),I2922&gt;0),M2922/I2922,""),IF(AND(ISNUMBER(H2922),H2922&gt;0),M2922/H2922,"")))</f>
        <v/>
      </c>
      <c r="T2922" s="9">
        <f>IF(AND(ISNUMBER(M2922),ISNUMBER(O2922)),IF(M2922&lt;=O2922,"Valor ≤ venal IPTU",""),"")</f>
        <v/>
      </c>
      <c r="U2922" s="10">
        <f>IF(AND(ISNUMBER(M2922),ISNUMBER(N2922)),IF(N2922&gt;0,M2922/N2922,""),"")</f>
        <v/>
      </c>
      <c r="V2922" s="10">
        <f>IF(AND(ISNUMBER(M2922),ISNUMBER(O2922)),IF(O2922&gt;0,M2922/O2922,""),"")</f>
        <v/>
      </c>
      <c r="W2922" s="10">
        <f>IF(AND(ISNUMBER(M2922),ISNUMBER(R2922)),IF(R2922&gt;0,M2922/R2922,""),"")</f>
        <v/>
      </c>
      <c r="X2922" s="10">
        <f>IF(AND(ISNUMBER(Q2922),ISNUMBER(M2922)),IF(M2922&gt;0,Q2922/M2922,""),"")</f>
        <v/>
      </c>
      <c r="Y2922" s="11">
        <f>IF(ISNUMBER(Z2922),YEAR(Z2922),"")</f>
        <v/>
      </c>
      <c r="Z2922" s="12" t="n"/>
      <c r="AA2922" s="12" t="n"/>
      <c r="AI2922" s="12" t="n"/>
      <c r="AJ2922" s="13">
        <f>IF(LEN(TRIM(AF2922))=0,"",HYPERLINK("https://www.google.com/maps/@?api=1&amp;map_action=pano&amp;viewpoint="&amp;SUBSTITUTE(AF2922," ",""),"Abrir Street View"))</f>
        <v/>
      </c>
    </row>
    <row r="2923">
      <c r="H2923" s="6" t="n"/>
      <c r="I2923" s="6" t="n"/>
      <c r="M2923" s="7" t="n"/>
      <c r="N2923" s="7" t="n"/>
      <c r="O2923" s="7" t="n"/>
      <c r="Q2923" s="7" t="n"/>
      <c r="R2923" s="7" t="n"/>
      <c r="S2923" s="8">
        <f>IF(NOT(ISNUMBER(M2923)),"",IF(G2923="Terreno",IF(AND(ISNUMBER(I2923),I2923&gt;0),M2923/I2923,""),IF(AND(ISNUMBER(H2923),H2923&gt;0),M2923/H2923,"")))</f>
        <v/>
      </c>
      <c r="T2923" s="9">
        <f>IF(AND(ISNUMBER(M2923),ISNUMBER(O2923)),IF(M2923&lt;=O2923,"Valor ≤ venal IPTU",""),"")</f>
        <v/>
      </c>
      <c r="U2923" s="10">
        <f>IF(AND(ISNUMBER(M2923),ISNUMBER(N2923)),IF(N2923&gt;0,M2923/N2923,""),"")</f>
        <v/>
      </c>
      <c r="V2923" s="10">
        <f>IF(AND(ISNUMBER(M2923),ISNUMBER(O2923)),IF(O2923&gt;0,M2923/O2923,""),"")</f>
        <v/>
      </c>
      <c r="W2923" s="10">
        <f>IF(AND(ISNUMBER(M2923),ISNUMBER(R2923)),IF(R2923&gt;0,M2923/R2923,""),"")</f>
        <v/>
      </c>
      <c r="X2923" s="10">
        <f>IF(AND(ISNUMBER(Q2923),ISNUMBER(M2923)),IF(M2923&gt;0,Q2923/M2923,""),"")</f>
        <v/>
      </c>
      <c r="Y2923" s="11">
        <f>IF(ISNUMBER(Z2923),YEAR(Z2923),"")</f>
        <v/>
      </c>
      <c r="Z2923" s="12" t="n"/>
      <c r="AA2923" s="12" t="n"/>
      <c r="AI2923" s="12" t="n"/>
      <c r="AJ2923" s="13">
        <f>IF(LEN(TRIM(AF2923))=0,"",HYPERLINK("https://www.google.com/maps/@?api=1&amp;map_action=pano&amp;viewpoint="&amp;SUBSTITUTE(AF2923," ",""),"Abrir Street View"))</f>
        <v/>
      </c>
    </row>
    <row r="2924">
      <c r="H2924" s="6" t="n"/>
      <c r="I2924" s="6" t="n"/>
      <c r="M2924" s="7" t="n"/>
      <c r="N2924" s="7" t="n"/>
      <c r="O2924" s="7" t="n"/>
      <c r="Q2924" s="7" t="n"/>
      <c r="R2924" s="7" t="n"/>
      <c r="S2924" s="8">
        <f>IF(NOT(ISNUMBER(M2924)),"",IF(G2924="Terreno",IF(AND(ISNUMBER(I2924),I2924&gt;0),M2924/I2924,""),IF(AND(ISNUMBER(H2924),H2924&gt;0),M2924/H2924,"")))</f>
        <v/>
      </c>
      <c r="T2924" s="9">
        <f>IF(AND(ISNUMBER(M2924),ISNUMBER(O2924)),IF(M2924&lt;=O2924,"Valor ≤ venal IPTU",""),"")</f>
        <v/>
      </c>
      <c r="U2924" s="10">
        <f>IF(AND(ISNUMBER(M2924),ISNUMBER(N2924)),IF(N2924&gt;0,M2924/N2924,""),"")</f>
        <v/>
      </c>
      <c r="V2924" s="10">
        <f>IF(AND(ISNUMBER(M2924),ISNUMBER(O2924)),IF(O2924&gt;0,M2924/O2924,""),"")</f>
        <v/>
      </c>
      <c r="W2924" s="10">
        <f>IF(AND(ISNUMBER(M2924),ISNUMBER(R2924)),IF(R2924&gt;0,M2924/R2924,""),"")</f>
        <v/>
      </c>
      <c r="X2924" s="10">
        <f>IF(AND(ISNUMBER(Q2924),ISNUMBER(M2924)),IF(M2924&gt;0,Q2924/M2924,""),"")</f>
        <v/>
      </c>
      <c r="Y2924" s="11">
        <f>IF(ISNUMBER(Z2924),YEAR(Z2924),"")</f>
        <v/>
      </c>
      <c r="Z2924" s="12" t="n"/>
      <c r="AA2924" s="12" t="n"/>
      <c r="AI2924" s="12" t="n"/>
      <c r="AJ2924" s="13">
        <f>IF(LEN(TRIM(AF2924))=0,"",HYPERLINK("https://www.google.com/maps/@?api=1&amp;map_action=pano&amp;viewpoint="&amp;SUBSTITUTE(AF2924," ",""),"Abrir Street View"))</f>
        <v/>
      </c>
    </row>
    <row r="2925">
      <c r="H2925" s="6" t="n"/>
      <c r="I2925" s="6" t="n"/>
      <c r="M2925" s="7" t="n"/>
      <c r="N2925" s="7" t="n"/>
      <c r="O2925" s="7" t="n"/>
      <c r="Q2925" s="7" t="n"/>
      <c r="R2925" s="7" t="n"/>
      <c r="S2925" s="8">
        <f>IF(NOT(ISNUMBER(M2925)),"",IF(G2925="Terreno",IF(AND(ISNUMBER(I2925),I2925&gt;0),M2925/I2925,""),IF(AND(ISNUMBER(H2925),H2925&gt;0),M2925/H2925,"")))</f>
        <v/>
      </c>
      <c r="T2925" s="9">
        <f>IF(AND(ISNUMBER(M2925),ISNUMBER(O2925)),IF(M2925&lt;=O2925,"Valor ≤ venal IPTU",""),"")</f>
        <v/>
      </c>
      <c r="U2925" s="10">
        <f>IF(AND(ISNUMBER(M2925),ISNUMBER(N2925)),IF(N2925&gt;0,M2925/N2925,""),"")</f>
        <v/>
      </c>
      <c r="V2925" s="10">
        <f>IF(AND(ISNUMBER(M2925),ISNUMBER(O2925)),IF(O2925&gt;0,M2925/O2925,""),"")</f>
        <v/>
      </c>
      <c r="W2925" s="10">
        <f>IF(AND(ISNUMBER(M2925),ISNUMBER(R2925)),IF(R2925&gt;0,M2925/R2925,""),"")</f>
        <v/>
      </c>
      <c r="X2925" s="10">
        <f>IF(AND(ISNUMBER(Q2925),ISNUMBER(M2925)),IF(M2925&gt;0,Q2925/M2925,""),"")</f>
        <v/>
      </c>
      <c r="Y2925" s="11">
        <f>IF(ISNUMBER(Z2925),YEAR(Z2925),"")</f>
        <v/>
      </c>
      <c r="Z2925" s="12" t="n"/>
      <c r="AA2925" s="12" t="n"/>
      <c r="AI2925" s="12" t="n"/>
      <c r="AJ2925" s="13">
        <f>IF(LEN(TRIM(AF2925))=0,"",HYPERLINK("https://www.google.com/maps/@?api=1&amp;map_action=pano&amp;viewpoint="&amp;SUBSTITUTE(AF2925," ",""),"Abrir Street View"))</f>
        <v/>
      </c>
    </row>
    <row r="2926">
      <c r="H2926" s="6" t="n"/>
      <c r="I2926" s="6" t="n"/>
      <c r="M2926" s="7" t="n"/>
      <c r="N2926" s="7" t="n"/>
      <c r="O2926" s="7" t="n"/>
      <c r="Q2926" s="7" t="n"/>
      <c r="R2926" s="7" t="n"/>
      <c r="S2926" s="8">
        <f>IF(NOT(ISNUMBER(M2926)),"",IF(G2926="Terreno",IF(AND(ISNUMBER(I2926),I2926&gt;0),M2926/I2926,""),IF(AND(ISNUMBER(H2926),H2926&gt;0),M2926/H2926,"")))</f>
        <v/>
      </c>
      <c r="T2926" s="9">
        <f>IF(AND(ISNUMBER(M2926),ISNUMBER(O2926)),IF(M2926&lt;=O2926,"Valor ≤ venal IPTU",""),"")</f>
        <v/>
      </c>
      <c r="U2926" s="10">
        <f>IF(AND(ISNUMBER(M2926),ISNUMBER(N2926)),IF(N2926&gt;0,M2926/N2926,""),"")</f>
        <v/>
      </c>
      <c r="V2926" s="10">
        <f>IF(AND(ISNUMBER(M2926),ISNUMBER(O2926)),IF(O2926&gt;0,M2926/O2926,""),"")</f>
        <v/>
      </c>
      <c r="W2926" s="10">
        <f>IF(AND(ISNUMBER(M2926),ISNUMBER(R2926)),IF(R2926&gt;0,M2926/R2926,""),"")</f>
        <v/>
      </c>
      <c r="X2926" s="10">
        <f>IF(AND(ISNUMBER(Q2926),ISNUMBER(M2926)),IF(M2926&gt;0,Q2926/M2926,""),"")</f>
        <v/>
      </c>
      <c r="Y2926" s="11">
        <f>IF(ISNUMBER(Z2926),YEAR(Z2926),"")</f>
        <v/>
      </c>
      <c r="Z2926" s="12" t="n"/>
      <c r="AA2926" s="12" t="n"/>
      <c r="AI2926" s="12" t="n"/>
      <c r="AJ2926" s="13">
        <f>IF(LEN(TRIM(AF2926))=0,"",HYPERLINK("https://www.google.com/maps/@?api=1&amp;map_action=pano&amp;viewpoint="&amp;SUBSTITUTE(AF2926," ",""),"Abrir Street View"))</f>
        <v/>
      </c>
    </row>
    <row r="2927">
      <c r="H2927" s="6" t="n"/>
      <c r="I2927" s="6" t="n"/>
      <c r="M2927" s="7" t="n"/>
      <c r="N2927" s="7" t="n"/>
      <c r="O2927" s="7" t="n"/>
      <c r="Q2927" s="7" t="n"/>
      <c r="R2927" s="7" t="n"/>
      <c r="S2927" s="8">
        <f>IF(NOT(ISNUMBER(M2927)),"",IF(G2927="Terreno",IF(AND(ISNUMBER(I2927),I2927&gt;0),M2927/I2927,""),IF(AND(ISNUMBER(H2927),H2927&gt;0),M2927/H2927,"")))</f>
        <v/>
      </c>
      <c r="T2927" s="9">
        <f>IF(AND(ISNUMBER(M2927),ISNUMBER(O2927)),IF(M2927&lt;=O2927,"Valor ≤ venal IPTU",""),"")</f>
        <v/>
      </c>
      <c r="U2927" s="10">
        <f>IF(AND(ISNUMBER(M2927),ISNUMBER(N2927)),IF(N2927&gt;0,M2927/N2927,""),"")</f>
        <v/>
      </c>
      <c r="V2927" s="10">
        <f>IF(AND(ISNUMBER(M2927),ISNUMBER(O2927)),IF(O2927&gt;0,M2927/O2927,""),"")</f>
        <v/>
      </c>
      <c r="W2927" s="10">
        <f>IF(AND(ISNUMBER(M2927),ISNUMBER(R2927)),IF(R2927&gt;0,M2927/R2927,""),"")</f>
        <v/>
      </c>
      <c r="X2927" s="10">
        <f>IF(AND(ISNUMBER(Q2927),ISNUMBER(M2927)),IF(M2927&gt;0,Q2927/M2927,""),"")</f>
        <v/>
      </c>
      <c r="Y2927" s="11">
        <f>IF(ISNUMBER(Z2927),YEAR(Z2927),"")</f>
        <v/>
      </c>
      <c r="Z2927" s="12" t="n"/>
      <c r="AA2927" s="12" t="n"/>
      <c r="AI2927" s="12" t="n"/>
      <c r="AJ2927" s="13">
        <f>IF(LEN(TRIM(AF2927))=0,"",HYPERLINK("https://www.google.com/maps/@?api=1&amp;map_action=pano&amp;viewpoint="&amp;SUBSTITUTE(AF2927," ",""),"Abrir Street View"))</f>
        <v/>
      </c>
    </row>
    <row r="2928">
      <c r="H2928" s="6" t="n"/>
      <c r="I2928" s="6" t="n"/>
      <c r="M2928" s="7" t="n"/>
      <c r="N2928" s="7" t="n"/>
      <c r="O2928" s="7" t="n"/>
      <c r="Q2928" s="7" t="n"/>
      <c r="R2928" s="7" t="n"/>
      <c r="S2928" s="8">
        <f>IF(NOT(ISNUMBER(M2928)),"",IF(G2928="Terreno",IF(AND(ISNUMBER(I2928),I2928&gt;0),M2928/I2928,""),IF(AND(ISNUMBER(H2928),H2928&gt;0),M2928/H2928,"")))</f>
        <v/>
      </c>
      <c r="T2928" s="9">
        <f>IF(AND(ISNUMBER(M2928),ISNUMBER(O2928)),IF(M2928&lt;=O2928,"Valor ≤ venal IPTU",""),"")</f>
        <v/>
      </c>
      <c r="U2928" s="10">
        <f>IF(AND(ISNUMBER(M2928),ISNUMBER(N2928)),IF(N2928&gt;0,M2928/N2928,""),"")</f>
        <v/>
      </c>
      <c r="V2928" s="10">
        <f>IF(AND(ISNUMBER(M2928),ISNUMBER(O2928)),IF(O2928&gt;0,M2928/O2928,""),"")</f>
        <v/>
      </c>
      <c r="W2928" s="10">
        <f>IF(AND(ISNUMBER(M2928),ISNUMBER(R2928)),IF(R2928&gt;0,M2928/R2928,""),"")</f>
        <v/>
      </c>
      <c r="X2928" s="10">
        <f>IF(AND(ISNUMBER(Q2928),ISNUMBER(M2928)),IF(M2928&gt;0,Q2928/M2928,""),"")</f>
        <v/>
      </c>
      <c r="Y2928" s="11">
        <f>IF(ISNUMBER(Z2928),YEAR(Z2928),"")</f>
        <v/>
      </c>
      <c r="Z2928" s="12" t="n"/>
      <c r="AA2928" s="12" t="n"/>
      <c r="AI2928" s="12" t="n"/>
      <c r="AJ2928" s="13">
        <f>IF(LEN(TRIM(AF2928))=0,"",HYPERLINK("https://www.google.com/maps/@?api=1&amp;map_action=pano&amp;viewpoint="&amp;SUBSTITUTE(AF2928," ",""),"Abrir Street View"))</f>
        <v/>
      </c>
    </row>
    <row r="2929">
      <c r="H2929" s="6" t="n"/>
      <c r="I2929" s="6" t="n"/>
      <c r="M2929" s="7" t="n"/>
      <c r="N2929" s="7" t="n"/>
      <c r="O2929" s="7" t="n"/>
      <c r="Q2929" s="7" t="n"/>
      <c r="R2929" s="7" t="n"/>
      <c r="S2929" s="8">
        <f>IF(NOT(ISNUMBER(M2929)),"",IF(G2929="Terreno",IF(AND(ISNUMBER(I2929),I2929&gt;0),M2929/I2929,""),IF(AND(ISNUMBER(H2929),H2929&gt;0),M2929/H2929,"")))</f>
        <v/>
      </c>
      <c r="T2929" s="9">
        <f>IF(AND(ISNUMBER(M2929),ISNUMBER(O2929)),IF(M2929&lt;=O2929,"Valor ≤ venal IPTU",""),"")</f>
        <v/>
      </c>
      <c r="U2929" s="10">
        <f>IF(AND(ISNUMBER(M2929),ISNUMBER(N2929)),IF(N2929&gt;0,M2929/N2929,""),"")</f>
        <v/>
      </c>
      <c r="V2929" s="10">
        <f>IF(AND(ISNUMBER(M2929),ISNUMBER(O2929)),IF(O2929&gt;0,M2929/O2929,""),"")</f>
        <v/>
      </c>
      <c r="W2929" s="10">
        <f>IF(AND(ISNUMBER(M2929),ISNUMBER(R2929)),IF(R2929&gt;0,M2929/R2929,""),"")</f>
        <v/>
      </c>
      <c r="X2929" s="10">
        <f>IF(AND(ISNUMBER(Q2929),ISNUMBER(M2929)),IF(M2929&gt;0,Q2929/M2929,""),"")</f>
        <v/>
      </c>
      <c r="Y2929" s="11">
        <f>IF(ISNUMBER(Z2929),YEAR(Z2929),"")</f>
        <v/>
      </c>
      <c r="Z2929" s="12" t="n"/>
      <c r="AA2929" s="12" t="n"/>
      <c r="AI2929" s="12" t="n"/>
      <c r="AJ2929" s="13">
        <f>IF(LEN(TRIM(AF2929))=0,"",HYPERLINK("https://www.google.com/maps/@?api=1&amp;map_action=pano&amp;viewpoint="&amp;SUBSTITUTE(AF2929," ",""),"Abrir Street View"))</f>
        <v/>
      </c>
    </row>
    <row r="2930">
      <c r="H2930" s="6" t="n"/>
      <c r="I2930" s="6" t="n"/>
      <c r="M2930" s="7" t="n"/>
      <c r="N2930" s="7" t="n"/>
      <c r="O2930" s="7" t="n"/>
      <c r="Q2930" s="7" t="n"/>
      <c r="R2930" s="7" t="n"/>
      <c r="S2930" s="8">
        <f>IF(NOT(ISNUMBER(M2930)),"",IF(G2930="Terreno",IF(AND(ISNUMBER(I2930),I2930&gt;0),M2930/I2930,""),IF(AND(ISNUMBER(H2930),H2930&gt;0),M2930/H2930,"")))</f>
        <v/>
      </c>
      <c r="T2930" s="9">
        <f>IF(AND(ISNUMBER(M2930),ISNUMBER(O2930)),IF(M2930&lt;=O2930,"Valor ≤ venal IPTU",""),"")</f>
        <v/>
      </c>
      <c r="U2930" s="10">
        <f>IF(AND(ISNUMBER(M2930),ISNUMBER(N2930)),IF(N2930&gt;0,M2930/N2930,""),"")</f>
        <v/>
      </c>
      <c r="V2930" s="10">
        <f>IF(AND(ISNUMBER(M2930),ISNUMBER(O2930)),IF(O2930&gt;0,M2930/O2930,""),"")</f>
        <v/>
      </c>
      <c r="W2930" s="10">
        <f>IF(AND(ISNUMBER(M2930),ISNUMBER(R2930)),IF(R2930&gt;0,M2930/R2930,""),"")</f>
        <v/>
      </c>
      <c r="X2930" s="10">
        <f>IF(AND(ISNUMBER(Q2930),ISNUMBER(M2930)),IF(M2930&gt;0,Q2930/M2930,""),"")</f>
        <v/>
      </c>
      <c r="Y2930" s="11">
        <f>IF(ISNUMBER(Z2930),YEAR(Z2930),"")</f>
        <v/>
      </c>
      <c r="Z2930" s="12" t="n"/>
      <c r="AA2930" s="12" t="n"/>
      <c r="AI2930" s="12" t="n"/>
      <c r="AJ2930" s="13">
        <f>IF(LEN(TRIM(AF2930))=0,"",HYPERLINK("https://www.google.com/maps/@?api=1&amp;map_action=pano&amp;viewpoint="&amp;SUBSTITUTE(AF2930," ",""),"Abrir Street View"))</f>
        <v/>
      </c>
    </row>
    <row r="2931">
      <c r="H2931" s="6" t="n"/>
      <c r="I2931" s="6" t="n"/>
      <c r="M2931" s="7" t="n"/>
      <c r="N2931" s="7" t="n"/>
      <c r="O2931" s="7" t="n"/>
      <c r="Q2931" s="7" t="n"/>
      <c r="R2931" s="7" t="n"/>
      <c r="S2931" s="8">
        <f>IF(NOT(ISNUMBER(M2931)),"",IF(G2931="Terreno",IF(AND(ISNUMBER(I2931),I2931&gt;0),M2931/I2931,""),IF(AND(ISNUMBER(H2931),H2931&gt;0),M2931/H2931,"")))</f>
        <v/>
      </c>
      <c r="T2931" s="9">
        <f>IF(AND(ISNUMBER(M2931),ISNUMBER(O2931)),IF(M2931&lt;=O2931,"Valor ≤ venal IPTU",""),"")</f>
        <v/>
      </c>
      <c r="U2931" s="10">
        <f>IF(AND(ISNUMBER(M2931),ISNUMBER(N2931)),IF(N2931&gt;0,M2931/N2931,""),"")</f>
        <v/>
      </c>
      <c r="V2931" s="10">
        <f>IF(AND(ISNUMBER(M2931),ISNUMBER(O2931)),IF(O2931&gt;0,M2931/O2931,""),"")</f>
        <v/>
      </c>
      <c r="W2931" s="10">
        <f>IF(AND(ISNUMBER(M2931),ISNUMBER(R2931)),IF(R2931&gt;0,M2931/R2931,""),"")</f>
        <v/>
      </c>
      <c r="X2931" s="10">
        <f>IF(AND(ISNUMBER(Q2931),ISNUMBER(M2931)),IF(M2931&gt;0,Q2931/M2931,""),"")</f>
        <v/>
      </c>
      <c r="Y2931" s="11">
        <f>IF(ISNUMBER(Z2931),YEAR(Z2931),"")</f>
        <v/>
      </c>
      <c r="Z2931" s="12" t="n"/>
      <c r="AA2931" s="12" t="n"/>
      <c r="AI2931" s="12" t="n"/>
      <c r="AJ2931" s="13">
        <f>IF(LEN(TRIM(AF2931))=0,"",HYPERLINK("https://www.google.com/maps/@?api=1&amp;map_action=pano&amp;viewpoint="&amp;SUBSTITUTE(AF2931," ",""),"Abrir Street View"))</f>
        <v/>
      </c>
    </row>
    <row r="2932">
      <c r="H2932" s="6" t="n"/>
      <c r="I2932" s="6" t="n"/>
      <c r="M2932" s="7" t="n"/>
      <c r="N2932" s="7" t="n"/>
      <c r="O2932" s="7" t="n"/>
      <c r="Q2932" s="7" t="n"/>
      <c r="R2932" s="7" t="n"/>
      <c r="S2932" s="8">
        <f>IF(NOT(ISNUMBER(M2932)),"",IF(G2932="Terreno",IF(AND(ISNUMBER(I2932),I2932&gt;0),M2932/I2932,""),IF(AND(ISNUMBER(H2932),H2932&gt;0),M2932/H2932,"")))</f>
        <v/>
      </c>
      <c r="T2932" s="9">
        <f>IF(AND(ISNUMBER(M2932),ISNUMBER(O2932)),IF(M2932&lt;=O2932,"Valor ≤ venal IPTU",""),"")</f>
        <v/>
      </c>
      <c r="U2932" s="10">
        <f>IF(AND(ISNUMBER(M2932),ISNUMBER(N2932)),IF(N2932&gt;0,M2932/N2932,""),"")</f>
        <v/>
      </c>
      <c r="V2932" s="10">
        <f>IF(AND(ISNUMBER(M2932),ISNUMBER(O2932)),IF(O2932&gt;0,M2932/O2932,""),"")</f>
        <v/>
      </c>
      <c r="W2932" s="10">
        <f>IF(AND(ISNUMBER(M2932),ISNUMBER(R2932)),IF(R2932&gt;0,M2932/R2932,""),"")</f>
        <v/>
      </c>
      <c r="X2932" s="10">
        <f>IF(AND(ISNUMBER(Q2932),ISNUMBER(M2932)),IF(M2932&gt;0,Q2932/M2932,""),"")</f>
        <v/>
      </c>
      <c r="Y2932" s="11">
        <f>IF(ISNUMBER(Z2932),YEAR(Z2932),"")</f>
        <v/>
      </c>
      <c r="Z2932" s="12" t="n"/>
      <c r="AA2932" s="12" t="n"/>
      <c r="AI2932" s="12" t="n"/>
      <c r="AJ2932" s="13">
        <f>IF(LEN(TRIM(AF2932))=0,"",HYPERLINK("https://www.google.com/maps/@?api=1&amp;map_action=pano&amp;viewpoint="&amp;SUBSTITUTE(AF2932," ",""),"Abrir Street View"))</f>
        <v/>
      </c>
    </row>
    <row r="2933">
      <c r="H2933" s="6" t="n"/>
      <c r="I2933" s="6" t="n"/>
      <c r="M2933" s="7" t="n"/>
      <c r="N2933" s="7" t="n"/>
      <c r="O2933" s="7" t="n"/>
      <c r="Q2933" s="7" t="n"/>
      <c r="R2933" s="7" t="n"/>
      <c r="S2933" s="8">
        <f>IF(NOT(ISNUMBER(M2933)),"",IF(G2933="Terreno",IF(AND(ISNUMBER(I2933),I2933&gt;0),M2933/I2933,""),IF(AND(ISNUMBER(H2933),H2933&gt;0),M2933/H2933,"")))</f>
        <v/>
      </c>
      <c r="T2933" s="9">
        <f>IF(AND(ISNUMBER(M2933),ISNUMBER(O2933)),IF(M2933&lt;=O2933,"Valor ≤ venal IPTU",""),"")</f>
        <v/>
      </c>
      <c r="U2933" s="10">
        <f>IF(AND(ISNUMBER(M2933),ISNUMBER(N2933)),IF(N2933&gt;0,M2933/N2933,""),"")</f>
        <v/>
      </c>
      <c r="V2933" s="10">
        <f>IF(AND(ISNUMBER(M2933),ISNUMBER(O2933)),IF(O2933&gt;0,M2933/O2933,""),"")</f>
        <v/>
      </c>
      <c r="W2933" s="10">
        <f>IF(AND(ISNUMBER(M2933),ISNUMBER(R2933)),IF(R2933&gt;0,M2933/R2933,""),"")</f>
        <v/>
      </c>
      <c r="X2933" s="10">
        <f>IF(AND(ISNUMBER(Q2933),ISNUMBER(M2933)),IF(M2933&gt;0,Q2933/M2933,""),"")</f>
        <v/>
      </c>
      <c r="Y2933" s="11">
        <f>IF(ISNUMBER(Z2933),YEAR(Z2933),"")</f>
        <v/>
      </c>
      <c r="Z2933" s="12" t="n"/>
      <c r="AA2933" s="12" t="n"/>
      <c r="AI2933" s="12" t="n"/>
      <c r="AJ2933" s="13">
        <f>IF(LEN(TRIM(AF2933))=0,"",HYPERLINK("https://www.google.com/maps/@?api=1&amp;map_action=pano&amp;viewpoint="&amp;SUBSTITUTE(AF2933," ",""),"Abrir Street View"))</f>
        <v/>
      </c>
    </row>
    <row r="2934">
      <c r="H2934" s="6" t="n"/>
      <c r="I2934" s="6" t="n"/>
      <c r="M2934" s="7" t="n"/>
      <c r="N2934" s="7" t="n"/>
      <c r="O2934" s="7" t="n"/>
      <c r="Q2934" s="7" t="n"/>
      <c r="R2934" s="7" t="n"/>
      <c r="S2934" s="8">
        <f>IF(NOT(ISNUMBER(M2934)),"",IF(G2934="Terreno",IF(AND(ISNUMBER(I2934),I2934&gt;0),M2934/I2934,""),IF(AND(ISNUMBER(H2934),H2934&gt;0),M2934/H2934,"")))</f>
        <v/>
      </c>
      <c r="T2934" s="9">
        <f>IF(AND(ISNUMBER(M2934),ISNUMBER(O2934)),IF(M2934&lt;=O2934,"Valor ≤ venal IPTU",""),"")</f>
        <v/>
      </c>
      <c r="U2934" s="10">
        <f>IF(AND(ISNUMBER(M2934),ISNUMBER(N2934)),IF(N2934&gt;0,M2934/N2934,""),"")</f>
        <v/>
      </c>
      <c r="V2934" s="10">
        <f>IF(AND(ISNUMBER(M2934),ISNUMBER(O2934)),IF(O2934&gt;0,M2934/O2934,""),"")</f>
        <v/>
      </c>
      <c r="W2934" s="10">
        <f>IF(AND(ISNUMBER(M2934),ISNUMBER(R2934)),IF(R2934&gt;0,M2934/R2934,""),"")</f>
        <v/>
      </c>
      <c r="X2934" s="10">
        <f>IF(AND(ISNUMBER(Q2934),ISNUMBER(M2934)),IF(M2934&gt;0,Q2934/M2934,""),"")</f>
        <v/>
      </c>
      <c r="Y2934" s="11">
        <f>IF(ISNUMBER(Z2934),YEAR(Z2934),"")</f>
        <v/>
      </c>
      <c r="Z2934" s="12" t="n"/>
      <c r="AA2934" s="12" t="n"/>
      <c r="AI2934" s="12" t="n"/>
      <c r="AJ2934" s="13">
        <f>IF(LEN(TRIM(AF2934))=0,"",HYPERLINK("https://www.google.com/maps/@?api=1&amp;map_action=pano&amp;viewpoint="&amp;SUBSTITUTE(AF2934," ",""),"Abrir Street View"))</f>
        <v/>
      </c>
    </row>
    <row r="2935">
      <c r="H2935" s="6" t="n"/>
      <c r="I2935" s="6" t="n"/>
      <c r="M2935" s="7" t="n"/>
      <c r="N2935" s="7" t="n"/>
      <c r="O2935" s="7" t="n"/>
      <c r="Q2935" s="7" t="n"/>
      <c r="R2935" s="7" t="n"/>
      <c r="S2935" s="8">
        <f>IF(NOT(ISNUMBER(M2935)),"",IF(G2935="Terreno",IF(AND(ISNUMBER(I2935),I2935&gt;0),M2935/I2935,""),IF(AND(ISNUMBER(H2935),H2935&gt;0),M2935/H2935,"")))</f>
        <v/>
      </c>
      <c r="T2935" s="9">
        <f>IF(AND(ISNUMBER(M2935),ISNUMBER(O2935)),IF(M2935&lt;=O2935,"Valor ≤ venal IPTU",""),"")</f>
        <v/>
      </c>
      <c r="U2935" s="10">
        <f>IF(AND(ISNUMBER(M2935),ISNUMBER(N2935)),IF(N2935&gt;0,M2935/N2935,""),"")</f>
        <v/>
      </c>
      <c r="V2935" s="10">
        <f>IF(AND(ISNUMBER(M2935),ISNUMBER(O2935)),IF(O2935&gt;0,M2935/O2935,""),"")</f>
        <v/>
      </c>
      <c r="W2935" s="10">
        <f>IF(AND(ISNUMBER(M2935),ISNUMBER(R2935)),IF(R2935&gt;0,M2935/R2935,""),"")</f>
        <v/>
      </c>
      <c r="X2935" s="10">
        <f>IF(AND(ISNUMBER(Q2935),ISNUMBER(M2935)),IF(M2935&gt;0,Q2935/M2935,""),"")</f>
        <v/>
      </c>
      <c r="Y2935" s="11">
        <f>IF(ISNUMBER(Z2935),YEAR(Z2935),"")</f>
        <v/>
      </c>
      <c r="Z2935" s="12" t="n"/>
      <c r="AA2935" s="12" t="n"/>
      <c r="AI2935" s="12" t="n"/>
      <c r="AJ2935" s="13">
        <f>IF(LEN(TRIM(AF2935))=0,"",HYPERLINK("https://www.google.com/maps/@?api=1&amp;map_action=pano&amp;viewpoint="&amp;SUBSTITUTE(AF2935," ",""),"Abrir Street View"))</f>
        <v/>
      </c>
    </row>
    <row r="2936">
      <c r="H2936" s="6" t="n"/>
      <c r="I2936" s="6" t="n"/>
      <c r="M2936" s="7" t="n"/>
      <c r="N2936" s="7" t="n"/>
      <c r="O2936" s="7" t="n"/>
      <c r="Q2936" s="7" t="n"/>
      <c r="R2936" s="7" t="n"/>
      <c r="S2936" s="8">
        <f>IF(NOT(ISNUMBER(M2936)),"",IF(G2936="Terreno",IF(AND(ISNUMBER(I2936),I2936&gt;0),M2936/I2936,""),IF(AND(ISNUMBER(H2936),H2936&gt;0),M2936/H2936,"")))</f>
        <v/>
      </c>
      <c r="T2936" s="9">
        <f>IF(AND(ISNUMBER(M2936),ISNUMBER(O2936)),IF(M2936&lt;=O2936,"Valor ≤ venal IPTU",""),"")</f>
        <v/>
      </c>
      <c r="U2936" s="10">
        <f>IF(AND(ISNUMBER(M2936),ISNUMBER(N2936)),IF(N2936&gt;0,M2936/N2936,""),"")</f>
        <v/>
      </c>
      <c r="V2936" s="10">
        <f>IF(AND(ISNUMBER(M2936),ISNUMBER(O2936)),IF(O2936&gt;0,M2936/O2936,""),"")</f>
        <v/>
      </c>
      <c r="W2936" s="10">
        <f>IF(AND(ISNUMBER(M2936),ISNUMBER(R2936)),IF(R2936&gt;0,M2936/R2936,""),"")</f>
        <v/>
      </c>
      <c r="X2936" s="10">
        <f>IF(AND(ISNUMBER(Q2936),ISNUMBER(M2936)),IF(M2936&gt;0,Q2936/M2936,""),"")</f>
        <v/>
      </c>
      <c r="Y2936" s="11">
        <f>IF(ISNUMBER(Z2936),YEAR(Z2936),"")</f>
        <v/>
      </c>
      <c r="Z2936" s="12" t="n"/>
      <c r="AA2936" s="12" t="n"/>
      <c r="AI2936" s="12" t="n"/>
      <c r="AJ2936" s="13">
        <f>IF(LEN(TRIM(AF2936))=0,"",HYPERLINK("https://www.google.com/maps/@?api=1&amp;map_action=pano&amp;viewpoint="&amp;SUBSTITUTE(AF2936," ",""),"Abrir Street View"))</f>
        <v/>
      </c>
    </row>
    <row r="2937">
      <c r="H2937" s="6" t="n"/>
      <c r="I2937" s="6" t="n"/>
      <c r="M2937" s="7" t="n"/>
      <c r="N2937" s="7" t="n"/>
      <c r="O2937" s="7" t="n"/>
      <c r="Q2937" s="7" t="n"/>
      <c r="R2937" s="7" t="n"/>
      <c r="S2937" s="8">
        <f>IF(NOT(ISNUMBER(M2937)),"",IF(G2937="Terreno",IF(AND(ISNUMBER(I2937),I2937&gt;0),M2937/I2937,""),IF(AND(ISNUMBER(H2937),H2937&gt;0),M2937/H2937,"")))</f>
        <v/>
      </c>
      <c r="T2937" s="9">
        <f>IF(AND(ISNUMBER(M2937),ISNUMBER(O2937)),IF(M2937&lt;=O2937,"Valor ≤ venal IPTU",""),"")</f>
        <v/>
      </c>
      <c r="U2937" s="10">
        <f>IF(AND(ISNUMBER(M2937),ISNUMBER(N2937)),IF(N2937&gt;0,M2937/N2937,""),"")</f>
        <v/>
      </c>
      <c r="V2937" s="10">
        <f>IF(AND(ISNUMBER(M2937),ISNUMBER(O2937)),IF(O2937&gt;0,M2937/O2937,""),"")</f>
        <v/>
      </c>
      <c r="W2937" s="10">
        <f>IF(AND(ISNUMBER(M2937),ISNUMBER(R2937)),IF(R2937&gt;0,M2937/R2937,""),"")</f>
        <v/>
      </c>
      <c r="X2937" s="10">
        <f>IF(AND(ISNUMBER(Q2937),ISNUMBER(M2937)),IF(M2937&gt;0,Q2937/M2937,""),"")</f>
        <v/>
      </c>
      <c r="Y2937" s="11">
        <f>IF(ISNUMBER(Z2937),YEAR(Z2937),"")</f>
        <v/>
      </c>
      <c r="Z2937" s="12" t="n"/>
      <c r="AA2937" s="12" t="n"/>
      <c r="AI2937" s="12" t="n"/>
      <c r="AJ2937" s="13">
        <f>IF(LEN(TRIM(AF2937))=0,"",HYPERLINK("https://www.google.com/maps/@?api=1&amp;map_action=pano&amp;viewpoint="&amp;SUBSTITUTE(AF2937," ",""),"Abrir Street View"))</f>
        <v/>
      </c>
    </row>
    <row r="2938">
      <c r="H2938" s="6" t="n"/>
      <c r="I2938" s="6" t="n"/>
      <c r="M2938" s="7" t="n"/>
      <c r="N2938" s="7" t="n"/>
      <c r="O2938" s="7" t="n"/>
      <c r="Q2938" s="7" t="n"/>
      <c r="R2938" s="7" t="n"/>
      <c r="S2938" s="8">
        <f>IF(NOT(ISNUMBER(M2938)),"",IF(G2938="Terreno",IF(AND(ISNUMBER(I2938),I2938&gt;0),M2938/I2938,""),IF(AND(ISNUMBER(H2938),H2938&gt;0),M2938/H2938,"")))</f>
        <v/>
      </c>
      <c r="T2938" s="9">
        <f>IF(AND(ISNUMBER(M2938),ISNUMBER(O2938)),IF(M2938&lt;=O2938,"Valor ≤ venal IPTU",""),"")</f>
        <v/>
      </c>
      <c r="U2938" s="10">
        <f>IF(AND(ISNUMBER(M2938),ISNUMBER(N2938)),IF(N2938&gt;0,M2938/N2938,""),"")</f>
        <v/>
      </c>
      <c r="V2938" s="10">
        <f>IF(AND(ISNUMBER(M2938),ISNUMBER(O2938)),IF(O2938&gt;0,M2938/O2938,""),"")</f>
        <v/>
      </c>
      <c r="W2938" s="10">
        <f>IF(AND(ISNUMBER(M2938),ISNUMBER(R2938)),IF(R2938&gt;0,M2938/R2938,""),"")</f>
        <v/>
      </c>
      <c r="X2938" s="10">
        <f>IF(AND(ISNUMBER(Q2938),ISNUMBER(M2938)),IF(M2938&gt;0,Q2938/M2938,""),"")</f>
        <v/>
      </c>
      <c r="Y2938" s="11">
        <f>IF(ISNUMBER(Z2938),YEAR(Z2938),"")</f>
        <v/>
      </c>
      <c r="Z2938" s="12" t="n"/>
      <c r="AA2938" s="12" t="n"/>
      <c r="AI2938" s="12" t="n"/>
      <c r="AJ2938" s="13">
        <f>IF(LEN(TRIM(AF2938))=0,"",HYPERLINK("https://www.google.com/maps/@?api=1&amp;map_action=pano&amp;viewpoint="&amp;SUBSTITUTE(AF2938," ",""),"Abrir Street View"))</f>
        <v/>
      </c>
    </row>
    <row r="2939">
      <c r="H2939" s="6" t="n"/>
      <c r="I2939" s="6" t="n"/>
      <c r="M2939" s="7" t="n"/>
      <c r="N2939" s="7" t="n"/>
      <c r="O2939" s="7" t="n"/>
      <c r="Q2939" s="7" t="n"/>
      <c r="R2939" s="7" t="n"/>
      <c r="S2939" s="8">
        <f>IF(NOT(ISNUMBER(M2939)),"",IF(G2939="Terreno",IF(AND(ISNUMBER(I2939),I2939&gt;0),M2939/I2939,""),IF(AND(ISNUMBER(H2939),H2939&gt;0),M2939/H2939,"")))</f>
        <v/>
      </c>
      <c r="T2939" s="9">
        <f>IF(AND(ISNUMBER(M2939),ISNUMBER(O2939)),IF(M2939&lt;=O2939,"Valor ≤ venal IPTU",""),"")</f>
        <v/>
      </c>
      <c r="U2939" s="10">
        <f>IF(AND(ISNUMBER(M2939),ISNUMBER(N2939)),IF(N2939&gt;0,M2939/N2939,""),"")</f>
        <v/>
      </c>
      <c r="V2939" s="10">
        <f>IF(AND(ISNUMBER(M2939),ISNUMBER(O2939)),IF(O2939&gt;0,M2939/O2939,""),"")</f>
        <v/>
      </c>
      <c r="W2939" s="10">
        <f>IF(AND(ISNUMBER(M2939),ISNUMBER(R2939)),IF(R2939&gt;0,M2939/R2939,""),"")</f>
        <v/>
      </c>
      <c r="X2939" s="10">
        <f>IF(AND(ISNUMBER(Q2939),ISNUMBER(M2939)),IF(M2939&gt;0,Q2939/M2939,""),"")</f>
        <v/>
      </c>
      <c r="Y2939" s="11">
        <f>IF(ISNUMBER(Z2939),YEAR(Z2939),"")</f>
        <v/>
      </c>
      <c r="Z2939" s="12" t="n"/>
      <c r="AA2939" s="12" t="n"/>
      <c r="AI2939" s="12" t="n"/>
      <c r="AJ2939" s="13">
        <f>IF(LEN(TRIM(AF2939))=0,"",HYPERLINK("https://www.google.com/maps/@?api=1&amp;map_action=pano&amp;viewpoint="&amp;SUBSTITUTE(AF2939," ",""),"Abrir Street View"))</f>
        <v/>
      </c>
    </row>
    <row r="2940">
      <c r="H2940" s="6" t="n"/>
      <c r="I2940" s="6" t="n"/>
      <c r="M2940" s="7" t="n"/>
      <c r="N2940" s="7" t="n"/>
      <c r="O2940" s="7" t="n"/>
      <c r="Q2940" s="7" t="n"/>
      <c r="R2940" s="7" t="n"/>
      <c r="S2940" s="8">
        <f>IF(NOT(ISNUMBER(M2940)),"",IF(G2940="Terreno",IF(AND(ISNUMBER(I2940),I2940&gt;0),M2940/I2940,""),IF(AND(ISNUMBER(H2940),H2940&gt;0),M2940/H2940,"")))</f>
        <v/>
      </c>
      <c r="T2940" s="9">
        <f>IF(AND(ISNUMBER(M2940),ISNUMBER(O2940)),IF(M2940&lt;=O2940,"Valor ≤ venal IPTU",""),"")</f>
        <v/>
      </c>
      <c r="U2940" s="10">
        <f>IF(AND(ISNUMBER(M2940),ISNUMBER(N2940)),IF(N2940&gt;0,M2940/N2940,""),"")</f>
        <v/>
      </c>
      <c r="V2940" s="10">
        <f>IF(AND(ISNUMBER(M2940),ISNUMBER(O2940)),IF(O2940&gt;0,M2940/O2940,""),"")</f>
        <v/>
      </c>
      <c r="W2940" s="10">
        <f>IF(AND(ISNUMBER(M2940),ISNUMBER(R2940)),IF(R2940&gt;0,M2940/R2940,""),"")</f>
        <v/>
      </c>
      <c r="X2940" s="10">
        <f>IF(AND(ISNUMBER(Q2940),ISNUMBER(M2940)),IF(M2940&gt;0,Q2940/M2940,""),"")</f>
        <v/>
      </c>
      <c r="Y2940" s="11">
        <f>IF(ISNUMBER(Z2940),YEAR(Z2940),"")</f>
        <v/>
      </c>
      <c r="Z2940" s="12" t="n"/>
      <c r="AA2940" s="12" t="n"/>
      <c r="AI2940" s="12" t="n"/>
      <c r="AJ2940" s="13">
        <f>IF(LEN(TRIM(AF2940))=0,"",HYPERLINK("https://www.google.com/maps/@?api=1&amp;map_action=pano&amp;viewpoint="&amp;SUBSTITUTE(AF2940," ",""),"Abrir Street View"))</f>
        <v/>
      </c>
    </row>
    <row r="2941">
      <c r="H2941" s="6" t="n"/>
      <c r="I2941" s="6" t="n"/>
      <c r="M2941" s="7" t="n"/>
      <c r="N2941" s="7" t="n"/>
      <c r="O2941" s="7" t="n"/>
      <c r="Q2941" s="7" t="n"/>
      <c r="R2941" s="7" t="n"/>
      <c r="S2941" s="8">
        <f>IF(NOT(ISNUMBER(M2941)),"",IF(G2941="Terreno",IF(AND(ISNUMBER(I2941),I2941&gt;0),M2941/I2941,""),IF(AND(ISNUMBER(H2941),H2941&gt;0),M2941/H2941,"")))</f>
        <v/>
      </c>
      <c r="T2941" s="9">
        <f>IF(AND(ISNUMBER(M2941),ISNUMBER(O2941)),IF(M2941&lt;=O2941,"Valor ≤ venal IPTU",""),"")</f>
        <v/>
      </c>
      <c r="U2941" s="10">
        <f>IF(AND(ISNUMBER(M2941),ISNUMBER(N2941)),IF(N2941&gt;0,M2941/N2941,""),"")</f>
        <v/>
      </c>
      <c r="V2941" s="10">
        <f>IF(AND(ISNUMBER(M2941),ISNUMBER(O2941)),IF(O2941&gt;0,M2941/O2941,""),"")</f>
        <v/>
      </c>
      <c r="W2941" s="10">
        <f>IF(AND(ISNUMBER(M2941),ISNUMBER(R2941)),IF(R2941&gt;0,M2941/R2941,""),"")</f>
        <v/>
      </c>
      <c r="X2941" s="10">
        <f>IF(AND(ISNUMBER(Q2941),ISNUMBER(M2941)),IF(M2941&gt;0,Q2941/M2941,""),"")</f>
        <v/>
      </c>
      <c r="Y2941" s="11">
        <f>IF(ISNUMBER(Z2941),YEAR(Z2941),"")</f>
        <v/>
      </c>
      <c r="Z2941" s="12" t="n"/>
      <c r="AA2941" s="12" t="n"/>
      <c r="AI2941" s="12" t="n"/>
      <c r="AJ2941" s="13">
        <f>IF(LEN(TRIM(AF2941))=0,"",HYPERLINK("https://www.google.com/maps/@?api=1&amp;map_action=pano&amp;viewpoint="&amp;SUBSTITUTE(AF2941," ",""),"Abrir Street View"))</f>
        <v/>
      </c>
    </row>
    <row r="2942">
      <c r="H2942" s="6" t="n"/>
      <c r="I2942" s="6" t="n"/>
      <c r="M2942" s="7" t="n"/>
      <c r="N2942" s="7" t="n"/>
      <c r="O2942" s="7" t="n"/>
      <c r="Q2942" s="7" t="n"/>
      <c r="R2942" s="7" t="n"/>
      <c r="S2942" s="8">
        <f>IF(NOT(ISNUMBER(M2942)),"",IF(G2942="Terreno",IF(AND(ISNUMBER(I2942),I2942&gt;0),M2942/I2942,""),IF(AND(ISNUMBER(H2942),H2942&gt;0),M2942/H2942,"")))</f>
        <v/>
      </c>
      <c r="T2942" s="9">
        <f>IF(AND(ISNUMBER(M2942),ISNUMBER(O2942)),IF(M2942&lt;=O2942,"Valor ≤ venal IPTU",""),"")</f>
        <v/>
      </c>
      <c r="U2942" s="10">
        <f>IF(AND(ISNUMBER(M2942),ISNUMBER(N2942)),IF(N2942&gt;0,M2942/N2942,""),"")</f>
        <v/>
      </c>
      <c r="V2942" s="10">
        <f>IF(AND(ISNUMBER(M2942),ISNUMBER(O2942)),IF(O2942&gt;0,M2942/O2942,""),"")</f>
        <v/>
      </c>
      <c r="W2942" s="10">
        <f>IF(AND(ISNUMBER(M2942),ISNUMBER(R2942)),IF(R2942&gt;0,M2942/R2942,""),"")</f>
        <v/>
      </c>
      <c r="X2942" s="10">
        <f>IF(AND(ISNUMBER(Q2942),ISNUMBER(M2942)),IF(M2942&gt;0,Q2942/M2942,""),"")</f>
        <v/>
      </c>
      <c r="Y2942" s="11">
        <f>IF(ISNUMBER(Z2942),YEAR(Z2942),"")</f>
        <v/>
      </c>
      <c r="Z2942" s="12" t="n"/>
      <c r="AA2942" s="12" t="n"/>
      <c r="AI2942" s="12" t="n"/>
      <c r="AJ2942" s="13">
        <f>IF(LEN(TRIM(AF2942))=0,"",HYPERLINK("https://www.google.com/maps/@?api=1&amp;map_action=pano&amp;viewpoint="&amp;SUBSTITUTE(AF2942," ",""),"Abrir Street View"))</f>
        <v/>
      </c>
    </row>
    <row r="2943">
      <c r="H2943" s="6" t="n"/>
      <c r="I2943" s="6" t="n"/>
      <c r="M2943" s="7" t="n"/>
      <c r="N2943" s="7" t="n"/>
      <c r="O2943" s="7" t="n"/>
      <c r="Q2943" s="7" t="n"/>
      <c r="R2943" s="7" t="n"/>
      <c r="S2943" s="8">
        <f>IF(NOT(ISNUMBER(M2943)),"",IF(G2943="Terreno",IF(AND(ISNUMBER(I2943),I2943&gt;0),M2943/I2943,""),IF(AND(ISNUMBER(H2943),H2943&gt;0),M2943/H2943,"")))</f>
        <v/>
      </c>
      <c r="T2943" s="9">
        <f>IF(AND(ISNUMBER(M2943),ISNUMBER(O2943)),IF(M2943&lt;=O2943,"Valor ≤ venal IPTU",""),"")</f>
        <v/>
      </c>
      <c r="U2943" s="10">
        <f>IF(AND(ISNUMBER(M2943),ISNUMBER(N2943)),IF(N2943&gt;0,M2943/N2943,""),"")</f>
        <v/>
      </c>
      <c r="V2943" s="10">
        <f>IF(AND(ISNUMBER(M2943),ISNUMBER(O2943)),IF(O2943&gt;0,M2943/O2943,""),"")</f>
        <v/>
      </c>
      <c r="W2943" s="10">
        <f>IF(AND(ISNUMBER(M2943),ISNUMBER(R2943)),IF(R2943&gt;0,M2943/R2943,""),"")</f>
        <v/>
      </c>
      <c r="X2943" s="10">
        <f>IF(AND(ISNUMBER(Q2943),ISNUMBER(M2943)),IF(M2943&gt;0,Q2943/M2943,""),"")</f>
        <v/>
      </c>
      <c r="Y2943" s="11">
        <f>IF(ISNUMBER(Z2943),YEAR(Z2943),"")</f>
        <v/>
      </c>
      <c r="Z2943" s="12" t="n"/>
      <c r="AA2943" s="12" t="n"/>
      <c r="AI2943" s="12" t="n"/>
      <c r="AJ2943" s="13">
        <f>IF(LEN(TRIM(AF2943))=0,"",HYPERLINK("https://www.google.com/maps/@?api=1&amp;map_action=pano&amp;viewpoint="&amp;SUBSTITUTE(AF2943," ",""),"Abrir Street View"))</f>
        <v/>
      </c>
    </row>
    <row r="2944">
      <c r="H2944" s="6" t="n"/>
      <c r="I2944" s="6" t="n"/>
      <c r="M2944" s="7" t="n"/>
      <c r="N2944" s="7" t="n"/>
      <c r="O2944" s="7" t="n"/>
      <c r="Q2944" s="7" t="n"/>
      <c r="R2944" s="7" t="n"/>
      <c r="S2944" s="8">
        <f>IF(NOT(ISNUMBER(M2944)),"",IF(G2944="Terreno",IF(AND(ISNUMBER(I2944),I2944&gt;0),M2944/I2944,""),IF(AND(ISNUMBER(H2944),H2944&gt;0),M2944/H2944,"")))</f>
        <v/>
      </c>
      <c r="T2944" s="9">
        <f>IF(AND(ISNUMBER(M2944),ISNUMBER(O2944)),IF(M2944&lt;=O2944,"Valor ≤ venal IPTU",""),"")</f>
        <v/>
      </c>
      <c r="U2944" s="10">
        <f>IF(AND(ISNUMBER(M2944),ISNUMBER(N2944)),IF(N2944&gt;0,M2944/N2944,""),"")</f>
        <v/>
      </c>
      <c r="V2944" s="10">
        <f>IF(AND(ISNUMBER(M2944),ISNUMBER(O2944)),IF(O2944&gt;0,M2944/O2944,""),"")</f>
        <v/>
      </c>
      <c r="W2944" s="10">
        <f>IF(AND(ISNUMBER(M2944),ISNUMBER(R2944)),IF(R2944&gt;0,M2944/R2944,""),"")</f>
        <v/>
      </c>
      <c r="X2944" s="10">
        <f>IF(AND(ISNUMBER(Q2944),ISNUMBER(M2944)),IF(M2944&gt;0,Q2944/M2944,""),"")</f>
        <v/>
      </c>
      <c r="Y2944" s="11">
        <f>IF(ISNUMBER(Z2944),YEAR(Z2944),"")</f>
        <v/>
      </c>
      <c r="Z2944" s="12" t="n"/>
      <c r="AA2944" s="12" t="n"/>
      <c r="AI2944" s="12" t="n"/>
      <c r="AJ2944" s="13">
        <f>IF(LEN(TRIM(AF2944))=0,"",HYPERLINK("https://www.google.com/maps/@?api=1&amp;map_action=pano&amp;viewpoint="&amp;SUBSTITUTE(AF2944," ",""),"Abrir Street View"))</f>
        <v/>
      </c>
    </row>
    <row r="2945">
      <c r="H2945" s="6" t="n"/>
      <c r="I2945" s="6" t="n"/>
      <c r="M2945" s="7" t="n"/>
      <c r="N2945" s="7" t="n"/>
      <c r="O2945" s="7" t="n"/>
      <c r="Q2945" s="7" t="n"/>
      <c r="R2945" s="7" t="n"/>
      <c r="S2945" s="8">
        <f>IF(NOT(ISNUMBER(M2945)),"",IF(G2945="Terreno",IF(AND(ISNUMBER(I2945),I2945&gt;0),M2945/I2945,""),IF(AND(ISNUMBER(H2945),H2945&gt;0),M2945/H2945,"")))</f>
        <v/>
      </c>
      <c r="T2945" s="9">
        <f>IF(AND(ISNUMBER(M2945),ISNUMBER(O2945)),IF(M2945&lt;=O2945,"Valor ≤ venal IPTU",""),"")</f>
        <v/>
      </c>
      <c r="U2945" s="10">
        <f>IF(AND(ISNUMBER(M2945),ISNUMBER(N2945)),IF(N2945&gt;0,M2945/N2945,""),"")</f>
        <v/>
      </c>
      <c r="V2945" s="10">
        <f>IF(AND(ISNUMBER(M2945),ISNUMBER(O2945)),IF(O2945&gt;0,M2945/O2945,""),"")</f>
        <v/>
      </c>
      <c r="W2945" s="10">
        <f>IF(AND(ISNUMBER(M2945),ISNUMBER(R2945)),IF(R2945&gt;0,M2945/R2945,""),"")</f>
        <v/>
      </c>
      <c r="X2945" s="10">
        <f>IF(AND(ISNUMBER(Q2945),ISNUMBER(M2945)),IF(M2945&gt;0,Q2945/M2945,""),"")</f>
        <v/>
      </c>
      <c r="Y2945" s="11">
        <f>IF(ISNUMBER(Z2945),YEAR(Z2945),"")</f>
        <v/>
      </c>
      <c r="Z2945" s="12" t="n"/>
      <c r="AA2945" s="12" t="n"/>
      <c r="AI2945" s="12" t="n"/>
      <c r="AJ2945" s="13">
        <f>IF(LEN(TRIM(AF2945))=0,"",HYPERLINK("https://www.google.com/maps/@?api=1&amp;map_action=pano&amp;viewpoint="&amp;SUBSTITUTE(AF2945," ",""),"Abrir Street View"))</f>
        <v/>
      </c>
    </row>
    <row r="2946">
      <c r="H2946" s="6" t="n"/>
      <c r="I2946" s="6" t="n"/>
      <c r="M2946" s="7" t="n"/>
      <c r="N2946" s="7" t="n"/>
      <c r="O2946" s="7" t="n"/>
      <c r="Q2946" s="7" t="n"/>
      <c r="R2946" s="7" t="n"/>
      <c r="S2946" s="8">
        <f>IF(NOT(ISNUMBER(M2946)),"",IF(G2946="Terreno",IF(AND(ISNUMBER(I2946),I2946&gt;0),M2946/I2946,""),IF(AND(ISNUMBER(H2946),H2946&gt;0),M2946/H2946,"")))</f>
        <v/>
      </c>
      <c r="T2946" s="9">
        <f>IF(AND(ISNUMBER(M2946),ISNUMBER(O2946)),IF(M2946&lt;=O2946,"Valor ≤ venal IPTU",""),"")</f>
        <v/>
      </c>
      <c r="U2946" s="10">
        <f>IF(AND(ISNUMBER(M2946),ISNUMBER(N2946)),IF(N2946&gt;0,M2946/N2946,""),"")</f>
        <v/>
      </c>
      <c r="V2946" s="10">
        <f>IF(AND(ISNUMBER(M2946),ISNUMBER(O2946)),IF(O2946&gt;0,M2946/O2946,""),"")</f>
        <v/>
      </c>
      <c r="W2946" s="10">
        <f>IF(AND(ISNUMBER(M2946),ISNUMBER(R2946)),IF(R2946&gt;0,M2946/R2946,""),"")</f>
        <v/>
      </c>
      <c r="X2946" s="10">
        <f>IF(AND(ISNUMBER(Q2946),ISNUMBER(M2946)),IF(M2946&gt;0,Q2946/M2946,""),"")</f>
        <v/>
      </c>
      <c r="Y2946" s="11">
        <f>IF(ISNUMBER(Z2946),YEAR(Z2946),"")</f>
        <v/>
      </c>
      <c r="Z2946" s="12" t="n"/>
      <c r="AA2946" s="12" t="n"/>
      <c r="AI2946" s="12" t="n"/>
      <c r="AJ2946" s="13">
        <f>IF(LEN(TRIM(AF2946))=0,"",HYPERLINK("https://www.google.com/maps/@?api=1&amp;map_action=pano&amp;viewpoint="&amp;SUBSTITUTE(AF2946," ",""),"Abrir Street View"))</f>
        <v/>
      </c>
    </row>
    <row r="2947">
      <c r="H2947" s="6" t="n"/>
      <c r="I2947" s="6" t="n"/>
      <c r="M2947" s="7" t="n"/>
      <c r="N2947" s="7" t="n"/>
      <c r="O2947" s="7" t="n"/>
      <c r="Q2947" s="7" t="n"/>
      <c r="R2947" s="7" t="n"/>
      <c r="S2947" s="8">
        <f>IF(NOT(ISNUMBER(M2947)),"",IF(G2947="Terreno",IF(AND(ISNUMBER(I2947),I2947&gt;0),M2947/I2947,""),IF(AND(ISNUMBER(H2947),H2947&gt;0),M2947/H2947,"")))</f>
        <v/>
      </c>
      <c r="T2947" s="9">
        <f>IF(AND(ISNUMBER(M2947),ISNUMBER(O2947)),IF(M2947&lt;=O2947,"Valor ≤ venal IPTU",""),"")</f>
        <v/>
      </c>
      <c r="U2947" s="10">
        <f>IF(AND(ISNUMBER(M2947),ISNUMBER(N2947)),IF(N2947&gt;0,M2947/N2947,""),"")</f>
        <v/>
      </c>
      <c r="V2947" s="10">
        <f>IF(AND(ISNUMBER(M2947),ISNUMBER(O2947)),IF(O2947&gt;0,M2947/O2947,""),"")</f>
        <v/>
      </c>
      <c r="W2947" s="10">
        <f>IF(AND(ISNUMBER(M2947),ISNUMBER(R2947)),IF(R2947&gt;0,M2947/R2947,""),"")</f>
        <v/>
      </c>
      <c r="X2947" s="10">
        <f>IF(AND(ISNUMBER(Q2947),ISNUMBER(M2947)),IF(M2947&gt;0,Q2947/M2947,""),"")</f>
        <v/>
      </c>
      <c r="Y2947" s="11">
        <f>IF(ISNUMBER(Z2947),YEAR(Z2947),"")</f>
        <v/>
      </c>
      <c r="Z2947" s="12" t="n"/>
      <c r="AA2947" s="12" t="n"/>
      <c r="AI2947" s="12" t="n"/>
      <c r="AJ2947" s="13">
        <f>IF(LEN(TRIM(AF2947))=0,"",HYPERLINK("https://www.google.com/maps/@?api=1&amp;map_action=pano&amp;viewpoint="&amp;SUBSTITUTE(AF2947," ",""),"Abrir Street View"))</f>
        <v/>
      </c>
    </row>
    <row r="2948">
      <c r="H2948" s="6" t="n"/>
      <c r="I2948" s="6" t="n"/>
      <c r="M2948" s="7" t="n"/>
      <c r="N2948" s="7" t="n"/>
      <c r="O2948" s="7" t="n"/>
      <c r="Q2948" s="7" t="n"/>
      <c r="R2948" s="7" t="n"/>
      <c r="S2948" s="8">
        <f>IF(NOT(ISNUMBER(M2948)),"",IF(G2948="Terreno",IF(AND(ISNUMBER(I2948),I2948&gt;0),M2948/I2948,""),IF(AND(ISNUMBER(H2948),H2948&gt;0),M2948/H2948,"")))</f>
        <v/>
      </c>
      <c r="T2948" s="9">
        <f>IF(AND(ISNUMBER(M2948),ISNUMBER(O2948)),IF(M2948&lt;=O2948,"Valor ≤ venal IPTU",""),"")</f>
        <v/>
      </c>
      <c r="U2948" s="10">
        <f>IF(AND(ISNUMBER(M2948),ISNUMBER(N2948)),IF(N2948&gt;0,M2948/N2948,""),"")</f>
        <v/>
      </c>
      <c r="V2948" s="10">
        <f>IF(AND(ISNUMBER(M2948),ISNUMBER(O2948)),IF(O2948&gt;0,M2948/O2948,""),"")</f>
        <v/>
      </c>
      <c r="W2948" s="10">
        <f>IF(AND(ISNUMBER(M2948),ISNUMBER(R2948)),IF(R2948&gt;0,M2948/R2948,""),"")</f>
        <v/>
      </c>
      <c r="X2948" s="10">
        <f>IF(AND(ISNUMBER(Q2948),ISNUMBER(M2948)),IF(M2948&gt;0,Q2948/M2948,""),"")</f>
        <v/>
      </c>
      <c r="Y2948" s="11">
        <f>IF(ISNUMBER(Z2948),YEAR(Z2948),"")</f>
        <v/>
      </c>
      <c r="Z2948" s="12" t="n"/>
      <c r="AA2948" s="12" t="n"/>
      <c r="AI2948" s="12" t="n"/>
      <c r="AJ2948" s="13">
        <f>IF(LEN(TRIM(AF2948))=0,"",HYPERLINK("https://www.google.com/maps/@?api=1&amp;map_action=pano&amp;viewpoint="&amp;SUBSTITUTE(AF2948," ",""),"Abrir Street View"))</f>
        <v/>
      </c>
    </row>
    <row r="2949">
      <c r="H2949" s="6" t="n"/>
      <c r="I2949" s="6" t="n"/>
      <c r="M2949" s="7" t="n"/>
      <c r="N2949" s="7" t="n"/>
      <c r="O2949" s="7" t="n"/>
      <c r="Q2949" s="7" t="n"/>
      <c r="R2949" s="7" t="n"/>
      <c r="S2949" s="8">
        <f>IF(NOT(ISNUMBER(M2949)),"",IF(G2949="Terreno",IF(AND(ISNUMBER(I2949),I2949&gt;0),M2949/I2949,""),IF(AND(ISNUMBER(H2949),H2949&gt;0),M2949/H2949,"")))</f>
        <v/>
      </c>
      <c r="T2949" s="9">
        <f>IF(AND(ISNUMBER(M2949),ISNUMBER(O2949)),IF(M2949&lt;=O2949,"Valor ≤ venal IPTU",""),"")</f>
        <v/>
      </c>
      <c r="U2949" s="10">
        <f>IF(AND(ISNUMBER(M2949),ISNUMBER(N2949)),IF(N2949&gt;0,M2949/N2949,""),"")</f>
        <v/>
      </c>
      <c r="V2949" s="10">
        <f>IF(AND(ISNUMBER(M2949),ISNUMBER(O2949)),IF(O2949&gt;0,M2949/O2949,""),"")</f>
        <v/>
      </c>
      <c r="W2949" s="10">
        <f>IF(AND(ISNUMBER(M2949),ISNUMBER(R2949)),IF(R2949&gt;0,M2949/R2949,""),"")</f>
        <v/>
      </c>
      <c r="X2949" s="10">
        <f>IF(AND(ISNUMBER(Q2949),ISNUMBER(M2949)),IF(M2949&gt;0,Q2949/M2949,""),"")</f>
        <v/>
      </c>
      <c r="Y2949" s="11">
        <f>IF(ISNUMBER(Z2949),YEAR(Z2949),"")</f>
        <v/>
      </c>
      <c r="Z2949" s="12" t="n"/>
      <c r="AA2949" s="12" t="n"/>
      <c r="AI2949" s="12" t="n"/>
      <c r="AJ2949" s="13">
        <f>IF(LEN(TRIM(AF2949))=0,"",HYPERLINK("https://www.google.com/maps/@?api=1&amp;map_action=pano&amp;viewpoint="&amp;SUBSTITUTE(AF2949," ",""),"Abrir Street View"))</f>
        <v/>
      </c>
    </row>
    <row r="2950">
      <c r="H2950" s="6" t="n"/>
      <c r="I2950" s="6" t="n"/>
      <c r="M2950" s="7" t="n"/>
      <c r="N2950" s="7" t="n"/>
      <c r="O2950" s="7" t="n"/>
      <c r="Q2950" s="7" t="n"/>
      <c r="R2950" s="7" t="n"/>
      <c r="S2950" s="8">
        <f>IF(NOT(ISNUMBER(M2950)),"",IF(G2950="Terreno",IF(AND(ISNUMBER(I2950),I2950&gt;0),M2950/I2950,""),IF(AND(ISNUMBER(H2950),H2950&gt;0),M2950/H2950,"")))</f>
        <v/>
      </c>
      <c r="T2950" s="9">
        <f>IF(AND(ISNUMBER(M2950),ISNUMBER(O2950)),IF(M2950&lt;=O2950,"Valor ≤ venal IPTU",""),"")</f>
        <v/>
      </c>
      <c r="U2950" s="10">
        <f>IF(AND(ISNUMBER(M2950),ISNUMBER(N2950)),IF(N2950&gt;0,M2950/N2950,""),"")</f>
        <v/>
      </c>
      <c r="V2950" s="10">
        <f>IF(AND(ISNUMBER(M2950),ISNUMBER(O2950)),IF(O2950&gt;0,M2950/O2950,""),"")</f>
        <v/>
      </c>
      <c r="W2950" s="10">
        <f>IF(AND(ISNUMBER(M2950),ISNUMBER(R2950)),IF(R2950&gt;0,M2950/R2950,""),"")</f>
        <v/>
      </c>
      <c r="X2950" s="10">
        <f>IF(AND(ISNUMBER(Q2950),ISNUMBER(M2950)),IF(M2950&gt;0,Q2950/M2950,""),"")</f>
        <v/>
      </c>
      <c r="Y2950" s="11">
        <f>IF(ISNUMBER(Z2950),YEAR(Z2950),"")</f>
        <v/>
      </c>
      <c r="Z2950" s="12" t="n"/>
      <c r="AA2950" s="12" t="n"/>
      <c r="AI2950" s="12" t="n"/>
      <c r="AJ2950" s="13">
        <f>IF(LEN(TRIM(AF2950))=0,"",HYPERLINK("https://www.google.com/maps/@?api=1&amp;map_action=pano&amp;viewpoint="&amp;SUBSTITUTE(AF2950," ",""),"Abrir Street View"))</f>
        <v/>
      </c>
    </row>
    <row r="2951">
      <c r="H2951" s="6" t="n"/>
      <c r="I2951" s="6" t="n"/>
      <c r="M2951" s="7" t="n"/>
      <c r="N2951" s="7" t="n"/>
      <c r="O2951" s="7" t="n"/>
      <c r="Q2951" s="7" t="n"/>
      <c r="R2951" s="7" t="n"/>
      <c r="S2951" s="8">
        <f>IF(NOT(ISNUMBER(M2951)),"",IF(G2951="Terreno",IF(AND(ISNUMBER(I2951),I2951&gt;0),M2951/I2951,""),IF(AND(ISNUMBER(H2951),H2951&gt;0),M2951/H2951,"")))</f>
        <v/>
      </c>
      <c r="T2951" s="9">
        <f>IF(AND(ISNUMBER(M2951),ISNUMBER(O2951)),IF(M2951&lt;=O2951,"Valor ≤ venal IPTU",""),"")</f>
        <v/>
      </c>
      <c r="U2951" s="10">
        <f>IF(AND(ISNUMBER(M2951),ISNUMBER(N2951)),IF(N2951&gt;0,M2951/N2951,""),"")</f>
        <v/>
      </c>
      <c r="V2951" s="10">
        <f>IF(AND(ISNUMBER(M2951),ISNUMBER(O2951)),IF(O2951&gt;0,M2951/O2951,""),"")</f>
        <v/>
      </c>
      <c r="W2951" s="10">
        <f>IF(AND(ISNUMBER(M2951),ISNUMBER(R2951)),IF(R2951&gt;0,M2951/R2951,""),"")</f>
        <v/>
      </c>
      <c r="X2951" s="10">
        <f>IF(AND(ISNUMBER(Q2951),ISNUMBER(M2951)),IF(M2951&gt;0,Q2951/M2951,""),"")</f>
        <v/>
      </c>
      <c r="Y2951" s="11">
        <f>IF(ISNUMBER(Z2951),YEAR(Z2951),"")</f>
        <v/>
      </c>
      <c r="Z2951" s="12" t="n"/>
      <c r="AA2951" s="12" t="n"/>
      <c r="AI2951" s="12" t="n"/>
      <c r="AJ2951" s="13">
        <f>IF(LEN(TRIM(AF2951))=0,"",HYPERLINK("https://www.google.com/maps/@?api=1&amp;map_action=pano&amp;viewpoint="&amp;SUBSTITUTE(AF2951," ",""),"Abrir Street View"))</f>
        <v/>
      </c>
    </row>
    <row r="2952">
      <c r="H2952" s="6" t="n"/>
      <c r="I2952" s="6" t="n"/>
      <c r="M2952" s="7" t="n"/>
      <c r="N2952" s="7" t="n"/>
      <c r="O2952" s="7" t="n"/>
      <c r="Q2952" s="7" t="n"/>
      <c r="R2952" s="7" t="n"/>
      <c r="S2952" s="8">
        <f>IF(NOT(ISNUMBER(M2952)),"",IF(G2952="Terreno",IF(AND(ISNUMBER(I2952),I2952&gt;0),M2952/I2952,""),IF(AND(ISNUMBER(H2952),H2952&gt;0),M2952/H2952,"")))</f>
        <v/>
      </c>
      <c r="T2952" s="9">
        <f>IF(AND(ISNUMBER(M2952),ISNUMBER(O2952)),IF(M2952&lt;=O2952,"Valor ≤ venal IPTU",""),"")</f>
        <v/>
      </c>
      <c r="U2952" s="10">
        <f>IF(AND(ISNUMBER(M2952),ISNUMBER(N2952)),IF(N2952&gt;0,M2952/N2952,""),"")</f>
        <v/>
      </c>
      <c r="V2952" s="10">
        <f>IF(AND(ISNUMBER(M2952),ISNUMBER(O2952)),IF(O2952&gt;0,M2952/O2952,""),"")</f>
        <v/>
      </c>
      <c r="W2952" s="10">
        <f>IF(AND(ISNUMBER(M2952),ISNUMBER(R2952)),IF(R2952&gt;0,M2952/R2952,""),"")</f>
        <v/>
      </c>
      <c r="X2952" s="10">
        <f>IF(AND(ISNUMBER(Q2952),ISNUMBER(M2952)),IF(M2952&gt;0,Q2952/M2952,""),"")</f>
        <v/>
      </c>
      <c r="Y2952" s="11">
        <f>IF(ISNUMBER(Z2952),YEAR(Z2952),"")</f>
        <v/>
      </c>
      <c r="Z2952" s="12" t="n"/>
      <c r="AA2952" s="12" t="n"/>
      <c r="AI2952" s="12" t="n"/>
      <c r="AJ2952" s="13">
        <f>IF(LEN(TRIM(AF2952))=0,"",HYPERLINK("https://www.google.com/maps/@?api=1&amp;map_action=pano&amp;viewpoint="&amp;SUBSTITUTE(AF2952," ",""),"Abrir Street View"))</f>
        <v/>
      </c>
    </row>
    <row r="2953">
      <c r="H2953" s="6" t="n"/>
      <c r="I2953" s="6" t="n"/>
      <c r="M2953" s="7" t="n"/>
      <c r="N2953" s="7" t="n"/>
      <c r="O2953" s="7" t="n"/>
      <c r="Q2953" s="7" t="n"/>
      <c r="R2953" s="7" t="n"/>
      <c r="S2953" s="8">
        <f>IF(NOT(ISNUMBER(M2953)),"",IF(G2953="Terreno",IF(AND(ISNUMBER(I2953),I2953&gt;0),M2953/I2953,""),IF(AND(ISNUMBER(H2953),H2953&gt;0),M2953/H2953,"")))</f>
        <v/>
      </c>
      <c r="T2953" s="9">
        <f>IF(AND(ISNUMBER(M2953),ISNUMBER(O2953)),IF(M2953&lt;=O2953,"Valor ≤ venal IPTU",""),"")</f>
        <v/>
      </c>
      <c r="U2953" s="10">
        <f>IF(AND(ISNUMBER(M2953),ISNUMBER(N2953)),IF(N2953&gt;0,M2953/N2953,""),"")</f>
        <v/>
      </c>
      <c r="V2953" s="10">
        <f>IF(AND(ISNUMBER(M2953),ISNUMBER(O2953)),IF(O2953&gt;0,M2953/O2953,""),"")</f>
        <v/>
      </c>
      <c r="W2953" s="10">
        <f>IF(AND(ISNUMBER(M2953),ISNUMBER(R2953)),IF(R2953&gt;0,M2953/R2953,""),"")</f>
        <v/>
      </c>
      <c r="X2953" s="10">
        <f>IF(AND(ISNUMBER(Q2953),ISNUMBER(M2953)),IF(M2953&gt;0,Q2953/M2953,""),"")</f>
        <v/>
      </c>
      <c r="Y2953" s="11">
        <f>IF(ISNUMBER(Z2953),YEAR(Z2953),"")</f>
        <v/>
      </c>
      <c r="Z2953" s="12" t="n"/>
      <c r="AA2953" s="12" t="n"/>
      <c r="AI2953" s="12" t="n"/>
      <c r="AJ2953" s="13">
        <f>IF(LEN(TRIM(AF2953))=0,"",HYPERLINK("https://www.google.com/maps/@?api=1&amp;map_action=pano&amp;viewpoint="&amp;SUBSTITUTE(AF2953," ",""),"Abrir Street View"))</f>
        <v/>
      </c>
    </row>
    <row r="2954">
      <c r="H2954" s="6" t="n"/>
      <c r="I2954" s="6" t="n"/>
      <c r="M2954" s="7" t="n"/>
      <c r="N2954" s="7" t="n"/>
      <c r="O2954" s="7" t="n"/>
      <c r="Q2954" s="7" t="n"/>
      <c r="R2954" s="7" t="n"/>
      <c r="S2954" s="8">
        <f>IF(NOT(ISNUMBER(M2954)),"",IF(G2954="Terreno",IF(AND(ISNUMBER(I2954),I2954&gt;0),M2954/I2954,""),IF(AND(ISNUMBER(H2954),H2954&gt;0),M2954/H2954,"")))</f>
        <v/>
      </c>
      <c r="T2954" s="9">
        <f>IF(AND(ISNUMBER(M2954),ISNUMBER(O2954)),IF(M2954&lt;=O2954,"Valor ≤ venal IPTU",""),"")</f>
        <v/>
      </c>
      <c r="U2954" s="10">
        <f>IF(AND(ISNUMBER(M2954),ISNUMBER(N2954)),IF(N2954&gt;0,M2954/N2954,""),"")</f>
        <v/>
      </c>
      <c r="V2954" s="10">
        <f>IF(AND(ISNUMBER(M2954),ISNUMBER(O2954)),IF(O2954&gt;0,M2954/O2954,""),"")</f>
        <v/>
      </c>
      <c r="W2954" s="10">
        <f>IF(AND(ISNUMBER(M2954),ISNUMBER(R2954)),IF(R2954&gt;0,M2954/R2954,""),"")</f>
        <v/>
      </c>
      <c r="X2954" s="10">
        <f>IF(AND(ISNUMBER(Q2954),ISNUMBER(M2954)),IF(M2954&gt;0,Q2954/M2954,""),"")</f>
        <v/>
      </c>
      <c r="Y2954" s="11">
        <f>IF(ISNUMBER(Z2954),YEAR(Z2954),"")</f>
        <v/>
      </c>
      <c r="Z2954" s="12" t="n"/>
      <c r="AA2954" s="12" t="n"/>
      <c r="AI2954" s="12" t="n"/>
      <c r="AJ2954" s="13">
        <f>IF(LEN(TRIM(AF2954))=0,"",HYPERLINK("https://www.google.com/maps/@?api=1&amp;map_action=pano&amp;viewpoint="&amp;SUBSTITUTE(AF2954," ",""),"Abrir Street View"))</f>
        <v/>
      </c>
    </row>
    <row r="2955">
      <c r="H2955" s="6" t="n"/>
      <c r="I2955" s="6" t="n"/>
      <c r="M2955" s="7" t="n"/>
      <c r="N2955" s="7" t="n"/>
      <c r="O2955" s="7" t="n"/>
      <c r="Q2955" s="7" t="n"/>
      <c r="R2955" s="7" t="n"/>
      <c r="S2955" s="8">
        <f>IF(NOT(ISNUMBER(M2955)),"",IF(G2955="Terreno",IF(AND(ISNUMBER(I2955),I2955&gt;0),M2955/I2955,""),IF(AND(ISNUMBER(H2955),H2955&gt;0),M2955/H2955,"")))</f>
        <v/>
      </c>
      <c r="T2955" s="9">
        <f>IF(AND(ISNUMBER(M2955),ISNUMBER(O2955)),IF(M2955&lt;=O2955,"Valor ≤ venal IPTU",""),"")</f>
        <v/>
      </c>
      <c r="U2955" s="10">
        <f>IF(AND(ISNUMBER(M2955),ISNUMBER(N2955)),IF(N2955&gt;0,M2955/N2955,""),"")</f>
        <v/>
      </c>
      <c r="V2955" s="10">
        <f>IF(AND(ISNUMBER(M2955),ISNUMBER(O2955)),IF(O2955&gt;0,M2955/O2955,""),"")</f>
        <v/>
      </c>
      <c r="W2955" s="10">
        <f>IF(AND(ISNUMBER(M2955),ISNUMBER(R2955)),IF(R2955&gt;0,M2955/R2955,""),"")</f>
        <v/>
      </c>
      <c r="X2955" s="10">
        <f>IF(AND(ISNUMBER(Q2955),ISNUMBER(M2955)),IF(M2955&gt;0,Q2955/M2955,""),"")</f>
        <v/>
      </c>
      <c r="Y2955" s="11">
        <f>IF(ISNUMBER(Z2955),YEAR(Z2955),"")</f>
        <v/>
      </c>
      <c r="Z2955" s="12" t="n"/>
      <c r="AA2955" s="12" t="n"/>
      <c r="AI2955" s="12" t="n"/>
      <c r="AJ2955" s="13">
        <f>IF(LEN(TRIM(AF2955))=0,"",HYPERLINK("https://www.google.com/maps/@?api=1&amp;map_action=pano&amp;viewpoint="&amp;SUBSTITUTE(AF2955," ",""),"Abrir Street View"))</f>
        <v/>
      </c>
    </row>
    <row r="2956">
      <c r="H2956" s="6" t="n"/>
      <c r="I2956" s="6" t="n"/>
      <c r="M2956" s="7" t="n"/>
      <c r="N2956" s="7" t="n"/>
      <c r="O2956" s="7" t="n"/>
      <c r="Q2956" s="7" t="n"/>
      <c r="R2956" s="7" t="n"/>
      <c r="S2956" s="8">
        <f>IF(NOT(ISNUMBER(M2956)),"",IF(G2956="Terreno",IF(AND(ISNUMBER(I2956),I2956&gt;0),M2956/I2956,""),IF(AND(ISNUMBER(H2956),H2956&gt;0),M2956/H2956,"")))</f>
        <v/>
      </c>
      <c r="T2956" s="9">
        <f>IF(AND(ISNUMBER(M2956),ISNUMBER(O2956)),IF(M2956&lt;=O2956,"Valor ≤ venal IPTU",""),"")</f>
        <v/>
      </c>
      <c r="U2956" s="10">
        <f>IF(AND(ISNUMBER(M2956),ISNUMBER(N2956)),IF(N2956&gt;0,M2956/N2956,""),"")</f>
        <v/>
      </c>
      <c r="V2956" s="10">
        <f>IF(AND(ISNUMBER(M2956),ISNUMBER(O2956)),IF(O2956&gt;0,M2956/O2956,""),"")</f>
        <v/>
      </c>
      <c r="W2956" s="10">
        <f>IF(AND(ISNUMBER(M2956),ISNUMBER(R2956)),IF(R2956&gt;0,M2956/R2956,""),"")</f>
        <v/>
      </c>
      <c r="X2956" s="10">
        <f>IF(AND(ISNUMBER(Q2956),ISNUMBER(M2956)),IF(M2956&gt;0,Q2956/M2956,""),"")</f>
        <v/>
      </c>
      <c r="Y2956" s="11">
        <f>IF(ISNUMBER(Z2956),YEAR(Z2956),"")</f>
        <v/>
      </c>
      <c r="Z2956" s="12" t="n"/>
      <c r="AA2956" s="12" t="n"/>
      <c r="AI2956" s="12" t="n"/>
      <c r="AJ2956" s="13">
        <f>IF(LEN(TRIM(AF2956))=0,"",HYPERLINK("https://www.google.com/maps/@?api=1&amp;map_action=pano&amp;viewpoint="&amp;SUBSTITUTE(AF2956," ",""),"Abrir Street View"))</f>
        <v/>
      </c>
    </row>
    <row r="2957">
      <c r="H2957" s="6" t="n"/>
      <c r="I2957" s="6" t="n"/>
      <c r="M2957" s="7" t="n"/>
      <c r="N2957" s="7" t="n"/>
      <c r="O2957" s="7" t="n"/>
      <c r="Q2957" s="7" t="n"/>
      <c r="R2957" s="7" t="n"/>
      <c r="S2957" s="8">
        <f>IF(NOT(ISNUMBER(M2957)),"",IF(G2957="Terreno",IF(AND(ISNUMBER(I2957),I2957&gt;0),M2957/I2957,""),IF(AND(ISNUMBER(H2957),H2957&gt;0),M2957/H2957,"")))</f>
        <v/>
      </c>
      <c r="T2957" s="9">
        <f>IF(AND(ISNUMBER(M2957),ISNUMBER(O2957)),IF(M2957&lt;=O2957,"Valor ≤ venal IPTU",""),"")</f>
        <v/>
      </c>
      <c r="U2957" s="10">
        <f>IF(AND(ISNUMBER(M2957),ISNUMBER(N2957)),IF(N2957&gt;0,M2957/N2957,""),"")</f>
        <v/>
      </c>
      <c r="V2957" s="10">
        <f>IF(AND(ISNUMBER(M2957),ISNUMBER(O2957)),IF(O2957&gt;0,M2957/O2957,""),"")</f>
        <v/>
      </c>
      <c r="W2957" s="10">
        <f>IF(AND(ISNUMBER(M2957),ISNUMBER(R2957)),IF(R2957&gt;0,M2957/R2957,""),"")</f>
        <v/>
      </c>
      <c r="X2957" s="10">
        <f>IF(AND(ISNUMBER(Q2957),ISNUMBER(M2957)),IF(M2957&gt;0,Q2957/M2957,""),"")</f>
        <v/>
      </c>
      <c r="Y2957" s="11">
        <f>IF(ISNUMBER(Z2957),YEAR(Z2957),"")</f>
        <v/>
      </c>
      <c r="Z2957" s="12" t="n"/>
      <c r="AA2957" s="12" t="n"/>
      <c r="AI2957" s="12" t="n"/>
      <c r="AJ2957" s="13">
        <f>IF(LEN(TRIM(AF2957))=0,"",HYPERLINK("https://www.google.com/maps/@?api=1&amp;map_action=pano&amp;viewpoint="&amp;SUBSTITUTE(AF2957," ",""),"Abrir Street View"))</f>
        <v/>
      </c>
    </row>
    <row r="2958">
      <c r="H2958" s="6" t="n"/>
      <c r="I2958" s="6" t="n"/>
      <c r="M2958" s="7" t="n"/>
      <c r="N2958" s="7" t="n"/>
      <c r="O2958" s="7" t="n"/>
      <c r="Q2958" s="7" t="n"/>
      <c r="R2958" s="7" t="n"/>
      <c r="S2958" s="8">
        <f>IF(NOT(ISNUMBER(M2958)),"",IF(G2958="Terreno",IF(AND(ISNUMBER(I2958),I2958&gt;0),M2958/I2958,""),IF(AND(ISNUMBER(H2958),H2958&gt;0),M2958/H2958,"")))</f>
        <v/>
      </c>
      <c r="T2958" s="9">
        <f>IF(AND(ISNUMBER(M2958),ISNUMBER(O2958)),IF(M2958&lt;=O2958,"Valor ≤ venal IPTU",""),"")</f>
        <v/>
      </c>
      <c r="U2958" s="10">
        <f>IF(AND(ISNUMBER(M2958),ISNUMBER(N2958)),IF(N2958&gt;0,M2958/N2958,""),"")</f>
        <v/>
      </c>
      <c r="V2958" s="10">
        <f>IF(AND(ISNUMBER(M2958),ISNUMBER(O2958)),IF(O2958&gt;0,M2958/O2958,""),"")</f>
        <v/>
      </c>
      <c r="W2958" s="10">
        <f>IF(AND(ISNUMBER(M2958),ISNUMBER(R2958)),IF(R2958&gt;0,M2958/R2958,""),"")</f>
        <v/>
      </c>
      <c r="X2958" s="10">
        <f>IF(AND(ISNUMBER(Q2958),ISNUMBER(M2958)),IF(M2958&gt;0,Q2958/M2958,""),"")</f>
        <v/>
      </c>
      <c r="Y2958" s="11">
        <f>IF(ISNUMBER(Z2958),YEAR(Z2958),"")</f>
        <v/>
      </c>
      <c r="Z2958" s="12" t="n"/>
      <c r="AA2958" s="12" t="n"/>
      <c r="AI2958" s="12" t="n"/>
      <c r="AJ2958" s="13">
        <f>IF(LEN(TRIM(AF2958))=0,"",HYPERLINK("https://www.google.com/maps/@?api=1&amp;map_action=pano&amp;viewpoint="&amp;SUBSTITUTE(AF2958," ",""),"Abrir Street View"))</f>
        <v/>
      </c>
    </row>
    <row r="2959">
      <c r="H2959" s="6" t="n"/>
      <c r="I2959" s="6" t="n"/>
      <c r="M2959" s="7" t="n"/>
      <c r="N2959" s="7" t="n"/>
      <c r="O2959" s="7" t="n"/>
      <c r="Q2959" s="7" t="n"/>
      <c r="R2959" s="7" t="n"/>
      <c r="S2959" s="8">
        <f>IF(NOT(ISNUMBER(M2959)),"",IF(G2959="Terreno",IF(AND(ISNUMBER(I2959),I2959&gt;0),M2959/I2959,""),IF(AND(ISNUMBER(H2959),H2959&gt;0),M2959/H2959,"")))</f>
        <v/>
      </c>
      <c r="T2959" s="9">
        <f>IF(AND(ISNUMBER(M2959),ISNUMBER(O2959)),IF(M2959&lt;=O2959,"Valor ≤ venal IPTU",""),"")</f>
        <v/>
      </c>
      <c r="U2959" s="10">
        <f>IF(AND(ISNUMBER(M2959),ISNUMBER(N2959)),IF(N2959&gt;0,M2959/N2959,""),"")</f>
        <v/>
      </c>
      <c r="V2959" s="10">
        <f>IF(AND(ISNUMBER(M2959),ISNUMBER(O2959)),IF(O2959&gt;0,M2959/O2959,""),"")</f>
        <v/>
      </c>
      <c r="W2959" s="10">
        <f>IF(AND(ISNUMBER(M2959),ISNUMBER(R2959)),IF(R2959&gt;0,M2959/R2959,""),"")</f>
        <v/>
      </c>
      <c r="X2959" s="10">
        <f>IF(AND(ISNUMBER(Q2959),ISNUMBER(M2959)),IF(M2959&gt;0,Q2959/M2959,""),"")</f>
        <v/>
      </c>
      <c r="Y2959" s="11">
        <f>IF(ISNUMBER(Z2959),YEAR(Z2959),"")</f>
        <v/>
      </c>
      <c r="Z2959" s="12" t="n"/>
      <c r="AA2959" s="12" t="n"/>
      <c r="AI2959" s="12" t="n"/>
      <c r="AJ2959" s="13">
        <f>IF(LEN(TRIM(AF2959))=0,"",HYPERLINK("https://www.google.com/maps/@?api=1&amp;map_action=pano&amp;viewpoint="&amp;SUBSTITUTE(AF2959," ",""),"Abrir Street View"))</f>
        <v/>
      </c>
    </row>
    <row r="2960">
      <c r="H2960" s="6" t="n"/>
      <c r="I2960" s="6" t="n"/>
      <c r="M2960" s="7" t="n"/>
      <c r="N2960" s="7" t="n"/>
      <c r="O2960" s="7" t="n"/>
      <c r="Q2960" s="7" t="n"/>
      <c r="R2960" s="7" t="n"/>
      <c r="S2960" s="8">
        <f>IF(NOT(ISNUMBER(M2960)),"",IF(G2960="Terreno",IF(AND(ISNUMBER(I2960),I2960&gt;0),M2960/I2960,""),IF(AND(ISNUMBER(H2960),H2960&gt;0),M2960/H2960,"")))</f>
        <v/>
      </c>
      <c r="T2960" s="9">
        <f>IF(AND(ISNUMBER(M2960),ISNUMBER(O2960)),IF(M2960&lt;=O2960,"Valor ≤ venal IPTU",""),"")</f>
        <v/>
      </c>
      <c r="U2960" s="10">
        <f>IF(AND(ISNUMBER(M2960),ISNUMBER(N2960)),IF(N2960&gt;0,M2960/N2960,""),"")</f>
        <v/>
      </c>
      <c r="V2960" s="10">
        <f>IF(AND(ISNUMBER(M2960),ISNUMBER(O2960)),IF(O2960&gt;0,M2960/O2960,""),"")</f>
        <v/>
      </c>
      <c r="W2960" s="10">
        <f>IF(AND(ISNUMBER(M2960),ISNUMBER(R2960)),IF(R2960&gt;0,M2960/R2960,""),"")</f>
        <v/>
      </c>
      <c r="X2960" s="10">
        <f>IF(AND(ISNUMBER(Q2960),ISNUMBER(M2960)),IF(M2960&gt;0,Q2960/M2960,""),"")</f>
        <v/>
      </c>
      <c r="Y2960" s="11">
        <f>IF(ISNUMBER(Z2960),YEAR(Z2960),"")</f>
        <v/>
      </c>
      <c r="Z2960" s="12" t="n"/>
      <c r="AA2960" s="12" t="n"/>
      <c r="AI2960" s="12" t="n"/>
      <c r="AJ2960" s="13">
        <f>IF(LEN(TRIM(AF2960))=0,"",HYPERLINK("https://www.google.com/maps/@?api=1&amp;map_action=pano&amp;viewpoint="&amp;SUBSTITUTE(AF2960," ",""),"Abrir Street View"))</f>
        <v/>
      </c>
    </row>
    <row r="2961">
      <c r="H2961" s="6" t="n"/>
      <c r="I2961" s="6" t="n"/>
      <c r="M2961" s="7" t="n"/>
      <c r="N2961" s="7" t="n"/>
      <c r="O2961" s="7" t="n"/>
      <c r="Q2961" s="7" t="n"/>
      <c r="R2961" s="7" t="n"/>
      <c r="S2961" s="8">
        <f>IF(NOT(ISNUMBER(M2961)),"",IF(G2961="Terreno",IF(AND(ISNUMBER(I2961),I2961&gt;0),M2961/I2961,""),IF(AND(ISNUMBER(H2961),H2961&gt;0),M2961/H2961,"")))</f>
        <v/>
      </c>
      <c r="T2961" s="9">
        <f>IF(AND(ISNUMBER(M2961),ISNUMBER(O2961)),IF(M2961&lt;=O2961,"Valor ≤ venal IPTU",""),"")</f>
        <v/>
      </c>
      <c r="U2961" s="10">
        <f>IF(AND(ISNUMBER(M2961),ISNUMBER(N2961)),IF(N2961&gt;0,M2961/N2961,""),"")</f>
        <v/>
      </c>
      <c r="V2961" s="10">
        <f>IF(AND(ISNUMBER(M2961),ISNUMBER(O2961)),IF(O2961&gt;0,M2961/O2961,""),"")</f>
        <v/>
      </c>
      <c r="W2961" s="10">
        <f>IF(AND(ISNUMBER(M2961),ISNUMBER(R2961)),IF(R2961&gt;0,M2961/R2961,""),"")</f>
        <v/>
      </c>
      <c r="X2961" s="10">
        <f>IF(AND(ISNUMBER(Q2961),ISNUMBER(M2961)),IF(M2961&gt;0,Q2961/M2961,""),"")</f>
        <v/>
      </c>
      <c r="Y2961" s="11">
        <f>IF(ISNUMBER(Z2961),YEAR(Z2961),"")</f>
        <v/>
      </c>
      <c r="Z2961" s="12" t="n"/>
      <c r="AA2961" s="12" t="n"/>
      <c r="AI2961" s="12" t="n"/>
      <c r="AJ2961" s="13">
        <f>IF(LEN(TRIM(AF2961))=0,"",HYPERLINK("https://www.google.com/maps/@?api=1&amp;map_action=pano&amp;viewpoint="&amp;SUBSTITUTE(AF2961," ",""),"Abrir Street View"))</f>
        <v/>
      </c>
    </row>
    <row r="2962">
      <c r="H2962" s="6" t="n"/>
      <c r="I2962" s="6" t="n"/>
      <c r="M2962" s="7" t="n"/>
      <c r="N2962" s="7" t="n"/>
      <c r="O2962" s="7" t="n"/>
      <c r="Q2962" s="7" t="n"/>
      <c r="R2962" s="7" t="n"/>
      <c r="S2962" s="8">
        <f>IF(NOT(ISNUMBER(M2962)),"",IF(G2962="Terreno",IF(AND(ISNUMBER(I2962),I2962&gt;0),M2962/I2962,""),IF(AND(ISNUMBER(H2962),H2962&gt;0),M2962/H2962,"")))</f>
        <v/>
      </c>
      <c r="T2962" s="9">
        <f>IF(AND(ISNUMBER(M2962),ISNUMBER(O2962)),IF(M2962&lt;=O2962,"Valor ≤ venal IPTU",""),"")</f>
        <v/>
      </c>
      <c r="U2962" s="10">
        <f>IF(AND(ISNUMBER(M2962),ISNUMBER(N2962)),IF(N2962&gt;0,M2962/N2962,""),"")</f>
        <v/>
      </c>
      <c r="V2962" s="10">
        <f>IF(AND(ISNUMBER(M2962),ISNUMBER(O2962)),IF(O2962&gt;0,M2962/O2962,""),"")</f>
        <v/>
      </c>
      <c r="W2962" s="10">
        <f>IF(AND(ISNUMBER(M2962),ISNUMBER(R2962)),IF(R2962&gt;0,M2962/R2962,""),"")</f>
        <v/>
      </c>
      <c r="X2962" s="10">
        <f>IF(AND(ISNUMBER(Q2962),ISNUMBER(M2962)),IF(M2962&gt;0,Q2962/M2962,""),"")</f>
        <v/>
      </c>
      <c r="Y2962" s="11">
        <f>IF(ISNUMBER(Z2962),YEAR(Z2962),"")</f>
        <v/>
      </c>
      <c r="Z2962" s="12" t="n"/>
      <c r="AA2962" s="12" t="n"/>
      <c r="AI2962" s="12" t="n"/>
      <c r="AJ2962" s="13">
        <f>IF(LEN(TRIM(AF2962))=0,"",HYPERLINK("https://www.google.com/maps/@?api=1&amp;map_action=pano&amp;viewpoint="&amp;SUBSTITUTE(AF2962," ",""),"Abrir Street View"))</f>
        <v/>
      </c>
    </row>
    <row r="2963">
      <c r="H2963" s="6" t="n"/>
      <c r="I2963" s="6" t="n"/>
      <c r="M2963" s="7" t="n"/>
      <c r="N2963" s="7" t="n"/>
      <c r="O2963" s="7" t="n"/>
      <c r="Q2963" s="7" t="n"/>
      <c r="R2963" s="7" t="n"/>
      <c r="S2963" s="8">
        <f>IF(NOT(ISNUMBER(M2963)),"",IF(G2963="Terreno",IF(AND(ISNUMBER(I2963),I2963&gt;0),M2963/I2963,""),IF(AND(ISNUMBER(H2963),H2963&gt;0),M2963/H2963,"")))</f>
        <v/>
      </c>
      <c r="T2963" s="9">
        <f>IF(AND(ISNUMBER(M2963),ISNUMBER(O2963)),IF(M2963&lt;=O2963,"Valor ≤ venal IPTU",""),"")</f>
        <v/>
      </c>
      <c r="U2963" s="10">
        <f>IF(AND(ISNUMBER(M2963),ISNUMBER(N2963)),IF(N2963&gt;0,M2963/N2963,""),"")</f>
        <v/>
      </c>
      <c r="V2963" s="10">
        <f>IF(AND(ISNUMBER(M2963),ISNUMBER(O2963)),IF(O2963&gt;0,M2963/O2963,""),"")</f>
        <v/>
      </c>
      <c r="W2963" s="10">
        <f>IF(AND(ISNUMBER(M2963),ISNUMBER(R2963)),IF(R2963&gt;0,M2963/R2963,""),"")</f>
        <v/>
      </c>
      <c r="X2963" s="10">
        <f>IF(AND(ISNUMBER(Q2963),ISNUMBER(M2963)),IF(M2963&gt;0,Q2963/M2963,""),"")</f>
        <v/>
      </c>
      <c r="Y2963" s="11">
        <f>IF(ISNUMBER(Z2963),YEAR(Z2963),"")</f>
        <v/>
      </c>
      <c r="Z2963" s="12" t="n"/>
      <c r="AA2963" s="12" t="n"/>
      <c r="AI2963" s="12" t="n"/>
      <c r="AJ2963" s="13">
        <f>IF(LEN(TRIM(AF2963))=0,"",HYPERLINK("https://www.google.com/maps/@?api=1&amp;map_action=pano&amp;viewpoint="&amp;SUBSTITUTE(AF2963," ",""),"Abrir Street View"))</f>
        <v/>
      </c>
    </row>
    <row r="2964">
      <c r="H2964" s="6" t="n"/>
      <c r="I2964" s="6" t="n"/>
      <c r="M2964" s="7" t="n"/>
      <c r="N2964" s="7" t="n"/>
      <c r="O2964" s="7" t="n"/>
      <c r="Q2964" s="7" t="n"/>
      <c r="R2964" s="7" t="n"/>
      <c r="S2964" s="8">
        <f>IF(NOT(ISNUMBER(M2964)),"",IF(G2964="Terreno",IF(AND(ISNUMBER(I2964),I2964&gt;0),M2964/I2964,""),IF(AND(ISNUMBER(H2964),H2964&gt;0),M2964/H2964,"")))</f>
        <v/>
      </c>
      <c r="T2964" s="9">
        <f>IF(AND(ISNUMBER(M2964),ISNUMBER(O2964)),IF(M2964&lt;=O2964,"Valor ≤ venal IPTU",""),"")</f>
        <v/>
      </c>
      <c r="U2964" s="10">
        <f>IF(AND(ISNUMBER(M2964),ISNUMBER(N2964)),IF(N2964&gt;0,M2964/N2964,""),"")</f>
        <v/>
      </c>
      <c r="V2964" s="10">
        <f>IF(AND(ISNUMBER(M2964),ISNUMBER(O2964)),IF(O2964&gt;0,M2964/O2964,""),"")</f>
        <v/>
      </c>
      <c r="W2964" s="10">
        <f>IF(AND(ISNUMBER(M2964),ISNUMBER(R2964)),IF(R2964&gt;0,M2964/R2964,""),"")</f>
        <v/>
      </c>
      <c r="X2964" s="10">
        <f>IF(AND(ISNUMBER(Q2964),ISNUMBER(M2964)),IF(M2964&gt;0,Q2964/M2964,""),"")</f>
        <v/>
      </c>
      <c r="Y2964" s="11">
        <f>IF(ISNUMBER(Z2964),YEAR(Z2964),"")</f>
        <v/>
      </c>
      <c r="Z2964" s="12" t="n"/>
      <c r="AA2964" s="12" t="n"/>
      <c r="AI2964" s="12" t="n"/>
      <c r="AJ2964" s="13">
        <f>IF(LEN(TRIM(AF2964))=0,"",HYPERLINK("https://www.google.com/maps/@?api=1&amp;map_action=pano&amp;viewpoint="&amp;SUBSTITUTE(AF2964," ",""),"Abrir Street View"))</f>
        <v/>
      </c>
    </row>
    <row r="2965">
      <c r="H2965" s="6" t="n"/>
      <c r="I2965" s="6" t="n"/>
      <c r="M2965" s="7" t="n"/>
      <c r="N2965" s="7" t="n"/>
      <c r="O2965" s="7" t="n"/>
      <c r="Q2965" s="7" t="n"/>
      <c r="R2965" s="7" t="n"/>
      <c r="S2965" s="8">
        <f>IF(NOT(ISNUMBER(M2965)),"",IF(G2965="Terreno",IF(AND(ISNUMBER(I2965),I2965&gt;0),M2965/I2965,""),IF(AND(ISNUMBER(H2965),H2965&gt;0),M2965/H2965,"")))</f>
        <v/>
      </c>
      <c r="T2965" s="9">
        <f>IF(AND(ISNUMBER(M2965),ISNUMBER(O2965)),IF(M2965&lt;=O2965,"Valor ≤ venal IPTU",""),"")</f>
        <v/>
      </c>
      <c r="U2965" s="10">
        <f>IF(AND(ISNUMBER(M2965),ISNUMBER(N2965)),IF(N2965&gt;0,M2965/N2965,""),"")</f>
        <v/>
      </c>
      <c r="V2965" s="10">
        <f>IF(AND(ISNUMBER(M2965),ISNUMBER(O2965)),IF(O2965&gt;0,M2965/O2965,""),"")</f>
        <v/>
      </c>
      <c r="W2965" s="10">
        <f>IF(AND(ISNUMBER(M2965),ISNUMBER(R2965)),IF(R2965&gt;0,M2965/R2965,""),"")</f>
        <v/>
      </c>
      <c r="X2965" s="10">
        <f>IF(AND(ISNUMBER(Q2965),ISNUMBER(M2965)),IF(M2965&gt;0,Q2965/M2965,""),"")</f>
        <v/>
      </c>
      <c r="Y2965" s="11">
        <f>IF(ISNUMBER(Z2965),YEAR(Z2965),"")</f>
        <v/>
      </c>
      <c r="Z2965" s="12" t="n"/>
      <c r="AA2965" s="12" t="n"/>
      <c r="AI2965" s="12" t="n"/>
      <c r="AJ2965" s="13">
        <f>IF(LEN(TRIM(AF2965))=0,"",HYPERLINK("https://www.google.com/maps/@?api=1&amp;map_action=pano&amp;viewpoint="&amp;SUBSTITUTE(AF2965," ",""),"Abrir Street View"))</f>
        <v/>
      </c>
    </row>
    <row r="2966">
      <c r="H2966" s="6" t="n"/>
      <c r="I2966" s="6" t="n"/>
      <c r="M2966" s="7" t="n"/>
      <c r="N2966" s="7" t="n"/>
      <c r="O2966" s="7" t="n"/>
      <c r="Q2966" s="7" t="n"/>
      <c r="R2966" s="7" t="n"/>
      <c r="S2966" s="8">
        <f>IF(NOT(ISNUMBER(M2966)),"",IF(G2966="Terreno",IF(AND(ISNUMBER(I2966),I2966&gt;0),M2966/I2966,""),IF(AND(ISNUMBER(H2966),H2966&gt;0),M2966/H2966,"")))</f>
        <v/>
      </c>
      <c r="T2966" s="9">
        <f>IF(AND(ISNUMBER(M2966),ISNUMBER(O2966)),IF(M2966&lt;=O2966,"Valor ≤ venal IPTU",""),"")</f>
        <v/>
      </c>
      <c r="U2966" s="10">
        <f>IF(AND(ISNUMBER(M2966),ISNUMBER(N2966)),IF(N2966&gt;0,M2966/N2966,""),"")</f>
        <v/>
      </c>
      <c r="V2966" s="10">
        <f>IF(AND(ISNUMBER(M2966),ISNUMBER(O2966)),IF(O2966&gt;0,M2966/O2966,""),"")</f>
        <v/>
      </c>
      <c r="W2966" s="10">
        <f>IF(AND(ISNUMBER(M2966),ISNUMBER(R2966)),IF(R2966&gt;0,M2966/R2966,""),"")</f>
        <v/>
      </c>
      <c r="X2966" s="10">
        <f>IF(AND(ISNUMBER(Q2966),ISNUMBER(M2966)),IF(M2966&gt;0,Q2966/M2966,""),"")</f>
        <v/>
      </c>
      <c r="Y2966" s="11">
        <f>IF(ISNUMBER(Z2966),YEAR(Z2966),"")</f>
        <v/>
      </c>
      <c r="Z2966" s="12" t="n"/>
      <c r="AA2966" s="12" t="n"/>
      <c r="AI2966" s="12" t="n"/>
      <c r="AJ2966" s="13">
        <f>IF(LEN(TRIM(AF2966))=0,"",HYPERLINK("https://www.google.com/maps/@?api=1&amp;map_action=pano&amp;viewpoint="&amp;SUBSTITUTE(AF2966," ",""),"Abrir Street View"))</f>
        <v/>
      </c>
    </row>
    <row r="2967">
      <c r="H2967" s="6" t="n"/>
      <c r="I2967" s="6" t="n"/>
      <c r="M2967" s="7" t="n"/>
      <c r="N2967" s="7" t="n"/>
      <c r="O2967" s="7" t="n"/>
      <c r="Q2967" s="7" t="n"/>
      <c r="R2967" s="7" t="n"/>
      <c r="S2967" s="8">
        <f>IF(NOT(ISNUMBER(M2967)),"",IF(G2967="Terreno",IF(AND(ISNUMBER(I2967),I2967&gt;0),M2967/I2967,""),IF(AND(ISNUMBER(H2967),H2967&gt;0),M2967/H2967,"")))</f>
        <v/>
      </c>
      <c r="T2967" s="9">
        <f>IF(AND(ISNUMBER(M2967),ISNUMBER(O2967)),IF(M2967&lt;=O2967,"Valor ≤ venal IPTU",""),"")</f>
        <v/>
      </c>
      <c r="U2967" s="10">
        <f>IF(AND(ISNUMBER(M2967),ISNUMBER(N2967)),IF(N2967&gt;0,M2967/N2967,""),"")</f>
        <v/>
      </c>
      <c r="V2967" s="10">
        <f>IF(AND(ISNUMBER(M2967),ISNUMBER(O2967)),IF(O2967&gt;0,M2967/O2967,""),"")</f>
        <v/>
      </c>
      <c r="W2967" s="10">
        <f>IF(AND(ISNUMBER(M2967),ISNUMBER(R2967)),IF(R2967&gt;0,M2967/R2967,""),"")</f>
        <v/>
      </c>
      <c r="X2967" s="10">
        <f>IF(AND(ISNUMBER(Q2967),ISNUMBER(M2967)),IF(M2967&gt;0,Q2967/M2967,""),"")</f>
        <v/>
      </c>
      <c r="Y2967" s="11">
        <f>IF(ISNUMBER(Z2967),YEAR(Z2967),"")</f>
        <v/>
      </c>
      <c r="Z2967" s="12" t="n"/>
      <c r="AA2967" s="12" t="n"/>
      <c r="AI2967" s="12" t="n"/>
      <c r="AJ2967" s="13">
        <f>IF(LEN(TRIM(AF2967))=0,"",HYPERLINK("https://www.google.com/maps/@?api=1&amp;map_action=pano&amp;viewpoint="&amp;SUBSTITUTE(AF2967," ",""),"Abrir Street View"))</f>
        <v/>
      </c>
    </row>
    <row r="2968">
      <c r="H2968" s="6" t="n"/>
      <c r="I2968" s="6" t="n"/>
      <c r="M2968" s="7" t="n"/>
      <c r="N2968" s="7" t="n"/>
      <c r="O2968" s="7" t="n"/>
      <c r="Q2968" s="7" t="n"/>
      <c r="R2968" s="7" t="n"/>
      <c r="S2968" s="8">
        <f>IF(NOT(ISNUMBER(M2968)),"",IF(G2968="Terreno",IF(AND(ISNUMBER(I2968),I2968&gt;0),M2968/I2968,""),IF(AND(ISNUMBER(H2968),H2968&gt;0),M2968/H2968,"")))</f>
        <v/>
      </c>
      <c r="T2968" s="9">
        <f>IF(AND(ISNUMBER(M2968),ISNUMBER(O2968)),IF(M2968&lt;=O2968,"Valor ≤ venal IPTU",""),"")</f>
        <v/>
      </c>
      <c r="U2968" s="10">
        <f>IF(AND(ISNUMBER(M2968),ISNUMBER(N2968)),IF(N2968&gt;0,M2968/N2968,""),"")</f>
        <v/>
      </c>
      <c r="V2968" s="10">
        <f>IF(AND(ISNUMBER(M2968),ISNUMBER(O2968)),IF(O2968&gt;0,M2968/O2968,""),"")</f>
        <v/>
      </c>
      <c r="W2968" s="10">
        <f>IF(AND(ISNUMBER(M2968),ISNUMBER(R2968)),IF(R2968&gt;0,M2968/R2968,""),"")</f>
        <v/>
      </c>
      <c r="X2968" s="10">
        <f>IF(AND(ISNUMBER(Q2968),ISNUMBER(M2968)),IF(M2968&gt;0,Q2968/M2968,""),"")</f>
        <v/>
      </c>
      <c r="Y2968" s="11">
        <f>IF(ISNUMBER(Z2968),YEAR(Z2968),"")</f>
        <v/>
      </c>
      <c r="Z2968" s="12" t="n"/>
      <c r="AA2968" s="12" t="n"/>
      <c r="AI2968" s="12" t="n"/>
      <c r="AJ2968" s="13">
        <f>IF(LEN(TRIM(AF2968))=0,"",HYPERLINK("https://www.google.com/maps/@?api=1&amp;map_action=pano&amp;viewpoint="&amp;SUBSTITUTE(AF2968," ",""),"Abrir Street View"))</f>
        <v/>
      </c>
    </row>
    <row r="2969">
      <c r="H2969" s="6" t="n"/>
      <c r="I2969" s="6" t="n"/>
      <c r="M2969" s="7" t="n"/>
      <c r="N2969" s="7" t="n"/>
      <c r="O2969" s="7" t="n"/>
      <c r="Q2969" s="7" t="n"/>
      <c r="R2969" s="7" t="n"/>
      <c r="S2969" s="8">
        <f>IF(NOT(ISNUMBER(M2969)),"",IF(G2969="Terreno",IF(AND(ISNUMBER(I2969),I2969&gt;0),M2969/I2969,""),IF(AND(ISNUMBER(H2969),H2969&gt;0),M2969/H2969,"")))</f>
        <v/>
      </c>
      <c r="T2969" s="9">
        <f>IF(AND(ISNUMBER(M2969),ISNUMBER(O2969)),IF(M2969&lt;=O2969,"Valor ≤ venal IPTU",""),"")</f>
        <v/>
      </c>
      <c r="U2969" s="10">
        <f>IF(AND(ISNUMBER(M2969),ISNUMBER(N2969)),IF(N2969&gt;0,M2969/N2969,""),"")</f>
        <v/>
      </c>
      <c r="V2969" s="10">
        <f>IF(AND(ISNUMBER(M2969),ISNUMBER(O2969)),IF(O2969&gt;0,M2969/O2969,""),"")</f>
        <v/>
      </c>
      <c r="W2969" s="10">
        <f>IF(AND(ISNUMBER(M2969),ISNUMBER(R2969)),IF(R2969&gt;0,M2969/R2969,""),"")</f>
        <v/>
      </c>
      <c r="X2969" s="10">
        <f>IF(AND(ISNUMBER(Q2969),ISNUMBER(M2969)),IF(M2969&gt;0,Q2969/M2969,""),"")</f>
        <v/>
      </c>
      <c r="Y2969" s="11">
        <f>IF(ISNUMBER(Z2969),YEAR(Z2969),"")</f>
        <v/>
      </c>
      <c r="Z2969" s="12" t="n"/>
      <c r="AA2969" s="12" t="n"/>
      <c r="AI2969" s="12" t="n"/>
      <c r="AJ2969" s="13">
        <f>IF(LEN(TRIM(AF2969))=0,"",HYPERLINK("https://www.google.com/maps/@?api=1&amp;map_action=pano&amp;viewpoint="&amp;SUBSTITUTE(AF2969," ",""),"Abrir Street View"))</f>
        <v/>
      </c>
    </row>
    <row r="2970">
      <c r="H2970" s="6" t="n"/>
      <c r="I2970" s="6" t="n"/>
      <c r="M2970" s="7" t="n"/>
      <c r="N2970" s="7" t="n"/>
      <c r="O2970" s="7" t="n"/>
      <c r="Q2970" s="7" t="n"/>
      <c r="R2970" s="7" t="n"/>
      <c r="S2970" s="8">
        <f>IF(NOT(ISNUMBER(M2970)),"",IF(G2970="Terreno",IF(AND(ISNUMBER(I2970),I2970&gt;0),M2970/I2970,""),IF(AND(ISNUMBER(H2970),H2970&gt;0),M2970/H2970,"")))</f>
        <v/>
      </c>
      <c r="T2970" s="9">
        <f>IF(AND(ISNUMBER(M2970),ISNUMBER(O2970)),IF(M2970&lt;=O2970,"Valor ≤ venal IPTU",""),"")</f>
        <v/>
      </c>
      <c r="U2970" s="10">
        <f>IF(AND(ISNUMBER(M2970),ISNUMBER(N2970)),IF(N2970&gt;0,M2970/N2970,""),"")</f>
        <v/>
      </c>
      <c r="V2970" s="10">
        <f>IF(AND(ISNUMBER(M2970),ISNUMBER(O2970)),IF(O2970&gt;0,M2970/O2970,""),"")</f>
        <v/>
      </c>
      <c r="W2970" s="10">
        <f>IF(AND(ISNUMBER(M2970),ISNUMBER(R2970)),IF(R2970&gt;0,M2970/R2970,""),"")</f>
        <v/>
      </c>
      <c r="X2970" s="10">
        <f>IF(AND(ISNUMBER(Q2970),ISNUMBER(M2970)),IF(M2970&gt;0,Q2970/M2970,""),"")</f>
        <v/>
      </c>
      <c r="Y2970" s="11">
        <f>IF(ISNUMBER(Z2970),YEAR(Z2970),"")</f>
        <v/>
      </c>
      <c r="Z2970" s="12" t="n"/>
      <c r="AA2970" s="12" t="n"/>
      <c r="AI2970" s="12" t="n"/>
      <c r="AJ2970" s="13">
        <f>IF(LEN(TRIM(AF2970))=0,"",HYPERLINK("https://www.google.com/maps/@?api=1&amp;map_action=pano&amp;viewpoint="&amp;SUBSTITUTE(AF2970," ",""),"Abrir Street View"))</f>
        <v/>
      </c>
    </row>
    <row r="2971">
      <c r="H2971" s="6" t="n"/>
      <c r="I2971" s="6" t="n"/>
      <c r="M2971" s="7" t="n"/>
      <c r="N2971" s="7" t="n"/>
      <c r="O2971" s="7" t="n"/>
      <c r="Q2971" s="7" t="n"/>
      <c r="R2971" s="7" t="n"/>
      <c r="S2971" s="8">
        <f>IF(NOT(ISNUMBER(M2971)),"",IF(G2971="Terreno",IF(AND(ISNUMBER(I2971),I2971&gt;0),M2971/I2971,""),IF(AND(ISNUMBER(H2971),H2971&gt;0),M2971/H2971,"")))</f>
        <v/>
      </c>
      <c r="T2971" s="9">
        <f>IF(AND(ISNUMBER(M2971),ISNUMBER(O2971)),IF(M2971&lt;=O2971,"Valor ≤ venal IPTU",""),"")</f>
        <v/>
      </c>
      <c r="U2971" s="10">
        <f>IF(AND(ISNUMBER(M2971),ISNUMBER(N2971)),IF(N2971&gt;0,M2971/N2971,""),"")</f>
        <v/>
      </c>
      <c r="V2971" s="10">
        <f>IF(AND(ISNUMBER(M2971),ISNUMBER(O2971)),IF(O2971&gt;0,M2971/O2971,""),"")</f>
        <v/>
      </c>
      <c r="W2971" s="10">
        <f>IF(AND(ISNUMBER(M2971),ISNUMBER(R2971)),IF(R2971&gt;0,M2971/R2971,""),"")</f>
        <v/>
      </c>
      <c r="X2971" s="10">
        <f>IF(AND(ISNUMBER(Q2971),ISNUMBER(M2971)),IF(M2971&gt;0,Q2971/M2971,""),"")</f>
        <v/>
      </c>
      <c r="Y2971" s="11">
        <f>IF(ISNUMBER(Z2971),YEAR(Z2971),"")</f>
        <v/>
      </c>
      <c r="Z2971" s="12" t="n"/>
      <c r="AA2971" s="12" t="n"/>
      <c r="AI2971" s="12" t="n"/>
      <c r="AJ2971" s="13">
        <f>IF(LEN(TRIM(AF2971))=0,"",HYPERLINK("https://www.google.com/maps/@?api=1&amp;map_action=pano&amp;viewpoint="&amp;SUBSTITUTE(AF2971," ",""),"Abrir Street View"))</f>
        <v/>
      </c>
    </row>
    <row r="2972">
      <c r="H2972" s="6" t="n"/>
      <c r="I2972" s="6" t="n"/>
      <c r="M2972" s="7" t="n"/>
      <c r="N2972" s="7" t="n"/>
      <c r="O2972" s="7" t="n"/>
      <c r="Q2972" s="7" t="n"/>
      <c r="R2972" s="7" t="n"/>
      <c r="S2972" s="8">
        <f>IF(NOT(ISNUMBER(M2972)),"",IF(G2972="Terreno",IF(AND(ISNUMBER(I2972),I2972&gt;0),M2972/I2972,""),IF(AND(ISNUMBER(H2972),H2972&gt;0),M2972/H2972,"")))</f>
        <v/>
      </c>
      <c r="T2972" s="9">
        <f>IF(AND(ISNUMBER(M2972),ISNUMBER(O2972)),IF(M2972&lt;=O2972,"Valor ≤ venal IPTU",""),"")</f>
        <v/>
      </c>
      <c r="U2972" s="10">
        <f>IF(AND(ISNUMBER(M2972),ISNUMBER(N2972)),IF(N2972&gt;0,M2972/N2972,""),"")</f>
        <v/>
      </c>
      <c r="V2972" s="10">
        <f>IF(AND(ISNUMBER(M2972),ISNUMBER(O2972)),IF(O2972&gt;0,M2972/O2972,""),"")</f>
        <v/>
      </c>
      <c r="W2972" s="10">
        <f>IF(AND(ISNUMBER(M2972),ISNUMBER(R2972)),IF(R2972&gt;0,M2972/R2972,""),"")</f>
        <v/>
      </c>
      <c r="X2972" s="10">
        <f>IF(AND(ISNUMBER(Q2972),ISNUMBER(M2972)),IF(M2972&gt;0,Q2972/M2972,""),"")</f>
        <v/>
      </c>
      <c r="Y2972" s="11">
        <f>IF(ISNUMBER(Z2972),YEAR(Z2972),"")</f>
        <v/>
      </c>
      <c r="Z2972" s="12" t="n"/>
      <c r="AA2972" s="12" t="n"/>
      <c r="AI2972" s="12" t="n"/>
      <c r="AJ2972" s="13">
        <f>IF(LEN(TRIM(AF2972))=0,"",HYPERLINK("https://www.google.com/maps/@?api=1&amp;map_action=pano&amp;viewpoint="&amp;SUBSTITUTE(AF2972," ",""),"Abrir Street View"))</f>
        <v/>
      </c>
    </row>
    <row r="2973">
      <c r="H2973" s="6" t="n"/>
      <c r="I2973" s="6" t="n"/>
      <c r="M2973" s="7" t="n"/>
      <c r="N2973" s="7" t="n"/>
      <c r="O2973" s="7" t="n"/>
      <c r="Q2973" s="7" t="n"/>
      <c r="R2973" s="7" t="n"/>
      <c r="S2973" s="8">
        <f>IF(NOT(ISNUMBER(M2973)),"",IF(G2973="Terreno",IF(AND(ISNUMBER(I2973),I2973&gt;0),M2973/I2973,""),IF(AND(ISNUMBER(H2973),H2973&gt;0),M2973/H2973,"")))</f>
        <v/>
      </c>
      <c r="T2973" s="9">
        <f>IF(AND(ISNUMBER(M2973),ISNUMBER(O2973)),IF(M2973&lt;=O2973,"Valor ≤ venal IPTU",""),"")</f>
        <v/>
      </c>
      <c r="U2973" s="10">
        <f>IF(AND(ISNUMBER(M2973),ISNUMBER(N2973)),IF(N2973&gt;0,M2973/N2973,""),"")</f>
        <v/>
      </c>
      <c r="V2973" s="10">
        <f>IF(AND(ISNUMBER(M2973),ISNUMBER(O2973)),IF(O2973&gt;0,M2973/O2973,""),"")</f>
        <v/>
      </c>
      <c r="W2973" s="10">
        <f>IF(AND(ISNUMBER(M2973),ISNUMBER(R2973)),IF(R2973&gt;0,M2973/R2973,""),"")</f>
        <v/>
      </c>
      <c r="X2973" s="10">
        <f>IF(AND(ISNUMBER(Q2973),ISNUMBER(M2973)),IF(M2973&gt;0,Q2973/M2973,""),"")</f>
        <v/>
      </c>
      <c r="Y2973" s="11">
        <f>IF(ISNUMBER(Z2973),YEAR(Z2973),"")</f>
        <v/>
      </c>
      <c r="Z2973" s="12" t="n"/>
      <c r="AA2973" s="12" t="n"/>
      <c r="AI2973" s="12" t="n"/>
      <c r="AJ2973" s="13">
        <f>IF(LEN(TRIM(AF2973))=0,"",HYPERLINK("https://www.google.com/maps/@?api=1&amp;map_action=pano&amp;viewpoint="&amp;SUBSTITUTE(AF2973," ",""),"Abrir Street View"))</f>
        <v/>
      </c>
    </row>
    <row r="2974">
      <c r="H2974" s="6" t="n"/>
      <c r="I2974" s="6" t="n"/>
      <c r="M2974" s="7" t="n"/>
      <c r="N2974" s="7" t="n"/>
      <c r="O2974" s="7" t="n"/>
      <c r="Q2974" s="7" t="n"/>
      <c r="R2974" s="7" t="n"/>
      <c r="S2974" s="8">
        <f>IF(NOT(ISNUMBER(M2974)),"",IF(G2974="Terreno",IF(AND(ISNUMBER(I2974),I2974&gt;0),M2974/I2974,""),IF(AND(ISNUMBER(H2974),H2974&gt;0),M2974/H2974,"")))</f>
        <v/>
      </c>
      <c r="T2974" s="9">
        <f>IF(AND(ISNUMBER(M2974),ISNUMBER(O2974)),IF(M2974&lt;=O2974,"Valor ≤ venal IPTU",""),"")</f>
        <v/>
      </c>
      <c r="U2974" s="10">
        <f>IF(AND(ISNUMBER(M2974),ISNUMBER(N2974)),IF(N2974&gt;0,M2974/N2974,""),"")</f>
        <v/>
      </c>
      <c r="V2974" s="10">
        <f>IF(AND(ISNUMBER(M2974),ISNUMBER(O2974)),IF(O2974&gt;0,M2974/O2974,""),"")</f>
        <v/>
      </c>
      <c r="W2974" s="10">
        <f>IF(AND(ISNUMBER(M2974),ISNUMBER(R2974)),IF(R2974&gt;0,M2974/R2974,""),"")</f>
        <v/>
      </c>
      <c r="X2974" s="10">
        <f>IF(AND(ISNUMBER(Q2974),ISNUMBER(M2974)),IF(M2974&gt;0,Q2974/M2974,""),"")</f>
        <v/>
      </c>
      <c r="Y2974" s="11">
        <f>IF(ISNUMBER(Z2974),YEAR(Z2974),"")</f>
        <v/>
      </c>
      <c r="Z2974" s="12" t="n"/>
      <c r="AA2974" s="12" t="n"/>
      <c r="AI2974" s="12" t="n"/>
      <c r="AJ2974" s="13">
        <f>IF(LEN(TRIM(AF2974))=0,"",HYPERLINK("https://www.google.com/maps/@?api=1&amp;map_action=pano&amp;viewpoint="&amp;SUBSTITUTE(AF2974," ",""),"Abrir Street View"))</f>
        <v/>
      </c>
    </row>
    <row r="2975">
      <c r="H2975" s="6" t="n"/>
      <c r="I2975" s="6" t="n"/>
      <c r="M2975" s="7" t="n"/>
      <c r="N2975" s="7" t="n"/>
      <c r="O2975" s="7" t="n"/>
      <c r="Q2975" s="7" t="n"/>
      <c r="R2975" s="7" t="n"/>
      <c r="S2975" s="8">
        <f>IF(NOT(ISNUMBER(M2975)),"",IF(G2975="Terreno",IF(AND(ISNUMBER(I2975),I2975&gt;0),M2975/I2975,""),IF(AND(ISNUMBER(H2975),H2975&gt;0),M2975/H2975,"")))</f>
        <v/>
      </c>
      <c r="T2975" s="9">
        <f>IF(AND(ISNUMBER(M2975),ISNUMBER(O2975)),IF(M2975&lt;=O2975,"Valor ≤ venal IPTU",""),"")</f>
        <v/>
      </c>
      <c r="U2975" s="10">
        <f>IF(AND(ISNUMBER(M2975),ISNUMBER(N2975)),IF(N2975&gt;0,M2975/N2975,""),"")</f>
        <v/>
      </c>
      <c r="V2975" s="10">
        <f>IF(AND(ISNUMBER(M2975),ISNUMBER(O2975)),IF(O2975&gt;0,M2975/O2975,""),"")</f>
        <v/>
      </c>
      <c r="W2975" s="10">
        <f>IF(AND(ISNUMBER(M2975),ISNUMBER(R2975)),IF(R2975&gt;0,M2975/R2975,""),"")</f>
        <v/>
      </c>
      <c r="X2975" s="10">
        <f>IF(AND(ISNUMBER(Q2975),ISNUMBER(M2975)),IF(M2975&gt;0,Q2975/M2975,""),"")</f>
        <v/>
      </c>
      <c r="Y2975" s="11">
        <f>IF(ISNUMBER(Z2975),YEAR(Z2975),"")</f>
        <v/>
      </c>
      <c r="Z2975" s="12" t="n"/>
      <c r="AA2975" s="12" t="n"/>
      <c r="AI2975" s="12" t="n"/>
      <c r="AJ2975" s="13">
        <f>IF(LEN(TRIM(AF2975))=0,"",HYPERLINK("https://www.google.com/maps/@?api=1&amp;map_action=pano&amp;viewpoint="&amp;SUBSTITUTE(AF2975," ",""),"Abrir Street View"))</f>
        <v/>
      </c>
    </row>
    <row r="2976">
      <c r="H2976" s="6" t="n"/>
      <c r="I2976" s="6" t="n"/>
      <c r="M2976" s="7" t="n"/>
      <c r="N2976" s="7" t="n"/>
      <c r="O2976" s="7" t="n"/>
      <c r="Q2976" s="7" t="n"/>
      <c r="R2976" s="7" t="n"/>
      <c r="S2976" s="8">
        <f>IF(NOT(ISNUMBER(M2976)),"",IF(G2976="Terreno",IF(AND(ISNUMBER(I2976),I2976&gt;0),M2976/I2976,""),IF(AND(ISNUMBER(H2976),H2976&gt;0),M2976/H2976,"")))</f>
        <v/>
      </c>
      <c r="T2976" s="9">
        <f>IF(AND(ISNUMBER(M2976),ISNUMBER(O2976)),IF(M2976&lt;=O2976,"Valor ≤ venal IPTU",""),"")</f>
        <v/>
      </c>
      <c r="U2976" s="10">
        <f>IF(AND(ISNUMBER(M2976),ISNUMBER(N2976)),IF(N2976&gt;0,M2976/N2976,""),"")</f>
        <v/>
      </c>
      <c r="V2976" s="10">
        <f>IF(AND(ISNUMBER(M2976),ISNUMBER(O2976)),IF(O2976&gt;0,M2976/O2976,""),"")</f>
        <v/>
      </c>
      <c r="W2976" s="10">
        <f>IF(AND(ISNUMBER(M2976),ISNUMBER(R2976)),IF(R2976&gt;0,M2976/R2976,""),"")</f>
        <v/>
      </c>
      <c r="X2976" s="10">
        <f>IF(AND(ISNUMBER(Q2976),ISNUMBER(M2976)),IF(M2976&gt;0,Q2976/M2976,""),"")</f>
        <v/>
      </c>
      <c r="Y2976" s="11">
        <f>IF(ISNUMBER(Z2976),YEAR(Z2976),"")</f>
        <v/>
      </c>
      <c r="Z2976" s="12" t="n"/>
      <c r="AA2976" s="12" t="n"/>
      <c r="AI2976" s="12" t="n"/>
      <c r="AJ2976" s="13">
        <f>IF(LEN(TRIM(AF2976))=0,"",HYPERLINK("https://www.google.com/maps/@?api=1&amp;map_action=pano&amp;viewpoint="&amp;SUBSTITUTE(AF2976," ",""),"Abrir Street View"))</f>
        <v/>
      </c>
    </row>
    <row r="2977">
      <c r="H2977" s="6" t="n"/>
      <c r="I2977" s="6" t="n"/>
      <c r="M2977" s="7" t="n"/>
      <c r="N2977" s="7" t="n"/>
      <c r="O2977" s="7" t="n"/>
      <c r="Q2977" s="7" t="n"/>
      <c r="R2977" s="7" t="n"/>
      <c r="S2977" s="8">
        <f>IF(NOT(ISNUMBER(M2977)),"",IF(G2977="Terreno",IF(AND(ISNUMBER(I2977),I2977&gt;0),M2977/I2977,""),IF(AND(ISNUMBER(H2977),H2977&gt;0),M2977/H2977,"")))</f>
        <v/>
      </c>
      <c r="T2977" s="9">
        <f>IF(AND(ISNUMBER(M2977),ISNUMBER(O2977)),IF(M2977&lt;=O2977,"Valor ≤ venal IPTU",""),"")</f>
        <v/>
      </c>
      <c r="U2977" s="10">
        <f>IF(AND(ISNUMBER(M2977),ISNUMBER(N2977)),IF(N2977&gt;0,M2977/N2977,""),"")</f>
        <v/>
      </c>
      <c r="V2977" s="10">
        <f>IF(AND(ISNUMBER(M2977),ISNUMBER(O2977)),IF(O2977&gt;0,M2977/O2977,""),"")</f>
        <v/>
      </c>
      <c r="W2977" s="10">
        <f>IF(AND(ISNUMBER(M2977),ISNUMBER(R2977)),IF(R2977&gt;0,M2977/R2977,""),"")</f>
        <v/>
      </c>
      <c r="X2977" s="10">
        <f>IF(AND(ISNUMBER(Q2977),ISNUMBER(M2977)),IF(M2977&gt;0,Q2977/M2977,""),"")</f>
        <v/>
      </c>
      <c r="Y2977" s="11">
        <f>IF(ISNUMBER(Z2977),YEAR(Z2977),"")</f>
        <v/>
      </c>
      <c r="Z2977" s="12" t="n"/>
      <c r="AA2977" s="12" t="n"/>
      <c r="AI2977" s="12" t="n"/>
      <c r="AJ2977" s="13">
        <f>IF(LEN(TRIM(AF2977))=0,"",HYPERLINK("https://www.google.com/maps/@?api=1&amp;map_action=pano&amp;viewpoint="&amp;SUBSTITUTE(AF2977," ",""),"Abrir Street View"))</f>
        <v/>
      </c>
    </row>
    <row r="2978">
      <c r="H2978" s="6" t="n"/>
      <c r="I2978" s="6" t="n"/>
      <c r="M2978" s="7" t="n"/>
      <c r="N2978" s="7" t="n"/>
      <c r="O2978" s="7" t="n"/>
      <c r="Q2978" s="7" t="n"/>
      <c r="R2978" s="7" t="n"/>
      <c r="S2978" s="8">
        <f>IF(NOT(ISNUMBER(M2978)),"",IF(G2978="Terreno",IF(AND(ISNUMBER(I2978),I2978&gt;0),M2978/I2978,""),IF(AND(ISNUMBER(H2978),H2978&gt;0),M2978/H2978,"")))</f>
        <v/>
      </c>
      <c r="T2978" s="9">
        <f>IF(AND(ISNUMBER(M2978),ISNUMBER(O2978)),IF(M2978&lt;=O2978,"Valor ≤ venal IPTU",""),"")</f>
        <v/>
      </c>
      <c r="U2978" s="10">
        <f>IF(AND(ISNUMBER(M2978),ISNUMBER(N2978)),IF(N2978&gt;0,M2978/N2978,""),"")</f>
        <v/>
      </c>
      <c r="V2978" s="10">
        <f>IF(AND(ISNUMBER(M2978),ISNUMBER(O2978)),IF(O2978&gt;0,M2978/O2978,""),"")</f>
        <v/>
      </c>
      <c r="W2978" s="10">
        <f>IF(AND(ISNUMBER(M2978),ISNUMBER(R2978)),IF(R2978&gt;0,M2978/R2978,""),"")</f>
        <v/>
      </c>
      <c r="X2978" s="10">
        <f>IF(AND(ISNUMBER(Q2978),ISNUMBER(M2978)),IF(M2978&gt;0,Q2978/M2978,""),"")</f>
        <v/>
      </c>
      <c r="Y2978" s="11">
        <f>IF(ISNUMBER(Z2978),YEAR(Z2978),"")</f>
        <v/>
      </c>
      <c r="Z2978" s="12" t="n"/>
      <c r="AA2978" s="12" t="n"/>
      <c r="AI2978" s="12" t="n"/>
      <c r="AJ2978" s="13">
        <f>IF(LEN(TRIM(AF2978))=0,"",HYPERLINK("https://www.google.com/maps/@?api=1&amp;map_action=pano&amp;viewpoint="&amp;SUBSTITUTE(AF2978," ",""),"Abrir Street View"))</f>
        <v/>
      </c>
    </row>
    <row r="2979">
      <c r="H2979" s="6" t="n"/>
      <c r="I2979" s="6" t="n"/>
      <c r="M2979" s="7" t="n"/>
      <c r="N2979" s="7" t="n"/>
      <c r="O2979" s="7" t="n"/>
      <c r="Q2979" s="7" t="n"/>
      <c r="R2979" s="7" t="n"/>
      <c r="S2979" s="8">
        <f>IF(NOT(ISNUMBER(M2979)),"",IF(G2979="Terreno",IF(AND(ISNUMBER(I2979),I2979&gt;0),M2979/I2979,""),IF(AND(ISNUMBER(H2979),H2979&gt;0),M2979/H2979,"")))</f>
        <v/>
      </c>
      <c r="T2979" s="9">
        <f>IF(AND(ISNUMBER(M2979),ISNUMBER(O2979)),IF(M2979&lt;=O2979,"Valor ≤ venal IPTU",""),"")</f>
        <v/>
      </c>
      <c r="U2979" s="10">
        <f>IF(AND(ISNUMBER(M2979),ISNUMBER(N2979)),IF(N2979&gt;0,M2979/N2979,""),"")</f>
        <v/>
      </c>
      <c r="V2979" s="10">
        <f>IF(AND(ISNUMBER(M2979),ISNUMBER(O2979)),IF(O2979&gt;0,M2979/O2979,""),"")</f>
        <v/>
      </c>
      <c r="W2979" s="10">
        <f>IF(AND(ISNUMBER(M2979),ISNUMBER(R2979)),IF(R2979&gt;0,M2979/R2979,""),"")</f>
        <v/>
      </c>
      <c r="X2979" s="10">
        <f>IF(AND(ISNUMBER(Q2979),ISNUMBER(M2979)),IF(M2979&gt;0,Q2979/M2979,""),"")</f>
        <v/>
      </c>
      <c r="Y2979" s="11">
        <f>IF(ISNUMBER(Z2979),YEAR(Z2979),"")</f>
        <v/>
      </c>
      <c r="Z2979" s="12" t="n"/>
      <c r="AA2979" s="12" t="n"/>
      <c r="AI2979" s="12" t="n"/>
      <c r="AJ2979" s="13">
        <f>IF(LEN(TRIM(AF2979))=0,"",HYPERLINK("https://www.google.com/maps/@?api=1&amp;map_action=pano&amp;viewpoint="&amp;SUBSTITUTE(AF2979," ",""),"Abrir Street View"))</f>
        <v/>
      </c>
    </row>
    <row r="2980">
      <c r="H2980" s="6" t="n"/>
      <c r="I2980" s="6" t="n"/>
      <c r="M2980" s="7" t="n"/>
      <c r="N2980" s="7" t="n"/>
      <c r="O2980" s="7" t="n"/>
      <c r="Q2980" s="7" t="n"/>
      <c r="R2980" s="7" t="n"/>
      <c r="S2980" s="8">
        <f>IF(NOT(ISNUMBER(M2980)),"",IF(G2980="Terreno",IF(AND(ISNUMBER(I2980),I2980&gt;0),M2980/I2980,""),IF(AND(ISNUMBER(H2980),H2980&gt;0),M2980/H2980,"")))</f>
        <v/>
      </c>
      <c r="T2980" s="9">
        <f>IF(AND(ISNUMBER(M2980),ISNUMBER(O2980)),IF(M2980&lt;=O2980,"Valor ≤ venal IPTU",""),"")</f>
        <v/>
      </c>
      <c r="U2980" s="10">
        <f>IF(AND(ISNUMBER(M2980),ISNUMBER(N2980)),IF(N2980&gt;0,M2980/N2980,""),"")</f>
        <v/>
      </c>
      <c r="V2980" s="10">
        <f>IF(AND(ISNUMBER(M2980),ISNUMBER(O2980)),IF(O2980&gt;0,M2980/O2980,""),"")</f>
        <v/>
      </c>
      <c r="W2980" s="10">
        <f>IF(AND(ISNUMBER(M2980),ISNUMBER(R2980)),IF(R2980&gt;0,M2980/R2980,""),"")</f>
        <v/>
      </c>
      <c r="X2980" s="10">
        <f>IF(AND(ISNUMBER(Q2980),ISNUMBER(M2980)),IF(M2980&gt;0,Q2980/M2980,""),"")</f>
        <v/>
      </c>
      <c r="Y2980" s="11">
        <f>IF(ISNUMBER(Z2980),YEAR(Z2980),"")</f>
        <v/>
      </c>
      <c r="Z2980" s="12" t="n"/>
      <c r="AA2980" s="12" t="n"/>
      <c r="AI2980" s="12" t="n"/>
      <c r="AJ2980" s="13">
        <f>IF(LEN(TRIM(AF2980))=0,"",HYPERLINK("https://www.google.com/maps/@?api=1&amp;map_action=pano&amp;viewpoint="&amp;SUBSTITUTE(AF2980," ",""),"Abrir Street View"))</f>
        <v/>
      </c>
    </row>
    <row r="2981">
      <c r="H2981" s="6" t="n"/>
      <c r="I2981" s="6" t="n"/>
      <c r="M2981" s="7" t="n"/>
      <c r="N2981" s="7" t="n"/>
      <c r="O2981" s="7" t="n"/>
      <c r="Q2981" s="7" t="n"/>
      <c r="R2981" s="7" t="n"/>
      <c r="S2981" s="8">
        <f>IF(NOT(ISNUMBER(M2981)),"",IF(G2981="Terreno",IF(AND(ISNUMBER(I2981),I2981&gt;0),M2981/I2981,""),IF(AND(ISNUMBER(H2981),H2981&gt;0),M2981/H2981,"")))</f>
        <v/>
      </c>
      <c r="T2981" s="9">
        <f>IF(AND(ISNUMBER(M2981),ISNUMBER(O2981)),IF(M2981&lt;=O2981,"Valor ≤ venal IPTU",""),"")</f>
        <v/>
      </c>
      <c r="U2981" s="10">
        <f>IF(AND(ISNUMBER(M2981),ISNUMBER(N2981)),IF(N2981&gt;0,M2981/N2981,""),"")</f>
        <v/>
      </c>
      <c r="V2981" s="10">
        <f>IF(AND(ISNUMBER(M2981),ISNUMBER(O2981)),IF(O2981&gt;0,M2981/O2981,""),"")</f>
        <v/>
      </c>
      <c r="W2981" s="10">
        <f>IF(AND(ISNUMBER(M2981),ISNUMBER(R2981)),IF(R2981&gt;0,M2981/R2981,""),"")</f>
        <v/>
      </c>
      <c r="X2981" s="10">
        <f>IF(AND(ISNUMBER(Q2981),ISNUMBER(M2981)),IF(M2981&gt;0,Q2981/M2981,""),"")</f>
        <v/>
      </c>
      <c r="Y2981" s="11">
        <f>IF(ISNUMBER(Z2981),YEAR(Z2981),"")</f>
        <v/>
      </c>
      <c r="Z2981" s="12" t="n"/>
      <c r="AA2981" s="12" t="n"/>
      <c r="AI2981" s="12" t="n"/>
      <c r="AJ2981" s="13">
        <f>IF(LEN(TRIM(AF2981))=0,"",HYPERLINK("https://www.google.com/maps/@?api=1&amp;map_action=pano&amp;viewpoint="&amp;SUBSTITUTE(AF2981," ",""),"Abrir Street View"))</f>
        <v/>
      </c>
    </row>
    <row r="2982">
      <c r="H2982" s="6" t="n"/>
      <c r="I2982" s="6" t="n"/>
      <c r="M2982" s="7" t="n"/>
      <c r="N2982" s="7" t="n"/>
      <c r="O2982" s="7" t="n"/>
      <c r="Q2982" s="7" t="n"/>
      <c r="R2982" s="7" t="n"/>
      <c r="S2982" s="8">
        <f>IF(NOT(ISNUMBER(M2982)),"",IF(G2982="Terreno",IF(AND(ISNUMBER(I2982),I2982&gt;0),M2982/I2982,""),IF(AND(ISNUMBER(H2982),H2982&gt;0),M2982/H2982,"")))</f>
        <v/>
      </c>
      <c r="T2982" s="9">
        <f>IF(AND(ISNUMBER(M2982),ISNUMBER(O2982)),IF(M2982&lt;=O2982,"Valor ≤ venal IPTU",""),"")</f>
        <v/>
      </c>
      <c r="U2982" s="10">
        <f>IF(AND(ISNUMBER(M2982),ISNUMBER(N2982)),IF(N2982&gt;0,M2982/N2982,""),"")</f>
        <v/>
      </c>
      <c r="V2982" s="10">
        <f>IF(AND(ISNUMBER(M2982),ISNUMBER(O2982)),IF(O2982&gt;0,M2982/O2982,""),"")</f>
        <v/>
      </c>
      <c r="W2982" s="10">
        <f>IF(AND(ISNUMBER(M2982),ISNUMBER(R2982)),IF(R2982&gt;0,M2982/R2982,""),"")</f>
        <v/>
      </c>
      <c r="X2982" s="10">
        <f>IF(AND(ISNUMBER(Q2982),ISNUMBER(M2982)),IF(M2982&gt;0,Q2982/M2982,""),"")</f>
        <v/>
      </c>
      <c r="Y2982" s="11">
        <f>IF(ISNUMBER(Z2982),YEAR(Z2982),"")</f>
        <v/>
      </c>
      <c r="Z2982" s="12" t="n"/>
      <c r="AA2982" s="12" t="n"/>
      <c r="AI2982" s="12" t="n"/>
      <c r="AJ2982" s="13">
        <f>IF(LEN(TRIM(AF2982))=0,"",HYPERLINK("https://www.google.com/maps/@?api=1&amp;map_action=pano&amp;viewpoint="&amp;SUBSTITUTE(AF2982," ",""),"Abrir Street View"))</f>
        <v/>
      </c>
    </row>
    <row r="2983">
      <c r="H2983" s="6" t="n"/>
      <c r="I2983" s="6" t="n"/>
      <c r="M2983" s="7" t="n"/>
      <c r="N2983" s="7" t="n"/>
      <c r="O2983" s="7" t="n"/>
      <c r="Q2983" s="7" t="n"/>
      <c r="R2983" s="7" t="n"/>
      <c r="S2983" s="8">
        <f>IF(NOT(ISNUMBER(M2983)),"",IF(G2983="Terreno",IF(AND(ISNUMBER(I2983),I2983&gt;0),M2983/I2983,""),IF(AND(ISNUMBER(H2983),H2983&gt;0),M2983/H2983,"")))</f>
        <v/>
      </c>
      <c r="T2983" s="9">
        <f>IF(AND(ISNUMBER(M2983),ISNUMBER(O2983)),IF(M2983&lt;=O2983,"Valor ≤ venal IPTU",""),"")</f>
        <v/>
      </c>
      <c r="U2983" s="10">
        <f>IF(AND(ISNUMBER(M2983),ISNUMBER(N2983)),IF(N2983&gt;0,M2983/N2983,""),"")</f>
        <v/>
      </c>
      <c r="V2983" s="10">
        <f>IF(AND(ISNUMBER(M2983),ISNUMBER(O2983)),IF(O2983&gt;0,M2983/O2983,""),"")</f>
        <v/>
      </c>
      <c r="W2983" s="10">
        <f>IF(AND(ISNUMBER(M2983),ISNUMBER(R2983)),IF(R2983&gt;0,M2983/R2983,""),"")</f>
        <v/>
      </c>
      <c r="X2983" s="10">
        <f>IF(AND(ISNUMBER(Q2983),ISNUMBER(M2983)),IF(M2983&gt;0,Q2983/M2983,""),"")</f>
        <v/>
      </c>
      <c r="Y2983" s="11">
        <f>IF(ISNUMBER(Z2983),YEAR(Z2983),"")</f>
        <v/>
      </c>
      <c r="Z2983" s="12" t="n"/>
      <c r="AA2983" s="12" t="n"/>
      <c r="AI2983" s="12" t="n"/>
      <c r="AJ2983" s="13">
        <f>IF(LEN(TRIM(AF2983))=0,"",HYPERLINK("https://www.google.com/maps/@?api=1&amp;map_action=pano&amp;viewpoint="&amp;SUBSTITUTE(AF2983," ",""),"Abrir Street View"))</f>
        <v/>
      </c>
    </row>
    <row r="2984">
      <c r="H2984" s="6" t="n"/>
      <c r="I2984" s="6" t="n"/>
      <c r="M2984" s="7" t="n"/>
      <c r="N2984" s="7" t="n"/>
      <c r="O2984" s="7" t="n"/>
      <c r="Q2984" s="7" t="n"/>
      <c r="R2984" s="7" t="n"/>
      <c r="S2984" s="8">
        <f>IF(NOT(ISNUMBER(M2984)),"",IF(G2984="Terreno",IF(AND(ISNUMBER(I2984),I2984&gt;0),M2984/I2984,""),IF(AND(ISNUMBER(H2984),H2984&gt;0),M2984/H2984,"")))</f>
        <v/>
      </c>
      <c r="T2984" s="9">
        <f>IF(AND(ISNUMBER(M2984),ISNUMBER(O2984)),IF(M2984&lt;=O2984,"Valor ≤ venal IPTU",""),"")</f>
        <v/>
      </c>
      <c r="U2984" s="10">
        <f>IF(AND(ISNUMBER(M2984),ISNUMBER(N2984)),IF(N2984&gt;0,M2984/N2984,""),"")</f>
        <v/>
      </c>
      <c r="V2984" s="10">
        <f>IF(AND(ISNUMBER(M2984),ISNUMBER(O2984)),IF(O2984&gt;0,M2984/O2984,""),"")</f>
        <v/>
      </c>
      <c r="W2984" s="10">
        <f>IF(AND(ISNUMBER(M2984),ISNUMBER(R2984)),IF(R2984&gt;0,M2984/R2984,""),"")</f>
        <v/>
      </c>
      <c r="X2984" s="10">
        <f>IF(AND(ISNUMBER(Q2984),ISNUMBER(M2984)),IF(M2984&gt;0,Q2984/M2984,""),"")</f>
        <v/>
      </c>
      <c r="Y2984" s="11">
        <f>IF(ISNUMBER(Z2984),YEAR(Z2984),"")</f>
        <v/>
      </c>
      <c r="Z2984" s="12" t="n"/>
      <c r="AA2984" s="12" t="n"/>
      <c r="AI2984" s="12" t="n"/>
      <c r="AJ2984" s="13">
        <f>IF(LEN(TRIM(AF2984))=0,"",HYPERLINK("https://www.google.com/maps/@?api=1&amp;map_action=pano&amp;viewpoint="&amp;SUBSTITUTE(AF2984," ",""),"Abrir Street View"))</f>
        <v/>
      </c>
    </row>
    <row r="2985">
      <c r="H2985" s="6" t="n"/>
      <c r="I2985" s="6" t="n"/>
      <c r="M2985" s="7" t="n"/>
      <c r="N2985" s="7" t="n"/>
      <c r="O2985" s="7" t="n"/>
      <c r="Q2985" s="7" t="n"/>
      <c r="R2985" s="7" t="n"/>
      <c r="S2985" s="8">
        <f>IF(NOT(ISNUMBER(M2985)),"",IF(G2985="Terreno",IF(AND(ISNUMBER(I2985),I2985&gt;0),M2985/I2985,""),IF(AND(ISNUMBER(H2985),H2985&gt;0),M2985/H2985,"")))</f>
        <v/>
      </c>
      <c r="T2985" s="9">
        <f>IF(AND(ISNUMBER(M2985),ISNUMBER(O2985)),IF(M2985&lt;=O2985,"Valor ≤ venal IPTU",""),"")</f>
        <v/>
      </c>
      <c r="U2985" s="10">
        <f>IF(AND(ISNUMBER(M2985),ISNUMBER(N2985)),IF(N2985&gt;0,M2985/N2985,""),"")</f>
        <v/>
      </c>
      <c r="V2985" s="10">
        <f>IF(AND(ISNUMBER(M2985),ISNUMBER(O2985)),IF(O2985&gt;0,M2985/O2985,""),"")</f>
        <v/>
      </c>
      <c r="W2985" s="10">
        <f>IF(AND(ISNUMBER(M2985),ISNUMBER(R2985)),IF(R2985&gt;0,M2985/R2985,""),"")</f>
        <v/>
      </c>
      <c r="X2985" s="10">
        <f>IF(AND(ISNUMBER(Q2985),ISNUMBER(M2985)),IF(M2985&gt;0,Q2985/M2985,""),"")</f>
        <v/>
      </c>
      <c r="Y2985" s="11">
        <f>IF(ISNUMBER(Z2985),YEAR(Z2985),"")</f>
        <v/>
      </c>
      <c r="Z2985" s="12" t="n"/>
      <c r="AA2985" s="12" t="n"/>
      <c r="AI2985" s="12" t="n"/>
      <c r="AJ2985" s="13">
        <f>IF(LEN(TRIM(AF2985))=0,"",HYPERLINK("https://www.google.com/maps/@?api=1&amp;map_action=pano&amp;viewpoint="&amp;SUBSTITUTE(AF2985," ",""),"Abrir Street View"))</f>
        <v/>
      </c>
    </row>
    <row r="2986">
      <c r="H2986" s="6" t="n"/>
      <c r="I2986" s="6" t="n"/>
      <c r="M2986" s="7" t="n"/>
      <c r="N2986" s="7" t="n"/>
      <c r="O2986" s="7" t="n"/>
      <c r="Q2986" s="7" t="n"/>
      <c r="R2986" s="7" t="n"/>
      <c r="S2986" s="8">
        <f>IF(NOT(ISNUMBER(M2986)),"",IF(G2986="Terreno",IF(AND(ISNUMBER(I2986),I2986&gt;0),M2986/I2986,""),IF(AND(ISNUMBER(H2986),H2986&gt;0),M2986/H2986,"")))</f>
        <v/>
      </c>
      <c r="T2986" s="9">
        <f>IF(AND(ISNUMBER(M2986),ISNUMBER(O2986)),IF(M2986&lt;=O2986,"Valor ≤ venal IPTU",""),"")</f>
        <v/>
      </c>
      <c r="U2986" s="10">
        <f>IF(AND(ISNUMBER(M2986),ISNUMBER(N2986)),IF(N2986&gt;0,M2986/N2986,""),"")</f>
        <v/>
      </c>
      <c r="V2986" s="10">
        <f>IF(AND(ISNUMBER(M2986),ISNUMBER(O2986)),IF(O2986&gt;0,M2986/O2986,""),"")</f>
        <v/>
      </c>
      <c r="W2986" s="10">
        <f>IF(AND(ISNUMBER(M2986),ISNUMBER(R2986)),IF(R2986&gt;0,M2986/R2986,""),"")</f>
        <v/>
      </c>
      <c r="X2986" s="10">
        <f>IF(AND(ISNUMBER(Q2986),ISNUMBER(M2986)),IF(M2986&gt;0,Q2986/M2986,""),"")</f>
        <v/>
      </c>
      <c r="Y2986" s="11">
        <f>IF(ISNUMBER(Z2986),YEAR(Z2986),"")</f>
        <v/>
      </c>
      <c r="Z2986" s="12" t="n"/>
      <c r="AA2986" s="12" t="n"/>
      <c r="AI2986" s="12" t="n"/>
      <c r="AJ2986" s="13">
        <f>IF(LEN(TRIM(AF2986))=0,"",HYPERLINK("https://www.google.com/maps/@?api=1&amp;map_action=pano&amp;viewpoint="&amp;SUBSTITUTE(AF2986," ",""),"Abrir Street View"))</f>
        <v/>
      </c>
    </row>
    <row r="2987">
      <c r="H2987" s="6" t="n"/>
      <c r="I2987" s="6" t="n"/>
      <c r="M2987" s="7" t="n"/>
      <c r="N2987" s="7" t="n"/>
      <c r="O2987" s="7" t="n"/>
      <c r="Q2987" s="7" t="n"/>
      <c r="R2987" s="7" t="n"/>
      <c r="S2987" s="8">
        <f>IF(NOT(ISNUMBER(M2987)),"",IF(G2987="Terreno",IF(AND(ISNUMBER(I2987),I2987&gt;0),M2987/I2987,""),IF(AND(ISNUMBER(H2987),H2987&gt;0),M2987/H2987,"")))</f>
        <v/>
      </c>
      <c r="T2987" s="9">
        <f>IF(AND(ISNUMBER(M2987),ISNUMBER(O2987)),IF(M2987&lt;=O2987,"Valor ≤ venal IPTU",""),"")</f>
        <v/>
      </c>
      <c r="U2987" s="10">
        <f>IF(AND(ISNUMBER(M2987),ISNUMBER(N2987)),IF(N2987&gt;0,M2987/N2987,""),"")</f>
        <v/>
      </c>
      <c r="V2987" s="10">
        <f>IF(AND(ISNUMBER(M2987),ISNUMBER(O2987)),IF(O2987&gt;0,M2987/O2987,""),"")</f>
        <v/>
      </c>
      <c r="W2987" s="10">
        <f>IF(AND(ISNUMBER(M2987),ISNUMBER(R2987)),IF(R2987&gt;0,M2987/R2987,""),"")</f>
        <v/>
      </c>
      <c r="X2987" s="10">
        <f>IF(AND(ISNUMBER(Q2987),ISNUMBER(M2987)),IF(M2987&gt;0,Q2987/M2987,""),"")</f>
        <v/>
      </c>
      <c r="Y2987" s="11">
        <f>IF(ISNUMBER(Z2987),YEAR(Z2987),"")</f>
        <v/>
      </c>
      <c r="Z2987" s="12" t="n"/>
      <c r="AA2987" s="12" t="n"/>
      <c r="AI2987" s="12" t="n"/>
      <c r="AJ2987" s="13">
        <f>IF(LEN(TRIM(AF2987))=0,"",HYPERLINK("https://www.google.com/maps/@?api=1&amp;map_action=pano&amp;viewpoint="&amp;SUBSTITUTE(AF2987," ",""),"Abrir Street View"))</f>
        <v/>
      </c>
    </row>
    <row r="2988">
      <c r="H2988" s="6" t="n"/>
      <c r="I2988" s="6" t="n"/>
      <c r="M2988" s="7" t="n"/>
      <c r="N2988" s="7" t="n"/>
      <c r="O2988" s="7" t="n"/>
      <c r="Q2988" s="7" t="n"/>
      <c r="R2988" s="7" t="n"/>
      <c r="S2988" s="8">
        <f>IF(NOT(ISNUMBER(M2988)),"",IF(G2988="Terreno",IF(AND(ISNUMBER(I2988),I2988&gt;0),M2988/I2988,""),IF(AND(ISNUMBER(H2988),H2988&gt;0),M2988/H2988,"")))</f>
        <v/>
      </c>
      <c r="T2988" s="9">
        <f>IF(AND(ISNUMBER(M2988),ISNUMBER(O2988)),IF(M2988&lt;=O2988,"Valor ≤ venal IPTU",""),"")</f>
        <v/>
      </c>
      <c r="U2988" s="10">
        <f>IF(AND(ISNUMBER(M2988),ISNUMBER(N2988)),IF(N2988&gt;0,M2988/N2988,""),"")</f>
        <v/>
      </c>
      <c r="V2988" s="10">
        <f>IF(AND(ISNUMBER(M2988),ISNUMBER(O2988)),IF(O2988&gt;0,M2988/O2988,""),"")</f>
        <v/>
      </c>
      <c r="W2988" s="10">
        <f>IF(AND(ISNUMBER(M2988),ISNUMBER(R2988)),IF(R2988&gt;0,M2988/R2988,""),"")</f>
        <v/>
      </c>
      <c r="X2988" s="10">
        <f>IF(AND(ISNUMBER(Q2988),ISNUMBER(M2988)),IF(M2988&gt;0,Q2988/M2988,""),"")</f>
        <v/>
      </c>
      <c r="Y2988" s="11">
        <f>IF(ISNUMBER(Z2988),YEAR(Z2988),"")</f>
        <v/>
      </c>
      <c r="Z2988" s="12" t="n"/>
      <c r="AA2988" s="12" t="n"/>
      <c r="AI2988" s="12" t="n"/>
      <c r="AJ2988" s="13">
        <f>IF(LEN(TRIM(AF2988))=0,"",HYPERLINK("https://www.google.com/maps/@?api=1&amp;map_action=pano&amp;viewpoint="&amp;SUBSTITUTE(AF2988," ",""),"Abrir Street View"))</f>
        <v/>
      </c>
    </row>
    <row r="2989">
      <c r="H2989" s="6" t="n"/>
      <c r="I2989" s="6" t="n"/>
      <c r="M2989" s="7" t="n"/>
      <c r="N2989" s="7" t="n"/>
      <c r="O2989" s="7" t="n"/>
      <c r="Q2989" s="7" t="n"/>
      <c r="R2989" s="7" t="n"/>
      <c r="S2989" s="8">
        <f>IF(NOT(ISNUMBER(M2989)),"",IF(G2989="Terreno",IF(AND(ISNUMBER(I2989),I2989&gt;0),M2989/I2989,""),IF(AND(ISNUMBER(H2989),H2989&gt;0),M2989/H2989,"")))</f>
        <v/>
      </c>
      <c r="T2989" s="9">
        <f>IF(AND(ISNUMBER(M2989),ISNUMBER(O2989)),IF(M2989&lt;=O2989,"Valor ≤ venal IPTU",""),"")</f>
        <v/>
      </c>
      <c r="U2989" s="10">
        <f>IF(AND(ISNUMBER(M2989),ISNUMBER(N2989)),IF(N2989&gt;0,M2989/N2989,""),"")</f>
        <v/>
      </c>
      <c r="V2989" s="10">
        <f>IF(AND(ISNUMBER(M2989),ISNUMBER(O2989)),IF(O2989&gt;0,M2989/O2989,""),"")</f>
        <v/>
      </c>
      <c r="W2989" s="10">
        <f>IF(AND(ISNUMBER(M2989),ISNUMBER(R2989)),IF(R2989&gt;0,M2989/R2989,""),"")</f>
        <v/>
      </c>
      <c r="X2989" s="10">
        <f>IF(AND(ISNUMBER(Q2989),ISNUMBER(M2989)),IF(M2989&gt;0,Q2989/M2989,""),"")</f>
        <v/>
      </c>
      <c r="Y2989" s="11">
        <f>IF(ISNUMBER(Z2989),YEAR(Z2989),"")</f>
        <v/>
      </c>
      <c r="Z2989" s="12" t="n"/>
      <c r="AA2989" s="12" t="n"/>
      <c r="AI2989" s="12" t="n"/>
      <c r="AJ2989" s="13">
        <f>IF(LEN(TRIM(AF2989))=0,"",HYPERLINK("https://www.google.com/maps/@?api=1&amp;map_action=pano&amp;viewpoint="&amp;SUBSTITUTE(AF2989," ",""),"Abrir Street View"))</f>
        <v/>
      </c>
    </row>
    <row r="2990">
      <c r="H2990" s="6" t="n"/>
      <c r="I2990" s="6" t="n"/>
      <c r="M2990" s="7" t="n"/>
      <c r="N2990" s="7" t="n"/>
      <c r="O2990" s="7" t="n"/>
      <c r="Q2990" s="7" t="n"/>
      <c r="R2990" s="7" t="n"/>
      <c r="S2990" s="8">
        <f>IF(NOT(ISNUMBER(M2990)),"",IF(G2990="Terreno",IF(AND(ISNUMBER(I2990),I2990&gt;0),M2990/I2990,""),IF(AND(ISNUMBER(H2990),H2990&gt;0),M2990/H2990,"")))</f>
        <v/>
      </c>
      <c r="T2990" s="9">
        <f>IF(AND(ISNUMBER(M2990),ISNUMBER(O2990)),IF(M2990&lt;=O2990,"Valor ≤ venal IPTU",""),"")</f>
        <v/>
      </c>
      <c r="U2990" s="10">
        <f>IF(AND(ISNUMBER(M2990),ISNUMBER(N2990)),IF(N2990&gt;0,M2990/N2990,""),"")</f>
        <v/>
      </c>
      <c r="V2990" s="10">
        <f>IF(AND(ISNUMBER(M2990),ISNUMBER(O2990)),IF(O2990&gt;0,M2990/O2990,""),"")</f>
        <v/>
      </c>
      <c r="W2990" s="10">
        <f>IF(AND(ISNUMBER(M2990),ISNUMBER(R2990)),IF(R2990&gt;0,M2990/R2990,""),"")</f>
        <v/>
      </c>
      <c r="X2990" s="10">
        <f>IF(AND(ISNUMBER(Q2990),ISNUMBER(M2990)),IF(M2990&gt;0,Q2990/M2990,""),"")</f>
        <v/>
      </c>
      <c r="Y2990" s="11">
        <f>IF(ISNUMBER(Z2990),YEAR(Z2990),"")</f>
        <v/>
      </c>
      <c r="Z2990" s="12" t="n"/>
      <c r="AA2990" s="12" t="n"/>
      <c r="AI2990" s="12" t="n"/>
      <c r="AJ2990" s="13">
        <f>IF(LEN(TRIM(AF2990))=0,"",HYPERLINK("https://www.google.com/maps/@?api=1&amp;map_action=pano&amp;viewpoint="&amp;SUBSTITUTE(AF2990," ",""),"Abrir Street View"))</f>
        <v/>
      </c>
    </row>
    <row r="2991">
      <c r="H2991" s="6" t="n"/>
      <c r="I2991" s="6" t="n"/>
      <c r="M2991" s="7" t="n"/>
      <c r="N2991" s="7" t="n"/>
      <c r="O2991" s="7" t="n"/>
      <c r="Q2991" s="7" t="n"/>
      <c r="R2991" s="7" t="n"/>
      <c r="S2991" s="8">
        <f>IF(NOT(ISNUMBER(M2991)),"",IF(G2991="Terreno",IF(AND(ISNUMBER(I2991),I2991&gt;0),M2991/I2991,""),IF(AND(ISNUMBER(H2991),H2991&gt;0),M2991/H2991,"")))</f>
        <v/>
      </c>
      <c r="T2991" s="9">
        <f>IF(AND(ISNUMBER(M2991),ISNUMBER(O2991)),IF(M2991&lt;=O2991,"Valor ≤ venal IPTU",""),"")</f>
        <v/>
      </c>
      <c r="U2991" s="10">
        <f>IF(AND(ISNUMBER(M2991),ISNUMBER(N2991)),IF(N2991&gt;0,M2991/N2991,""),"")</f>
        <v/>
      </c>
      <c r="V2991" s="10">
        <f>IF(AND(ISNUMBER(M2991),ISNUMBER(O2991)),IF(O2991&gt;0,M2991/O2991,""),"")</f>
        <v/>
      </c>
      <c r="W2991" s="10">
        <f>IF(AND(ISNUMBER(M2991),ISNUMBER(R2991)),IF(R2991&gt;0,M2991/R2991,""),"")</f>
        <v/>
      </c>
      <c r="X2991" s="10">
        <f>IF(AND(ISNUMBER(Q2991),ISNUMBER(M2991)),IF(M2991&gt;0,Q2991/M2991,""),"")</f>
        <v/>
      </c>
      <c r="Y2991" s="11">
        <f>IF(ISNUMBER(Z2991),YEAR(Z2991),"")</f>
        <v/>
      </c>
      <c r="Z2991" s="12" t="n"/>
      <c r="AA2991" s="12" t="n"/>
      <c r="AI2991" s="12" t="n"/>
      <c r="AJ2991" s="13">
        <f>IF(LEN(TRIM(AF2991))=0,"",HYPERLINK("https://www.google.com/maps/@?api=1&amp;map_action=pano&amp;viewpoint="&amp;SUBSTITUTE(AF2991," ",""),"Abrir Street View"))</f>
        <v/>
      </c>
    </row>
    <row r="2992">
      <c r="H2992" s="6" t="n"/>
      <c r="I2992" s="6" t="n"/>
      <c r="M2992" s="7" t="n"/>
      <c r="N2992" s="7" t="n"/>
      <c r="O2992" s="7" t="n"/>
      <c r="Q2992" s="7" t="n"/>
      <c r="R2992" s="7" t="n"/>
      <c r="S2992" s="8">
        <f>IF(NOT(ISNUMBER(M2992)),"",IF(G2992="Terreno",IF(AND(ISNUMBER(I2992),I2992&gt;0),M2992/I2992,""),IF(AND(ISNUMBER(H2992),H2992&gt;0),M2992/H2992,"")))</f>
        <v/>
      </c>
      <c r="T2992" s="9">
        <f>IF(AND(ISNUMBER(M2992),ISNUMBER(O2992)),IF(M2992&lt;=O2992,"Valor ≤ venal IPTU",""),"")</f>
        <v/>
      </c>
      <c r="U2992" s="10">
        <f>IF(AND(ISNUMBER(M2992),ISNUMBER(N2992)),IF(N2992&gt;0,M2992/N2992,""),"")</f>
        <v/>
      </c>
      <c r="V2992" s="10">
        <f>IF(AND(ISNUMBER(M2992),ISNUMBER(O2992)),IF(O2992&gt;0,M2992/O2992,""),"")</f>
        <v/>
      </c>
      <c r="W2992" s="10">
        <f>IF(AND(ISNUMBER(M2992),ISNUMBER(R2992)),IF(R2992&gt;0,M2992/R2992,""),"")</f>
        <v/>
      </c>
      <c r="X2992" s="10">
        <f>IF(AND(ISNUMBER(Q2992),ISNUMBER(M2992)),IF(M2992&gt;0,Q2992/M2992,""),"")</f>
        <v/>
      </c>
      <c r="Y2992" s="11">
        <f>IF(ISNUMBER(Z2992),YEAR(Z2992),"")</f>
        <v/>
      </c>
      <c r="Z2992" s="12" t="n"/>
      <c r="AA2992" s="12" t="n"/>
      <c r="AI2992" s="12" t="n"/>
      <c r="AJ2992" s="13">
        <f>IF(LEN(TRIM(AF2992))=0,"",HYPERLINK("https://www.google.com/maps/@?api=1&amp;map_action=pano&amp;viewpoint="&amp;SUBSTITUTE(AF2992," ",""),"Abrir Street View"))</f>
        <v/>
      </c>
    </row>
    <row r="2993">
      <c r="H2993" s="6" t="n"/>
      <c r="I2993" s="6" t="n"/>
      <c r="M2993" s="7" t="n"/>
      <c r="N2993" s="7" t="n"/>
      <c r="O2993" s="7" t="n"/>
      <c r="Q2993" s="7" t="n"/>
      <c r="R2993" s="7" t="n"/>
      <c r="S2993" s="8">
        <f>IF(NOT(ISNUMBER(M2993)),"",IF(G2993="Terreno",IF(AND(ISNUMBER(I2993),I2993&gt;0),M2993/I2993,""),IF(AND(ISNUMBER(H2993),H2993&gt;0),M2993/H2993,"")))</f>
        <v/>
      </c>
      <c r="T2993" s="9">
        <f>IF(AND(ISNUMBER(M2993),ISNUMBER(O2993)),IF(M2993&lt;=O2993,"Valor ≤ venal IPTU",""),"")</f>
        <v/>
      </c>
      <c r="U2993" s="10">
        <f>IF(AND(ISNUMBER(M2993),ISNUMBER(N2993)),IF(N2993&gt;0,M2993/N2993,""),"")</f>
        <v/>
      </c>
      <c r="V2993" s="10">
        <f>IF(AND(ISNUMBER(M2993),ISNUMBER(O2993)),IF(O2993&gt;0,M2993/O2993,""),"")</f>
        <v/>
      </c>
      <c r="W2993" s="10">
        <f>IF(AND(ISNUMBER(M2993),ISNUMBER(R2993)),IF(R2993&gt;0,M2993/R2993,""),"")</f>
        <v/>
      </c>
      <c r="X2993" s="10">
        <f>IF(AND(ISNUMBER(Q2993),ISNUMBER(M2993)),IF(M2993&gt;0,Q2993/M2993,""),"")</f>
        <v/>
      </c>
      <c r="Y2993" s="11">
        <f>IF(ISNUMBER(Z2993),YEAR(Z2993),"")</f>
        <v/>
      </c>
      <c r="Z2993" s="12" t="n"/>
      <c r="AA2993" s="12" t="n"/>
      <c r="AI2993" s="12" t="n"/>
      <c r="AJ2993" s="13">
        <f>IF(LEN(TRIM(AF2993))=0,"",HYPERLINK("https://www.google.com/maps/@?api=1&amp;map_action=pano&amp;viewpoint="&amp;SUBSTITUTE(AF2993," ",""),"Abrir Street View"))</f>
        <v/>
      </c>
    </row>
    <row r="2994">
      <c r="H2994" s="6" t="n"/>
      <c r="I2994" s="6" t="n"/>
      <c r="M2994" s="7" t="n"/>
      <c r="N2994" s="7" t="n"/>
      <c r="O2994" s="7" t="n"/>
      <c r="Q2994" s="7" t="n"/>
      <c r="R2994" s="7" t="n"/>
      <c r="S2994" s="8">
        <f>IF(NOT(ISNUMBER(M2994)),"",IF(G2994="Terreno",IF(AND(ISNUMBER(I2994),I2994&gt;0),M2994/I2994,""),IF(AND(ISNUMBER(H2994),H2994&gt;0),M2994/H2994,"")))</f>
        <v/>
      </c>
      <c r="T2994" s="9">
        <f>IF(AND(ISNUMBER(M2994),ISNUMBER(O2994)),IF(M2994&lt;=O2994,"Valor ≤ venal IPTU",""),"")</f>
        <v/>
      </c>
      <c r="U2994" s="10">
        <f>IF(AND(ISNUMBER(M2994),ISNUMBER(N2994)),IF(N2994&gt;0,M2994/N2994,""),"")</f>
        <v/>
      </c>
      <c r="V2994" s="10">
        <f>IF(AND(ISNUMBER(M2994),ISNUMBER(O2994)),IF(O2994&gt;0,M2994/O2994,""),"")</f>
        <v/>
      </c>
      <c r="W2994" s="10">
        <f>IF(AND(ISNUMBER(M2994),ISNUMBER(R2994)),IF(R2994&gt;0,M2994/R2994,""),"")</f>
        <v/>
      </c>
      <c r="X2994" s="10">
        <f>IF(AND(ISNUMBER(Q2994),ISNUMBER(M2994)),IF(M2994&gt;0,Q2994/M2994,""),"")</f>
        <v/>
      </c>
      <c r="Y2994" s="11">
        <f>IF(ISNUMBER(Z2994),YEAR(Z2994),"")</f>
        <v/>
      </c>
      <c r="Z2994" s="12" t="n"/>
      <c r="AA2994" s="12" t="n"/>
      <c r="AI2994" s="12" t="n"/>
      <c r="AJ2994" s="13">
        <f>IF(LEN(TRIM(AF2994))=0,"",HYPERLINK("https://www.google.com/maps/@?api=1&amp;map_action=pano&amp;viewpoint="&amp;SUBSTITUTE(AF2994," ",""),"Abrir Street View"))</f>
        <v/>
      </c>
    </row>
    <row r="2995">
      <c r="H2995" s="6" t="n"/>
      <c r="I2995" s="6" t="n"/>
      <c r="M2995" s="7" t="n"/>
      <c r="N2995" s="7" t="n"/>
      <c r="O2995" s="7" t="n"/>
      <c r="Q2995" s="7" t="n"/>
      <c r="R2995" s="7" t="n"/>
      <c r="S2995" s="8">
        <f>IF(NOT(ISNUMBER(M2995)),"",IF(G2995="Terreno",IF(AND(ISNUMBER(I2995),I2995&gt;0),M2995/I2995,""),IF(AND(ISNUMBER(H2995),H2995&gt;0),M2995/H2995,"")))</f>
        <v/>
      </c>
      <c r="T2995" s="9">
        <f>IF(AND(ISNUMBER(M2995),ISNUMBER(O2995)),IF(M2995&lt;=O2995,"Valor ≤ venal IPTU",""),"")</f>
        <v/>
      </c>
      <c r="U2995" s="10">
        <f>IF(AND(ISNUMBER(M2995),ISNUMBER(N2995)),IF(N2995&gt;0,M2995/N2995,""),"")</f>
        <v/>
      </c>
      <c r="V2995" s="10">
        <f>IF(AND(ISNUMBER(M2995),ISNUMBER(O2995)),IF(O2995&gt;0,M2995/O2995,""),"")</f>
        <v/>
      </c>
      <c r="W2995" s="10">
        <f>IF(AND(ISNUMBER(M2995),ISNUMBER(R2995)),IF(R2995&gt;0,M2995/R2995,""),"")</f>
        <v/>
      </c>
      <c r="X2995" s="10">
        <f>IF(AND(ISNUMBER(Q2995),ISNUMBER(M2995)),IF(M2995&gt;0,Q2995/M2995,""),"")</f>
        <v/>
      </c>
      <c r="Y2995" s="11">
        <f>IF(ISNUMBER(Z2995),YEAR(Z2995),"")</f>
        <v/>
      </c>
      <c r="Z2995" s="12" t="n"/>
      <c r="AA2995" s="12" t="n"/>
      <c r="AI2995" s="12" t="n"/>
      <c r="AJ2995" s="13">
        <f>IF(LEN(TRIM(AF2995))=0,"",HYPERLINK("https://www.google.com/maps/@?api=1&amp;map_action=pano&amp;viewpoint="&amp;SUBSTITUTE(AF2995," ",""),"Abrir Street View"))</f>
        <v/>
      </c>
    </row>
    <row r="2996">
      <c r="H2996" s="6" t="n"/>
      <c r="I2996" s="6" t="n"/>
      <c r="M2996" s="7" t="n"/>
      <c r="N2996" s="7" t="n"/>
      <c r="O2996" s="7" t="n"/>
      <c r="Q2996" s="7" t="n"/>
      <c r="R2996" s="7" t="n"/>
      <c r="S2996" s="8">
        <f>IF(NOT(ISNUMBER(M2996)),"",IF(G2996="Terreno",IF(AND(ISNUMBER(I2996),I2996&gt;0),M2996/I2996,""),IF(AND(ISNUMBER(H2996),H2996&gt;0),M2996/H2996,"")))</f>
        <v/>
      </c>
      <c r="T2996" s="9">
        <f>IF(AND(ISNUMBER(M2996),ISNUMBER(O2996)),IF(M2996&lt;=O2996,"Valor ≤ venal IPTU",""),"")</f>
        <v/>
      </c>
      <c r="U2996" s="10">
        <f>IF(AND(ISNUMBER(M2996),ISNUMBER(N2996)),IF(N2996&gt;0,M2996/N2996,""),"")</f>
        <v/>
      </c>
      <c r="V2996" s="10">
        <f>IF(AND(ISNUMBER(M2996),ISNUMBER(O2996)),IF(O2996&gt;0,M2996/O2996,""),"")</f>
        <v/>
      </c>
      <c r="W2996" s="10">
        <f>IF(AND(ISNUMBER(M2996),ISNUMBER(R2996)),IF(R2996&gt;0,M2996/R2996,""),"")</f>
        <v/>
      </c>
      <c r="X2996" s="10">
        <f>IF(AND(ISNUMBER(Q2996),ISNUMBER(M2996)),IF(M2996&gt;0,Q2996/M2996,""),"")</f>
        <v/>
      </c>
      <c r="Y2996" s="11">
        <f>IF(ISNUMBER(Z2996),YEAR(Z2996),"")</f>
        <v/>
      </c>
      <c r="Z2996" s="12" t="n"/>
      <c r="AA2996" s="12" t="n"/>
      <c r="AI2996" s="12" t="n"/>
      <c r="AJ2996" s="13">
        <f>IF(LEN(TRIM(AF2996))=0,"",HYPERLINK("https://www.google.com/maps/@?api=1&amp;map_action=pano&amp;viewpoint="&amp;SUBSTITUTE(AF2996," ",""),"Abrir Street View"))</f>
        <v/>
      </c>
    </row>
    <row r="2997">
      <c r="H2997" s="6" t="n"/>
      <c r="I2997" s="6" t="n"/>
      <c r="M2997" s="7" t="n"/>
      <c r="N2997" s="7" t="n"/>
      <c r="O2997" s="7" t="n"/>
      <c r="Q2997" s="7" t="n"/>
      <c r="R2997" s="7" t="n"/>
      <c r="S2997" s="8">
        <f>IF(NOT(ISNUMBER(M2997)),"",IF(G2997="Terreno",IF(AND(ISNUMBER(I2997),I2997&gt;0),M2997/I2997,""),IF(AND(ISNUMBER(H2997),H2997&gt;0),M2997/H2997,"")))</f>
        <v/>
      </c>
      <c r="T2997" s="9">
        <f>IF(AND(ISNUMBER(M2997),ISNUMBER(O2997)),IF(M2997&lt;=O2997,"Valor ≤ venal IPTU",""),"")</f>
        <v/>
      </c>
      <c r="U2997" s="10">
        <f>IF(AND(ISNUMBER(M2997),ISNUMBER(N2997)),IF(N2997&gt;0,M2997/N2997,""),"")</f>
        <v/>
      </c>
      <c r="V2997" s="10">
        <f>IF(AND(ISNUMBER(M2997),ISNUMBER(O2997)),IF(O2997&gt;0,M2997/O2997,""),"")</f>
        <v/>
      </c>
      <c r="W2997" s="10">
        <f>IF(AND(ISNUMBER(M2997),ISNUMBER(R2997)),IF(R2997&gt;0,M2997/R2997,""),"")</f>
        <v/>
      </c>
      <c r="X2997" s="10">
        <f>IF(AND(ISNUMBER(Q2997),ISNUMBER(M2997)),IF(M2997&gt;0,Q2997/M2997,""),"")</f>
        <v/>
      </c>
      <c r="Y2997" s="11">
        <f>IF(ISNUMBER(Z2997),YEAR(Z2997),"")</f>
        <v/>
      </c>
      <c r="Z2997" s="12" t="n"/>
      <c r="AA2997" s="12" t="n"/>
      <c r="AI2997" s="12" t="n"/>
      <c r="AJ2997" s="13">
        <f>IF(LEN(TRIM(AF2997))=0,"",HYPERLINK("https://www.google.com/maps/@?api=1&amp;map_action=pano&amp;viewpoint="&amp;SUBSTITUTE(AF2997," ",""),"Abrir Street View"))</f>
        <v/>
      </c>
    </row>
    <row r="2998">
      <c r="H2998" s="6" t="n"/>
      <c r="I2998" s="6" t="n"/>
      <c r="M2998" s="7" t="n"/>
      <c r="N2998" s="7" t="n"/>
      <c r="O2998" s="7" t="n"/>
      <c r="Q2998" s="7" t="n"/>
      <c r="R2998" s="7" t="n"/>
      <c r="S2998" s="8">
        <f>IF(NOT(ISNUMBER(M2998)),"",IF(G2998="Terreno",IF(AND(ISNUMBER(I2998),I2998&gt;0),M2998/I2998,""),IF(AND(ISNUMBER(H2998),H2998&gt;0),M2998/H2998,"")))</f>
        <v/>
      </c>
      <c r="T2998" s="9">
        <f>IF(AND(ISNUMBER(M2998),ISNUMBER(O2998)),IF(M2998&lt;=O2998,"Valor ≤ venal IPTU",""),"")</f>
        <v/>
      </c>
      <c r="U2998" s="10">
        <f>IF(AND(ISNUMBER(M2998),ISNUMBER(N2998)),IF(N2998&gt;0,M2998/N2998,""),"")</f>
        <v/>
      </c>
      <c r="V2998" s="10">
        <f>IF(AND(ISNUMBER(M2998),ISNUMBER(O2998)),IF(O2998&gt;0,M2998/O2998,""),"")</f>
        <v/>
      </c>
      <c r="W2998" s="10">
        <f>IF(AND(ISNUMBER(M2998),ISNUMBER(R2998)),IF(R2998&gt;0,M2998/R2998,""),"")</f>
        <v/>
      </c>
      <c r="X2998" s="10">
        <f>IF(AND(ISNUMBER(Q2998),ISNUMBER(M2998)),IF(M2998&gt;0,Q2998/M2998,""),"")</f>
        <v/>
      </c>
      <c r="Y2998" s="11">
        <f>IF(ISNUMBER(Z2998),YEAR(Z2998),"")</f>
        <v/>
      </c>
      <c r="Z2998" s="12" t="n"/>
      <c r="AA2998" s="12" t="n"/>
      <c r="AI2998" s="12" t="n"/>
      <c r="AJ2998" s="13">
        <f>IF(LEN(TRIM(AF2998))=0,"",HYPERLINK("https://www.google.com/maps/@?api=1&amp;map_action=pano&amp;viewpoint="&amp;SUBSTITUTE(AF2998," ",""),"Abrir Street View"))</f>
        <v/>
      </c>
    </row>
    <row r="2999">
      <c r="H2999" s="6" t="n"/>
      <c r="I2999" s="6" t="n"/>
      <c r="M2999" s="7" t="n"/>
      <c r="N2999" s="7" t="n"/>
      <c r="O2999" s="7" t="n"/>
      <c r="Q2999" s="7" t="n"/>
      <c r="R2999" s="7" t="n"/>
      <c r="S2999" s="8">
        <f>IF(NOT(ISNUMBER(M2999)),"",IF(G2999="Terreno",IF(AND(ISNUMBER(I2999),I2999&gt;0),M2999/I2999,""),IF(AND(ISNUMBER(H2999),H2999&gt;0),M2999/H2999,"")))</f>
        <v/>
      </c>
      <c r="T2999" s="9">
        <f>IF(AND(ISNUMBER(M2999),ISNUMBER(O2999)),IF(M2999&lt;=O2999,"Valor ≤ venal IPTU",""),"")</f>
        <v/>
      </c>
      <c r="U2999" s="10">
        <f>IF(AND(ISNUMBER(M2999),ISNUMBER(N2999)),IF(N2999&gt;0,M2999/N2999,""),"")</f>
        <v/>
      </c>
      <c r="V2999" s="10">
        <f>IF(AND(ISNUMBER(M2999),ISNUMBER(O2999)),IF(O2999&gt;0,M2999/O2999,""),"")</f>
        <v/>
      </c>
      <c r="W2999" s="10">
        <f>IF(AND(ISNUMBER(M2999),ISNUMBER(R2999)),IF(R2999&gt;0,M2999/R2999,""),"")</f>
        <v/>
      </c>
      <c r="X2999" s="10">
        <f>IF(AND(ISNUMBER(Q2999),ISNUMBER(M2999)),IF(M2999&gt;0,Q2999/M2999,""),"")</f>
        <v/>
      </c>
      <c r="Y2999" s="11">
        <f>IF(ISNUMBER(Z2999),YEAR(Z2999),"")</f>
        <v/>
      </c>
      <c r="Z2999" s="12" t="n"/>
      <c r="AA2999" s="12" t="n"/>
      <c r="AI2999" s="12" t="n"/>
      <c r="AJ2999" s="13">
        <f>IF(LEN(TRIM(AF2999))=0,"",HYPERLINK("https://www.google.com/maps/@?api=1&amp;map_action=pano&amp;viewpoint="&amp;SUBSTITUTE(AF2999," ",""),"Abrir Street View"))</f>
        <v/>
      </c>
    </row>
    <row r="3000">
      <c r="H3000" s="6" t="n"/>
      <c r="I3000" s="6" t="n"/>
      <c r="M3000" s="7" t="n"/>
      <c r="N3000" s="7" t="n"/>
      <c r="O3000" s="7" t="n"/>
      <c r="Q3000" s="7" t="n"/>
      <c r="R3000" s="7" t="n"/>
      <c r="S3000" s="8">
        <f>IF(NOT(ISNUMBER(M3000)),"",IF(G3000="Terreno",IF(AND(ISNUMBER(I3000),I3000&gt;0),M3000/I3000,""),IF(AND(ISNUMBER(H3000),H3000&gt;0),M3000/H3000,"")))</f>
        <v/>
      </c>
      <c r="T3000" s="9">
        <f>IF(AND(ISNUMBER(M3000),ISNUMBER(O3000)),IF(M3000&lt;=O3000,"Valor ≤ venal IPTU",""),"")</f>
        <v/>
      </c>
      <c r="U3000" s="10">
        <f>IF(AND(ISNUMBER(M3000),ISNUMBER(N3000)),IF(N3000&gt;0,M3000/N3000,""),"")</f>
        <v/>
      </c>
      <c r="V3000" s="10">
        <f>IF(AND(ISNUMBER(M3000),ISNUMBER(O3000)),IF(O3000&gt;0,M3000/O3000,""),"")</f>
        <v/>
      </c>
      <c r="W3000" s="10">
        <f>IF(AND(ISNUMBER(M3000),ISNUMBER(R3000)),IF(R3000&gt;0,M3000/R3000,""),"")</f>
        <v/>
      </c>
      <c r="X3000" s="10">
        <f>IF(AND(ISNUMBER(Q3000),ISNUMBER(M3000)),IF(M3000&gt;0,Q3000/M3000,""),"")</f>
        <v/>
      </c>
      <c r="Y3000" s="11">
        <f>IF(ISNUMBER(Z3000),YEAR(Z3000),"")</f>
        <v/>
      </c>
      <c r="Z3000" s="12" t="n"/>
      <c r="AA3000" s="12" t="n"/>
      <c r="AI3000" s="12" t="n"/>
      <c r="AJ3000" s="13">
        <f>IF(LEN(TRIM(AF3000))=0,"",HYPERLINK("https://www.google.com/maps/@?api=1&amp;map_action=pano&amp;viewpoint="&amp;SUBSTITUTE(AF3000," ",""),"Abrir Street View"))</f>
        <v/>
      </c>
    </row>
    <row r="3001">
      <c r="H3001" s="6" t="n"/>
      <c r="I3001" s="6" t="n"/>
      <c r="M3001" s="7" t="n"/>
      <c r="N3001" s="7" t="n"/>
      <c r="O3001" s="7" t="n"/>
      <c r="Q3001" s="7" t="n"/>
      <c r="R3001" s="7" t="n"/>
      <c r="S3001" s="8">
        <f>IF(NOT(ISNUMBER(M3001)),"",IF(G3001="Terreno",IF(AND(ISNUMBER(I3001),I3001&gt;0),M3001/I3001,""),IF(AND(ISNUMBER(H3001),H3001&gt;0),M3001/H3001,"")))</f>
        <v/>
      </c>
      <c r="T3001" s="9">
        <f>IF(AND(ISNUMBER(M3001),ISNUMBER(O3001)),IF(M3001&lt;=O3001,"Valor ≤ venal IPTU",""),"")</f>
        <v/>
      </c>
      <c r="U3001" s="10">
        <f>IF(AND(ISNUMBER(M3001),ISNUMBER(N3001)),IF(N3001&gt;0,M3001/N3001,""),"")</f>
        <v/>
      </c>
      <c r="V3001" s="10">
        <f>IF(AND(ISNUMBER(M3001),ISNUMBER(O3001)),IF(O3001&gt;0,M3001/O3001,""),"")</f>
        <v/>
      </c>
      <c r="W3001" s="10">
        <f>IF(AND(ISNUMBER(M3001),ISNUMBER(R3001)),IF(R3001&gt;0,M3001/R3001,""),"")</f>
        <v/>
      </c>
      <c r="X3001" s="10">
        <f>IF(AND(ISNUMBER(Q3001),ISNUMBER(M3001)),IF(M3001&gt;0,Q3001/M3001,""),"")</f>
        <v/>
      </c>
      <c r="Y3001" s="11">
        <f>IF(ISNUMBER(Z3001),YEAR(Z3001),"")</f>
        <v/>
      </c>
      <c r="Z3001" s="12" t="n"/>
      <c r="AA3001" s="12" t="n"/>
      <c r="AI3001" s="12" t="n"/>
      <c r="AJ3001" s="13">
        <f>IF(LEN(TRIM(AF3001))=0,"",HYPERLINK("https://www.google.com/maps/@?api=1&amp;map_action=pano&amp;viewpoint="&amp;SUBSTITUTE(AF3001," ",""),"Abrir Street View"))</f>
        <v/>
      </c>
    </row>
  </sheetData>
  <autoFilter ref="A1:AL3001"/>
  <conditionalFormatting sqref="T2:T3001">
    <cfRule type="expression" priority="1" dxfId="0">
      <formula>LEN(T2)&gt;0</formula>
    </cfRule>
  </conditionalFormatting>
  <conditionalFormatting sqref="AK2:AK3001">
    <cfRule type="expression" priority="2" dxfId="1">
      <formula>AK2="Validado"</formula>
    </cfRule>
    <cfRule type="expression" priority="3" dxfId="2">
      <formula>AK2="Pendente de conferência"</formula>
    </cfRule>
    <cfRule type="expression" priority="4" dxfId="3">
      <formula>AK2="Rejeitado"</formula>
    </cfRule>
  </conditionalFormatting>
  <dataValidations count="20">
    <dataValidation sqref="B2:B3001" showDropDown="0" showInputMessage="0" showErrorMessage="1" allowBlank="1" errorTitle="Valor fora da lista" error="Escolha uma cidade da lista." type="list">
      <formula1>=LISTA_CIDADES</formula1>
    </dataValidation>
    <dataValidation sqref="G2:G3001" showDropDown="0" showInputMessage="0" showErrorMessage="1" allowBlank="1" errorTitle="Valor fora da lista" error="Escolha um tipo da lista." type="list">
      <formula1>=LISTA_TIPOS</formula1>
    </dataValidation>
    <dataValidation sqref="J2:J3001" showDropDown="0" showInputMessage="0" showErrorMessage="1" allowBlank="1" errorTitle="Valor fora da lista" error="Use Baixo, Normal, Alto ou Não informado." type="list">
      <formula1>=LISTA_PADROES</formula1>
    </dataValidation>
    <dataValidation sqref="K2:K3001" showDropDown="0" showInputMessage="0" showErrorMessage="1" allowBlank="1" errorTitle="Valor fora da lista" error="Escolha a origem do padrão." type="list">
      <formula1>=LISTA_ORIGEM_PADRAO</formula1>
    </dataValidation>
    <dataValidation sqref="AB2:AB3001" showDropDown="0" showInputMessage="0" showErrorMessage="1" allowBlank="1" errorTitle="Valor fora da lista" error="Somente compra e venda onerosa entra na base." type="list">
      <formula1>=LISTA_NATUREZAS</formula1>
    </dataValidation>
    <dataValidation sqref="AC2:AC3001" showDropDown="0" showInputMessage="0" showErrorMessage="1" allowBlank="1" errorTitle="Valor fora da lista" error="Somente LAI ou certidão de matrícula." type="list">
      <formula1>=LISTA_FONTES</formula1>
    </dataValidation>
    <dataValidation sqref="AH2:AH3001" showDropDown="0" showInputMessage="0" showErrorMessage="1" allowBlank="1" errorTitle="Valor fora da lista" error="Escolha a origem da foto." type="list">
      <formula1>=LISTA_ORIGEM_FOTO</formula1>
    </dataValidation>
    <dataValidation sqref="P2:P3001" showDropDown="0" showInputMessage="0" showErrorMessage="1" allowBlank="1" errorTitle="Valor fora da lista" error="Financiado, À vista ou Não informado." type="list">
      <formula1>=LISTA_FORMA_PAGAMENTO</formula1>
    </dataValidation>
    <dataValidation sqref="AK2:AK3001" showDropDown="0" showInputMessage="0" showErrorMessage="1" allowBlank="1" errorTitle="Valor fora da lista" error="Escolha um status." type="list">
      <formula1>=LISTA_STATUS</formula1>
    </dataValidation>
    <dataValidation sqref="C2:C3001" showDropDown="0" showInputMessage="0" showErrorMessage="1" allowBlank="1" errorTitle="Bairro fora da lista oficial" error="Escolha primeiro a cidade; o bairro deve estar na lista oficial (aba Bairros)." type="list">
      <formula1>=INDIRECT(IF($B2="Bertioga","BAIRROS_BERTIOGA","BAIRROS_SAO_SEBASTIAO"))</formula1>
    </dataValidation>
    <dataValidation sqref="M2:M3001" showDropDown="0" showInputMessage="0" showErrorMessage="1" allowBlank="1" errorTitle="Número inválido" error="Informe apenas um número maior que zero (sem R$ ou m²)." type="decimal" operator="greaterThan">
      <formula1>0</formula1>
    </dataValidation>
    <dataValidation sqref="N2:N3001" showDropDown="0" showInputMessage="0" showErrorMessage="1" allowBlank="1" errorTitle="Número inválido" error="Informe apenas um número maior que zero (sem R$ ou m²)." type="decimal" operator="greaterThan">
      <formula1>0</formula1>
    </dataValidation>
    <dataValidation sqref="O2:O3001" showDropDown="0" showInputMessage="0" showErrorMessage="1" allowBlank="1" errorTitle="Número inválido" error="Informe apenas um número maior que zero (sem R$ ou m²)." type="decimal" operator="greaterThan">
      <formula1>0</formula1>
    </dataValidation>
    <dataValidation sqref="Q2:Q3001" showDropDown="0" showInputMessage="0" showErrorMessage="1" allowBlank="1" errorTitle="Número inválido" error="Informe apenas um número maior que zero (sem R$ ou m²)." type="decimal" operator="greaterThan">
      <formula1>0</formula1>
    </dataValidation>
    <dataValidation sqref="R2:R3001" showDropDown="0" showInputMessage="0" showErrorMessage="1" allowBlank="1" errorTitle="Número inválido" error="Informe apenas um número maior que zero (sem R$ ou m²)." type="decimal" operator="greaterThan">
      <formula1>0</formula1>
    </dataValidation>
    <dataValidation sqref="H2:H3001" showDropDown="0" showInputMessage="0" showErrorMessage="1" allowBlank="1" errorTitle="Número inválido" error="Informe apenas um número maior que zero (sem R$ ou m²)." type="decimal" operator="greaterThan">
      <formula1>0</formula1>
    </dataValidation>
    <dataValidation sqref="I2:I3001" showDropDown="0" showInputMessage="0" showErrorMessage="1" allowBlank="1" errorTitle="Número inválido" error="Informe apenas um número maior que zero (sem R$ ou m²)." type="decimal" operator="greaterThan">
      <formula1>0</formula1>
    </dataValidation>
    <dataValidation sqref="Z2:Z3001" showDropDown="0" showInputMessage="0" showErrorMessage="1" allowBlank="1" errorTitle="Data inválida" error="Informe uma data válida (dd/mm/aaaa)." type="date" operator="between">
      <formula1>DATE(1950,1,1)</formula1>
      <formula2>DATE(2100,12,31)</formula2>
    </dataValidation>
    <dataValidation sqref="AA2:AA3001" showDropDown="0" showInputMessage="0" showErrorMessage="1" allowBlank="1" errorTitle="Data inválida" error="Informe uma data válida (dd/mm/aaaa)." type="date" operator="between">
      <formula1>DATE(1950,1,1)</formula1>
      <formula2>DATE(2100,12,31)</formula2>
    </dataValidation>
    <dataValidation sqref="AI2:AI3001" showDropDown="0" showInputMessage="0" showErrorMessage="1" allowBlank="1" errorTitle="Data inválida" error="Informe uma data válida (dd/mm/aaaa)." type="date" operator="between">
      <formula1>DATE(1950,1,1)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48" customWidth="1" min="3" max="3"/>
    <col width="3" customWidth="1" min="4" max="4"/>
    <col width="36" customWidth="1" min="5" max="5"/>
    <col width="8" customWidth="1" min="6" max="6"/>
    <col width="48" customWidth="1" min="7" max="7"/>
  </cols>
  <sheetData>
    <row r="1">
      <c r="A1" s="1" t="inlineStr">
        <is>
          <t>Bairros oficiais por cidade</t>
        </is>
      </c>
    </row>
    <row r="3">
      <c r="A3" s="3" t="inlineStr">
        <is>
          <t>São Sebastião</t>
        </is>
      </c>
      <c r="E3" s="3" t="inlineStr">
        <is>
          <t>Bertioga</t>
        </is>
      </c>
    </row>
    <row r="4" ht="60" customHeight="1">
      <c r="A4" s="4" t="inlineStr">
        <is>
          <t>Fonte: IBGE, Censo 2022, malha de bairros SP_bairros_CD2022 — https://geoftp.ibge.gov.br/organizacao_do_territorio/malhas_territoriais/malhas_de_setores_censitarios__divisoes_intramunicipais/censo_2022/bairros/shp/UF/SP_bairros_CD2022.zip (não foi localizada lei municipal de bairros)</t>
        </is>
      </c>
      <c r="E4" s="4" t="inlineStr">
        <is>
          <t>Fonte: Lei Complementar nº 99/2013 de Bertioga, Anexo 1 — https://www.bertioga.sp.gov.br/wp/wp-content/uploads/2015/06/Lei-Complementar-99.2013.pdf</t>
        </is>
      </c>
    </row>
    <row r="5">
      <c r="A5" s="14" t="inlineStr">
        <is>
          <t>Bairro</t>
        </is>
      </c>
      <c r="B5" s="14" t="inlineStr">
        <is>
          <t>Código</t>
        </is>
      </c>
      <c r="C5" s="14" t="inlineStr">
        <is>
          <t>Observação</t>
        </is>
      </c>
      <c r="E5" s="14" t="inlineStr">
        <is>
          <t>Bairro</t>
        </is>
      </c>
      <c r="F5" s="14" t="inlineStr">
        <is>
          <t>Código</t>
        </is>
      </c>
      <c r="G5" s="14" t="inlineStr">
        <is>
          <t>Observação</t>
        </is>
      </c>
    </row>
    <row r="6">
      <c r="A6" s="15" t="inlineStr">
        <is>
          <t>Enseada</t>
        </is>
      </c>
      <c r="B6" s="15" t="inlineStr">
        <is>
          <t>3550704001</t>
        </is>
      </c>
      <c r="C6" s="15" t="inlineStr">
        <is>
          <t>Distrito São Francisco da Praia</t>
        </is>
      </c>
      <c r="E6" s="15" t="inlineStr">
        <is>
          <t>Caiubura</t>
        </is>
      </c>
      <c r="F6" s="15" t="inlineStr">
        <is>
          <t>01</t>
        </is>
      </c>
      <c r="G6" s="15" t="inlineStr">
        <is>
          <t>RA1 Sul</t>
        </is>
      </c>
    </row>
    <row r="7">
      <c r="A7" s="15" t="inlineStr">
        <is>
          <t>Jaraguá</t>
        </is>
      </c>
      <c r="B7" s="15" t="inlineStr">
        <is>
          <t>3550704002</t>
        </is>
      </c>
      <c r="C7" s="15" t="inlineStr">
        <is>
          <t>Distrito São Francisco da Praia</t>
        </is>
      </c>
      <c r="E7" s="15" t="inlineStr">
        <is>
          <t>São João</t>
        </is>
      </c>
      <c r="F7" s="15" t="inlineStr">
        <is>
          <t>02</t>
        </is>
      </c>
      <c r="G7" s="15" t="inlineStr">
        <is>
          <t>RA1 Sul</t>
        </is>
      </c>
    </row>
    <row r="8">
      <c r="A8" s="15" t="inlineStr">
        <is>
          <t>Cigarras</t>
        </is>
      </c>
      <c r="B8" s="15" t="inlineStr">
        <is>
          <t>3550704003</t>
        </is>
      </c>
      <c r="C8" s="15" t="inlineStr">
        <is>
          <t>Distrito São Francisco da Praia</t>
        </is>
      </c>
      <c r="E8" s="15" t="inlineStr">
        <is>
          <t>Centro</t>
        </is>
      </c>
      <c r="F8" s="15" t="inlineStr">
        <is>
          <t>03</t>
        </is>
      </c>
      <c r="G8" s="15" t="inlineStr">
        <is>
          <t>RA2 Central</t>
        </is>
      </c>
    </row>
    <row r="9">
      <c r="A9" s="15" t="inlineStr">
        <is>
          <t>São Francisco</t>
        </is>
      </c>
      <c r="B9" s="15" t="inlineStr">
        <is>
          <t>3550704004</t>
        </is>
      </c>
      <c r="C9" s="15" t="inlineStr">
        <is>
          <t>Distrito São Francisco da Praia</t>
        </is>
      </c>
      <c r="E9" s="15" t="inlineStr">
        <is>
          <t>Jardim Vicente de Carvalho</t>
        </is>
      </c>
      <c r="F9" s="15" t="inlineStr">
        <is>
          <t>04</t>
        </is>
      </c>
      <c r="G9" s="15" t="inlineStr">
        <is>
          <t>RA2 Central</t>
        </is>
      </c>
    </row>
    <row r="10">
      <c r="A10" s="15" t="inlineStr">
        <is>
          <t>Morro do Abrigo</t>
        </is>
      </c>
      <c r="B10" s="15" t="inlineStr">
        <is>
          <t>3550704005</t>
        </is>
      </c>
      <c r="C10" s="15" t="inlineStr">
        <is>
          <t>Distrito São Francisco da Praia</t>
        </is>
      </c>
      <c r="E10" s="15" t="inlineStr">
        <is>
          <t>Albatróz</t>
        </is>
      </c>
      <c r="F10" s="15" t="inlineStr">
        <is>
          <t>05</t>
        </is>
      </c>
      <c r="G10" s="15" t="inlineStr">
        <is>
          <t>RA2 Central</t>
        </is>
      </c>
    </row>
    <row r="11">
      <c r="A11" s="15" t="inlineStr">
        <is>
          <t>Olaria</t>
        </is>
      </c>
      <c r="B11" s="15" t="inlineStr">
        <is>
          <t>3550704006 / 3550704036</t>
        </is>
      </c>
      <c r="C11" s="15" t="inlineStr">
        <is>
          <t>O IBGE registra dois setores 'Olaria' (distritos São Francisco da Praia e São Sebastião)</t>
        </is>
      </c>
      <c r="E11" s="15" t="inlineStr">
        <is>
          <t>Maitinga</t>
        </is>
      </c>
      <c r="F11" s="15" t="inlineStr">
        <is>
          <t>06</t>
        </is>
      </c>
      <c r="G11" s="15" t="inlineStr">
        <is>
          <t>RA2 Central</t>
        </is>
      </c>
    </row>
    <row r="12">
      <c r="A12" s="15" t="inlineStr">
        <is>
          <t>Arrastão</t>
        </is>
      </c>
      <c r="B12" s="15" t="inlineStr">
        <is>
          <t>3550704007</t>
        </is>
      </c>
      <c r="C12" s="15" t="inlineStr">
        <is>
          <t>Distrito São Francisco da Praia</t>
        </is>
      </c>
      <c r="E12" s="15" t="inlineStr">
        <is>
          <t>Rio da Praia</t>
        </is>
      </c>
      <c r="F12" s="15" t="inlineStr">
        <is>
          <t>07</t>
        </is>
      </c>
      <c r="G12" s="15" t="inlineStr">
        <is>
          <t>RA2 Central</t>
        </is>
      </c>
    </row>
    <row r="13">
      <c r="A13" s="15" t="inlineStr">
        <is>
          <t>Pontal da Cruz</t>
        </is>
      </c>
      <c r="B13" s="15" t="inlineStr">
        <is>
          <t>3550704008</t>
        </is>
      </c>
      <c r="C13" s="15" t="inlineStr">
        <is>
          <t>Distrito São Sebastião</t>
        </is>
      </c>
      <c r="E13" s="15" t="inlineStr">
        <is>
          <t>Buriqui Costa Nativa (Brasfanta)</t>
        </is>
      </c>
      <c r="F13" s="15" t="inlineStr">
        <is>
          <t>08</t>
        </is>
      </c>
      <c r="G13" s="15" t="inlineStr">
        <is>
          <t>RA2 Central</t>
        </is>
      </c>
    </row>
    <row r="14">
      <c r="A14" s="15" t="inlineStr">
        <is>
          <t>Praia Deserta</t>
        </is>
      </c>
      <c r="B14" s="15" t="inlineStr">
        <is>
          <t>3550704009</t>
        </is>
      </c>
      <c r="C14" s="15" t="inlineStr">
        <is>
          <t>Distrito São Sebastião</t>
        </is>
      </c>
      <c r="E14" s="15" t="inlineStr">
        <is>
          <t>Jardim Raphael</t>
        </is>
      </c>
      <c r="F14" s="15" t="inlineStr">
        <is>
          <t>09</t>
        </is>
      </c>
      <c r="G14" s="15" t="inlineStr">
        <is>
          <t>RA2 Central — conhecido popularmente como São Rafael</t>
        </is>
      </c>
    </row>
    <row r="15">
      <c r="A15" s="15" t="inlineStr">
        <is>
          <t>Porto Grande</t>
        </is>
      </c>
      <c r="B15" s="15" t="inlineStr">
        <is>
          <t>3550704010</t>
        </is>
      </c>
      <c r="C15" s="15" t="inlineStr">
        <is>
          <t>Distrito São Sebastião</t>
        </is>
      </c>
      <c r="E15" s="15" t="inlineStr">
        <is>
          <t>Bairro Chácaras</t>
        </is>
      </c>
      <c r="F15" s="15" t="inlineStr">
        <is>
          <t>10</t>
        </is>
      </c>
      <c r="G15" s="15" t="inlineStr">
        <is>
          <t>RA3 Média</t>
        </is>
      </c>
    </row>
    <row r="16">
      <c r="A16" s="15" t="inlineStr">
        <is>
          <t>Centro</t>
        </is>
      </c>
      <c r="B16" s="15" t="inlineStr">
        <is>
          <t>3550704011</t>
        </is>
      </c>
      <c r="C16" s="15" t="inlineStr">
        <is>
          <t>Distrito São Sebastião</t>
        </is>
      </c>
      <c r="E16" s="15" t="inlineStr">
        <is>
          <t>Vista Linda</t>
        </is>
      </c>
      <c r="F16" s="15" t="inlineStr">
        <is>
          <t>11</t>
        </is>
      </c>
      <c r="G16" s="15" t="inlineStr">
        <is>
          <t>RA3 Média</t>
        </is>
      </c>
    </row>
    <row r="17">
      <c r="A17" s="15" t="inlineStr">
        <is>
          <t>Topolândia</t>
        </is>
      </c>
      <c r="B17" s="15" t="inlineStr">
        <is>
          <t>3550704012</t>
        </is>
      </c>
      <c r="C17" s="15" t="inlineStr">
        <is>
          <t>Distrito São Sebastião</t>
        </is>
      </c>
      <c r="E17" s="15" t="inlineStr">
        <is>
          <t>Indaiá</t>
        </is>
      </c>
      <c r="F17" s="15" t="inlineStr">
        <is>
          <t>12</t>
        </is>
      </c>
      <c r="G17" s="15" t="inlineStr">
        <is>
          <t>RA3 Média</t>
        </is>
      </c>
    </row>
    <row r="18">
      <c r="A18" s="15" t="inlineStr">
        <is>
          <t>Itatinga</t>
        </is>
      </c>
      <c r="B18" s="15" t="inlineStr">
        <is>
          <t>3550704013</t>
        </is>
      </c>
      <c r="C18" s="15" t="inlineStr">
        <is>
          <t>Distrito São Sebastião</t>
        </is>
      </c>
      <c r="E18" s="15" t="inlineStr">
        <is>
          <t>Riviera</t>
        </is>
      </c>
      <c r="F18" s="15" t="inlineStr">
        <is>
          <t>13</t>
        </is>
      </c>
      <c r="G18" s="15" t="inlineStr">
        <is>
          <t>RA3 Média</t>
        </is>
      </c>
    </row>
    <row r="19">
      <c r="A19" s="15" t="inlineStr">
        <is>
          <t>Varadouro</t>
        </is>
      </c>
      <c r="B19" s="15" t="inlineStr">
        <is>
          <t>3550704014</t>
        </is>
      </c>
      <c r="C19" s="15" t="inlineStr">
        <is>
          <t>Distrito São Sebastião</t>
        </is>
      </c>
      <c r="E19" s="15" t="inlineStr">
        <is>
          <t>São Lourenço</t>
        </is>
      </c>
      <c r="F19" s="15" t="inlineStr">
        <is>
          <t>14</t>
        </is>
      </c>
      <c r="G19" s="15" t="inlineStr">
        <is>
          <t>RA3 Média</t>
        </is>
      </c>
    </row>
    <row r="20">
      <c r="A20" s="15" t="inlineStr">
        <is>
          <t>Pitangueiras</t>
        </is>
      </c>
      <c r="B20" s="15" t="inlineStr">
        <is>
          <t>3550704015</t>
        </is>
      </c>
      <c r="C20" s="15" t="inlineStr">
        <is>
          <t>Distrito São Sebastião</t>
        </is>
      </c>
      <c r="E20" s="15" t="inlineStr">
        <is>
          <t>Guaratuba</t>
        </is>
      </c>
      <c r="F20" s="15" t="inlineStr">
        <is>
          <t>15</t>
        </is>
      </c>
      <c r="G20" s="15" t="inlineStr">
        <is>
          <t>RA4 Norte</t>
        </is>
      </c>
    </row>
    <row r="21">
      <c r="A21" s="15" t="inlineStr">
        <is>
          <t>Barequeçaba</t>
        </is>
      </c>
      <c r="B21" s="15" t="inlineStr">
        <is>
          <t>3550704016</t>
        </is>
      </c>
      <c r="C21" s="15" t="inlineStr">
        <is>
          <t>Distrito São Sebastião</t>
        </is>
      </c>
      <c r="E21" s="15" t="inlineStr">
        <is>
          <t>Costa do Sol</t>
        </is>
      </c>
      <c r="F21" s="15" t="inlineStr">
        <is>
          <t>16</t>
        </is>
      </c>
      <c r="G21" s="15" t="inlineStr">
        <is>
          <t>RA4 Norte</t>
        </is>
      </c>
    </row>
    <row r="22">
      <c r="A22" s="15" t="inlineStr">
        <is>
          <t>Guaecá</t>
        </is>
      </c>
      <c r="B22" s="15" t="inlineStr">
        <is>
          <t>3550704017</t>
        </is>
      </c>
      <c r="C22" s="15" t="inlineStr">
        <is>
          <t>Distrito São Sebastião</t>
        </is>
      </c>
      <c r="E22" s="15" t="inlineStr">
        <is>
          <t>Morada da Praia</t>
        </is>
      </c>
      <c r="F22" s="15" t="inlineStr">
        <is>
          <t>17</t>
        </is>
      </c>
      <c r="G22" s="15" t="inlineStr">
        <is>
          <t>RA4 Norte</t>
        </is>
      </c>
    </row>
    <row r="23">
      <c r="A23" s="15" t="inlineStr">
        <is>
          <t>Toque-Toque Grande</t>
        </is>
      </c>
      <c r="B23" s="15" t="inlineStr">
        <is>
          <t>3550704018</t>
        </is>
      </c>
      <c r="C23" s="15" t="inlineStr">
        <is>
          <t>Distrito São Sebastião</t>
        </is>
      </c>
      <c r="E23" s="15" t="inlineStr">
        <is>
          <t>Boraceia</t>
        </is>
      </c>
      <c r="F23" s="15" t="inlineStr">
        <is>
          <t>18</t>
        </is>
      </c>
      <c r="G23" s="15" t="inlineStr">
        <is>
          <t>RA4 Norte</t>
        </is>
      </c>
    </row>
    <row r="24">
      <c r="A24" s="15" t="inlineStr">
        <is>
          <t>Calhetas</t>
        </is>
      </c>
      <c r="B24" s="15" t="inlineStr">
        <is>
          <t>3550704019</t>
        </is>
      </c>
      <c r="C24" s="15" t="inlineStr">
        <is>
          <t>Distrito São Sebastião</t>
        </is>
      </c>
      <c r="E24" s="15" t="inlineStr">
        <is>
          <t>T.I. (Terras Indígenas do Rio Silveiras)</t>
        </is>
      </c>
      <c r="F24" s="15" t="inlineStr">
        <is>
          <t>19</t>
        </is>
      </c>
      <c r="G24" s="15" t="inlineStr">
        <is>
          <t>RA4 Norte</t>
        </is>
      </c>
    </row>
    <row r="25">
      <c r="A25" s="15" t="inlineStr">
        <is>
          <t>Toque-Toque Pequeno</t>
        </is>
      </c>
      <c r="B25" s="15" t="inlineStr">
        <is>
          <t>3550704020</t>
        </is>
      </c>
      <c r="C25" s="15" t="inlineStr">
        <is>
          <t>Distrito São Sebastião</t>
        </is>
      </c>
    </row>
    <row r="26">
      <c r="A26" s="15" t="inlineStr">
        <is>
          <t>Santiago</t>
        </is>
      </c>
      <c r="B26" s="15" t="inlineStr">
        <is>
          <t>3550704021</t>
        </is>
      </c>
      <c r="C26" s="15" t="inlineStr">
        <is>
          <t>Distrito Maresias</t>
        </is>
      </c>
    </row>
    <row r="27">
      <c r="A27" s="15" t="inlineStr">
        <is>
          <t>Paúba</t>
        </is>
      </c>
      <c r="B27" s="15" t="inlineStr">
        <is>
          <t>3550704022</t>
        </is>
      </c>
      <c r="C27" s="15" t="inlineStr">
        <is>
          <t>Distrito Maresias</t>
        </is>
      </c>
    </row>
    <row r="28">
      <c r="A28" s="15" t="inlineStr">
        <is>
          <t>Maresias</t>
        </is>
      </c>
      <c r="B28" s="15" t="inlineStr">
        <is>
          <t>3550704023</t>
        </is>
      </c>
      <c r="C28" s="15" t="inlineStr">
        <is>
          <t>Distrito Maresias</t>
        </is>
      </c>
    </row>
    <row r="29">
      <c r="A29" s="15" t="inlineStr">
        <is>
          <t>Boiçucanga</t>
        </is>
      </c>
      <c r="B29" s="15" t="inlineStr">
        <is>
          <t>3550704024</t>
        </is>
      </c>
      <c r="C29" s="15" t="inlineStr">
        <is>
          <t>Distrito Maresias</t>
        </is>
      </c>
    </row>
    <row r="30">
      <c r="A30" s="15" t="inlineStr">
        <is>
          <t>Camburi</t>
        </is>
      </c>
      <c r="B30" s="15" t="inlineStr">
        <is>
          <t>3550704025</t>
        </is>
      </c>
      <c r="C30" s="15" t="inlineStr">
        <is>
          <t>Distrito Maresias</t>
        </is>
      </c>
    </row>
    <row r="31">
      <c r="A31" s="15" t="inlineStr">
        <is>
          <t>Baleia</t>
        </is>
      </c>
      <c r="B31" s="15" t="inlineStr">
        <is>
          <t>3550704026</t>
        </is>
      </c>
      <c r="C31" s="15" t="inlineStr">
        <is>
          <t>Distrito Maresias</t>
        </is>
      </c>
    </row>
    <row r="32">
      <c r="A32" s="15" t="inlineStr">
        <is>
          <t>Barra do Sahy</t>
        </is>
      </c>
      <c r="B32" s="15" t="inlineStr">
        <is>
          <t>3550704027</t>
        </is>
      </c>
      <c r="C32" s="15" t="inlineStr">
        <is>
          <t>Distrito Maresias</t>
        </is>
      </c>
    </row>
    <row r="33">
      <c r="A33" s="15" t="inlineStr">
        <is>
          <t>Juqueí</t>
        </is>
      </c>
      <c r="B33" s="15" t="inlineStr">
        <is>
          <t>3550704028</t>
        </is>
      </c>
      <c r="C33" s="15" t="inlineStr">
        <is>
          <t>Distrito Maresias — grafia IBGE (também escrito Juquehy)</t>
        </is>
      </c>
    </row>
    <row r="34">
      <c r="A34" s="15" t="inlineStr">
        <is>
          <t>Barra do Una</t>
        </is>
      </c>
      <c r="B34" s="15" t="inlineStr">
        <is>
          <t>3550704029</t>
        </is>
      </c>
      <c r="C34" s="15" t="inlineStr">
        <is>
          <t>Distrito Maresias</t>
        </is>
      </c>
    </row>
    <row r="35">
      <c r="A35" s="15" t="inlineStr">
        <is>
          <t>Boracéia</t>
        </is>
      </c>
      <c r="B35" s="15" t="inlineStr">
        <is>
          <t>3550704030</t>
        </is>
      </c>
      <c r="C35" s="15" t="inlineStr">
        <is>
          <t>Distrito Maresias</t>
        </is>
      </c>
    </row>
    <row r="36">
      <c r="A36" s="15" t="inlineStr">
        <is>
          <t>Canto do Mar</t>
        </is>
      </c>
      <c r="B36" s="15" t="inlineStr">
        <is>
          <t>3550704031</t>
        </is>
      </c>
      <c r="C36" s="15" t="inlineStr">
        <is>
          <t>Distrito São Francisco da Praia</t>
        </is>
      </c>
    </row>
    <row r="37">
      <c r="A37" s="15" t="inlineStr">
        <is>
          <t>Vila Amélia</t>
        </is>
      </c>
      <c r="B37" s="15" t="inlineStr">
        <is>
          <t>3550704034</t>
        </is>
      </c>
      <c r="C37" s="15" t="inlineStr">
        <is>
          <t>Distrito São Sebastião</t>
        </is>
      </c>
    </row>
    <row r="38">
      <c r="A38" s="15" t="inlineStr">
        <is>
          <t>Reserve Du Moulin</t>
        </is>
      </c>
      <c r="B38" s="15" t="inlineStr">
        <is>
          <t>3550704035</t>
        </is>
      </c>
      <c r="C38" s="15" t="inlineStr">
        <is>
          <t>Distrito São Francisco da Praia</t>
        </is>
      </c>
    </row>
    <row r="39">
      <c r="A39" s="15" t="inlineStr">
        <is>
          <t>Industrial</t>
        </is>
      </c>
      <c r="B39" s="15" t="inlineStr">
        <is>
          <t>3550704037</t>
        </is>
      </c>
      <c r="C39" s="15" t="inlineStr">
        <is>
          <t>Distrito São Sebastião</t>
        </is>
      </c>
    </row>
    <row r="40">
      <c r="A40" s="15" t="inlineStr">
        <is>
          <t>Jureia</t>
        </is>
      </c>
      <c r="B40" s="15" t="inlineStr">
        <is>
          <t>3550704038</t>
        </is>
      </c>
      <c r="C40" s="15" t="inlineStr">
        <is>
          <t>Distrito Maresias</t>
        </is>
      </c>
    </row>
    <row r="41">
      <c r="A41" s="15" t="inlineStr">
        <is>
          <t>Engenho</t>
        </is>
      </c>
      <c r="B41" s="15" t="inlineStr">
        <is>
          <t>3550704039</t>
        </is>
      </c>
      <c r="C41" s="15" t="inlineStr">
        <is>
          <t>Distrito Maresias</t>
        </is>
      </c>
    </row>
  </sheetData>
  <mergeCells count="2">
    <mergeCell ref="A4:C4"/>
    <mergeCell ref="E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4" t="inlineStr">
        <is>
          <t>Cidades</t>
        </is>
      </c>
      <c r="B1" s="14" t="inlineStr">
        <is>
          <t>Tipos</t>
        </is>
      </c>
      <c r="C1" s="14" t="inlineStr">
        <is>
          <t>Padrões</t>
        </is>
      </c>
      <c r="D1" s="14" t="inlineStr">
        <is>
          <t>Origem do padrão</t>
        </is>
      </c>
      <c r="E1" s="14" t="inlineStr">
        <is>
          <t>Natureza</t>
        </is>
      </c>
      <c r="F1" s="14" t="inlineStr">
        <is>
          <t>Fontes</t>
        </is>
      </c>
      <c r="G1" s="14" t="inlineStr">
        <is>
          <t>Origem da foto</t>
        </is>
      </c>
      <c r="H1" s="14" t="inlineStr">
        <is>
          <t>Forma de pagamento</t>
        </is>
      </c>
      <c r="I1" s="14" t="inlineStr">
        <is>
          <t>Status</t>
        </is>
      </c>
    </row>
    <row r="2">
      <c r="A2" s="15" t="inlineStr">
        <is>
          <t>São Sebastião</t>
        </is>
      </c>
      <c r="B2" s="15" t="inlineStr">
        <is>
          <t>Casa</t>
        </is>
      </c>
      <c r="C2" s="15" t="inlineStr">
        <is>
          <t>Baixo</t>
        </is>
      </c>
      <c r="D2" s="15" t="inlineStr">
        <is>
          <t>Cadastro municipal (ITBI/IPTU)</t>
        </is>
      </c>
      <c r="E2" s="15" t="inlineStr">
        <is>
          <t>Compra e venda</t>
        </is>
      </c>
      <c r="F2" s="15" t="inlineStr">
        <is>
          <t>LAI – ITBI Prefeitura</t>
        </is>
      </c>
      <c r="G2" s="15" t="inlineStr">
        <is>
          <t>Foto própria no local</t>
        </is>
      </c>
      <c r="H2" s="15" t="inlineStr">
        <is>
          <t>Financiado</t>
        </is>
      </c>
      <c r="I2" s="15" t="inlineStr">
        <is>
          <t>Validado</t>
        </is>
      </c>
    </row>
    <row r="3">
      <c r="A3" s="15" t="inlineStr">
        <is>
          <t>Bertioga</t>
        </is>
      </c>
      <c r="B3" s="15" t="inlineStr">
        <is>
          <t>Casa em condomínio</t>
        </is>
      </c>
      <c r="C3" s="15" t="inlineStr">
        <is>
          <t>Normal</t>
        </is>
      </c>
      <c r="D3" s="15" t="inlineStr">
        <is>
          <t>Certidão/memorial/habite-se</t>
        </is>
      </c>
      <c r="F3" s="15" t="inlineStr">
        <is>
          <t>Certidão de matrícula (CRI)</t>
        </is>
      </c>
      <c r="G3" s="15" t="inlineStr">
        <is>
          <t>Google Street View (link)</t>
        </is>
      </c>
      <c r="H3" s="15" t="inlineStr">
        <is>
          <t>À vista</t>
        </is>
      </c>
      <c r="I3" s="15" t="inlineStr">
        <is>
          <t>Pendente de conferência</t>
        </is>
      </c>
    </row>
    <row r="4">
      <c r="B4" s="15" t="inlineStr">
        <is>
          <t>Apartamento</t>
        </is>
      </c>
      <c r="C4" s="15" t="inlineStr">
        <is>
          <t>Alto</t>
        </is>
      </c>
      <c r="D4" s="15" t="inlineStr">
        <is>
          <t>Vistoria própria (critério NBR 12721)</t>
        </is>
      </c>
      <c r="G4" s="15" t="inlineStr">
        <is>
          <t>Foto da certidão/laudo</t>
        </is>
      </c>
      <c r="H4" s="15" t="inlineStr">
        <is>
          <t>Não informado</t>
        </is>
      </c>
      <c r="I4" s="15" t="inlineStr">
        <is>
          <t>Rejeitado</t>
        </is>
      </c>
    </row>
    <row r="5">
      <c r="B5" s="15" t="inlineStr">
        <is>
          <t>Terreno</t>
        </is>
      </c>
      <c r="C5" s="15" t="inlineStr">
        <is>
          <t>Não informado</t>
        </is>
      </c>
      <c r="D5" s="15" t="inlineStr">
        <is>
          <t>Não informado</t>
        </is>
      </c>
      <c r="G5" s="15" t="inlineStr">
        <is>
          <t>Sem foto</t>
        </is>
      </c>
    </row>
    <row r="6">
      <c r="B6" s="15" t="inlineStr">
        <is>
          <t>Sala/Loja comercial</t>
        </is>
      </c>
    </row>
    <row r="7">
      <c r="B7" s="15" t="inlineStr">
        <is>
          <t>Galpão</t>
        </is>
      </c>
    </row>
    <row r="8">
      <c r="B8" s="15" t="inlineStr">
        <is>
          <t>Outro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1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Resumo por cidade e bairro (somente vendas com Status = Validado)</t>
        </is>
      </c>
    </row>
    <row r="2">
      <c r="A2" s="16" t="inlineStr">
        <is>
          <t>Fórmulas recalculam sozinhas. Bairros sem venda validada mostram '-'. Mediana e R$/m² ignoram linhas sem metragem.</t>
        </is>
      </c>
    </row>
    <row r="4">
      <c r="A4" s="2" t="inlineStr">
        <is>
          <t>Cidade</t>
        </is>
      </c>
      <c r="B4" s="2" t="inlineStr">
        <is>
          <t>Bairro</t>
        </is>
      </c>
      <c r="C4" s="2" t="inlineStr">
        <is>
          <t>Nº de vendas</t>
        </is>
      </c>
      <c r="D4" s="2" t="inlineStr">
        <is>
          <t>Valor mediano (R$)</t>
        </is>
      </c>
      <c r="E4" s="2" t="inlineStr">
        <is>
          <t>Menor valor (R$)</t>
        </is>
      </c>
      <c r="F4" s="2" t="inlineStr">
        <is>
          <t>Maior valor (R$)</t>
        </is>
      </c>
      <c r="G4" s="2" t="inlineStr">
        <is>
          <t>R$/m² mediano</t>
        </is>
      </c>
      <c r="H4" s="2" t="inlineStr">
        <is>
          <t>Nº c/ alerta venal</t>
        </is>
      </c>
      <c r="I4" s="2" t="inlineStr">
        <is>
          <t>Venda mais antiga</t>
        </is>
      </c>
      <c r="J4" s="2" t="inlineStr">
        <is>
          <t>Venda mais recente</t>
        </is>
      </c>
    </row>
    <row r="5">
      <c r="A5" s="15" t="inlineStr">
        <is>
          <t>São Sebastião</t>
        </is>
      </c>
      <c r="B5" s="15" t="inlineStr">
        <is>
          <t>Enseada</t>
        </is>
      </c>
      <c r="C5" s="15">
        <f>COUNTIFS(Vendas!$B$2:$B$3001,$A5,Vendas!$C$2:$C$3001,$B5,Vendas!$AK$2:$AK$3001,"Validado")</f>
        <v/>
      </c>
      <c r="D5" s="17">
        <f t="array" ref="D5">IF(C5=0,"-",MEDIAN(IF((Vendas!$B$2:$B$3001=$A5)*(Vendas!$C$2:$C$3001=$B5)*(Vendas!$AK$2:$AK$3001="Validado")*ISNUMBER(Vendas!$M$2:$M$3001),Vendas!$M$2:$M$3001)))</f>
        <v/>
      </c>
      <c r="E5" s="17">
        <f>IF(C5=0,"-",_xlfn.MINIFS(Vendas!$M$2:$M$3001,Vendas!$B$2:$B$3001,$A5,Vendas!$C$2:$C$3001,$B5,Vendas!$AK$2:$AK$3001,"Validado"))</f>
        <v/>
      </c>
      <c r="F5" s="17">
        <f>IF(C5=0,"-",_xlfn.MAXIFS(Vendas!$M$2:$M$3001,Vendas!$B$2:$B$3001,$A5,Vendas!$C$2:$C$3001,$B5,Vendas!$AK$2:$AK$3001,"Validado"))</f>
        <v/>
      </c>
      <c r="G5" s="17">
        <f t="array" ref="G5">IF(SUMPRODUCT((Vendas!$B$2:$B$3001=$A5)*(Vendas!$C$2:$C$3001=$B5)*(Vendas!$AK$2:$AK$3001="Validado")*ISNUMBER(Vendas!$S$2:$S$3001))=0,"-",MEDIAN(IF((Vendas!$B$2:$B$3001=$A5)*(Vendas!$C$2:$C$3001=$B5)*(Vendas!$AK$2:$AK$3001="Validado")*ISNUMBER(Vendas!$S$2:$S$3001),Vendas!$S$2:$S$3001)))</f>
        <v/>
      </c>
      <c r="H5" s="15">
        <f>COUNTIFS(Vendas!$B$2:$B$3001,$A5,Vendas!$C$2:$C$3001,$B5,Vendas!$AK$2:$AK$3001,"Validado",Vendas!$T$2:$T$3001,"Valor*")</f>
        <v/>
      </c>
      <c r="I5" s="18">
        <f>IF(C5=0,"-",_xlfn.MINIFS(Vendas!$Z$2:$Z$3001,Vendas!$B$2:$B$3001,$A5,Vendas!$C$2:$C$3001,$B5,Vendas!$AK$2:$AK$3001,"Validado"))</f>
        <v/>
      </c>
      <c r="J5" s="18">
        <f>IF(C5=0,"-",_xlfn.MAXIFS(Vendas!$Z$2:$Z$3001,Vendas!$B$2:$B$3001,$A5,Vendas!$C$2:$C$3001,$B5,Vendas!$AK$2:$AK$3001,"Validado"))</f>
        <v/>
      </c>
    </row>
    <row r="6">
      <c r="A6" s="15" t="inlineStr">
        <is>
          <t>São Sebastião</t>
        </is>
      </c>
      <c r="B6" s="15" t="inlineStr">
        <is>
          <t>Jaraguá</t>
        </is>
      </c>
      <c r="C6" s="15">
        <f>COUNTIFS(Vendas!$B$2:$B$3001,$A6,Vendas!$C$2:$C$3001,$B6,Vendas!$AK$2:$AK$3001,"Validado")</f>
        <v/>
      </c>
      <c r="D6" s="17">
        <f t="array" ref="D6">IF(C6=0,"-",MEDIAN(IF((Vendas!$B$2:$B$3001=$A6)*(Vendas!$C$2:$C$3001=$B6)*(Vendas!$AK$2:$AK$3001="Validado")*ISNUMBER(Vendas!$M$2:$M$3001),Vendas!$M$2:$M$3001)))</f>
        <v/>
      </c>
      <c r="E6" s="17">
        <f>IF(C6=0,"-",_xlfn.MINIFS(Vendas!$M$2:$M$3001,Vendas!$B$2:$B$3001,$A6,Vendas!$C$2:$C$3001,$B6,Vendas!$AK$2:$AK$3001,"Validado"))</f>
        <v/>
      </c>
      <c r="F6" s="17">
        <f>IF(C6=0,"-",_xlfn.MAXIFS(Vendas!$M$2:$M$3001,Vendas!$B$2:$B$3001,$A6,Vendas!$C$2:$C$3001,$B6,Vendas!$AK$2:$AK$3001,"Validado"))</f>
        <v/>
      </c>
      <c r="G6" s="17">
        <f t="array" ref="G6">IF(SUMPRODUCT((Vendas!$B$2:$B$3001=$A6)*(Vendas!$C$2:$C$3001=$B6)*(Vendas!$AK$2:$AK$3001="Validado")*ISNUMBER(Vendas!$S$2:$S$3001))=0,"-",MEDIAN(IF((Vendas!$B$2:$B$3001=$A6)*(Vendas!$C$2:$C$3001=$B6)*(Vendas!$AK$2:$AK$3001="Validado")*ISNUMBER(Vendas!$S$2:$S$3001),Vendas!$S$2:$S$3001)))</f>
        <v/>
      </c>
      <c r="H6" s="15">
        <f>COUNTIFS(Vendas!$B$2:$B$3001,$A6,Vendas!$C$2:$C$3001,$B6,Vendas!$AK$2:$AK$3001,"Validado",Vendas!$T$2:$T$3001,"Valor*")</f>
        <v/>
      </c>
      <c r="I6" s="18">
        <f>IF(C6=0,"-",_xlfn.MINIFS(Vendas!$Z$2:$Z$3001,Vendas!$B$2:$B$3001,$A6,Vendas!$C$2:$C$3001,$B6,Vendas!$AK$2:$AK$3001,"Validado"))</f>
        <v/>
      </c>
      <c r="J6" s="18">
        <f>IF(C6=0,"-",_xlfn.MAXIFS(Vendas!$Z$2:$Z$3001,Vendas!$B$2:$B$3001,$A6,Vendas!$C$2:$C$3001,$B6,Vendas!$AK$2:$AK$3001,"Validado"))</f>
        <v/>
      </c>
    </row>
    <row r="7">
      <c r="A7" s="15" t="inlineStr">
        <is>
          <t>São Sebastião</t>
        </is>
      </c>
      <c r="B7" s="15" t="inlineStr">
        <is>
          <t>Cigarras</t>
        </is>
      </c>
      <c r="C7" s="15">
        <f>COUNTIFS(Vendas!$B$2:$B$3001,$A7,Vendas!$C$2:$C$3001,$B7,Vendas!$AK$2:$AK$3001,"Validado")</f>
        <v/>
      </c>
      <c r="D7" s="17">
        <f t="array" ref="D7">IF(C7=0,"-",MEDIAN(IF((Vendas!$B$2:$B$3001=$A7)*(Vendas!$C$2:$C$3001=$B7)*(Vendas!$AK$2:$AK$3001="Validado")*ISNUMBER(Vendas!$M$2:$M$3001),Vendas!$M$2:$M$3001)))</f>
        <v/>
      </c>
      <c r="E7" s="17">
        <f>IF(C7=0,"-",_xlfn.MINIFS(Vendas!$M$2:$M$3001,Vendas!$B$2:$B$3001,$A7,Vendas!$C$2:$C$3001,$B7,Vendas!$AK$2:$AK$3001,"Validado"))</f>
        <v/>
      </c>
      <c r="F7" s="17">
        <f>IF(C7=0,"-",_xlfn.MAXIFS(Vendas!$M$2:$M$3001,Vendas!$B$2:$B$3001,$A7,Vendas!$C$2:$C$3001,$B7,Vendas!$AK$2:$AK$3001,"Validado"))</f>
        <v/>
      </c>
      <c r="G7" s="17">
        <f t="array" ref="G7">IF(SUMPRODUCT((Vendas!$B$2:$B$3001=$A7)*(Vendas!$C$2:$C$3001=$B7)*(Vendas!$AK$2:$AK$3001="Validado")*ISNUMBER(Vendas!$S$2:$S$3001))=0,"-",MEDIAN(IF((Vendas!$B$2:$B$3001=$A7)*(Vendas!$C$2:$C$3001=$B7)*(Vendas!$AK$2:$AK$3001="Validado")*ISNUMBER(Vendas!$S$2:$S$3001),Vendas!$S$2:$S$3001)))</f>
        <v/>
      </c>
      <c r="H7" s="15">
        <f>COUNTIFS(Vendas!$B$2:$B$3001,$A7,Vendas!$C$2:$C$3001,$B7,Vendas!$AK$2:$AK$3001,"Validado",Vendas!$T$2:$T$3001,"Valor*")</f>
        <v/>
      </c>
      <c r="I7" s="18">
        <f>IF(C7=0,"-",_xlfn.MINIFS(Vendas!$Z$2:$Z$3001,Vendas!$B$2:$B$3001,$A7,Vendas!$C$2:$C$3001,$B7,Vendas!$AK$2:$AK$3001,"Validado"))</f>
        <v/>
      </c>
      <c r="J7" s="18">
        <f>IF(C7=0,"-",_xlfn.MAXIFS(Vendas!$Z$2:$Z$3001,Vendas!$B$2:$B$3001,$A7,Vendas!$C$2:$C$3001,$B7,Vendas!$AK$2:$AK$3001,"Validado"))</f>
        <v/>
      </c>
    </row>
    <row r="8">
      <c r="A8" s="15" t="inlineStr">
        <is>
          <t>São Sebastião</t>
        </is>
      </c>
      <c r="B8" s="15" t="inlineStr">
        <is>
          <t>São Francisco</t>
        </is>
      </c>
      <c r="C8" s="15">
        <f>COUNTIFS(Vendas!$B$2:$B$3001,$A8,Vendas!$C$2:$C$3001,$B8,Vendas!$AK$2:$AK$3001,"Validado")</f>
        <v/>
      </c>
      <c r="D8" s="17">
        <f t="array" ref="D8">IF(C8=0,"-",MEDIAN(IF((Vendas!$B$2:$B$3001=$A8)*(Vendas!$C$2:$C$3001=$B8)*(Vendas!$AK$2:$AK$3001="Validado")*ISNUMBER(Vendas!$M$2:$M$3001),Vendas!$M$2:$M$3001)))</f>
        <v/>
      </c>
      <c r="E8" s="17">
        <f>IF(C8=0,"-",_xlfn.MINIFS(Vendas!$M$2:$M$3001,Vendas!$B$2:$B$3001,$A8,Vendas!$C$2:$C$3001,$B8,Vendas!$AK$2:$AK$3001,"Validado"))</f>
        <v/>
      </c>
      <c r="F8" s="17">
        <f>IF(C8=0,"-",_xlfn.MAXIFS(Vendas!$M$2:$M$3001,Vendas!$B$2:$B$3001,$A8,Vendas!$C$2:$C$3001,$B8,Vendas!$AK$2:$AK$3001,"Validado"))</f>
        <v/>
      </c>
      <c r="G8" s="17">
        <f t="array" ref="G8">IF(SUMPRODUCT((Vendas!$B$2:$B$3001=$A8)*(Vendas!$C$2:$C$3001=$B8)*(Vendas!$AK$2:$AK$3001="Validado")*ISNUMBER(Vendas!$S$2:$S$3001))=0,"-",MEDIAN(IF((Vendas!$B$2:$B$3001=$A8)*(Vendas!$C$2:$C$3001=$B8)*(Vendas!$AK$2:$AK$3001="Validado")*ISNUMBER(Vendas!$S$2:$S$3001),Vendas!$S$2:$S$3001)))</f>
        <v/>
      </c>
      <c r="H8" s="15">
        <f>COUNTIFS(Vendas!$B$2:$B$3001,$A8,Vendas!$C$2:$C$3001,$B8,Vendas!$AK$2:$AK$3001,"Validado",Vendas!$T$2:$T$3001,"Valor*")</f>
        <v/>
      </c>
      <c r="I8" s="18">
        <f>IF(C8=0,"-",_xlfn.MINIFS(Vendas!$Z$2:$Z$3001,Vendas!$B$2:$B$3001,$A8,Vendas!$C$2:$C$3001,$B8,Vendas!$AK$2:$AK$3001,"Validado"))</f>
        <v/>
      </c>
      <c r="J8" s="18">
        <f>IF(C8=0,"-",_xlfn.MAXIFS(Vendas!$Z$2:$Z$3001,Vendas!$B$2:$B$3001,$A8,Vendas!$C$2:$C$3001,$B8,Vendas!$AK$2:$AK$3001,"Validado"))</f>
        <v/>
      </c>
    </row>
    <row r="9">
      <c r="A9" s="15" t="inlineStr">
        <is>
          <t>São Sebastião</t>
        </is>
      </c>
      <c r="B9" s="15" t="inlineStr">
        <is>
          <t>Morro do Abrigo</t>
        </is>
      </c>
      <c r="C9" s="15">
        <f>COUNTIFS(Vendas!$B$2:$B$3001,$A9,Vendas!$C$2:$C$3001,$B9,Vendas!$AK$2:$AK$3001,"Validado")</f>
        <v/>
      </c>
      <c r="D9" s="17">
        <f t="array" ref="D9">IF(C9=0,"-",MEDIAN(IF((Vendas!$B$2:$B$3001=$A9)*(Vendas!$C$2:$C$3001=$B9)*(Vendas!$AK$2:$AK$3001="Validado")*ISNUMBER(Vendas!$M$2:$M$3001),Vendas!$M$2:$M$3001)))</f>
        <v/>
      </c>
      <c r="E9" s="17">
        <f>IF(C9=0,"-",_xlfn.MINIFS(Vendas!$M$2:$M$3001,Vendas!$B$2:$B$3001,$A9,Vendas!$C$2:$C$3001,$B9,Vendas!$AK$2:$AK$3001,"Validado"))</f>
        <v/>
      </c>
      <c r="F9" s="17">
        <f>IF(C9=0,"-",_xlfn.MAXIFS(Vendas!$M$2:$M$3001,Vendas!$B$2:$B$3001,$A9,Vendas!$C$2:$C$3001,$B9,Vendas!$AK$2:$AK$3001,"Validado"))</f>
        <v/>
      </c>
      <c r="G9" s="17">
        <f t="array" ref="G9">IF(SUMPRODUCT((Vendas!$B$2:$B$3001=$A9)*(Vendas!$C$2:$C$3001=$B9)*(Vendas!$AK$2:$AK$3001="Validado")*ISNUMBER(Vendas!$S$2:$S$3001))=0,"-",MEDIAN(IF((Vendas!$B$2:$B$3001=$A9)*(Vendas!$C$2:$C$3001=$B9)*(Vendas!$AK$2:$AK$3001="Validado")*ISNUMBER(Vendas!$S$2:$S$3001),Vendas!$S$2:$S$3001)))</f>
        <v/>
      </c>
      <c r="H9" s="15">
        <f>COUNTIFS(Vendas!$B$2:$B$3001,$A9,Vendas!$C$2:$C$3001,$B9,Vendas!$AK$2:$AK$3001,"Validado",Vendas!$T$2:$T$3001,"Valor*")</f>
        <v/>
      </c>
      <c r="I9" s="18">
        <f>IF(C9=0,"-",_xlfn.MINIFS(Vendas!$Z$2:$Z$3001,Vendas!$B$2:$B$3001,$A9,Vendas!$C$2:$C$3001,$B9,Vendas!$AK$2:$AK$3001,"Validado"))</f>
        <v/>
      </c>
      <c r="J9" s="18">
        <f>IF(C9=0,"-",_xlfn.MAXIFS(Vendas!$Z$2:$Z$3001,Vendas!$B$2:$B$3001,$A9,Vendas!$C$2:$C$3001,$B9,Vendas!$AK$2:$AK$3001,"Validado"))</f>
        <v/>
      </c>
    </row>
    <row r="10">
      <c r="A10" s="15" t="inlineStr">
        <is>
          <t>São Sebastião</t>
        </is>
      </c>
      <c r="B10" s="15" t="inlineStr">
        <is>
          <t>Olaria</t>
        </is>
      </c>
      <c r="C10" s="15">
        <f>COUNTIFS(Vendas!$B$2:$B$3001,$A10,Vendas!$C$2:$C$3001,$B10,Vendas!$AK$2:$AK$3001,"Validado")</f>
        <v/>
      </c>
      <c r="D10" s="17">
        <f t="array" ref="D10">IF(C10=0,"-",MEDIAN(IF((Vendas!$B$2:$B$3001=$A10)*(Vendas!$C$2:$C$3001=$B10)*(Vendas!$AK$2:$AK$3001="Validado")*ISNUMBER(Vendas!$M$2:$M$3001),Vendas!$M$2:$M$3001)))</f>
        <v/>
      </c>
      <c r="E10" s="17">
        <f>IF(C10=0,"-",_xlfn.MINIFS(Vendas!$M$2:$M$3001,Vendas!$B$2:$B$3001,$A10,Vendas!$C$2:$C$3001,$B10,Vendas!$AK$2:$AK$3001,"Validado"))</f>
        <v/>
      </c>
      <c r="F10" s="17">
        <f>IF(C10=0,"-",_xlfn.MAXIFS(Vendas!$M$2:$M$3001,Vendas!$B$2:$B$3001,$A10,Vendas!$C$2:$C$3001,$B10,Vendas!$AK$2:$AK$3001,"Validado"))</f>
        <v/>
      </c>
      <c r="G10" s="17">
        <f t="array" ref="G10">IF(SUMPRODUCT((Vendas!$B$2:$B$3001=$A10)*(Vendas!$C$2:$C$3001=$B10)*(Vendas!$AK$2:$AK$3001="Validado")*ISNUMBER(Vendas!$S$2:$S$3001))=0,"-",MEDIAN(IF((Vendas!$B$2:$B$3001=$A10)*(Vendas!$C$2:$C$3001=$B10)*(Vendas!$AK$2:$AK$3001="Validado")*ISNUMBER(Vendas!$S$2:$S$3001),Vendas!$S$2:$S$3001)))</f>
        <v/>
      </c>
      <c r="H10" s="15">
        <f>COUNTIFS(Vendas!$B$2:$B$3001,$A10,Vendas!$C$2:$C$3001,$B10,Vendas!$AK$2:$AK$3001,"Validado",Vendas!$T$2:$T$3001,"Valor*")</f>
        <v/>
      </c>
      <c r="I10" s="18">
        <f>IF(C10=0,"-",_xlfn.MINIFS(Vendas!$Z$2:$Z$3001,Vendas!$B$2:$B$3001,$A10,Vendas!$C$2:$C$3001,$B10,Vendas!$AK$2:$AK$3001,"Validado"))</f>
        <v/>
      </c>
      <c r="J10" s="18">
        <f>IF(C10=0,"-",_xlfn.MAXIFS(Vendas!$Z$2:$Z$3001,Vendas!$B$2:$B$3001,$A10,Vendas!$C$2:$C$3001,$B10,Vendas!$AK$2:$AK$3001,"Validado"))</f>
        <v/>
      </c>
    </row>
    <row r="11">
      <c r="A11" s="15" t="inlineStr">
        <is>
          <t>São Sebastião</t>
        </is>
      </c>
      <c r="B11" s="15" t="inlineStr">
        <is>
          <t>Arrastão</t>
        </is>
      </c>
      <c r="C11" s="15">
        <f>COUNTIFS(Vendas!$B$2:$B$3001,$A11,Vendas!$C$2:$C$3001,$B11,Vendas!$AK$2:$AK$3001,"Validado")</f>
        <v/>
      </c>
      <c r="D11" s="17">
        <f t="array" ref="D11">IF(C11=0,"-",MEDIAN(IF((Vendas!$B$2:$B$3001=$A11)*(Vendas!$C$2:$C$3001=$B11)*(Vendas!$AK$2:$AK$3001="Validado")*ISNUMBER(Vendas!$M$2:$M$3001),Vendas!$M$2:$M$3001)))</f>
        <v/>
      </c>
      <c r="E11" s="17">
        <f>IF(C11=0,"-",_xlfn.MINIFS(Vendas!$M$2:$M$3001,Vendas!$B$2:$B$3001,$A11,Vendas!$C$2:$C$3001,$B11,Vendas!$AK$2:$AK$3001,"Validado"))</f>
        <v/>
      </c>
      <c r="F11" s="17">
        <f>IF(C11=0,"-",_xlfn.MAXIFS(Vendas!$M$2:$M$3001,Vendas!$B$2:$B$3001,$A11,Vendas!$C$2:$C$3001,$B11,Vendas!$AK$2:$AK$3001,"Validado"))</f>
        <v/>
      </c>
      <c r="G11" s="17">
        <f t="array" ref="G11">IF(SUMPRODUCT((Vendas!$B$2:$B$3001=$A11)*(Vendas!$C$2:$C$3001=$B11)*(Vendas!$AK$2:$AK$3001="Validado")*ISNUMBER(Vendas!$S$2:$S$3001))=0,"-",MEDIAN(IF((Vendas!$B$2:$B$3001=$A11)*(Vendas!$C$2:$C$3001=$B11)*(Vendas!$AK$2:$AK$3001="Validado")*ISNUMBER(Vendas!$S$2:$S$3001),Vendas!$S$2:$S$3001)))</f>
        <v/>
      </c>
      <c r="H11" s="15">
        <f>COUNTIFS(Vendas!$B$2:$B$3001,$A11,Vendas!$C$2:$C$3001,$B11,Vendas!$AK$2:$AK$3001,"Validado",Vendas!$T$2:$T$3001,"Valor*")</f>
        <v/>
      </c>
      <c r="I11" s="18">
        <f>IF(C11=0,"-",_xlfn.MINIFS(Vendas!$Z$2:$Z$3001,Vendas!$B$2:$B$3001,$A11,Vendas!$C$2:$C$3001,$B11,Vendas!$AK$2:$AK$3001,"Validado"))</f>
        <v/>
      </c>
      <c r="J11" s="18">
        <f>IF(C11=0,"-",_xlfn.MAXIFS(Vendas!$Z$2:$Z$3001,Vendas!$B$2:$B$3001,$A11,Vendas!$C$2:$C$3001,$B11,Vendas!$AK$2:$AK$3001,"Validado"))</f>
        <v/>
      </c>
    </row>
    <row r="12">
      <c r="A12" s="15" t="inlineStr">
        <is>
          <t>São Sebastião</t>
        </is>
      </c>
      <c r="B12" s="15" t="inlineStr">
        <is>
          <t>Pontal da Cruz</t>
        </is>
      </c>
      <c r="C12" s="15">
        <f>COUNTIFS(Vendas!$B$2:$B$3001,$A12,Vendas!$C$2:$C$3001,$B12,Vendas!$AK$2:$AK$3001,"Validado")</f>
        <v/>
      </c>
      <c r="D12" s="17">
        <f t="array" ref="D12">IF(C12=0,"-",MEDIAN(IF((Vendas!$B$2:$B$3001=$A12)*(Vendas!$C$2:$C$3001=$B12)*(Vendas!$AK$2:$AK$3001="Validado")*ISNUMBER(Vendas!$M$2:$M$3001),Vendas!$M$2:$M$3001)))</f>
        <v/>
      </c>
      <c r="E12" s="17">
        <f>IF(C12=0,"-",_xlfn.MINIFS(Vendas!$M$2:$M$3001,Vendas!$B$2:$B$3001,$A12,Vendas!$C$2:$C$3001,$B12,Vendas!$AK$2:$AK$3001,"Validado"))</f>
        <v/>
      </c>
      <c r="F12" s="17">
        <f>IF(C12=0,"-",_xlfn.MAXIFS(Vendas!$M$2:$M$3001,Vendas!$B$2:$B$3001,$A12,Vendas!$C$2:$C$3001,$B12,Vendas!$AK$2:$AK$3001,"Validado"))</f>
        <v/>
      </c>
      <c r="G12" s="17">
        <f t="array" ref="G12">IF(SUMPRODUCT((Vendas!$B$2:$B$3001=$A12)*(Vendas!$C$2:$C$3001=$B12)*(Vendas!$AK$2:$AK$3001="Validado")*ISNUMBER(Vendas!$S$2:$S$3001))=0,"-",MEDIAN(IF((Vendas!$B$2:$B$3001=$A12)*(Vendas!$C$2:$C$3001=$B12)*(Vendas!$AK$2:$AK$3001="Validado")*ISNUMBER(Vendas!$S$2:$S$3001),Vendas!$S$2:$S$3001)))</f>
        <v/>
      </c>
      <c r="H12" s="15">
        <f>COUNTIFS(Vendas!$B$2:$B$3001,$A12,Vendas!$C$2:$C$3001,$B12,Vendas!$AK$2:$AK$3001,"Validado",Vendas!$T$2:$T$3001,"Valor*")</f>
        <v/>
      </c>
      <c r="I12" s="18">
        <f>IF(C12=0,"-",_xlfn.MINIFS(Vendas!$Z$2:$Z$3001,Vendas!$B$2:$B$3001,$A12,Vendas!$C$2:$C$3001,$B12,Vendas!$AK$2:$AK$3001,"Validado"))</f>
        <v/>
      </c>
      <c r="J12" s="18">
        <f>IF(C12=0,"-",_xlfn.MAXIFS(Vendas!$Z$2:$Z$3001,Vendas!$B$2:$B$3001,$A12,Vendas!$C$2:$C$3001,$B12,Vendas!$AK$2:$AK$3001,"Validado"))</f>
        <v/>
      </c>
    </row>
    <row r="13">
      <c r="A13" s="15" t="inlineStr">
        <is>
          <t>São Sebastião</t>
        </is>
      </c>
      <c r="B13" s="15" t="inlineStr">
        <is>
          <t>Praia Deserta</t>
        </is>
      </c>
      <c r="C13" s="15">
        <f>COUNTIFS(Vendas!$B$2:$B$3001,$A13,Vendas!$C$2:$C$3001,$B13,Vendas!$AK$2:$AK$3001,"Validado")</f>
        <v/>
      </c>
      <c r="D13" s="17">
        <f t="array" ref="D13">IF(C13=0,"-",MEDIAN(IF((Vendas!$B$2:$B$3001=$A13)*(Vendas!$C$2:$C$3001=$B13)*(Vendas!$AK$2:$AK$3001="Validado")*ISNUMBER(Vendas!$M$2:$M$3001),Vendas!$M$2:$M$3001)))</f>
        <v/>
      </c>
      <c r="E13" s="17">
        <f>IF(C13=0,"-",_xlfn.MINIFS(Vendas!$M$2:$M$3001,Vendas!$B$2:$B$3001,$A13,Vendas!$C$2:$C$3001,$B13,Vendas!$AK$2:$AK$3001,"Validado"))</f>
        <v/>
      </c>
      <c r="F13" s="17">
        <f>IF(C13=0,"-",_xlfn.MAXIFS(Vendas!$M$2:$M$3001,Vendas!$B$2:$B$3001,$A13,Vendas!$C$2:$C$3001,$B13,Vendas!$AK$2:$AK$3001,"Validado"))</f>
        <v/>
      </c>
      <c r="G13" s="17">
        <f t="array" ref="G13">IF(SUMPRODUCT((Vendas!$B$2:$B$3001=$A13)*(Vendas!$C$2:$C$3001=$B13)*(Vendas!$AK$2:$AK$3001="Validado")*ISNUMBER(Vendas!$S$2:$S$3001))=0,"-",MEDIAN(IF((Vendas!$B$2:$B$3001=$A13)*(Vendas!$C$2:$C$3001=$B13)*(Vendas!$AK$2:$AK$3001="Validado")*ISNUMBER(Vendas!$S$2:$S$3001),Vendas!$S$2:$S$3001)))</f>
        <v/>
      </c>
      <c r="H13" s="15">
        <f>COUNTIFS(Vendas!$B$2:$B$3001,$A13,Vendas!$C$2:$C$3001,$B13,Vendas!$AK$2:$AK$3001,"Validado",Vendas!$T$2:$T$3001,"Valor*")</f>
        <v/>
      </c>
      <c r="I13" s="18">
        <f>IF(C13=0,"-",_xlfn.MINIFS(Vendas!$Z$2:$Z$3001,Vendas!$B$2:$B$3001,$A13,Vendas!$C$2:$C$3001,$B13,Vendas!$AK$2:$AK$3001,"Validado"))</f>
        <v/>
      </c>
      <c r="J13" s="18">
        <f>IF(C13=0,"-",_xlfn.MAXIFS(Vendas!$Z$2:$Z$3001,Vendas!$B$2:$B$3001,$A13,Vendas!$C$2:$C$3001,$B13,Vendas!$AK$2:$AK$3001,"Validado"))</f>
        <v/>
      </c>
    </row>
    <row r="14">
      <c r="A14" s="15" t="inlineStr">
        <is>
          <t>São Sebastião</t>
        </is>
      </c>
      <c r="B14" s="15" t="inlineStr">
        <is>
          <t>Porto Grande</t>
        </is>
      </c>
      <c r="C14" s="15">
        <f>COUNTIFS(Vendas!$B$2:$B$3001,$A14,Vendas!$C$2:$C$3001,$B14,Vendas!$AK$2:$AK$3001,"Validado")</f>
        <v/>
      </c>
      <c r="D14" s="17">
        <f t="array" ref="D14">IF(C14=0,"-",MEDIAN(IF((Vendas!$B$2:$B$3001=$A14)*(Vendas!$C$2:$C$3001=$B14)*(Vendas!$AK$2:$AK$3001="Validado")*ISNUMBER(Vendas!$M$2:$M$3001),Vendas!$M$2:$M$3001)))</f>
        <v/>
      </c>
      <c r="E14" s="17">
        <f>IF(C14=0,"-",_xlfn.MINIFS(Vendas!$M$2:$M$3001,Vendas!$B$2:$B$3001,$A14,Vendas!$C$2:$C$3001,$B14,Vendas!$AK$2:$AK$3001,"Validado"))</f>
        <v/>
      </c>
      <c r="F14" s="17">
        <f>IF(C14=0,"-",_xlfn.MAXIFS(Vendas!$M$2:$M$3001,Vendas!$B$2:$B$3001,$A14,Vendas!$C$2:$C$3001,$B14,Vendas!$AK$2:$AK$3001,"Validado"))</f>
        <v/>
      </c>
      <c r="G14" s="17">
        <f t="array" ref="G14">IF(SUMPRODUCT((Vendas!$B$2:$B$3001=$A14)*(Vendas!$C$2:$C$3001=$B14)*(Vendas!$AK$2:$AK$3001="Validado")*ISNUMBER(Vendas!$S$2:$S$3001))=0,"-",MEDIAN(IF((Vendas!$B$2:$B$3001=$A14)*(Vendas!$C$2:$C$3001=$B14)*(Vendas!$AK$2:$AK$3001="Validado")*ISNUMBER(Vendas!$S$2:$S$3001),Vendas!$S$2:$S$3001)))</f>
        <v/>
      </c>
      <c r="H14" s="15">
        <f>COUNTIFS(Vendas!$B$2:$B$3001,$A14,Vendas!$C$2:$C$3001,$B14,Vendas!$AK$2:$AK$3001,"Validado",Vendas!$T$2:$T$3001,"Valor*")</f>
        <v/>
      </c>
      <c r="I14" s="18">
        <f>IF(C14=0,"-",_xlfn.MINIFS(Vendas!$Z$2:$Z$3001,Vendas!$B$2:$B$3001,$A14,Vendas!$C$2:$C$3001,$B14,Vendas!$AK$2:$AK$3001,"Validado"))</f>
        <v/>
      </c>
      <c r="J14" s="18">
        <f>IF(C14=0,"-",_xlfn.MAXIFS(Vendas!$Z$2:$Z$3001,Vendas!$B$2:$B$3001,$A14,Vendas!$C$2:$C$3001,$B14,Vendas!$AK$2:$AK$3001,"Validado"))</f>
        <v/>
      </c>
    </row>
    <row r="15">
      <c r="A15" s="15" t="inlineStr">
        <is>
          <t>São Sebastião</t>
        </is>
      </c>
      <c r="B15" s="15" t="inlineStr">
        <is>
          <t>Centro</t>
        </is>
      </c>
      <c r="C15" s="15">
        <f>COUNTIFS(Vendas!$B$2:$B$3001,$A15,Vendas!$C$2:$C$3001,$B15,Vendas!$AK$2:$AK$3001,"Validado")</f>
        <v/>
      </c>
      <c r="D15" s="17">
        <f t="array" ref="D15">IF(C15=0,"-",MEDIAN(IF((Vendas!$B$2:$B$3001=$A15)*(Vendas!$C$2:$C$3001=$B15)*(Vendas!$AK$2:$AK$3001="Validado")*ISNUMBER(Vendas!$M$2:$M$3001),Vendas!$M$2:$M$3001)))</f>
        <v/>
      </c>
      <c r="E15" s="17">
        <f>IF(C15=0,"-",_xlfn.MINIFS(Vendas!$M$2:$M$3001,Vendas!$B$2:$B$3001,$A15,Vendas!$C$2:$C$3001,$B15,Vendas!$AK$2:$AK$3001,"Validado"))</f>
        <v/>
      </c>
      <c r="F15" s="17">
        <f>IF(C15=0,"-",_xlfn.MAXIFS(Vendas!$M$2:$M$3001,Vendas!$B$2:$B$3001,$A15,Vendas!$C$2:$C$3001,$B15,Vendas!$AK$2:$AK$3001,"Validado"))</f>
        <v/>
      </c>
      <c r="G15" s="17">
        <f t="array" ref="G15">IF(SUMPRODUCT((Vendas!$B$2:$B$3001=$A15)*(Vendas!$C$2:$C$3001=$B15)*(Vendas!$AK$2:$AK$3001="Validado")*ISNUMBER(Vendas!$S$2:$S$3001))=0,"-",MEDIAN(IF((Vendas!$B$2:$B$3001=$A15)*(Vendas!$C$2:$C$3001=$B15)*(Vendas!$AK$2:$AK$3001="Validado")*ISNUMBER(Vendas!$S$2:$S$3001),Vendas!$S$2:$S$3001)))</f>
        <v/>
      </c>
      <c r="H15" s="15">
        <f>COUNTIFS(Vendas!$B$2:$B$3001,$A15,Vendas!$C$2:$C$3001,$B15,Vendas!$AK$2:$AK$3001,"Validado",Vendas!$T$2:$T$3001,"Valor*")</f>
        <v/>
      </c>
      <c r="I15" s="18">
        <f>IF(C15=0,"-",_xlfn.MINIFS(Vendas!$Z$2:$Z$3001,Vendas!$B$2:$B$3001,$A15,Vendas!$C$2:$C$3001,$B15,Vendas!$AK$2:$AK$3001,"Validado"))</f>
        <v/>
      </c>
      <c r="J15" s="18">
        <f>IF(C15=0,"-",_xlfn.MAXIFS(Vendas!$Z$2:$Z$3001,Vendas!$B$2:$B$3001,$A15,Vendas!$C$2:$C$3001,$B15,Vendas!$AK$2:$AK$3001,"Validado"))</f>
        <v/>
      </c>
    </row>
    <row r="16">
      <c r="A16" s="15" t="inlineStr">
        <is>
          <t>São Sebastião</t>
        </is>
      </c>
      <c r="B16" s="15" t="inlineStr">
        <is>
          <t>Topolândia</t>
        </is>
      </c>
      <c r="C16" s="15">
        <f>COUNTIFS(Vendas!$B$2:$B$3001,$A16,Vendas!$C$2:$C$3001,$B16,Vendas!$AK$2:$AK$3001,"Validado")</f>
        <v/>
      </c>
      <c r="D16" s="17">
        <f t="array" ref="D16">IF(C16=0,"-",MEDIAN(IF((Vendas!$B$2:$B$3001=$A16)*(Vendas!$C$2:$C$3001=$B16)*(Vendas!$AK$2:$AK$3001="Validado")*ISNUMBER(Vendas!$M$2:$M$3001),Vendas!$M$2:$M$3001)))</f>
        <v/>
      </c>
      <c r="E16" s="17">
        <f>IF(C16=0,"-",_xlfn.MINIFS(Vendas!$M$2:$M$3001,Vendas!$B$2:$B$3001,$A16,Vendas!$C$2:$C$3001,$B16,Vendas!$AK$2:$AK$3001,"Validado"))</f>
        <v/>
      </c>
      <c r="F16" s="17">
        <f>IF(C16=0,"-",_xlfn.MAXIFS(Vendas!$M$2:$M$3001,Vendas!$B$2:$B$3001,$A16,Vendas!$C$2:$C$3001,$B16,Vendas!$AK$2:$AK$3001,"Validado"))</f>
        <v/>
      </c>
      <c r="G16" s="17">
        <f t="array" ref="G16">IF(SUMPRODUCT((Vendas!$B$2:$B$3001=$A16)*(Vendas!$C$2:$C$3001=$B16)*(Vendas!$AK$2:$AK$3001="Validado")*ISNUMBER(Vendas!$S$2:$S$3001))=0,"-",MEDIAN(IF((Vendas!$B$2:$B$3001=$A16)*(Vendas!$C$2:$C$3001=$B16)*(Vendas!$AK$2:$AK$3001="Validado")*ISNUMBER(Vendas!$S$2:$S$3001),Vendas!$S$2:$S$3001)))</f>
        <v/>
      </c>
      <c r="H16" s="15">
        <f>COUNTIFS(Vendas!$B$2:$B$3001,$A16,Vendas!$C$2:$C$3001,$B16,Vendas!$AK$2:$AK$3001,"Validado",Vendas!$T$2:$T$3001,"Valor*")</f>
        <v/>
      </c>
      <c r="I16" s="18">
        <f>IF(C16=0,"-",_xlfn.MINIFS(Vendas!$Z$2:$Z$3001,Vendas!$B$2:$B$3001,$A16,Vendas!$C$2:$C$3001,$B16,Vendas!$AK$2:$AK$3001,"Validado"))</f>
        <v/>
      </c>
      <c r="J16" s="18">
        <f>IF(C16=0,"-",_xlfn.MAXIFS(Vendas!$Z$2:$Z$3001,Vendas!$B$2:$B$3001,$A16,Vendas!$C$2:$C$3001,$B16,Vendas!$AK$2:$AK$3001,"Validado"))</f>
        <v/>
      </c>
    </row>
    <row r="17">
      <c r="A17" s="15" t="inlineStr">
        <is>
          <t>São Sebastião</t>
        </is>
      </c>
      <c r="B17" s="15" t="inlineStr">
        <is>
          <t>Itatinga</t>
        </is>
      </c>
      <c r="C17" s="15">
        <f>COUNTIFS(Vendas!$B$2:$B$3001,$A17,Vendas!$C$2:$C$3001,$B17,Vendas!$AK$2:$AK$3001,"Validado")</f>
        <v/>
      </c>
      <c r="D17" s="17">
        <f t="array" ref="D17">IF(C17=0,"-",MEDIAN(IF((Vendas!$B$2:$B$3001=$A17)*(Vendas!$C$2:$C$3001=$B17)*(Vendas!$AK$2:$AK$3001="Validado")*ISNUMBER(Vendas!$M$2:$M$3001),Vendas!$M$2:$M$3001)))</f>
        <v/>
      </c>
      <c r="E17" s="17">
        <f>IF(C17=0,"-",_xlfn.MINIFS(Vendas!$M$2:$M$3001,Vendas!$B$2:$B$3001,$A17,Vendas!$C$2:$C$3001,$B17,Vendas!$AK$2:$AK$3001,"Validado"))</f>
        <v/>
      </c>
      <c r="F17" s="17">
        <f>IF(C17=0,"-",_xlfn.MAXIFS(Vendas!$M$2:$M$3001,Vendas!$B$2:$B$3001,$A17,Vendas!$C$2:$C$3001,$B17,Vendas!$AK$2:$AK$3001,"Validado"))</f>
        <v/>
      </c>
      <c r="G17" s="17">
        <f t="array" ref="G17">IF(SUMPRODUCT((Vendas!$B$2:$B$3001=$A17)*(Vendas!$C$2:$C$3001=$B17)*(Vendas!$AK$2:$AK$3001="Validado")*ISNUMBER(Vendas!$S$2:$S$3001))=0,"-",MEDIAN(IF((Vendas!$B$2:$B$3001=$A17)*(Vendas!$C$2:$C$3001=$B17)*(Vendas!$AK$2:$AK$3001="Validado")*ISNUMBER(Vendas!$S$2:$S$3001),Vendas!$S$2:$S$3001)))</f>
        <v/>
      </c>
      <c r="H17" s="15">
        <f>COUNTIFS(Vendas!$B$2:$B$3001,$A17,Vendas!$C$2:$C$3001,$B17,Vendas!$AK$2:$AK$3001,"Validado",Vendas!$T$2:$T$3001,"Valor*")</f>
        <v/>
      </c>
      <c r="I17" s="18">
        <f>IF(C17=0,"-",_xlfn.MINIFS(Vendas!$Z$2:$Z$3001,Vendas!$B$2:$B$3001,$A17,Vendas!$C$2:$C$3001,$B17,Vendas!$AK$2:$AK$3001,"Validado"))</f>
        <v/>
      </c>
      <c r="J17" s="18">
        <f>IF(C17=0,"-",_xlfn.MAXIFS(Vendas!$Z$2:$Z$3001,Vendas!$B$2:$B$3001,$A17,Vendas!$C$2:$C$3001,$B17,Vendas!$AK$2:$AK$3001,"Validado"))</f>
        <v/>
      </c>
    </row>
    <row r="18">
      <c r="A18" s="15" t="inlineStr">
        <is>
          <t>São Sebastião</t>
        </is>
      </c>
      <c r="B18" s="15" t="inlineStr">
        <is>
          <t>Varadouro</t>
        </is>
      </c>
      <c r="C18" s="15">
        <f>COUNTIFS(Vendas!$B$2:$B$3001,$A18,Vendas!$C$2:$C$3001,$B18,Vendas!$AK$2:$AK$3001,"Validado")</f>
        <v/>
      </c>
      <c r="D18" s="17">
        <f t="array" ref="D18">IF(C18=0,"-",MEDIAN(IF((Vendas!$B$2:$B$3001=$A18)*(Vendas!$C$2:$C$3001=$B18)*(Vendas!$AK$2:$AK$3001="Validado")*ISNUMBER(Vendas!$M$2:$M$3001),Vendas!$M$2:$M$3001)))</f>
        <v/>
      </c>
      <c r="E18" s="17">
        <f>IF(C18=0,"-",_xlfn.MINIFS(Vendas!$M$2:$M$3001,Vendas!$B$2:$B$3001,$A18,Vendas!$C$2:$C$3001,$B18,Vendas!$AK$2:$AK$3001,"Validado"))</f>
        <v/>
      </c>
      <c r="F18" s="17">
        <f>IF(C18=0,"-",_xlfn.MAXIFS(Vendas!$M$2:$M$3001,Vendas!$B$2:$B$3001,$A18,Vendas!$C$2:$C$3001,$B18,Vendas!$AK$2:$AK$3001,"Validado"))</f>
        <v/>
      </c>
      <c r="G18" s="17">
        <f t="array" ref="G18">IF(SUMPRODUCT((Vendas!$B$2:$B$3001=$A18)*(Vendas!$C$2:$C$3001=$B18)*(Vendas!$AK$2:$AK$3001="Validado")*ISNUMBER(Vendas!$S$2:$S$3001))=0,"-",MEDIAN(IF((Vendas!$B$2:$B$3001=$A18)*(Vendas!$C$2:$C$3001=$B18)*(Vendas!$AK$2:$AK$3001="Validado")*ISNUMBER(Vendas!$S$2:$S$3001),Vendas!$S$2:$S$3001)))</f>
        <v/>
      </c>
      <c r="H18" s="15">
        <f>COUNTIFS(Vendas!$B$2:$B$3001,$A18,Vendas!$C$2:$C$3001,$B18,Vendas!$AK$2:$AK$3001,"Validado",Vendas!$T$2:$T$3001,"Valor*")</f>
        <v/>
      </c>
      <c r="I18" s="18">
        <f>IF(C18=0,"-",_xlfn.MINIFS(Vendas!$Z$2:$Z$3001,Vendas!$B$2:$B$3001,$A18,Vendas!$C$2:$C$3001,$B18,Vendas!$AK$2:$AK$3001,"Validado"))</f>
        <v/>
      </c>
      <c r="J18" s="18">
        <f>IF(C18=0,"-",_xlfn.MAXIFS(Vendas!$Z$2:$Z$3001,Vendas!$B$2:$B$3001,$A18,Vendas!$C$2:$C$3001,$B18,Vendas!$AK$2:$AK$3001,"Validado"))</f>
        <v/>
      </c>
    </row>
    <row r="19">
      <c r="A19" s="15" t="inlineStr">
        <is>
          <t>São Sebastião</t>
        </is>
      </c>
      <c r="B19" s="15" t="inlineStr">
        <is>
          <t>Pitangueiras</t>
        </is>
      </c>
      <c r="C19" s="15">
        <f>COUNTIFS(Vendas!$B$2:$B$3001,$A19,Vendas!$C$2:$C$3001,$B19,Vendas!$AK$2:$AK$3001,"Validado")</f>
        <v/>
      </c>
      <c r="D19" s="17">
        <f t="array" ref="D19">IF(C19=0,"-",MEDIAN(IF((Vendas!$B$2:$B$3001=$A19)*(Vendas!$C$2:$C$3001=$B19)*(Vendas!$AK$2:$AK$3001="Validado")*ISNUMBER(Vendas!$M$2:$M$3001),Vendas!$M$2:$M$3001)))</f>
        <v/>
      </c>
      <c r="E19" s="17">
        <f>IF(C19=0,"-",_xlfn.MINIFS(Vendas!$M$2:$M$3001,Vendas!$B$2:$B$3001,$A19,Vendas!$C$2:$C$3001,$B19,Vendas!$AK$2:$AK$3001,"Validado"))</f>
        <v/>
      </c>
      <c r="F19" s="17">
        <f>IF(C19=0,"-",_xlfn.MAXIFS(Vendas!$M$2:$M$3001,Vendas!$B$2:$B$3001,$A19,Vendas!$C$2:$C$3001,$B19,Vendas!$AK$2:$AK$3001,"Validado"))</f>
        <v/>
      </c>
      <c r="G19" s="17">
        <f t="array" ref="G19">IF(SUMPRODUCT((Vendas!$B$2:$B$3001=$A19)*(Vendas!$C$2:$C$3001=$B19)*(Vendas!$AK$2:$AK$3001="Validado")*ISNUMBER(Vendas!$S$2:$S$3001))=0,"-",MEDIAN(IF((Vendas!$B$2:$B$3001=$A19)*(Vendas!$C$2:$C$3001=$B19)*(Vendas!$AK$2:$AK$3001="Validado")*ISNUMBER(Vendas!$S$2:$S$3001),Vendas!$S$2:$S$3001)))</f>
        <v/>
      </c>
      <c r="H19" s="15">
        <f>COUNTIFS(Vendas!$B$2:$B$3001,$A19,Vendas!$C$2:$C$3001,$B19,Vendas!$AK$2:$AK$3001,"Validado",Vendas!$T$2:$T$3001,"Valor*")</f>
        <v/>
      </c>
      <c r="I19" s="18">
        <f>IF(C19=0,"-",_xlfn.MINIFS(Vendas!$Z$2:$Z$3001,Vendas!$B$2:$B$3001,$A19,Vendas!$C$2:$C$3001,$B19,Vendas!$AK$2:$AK$3001,"Validado"))</f>
        <v/>
      </c>
      <c r="J19" s="18">
        <f>IF(C19=0,"-",_xlfn.MAXIFS(Vendas!$Z$2:$Z$3001,Vendas!$B$2:$B$3001,$A19,Vendas!$C$2:$C$3001,$B19,Vendas!$AK$2:$AK$3001,"Validado"))</f>
        <v/>
      </c>
    </row>
    <row r="20">
      <c r="A20" s="15" t="inlineStr">
        <is>
          <t>São Sebastião</t>
        </is>
      </c>
      <c r="B20" s="15" t="inlineStr">
        <is>
          <t>Barequeçaba</t>
        </is>
      </c>
      <c r="C20" s="15">
        <f>COUNTIFS(Vendas!$B$2:$B$3001,$A20,Vendas!$C$2:$C$3001,$B20,Vendas!$AK$2:$AK$3001,"Validado")</f>
        <v/>
      </c>
      <c r="D20" s="17">
        <f t="array" ref="D20">IF(C20=0,"-",MEDIAN(IF((Vendas!$B$2:$B$3001=$A20)*(Vendas!$C$2:$C$3001=$B20)*(Vendas!$AK$2:$AK$3001="Validado")*ISNUMBER(Vendas!$M$2:$M$3001),Vendas!$M$2:$M$3001)))</f>
        <v/>
      </c>
      <c r="E20" s="17">
        <f>IF(C20=0,"-",_xlfn.MINIFS(Vendas!$M$2:$M$3001,Vendas!$B$2:$B$3001,$A20,Vendas!$C$2:$C$3001,$B20,Vendas!$AK$2:$AK$3001,"Validado"))</f>
        <v/>
      </c>
      <c r="F20" s="17">
        <f>IF(C20=0,"-",_xlfn.MAXIFS(Vendas!$M$2:$M$3001,Vendas!$B$2:$B$3001,$A20,Vendas!$C$2:$C$3001,$B20,Vendas!$AK$2:$AK$3001,"Validado"))</f>
        <v/>
      </c>
      <c r="G20" s="17">
        <f t="array" ref="G20">IF(SUMPRODUCT((Vendas!$B$2:$B$3001=$A20)*(Vendas!$C$2:$C$3001=$B20)*(Vendas!$AK$2:$AK$3001="Validado")*ISNUMBER(Vendas!$S$2:$S$3001))=0,"-",MEDIAN(IF((Vendas!$B$2:$B$3001=$A20)*(Vendas!$C$2:$C$3001=$B20)*(Vendas!$AK$2:$AK$3001="Validado")*ISNUMBER(Vendas!$S$2:$S$3001),Vendas!$S$2:$S$3001)))</f>
        <v/>
      </c>
      <c r="H20" s="15">
        <f>COUNTIFS(Vendas!$B$2:$B$3001,$A20,Vendas!$C$2:$C$3001,$B20,Vendas!$AK$2:$AK$3001,"Validado",Vendas!$T$2:$T$3001,"Valor*")</f>
        <v/>
      </c>
      <c r="I20" s="18">
        <f>IF(C20=0,"-",_xlfn.MINIFS(Vendas!$Z$2:$Z$3001,Vendas!$B$2:$B$3001,$A20,Vendas!$C$2:$C$3001,$B20,Vendas!$AK$2:$AK$3001,"Validado"))</f>
        <v/>
      </c>
      <c r="J20" s="18">
        <f>IF(C20=0,"-",_xlfn.MAXIFS(Vendas!$Z$2:$Z$3001,Vendas!$B$2:$B$3001,$A20,Vendas!$C$2:$C$3001,$B20,Vendas!$AK$2:$AK$3001,"Validado"))</f>
        <v/>
      </c>
    </row>
    <row r="21">
      <c r="A21" s="15" t="inlineStr">
        <is>
          <t>São Sebastião</t>
        </is>
      </c>
      <c r="B21" s="15" t="inlineStr">
        <is>
          <t>Guaecá</t>
        </is>
      </c>
      <c r="C21" s="15">
        <f>COUNTIFS(Vendas!$B$2:$B$3001,$A21,Vendas!$C$2:$C$3001,$B21,Vendas!$AK$2:$AK$3001,"Validado")</f>
        <v/>
      </c>
      <c r="D21" s="17">
        <f t="array" ref="D21">IF(C21=0,"-",MEDIAN(IF((Vendas!$B$2:$B$3001=$A21)*(Vendas!$C$2:$C$3001=$B21)*(Vendas!$AK$2:$AK$3001="Validado")*ISNUMBER(Vendas!$M$2:$M$3001),Vendas!$M$2:$M$3001)))</f>
        <v/>
      </c>
      <c r="E21" s="17">
        <f>IF(C21=0,"-",_xlfn.MINIFS(Vendas!$M$2:$M$3001,Vendas!$B$2:$B$3001,$A21,Vendas!$C$2:$C$3001,$B21,Vendas!$AK$2:$AK$3001,"Validado"))</f>
        <v/>
      </c>
      <c r="F21" s="17">
        <f>IF(C21=0,"-",_xlfn.MAXIFS(Vendas!$M$2:$M$3001,Vendas!$B$2:$B$3001,$A21,Vendas!$C$2:$C$3001,$B21,Vendas!$AK$2:$AK$3001,"Validado"))</f>
        <v/>
      </c>
      <c r="G21" s="17">
        <f t="array" ref="G21">IF(SUMPRODUCT((Vendas!$B$2:$B$3001=$A21)*(Vendas!$C$2:$C$3001=$B21)*(Vendas!$AK$2:$AK$3001="Validado")*ISNUMBER(Vendas!$S$2:$S$3001))=0,"-",MEDIAN(IF((Vendas!$B$2:$B$3001=$A21)*(Vendas!$C$2:$C$3001=$B21)*(Vendas!$AK$2:$AK$3001="Validado")*ISNUMBER(Vendas!$S$2:$S$3001),Vendas!$S$2:$S$3001)))</f>
        <v/>
      </c>
      <c r="H21" s="15">
        <f>COUNTIFS(Vendas!$B$2:$B$3001,$A21,Vendas!$C$2:$C$3001,$B21,Vendas!$AK$2:$AK$3001,"Validado",Vendas!$T$2:$T$3001,"Valor*")</f>
        <v/>
      </c>
      <c r="I21" s="18">
        <f>IF(C21=0,"-",_xlfn.MINIFS(Vendas!$Z$2:$Z$3001,Vendas!$B$2:$B$3001,$A21,Vendas!$C$2:$C$3001,$B21,Vendas!$AK$2:$AK$3001,"Validado"))</f>
        <v/>
      </c>
      <c r="J21" s="18">
        <f>IF(C21=0,"-",_xlfn.MAXIFS(Vendas!$Z$2:$Z$3001,Vendas!$B$2:$B$3001,$A21,Vendas!$C$2:$C$3001,$B21,Vendas!$AK$2:$AK$3001,"Validado"))</f>
        <v/>
      </c>
    </row>
    <row r="22">
      <c r="A22" s="15" t="inlineStr">
        <is>
          <t>São Sebastião</t>
        </is>
      </c>
      <c r="B22" s="15" t="inlineStr">
        <is>
          <t>Toque-Toque Grande</t>
        </is>
      </c>
      <c r="C22" s="15">
        <f>COUNTIFS(Vendas!$B$2:$B$3001,$A22,Vendas!$C$2:$C$3001,$B22,Vendas!$AK$2:$AK$3001,"Validado")</f>
        <v/>
      </c>
      <c r="D22" s="17">
        <f t="array" ref="D22">IF(C22=0,"-",MEDIAN(IF((Vendas!$B$2:$B$3001=$A22)*(Vendas!$C$2:$C$3001=$B22)*(Vendas!$AK$2:$AK$3001="Validado")*ISNUMBER(Vendas!$M$2:$M$3001),Vendas!$M$2:$M$3001)))</f>
        <v/>
      </c>
      <c r="E22" s="17">
        <f>IF(C22=0,"-",_xlfn.MINIFS(Vendas!$M$2:$M$3001,Vendas!$B$2:$B$3001,$A22,Vendas!$C$2:$C$3001,$B22,Vendas!$AK$2:$AK$3001,"Validado"))</f>
        <v/>
      </c>
      <c r="F22" s="17">
        <f>IF(C22=0,"-",_xlfn.MAXIFS(Vendas!$M$2:$M$3001,Vendas!$B$2:$B$3001,$A22,Vendas!$C$2:$C$3001,$B22,Vendas!$AK$2:$AK$3001,"Validado"))</f>
        <v/>
      </c>
      <c r="G22" s="17">
        <f t="array" ref="G22">IF(SUMPRODUCT((Vendas!$B$2:$B$3001=$A22)*(Vendas!$C$2:$C$3001=$B22)*(Vendas!$AK$2:$AK$3001="Validado")*ISNUMBER(Vendas!$S$2:$S$3001))=0,"-",MEDIAN(IF((Vendas!$B$2:$B$3001=$A22)*(Vendas!$C$2:$C$3001=$B22)*(Vendas!$AK$2:$AK$3001="Validado")*ISNUMBER(Vendas!$S$2:$S$3001),Vendas!$S$2:$S$3001)))</f>
        <v/>
      </c>
      <c r="H22" s="15">
        <f>COUNTIFS(Vendas!$B$2:$B$3001,$A22,Vendas!$C$2:$C$3001,$B22,Vendas!$AK$2:$AK$3001,"Validado",Vendas!$T$2:$T$3001,"Valor*")</f>
        <v/>
      </c>
      <c r="I22" s="18">
        <f>IF(C22=0,"-",_xlfn.MINIFS(Vendas!$Z$2:$Z$3001,Vendas!$B$2:$B$3001,$A22,Vendas!$C$2:$C$3001,$B22,Vendas!$AK$2:$AK$3001,"Validado"))</f>
        <v/>
      </c>
      <c r="J22" s="18">
        <f>IF(C22=0,"-",_xlfn.MAXIFS(Vendas!$Z$2:$Z$3001,Vendas!$B$2:$B$3001,$A22,Vendas!$C$2:$C$3001,$B22,Vendas!$AK$2:$AK$3001,"Validado"))</f>
        <v/>
      </c>
    </row>
    <row r="23">
      <c r="A23" s="15" t="inlineStr">
        <is>
          <t>São Sebastião</t>
        </is>
      </c>
      <c r="B23" s="15" t="inlineStr">
        <is>
          <t>Calhetas</t>
        </is>
      </c>
      <c r="C23" s="15">
        <f>COUNTIFS(Vendas!$B$2:$B$3001,$A23,Vendas!$C$2:$C$3001,$B23,Vendas!$AK$2:$AK$3001,"Validado")</f>
        <v/>
      </c>
      <c r="D23" s="17">
        <f t="array" ref="D23">IF(C23=0,"-",MEDIAN(IF((Vendas!$B$2:$B$3001=$A23)*(Vendas!$C$2:$C$3001=$B23)*(Vendas!$AK$2:$AK$3001="Validado")*ISNUMBER(Vendas!$M$2:$M$3001),Vendas!$M$2:$M$3001)))</f>
        <v/>
      </c>
      <c r="E23" s="17">
        <f>IF(C23=0,"-",_xlfn.MINIFS(Vendas!$M$2:$M$3001,Vendas!$B$2:$B$3001,$A23,Vendas!$C$2:$C$3001,$B23,Vendas!$AK$2:$AK$3001,"Validado"))</f>
        <v/>
      </c>
      <c r="F23" s="17">
        <f>IF(C23=0,"-",_xlfn.MAXIFS(Vendas!$M$2:$M$3001,Vendas!$B$2:$B$3001,$A23,Vendas!$C$2:$C$3001,$B23,Vendas!$AK$2:$AK$3001,"Validado"))</f>
        <v/>
      </c>
      <c r="G23" s="17">
        <f t="array" ref="G23">IF(SUMPRODUCT((Vendas!$B$2:$B$3001=$A23)*(Vendas!$C$2:$C$3001=$B23)*(Vendas!$AK$2:$AK$3001="Validado")*ISNUMBER(Vendas!$S$2:$S$3001))=0,"-",MEDIAN(IF((Vendas!$B$2:$B$3001=$A23)*(Vendas!$C$2:$C$3001=$B23)*(Vendas!$AK$2:$AK$3001="Validado")*ISNUMBER(Vendas!$S$2:$S$3001),Vendas!$S$2:$S$3001)))</f>
        <v/>
      </c>
      <c r="H23" s="15">
        <f>COUNTIFS(Vendas!$B$2:$B$3001,$A23,Vendas!$C$2:$C$3001,$B23,Vendas!$AK$2:$AK$3001,"Validado",Vendas!$T$2:$T$3001,"Valor*")</f>
        <v/>
      </c>
      <c r="I23" s="18">
        <f>IF(C23=0,"-",_xlfn.MINIFS(Vendas!$Z$2:$Z$3001,Vendas!$B$2:$B$3001,$A23,Vendas!$C$2:$C$3001,$B23,Vendas!$AK$2:$AK$3001,"Validado"))</f>
        <v/>
      </c>
      <c r="J23" s="18">
        <f>IF(C23=0,"-",_xlfn.MAXIFS(Vendas!$Z$2:$Z$3001,Vendas!$B$2:$B$3001,$A23,Vendas!$C$2:$C$3001,$B23,Vendas!$AK$2:$AK$3001,"Validado"))</f>
        <v/>
      </c>
    </row>
    <row r="24">
      <c r="A24" s="15" t="inlineStr">
        <is>
          <t>São Sebastião</t>
        </is>
      </c>
      <c r="B24" s="15" t="inlineStr">
        <is>
          <t>Toque-Toque Pequeno</t>
        </is>
      </c>
      <c r="C24" s="15">
        <f>COUNTIFS(Vendas!$B$2:$B$3001,$A24,Vendas!$C$2:$C$3001,$B24,Vendas!$AK$2:$AK$3001,"Validado")</f>
        <v/>
      </c>
      <c r="D24" s="17">
        <f t="array" ref="D24">IF(C24=0,"-",MEDIAN(IF((Vendas!$B$2:$B$3001=$A24)*(Vendas!$C$2:$C$3001=$B24)*(Vendas!$AK$2:$AK$3001="Validado")*ISNUMBER(Vendas!$M$2:$M$3001),Vendas!$M$2:$M$3001)))</f>
        <v/>
      </c>
      <c r="E24" s="17">
        <f>IF(C24=0,"-",_xlfn.MINIFS(Vendas!$M$2:$M$3001,Vendas!$B$2:$B$3001,$A24,Vendas!$C$2:$C$3001,$B24,Vendas!$AK$2:$AK$3001,"Validado"))</f>
        <v/>
      </c>
      <c r="F24" s="17">
        <f>IF(C24=0,"-",_xlfn.MAXIFS(Vendas!$M$2:$M$3001,Vendas!$B$2:$B$3001,$A24,Vendas!$C$2:$C$3001,$B24,Vendas!$AK$2:$AK$3001,"Validado"))</f>
        <v/>
      </c>
      <c r="G24" s="17">
        <f t="array" ref="G24">IF(SUMPRODUCT((Vendas!$B$2:$B$3001=$A24)*(Vendas!$C$2:$C$3001=$B24)*(Vendas!$AK$2:$AK$3001="Validado")*ISNUMBER(Vendas!$S$2:$S$3001))=0,"-",MEDIAN(IF((Vendas!$B$2:$B$3001=$A24)*(Vendas!$C$2:$C$3001=$B24)*(Vendas!$AK$2:$AK$3001="Validado")*ISNUMBER(Vendas!$S$2:$S$3001),Vendas!$S$2:$S$3001)))</f>
        <v/>
      </c>
      <c r="H24" s="15">
        <f>COUNTIFS(Vendas!$B$2:$B$3001,$A24,Vendas!$C$2:$C$3001,$B24,Vendas!$AK$2:$AK$3001,"Validado",Vendas!$T$2:$T$3001,"Valor*")</f>
        <v/>
      </c>
      <c r="I24" s="18">
        <f>IF(C24=0,"-",_xlfn.MINIFS(Vendas!$Z$2:$Z$3001,Vendas!$B$2:$B$3001,$A24,Vendas!$C$2:$C$3001,$B24,Vendas!$AK$2:$AK$3001,"Validado"))</f>
        <v/>
      </c>
      <c r="J24" s="18">
        <f>IF(C24=0,"-",_xlfn.MAXIFS(Vendas!$Z$2:$Z$3001,Vendas!$B$2:$B$3001,$A24,Vendas!$C$2:$C$3001,$B24,Vendas!$AK$2:$AK$3001,"Validado"))</f>
        <v/>
      </c>
    </row>
    <row r="25">
      <c r="A25" s="15" t="inlineStr">
        <is>
          <t>São Sebastião</t>
        </is>
      </c>
      <c r="B25" s="15" t="inlineStr">
        <is>
          <t>Santiago</t>
        </is>
      </c>
      <c r="C25" s="15">
        <f>COUNTIFS(Vendas!$B$2:$B$3001,$A25,Vendas!$C$2:$C$3001,$B25,Vendas!$AK$2:$AK$3001,"Validado")</f>
        <v/>
      </c>
      <c r="D25" s="17">
        <f t="array" ref="D25">IF(C25=0,"-",MEDIAN(IF((Vendas!$B$2:$B$3001=$A25)*(Vendas!$C$2:$C$3001=$B25)*(Vendas!$AK$2:$AK$3001="Validado")*ISNUMBER(Vendas!$M$2:$M$3001),Vendas!$M$2:$M$3001)))</f>
        <v/>
      </c>
      <c r="E25" s="17">
        <f>IF(C25=0,"-",_xlfn.MINIFS(Vendas!$M$2:$M$3001,Vendas!$B$2:$B$3001,$A25,Vendas!$C$2:$C$3001,$B25,Vendas!$AK$2:$AK$3001,"Validado"))</f>
        <v/>
      </c>
      <c r="F25" s="17">
        <f>IF(C25=0,"-",_xlfn.MAXIFS(Vendas!$M$2:$M$3001,Vendas!$B$2:$B$3001,$A25,Vendas!$C$2:$C$3001,$B25,Vendas!$AK$2:$AK$3001,"Validado"))</f>
        <v/>
      </c>
      <c r="G25" s="17">
        <f t="array" ref="G25">IF(SUMPRODUCT((Vendas!$B$2:$B$3001=$A25)*(Vendas!$C$2:$C$3001=$B25)*(Vendas!$AK$2:$AK$3001="Validado")*ISNUMBER(Vendas!$S$2:$S$3001))=0,"-",MEDIAN(IF((Vendas!$B$2:$B$3001=$A25)*(Vendas!$C$2:$C$3001=$B25)*(Vendas!$AK$2:$AK$3001="Validado")*ISNUMBER(Vendas!$S$2:$S$3001),Vendas!$S$2:$S$3001)))</f>
        <v/>
      </c>
      <c r="H25" s="15">
        <f>COUNTIFS(Vendas!$B$2:$B$3001,$A25,Vendas!$C$2:$C$3001,$B25,Vendas!$AK$2:$AK$3001,"Validado",Vendas!$T$2:$T$3001,"Valor*")</f>
        <v/>
      </c>
      <c r="I25" s="18">
        <f>IF(C25=0,"-",_xlfn.MINIFS(Vendas!$Z$2:$Z$3001,Vendas!$B$2:$B$3001,$A25,Vendas!$C$2:$C$3001,$B25,Vendas!$AK$2:$AK$3001,"Validado"))</f>
        <v/>
      </c>
      <c r="J25" s="18">
        <f>IF(C25=0,"-",_xlfn.MAXIFS(Vendas!$Z$2:$Z$3001,Vendas!$B$2:$B$3001,$A25,Vendas!$C$2:$C$3001,$B25,Vendas!$AK$2:$AK$3001,"Validado"))</f>
        <v/>
      </c>
    </row>
    <row r="26">
      <c r="A26" s="15" t="inlineStr">
        <is>
          <t>São Sebastião</t>
        </is>
      </c>
      <c r="B26" s="15" t="inlineStr">
        <is>
          <t>Paúba</t>
        </is>
      </c>
      <c r="C26" s="15">
        <f>COUNTIFS(Vendas!$B$2:$B$3001,$A26,Vendas!$C$2:$C$3001,$B26,Vendas!$AK$2:$AK$3001,"Validado")</f>
        <v/>
      </c>
      <c r="D26" s="17">
        <f t="array" ref="D26">IF(C26=0,"-",MEDIAN(IF((Vendas!$B$2:$B$3001=$A26)*(Vendas!$C$2:$C$3001=$B26)*(Vendas!$AK$2:$AK$3001="Validado")*ISNUMBER(Vendas!$M$2:$M$3001),Vendas!$M$2:$M$3001)))</f>
        <v/>
      </c>
      <c r="E26" s="17">
        <f>IF(C26=0,"-",_xlfn.MINIFS(Vendas!$M$2:$M$3001,Vendas!$B$2:$B$3001,$A26,Vendas!$C$2:$C$3001,$B26,Vendas!$AK$2:$AK$3001,"Validado"))</f>
        <v/>
      </c>
      <c r="F26" s="17">
        <f>IF(C26=0,"-",_xlfn.MAXIFS(Vendas!$M$2:$M$3001,Vendas!$B$2:$B$3001,$A26,Vendas!$C$2:$C$3001,$B26,Vendas!$AK$2:$AK$3001,"Validado"))</f>
        <v/>
      </c>
      <c r="G26" s="17">
        <f t="array" ref="G26">IF(SUMPRODUCT((Vendas!$B$2:$B$3001=$A26)*(Vendas!$C$2:$C$3001=$B26)*(Vendas!$AK$2:$AK$3001="Validado")*ISNUMBER(Vendas!$S$2:$S$3001))=0,"-",MEDIAN(IF((Vendas!$B$2:$B$3001=$A26)*(Vendas!$C$2:$C$3001=$B26)*(Vendas!$AK$2:$AK$3001="Validado")*ISNUMBER(Vendas!$S$2:$S$3001),Vendas!$S$2:$S$3001)))</f>
        <v/>
      </c>
      <c r="H26" s="15">
        <f>COUNTIFS(Vendas!$B$2:$B$3001,$A26,Vendas!$C$2:$C$3001,$B26,Vendas!$AK$2:$AK$3001,"Validado",Vendas!$T$2:$T$3001,"Valor*")</f>
        <v/>
      </c>
      <c r="I26" s="18">
        <f>IF(C26=0,"-",_xlfn.MINIFS(Vendas!$Z$2:$Z$3001,Vendas!$B$2:$B$3001,$A26,Vendas!$C$2:$C$3001,$B26,Vendas!$AK$2:$AK$3001,"Validado"))</f>
        <v/>
      </c>
      <c r="J26" s="18">
        <f>IF(C26=0,"-",_xlfn.MAXIFS(Vendas!$Z$2:$Z$3001,Vendas!$B$2:$B$3001,$A26,Vendas!$C$2:$C$3001,$B26,Vendas!$AK$2:$AK$3001,"Validado"))</f>
        <v/>
      </c>
    </row>
    <row r="27">
      <c r="A27" s="15" t="inlineStr">
        <is>
          <t>São Sebastião</t>
        </is>
      </c>
      <c r="B27" s="15" t="inlineStr">
        <is>
          <t>Maresias</t>
        </is>
      </c>
      <c r="C27" s="15">
        <f>COUNTIFS(Vendas!$B$2:$B$3001,$A27,Vendas!$C$2:$C$3001,$B27,Vendas!$AK$2:$AK$3001,"Validado")</f>
        <v/>
      </c>
      <c r="D27" s="17">
        <f t="array" ref="D27">IF(C27=0,"-",MEDIAN(IF((Vendas!$B$2:$B$3001=$A27)*(Vendas!$C$2:$C$3001=$B27)*(Vendas!$AK$2:$AK$3001="Validado")*ISNUMBER(Vendas!$M$2:$M$3001),Vendas!$M$2:$M$3001)))</f>
        <v/>
      </c>
      <c r="E27" s="17">
        <f>IF(C27=0,"-",_xlfn.MINIFS(Vendas!$M$2:$M$3001,Vendas!$B$2:$B$3001,$A27,Vendas!$C$2:$C$3001,$B27,Vendas!$AK$2:$AK$3001,"Validado"))</f>
        <v/>
      </c>
      <c r="F27" s="17">
        <f>IF(C27=0,"-",_xlfn.MAXIFS(Vendas!$M$2:$M$3001,Vendas!$B$2:$B$3001,$A27,Vendas!$C$2:$C$3001,$B27,Vendas!$AK$2:$AK$3001,"Validado"))</f>
        <v/>
      </c>
      <c r="G27" s="17">
        <f t="array" ref="G27">IF(SUMPRODUCT((Vendas!$B$2:$B$3001=$A27)*(Vendas!$C$2:$C$3001=$B27)*(Vendas!$AK$2:$AK$3001="Validado")*ISNUMBER(Vendas!$S$2:$S$3001))=0,"-",MEDIAN(IF((Vendas!$B$2:$B$3001=$A27)*(Vendas!$C$2:$C$3001=$B27)*(Vendas!$AK$2:$AK$3001="Validado")*ISNUMBER(Vendas!$S$2:$S$3001),Vendas!$S$2:$S$3001)))</f>
        <v/>
      </c>
      <c r="H27" s="15">
        <f>COUNTIFS(Vendas!$B$2:$B$3001,$A27,Vendas!$C$2:$C$3001,$B27,Vendas!$AK$2:$AK$3001,"Validado",Vendas!$T$2:$T$3001,"Valor*")</f>
        <v/>
      </c>
      <c r="I27" s="18">
        <f>IF(C27=0,"-",_xlfn.MINIFS(Vendas!$Z$2:$Z$3001,Vendas!$B$2:$B$3001,$A27,Vendas!$C$2:$C$3001,$B27,Vendas!$AK$2:$AK$3001,"Validado"))</f>
        <v/>
      </c>
      <c r="J27" s="18">
        <f>IF(C27=0,"-",_xlfn.MAXIFS(Vendas!$Z$2:$Z$3001,Vendas!$B$2:$B$3001,$A27,Vendas!$C$2:$C$3001,$B27,Vendas!$AK$2:$AK$3001,"Validado"))</f>
        <v/>
      </c>
    </row>
    <row r="28">
      <c r="A28" s="15" t="inlineStr">
        <is>
          <t>São Sebastião</t>
        </is>
      </c>
      <c r="B28" s="15" t="inlineStr">
        <is>
          <t>Boiçucanga</t>
        </is>
      </c>
      <c r="C28" s="15">
        <f>COUNTIFS(Vendas!$B$2:$B$3001,$A28,Vendas!$C$2:$C$3001,$B28,Vendas!$AK$2:$AK$3001,"Validado")</f>
        <v/>
      </c>
      <c r="D28" s="17">
        <f t="array" ref="D28">IF(C28=0,"-",MEDIAN(IF((Vendas!$B$2:$B$3001=$A28)*(Vendas!$C$2:$C$3001=$B28)*(Vendas!$AK$2:$AK$3001="Validado")*ISNUMBER(Vendas!$M$2:$M$3001),Vendas!$M$2:$M$3001)))</f>
        <v/>
      </c>
      <c r="E28" s="17">
        <f>IF(C28=0,"-",_xlfn.MINIFS(Vendas!$M$2:$M$3001,Vendas!$B$2:$B$3001,$A28,Vendas!$C$2:$C$3001,$B28,Vendas!$AK$2:$AK$3001,"Validado"))</f>
        <v/>
      </c>
      <c r="F28" s="17">
        <f>IF(C28=0,"-",_xlfn.MAXIFS(Vendas!$M$2:$M$3001,Vendas!$B$2:$B$3001,$A28,Vendas!$C$2:$C$3001,$B28,Vendas!$AK$2:$AK$3001,"Validado"))</f>
        <v/>
      </c>
      <c r="G28" s="17">
        <f t="array" ref="G28">IF(SUMPRODUCT((Vendas!$B$2:$B$3001=$A28)*(Vendas!$C$2:$C$3001=$B28)*(Vendas!$AK$2:$AK$3001="Validado")*ISNUMBER(Vendas!$S$2:$S$3001))=0,"-",MEDIAN(IF((Vendas!$B$2:$B$3001=$A28)*(Vendas!$C$2:$C$3001=$B28)*(Vendas!$AK$2:$AK$3001="Validado")*ISNUMBER(Vendas!$S$2:$S$3001),Vendas!$S$2:$S$3001)))</f>
        <v/>
      </c>
      <c r="H28" s="15">
        <f>COUNTIFS(Vendas!$B$2:$B$3001,$A28,Vendas!$C$2:$C$3001,$B28,Vendas!$AK$2:$AK$3001,"Validado",Vendas!$T$2:$T$3001,"Valor*")</f>
        <v/>
      </c>
      <c r="I28" s="18">
        <f>IF(C28=0,"-",_xlfn.MINIFS(Vendas!$Z$2:$Z$3001,Vendas!$B$2:$B$3001,$A28,Vendas!$C$2:$C$3001,$B28,Vendas!$AK$2:$AK$3001,"Validado"))</f>
        <v/>
      </c>
      <c r="J28" s="18">
        <f>IF(C28=0,"-",_xlfn.MAXIFS(Vendas!$Z$2:$Z$3001,Vendas!$B$2:$B$3001,$A28,Vendas!$C$2:$C$3001,$B28,Vendas!$AK$2:$AK$3001,"Validado"))</f>
        <v/>
      </c>
    </row>
    <row r="29">
      <c r="A29" s="15" t="inlineStr">
        <is>
          <t>São Sebastião</t>
        </is>
      </c>
      <c r="B29" s="15" t="inlineStr">
        <is>
          <t>Camburi</t>
        </is>
      </c>
      <c r="C29" s="15">
        <f>COUNTIFS(Vendas!$B$2:$B$3001,$A29,Vendas!$C$2:$C$3001,$B29,Vendas!$AK$2:$AK$3001,"Validado")</f>
        <v/>
      </c>
      <c r="D29" s="17">
        <f t="array" ref="D29">IF(C29=0,"-",MEDIAN(IF((Vendas!$B$2:$B$3001=$A29)*(Vendas!$C$2:$C$3001=$B29)*(Vendas!$AK$2:$AK$3001="Validado")*ISNUMBER(Vendas!$M$2:$M$3001),Vendas!$M$2:$M$3001)))</f>
        <v/>
      </c>
      <c r="E29" s="17">
        <f>IF(C29=0,"-",_xlfn.MINIFS(Vendas!$M$2:$M$3001,Vendas!$B$2:$B$3001,$A29,Vendas!$C$2:$C$3001,$B29,Vendas!$AK$2:$AK$3001,"Validado"))</f>
        <v/>
      </c>
      <c r="F29" s="17">
        <f>IF(C29=0,"-",_xlfn.MAXIFS(Vendas!$M$2:$M$3001,Vendas!$B$2:$B$3001,$A29,Vendas!$C$2:$C$3001,$B29,Vendas!$AK$2:$AK$3001,"Validado"))</f>
        <v/>
      </c>
      <c r="G29" s="17">
        <f t="array" ref="G29">IF(SUMPRODUCT((Vendas!$B$2:$B$3001=$A29)*(Vendas!$C$2:$C$3001=$B29)*(Vendas!$AK$2:$AK$3001="Validado")*ISNUMBER(Vendas!$S$2:$S$3001))=0,"-",MEDIAN(IF((Vendas!$B$2:$B$3001=$A29)*(Vendas!$C$2:$C$3001=$B29)*(Vendas!$AK$2:$AK$3001="Validado")*ISNUMBER(Vendas!$S$2:$S$3001),Vendas!$S$2:$S$3001)))</f>
        <v/>
      </c>
      <c r="H29" s="15">
        <f>COUNTIFS(Vendas!$B$2:$B$3001,$A29,Vendas!$C$2:$C$3001,$B29,Vendas!$AK$2:$AK$3001,"Validado",Vendas!$T$2:$T$3001,"Valor*")</f>
        <v/>
      </c>
      <c r="I29" s="18">
        <f>IF(C29=0,"-",_xlfn.MINIFS(Vendas!$Z$2:$Z$3001,Vendas!$B$2:$B$3001,$A29,Vendas!$C$2:$C$3001,$B29,Vendas!$AK$2:$AK$3001,"Validado"))</f>
        <v/>
      </c>
      <c r="J29" s="18">
        <f>IF(C29=0,"-",_xlfn.MAXIFS(Vendas!$Z$2:$Z$3001,Vendas!$B$2:$B$3001,$A29,Vendas!$C$2:$C$3001,$B29,Vendas!$AK$2:$AK$3001,"Validado"))</f>
        <v/>
      </c>
    </row>
    <row r="30">
      <c r="A30" s="15" t="inlineStr">
        <is>
          <t>São Sebastião</t>
        </is>
      </c>
      <c r="B30" s="15" t="inlineStr">
        <is>
          <t>Baleia</t>
        </is>
      </c>
      <c r="C30" s="15">
        <f>COUNTIFS(Vendas!$B$2:$B$3001,$A30,Vendas!$C$2:$C$3001,$B30,Vendas!$AK$2:$AK$3001,"Validado")</f>
        <v/>
      </c>
      <c r="D30" s="17">
        <f t="array" ref="D30">IF(C30=0,"-",MEDIAN(IF((Vendas!$B$2:$B$3001=$A30)*(Vendas!$C$2:$C$3001=$B30)*(Vendas!$AK$2:$AK$3001="Validado")*ISNUMBER(Vendas!$M$2:$M$3001),Vendas!$M$2:$M$3001)))</f>
        <v/>
      </c>
      <c r="E30" s="17">
        <f>IF(C30=0,"-",_xlfn.MINIFS(Vendas!$M$2:$M$3001,Vendas!$B$2:$B$3001,$A30,Vendas!$C$2:$C$3001,$B30,Vendas!$AK$2:$AK$3001,"Validado"))</f>
        <v/>
      </c>
      <c r="F30" s="17">
        <f>IF(C30=0,"-",_xlfn.MAXIFS(Vendas!$M$2:$M$3001,Vendas!$B$2:$B$3001,$A30,Vendas!$C$2:$C$3001,$B30,Vendas!$AK$2:$AK$3001,"Validado"))</f>
        <v/>
      </c>
      <c r="G30" s="17">
        <f t="array" ref="G30">IF(SUMPRODUCT((Vendas!$B$2:$B$3001=$A30)*(Vendas!$C$2:$C$3001=$B30)*(Vendas!$AK$2:$AK$3001="Validado")*ISNUMBER(Vendas!$S$2:$S$3001))=0,"-",MEDIAN(IF((Vendas!$B$2:$B$3001=$A30)*(Vendas!$C$2:$C$3001=$B30)*(Vendas!$AK$2:$AK$3001="Validado")*ISNUMBER(Vendas!$S$2:$S$3001),Vendas!$S$2:$S$3001)))</f>
        <v/>
      </c>
      <c r="H30" s="15">
        <f>COUNTIFS(Vendas!$B$2:$B$3001,$A30,Vendas!$C$2:$C$3001,$B30,Vendas!$AK$2:$AK$3001,"Validado",Vendas!$T$2:$T$3001,"Valor*")</f>
        <v/>
      </c>
      <c r="I30" s="18">
        <f>IF(C30=0,"-",_xlfn.MINIFS(Vendas!$Z$2:$Z$3001,Vendas!$B$2:$B$3001,$A30,Vendas!$C$2:$C$3001,$B30,Vendas!$AK$2:$AK$3001,"Validado"))</f>
        <v/>
      </c>
      <c r="J30" s="18">
        <f>IF(C30=0,"-",_xlfn.MAXIFS(Vendas!$Z$2:$Z$3001,Vendas!$B$2:$B$3001,$A30,Vendas!$C$2:$C$3001,$B30,Vendas!$AK$2:$AK$3001,"Validado"))</f>
        <v/>
      </c>
    </row>
    <row r="31">
      <c r="A31" s="15" t="inlineStr">
        <is>
          <t>São Sebastião</t>
        </is>
      </c>
      <c r="B31" s="15" t="inlineStr">
        <is>
          <t>Barra do Sahy</t>
        </is>
      </c>
      <c r="C31" s="15">
        <f>COUNTIFS(Vendas!$B$2:$B$3001,$A31,Vendas!$C$2:$C$3001,$B31,Vendas!$AK$2:$AK$3001,"Validado")</f>
        <v/>
      </c>
      <c r="D31" s="17">
        <f t="array" ref="D31">IF(C31=0,"-",MEDIAN(IF((Vendas!$B$2:$B$3001=$A31)*(Vendas!$C$2:$C$3001=$B31)*(Vendas!$AK$2:$AK$3001="Validado")*ISNUMBER(Vendas!$M$2:$M$3001),Vendas!$M$2:$M$3001)))</f>
        <v/>
      </c>
      <c r="E31" s="17">
        <f>IF(C31=0,"-",_xlfn.MINIFS(Vendas!$M$2:$M$3001,Vendas!$B$2:$B$3001,$A31,Vendas!$C$2:$C$3001,$B31,Vendas!$AK$2:$AK$3001,"Validado"))</f>
        <v/>
      </c>
      <c r="F31" s="17">
        <f>IF(C31=0,"-",_xlfn.MAXIFS(Vendas!$M$2:$M$3001,Vendas!$B$2:$B$3001,$A31,Vendas!$C$2:$C$3001,$B31,Vendas!$AK$2:$AK$3001,"Validado"))</f>
        <v/>
      </c>
      <c r="G31" s="17">
        <f t="array" ref="G31">IF(SUMPRODUCT((Vendas!$B$2:$B$3001=$A31)*(Vendas!$C$2:$C$3001=$B31)*(Vendas!$AK$2:$AK$3001="Validado")*ISNUMBER(Vendas!$S$2:$S$3001))=0,"-",MEDIAN(IF((Vendas!$B$2:$B$3001=$A31)*(Vendas!$C$2:$C$3001=$B31)*(Vendas!$AK$2:$AK$3001="Validado")*ISNUMBER(Vendas!$S$2:$S$3001),Vendas!$S$2:$S$3001)))</f>
        <v/>
      </c>
      <c r="H31" s="15">
        <f>COUNTIFS(Vendas!$B$2:$B$3001,$A31,Vendas!$C$2:$C$3001,$B31,Vendas!$AK$2:$AK$3001,"Validado",Vendas!$T$2:$T$3001,"Valor*")</f>
        <v/>
      </c>
      <c r="I31" s="18">
        <f>IF(C31=0,"-",_xlfn.MINIFS(Vendas!$Z$2:$Z$3001,Vendas!$B$2:$B$3001,$A31,Vendas!$C$2:$C$3001,$B31,Vendas!$AK$2:$AK$3001,"Validado"))</f>
        <v/>
      </c>
      <c r="J31" s="18">
        <f>IF(C31=0,"-",_xlfn.MAXIFS(Vendas!$Z$2:$Z$3001,Vendas!$B$2:$B$3001,$A31,Vendas!$C$2:$C$3001,$B31,Vendas!$AK$2:$AK$3001,"Validado"))</f>
        <v/>
      </c>
    </row>
    <row r="32">
      <c r="A32" s="15" t="inlineStr">
        <is>
          <t>São Sebastião</t>
        </is>
      </c>
      <c r="B32" s="15" t="inlineStr">
        <is>
          <t>Juqueí</t>
        </is>
      </c>
      <c r="C32" s="15">
        <f>COUNTIFS(Vendas!$B$2:$B$3001,$A32,Vendas!$C$2:$C$3001,$B32,Vendas!$AK$2:$AK$3001,"Validado")</f>
        <v/>
      </c>
      <c r="D32" s="17">
        <f t="array" ref="D32">IF(C32=0,"-",MEDIAN(IF((Vendas!$B$2:$B$3001=$A32)*(Vendas!$C$2:$C$3001=$B32)*(Vendas!$AK$2:$AK$3001="Validado")*ISNUMBER(Vendas!$M$2:$M$3001),Vendas!$M$2:$M$3001)))</f>
        <v/>
      </c>
      <c r="E32" s="17">
        <f>IF(C32=0,"-",_xlfn.MINIFS(Vendas!$M$2:$M$3001,Vendas!$B$2:$B$3001,$A32,Vendas!$C$2:$C$3001,$B32,Vendas!$AK$2:$AK$3001,"Validado"))</f>
        <v/>
      </c>
      <c r="F32" s="17">
        <f>IF(C32=0,"-",_xlfn.MAXIFS(Vendas!$M$2:$M$3001,Vendas!$B$2:$B$3001,$A32,Vendas!$C$2:$C$3001,$B32,Vendas!$AK$2:$AK$3001,"Validado"))</f>
        <v/>
      </c>
      <c r="G32" s="17">
        <f t="array" ref="G32">IF(SUMPRODUCT((Vendas!$B$2:$B$3001=$A32)*(Vendas!$C$2:$C$3001=$B32)*(Vendas!$AK$2:$AK$3001="Validado")*ISNUMBER(Vendas!$S$2:$S$3001))=0,"-",MEDIAN(IF((Vendas!$B$2:$B$3001=$A32)*(Vendas!$C$2:$C$3001=$B32)*(Vendas!$AK$2:$AK$3001="Validado")*ISNUMBER(Vendas!$S$2:$S$3001),Vendas!$S$2:$S$3001)))</f>
        <v/>
      </c>
      <c r="H32" s="15">
        <f>COUNTIFS(Vendas!$B$2:$B$3001,$A32,Vendas!$C$2:$C$3001,$B32,Vendas!$AK$2:$AK$3001,"Validado",Vendas!$T$2:$T$3001,"Valor*")</f>
        <v/>
      </c>
      <c r="I32" s="18">
        <f>IF(C32=0,"-",_xlfn.MINIFS(Vendas!$Z$2:$Z$3001,Vendas!$B$2:$B$3001,$A32,Vendas!$C$2:$C$3001,$B32,Vendas!$AK$2:$AK$3001,"Validado"))</f>
        <v/>
      </c>
      <c r="J32" s="18">
        <f>IF(C32=0,"-",_xlfn.MAXIFS(Vendas!$Z$2:$Z$3001,Vendas!$B$2:$B$3001,$A32,Vendas!$C$2:$C$3001,$B32,Vendas!$AK$2:$AK$3001,"Validado"))</f>
        <v/>
      </c>
    </row>
    <row r="33">
      <c r="A33" s="15" t="inlineStr">
        <is>
          <t>São Sebastião</t>
        </is>
      </c>
      <c r="B33" s="15" t="inlineStr">
        <is>
          <t>Barra do Una</t>
        </is>
      </c>
      <c r="C33" s="15">
        <f>COUNTIFS(Vendas!$B$2:$B$3001,$A33,Vendas!$C$2:$C$3001,$B33,Vendas!$AK$2:$AK$3001,"Validado")</f>
        <v/>
      </c>
      <c r="D33" s="17">
        <f t="array" ref="D33">IF(C33=0,"-",MEDIAN(IF((Vendas!$B$2:$B$3001=$A33)*(Vendas!$C$2:$C$3001=$B33)*(Vendas!$AK$2:$AK$3001="Validado")*ISNUMBER(Vendas!$M$2:$M$3001),Vendas!$M$2:$M$3001)))</f>
        <v/>
      </c>
      <c r="E33" s="17">
        <f>IF(C33=0,"-",_xlfn.MINIFS(Vendas!$M$2:$M$3001,Vendas!$B$2:$B$3001,$A33,Vendas!$C$2:$C$3001,$B33,Vendas!$AK$2:$AK$3001,"Validado"))</f>
        <v/>
      </c>
      <c r="F33" s="17">
        <f>IF(C33=0,"-",_xlfn.MAXIFS(Vendas!$M$2:$M$3001,Vendas!$B$2:$B$3001,$A33,Vendas!$C$2:$C$3001,$B33,Vendas!$AK$2:$AK$3001,"Validado"))</f>
        <v/>
      </c>
      <c r="G33" s="17">
        <f t="array" ref="G33">IF(SUMPRODUCT((Vendas!$B$2:$B$3001=$A33)*(Vendas!$C$2:$C$3001=$B33)*(Vendas!$AK$2:$AK$3001="Validado")*ISNUMBER(Vendas!$S$2:$S$3001))=0,"-",MEDIAN(IF((Vendas!$B$2:$B$3001=$A33)*(Vendas!$C$2:$C$3001=$B33)*(Vendas!$AK$2:$AK$3001="Validado")*ISNUMBER(Vendas!$S$2:$S$3001),Vendas!$S$2:$S$3001)))</f>
        <v/>
      </c>
      <c r="H33" s="15">
        <f>COUNTIFS(Vendas!$B$2:$B$3001,$A33,Vendas!$C$2:$C$3001,$B33,Vendas!$AK$2:$AK$3001,"Validado",Vendas!$T$2:$T$3001,"Valor*")</f>
        <v/>
      </c>
      <c r="I33" s="18">
        <f>IF(C33=0,"-",_xlfn.MINIFS(Vendas!$Z$2:$Z$3001,Vendas!$B$2:$B$3001,$A33,Vendas!$C$2:$C$3001,$B33,Vendas!$AK$2:$AK$3001,"Validado"))</f>
        <v/>
      </c>
      <c r="J33" s="18">
        <f>IF(C33=0,"-",_xlfn.MAXIFS(Vendas!$Z$2:$Z$3001,Vendas!$B$2:$B$3001,$A33,Vendas!$C$2:$C$3001,$B33,Vendas!$AK$2:$AK$3001,"Validado"))</f>
        <v/>
      </c>
    </row>
    <row r="34">
      <c r="A34" s="15" t="inlineStr">
        <is>
          <t>São Sebastião</t>
        </is>
      </c>
      <c r="B34" s="15" t="inlineStr">
        <is>
          <t>Boracéia</t>
        </is>
      </c>
      <c r="C34" s="15">
        <f>COUNTIFS(Vendas!$B$2:$B$3001,$A34,Vendas!$C$2:$C$3001,$B34,Vendas!$AK$2:$AK$3001,"Validado")</f>
        <v/>
      </c>
      <c r="D34" s="17">
        <f t="array" ref="D34">IF(C34=0,"-",MEDIAN(IF((Vendas!$B$2:$B$3001=$A34)*(Vendas!$C$2:$C$3001=$B34)*(Vendas!$AK$2:$AK$3001="Validado")*ISNUMBER(Vendas!$M$2:$M$3001),Vendas!$M$2:$M$3001)))</f>
        <v/>
      </c>
      <c r="E34" s="17">
        <f>IF(C34=0,"-",_xlfn.MINIFS(Vendas!$M$2:$M$3001,Vendas!$B$2:$B$3001,$A34,Vendas!$C$2:$C$3001,$B34,Vendas!$AK$2:$AK$3001,"Validado"))</f>
        <v/>
      </c>
      <c r="F34" s="17">
        <f>IF(C34=0,"-",_xlfn.MAXIFS(Vendas!$M$2:$M$3001,Vendas!$B$2:$B$3001,$A34,Vendas!$C$2:$C$3001,$B34,Vendas!$AK$2:$AK$3001,"Validado"))</f>
        <v/>
      </c>
      <c r="G34" s="17">
        <f t="array" ref="G34">IF(SUMPRODUCT((Vendas!$B$2:$B$3001=$A34)*(Vendas!$C$2:$C$3001=$B34)*(Vendas!$AK$2:$AK$3001="Validado")*ISNUMBER(Vendas!$S$2:$S$3001))=0,"-",MEDIAN(IF((Vendas!$B$2:$B$3001=$A34)*(Vendas!$C$2:$C$3001=$B34)*(Vendas!$AK$2:$AK$3001="Validado")*ISNUMBER(Vendas!$S$2:$S$3001),Vendas!$S$2:$S$3001)))</f>
        <v/>
      </c>
      <c r="H34" s="15">
        <f>COUNTIFS(Vendas!$B$2:$B$3001,$A34,Vendas!$C$2:$C$3001,$B34,Vendas!$AK$2:$AK$3001,"Validado",Vendas!$T$2:$T$3001,"Valor*")</f>
        <v/>
      </c>
      <c r="I34" s="18">
        <f>IF(C34=0,"-",_xlfn.MINIFS(Vendas!$Z$2:$Z$3001,Vendas!$B$2:$B$3001,$A34,Vendas!$C$2:$C$3001,$B34,Vendas!$AK$2:$AK$3001,"Validado"))</f>
        <v/>
      </c>
      <c r="J34" s="18">
        <f>IF(C34=0,"-",_xlfn.MAXIFS(Vendas!$Z$2:$Z$3001,Vendas!$B$2:$B$3001,$A34,Vendas!$C$2:$C$3001,$B34,Vendas!$AK$2:$AK$3001,"Validado"))</f>
        <v/>
      </c>
    </row>
    <row r="35">
      <c r="A35" s="15" t="inlineStr">
        <is>
          <t>São Sebastião</t>
        </is>
      </c>
      <c r="B35" s="15" t="inlineStr">
        <is>
          <t>Canto do Mar</t>
        </is>
      </c>
      <c r="C35" s="15">
        <f>COUNTIFS(Vendas!$B$2:$B$3001,$A35,Vendas!$C$2:$C$3001,$B35,Vendas!$AK$2:$AK$3001,"Validado")</f>
        <v/>
      </c>
      <c r="D35" s="17">
        <f t="array" ref="D35">IF(C35=0,"-",MEDIAN(IF((Vendas!$B$2:$B$3001=$A35)*(Vendas!$C$2:$C$3001=$B35)*(Vendas!$AK$2:$AK$3001="Validado")*ISNUMBER(Vendas!$M$2:$M$3001),Vendas!$M$2:$M$3001)))</f>
        <v/>
      </c>
      <c r="E35" s="17">
        <f>IF(C35=0,"-",_xlfn.MINIFS(Vendas!$M$2:$M$3001,Vendas!$B$2:$B$3001,$A35,Vendas!$C$2:$C$3001,$B35,Vendas!$AK$2:$AK$3001,"Validado"))</f>
        <v/>
      </c>
      <c r="F35" s="17">
        <f>IF(C35=0,"-",_xlfn.MAXIFS(Vendas!$M$2:$M$3001,Vendas!$B$2:$B$3001,$A35,Vendas!$C$2:$C$3001,$B35,Vendas!$AK$2:$AK$3001,"Validado"))</f>
        <v/>
      </c>
      <c r="G35" s="17">
        <f t="array" ref="G35">IF(SUMPRODUCT((Vendas!$B$2:$B$3001=$A35)*(Vendas!$C$2:$C$3001=$B35)*(Vendas!$AK$2:$AK$3001="Validado")*ISNUMBER(Vendas!$S$2:$S$3001))=0,"-",MEDIAN(IF((Vendas!$B$2:$B$3001=$A35)*(Vendas!$C$2:$C$3001=$B35)*(Vendas!$AK$2:$AK$3001="Validado")*ISNUMBER(Vendas!$S$2:$S$3001),Vendas!$S$2:$S$3001)))</f>
        <v/>
      </c>
      <c r="H35" s="15">
        <f>COUNTIFS(Vendas!$B$2:$B$3001,$A35,Vendas!$C$2:$C$3001,$B35,Vendas!$AK$2:$AK$3001,"Validado",Vendas!$T$2:$T$3001,"Valor*")</f>
        <v/>
      </c>
      <c r="I35" s="18">
        <f>IF(C35=0,"-",_xlfn.MINIFS(Vendas!$Z$2:$Z$3001,Vendas!$B$2:$B$3001,$A35,Vendas!$C$2:$C$3001,$B35,Vendas!$AK$2:$AK$3001,"Validado"))</f>
        <v/>
      </c>
      <c r="J35" s="18">
        <f>IF(C35=0,"-",_xlfn.MAXIFS(Vendas!$Z$2:$Z$3001,Vendas!$B$2:$B$3001,$A35,Vendas!$C$2:$C$3001,$B35,Vendas!$AK$2:$AK$3001,"Validado"))</f>
        <v/>
      </c>
    </row>
    <row r="36">
      <c r="A36" s="15" t="inlineStr">
        <is>
          <t>São Sebastião</t>
        </is>
      </c>
      <c r="B36" s="15" t="inlineStr">
        <is>
          <t>Vila Amélia</t>
        </is>
      </c>
      <c r="C36" s="15">
        <f>COUNTIFS(Vendas!$B$2:$B$3001,$A36,Vendas!$C$2:$C$3001,$B36,Vendas!$AK$2:$AK$3001,"Validado")</f>
        <v/>
      </c>
      <c r="D36" s="17">
        <f t="array" ref="D36">IF(C36=0,"-",MEDIAN(IF((Vendas!$B$2:$B$3001=$A36)*(Vendas!$C$2:$C$3001=$B36)*(Vendas!$AK$2:$AK$3001="Validado")*ISNUMBER(Vendas!$M$2:$M$3001),Vendas!$M$2:$M$3001)))</f>
        <v/>
      </c>
      <c r="E36" s="17">
        <f>IF(C36=0,"-",_xlfn.MINIFS(Vendas!$M$2:$M$3001,Vendas!$B$2:$B$3001,$A36,Vendas!$C$2:$C$3001,$B36,Vendas!$AK$2:$AK$3001,"Validado"))</f>
        <v/>
      </c>
      <c r="F36" s="17">
        <f>IF(C36=0,"-",_xlfn.MAXIFS(Vendas!$M$2:$M$3001,Vendas!$B$2:$B$3001,$A36,Vendas!$C$2:$C$3001,$B36,Vendas!$AK$2:$AK$3001,"Validado"))</f>
        <v/>
      </c>
      <c r="G36" s="17">
        <f t="array" ref="G36">IF(SUMPRODUCT((Vendas!$B$2:$B$3001=$A36)*(Vendas!$C$2:$C$3001=$B36)*(Vendas!$AK$2:$AK$3001="Validado")*ISNUMBER(Vendas!$S$2:$S$3001))=0,"-",MEDIAN(IF((Vendas!$B$2:$B$3001=$A36)*(Vendas!$C$2:$C$3001=$B36)*(Vendas!$AK$2:$AK$3001="Validado")*ISNUMBER(Vendas!$S$2:$S$3001),Vendas!$S$2:$S$3001)))</f>
        <v/>
      </c>
      <c r="H36" s="15">
        <f>COUNTIFS(Vendas!$B$2:$B$3001,$A36,Vendas!$C$2:$C$3001,$B36,Vendas!$AK$2:$AK$3001,"Validado",Vendas!$T$2:$T$3001,"Valor*")</f>
        <v/>
      </c>
      <c r="I36" s="18">
        <f>IF(C36=0,"-",_xlfn.MINIFS(Vendas!$Z$2:$Z$3001,Vendas!$B$2:$B$3001,$A36,Vendas!$C$2:$C$3001,$B36,Vendas!$AK$2:$AK$3001,"Validado"))</f>
        <v/>
      </c>
      <c r="J36" s="18">
        <f>IF(C36=0,"-",_xlfn.MAXIFS(Vendas!$Z$2:$Z$3001,Vendas!$B$2:$B$3001,$A36,Vendas!$C$2:$C$3001,$B36,Vendas!$AK$2:$AK$3001,"Validado"))</f>
        <v/>
      </c>
    </row>
    <row r="37">
      <c r="A37" s="15" t="inlineStr">
        <is>
          <t>São Sebastião</t>
        </is>
      </c>
      <c r="B37" s="15" t="inlineStr">
        <is>
          <t>Reserve Du Moulin</t>
        </is>
      </c>
      <c r="C37" s="15">
        <f>COUNTIFS(Vendas!$B$2:$B$3001,$A37,Vendas!$C$2:$C$3001,$B37,Vendas!$AK$2:$AK$3001,"Validado")</f>
        <v/>
      </c>
      <c r="D37" s="17">
        <f t="array" ref="D37">IF(C37=0,"-",MEDIAN(IF((Vendas!$B$2:$B$3001=$A37)*(Vendas!$C$2:$C$3001=$B37)*(Vendas!$AK$2:$AK$3001="Validado")*ISNUMBER(Vendas!$M$2:$M$3001),Vendas!$M$2:$M$3001)))</f>
        <v/>
      </c>
      <c r="E37" s="17">
        <f>IF(C37=0,"-",_xlfn.MINIFS(Vendas!$M$2:$M$3001,Vendas!$B$2:$B$3001,$A37,Vendas!$C$2:$C$3001,$B37,Vendas!$AK$2:$AK$3001,"Validado"))</f>
        <v/>
      </c>
      <c r="F37" s="17">
        <f>IF(C37=0,"-",_xlfn.MAXIFS(Vendas!$M$2:$M$3001,Vendas!$B$2:$B$3001,$A37,Vendas!$C$2:$C$3001,$B37,Vendas!$AK$2:$AK$3001,"Validado"))</f>
        <v/>
      </c>
      <c r="G37" s="17">
        <f t="array" ref="G37">IF(SUMPRODUCT((Vendas!$B$2:$B$3001=$A37)*(Vendas!$C$2:$C$3001=$B37)*(Vendas!$AK$2:$AK$3001="Validado")*ISNUMBER(Vendas!$S$2:$S$3001))=0,"-",MEDIAN(IF((Vendas!$B$2:$B$3001=$A37)*(Vendas!$C$2:$C$3001=$B37)*(Vendas!$AK$2:$AK$3001="Validado")*ISNUMBER(Vendas!$S$2:$S$3001),Vendas!$S$2:$S$3001)))</f>
        <v/>
      </c>
      <c r="H37" s="15">
        <f>COUNTIFS(Vendas!$B$2:$B$3001,$A37,Vendas!$C$2:$C$3001,$B37,Vendas!$AK$2:$AK$3001,"Validado",Vendas!$T$2:$T$3001,"Valor*")</f>
        <v/>
      </c>
      <c r="I37" s="18">
        <f>IF(C37=0,"-",_xlfn.MINIFS(Vendas!$Z$2:$Z$3001,Vendas!$B$2:$B$3001,$A37,Vendas!$C$2:$C$3001,$B37,Vendas!$AK$2:$AK$3001,"Validado"))</f>
        <v/>
      </c>
      <c r="J37" s="18">
        <f>IF(C37=0,"-",_xlfn.MAXIFS(Vendas!$Z$2:$Z$3001,Vendas!$B$2:$B$3001,$A37,Vendas!$C$2:$C$3001,$B37,Vendas!$AK$2:$AK$3001,"Validado"))</f>
        <v/>
      </c>
    </row>
    <row r="38">
      <c r="A38" s="15" t="inlineStr">
        <is>
          <t>São Sebastião</t>
        </is>
      </c>
      <c r="B38" s="15" t="inlineStr">
        <is>
          <t>Industrial</t>
        </is>
      </c>
      <c r="C38" s="15">
        <f>COUNTIFS(Vendas!$B$2:$B$3001,$A38,Vendas!$C$2:$C$3001,$B38,Vendas!$AK$2:$AK$3001,"Validado")</f>
        <v/>
      </c>
      <c r="D38" s="17">
        <f t="array" ref="D38">IF(C38=0,"-",MEDIAN(IF((Vendas!$B$2:$B$3001=$A38)*(Vendas!$C$2:$C$3001=$B38)*(Vendas!$AK$2:$AK$3001="Validado")*ISNUMBER(Vendas!$M$2:$M$3001),Vendas!$M$2:$M$3001)))</f>
        <v/>
      </c>
      <c r="E38" s="17">
        <f>IF(C38=0,"-",_xlfn.MINIFS(Vendas!$M$2:$M$3001,Vendas!$B$2:$B$3001,$A38,Vendas!$C$2:$C$3001,$B38,Vendas!$AK$2:$AK$3001,"Validado"))</f>
        <v/>
      </c>
      <c r="F38" s="17">
        <f>IF(C38=0,"-",_xlfn.MAXIFS(Vendas!$M$2:$M$3001,Vendas!$B$2:$B$3001,$A38,Vendas!$C$2:$C$3001,$B38,Vendas!$AK$2:$AK$3001,"Validado"))</f>
        <v/>
      </c>
      <c r="G38" s="17">
        <f t="array" ref="G38">IF(SUMPRODUCT((Vendas!$B$2:$B$3001=$A38)*(Vendas!$C$2:$C$3001=$B38)*(Vendas!$AK$2:$AK$3001="Validado")*ISNUMBER(Vendas!$S$2:$S$3001))=0,"-",MEDIAN(IF((Vendas!$B$2:$B$3001=$A38)*(Vendas!$C$2:$C$3001=$B38)*(Vendas!$AK$2:$AK$3001="Validado")*ISNUMBER(Vendas!$S$2:$S$3001),Vendas!$S$2:$S$3001)))</f>
        <v/>
      </c>
      <c r="H38" s="15">
        <f>COUNTIFS(Vendas!$B$2:$B$3001,$A38,Vendas!$C$2:$C$3001,$B38,Vendas!$AK$2:$AK$3001,"Validado",Vendas!$T$2:$T$3001,"Valor*")</f>
        <v/>
      </c>
      <c r="I38" s="18">
        <f>IF(C38=0,"-",_xlfn.MINIFS(Vendas!$Z$2:$Z$3001,Vendas!$B$2:$B$3001,$A38,Vendas!$C$2:$C$3001,$B38,Vendas!$AK$2:$AK$3001,"Validado"))</f>
        <v/>
      </c>
      <c r="J38" s="18">
        <f>IF(C38=0,"-",_xlfn.MAXIFS(Vendas!$Z$2:$Z$3001,Vendas!$B$2:$B$3001,$A38,Vendas!$C$2:$C$3001,$B38,Vendas!$AK$2:$AK$3001,"Validado"))</f>
        <v/>
      </c>
    </row>
    <row r="39">
      <c r="A39" s="15" t="inlineStr">
        <is>
          <t>São Sebastião</t>
        </is>
      </c>
      <c r="B39" s="15" t="inlineStr">
        <is>
          <t>Jureia</t>
        </is>
      </c>
      <c r="C39" s="15">
        <f>COUNTIFS(Vendas!$B$2:$B$3001,$A39,Vendas!$C$2:$C$3001,$B39,Vendas!$AK$2:$AK$3001,"Validado")</f>
        <v/>
      </c>
      <c r="D39" s="17">
        <f t="array" ref="D39">IF(C39=0,"-",MEDIAN(IF((Vendas!$B$2:$B$3001=$A39)*(Vendas!$C$2:$C$3001=$B39)*(Vendas!$AK$2:$AK$3001="Validado")*ISNUMBER(Vendas!$M$2:$M$3001),Vendas!$M$2:$M$3001)))</f>
        <v/>
      </c>
      <c r="E39" s="17">
        <f>IF(C39=0,"-",_xlfn.MINIFS(Vendas!$M$2:$M$3001,Vendas!$B$2:$B$3001,$A39,Vendas!$C$2:$C$3001,$B39,Vendas!$AK$2:$AK$3001,"Validado"))</f>
        <v/>
      </c>
      <c r="F39" s="17">
        <f>IF(C39=0,"-",_xlfn.MAXIFS(Vendas!$M$2:$M$3001,Vendas!$B$2:$B$3001,$A39,Vendas!$C$2:$C$3001,$B39,Vendas!$AK$2:$AK$3001,"Validado"))</f>
        <v/>
      </c>
      <c r="G39" s="17">
        <f t="array" ref="G39">IF(SUMPRODUCT((Vendas!$B$2:$B$3001=$A39)*(Vendas!$C$2:$C$3001=$B39)*(Vendas!$AK$2:$AK$3001="Validado")*ISNUMBER(Vendas!$S$2:$S$3001))=0,"-",MEDIAN(IF((Vendas!$B$2:$B$3001=$A39)*(Vendas!$C$2:$C$3001=$B39)*(Vendas!$AK$2:$AK$3001="Validado")*ISNUMBER(Vendas!$S$2:$S$3001),Vendas!$S$2:$S$3001)))</f>
        <v/>
      </c>
      <c r="H39" s="15">
        <f>COUNTIFS(Vendas!$B$2:$B$3001,$A39,Vendas!$C$2:$C$3001,$B39,Vendas!$AK$2:$AK$3001,"Validado",Vendas!$T$2:$T$3001,"Valor*")</f>
        <v/>
      </c>
      <c r="I39" s="18">
        <f>IF(C39=0,"-",_xlfn.MINIFS(Vendas!$Z$2:$Z$3001,Vendas!$B$2:$B$3001,$A39,Vendas!$C$2:$C$3001,$B39,Vendas!$AK$2:$AK$3001,"Validado"))</f>
        <v/>
      </c>
      <c r="J39" s="18">
        <f>IF(C39=0,"-",_xlfn.MAXIFS(Vendas!$Z$2:$Z$3001,Vendas!$B$2:$B$3001,$A39,Vendas!$C$2:$C$3001,$B39,Vendas!$AK$2:$AK$3001,"Validado"))</f>
        <v/>
      </c>
    </row>
    <row r="40">
      <c r="A40" s="15" t="inlineStr">
        <is>
          <t>São Sebastião</t>
        </is>
      </c>
      <c r="B40" s="15" t="inlineStr">
        <is>
          <t>Engenho</t>
        </is>
      </c>
      <c r="C40" s="15">
        <f>COUNTIFS(Vendas!$B$2:$B$3001,$A40,Vendas!$C$2:$C$3001,$B40,Vendas!$AK$2:$AK$3001,"Validado")</f>
        <v/>
      </c>
      <c r="D40" s="17">
        <f t="array" ref="D40">IF(C40=0,"-",MEDIAN(IF((Vendas!$B$2:$B$3001=$A40)*(Vendas!$C$2:$C$3001=$B40)*(Vendas!$AK$2:$AK$3001="Validado")*ISNUMBER(Vendas!$M$2:$M$3001),Vendas!$M$2:$M$3001)))</f>
        <v/>
      </c>
      <c r="E40" s="17">
        <f>IF(C40=0,"-",_xlfn.MINIFS(Vendas!$M$2:$M$3001,Vendas!$B$2:$B$3001,$A40,Vendas!$C$2:$C$3001,$B40,Vendas!$AK$2:$AK$3001,"Validado"))</f>
        <v/>
      </c>
      <c r="F40" s="17">
        <f>IF(C40=0,"-",_xlfn.MAXIFS(Vendas!$M$2:$M$3001,Vendas!$B$2:$B$3001,$A40,Vendas!$C$2:$C$3001,$B40,Vendas!$AK$2:$AK$3001,"Validado"))</f>
        <v/>
      </c>
      <c r="G40" s="17">
        <f t="array" ref="G40">IF(SUMPRODUCT((Vendas!$B$2:$B$3001=$A40)*(Vendas!$C$2:$C$3001=$B40)*(Vendas!$AK$2:$AK$3001="Validado")*ISNUMBER(Vendas!$S$2:$S$3001))=0,"-",MEDIAN(IF((Vendas!$B$2:$B$3001=$A40)*(Vendas!$C$2:$C$3001=$B40)*(Vendas!$AK$2:$AK$3001="Validado")*ISNUMBER(Vendas!$S$2:$S$3001),Vendas!$S$2:$S$3001)))</f>
        <v/>
      </c>
      <c r="H40" s="15">
        <f>COUNTIFS(Vendas!$B$2:$B$3001,$A40,Vendas!$C$2:$C$3001,$B40,Vendas!$AK$2:$AK$3001,"Validado",Vendas!$T$2:$T$3001,"Valor*")</f>
        <v/>
      </c>
      <c r="I40" s="18">
        <f>IF(C40=0,"-",_xlfn.MINIFS(Vendas!$Z$2:$Z$3001,Vendas!$B$2:$B$3001,$A40,Vendas!$C$2:$C$3001,$B40,Vendas!$AK$2:$AK$3001,"Validado"))</f>
        <v/>
      </c>
      <c r="J40" s="18">
        <f>IF(C40=0,"-",_xlfn.MAXIFS(Vendas!$Z$2:$Z$3001,Vendas!$B$2:$B$3001,$A40,Vendas!$C$2:$C$3001,$B40,Vendas!$AK$2:$AK$3001,"Validado"))</f>
        <v/>
      </c>
    </row>
    <row r="41">
      <c r="A41" s="19" t="inlineStr">
        <is>
          <t>São Sebastião</t>
        </is>
      </c>
      <c r="B41" s="19" t="inlineStr">
        <is>
          <t>TOTAL DA CIDADE</t>
        </is>
      </c>
      <c r="C41" s="19">
        <f>COUNTIFS(Vendas!$B$2:$B$3001,$A41,Vendas!$AK$2:$AK$3001,"Validado")</f>
        <v/>
      </c>
      <c r="D41" s="20">
        <f t="array" ref="D41">IF(C41=0,"-",MEDIAN(IF((Vendas!$B$2:$B$3001=$A41)*(Vendas!$AK$2:$AK$3001="Validado")*ISNUMBER(Vendas!$M$2:$M$3001),Vendas!$M$2:$M$3001)))</f>
        <v/>
      </c>
      <c r="E41" s="20">
        <f>IF(C41=0,"-",_xlfn.MINIFS(Vendas!$M$2:$M$3001,Vendas!$B$2:$B$3001,$A41,Vendas!$AK$2:$AK$3001,"Validado"))</f>
        <v/>
      </c>
      <c r="F41" s="20">
        <f>IF(C41=0,"-",_xlfn.MAXIFS(Vendas!$M$2:$M$3001,Vendas!$B$2:$B$3001,$A41,Vendas!$AK$2:$AK$3001,"Validado"))</f>
        <v/>
      </c>
      <c r="G41" s="20">
        <f t="array" ref="G41">IF(SUMPRODUCT((Vendas!$B$2:$B$3001=$A41)*(Vendas!$AK$2:$AK$3001="Validado")*ISNUMBER(Vendas!$S$2:$S$3001))=0,"-",MEDIAN(IF((Vendas!$B$2:$B$3001=$A41)*(Vendas!$AK$2:$AK$3001="Validado")*ISNUMBER(Vendas!$S$2:$S$3001),Vendas!$S$2:$S$3001)))</f>
        <v/>
      </c>
      <c r="H41" s="19">
        <f>COUNTIFS(Vendas!$B$2:$B$3001,$A41,Vendas!$AK$2:$AK$3001,"Validado",Vendas!$T$2:$T$3001,"Valor*")</f>
        <v/>
      </c>
      <c r="I41" s="21">
        <f>IF(C41=0,"-",_xlfn.MINIFS(Vendas!$Z$2:$Z$3001,Vendas!$B$2:$B$3001,$A41,Vendas!$AK$2:$AK$3001,"Validado"))</f>
        <v/>
      </c>
      <c r="J41" s="21">
        <f>IF(C41=0,"-",_xlfn.MAXIFS(Vendas!$Z$2:$Z$3001,Vendas!$B$2:$B$3001,$A41,Vendas!$AK$2:$AK$3001,"Validado"))</f>
        <v/>
      </c>
    </row>
    <row r="42">
      <c r="A42" s="15" t="n"/>
      <c r="B42" s="15" t="n"/>
      <c r="C42" s="15" t="n"/>
      <c r="D42" s="17" t="n"/>
      <c r="E42" s="17" t="n"/>
      <c r="F42" s="17" t="n"/>
      <c r="G42" s="17" t="n"/>
      <c r="H42" s="15" t="n"/>
      <c r="I42" s="18" t="n"/>
      <c r="J42" s="18" t="n"/>
    </row>
    <row r="43">
      <c r="A43" s="15" t="inlineStr">
        <is>
          <t>Bertioga</t>
        </is>
      </c>
      <c r="B43" s="15" t="inlineStr">
        <is>
          <t>Caiubura</t>
        </is>
      </c>
      <c r="C43" s="15">
        <f>COUNTIFS(Vendas!$B$2:$B$3001,$A43,Vendas!$C$2:$C$3001,$B43,Vendas!$AK$2:$AK$3001,"Validado")</f>
        <v/>
      </c>
      <c r="D43" s="17">
        <f t="array" ref="D43">IF(C43=0,"-",MEDIAN(IF((Vendas!$B$2:$B$3001=$A43)*(Vendas!$C$2:$C$3001=$B43)*(Vendas!$AK$2:$AK$3001="Validado")*ISNUMBER(Vendas!$M$2:$M$3001),Vendas!$M$2:$M$3001)))</f>
        <v/>
      </c>
      <c r="E43" s="17">
        <f>IF(C43=0,"-",_xlfn.MINIFS(Vendas!$M$2:$M$3001,Vendas!$B$2:$B$3001,$A43,Vendas!$C$2:$C$3001,$B43,Vendas!$AK$2:$AK$3001,"Validado"))</f>
        <v/>
      </c>
      <c r="F43" s="17">
        <f>IF(C43=0,"-",_xlfn.MAXIFS(Vendas!$M$2:$M$3001,Vendas!$B$2:$B$3001,$A43,Vendas!$C$2:$C$3001,$B43,Vendas!$AK$2:$AK$3001,"Validado"))</f>
        <v/>
      </c>
      <c r="G43" s="17">
        <f t="array" ref="G43">IF(SUMPRODUCT((Vendas!$B$2:$B$3001=$A43)*(Vendas!$C$2:$C$3001=$B43)*(Vendas!$AK$2:$AK$3001="Validado")*ISNUMBER(Vendas!$S$2:$S$3001))=0,"-",MEDIAN(IF((Vendas!$B$2:$B$3001=$A43)*(Vendas!$C$2:$C$3001=$B43)*(Vendas!$AK$2:$AK$3001="Validado")*ISNUMBER(Vendas!$S$2:$S$3001),Vendas!$S$2:$S$3001)))</f>
        <v/>
      </c>
      <c r="H43" s="15">
        <f>COUNTIFS(Vendas!$B$2:$B$3001,$A43,Vendas!$C$2:$C$3001,$B43,Vendas!$AK$2:$AK$3001,"Validado",Vendas!$T$2:$T$3001,"Valor*")</f>
        <v/>
      </c>
      <c r="I43" s="18">
        <f>IF(C43=0,"-",_xlfn.MINIFS(Vendas!$Z$2:$Z$3001,Vendas!$B$2:$B$3001,$A43,Vendas!$C$2:$C$3001,$B43,Vendas!$AK$2:$AK$3001,"Validado"))</f>
        <v/>
      </c>
      <c r="J43" s="18">
        <f>IF(C43=0,"-",_xlfn.MAXIFS(Vendas!$Z$2:$Z$3001,Vendas!$B$2:$B$3001,$A43,Vendas!$C$2:$C$3001,$B43,Vendas!$AK$2:$AK$3001,"Validado"))</f>
        <v/>
      </c>
    </row>
    <row r="44">
      <c r="A44" s="15" t="inlineStr">
        <is>
          <t>Bertioga</t>
        </is>
      </c>
      <c r="B44" s="15" t="inlineStr">
        <is>
          <t>São João</t>
        </is>
      </c>
      <c r="C44" s="15">
        <f>COUNTIFS(Vendas!$B$2:$B$3001,$A44,Vendas!$C$2:$C$3001,$B44,Vendas!$AK$2:$AK$3001,"Validado")</f>
        <v/>
      </c>
      <c r="D44" s="17">
        <f t="array" ref="D44">IF(C44=0,"-",MEDIAN(IF((Vendas!$B$2:$B$3001=$A44)*(Vendas!$C$2:$C$3001=$B44)*(Vendas!$AK$2:$AK$3001="Validado")*ISNUMBER(Vendas!$M$2:$M$3001),Vendas!$M$2:$M$3001)))</f>
        <v/>
      </c>
      <c r="E44" s="17">
        <f>IF(C44=0,"-",_xlfn.MINIFS(Vendas!$M$2:$M$3001,Vendas!$B$2:$B$3001,$A44,Vendas!$C$2:$C$3001,$B44,Vendas!$AK$2:$AK$3001,"Validado"))</f>
        <v/>
      </c>
      <c r="F44" s="17">
        <f>IF(C44=0,"-",_xlfn.MAXIFS(Vendas!$M$2:$M$3001,Vendas!$B$2:$B$3001,$A44,Vendas!$C$2:$C$3001,$B44,Vendas!$AK$2:$AK$3001,"Validado"))</f>
        <v/>
      </c>
      <c r="G44" s="17">
        <f t="array" ref="G44">IF(SUMPRODUCT((Vendas!$B$2:$B$3001=$A44)*(Vendas!$C$2:$C$3001=$B44)*(Vendas!$AK$2:$AK$3001="Validado")*ISNUMBER(Vendas!$S$2:$S$3001))=0,"-",MEDIAN(IF((Vendas!$B$2:$B$3001=$A44)*(Vendas!$C$2:$C$3001=$B44)*(Vendas!$AK$2:$AK$3001="Validado")*ISNUMBER(Vendas!$S$2:$S$3001),Vendas!$S$2:$S$3001)))</f>
        <v/>
      </c>
      <c r="H44" s="15">
        <f>COUNTIFS(Vendas!$B$2:$B$3001,$A44,Vendas!$C$2:$C$3001,$B44,Vendas!$AK$2:$AK$3001,"Validado",Vendas!$T$2:$T$3001,"Valor*")</f>
        <v/>
      </c>
      <c r="I44" s="18">
        <f>IF(C44=0,"-",_xlfn.MINIFS(Vendas!$Z$2:$Z$3001,Vendas!$B$2:$B$3001,$A44,Vendas!$C$2:$C$3001,$B44,Vendas!$AK$2:$AK$3001,"Validado"))</f>
        <v/>
      </c>
      <c r="J44" s="18">
        <f>IF(C44=0,"-",_xlfn.MAXIFS(Vendas!$Z$2:$Z$3001,Vendas!$B$2:$B$3001,$A44,Vendas!$C$2:$C$3001,$B44,Vendas!$AK$2:$AK$3001,"Validado"))</f>
        <v/>
      </c>
    </row>
    <row r="45">
      <c r="A45" s="15" t="inlineStr">
        <is>
          <t>Bertioga</t>
        </is>
      </c>
      <c r="B45" s="15" t="inlineStr">
        <is>
          <t>Centro</t>
        </is>
      </c>
      <c r="C45" s="15">
        <f>COUNTIFS(Vendas!$B$2:$B$3001,$A45,Vendas!$C$2:$C$3001,$B45,Vendas!$AK$2:$AK$3001,"Validado")</f>
        <v/>
      </c>
      <c r="D45" s="17">
        <f t="array" ref="D45">IF(C45=0,"-",MEDIAN(IF((Vendas!$B$2:$B$3001=$A45)*(Vendas!$C$2:$C$3001=$B45)*(Vendas!$AK$2:$AK$3001="Validado")*ISNUMBER(Vendas!$M$2:$M$3001),Vendas!$M$2:$M$3001)))</f>
        <v/>
      </c>
      <c r="E45" s="17">
        <f>IF(C45=0,"-",_xlfn.MINIFS(Vendas!$M$2:$M$3001,Vendas!$B$2:$B$3001,$A45,Vendas!$C$2:$C$3001,$B45,Vendas!$AK$2:$AK$3001,"Validado"))</f>
        <v/>
      </c>
      <c r="F45" s="17">
        <f>IF(C45=0,"-",_xlfn.MAXIFS(Vendas!$M$2:$M$3001,Vendas!$B$2:$B$3001,$A45,Vendas!$C$2:$C$3001,$B45,Vendas!$AK$2:$AK$3001,"Validado"))</f>
        <v/>
      </c>
      <c r="G45" s="17">
        <f t="array" ref="G45">IF(SUMPRODUCT((Vendas!$B$2:$B$3001=$A45)*(Vendas!$C$2:$C$3001=$B45)*(Vendas!$AK$2:$AK$3001="Validado")*ISNUMBER(Vendas!$S$2:$S$3001))=0,"-",MEDIAN(IF((Vendas!$B$2:$B$3001=$A45)*(Vendas!$C$2:$C$3001=$B45)*(Vendas!$AK$2:$AK$3001="Validado")*ISNUMBER(Vendas!$S$2:$S$3001),Vendas!$S$2:$S$3001)))</f>
        <v/>
      </c>
      <c r="H45" s="15">
        <f>COUNTIFS(Vendas!$B$2:$B$3001,$A45,Vendas!$C$2:$C$3001,$B45,Vendas!$AK$2:$AK$3001,"Validado",Vendas!$T$2:$T$3001,"Valor*")</f>
        <v/>
      </c>
      <c r="I45" s="18">
        <f>IF(C45=0,"-",_xlfn.MINIFS(Vendas!$Z$2:$Z$3001,Vendas!$B$2:$B$3001,$A45,Vendas!$C$2:$C$3001,$B45,Vendas!$AK$2:$AK$3001,"Validado"))</f>
        <v/>
      </c>
      <c r="J45" s="18">
        <f>IF(C45=0,"-",_xlfn.MAXIFS(Vendas!$Z$2:$Z$3001,Vendas!$B$2:$B$3001,$A45,Vendas!$C$2:$C$3001,$B45,Vendas!$AK$2:$AK$3001,"Validado"))</f>
        <v/>
      </c>
    </row>
    <row r="46">
      <c r="A46" s="15" t="inlineStr">
        <is>
          <t>Bertioga</t>
        </is>
      </c>
      <c r="B46" s="15" t="inlineStr">
        <is>
          <t>Jardim Vicente de Carvalho</t>
        </is>
      </c>
      <c r="C46" s="15">
        <f>COUNTIFS(Vendas!$B$2:$B$3001,$A46,Vendas!$C$2:$C$3001,$B46,Vendas!$AK$2:$AK$3001,"Validado")</f>
        <v/>
      </c>
      <c r="D46" s="17">
        <f t="array" ref="D46">IF(C46=0,"-",MEDIAN(IF((Vendas!$B$2:$B$3001=$A46)*(Vendas!$C$2:$C$3001=$B46)*(Vendas!$AK$2:$AK$3001="Validado")*ISNUMBER(Vendas!$M$2:$M$3001),Vendas!$M$2:$M$3001)))</f>
        <v/>
      </c>
      <c r="E46" s="17">
        <f>IF(C46=0,"-",_xlfn.MINIFS(Vendas!$M$2:$M$3001,Vendas!$B$2:$B$3001,$A46,Vendas!$C$2:$C$3001,$B46,Vendas!$AK$2:$AK$3001,"Validado"))</f>
        <v/>
      </c>
      <c r="F46" s="17">
        <f>IF(C46=0,"-",_xlfn.MAXIFS(Vendas!$M$2:$M$3001,Vendas!$B$2:$B$3001,$A46,Vendas!$C$2:$C$3001,$B46,Vendas!$AK$2:$AK$3001,"Validado"))</f>
        <v/>
      </c>
      <c r="G46" s="17">
        <f t="array" ref="G46">IF(SUMPRODUCT((Vendas!$B$2:$B$3001=$A46)*(Vendas!$C$2:$C$3001=$B46)*(Vendas!$AK$2:$AK$3001="Validado")*ISNUMBER(Vendas!$S$2:$S$3001))=0,"-",MEDIAN(IF((Vendas!$B$2:$B$3001=$A46)*(Vendas!$C$2:$C$3001=$B46)*(Vendas!$AK$2:$AK$3001="Validado")*ISNUMBER(Vendas!$S$2:$S$3001),Vendas!$S$2:$S$3001)))</f>
        <v/>
      </c>
      <c r="H46" s="15">
        <f>COUNTIFS(Vendas!$B$2:$B$3001,$A46,Vendas!$C$2:$C$3001,$B46,Vendas!$AK$2:$AK$3001,"Validado",Vendas!$T$2:$T$3001,"Valor*")</f>
        <v/>
      </c>
      <c r="I46" s="18">
        <f>IF(C46=0,"-",_xlfn.MINIFS(Vendas!$Z$2:$Z$3001,Vendas!$B$2:$B$3001,$A46,Vendas!$C$2:$C$3001,$B46,Vendas!$AK$2:$AK$3001,"Validado"))</f>
        <v/>
      </c>
      <c r="J46" s="18">
        <f>IF(C46=0,"-",_xlfn.MAXIFS(Vendas!$Z$2:$Z$3001,Vendas!$B$2:$B$3001,$A46,Vendas!$C$2:$C$3001,$B46,Vendas!$AK$2:$AK$3001,"Validado"))</f>
        <v/>
      </c>
    </row>
    <row r="47">
      <c r="A47" s="15" t="inlineStr">
        <is>
          <t>Bertioga</t>
        </is>
      </c>
      <c r="B47" s="15" t="inlineStr">
        <is>
          <t>Albatróz</t>
        </is>
      </c>
      <c r="C47" s="15">
        <f>COUNTIFS(Vendas!$B$2:$B$3001,$A47,Vendas!$C$2:$C$3001,$B47,Vendas!$AK$2:$AK$3001,"Validado")</f>
        <v/>
      </c>
      <c r="D47" s="17">
        <f t="array" ref="D47">IF(C47=0,"-",MEDIAN(IF((Vendas!$B$2:$B$3001=$A47)*(Vendas!$C$2:$C$3001=$B47)*(Vendas!$AK$2:$AK$3001="Validado")*ISNUMBER(Vendas!$M$2:$M$3001),Vendas!$M$2:$M$3001)))</f>
        <v/>
      </c>
      <c r="E47" s="17">
        <f>IF(C47=0,"-",_xlfn.MINIFS(Vendas!$M$2:$M$3001,Vendas!$B$2:$B$3001,$A47,Vendas!$C$2:$C$3001,$B47,Vendas!$AK$2:$AK$3001,"Validado"))</f>
        <v/>
      </c>
      <c r="F47" s="17">
        <f>IF(C47=0,"-",_xlfn.MAXIFS(Vendas!$M$2:$M$3001,Vendas!$B$2:$B$3001,$A47,Vendas!$C$2:$C$3001,$B47,Vendas!$AK$2:$AK$3001,"Validado"))</f>
        <v/>
      </c>
      <c r="G47" s="17">
        <f t="array" ref="G47">IF(SUMPRODUCT((Vendas!$B$2:$B$3001=$A47)*(Vendas!$C$2:$C$3001=$B47)*(Vendas!$AK$2:$AK$3001="Validado")*ISNUMBER(Vendas!$S$2:$S$3001))=0,"-",MEDIAN(IF((Vendas!$B$2:$B$3001=$A47)*(Vendas!$C$2:$C$3001=$B47)*(Vendas!$AK$2:$AK$3001="Validado")*ISNUMBER(Vendas!$S$2:$S$3001),Vendas!$S$2:$S$3001)))</f>
        <v/>
      </c>
      <c r="H47" s="15">
        <f>COUNTIFS(Vendas!$B$2:$B$3001,$A47,Vendas!$C$2:$C$3001,$B47,Vendas!$AK$2:$AK$3001,"Validado",Vendas!$T$2:$T$3001,"Valor*")</f>
        <v/>
      </c>
      <c r="I47" s="18">
        <f>IF(C47=0,"-",_xlfn.MINIFS(Vendas!$Z$2:$Z$3001,Vendas!$B$2:$B$3001,$A47,Vendas!$C$2:$C$3001,$B47,Vendas!$AK$2:$AK$3001,"Validado"))</f>
        <v/>
      </c>
      <c r="J47" s="18">
        <f>IF(C47=0,"-",_xlfn.MAXIFS(Vendas!$Z$2:$Z$3001,Vendas!$B$2:$B$3001,$A47,Vendas!$C$2:$C$3001,$B47,Vendas!$AK$2:$AK$3001,"Validado"))</f>
        <v/>
      </c>
    </row>
    <row r="48">
      <c r="A48" s="15" t="inlineStr">
        <is>
          <t>Bertioga</t>
        </is>
      </c>
      <c r="B48" s="15" t="inlineStr">
        <is>
          <t>Maitinga</t>
        </is>
      </c>
      <c r="C48" s="15">
        <f>COUNTIFS(Vendas!$B$2:$B$3001,$A48,Vendas!$C$2:$C$3001,$B48,Vendas!$AK$2:$AK$3001,"Validado")</f>
        <v/>
      </c>
      <c r="D48" s="17">
        <f t="array" ref="D48">IF(C48=0,"-",MEDIAN(IF((Vendas!$B$2:$B$3001=$A48)*(Vendas!$C$2:$C$3001=$B48)*(Vendas!$AK$2:$AK$3001="Validado")*ISNUMBER(Vendas!$M$2:$M$3001),Vendas!$M$2:$M$3001)))</f>
        <v/>
      </c>
      <c r="E48" s="17">
        <f>IF(C48=0,"-",_xlfn.MINIFS(Vendas!$M$2:$M$3001,Vendas!$B$2:$B$3001,$A48,Vendas!$C$2:$C$3001,$B48,Vendas!$AK$2:$AK$3001,"Validado"))</f>
        <v/>
      </c>
      <c r="F48" s="17">
        <f>IF(C48=0,"-",_xlfn.MAXIFS(Vendas!$M$2:$M$3001,Vendas!$B$2:$B$3001,$A48,Vendas!$C$2:$C$3001,$B48,Vendas!$AK$2:$AK$3001,"Validado"))</f>
        <v/>
      </c>
      <c r="G48" s="17">
        <f t="array" ref="G48">IF(SUMPRODUCT((Vendas!$B$2:$B$3001=$A48)*(Vendas!$C$2:$C$3001=$B48)*(Vendas!$AK$2:$AK$3001="Validado")*ISNUMBER(Vendas!$S$2:$S$3001))=0,"-",MEDIAN(IF((Vendas!$B$2:$B$3001=$A48)*(Vendas!$C$2:$C$3001=$B48)*(Vendas!$AK$2:$AK$3001="Validado")*ISNUMBER(Vendas!$S$2:$S$3001),Vendas!$S$2:$S$3001)))</f>
        <v/>
      </c>
      <c r="H48" s="15">
        <f>COUNTIFS(Vendas!$B$2:$B$3001,$A48,Vendas!$C$2:$C$3001,$B48,Vendas!$AK$2:$AK$3001,"Validado",Vendas!$T$2:$T$3001,"Valor*")</f>
        <v/>
      </c>
      <c r="I48" s="18">
        <f>IF(C48=0,"-",_xlfn.MINIFS(Vendas!$Z$2:$Z$3001,Vendas!$B$2:$B$3001,$A48,Vendas!$C$2:$C$3001,$B48,Vendas!$AK$2:$AK$3001,"Validado"))</f>
        <v/>
      </c>
      <c r="J48" s="18">
        <f>IF(C48=0,"-",_xlfn.MAXIFS(Vendas!$Z$2:$Z$3001,Vendas!$B$2:$B$3001,$A48,Vendas!$C$2:$C$3001,$B48,Vendas!$AK$2:$AK$3001,"Validado"))</f>
        <v/>
      </c>
    </row>
    <row r="49">
      <c r="A49" s="15" t="inlineStr">
        <is>
          <t>Bertioga</t>
        </is>
      </c>
      <c r="B49" s="15" t="inlineStr">
        <is>
          <t>Rio da Praia</t>
        </is>
      </c>
      <c r="C49" s="15">
        <f>COUNTIFS(Vendas!$B$2:$B$3001,$A49,Vendas!$C$2:$C$3001,$B49,Vendas!$AK$2:$AK$3001,"Validado")</f>
        <v/>
      </c>
      <c r="D49" s="17">
        <f t="array" ref="D49">IF(C49=0,"-",MEDIAN(IF((Vendas!$B$2:$B$3001=$A49)*(Vendas!$C$2:$C$3001=$B49)*(Vendas!$AK$2:$AK$3001="Validado")*ISNUMBER(Vendas!$M$2:$M$3001),Vendas!$M$2:$M$3001)))</f>
        <v/>
      </c>
      <c r="E49" s="17">
        <f>IF(C49=0,"-",_xlfn.MINIFS(Vendas!$M$2:$M$3001,Vendas!$B$2:$B$3001,$A49,Vendas!$C$2:$C$3001,$B49,Vendas!$AK$2:$AK$3001,"Validado"))</f>
        <v/>
      </c>
      <c r="F49" s="17">
        <f>IF(C49=0,"-",_xlfn.MAXIFS(Vendas!$M$2:$M$3001,Vendas!$B$2:$B$3001,$A49,Vendas!$C$2:$C$3001,$B49,Vendas!$AK$2:$AK$3001,"Validado"))</f>
        <v/>
      </c>
      <c r="G49" s="17">
        <f t="array" ref="G49">IF(SUMPRODUCT((Vendas!$B$2:$B$3001=$A49)*(Vendas!$C$2:$C$3001=$B49)*(Vendas!$AK$2:$AK$3001="Validado")*ISNUMBER(Vendas!$S$2:$S$3001))=0,"-",MEDIAN(IF((Vendas!$B$2:$B$3001=$A49)*(Vendas!$C$2:$C$3001=$B49)*(Vendas!$AK$2:$AK$3001="Validado")*ISNUMBER(Vendas!$S$2:$S$3001),Vendas!$S$2:$S$3001)))</f>
        <v/>
      </c>
      <c r="H49" s="15">
        <f>COUNTIFS(Vendas!$B$2:$B$3001,$A49,Vendas!$C$2:$C$3001,$B49,Vendas!$AK$2:$AK$3001,"Validado",Vendas!$T$2:$T$3001,"Valor*")</f>
        <v/>
      </c>
      <c r="I49" s="18">
        <f>IF(C49=0,"-",_xlfn.MINIFS(Vendas!$Z$2:$Z$3001,Vendas!$B$2:$B$3001,$A49,Vendas!$C$2:$C$3001,$B49,Vendas!$AK$2:$AK$3001,"Validado"))</f>
        <v/>
      </c>
      <c r="J49" s="18">
        <f>IF(C49=0,"-",_xlfn.MAXIFS(Vendas!$Z$2:$Z$3001,Vendas!$B$2:$B$3001,$A49,Vendas!$C$2:$C$3001,$B49,Vendas!$AK$2:$AK$3001,"Validado"))</f>
        <v/>
      </c>
    </row>
    <row r="50">
      <c r="A50" s="15" t="inlineStr">
        <is>
          <t>Bertioga</t>
        </is>
      </c>
      <c r="B50" s="15" t="inlineStr">
        <is>
          <t>Buriqui Costa Nativa (Brasfanta)</t>
        </is>
      </c>
      <c r="C50" s="15">
        <f>COUNTIFS(Vendas!$B$2:$B$3001,$A50,Vendas!$C$2:$C$3001,$B50,Vendas!$AK$2:$AK$3001,"Validado")</f>
        <v/>
      </c>
      <c r="D50" s="17">
        <f t="array" ref="D50">IF(C50=0,"-",MEDIAN(IF((Vendas!$B$2:$B$3001=$A50)*(Vendas!$C$2:$C$3001=$B50)*(Vendas!$AK$2:$AK$3001="Validado")*ISNUMBER(Vendas!$M$2:$M$3001),Vendas!$M$2:$M$3001)))</f>
        <v/>
      </c>
      <c r="E50" s="17">
        <f>IF(C50=0,"-",_xlfn.MINIFS(Vendas!$M$2:$M$3001,Vendas!$B$2:$B$3001,$A50,Vendas!$C$2:$C$3001,$B50,Vendas!$AK$2:$AK$3001,"Validado"))</f>
        <v/>
      </c>
      <c r="F50" s="17">
        <f>IF(C50=0,"-",_xlfn.MAXIFS(Vendas!$M$2:$M$3001,Vendas!$B$2:$B$3001,$A50,Vendas!$C$2:$C$3001,$B50,Vendas!$AK$2:$AK$3001,"Validado"))</f>
        <v/>
      </c>
      <c r="G50" s="17">
        <f t="array" ref="G50">IF(SUMPRODUCT((Vendas!$B$2:$B$3001=$A50)*(Vendas!$C$2:$C$3001=$B50)*(Vendas!$AK$2:$AK$3001="Validado")*ISNUMBER(Vendas!$S$2:$S$3001))=0,"-",MEDIAN(IF((Vendas!$B$2:$B$3001=$A50)*(Vendas!$C$2:$C$3001=$B50)*(Vendas!$AK$2:$AK$3001="Validado")*ISNUMBER(Vendas!$S$2:$S$3001),Vendas!$S$2:$S$3001)))</f>
        <v/>
      </c>
      <c r="H50" s="15">
        <f>COUNTIFS(Vendas!$B$2:$B$3001,$A50,Vendas!$C$2:$C$3001,$B50,Vendas!$AK$2:$AK$3001,"Validado",Vendas!$T$2:$T$3001,"Valor*")</f>
        <v/>
      </c>
      <c r="I50" s="18">
        <f>IF(C50=0,"-",_xlfn.MINIFS(Vendas!$Z$2:$Z$3001,Vendas!$B$2:$B$3001,$A50,Vendas!$C$2:$C$3001,$B50,Vendas!$AK$2:$AK$3001,"Validado"))</f>
        <v/>
      </c>
      <c r="J50" s="18">
        <f>IF(C50=0,"-",_xlfn.MAXIFS(Vendas!$Z$2:$Z$3001,Vendas!$B$2:$B$3001,$A50,Vendas!$C$2:$C$3001,$B50,Vendas!$AK$2:$AK$3001,"Validado"))</f>
        <v/>
      </c>
    </row>
    <row r="51">
      <c r="A51" s="15" t="inlineStr">
        <is>
          <t>Bertioga</t>
        </is>
      </c>
      <c r="B51" s="15" t="inlineStr">
        <is>
          <t>Jardim Raphael</t>
        </is>
      </c>
      <c r="C51" s="15">
        <f>COUNTIFS(Vendas!$B$2:$B$3001,$A51,Vendas!$C$2:$C$3001,$B51,Vendas!$AK$2:$AK$3001,"Validado")</f>
        <v/>
      </c>
      <c r="D51" s="17">
        <f t="array" ref="D51">IF(C51=0,"-",MEDIAN(IF((Vendas!$B$2:$B$3001=$A51)*(Vendas!$C$2:$C$3001=$B51)*(Vendas!$AK$2:$AK$3001="Validado")*ISNUMBER(Vendas!$M$2:$M$3001),Vendas!$M$2:$M$3001)))</f>
        <v/>
      </c>
      <c r="E51" s="17">
        <f>IF(C51=0,"-",_xlfn.MINIFS(Vendas!$M$2:$M$3001,Vendas!$B$2:$B$3001,$A51,Vendas!$C$2:$C$3001,$B51,Vendas!$AK$2:$AK$3001,"Validado"))</f>
        <v/>
      </c>
      <c r="F51" s="17">
        <f>IF(C51=0,"-",_xlfn.MAXIFS(Vendas!$M$2:$M$3001,Vendas!$B$2:$B$3001,$A51,Vendas!$C$2:$C$3001,$B51,Vendas!$AK$2:$AK$3001,"Validado"))</f>
        <v/>
      </c>
      <c r="G51" s="17">
        <f t="array" ref="G51">IF(SUMPRODUCT((Vendas!$B$2:$B$3001=$A51)*(Vendas!$C$2:$C$3001=$B51)*(Vendas!$AK$2:$AK$3001="Validado")*ISNUMBER(Vendas!$S$2:$S$3001))=0,"-",MEDIAN(IF((Vendas!$B$2:$B$3001=$A51)*(Vendas!$C$2:$C$3001=$B51)*(Vendas!$AK$2:$AK$3001="Validado")*ISNUMBER(Vendas!$S$2:$S$3001),Vendas!$S$2:$S$3001)))</f>
        <v/>
      </c>
      <c r="H51" s="15">
        <f>COUNTIFS(Vendas!$B$2:$B$3001,$A51,Vendas!$C$2:$C$3001,$B51,Vendas!$AK$2:$AK$3001,"Validado",Vendas!$T$2:$T$3001,"Valor*")</f>
        <v/>
      </c>
      <c r="I51" s="18">
        <f>IF(C51=0,"-",_xlfn.MINIFS(Vendas!$Z$2:$Z$3001,Vendas!$B$2:$B$3001,$A51,Vendas!$C$2:$C$3001,$B51,Vendas!$AK$2:$AK$3001,"Validado"))</f>
        <v/>
      </c>
      <c r="J51" s="18">
        <f>IF(C51=0,"-",_xlfn.MAXIFS(Vendas!$Z$2:$Z$3001,Vendas!$B$2:$B$3001,$A51,Vendas!$C$2:$C$3001,$B51,Vendas!$AK$2:$AK$3001,"Validado"))</f>
        <v/>
      </c>
    </row>
    <row r="52">
      <c r="A52" s="15" t="inlineStr">
        <is>
          <t>Bertioga</t>
        </is>
      </c>
      <c r="B52" s="15" t="inlineStr">
        <is>
          <t>Bairro Chácaras</t>
        </is>
      </c>
      <c r="C52" s="15">
        <f>COUNTIFS(Vendas!$B$2:$B$3001,$A52,Vendas!$C$2:$C$3001,$B52,Vendas!$AK$2:$AK$3001,"Validado")</f>
        <v/>
      </c>
      <c r="D52" s="17">
        <f t="array" ref="D52">IF(C52=0,"-",MEDIAN(IF((Vendas!$B$2:$B$3001=$A52)*(Vendas!$C$2:$C$3001=$B52)*(Vendas!$AK$2:$AK$3001="Validado")*ISNUMBER(Vendas!$M$2:$M$3001),Vendas!$M$2:$M$3001)))</f>
        <v/>
      </c>
      <c r="E52" s="17">
        <f>IF(C52=0,"-",_xlfn.MINIFS(Vendas!$M$2:$M$3001,Vendas!$B$2:$B$3001,$A52,Vendas!$C$2:$C$3001,$B52,Vendas!$AK$2:$AK$3001,"Validado"))</f>
        <v/>
      </c>
      <c r="F52" s="17">
        <f>IF(C52=0,"-",_xlfn.MAXIFS(Vendas!$M$2:$M$3001,Vendas!$B$2:$B$3001,$A52,Vendas!$C$2:$C$3001,$B52,Vendas!$AK$2:$AK$3001,"Validado"))</f>
        <v/>
      </c>
      <c r="G52" s="17">
        <f t="array" ref="G52">IF(SUMPRODUCT((Vendas!$B$2:$B$3001=$A52)*(Vendas!$C$2:$C$3001=$B52)*(Vendas!$AK$2:$AK$3001="Validado")*ISNUMBER(Vendas!$S$2:$S$3001))=0,"-",MEDIAN(IF((Vendas!$B$2:$B$3001=$A52)*(Vendas!$C$2:$C$3001=$B52)*(Vendas!$AK$2:$AK$3001="Validado")*ISNUMBER(Vendas!$S$2:$S$3001),Vendas!$S$2:$S$3001)))</f>
        <v/>
      </c>
      <c r="H52" s="15">
        <f>COUNTIFS(Vendas!$B$2:$B$3001,$A52,Vendas!$C$2:$C$3001,$B52,Vendas!$AK$2:$AK$3001,"Validado",Vendas!$T$2:$T$3001,"Valor*")</f>
        <v/>
      </c>
      <c r="I52" s="18">
        <f>IF(C52=0,"-",_xlfn.MINIFS(Vendas!$Z$2:$Z$3001,Vendas!$B$2:$B$3001,$A52,Vendas!$C$2:$C$3001,$B52,Vendas!$AK$2:$AK$3001,"Validado"))</f>
        <v/>
      </c>
      <c r="J52" s="18">
        <f>IF(C52=0,"-",_xlfn.MAXIFS(Vendas!$Z$2:$Z$3001,Vendas!$B$2:$B$3001,$A52,Vendas!$C$2:$C$3001,$B52,Vendas!$AK$2:$AK$3001,"Validado"))</f>
        <v/>
      </c>
    </row>
    <row r="53">
      <c r="A53" s="15" t="inlineStr">
        <is>
          <t>Bertioga</t>
        </is>
      </c>
      <c r="B53" s="15" t="inlineStr">
        <is>
          <t>Vista Linda</t>
        </is>
      </c>
      <c r="C53" s="15">
        <f>COUNTIFS(Vendas!$B$2:$B$3001,$A53,Vendas!$C$2:$C$3001,$B53,Vendas!$AK$2:$AK$3001,"Validado")</f>
        <v/>
      </c>
      <c r="D53" s="17">
        <f t="array" ref="D53">IF(C53=0,"-",MEDIAN(IF((Vendas!$B$2:$B$3001=$A53)*(Vendas!$C$2:$C$3001=$B53)*(Vendas!$AK$2:$AK$3001="Validado")*ISNUMBER(Vendas!$M$2:$M$3001),Vendas!$M$2:$M$3001)))</f>
        <v/>
      </c>
      <c r="E53" s="17">
        <f>IF(C53=0,"-",_xlfn.MINIFS(Vendas!$M$2:$M$3001,Vendas!$B$2:$B$3001,$A53,Vendas!$C$2:$C$3001,$B53,Vendas!$AK$2:$AK$3001,"Validado"))</f>
        <v/>
      </c>
      <c r="F53" s="17">
        <f>IF(C53=0,"-",_xlfn.MAXIFS(Vendas!$M$2:$M$3001,Vendas!$B$2:$B$3001,$A53,Vendas!$C$2:$C$3001,$B53,Vendas!$AK$2:$AK$3001,"Validado"))</f>
        <v/>
      </c>
      <c r="G53" s="17">
        <f t="array" ref="G53">IF(SUMPRODUCT((Vendas!$B$2:$B$3001=$A53)*(Vendas!$C$2:$C$3001=$B53)*(Vendas!$AK$2:$AK$3001="Validado")*ISNUMBER(Vendas!$S$2:$S$3001))=0,"-",MEDIAN(IF((Vendas!$B$2:$B$3001=$A53)*(Vendas!$C$2:$C$3001=$B53)*(Vendas!$AK$2:$AK$3001="Validado")*ISNUMBER(Vendas!$S$2:$S$3001),Vendas!$S$2:$S$3001)))</f>
        <v/>
      </c>
      <c r="H53" s="15">
        <f>COUNTIFS(Vendas!$B$2:$B$3001,$A53,Vendas!$C$2:$C$3001,$B53,Vendas!$AK$2:$AK$3001,"Validado",Vendas!$T$2:$T$3001,"Valor*")</f>
        <v/>
      </c>
      <c r="I53" s="18">
        <f>IF(C53=0,"-",_xlfn.MINIFS(Vendas!$Z$2:$Z$3001,Vendas!$B$2:$B$3001,$A53,Vendas!$C$2:$C$3001,$B53,Vendas!$AK$2:$AK$3001,"Validado"))</f>
        <v/>
      </c>
      <c r="J53" s="18">
        <f>IF(C53=0,"-",_xlfn.MAXIFS(Vendas!$Z$2:$Z$3001,Vendas!$B$2:$B$3001,$A53,Vendas!$C$2:$C$3001,$B53,Vendas!$AK$2:$AK$3001,"Validado"))</f>
        <v/>
      </c>
    </row>
    <row r="54">
      <c r="A54" s="15" t="inlineStr">
        <is>
          <t>Bertioga</t>
        </is>
      </c>
      <c r="B54" s="15" t="inlineStr">
        <is>
          <t>Indaiá</t>
        </is>
      </c>
      <c r="C54" s="15">
        <f>COUNTIFS(Vendas!$B$2:$B$3001,$A54,Vendas!$C$2:$C$3001,$B54,Vendas!$AK$2:$AK$3001,"Validado")</f>
        <v/>
      </c>
      <c r="D54" s="17">
        <f t="array" ref="D54">IF(C54=0,"-",MEDIAN(IF((Vendas!$B$2:$B$3001=$A54)*(Vendas!$C$2:$C$3001=$B54)*(Vendas!$AK$2:$AK$3001="Validado")*ISNUMBER(Vendas!$M$2:$M$3001),Vendas!$M$2:$M$3001)))</f>
        <v/>
      </c>
      <c r="E54" s="17">
        <f>IF(C54=0,"-",_xlfn.MINIFS(Vendas!$M$2:$M$3001,Vendas!$B$2:$B$3001,$A54,Vendas!$C$2:$C$3001,$B54,Vendas!$AK$2:$AK$3001,"Validado"))</f>
        <v/>
      </c>
      <c r="F54" s="17">
        <f>IF(C54=0,"-",_xlfn.MAXIFS(Vendas!$M$2:$M$3001,Vendas!$B$2:$B$3001,$A54,Vendas!$C$2:$C$3001,$B54,Vendas!$AK$2:$AK$3001,"Validado"))</f>
        <v/>
      </c>
      <c r="G54" s="17">
        <f t="array" ref="G54">IF(SUMPRODUCT((Vendas!$B$2:$B$3001=$A54)*(Vendas!$C$2:$C$3001=$B54)*(Vendas!$AK$2:$AK$3001="Validado")*ISNUMBER(Vendas!$S$2:$S$3001))=0,"-",MEDIAN(IF((Vendas!$B$2:$B$3001=$A54)*(Vendas!$C$2:$C$3001=$B54)*(Vendas!$AK$2:$AK$3001="Validado")*ISNUMBER(Vendas!$S$2:$S$3001),Vendas!$S$2:$S$3001)))</f>
        <v/>
      </c>
      <c r="H54" s="15">
        <f>COUNTIFS(Vendas!$B$2:$B$3001,$A54,Vendas!$C$2:$C$3001,$B54,Vendas!$AK$2:$AK$3001,"Validado",Vendas!$T$2:$T$3001,"Valor*")</f>
        <v/>
      </c>
      <c r="I54" s="18">
        <f>IF(C54=0,"-",_xlfn.MINIFS(Vendas!$Z$2:$Z$3001,Vendas!$B$2:$B$3001,$A54,Vendas!$C$2:$C$3001,$B54,Vendas!$AK$2:$AK$3001,"Validado"))</f>
        <v/>
      </c>
      <c r="J54" s="18">
        <f>IF(C54=0,"-",_xlfn.MAXIFS(Vendas!$Z$2:$Z$3001,Vendas!$B$2:$B$3001,$A54,Vendas!$C$2:$C$3001,$B54,Vendas!$AK$2:$AK$3001,"Validado"))</f>
        <v/>
      </c>
    </row>
    <row r="55">
      <c r="A55" s="15" t="inlineStr">
        <is>
          <t>Bertioga</t>
        </is>
      </c>
      <c r="B55" s="15" t="inlineStr">
        <is>
          <t>Riviera</t>
        </is>
      </c>
      <c r="C55" s="15">
        <f>COUNTIFS(Vendas!$B$2:$B$3001,$A55,Vendas!$C$2:$C$3001,$B55,Vendas!$AK$2:$AK$3001,"Validado")</f>
        <v/>
      </c>
      <c r="D55" s="17">
        <f t="array" ref="D55">IF(C55=0,"-",MEDIAN(IF((Vendas!$B$2:$B$3001=$A55)*(Vendas!$C$2:$C$3001=$B55)*(Vendas!$AK$2:$AK$3001="Validado")*ISNUMBER(Vendas!$M$2:$M$3001),Vendas!$M$2:$M$3001)))</f>
        <v/>
      </c>
      <c r="E55" s="17">
        <f>IF(C55=0,"-",_xlfn.MINIFS(Vendas!$M$2:$M$3001,Vendas!$B$2:$B$3001,$A55,Vendas!$C$2:$C$3001,$B55,Vendas!$AK$2:$AK$3001,"Validado"))</f>
        <v/>
      </c>
      <c r="F55" s="17">
        <f>IF(C55=0,"-",_xlfn.MAXIFS(Vendas!$M$2:$M$3001,Vendas!$B$2:$B$3001,$A55,Vendas!$C$2:$C$3001,$B55,Vendas!$AK$2:$AK$3001,"Validado"))</f>
        <v/>
      </c>
      <c r="G55" s="17">
        <f t="array" ref="G55">IF(SUMPRODUCT((Vendas!$B$2:$B$3001=$A55)*(Vendas!$C$2:$C$3001=$B55)*(Vendas!$AK$2:$AK$3001="Validado")*ISNUMBER(Vendas!$S$2:$S$3001))=0,"-",MEDIAN(IF((Vendas!$B$2:$B$3001=$A55)*(Vendas!$C$2:$C$3001=$B55)*(Vendas!$AK$2:$AK$3001="Validado")*ISNUMBER(Vendas!$S$2:$S$3001),Vendas!$S$2:$S$3001)))</f>
        <v/>
      </c>
      <c r="H55" s="15">
        <f>COUNTIFS(Vendas!$B$2:$B$3001,$A55,Vendas!$C$2:$C$3001,$B55,Vendas!$AK$2:$AK$3001,"Validado",Vendas!$T$2:$T$3001,"Valor*")</f>
        <v/>
      </c>
      <c r="I55" s="18">
        <f>IF(C55=0,"-",_xlfn.MINIFS(Vendas!$Z$2:$Z$3001,Vendas!$B$2:$B$3001,$A55,Vendas!$C$2:$C$3001,$B55,Vendas!$AK$2:$AK$3001,"Validado"))</f>
        <v/>
      </c>
      <c r="J55" s="18">
        <f>IF(C55=0,"-",_xlfn.MAXIFS(Vendas!$Z$2:$Z$3001,Vendas!$B$2:$B$3001,$A55,Vendas!$C$2:$C$3001,$B55,Vendas!$AK$2:$AK$3001,"Validado"))</f>
        <v/>
      </c>
    </row>
    <row r="56">
      <c r="A56" s="15" t="inlineStr">
        <is>
          <t>Bertioga</t>
        </is>
      </c>
      <c r="B56" s="15" t="inlineStr">
        <is>
          <t>São Lourenço</t>
        </is>
      </c>
      <c r="C56" s="15">
        <f>COUNTIFS(Vendas!$B$2:$B$3001,$A56,Vendas!$C$2:$C$3001,$B56,Vendas!$AK$2:$AK$3001,"Validado")</f>
        <v/>
      </c>
      <c r="D56" s="17">
        <f t="array" ref="D56">IF(C56=0,"-",MEDIAN(IF((Vendas!$B$2:$B$3001=$A56)*(Vendas!$C$2:$C$3001=$B56)*(Vendas!$AK$2:$AK$3001="Validado")*ISNUMBER(Vendas!$M$2:$M$3001),Vendas!$M$2:$M$3001)))</f>
        <v/>
      </c>
      <c r="E56" s="17">
        <f>IF(C56=0,"-",_xlfn.MINIFS(Vendas!$M$2:$M$3001,Vendas!$B$2:$B$3001,$A56,Vendas!$C$2:$C$3001,$B56,Vendas!$AK$2:$AK$3001,"Validado"))</f>
        <v/>
      </c>
      <c r="F56" s="17">
        <f>IF(C56=0,"-",_xlfn.MAXIFS(Vendas!$M$2:$M$3001,Vendas!$B$2:$B$3001,$A56,Vendas!$C$2:$C$3001,$B56,Vendas!$AK$2:$AK$3001,"Validado"))</f>
        <v/>
      </c>
      <c r="G56" s="17">
        <f t="array" ref="G56">IF(SUMPRODUCT((Vendas!$B$2:$B$3001=$A56)*(Vendas!$C$2:$C$3001=$B56)*(Vendas!$AK$2:$AK$3001="Validado")*ISNUMBER(Vendas!$S$2:$S$3001))=0,"-",MEDIAN(IF((Vendas!$B$2:$B$3001=$A56)*(Vendas!$C$2:$C$3001=$B56)*(Vendas!$AK$2:$AK$3001="Validado")*ISNUMBER(Vendas!$S$2:$S$3001),Vendas!$S$2:$S$3001)))</f>
        <v/>
      </c>
      <c r="H56" s="15">
        <f>COUNTIFS(Vendas!$B$2:$B$3001,$A56,Vendas!$C$2:$C$3001,$B56,Vendas!$AK$2:$AK$3001,"Validado",Vendas!$T$2:$T$3001,"Valor*")</f>
        <v/>
      </c>
      <c r="I56" s="18">
        <f>IF(C56=0,"-",_xlfn.MINIFS(Vendas!$Z$2:$Z$3001,Vendas!$B$2:$B$3001,$A56,Vendas!$C$2:$C$3001,$B56,Vendas!$AK$2:$AK$3001,"Validado"))</f>
        <v/>
      </c>
      <c r="J56" s="18">
        <f>IF(C56=0,"-",_xlfn.MAXIFS(Vendas!$Z$2:$Z$3001,Vendas!$B$2:$B$3001,$A56,Vendas!$C$2:$C$3001,$B56,Vendas!$AK$2:$AK$3001,"Validado"))</f>
        <v/>
      </c>
    </row>
    <row r="57">
      <c r="A57" s="15" t="inlineStr">
        <is>
          <t>Bertioga</t>
        </is>
      </c>
      <c r="B57" s="15" t="inlineStr">
        <is>
          <t>Guaratuba</t>
        </is>
      </c>
      <c r="C57" s="15">
        <f>COUNTIFS(Vendas!$B$2:$B$3001,$A57,Vendas!$C$2:$C$3001,$B57,Vendas!$AK$2:$AK$3001,"Validado")</f>
        <v/>
      </c>
      <c r="D57" s="17">
        <f t="array" ref="D57">IF(C57=0,"-",MEDIAN(IF((Vendas!$B$2:$B$3001=$A57)*(Vendas!$C$2:$C$3001=$B57)*(Vendas!$AK$2:$AK$3001="Validado")*ISNUMBER(Vendas!$M$2:$M$3001),Vendas!$M$2:$M$3001)))</f>
        <v/>
      </c>
      <c r="E57" s="17">
        <f>IF(C57=0,"-",_xlfn.MINIFS(Vendas!$M$2:$M$3001,Vendas!$B$2:$B$3001,$A57,Vendas!$C$2:$C$3001,$B57,Vendas!$AK$2:$AK$3001,"Validado"))</f>
        <v/>
      </c>
      <c r="F57" s="17">
        <f>IF(C57=0,"-",_xlfn.MAXIFS(Vendas!$M$2:$M$3001,Vendas!$B$2:$B$3001,$A57,Vendas!$C$2:$C$3001,$B57,Vendas!$AK$2:$AK$3001,"Validado"))</f>
        <v/>
      </c>
      <c r="G57" s="17">
        <f t="array" ref="G57">IF(SUMPRODUCT((Vendas!$B$2:$B$3001=$A57)*(Vendas!$C$2:$C$3001=$B57)*(Vendas!$AK$2:$AK$3001="Validado")*ISNUMBER(Vendas!$S$2:$S$3001))=0,"-",MEDIAN(IF((Vendas!$B$2:$B$3001=$A57)*(Vendas!$C$2:$C$3001=$B57)*(Vendas!$AK$2:$AK$3001="Validado")*ISNUMBER(Vendas!$S$2:$S$3001),Vendas!$S$2:$S$3001)))</f>
        <v/>
      </c>
      <c r="H57" s="15">
        <f>COUNTIFS(Vendas!$B$2:$B$3001,$A57,Vendas!$C$2:$C$3001,$B57,Vendas!$AK$2:$AK$3001,"Validado",Vendas!$T$2:$T$3001,"Valor*")</f>
        <v/>
      </c>
      <c r="I57" s="18">
        <f>IF(C57=0,"-",_xlfn.MINIFS(Vendas!$Z$2:$Z$3001,Vendas!$B$2:$B$3001,$A57,Vendas!$C$2:$C$3001,$B57,Vendas!$AK$2:$AK$3001,"Validado"))</f>
        <v/>
      </c>
      <c r="J57" s="18">
        <f>IF(C57=0,"-",_xlfn.MAXIFS(Vendas!$Z$2:$Z$3001,Vendas!$B$2:$B$3001,$A57,Vendas!$C$2:$C$3001,$B57,Vendas!$AK$2:$AK$3001,"Validado"))</f>
        <v/>
      </c>
    </row>
    <row r="58">
      <c r="A58" s="15" t="inlineStr">
        <is>
          <t>Bertioga</t>
        </is>
      </c>
      <c r="B58" s="15" t="inlineStr">
        <is>
          <t>Costa do Sol</t>
        </is>
      </c>
      <c r="C58" s="15">
        <f>COUNTIFS(Vendas!$B$2:$B$3001,$A58,Vendas!$C$2:$C$3001,$B58,Vendas!$AK$2:$AK$3001,"Validado")</f>
        <v/>
      </c>
      <c r="D58" s="17">
        <f t="array" ref="D58">IF(C58=0,"-",MEDIAN(IF((Vendas!$B$2:$B$3001=$A58)*(Vendas!$C$2:$C$3001=$B58)*(Vendas!$AK$2:$AK$3001="Validado")*ISNUMBER(Vendas!$M$2:$M$3001),Vendas!$M$2:$M$3001)))</f>
        <v/>
      </c>
      <c r="E58" s="17">
        <f>IF(C58=0,"-",_xlfn.MINIFS(Vendas!$M$2:$M$3001,Vendas!$B$2:$B$3001,$A58,Vendas!$C$2:$C$3001,$B58,Vendas!$AK$2:$AK$3001,"Validado"))</f>
        <v/>
      </c>
      <c r="F58" s="17">
        <f>IF(C58=0,"-",_xlfn.MAXIFS(Vendas!$M$2:$M$3001,Vendas!$B$2:$B$3001,$A58,Vendas!$C$2:$C$3001,$B58,Vendas!$AK$2:$AK$3001,"Validado"))</f>
        <v/>
      </c>
      <c r="G58" s="17">
        <f t="array" ref="G58">IF(SUMPRODUCT((Vendas!$B$2:$B$3001=$A58)*(Vendas!$C$2:$C$3001=$B58)*(Vendas!$AK$2:$AK$3001="Validado")*ISNUMBER(Vendas!$S$2:$S$3001))=0,"-",MEDIAN(IF((Vendas!$B$2:$B$3001=$A58)*(Vendas!$C$2:$C$3001=$B58)*(Vendas!$AK$2:$AK$3001="Validado")*ISNUMBER(Vendas!$S$2:$S$3001),Vendas!$S$2:$S$3001)))</f>
        <v/>
      </c>
      <c r="H58" s="15">
        <f>COUNTIFS(Vendas!$B$2:$B$3001,$A58,Vendas!$C$2:$C$3001,$B58,Vendas!$AK$2:$AK$3001,"Validado",Vendas!$T$2:$T$3001,"Valor*")</f>
        <v/>
      </c>
      <c r="I58" s="18">
        <f>IF(C58=0,"-",_xlfn.MINIFS(Vendas!$Z$2:$Z$3001,Vendas!$B$2:$B$3001,$A58,Vendas!$C$2:$C$3001,$B58,Vendas!$AK$2:$AK$3001,"Validado"))</f>
        <v/>
      </c>
      <c r="J58" s="18">
        <f>IF(C58=0,"-",_xlfn.MAXIFS(Vendas!$Z$2:$Z$3001,Vendas!$B$2:$B$3001,$A58,Vendas!$C$2:$C$3001,$B58,Vendas!$AK$2:$AK$3001,"Validado"))</f>
        <v/>
      </c>
    </row>
    <row r="59">
      <c r="A59" s="15" t="inlineStr">
        <is>
          <t>Bertioga</t>
        </is>
      </c>
      <c r="B59" s="15" t="inlineStr">
        <is>
          <t>Morada da Praia</t>
        </is>
      </c>
      <c r="C59" s="15">
        <f>COUNTIFS(Vendas!$B$2:$B$3001,$A59,Vendas!$C$2:$C$3001,$B59,Vendas!$AK$2:$AK$3001,"Validado")</f>
        <v/>
      </c>
      <c r="D59" s="17">
        <f t="array" ref="D59">IF(C59=0,"-",MEDIAN(IF((Vendas!$B$2:$B$3001=$A59)*(Vendas!$C$2:$C$3001=$B59)*(Vendas!$AK$2:$AK$3001="Validado")*ISNUMBER(Vendas!$M$2:$M$3001),Vendas!$M$2:$M$3001)))</f>
        <v/>
      </c>
      <c r="E59" s="17">
        <f>IF(C59=0,"-",_xlfn.MINIFS(Vendas!$M$2:$M$3001,Vendas!$B$2:$B$3001,$A59,Vendas!$C$2:$C$3001,$B59,Vendas!$AK$2:$AK$3001,"Validado"))</f>
        <v/>
      </c>
      <c r="F59" s="17">
        <f>IF(C59=0,"-",_xlfn.MAXIFS(Vendas!$M$2:$M$3001,Vendas!$B$2:$B$3001,$A59,Vendas!$C$2:$C$3001,$B59,Vendas!$AK$2:$AK$3001,"Validado"))</f>
        <v/>
      </c>
      <c r="G59" s="17">
        <f t="array" ref="G59">IF(SUMPRODUCT((Vendas!$B$2:$B$3001=$A59)*(Vendas!$C$2:$C$3001=$B59)*(Vendas!$AK$2:$AK$3001="Validado")*ISNUMBER(Vendas!$S$2:$S$3001))=0,"-",MEDIAN(IF((Vendas!$B$2:$B$3001=$A59)*(Vendas!$C$2:$C$3001=$B59)*(Vendas!$AK$2:$AK$3001="Validado")*ISNUMBER(Vendas!$S$2:$S$3001),Vendas!$S$2:$S$3001)))</f>
        <v/>
      </c>
      <c r="H59" s="15">
        <f>COUNTIFS(Vendas!$B$2:$B$3001,$A59,Vendas!$C$2:$C$3001,$B59,Vendas!$AK$2:$AK$3001,"Validado",Vendas!$T$2:$T$3001,"Valor*")</f>
        <v/>
      </c>
      <c r="I59" s="18">
        <f>IF(C59=0,"-",_xlfn.MINIFS(Vendas!$Z$2:$Z$3001,Vendas!$B$2:$B$3001,$A59,Vendas!$C$2:$C$3001,$B59,Vendas!$AK$2:$AK$3001,"Validado"))</f>
        <v/>
      </c>
      <c r="J59" s="18">
        <f>IF(C59=0,"-",_xlfn.MAXIFS(Vendas!$Z$2:$Z$3001,Vendas!$B$2:$B$3001,$A59,Vendas!$C$2:$C$3001,$B59,Vendas!$AK$2:$AK$3001,"Validado"))</f>
        <v/>
      </c>
    </row>
    <row r="60">
      <c r="A60" s="15" t="inlineStr">
        <is>
          <t>Bertioga</t>
        </is>
      </c>
      <c r="B60" s="15" t="inlineStr">
        <is>
          <t>Boraceia</t>
        </is>
      </c>
      <c r="C60" s="15">
        <f>COUNTIFS(Vendas!$B$2:$B$3001,$A60,Vendas!$C$2:$C$3001,$B60,Vendas!$AK$2:$AK$3001,"Validado")</f>
        <v/>
      </c>
      <c r="D60" s="17">
        <f t="array" ref="D60">IF(C60=0,"-",MEDIAN(IF((Vendas!$B$2:$B$3001=$A60)*(Vendas!$C$2:$C$3001=$B60)*(Vendas!$AK$2:$AK$3001="Validado")*ISNUMBER(Vendas!$M$2:$M$3001),Vendas!$M$2:$M$3001)))</f>
        <v/>
      </c>
      <c r="E60" s="17">
        <f>IF(C60=0,"-",_xlfn.MINIFS(Vendas!$M$2:$M$3001,Vendas!$B$2:$B$3001,$A60,Vendas!$C$2:$C$3001,$B60,Vendas!$AK$2:$AK$3001,"Validado"))</f>
        <v/>
      </c>
      <c r="F60" s="17">
        <f>IF(C60=0,"-",_xlfn.MAXIFS(Vendas!$M$2:$M$3001,Vendas!$B$2:$B$3001,$A60,Vendas!$C$2:$C$3001,$B60,Vendas!$AK$2:$AK$3001,"Validado"))</f>
        <v/>
      </c>
      <c r="G60" s="17">
        <f t="array" ref="G60">IF(SUMPRODUCT((Vendas!$B$2:$B$3001=$A60)*(Vendas!$C$2:$C$3001=$B60)*(Vendas!$AK$2:$AK$3001="Validado")*ISNUMBER(Vendas!$S$2:$S$3001))=0,"-",MEDIAN(IF((Vendas!$B$2:$B$3001=$A60)*(Vendas!$C$2:$C$3001=$B60)*(Vendas!$AK$2:$AK$3001="Validado")*ISNUMBER(Vendas!$S$2:$S$3001),Vendas!$S$2:$S$3001)))</f>
        <v/>
      </c>
      <c r="H60" s="15">
        <f>COUNTIFS(Vendas!$B$2:$B$3001,$A60,Vendas!$C$2:$C$3001,$B60,Vendas!$AK$2:$AK$3001,"Validado",Vendas!$T$2:$T$3001,"Valor*")</f>
        <v/>
      </c>
      <c r="I60" s="18">
        <f>IF(C60=0,"-",_xlfn.MINIFS(Vendas!$Z$2:$Z$3001,Vendas!$B$2:$B$3001,$A60,Vendas!$C$2:$C$3001,$B60,Vendas!$AK$2:$AK$3001,"Validado"))</f>
        <v/>
      </c>
      <c r="J60" s="18">
        <f>IF(C60=0,"-",_xlfn.MAXIFS(Vendas!$Z$2:$Z$3001,Vendas!$B$2:$B$3001,$A60,Vendas!$C$2:$C$3001,$B60,Vendas!$AK$2:$AK$3001,"Validado"))</f>
        <v/>
      </c>
    </row>
    <row r="61">
      <c r="A61" s="15" t="inlineStr">
        <is>
          <t>Bertioga</t>
        </is>
      </c>
      <c r="B61" s="15" t="inlineStr">
        <is>
          <t>T.I. (Terras Indígenas do Rio Silveiras)</t>
        </is>
      </c>
      <c r="C61" s="15">
        <f>COUNTIFS(Vendas!$B$2:$B$3001,$A61,Vendas!$C$2:$C$3001,$B61,Vendas!$AK$2:$AK$3001,"Validado")</f>
        <v/>
      </c>
      <c r="D61" s="17">
        <f t="array" ref="D61">IF(C61=0,"-",MEDIAN(IF((Vendas!$B$2:$B$3001=$A61)*(Vendas!$C$2:$C$3001=$B61)*(Vendas!$AK$2:$AK$3001="Validado")*ISNUMBER(Vendas!$M$2:$M$3001),Vendas!$M$2:$M$3001)))</f>
        <v/>
      </c>
      <c r="E61" s="17">
        <f>IF(C61=0,"-",_xlfn.MINIFS(Vendas!$M$2:$M$3001,Vendas!$B$2:$B$3001,$A61,Vendas!$C$2:$C$3001,$B61,Vendas!$AK$2:$AK$3001,"Validado"))</f>
        <v/>
      </c>
      <c r="F61" s="17">
        <f>IF(C61=0,"-",_xlfn.MAXIFS(Vendas!$M$2:$M$3001,Vendas!$B$2:$B$3001,$A61,Vendas!$C$2:$C$3001,$B61,Vendas!$AK$2:$AK$3001,"Validado"))</f>
        <v/>
      </c>
      <c r="G61" s="17">
        <f t="array" ref="G61">IF(SUMPRODUCT((Vendas!$B$2:$B$3001=$A61)*(Vendas!$C$2:$C$3001=$B61)*(Vendas!$AK$2:$AK$3001="Validado")*ISNUMBER(Vendas!$S$2:$S$3001))=0,"-",MEDIAN(IF((Vendas!$B$2:$B$3001=$A61)*(Vendas!$C$2:$C$3001=$B61)*(Vendas!$AK$2:$AK$3001="Validado")*ISNUMBER(Vendas!$S$2:$S$3001),Vendas!$S$2:$S$3001)))</f>
        <v/>
      </c>
      <c r="H61" s="15">
        <f>COUNTIFS(Vendas!$B$2:$B$3001,$A61,Vendas!$C$2:$C$3001,$B61,Vendas!$AK$2:$AK$3001,"Validado",Vendas!$T$2:$T$3001,"Valor*")</f>
        <v/>
      </c>
      <c r="I61" s="18">
        <f>IF(C61=0,"-",_xlfn.MINIFS(Vendas!$Z$2:$Z$3001,Vendas!$B$2:$B$3001,$A61,Vendas!$C$2:$C$3001,$B61,Vendas!$AK$2:$AK$3001,"Validado"))</f>
        <v/>
      </c>
      <c r="J61" s="18">
        <f>IF(C61=0,"-",_xlfn.MAXIFS(Vendas!$Z$2:$Z$3001,Vendas!$B$2:$B$3001,$A61,Vendas!$C$2:$C$3001,$B61,Vendas!$AK$2:$AK$3001,"Validado"))</f>
        <v/>
      </c>
    </row>
    <row r="62">
      <c r="A62" s="19" t="inlineStr">
        <is>
          <t>Bertioga</t>
        </is>
      </c>
      <c r="B62" s="19" t="inlineStr">
        <is>
          <t>TOTAL DA CIDADE</t>
        </is>
      </c>
      <c r="C62" s="19">
        <f>COUNTIFS(Vendas!$B$2:$B$3001,$A62,Vendas!$AK$2:$AK$3001,"Validado")</f>
        <v/>
      </c>
      <c r="D62" s="20">
        <f t="array" ref="D62">IF(C62=0,"-",MEDIAN(IF((Vendas!$B$2:$B$3001=$A62)*(Vendas!$AK$2:$AK$3001="Validado")*ISNUMBER(Vendas!$M$2:$M$3001),Vendas!$M$2:$M$3001)))</f>
        <v/>
      </c>
      <c r="E62" s="20">
        <f>IF(C62=0,"-",_xlfn.MINIFS(Vendas!$M$2:$M$3001,Vendas!$B$2:$B$3001,$A62,Vendas!$AK$2:$AK$3001,"Validado"))</f>
        <v/>
      </c>
      <c r="F62" s="20">
        <f>IF(C62=0,"-",_xlfn.MAXIFS(Vendas!$M$2:$M$3001,Vendas!$B$2:$B$3001,$A62,Vendas!$AK$2:$AK$3001,"Validado"))</f>
        <v/>
      </c>
      <c r="G62" s="20">
        <f t="array" ref="G62">IF(SUMPRODUCT((Vendas!$B$2:$B$3001=$A62)*(Vendas!$AK$2:$AK$3001="Validado")*ISNUMBER(Vendas!$S$2:$S$3001))=0,"-",MEDIAN(IF((Vendas!$B$2:$B$3001=$A62)*(Vendas!$AK$2:$AK$3001="Validado")*ISNUMBER(Vendas!$S$2:$S$3001),Vendas!$S$2:$S$3001)))</f>
        <v/>
      </c>
      <c r="H62" s="19">
        <f>COUNTIFS(Vendas!$B$2:$B$3001,$A62,Vendas!$AK$2:$AK$3001,"Validado",Vendas!$T$2:$T$3001,"Valor*")</f>
        <v/>
      </c>
      <c r="I62" s="21">
        <f>IF(C62=0,"-",_xlfn.MINIFS(Vendas!$Z$2:$Z$3001,Vendas!$B$2:$B$3001,$A62,Vendas!$AK$2:$AK$3001,"Validado"))</f>
        <v/>
      </c>
      <c r="J62" s="21">
        <f>IF(C62=0,"-",_xlfn.MAXIFS(Vendas!$Z$2:$Z$3001,Vendas!$B$2:$B$3001,$A62,Vendas!$AK$2:$AK$3001,"Validado"))</f>
        <v/>
      </c>
    </row>
    <row r="63">
      <c r="A63" s="15" t="n"/>
      <c r="B63" s="15" t="n"/>
      <c r="C63" s="15" t="n"/>
      <c r="D63" s="17" t="n"/>
      <c r="E63" s="17" t="n"/>
      <c r="F63" s="17" t="n"/>
      <c r="G63" s="17" t="n"/>
      <c r="H63" s="15" t="n"/>
      <c r="I63" s="18" t="n"/>
      <c r="J63" s="18" t="n"/>
    </row>
    <row r="64">
      <c r="A64" s="15" t="n"/>
      <c r="B64" s="15" t="n"/>
      <c r="C64" s="15" t="n"/>
      <c r="D64" s="17" t="n"/>
      <c r="E64" s="17" t="n"/>
      <c r="F64" s="17" t="n"/>
      <c r="G64" s="17" t="n"/>
      <c r="H64" s="15" t="n"/>
      <c r="I64" s="18" t="n"/>
      <c r="J64" s="18" t="n"/>
    </row>
    <row r="65">
      <c r="A65" s="1" t="inlineStr">
        <is>
          <t>Resumo por cidade e padrão</t>
        </is>
      </c>
      <c r="B65" s="15" t="n"/>
      <c r="C65" s="15" t="n"/>
      <c r="D65" s="17" t="n"/>
      <c r="E65" s="17" t="n"/>
      <c r="F65" s="17" t="n"/>
      <c r="G65" s="17" t="n"/>
      <c r="H65" s="15" t="n"/>
      <c r="I65" s="18" t="n"/>
      <c r="J65" s="18" t="n"/>
    </row>
    <row r="66">
      <c r="A66" s="2" t="inlineStr">
        <is>
          <t>Cidade</t>
        </is>
      </c>
      <c r="B66" s="2" t="inlineStr">
        <is>
          <t>Padrão</t>
        </is>
      </c>
      <c r="C66" s="2" t="inlineStr">
        <is>
          <t>Nº de vendas</t>
        </is>
      </c>
      <c r="D66" s="22" t="inlineStr">
        <is>
          <t>Valor mediano (R$)</t>
        </is>
      </c>
      <c r="E66" s="22" t="inlineStr">
        <is>
          <t>Menor valor (R$)</t>
        </is>
      </c>
      <c r="F66" s="22" t="inlineStr">
        <is>
          <t>Maior valor (R$)</t>
        </is>
      </c>
      <c r="G66" s="22" t="inlineStr">
        <is>
          <t>R$/m² mediano</t>
        </is>
      </c>
      <c r="H66" s="15" t="n"/>
      <c r="I66" s="18" t="n"/>
      <c r="J66" s="18" t="n"/>
    </row>
    <row r="67">
      <c r="A67" s="15" t="inlineStr">
        <is>
          <t>São Sebastião</t>
        </is>
      </c>
      <c r="B67" s="15" t="inlineStr">
        <is>
          <t>Baixo</t>
        </is>
      </c>
      <c r="C67" s="15">
        <f>COUNTIFS(Vendas!$B$2:$B$3001,$A67,Vendas!$J$2:$J$3001,$B67,Vendas!$AK$2:$AK$3001,"Validado")</f>
        <v/>
      </c>
      <c r="D67" s="17">
        <f t="array" ref="D67">IF(C67=0,"-",MEDIAN(IF((Vendas!$B$2:$B$3001=$A67)*(Vendas!$J$2:$J$3001=$B67)*(Vendas!$AK$2:$AK$3001="Validado")*ISNUMBER(Vendas!$M$2:$M$3001),Vendas!$M$2:$M$3001)))</f>
        <v/>
      </c>
      <c r="E67" s="17">
        <f>IF(C67=0,"-",_xlfn.MINIFS(Vendas!$M$2:$M$3001,Vendas!$B$2:$B$3001,$A67,Vendas!$J$2:$J$3001,$B67,Vendas!$AK$2:$AK$3001,"Validado"))</f>
        <v/>
      </c>
      <c r="F67" s="17">
        <f>IF(C67=0,"-",_xlfn.MAXIFS(Vendas!$M$2:$M$3001,Vendas!$B$2:$B$3001,$A67,Vendas!$J$2:$J$3001,$B67,Vendas!$AK$2:$AK$3001,"Validado"))</f>
        <v/>
      </c>
      <c r="G67" s="17">
        <f t="array" ref="G67">IF(SUMPRODUCT((Vendas!$B$2:$B$3001=$A67)*(Vendas!$J$2:$J$3001=$B67)*(Vendas!$AK$2:$AK$3001="Validado")*ISNUMBER(Vendas!$S$2:$S$3001))=0,"-",MEDIAN(IF((Vendas!$B$2:$B$3001=$A67)*(Vendas!$J$2:$J$3001=$B67)*(Vendas!$AK$2:$AK$3001="Validado")*ISNUMBER(Vendas!$S$2:$S$3001),Vendas!$S$2:$S$3001)))</f>
        <v/>
      </c>
      <c r="H67" s="15" t="n"/>
      <c r="I67" s="18" t="n"/>
      <c r="J67" s="18" t="n"/>
    </row>
    <row r="68">
      <c r="A68" s="15" t="inlineStr">
        <is>
          <t>São Sebastião</t>
        </is>
      </c>
      <c r="B68" s="15" t="inlineStr">
        <is>
          <t>Normal</t>
        </is>
      </c>
      <c r="C68" s="15">
        <f>COUNTIFS(Vendas!$B$2:$B$3001,$A68,Vendas!$J$2:$J$3001,$B68,Vendas!$AK$2:$AK$3001,"Validado")</f>
        <v/>
      </c>
      <c r="D68" s="17">
        <f t="array" ref="D68">IF(C68=0,"-",MEDIAN(IF((Vendas!$B$2:$B$3001=$A68)*(Vendas!$J$2:$J$3001=$B68)*(Vendas!$AK$2:$AK$3001="Validado")*ISNUMBER(Vendas!$M$2:$M$3001),Vendas!$M$2:$M$3001)))</f>
        <v/>
      </c>
      <c r="E68" s="17">
        <f>IF(C68=0,"-",_xlfn.MINIFS(Vendas!$M$2:$M$3001,Vendas!$B$2:$B$3001,$A68,Vendas!$J$2:$J$3001,$B68,Vendas!$AK$2:$AK$3001,"Validado"))</f>
        <v/>
      </c>
      <c r="F68" s="17">
        <f>IF(C68=0,"-",_xlfn.MAXIFS(Vendas!$M$2:$M$3001,Vendas!$B$2:$B$3001,$A68,Vendas!$J$2:$J$3001,$B68,Vendas!$AK$2:$AK$3001,"Validado"))</f>
        <v/>
      </c>
      <c r="G68" s="17">
        <f t="array" ref="G68">IF(SUMPRODUCT((Vendas!$B$2:$B$3001=$A68)*(Vendas!$J$2:$J$3001=$B68)*(Vendas!$AK$2:$AK$3001="Validado")*ISNUMBER(Vendas!$S$2:$S$3001))=0,"-",MEDIAN(IF((Vendas!$B$2:$B$3001=$A68)*(Vendas!$J$2:$J$3001=$B68)*(Vendas!$AK$2:$AK$3001="Validado")*ISNUMBER(Vendas!$S$2:$S$3001),Vendas!$S$2:$S$3001)))</f>
        <v/>
      </c>
      <c r="H68" s="15" t="n"/>
      <c r="I68" s="18" t="n"/>
      <c r="J68" s="18" t="n"/>
    </row>
    <row r="69">
      <c r="A69" s="15" t="inlineStr">
        <is>
          <t>São Sebastião</t>
        </is>
      </c>
      <c r="B69" s="15" t="inlineStr">
        <is>
          <t>Alto</t>
        </is>
      </c>
      <c r="C69" s="15">
        <f>COUNTIFS(Vendas!$B$2:$B$3001,$A69,Vendas!$J$2:$J$3001,$B69,Vendas!$AK$2:$AK$3001,"Validado")</f>
        <v/>
      </c>
      <c r="D69" s="17">
        <f t="array" ref="D69">IF(C69=0,"-",MEDIAN(IF((Vendas!$B$2:$B$3001=$A69)*(Vendas!$J$2:$J$3001=$B69)*(Vendas!$AK$2:$AK$3001="Validado")*ISNUMBER(Vendas!$M$2:$M$3001),Vendas!$M$2:$M$3001)))</f>
        <v/>
      </c>
      <c r="E69" s="17">
        <f>IF(C69=0,"-",_xlfn.MINIFS(Vendas!$M$2:$M$3001,Vendas!$B$2:$B$3001,$A69,Vendas!$J$2:$J$3001,$B69,Vendas!$AK$2:$AK$3001,"Validado"))</f>
        <v/>
      </c>
      <c r="F69" s="17">
        <f>IF(C69=0,"-",_xlfn.MAXIFS(Vendas!$M$2:$M$3001,Vendas!$B$2:$B$3001,$A69,Vendas!$J$2:$J$3001,$B69,Vendas!$AK$2:$AK$3001,"Validado"))</f>
        <v/>
      </c>
      <c r="G69" s="17">
        <f t="array" ref="G69">IF(SUMPRODUCT((Vendas!$B$2:$B$3001=$A69)*(Vendas!$J$2:$J$3001=$B69)*(Vendas!$AK$2:$AK$3001="Validado")*ISNUMBER(Vendas!$S$2:$S$3001))=0,"-",MEDIAN(IF((Vendas!$B$2:$B$3001=$A69)*(Vendas!$J$2:$J$3001=$B69)*(Vendas!$AK$2:$AK$3001="Validado")*ISNUMBER(Vendas!$S$2:$S$3001),Vendas!$S$2:$S$3001)))</f>
        <v/>
      </c>
      <c r="H69" s="15" t="n"/>
      <c r="I69" s="18" t="n"/>
      <c r="J69" s="18" t="n"/>
    </row>
    <row r="70">
      <c r="A70" s="15" t="inlineStr">
        <is>
          <t>São Sebastião</t>
        </is>
      </c>
      <c r="B70" s="15" t="inlineStr">
        <is>
          <t>Não informado</t>
        </is>
      </c>
      <c r="C70" s="15">
        <f>COUNTIFS(Vendas!$B$2:$B$3001,$A70,Vendas!$J$2:$J$3001,$B70,Vendas!$AK$2:$AK$3001,"Validado")</f>
        <v/>
      </c>
      <c r="D70" s="17">
        <f t="array" ref="D70">IF(C70=0,"-",MEDIAN(IF((Vendas!$B$2:$B$3001=$A70)*(Vendas!$J$2:$J$3001=$B70)*(Vendas!$AK$2:$AK$3001="Validado")*ISNUMBER(Vendas!$M$2:$M$3001),Vendas!$M$2:$M$3001)))</f>
        <v/>
      </c>
      <c r="E70" s="17">
        <f>IF(C70=0,"-",_xlfn.MINIFS(Vendas!$M$2:$M$3001,Vendas!$B$2:$B$3001,$A70,Vendas!$J$2:$J$3001,$B70,Vendas!$AK$2:$AK$3001,"Validado"))</f>
        <v/>
      </c>
      <c r="F70" s="17">
        <f>IF(C70=0,"-",_xlfn.MAXIFS(Vendas!$M$2:$M$3001,Vendas!$B$2:$B$3001,$A70,Vendas!$J$2:$J$3001,$B70,Vendas!$AK$2:$AK$3001,"Validado"))</f>
        <v/>
      </c>
      <c r="G70" s="17">
        <f t="array" ref="G70">IF(SUMPRODUCT((Vendas!$B$2:$B$3001=$A70)*(Vendas!$J$2:$J$3001=$B70)*(Vendas!$AK$2:$AK$3001="Validado")*ISNUMBER(Vendas!$S$2:$S$3001))=0,"-",MEDIAN(IF((Vendas!$B$2:$B$3001=$A70)*(Vendas!$J$2:$J$3001=$B70)*(Vendas!$AK$2:$AK$3001="Validado")*ISNUMBER(Vendas!$S$2:$S$3001),Vendas!$S$2:$S$3001)))</f>
        <v/>
      </c>
      <c r="H70" s="15" t="n"/>
      <c r="I70" s="18" t="n"/>
      <c r="J70" s="18" t="n"/>
    </row>
    <row r="71">
      <c r="A71" s="15" t="inlineStr">
        <is>
          <t>Bertioga</t>
        </is>
      </c>
      <c r="B71" s="15" t="inlineStr">
        <is>
          <t>Baixo</t>
        </is>
      </c>
      <c r="C71" s="15">
        <f>COUNTIFS(Vendas!$B$2:$B$3001,$A71,Vendas!$J$2:$J$3001,$B71,Vendas!$AK$2:$AK$3001,"Validado")</f>
        <v/>
      </c>
      <c r="D71" s="17">
        <f t="array" ref="D71">IF(C71=0,"-",MEDIAN(IF((Vendas!$B$2:$B$3001=$A71)*(Vendas!$J$2:$J$3001=$B71)*(Vendas!$AK$2:$AK$3001="Validado")*ISNUMBER(Vendas!$M$2:$M$3001),Vendas!$M$2:$M$3001)))</f>
        <v/>
      </c>
      <c r="E71" s="17">
        <f>IF(C71=0,"-",_xlfn.MINIFS(Vendas!$M$2:$M$3001,Vendas!$B$2:$B$3001,$A71,Vendas!$J$2:$J$3001,$B71,Vendas!$AK$2:$AK$3001,"Validado"))</f>
        <v/>
      </c>
      <c r="F71" s="17">
        <f>IF(C71=0,"-",_xlfn.MAXIFS(Vendas!$M$2:$M$3001,Vendas!$B$2:$B$3001,$A71,Vendas!$J$2:$J$3001,$B71,Vendas!$AK$2:$AK$3001,"Validado"))</f>
        <v/>
      </c>
      <c r="G71" s="17">
        <f t="array" ref="G71">IF(SUMPRODUCT((Vendas!$B$2:$B$3001=$A71)*(Vendas!$J$2:$J$3001=$B71)*(Vendas!$AK$2:$AK$3001="Validado")*ISNUMBER(Vendas!$S$2:$S$3001))=0,"-",MEDIAN(IF((Vendas!$B$2:$B$3001=$A71)*(Vendas!$J$2:$J$3001=$B71)*(Vendas!$AK$2:$AK$3001="Validado")*ISNUMBER(Vendas!$S$2:$S$3001),Vendas!$S$2:$S$3001)))</f>
        <v/>
      </c>
      <c r="H71" s="15" t="n"/>
      <c r="I71" s="18" t="n"/>
      <c r="J71" s="18" t="n"/>
    </row>
    <row r="72">
      <c r="A72" s="15" t="inlineStr">
        <is>
          <t>Bertioga</t>
        </is>
      </c>
      <c r="B72" s="15" t="inlineStr">
        <is>
          <t>Normal</t>
        </is>
      </c>
      <c r="C72" s="15">
        <f>COUNTIFS(Vendas!$B$2:$B$3001,$A72,Vendas!$J$2:$J$3001,$B72,Vendas!$AK$2:$AK$3001,"Validado")</f>
        <v/>
      </c>
      <c r="D72" s="17">
        <f t="array" ref="D72">IF(C72=0,"-",MEDIAN(IF((Vendas!$B$2:$B$3001=$A72)*(Vendas!$J$2:$J$3001=$B72)*(Vendas!$AK$2:$AK$3001="Validado")*ISNUMBER(Vendas!$M$2:$M$3001),Vendas!$M$2:$M$3001)))</f>
        <v/>
      </c>
      <c r="E72" s="17">
        <f>IF(C72=0,"-",_xlfn.MINIFS(Vendas!$M$2:$M$3001,Vendas!$B$2:$B$3001,$A72,Vendas!$J$2:$J$3001,$B72,Vendas!$AK$2:$AK$3001,"Validado"))</f>
        <v/>
      </c>
      <c r="F72" s="17">
        <f>IF(C72=0,"-",_xlfn.MAXIFS(Vendas!$M$2:$M$3001,Vendas!$B$2:$B$3001,$A72,Vendas!$J$2:$J$3001,$B72,Vendas!$AK$2:$AK$3001,"Validado"))</f>
        <v/>
      </c>
      <c r="G72" s="17">
        <f t="array" ref="G72">IF(SUMPRODUCT((Vendas!$B$2:$B$3001=$A72)*(Vendas!$J$2:$J$3001=$B72)*(Vendas!$AK$2:$AK$3001="Validado")*ISNUMBER(Vendas!$S$2:$S$3001))=0,"-",MEDIAN(IF((Vendas!$B$2:$B$3001=$A72)*(Vendas!$J$2:$J$3001=$B72)*(Vendas!$AK$2:$AK$3001="Validado")*ISNUMBER(Vendas!$S$2:$S$3001),Vendas!$S$2:$S$3001)))</f>
        <v/>
      </c>
      <c r="H72" s="15" t="n"/>
      <c r="I72" s="18" t="n"/>
      <c r="J72" s="18" t="n"/>
    </row>
    <row r="73">
      <c r="A73" s="15" t="inlineStr">
        <is>
          <t>Bertioga</t>
        </is>
      </c>
      <c r="B73" s="15" t="inlineStr">
        <is>
          <t>Alto</t>
        </is>
      </c>
      <c r="C73" s="15">
        <f>COUNTIFS(Vendas!$B$2:$B$3001,$A73,Vendas!$J$2:$J$3001,$B73,Vendas!$AK$2:$AK$3001,"Validado")</f>
        <v/>
      </c>
      <c r="D73" s="17">
        <f t="array" ref="D73">IF(C73=0,"-",MEDIAN(IF((Vendas!$B$2:$B$3001=$A73)*(Vendas!$J$2:$J$3001=$B73)*(Vendas!$AK$2:$AK$3001="Validado")*ISNUMBER(Vendas!$M$2:$M$3001),Vendas!$M$2:$M$3001)))</f>
        <v/>
      </c>
      <c r="E73" s="17">
        <f>IF(C73=0,"-",_xlfn.MINIFS(Vendas!$M$2:$M$3001,Vendas!$B$2:$B$3001,$A73,Vendas!$J$2:$J$3001,$B73,Vendas!$AK$2:$AK$3001,"Validado"))</f>
        <v/>
      </c>
      <c r="F73" s="17">
        <f>IF(C73=0,"-",_xlfn.MAXIFS(Vendas!$M$2:$M$3001,Vendas!$B$2:$B$3001,$A73,Vendas!$J$2:$J$3001,$B73,Vendas!$AK$2:$AK$3001,"Validado"))</f>
        <v/>
      </c>
      <c r="G73" s="17">
        <f t="array" ref="G73">IF(SUMPRODUCT((Vendas!$B$2:$B$3001=$A73)*(Vendas!$J$2:$J$3001=$B73)*(Vendas!$AK$2:$AK$3001="Validado")*ISNUMBER(Vendas!$S$2:$S$3001))=0,"-",MEDIAN(IF((Vendas!$B$2:$B$3001=$A73)*(Vendas!$J$2:$J$3001=$B73)*(Vendas!$AK$2:$AK$3001="Validado")*ISNUMBER(Vendas!$S$2:$S$3001),Vendas!$S$2:$S$3001)))</f>
        <v/>
      </c>
      <c r="H73" s="15" t="n"/>
      <c r="I73" s="18" t="n"/>
      <c r="J73" s="18" t="n"/>
    </row>
    <row r="74">
      <c r="A74" s="15" t="inlineStr">
        <is>
          <t>Bertioga</t>
        </is>
      </c>
      <c r="B74" s="15" t="inlineStr">
        <is>
          <t>Não informado</t>
        </is>
      </c>
      <c r="C74" s="15">
        <f>COUNTIFS(Vendas!$B$2:$B$3001,$A74,Vendas!$J$2:$J$3001,$B74,Vendas!$AK$2:$AK$3001,"Validado")</f>
        <v/>
      </c>
      <c r="D74" s="17">
        <f t="array" ref="D74">IF(C74=0,"-",MEDIAN(IF((Vendas!$B$2:$B$3001=$A74)*(Vendas!$J$2:$J$3001=$B74)*(Vendas!$AK$2:$AK$3001="Validado")*ISNUMBER(Vendas!$M$2:$M$3001),Vendas!$M$2:$M$3001)))</f>
        <v/>
      </c>
      <c r="E74" s="17">
        <f>IF(C74=0,"-",_xlfn.MINIFS(Vendas!$M$2:$M$3001,Vendas!$B$2:$B$3001,$A74,Vendas!$J$2:$J$3001,$B74,Vendas!$AK$2:$AK$3001,"Validado"))</f>
        <v/>
      </c>
      <c r="F74" s="17">
        <f>IF(C74=0,"-",_xlfn.MAXIFS(Vendas!$M$2:$M$3001,Vendas!$B$2:$B$3001,$A74,Vendas!$J$2:$J$3001,$B74,Vendas!$AK$2:$AK$3001,"Validado"))</f>
        <v/>
      </c>
      <c r="G74" s="17">
        <f t="array" ref="G74">IF(SUMPRODUCT((Vendas!$B$2:$B$3001=$A74)*(Vendas!$J$2:$J$3001=$B74)*(Vendas!$AK$2:$AK$3001="Validado")*ISNUMBER(Vendas!$S$2:$S$3001))=0,"-",MEDIAN(IF((Vendas!$B$2:$B$3001=$A74)*(Vendas!$J$2:$J$3001=$B74)*(Vendas!$AK$2:$AK$3001="Validado")*ISNUMBER(Vendas!$S$2:$S$3001),Vendas!$S$2:$S$3001)))</f>
        <v/>
      </c>
      <c r="H74" s="15" t="n"/>
      <c r="I74" s="18" t="n"/>
      <c r="J74" s="18" t="n"/>
    </row>
    <row r="75">
      <c r="A75" s="15" t="n"/>
      <c r="B75" s="15" t="n"/>
      <c r="C75" s="15" t="n"/>
      <c r="D75" s="17" t="n"/>
      <c r="E75" s="17" t="n"/>
      <c r="F75" s="17" t="n"/>
      <c r="G75" s="17" t="n"/>
      <c r="H75" s="15" t="n"/>
      <c r="I75" s="18" t="n"/>
      <c r="J75" s="1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Análise de subdeclaração do valor de venda no ITBI</t>
        </is>
      </c>
    </row>
    <row r="2" ht="28" customHeight="1">
      <c r="A2" s="23" t="inlineStr">
        <is>
          <t>Usa só vendas com Status = Validado. Nenhum número é estimado: cada indicador sai dos documentos lançados na aba Vendas. Recortes com menos vendas que a amostra mínima mostram 'n&lt;mín'.</t>
        </is>
      </c>
    </row>
    <row r="4">
      <c r="A4" s="3" t="inlineStr">
        <is>
          <t>Amostra mínima (n)</t>
        </is>
      </c>
      <c r="B4" s="24" t="n">
        <v>5</v>
      </c>
    </row>
    <row r="5">
      <c r="A5" s="4" t="inlineStr">
        <is>
          <t>Método e leitura: ver docs/analise_subdeclaracao_ITBI.md. Passe o mouse nos cabeçalhos para a definição de cada indicador.</t>
        </is>
      </c>
    </row>
    <row r="7">
      <c r="A7" s="25" t="inlineStr">
        <is>
          <t>Por cidade</t>
        </is>
      </c>
    </row>
    <row r="8" ht="48" customHeight="1">
      <c r="A8" s="2" t="inlineStr">
        <is>
          <t>Cidade</t>
        </is>
      </c>
      <c r="B8" s="2" t="inlineStr">
        <is>
          <t>Recorte</t>
        </is>
      </c>
      <c r="C8" s="2" t="inlineStr">
        <is>
          <t>Nº vendas validadas</t>
        </is>
      </c>
      <c r="D8" s="2" t="inlineStr">
        <is>
          <t>Nº c/ base ITBI</t>
        </is>
      </c>
      <c r="E8" s="2" t="inlineStr">
        <is>
          <t>Mediana Declarado ÷ Base ITBI</t>
        </is>
      </c>
      <c r="F8" s="2" t="inlineStr">
        <is>
          <t>% c/ base &gt; declarado</t>
        </is>
      </c>
      <c r="G8" s="2" t="inlineStr">
        <is>
          <t>COD Declarado ÷ Base</t>
        </is>
      </c>
      <c r="H8" s="2" t="inlineStr">
        <is>
          <t>Nº c/ venal IPTU</t>
        </is>
      </c>
      <c r="I8" s="2" t="inlineStr">
        <is>
          <t>Mediana Declarado ÷ Venal</t>
        </is>
      </c>
      <c r="J8" s="2" t="inlineStr">
        <is>
          <t>% declarado ≤ venal</t>
        </is>
      </c>
      <c r="K8" s="2" t="inlineStr">
        <is>
          <t>Nº financiadas (c/ m²)</t>
        </is>
      </c>
      <c r="L8" s="2" t="inlineStr">
        <is>
          <t>Nº à vista (c/ m²)</t>
        </is>
      </c>
      <c r="M8" s="2" t="inlineStr">
        <is>
          <t>R$/m² mediano financiadas</t>
        </is>
      </c>
      <c r="N8" s="2" t="inlineStr">
        <is>
          <t>R$/m² mediano à vista</t>
        </is>
      </c>
      <c r="O8" s="2" t="inlineStr">
        <is>
          <t>Dif. à vista vs financiada</t>
        </is>
      </c>
      <c r="P8" s="2" t="inlineStr">
        <is>
          <t>Nº c/ valor leilão</t>
        </is>
      </c>
      <c r="Q8" s="2" t="inlineStr">
        <is>
          <t>Mediana Declarado ÷ Leilão</t>
        </is>
      </c>
      <c r="R8" s="2" t="inlineStr">
        <is>
          <t>% declarado &lt; leilão</t>
        </is>
      </c>
      <c r="S8" s="2" t="inlineStr">
        <is>
          <t>Nº c/ valor financiado</t>
        </is>
      </c>
      <c r="T8" s="2" t="inlineStr">
        <is>
          <t>% financiado ≥ declarado</t>
        </is>
      </c>
    </row>
    <row r="9">
      <c r="A9" s="15" t="inlineStr">
        <is>
          <t>São Sebastião</t>
        </is>
      </c>
      <c r="B9" s="15" t="inlineStr">
        <is>
          <t>Todas</t>
        </is>
      </c>
      <c r="C9" s="26">
        <f>SUMPRODUCT((Vendas!$AK$2:$AK$3001="Validado")*(Vendas!$B$2:$B$3001=$A9))</f>
        <v/>
      </c>
      <c r="D9" s="26">
        <f>SUMPRODUCT((Vendas!$AK$2:$AK$3001="Validado")*(Vendas!$B$2:$B$3001=$A9)*ISNUMBER(Vendas!$U$2:$U$3001))</f>
        <v/>
      </c>
      <c r="E9" s="27">
        <f t="array" ref="E9">IF(D9&lt;AMOSTRA_MIN,"n&lt;mín",MEDIAN(IF((Vendas!$AK$2:$AK$3001="Validado")*(Vendas!$B$2:$B$3001=$A9)*ISNUMBER(Vendas!$U$2:$U$3001),Vendas!$U$2:$U$3001)))</f>
        <v/>
      </c>
      <c r="F9" s="28">
        <f>IF(D9=0,"-",SUMPRODUCT((Vendas!$AK$2:$AK$3001="Validado")*(Vendas!$B$2:$B$3001=$A9)*ISNUMBER(Vendas!$U$2:$U$3001)*(Vendas!$U$2:$U$3001&lt;1))/D9)</f>
        <v/>
      </c>
      <c r="G9" s="29">
        <f t="array" ref="G9">IF(D9&lt;AMOSTRA_MIN,"n&lt;mín",100*AVERAGE(IF((Vendas!$AK$2:$AK$3001="Validado")*(Vendas!$B$2:$B$3001=$A9)*ISNUMBER(Vendas!$U$2:$U$3001),ABS(Vendas!$U$2:$U$3001-E9)))/E9)</f>
        <v/>
      </c>
      <c r="H9" s="26">
        <f>SUMPRODUCT((Vendas!$AK$2:$AK$3001="Validado")*(Vendas!$B$2:$B$3001=$A9)*ISNUMBER(Vendas!$V$2:$V$3001))</f>
        <v/>
      </c>
      <c r="I9" s="27">
        <f t="array" ref="I9">IF(H9&lt;AMOSTRA_MIN,"n&lt;mín",MEDIAN(IF((Vendas!$AK$2:$AK$3001="Validado")*(Vendas!$B$2:$B$3001=$A9)*ISNUMBER(Vendas!$V$2:$V$3001),Vendas!$V$2:$V$3001)))</f>
        <v/>
      </c>
      <c r="J9" s="28">
        <f>IF(H9=0,"-",SUMPRODUCT((Vendas!$AK$2:$AK$3001="Validado")*(Vendas!$B$2:$B$3001=$A9)*ISNUMBER(Vendas!$V$2:$V$3001)*(Vendas!$V$2:$V$3001&lt;=1))/H9)</f>
        <v/>
      </c>
      <c r="K9" s="26">
        <f>SUMPRODUCT((Vendas!$AK$2:$AK$3001="Validado")*(Vendas!$B$2:$B$3001=$A9)*(Vendas!$P$2:$P$3001="Financiado")*ISNUMBER(Vendas!$S$2:$S$3001))</f>
        <v/>
      </c>
      <c r="L9" s="26">
        <f>SUMPRODUCT((Vendas!$AK$2:$AK$3001="Validado")*(Vendas!$B$2:$B$3001=$A9)*(Vendas!$P$2:$P$3001="À vista")*ISNUMBER(Vendas!$S$2:$S$3001))</f>
        <v/>
      </c>
      <c r="M9" s="17">
        <f t="array" ref="M9">IF(K9&lt;AMOSTRA_MIN,"n&lt;mín",MEDIAN(IF((Vendas!$AK$2:$AK$3001="Validado")*(Vendas!$B$2:$B$3001=$A9)*(Vendas!$P$2:$P$3001="Financiado")*ISNUMBER(Vendas!$S$2:$S$3001),Vendas!$S$2:$S$3001)))</f>
        <v/>
      </c>
      <c r="N9" s="17">
        <f t="array" ref="N9">IF(L9&lt;AMOSTRA_MIN,"n&lt;mín",MEDIAN(IF((Vendas!$AK$2:$AK$3001="Validado")*(Vendas!$B$2:$B$3001=$A9)*(Vendas!$P$2:$P$3001="À vista")*ISNUMBER(Vendas!$S$2:$S$3001),Vendas!$S$2:$S$3001)))</f>
        <v/>
      </c>
      <c r="O9" s="28">
        <f>IF(OR(K9&lt;AMOSTRA_MIN,L9&lt;AMOSTRA_MIN),"n&lt;mín",N9/M9-1)</f>
        <v/>
      </c>
      <c r="P9" s="26">
        <f>SUMPRODUCT((Vendas!$AK$2:$AK$3001="Validado")*(Vendas!$B$2:$B$3001=$A9)*ISNUMBER(Vendas!$W$2:$W$3001))</f>
        <v/>
      </c>
      <c r="Q9" s="27">
        <f t="array" ref="Q9">IF(P9&lt;AMOSTRA_MIN,"n&lt;mín",MEDIAN(IF((Vendas!$AK$2:$AK$3001="Validado")*(Vendas!$B$2:$B$3001=$A9)*ISNUMBER(Vendas!$W$2:$W$3001),Vendas!$W$2:$W$3001)))</f>
        <v/>
      </c>
      <c r="R9" s="28">
        <f>IF(P9=0,"-",SUMPRODUCT((Vendas!$AK$2:$AK$3001="Validado")*(Vendas!$B$2:$B$3001=$A9)*ISNUMBER(Vendas!$W$2:$W$3001)*(Vendas!$W$2:$W$3001&lt;1))/P9)</f>
        <v/>
      </c>
      <c r="S9" s="26">
        <f>SUMPRODUCT((Vendas!$AK$2:$AK$3001="Validado")*(Vendas!$B$2:$B$3001=$A9)*ISNUMBER(Vendas!$X$2:$X$3001))</f>
        <v/>
      </c>
      <c r="T9" s="28">
        <f>IF(S9=0,"-",SUMPRODUCT((Vendas!$AK$2:$AK$3001="Validado")*(Vendas!$B$2:$B$3001=$A9)*ISNUMBER(Vendas!$X$2:$X$3001)*(Vendas!$X$2:$X$3001&gt;=1))/S9)</f>
        <v/>
      </c>
    </row>
    <row r="10">
      <c r="A10" s="15" t="inlineStr">
        <is>
          <t>Bertioga</t>
        </is>
      </c>
      <c r="B10" s="15" t="inlineStr">
        <is>
          <t>Todas</t>
        </is>
      </c>
      <c r="C10" s="26">
        <f>SUMPRODUCT((Vendas!$AK$2:$AK$3001="Validado")*(Vendas!$B$2:$B$3001=$A10))</f>
        <v/>
      </c>
      <c r="D10" s="26">
        <f>SUMPRODUCT((Vendas!$AK$2:$AK$3001="Validado")*(Vendas!$B$2:$B$3001=$A10)*ISNUMBER(Vendas!$U$2:$U$3001))</f>
        <v/>
      </c>
      <c r="E10" s="27">
        <f t="array" ref="E10">IF(D10&lt;AMOSTRA_MIN,"n&lt;mín",MEDIAN(IF((Vendas!$AK$2:$AK$3001="Validado")*(Vendas!$B$2:$B$3001=$A10)*ISNUMBER(Vendas!$U$2:$U$3001),Vendas!$U$2:$U$3001)))</f>
        <v/>
      </c>
      <c r="F10" s="28">
        <f>IF(D10=0,"-",SUMPRODUCT((Vendas!$AK$2:$AK$3001="Validado")*(Vendas!$B$2:$B$3001=$A10)*ISNUMBER(Vendas!$U$2:$U$3001)*(Vendas!$U$2:$U$3001&lt;1))/D10)</f>
        <v/>
      </c>
      <c r="G10" s="29">
        <f t="array" ref="G10">IF(D10&lt;AMOSTRA_MIN,"n&lt;mín",100*AVERAGE(IF((Vendas!$AK$2:$AK$3001="Validado")*(Vendas!$B$2:$B$3001=$A10)*ISNUMBER(Vendas!$U$2:$U$3001),ABS(Vendas!$U$2:$U$3001-E10)))/E10)</f>
        <v/>
      </c>
      <c r="H10" s="26">
        <f>SUMPRODUCT((Vendas!$AK$2:$AK$3001="Validado")*(Vendas!$B$2:$B$3001=$A10)*ISNUMBER(Vendas!$V$2:$V$3001))</f>
        <v/>
      </c>
      <c r="I10" s="27">
        <f t="array" ref="I10">IF(H10&lt;AMOSTRA_MIN,"n&lt;mín",MEDIAN(IF((Vendas!$AK$2:$AK$3001="Validado")*(Vendas!$B$2:$B$3001=$A10)*ISNUMBER(Vendas!$V$2:$V$3001),Vendas!$V$2:$V$3001)))</f>
        <v/>
      </c>
      <c r="J10" s="28">
        <f>IF(H10=0,"-",SUMPRODUCT((Vendas!$AK$2:$AK$3001="Validado")*(Vendas!$B$2:$B$3001=$A10)*ISNUMBER(Vendas!$V$2:$V$3001)*(Vendas!$V$2:$V$3001&lt;=1))/H10)</f>
        <v/>
      </c>
      <c r="K10" s="26">
        <f>SUMPRODUCT((Vendas!$AK$2:$AK$3001="Validado")*(Vendas!$B$2:$B$3001=$A10)*(Vendas!$P$2:$P$3001="Financiado")*ISNUMBER(Vendas!$S$2:$S$3001))</f>
        <v/>
      </c>
      <c r="L10" s="26">
        <f>SUMPRODUCT((Vendas!$AK$2:$AK$3001="Validado")*(Vendas!$B$2:$B$3001=$A10)*(Vendas!$P$2:$P$3001="À vista")*ISNUMBER(Vendas!$S$2:$S$3001))</f>
        <v/>
      </c>
      <c r="M10" s="17">
        <f t="array" ref="M10">IF(K10&lt;AMOSTRA_MIN,"n&lt;mín",MEDIAN(IF((Vendas!$AK$2:$AK$3001="Validado")*(Vendas!$B$2:$B$3001=$A10)*(Vendas!$P$2:$P$3001="Financiado")*ISNUMBER(Vendas!$S$2:$S$3001),Vendas!$S$2:$S$3001)))</f>
        <v/>
      </c>
      <c r="N10" s="17">
        <f t="array" ref="N10">IF(L10&lt;AMOSTRA_MIN,"n&lt;mín",MEDIAN(IF((Vendas!$AK$2:$AK$3001="Validado")*(Vendas!$B$2:$B$3001=$A10)*(Vendas!$P$2:$P$3001="À vista")*ISNUMBER(Vendas!$S$2:$S$3001),Vendas!$S$2:$S$3001)))</f>
        <v/>
      </c>
      <c r="O10" s="28">
        <f>IF(OR(K10&lt;AMOSTRA_MIN,L10&lt;AMOSTRA_MIN),"n&lt;mín",N10/M10-1)</f>
        <v/>
      </c>
      <c r="P10" s="26">
        <f>SUMPRODUCT((Vendas!$AK$2:$AK$3001="Validado")*(Vendas!$B$2:$B$3001=$A10)*ISNUMBER(Vendas!$W$2:$W$3001))</f>
        <v/>
      </c>
      <c r="Q10" s="27">
        <f t="array" ref="Q10">IF(P10&lt;AMOSTRA_MIN,"n&lt;mín",MEDIAN(IF((Vendas!$AK$2:$AK$3001="Validado")*(Vendas!$B$2:$B$3001=$A10)*ISNUMBER(Vendas!$W$2:$W$3001),Vendas!$W$2:$W$3001)))</f>
        <v/>
      </c>
      <c r="R10" s="28">
        <f>IF(P10=0,"-",SUMPRODUCT((Vendas!$AK$2:$AK$3001="Validado")*(Vendas!$B$2:$B$3001=$A10)*ISNUMBER(Vendas!$W$2:$W$3001)*(Vendas!$W$2:$W$3001&lt;1))/P10)</f>
        <v/>
      </c>
      <c r="S10" s="26">
        <f>SUMPRODUCT((Vendas!$AK$2:$AK$3001="Validado")*(Vendas!$B$2:$B$3001=$A10)*ISNUMBER(Vendas!$X$2:$X$3001))</f>
        <v/>
      </c>
      <c r="T10" s="28">
        <f>IF(S10=0,"-",SUMPRODUCT((Vendas!$AK$2:$AK$3001="Validado")*(Vendas!$B$2:$B$3001=$A10)*ISNUMBER(Vendas!$X$2:$X$3001)*(Vendas!$X$2:$X$3001&gt;=1))/S10)</f>
        <v/>
      </c>
    </row>
    <row r="13">
      <c r="A13" s="25" t="inlineStr">
        <is>
          <t>Por cidade e ano da escritura</t>
        </is>
      </c>
    </row>
    <row r="14" ht="48" customHeight="1">
      <c r="A14" s="2" t="inlineStr">
        <is>
          <t>Cidade</t>
        </is>
      </c>
      <c r="B14" s="2" t="inlineStr">
        <is>
          <t>Ano</t>
        </is>
      </c>
      <c r="C14" s="2" t="inlineStr">
        <is>
          <t>Nº vendas validadas</t>
        </is>
      </c>
      <c r="D14" s="2" t="inlineStr">
        <is>
          <t>Nº c/ base ITBI</t>
        </is>
      </c>
      <c r="E14" s="2" t="inlineStr">
        <is>
          <t>Mediana Declarado ÷ Base ITBI</t>
        </is>
      </c>
      <c r="F14" s="2" t="inlineStr">
        <is>
          <t>% c/ base &gt; declarado</t>
        </is>
      </c>
      <c r="G14" s="2" t="inlineStr">
        <is>
          <t>COD Declarado ÷ Base</t>
        </is>
      </c>
      <c r="H14" s="2" t="inlineStr">
        <is>
          <t>Nº c/ venal IPTU</t>
        </is>
      </c>
      <c r="I14" s="2" t="inlineStr">
        <is>
          <t>Mediana Declarado ÷ Venal</t>
        </is>
      </c>
      <c r="J14" s="2" t="inlineStr">
        <is>
          <t>% declarado ≤ venal</t>
        </is>
      </c>
      <c r="K14" s="2" t="inlineStr">
        <is>
          <t>Nº financiadas (c/ m²)</t>
        </is>
      </c>
      <c r="L14" s="2" t="inlineStr">
        <is>
          <t>Nº à vista (c/ m²)</t>
        </is>
      </c>
      <c r="M14" s="2" t="inlineStr">
        <is>
          <t>R$/m² mediano financiadas</t>
        </is>
      </c>
      <c r="N14" s="2" t="inlineStr">
        <is>
          <t>R$/m² mediano à vista</t>
        </is>
      </c>
      <c r="O14" s="2" t="inlineStr">
        <is>
          <t>Dif. à vista vs financiada</t>
        </is>
      </c>
      <c r="P14" s="2" t="inlineStr">
        <is>
          <t>Nº c/ valor leilão</t>
        </is>
      </c>
      <c r="Q14" s="2" t="inlineStr">
        <is>
          <t>Mediana Declarado ÷ Leilão</t>
        </is>
      </c>
      <c r="R14" s="2" t="inlineStr">
        <is>
          <t>% declarado &lt; leilão</t>
        </is>
      </c>
      <c r="S14" s="2" t="inlineStr">
        <is>
          <t>Nº c/ valor financiado</t>
        </is>
      </c>
      <c r="T14" s="2" t="inlineStr">
        <is>
          <t>% financiado ≥ declarado</t>
        </is>
      </c>
    </row>
    <row r="15">
      <c r="A15" s="15" t="inlineStr">
        <is>
          <t>São Sebastião</t>
        </is>
      </c>
      <c r="B15" s="15" t="n">
        <v>2021</v>
      </c>
      <c r="C15" s="26">
        <f>SUMPRODUCT((Vendas!$AK$2:$AK$3001="Validado")*(Vendas!$B$2:$B$3001=$A15)*(Vendas!$Y$2:$Y$3001=$B15))</f>
        <v/>
      </c>
      <c r="D15" s="26">
        <f>SUMPRODUCT((Vendas!$AK$2:$AK$3001="Validado")*(Vendas!$B$2:$B$3001=$A15)*(Vendas!$Y$2:$Y$3001=$B15)*ISNUMBER(Vendas!$U$2:$U$3001))</f>
        <v/>
      </c>
      <c r="E15" s="27">
        <f t="array" ref="E15">IF(D15&lt;AMOSTRA_MIN,"n&lt;mín",MEDIAN(IF((Vendas!$AK$2:$AK$3001="Validado")*(Vendas!$B$2:$B$3001=$A15)*(Vendas!$Y$2:$Y$3001=$B15)*ISNUMBER(Vendas!$U$2:$U$3001),Vendas!$U$2:$U$3001)))</f>
        <v/>
      </c>
      <c r="F15" s="28">
        <f>IF(D15=0,"-",SUMPRODUCT((Vendas!$AK$2:$AK$3001="Validado")*(Vendas!$B$2:$B$3001=$A15)*(Vendas!$Y$2:$Y$3001=$B15)*ISNUMBER(Vendas!$U$2:$U$3001)*(Vendas!$U$2:$U$3001&lt;1))/D15)</f>
        <v/>
      </c>
      <c r="G15" s="29">
        <f t="array" ref="G15">IF(D15&lt;AMOSTRA_MIN,"n&lt;mín",100*AVERAGE(IF((Vendas!$AK$2:$AK$3001="Validado")*(Vendas!$B$2:$B$3001=$A15)*(Vendas!$Y$2:$Y$3001=$B15)*ISNUMBER(Vendas!$U$2:$U$3001),ABS(Vendas!$U$2:$U$3001-E15)))/E15)</f>
        <v/>
      </c>
      <c r="H15" s="26">
        <f>SUMPRODUCT((Vendas!$AK$2:$AK$3001="Validado")*(Vendas!$B$2:$B$3001=$A15)*(Vendas!$Y$2:$Y$3001=$B15)*ISNUMBER(Vendas!$V$2:$V$3001))</f>
        <v/>
      </c>
      <c r="I15" s="27">
        <f t="array" ref="I15">IF(H15&lt;AMOSTRA_MIN,"n&lt;mín",MEDIAN(IF((Vendas!$AK$2:$AK$3001="Validado")*(Vendas!$B$2:$B$3001=$A15)*(Vendas!$Y$2:$Y$3001=$B15)*ISNUMBER(Vendas!$V$2:$V$3001),Vendas!$V$2:$V$3001)))</f>
        <v/>
      </c>
      <c r="J15" s="28">
        <f>IF(H15=0,"-",SUMPRODUCT((Vendas!$AK$2:$AK$3001="Validado")*(Vendas!$B$2:$B$3001=$A15)*(Vendas!$Y$2:$Y$3001=$B15)*ISNUMBER(Vendas!$V$2:$V$3001)*(Vendas!$V$2:$V$3001&lt;=1))/H15)</f>
        <v/>
      </c>
      <c r="K15" s="26">
        <f>SUMPRODUCT((Vendas!$AK$2:$AK$3001="Validado")*(Vendas!$B$2:$B$3001=$A15)*(Vendas!$Y$2:$Y$3001=$B15)*(Vendas!$P$2:$P$3001="Financiado")*ISNUMBER(Vendas!$S$2:$S$3001))</f>
        <v/>
      </c>
      <c r="L15" s="26">
        <f>SUMPRODUCT((Vendas!$AK$2:$AK$3001="Validado")*(Vendas!$B$2:$B$3001=$A15)*(Vendas!$Y$2:$Y$3001=$B15)*(Vendas!$P$2:$P$3001="À vista")*ISNUMBER(Vendas!$S$2:$S$3001))</f>
        <v/>
      </c>
      <c r="M15" s="17">
        <f t="array" ref="M15">IF(K15&lt;AMOSTRA_MIN,"n&lt;mín",MEDIAN(IF((Vendas!$AK$2:$AK$3001="Validado")*(Vendas!$B$2:$B$3001=$A15)*(Vendas!$Y$2:$Y$3001=$B15)*(Vendas!$P$2:$P$3001="Financiado")*ISNUMBER(Vendas!$S$2:$S$3001),Vendas!$S$2:$S$3001)))</f>
        <v/>
      </c>
      <c r="N15" s="17">
        <f t="array" ref="N15">IF(L15&lt;AMOSTRA_MIN,"n&lt;mín",MEDIAN(IF((Vendas!$AK$2:$AK$3001="Validado")*(Vendas!$B$2:$B$3001=$A15)*(Vendas!$Y$2:$Y$3001=$B15)*(Vendas!$P$2:$P$3001="À vista")*ISNUMBER(Vendas!$S$2:$S$3001),Vendas!$S$2:$S$3001)))</f>
        <v/>
      </c>
      <c r="O15" s="28">
        <f>IF(OR(K15&lt;AMOSTRA_MIN,L15&lt;AMOSTRA_MIN),"n&lt;mín",N15/M15-1)</f>
        <v/>
      </c>
      <c r="P15" s="26">
        <f>SUMPRODUCT((Vendas!$AK$2:$AK$3001="Validado")*(Vendas!$B$2:$B$3001=$A15)*(Vendas!$Y$2:$Y$3001=$B15)*ISNUMBER(Vendas!$W$2:$W$3001))</f>
        <v/>
      </c>
      <c r="Q15" s="27">
        <f t="array" ref="Q15">IF(P15&lt;AMOSTRA_MIN,"n&lt;mín",MEDIAN(IF((Vendas!$AK$2:$AK$3001="Validado")*(Vendas!$B$2:$B$3001=$A15)*(Vendas!$Y$2:$Y$3001=$B15)*ISNUMBER(Vendas!$W$2:$W$3001),Vendas!$W$2:$W$3001)))</f>
        <v/>
      </c>
      <c r="R15" s="28">
        <f>IF(P15=0,"-",SUMPRODUCT((Vendas!$AK$2:$AK$3001="Validado")*(Vendas!$B$2:$B$3001=$A15)*(Vendas!$Y$2:$Y$3001=$B15)*ISNUMBER(Vendas!$W$2:$W$3001)*(Vendas!$W$2:$W$3001&lt;1))/P15)</f>
        <v/>
      </c>
      <c r="S15" s="26">
        <f>SUMPRODUCT((Vendas!$AK$2:$AK$3001="Validado")*(Vendas!$B$2:$B$3001=$A15)*(Vendas!$Y$2:$Y$3001=$B15)*ISNUMBER(Vendas!$X$2:$X$3001))</f>
        <v/>
      </c>
      <c r="T15" s="28">
        <f>IF(S15=0,"-",SUMPRODUCT((Vendas!$AK$2:$AK$3001="Validado")*(Vendas!$B$2:$B$3001=$A15)*(Vendas!$Y$2:$Y$3001=$B15)*ISNUMBER(Vendas!$X$2:$X$3001)*(Vendas!$X$2:$X$3001&gt;=1))/S15)</f>
        <v/>
      </c>
    </row>
    <row r="16">
      <c r="A16" s="15" t="inlineStr">
        <is>
          <t>São Sebastião</t>
        </is>
      </c>
      <c r="B16" s="15" t="n">
        <v>2022</v>
      </c>
      <c r="C16" s="26">
        <f>SUMPRODUCT((Vendas!$AK$2:$AK$3001="Validado")*(Vendas!$B$2:$B$3001=$A16)*(Vendas!$Y$2:$Y$3001=$B16))</f>
        <v/>
      </c>
      <c r="D16" s="26">
        <f>SUMPRODUCT((Vendas!$AK$2:$AK$3001="Validado")*(Vendas!$B$2:$B$3001=$A16)*(Vendas!$Y$2:$Y$3001=$B16)*ISNUMBER(Vendas!$U$2:$U$3001))</f>
        <v/>
      </c>
      <c r="E16" s="27">
        <f t="array" ref="E16">IF(D16&lt;AMOSTRA_MIN,"n&lt;mín",MEDIAN(IF((Vendas!$AK$2:$AK$3001="Validado")*(Vendas!$B$2:$B$3001=$A16)*(Vendas!$Y$2:$Y$3001=$B16)*ISNUMBER(Vendas!$U$2:$U$3001),Vendas!$U$2:$U$3001)))</f>
        <v/>
      </c>
      <c r="F16" s="28">
        <f>IF(D16=0,"-",SUMPRODUCT((Vendas!$AK$2:$AK$3001="Validado")*(Vendas!$B$2:$B$3001=$A16)*(Vendas!$Y$2:$Y$3001=$B16)*ISNUMBER(Vendas!$U$2:$U$3001)*(Vendas!$U$2:$U$3001&lt;1))/D16)</f>
        <v/>
      </c>
      <c r="G16" s="29">
        <f t="array" ref="G16">IF(D16&lt;AMOSTRA_MIN,"n&lt;mín",100*AVERAGE(IF((Vendas!$AK$2:$AK$3001="Validado")*(Vendas!$B$2:$B$3001=$A16)*(Vendas!$Y$2:$Y$3001=$B16)*ISNUMBER(Vendas!$U$2:$U$3001),ABS(Vendas!$U$2:$U$3001-E16)))/E16)</f>
        <v/>
      </c>
      <c r="H16" s="26">
        <f>SUMPRODUCT((Vendas!$AK$2:$AK$3001="Validado")*(Vendas!$B$2:$B$3001=$A16)*(Vendas!$Y$2:$Y$3001=$B16)*ISNUMBER(Vendas!$V$2:$V$3001))</f>
        <v/>
      </c>
      <c r="I16" s="27">
        <f t="array" ref="I16">IF(H16&lt;AMOSTRA_MIN,"n&lt;mín",MEDIAN(IF((Vendas!$AK$2:$AK$3001="Validado")*(Vendas!$B$2:$B$3001=$A16)*(Vendas!$Y$2:$Y$3001=$B16)*ISNUMBER(Vendas!$V$2:$V$3001),Vendas!$V$2:$V$3001)))</f>
        <v/>
      </c>
      <c r="J16" s="28">
        <f>IF(H16=0,"-",SUMPRODUCT((Vendas!$AK$2:$AK$3001="Validado")*(Vendas!$B$2:$B$3001=$A16)*(Vendas!$Y$2:$Y$3001=$B16)*ISNUMBER(Vendas!$V$2:$V$3001)*(Vendas!$V$2:$V$3001&lt;=1))/H16)</f>
        <v/>
      </c>
      <c r="K16" s="26">
        <f>SUMPRODUCT((Vendas!$AK$2:$AK$3001="Validado")*(Vendas!$B$2:$B$3001=$A16)*(Vendas!$Y$2:$Y$3001=$B16)*(Vendas!$P$2:$P$3001="Financiado")*ISNUMBER(Vendas!$S$2:$S$3001))</f>
        <v/>
      </c>
      <c r="L16" s="26">
        <f>SUMPRODUCT((Vendas!$AK$2:$AK$3001="Validado")*(Vendas!$B$2:$B$3001=$A16)*(Vendas!$Y$2:$Y$3001=$B16)*(Vendas!$P$2:$P$3001="À vista")*ISNUMBER(Vendas!$S$2:$S$3001))</f>
        <v/>
      </c>
      <c r="M16" s="17">
        <f t="array" ref="M16">IF(K16&lt;AMOSTRA_MIN,"n&lt;mín",MEDIAN(IF((Vendas!$AK$2:$AK$3001="Validado")*(Vendas!$B$2:$B$3001=$A16)*(Vendas!$Y$2:$Y$3001=$B16)*(Vendas!$P$2:$P$3001="Financiado")*ISNUMBER(Vendas!$S$2:$S$3001),Vendas!$S$2:$S$3001)))</f>
        <v/>
      </c>
      <c r="N16" s="17">
        <f t="array" ref="N16">IF(L16&lt;AMOSTRA_MIN,"n&lt;mín",MEDIAN(IF((Vendas!$AK$2:$AK$3001="Validado")*(Vendas!$B$2:$B$3001=$A16)*(Vendas!$Y$2:$Y$3001=$B16)*(Vendas!$P$2:$P$3001="À vista")*ISNUMBER(Vendas!$S$2:$S$3001),Vendas!$S$2:$S$3001)))</f>
        <v/>
      </c>
      <c r="O16" s="28">
        <f>IF(OR(K16&lt;AMOSTRA_MIN,L16&lt;AMOSTRA_MIN),"n&lt;mín",N16/M16-1)</f>
        <v/>
      </c>
      <c r="P16" s="26">
        <f>SUMPRODUCT((Vendas!$AK$2:$AK$3001="Validado")*(Vendas!$B$2:$B$3001=$A16)*(Vendas!$Y$2:$Y$3001=$B16)*ISNUMBER(Vendas!$W$2:$W$3001))</f>
        <v/>
      </c>
      <c r="Q16" s="27">
        <f t="array" ref="Q16">IF(P16&lt;AMOSTRA_MIN,"n&lt;mín",MEDIAN(IF((Vendas!$AK$2:$AK$3001="Validado")*(Vendas!$B$2:$B$3001=$A16)*(Vendas!$Y$2:$Y$3001=$B16)*ISNUMBER(Vendas!$W$2:$W$3001),Vendas!$W$2:$W$3001)))</f>
        <v/>
      </c>
      <c r="R16" s="28">
        <f>IF(P16=0,"-",SUMPRODUCT((Vendas!$AK$2:$AK$3001="Validado")*(Vendas!$B$2:$B$3001=$A16)*(Vendas!$Y$2:$Y$3001=$B16)*ISNUMBER(Vendas!$W$2:$W$3001)*(Vendas!$W$2:$W$3001&lt;1))/P16)</f>
        <v/>
      </c>
      <c r="S16" s="26">
        <f>SUMPRODUCT((Vendas!$AK$2:$AK$3001="Validado")*(Vendas!$B$2:$B$3001=$A16)*(Vendas!$Y$2:$Y$3001=$B16)*ISNUMBER(Vendas!$X$2:$X$3001))</f>
        <v/>
      </c>
      <c r="T16" s="28">
        <f>IF(S16=0,"-",SUMPRODUCT((Vendas!$AK$2:$AK$3001="Validado")*(Vendas!$B$2:$B$3001=$A16)*(Vendas!$Y$2:$Y$3001=$B16)*ISNUMBER(Vendas!$X$2:$X$3001)*(Vendas!$X$2:$X$3001&gt;=1))/S16)</f>
        <v/>
      </c>
    </row>
    <row r="17">
      <c r="A17" s="15" t="inlineStr">
        <is>
          <t>São Sebastião</t>
        </is>
      </c>
      <c r="B17" s="15" t="n">
        <v>2023</v>
      </c>
      <c r="C17" s="26">
        <f>SUMPRODUCT((Vendas!$AK$2:$AK$3001="Validado")*(Vendas!$B$2:$B$3001=$A17)*(Vendas!$Y$2:$Y$3001=$B17))</f>
        <v/>
      </c>
      <c r="D17" s="26">
        <f>SUMPRODUCT((Vendas!$AK$2:$AK$3001="Validado")*(Vendas!$B$2:$B$3001=$A17)*(Vendas!$Y$2:$Y$3001=$B17)*ISNUMBER(Vendas!$U$2:$U$3001))</f>
        <v/>
      </c>
      <c r="E17" s="27">
        <f t="array" ref="E17">IF(D17&lt;AMOSTRA_MIN,"n&lt;mín",MEDIAN(IF((Vendas!$AK$2:$AK$3001="Validado")*(Vendas!$B$2:$B$3001=$A17)*(Vendas!$Y$2:$Y$3001=$B17)*ISNUMBER(Vendas!$U$2:$U$3001),Vendas!$U$2:$U$3001)))</f>
        <v/>
      </c>
      <c r="F17" s="28">
        <f>IF(D17=0,"-",SUMPRODUCT((Vendas!$AK$2:$AK$3001="Validado")*(Vendas!$B$2:$B$3001=$A17)*(Vendas!$Y$2:$Y$3001=$B17)*ISNUMBER(Vendas!$U$2:$U$3001)*(Vendas!$U$2:$U$3001&lt;1))/D17)</f>
        <v/>
      </c>
      <c r="G17" s="29">
        <f t="array" ref="G17">IF(D17&lt;AMOSTRA_MIN,"n&lt;mín",100*AVERAGE(IF((Vendas!$AK$2:$AK$3001="Validado")*(Vendas!$B$2:$B$3001=$A17)*(Vendas!$Y$2:$Y$3001=$B17)*ISNUMBER(Vendas!$U$2:$U$3001),ABS(Vendas!$U$2:$U$3001-E17)))/E17)</f>
        <v/>
      </c>
      <c r="H17" s="26">
        <f>SUMPRODUCT((Vendas!$AK$2:$AK$3001="Validado")*(Vendas!$B$2:$B$3001=$A17)*(Vendas!$Y$2:$Y$3001=$B17)*ISNUMBER(Vendas!$V$2:$V$3001))</f>
        <v/>
      </c>
      <c r="I17" s="27">
        <f t="array" ref="I17">IF(H17&lt;AMOSTRA_MIN,"n&lt;mín",MEDIAN(IF((Vendas!$AK$2:$AK$3001="Validado")*(Vendas!$B$2:$B$3001=$A17)*(Vendas!$Y$2:$Y$3001=$B17)*ISNUMBER(Vendas!$V$2:$V$3001),Vendas!$V$2:$V$3001)))</f>
        <v/>
      </c>
      <c r="J17" s="28">
        <f>IF(H17=0,"-",SUMPRODUCT((Vendas!$AK$2:$AK$3001="Validado")*(Vendas!$B$2:$B$3001=$A17)*(Vendas!$Y$2:$Y$3001=$B17)*ISNUMBER(Vendas!$V$2:$V$3001)*(Vendas!$V$2:$V$3001&lt;=1))/H17)</f>
        <v/>
      </c>
      <c r="K17" s="26">
        <f>SUMPRODUCT((Vendas!$AK$2:$AK$3001="Validado")*(Vendas!$B$2:$B$3001=$A17)*(Vendas!$Y$2:$Y$3001=$B17)*(Vendas!$P$2:$P$3001="Financiado")*ISNUMBER(Vendas!$S$2:$S$3001))</f>
        <v/>
      </c>
      <c r="L17" s="26">
        <f>SUMPRODUCT((Vendas!$AK$2:$AK$3001="Validado")*(Vendas!$B$2:$B$3001=$A17)*(Vendas!$Y$2:$Y$3001=$B17)*(Vendas!$P$2:$P$3001="À vista")*ISNUMBER(Vendas!$S$2:$S$3001))</f>
        <v/>
      </c>
      <c r="M17" s="17">
        <f t="array" ref="M17">IF(K17&lt;AMOSTRA_MIN,"n&lt;mín",MEDIAN(IF((Vendas!$AK$2:$AK$3001="Validado")*(Vendas!$B$2:$B$3001=$A17)*(Vendas!$Y$2:$Y$3001=$B17)*(Vendas!$P$2:$P$3001="Financiado")*ISNUMBER(Vendas!$S$2:$S$3001),Vendas!$S$2:$S$3001)))</f>
        <v/>
      </c>
      <c r="N17" s="17">
        <f t="array" ref="N17">IF(L17&lt;AMOSTRA_MIN,"n&lt;mín",MEDIAN(IF((Vendas!$AK$2:$AK$3001="Validado")*(Vendas!$B$2:$B$3001=$A17)*(Vendas!$Y$2:$Y$3001=$B17)*(Vendas!$P$2:$P$3001="À vista")*ISNUMBER(Vendas!$S$2:$S$3001),Vendas!$S$2:$S$3001)))</f>
        <v/>
      </c>
      <c r="O17" s="28">
        <f>IF(OR(K17&lt;AMOSTRA_MIN,L17&lt;AMOSTRA_MIN),"n&lt;mín",N17/M17-1)</f>
        <v/>
      </c>
      <c r="P17" s="26">
        <f>SUMPRODUCT((Vendas!$AK$2:$AK$3001="Validado")*(Vendas!$B$2:$B$3001=$A17)*(Vendas!$Y$2:$Y$3001=$B17)*ISNUMBER(Vendas!$W$2:$W$3001))</f>
        <v/>
      </c>
      <c r="Q17" s="27">
        <f t="array" ref="Q17">IF(P17&lt;AMOSTRA_MIN,"n&lt;mín",MEDIAN(IF((Vendas!$AK$2:$AK$3001="Validado")*(Vendas!$B$2:$B$3001=$A17)*(Vendas!$Y$2:$Y$3001=$B17)*ISNUMBER(Vendas!$W$2:$W$3001),Vendas!$W$2:$W$3001)))</f>
        <v/>
      </c>
      <c r="R17" s="28">
        <f>IF(P17=0,"-",SUMPRODUCT((Vendas!$AK$2:$AK$3001="Validado")*(Vendas!$B$2:$B$3001=$A17)*(Vendas!$Y$2:$Y$3001=$B17)*ISNUMBER(Vendas!$W$2:$W$3001)*(Vendas!$W$2:$W$3001&lt;1))/P17)</f>
        <v/>
      </c>
      <c r="S17" s="26">
        <f>SUMPRODUCT((Vendas!$AK$2:$AK$3001="Validado")*(Vendas!$B$2:$B$3001=$A17)*(Vendas!$Y$2:$Y$3001=$B17)*ISNUMBER(Vendas!$X$2:$X$3001))</f>
        <v/>
      </c>
      <c r="T17" s="28">
        <f>IF(S17=0,"-",SUMPRODUCT((Vendas!$AK$2:$AK$3001="Validado")*(Vendas!$B$2:$B$3001=$A17)*(Vendas!$Y$2:$Y$3001=$B17)*ISNUMBER(Vendas!$X$2:$X$3001)*(Vendas!$X$2:$X$3001&gt;=1))/S17)</f>
        <v/>
      </c>
    </row>
    <row r="18">
      <c r="A18" s="15" t="inlineStr">
        <is>
          <t>São Sebastião</t>
        </is>
      </c>
      <c r="B18" s="15" t="n">
        <v>2024</v>
      </c>
      <c r="C18" s="26">
        <f>SUMPRODUCT((Vendas!$AK$2:$AK$3001="Validado")*(Vendas!$B$2:$B$3001=$A18)*(Vendas!$Y$2:$Y$3001=$B18))</f>
        <v/>
      </c>
      <c r="D18" s="26">
        <f>SUMPRODUCT((Vendas!$AK$2:$AK$3001="Validado")*(Vendas!$B$2:$B$3001=$A18)*(Vendas!$Y$2:$Y$3001=$B18)*ISNUMBER(Vendas!$U$2:$U$3001))</f>
        <v/>
      </c>
      <c r="E18" s="27">
        <f t="array" ref="E18">IF(D18&lt;AMOSTRA_MIN,"n&lt;mín",MEDIAN(IF((Vendas!$AK$2:$AK$3001="Validado")*(Vendas!$B$2:$B$3001=$A18)*(Vendas!$Y$2:$Y$3001=$B18)*ISNUMBER(Vendas!$U$2:$U$3001),Vendas!$U$2:$U$3001)))</f>
        <v/>
      </c>
      <c r="F18" s="28">
        <f>IF(D18=0,"-",SUMPRODUCT((Vendas!$AK$2:$AK$3001="Validado")*(Vendas!$B$2:$B$3001=$A18)*(Vendas!$Y$2:$Y$3001=$B18)*ISNUMBER(Vendas!$U$2:$U$3001)*(Vendas!$U$2:$U$3001&lt;1))/D18)</f>
        <v/>
      </c>
      <c r="G18" s="29">
        <f t="array" ref="G18">IF(D18&lt;AMOSTRA_MIN,"n&lt;mín",100*AVERAGE(IF((Vendas!$AK$2:$AK$3001="Validado")*(Vendas!$B$2:$B$3001=$A18)*(Vendas!$Y$2:$Y$3001=$B18)*ISNUMBER(Vendas!$U$2:$U$3001),ABS(Vendas!$U$2:$U$3001-E18)))/E18)</f>
        <v/>
      </c>
      <c r="H18" s="26">
        <f>SUMPRODUCT((Vendas!$AK$2:$AK$3001="Validado")*(Vendas!$B$2:$B$3001=$A18)*(Vendas!$Y$2:$Y$3001=$B18)*ISNUMBER(Vendas!$V$2:$V$3001))</f>
        <v/>
      </c>
      <c r="I18" s="27">
        <f t="array" ref="I18">IF(H18&lt;AMOSTRA_MIN,"n&lt;mín",MEDIAN(IF((Vendas!$AK$2:$AK$3001="Validado")*(Vendas!$B$2:$B$3001=$A18)*(Vendas!$Y$2:$Y$3001=$B18)*ISNUMBER(Vendas!$V$2:$V$3001),Vendas!$V$2:$V$3001)))</f>
        <v/>
      </c>
      <c r="J18" s="28">
        <f>IF(H18=0,"-",SUMPRODUCT((Vendas!$AK$2:$AK$3001="Validado")*(Vendas!$B$2:$B$3001=$A18)*(Vendas!$Y$2:$Y$3001=$B18)*ISNUMBER(Vendas!$V$2:$V$3001)*(Vendas!$V$2:$V$3001&lt;=1))/H18)</f>
        <v/>
      </c>
      <c r="K18" s="26">
        <f>SUMPRODUCT((Vendas!$AK$2:$AK$3001="Validado")*(Vendas!$B$2:$B$3001=$A18)*(Vendas!$Y$2:$Y$3001=$B18)*(Vendas!$P$2:$P$3001="Financiado")*ISNUMBER(Vendas!$S$2:$S$3001))</f>
        <v/>
      </c>
      <c r="L18" s="26">
        <f>SUMPRODUCT((Vendas!$AK$2:$AK$3001="Validado")*(Vendas!$B$2:$B$3001=$A18)*(Vendas!$Y$2:$Y$3001=$B18)*(Vendas!$P$2:$P$3001="À vista")*ISNUMBER(Vendas!$S$2:$S$3001))</f>
        <v/>
      </c>
      <c r="M18" s="17">
        <f t="array" ref="M18">IF(K18&lt;AMOSTRA_MIN,"n&lt;mín",MEDIAN(IF((Vendas!$AK$2:$AK$3001="Validado")*(Vendas!$B$2:$B$3001=$A18)*(Vendas!$Y$2:$Y$3001=$B18)*(Vendas!$P$2:$P$3001="Financiado")*ISNUMBER(Vendas!$S$2:$S$3001),Vendas!$S$2:$S$3001)))</f>
        <v/>
      </c>
      <c r="N18" s="17">
        <f t="array" ref="N18">IF(L18&lt;AMOSTRA_MIN,"n&lt;mín",MEDIAN(IF((Vendas!$AK$2:$AK$3001="Validado")*(Vendas!$B$2:$B$3001=$A18)*(Vendas!$Y$2:$Y$3001=$B18)*(Vendas!$P$2:$P$3001="À vista")*ISNUMBER(Vendas!$S$2:$S$3001),Vendas!$S$2:$S$3001)))</f>
        <v/>
      </c>
      <c r="O18" s="28">
        <f>IF(OR(K18&lt;AMOSTRA_MIN,L18&lt;AMOSTRA_MIN),"n&lt;mín",N18/M18-1)</f>
        <v/>
      </c>
      <c r="P18" s="26">
        <f>SUMPRODUCT((Vendas!$AK$2:$AK$3001="Validado")*(Vendas!$B$2:$B$3001=$A18)*(Vendas!$Y$2:$Y$3001=$B18)*ISNUMBER(Vendas!$W$2:$W$3001))</f>
        <v/>
      </c>
      <c r="Q18" s="27">
        <f t="array" ref="Q18">IF(P18&lt;AMOSTRA_MIN,"n&lt;mín",MEDIAN(IF((Vendas!$AK$2:$AK$3001="Validado")*(Vendas!$B$2:$B$3001=$A18)*(Vendas!$Y$2:$Y$3001=$B18)*ISNUMBER(Vendas!$W$2:$W$3001),Vendas!$W$2:$W$3001)))</f>
        <v/>
      </c>
      <c r="R18" s="28">
        <f>IF(P18=0,"-",SUMPRODUCT((Vendas!$AK$2:$AK$3001="Validado")*(Vendas!$B$2:$B$3001=$A18)*(Vendas!$Y$2:$Y$3001=$B18)*ISNUMBER(Vendas!$W$2:$W$3001)*(Vendas!$W$2:$W$3001&lt;1))/P18)</f>
        <v/>
      </c>
      <c r="S18" s="26">
        <f>SUMPRODUCT((Vendas!$AK$2:$AK$3001="Validado")*(Vendas!$B$2:$B$3001=$A18)*(Vendas!$Y$2:$Y$3001=$B18)*ISNUMBER(Vendas!$X$2:$X$3001))</f>
        <v/>
      </c>
      <c r="T18" s="28">
        <f>IF(S18=0,"-",SUMPRODUCT((Vendas!$AK$2:$AK$3001="Validado")*(Vendas!$B$2:$B$3001=$A18)*(Vendas!$Y$2:$Y$3001=$B18)*ISNUMBER(Vendas!$X$2:$X$3001)*(Vendas!$X$2:$X$3001&gt;=1))/S18)</f>
        <v/>
      </c>
    </row>
    <row r="19">
      <c r="A19" s="15" t="inlineStr">
        <is>
          <t>São Sebastião</t>
        </is>
      </c>
      <c r="B19" s="15" t="n">
        <v>2025</v>
      </c>
      <c r="C19" s="26">
        <f>SUMPRODUCT((Vendas!$AK$2:$AK$3001="Validado")*(Vendas!$B$2:$B$3001=$A19)*(Vendas!$Y$2:$Y$3001=$B19))</f>
        <v/>
      </c>
      <c r="D19" s="26">
        <f>SUMPRODUCT((Vendas!$AK$2:$AK$3001="Validado")*(Vendas!$B$2:$B$3001=$A19)*(Vendas!$Y$2:$Y$3001=$B19)*ISNUMBER(Vendas!$U$2:$U$3001))</f>
        <v/>
      </c>
      <c r="E19" s="27">
        <f t="array" ref="E19">IF(D19&lt;AMOSTRA_MIN,"n&lt;mín",MEDIAN(IF((Vendas!$AK$2:$AK$3001="Validado")*(Vendas!$B$2:$B$3001=$A19)*(Vendas!$Y$2:$Y$3001=$B19)*ISNUMBER(Vendas!$U$2:$U$3001),Vendas!$U$2:$U$3001)))</f>
        <v/>
      </c>
      <c r="F19" s="28">
        <f>IF(D19=0,"-",SUMPRODUCT((Vendas!$AK$2:$AK$3001="Validado")*(Vendas!$B$2:$B$3001=$A19)*(Vendas!$Y$2:$Y$3001=$B19)*ISNUMBER(Vendas!$U$2:$U$3001)*(Vendas!$U$2:$U$3001&lt;1))/D19)</f>
        <v/>
      </c>
      <c r="G19" s="29">
        <f t="array" ref="G19">IF(D19&lt;AMOSTRA_MIN,"n&lt;mín",100*AVERAGE(IF((Vendas!$AK$2:$AK$3001="Validado")*(Vendas!$B$2:$B$3001=$A19)*(Vendas!$Y$2:$Y$3001=$B19)*ISNUMBER(Vendas!$U$2:$U$3001),ABS(Vendas!$U$2:$U$3001-E19)))/E19)</f>
        <v/>
      </c>
      <c r="H19" s="26">
        <f>SUMPRODUCT((Vendas!$AK$2:$AK$3001="Validado")*(Vendas!$B$2:$B$3001=$A19)*(Vendas!$Y$2:$Y$3001=$B19)*ISNUMBER(Vendas!$V$2:$V$3001))</f>
        <v/>
      </c>
      <c r="I19" s="27">
        <f t="array" ref="I19">IF(H19&lt;AMOSTRA_MIN,"n&lt;mín",MEDIAN(IF((Vendas!$AK$2:$AK$3001="Validado")*(Vendas!$B$2:$B$3001=$A19)*(Vendas!$Y$2:$Y$3001=$B19)*ISNUMBER(Vendas!$V$2:$V$3001),Vendas!$V$2:$V$3001)))</f>
        <v/>
      </c>
      <c r="J19" s="28">
        <f>IF(H19=0,"-",SUMPRODUCT((Vendas!$AK$2:$AK$3001="Validado")*(Vendas!$B$2:$B$3001=$A19)*(Vendas!$Y$2:$Y$3001=$B19)*ISNUMBER(Vendas!$V$2:$V$3001)*(Vendas!$V$2:$V$3001&lt;=1))/H19)</f>
        <v/>
      </c>
      <c r="K19" s="26">
        <f>SUMPRODUCT((Vendas!$AK$2:$AK$3001="Validado")*(Vendas!$B$2:$B$3001=$A19)*(Vendas!$Y$2:$Y$3001=$B19)*(Vendas!$P$2:$P$3001="Financiado")*ISNUMBER(Vendas!$S$2:$S$3001))</f>
        <v/>
      </c>
      <c r="L19" s="26">
        <f>SUMPRODUCT((Vendas!$AK$2:$AK$3001="Validado")*(Vendas!$B$2:$B$3001=$A19)*(Vendas!$Y$2:$Y$3001=$B19)*(Vendas!$P$2:$P$3001="À vista")*ISNUMBER(Vendas!$S$2:$S$3001))</f>
        <v/>
      </c>
      <c r="M19" s="17">
        <f t="array" ref="M19">IF(K19&lt;AMOSTRA_MIN,"n&lt;mín",MEDIAN(IF((Vendas!$AK$2:$AK$3001="Validado")*(Vendas!$B$2:$B$3001=$A19)*(Vendas!$Y$2:$Y$3001=$B19)*(Vendas!$P$2:$P$3001="Financiado")*ISNUMBER(Vendas!$S$2:$S$3001),Vendas!$S$2:$S$3001)))</f>
        <v/>
      </c>
      <c r="N19" s="17">
        <f t="array" ref="N19">IF(L19&lt;AMOSTRA_MIN,"n&lt;mín",MEDIAN(IF((Vendas!$AK$2:$AK$3001="Validado")*(Vendas!$B$2:$B$3001=$A19)*(Vendas!$Y$2:$Y$3001=$B19)*(Vendas!$P$2:$P$3001="À vista")*ISNUMBER(Vendas!$S$2:$S$3001),Vendas!$S$2:$S$3001)))</f>
        <v/>
      </c>
      <c r="O19" s="28">
        <f>IF(OR(K19&lt;AMOSTRA_MIN,L19&lt;AMOSTRA_MIN),"n&lt;mín",N19/M19-1)</f>
        <v/>
      </c>
      <c r="P19" s="26">
        <f>SUMPRODUCT((Vendas!$AK$2:$AK$3001="Validado")*(Vendas!$B$2:$B$3001=$A19)*(Vendas!$Y$2:$Y$3001=$B19)*ISNUMBER(Vendas!$W$2:$W$3001))</f>
        <v/>
      </c>
      <c r="Q19" s="27">
        <f t="array" ref="Q19">IF(P19&lt;AMOSTRA_MIN,"n&lt;mín",MEDIAN(IF((Vendas!$AK$2:$AK$3001="Validado")*(Vendas!$B$2:$B$3001=$A19)*(Vendas!$Y$2:$Y$3001=$B19)*ISNUMBER(Vendas!$W$2:$W$3001),Vendas!$W$2:$W$3001)))</f>
        <v/>
      </c>
      <c r="R19" s="28">
        <f>IF(P19=0,"-",SUMPRODUCT((Vendas!$AK$2:$AK$3001="Validado")*(Vendas!$B$2:$B$3001=$A19)*(Vendas!$Y$2:$Y$3001=$B19)*ISNUMBER(Vendas!$W$2:$W$3001)*(Vendas!$W$2:$W$3001&lt;1))/P19)</f>
        <v/>
      </c>
      <c r="S19" s="26">
        <f>SUMPRODUCT((Vendas!$AK$2:$AK$3001="Validado")*(Vendas!$B$2:$B$3001=$A19)*(Vendas!$Y$2:$Y$3001=$B19)*ISNUMBER(Vendas!$X$2:$X$3001))</f>
        <v/>
      </c>
      <c r="T19" s="28">
        <f>IF(S19=0,"-",SUMPRODUCT((Vendas!$AK$2:$AK$3001="Validado")*(Vendas!$B$2:$B$3001=$A19)*(Vendas!$Y$2:$Y$3001=$B19)*ISNUMBER(Vendas!$X$2:$X$3001)*(Vendas!$X$2:$X$3001&gt;=1))/S19)</f>
        <v/>
      </c>
    </row>
    <row r="20">
      <c r="A20" s="15" t="inlineStr">
        <is>
          <t>São Sebastião</t>
        </is>
      </c>
      <c r="B20" s="15" t="n">
        <v>2026</v>
      </c>
      <c r="C20" s="26">
        <f>SUMPRODUCT((Vendas!$AK$2:$AK$3001="Validado")*(Vendas!$B$2:$B$3001=$A20)*(Vendas!$Y$2:$Y$3001=$B20))</f>
        <v/>
      </c>
      <c r="D20" s="26">
        <f>SUMPRODUCT((Vendas!$AK$2:$AK$3001="Validado")*(Vendas!$B$2:$B$3001=$A20)*(Vendas!$Y$2:$Y$3001=$B20)*ISNUMBER(Vendas!$U$2:$U$3001))</f>
        <v/>
      </c>
      <c r="E20" s="27">
        <f t="array" ref="E20">IF(D20&lt;AMOSTRA_MIN,"n&lt;mín",MEDIAN(IF((Vendas!$AK$2:$AK$3001="Validado")*(Vendas!$B$2:$B$3001=$A20)*(Vendas!$Y$2:$Y$3001=$B20)*ISNUMBER(Vendas!$U$2:$U$3001),Vendas!$U$2:$U$3001)))</f>
        <v/>
      </c>
      <c r="F20" s="28">
        <f>IF(D20=0,"-",SUMPRODUCT((Vendas!$AK$2:$AK$3001="Validado")*(Vendas!$B$2:$B$3001=$A20)*(Vendas!$Y$2:$Y$3001=$B20)*ISNUMBER(Vendas!$U$2:$U$3001)*(Vendas!$U$2:$U$3001&lt;1))/D20)</f>
        <v/>
      </c>
      <c r="G20" s="29">
        <f t="array" ref="G20">IF(D20&lt;AMOSTRA_MIN,"n&lt;mín",100*AVERAGE(IF((Vendas!$AK$2:$AK$3001="Validado")*(Vendas!$B$2:$B$3001=$A20)*(Vendas!$Y$2:$Y$3001=$B20)*ISNUMBER(Vendas!$U$2:$U$3001),ABS(Vendas!$U$2:$U$3001-E20)))/E20)</f>
        <v/>
      </c>
      <c r="H20" s="26">
        <f>SUMPRODUCT((Vendas!$AK$2:$AK$3001="Validado")*(Vendas!$B$2:$B$3001=$A20)*(Vendas!$Y$2:$Y$3001=$B20)*ISNUMBER(Vendas!$V$2:$V$3001))</f>
        <v/>
      </c>
      <c r="I20" s="27">
        <f t="array" ref="I20">IF(H20&lt;AMOSTRA_MIN,"n&lt;mín",MEDIAN(IF((Vendas!$AK$2:$AK$3001="Validado")*(Vendas!$B$2:$B$3001=$A20)*(Vendas!$Y$2:$Y$3001=$B20)*ISNUMBER(Vendas!$V$2:$V$3001),Vendas!$V$2:$V$3001)))</f>
        <v/>
      </c>
      <c r="J20" s="28">
        <f>IF(H20=0,"-",SUMPRODUCT((Vendas!$AK$2:$AK$3001="Validado")*(Vendas!$B$2:$B$3001=$A20)*(Vendas!$Y$2:$Y$3001=$B20)*ISNUMBER(Vendas!$V$2:$V$3001)*(Vendas!$V$2:$V$3001&lt;=1))/H20)</f>
        <v/>
      </c>
      <c r="K20" s="26">
        <f>SUMPRODUCT((Vendas!$AK$2:$AK$3001="Validado")*(Vendas!$B$2:$B$3001=$A20)*(Vendas!$Y$2:$Y$3001=$B20)*(Vendas!$P$2:$P$3001="Financiado")*ISNUMBER(Vendas!$S$2:$S$3001))</f>
        <v/>
      </c>
      <c r="L20" s="26">
        <f>SUMPRODUCT((Vendas!$AK$2:$AK$3001="Validado")*(Vendas!$B$2:$B$3001=$A20)*(Vendas!$Y$2:$Y$3001=$B20)*(Vendas!$P$2:$P$3001="À vista")*ISNUMBER(Vendas!$S$2:$S$3001))</f>
        <v/>
      </c>
      <c r="M20" s="17">
        <f t="array" ref="M20">IF(K20&lt;AMOSTRA_MIN,"n&lt;mín",MEDIAN(IF((Vendas!$AK$2:$AK$3001="Validado")*(Vendas!$B$2:$B$3001=$A20)*(Vendas!$Y$2:$Y$3001=$B20)*(Vendas!$P$2:$P$3001="Financiado")*ISNUMBER(Vendas!$S$2:$S$3001),Vendas!$S$2:$S$3001)))</f>
        <v/>
      </c>
      <c r="N20" s="17">
        <f t="array" ref="N20">IF(L20&lt;AMOSTRA_MIN,"n&lt;mín",MEDIAN(IF((Vendas!$AK$2:$AK$3001="Validado")*(Vendas!$B$2:$B$3001=$A20)*(Vendas!$Y$2:$Y$3001=$B20)*(Vendas!$P$2:$P$3001="À vista")*ISNUMBER(Vendas!$S$2:$S$3001),Vendas!$S$2:$S$3001)))</f>
        <v/>
      </c>
      <c r="O20" s="28">
        <f>IF(OR(K20&lt;AMOSTRA_MIN,L20&lt;AMOSTRA_MIN),"n&lt;mín",N20/M20-1)</f>
        <v/>
      </c>
      <c r="P20" s="26">
        <f>SUMPRODUCT((Vendas!$AK$2:$AK$3001="Validado")*(Vendas!$B$2:$B$3001=$A20)*(Vendas!$Y$2:$Y$3001=$B20)*ISNUMBER(Vendas!$W$2:$W$3001))</f>
        <v/>
      </c>
      <c r="Q20" s="27">
        <f t="array" ref="Q20">IF(P20&lt;AMOSTRA_MIN,"n&lt;mín",MEDIAN(IF((Vendas!$AK$2:$AK$3001="Validado")*(Vendas!$B$2:$B$3001=$A20)*(Vendas!$Y$2:$Y$3001=$B20)*ISNUMBER(Vendas!$W$2:$W$3001),Vendas!$W$2:$W$3001)))</f>
        <v/>
      </c>
      <c r="R20" s="28">
        <f>IF(P20=0,"-",SUMPRODUCT((Vendas!$AK$2:$AK$3001="Validado")*(Vendas!$B$2:$B$3001=$A20)*(Vendas!$Y$2:$Y$3001=$B20)*ISNUMBER(Vendas!$W$2:$W$3001)*(Vendas!$W$2:$W$3001&lt;1))/P20)</f>
        <v/>
      </c>
      <c r="S20" s="26">
        <f>SUMPRODUCT((Vendas!$AK$2:$AK$3001="Validado")*(Vendas!$B$2:$B$3001=$A20)*(Vendas!$Y$2:$Y$3001=$B20)*ISNUMBER(Vendas!$X$2:$X$3001))</f>
        <v/>
      </c>
      <c r="T20" s="28">
        <f>IF(S20=0,"-",SUMPRODUCT((Vendas!$AK$2:$AK$3001="Validado")*(Vendas!$B$2:$B$3001=$A20)*(Vendas!$Y$2:$Y$3001=$B20)*ISNUMBER(Vendas!$X$2:$X$3001)*(Vendas!$X$2:$X$3001&gt;=1))/S20)</f>
        <v/>
      </c>
    </row>
    <row r="21">
      <c r="A21" s="15" t="inlineStr">
        <is>
          <t>Bertioga</t>
        </is>
      </c>
      <c r="B21" s="15" t="n">
        <v>2021</v>
      </c>
      <c r="C21" s="26">
        <f>SUMPRODUCT((Vendas!$AK$2:$AK$3001="Validado")*(Vendas!$B$2:$B$3001=$A21)*(Vendas!$Y$2:$Y$3001=$B21))</f>
        <v/>
      </c>
      <c r="D21" s="26">
        <f>SUMPRODUCT((Vendas!$AK$2:$AK$3001="Validado")*(Vendas!$B$2:$B$3001=$A21)*(Vendas!$Y$2:$Y$3001=$B21)*ISNUMBER(Vendas!$U$2:$U$3001))</f>
        <v/>
      </c>
      <c r="E21" s="27">
        <f t="array" ref="E21">IF(D21&lt;AMOSTRA_MIN,"n&lt;mín",MEDIAN(IF((Vendas!$AK$2:$AK$3001="Validado")*(Vendas!$B$2:$B$3001=$A21)*(Vendas!$Y$2:$Y$3001=$B21)*ISNUMBER(Vendas!$U$2:$U$3001),Vendas!$U$2:$U$3001)))</f>
        <v/>
      </c>
      <c r="F21" s="28">
        <f>IF(D21=0,"-",SUMPRODUCT((Vendas!$AK$2:$AK$3001="Validado")*(Vendas!$B$2:$B$3001=$A21)*(Vendas!$Y$2:$Y$3001=$B21)*ISNUMBER(Vendas!$U$2:$U$3001)*(Vendas!$U$2:$U$3001&lt;1))/D21)</f>
        <v/>
      </c>
      <c r="G21" s="29">
        <f t="array" ref="G21">IF(D21&lt;AMOSTRA_MIN,"n&lt;mín",100*AVERAGE(IF((Vendas!$AK$2:$AK$3001="Validado")*(Vendas!$B$2:$B$3001=$A21)*(Vendas!$Y$2:$Y$3001=$B21)*ISNUMBER(Vendas!$U$2:$U$3001),ABS(Vendas!$U$2:$U$3001-E21)))/E21)</f>
        <v/>
      </c>
      <c r="H21" s="26">
        <f>SUMPRODUCT((Vendas!$AK$2:$AK$3001="Validado")*(Vendas!$B$2:$B$3001=$A21)*(Vendas!$Y$2:$Y$3001=$B21)*ISNUMBER(Vendas!$V$2:$V$3001))</f>
        <v/>
      </c>
      <c r="I21" s="27">
        <f t="array" ref="I21">IF(H21&lt;AMOSTRA_MIN,"n&lt;mín",MEDIAN(IF((Vendas!$AK$2:$AK$3001="Validado")*(Vendas!$B$2:$B$3001=$A21)*(Vendas!$Y$2:$Y$3001=$B21)*ISNUMBER(Vendas!$V$2:$V$3001),Vendas!$V$2:$V$3001)))</f>
        <v/>
      </c>
      <c r="J21" s="28">
        <f>IF(H21=0,"-",SUMPRODUCT((Vendas!$AK$2:$AK$3001="Validado")*(Vendas!$B$2:$B$3001=$A21)*(Vendas!$Y$2:$Y$3001=$B21)*ISNUMBER(Vendas!$V$2:$V$3001)*(Vendas!$V$2:$V$3001&lt;=1))/H21)</f>
        <v/>
      </c>
      <c r="K21" s="26">
        <f>SUMPRODUCT((Vendas!$AK$2:$AK$3001="Validado")*(Vendas!$B$2:$B$3001=$A21)*(Vendas!$Y$2:$Y$3001=$B21)*(Vendas!$P$2:$P$3001="Financiado")*ISNUMBER(Vendas!$S$2:$S$3001))</f>
        <v/>
      </c>
      <c r="L21" s="26">
        <f>SUMPRODUCT((Vendas!$AK$2:$AK$3001="Validado")*(Vendas!$B$2:$B$3001=$A21)*(Vendas!$Y$2:$Y$3001=$B21)*(Vendas!$P$2:$P$3001="À vista")*ISNUMBER(Vendas!$S$2:$S$3001))</f>
        <v/>
      </c>
      <c r="M21" s="17">
        <f t="array" ref="M21">IF(K21&lt;AMOSTRA_MIN,"n&lt;mín",MEDIAN(IF((Vendas!$AK$2:$AK$3001="Validado")*(Vendas!$B$2:$B$3001=$A21)*(Vendas!$Y$2:$Y$3001=$B21)*(Vendas!$P$2:$P$3001="Financiado")*ISNUMBER(Vendas!$S$2:$S$3001),Vendas!$S$2:$S$3001)))</f>
        <v/>
      </c>
      <c r="N21" s="17">
        <f t="array" ref="N21">IF(L21&lt;AMOSTRA_MIN,"n&lt;mín",MEDIAN(IF((Vendas!$AK$2:$AK$3001="Validado")*(Vendas!$B$2:$B$3001=$A21)*(Vendas!$Y$2:$Y$3001=$B21)*(Vendas!$P$2:$P$3001="À vista")*ISNUMBER(Vendas!$S$2:$S$3001),Vendas!$S$2:$S$3001)))</f>
        <v/>
      </c>
      <c r="O21" s="28">
        <f>IF(OR(K21&lt;AMOSTRA_MIN,L21&lt;AMOSTRA_MIN),"n&lt;mín",N21/M21-1)</f>
        <v/>
      </c>
      <c r="P21" s="26">
        <f>SUMPRODUCT((Vendas!$AK$2:$AK$3001="Validado")*(Vendas!$B$2:$B$3001=$A21)*(Vendas!$Y$2:$Y$3001=$B21)*ISNUMBER(Vendas!$W$2:$W$3001))</f>
        <v/>
      </c>
      <c r="Q21" s="27">
        <f t="array" ref="Q21">IF(P21&lt;AMOSTRA_MIN,"n&lt;mín",MEDIAN(IF((Vendas!$AK$2:$AK$3001="Validado")*(Vendas!$B$2:$B$3001=$A21)*(Vendas!$Y$2:$Y$3001=$B21)*ISNUMBER(Vendas!$W$2:$W$3001),Vendas!$W$2:$W$3001)))</f>
        <v/>
      </c>
      <c r="R21" s="28">
        <f>IF(P21=0,"-",SUMPRODUCT((Vendas!$AK$2:$AK$3001="Validado")*(Vendas!$B$2:$B$3001=$A21)*(Vendas!$Y$2:$Y$3001=$B21)*ISNUMBER(Vendas!$W$2:$W$3001)*(Vendas!$W$2:$W$3001&lt;1))/P21)</f>
        <v/>
      </c>
      <c r="S21" s="26">
        <f>SUMPRODUCT((Vendas!$AK$2:$AK$3001="Validado")*(Vendas!$B$2:$B$3001=$A21)*(Vendas!$Y$2:$Y$3001=$B21)*ISNUMBER(Vendas!$X$2:$X$3001))</f>
        <v/>
      </c>
      <c r="T21" s="28">
        <f>IF(S21=0,"-",SUMPRODUCT((Vendas!$AK$2:$AK$3001="Validado")*(Vendas!$B$2:$B$3001=$A21)*(Vendas!$Y$2:$Y$3001=$B21)*ISNUMBER(Vendas!$X$2:$X$3001)*(Vendas!$X$2:$X$3001&gt;=1))/S21)</f>
        <v/>
      </c>
    </row>
    <row r="22">
      <c r="A22" s="15" t="inlineStr">
        <is>
          <t>Bertioga</t>
        </is>
      </c>
      <c r="B22" s="15" t="n">
        <v>2022</v>
      </c>
      <c r="C22" s="26">
        <f>SUMPRODUCT((Vendas!$AK$2:$AK$3001="Validado")*(Vendas!$B$2:$B$3001=$A22)*(Vendas!$Y$2:$Y$3001=$B22))</f>
        <v/>
      </c>
      <c r="D22" s="26">
        <f>SUMPRODUCT((Vendas!$AK$2:$AK$3001="Validado")*(Vendas!$B$2:$B$3001=$A22)*(Vendas!$Y$2:$Y$3001=$B22)*ISNUMBER(Vendas!$U$2:$U$3001))</f>
        <v/>
      </c>
      <c r="E22" s="27">
        <f t="array" ref="E22">IF(D22&lt;AMOSTRA_MIN,"n&lt;mín",MEDIAN(IF((Vendas!$AK$2:$AK$3001="Validado")*(Vendas!$B$2:$B$3001=$A22)*(Vendas!$Y$2:$Y$3001=$B22)*ISNUMBER(Vendas!$U$2:$U$3001),Vendas!$U$2:$U$3001)))</f>
        <v/>
      </c>
      <c r="F22" s="28">
        <f>IF(D22=0,"-",SUMPRODUCT((Vendas!$AK$2:$AK$3001="Validado")*(Vendas!$B$2:$B$3001=$A22)*(Vendas!$Y$2:$Y$3001=$B22)*ISNUMBER(Vendas!$U$2:$U$3001)*(Vendas!$U$2:$U$3001&lt;1))/D22)</f>
        <v/>
      </c>
      <c r="G22" s="29">
        <f t="array" ref="G22">IF(D22&lt;AMOSTRA_MIN,"n&lt;mín",100*AVERAGE(IF((Vendas!$AK$2:$AK$3001="Validado")*(Vendas!$B$2:$B$3001=$A22)*(Vendas!$Y$2:$Y$3001=$B22)*ISNUMBER(Vendas!$U$2:$U$3001),ABS(Vendas!$U$2:$U$3001-E22)))/E22)</f>
        <v/>
      </c>
      <c r="H22" s="26">
        <f>SUMPRODUCT((Vendas!$AK$2:$AK$3001="Validado")*(Vendas!$B$2:$B$3001=$A22)*(Vendas!$Y$2:$Y$3001=$B22)*ISNUMBER(Vendas!$V$2:$V$3001))</f>
        <v/>
      </c>
      <c r="I22" s="27">
        <f t="array" ref="I22">IF(H22&lt;AMOSTRA_MIN,"n&lt;mín",MEDIAN(IF((Vendas!$AK$2:$AK$3001="Validado")*(Vendas!$B$2:$B$3001=$A22)*(Vendas!$Y$2:$Y$3001=$B22)*ISNUMBER(Vendas!$V$2:$V$3001),Vendas!$V$2:$V$3001)))</f>
        <v/>
      </c>
      <c r="J22" s="28">
        <f>IF(H22=0,"-",SUMPRODUCT((Vendas!$AK$2:$AK$3001="Validado")*(Vendas!$B$2:$B$3001=$A22)*(Vendas!$Y$2:$Y$3001=$B22)*ISNUMBER(Vendas!$V$2:$V$3001)*(Vendas!$V$2:$V$3001&lt;=1))/H22)</f>
        <v/>
      </c>
      <c r="K22" s="26">
        <f>SUMPRODUCT((Vendas!$AK$2:$AK$3001="Validado")*(Vendas!$B$2:$B$3001=$A22)*(Vendas!$Y$2:$Y$3001=$B22)*(Vendas!$P$2:$P$3001="Financiado")*ISNUMBER(Vendas!$S$2:$S$3001))</f>
        <v/>
      </c>
      <c r="L22" s="26">
        <f>SUMPRODUCT((Vendas!$AK$2:$AK$3001="Validado")*(Vendas!$B$2:$B$3001=$A22)*(Vendas!$Y$2:$Y$3001=$B22)*(Vendas!$P$2:$P$3001="À vista")*ISNUMBER(Vendas!$S$2:$S$3001))</f>
        <v/>
      </c>
      <c r="M22" s="17">
        <f t="array" ref="M22">IF(K22&lt;AMOSTRA_MIN,"n&lt;mín",MEDIAN(IF((Vendas!$AK$2:$AK$3001="Validado")*(Vendas!$B$2:$B$3001=$A22)*(Vendas!$Y$2:$Y$3001=$B22)*(Vendas!$P$2:$P$3001="Financiado")*ISNUMBER(Vendas!$S$2:$S$3001),Vendas!$S$2:$S$3001)))</f>
        <v/>
      </c>
      <c r="N22" s="17">
        <f t="array" ref="N22">IF(L22&lt;AMOSTRA_MIN,"n&lt;mín",MEDIAN(IF((Vendas!$AK$2:$AK$3001="Validado")*(Vendas!$B$2:$B$3001=$A22)*(Vendas!$Y$2:$Y$3001=$B22)*(Vendas!$P$2:$P$3001="À vista")*ISNUMBER(Vendas!$S$2:$S$3001),Vendas!$S$2:$S$3001)))</f>
        <v/>
      </c>
      <c r="O22" s="28">
        <f>IF(OR(K22&lt;AMOSTRA_MIN,L22&lt;AMOSTRA_MIN),"n&lt;mín",N22/M22-1)</f>
        <v/>
      </c>
      <c r="P22" s="26">
        <f>SUMPRODUCT((Vendas!$AK$2:$AK$3001="Validado")*(Vendas!$B$2:$B$3001=$A22)*(Vendas!$Y$2:$Y$3001=$B22)*ISNUMBER(Vendas!$W$2:$W$3001))</f>
        <v/>
      </c>
      <c r="Q22" s="27">
        <f t="array" ref="Q22">IF(P22&lt;AMOSTRA_MIN,"n&lt;mín",MEDIAN(IF((Vendas!$AK$2:$AK$3001="Validado")*(Vendas!$B$2:$B$3001=$A22)*(Vendas!$Y$2:$Y$3001=$B22)*ISNUMBER(Vendas!$W$2:$W$3001),Vendas!$W$2:$W$3001)))</f>
        <v/>
      </c>
      <c r="R22" s="28">
        <f>IF(P22=0,"-",SUMPRODUCT((Vendas!$AK$2:$AK$3001="Validado")*(Vendas!$B$2:$B$3001=$A22)*(Vendas!$Y$2:$Y$3001=$B22)*ISNUMBER(Vendas!$W$2:$W$3001)*(Vendas!$W$2:$W$3001&lt;1))/P22)</f>
        <v/>
      </c>
      <c r="S22" s="26">
        <f>SUMPRODUCT((Vendas!$AK$2:$AK$3001="Validado")*(Vendas!$B$2:$B$3001=$A22)*(Vendas!$Y$2:$Y$3001=$B22)*ISNUMBER(Vendas!$X$2:$X$3001))</f>
        <v/>
      </c>
      <c r="T22" s="28">
        <f>IF(S22=0,"-",SUMPRODUCT((Vendas!$AK$2:$AK$3001="Validado")*(Vendas!$B$2:$B$3001=$A22)*(Vendas!$Y$2:$Y$3001=$B22)*ISNUMBER(Vendas!$X$2:$X$3001)*(Vendas!$X$2:$X$3001&gt;=1))/S22)</f>
        <v/>
      </c>
    </row>
    <row r="23">
      <c r="A23" s="15" t="inlineStr">
        <is>
          <t>Bertioga</t>
        </is>
      </c>
      <c r="B23" s="15" t="n">
        <v>2023</v>
      </c>
      <c r="C23" s="26">
        <f>SUMPRODUCT((Vendas!$AK$2:$AK$3001="Validado")*(Vendas!$B$2:$B$3001=$A23)*(Vendas!$Y$2:$Y$3001=$B23))</f>
        <v/>
      </c>
      <c r="D23" s="26">
        <f>SUMPRODUCT((Vendas!$AK$2:$AK$3001="Validado")*(Vendas!$B$2:$B$3001=$A23)*(Vendas!$Y$2:$Y$3001=$B23)*ISNUMBER(Vendas!$U$2:$U$3001))</f>
        <v/>
      </c>
      <c r="E23" s="27">
        <f t="array" ref="E23">IF(D23&lt;AMOSTRA_MIN,"n&lt;mín",MEDIAN(IF((Vendas!$AK$2:$AK$3001="Validado")*(Vendas!$B$2:$B$3001=$A23)*(Vendas!$Y$2:$Y$3001=$B23)*ISNUMBER(Vendas!$U$2:$U$3001),Vendas!$U$2:$U$3001)))</f>
        <v/>
      </c>
      <c r="F23" s="28">
        <f>IF(D23=0,"-",SUMPRODUCT((Vendas!$AK$2:$AK$3001="Validado")*(Vendas!$B$2:$B$3001=$A23)*(Vendas!$Y$2:$Y$3001=$B23)*ISNUMBER(Vendas!$U$2:$U$3001)*(Vendas!$U$2:$U$3001&lt;1))/D23)</f>
        <v/>
      </c>
      <c r="G23" s="29">
        <f t="array" ref="G23">IF(D23&lt;AMOSTRA_MIN,"n&lt;mín",100*AVERAGE(IF((Vendas!$AK$2:$AK$3001="Validado")*(Vendas!$B$2:$B$3001=$A23)*(Vendas!$Y$2:$Y$3001=$B23)*ISNUMBER(Vendas!$U$2:$U$3001),ABS(Vendas!$U$2:$U$3001-E23)))/E23)</f>
        <v/>
      </c>
      <c r="H23" s="26">
        <f>SUMPRODUCT((Vendas!$AK$2:$AK$3001="Validado")*(Vendas!$B$2:$B$3001=$A23)*(Vendas!$Y$2:$Y$3001=$B23)*ISNUMBER(Vendas!$V$2:$V$3001))</f>
        <v/>
      </c>
      <c r="I23" s="27">
        <f t="array" ref="I23">IF(H23&lt;AMOSTRA_MIN,"n&lt;mín",MEDIAN(IF((Vendas!$AK$2:$AK$3001="Validado")*(Vendas!$B$2:$B$3001=$A23)*(Vendas!$Y$2:$Y$3001=$B23)*ISNUMBER(Vendas!$V$2:$V$3001),Vendas!$V$2:$V$3001)))</f>
        <v/>
      </c>
      <c r="J23" s="28">
        <f>IF(H23=0,"-",SUMPRODUCT((Vendas!$AK$2:$AK$3001="Validado")*(Vendas!$B$2:$B$3001=$A23)*(Vendas!$Y$2:$Y$3001=$B23)*ISNUMBER(Vendas!$V$2:$V$3001)*(Vendas!$V$2:$V$3001&lt;=1))/H23)</f>
        <v/>
      </c>
      <c r="K23" s="26">
        <f>SUMPRODUCT((Vendas!$AK$2:$AK$3001="Validado")*(Vendas!$B$2:$B$3001=$A23)*(Vendas!$Y$2:$Y$3001=$B23)*(Vendas!$P$2:$P$3001="Financiado")*ISNUMBER(Vendas!$S$2:$S$3001))</f>
        <v/>
      </c>
      <c r="L23" s="26">
        <f>SUMPRODUCT((Vendas!$AK$2:$AK$3001="Validado")*(Vendas!$B$2:$B$3001=$A23)*(Vendas!$Y$2:$Y$3001=$B23)*(Vendas!$P$2:$P$3001="À vista")*ISNUMBER(Vendas!$S$2:$S$3001))</f>
        <v/>
      </c>
      <c r="M23" s="17">
        <f t="array" ref="M23">IF(K23&lt;AMOSTRA_MIN,"n&lt;mín",MEDIAN(IF((Vendas!$AK$2:$AK$3001="Validado")*(Vendas!$B$2:$B$3001=$A23)*(Vendas!$Y$2:$Y$3001=$B23)*(Vendas!$P$2:$P$3001="Financiado")*ISNUMBER(Vendas!$S$2:$S$3001),Vendas!$S$2:$S$3001)))</f>
        <v/>
      </c>
      <c r="N23" s="17">
        <f t="array" ref="N23">IF(L23&lt;AMOSTRA_MIN,"n&lt;mín",MEDIAN(IF((Vendas!$AK$2:$AK$3001="Validado")*(Vendas!$B$2:$B$3001=$A23)*(Vendas!$Y$2:$Y$3001=$B23)*(Vendas!$P$2:$P$3001="À vista")*ISNUMBER(Vendas!$S$2:$S$3001),Vendas!$S$2:$S$3001)))</f>
        <v/>
      </c>
      <c r="O23" s="28">
        <f>IF(OR(K23&lt;AMOSTRA_MIN,L23&lt;AMOSTRA_MIN),"n&lt;mín",N23/M23-1)</f>
        <v/>
      </c>
      <c r="P23" s="26">
        <f>SUMPRODUCT((Vendas!$AK$2:$AK$3001="Validado")*(Vendas!$B$2:$B$3001=$A23)*(Vendas!$Y$2:$Y$3001=$B23)*ISNUMBER(Vendas!$W$2:$W$3001))</f>
        <v/>
      </c>
      <c r="Q23" s="27">
        <f t="array" ref="Q23">IF(P23&lt;AMOSTRA_MIN,"n&lt;mín",MEDIAN(IF((Vendas!$AK$2:$AK$3001="Validado")*(Vendas!$B$2:$B$3001=$A23)*(Vendas!$Y$2:$Y$3001=$B23)*ISNUMBER(Vendas!$W$2:$W$3001),Vendas!$W$2:$W$3001)))</f>
        <v/>
      </c>
      <c r="R23" s="28">
        <f>IF(P23=0,"-",SUMPRODUCT((Vendas!$AK$2:$AK$3001="Validado")*(Vendas!$B$2:$B$3001=$A23)*(Vendas!$Y$2:$Y$3001=$B23)*ISNUMBER(Vendas!$W$2:$W$3001)*(Vendas!$W$2:$W$3001&lt;1))/P23)</f>
        <v/>
      </c>
      <c r="S23" s="26">
        <f>SUMPRODUCT((Vendas!$AK$2:$AK$3001="Validado")*(Vendas!$B$2:$B$3001=$A23)*(Vendas!$Y$2:$Y$3001=$B23)*ISNUMBER(Vendas!$X$2:$X$3001))</f>
        <v/>
      </c>
      <c r="T23" s="28">
        <f>IF(S23=0,"-",SUMPRODUCT((Vendas!$AK$2:$AK$3001="Validado")*(Vendas!$B$2:$B$3001=$A23)*(Vendas!$Y$2:$Y$3001=$B23)*ISNUMBER(Vendas!$X$2:$X$3001)*(Vendas!$X$2:$X$3001&gt;=1))/S23)</f>
        <v/>
      </c>
    </row>
    <row r="24">
      <c r="A24" s="15" t="inlineStr">
        <is>
          <t>Bertioga</t>
        </is>
      </c>
      <c r="B24" s="15" t="n">
        <v>2024</v>
      </c>
      <c r="C24" s="26">
        <f>SUMPRODUCT((Vendas!$AK$2:$AK$3001="Validado")*(Vendas!$B$2:$B$3001=$A24)*(Vendas!$Y$2:$Y$3001=$B24))</f>
        <v/>
      </c>
      <c r="D24" s="26">
        <f>SUMPRODUCT((Vendas!$AK$2:$AK$3001="Validado")*(Vendas!$B$2:$B$3001=$A24)*(Vendas!$Y$2:$Y$3001=$B24)*ISNUMBER(Vendas!$U$2:$U$3001))</f>
        <v/>
      </c>
      <c r="E24" s="27">
        <f t="array" ref="E24">IF(D24&lt;AMOSTRA_MIN,"n&lt;mín",MEDIAN(IF((Vendas!$AK$2:$AK$3001="Validado")*(Vendas!$B$2:$B$3001=$A24)*(Vendas!$Y$2:$Y$3001=$B24)*ISNUMBER(Vendas!$U$2:$U$3001),Vendas!$U$2:$U$3001)))</f>
        <v/>
      </c>
      <c r="F24" s="28">
        <f>IF(D24=0,"-",SUMPRODUCT((Vendas!$AK$2:$AK$3001="Validado")*(Vendas!$B$2:$B$3001=$A24)*(Vendas!$Y$2:$Y$3001=$B24)*ISNUMBER(Vendas!$U$2:$U$3001)*(Vendas!$U$2:$U$3001&lt;1))/D24)</f>
        <v/>
      </c>
      <c r="G24" s="29">
        <f t="array" ref="G24">IF(D24&lt;AMOSTRA_MIN,"n&lt;mín",100*AVERAGE(IF((Vendas!$AK$2:$AK$3001="Validado")*(Vendas!$B$2:$B$3001=$A24)*(Vendas!$Y$2:$Y$3001=$B24)*ISNUMBER(Vendas!$U$2:$U$3001),ABS(Vendas!$U$2:$U$3001-E24)))/E24)</f>
        <v/>
      </c>
      <c r="H24" s="26">
        <f>SUMPRODUCT((Vendas!$AK$2:$AK$3001="Validado")*(Vendas!$B$2:$B$3001=$A24)*(Vendas!$Y$2:$Y$3001=$B24)*ISNUMBER(Vendas!$V$2:$V$3001))</f>
        <v/>
      </c>
      <c r="I24" s="27">
        <f t="array" ref="I24">IF(H24&lt;AMOSTRA_MIN,"n&lt;mín",MEDIAN(IF((Vendas!$AK$2:$AK$3001="Validado")*(Vendas!$B$2:$B$3001=$A24)*(Vendas!$Y$2:$Y$3001=$B24)*ISNUMBER(Vendas!$V$2:$V$3001),Vendas!$V$2:$V$3001)))</f>
        <v/>
      </c>
      <c r="J24" s="28">
        <f>IF(H24=0,"-",SUMPRODUCT((Vendas!$AK$2:$AK$3001="Validado")*(Vendas!$B$2:$B$3001=$A24)*(Vendas!$Y$2:$Y$3001=$B24)*ISNUMBER(Vendas!$V$2:$V$3001)*(Vendas!$V$2:$V$3001&lt;=1))/H24)</f>
        <v/>
      </c>
      <c r="K24" s="26">
        <f>SUMPRODUCT((Vendas!$AK$2:$AK$3001="Validado")*(Vendas!$B$2:$B$3001=$A24)*(Vendas!$Y$2:$Y$3001=$B24)*(Vendas!$P$2:$P$3001="Financiado")*ISNUMBER(Vendas!$S$2:$S$3001))</f>
        <v/>
      </c>
      <c r="L24" s="26">
        <f>SUMPRODUCT((Vendas!$AK$2:$AK$3001="Validado")*(Vendas!$B$2:$B$3001=$A24)*(Vendas!$Y$2:$Y$3001=$B24)*(Vendas!$P$2:$P$3001="À vista")*ISNUMBER(Vendas!$S$2:$S$3001))</f>
        <v/>
      </c>
      <c r="M24" s="17">
        <f t="array" ref="M24">IF(K24&lt;AMOSTRA_MIN,"n&lt;mín",MEDIAN(IF((Vendas!$AK$2:$AK$3001="Validado")*(Vendas!$B$2:$B$3001=$A24)*(Vendas!$Y$2:$Y$3001=$B24)*(Vendas!$P$2:$P$3001="Financiado")*ISNUMBER(Vendas!$S$2:$S$3001),Vendas!$S$2:$S$3001)))</f>
        <v/>
      </c>
      <c r="N24" s="17">
        <f t="array" ref="N24">IF(L24&lt;AMOSTRA_MIN,"n&lt;mín",MEDIAN(IF((Vendas!$AK$2:$AK$3001="Validado")*(Vendas!$B$2:$B$3001=$A24)*(Vendas!$Y$2:$Y$3001=$B24)*(Vendas!$P$2:$P$3001="À vista")*ISNUMBER(Vendas!$S$2:$S$3001),Vendas!$S$2:$S$3001)))</f>
        <v/>
      </c>
      <c r="O24" s="28">
        <f>IF(OR(K24&lt;AMOSTRA_MIN,L24&lt;AMOSTRA_MIN),"n&lt;mín",N24/M24-1)</f>
        <v/>
      </c>
      <c r="P24" s="26">
        <f>SUMPRODUCT((Vendas!$AK$2:$AK$3001="Validado")*(Vendas!$B$2:$B$3001=$A24)*(Vendas!$Y$2:$Y$3001=$B24)*ISNUMBER(Vendas!$W$2:$W$3001))</f>
        <v/>
      </c>
      <c r="Q24" s="27">
        <f t="array" ref="Q24">IF(P24&lt;AMOSTRA_MIN,"n&lt;mín",MEDIAN(IF((Vendas!$AK$2:$AK$3001="Validado")*(Vendas!$B$2:$B$3001=$A24)*(Vendas!$Y$2:$Y$3001=$B24)*ISNUMBER(Vendas!$W$2:$W$3001),Vendas!$W$2:$W$3001)))</f>
        <v/>
      </c>
      <c r="R24" s="28">
        <f>IF(P24=0,"-",SUMPRODUCT((Vendas!$AK$2:$AK$3001="Validado")*(Vendas!$B$2:$B$3001=$A24)*(Vendas!$Y$2:$Y$3001=$B24)*ISNUMBER(Vendas!$W$2:$W$3001)*(Vendas!$W$2:$W$3001&lt;1))/P24)</f>
        <v/>
      </c>
      <c r="S24" s="26">
        <f>SUMPRODUCT((Vendas!$AK$2:$AK$3001="Validado")*(Vendas!$B$2:$B$3001=$A24)*(Vendas!$Y$2:$Y$3001=$B24)*ISNUMBER(Vendas!$X$2:$X$3001))</f>
        <v/>
      </c>
      <c r="T24" s="28">
        <f>IF(S24=0,"-",SUMPRODUCT((Vendas!$AK$2:$AK$3001="Validado")*(Vendas!$B$2:$B$3001=$A24)*(Vendas!$Y$2:$Y$3001=$B24)*ISNUMBER(Vendas!$X$2:$X$3001)*(Vendas!$X$2:$X$3001&gt;=1))/S24)</f>
        <v/>
      </c>
    </row>
    <row r="25">
      <c r="A25" s="15" t="inlineStr">
        <is>
          <t>Bertioga</t>
        </is>
      </c>
      <c r="B25" s="15" t="n">
        <v>2025</v>
      </c>
      <c r="C25" s="26">
        <f>SUMPRODUCT((Vendas!$AK$2:$AK$3001="Validado")*(Vendas!$B$2:$B$3001=$A25)*(Vendas!$Y$2:$Y$3001=$B25))</f>
        <v/>
      </c>
      <c r="D25" s="26">
        <f>SUMPRODUCT((Vendas!$AK$2:$AK$3001="Validado")*(Vendas!$B$2:$B$3001=$A25)*(Vendas!$Y$2:$Y$3001=$B25)*ISNUMBER(Vendas!$U$2:$U$3001))</f>
        <v/>
      </c>
      <c r="E25" s="27">
        <f t="array" ref="E25">IF(D25&lt;AMOSTRA_MIN,"n&lt;mín",MEDIAN(IF((Vendas!$AK$2:$AK$3001="Validado")*(Vendas!$B$2:$B$3001=$A25)*(Vendas!$Y$2:$Y$3001=$B25)*ISNUMBER(Vendas!$U$2:$U$3001),Vendas!$U$2:$U$3001)))</f>
        <v/>
      </c>
      <c r="F25" s="28">
        <f>IF(D25=0,"-",SUMPRODUCT((Vendas!$AK$2:$AK$3001="Validado")*(Vendas!$B$2:$B$3001=$A25)*(Vendas!$Y$2:$Y$3001=$B25)*ISNUMBER(Vendas!$U$2:$U$3001)*(Vendas!$U$2:$U$3001&lt;1))/D25)</f>
        <v/>
      </c>
      <c r="G25" s="29">
        <f t="array" ref="G25">IF(D25&lt;AMOSTRA_MIN,"n&lt;mín",100*AVERAGE(IF((Vendas!$AK$2:$AK$3001="Validado")*(Vendas!$B$2:$B$3001=$A25)*(Vendas!$Y$2:$Y$3001=$B25)*ISNUMBER(Vendas!$U$2:$U$3001),ABS(Vendas!$U$2:$U$3001-E25)))/E25)</f>
        <v/>
      </c>
      <c r="H25" s="26">
        <f>SUMPRODUCT((Vendas!$AK$2:$AK$3001="Validado")*(Vendas!$B$2:$B$3001=$A25)*(Vendas!$Y$2:$Y$3001=$B25)*ISNUMBER(Vendas!$V$2:$V$3001))</f>
        <v/>
      </c>
      <c r="I25" s="27">
        <f t="array" ref="I25">IF(H25&lt;AMOSTRA_MIN,"n&lt;mín",MEDIAN(IF((Vendas!$AK$2:$AK$3001="Validado")*(Vendas!$B$2:$B$3001=$A25)*(Vendas!$Y$2:$Y$3001=$B25)*ISNUMBER(Vendas!$V$2:$V$3001),Vendas!$V$2:$V$3001)))</f>
        <v/>
      </c>
      <c r="J25" s="28">
        <f>IF(H25=0,"-",SUMPRODUCT((Vendas!$AK$2:$AK$3001="Validado")*(Vendas!$B$2:$B$3001=$A25)*(Vendas!$Y$2:$Y$3001=$B25)*ISNUMBER(Vendas!$V$2:$V$3001)*(Vendas!$V$2:$V$3001&lt;=1))/H25)</f>
        <v/>
      </c>
      <c r="K25" s="26">
        <f>SUMPRODUCT((Vendas!$AK$2:$AK$3001="Validado")*(Vendas!$B$2:$B$3001=$A25)*(Vendas!$Y$2:$Y$3001=$B25)*(Vendas!$P$2:$P$3001="Financiado")*ISNUMBER(Vendas!$S$2:$S$3001))</f>
        <v/>
      </c>
      <c r="L25" s="26">
        <f>SUMPRODUCT((Vendas!$AK$2:$AK$3001="Validado")*(Vendas!$B$2:$B$3001=$A25)*(Vendas!$Y$2:$Y$3001=$B25)*(Vendas!$P$2:$P$3001="À vista")*ISNUMBER(Vendas!$S$2:$S$3001))</f>
        <v/>
      </c>
      <c r="M25" s="17">
        <f t="array" ref="M25">IF(K25&lt;AMOSTRA_MIN,"n&lt;mín",MEDIAN(IF((Vendas!$AK$2:$AK$3001="Validado")*(Vendas!$B$2:$B$3001=$A25)*(Vendas!$Y$2:$Y$3001=$B25)*(Vendas!$P$2:$P$3001="Financiado")*ISNUMBER(Vendas!$S$2:$S$3001),Vendas!$S$2:$S$3001)))</f>
        <v/>
      </c>
      <c r="N25" s="17">
        <f t="array" ref="N25">IF(L25&lt;AMOSTRA_MIN,"n&lt;mín",MEDIAN(IF((Vendas!$AK$2:$AK$3001="Validado")*(Vendas!$B$2:$B$3001=$A25)*(Vendas!$Y$2:$Y$3001=$B25)*(Vendas!$P$2:$P$3001="À vista")*ISNUMBER(Vendas!$S$2:$S$3001),Vendas!$S$2:$S$3001)))</f>
        <v/>
      </c>
      <c r="O25" s="28">
        <f>IF(OR(K25&lt;AMOSTRA_MIN,L25&lt;AMOSTRA_MIN),"n&lt;mín",N25/M25-1)</f>
        <v/>
      </c>
      <c r="P25" s="26">
        <f>SUMPRODUCT((Vendas!$AK$2:$AK$3001="Validado")*(Vendas!$B$2:$B$3001=$A25)*(Vendas!$Y$2:$Y$3001=$B25)*ISNUMBER(Vendas!$W$2:$W$3001))</f>
        <v/>
      </c>
      <c r="Q25" s="27">
        <f t="array" ref="Q25">IF(P25&lt;AMOSTRA_MIN,"n&lt;mín",MEDIAN(IF((Vendas!$AK$2:$AK$3001="Validado")*(Vendas!$B$2:$B$3001=$A25)*(Vendas!$Y$2:$Y$3001=$B25)*ISNUMBER(Vendas!$W$2:$W$3001),Vendas!$W$2:$W$3001)))</f>
        <v/>
      </c>
      <c r="R25" s="28">
        <f>IF(P25=0,"-",SUMPRODUCT((Vendas!$AK$2:$AK$3001="Validado")*(Vendas!$B$2:$B$3001=$A25)*(Vendas!$Y$2:$Y$3001=$B25)*ISNUMBER(Vendas!$W$2:$W$3001)*(Vendas!$W$2:$W$3001&lt;1))/P25)</f>
        <v/>
      </c>
      <c r="S25" s="26">
        <f>SUMPRODUCT((Vendas!$AK$2:$AK$3001="Validado")*(Vendas!$B$2:$B$3001=$A25)*(Vendas!$Y$2:$Y$3001=$B25)*ISNUMBER(Vendas!$X$2:$X$3001))</f>
        <v/>
      </c>
      <c r="T25" s="28">
        <f>IF(S25=0,"-",SUMPRODUCT((Vendas!$AK$2:$AK$3001="Validado")*(Vendas!$B$2:$B$3001=$A25)*(Vendas!$Y$2:$Y$3001=$B25)*ISNUMBER(Vendas!$X$2:$X$3001)*(Vendas!$X$2:$X$3001&gt;=1))/S25)</f>
        <v/>
      </c>
    </row>
    <row r="26">
      <c r="A26" s="15" t="inlineStr">
        <is>
          <t>Bertioga</t>
        </is>
      </c>
      <c r="B26" s="15" t="n">
        <v>2026</v>
      </c>
      <c r="C26" s="26">
        <f>SUMPRODUCT((Vendas!$AK$2:$AK$3001="Validado")*(Vendas!$B$2:$B$3001=$A26)*(Vendas!$Y$2:$Y$3001=$B26))</f>
        <v/>
      </c>
      <c r="D26" s="26">
        <f>SUMPRODUCT((Vendas!$AK$2:$AK$3001="Validado")*(Vendas!$B$2:$B$3001=$A26)*(Vendas!$Y$2:$Y$3001=$B26)*ISNUMBER(Vendas!$U$2:$U$3001))</f>
        <v/>
      </c>
      <c r="E26" s="27">
        <f t="array" ref="E26">IF(D26&lt;AMOSTRA_MIN,"n&lt;mín",MEDIAN(IF((Vendas!$AK$2:$AK$3001="Validado")*(Vendas!$B$2:$B$3001=$A26)*(Vendas!$Y$2:$Y$3001=$B26)*ISNUMBER(Vendas!$U$2:$U$3001),Vendas!$U$2:$U$3001)))</f>
        <v/>
      </c>
      <c r="F26" s="28">
        <f>IF(D26=0,"-",SUMPRODUCT((Vendas!$AK$2:$AK$3001="Validado")*(Vendas!$B$2:$B$3001=$A26)*(Vendas!$Y$2:$Y$3001=$B26)*ISNUMBER(Vendas!$U$2:$U$3001)*(Vendas!$U$2:$U$3001&lt;1))/D26)</f>
        <v/>
      </c>
      <c r="G26" s="29">
        <f t="array" ref="G26">IF(D26&lt;AMOSTRA_MIN,"n&lt;mín",100*AVERAGE(IF((Vendas!$AK$2:$AK$3001="Validado")*(Vendas!$B$2:$B$3001=$A26)*(Vendas!$Y$2:$Y$3001=$B26)*ISNUMBER(Vendas!$U$2:$U$3001),ABS(Vendas!$U$2:$U$3001-E26)))/E26)</f>
        <v/>
      </c>
      <c r="H26" s="26">
        <f>SUMPRODUCT((Vendas!$AK$2:$AK$3001="Validado")*(Vendas!$B$2:$B$3001=$A26)*(Vendas!$Y$2:$Y$3001=$B26)*ISNUMBER(Vendas!$V$2:$V$3001))</f>
        <v/>
      </c>
      <c r="I26" s="27">
        <f t="array" ref="I26">IF(H26&lt;AMOSTRA_MIN,"n&lt;mín",MEDIAN(IF((Vendas!$AK$2:$AK$3001="Validado")*(Vendas!$B$2:$B$3001=$A26)*(Vendas!$Y$2:$Y$3001=$B26)*ISNUMBER(Vendas!$V$2:$V$3001),Vendas!$V$2:$V$3001)))</f>
        <v/>
      </c>
      <c r="J26" s="28">
        <f>IF(H26=0,"-",SUMPRODUCT((Vendas!$AK$2:$AK$3001="Validado")*(Vendas!$B$2:$B$3001=$A26)*(Vendas!$Y$2:$Y$3001=$B26)*ISNUMBER(Vendas!$V$2:$V$3001)*(Vendas!$V$2:$V$3001&lt;=1))/H26)</f>
        <v/>
      </c>
      <c r="K26" s="26">
        <f>SUMPRODUCT((Vendas!$AK$2:$AK$3001="Validado")*(Vendas!$B$2:$B$3001=$A26)*(Vendas!$Y$2:$Y$3001=$B26)*(Vendas!$P$2:$P$3001="Financiado")*ISNUMBER(Vendas!$S$2:$S$3001))</f>
        <v/>
      </c>
      <c r="L26" s="26">
        <f>SUMPRODUCT((Vendas!$AK$2:$AK$3001="Validado")*(Vendas!$B$2:$B$3001=$A26)*(Vendas!$Y$2:$Y$3001=$B26)*(Vendas!$P$2:$P$3001="À vista")*ISNUMBER(Vendas!$S$2:$S$3001))</f>
        <v/>
      </c>
      <c r="M26" s="17">
        <f t="array" ref="M26">IF(K26&lt;AMOSTRA_MIN,"n&lt;mín",MEDIAN(IF((Vendas!$AK$2:$AK$3001="Validado")*(Vendas!$B$2:$B$3001=$A26)*(Vendas!$Y$2:$Y$3001=$B26)*(Vendas!$P$2:$P$3001="Financiado")*ISNUMBER(Vendas!$S$2:$S$3001),Vendas!$S$2:$S$3001)))</f>
        <v/>
      </c>
      <c r="N26" s="17">
        <f t="array" ref="N26">IF(L26&lt;AMOSTRA_MIN,"n&lt;mín",MEDIAN(IF((Vendas!$AK$2:$AK$3001="Validado")*(Vendas!$B$2:$B$3001=$A26)*(Vendas!$Y$2:$Y$3001=$B26)*(Vendas!$P$2:$P$3001="À vista")*ISNUMBER(Vendas!$S$2:$S$3001),Vendas!$S$2:$S$3001)))</f>
        <v/>
      </c>
      <c r="O26" s="28">
        <f>IF(OR(K26&lt;AMOSTRA_MIN,L26&lt;AMOSTRA_MIN),"n&lt;mín",N26/M26-1)</f>
        <v/>
      </c>
      <c r="P26" s="26">
        <f>SUMPRODUCT((Vendas!$AK$2:$AK$3001="Validado")*(Vendas!$B$2:$B$3001=$A26)*(Vendas!$Y$2:$Y$3001=$B26)*ISNUMBER(Vendas!$W$2:$W$3001))</f>
        <v/>
      </c>
      <c r="Q26" s="27">
        <f t="array" ref="Q26">IF(P26&lt;AMOSTRA_MIN,"n&lt;mín",MEDIAN(IF((Vendas!$AK$2:$AK$3001="Validado")*(Vendas!$B$2:$B$3001=$A26)*(Vendas!$Y$2:$Y$3001=$B26)*ISNUMBER(Vendas!$W$2:$W$3001),Vendas!$W$2:$W$3001)))</f>
        <v/>
      </c>
      <c r="R26" s="28">
        <f>IF(P26=0,"-",SUMPRODUCT((Vendas!$AK$2:$AK$3001="Validado")*(Vendas!$B$2:$B$3001=$A26)*(Vendas!$Y$2:$Y$3001=$B26)*ISNUMBER(Vendas!$W$2:$W$3001)*(Vendas!$W$2:$W$3001&lt;1))/P26)</f>
        <v/>
      </c>
      <c r="S26" s="26">
        <f>SUMPRODUCT((Vendas!$AK$2:$AK$3001="Validado")*(Vendas!$B$2:$B$3001=$A26)*(Vendas!$Y$2:$Y$3001=$B26)*ISNUMBER(Vendas!$X$2:$X$3001))</f>
        <v/>
      </c>
      <c r="T26" s="28">
        <f>IF(S26=0,"-",SUMPRODUCT((Vendas!$AK$2:$AK$3001="Validado")*(Vendas!$B$2:$B$3001=$A26)*(Vendas!$Y$2:$Y$3001=$B26)*ISNUMBER(Vendas!$X$2:$X$3001)*(Vendas!$X$2:$X$3001&gt;=1))/S26)</f>
        <v/>
      </c>
    </row>
    <row r="29">
      <c r="A29" s="25" t="inlineStr">
        <is>
          <t>Por cidade e padrão</t>
        </is>
      </c>
    </row>
    <row r="30" ht="48" customHeight="1">
      <c r="A30" s="2" t="inlineStr">
        <is>
          <t>Cidade</t>
        </is>
      </c>
      <c r="B30" s="2" t="inlineStr">
        <is>
          <t>Padrão</t>
        </is>
      </c>
      <c r="C30" s="2" t="inlineStr">
        <is>
          <t>Nº vendas validadas</t>
        </is>
      </c>
      <c r="D30" s="2" t="inlineStr">
        <is>
          <t>Nº c/ base ITBI</t>
        </is>
      </c>
      <c r="E30" s="2" t="inlineStr">
        <is>
          <t>Mediana Declarado ÷ Base ITBI</t>
        </is>
      </c>
      <c r="F30" s="2" t="inlineStr">
        <is>
          <t>% c/ base &gt; declarado</t>
        </is>
      </c>
      <c r="G30" s="2" t="inlineStr">
        <is>
          <t>COD Declarado ÷ Base</t>
        </is>
      </c>
      <c r="H30" s="2" t="inlineStr">
        <is>
          <t>Nº c/ venal IPTU</t>
        </is>
      </c>
      <c r="I30" s="2" t="inlineStr">
        <is>
          <t>Mediana Declarado ÷ Venal</t>
        </is>
      </c>
      <c r="J30" s="2" t="inlineStr">
        <is>
          <t>% declarado ≤ venal</t>
        </is>
      </c>
      <c r="K30" s="2" t="inlineStr">
        <is>
          <t>Nº financiadas (c/ m²)</t>
        </is>
      </c>
      <c r="L30" s="2" t="inlineStr">
        <is>
          <t>Nº à vista (c/ m²)</t>
        </is>
      </c>
      <c r="M30" s="2" t="inlineStr">
        <is>
          <t>R$/m² mediano financiadas</t>
        </is>
      </c>
      <c r="N30" s="2" t="inlineStr">
        <is>
          <t>R$/m² mediano à vista</t>
        </is>
      </c>
      <c r="O30" s="2" t="inlineStr">
        <is>
          <t>Dif. à vista vs financiada</t>
        </is>
      </c>
      <c r="P30" s="2" t="inlineStr">
        <is>
          <t>Nº c/ valor leilão</t>
        </is>
      </c>
      <c r="Q30" s="2" t="inlineStr">
        <is>
          <t>Mediana Declarado ÷ Leilão</t>
        </is>
      </c>
      <c r="R30" s="2" t="inlineStr">
        <is>
          <t>% declarado &lt; leilão</t>
        </is>
      </c>
      <c r="S30" s="2" t="inlineStr">
        <is>
          <t>Nº c/ valor financiado</t>
        </is>
      </c>
      <c r="T30" s="2" t="inlineStr">
        <is>
          <t>% financiado ≥ declarado</t>
        </is>
      </c>
    </row>
    <row r="31">
      <c r="A31" s="15" t="inlineStr">
        <is>
          <t>São Sebastião</t>
        </is>
      </c>
      <c r="B31" s="15" t="inlineStr">
        <is>
          <t>Baixo</t>
        </is>
      </c>
      <c r="C31" s="26">
        <f>SUMPRODUCT((Vendas!$AK$2:$AK$3001="Validado")*(Vendas!$B$2:$B$3001=$A31)*(Vendas!$J$2:$J$3001=$B31))</f>
        <v/>
      </c>
      <c r="D31" s="26">
        <f>SUMPRODUCT((Vendas!$AK$2:$AK$3001="Validado")*(Vendas!$B$2:$B$3001=$A31)*(Vendas!$J$2:$J$3001=$B31)*ISNUMBER(Vendas!$U$2:$U$3001))</f>
        <v/>
      </c>
      <c r="E31" s="27">
        <f t="array" ref="E31">IF(D31&lt;AMOSTRA_MIN,"n&lt;mín",MEDIAN(IF((Vendas!$AK$2:$AK$3001="Validado")*(Vendas!$B$2:$B$3001=$A31)*(Vendas!$J$2:$J$3001=$B31)*ISNUMBER(Vendas!$U$2:$U$3001),Vendas!$U$2:$U$3001)))</f>
        <v/>
      </c>
      <c r="F31" s="28">
        <f>IF(D31=0,"-",SUMPRODUCT((Vendas!$AK$2:$AK$3001="Validado")*(Vendas!$B$2:$B$3001=$A31)*(Vendas!$J$2:$J$3001=$B31)*ISNUMBER(Vendas!$U$2:$U$3001)*(Vendas!$U$2:$U$3001&lt;1))/D31)</f>
        <v/>
      </c>
      <c r="G31" s="29">
        <f t="array" ref="G31">IF(D31&lt;AMOSTRA_MIN,"n&lt;mín",100*AVERAGE(IF((Vendas!$AK$2:$AK$3001="Validado")*(Vendas!$B$2:$B$3001=$A31)*(Vendas!$J$2:$J$3001=$B31)*ISNUMBER(Vendas!$U$2:$U$3001),ABS(Vendas!$U$2:$U$3001-E31)))/E31)</f>
        <v/>
      </c>
      <c r="H31" s="26">
        <f>SUMPRODUCT((Vendas!$AK$2:$AK$3001="Validado")*(Vendas!$B$2:$B$3001=$A31)*(Vendas!$J$2:$J$3001=$B31)*ISNUMBER(Vendas!$V$2:$V$3001))</f>
        <v/>
      </c>
      <c r="I31" s="27">
        <f t="array" ref="I31">IF(H31&lt;AMOSTRA_MIN,"n&lt;mín",MEDIAN(IF((Vendas!$AK$2:$AK$3001="Validado")*(Vendas!$B$2:$B$3001=$A31)*(Vendas!$J$2:$J$3001=$B31)*ISNUMBER(Vendas!$V$2:$V$3001),Vendas!$V$2:$V$3001)))</f>
        <v/>
      </c>
      <c r="J31" s="28">
        <f>IF(H31=0,"-",SUMPRODUCT((Vendas!$AK$2:$AK$3001="Validado")*(Vendas!$B$2:$B$3001=$A31)*(Vendas!$J$2:$J$3001=$B31)*ISNUMBER(Vendas!$V$2:$V$3001)*(Vendas!$V$2:$V$3001&lt;=1))/H31)</f>
        <v/>
      </c>
      <c r="K31" s="26">
        <f>SUMPRODUCT((Vendas!$AK$2:$AK$3001="Validado")*(Vendas!$B$2:$B$3001=$A31)*(Vendas!$J$2:$J$3001=$B31)*(Vendas!$P$2:$P$3001="Financiado")*ISNUMBER(Vendas!$S$2:$S$3001))</f>
        <v/>
      </c>
      <c r="L31" s="26">
        <f>SUMPRODUCT((Vendas!$AK$2:$AK$3001="Validado")*(Vendas!$B$2:$B$3001=$A31)*(Vendas!$J$2:$J$3001=$B31)*(Vendas!$P$2:$P$3001="À vista")*ISNUMBER(Vendas!$S$2:$S$3001))</f>
        <v/>
      </c>
      <c r="M31" s="17">
        <f t="array" ref="M31">IF(K31&lt;AMOSTRA_MIN,"n&lt;mín",MEDIAN(IF((Vendas!$AK$2:$AK$3001="Validado")*(Vendas!$B$2:$B$3001=$A31)*(Vendas!$J$2:$J$3001=$B31)*(Vendas!$P$2:$P$3001="Financiado")*ISNUMBER(Vendas!$S$2:$S$3001),Vendas!$S$2:$S$3001)))</f>
        <v/>
      </c>
      <c r="N31" s="17">
        <f t="array" ref="N31">IF(L31&lt;AMOSTRA_MIN,"n&lt;mín",MEDIAN(IF((Vendas!$AK$2:$AK$3001="Validado")*(Vendas!$B$2:$B$3001=$A31)*(Vendas!$J$2:$J$3001=$B31)*(Vendas!$P$2:$P$3001="À vista")*ISNUMBER(Vendas!$S$2:$S$3001),Vendas!$S$2:$S$3001)))</f>
        <v/>
      </c>
      <c r="O31" s="28">
        <f>IF(OR(K31&lt;AMOSTRA_MIN,L31&lt;AMOSTRA_MIN),"n&lt;mín",N31/M31-1)</f>
        <v/>
      </c>
      <c r="P31" s="26">
        <f>SUMPRODUCT((Vendas!$AK$2:$AK$3001="Validado")*(Vendas!$B$2:$B$3001=$A31)*(Vendas!$J$2:$J$3001=$B31)*ISNUMBER(Vendas!$W$2:$W$3001))</f>
        <v/>
      </c>
      <c r="Q31" s="27">
        <f t="array" ref="Q31">IF(P31&lt;AMOSTRA_MIN,"n&lt;mín",MEDIAN(IF((Vendas!$AK$2:$AK$3001="Validado")*(Vendas!$B$2:$B$3001=$A31)*(Vendas!$J$2:$J$3001=$B31)*ISNUMBER(Vendas!$W$2:$W$3001),Vendas!$W$2:$W$3001)))</f>
        <v/>
      </c>
      <c r="R31" s="28">
        <f>IF(P31=0,"-",SUMPRODUCT((Vendas!$AK$2:$AK$3001="Validado")*(Vendas!$B$2:$B$3001=$A31)*(Vendas!$J$2:$J$3001=$B31)*ISNUMBER(Vendas!$W$2:$W$3001)*(Vendas!$W$2:$W$3001&lt;1))/P31)</f>
        <v/>
      </c>
      <c r="S31" s="26">
        <f>SUMPRODUCT((Vendas!$AK$2:$AK$3001="Validado")*(Vendas!$B$2:$B$3001=$A31)*(Vendas!$J$2:$J$3001=$B31)*ISNUMBER(Vendas!$X$2:$X$3001))</f>
        <v/>
      </c>
      <c r="T31" s="28">
        <f>IF(S31=0,"-",SUMPRODUCT((Vendas!$AK$2:$AK$3001="Validado")*(Vendas!$B$2:$B$3001=$A31)*(Vendas!$J$2:$J$3001=$B31)*ISNUMBER(Vendas!$X$2:$X$3001)*(Vendas!$X$2:$X$3001&gt;=1))/S31)</f>
        <v/>
      </c>
    </row>
    <row r="32">
      <c r="A32" s="15" t="inlineStr">
        <is>
          <t>São Sebastião</t>
        </is>
      </c>
      <c r="B32" s="15" t="inlineStr">
        <is>
          <t>Normal</t>
        </is>
      </c>
      <c r="C32" s="26">
        <f>SUMPRODUCT((Vendas!$AK$2:$AK$3001="Validado")*(Vendas!$B$2:$B$3001=$A32)*(Vendas!$J$2:$J$3001=$B32))</f>
        <v/>
      </c>
      <c r="D32" s="26">
        <f>SUMPRODUCT((Vendas!$AK$2:$AK$3001="Validado")*(Vendas!$B$2:$B$3001=$A32)*(Vendas!$J$2:$J$3001=$B32)*ISNUMBER(Vendas!$U$2:$U$3001))</f>
        <v/>
      </c>
      <c r="E32" s="27">
        <f t="array" ref="E32">IF(D32&lt;AMOSTRA_MIN,"n&lt;mín",MEDIAN(IF((Vendas!$AK$2:$AK$3001="Validado")*(Vendas!$B$2:$B$3001=$A32)*(Vendas!$J$2:$J$3001=$B32)*ISNUMBER(Vendas!$U$2:$U$3001),Vendas!$U$2:$U$3001)))</f>
        <v/>
      </c>
      <c r="F32" s="28">
        <f>IF(D32=0,"-",SUMPRODUCT((Vendas!$AK$2:$AK$3001="Validado")*(Vendas!$B$2:$B$3001=$A32)*(Vendas!$J$2:$J$3001=$B32)*ISNUMBER(Vendas!$U$2:$U$3001)*(Vendas!$U$2:$U$3001&lt;1))/D32)</f>
        <v/>
      </c>
      <c r="G32" s="29">
        <f t="array" ref="G32">IF(D32&lt;AMOSTRA_MIN,"n&lt;mín",100*AVERAGE(IF((Vendas!$AK$2:$AK$3001="Validado")*(Vendas!$B$2:$B$3001=$A32)*(Vendas!$J$2:$J$3001=$B32)*ISNUMBER(Vendas!$U$2:$U$3001),ABS(Vendas!$U$2:$U$3001-E32)))/E32)</f>
        <v/>
      </c>
      <c r="H32" s="26">
        <f>SUMPRODUCT((Vendas!$AK$2:$AK$3001="Validado")*(Vendas!$B$2:$B$3001=$A32)*(Vendas!$J$2:$J$3001=$B32)*ISNUMBER(Vendas!$V$2:$V$3001))</f>
        <v/>
      </c>
      <c r="I32" s="27">
        <f t="array" ref="I32">IF(H32&lt;AMOSTRA_MIN,"n&lt;mín",MEDIAN(IF((Vendas!$AK$2:$AK$3001="Validado")*(Vendas!$B$2:$B$3001=$A32)*(Vendas!$J$2:$J$3001=$B32)*ISNUMBER(Vendas!$V$2:$V$3001),Vendas!$V$2:$V$3001)))</f>
        <v/>
      </c>
      <c r="J32" s="28">
        <f>IF(H32=0,"-",SUMPRODUCT((Vendas!$AK$2:$AK$3001="Validado")*(Vendas!$B$2:$B$3001=$A32)*(Vendas!$J$2:$J$3001=$B32)*ISNUMBER(Vendas!$V$2:$V$3001)*(Vendas!$V$2:$V$3001&lt;=1))/H32)</f>
        <v/>
      </c>
      <c r="K32" s="26">
        <f>SUMPRODUCT((Vendas!$AK$2:$AK$3001="Validado")*(Vendas!$B$2:$B$3001=$A32)*(Vendas!$J$2:$J$3001=$B32)*(Vendas!$P$2:$P$3001="Financiado")*ISNUMBER(Vendas!$S$2:$S$3001))</f>
        <v/>
      </c>
      <c r="L32" s="26">
        <f>SUMPRODUCT((Vendas!$AK$2:$AK$3001="Validado")*(Vendas!$B$2:$B$3001=$A32)*(Vendas!$J$2:$J$3001=$B32)*(Vendas!$P$2:$P$3001="À vista")*ISNUMBER(Vendas!$S$2:$S$3001))</f>
        <v/>
      </c>
      <c r="M32" s="17">
        <f t="array" ref="M32">IF(K32&lt;AMOSTRA_MIN,"n&lt;mín",MEDIAN(IF((Vendas!$AK$2:$AK$3001="Validado")*(Vendas!$B$2:$B$3001=$A32)*(Vendas!$J$2:$J$3001=$B32)*(Vendas!$P$2:$P$3001="Financiado")*ISNUMBER(Vendas!$S$2:$S$3001),Vendas!$S$2:$S$3001)))</f>
        <v/>
      </c>
      <c r="N32" s="17">
        <f t="array" ref="N32">IF(L32&lt;AMOSTRA_MIN,"n&lt;mín",MEDIAN(IF((Vendas!$AK$2:$AK$3001="Validado")*(Vendas!$B$2:$B$3001=$A32)*(Vendas!$J$2:$J$3001=$B32)*(Vendas!$P$2:$P$3001="À vista")*ISNUMBER(Vendas!$S$2:$S$3001),Vendas!$S$2:$S$3001)))</f>
        <v/>
      </c>
      <c r="O32" s="28">
        <f>IF(OR(K32&lt;AMOSTRA_MIN,L32&lt;AMOSTRA_MIN),"n&lt;mín",N32/M32-1)</f>
        <v/>
      </c>
      <c r="P32" s="26">
        <f>SUMPRODUCT((Vendas!$AK$2:$AK$3001="Validado")*(Vendas!$B$2:$B$3001=$A32)*(Vendas!$J$2:$J$3001=$B32)*ISNUMBER(Vendas!$W$2:$W$3001))</f>
        <v/>
      </c>
      <c r="Q32" s="27">
        <f t="array" ref="Q32">IF(P32&lt;AMOSTRA_MIN,"n&lt;mín",MEDIAN(IF((Vendas!$AK$2:$AK$3001="Validado")*(Vendas!$B$2:$B$3001=$A32)*(Vendas!$J$2:$J$3001=$B32)*ISNUMBER(Vendas!$W$2:$W$3001),Vendas!$W$2:$W$3001)))</f>
        <v/>
      </c>
      <c r="R32" s="28">
        <f>IF(P32=0,"-",SUMPRODUCT((Vendas!$AK$2:$AK$3001="Validado")*(Vendas!$B$2:$B$3001=$A32)*(Vendas!$J$2:$J$3001=$B32)*ISNUMBER(Vendas!$W$2:$W$3001)*(Vendas!$W$2:$W$3001&lt;1))/P32)</f>
        <v/>
      </c>
      <c r="S32" s="26">
        <f>SUMPRODUCT((Vendas!$AK$2:$AK$3001="Validado")*(Vendas!$B$2:$B$3001=$A32)*(Vendas!$J$2:$J$3001=$B32)*ISNUMBER(Vendas!$X$2:$X$3001))</f>
        <v/>
      </c>
      <c r="T32" s="28">
        <f>IF(S32=0,"-",SUMPRODUCT((Vendas!$AK$2:$AK$3001="Validado")*(Vendas!$B$2:$B$3001=$A32)*(Vendas!$J$2:$J$3001=$B32)*ISNUMBER(Vendas!$X$2:$X$3001)*(Vendas!$X$2:$X$3001&gt;=1))/S32)</f>
        <v/>
      </c>
    </row>
    <row r="33">
      <c r="A33" s="15" t="inlineStr">
        <is>
          <t>São Sebastião</t>
        </is>
      </c>
      <c r="B33" s="15" t="inlineStr">
        <is>
          <t>Alto</t>
        </is>
      </c>
      <c r="C33" s="26">
        <f>SUMPRODUCT((Vendas!$AK$2:$AK$3001="Validado")*(Vendas!$B$2:$B$3001=$A33)*(Vendas!$J$2:$J$3001=$B33))</f>
        <v/>
      </c>
      <c r="D33" s="26">
        <f>SUMPRODUCT((Vendas!$AK$2:$AK$3001="Validado")*(Vendas!$B$2:$B$3001=$A33)*(Vendas!$J$2:$J$3001=$B33)*ISNUMBER(Vendas!$U$2:$U$3001))</f>
        <v/>
      </c>
      <c r="E33" s="27">
        <f t="array" ref="E33">IF(D33&lt;AMOSTRA_MIN,"n&lt;mín",MEDIAN(IF((Vendas!$AK$2:$AK$3001="Validado")*(Vendas!$B$2:$B$3001=$A33)*(Vendas!$J$2:$J$3001=$B33)*ISNUMBER(Vendas!$U$2:$U$3001),Vendas!$U$2:$U$3001)))</f>
        <v/>
      </c>
      <c r="F33" s="28">
        <f>IF(D33=0,"-",SUMPRODUCT((Vendas!$AK$2:$AK$3001="Validado")*(Vendas!$B$2:$B$3001=$A33)*(Vendas!$J$2:$J$3001=$B33)*ISNUMBER(Vendas!$U$2:$U$3001)*(Vendas!$U$2:$U$3001&lt;1))/D33)</f>
        <v/>
      </c>
      <c r="G33" s="29">
        <f t="array" ref="G33">IF(D33&lt;AMOSTRA_MIN,"n&lt;mín",100*AVERAGE(IF((Vendas!$AK$2:$AK$3001="Validado")*(Vendas!$B$2:$B$3001=$A33)*(Vendas!$J$2:$J$3001=$B33)*ISNUMBER(Vendas!$U$2:$U$3001),ABS(Vendas!$U$2:$U$3001-E33)))/E33)</f>
        <v/>
      </c>
      <c r="H33" s="26">
        <f>SUMPRODUCT((Vendas!$AK$2:$AK$3001="Validado")*(Vendas!$B$2:$B$3001=$A33)*(Vendas!$J$2:$J$3001=$B33)*ISNUMBER(Vendas!$V$2:$V$3001))</f>
        <v/>
      </c>
      <c r="I33" s="27">
        <f t="array" ref="I33">IF(H33&lt;AMOSTRA_MIN,"n&lt;mín",MEDIAN(IF((Vendas!$AK$2:$AK$3001="Validado")*(Vendas!$B$2:$B$3001=$A33)*(Vendas!$J$2:$J$3001=$B33)*ISNUMBER(Vendas!$V$2:$V$3001),Vendas!$V$2:$V$3001)))</f>
        <v/>
      </c>
      <c r="J33" s="28">
        <f>IF(H33=0,"-",SUMPRODUCT((Vendas!$AK$2:$AK$3001="Validado")*(Vendas!$B$2:$B$3001=$A33)*(Vendas!$J$2:$J$3001=$B33)*ISNUMBER(Vendas!$V$2:$V$3001)*(Vendas!$V$2:$V$3001&lt;=1))/H33)</f>
        <v/>
      </c>
      <c r="K33" s="26">
        <f>SUMPRODUCT((Vendas!$AK$2:$AK$3001="Validado")*(Vendas!$B$2:$B$3001=$A33)*(Vendas!$J$2:$J$3001=$B33)*(Vendas!$P$2:$P$3001="Financiado")*ISNUMBER(Vendas!$S$2:$S$3001))</f>
        <v/>
      </c>
      <c r="L33" s="26">
        <f>SUMPRODUCT((Vendas!$AK$2:$AK$3001="Validado")*(Vendas!$B$2:$B$3001=$A33)*(Vendas!$J$2:$J$3001=$B33)*(Vendas!$P$2:$P$3001="À vista")*ISNUMBER(Vendas!$S$2:$S$3001))</f>
        <v/>
      </c>
      <c r="M33" s="17">
        <f t="array" ref="M33">IF(K33&lt;AMOSTRA_MIN,"n&lt;mín",MEDIAN(IF((Vendas!$AK$2:$AK$3001="Validado")*(Vendas!$B$2:$B$3001=$A33)*(Vendas!$J$2:$J$3001=$B33)*(Vendas!$P$2:$P$3001="Financiado")*ISNUMBER(Vendas!$S$2:$S$3001),Vendas!$S$2:$S$3001)))</f>
        <v/>
      </c>
      <c r="N33" s="17">
        <f t="array" ref="N33">IF(L33&lt;AMOSTRA_MIN,"n&lt;mín",MEDIAN(IF((Vendas!$AK$2:$AK$3001="Validado")*(Vendas!$B$2:$B$3001=$A33)*(Vendas!$J$2:$J$3001=$B33)*(Vendas!$P$2:$P$3001="À vista")*ISNUMBER(Vendas!$S$2:$S$3001),Vendas!$S$2:$S$3001)))</f>
        <v/>
      </c>
      <c r="O33" s="28">
        <f>IF(OR(K33&lt;AMOSTRA_MIN,L33&lt;AMOSTRA_MIN),"n&lt;mín",N33/M33-1)</f>
        <v/>
      </c>
      <c r="P33" s="26">
        <f>SUMPRODUCT((Vendas!$AK$2:$AK$3001="Validado")*(Vendas!$B$2:$B$3001=$A33)*(Vendas!$J$2:$J$3001=$B33)*ISNUMBER(Vendas!$W$2:$W$3001))</f>
        <v/>
      </c>
      <c r="Q33" s="27">
        <f t="array" ref="Q33">IF(P33&lt;AMOSTRA_MIN,"n&lt;mín",MEDIAN(IF((Vendas!$AK$2:$AK$3001="Validado")*(Vendas!$B$2:$B$3001=$A33)*(Vendas!$J$2:$J$3001=$B33)*ISNUMBER(Vendas!$W$2:$W$3001),Vendas!$W$2:$W$3001)))</f>
        <v/>
      </c>
      <c r="R33" s="28">
        <f>IF(P33=0,"-",SUMPRODUCT((Vendas!$AK$2:$AK$3001="Validado")*(Vendas!$B$2:$B$3001=$A33)*(Vendas!$J$2:$J$3001=$B33)*ISNUMBER(Vendas!$W$2:$W$3001)*(Vendas!$W$2:$W$3001&lt;1))/P33)</f>
        <v/>
      </c>
      <c r="S33" s="26">
        <f>SUMPRODUCT((Vendas!$AK$2:$AK$3001="Validado")*(Vendas!$B$2:$B$3001=$A33)*(Vendas!$J$2:$J$3001=$B33)*ISNUMBER(Vendas!$X$2:$X$3001))</f>
        <v/>
      </c>
      <c r="T33" s="28">
        <f>IF(S33=0,"-",SUMPRODUCT((Vendas!$AK$2:$AK$3001="Validado")*(Vendas!$B$2:$B$3001=$A33)*(Vendas!$J$2:$J$3001=$B33)*ISNUMBER(Vendas!$X$2:$X$3001)*(Vendas!$X$2:$X$3001&gt;=1))/S33)</f>
        <v/>
      </c>
    </row>
    <row r="34">
      <c r="A34" s="15" t="inlineStr">
        <is>
          <t>São Sebastião</t>
        </is>
      </c>
      <c r="B34" s="15" t="inlineStr">
        <is>
          <t>Não informado</t>
        </is>
      </c>
      <c r="C34" s="26">
        <f>SUMPRODUCT((Vendas!$AK$2:$AK$3001="Validado")*(Vendas!$B$2:$B$3001=$A34)*(Vendas!$J$2:$J$3001=$B34))</f>
        <v/>
      </c>
      <c r="D34" s="26">
        <f>SUMPRODUCT((Vendas!$AK$2:$AK$3001="Validado")*(Vendas!$B$2:$B$3001=$A34)*(Vendas!$J$2:$J$3001=$B34)*ISNUMBER(Vendas!$U$2:$U$3001))</f>
        <v/>
      </c>
      <c r="E34" s="27">
        <f t="array" ref="E34">IF(D34&lt;AMOSTRA_MIN,"n&lt;mín",MEDIAN(IF((Vendas!$AK$2:$AK$3001="Validado")*(Vendas!$B$2:$B$3001=$A34)*(Vendas!$J$2:$J$3001=$B34)*ISNUMBER(Vendas!$U$2:$U$3001),Vendas!$U$2:$U$3001)))</f>
        <v/>
      </c>
      <c r="F34" s="28">
        <f>IF(D34=0,"-",SUMPRODUCT((Vendas!$AK$2:$AK$3001="Validado")*(Vendas!$B$2:$B$3001=$A34)*(Vendas!$J$2:$J$3001=$B34)*ISNUMBER(Vendas!$U$2:$U$3001)*(Vendas!$U$2:$U$3001&lt;1))/D34)</f>
        <v/>
      </c>
      <c r="G34" s="29">
        <f t="array" ref="G34">IF(D34&lt;AMOSTRA_MIN,"n&lt;mín",100*AVERAGE(IF((Vendas!$AK$2:$AK$3001="Validado")*(Vendas!$B$2:$B$3001=$A34)*(Vendas!$J$2:$J$3001=$B34)*ISNUMBER(Vendas!$U$2:$U$3001),ABS(Vendas!$U$2:$U$3001-E34)))/E34)</f>
        <v/>
      </c>
      <c r="H34" s="26">
        <f>SUMPRODUCT((Vendas!$AK$2:$AK$3001="Validado")*(Vendas!$B$2:$B$3001=$A34)*(Vendas!$J$2:$J$3001=$B34)*ISNUMBER(Vendas!$V$2:$V$3001))</f>
        <v/>
      </c>
      <c r="I34" s="27">
        <f t="array" ref="I34">IF(H34&lt;AMOSTRA_MIN,"n&lt;mín",MEDIAN(IF((Vendas!$AK$2:$AK$3001="Validado")*(Vendas!$B$2:$B$3001=$A34)*(Vendas!$J$2:$J$3001=$B34)*ISNUMBER(Vendas!$V$2:$V$3001),Vendas!$V$2:$V$3001)))</f>
        <v/>
      </c>
      <c r="J34" s="28">
        <f>IF(H34=0,"-",SUMPRODUCT((Vendas!$AK$2:$AK$3001="Validado")*(Vendas!$B$2:$B$3001=$A34)*(Vendas!$J$2:$J$3001=$B34)*ISNUMBER(Vendas!$V$2:$V$3001)*(Vendas!$V$2:$V$3001&lt;=1))/H34)</f>
        <v/>
      </c>
      <c r="K34" s="26">
        <f>SUMPRODUCT((Vendas!$AK$2:$AK$3001="Validado")*(Vendas!$B$2:$B$3001=$A34)*(Vendas!$J$2:$J$3001=$B34)*(Vendas!$P$2:$P$3001="Financiado")*ISNUMBER(Vendas!$S$2:$S$3001))</f>
        <v/>
      </c>
      <c r="L34" s="26">
        <f>SUMPRODUCT((Vendas!$AK$2:$AK$3001="Validado")*(Vendas!$B$2:$B$3001=$A34)*(Vendas!$J$2:$J$3001=$B34)*(Vendas!$P$2:$P$3001="À vista")*ISNUMBER(Vendas!$S$2:$S$3001))</f>
        <v/>
      </c>
      <c r="M34" s="17">
        <f t="array" ref="M34">IF(K34&lt;AMOSTRA_MIN,"n&lt;mín",MEDIAN(IF((Vendas!$AK$2:$AK$3001="Validado")*(Vendas!$B$2:$B$3001=$A34)*(Vendas!$J$2:$J$3001=$B34)*(Vendas!$P$2:$P$3001="Financiado")*ISNUMBER(Vendas!$S$2:$S$3001),Vendas!$S$2:$S$3001)))</f>
        <v/>
      </c>
      <c r="N34" s="17">
        <f t="array" ref="N34">IF(L34&lt;AMOSTRA_MIN,"n&lt;mín",MEDIAN(IF((Vendas!$AK$2:$AK$3001="Validado")*(Vendas!$B$2:$B$3001=$A34)*(Vendas!$J$2:$J$3001=$B34)*(Vendas!$P$2:$P$3001="À vista")*ISNUMBER(Vendas!$S$2:$S$3001),Vendas!$S$2:$S$3001)))</f>
        <v/>
      </c>
      <c r="O34" s="28">
        <f>IF(OR(K34&lt;AMOSTRA_MIN,L34&lt;AMOSTRA_MIN),"n&lt;mín",N34/M34-1)</f>
        <v/>
      </c>
      <c r="P34" s="26">
        <f>SUMPRODUCT((Vendas!$AK$2:$AK$3001="Validado")*(Vendas!$B$2:$B$3001=$A34)*(Vendas!$J$2:$J$3001=$B34)*ISNUMBER(Vendas!$W$2:$W$3001))</f>
        <v/>
      </c>
      <c r="Q34" s="27">
        <f t="array" ref="Q34">IF(P34&lt;AMOSTRA_MIN,"n&lt;mín",MEDIAN(IF((Vendas!$AK$2:$AK$3001="Validado")*(Vendas!$B$2:$B$3001=$A34)*(Vendas!$J$2:$J$3001=$B34)*ISNUMBER(Vendas!$W$2:$W$3001),Vendas!$W$2:$W$3001)))</f>
        <v/>
      </c>
      <c r="R34" s="28">
        <f>IF(P34=0,"-",SUMPRODUCT((Vendas!$AK$2:$AK$3001="Validado")*(Vendas!$B$2:$B$3001=$A34)*(Vendas!$J$2:$J$3001=$B34)*ISNUMBER(Vendas!$W$2:$W$3001)*(Vendas!$W$2:$W$3001&lt;1))/P34)</f>
        <v/>
      </c>
      <c r="S34" s="26">
        <f>SUMPRODUCT((Vendas!$AK$2:$AK$3001="Validado")*(Vendas!$B$2:$B$3001=$A34)*(Vendas!$J$2:$J$3001=$B34)*ISNUMBER(Vendas!$X$2:$X$3001))</f>
        <v/>
      </c>
      <c r="T34" s="28">
        <f>IF(S34=0,"-",SUMPRODUCT((Vendas!$AK$2:$AK$3001="Validado")*(Vendas!$B$2:$B$3001=$A34)*(Vendas!$J$2:$J$3001=$B34)*ISNUMBER(Vendas!$X$2:$X$3001)*(Vendas!$X$2:$X$3001&gt;=1))/S34)</f>
        <v/>
      </c>
    </row>
    <row r="35">
      <c r="A35" s="15" t="inlineStr">
        <is>
          <t>Bertioga</t>
        </is>
      </c>
      <c r="B35" s="15" t="inlineStr">
        <is>
          <t>Baixo</t>
        </is>
      </c>
      <c r="C35" s="26">
        <f>SUMPRODUCT((Vendas!$AK$2:$AK$3001="Validado")*(Vendas!$B$2:$B$3001=$A35)*(Vendas!$J$2:$J$3001=$B35))</f>
        <v/>
      </c>
      <c r="D35" s="26">
        <f>SUMPRODUCT((Vendas!$AK$2:$AK$3001="Validado")*(Vendas!$B$2:$B$3001=$A35)*(Vendas!$J$2:$J$3001=$B35)*ISNUMBER(Vendas!$U$2:$U$3001))</f>
        <v/>
      </c>
      <c r="E35" s="27">
        <f t="array" ref="E35">IF(D35&lt;AMOSTRA_MIN,"n&lt;mín",MEDIAN(IF((Vendas!$AK$2:$AK$3001="Validado")*(Vendas!$B$2:$B$3001=$A35)*(Vendas!$J$2:$J$3001=$B35)*ISNUMBER(Vendas!$U$2:$U$3001),Vendas!$U$2:$U$3001)))</f>
        <v/>
      </c>
      <c r="F35" s="28">
        <f>IF(D35=0,"-",SUMPRODUCT((Vendas!$AK$2:$AK$3001="Validado")*(Vendas!$B$2:$B$3001=$A35)*(Vendas!$J$2:$J$3001=$B35)*ISNUMBER(Vendas!$U$2:$U$3001)*(Vendas!$U$2:$U$3001&lt;1))/D35)</f>
        <v/>
      </c>
      <c r="G35" s="29">
        <f t="array" ref="G35">IF(D35&lt;AMOSTRA_MIN,"n&lt;mín",100*AVERAGE(IF((Vendas!$AK$2:$AK$3001="Validado")*(Vendas!$B$2:$B$3001=$A35)*(Vendas!$J$2:$J$3001=$B35)*ISNUMBER(Vendas!$U$2:$U$3001),ABS(Vendas!$U$2:$U$3001-E35)))/E35)</f>
        <v/>
      </c>
      <c r="H35" s="26">
        <f>SUMPRODUCT((Vendas!$AK$2:$AK$3001="Validado")*(Vendas!$B$2:$B$3001=$A35)*(Vendas!$J$2:$J$3001=$B35)*ISNUMBER(Vendas!$V$2:$V$3001))</f>
        <v/>
      </c>
      <c r="I35" s="27">
        <f t="array" ref="I35">IF(H35&lt;AMOSTRA_MIN,"n&lt;mín",MEDIAN(IF((Vendas!$AK$2:$AK$3001="Validado")*(Vendas!$B$2:$B$3001=$A35)*(Vendas!$J$2:$J$3001=$B35)*ISNUMBER(Vendas!$V$2:$V$3001),Vendas!$V$2:$V$3001)))</f>
        <v/>
      </c>
      <c r="J35" s="28">
        <f>IF(H35=0,"-",SUMPRODUCT((Vendas!$AK$2:$AK$3001="Validado")*(Vendas!$B$2:$B$3001=$A35)*(Vendas!$J$2:$J$3001=$B35)*ISNUMBER(Vendas!$V$2:$V$3001)*(Vendas!$V$2:$V$3001&lt;=1))/H35)</f>
        <v/>
      </c>
      <c r="K35" s="26">
        <f>SUMPRODUCT((Vendas!$AK$2:$AK$3001="Validado")*(Vendas!$B$2:$B$3001=$A35)*(Vendas!$J$2:$J$3001=$B35)*(Vendas!$P$2:$P$3001="Financiado")*ISNUMBER(Vendas!$S$2:$S$3001))</f>
        <v/>
      </c>
      <c r="L35" s="26">
        <f>SUMPRODUCT((Vendas!$AK$2:$AK$3001="Validado")*(Vendas!$B$2:$B$3001=$A35)*(Vendas!$J$2:$J$3001=$B35)*(Vendas!$P$2:$P$3001="À vista")*ISNUMBER(Vendas!$S$2:$S$3001))</f>
        <v/>
      </c>
      <c r="M35" s="17">
        <f t="array" ref="M35">IF(K35&lt;AMOSTRA_MIN,"n&lt;mín",MEDIAN(IF((Vendas!$AK$2:$AK$3001="Validado")*(Vendas!$B$2:$B$3001=$A35)*(Vendas!$J$2:$J$3001=$B35)*(Vendas!$P$2:$P$3001="Financiado")*ISNUMBER(Vendas!$S$2:$S$3001),Vendas!$S$2:$S$3001)))</f>
        <v/>
      </c>
      <c r="N35" s="17">
        <f t="array" ref="N35">IF(L35&lt;AMOSTRA_MIN,"n&lt;mín",MEDIAN(IF((Vendas!$AK$2:$AK$3001="Validado")*(Vendas!$B$2:$B$3001=$A35)*(Vendas!$J$2:$J$3001=$B35)*(Vendas!$P$2:$P$3001="À vista")*ISNUMBER(Vendas!$S$2:$S$3001),Vendas!$S$2:$S$3001)))</f>
        <v/>
      </c>
      <c r="O35" s="28">
        <f>IF(OR(K35&lt;AMOSTRA_MIN,L35&lt;AMOSTRA_MIN),"n&lt;mín",N35/M35-1)</f>
        <v/>
      </c>
      <c r="P35" s="26">
        <f>SUMPRODUCT((Vendas!$AK$2:$AK$3001="Validado")*(Vendas!$B$2:$B$3001=$A35)*(Vendas!$J$2:$J$3001=$B35)*ISNUMBER(Vendas!$W$2:$W$3001))</f>
        <v/>
      </c>
      <c r="Q35" s="27">
        <f t="array" ref="Q35">IF(P35&lt;AMOSTRA_MIN,"n&lt;mín",MEDIAN(IF((Vendas!$AK$2:$AK$3001="Validado")*(Vendas!$B$2:$B$3001=$A35)*(Vendas!$J$2:$J$3001=$B35)*ISNUMBER(Vendas!$W$2:$W$3001),Vendas!$W$2:$W$3001)))</f>
        <v/>
      </c>
      <c r="R35" s="28">
        <f>IF(P35=0,"-",SUMPRODUCT((Vendas!$AK$2:$AK$3001="Validado")*(Vendas!$B$2:$B$3001=$A35)*(Vendas!$J$2:$J$3001=$B35)*ISNUMBER(Vendas!$W$2:$W$3001)*(Vendas!$W$2:$W$3001&lt;1))/P35)</f>
        <v/>
      </c>
      <c r="S35" s="26">
        <f>SUMPRODUCT((Vendas!$AK$2:$AK$3001="Validado")*(Vendas!$B$2:$B$3001=$A35)*(Vendas!$J$2:$J$3001=$B35)*ISNUMBER(Vendas!$X$2:$X$3001))</f>
        <v/>
      </c>
      <c r="T35" s="28">
        <f>IF(S35=0,"-",SUMPRODUCT((Vendas!$AK$2:$AK$3001="Validado")*(Vendas!$B$2:$B$3001=$A35)*(Vendas!$J$2:$J$3001=$B35)*ISNUMBER(Vendas!$X$2:$X$3001)*(Vendas!$X$2:$X$3001&gt;=1))/S35)</f>
        <v/>
      </c>
    </row>
    <row r="36">
      <c r="A36" s="15" t="inlineStr">
        <is>
          <t>Bertioga</t>
        </is>
      </c>
      <c r="B36" s="15" t="inlineStr">
        <is>
          <t>Normal</t>
        </is>
      </c>
      <c r="C36" s="26">
        <f>SUMPRODUCT((Vendas!$AK$2:$AK$3001="Validado")*(Vendas!$B$2:$B$3001=$A36)*(Vendas!$J$2:$J$3001=$B36))</f>
        <v/>
      </c>
      <c r="D36" s="26">
        <f>SUMPRODUCT((Vendas!$AK$2:$AK$3001="Validado")*(Vendas!$B$2:$B$3001=$A36)*(Vendas!$J$2:$J$3001=$B36)*ISNUMBER(Vendas!$U$2:$U$3001))</f>
        <v/>
      </c>
      <c r="E36" s="27">
        <f t="array" ref="E36">IF(D36&lt;AMOSTRA_MIN,"n&lt;mín",MEDIAN(IF((Vendas!$AK$2:$AK$3001="Validado")*(Vendas!$B$2:$B$3001=$A36)*(Vendas!$J$2:$J$3001=$B36)*ISNUMBER(Vendas!$U$2:$U$3001),Vendas!$U$2:$U$3001)))</f>
        <v/>
      </c>
      <c r="F36" s="28">
        <f>IF(D36=0,"-",SUMPRODUCT((Vendas!$AK$2:$AK$3001="Validado")*(Vendas!$B$2:$B$3001=$A36)*(Vendas!$J$2:$J$3001=$B36)*ISNUMBER(Vendas!$U$2:$U$3001)*(Vendas!$U$2:$U$3001&lt;1))/D36)</f>
        <v/>
      </c>
      <c r="G36" s="29">
        <f t="array" ref="G36">IF(D36&lt;AMOSTRA_MIN,"n&lt;mín",100*AVERAGE(IF((Vendas!$AK$2:$AK$3001="Validado")*(Vendas!$B$2:$B$3001=$A36)*(Vendas!$J$2:$J$3001=$B36)*ISNUMBER(Vendas!$U$2:$U$3001),ABS(Vendas!$U$2:$U$3001-E36)))/E36)</f>
        <v/>
      </c>
      <c r="H36" s="26">
        <f>SUMPRODUCT((Vendas!$AK$2:$AK$3001="Validado")*(Vendas!$B$2:$B$3001=$A36)*(Vendas!$J$2:$J$3001=$B36)*ISNUMBER(Vendas!$V$2:$V$3001))</f>
        <v/>
      </c>
      <c r="I36" s="27">
        <f t="array" ref="I36">IF(H36&lt;AMOSTRA_MIN,"n&lt;mín",MEDIAN(IF((Vendas!$AK$2:$AK$3001="Validado")*(Vendas!$B$2:$B$3001=$A36)*(Vendas!$J$2:$J$3001=$B36)*ISNUMBER(Vendas!$V$2:$V$3001),Vendas!$V$2:$V$3001)))</f>
        <v/>
      </c>
      <c r="J36" s="28">
        <f>IF(H36=0,"-",SUMPRODUCT((Vendas!$AK$2:$AK$3001="Validado")*(Vendas!$B$2:$B$3001=$A36)*(Vendas!$J$2:$J$3001=$B36)*ISNUMBER(Vendas!$V$2:$V$3001)*(Vendas!$V$2:$V$3001&lt;=1))/H36)</f>
        <v/>
      </c>
      <c r="K36" s="26">
        <f>SUMPRODUCT((Vendas!$AK$2:$AK$3001="Validado")*(Vendas!$B$2:$B$3001=$A36)*(Vendas!$J$2:$J$3001=$B36)*(Vendas!$P$2:$P$3001="Financiado")*ISNUMBER(Vendas!$S$2:$S$3001))</f>
        <v/>
      </c>
      <c r="L36" s="26">
        <f>SUMPRODUCT((Vendas!$AK$2:$AK$3001="Validado")*(Vendas!$B$2:$B$3001=$A36)*(Vendas!$J$2:$J$3001=$B36)*(Vendas!$P$2:$P$3001="À vista")*ISNUMBER(Vendas!$S$2:$S$3001))</f>
        <v/>
      </c>
      <c r="M36" s="17">
        <f t="array" ref="M36">IF(K36&lt;AMOSTRA_MIN,"n&lt;mín",MEDIAN(IF((Vendas!$AK$2:$AK$3001="Validado")*(Vendas!$B$2:$B$3001=$A36)*(Vendas!$J$2:$J$3001=$B36)*(Vendas!$P$2:$P$3001="Financiado")*ISNUMBER(Vendas!$S$2:$S$3001),Vendas!$S$2:$S$3001)))</f>
        <v/>
      </c>
      <c r="N36" s="17">
        <f t="array" ref="N36">IF(L36&lt;AMOSTRA_MIN,"n&lt;mín",MEDIAN(IF((Vendas!$AK$2:$AK$3001="Validado")*(Vendas!$B$2:$B$3001=$A36)*(Vendas!$J$2:$J$3001=$B36)*(Vendas!$P$2:$P$3001="À vista")*ISNUMBER(Vendas!$S$2:$S$3001),Vendas!$S$2:$S$3001)))</f>
        <v/>
      </c>
      <c r="O36" s="28">
        <f>IF(OR(K36&lt;AMOSTRA_MIN,L36&lt;AMOSTRA_MIN),"n&lt;mín",N36/M36-1)</f>
        <v/>
      </c>
      <c r="P36" s="26">
        <f>SUMPRODUCT((Vendas!$AK$2:$AK$3001="Validado")*(Vendas!$B$2:$B$3001=$A36)*(Vendas!$J$2:$J$3001=$B36)*ISNUMBER(Vendas!$W$2:$W$3001))</f>
        <v/>
      </c>
      <c r="Q36" s="27">
        <f t="array" ref="Q36">IF(P36&lt;AMOSTRA_MIN,"n&lt;mín",MEDIAN(IF((Vendas!$AK$2:$AK$3001="Validado")*(Vendas!$B$2:$B$3001=$A36)*(Vendas!$J$2:$J$3001=$B36)*ISNUMBER(Vendas!$W$2:$W$3001),Vendas!$W$2:$W$3001)))</f>
        <v/>
      </c>
      <c r="R36" s="28">
        <f>IF(P36=0,"-",SUMPRODUCT((Vendas!$AK$2:$AK$3001="Validado")*(Vendas!$B$2:$B$3001=$A36)*(Vendas!$J$2:$J$3001=$B36)*ISNUMBER(Vendas!$W$2:$W$3001)*(Vendas!$W$2:$W$3001&lt;1))/P36)</f>
        <v/>
      </c>
      <c r="S36" s="26">
        <f>SUMPRODUCT((Vendas!$AK$2:$AK$3001="Validado")*(Vendas!$B$2:$B$3001=$A36)*(Vendas!$J$2:$J$3001=$B36)*ISNUMBER(Vendas!$X$2:$X$3001))</f>
        <v/>
      </c>
      <c r="T36" s="28">
        <f>IF(S36=0,"-",SUMPRODUCT((Vendas!$AK$2:$AK$3001="Validado")*(Vendas!$B$2:$B$3001=$A36)*(Vendas!$J$2:$J$3001=$B36)*ISNUMBER(Vendas!$X$2:$X$3001)*(Vendas!$X$2:$X$3001&gt;=1))/S36)</f>
        <v/>
      </c>
    </row>
    <row r="37">
      <c r="A37" s="15" t="inlineStr">
        <is>
          <t>Bertioga</t>
        </is>
      </c>
      <c r="B37" s="15" t="inlineStr">
        <is>
          <t>Alto</t>
        </is>
      </c>
      <c r="C37" s="26">
        <f>SUMPRODUCT((Vendas!$AK$2:$AK$3001="Validado")*(Vendas!$B$2:$B$3001=$A37)*(Vendas!$J$2:$J$3001=$B37))</f>
        <v/>
      </c>
      <c r="D37" s="26">
        <f>SUMPRODUCT((Vendas!$AK$2:$AK$3001="Validado")*(Vendas!$B$2:$B$3001=$A37)*(Vendas!$J$2:$J$3001=$B37)*ISNUMBER(Vendas!$U$2:$U$3001))</f>
        <v/>
      </c>
      <c r="E37" s="27">
        <f t="array" ref="E37">IF(D37&lt;AMOSTRA_MIN,"n&lt;mín",MEDIAN(IF((Vendas!$AK$2:$AK$3001="Validado")*(Vendas!$B$2:$B$3001=$A37)*(Vendas!$J$2:$J$3001=$B37)*ISNUMBER(Vendas!$U$2:$U$3001),Vendas!$U$2:$U$3001)))</f>
        <v/>
      </c>
      <c r="F37" s="28">
        <f>IF(D37=0,"-",SUMPRODUCT((Vendas!$AK$2:$AK$3001="Validado")*(Vendas!$B$2:$B$3001=$A37)*(Vendas!$J$2:$J$3001=$B37)*ISNUMBER(Vendas!$U$2:$U$3001)*(Vendas!$U$2:$U$3001&lt;1))/D37)</f>
        <v/>
      </c>
      <c r="G37" s="29">
        <f t="array" ref="G37">IF(D37&lt;AMOSTRA_MIN,"n&lt;mín",100*AVERAGE(IF((Vendas!$AK$2:$AK$3001="Validado")*(Vendas!$B$2:$B$3001=$A37)*(Vendas!$J$2:$J$3001=$B37)*ISNUMBER(Vendas!$U$2:$U$3001),ABS(Vendas!$U$2:$U$3001-E37)))/E37)</f>
        <v/>
      </c>
      <c r="H37" s="26">
        <f>SUMPRODUCT((Vendas!$AK$2:$AK$3001="Validado")*(Vendas!$B$2:$B$3001=$A37)*(Vendas!$J$2:$J$3001=$B37)*ISNUMBER(Vendas!$V$2:$V$3001))</f>
        <v/>
      </c>
      <c r="I37" s="27">
        <f t="array" ref="I37">IF(H37&lt;AMOSTRA_MIN,"n&lt;mín",MEDIAN(IF((Vendas!$AK$2:$AK$3001="Validado")*(Vendas!$B$2:$B$3001=$A37)*(Vendas!$J$2:$J$3001=$B37)*ISNUMBER(Vendas!$V$2:$V$3001),Vendas!$V$2:$V$3001)))</f>
        <v/>
      </c>
      <c r="J37" s="28">
        <f>IF(H37=0,"-",SUMPRODUCT((Vendas!$AK$2:$AK$3001="Validado")*(Vendas!$B$2:$B$3001=$A37)*(Vendas!$J$2:$J$3001=$B37)*ISNUMBER(Vendas!$V$2:$V$3001)*(Vendas!$V$2:$V$3001&lt;=1))/H37)</f>
        <v/>
      </c>
      <c r="K37" s="26">
        <f>SUMPRODUCT((Vendas!$AK$2:$AK$3001="Validado")*(Vendas!$B$2:$B$3001=$A37)*(Vendas!$J$2:$J$3001=$B37)*(Vendas!$P$2:$P$3001="Financiado")*ISNUMBER(Vendas!$S$2:$S$3001))</f>
        <v/>
      </c>
      <c r="L37" s="26">
        <f>SUMPRODUCT((Vendas!$AK$2:$AK$3001="Validado")*(Vendas!$B$2:$B$3001=$A37)*(Vendas!$J$2:$J$3001=$B37)*(Vendas!$P$2:$P$3001="À vista")*ISNUMBER(Vendas!$S$2:$S$3001))</f>
        <v/>
      </c>
      <c r="M37" s="17">
        <f t="array" ref="M37">IF(K37&lt;AMOSTRA_MIN,"n&lt;mín",MEDIAN(IF((Vendas!$AK$2:$AK$3001="Validado")*(Vendas!$B$2:$B$3001=$A37)*(Vendas!$J$2:$J$3001=$B37)*(Vendas!$P$2:$P$3001="Financiado")*ISNUMBER(Vendas!$S$2:$S$3001),Vendas!$S$2:$S$3001)))</f>
        <v/>
      </c>
      <c r="N37" s="17">
        <f t="array" ref="N37">IF(L37&lt;AMOSTRA_MIN,"n&lt;mín",MEDIAN(IF((Vendas!$AK$2:$AK$3001="Validado")*(Vendas!$B$2:$B$3001=$A37)*(Vendas!$J$2:$J$3001=$B37)*(Vendas!$P$2:$P$3001="À vista")*ISNUMBER(Vendas!$S$2:$S$3001),Vendas!$S$2:$S$3001)))</f>
        <v/>
      </c>
      <c r="O37" s="28">
        <f>IF(OR(K37&lt;AMOSTRA_MIN,L37&lt;AMOSTRA_MIN),"n&lt;mín",N37/M37-1)</f>
        <v/>
      </c>
      <c r="P37" s="26">
        <f>SUMPRODUCT((Vendas!$AK$2:$AK$3001="Validado")*(Vendas!$B$2:$B$3001=$A37)*(Vendas!$J$2:$J$3001=$B37)*ISNUMBER(Vendas!$W$2:$W$3001))</f>
        <v/>
      </c>
      <c r="Q37" s="27">
        <f t="array" ref="Q37">IF(P37&lt;AMOSTRA_MIN,"n&lt;mín",MEDIAN(IF((Vendas!$AK$2:$AK$3001="Validado")*(Vendas!$B$2:$B$3001=$A37)*(Vendas!$J$2:$J$3001=$B37)*ISNUMBER(Vendas!$W$2:$W$3001),Vendas!$W$2:$W$3001)))</f>
        <v/>
      </c>
      <c r="R37" s="28">
        <f>IF(P37=0,"-",SUMPRODUCT((Vendas!$AK$2:$AK$3001="Validado")*(Vendas!$B$2:$B$3001=$A37)*(Vendas!$J$2:$J$3001=$B37)*ISNUMBER(Vendas!$W$2:$W$3001)*(Vendas!$W$2:$W$3001&lt;1))/P37)</f>
        <v/>
      </c>
      <c r="S37" s="26">
        <f>SUMPRODUCT((Vendas!$AK$2:$AK$3001="Validado")*(Vendas!$B$2:$B$3001=$A37)*(Vendas!$J$2:$J$3001=$B37)*ISNUMBER(Vendas!$X$2:$X$3001))</f>
        <v/>
      </c>
      <c r="T37" s="28">
        <f>IF(S37=0,"-",SUMPRODUCT((Vendas!$AK$2:$AK$3001="Validado")*(Vendas!$B$2:$B$3001=$A37)*(Vendas!$J$2:$J$3001=$B37)*ISNUMBER(Vendas!$X$2:$X$3001)*(Vendas!$X$2:$X$3001&gt;=1))/S37)</f>
        <v/>
      </c>
    </row>
    <row r="38">
      <c r="A38" s="15" t="inlineStr">
        <is>
          <t>Bertioga</t>
        </is>
      </c>
      <c r="B38" s="15" t="inlineStr">
        <is>
          <t>Não informado</t>
        </is>
      </c>
      <c r="C38" s="26">
        <f>SUMPRODUCT((Vendas!$AK$2:$AK$3001="Validado")*(Vendas!$B$2:$B$3001=$A38)*(Vendas!$J$2:$J$3001=$B38))</f>
        <v/>
      </c>
      <c r="D38" s="26">
        <f>SUMPRODUCT((Vendas!$AK$2:$AK$3001="Validado")*(Vendas!$B$2:$B$3001=$A38)*(Vendas!$J$2:$J$3001=$B38)*ISNUMBER(Vendas!$U$2:$U$3001))</f>
        <v/>
      </c>
      <c r="E38" s="27">
        <f t="array" ref="E38">IF(D38&lt;AMOSTRA_MIN,"n&lt;mín",MEDIAN(IF((Vendas!$AK$2:$AK$3001="Validado")*(Vendas!$B$2:$B$3001=$A38)*(Vendas!$J$2:$J$3001=$B38)*ISNUMBER(Vendas!$U$2:$U$3001),Vendas!$U$2:$U$3001)))</f>
        <v/>
      </c>
      <c r="F38" s="28">
        <f>IF(D38=0,"-",SUMPRODUCT((Vendas!$AK$2:$AK$3001="Validado")*(Vendas!$B$2:$B$3001=$A38)*(Vendas!$J$2:$J$3001=$B38)*ISNUMBER(Vendas!$U$2:$U$3001)*(Vendas!$U$2:$U$3001&lt;1))/D38)</f>
        <v/>
      </c>
      <c r="G38" s="29">
        <f t="array" ref="G38">IF(D38&lt;AMOSTRA_MIN,"n&lt;mín",100*AVERAGE(IF((Vendas!$AK$2:$AK$3001="Validado")*(Vendas!$B$2:$B$3001=$A38)*(Vendas!$J$2:$J$3001=$B38)*ISNUMBER(Vendas!$U$2:$U$3001),ABS(Vendas!$U$2:$U$3001-E38)))/E38)</f>
        <v/>
      </c>
      <c r="H38" s="26">
        <f>SUMPRODUCT((Vendas!$AK$2:$AK$3001="Validado")*(Vendas!$B$2:$B$3001=$A38)*(Vendas!$J$2:$J$3001=$B38)*ISNUMBER(Vendas!$V$2:$V$3001))</f>
        <v/>
      </c>
      <c r="I38" s="27">
        <f t="array" ref="I38">IF(H38&lt;AMOSTRA_MIN,"n&lt;mín",MEDIAN(IF((Vendas!$AK$2:$AK$3001="Validado")*(Vendas!$B$2:$B$3001=$A38)*(Vendas!$J$2:$J$3001=$B38)*ISNUMBER(Vendas!$V$2:$V$3001),Vendas!$V$2:$V$3001)))</f>
        <v/>
      </c>
      <c r="J38" s="28">
        <f>IF(H38=0,"-",SUMPRODUCT((Vendas!$AK$2:$AK$3001="Validado")*(Vendas!$B$2:$B$3001=$A38)*(Vendas!$J$2:$J$3001=$B38)*ISNUMBER(Vendas!$V$2:$V$3001)*(Vendas!$V$2:$V$3001&lt;=1))/H38)</f>
        <v/>
      </c>
      <c r="K38" s="26">
        <f>SUMPRODUCT((Vendas!$AK$2:$AK$3001="Validado")*(Vendas!$B$2:$B$3001=$A38)*(Vendas!$J$2:$J$3001=$B38)*(Vendas!$P$2:$P$3001="Financiado")*ISNUMBER(Vendas!$S$2:$S$3001))</f>
        <v/>
      </c>
      <c r="L38" s="26">
        <f>SUMPRODUCT((Vendas!$AK$2:$AK$3001="Validado")*(Vendas!$B$2:$B$3001=$A38)*(Vendas!$J$2:$J$3001=$B38)*(Vendas!$P$2:$P$3001="À vista")*ISNUMBER(Vendas!$S$2:$S$3001))</f>
        <v/>
      </c>
      <c r="M38" s="17">
        <f t="array" ref="M38">IF(K38&lt;AMOSTRA_MIN,"n&lt;mín",MEDIAN(IF((Vendas!$AK$2:$AK$3001="Validado")*(Vendas!$B$2:$B$3001=$A38)*(Vendas!$J$2:$J$3001=$B38)*(Vendas!$P$2:$P$3001="Financiado")*ISNUMBER(Vendas!$S$2:$S$3001),Vendas!$S$2:$S$3001)))</f>
        <v/>
      </c>
      <c r="N38" s="17">
        <f t="array" ref="N38">IF(L38&lt;AMOSTRA_MIN,"n&lt;mín",MEDIAN(IF((Vendas!$AK$2:$AK$3001="Validado")*(Vendas!$B$2:$B$3001=$A38)*(Vendas!$J$2:$J$3001=$B38)*(Vendas!$P$2:$P$3001="À vista")*ISNUMBER(Vendas!$S$2:$S$3001),Vendas!$S$2:$S$3001)))</f>
        <v/>
      </c>
      <c r="O38" s="28">
        <f>IF(OR(K38&lt;AMOSTRA_MIN,L38&lt;AMOSTRA_MIN),"n&lt;mín",N38/M38-1)</f>
        <v/>
      </c>
      <c r="P38" s="26">
        <f>SUMPRODUCT((Vendas!$AK$2:$AK$3001="Validado")*(Vendas!$B$2:$B$3001=$A38)*(Vendas!$J$2:$J$3001=$B38)*ISNUMBER(Vendas!$W$2:$W$3001))</f>
        <v/>
      </c>
      <c r="Q38" s="27">
        <f t="array" ref="Q38">IF(P38&lt;AMOSTRA_MIN,"n&lt;mín",MEDIAN(IF((Vendas!$AK$2:$AK$3001="Validado")*(Vendas!$B$2:$B$3001=$A38)*(Vendas!$J$2:$J$3001=$B38)*ISNUMBER(Vendas!$W$2:$W$3001),Vendas!$W$2:$W$3001)))</f>
        <v/>
      </c>
      <c r="R38" s="28">
        <f>IF(P38=0,"-",SUMPRODUCT((Vendas!$AK$2:$AK$3001="Validado")*(Vendas!$B$2:$B$3001=$A38)*(Vendas!$J$2:$J$3001=$B38)*ISNUMBER(Vendas!$W$2:$W$3001)*(Vendas!$W$2:$W$3001&lt;1))/P38)</f>
        <v/>
      </c>
      <c r="S38" s="26">
        <f>SUMPRODUCT((Vendas!$AK$2:$AK$3001="Validado")*(Vendas!$B$2:$B$3001=$A38)*(Vendas!$J$2:$J$3001=$B38)*ISNUMBER(Vendas!$X$2:$X$3001))</f>
        <v/>
      </c>
      <c r="T38" s="28">
        <f>IF(S38=0,"-",SUMPRODUCT((Vendas!$AK$2:$AK$3001="Validado")*(Vendas!$B$2:$B$3001=$A38)*(Vendas!$J$2:$J$3001=$B38)*ISNUMBER(Vendas!$X$2:$X$3001)*(Vendas!$X$2:$X$3001&gt;=1))/S38)</f>
        <v/>
      </c>
    </row>
    <row r="41">
      <c r="A41" s="25" t="inlineStr">
        <is>
          <t>Por cidade e bairro</t>
        </is>
      </c>
    </row>
    <row r="42" ht="48" customHeight="1">
      <c r="A42" s="2" t="inlineStr">
        <is>
          <t>Cidade</t>
        </is>
      </c>
      <c r="B42" s="2" t="inlineStr">
        <is>
          <t>Bairro</t>
        </is>
      </c>
      <c r="C42" s="2" t="inlineStr">
        <is>
          <t>Nº vendas validadas</t>
        </is>
      </c>
      <c r="D42" s="2" t="inlineStr">
        <is>
          <t>Nº c/ base ITBI</t>
        </is>
      </c>
      <c r="E42" s="2" t="inlineStr">
        <is>
          <t>Mediana Declarado ÷ Base ITBI</t>
        </is>
      </c>
      <c r="F42" s="2" t="inlineStr">
        <is>
          <t>% c/ base &gt; declarado</t>
        </is>
      </c>
      <c r="G42" s="2" t="inlineStr">
        <is>
          <t>COD Declarado ÷ Base</t>
        </is>
      </c>
      <c r="H42" s="2" t="inlineStr">
        <is>
          <t>Nº c/ venal IPTU</t>
        </is>
      </c>
      <c r="I42" s="2" t="inlineStr">
        <is>
          <t>Mediana Declarado ÷ Venal</t>
        </is>
      </c>
      <c r="J42" s="2" t="inlineStr">
        <is>
          <t>% declarado ≤ venal</t>
        </is>
      </c>
      <c r="K42" s="2" t="inlineStr">
        <is>
          <t>Nº financiadas (c/ m²)</t>
        </is>
      </c>
      <c r="L42" s="2" t="inlineStr">
        <is>
          <t>Nº à vista (c/ m²)</t>
        </is>
      </c>
      <c r="M42" s="2" t="inlineStr">
        <is>
          <t>R$/m² mediano financiadas</t>
        </is>
      </c>
      <c r="N42" s="2" t="inlineStr">
        <is>
          <t>R$/m² mediano à vista</t>
        </is>
      </c>
      <c r="O42" s="2" t="inlineStr">
        <is>
          <t>Dif. à vista vs financiada</t>
        </is>
      </c>
      <c r="P42" s="2" t="inlineStr">
        <is>
          <t>Nº c/ valor leilão</t>
        </is>
      </c>
      <c r="Q42" s="2" t="inlineStr">
        <is>
          <t>Mediana Declarado ÷ Leilão</t>
        </is>
      </c>
      <c r="R42" s="2" t="inlineStr">
        <is>
          <t>% declarado &lt; leilão</t>
        </is>
      </c>
      <c r="S42" s="2" t="inlineStr">
        <is>
          <t>Nº c/ valor financiado</t>
        </is>
      </c>
      <c r="T42" s="2" t="inlineStr">
        <is>
          <t>% financiado ≥ declarado</t>
        </is>
      </c>
    </row>
    <row r="43">
      <c r="A43" s="15" t="inlineStr">
        <is>
          <t>São Sebastião</t>
        </is>
      </c>
      <c r="B43" s="15" t="inlineStr">
        <is>
          <t>Enseada</t>
        </is>
      </c>
      <c r="C43" s="26">
        <f>SUMPRODUCT((Vendas!$AK$2:$AK$3001="Validado")*(Vendas!$B$2:$B$3001=$A43)*(Vendas!$C$2:$C$3001=$B43))</f>
        <v/>
      </c>
      <c r="D43" s="26">
        <f>SUMPRODUCT((Vendas!$AK$2:$AK$3001="Validado")*(Vendas!$B$2:$B$3001=$A43)*(Vendas!$C$2:$C$3001=$B43)*ISNUMBER(Vendas!$U$2:$U$3001))</f>
        <v/>
      </c>
      <c r="E43" s="27">
        <f t="array" ref="E43">IF(D43&lt;AMOSTRA_MIN,"n&lt;mín",MEDIAN(IF((Vendas!$AK$2:$AK$3001="Validado")*(Vendas!$B$2:$B$3001=$A43)*(Vendas!$C$2:$C$3001=$B43)*ISNUMBER(Vendas!$U$2:$U$3001),Vendas!$U$2:$U$3001)))</f>
        <v/>
      </c>
      <c r="F43" s="28">
        <f>IF(D43=0,"-",SUMPRODUCT((Vendas!$AK$2:$AK$3001="Validado")*(Vendas!$B$2:$B$3001=$A43)*(Vendas!$C$2:$C$3001=$B43)*ISNUMBER(Vendas!$U$2:$U$3001)*(Vendas!$U$2:$U$3001&lt;1))/D43)</f>
        <v/>
      </c>
      <c r="G43" s="29">
        <f t="array" ref="G43">IF(D43&lt;AMOSTRA_MIN,"n&lt;mín",100*AVERAGE(IF((Vendas!$AK$2:$AK$3001="Validado")*(Vendas!$B$2:$B$3001=$A43)*(Vendas!$C$2:$C$3001=$B43)*ISNUMBER(Vendas!$U$2:$U$3001),ABS(Vendas!$U$2:$U$3001-E43)))/E43)</f>
        <v/>
      </c>
      <c r="H43" s="26">
        <f>SUMPRODUCT((Vendas!$AK$2:$AK$3001="Validado")*(Vendas!$B$2:$B$3001=$A43)*(Vendas!$C$2:$C$3001=$B43)*ISNUMBER(Vendas!$V$2:$V$3001))</f>
        <v/>
      </c>
      <c r="I43" s="27">
        <f t="array" ref="I43">IF(H43&lt;AMOSTRA_MIN,"n&lt;mín",MEDIAN(IF((Vendas!$AK$2:$AK$3001="Validado")*(Vendas!$B$2:$B$3001=$A43)*(Vendas!$C$2:$C$3001=$B43)*ISNUMBER(Vendas!$V$2:$V$3001),Vendas!$V$2:$V$3001)))</f>
        <v/>
      </c>
      <c r="J43" s="28">
        <f>IF(H43=0,"-",SUMPRODUCT((Vendas!$AK$2:$AK$3001="Validado")*(Vendas!$B$2:$B$3001=$A43)*(Vendas!$C$2:$C$3001=$B43)*ISNUMBER(Vendas!$V$2:$V$3001)*(Vendas!$V$2:$V$3001&lt;=1))/H43)</f>
        <v/>
      </c>
      <c r="K43" s="26">
        <f>SUMPRODUCT((Vendas!$AK$2:$AK$3001="Validado")*(Vendas!$B$2:$B$3001=$A43)*(Vendas!$C$2:$C$3001=$B43)*(Vendas!$P$2:$P$3001="Financiado")*ISNUMBER(Vendas!$S$2:$S$3001))</f>
        <v/>
      </c>
      <c r="L43" s="26">
        <f>SUMPRODUCT((Vendas!$AK$2:$AK$3001="Validado")*(Vendas!$B$2:$B$3001=$A43)*(Vendas!$C$2:$C$3001=$B43)*(Vendas!$P$2:$P$3001="À vista")*ISNUMBER(Vendas!$S$2:$S$3001))</f>
        <v/>
      </c>
      <c r="M43" s="17">
        <f t="array" ref="M43">IF(K43&lt;AMOSTRA_MIN,"n&lt;mín",MEDIAN(IF((Vendas!$AK$2:$AK$3001="Validado")*(Vendas!$B$2:$B$3001=$A43)*(Vendas!$C$2:$C$3001=$B43)*(Vendas!$P$2:$P$3001="Financiado")*ISNUMBER(Vendas!$S$2:$S$3001),Vendas!$S$2:$S$3001)))</f>
        <v/>
      </c>
      <c r="N43" s="17">
        <f t="array" ref="N43">IF(L43&lt;AMOSTRA_MIN,"n&lt;mín",MEDIAN(IF((Vendas!$AK$2:$AK$3001="Validado")*(Vendas!$B$2:$B$3001=$A43)*(Vendas!$C$2:$C$3001=$B43)*(Vendas!$P$2:$P$3001="À vista")*ISNUMBER(Vendas!$S$2:$S$3001),Vendas!$S$2:$S$3001)))</f>
        <v/>
      </c>
      <c r="O43" s="28">
        <f>IF(OR(K43&lt;AMOSTRA_MIN,L43&lt;AMOSTRA_MIN),"n&lt;mín",N43/M43-1)</f>
        <v/>
      </c>
      <c r="P43" s="26">
        <f>SUMPRODUCT((Vendas!$AK$2:$AK$3001="Validado")*(Vendas!$B$2:$B$3001=$A43)*(Vendas!$C$2:$C$3001=$B43)*ISNUMBER(Vendas!$W$2:$W$3001))</f>
        <v/>
      </c>
      <c r="Q43" s="27">
        <f t="array" ref="Q43">IF(P43&lt;AMOSTRA_MIN,"n&lt;mín",MEDIAN(IF((Vendas!$AK$2:$AK$3001="Validado")*(Vendas!$B$2:$B$3001=$A43)*(Vendas!$C$2:$C$3001=$B43)*ISNUMBER(Vendas!$W$2:$W$3001),Vendas!$W$2:$W$3001)))</f>
        <v/>
      </c>
      <c r="R43" s="28">
        <f>IF(P43=0,"-",SUMPRODUCT((Vendas!$AK$2:$AK$3001="Validado")*(Vendas!$B$2:$B$3001=$A43)*(Vendas!$C$2:$C$3001=$B43)*ISNUMBER(Vendas!$W$2:$W$3001)*(Vendas!$W$2:$W$3001&lt;1))/P43)</f>
        <v/>
      </c>
      <c r="S43" s="26">
        <f>SUMPRODUCT((Vendas!$AK$2:$AK$3001="Validado")*(Vendas!$B$2:$B$3001=$A43)*(Vendas!$C$2:$C$3001=$B43)*ISNUMBER(Vendas!$X$2:$X$3001))</f>
        <v/>
      </c>
      <c r="T43" s="28">
        <f>IF(S43=0,"-",SUMPRODUCT((Vendas!$AK$2:$AK$3001="Validado")*(Vendas!$B$2:$B$3001=$A43)*(Vendas!$C$2:$C$3001=$B43)*ISNUMBER(Vendas!$X$2:$X$3001)*(Vendas!$X$2:$X$3001&gt;=1))/S43)</f>
        <v/>
      </c>
    </row>
    <row r="44">
      <c r="A44" s="15" t="inlineStr">
        <is>
          <t>São Sebastião</t>
        </is>
      </c>
      <c r="B44" s="15" t="inlineStr">
        <is>
          <t>Jaraguá</t>
        </is>
      </c>
      <c r="C44" s="26">
        <f>SUMPRODUCT((Vendas!$AK$2:$AK$3001="Validado")*(Vendas!$B$2:$B$3001=$A44)*(Vendas!$C$2:$C$3001=$B44))</f>
        <v/>
      </c>
      <c r="D44" s="26">
        <f>SUMPRODUCT((Vendas!$AK$2:$AK$3001="Validado")*(Vendas!$B$2:$B$3001=$A44)*(Vendas!$C$2:$C$3001=$B44)*ISNUMBER(Vendas!$U$2:$U$3001))</f>
        <v/>
      </c>
      <c r="E44" s="27">
        <f t="array" ref="E44">IF(D44&lt;AMOSTRA_MIN,"n&lt;mín",MEDIAN(IF((Vendas!$AK$2:$AK$3001="Validado")*(Vendas!$B$2:$B$3001=$A44)*(Vendas!$C$2:$C$3001=$B44)*ISNUMBER(Vendas!$U$2:$U$3001),Vendas!$U$2:$U$3001)))</f>
        <v/>
      </c>
      <c r="F44" s="28">
        <f>IF(D44=0,"-",SUMPRODUCT((Vendas!$AK$2:$AK$3001="Validado")*(Vendas!$B$2:$B$3001=$A44)*(Vendas!$C$2:$C$3001=$B44)*ISNUMBER(Vendas!$U$2:$U$3001)*(Vendas!$U$2:$U$3001&lt;1))/D44)</f>
        <v/>
      </c>
      <c r="G44" s="29">
        <f t="array" ref="G44">IF(D44&lt;AMOSTRA_MIN,"n&lt;mín",100*AVERAGE(IF((Vendas!$AK$2:$AK$3001="Validado")*(Vendas!$B$2:$B$3001=$A44)*(Vendas!$C$2:$C$3001=$B44)*ISNUMBER(Vendas!$U$2:$U$3001),ABS(Vendas!$U$2:$U$3001-E44)))/E44)</f>
        <v/>
      </c>
      <c r="H44" s="26">
        <f>SUMPRODUCT((Vendas!$AK$2:$AK$3001="Validado")*(Vendas!$B$2:$B$3001=$A44)*(Vendas!$C$2:$C$3001=$B44)*ISNUMBER(Vendas!$V$2:$V$3001))</f>
        <v/>
      </c>
      <c r="I44" s="27">
        <f t="array" ref="I44">IF(H44&lt;AMOSTRA_MIN,"n&lt;mín",MEDIAN(IF((Vendas!$AK$2:$AK$3001="Validado")*(Vendas!$B$2:$B$3001=$A44)*(Vendas!$C$2:$C$3001=$B44)*ISNUMBER(Vendas!$V$2:$V$3001),Vendas!$V$2:$V$3001)))</f>
        <v/>
      </c>
      <c r="J44" s="28">
        <f>IF(H44=0,"-",SUMPRODUCT((Vendas!$AK$2:$AK$3001="Validado")*(Vendas!$B$2:$B$3001=$A44)*(Vendas!$C$2:$C$3001=$B44)*ISNUMBER(Vendas!$V$2:$V$3001)*(Vendas!$V$2:$V$3001&lt;=1))/H44)</f>
        <v/>
      </c>
      <c r="K44" s="26">
        <f>SUMPRODUCT((Vendas!$AK$2:$AK$3001="Validado")*(Vendas!$B$2:$B$3001=$A44)*(Vendas!$C$2:$C$3001=$B44)*(Vendas!$P$2:$P$3001="Financiado")*ISNUMBER(Vendas!$S$2:$S$3001))</f>
        <v/>
      </c>
      <c r="L44" s="26">
        <f>SUMPRODUCT((Vendas!$AK$2:$AK$3001="Validado")*(Vendas!$B$2:$B$3001=$A44)*(Vendas!$C$2:$C$3001=$B44)*(Vendas!$P$2:$P$3001="À vista")*ISNUMBER(Vendas!$S$2:$S$3001))</f>
        <v/>
      </c>
      <c r="M44" s="17">
        <f t="array" ref="M44">IF(K44&lt;AMOSTRA_MIN,"n&lt;mín",MEDIAN(IF((Vendas!$AK$2:$AK$3001="Validado")*(Vendas!$B$2:$B$3001=$A44)*(Vendas!$C$2:$C$3001=$B44)*(Vendas!$P$2:$P$3001="Financiado")*ISNUMBER(Vendas!$S$2:$S$3001),Vendas!$S$2:$S$3001)))</f>
        <v/>
      </c>
      <c r="N44" s="17">
        <f t="array" ref="N44">IF(L44&lt;AMOSTRA_MIN,"n&lt;mín",MEDIAN(IF((Vendas!$AK$2:$AK$3001="Validado")*(Vendas!$B$2:$B$3001=$A44)*(Vendas!$C$2:$C$3001=$B44)*(Vendas!$P$2:$P$3001="À vista")*ISNUMBER(Vendas!$S$2:$S$3001),Vendas!$S$2:$S$3001)))</f>
        <v/>
      </c>
      <c r="O44" s="28">
        <f>IF(OR(K44&lt;AMOSTRA_MIN,L44&lt;AMOSTRA_MIN),"n&lt;mín",N44/M44-1)</f>
        <v/>
      </c>
      <c r="P44" s="26">
        <f>SUMPRODUCT((Vendas!$AK$2:$AK$3001="Validado")*(Vendas!$B$2:$B$3001=$A44)*(Vendas!$C$2:$C$3001=$B44)*ISNUMBER(Vendas!$W$2:$W$3001))</f>
        <v/>
      </c>
      <c r="Q44" s="27">
        <f t="array" ref="Q44">IF(P44&lt;AMOSTRA_MIN,"n&lt;mín",MEDIAN(IF((Vendas!$AK$2:$AK$3001="Validado")*(Vendas!$B$2:$B$3001=$A44)*(Vendas!$C$2:$C$3001=$B44)*ISNUMBER(Vendas!$W$2:$W$3001),Vendas!$W$2:$W$3001)))</f>
        <v/>
      </c>
      <c r="R44" s="28">
        <f>IF(P44=0,"-",SUMPRODUCT((Vendas!$AK$2:$AK$3001="Validado")*(Vendas!$B$2:$B$3001=$A44)*(Vendas!$C$2:$C$3001=$B44)*ISNUMBER(Vendas!$W$2:$W$3001)*(Vendas!$W$2:$W$3001&lt;1))/P44)</f>
        <v/>
      </c>
      <c r="S44" s="26">
        <f>SUMPRODUCT((Vendas!$AK$2:$AK$3001="Validado")*(Vendas!$B$2:$B$3001=$A44)*(Vendas!$C$2:$C$3001=$B44)*ISNUMBER(Vendas!$X$2:$X$3001))</f>
        <v/>
      </c>
      <c r="T44" s="28">
        <f>IF(S44=0,"-",SUMPRODUCT((Vendas!$AK$2:$AK$3001="Validado")*(Vendas!$B$2:$B$3001=$A44)*(Vendas!$C$2:$C$3001=$B44)*ISNUMBER(Vendas!$X$2:$X$3001)*(Vendas!$X$2:$X$3001&gt;=1))/S44)</f>
        <v/>
      </c>
    </row>
    <row r="45">
      <c r="A45" s="15" t="inlineStr">
        <is>
          <t>São Sebastião</t>
        </is>
      </c>
      <c r="B45" s="15" t="inlineStr">
        <is>
          <t>Cigarras</t>
        </is>
      </c>
      <c r="C45" s="26">
        <f>SUMPRODUCT((Vendas!$AK$2:$AK$3001="Validado")*(Vendas!$B$2:$B$3001=$A45)*(Vendas!$C$2:$C$3001=$B45))</f>
        <v/>
      </c>
      <c r="D45" s="26">
        <f>SUMPRODUCT((Vendas!$AK$2:$AK$3001="Validado")*(Vendas!$B$2:$B$3001=$A45)*(Vendas!$C$2:$C$3001=$B45)*ISNUMBER(Vendas!$U$2:$U$3001))</f>
        <v/>
      </c>
      <c r="E45" s="27">
        <f t="array" ref="E45">IF(D45&lt;AMOSTRA_MIN,"n&lt;mín",MEDIAN(IF((Vendas!$AK$2:$AK$3001="Validado")*(Vendas!$B$2:$B$3001=$A45)*(Vendas!$C$2:$C$3001=$B45)*ISNUMBER(Vendas!$U$2:$U$3001),Vendas!$U$2:$U$3001)))</f>
        <v/>
      </c>
      <c r="F45" s="28">
        <f>IF(D45=0,"-",SUMPRODUCT((Vendas!$AK$2:$AK$3001="Validado")*(Vendas!$B$2:$B$3001=$A45)*(Vendas!$C$2:$C$3001=$B45)*ISNUMBER(Vendas!$U$2:$U$3001)*(Vendas!$U$2:$U$3001&lt;1))/D45)</f>
        <v/>
      </c>
      <c r="G45" s="29">
        <f t="array" ref="G45">IF(D45&lt;AMOSTRA_MIN,"n&lt;mín",100*AVERAGE(IF((Vendas!$AK$2:$AK$3001="Validado")*(Vendas!$B$2:$B$3001=$A45)*(Vendas!$C$2:$C$3001=$B45)*ISNUMBER(Vendas!$U$2:$U$3001),ABS(Vendas!$U$2:$U$3001-E45)))/E45)</f>
        <v/>
      </c>
      <c r="H45" s="26">
        <f>SUMPRODUCT((Vendas!$AK$2:$AK$3001="Validado")*(Vendas!$B$2:$B$3001=$A45)*(Vendas!$C$2:$C$3001=$B45)*ISNUMBER(Vendas!$V$2:$V$3001))</f>
        <v/>
      </c>
      <c r="I45" s="27">
        <f t="array" ref="I45">IF(H45&lt;AMOSTRA_MIN,"n&lt;mín",MEDIAN(IF((Vendas!$AK$2:$AK$3001="Validado")*(Vendas!$B$2:$B$3001=$A45)*(Vendas!$C$2:$C$3001=$B45)*ISNUMBER(Vendas!$V$2:$V$3001),Vendas!$V$2:$V$3001)))</f>
        <v/>
      </c>
      <c r="J45" s="28">
        <f>IF(H45=0,"-",SUMPRODUCT((Vendas!$AK$2:$AK$3001="Validado")*(Vendas!$B$2:$B$3001=$A45)*(Vendas!$C$2:$C$3001=$B45)*ISNUMBER(Vendas!$V$2:$V$3001)*(Vendas!$V$2:$V$3001&lt;=1))/H45)</f>
        <v/>
      </c>
      <c r="K45" s="26">
        <f>SUMPRODUCT((Vendas!$AK$2:$AK$3001="Validado")*(Vendas!$B$2:$B$3001=$A45)*(Vendas!$C$2:$C$3001=$B45)*(Vendas!$P$2:$P$3001="Financiado")*ISNUMBER(Vendas!$S$2:$S$3001))</f>
        <v/>
      </c>
      <c r="L45" s="26">
        <f>SUMPRODUCT((Vendas!$AK$2:$AK$3001="Validado")*(Vendas!$B$2:$B$3001=$A45)*(Vendas!$C$2:$C$3001=$B45)*(Vendas!$P$2:$P$3001="À vista")*ISNUMBER(Vendas!$S$2:$S$3001))</f>
        <v/>
      </c>
      <c r="M45" s="17">
        <f t="array" ref="M45">IF(K45&lt;AMOSTRA_MIN,"n&lt;mín",MEDIAN(IF((Vendas!$AK$2:$AK$3001="Validado")*(Vendas!$B$2:$B$3001=$A45)*(Vendas!$C$2:$C$3001=$B45)*(Vendas!$P$2:$P$3001="Financiado")*ISNUMBER(Vendas!$S$2:$S$3001),Vendas!$S$2:$S$3001)))</f>
        <v/>
      </c>
      <c r="N45" s="17">
        <f t="array" ref="N45">IF(L45&lt;AMOSTRA_MIN,"n&lt;mín",MEDIAN(IF((Vendas!$AK$2:$AK$3001="Validado")*(Vendas!$B$2:$B$3001=$A45)*(Vendas!$C$2:$C$3001=$B45)*(Vendas!$P$2:$P$3001="À vista")*ISNUMBER(Vendas!$S$2:$S$3001),Vendas!$S$2:$S$3001)))</f>
        <v/>
      </c>
      <c r="O45" s="28">
        <f>IF(OR(K45&lt;AMOSTRA_MIN,L45&lt;AMOSTRA_MIN),"n&lt;mín",N45/M45-1)</f>
        <v/>
      </c>
      <c r="P45" s="26">
        <f>SUMPRODUCT((Vendas!$AK$2:$AK$3001="Validado")*(Vendas!$B$2:$B$3001=$A45)*(Vendas!$C$2:$C$3001=$B45)*ISNUMBER(Vendas!$W$2:$W$3001))</f>
        <v/>
      </c>
      <c r="Q45" s="27">
        <f t="array" ref="Q45">IF(P45&lt;AMOSTRA_MIN,"n&lt;mín",MEDIAN(IF((Vendas!$AK$2:$AK$3001="Validado")*(Vendas!$B$2:$B$3001=$A45)*(Vendas!$C$2:$C$3001=$B45)*ISNUMBER(Vendas!$W$2:$W$3001),Vendas!$W$2:$W$3001)))</f>
        <v/>
      </c>
      <c r="R45" s="28">
        <f>IF(P45=0,"-",SUMPRODUCT((Vendas!$AK$2:$AK$3001="Validado")*(Vendas!$B$2:$B$3001=$A45)*(Vendas!$C$2:$C$3001=$B45)*ISNUMBER(Vendas!$W$2:$W$3001)*(Vendas!$W$2:$W$3001&lt;1))/P45)</f>
        <v/>
      </c>
      <c r="S45" s="26">
        <f>SUMPRODUCT((Vendas!$AK$2:$AK$3001="Validado")*(Vendas!$B$2:$B$3001=$A45)*(Vendas!$C$2:$C$3001=$B45)*ISNUMBER(Vendas!$X$2:$X$3001))</f>
        <v/>
      </c>
      <c r="T45" s="28">
        <f>IF(S45=0,"-",SUMPRODUCT((Vendas!$AK$2:$AK$3001="Validado")*(Vendas!$B$2:$B$3001=$A45)*(Vendas!$C$2:$C$3001=$B45)*ISNUMBER(Vendas!$X$2:$X$3001)*(Vendas!$X$2:$X$3001&gt;=1))/S45)</f>
        <v/>
      </c>
    </row>
    <row r="46">
      <c r="A46" s="15" t="inlineStr">
        <is>
          <t>São Sebastião</t>
        </is>
      </c>
      <c r="B46" s="15" t="inlineStr">
        <is>
          <t>São Francisco</t>
        </is>
      </c>
      <c r="C46" s="26">
        <f>SUMPRODUCT((Vendas!$AK$2:$AK$3001="Validado")*(Vendas!$B$2:$B$3001=$A46)*(Vendas!$C$2:$C$3001=$B46))</f>
        <v/>
      </c>
      <c r="D46" s="26">
        <f>SUMPRODUCT((Vendas!$AK$2:$AK$3001="Validado")*(Vendas!$B$2:$B$3001=$A46)*(Vendas!$C$2:$C$3001=$B46)*ISNUMBER(Vendas!$U$2:$U$3001))</f>
        <v/>
      </c>
      <c r="E46" s="27">
        <f t="array" ref="E46">IF(D46&lt;AMOSTRA_MIN,"n&lt;mín",MEDIAN(IF((Vendas!$AK$2:$AK$3001="Validado")*(Vendas!$B$2:$B$3001=$A46)*(Vendas!$C$2:$C$3001=$B46)*ISNUMBER(Vendas!$U$2:$U$3001),Vendas!$U$2:$U$3001)))</f>
        <v/>
      </c>
      <c r="F46" s="28">
        <f>IF(D46=0,"-",SUMPRODUCT((Vendas!$AK$2:$AK$3001="Validado")*(Vendas!$B$2:$B$3001=$A46)*(Vendas!$C$2:$C$3001=$B46)*ISNUMBER(Vendas!$U$2:$U$3001)*(Vendas!$U$2:$U$3001&lt;1))/D46)</f>
        <v/>
      </c>
      <c r="G46" s="29">
        <f t="array" ref="G46">IF(D46&lt;AMOSTRA_MIN,"n&lt;mín",100*AVERAGE(IF((Vendas!$AK$2:$AK$3001="Validado")*(Vendas!$B$2:$B$3001=$A46)*(Vendas!$C$2:$C$3001=$B46)*ISNUMBER(Vendas!$U$2:$U$3001),ABS(Vendas!$U$2:$U$3001-E46)))/E46)</f>
        <v/>
      </c>
      <c r="H46" s="26">
        <f>SUMPRODUCT((Vendas!$AK$2:$AK$3001="Validado")*(Vendas!$B$2:$B$3001=$A46)*(Vendas!$C$2:$C$3001=$B46)*ISNUMBER(Vendas!$V$2:$V$3001))</f>
        <v/>
      </c>
      <c r="I46" s="27">
        <f t="array" ref="I46">IF(H46&lt;AMOSTRA_MIN,"n&lt;mín",MEDIAN(IF((Vendas!$AK$2:$AK$3001="Validado")*(Vendas!$B$2:$B$3001=$A46)*(Vendas!$C$2:$C$3001=$B46)*ISNUMBER(Vendas!$V$2:$V$3001),Vendas!$V$2:$V$3001)))</f>
        <v/>
      </c>
      <c r="J46" s="28">
        <f>IF(H46=0,"-",SUMPRODUCT((Vendas!$AK$2:$AK$3001="Validado")*(Vendas!$B$2:$B$3001=$A46)*(Vendas!$C$2:$C$3001=$B46)*ISNUMBER(Vendas!$V$2:$V$3001)*(Vendas!$V$2:$V$3001&lt;=1))/H46)</f>
        <v/>
      </c>
      <c r="K46" s="26">
        <f>SUMPRODUCT((Vendas!$AK$2:$AK$3001="Validado")*(Vendas!$B$2:$B$3001=$A46)*(Vendas!$C$2:$C$3001=$B46)*(Vendas!$P$2:$P$3001="Financiado")*ISNUMBER(Vendas!$S$2:$S$3001))</f>
        <v/>
      </c>
      <c r="L46" s="26">
        <f>SUMPRODUCT((Vendas!$AK$2:$AK$3001="Validado")*(Vendas!$B$2:$B$3001=$A46)*(Vendas!$C$2:$C$3001=$B46)*(Vendas!$P$2:$P$3001="À vista")*ISNUMBER(Vendas!$S$2:$S$3001))</f>
        <v/>
      </c>
      <c r="M46" s="17">
        <f t="array" ref="M46">IF(K46&lt;AMOSTRA_MIN,"n&lt;mín",MEDIAN(IF((Vendas!$AK$2:$AK$3001="Validado")*(Vendas!$B$2:$B$3001=$A46)*(Vendas!$C$2:$C$3001=$B46)*(Vendas!$P$2:$P$3001="Financiado")*ISNUMBER(Vendas!$S$2:$S$3001),Vendas!$S$2:$S$3001)))</f>
        <v/>
      </c>
      <c r="N46" s="17">
        <f t="array" ref="N46">IF(L46&lt;AMOSTRA_MIN,"n&lt;mín",MEDIAN(IF((Vendas!$AK$2:$AK$3001="Validado")*(Vendas!$B$2:$B$3001=$A46)*(Vendas!$C$2:$C$3001=$B46)*(Vendas!$P$2:$P$3001="À vista")*ISNUMBER(Vendas!$S$2:$S$3001),Vendas!$S$2:$S$3001)))</f>
        <v/>
      </c>
      <c r="O46" s="28">
        <f>IF(OR(K46&lt;AMOSTRA_MIN,L46&lt;AMOSTRA_MIN),"n&lt;mín",N46/M46-1)</f>
        <v/>
      </c>
      <c r="P46" s="26">
        <f>SUMPRODUCT((Vendas!$AK$2:$AK$3001="Validado")*(Vendas!$B$2:$B$3001=$A46)*(Vendas!$C$2:$C$3001=$B46)*ISNUMBER(Vendas!$W$2:$W$3001))</f>
        <v/>
      </c>
      <c r="Q46" s="27">
        <f t="array" ref="Q46">IF(P46&lt;AMOSTRA_MIN,"n&lt;mín",MEDIAN(IF((Vendas!$AK$2:$AK$3001="Validado")*(Vendas!$B$2:$B$3001=$A46)*(Vendas!$C$2:$C$3001=$B46)*ISNUMBER(Vendas!$W$2:$W$3001),Vendas!$W$2:$W$3001)))</f>
        <v/>
      </c>
      <c r="R46" s="28">
        <f>IF(P46=0,"-",SUMPRODUCT((Vendas!$AK$2:$AK$3001="Validado")*(Vendas!$B$2:$B$3001=$A46)*(Vendas!$C$2:$C$3001=$B46)*ISNUMBER(Vendas!$W$2:$W$3001)*(Vendas!$W$2:$W$3001&lt;1))/P46)</f>
        <v/>
      </c>
      <c r="S46" s="26">
        <f>SUMPRODUCT((Vendas!$AK$2:$AK$3001="Validado")*(Vendas!$B$2:$B$3001=$A46)*(Vendas!$C$2:$C$3001=$B46)*ISNUMBER(Vendas!$X$2:$X$3001))</f>
        <v/>
      </c>
      <c r="T46" s="28">
        <f>IF(S46=0,"-",SUMPRODUCT((Vendas!$AK$2:$AK$3001="Validado")*(Vendas!$B$2:$B$3001=$A46)*(Vendas!$C$2:$C$3001=$B46)*ISNUMBER(Vendas!$X$2:$X$3001)*(Vendas!$X$2:$X$3001&gt;=1))/S46)</f>
        <v/>
      </c>
    </row>
    <row r="47">
      <c r="A47" s="15" t="inlineStr">
        <is>
          <t>São Sebastião</t>
        </is>
      </c>
      <c r="B47" s="15" t="inlineStr">
        <is>
          <t>Morro do Abrigo</t>
        </is>
      </c>
      <c r="C47" s="26">
        <f>SUMPRODUCT((Vendas!$AK$2:$AK$3001="Validado")*(Vendas!$B$2:$B$3001=$A47)*(Vendas!$C$2:$C$3001=$B47))</f>
        <v/>
      </c>
      <c r="D47" s="26">
        <f>SUMPRODUCT((Vendas!$AK$2:$AK$3001="Validado")*(Vendas!$B$2:$B$3001=$A47)*(Vendas!$C$2:$C$3001=$B47)*ISNUMBER(Vendas!$U$2:$U$3001))</f>
        <v/>
      </c>
      <c r="E47" s="27">
        <f t="array" ref="E47">IF(D47&lt;AMOSTRA_MIN,"n&lt;mín",MEDIAN(IF((Vendas!$AK$2:$AK$3001="Validado")*(Vendas!$B$2:$B$3001=$A47)*(Vendas!$C$2:$C$3001=$B47)*ISNUMBER(Vendas!$U$2:$U$3001),Vendas!$U$2:$U$3001)))</f>
        <v/>
      </c>
      <c r="F47" s="28">
        <f>IF(D47=0,"-",SUMPRODUCT((Vendas!$AK$2:$AK$3001="Validado")*(Vendas!$B$2:$B$3001=$A47)*(Vendas!$C$2:$C$3001=$B47)*ISNUMBER(Vendas!$U$2:$U$3001)*(Vendas!$U$2:$U$3001&lt;1))/D47)</f>
        <v/>
      </c>
      <c r="G47" s="29">
        <f t="array" ref="G47">IF(D47&lt;AMOSTRA_MIN,"n&lt;mín",100*AVERAGE(IF((Vendas!$AK$2:$AK$3001="Validado")*(Vendas!$B$2:$B$3001=$A47)*(Vendas!$C$2:$C$3001=$B47)*ISNUMBER(Vendas!$U$2:$U$3001),ABS(Vendas!$U$2:$U$3001-E47)))/E47)</f>
        <v/>
      </c>
      <c r="H47" s="26">
        <f>SUMPRODUCT((Vendas!$AK$2:$AK$3001="Validado")*(Vendas!$B$2:$B$3001=$A47)*(Vendas!$C$2:$C$3001=$B47)*ISNUMBER(Vendas!$V$2:$V$3001))</f>
        <v/>
      </c>
      <c r="I47" s="27">
        <f t="array" ref="I47">IF(H47&lt;AMOSTRA_MIN,"n&lt;mín",MEDIAN(IF((Vendas!$AK$2:$AK$3001="Validado")*(Vendas!$B$2:$B$3001=$A47)*(Vendas!$C$2:$C$3001=$B47)*ISNUMBER(Vendas!$V$2:$V$3001),Vendas!$V$2:$V$3001)))</f>
        <v/>
      </c>
      <c r="J47" s="28">
        <f>IF(H47=0,"-",SUMPRODUCT((Vendas!$AK$2:$AK$3001="Validado")*(Vendas!$B$2:$B$3001=$A47)*(Vendas!$C$2:$C$3001=$B47)*ISNUMBER(Vendas!$V$2:$V$3001)*(Vendas!$V$2:$V$3001&lt;=1))/H47)</f>
        <v/>
      </c>
      <c r="K47" s="26">
        <f>SUMPRODUCT((Vendas!$AK$2:$AK$3001="Validado")*(Vendas!$B$2:$B$3001=$A47)*(Vendas!$C$2:$C$3001=$B47)*(Vendas!$P$2:$P$3001="Financiado")*ISNUMBER(Vendas!$S$2:$S$3001))</f>
        <v/>
      </c>
      <c r="L47" s="26">
        <f>SUMPRODUCT((Vendas!$AK$2:$AK$3001="Validado")*(Vendas!$B$2:$B$3001=$A47)*(Vendas!$C$2:$C$3001=$B47)*(Vendas!$P$2:$P$3001="À vista")*ISNUMBER(Vendas!$S$2:$S$3001))</f>
        <v/>
      </c>
      <c r="M47" s="17">
        <f t="array" ref="M47">IF(K47&lt;AMOSTRA_MIN,"n&lt;mín",MEDIAN(IF((Vendas!$AK$2:$AK$3001="Validado")*(Vendas!$B$2:$B$3001=$A47)*(Vendas!$C$2:$C$3001=$B47)*(Vendas!$P$2:$P$3001="Financiado")*ISNUMBER(Vendas!$S$2:$S$3001),Vendas!$S$2:$S$3001)))</f>
        <v/>
      </c>
      <c r="N47" s="17">
        <f t="array" ref="N47">IF(L47&lt;AMOSTRA_MIN,"n&lt;mín",MEDIAN(IF((Vendas!$AK$2:$AK$3001="Validado")*(Vendas!$B$2:$B$3001=$A47)*(Vendas!$C$2:$C$3001=$B47)*(Vendas!$P$2:$P$3001="À vista")*ISNUMBER(Vendas!$S$2:$S$3001),Vendas!$S$2:$S$3001)))</f>
        <v/>
      </c>
      <c r="O47" s="28">
        <f>IF(OR(K47&lt;AMOSTRA_MIN,L47&lt;AMOSTRA_MIN),"n&lt;mín",N47/M47-1)</f>
        <v/>
      </c>
      <c r="P47" s="26">
        <f>SUMPRODUCT((Vendas!$AK$2:$AK$3001="Validado")*(Vendas!$B$2:$B$3001=$A47)*(Vendas!$C$2:$C$3001=$B47)*ISNUMBER(Vendas!$W$2:$W$3001))</f>
        <v/>
      </c>
      <c r="Q47" s="27">
        <f t="array" ref="Q47">IF(P47&lt;AMOSTRA_MIN,"n&lt;mín",MEDIAN(IF((Vendas!$AK$2:$AK$3001="Validado")*(Vendas!$B$2:$B$3001=$A47)*(Vendas!$C$2:$C$3001=$B47)*ISNUMBER(Vendas!$W$2:$W$3001),Vendas!$W$2:$W$3001)))</f>
        <v/>
      </c>
      <c r="R47" s="28">
        <f>IF(P47=0,"-",SUMPRODUCT((Vendas!$AK$2:$AK$3001="Validado")*(Vendas!$B$2:$B$3001=$A47)*(Vendas!$C$2:$C$3001=$B47)*ISNUMBER(Vendas!$W$2:$W$3001)*(Vendas!$W$2:$W$3001&lt;1))/P47)</f>
        <v/>
      </c>
      <c r="S47" s="26">
        <f>SUMPRODUCT((Vendas!$AK$2:$AK$3001="Validado")*(Vendas!$B$2:$B$3001=$A47)*(Vendas!$C$2:$C$3001=$B47)*ISNUMBER(Vendas!$X$2:$X$3001))</f>
        <v/>
      </c>
      <c r="T47" s="28">
        <f>IF(S47=0,"-",SUMPRODUCT((Vendas!$AK$2:$AK$3001="Validado")*(Vendas!$B$2:$B$3001=$A47)*(Vendas!$C$2:$C$3001=$B47)*ISNUMBER(Vendas!$X$2:$X$3001)*(Vendas!$X$2:$X$3001&gt;=1))/S47)</f>
        <v/>
      </c>
    </row>
    <row r="48">
      <c r="A48" s="15" t="inlineStr">
        <is>
          <t>São Sebastião</t>
        </is>
      </c>
      <c r="B48" s="15" t="inlineStr">
        <is>
          <t>Olaria</t>
        </is>
      </c>
      <c r="C48" s="26">
        <f>SUMPRODUCT((Vendas!$AK$2:$AK$3001="Validado")*(Vendas!$B$2:$B$3001=$A48)*(Vendas!$C$2:$C$3001=$B48))</f>
        <v/>
      </c>
      <c r="D48" s="26">
        <f>SUMPRODUCT((Vendas!$AK$2:$AK$3001="Validado")*(Vendas!$B$2:$B$3001=$A48)*(Vendas!$C$2:$C$3001=$B48)*ISNUMBER(Vendas!$U$2:$U$3001))</f>
        <v/>
      </c>
      <c r="E48" s="27">
        <f t="array" ref="E48">IF(D48&lt;AMOSTRA_MIN,"n&lt;mín",MEDIAN(IF((Vendas!$AK$2:$AK$3001="Validado")*(Vendas!$B$2:$B$3001=$A48)*(Vendas!$C$2:$C$3001=$B48)*ISNUMBER(Vendas!$U$2:$U$3001),Vendas!$U$2:$U$3001)))</f>
        <v/>
      </c>
      <c r="F48" s="28">
        <f>IF(D48=0,"-",SUMPRODUCT((Vendas!$AK$2:$AK$3001="Validado")*(Vendas!$B$2:$B$3001=$A48)*(Vendas!$C$2:$C$3001=$B48)*ISNUMBER(Vendas!$U$2:$U$3001)*(Vendas!$U$2:$U$3001&lt;1))/D48)</f>
        <v/>
      </c>
      <c r="G48" s="29">
        <f t="array" ref="G48">IF(D48&lt;AMOSTRA_MIN,"n&lt;mín",100*AVERAGE(IF((Vendas!$AK$2:$AK$3001="Validado")*(Vendas!$B$2:$B$3001=$A48)*(Vendas!$C$2:$C$3001=$B48)*ISNUMBER(Vendas!$U$2:$U$3001),ABS(Vendas!$U$2:$U$3001-E48)))/E48)</f>
        <v/>
      </c>
      <c r="H48" s="26">
        <f>SUMPRODUCT((Vendas!$AK$2:$AK$3001="Validado")*(Vendas!$B$2:$B$3001=$A48)*(Vendas!$C$2:$C$3001=$B48)*ISNUMBER(Vendas!$V$2:$V$3001))</f>
        <v/>
      </c>
      <c r="I48" s="27">
        <f t="array" ref="I48">IF(H48&lt;AMOSTRA_MIN,"n&lt;mín",MEDIAN(IF((Vendas!$AK$2:$AK$3001="Validado")*(Vendas!$B$2:$B$3001=$A48)*(Vendas!$C$2:$C$3001=$B48)*ISNUMBER(Vendas!$V$2:$V$3001),Vendas!$V$2:$V$3001)))</f>
        <v/>
      </c>
      <c r="J48" s="28">
        <f>IF(H48=0,"-",SUMPRODUCT((Vendas!$AK$2:$AK$3001="Validado")*(Vendas!$B$2:$B$3001=$A48)*(Vendas!$C$2:$C$3001=$B48)*ISNUMBER(Vendas!$V$2:$V$3001)*(Vendas!$V$2:$V$3001&lt;=1))/H48)</f>
        <v/>
      </c>
      <c r="K48" s="26">
        <f>SUMPRODUCT((Vendas!$AK$2:$AK$3001="Validado")*(Vendas!$B$2:$B$3001=$A48)*(Vendas!$C$2:$C$3001=$B48)*(Vendas!$P$2:$P$3001="Financiado")*ISNUMBER(Vendas!$S$2:$S$3001))</f>
        <v/>
      </c>
      <c r="L48" s="26">
        <f>SUMPRODUCT((Vendas!$AK$2:$AK$3001="Validado")*(Vendas!$B$2:$B$3001=$A48)*(Vendas!$C$2:$C$3001=$B48)*(Vendas!$P$2:$P$3001="À vista")*ISNUMBER(Vendas!$S$2:$S$3001))</f>
        <v/>
      </c>
      <c r="M48" s="17">
        <f t="array" ref="M48">IF(K48&lt;AMOSTRA_MIN,"n&lt;mín",MEDIAN(IF((Vendas!$AK$2:$AK$3001="Validado")*(Vendas!$B$2:$B$3001=$A48)*(Vendas!$C$2:$C$3001=$B48)*(Vendas!$P$2:$P$3001="Financiado")*ISNUMBER(Vendas!$S$2:$S$3001),Vendas!$S$2:$S$3001)))</f>
        <v/>
      </c>
      <c r="N48" s="17">
        <f t="array" ref="N48">IF(L48&lt;AMOSTRA_MIN,"n&lt;mín",MEDIAN(IF((Vendas!$AK$2:$AK$3001="Validado")*(Vendas!$B$2:$B$3001=$A48)*(Vendas!$C$2:$C$3001=$B48)*(Vendas!$P$2:$P$3001="À vista")*ISNUMBER(Vendas!$S$2:$S$3001),Vendas!$S$2:$S$3001)))</f>
        <v/>
      </c>
      <c r="O48" s="28">
        <f>IF(OR(K48&lt;AMOSTRA_MIN,L48&lt;AMOSTRA_MIN),"n&lt;mín",N48/M48-1)</f>
        <v/>
      </c>
      <c r="P48" s="26">
        <f>SUMPRODUCT((Vendas!$AK$2:$AK$3001="Validado")*(Vendas!$B$2:$B$3001=$A48)*(Vendas!$C$2:$C$3001=$B48)*ISNUMBER(Vendas!$W$2:$W$3001))</f>
        <v/>
      </c>
      <c r="Q48" s="27">
        <f t="array" ref="Q48">IF(P48&lt;AMOSTRA_MIN,"n&lt;mín",MEDIAN(IF((Vendas!$AK$2:$AK$3001="Validado")*(Vendas!$B$2:$B$3001=$A48)*(Vendas!$C$2:$C$3001=$B48)*ISNUMBER(Vendas!$W$2:$W$3001),Vendas!$W$2:$W$3001)))</f>
        <v/>
      </c>
      <c r="R48" s="28">
        <f>IF(P48=0,"-",SUMPRODUCT((Vendas!$AK$2:$AK$3001="Validado")*(Vendas!$B$2:$B$3001=$A48)*(Vendas!$C$2:$C$3001=$B48)*ISNUMBER(Vendas!$W$2:$W$3001)*(Vendas!$W$2:$W$3001&lt;1))/P48)</f>
        <v/>
      </c>
      <c r="S48" s="26">
        <f>SUMPRODUCT((Vendas!$AK$2:$AK$3001="Validado")*(Vendas!$B$2:$B$3001=$A48)*(Vendas!$C$2:$C$3001=$B48)*ISNUMBER(Vendas!$X$2:$X$3001))</f>
        <v/>
      </c>
      <c r="T48" s="28">
        <f>IF(S48=0,"-",SUMPRODUCT((Vendas!$AK$2:$AK$3001="Validado")*(Vendas!$B$2:$B$3001=$A48)*(Vendas!$C$2:$C$3001=$B48)*ISNUMBER(Vendas!$X$2:$X$3001)*(Vendas!$X$2:$X$3001&gt;=1))/S48)</f>
        <v/>
      </c>
    </row>
    <row r="49">
      <c r="A49" s="15" t="inlineStr">
        <is>
          <t>São Sebastião</t>
        </is>
      </c>
      <c r="B49" s="15" t="inlineStr">
        <is>
          <t>Arrastão</t>
        </is>
      </c>
      <c r="C49" s="26">
        <f>SUMPRODUCT((Vendas!$AK$2:$AK$3001="Validado")*(Vendas!$B$2:$B$3001=$A49)*(Vendas!$C$2:$C$3001=$B49))</f>
        <v/>
      </c>
      <c r="D49" s="26">
        <f>SUMPRODUCT((Vendas!$AK$2:$AK$3001="Validado")*(Vendas!$B$2:$B$3001=$A49)*(Vendas!$C$2:$C$3001=$B49)*ISNUMBER(Vendas!$U$2:$U$3001))</f>
        <v/>
      </c>
      <c r="E49" s="27">
        <f t="array" ref="E49">IF(D49&lt;AMOSTRA_MIN,"n&lt;mín",MEDIAN(IF((Vendas!$AK$2:$AK$3001="Validado")*(Vendas!$B$2:$B$3001=$A49)*(Vendas!$C$2:$C$3001=$B49)*ISNUMBER(Vendas!$U$2:$U$3001),Vendas!$U$2:$U$3001)))</f>
        <v/>
      </c>
      <c r="F49" s="28">
        <f>IF(D49=0,"-",SUMPRODUCT((Vendas!$AK$2:$AK$3001="Validado")*(Vendas!$B$2:$B$3001=$A49)*(Vendas!$C$2:$C$3001=$B49)*ISNUMBER(Vendas!$U$2:$U$3001)*(Vendas!$U$2:$U$3001&lt;1))/D49)</f>
        <v/>
      </c>
      <c r="G49" s="29">
        <f t="array" ref="G49">IF(D49&lt;AMOSTRA_MIN,"n&lt;mín",100*AVERAGE(IF((Vendas!$AK$2:$AK$3001="Validado")*(Vendas!$B$2:$B$3001=$A49)*(Vendas!$C$2:$C$3001=$B49)*ISNUMBER(Vendas!$U$2:$U$3001),ABS(Vendas!$U$2:$U$3001-E49)))/E49)</f>
        <v/>
      </c>
      <c r="H49" s="26">
        <f>SUMPRODUCT((Vendas!$AK$2:$AK$3001="Validado")*(Vendas!$B$2:$B$3001=$A49)*(Vendas!$C$2:$C$3001=$B49)*ISNUMBER(Vendas!$V$2:$V$3001))</f>
        <v/>
      </c>
      <c r="I49" s="27">
        <f t="array" ref="I49">IF(H49&lt;AMOSTRA_MIN,"n&lt;mín",MEDIAN(IF((Vendas!$AK$2:$AK$3001="Validado")*(Vendas!$B$2:$B$3001=$A49)*(Vendas!$C$2:$C$3001=$B49)*ISNUMBER(Vendas!$V$2:$V$3001),Vendas!$V$2:$V$3001)))</f>
        <v/>
      </c>
      <c r="J49" s="28">
        <f>IF(H49=0,"-",SUMPRODUCT((Vendas!$AK$2:$AK$3001="Validado")*(Vendas!$B$2:$B$3001=$A49)*(Vendas!$C$2:$C$3001=$B49)*ISNUMBER(Vendas!$V$2:$V$3001)*(Vendas!$V$2:$V$3001&lt;=1))/H49)</f>
        <v/>
      </c>
      <c r="K49" s="26">
        <f>SUMPRODUCT((Vendas!$AK$2:$AK$3001="Validado")*(Vendas!$B$2:$B$3001=$A49)*(Vendas!$C$2:$C$3001=$B49)*(Vendas!$P$2:$P$3001="Financiado")*ISNUMBER(Vendas!$S$2:$S$3001))</f>
        <v/>
      </c>
      <c r="L49" s="26">
        <f>SUMPRODUCT((Vendas!$AK$2:$AK$3001="Validado")*(Vendas!$B$2:$B$3001=$A49)*(Vendas!$C$2:$C$3001=$B49)*(Vendas!$P$2:$P$3001="À vista")*ISNUMBER(Vendas!$S$2:$S$3001))</f>
        <v/>
      </c>
      <c r="M49" s="17">
        <f t="array" ref="M49">IF(K49&lt;AMOSTRA_MIN,"n&lt;mín",MEDIAN(IF((Vendas!$AK$2:$AK$3001="Validado")*(Vendas!$B$2:$B$3001=$A49)*(Vendas!$C$2:$C$3001=$B49)*(Vendas!$P$2:$P$3001="Financiado")*ISNUMBER(Vendas!$S$2:$S$3001),Vendas!$S$2:$S$3001)))</f>
        <v/>
      </c>
      <c r="N49" s="17">
        <f t="array" ref="N49">IF(L49&lt;AMOSTRA_MIN,"n&lt;mín",MEDIAN(IF((Vendas!$AK$2:$AK$3001="Validado")*(Vendas!$B$2:$B$3001=$A49)*(Vendas!$C$2:$C$3001=$B49)*(Vendas!$P$2:$P$3001="À vista")*ISNUMBER(Vendas!$S$2:$S$3001),Vendas!$S$2:$S$3001)))</f>
        <v/>
      </c>
      <c r="O49" s="28">
        <f>IF(OR(K49&lt;AMOSTRA_MIN,L49&lt;AMOSTRA_MIN),"n&lt;mín",N49/M49-1)</f>
        <v/>
      </c>
      <c r="P49" s="26">
        <f>SUMPRODUCT((Vendas!$AK$2:$AK$3001="Validado")*(Vendas!$B$2:$B$3001=$A49)*(Vendas!$C$2:$C$3001=$B49)*ISNUMBER(Vendas!$W$2:$W$3001))</f>
        <v/>
      </c>
      <c r="Q49" s="27">
        <f t="array" ref="Q49">IF(P49&lt;AMOSTRA_MIN,"n&lt;mín",MEDIAN(IF((Vendas!$AK$2:$AK$3001="Validado")*(Vendas!$B$2:$B$3001=$A49)*(Vendas!$C$2:$C$3001=$B49)*ISNUMBER(Vendas!$W$2:$W$3001),Vendas!$W$2:$W$3001)))</f>
        <v/>
      </c>
      <c r="R49" s="28">
        <f>IF(P49=0,"-",SUMPRODUCT((Vendas!$AK$2:$AK$3001="Validado")*(Vendas!$B$2:$B$3001=$A49)*(Vendas!$C$2:$C$3001=$B49)*ISNUMBER(Vendas!$W$2:$W$3001)*(Vendas!$W$2:$W$3001&lt;1))/P49)</f>
        <v/>
      </c>
      <c r="S49" s="26">
        <f>SUMPRODUCT((Vendas!$AK$2:$AK$3001="Validado")*(Vendas!$B$2:$B$3001=$A49)*(Vendas!$C$2:$C$3001=$B49)*ISNUMBER(Vendas!$X$2:$X$3001))</f>
        <v/>
      </c>
      <c r="T49" s="28">
        <f>IF(S49=0,"-",SUMPRODUCT((Vendas!$AK$2:$AK$3001="Validado")*(Vendas!$B$2:$B$3001=$A49)*(Vendas!$C$2:$C$3001=$B49)*ISNUMBER(Vendas!$X$2:$X$3001)*(Vendas!$X$2:$X$3001&gt;=1))/S49)</f>
        <v/>
      </c>
    </row>
    <row r="50">
      <c r="A50" s="15" t="inlineStr">
        <is>
          <t>São Sebastião</t>
        </is>
      </c>
      <c r="B50" s="15" t="inlineStr">
        <is>
          <t>Pontal da Cruz</t>
        </is>
      </c>
      <c r="C50" s="26">
        <f>SUMPRODUCT((Vendas!$AK$2:$AK$3001="Validado")*(Vendas!$B$2:$B$3001=$A50)*(Vendas!$C$2:$C$3001=$B50))</f>
        <v/>
      </c>
      <c r="D50" s="26">
        <f>SUMPRODUCT((Vendas!$AK$2:$AK$3001="Validado")*(Vendas!$B$2:$B$3001=$A50)*(Vendas!$C$2:$C$3001=$B50)*ISNUMBER(Vendas!$U$2:$U$3001))</f>
        <v/>
      </c>
      <c r="E50" s="27">
        <f t="array" ref="E50">IF(D50&lt;AMOSTRA_MIN,"n&lt;mín",MEDIAN(IF((Vendas!$AK$2:$AK$3001="Validado")*(Vendas!$B$2:$B$3001=$A50)*(Vendas!$C$2:$C$3001=$B50)*ISNUMBER(Vendas!$U$2:$U$3001),Vendas!$U$2:$U$3001)))</f>
        <v/>
      </c>
      <c r="F50" s="28">
        <f>IF(D50=0,"-",SUMPRODUCT((Vendas!$AK$2:$AK$3001="Validado")*(Vendas!$B$2:$B$3001=$A50)*(Vendas!$C$2:$C$3001=$B50)*ISNUMBER(Vendas!$U$2:$U$3001)*(Vendas!$U$2:$U$3001&lt;1))/D50)</f>
        <v/>
      </c>
      <c r="G50" s="29">
        <f t="array" ref="G50">IF(D50&lt;AMOSTRA_MIN,"n&lt;mín",100*AVERAGE(IF((Vendas!$AK$2:$AK$3001="Validado")*(Vendas!$B$2:$B$3001=$A50)*(Vendas!$C$2:$C$3001=$B50)*ISNUMBER(Vendas!$U$2:$U$3001),ABS(Vendas!$U$2:$U$3001-E50)))/E50)</f>
        <v/>
      </c>
      <c r="H50" s="26">
        <f>SUMPRODUCT((Vendas!$AK$2:$AK$3001="Validado")*(Vendas!$B$2:$B$3001=$A50)*(Vendas!$C$2:$C$3001=$B50)*ISNUMBER(Vendas!$V$2:$V$3001))</f>
        <v/>
      </c>
      <c r="I50" s="27">
        <f t="array" ref="I50">IF(H50&lt;AMOSTRA_MIN,"n&lt;mín",MEDIAN(IF((Vendas!$AK$2:$AK$3001="Validado")*(Vendas!$B$2:$B$3001=$A50)*(Vendas!$C$2:$C$3001=$B50)*ISNUMBER(Vendas!$V$2:$V$3001),Vendas!$V$2:$V$3001)))</f>
        <v/>
      </c>
      <c r="J50" s="28">
        <f>IF(H50=0,"-",SUMPRODUCT((Vendas!$AK$2:$AK$3001="Validado")*(Vendas!$B$2:$B$3001=$A50)*(Vendas!$C$2:$C$3001=$B50)*ISNUMBER(Vendas!$V$2:$V$3001)*(Vendas!$V$2:$V$3001&lt;=1))/H50)</f>
        <v/>
      </c>
      <c r="K50" s="26">
        <f>SUMPRODUCT((Vendas!$AK$2:$AK$3001="Validado")*(Vendas!$B$2:$B$3001=$A50)*(Vendas!$C$2:$C$3001=$B50)*(Vendas!$P$2:$P$3001="Financiado")*ISNUMBER(Vendas!$S$2:$S$3001))</f>
        <v/>
      </c>
      <c r="L50" s="26">
        <f>SUMPRODUCT((Vendas!$AK$2:$AK$3001="Validado")*(Vendas!$B$2:$B$3001=$A50)*(Vendas!$C$2:$C$3001=$B50)*(Vendas!$P$2:$P$3001="À vista")*ISNUMBER(Vendas!$S$2:$S$3001))</f>
        <v/>
      </c>
      <c r="M50" s="17">
        <f t="array" ref="M50">IF(K50&lt;AMOSTRA_MIN,"n&lt;mín",MEDIAN(IF((Vendas!$AK$2:$AK$3001="Validado")*(Vendas!$B$2:$B$3001=$A50)*(Vendas!$C$2:$C$3001=$B50)*(Vendas!$P$2:$P$3001="Financiado")*ISNUMBER(Vendas!$S$2:$S$3001),Vendas!$S$2:$S$3001)))</f>
        <v/>
      </c>
      <c r="N50" s="17">
        <f t="array" ref="N50">IF(L50&lt;AMOSTRA_MIN,"n&lt;mín",MEDIAN(IF((Vendas!$AK$2:$AK$3001="Validado")*(Vendas!$B$2:$B$3001=$A50)*(Vendas!$C$2:$C$3001=$B50)*(Vendas!$P$2:$P$3001="À vista")*ISNUMBER(Vendas!$S$2:$S$3001),Vendas!$S$2:$S$3001)))</f>
        <v/>
      </c>
      <c r="O50" s="28">
        <f>IF(OR(K50&lt;AMOSTRA_MIN,L50&lt;AMOSTRA_MIN),"n&lt;mín",N50/M50-1)</f>
        <v/>
      </c>
      <c r="P50" s="26">
        <f>SUMPRODUCT((Vendas!$AK$2:$AK$3001="Validado")*(Vendas!$B$2:$B$3001=$A50)*(Vendas!$C$2:$C$3001=$B50)*ISNUMBER(Vendas!$W$2:$W$3001))</f>
        <v/>
      </c>
      <c r="Q50" s="27">
        <f t="array" ref="Q50">IF(P50&lt;AMOSTRA_MIN,"n&lt;mín",MEDIAN(IF((Vendas!$AK$2:$AK$3001="Validado")*(Vendas!$B$2:$B$3001=$A50)*(Vendas!$C$2:$C$3001=$B50)*ISNUMBER(Vendas!$W$2:$W$3001),Vendas!$W$2:$W$3001)))</f>
        <v/>
      </c>
      <c r="R50" s="28">
        <f>IF(P50=0,"-",SUMPRODUCT((Vendas!$AK$2:$AK$3001="Validado")*(Vendas!$B$2:$B$3001=$A50)*(Vendas!$C$2:$C$3001=$B50)*ISNUMBER(Vendas!$W$2:$W$3001)*(Vendas!$W$2:$W$3001&lt;1))/P50)</f>
        <v/>
      </c>
      <c r="S50" s="26">
        <f>SUMPRODUCT((Vendas!$AK$2:$AK$3001="Validado")*(Vendas!$B$2:$B$3001=$A50)*(Vendas!$C$2:$C$3001=$B50)*ISNUMBER(Vendas!$X$2:$X$3001))</f>
        <v/>
      </c>
      <c r="T50" s="28">
        <f>IF(S50=0,"-",SUMPRODUCT((Vendas!$AK$2:$AK$3001="Validado")*(Vendas!$B$2:$B$3001=$A50)*(Vendas!$C$2:$C$3001=$B50)*ISNUMBER(Vendas!$X$2:$X$3001)*(Vendas!$X$2:$X$3001&gt;=1))/S50)</f>
        <v/>
      </c>
    </row>
    <row r="51">
      <c r="A51" s="15" t="inlineStr">
        <is>
          <t>São Sebastião</t>
        </is>
      </c>
      <c r="B51" s="15" t="inlineStr">
        <is>
          <t>Praia Deserta</t>
        </is>
      </c>
      <c r="C51" s="26">
        <f>SUMPRODUCT((Vendas!$AK$2:$AK$3001="Validado")*(Vendas!$B$2:$B$3001=$A51)*(Vendas!$C$2:$C$3001=$B51))</f>
        <v/>
      </c>
      <c r="D51" s="26">
        <f>SUMPRODUCT((Vendas!$AK$2:$AK$3001="Validado")*(Vendas!$B$2:$B$3001=$A51)*(Vendas!$C$2:$C$3001=$B51)*ISNUMBER(Vendas!$U$2:$U$3001))</f>
        <v/>
      </c>
      <c r="E51" s="27">
        <f t="array" ref="E51">IF(D51&lt;AMOSTRA_MIN,"n&lt;mín",MEDIAN(IF((Vendas!$AK$2:$AK$3001="Validado")*(Vendas!$B$2:$B$3001=$A51)*(Vendas!$C$2:$C$3001=$B51)*ISNUMBER(Vendas!$U$2:$U$3001),Vendas!$U$2:$U$3001)))</f>
        <v/>
      </c>
      <c r="F51" s="28">
        <f>IF(D51=0,"-",SUMPRODUCT((Vendas!$AK$2:$AK$3001="Validado")*(Vendas!$B$2:$B$3001=$A51)*(Vendas!$C$2:$C$3001=$B51)*ISNUMBER(Vendas!$U$2:$U$3001)*(Vendas!$U$2:$U$3001&lt;1))/D51)</f>
        <v/>
      </c>
      <c r="G51" s="29">
        <f t="array" ref="G51">IF(D51&lt;AMOSTRA_MIN,"n&lt;mín",100*AVERAGE(IF((Vendas!$AK$2:$AK$3001="Validado")*(Vendas!$B$2:$B$3001=$A51)*(Vendas!$C$2:$C$3001=$B51)*ISNUMBER(Vendas!$U$2:$U$3001),ABS(Vendas!$U$2:$U$3001-E51)))/E51)</f>
        <v/>
      </c>
      <c r="H51" s="26">
        <f>SUMPRODUCT((Vendas!$AK$2:$AK$3001="Validado")*(Vendas!$B$2:$B$3001=$A51)*(Vendas!$C$2:$C$3001=$B51)*ISNUMBER(Vendas!$V$2:$V$3001))</f>
        <v/>
      </c>
      <c r="I51" s="27">
        <f t="array" ref="I51">IF(H51&lt;AMOSTRA_MIN,"n&lt;mín",MEDIAN(IF((Vendas!$AK$2:$AK$3001="Validado")*(Vendas!$B$2:$B$3001=$A51)*(Vendas!$C$2:$C$3001=$B51)*ISNUMBER(Vendas!$V$2:$V$3001),Vendas!$V$2:$V$3001)))</f>
        <v/>
      </c>
      <c r="J51" s="28">
        <f>IF(H51=0,"-",SUMPRODUCT((Vendas!$AK$2:$AK$3001="Validado")*(Vendas!$B$2:$B$3001=$A51)*(Vendas!$C$2:$C$3001=$B51)*ISNUMBER(Vendas!$V$2:$V$3001)*(Vendas!$V$2:$V$3001&lt;=1))/H51)</f>
        <v/>
      </c>
      <c r="K51" s="26">
        <f>SUMPRODUCT((Vendas!$AK$2:$AK$3001="Validado")*(Vendas!$B$2:$B$3001=$A51)*(Vendas!$C$2:$C$3001=$B51)*(Vendas!$P$2:$P$3001="Financiado")*ISNUMBER(Vendas!$S$2:$S$3001))</f>
        <v/>
      </c>
      <c r="L51" s="26">
        <f>SUMPRODUCT((Vendas!$AK$2:$AK$3001="Validado")*(Vendas!$B$2:$B$3001=$A51)*(Vendas!$C$2:$C$3001=$B51)*(Vendas!$P$2:$P$3001="À vista")*ISNUMBER(Vendas!$S$2:$S$3001))</f>
        <v/>
      </c>
      <c r="M51" s="17">
        <f t="array" ref="M51">IF(K51&lt;AMOSTRA_MIN,"n&lt;mín",MEDIAN(IF((Vendas!$AK$2:$AK$3001="Validado")*(Vendas!$B$2:$B$3001=$A51)*(Vendas!$C$2:$C$3001=$B51)*(Vendas!$P$2:$P$3001="Financiado")*ISNUMBER(Vendas!$S$2:$S$3001),Vendas!$S$2:$S$3001)))</f>
        <v/>
      </c>
      <c r="N51" s="17">
        <f t="array" ref="N51">IF(L51&lt;AMOSTRA_MIN,"n&lt;mín",MEDIAN(IF((Vendas!$AK$2:$AK$3001="Validado")*(Vendas!$B$2:$B$3001=$A51)*(Vendas!$C$2:$C$3001=$B51)*(Vendas!$P$2:$P$3001="À vista")*ISNUMBER(Vendas!$S$2:$S$3001),Vendas!$S$2:$S$3001)))</f>
        <v/>
      </c>
      <c r="O51" s="28">
        <f>IF(OR(K51&lt;AMOSTRA_MIN,L51&lt;AMOSTRA_MIN),"n&lt;mín",N51/M51-1)</f>
        <v/>
      </c>
      <c r="P51" s="26">
        <f>SUMPRODUCT((Vendas!$AK$2:$AK$3001="Validado")*(Vendas!$B$2:$B$3001=$A51)*(Vendas!$C$2:$C$3001=$B51)*ISNUMBER(Vendas!$W$2:$W$3001))</f>
        <v/>
      </c>
      <c r="Q51" s="27">
        <f t="array" ref="Q51">IF(P51&lt;AMOSTRA_MIN,"n&lt;mín",MEDIAN(IF((Vendas!$AK$2:$AK$3001="Validado")*(Vendas!$B$2:$B$3001=$A51)*(Vendas!$C$2:$C$3001=$B51)*ISNUMBER(Vendas!$W$2:$W$3001),Vendas!$W$2:$W$3001)))</f>
        <v/>
      </c>
      <c r="R51" s="28">
        <f>IF(P51=0,"-",SUMPRODUCT((Vendas!$AK$2:$AK$3001="Validado")*(Vendas!$B$2:$B$3001=$A51)*(Vendas!$C$2:$C$3001=$B51)*ISNUMBER(Vendas!$W$2:$W$3001)*(Vendas!$W$2:$W$3001&lt;1))/P51)</f>
        <v/>
      </c>
      <c r="S51" s="26">
        <f>SUMPRODUCT((Vendas!$AK$2:$AK$3001="Validado")*(Vendas!$B$2:$B$3001=$A51)*(Vendas!$C$2:$C$3001=$B51)*ISNUMBER(Vendas!$X$2:$X$3001))</f>
        <v/>
      </c>
      <c r="T51" s="28">
        <f>IF(S51=0,"-",SUMPRODUCT((Vendas!$AK$2:$AK$3001="Validado")*(Vendas!$B$2:$B$3001=$A51)*(Vendas!$C$2:$C$3001=$B51)*ISNUMBER(Vendas!$X$2:$X$3001)*(Vendas!$X$2:$X$3001&gt;=1))/S51)</f>
        <v/>
      </c>
    </row>
    <row r="52">
      <c r="A52" s="15" t="inlineStr">
        <is>
          <t>São Sebastião</t>
        </is>
      </c>
      <c r="B52" s="15" t="inlineStr">
        <is>
          <t>Porto Grande</t>
        </is>
      </c>
      <c r="C52" s="26">
        <f>SUMPRODUCT((Vendas!$AK$2:$AK$3001="Validado")*(Vendas!$B$2:$B$3001=$A52)*(Vendas!$C$2:$C$3001=$B52))</f>
        <v/>
      </c>
      <c r="D52" s="26">
        <f>SUMPRODUCT((Vendas!$AK$2:$AK$3001="Validado")*(Vendas!$B$2:$B$3001=$A52)*(Vendas!$C$2:$C$3001=$B52)*ISNUMBER(Vendas!$U$2:$U$3001))</f>
        <v/>
      </c>
      <c r="E52" s="27">
        <f t="array" ref="E52">IF(D52&lt;AMOSTRA_MIN,"n&lt;mín",MEDIAN(IF((Vendas!$AK$2:$AK$3001="Validado")*(Vendas!$B$2:$B$3001=$A52)*(Vendas!$C$2:$C$3001=$B52)*ISNUMBER(Vendas!$U$2:$U$3001),Vendas!$U$2:$U$3001)))</f>
        <v/>
      </c>
      <c r="F52" s="28">
        <f>IF(D52=0,"-",SUMPRODUCT((Vendas!$AK$2:$AK$3001="Validado")*(Vendas!$B$2:$B$3001=$A52)*(Vendas!$C$2:$C$3001=$B52)*ISNUMBER(Vendas!$U$2:$U$3001)*(Vendas!$U$2:$U$3001&lt;1))/D52)</f>
        <v/>
      </c>
      <c r="G52" s="29">
        <f t="array" ref="G52">IF(D52&lt;AMOSTRA_MIN,"n&lt;mín",100*AVERAGE(IF((Vendas!$AK$2:$AK$3001="Validado")*(Vendas!$B$2:$B$3001=$A52)*(Vendas!$C$2:$C$3001=$B52)*ISNUMBER(Vendas!$U$2:$U$3001),ABS(Vendas!$U$2:$U$3001-E52)))/E52)</f>
        <v/>
      </c>
      <c r="H52" s="26">
        <f>SUMPRODUCT((Vendas!$AK$2:$AK$3001="Validado")*(Vendas!$B$2:$B$3001=$A52)*(Vendas!$C$2:$C$3001=$B52)*ISNUMBER(Vendas!$V$2:$V$3001))</f>
        <v/>
      </c>
      <c r="I52" s="27">
        <f t="array" ref="I52">IF(H52&lt;AMOSTRA_MIN,"n&lt;mín",MEDIAN(IF((Vendas!$AK$2:$AK$3001="Validado")*(Vendas!$B$2:$B$3001=$A52)*(Vendas!$C$2:$C$3001=$B52)*ISNUMBER(Vendas!$V$2:$V$3001),Vendas!$V$2:$V$3001)))</f>
        <v/>
      </c>
      <c r="J52" s="28">
        <f>IF(H52=0,"-",SUMPRODUCT((Vendas!$AK$2:$AK$3001="Validado")*(Vendas!$B$2:$B$3001=$A52)*(Vendas!$C$2:$C$3001=$B52)*ISNUMBER(Vendas!$V$2:$V$3001)*(Vendas!$V$2:$V$3001&lt;=1))/H52)</f>
        <v/>
      </c>
      <c r="K52" s="26">
        <f>SUMPRODUCT((Vendas!$AK$2:$AK$3001="Validado")*(Vendas!$B$2:$B$3001=$A52)*(Vendas!$C$2:$C$3001=$B52)*(Vendas!$P$2:$P$3001="Financiado")*ISNUMBER(Vendas!$S$2:$S$3001))</f>
        <v/>
      </c>
      <c r="L52" s="26">
        <f>SUMPRODUCT((Vendas!$AK$2:$AK$3001="Validado")*(Vendas!$B$2:$B$3001=$A52)*(Vendas!$C$2:$C$3001=$B52)*(Vendas!$P$2:$P$3001="À vista")*ISNUMBER(Vendas!$S$2:$S$3001))</f>
        <v/>
      </c>
      <c r="M52" s="17">
        <f t="array" ref="M52">IF(K52&lt;AMOSTRA_MIN,"n&lt;mín",MEDIAN(IF((Vendas!$AK$2:$AK$3001="Validado")*(Vendas!$B$2:$B$3001=$A52)*(Vendas!$C$2:$C$3001=$B52)*(Vendas!$P$2:$P$3001="Financiado")*ISNUMBER(Vendas!$S$2:$S$3001),Vendas!$S$2:$S$3001)))</f>
        <v/>
      </c>
      <c r="N52" s="17">
        <f t="array" ref="N52">IF(L52&lt;AMOSTRA_MIN,"n&lt;mín",MEDIAN(IF((Vendas!$AK$2:$AK$3001="Validado")*(Vendas!$B$2:$B$3001=$A52)*(Vendas!$C$2:$C$3001=$B52)*(Vendas!$P$2:$P$3001="À vista")*ISNUMBER(Vendas!$S$2:$S$3001),Vendas!$S$2:$S$3001)))</f>
        <v/>
      </c>
      <c r="O52" s="28">
        <f>IF(OR(K52&lt;AMOSTRA_MIN,L52&lt;AMOSTRA_MIN),"n&lt;mín",N52/M52-1)</f>
        <v/>
      </c>
      <c r="P52" s="26">
        <f>SUMPRODUCT((Vendas!$AK$2:$AK$3001="Validado")*(Vendas!$B$2:$B$3001=$A52)*(Vendas!$C$2:$C$3001=$B52)*ISNUMBER(Vendas!$W$2:$W$3001))</f>
        <v/>
      </c>
      <c r="Q52" s="27">
        <f t="array" ref="Q52">IF(P52&lt;AMOSTRA_MIN,"n&lt;mín",MEDIAN(IF((Vendas!$AK$2:$AK$3001="Validado")*(Vendas!$B$2:$B$3001=$A52)*(Vendas!$C$2:$C$3001=$B52)*ISNUMBER(Vendas!$W$2:$W$3001),Vendas!$W$2:$W$3001)))</f>
        <v/>
      </c>
      <c r="R52" s="28">
        <f>IF(P52=0,"-",SUMPRODUCT((Vendas!$AK$2:$AK$3001="Validado")*(Vendas!$B$2:$B$3001=$A52)*(Vendas!$C$2:$C$3001=$B52)*ISNUMBER(Vendas!$W$2:$W$3001)*(Vendas!$W$2:$W$3001&lt;1))/P52)</f>
        <v/>
      </c>
      <c r="S52" s="26">
        <f>SUMPRODUCT((Vendas!$AK$2:$AK$3001="Validado")*(Vendas!$B$2:$B$3001=$A52)*(Vendas!$C$2:$C$3001=$B52)*ISNUMBER(Vendas!$X$2:$X$3001))</f>
        <v/>
      </c>
      <c r="T52" s="28">
        <f>IF(S52=0,"-",SUMPRODUCT((Vendas!$AK$2:$AK$3001="Validado")*(Vendas!$B$2:$B$3001=$A52)*(Vendas!$C$2:$C$3001=$B52)*ISNUMBER(Vendas!$X$2:$X$3001)*(Vendas!$X$2:$X$3001&gt;=1))/S52)</f>
        <v/>
      </c>
    </row>
    <row r="53">
      <c r="A53" s="15" t="inlineStr">
        <is>
          <t>São Sebastião</t>
        </is>
      </c>
      <c r="B53" s="15" t="inlineStr">
        <is>
          <t>Centro</t>
        </is>
      </c>
      <c r="C53" s="26">
        <f>SUMPRODUCT((Vendas!$AK$2:$AK$3001="Validado")*(Vendas!$B$2:$B$3001=$A53)*(Vendas!$C$2:$C$3001=$B53))</f>
        <v/>
      </c>
      <c r="D53" s="26">
        <f>SUMPRODUCT((Vendas!$AK$2:$AK$3001="Validado")*(Vendas!$B$2:$B$3001=$A53)*(Vendas!$C$2:$C$3001=$B53)*ISNUMBER(Vendas!$U$2:$U$3001))</f>
        <v/>
      </c>
      <c r="E53" s="27">
        <f t="array" ref="E53">IF(D53&lt;AMOSTRA_MIN,"n&lt;mín",MEDIAN(IF((Vendas!$AK$2:$AK$3001="Validado")*(Vendas!$B$2:$B$3001=$A53)*(Vendas!$C$2:$C$3001=$B53)*ISNUMBER(Vendas!$U$2:$U$3001),Vendas!$U$2:$U$3001)))</f>
        <v/>
      </c>
      <c r="F53" s="28">
        <f>IF(D53=0,"-",SUMPRODUCT((Vendas!$AK$2:$AK$3001="Validado")*(Vendas!$B$2:$B$3001=$A53)*(Vendas!$C$2:$C$3001=$B53)*ISNUMBER(Vendas!$U$2:$U$3001)*(Vendas!$U$2:$U$3001&lt;1))/D53)</f>
        <v/>
      </c>
      <c r="G53" s="29">
        <f t="array" ref="G53">IF(D53&lt;AMOSTRA_MIN,"n&lt;mín",100*AVERAGE(IF((Vendas!$AK$2:$AK$3001="Validado")*(Vendas!$B$2:$B$3001=$A53)*(Vendas!$C$2:$C$3001=$B53)*ISNUMBER(Vendas!$U$2:$U$3001),ABS(Vendas!$U$2:$U$3001-E53)))/E53)</f>
        <v/>
      </c>
      <c r="H53" s="26">
        <f>SUMPRODUCT((Vendas!$AK$2:$AK$3001="Validado")*(Vendas!$B$2:$B$3001=$A53)*(Vendas!$C$2:$C$3001=$B53)*ISNUMBER(Vendas!$V$2:$V$3001))</f>
        <v/>
      </c>
      <c r="I53" s="27">
        <f t="array" ref="I53">IF(H53&lt;AMOSTRA_MIN,"n&lt;mín",MEDIAN(IF((Vendas!$AK$2:$AK$3001="Validado")*(Vendas!$B$2:$B$3001=$A53)*(Vendas!$C$2:$C$3001=$B53)*ISNUMBER(Vendas!$V$2:$V$3001),Vendas!$V$2:$V$3001)))</f>
        <v/>
      </c>
      <c r="J53" s="28">
        <f>IF(H53=0,"-",SUMPRODUCT((Vendas!$AK$2:$AK$3001="Validado")*(Vendas!$B$2:$B$3001=$A53)*(Vendas!$C$2:$C$3001=$B53)*ISNUMBER(Vendas!$V$2:$V$3001)*(Vendas!$V$2:$V$3001&lt;=1))/H53)</f>
        <v/>
      </c>
      <c r="K53" s="26">
        <f>SUMPRODUCT((Vendas!$AK$2:$AK$3001="Validado")*(Vendas!$B$2:$B$3001=$A53)*(Vendas!$C$2:$C$3001=$B53)*(Vendas!$P$2:$P$3001="Financiado")*ISNUMBER(Vendas!$S$2:$S$3001))</f>
        <v/>
      </c>
      <c r="L53" s="26">
        <f>SUMPRODUCT((Vendas!$AK$2:$AK$3001="Validado")*(Vendas!$B$2:$B$3001=$A53)*(Vendas!$C$2:$C$3001=$B53)*(Vendas!$P$2:$P$3001="À vista")*ISNUMBER(Vendas!$S$2:$S$3001))</f>
        <v/>
      </c>
      <c r="M53" s="17">
        <f t="array" ref="M53">IF(K53&lt;AMOSTRA_MIN,"n&lt;mín",MEDIAN(IF((Vendas!$AK$2:$AK$3001="Validado")*(Vendas!$B$2:$B$3001=$A53)*(Vendas!$C$2:$C$3001=$B53)*(Vendas!$P$2:$P$3001="Financiado")*ISNUMBER(Vendas!$S$2:$S$3001),Vendas!$S$2:$S$3001)))</f>
        <v/>
      </c>
      <c r="N53" s="17">
        <f t="array" ref="N53">IF(L53&lt;AMOSTRA_MIN,"n&lt;mín",MEDIAN(IF((Vendas!$AK$2:$AK$3001="Validado")*(Vendas!$B$2:$B$3001=$A53)*(Vendas!$C$2:$C$3001=$B53)*(Vendas!$P$2:$P$3001="À vista")*ISNUMBER(Vendas!$S$2:$S$3001),Vendas!$S$2:$S$3001)))</f>
        <v/>
      </c>
      <c r="O53" s="28">
        <f>IF(OR(K53&lt;AMOSTRA_MIN,L53&lt;AMOSTRA_MIN),"n&lt;mín",N53/M53-1)</f>
        <v/>
      </c>
      <c r="P53" s="26">
        <f>SUMPRODUCT((Vendas!$AK$2:$AK$3001="Validado")*(Vendas!$B$2:$B$3001=$A53)*(Vendas!$C$2:$C$3001=$B53)*ISNUMBER(Vendas!$W$2:$W$3001))</f>
        <v/>
      </c>
      <c r="Q53" s="27">
        <f t="array" ref="Q53">IF(P53&lt;AMOSTRA_MIN,"n&lt;mín",MEDIAN(IF((Vendas!$AK$2:$AK$3001="Validado")*(Vendas!$B$2:$B$3001=$A53)*(Vendas!$C$2:$C$3001=$B53)*ISNUMBER(Vendas!$W$2:$W$3001),Vendas!$W$2:$W$3001)))</f>
        <v/>
      </c>
      <c r="R53" s="28">
        <f>IF(P53=0,"-",SUMPRODUCT((Vendas!$AK$2:$AK$3001="Validado")*(Vendas!$B$2:$B$3001=$A53)*(Vendas!$C$2:$C$3001=$B53)*ISNUMBER(Vendas!$W$2:$W$3001)*(Vendas!$W$2:$W$3001&lt;1))/P53)</f>
        <v/>
      </c>
      <c r="S53" s="26">
        <f>SUMPRODUCT((Vendas!$AK$2:$AK$3001="Validado")*(Vendas!$B$2:$B$3001=$A53)*(Vendas!$C$2:$C$3001=$B53)*ISNUMBER(Vendas!$X$2:$X$3001))</f>
        <v/>
      </c>
      <c r="T53" s="28">
        <f>IF(S53=0,"-",SUMPRODUCT((Vendas!$AK$2:$AK$3001="Validado")*(Vendas!$B$2:$B$3001=$A53)*(Vendas!$C$2:$C$3001=$B53)*ISNUMBER(Vendas!$X$2:$X$3001)*(Vendas!$X$2:$X$3001&gt;=1))/S53)</f>
        <v/>
      </c>
    </row>
    <row r="54">
      <c r="A54" s="15" t="inlineStr">
        <is>
          <t>São Sebastião</t>
        </is>
      </c>
      <c r="B54" s="15" t="inlineStr">
        <is>
          <t>Topolândia</t>
        </is>
      </c>
      <c r="C54" s="26">
        <f>SUMPRODUCT((Vendas!$AK$2:$AK$3001="Validado")*(Vendas!$B$2:$B$3001=$A54)*(Vendas!$C$2:$C$3001=$B54))</f>
        <v/>
      </c>
      <c r="D54" s="26">
        <f>SUMPRODUCT((Vendas!$AK$2:$AK$3001="Validado")*(Vendas!$B$2:$B$3001=$A54)*(Vendas!$C$2:$C$3001=$B54)*ISNUMBER(Vendas!$U$2:$U$3001))</f>
        <v/>
      </c>
      <c r="E54" s="27">
        <f t="array" ref="E54">IF(D54&lt;AMOSTRA_MIN,"n&lt;mín",MEDIAN(IF((Vendas!$AK$2:$AK$3001="Validado")*(Vendas!$B$2:$B$3001=$A54)*(Vendas!$C$2:$C$3001=$B54)*ISNUMBER(Vendas!$U$2:$U$3001),Vendas!$U$2:$U$3001)))</f>
        <v/>
      </c>
      <c r="F54" s="28">
        <f>IF(D54=0,"-",SUMPRODUCT((Vendas!$AK$2:$AK$3001="Validado")*(Vendas!$B$2:$B$3001=$A54)*(Vendas!$C$2:$C$3001=$B54)*ISNUMBER(Vendas!$U$2:$U$3001)*(Vendas!$U$2:$U$3001&lt;1))/D54)</f>
        <v/>
      </c>
      <c r="G54" s="29">
        <f t="array" ref="G54">IF(D54&lt;AMOSTRA_MIN,"n&lt;mín",100*AVERAGE(IF((Vendas!$AK$2:$AK$3001="Validado")*(Vendas!$B$2:$B$3001=$A54)*(Vendas!$C$2:$C$3001=$B54)*ISNUMBER(Vendas!$U$2:$U$3001),ABS(Vendas!$U$2:$U$3001-E54)))/E54)</f>
        <v/>
      </c>
      <c r="H54" s="26">
        <f>SUMPRODUCT((Vendas!$AK$2:$AK$3001="Validado")*(Vendas!$B$2:$B$3001=$A54)*(Vendas!$C$2:$C$3001=$B54)*ISNUMBER(Vendas!$V$2:$V$3001))</f>
        <v/>
      </c>
      <c r="I54" s="27">
        <f t="array" ref="I54">IF(H54&lt;AMOSTRA_MIN,"n&lt;mín",MEDIAN(IF((Vendas!$AK$2:$AK$3001="Validado")*(Vendas!$B$2:$B$3001=$A54)*(Vendas!$C$2:$C$3001=$B54)*ISNUMBER(Vendas!$V$2:$V$3001),Vendas!$V$2:$V$3001)))</f>
        <v/>
      </c>
      <c r="J54" s="28">
        <f>IF(H54=0,"-",SUMPRODUCT((Vendas!$AK$2:$AK$3001="Validado")*(Vendas!$B$2:$B$3001=$A54)*(Vendas!$C$2:$C$3001=$B54)*ISNUMBER(Vendas!$V$2:$V$3001)*(Vendas!$V$2:$V$3001&lt;=1))/H54)</f>
        <v/>
      </c>
      <c r="K54" s="26">
        <f>SUMPRODUCT((Vendas!$AK$2:$AK$3001="Validado")*(Vendas!$B$2:$B$3001=$A54)*(Vendas!$C$2:$C$3001=$B54)*(Vendas!$P$2:$P$3001="Financiado")*ISNUMBER(Vendas!$S$2:$S$3001))</f>
        <v/>
      </c>
      <c r="L54" s="26">
        <f>SUMPRODUCT((Vendas!$AK$2:$AK$3001="Validado")*(Vendas!$B$2:$B$3001=$A54)*(Vendas!$C$2:$C$3001=$B54)*(Vendas!$P$2:$P$3001="À vista")*ISNUMBER(Vendas!$S$2:$S$3001))</f>
        <v/>
      </c>
      <c r="M54" s="17">
        <f t="array" ref="M54">IF(K54&lt;AMOSTRA_MIN,"n&lt;mín",MEDIAN(IF((Vendas!$AK$2:$AK$3001="Validado")*(Vendas!$B$2:$B$3001=$A54)*(Vendas!$C$2:$C$3001=$B54)*(Vendas!$P$2:$P$3001="Financiado")*ISNUMBER(Vendas!$S$2:$S$3001),Vendas!$S$2:$S$3001)))</f>
        <v/>
      </c>
      <c r="N54" s="17">
        <f t="array" ref="N54">IF(L54&lt;AMOSTRA_MIN,"n&lt;mín",MEDIAN(IF((Vendas!$AK$2:$AK$3001="Validado")*(Vendas!$B$2:$B$3001=$A54)*(Vendas!$C$2:$C$3001=$B54)*(Vendas!$P$2:$P$3001="À vista")*ISNUMBER(Vendas!$S$2:$S$3001),Vendas!$S$2:$S$3001)))</f>
        <v/>
      </c>
      <c r="O54" s="28">
        <f>IF(OR(K54&lt;AMOSTRA_MIN,L54&lt;AMOSTRA_MIN),"n&lt;mín",N54/M54-1)</f>
        <v/>
      </c>
      <c r="P54" s="26">
        <f>SUMPRODUCT((Vendas!$AK$2:$AK$3001="Validado")*(Vendas!$B$2:$B$3001=$A54)*(Vendas!$C$2:$C$3001=$B54)*ISNUMBER(Vendas!$W$2:$W$3001))</f>
        <v/>
      </c>
      <c r="Q54" s="27">
        <f t="array" ref="Q54">IF(P54&lt;AMOSTRA_MIN,"n&lt;mín",MEDIAN(IF((Vendas!$AK$2:$AK$3001="Validado")*(Vendas!$B$2:$B$3001=$A54)*(Vendas!$C$2:$C$3001=$B54)*ISNUMBER(Vendas!$W$2:$W$3001),Vendas!$W$2:$W$3001)))</f>
        <v/>
      </c>
      <c r="R54" s="28">
        <f>IF(P54=0,"-",SUMPRODUCT((Vendas!$AK$2:$AK$3001="Validado")*(Vendas!$B$2:$B$3001=$A54)*(Vendas!$C$2:$C$3001=$B54)*ISNUMBER(Vendas!$W$2:$W$3001)*(Vendas!$W$2:$W$3001&lt;1))/P54)</f>
        <v/>
      </c>
      <c r="S54" s="26">
        <f>SUMPRODUCT((Vendas!$AK$2:$AK$3001="Validado")*(Vendas!$B$2:$B$3001=$A54)*(Vendas!$C$2:$C$3001=$B54)*ISNUMBER(Vendas!$X$2:$X$3001))</f>
        <v/>
      </c>
      <c r="T54" s="28">
        <f>IF(S54=0,"-",SUMPRODUCT((Vendas!$AK$2:$AK$3001="Validado")*(Vendas!$B$2:$B$3001=$A54)*(Vendas!$C$2:$C$3001=$B54)*ISNUMBER(Vendas!$X$2:$X$3001)*(Vendas!$X$2:$X$3001&gt;=1))/S54)</f>
        <v/>
      </c>
    </row>
    <row r="55">
      <c r="A55" s="15" t="inlineStr">
        <is>
          <t>São Sebastião</t>
        </is>
      </c>
      <c r="B55" s="15" t="inlineStr">
        <is>
          <t>Itatinga</t>
        </is>
      </c>
      <c r="C55" s="26">
        <f>SUMPRODUCT((Vendas!$AK$2:$AK$3001="Validado")*(Vendas!$B$2:$B$3001=$A55)*(Vendas!$C$2:$C$3001=$B55))</f>
        <v/>
      </c>
      <c r="D55" s="26">
        <f>SUMPRODUCT((Vendas!$AK$2:$AK$3001="Validado")*(Vendas!$B$2:$B$3001=$A55)*(Vendas!$C$2:$C$3001=$B55)*ISNUMBER(Vendas!$U$2:$U$3001))</f>
        <v/>
      </c>
      <c r="E55" s="27">
        <f t="array" ref="E55">IF(D55&lt;AMOSTRA_MIN,"n&lt;mín",MEDIAN(IF((Vendas!$AK$2:$AK$3001="Validado")*(Vendas!$B$2:$B$3001=$A55)*(Vendas!$C$2:$C$3001=$B55)*ISNUMBER(Vendas!$U$2:$U$3001),Vendas!$U$2:$U$3001)))</f>
        <v/>
      </c>
      <c r="F55" s="28">
        <f>IF(D55=0,"-",SUMPRODUCT((Vendas!$AK$2:$AK$3001="Validado")*(Vendas!$B$2:$B$3001=$A55)*(Vendas!$C$2:$C$3001=$B55)*ISNUMBER(Vendas!$U$2:$U$3001)*(Vendas!$U$2:$U$3001&lt;1))/D55)</f>
        <v/>
      </c>
      <c r="G55" s="29">
        <f t="array" ref="G55">IF(D55&lt;AMOSTRA_MIN,"n&lt;mín",100*AVERAGE(IF((Vendas!$AK$2:$AK$3001="Validado")*(Vendas!$B$2:$B$3001=$A55)*(Vendas!$C$2:$C$3001=$B55)*ISNUMBER(Vendas!$U$2:$U$3001),ABS(Vendas!$U$2:$U$3001-E55)))/E55)</f>
        <v/>
      </c>
      <c r="H55" s="26">
        <f>SUMPRODUCT((Vendas!$AK$2:$AK$3001="Validado")*(Vendas!$B$2:$B$3001=$A55)*(Vendas!$C$2:$C$3001=$B55)*ISNUMBER(Vendas!$V$2:$V$3001))</f>
        <v/>
      </c>
      <c r="I55" s="27">
        <f t="array" ref="I55">IF(H55&lt;AMOSTRA_MIN,"n&lt;mín",MEDIAN(IF((Vendas!$AK$2:$AK$3001="Validado")*(Vendas!$B$2:$B$3001=$A55)*(Vendas!$C$2:$C$3001=$B55)*ISNUMBER(Vendas!$V$2:$V$3001),Vendas!$V$2:$V$3001)))</f>
        <v/>
      </c>
      <c r="J55" s="28">
        <f>IF(H55=0,"-",SUMPRODUCT((Vendas!$AK$2:$AK$3001="Validado")*(Vendas!$B$2:$B$3001=$A55)*(Vendas!$C$2:$C$3001=$B55)*ISNUMBER(Vendas!$V$2:$V$3001)*(Vendas!$V$2:$V$3001&lt;=1))/H55)</f>
        <v/>
      </c>
      <c r="K55" s="26">
        <f>SUMPRODUCT((Vendas!$AK$2:$AK$3001="Validado")*(Vendas!$B$2:$B$3001=$A55)*(Vendas!$C$2:$C$3001=$B55)*(Vendas!$P$2:$P$3001="Financiado")*ISNUMBER(Vendas!$S$2:$S$3001))</f>
        <v/>
      </c>
      <c r="L55" s="26">
        <f>SUMPRODUCT((Vendas!$AK$2:$AK$3001="Validado")*(Vendas!$B$2:$B$3001=$A55)*(Vendas!$C$2:$C$3001=$B55)*(Vendas!$P$2:$P$3001="À vista")*ISNUMBER(Vendas!$S$2:$S$3001))</f>
        <v/>
      </c>
      <c r="M55" s="17">
        <f t="array" ref="M55">IF(K55&lt;AMOSTRA_MIN,"n&lt;mín",MEDIAN(IF((Vendas!$AK$2:$AK$3001="Validado")*(Vendas!$B$2:$B$3001=$A55)*(Vendas!$C$2:$C$3001=$B55)*(Vendas!$P$2:$P$3001="Financiado")*ISNUMBER(Vendas!$S$2:$S$3001),Vendas!$S$2:$S$3001)))</f>
        <v/>
      </c>
      <c r="N55" s="17">
        <f t="array" ref="N55">IF(L55&lt;AMOSTRA_MIN,"n&lt;mín",MEDIAN(IF((Vendas!$AK$2:$AK$3001="Validado")*(Vendas!$B$2:$B$3001=$A55)*(Vendas!$C$2:$C$3001=$B55)*(Vendas!$P$2:$P$3001="À vista")*ISNUMBER(Vendas!$S$2:$S$3001),Vendas!$S$2:$S$3001)))</f>
        <v/>
      </c>
      <c r="O55" s="28">
        <f>IF(OR(K55&lt;AMOSTRA_MIN,L55&lt;AMOSTRA_MIN),"n&lt;mín",N55/M55-1)</f>
        <v/>
      </c>
      <c r="P55" s="26">
        <f>SUMPRODUCT((Vendas!$AK$2:$AK$3001="Validado")*(Vendas!$B$2:$B$3001=$A55)*(Vendas!$C$2:$C$3001=$B55)*ISNUMBER(Vendas!$W$2:$W$3001))</f>
        <v/>
      </c>
      <c r="Q55" s="27">
        <f t="array" ref="Q55">IF(P55&lt;AMOSTRA_MIN,"n&lt;mín",MEDIAN(IF((Vendas!$AK$2:$AK$3001="Validado")*(Vendas!$B$2:$B$3001=$A55)*(Vendas!$C$2:$C$3001=$B55)*ISNUMBER(Vendas!$W$2:$W$3001),Vendas!$W$2:$W$3001)))</f>
        <v/>
      </c>
      <c r="R55" s="28">
        <f>IF(P55=0,"-",SUMPRODUCT((Vendas!$AK$2:$AK$3001="Validado")*(Vendas!$B$2:$B$3001=$A55)*(Vendas!$C$2:$C$3001=$B55)*ISNUMBER(Vendas!$W$2:$W$3001)*(Vendas!$W$2:$W$3001&lt;1))/P55)</f>
        <v/>
      </c>
      <c r="S55" s="26">
        <f>SUMPRODUCT((Vendas!$AK$2:$AK$3001="Validado")*(Vendas!$B$2:$B$3001=$A55)*(Vendas!$C$2:$C$3001=$B55)*ISNUMBER(Vendas!$X$2:$X$3001))</f>
        <v/>
      </c>
      <c r="T55" s="28">
        <f>IF(S55=0,"-",SUMPRODUCT((Vendas!$AK$2:$AK$3001="Validado")*(Vendas!$B$2:$B$3001=$A55)*(Vendas!$C$2:$C$3001=$B55)*ISNUMBER(Vendas!$X$2:$X$3001)*(Vendas!$X$2:$X$3001&gt;=1))/S55)</f>
        <v/>
      </c>
    </row>
    <row r="56">
      <c r="A56" s="15" t="inlineStr">
        <is>
          <t>São Sebastião</t>
        </is>
      </c>
      <c r="B56" s="15" t="inlineStr">
        <is>
          <t>Varadouro</t>
        </is>
      </c>
      <c r="C56" s="26">
        <f>SUMPRODUCT((Vendas!$AK$2:$AK$3001="Validado")*(Vendas!$B$2:$B$3001=$A56)*(Vendas!$C$2:$C$3001=$B56))</f>
        <v/>
      </c>
      <c r="D56" s="26">
        <f>SUMPRODUCT((Vendas!$AK$2:$AK$3001="Validado")*(Vendas!$B$2:$B$3001=$A56)*(Vendas!$C$2:$C$3001=$B56)*ISNUMBER(Vendas!$U$2:$U$3001))</f>
        <v/>
      </c>
      <c r="E56" s="27">
        <f t="array" ref="E56">IF(D56&lt;AMOSTRA_MIN,"n&lt;mín",MEDIAN(IF((Vendas!$AK$2:$AK$3001="Validado")*(Vendas!$B$2:$B$3001=$A56)*(Vendas!$C$2:$C$3001=$B56)*ISNUMBER(Vendas!$U$2:$U$3001),Vendas!$U$2:$U$3001)))</f>
        <v/>
      </c>
      <c r="F56" s="28">
        <f>IF(D56=0,"-",SUMPRODUCT((Vendas!$AK$2:$AK$3001="Validado")*(Vendas!$B$2:$B$3001=$A56)*(Vendas!$C$2:$C$3001=$B56)*ISNUMBER(Vendas!$U$2:$U$3001)*(Vendas!$U$2:$U$3001&lt;1))/D56)</f>
        <v/>
      </c>
      <c r="G56" s="29">
        <f t="array" ref="G56">IF(D56&lt;AMOSTRA_MIN,"n&lt;mín",100*AVERAGE(IF((Vendas!$AK$2:$AK$3001="Validado")*(Vendas!$B$2:$B$3001=$A56)*(Vendas!$C$2:$C$3001=$B56)*ISNUMBER(Vendas!$U$2:$U$3001),ABS(Vendas!$U$2:$U$3001-E56)))/E56)</f>
        <v/>
      </c>
      <c r="H56" s="26">
        <f>SUMPRODUCT((Vendas!$AK$2:$AK$3001="Validado")*(Vendas!$B$2:$B$3001=$A56)*(Vendas!$C$2:$C$3001=$B56)*ISNUMBER(Vendas!$V$2:$V$3001))</f>
        <v/>
      </c>
      <c r="I56" s="27">
        <f t="array" ref="I56">IF(H56&lt;AMOSTRA_MIN,"n&lt;mín",MEDIAN(IF((Vendas!$AK$2:$AK$3001="Validado")*(Vendas!$B$2:$B$3001=$A56)*(Vendas!$C$2:$C$3001=$B56)*ISNUMBER(Vendas!$V$2:$V$3001),Vendas!$V$2:$V$3001)))</f>
        <v/>
      </c>
      <c r="J56" s="28">
        <f>IF(H56=0,"-",SUMPRODUCT((Vendas!$AK$2:$AK$3001="Validado")*(Vendas!$B$2:$B$3001=$A56)*(Vendas!$C$2:$C$3001=$B56)*ISNUMBER(Vendas!$V$2:$V$3001)*(Vendas!$V$2:$V$3001&lt;=1))/H56)</f>
        <v/>
      </c>
      <c r="K56" s="26">
        <f>SUMPRODUCT((Vendas!$AK$2:$AK$3001="Validado")*(Vendas!$B$2:$B$3001=$A56)*(Vendas!$C$2:$C$3001=$B56)*(Vendas!$P$2:$P$3001="Financiado")*ISNUMBER(Vendas!$S$2:$S$3001))</f>
        <v/>
      </c>
      <c r="L56" s="26">
        <f>SUMPRODUCT((Vendas!$AK$2:$AK$3001="Validado")*(Vendas!$B$2:$B$3001=$A56)*(Vendas!$C$2:$C$3001=$B56)*(Vendas!$P$2:$P$3001="À vista")*ISNUMBER(Vendas!$S$2:$S$3001))</f>
        <v/>
      </c>
      <c r="M56" s="17">
        <f t="array" ref="M56">IF(K56&lt;AMOSTRA_MIN,"n&lt;mín",MEDIAN(IF((Vendas!$AK$2:$AK$3001="Validado")*(Vendas!$B$2:$B$3001=$A56)*(Vendas!$C$2:$C$3001=$B56)*(Vendas!$P$2:$P$3001="Financiado")*ISNUMBER(Vendas!$S$2:$S$3001),Vendas!$S$2:$S$3001)))</f>
        <v/>
      </c>
      <c r="N56" s="17">
        <f t="array" ref="N56">IF(L56&lt;AMOSTRA_MIN,"n&lt;mín",MEDIAN(IF((Vendas!$AK$2:$AK$3001="Validado")*(Vendas!$B$2:$B$3001=$A56)*(Vendas!$C$2:$C$3001=$B56)*(Vendas!$P$2:$P$3001="À vista")*ISNUMBER(Vendas!$S$2:$S$3001),Vendas!$S$2:$S$3001)))</f>
        <v/>
      </c>
      <c r="O56" s="28">
        <f>IF(OR(K56&lt;AMOSTRA_MIN,L56&lt;AMOSTRA_MIN),"n&lt;mín",N56/M56-1)</f>
        <v/>
      </c>
      <c r="P56" s="26">
        <f>SUMPRODUCT((Vendas!$AK$2:$AK$3001="Validado")*(Vendas!$B$2:$B$3001=$A56)*(Vendas!$C$2:$C$3001=$B56)*ISNUMBER(Vendas!$W$2:$W$3001))</f>
        <v/>
      </c>
      <c r="Q56" s="27">
        <f t="array" ref="Q56">IF(P56&lt;AMOSTRA_MIN,"n&lt;mín",MEDIAN(IF((Vendas!$AK$2:$AK$3001="Validado")*(Vendas!$B$2:$B$3001=$A56)*(Vendas!$C$2:$C$3001=$B56)*ISNUMBER(Vendas!$W$2:$W$3001),Vendas!$W$2:$W$3001)))</f>
        <v/>
      </c>
      <c r="R56" s="28">
        <f>IF(P56=0,"-",SUMPRODUCT((Vendas!$AK$2:$AK$3001="Validado")*(Vendas!$B$2:$B$3001=$A56)*(Vendas!$C$2:$C$3001=$B56)*ISNUMBER(Vendas!$W$2:$W$3001)*(Vendas!$W$2:$W$3001&lt;1))/P56)</f>
        <v/>
      </c>
      <c r="S56" s="26">
        <f>SUMPRODUCT((Vendas!$AK$2:$AK$3001="Validado")*(Vendas!$B$2:$B$3001=$A56)*(Vendas!$C$2:$C$3001=$B56)*ISNUMBER(Vendas!$X$2:$X$3001))</f>
        <v/>
      </c>
      <c r="T56" s="28">
        <f>IF(S56=0,"-",SUMPRODUCT((Vendas!$AK$2:$AK$3001="Validado")*(Vendas!$B$2:$B$3001=$A56)*(Vendas!$C$2:$C$3001=$B56)*ISNUMBER(Vendas!$X$2:$X$3001)*(Vendas!$X$2:$X$3001&gt;=1))/S56)</f>
        <v/>
      </c>
    </row>
    <row r="57">
      <c r="A57" s="15" t="inlineStr">
        <is>
          <t>São Sebastião</t>
        </is>
      </c>
      <c r="B57" s="15" t="inlineStr">
        <is>
          <t>Pitangueiras</t>
        </is>
      </c>
      <c r="C57" s="26">
        <f>SUMPRODUCT((Vendas!$AK$2:$AK$3001="Validado")*(Vendas!$B$2:$B$3001=$A57)*(Vendas!$C$2:$C$3001=$B57))</f>
        <v/>
      </c>
      <c r="D57" s="26">
        <f>SUMPRODUCT((Vendas!$AK$2:$AK$3001="Validado")*(Vendas!$B$2:$B$3001=$A57)*(Vendas!$C$2:$C$3001=$B57)*ISNUMBER(Vendas!$U$2:$U$3001))</f>
        <v/>
      </c>
      <c r="E57" s="27">
        <f t="array" ref="E57">IF(D57&lt;AMOSTRA_MIN,"n&lt;mín",MEDIAN(IF((Vendas!$AK$2:$AK$3001="Validado")*(Vendas!$B$2:$B$3001=$A57)*(Vendas!$C$2:$C$3001=$B57)*ISNUMBER(Vendas!$U$2:$U$3001),Vendas!$U$2:$U$3001)))</f>
        <v/>
      </c>
      <c r="F57" s="28">
        <f>IF(D57=0,"-",SUMPRODUCT((Vendas!$AK$2:$AK$3001="Validado")*(Vendas!$B$2:$B$3001=$A57)*(Vendas!$C$2:$C$3001=$B57)*ISNUMBER(Vendas!$U$2:$U$3001)*(Vendas!$U$2:$U$3001&lt;1))/D57)</f>
        <v/>
      </c>
      <c r="G57" s="29">
        <f t="array" ref="G57">IF(D57&lt;AMOSTRA_MIN,"n&lt;mín",100*AVERAGE(IF((Vendas!$AK$2:$AK$3001="Validado")*(Vendas!$B$2:$B$3001=$A57)*(Vendas!$C$2:$C$3001=$B57)*ISNUMBER(Vendas!$U$2:$U$3001),ABS(Vendas!$U$2:$U$3001-E57)))/E57)</f>
        <v/>
      </c>
      <c r="H57" s="26">
        <f>SUMPRODUCT((Vendas!$AK$2:$AK$3001="Validado")*(Vendas!$B$2:$B$3001=$A57)*(Vendas!$C$2:$C$3001=$B57)*ISNUMBER(Vendas!$V$2:$V$3001))</f>
        <v/>
      </c>
      <c r="I57" s="27">
        <f t="array" ref="I57">IF(H57&lt;AMOSTRA_MIN,"n&lt;mín",MEDIAN(IF((Vendas!$AK$2:$AK$3001="Validado")*(Vendas!$B$2:$B$3001=$A57)*(Vendas!$C$2:$C$3001=$B57)*ISNUMBER(Vendas!$V$2:$V$3001),Vendas!$V$2:$V$3001)))</f>
        <v/>
      </c>
      <c r="J57" s="28">
        <f>IF(H57=0,"-",SUMPRODUCT((Vendas!$AK$2:$AK$3001="Validado")*(Vendas!$B$2:$B$3001=$A57)*(Vendas!$C$2:$C$3001=$B57)*ISNUMBER(Vendas!$V$2:$V$3001)*(Vendas!$V$2:$V$3001&lt;=1))/H57)</f>
        <v/>
      </c>
      <c r="K57" s="26">
        <f>SUMPRODUCT((Vendas!$AK$2:$AK$3001="Validado")*(Vendas!$B$2:$B$3001=$A57)*(Vendas!$C$2:$C$3001=$B57)*(Vendas!$P$2:$P$3001="Financiado")*ISNUMBER(Vendas!$S$2:$S$3001))</f>
        <v/>
      </c>
      <c r="L57" s="26">
        <f>SUMPRODUCT((Vendas!$AK$2:$AK$3001="Validado")*(Vendas!$B$2:$B$3001=$A57)*(Vendas!$C$2:$C$3001=$B57)*(Vendas!$P$2:$P$3001="À vista")*ISNUMBER(Vendas!$S$2:$S$3001))</f>
        <v/>
      </c>
      <c r="M57" s="17">
        <f t="array" ref="M57">IF(K57&lt;AMOSTRA_MIN,"n&lt;mín",MEDIAN(IF((Vendas!$AK$2:$AK$3001="Validado")*(Vendas!$B$2:$B$3001=$A57)*(Vendas!$C$2:$C$3001=$B57)*(Vendas!$P$2:$P$3001="Financiado")*ISNUMBER(Vendas!$S$2:$S$3001),Vendas!$S$2:$S$3001)))</f>
        <v/>
      </c>
      <c r="N57" s="17">
        <f t="array" ref="N57">IF(L57&lt;AMOSTRA_MIN,"n&lt;mín",MEDIAN(IF((Vendas!$AK$2:$AK$3001="Validado")*(Vendas!$B$2:$B$3001=$A57)*(Vendas!$C$2:$C$3001=$B57)*(Vendas!$P$2:$P$3001="À vista")*ISNUMBER(Vendas!$S$2:$S$3001),Vendas!$S$2:$S$3001)))</f>
        <v/>
      </c>
      <c r="O57" s="28">
        <f>IF(OR(K57&lt;AMOSTRA_MIN,L57&lt;AMOSTRA_MIN),"n&lt;mín",N57/M57-1)</f>
        <v/>
      </c>
      <c r="P57" s="26">
        <f>SUMPRODUCT((Vendas!$AK$2:$AK$3001="Validado")*(Vendas!$B$2:$B$3001=$A57)*(Vendas!$C$2:$C$3001=$B57)*ISNUMBER(Vendas!$W$2:$W$3001))</f>
        <v/>
      </c>
      <c r="Q57" s="27">
        <f t="array" ref="Q57">IF(P57&lt;AMOSTRA_MIN,"n&lt;mín",MEDIAN(IF((Vendas!$AK$2:$AK$3001="Validado")*(Vendas!$B$2:$B$3001=$A57)*(Vendas!$C$2:$C$3001=$B57)*ISNUMBER(Vendas!$W$2:$W$3001),Vendas!$W$2:$W$3001)))</f>
        <v/>
      </c>
      <c r="R57" s="28">
        <f>IF(P57=0,"-",SUMPRODUCT((Vendas!$AK$2:$AK$3001="Validado")*(Vendas!$B$2:$B$3001=$A57)*(Vendas!$C$2:$C$3001=$B57)*ISNUMBER(Vendas!$W$2:$W$3001)*(Vendas!$W$2:$W$3001&lt;1))/P57)</f>
        <v/>
      </c>
      <c r="S57" s="26">
        <f>SUMPRODUCT((Vendas!$AK$2:$AK$3001="Validado")*(Vendas!$B$2:$B$3001=$A57)*(Vendas!$C$2:$C$3001=$B57)*ISNUMBER(Vendas!$X$2:$X$3001))</f>
        <v/>
      </c>
      <c r="T57" s="28">
        <f>IF(S57=0,"-",SUMPRODUCT((Vendas!$AK$2:$AK$3001="Validado")*(Vendas!$B$2:$B$3001=$A57)*(Vendas!$C$2:$C$3001=$B57)*ISNUMBER(Vendas!$X$2:$X$3001)*(Vendas!$X$2:$X$3001&gt;=1))/S57)</f>
        <v/>
      </c>
    </row>
    <row r="58">
      <c r="A58" s="15" t="inlineStr">
        <is>
          <t>São Sebastião</t>
        </is>
      </c>
      <c r="B58" s="15" t="inlineStr">
        <is>
          <t>Barequeçaba</t>
        </is>
      </c>
      <c r="C58" s="26">
        <f>SUMPRODUCT((Vendas!$AK$2:$AK$3001="Validado")*(Vendas!$B$2:$B$3001=$A58)*(Vendas!$C$2:$C$3001=$B58))</f>
        <v/>
      </c>
      <c r="D58" s="26">
        <f>SUMPRODUCT((Vendas!$AK$2:$AK$3001="Validado")*(Vendas!$B$2:$B$3001=$A58)*(Vendas!$C$2:$C$3001=$B58)*ISNUMBER(Vendas!$U$2:$U$3001))</f>
        <v/>
      </c>
      <c r="E58" s="27">
        <f t="array" ref="E58">IF(D58&lt;AMOSTRA_MIN,"n&lt;mín",MEDIAN(IF((Vendas!$AK$2:$AK$3001="Validado")*(Vendas!$B$2:$B$3001=$A58)*(Vendas!$C$2:$C$3001=$B58)*ISNUMBER(Vendas!$U$2:$U$3001),Vendas!$U$2:$U$3001)))</f>
        <v/>
      </c>
      <c r="F58" s="28">
        <f>IF(D58=0,"-",SUMPRODUCT((Vendas!$AK$2:$AK$3001="Validado")*(Vendas!$B$2:$B$3001=$A58)*(Vendas!$C$2:$C$3001=$B58)*ISNUMBER(Vendas!$U$2:$U$3001)*(Vendas!$U$2:$U$3001&lt;1))/D58)</f>
        <v/>
      </c>
      <c r="G58" s="29">
        <f t="array" ref="G58">IF(D58&lt;AMOSTRA_MIN,"n&lt;mín",100*AVERAGE(IF((Vendas!$AK$2:$AK$3001="Validado")*(Vendas!$B$2:$B$3001=$A58)*(Vendas!$C$2:$C$3001=$B58)*ISNUMBER(Vendas!$U$2:$U$3001),ABS(Vendas!$U$2:$U$3001-E58)))/E58)</f>
        <v/>
      </c>
      <c r="H58" s="26">
        <f>SUMPRODUCT((Vendas!$AK$2:$AK$3001="Validado")*(Vendas!$B$2:$B$3001=$A58)*(Vendas!$C$2:$C$3001=$B58)*ISNUMBER(Vendas!$V$2:$V$3001))</f>
        <v/>
      </c>
      <c r="I58" s="27">
        <f t="array" ref="I58">IF(H58&lt;AMOSTRA_MIN,"n&lt;mín",MEDIAN(IF((Vendas!$AK$2:$AK$3001="Validado")*(Vendas!$B$2:$B$3001=$A58)*(Vendas!$C$2:$C$3001=$B58)*ISNUMBER(Vendas!$V$2:$V$3001),Vendas!$V$2:$V$3001)))</f>
        <v/>
      </c>
      <c r="J58" s="28">
        <f>IF(H58=0,"-",SUMPRODUCT((Vendas!$AK$2:$AK$3001="Validado")*(Vendas!$B$2:$B$3001=$A58)*(Vendas!$C$2:$C$3001=$B58)*ISNUMBER(Vendas!$V$2:$V$3001)*(Vendas!$V$2:$V$3001&lt;=1))/H58)</f>
        <v/>
      </c>
      <c r="K58" s="26">
        <f>SUMPRODUCT((Vendas!$AK$2:$AK$3001="Validado")*(Vendas!$B$2:$B$3001=$A58)*(Vendas!$C$2:$C$3001=$B58)*(Vendas!$P$2:$P$3001="Financiado")*ISNUMBER(Vendas!$S$2:$S$3001))</f>
        <v/>
      </c>
      <c r="L58" s="26">
        <f>SUMPRODUCT((Vendas!$AK$2:$AK$3001="Validado")*(Vendas!$B$2:$B$3001=$A58)*(Vendas!$C$2:$C$3001=$B58)*(Vendas!$P$2:$P$3001="À vista")*ISNUMBER(Vendas!$S$2:$S$3001))</f>
        <v/>
      </c>
      <c r="M58" s="17">
        <f t="array" ref="M58">IF(K58&lt;AMOSTRA_MIN,"n&lt;mín",MEDIAN(IF((Vendas!$AK$2:$AK$3001="Validado")*(Vendas!$B$2:$B$3001=$A58)*(Vendas!$C$2:$C$3001=$B58)*(Vendas!$P$2:$P$3001="Financiado")*ISNUMBER(Vendas!$S$2:$S$3001),Vendas!$S$2:$S$3001)))</f>
        <v/>
      </c>
      <c r="N58" s="17">
        <f t="array" ref="N58">IF(L58&lt;AMOSTRA_MIN,"n&lt;mín",MEDIAN(IF((Vendas!$AK$2:$AK$3001="Validado")*(Vendas!$B$2:$B$3001=$A58)*(Vendas!$C$2:$C$3001=$B58)*(Vendas!$P$2:$P$3001="À vista")*ISNUMBER(Vendas!$S$2:$S$3001),Vendas!$S$2:$S$3001)))</f>
        <v/>
      </c>
      <c r="O58" s="28">
        <f>IF(OR(K58&lt;AMOSTRA_MIN,L58&lt;AMOSTRA_MIN),"n&lt;mín",N58/M58-1)</f>
        <v/>
      </c>
      <c r="P58" s="26">
        <f>SUMPRODUCT((Vendas!$AK$2:$AK$3001="Validado")*(Vendas!$B$2:$B$3001=$A58)*(Vendas!$C$2:$C$3001=$B58)*ISNUMBER(Vendas!$W$2:$W$3001))</f>
        <v/>
      </c>
      <c r="Q58" s="27">
        <f t="array" ref="Q58">IF(P58&lt;AMOSTRA_MIN,"n&lt;mín",MEDIAN(IF((Vendas!$AK$2:$AK$3001="Validado")*(Vendas!$B$2:$B$3001=$A58)*(Vendas!$C$2:$C$3001=$B58)*ISNUMBER(Vendas!$W$2:$W$3001),Vendas!$W$2:$W$3001)))</f>
        <v/>
      </c>
      <c r="R58" s="28">
        <f>IF(P58=0,"-",SUMPRODUCT((Vendas!$AK$2:$AK$3001="Validado")*(Vendas!$B$2:$B$3001=$A58)*(Vendas!$C$2:$C$3001=$B58)*ISNUMBER(Vendas!$W$2:$W$3001)*(Vendas!$W$2:$W$3001&lt;1))/P58)</f>
        <v/>
      </c>
      <c r="S58" s="26">
        <f>SUMPRODUCT((Vendas!$AK$2:$AK$3001="Validado")*(Vendas!$B$2:$B$3001=$A58)*(Vendas!$C$2:$C$3001=$B58)*ISNUMBER(Vendas!$X$2:$X$3001))</f>
        <v/>
      </c>
      <c r="T58" s="28">
        <f>IF(S58=0,"-",SUMPRODUCT((Vendas!$AK$2:$AK$3001="Validado")*(Vendas!$B$2:$B$3001=$A58)*(Vendas!$C$2:$C$3001=$B58)*ISNUMBER(Vendas!$X$2:$X$3001)*(Vendas!$X$2:$X$3001&gt;=1))/S58)</f>
        <v/>
      </c>
    </row>
    <row r="59">
      <c r="A59" s="15" t="inlineStr">
        <is>
          <t>São Sebastião</t>
        </is>
      </c>
      <c r="B59" s="15" t="inlineStr">
        <is>
          <t>Guaecá</t>
        </is>
      </c>
      <c r="C59" s="26">
        <f>SUMPRODUCT((Vendas!$AK$2:$AK$3001="Validado")*(Vendas!$B$2:$B$3001=$A59)*(Vendas!$C$2:$C$3001=$B59))</f>
        <v/>
      </c>
      <c r="D59" s="26">
        <f>SUMPRODUCT((Vendas!$AK$2:$AK$3001="Validado")*(Vendas!$B$2:$B$3001=$A59)*(Vendas!$C$2:$C$3001=$B59)*ISNUMBER(Vendas!$U$2:$U$3001))</f>
        <v/>
      </c>
      <c r="E59" s="27">
        <f t="array" ref="E59">IF(D59&lt;AMOSTRA_MIN,"n&lt;mín",MEDIAN(IF((Vendas!$AK$2:$AK$3001="Validado")*(Vendas!$B$2:$B$3001=$A59)*(Vendas!$C$2:$C$3001=$B59)*ISNUMBER(Vendas!$U$2:$U$3001),Vendas!$U$2:$U$3001)))</f>
        <v/>
      </c>
      <c r="F59" s="28">
        <f>IF(D59=0,"-",SUMPRODUCT((Vendas!$AK$2:$AK$3001="Validado")*(Vendas!$B$2:$B$3001=$A59)*(Vendas!$C$2:$C$3001=$B59)*ISNUMBER(Vendas!$U$2:$U$3001)*(Vendas!$U$2:$U$3001&lt;1))/D59)</f>
        <v/>
      </c>
      <c r="G59" s="29">
        <f t="array" ref="G59">IF(D59&lt;AMOSTRA_MIN,"n&lt;mín",100*AVERAGE(IF((Vendas!$AK$2:$AK$3001="Validado")*(Vendas!$B$2:$B$3001=$A59)*(Vendas!$C$2:$C$3001=$B59)*ISNUMBER(Vendas!$U$2:$U$3001),ABS(Vendas!$U$2:$U$3001-E59)))/E59)</f>
        <v/>
      </c>
      <c r="H59" s="26">
        <f>SUMPRODUCT((Vendas!$AK$2:$AK$3001="Validado")*(Vendas!$B$2:$B$3001=$A59)*(Vendas!$C$2:$C$3001=$B59)*ISNUMBER(Vendas!$V$2:$V$3001))</f>
        <v/>
      </c>
      <c r="I59" s="27">
        <f t="array" ref="I59">IF(H59&lt;AMOSTRA_MIN,"n&lt;mín",MEDIAN(IF((Vendas!$AK$2:$AK$3001="Validado")*(Vendas!$B$2:$B$3001=$A59)*(Vendas!$C$2:$C$3001=$B59)*ISNUMBER(Vendas!$V$2:$V$3001),Vendas!$V$2:$V$3001)))</f>
        <v/>
      </c>
      <c r="J59" s="28">
        <f>IF(H59=0,"-",SUMPRODUCT((Vendas!$AK$2:$AK$3001="Validado")*(Vendas!$B$2:$B$3001=$A59)*(Vendas!$C$2:$C$3001=$B59)*ISNUMBER(Vendas!$V$2:$V$3001)*(Vendas!$V$2:$V$3001&lt;=1))/H59)</f>
        <v/>
      </c>
      <c r="K59" s="26">
        <f>SUMPRODUCT((Vendas!$AK$2:$AK$3001="Validado")*(Vendas!$B$2:$B$3001=$A59)*(Vendas!$C$2:$C$3001=$B59)*(Vendas!$P$2:$P$3001="Financiado")*ISNUMBER(Vendas!$S$2:$S$3001))</f>
        <v/>
      </c>
      <c r="L59" s="26">
        <f>SUMPRODUCT((Vendas!$AK$2:$AK$3001="Validado")*(Vendas!$B$2:$B$3001=$A59)*(Vendas!$C$2:$C$3001=$B59)*(Vendas!$P$2:$P$3001="À vista")*ISNUMBER(Vendas!$S$2:$S$3001))</f>
        <v/>
      </c>
      <c r="M59" s="17">
        <f t="array" ref="M59">IF(K59&lt;AMOSTRA_MIN,"n&lt;mín",MEDIAN(IF((Vendas!$AK$2:$AK$3001="Validado")*(Vendas!$B$2:$B$3001=$A59)*(Vendas!$C$2:$C$3001=$B59)*(Vendas!$P$2:$P$3001="Financiado")*ISNUMBER(Vendas!$S$2:$S$3001),Vendas!$S$2:$S$3001)))</f>
        <v/>
      </c>
      <c r="N59" s="17">
        <f t="array" ref="N59">IF(L59&lt;AMOSTRA_MIN,"n&lt;mín",MEDIAN(IF((Vendas!$AK$2:$AK$3001="Validado")*(Vendas!$B$2:$B$3001=$A59)*(Vendas!$C$2:$C$3001=$B59)*(Vendas!$P$2:$P$3001="À vista")*ISNUMBER(Vendas!$S$2:$S$3001),Vendas!$S$2:$S$3001)))</f>
        <v/>
      </c>
      <c r="O59" s="28">
        <f>IF(OR(K59&lt;AMOSTRA_MIN,L59&lt;AMOSTRA_MIN),"n&lt;mín",N59/M59-1)</f>
        <v/>
      </c>
      <c r="P59" s="26">
        <f>SUMPRODUCT((Vendas!$AK$2:$AK$3001="Validado")*(Vendas!$B$2:$B$3001=$A59)*(Vendas!$C$2:$C$3001=$B59)*ISNUMBER(Vendas!$W$2:$W$3001))</f>
        <v/>
      </c>
      <c r="Q59" s="27">
        <f t="array" ref="Q59">IF(P59&lt;AMOSTRA_MIN,"n&lt;mín",MEDIAN(IF((Vendas!$AK$2:$AK$3001="Validado")*(Vendas!$B$2:$B$3001=$A59)*(Vendas!$C$2:$C$3001=$B59)*ISNUMBER(Vendas!$W$2:$W$3001),Vendas!$W$2:$W$3001)))</f>
        <v/>
      </c>
      <c r="R59" s="28">
        <f>IF(P59=0,"-",SUMPRODUCT((Vendas!$AK$2:$AK$3001="Validado")*(Vendas!$B$2:$B$3001=$A59)*(Vendas!$C$2:$C$3001=$B59)*ISNUMBER(Vendas!$W$2:$W$3001)*(Vendas!$W$2:$W$3001&lt;1))/P59)</f>
        <v/>
      </c>
      <c r="S59" s="26">
        <f>SUMPRODUCT((Vendas!$AK$2:$AK$3001="Validado")*(Vendas!$B$2:$B$3001=$A59)*(Vendas!$C$2:$C$3001=$B59)*ISNUMBER(Vendas!$X$2:$X$3001))</f>
        <v/>
      </c>
      <c r="T59" s="28">
        <f>IF(S59=0,"-",SUMPRODUCT((Vendas!$AK$2:$AK$3001="Validado")*(Vendas!$B$2:$B$3001=$A59)*(Vendas!$C$2:$C$3001=$B59)*ISNUMBER(Vendas!$X$2:$X$3001)*(Vendas!$X$2:$X$3001&gt;=1))/S59)</f>
        <v/>
      </c>
    </row>
    <row r="60">
      <c r="A60" s="15" t="inlineStr">
        <is>
          <t>São Sebastião</t>
        </is>
      </c>
      <c r="B60" s="15" t="inlineStr">
        <is>
          <t>Toque-Toque Grande</t>
        </is>
      </c>
      <c r="C60" s="26">
        <f>SUMPRODUCT((Vendas!$AK$2:$AK$3001="Validado")*(Vendas!$B$2:$B$3001=$A60)*(Vendas!$C$2:$C$3001=$B60))</f>
        <v/>
      </c>
      <c r="D60" s="26">
        <f>SUMPRODUCT((Vendas!$AK$2:$AK$3001="Validado")*(Vendas!$B$2:$B$3001=$A60)*(Vendas!$C$2:$C$3001=$B60)*ISNUMBER(Vendas!$U$2:$U$3001))</f>
        <v/>
      </c>
      <c r="E60" s="27">
        <f t="array" ref="E60">IF(D60&lt;AMOSTRA_MIN,"n&lt;mín",MEDIAN(IF((Vendas!$AK$2:$AK$3001="Validado")*(Vendas!$B$2:$B$3001=$A60)*(Vendas!$C$2:$C$3001=$B60)*ISNUMBER(Vendas!$U$2:$U$3001),Vendas!$U$2:$U$3001)))</f>
        <v/>
      </c>
      <c r="F60" s="28">
        <f>IF(D60=0,"-",SUMPRODUCT((Vendas!$AK$2:$AK$3001="Validado")*(Vendas!$B$2:$B$3001=$A60)*(Vendas!$C$2:$C$3001=$B60)*ISNUMBER(Vendas!$U$2:$U$3001)*(Vendas!$U$2:$U$3001&lt;1))/D60)</f>
        <v/>
      </c>
      <c r="G60" s="29">
        <f t="array" ref="G60">IF(D60&lt;AMOSTRA_MIN,"n&lt;mín",100*AVERAGE(IF((Vendas!$AK$2:$AK$3001="Validado")*(Vendas!$B$2:$B$3001=$A60)*(Vendas!$C$2:$C$3001=$B60)*ISNUMBER(Vendas!$U$2:$U$3001),ABS(Vendas!$U$2:$U$3001-E60)))/E60)</f>
        <v/>
      </c>
      <c r="H60" s="26">
        <f>SUMPRODUCT((Vendas!$AK$2:$AK$3001="Validado")*(Vendas!$B$2:$B$3001=$A60)*(Vendas!$C$2:$C$3001=$B60)*ISNUMBER(Vendas!$V$2:$V$3001))</f>
        <v/>
      </c>
      <c r="I60" s="27">
        <f t="array" ref="I60">IF(H60&lt;AMOSTRA_MIN,"n&lt;mín",MEDIAN(IF((Vendas!$AK$2:$AK$3001="Validado")*(Vendas!$B$2:$B$3001=$A60)*(Vendas!$C$2:$C$3001=$B60)*ISNUMBER(Vendas!$V$2:$V$3001),Vendas!$V$2:$V$3001)))</f>
        <v/>
      </c>
      <c r="J60" s="28">
        <f>IF(H60=0,"-",SUMPRODUCT((Vendas!$AK$2:$AK$3001="Validado")*(Vendas!$B$2:$B$3001=$A60)*(Vendas!$C$2:$C$3001=$B60)*ISNUMBER(Vendas!$V$2:$V$3001)*(Vendas!$V$2:$V$3001&lt;=1))/H60)</f>
        <v/>
      </c>
      <c r="K60" s="26">
        <f>SUMPRODUCT((Vendas!$AK$2:$AK$3001="Validado")*(Vendas!$B$2:$B$3001=$A60)*(Vendas!$C$2:$C$3001=$B60)*(Vendas!$P$2:$P$3001="Financiado")*ISNUMBER(Vendas!$S$2:$S$3001))</f>
        <v/>
      </c>
      <c r="L60" s="26">
        <f>SUMPRODUCT((Vendas!$AK$2:$AK$3001="Validado")*(Vendas!$B$2:$B$3001=$A60)*(Vendas!$C$2:$C$3001=$B60)*(Vendas!$P$2:$P$3001="À vista")*ISNUMBER(Vendas!$S$2:$S$3001))</f>
        <v/>
      </c>
      <c r="M60" s="17">
        <f t="array" ref="M60">IF(K60&lt;AMOSTRA_MIN,"n&lt;mín",MEDIAN(IF((Vendas!$AK$2:$AK$3001="Validado")*(Vendas!$B$2:$B$3001=$A60)*(Vendas!$C$2:$C$3001=$B60)*(Vendas!$P$2:$P$3001="Financiado")*ISNUMBER(Vendas!$S$2:$S$3001),Vendas!$S$2:$S$3001)))</f>
        <v/>
      </c>
      <c r="N60" s="17">
        <f t="array" ref="N60">IF(L60&lt;AMOSTRA_MIN,"n&lt;mín",MEDIAN(IF((Vendas!$AK$2:$AK$3001="Validado")*(Vendas!$B$2:$B$3001=$A60)*(Vendas!$C$2:$C$3001=$B60)*(Vendas!$P$2:$P$3001="À vista")*ISNUMBER(Vendas!$S$2:$S$3001),Vendas!$S$2:$S$3001)))</f>
        <v/>
      </c>
      <c r="O60" s="28">
        <f>IF(OR(K60&lt;AMOSTRA_MIN,L60&lt;AMOSTRA_MIN),"n&lt;mín",N60/M60-1)</f>
        <v/>
      </c>
      <c r="P60" s="26">
        <f>SUMPRODUCT((Vendas!$AK$2:$AK$3001="Validado")*(Vendas!$B$2:$B$3001=$A60)*(Vendas!$C$2:$C$3001=$B60)*ISNUMBER(Vendas!$W$2:$W$3001))</f>
        <v/>
      </c>
      <c r="Q60" s="27">
        <f t="array" ref="Q60">IF(P60&lt;AMOSTRA_MIN,"n&lt;mín",MEDIAN(IF((Vendas!$AK$2:$AK$3001="Validado")*(Vendas!$B$2:$B$3001=$A60)*(Vendas!$C$2:$C$3001=$B60)*ISNUMBER(Vendas!$W$2:$W$3001),Vendas!$W$2:$W$3001)))</f>
        <v/>
      </c>
      <c r="R60" s="28">
        <f>IF(P60=0,"-",SUMPRODUCT((Vendas!$AK$2:$AK$3001="Validado")*(Vendas!$B$2:$B$3001=$A60)*(Vendas!$C$2:$C$3001=$B60)*ISNUMBER(Vendas!$W$2:$W$3001)*(Vendas!$W$2:$W$3001&lt;1))/P60)</f>
        <v/>
      </c>
      <c r="S60" s="26">
        <f>SUMPRODUCT((Vendas!$AK$2:$AK$3001="Validado")*(Vendas!$B$2:$B$3001=$A60)*(Vendas!$C$2:$C$3001=$B60)*ISNUMBER(Vendas!$X$2:$X$3001))</f>
        <v/>
      </c>
      <c r="T60" s="28">
        <f>IF(S60=0,"-",SUMPRODUCT((Vendas!$AK$2:$AK$3001="Validado")*(Vendas!$B$2:$B$3001=$A60)*(Vendas!$C$2:$C$3001=$B60)*ISNUMBER(Vendas!$X$2:$X$3001)*(Vendas!$X$2:$X$3001&gt;=1))/S60)</f>
        <v/>
      </c>
    </row>
    <row r="61">
      <c r="A61" s="15" t="inlineStr">
        <is>
          <t>São Sebastião</t>
        </is>
      </c>
      <c r="B61" s="15" t="inlineStr">
        <is>
          <t>Calhetas</t>
        </is>
      </c>
      <c r="C61" s="26">
        <f>SUMPRODUCT((Vendas!$AK$2:$AK$3001="Validado")*(Vendas!$B$2:$B$3001=$A61)*(Vendas!$C$2:$C$3001=$B61))</f>
        <v/>
      </c>
      <c r="D61" s="26">
        <f>SUMPRODUCT((Vendas!$AK$2:$AK$3001="Validado")*(Vendas!$B$2:$B$3001=$A61)*(Vendas!$C$2:$C$3001=$B61)*ISNUMBER(Vendas!$U$2:$U$3001))</f>
        <v/>
      </c>
      <c r="E61" s="27">
        <f t="array" ref="E61">IF(D61&lt;AMOSTRA_MIN,"n&lt;mín",MEDIAN(IF((Vendas!$AK$2:$AK$3001="Validado")*(Vendas!$B$2:$B$3001=$A61)*(Vendas!$C$2:$C$3001=$B61)*ISNUMBER(Vendas!$U$2:$U$3001),Vendas!$U$2:$U$3001)))</f>
        <v/>
      </c>
      <c r="F61" s="28">
        <f>IF(D61=0,"-",SUMPRODUCT((Vendas!$AK$2:$AK$3001="Validado")*(Vendas!$B$2:$B$3001=$A61)*(Vendas!$C$2:$C$3001=$B61)*ISNUMBER(Vendas!$U$2:$U$3001)*(Vendas!$U$2:$U$3001&lt;1))/D61)</f>
        <v/>
      </c>
      <c r="G61" s="29">
        <f t="array" ref="G61">IF(D61&lt;AMOSTRA_MIN,"n&lt;mín",100*AVERAGE(IF((Vendas!$AK$2:$AK$3001="Validado")*(Vendas!$B$2:$B$3001=$A61)*(Vendas!$C$2:$C$3001=$B61)*ISNUMBER(Vendas!$U$2:$U$3001),ABS(Vendas!$U$2:$U$3001-E61)))/E61)</f>
        <v/>
      </c>
      <c r="H61" s="26">
        <f>SUMPRODUCT((Vendas!$AK$2:$AK$3001="Validado")*(Vendas!$B$2:$B$3001=$A61)*(Vendas!$C$2:$C$3001=$B61)*ISNUMBER(Vendas!$V$2:$V$3001))</f>
        <v/>
      </c>
      <c r="I61" s="27">
        <f t="array" ref="I61">IF(H61&lt;AMOSTRA_MIN,"n&lt;mín",MEDIAN(IF((Vendas!$AK$2:$AK$3001="Validado")*(Vendas!$B$2:$B$3001=$A61)*(Vendas!$C$2:$C$3001=$B61)*ISNUMBER(Vendas!$V$2:$V$3001),Vendas!$V$2:$V$3001)))</f>
        <v/>
      </c>
      <c r="J61" s="28">
        <f>IF(H61=0,"-",SUMPRODUCT((Vendas!$AK$2:$AK$3001="Validado")*(Vendas!$B$2:$B$3001=$A61)*(Vendas!$C$2:$C$3001=$B61)*ISNUMBER(Vendas!$V$2:$V$3001)*(Vendas!$V$2:$V$3001&lt;=1))/H61)</f>
        <v/>
      </c>
      <c r="K61" s="26">
        <f>SUMPRODUCT((Vendas!$AK$2:$AK$3001="Validado")*(Vendas!$B$2:$B$3001=$A61)*(Vendas!$C$2:$C$3001=$B61)*(Vendas!$P$2:$P$3001="Financiado")*ISNUMBER(Vendas!$S$2:$S$3001))</f>
        <v/>
      </c>
      <c r="L61" s="26">
        <f>SUMPRODUCT((Vendas!$AK$2:$AK$3001="Validado")*(Vendas!$B$2:$B$3001=$A61)*(Vendas!$C$2:$C$3001=$B61)*(Vendas!$P$2:$P$3001="À vista")*ISNUMBER(Vendas!$S$2:$S$3001))</f>
        <v/>
      </c>
      <c r="M61" s="17">
        <f t="array" ref="M61">IF(K61&lt;AMOSTRA_MIN,"n&lt;mín",MEDIAN(IF((Vendas!$AK$2:$AK$3001="Validado")*(Vendas!$B$2:$B$3001=$A61)*(Vendas!$C$2:$C$3001=$B61)*(Vendas!$P$2:$P$3001="Financiado")*ISNUMBER(Vendas!$S$2:$S$3001),Vendas!$S$2:$S$3001)))</f>
        <v/>
      </c>
      <c r="N61" s="17">
        <f t="array" ref="N61">IF(L61&lt;AMOSTRA_MIN,"n&lt;mín",MEDIAN(IF((Vendas!$AK$2:$AK$3001="Validado")*(Vendas!$B$2:$B$3001=$A61)*(Vendas!$C$2:$C$3001=$B61)*(Vendas!$P$2:$P$3001="À vista")*ISNUMBER(Vendas!$S$2:$S$3001),Vendas!$S$2:$S$3001)))</f>
        <v/>
      </c>
      <c r="O61" s="28">
        <f>IF(OR(K61&lt;AMOSTRA_MIN,L61&lt;AMOSTRA_MIN),"n&lt;mín",N61/M61-1)</f>
        <v/>
      </c>
      <c r="P61" s="26">
        <f>SUMPRODUCT((Vendas!$AK$2:$AK$3001="Validado")*(Vendas!$B$2:$B$3001=$A61)*(Vendas!$C$2:$C$3001=$B61)*ISNUMBER(Vendas!$W$2:$W$3001))</f>
        <v/>
      </c>
      <c r="Q61" s="27">
        <f t="array" ref="Q61">IF(P61&lt;AMOSTRA_MIN,"n&lt;mín",MEDIAN(IF((Vendas!$AK$2:$AK$3001="Validado")*(Vendas!$B$2:$B$3001=$A61)*(Vendas!$C$2:$C$3001=$B61)*ISNUMBER(Vendas!$W$2:$W$3001),Vendas!$W$2:$W$3001)))</f>
        <v/>
      </c>
      <c r="R61" s="28">
        <f>IF(P61=0,"-",SUMPRODUCT((Vendas!$AK$2:$AK$3001="Validado")*(Vendas!$B$2:$B$3001=$A61)*(Vendas!$C$2:$C$3001=$B61)*ISNUMBER(Vendas!$W$2:$W$3001)*(Vendas!$W$2:$W$3001&lt;1))/P61)</f>
        <v/>
      </c>
      <c r="S61" s="26">
        <f>SUMPRODUCT((Vendas!$AK$2:$AK$3001="Validado")*(Vendas!$B$2:$B$3001=$A61)*(Vendas!$C$2:$C$3001=$B61)*ISNUMBER(Vendas!$X$2:$X$3001))</f>
        <v/>
      </c>
      <c r="T61" s="28">
        <f>IF(S61=0,"-",SUMPRODUCT((Vendas!$AK$2:$AK$3001="Validado")*(Vendas!$B$2:$B$3001=$A61)*(Vendas!$C$2:$C$3001=$B61)*ISNUMBER(Vendas!$X$2:$X$3001)*(Vendas!$X$2:$X$3001&gt;=1))/S61)</f>
        <v/>
      </c>
    </row>
    <row r="62">
      <c r="A62" s="15" t="inlineStr">
        <is>
          <t>São Sebastião</t>
        </is>
      </c>
      <c r="B62" s="15" t="inlineStr">
        <is>
          <t>Toque-Toque Pequeno</t>
        </is>
      </c>
      <c r="C62" s="26">
        <f>SUMPRODUCT((Vendas!$AK$2:$AK$3001="Validado")*(Vendas!$B$2:$B$3001=$A62)*(Vendas!$C$2:$C$3001=$B62))</f>
        <v/>
      </c>
      <c r="D62" s="26">
        <f>SUMPRODUCT((Vendas!$AK$2:$AK$3001="Validado")*(Vendas!$B$2:$B$3001=$A62)*(Vendas!$C$2:$C$3001=$B62)*ISNUMBER(Vendas!$U$2:$U$3001))</f>
        <v/>
      </c>
      <c r="E62" s="27">
        <f t="array" ref="E62">IF(D62&lt;AMOSTRA_MIN,"n&lt;mín",MEDIAN(IF((Vendas!$AK$2:$AK$3001="Validado")*(Vendas!$B$2:$B$3001=$A62)*(Vendas!$C$2:$C$3001=$B62)*ISNUMBER(Vendas!$U$2:$U$3001),Vendas!$U$2:$U$3001)))</f>
        <v/>
      </c>
      <c r="F62" s="28">
        <f>IF(D62=0,"-",SUMPRODUCT((Vendas!$AK$2:$AK$3001="Validado")*(Vendas!$B$2:$B$3001=$A62)*(Vendas!$C$2:$C$3001=$B62)*ISNUMBER(Vendas!$U$2:$U$3001)*(Vendas!$U$2:$U$3001&lt;1))/D62)</f>
        <v/>
      </c>
      <c r="G62" s="29">
        <f t="array" ref="G62">IF(D62&lt;AMOSTRA_MIN,"n&lt;mín",100*AVERAGE(IF((Vendas!$AK$2:$AK$3001="Validado")*(Vendas!$B$2:$B$3001=$A62)*(Vendas!$C$2:$C$3001=$B62)*ISNUMBER(Vendas!$U$2:$U$3001),ABS(Vendas!$U$2:$U$3001-E62)))/E62)</f>
        <v/>
      </c>
      <c r="H62" s="26">
        <f>SUMPRODUCT((Vendas!$AK$2:$AK$3001="Validado")*(Vendas!$B$2:$B$3001=$A62)*(Vendas!$C$2:$C$3001=$B62)*ISNUMBER(Vendas!$V$2:$V$3001))</f>
        <v/>
      </c>
      <c r="I62" s="27">
        <f t="array" ref="I62">IF(H62&lt;AMOSTRA_MIN,"n&lt;mín",MEDIAN(IF((Vendas!$AK$2:$AK$3001="Validado")*(Vendas!$B$2:$B$3001=$A62)*(Vendas!$C$2:$C$3001=$B62)*ISNUMBER(Vendas!$V$2:$V$3001),Vendas!$V$2:$V$3001)))</f>
        <v/>
      </c>
      <c r="J62" s="28">
        <f>IF(H62=0,"-",SUMPRODUCT((Vendas!$AK$2:$AK$3001="Validado")*(Vendas!$B$2:$B$3001=$A62)*(Vendas!$C$2:$C$3001=$B62)*ISNUMBER(Vendas!$V$2:$V$3001)*(Vendas!$V$2:$V$3001&lt;=1))/H62)</f>
        <v/>
      </c>
      <c r="K62" s="26">
        <f>SUMPRODUCT((Vendas!$AK$2:$AK$3001="Validado")*(Vendas!$B$2:$B$3001=$A62)*(Vendas!$C$2:$C$3001=$B62)*(Vendas!$P$2:$P$3001="Financiado")*ISNUMBER(Vendas!$S$2:$S$3001))</f>
        <v/>
      </c>
      <c r="L62" s="26">
        <f>SUMPRODUCT((Vendas!$AK$2:$AK$3001="Validado")*(Vendas!$B$2:$B$3001=$A62)*(Vendas!$C$2:$C$3001=$B62)*(Vendas!$P$2:$P$3001="À vista")*ISNUMBER(Vendas!$S$2:$S$3001))</f>
        <v/>
      </c>
      <c r="M62" s="17">
        <f t="array" ref="M62">IF(K62&lt;AMOSTRA_MIN,"n&lt;mín",MEDIAN(IF((Vendas!$AK$2:$AK$3001="Validado")*(Vendas!$B$2:$B$3001=$A62)*(Vendas!$C$2:$C$3001=$B62)*(Vendas!$P$2:$P$3001="Financiado")*ISNUMBER(Vendas!$S$2:$S$3001),Vendas!$S$2:$S$3001)))</f>
        <v/>
      </c>
      <c r="N62" s="17">
        <f t="array" ref="N62">IF(L62&lt;AMOSTRA_MIN,"n&lt;mín",MEDIAN(IF((Vendas!$AK$2:$AK$3001="Validado")*(Vendas!$B$2:$B$3001=$A62)*(Vendas!$C$2:$C$3001=$B62)*(Vendas!$P$2:$P$3001="À vista")*ISNUMBER(Vendas!$S$2:$S$3001),Vendas!$S$2:$S$3001)))</f>
        <v/>
      </c>
      <c r="O62" s="28">
        <f>IF(OR(K62&lt;AMOSTRA_MIN,L62&lt;AMOSTRA_MIN),"n&lt;mín",N62/M62-1)</f>
        <v/>
      </c>
      <c r="P62" s="26">
        <f>SUMPRODUCT((Vendas!$AK$2:$AK$3001="Validado")*(Vendas!$B$2:$B$3001=$A62)*(Vendas!$C$2:$C$3001=$B62)*ISNUMBER(Vendas!$W$2:$W$3001))</f>
        <v/>
      </c>
      <c r="Q62" s="27">
        <f t="array" ref="Q62">IF(P62&lt;AMOSTRA_MIN,"n&lt;mín",MEDIAN(IF((Vendas!$AK$2:$AK$3001="Validado")*(Vendas!$B$2:$B$3001=$A62)*(Vendas!$C$2:$C$3001=$B62)*ISNUMBER(Vendas!$W$2:$W$3001),Vendas!$W$2:$W$3001)))</f>
        <v/>
      </c>
      <c r="R62" s="28">
        <f>IF(P62=0,"-",SUMPRODUCT((Vendas!$AK$2:$AK$3001="Validado")*(Vendas!$B$2:$B$3001=$A62)*(Vendas!$C$2:$C$3001=$B62)*ISNUMBER(Vendas!$W$2:$W$3001)*(Vendas!$W$2:$W$3001&lt;1))/P62)</f>
        <v/>
      </c>
      <c r="S62" s="26">
        <f>SUMPRODUCT((Vendas!$AK$2:$AK$3001="Validado")*(Vendas!$B$2:$B$3001=$A62)*(Vendas!$C$2:$C$3001=$B62)*ISNUMBER(Vendas!$X$2:$X$3001))</f>
        <v/>
      </c>
      <c r="T62" s="28">
        <f>IF(S62=0,"-",SUMPRODUCT((Vendas!$AK$2:$AK$3001="Validado")*(Vendas!$B$2:$B$3001=$A62)*(Vendas!$C$2:$C$3001=$B62)*ISNUMBER(Vendas!$X$2:$X$3001)*(Vendas!$X$2:$X$3001&gt;=1))/S62)</f>
        <v/>
      </c>
    </row>
    <row r="63">
      <c r="A63" s="15" t="inlineStr">
        <is>
          <t>São Sebastião</t>
        </is>
      </c>
      <c r="B63" s="15" t="inlineStr">
        <is>
          <t>Santiago</t>
        </is>
      </c>
      <c r="C63" s="26">
        <f>SUMPRODUCT((Vendas!$AK$2:$AK$3001="Validado")*(Vendas!$B$2:$B$3001=$A63)*(Vendas!$C$2:$C$3001=$B63))</f>
        <v/>
      </c>
      <c r="D63" s="26">
        <f>SUMPRODUCT((Vendas!$AK$2:$AK$3001="Validado")*(Vendas!$B$2:$B$3001=$A63)*(Vendas!$C$2:$C$3001=$B63)*ISNUMBER(Vendas!$U$2:$U$3001))</f>
        <v/>
      </c>
      <c r="E63" s="27">
        <f t="array" ref="E63">IF(D63&lt;AMOSTRA_MIN,"n&lt;mín",MEDIAN(IF((Vendas!$AK$2:$AK$3001="Validado")*(Vendas!$B$2:$B$3001=$A63)*(Vendas!$C$2:$C$3001=$B63)*ISNUMBER(Vendas!$U$2:$U$3001),Vendas!$U$2:$U$3001)))</f>
        <v/>
      </c>
      <c r="F63" s="28">
        <f>IF(D63=0,"-",SUMPRODUCT((Vendas!$AK$2:$AK$3001="Validado")*(Vendas!$B$2:$B$3001=$A63)*(Vendas!$C$2:$C$3001=$B63)*ISNUMBER(Vendas!$U$2:$U$3001)*(Vendas!$U$2:$U$3001&lt;1))/D63)</f>
        <v/>
      </c>
      <c r="G63" s="29">
        <f t="array" ref="G63">IF(D63&lt;AMOSTRA_MIN,"n&lt;mín",100*AVERAGE(IF((Vendas!$AK$2:$AK$3001="Validado")*(Vendas!$B$2:$B$3001=$A63)*(Vendas!$C$2:$C$3001=$B63)*ISNUMBER(Vendas!$U$2:$U$3001),ABS(Vendas!$U$2:$U$3001-E63)))/E63)</f>
        <v/>
      </c>
      <c r="H63" s="26">
        <f>SUMPRODUCT((Vendas!$AK$2:$AK$3001="Validado")*(Vendas!$B$2:$B$3001=$A63)*(Vendas!$C$2:$C$3001=$B63)*ISNUMBER(Vendas!$V$2:$V$3001))</f>
        <v/>
      </c>
      <c r="I63" s="27">
        <f t="array" ref="I63">IF(H63&lt;AMOSTRA_MIN,"n&lt;mín",MEDIAN(IF((Vendas!$AK$2:$AK$3001="Validado")*(Vendas!$B$2:$B$3001=$A63)*(Vendas!$C$2:$C$3001=$B63)*ISNUMBER(Vendas!$V$2:$V$3001),Vendas!$V$2:$V$3001)))</f>
        <v/>
      </c>
      <c r="J63" s="28">
        <f>IF(H63=0,"-",SUMPRODUCT((Vendas!$AK$2:$AK$3001="Validado")*(Vendas!$B$2:$B$3001=$A63)*(Vendas!$C$2:$C$3001=$B63)*ISNUMBER(Vendas!$V$2:$V$3001)*(Vendas!$V$2:$V$3001&lt;=1))/H63)</f>
        <v/>
      </c>
      <c r="K63" s="26">
        <f>SUMPRODUCT((Vendas!$AK$2:$AK$3001="Validado")*(Vendas!$B$2:$B$3001=$A63)*(Vendas!$C$2:$C$3001=$B63)*(Vendas!$P$2:$P$3001="Financiado")*ISNUMBER(Vendas!$S$2:$S$3001))</f>
        <v/>
      </c>
      <c r="L63" s="26">
        <f>SUMPRODUCT((Vendas!$AK$2:$AK$3001="Validado")*(Vendas!$B$2:$B$3001=$A63)*(Vendas!$C$2:$C$3001=$B63)*(Vendas!$P$2:$P$3001="À vista")*ISNUMBER(Vendas!$S$2:$S$3001))</f>
        <v/>
      </c>
      <c r="M63" s="17">
        <f t="array" ref="M63">IF(K63&lt;AMOSTRA_MIN,"n&lt;mín",MEDIAN(IF((Vendas!$AK$2:$AK$3001="Validado")*(Vendas!$B$2:$B$3001=$A63)*(Vendas!$C$2:$C$3001=$B63)*(Vendas!$P$2:$P$3001="Financiado")*ISNUMBER(Vendas!$S$2:$S$3001),Vendas!$S$2:$S$3001)))</f>
        <v/>
      </c>
      <c r="N63" s="17">
        <f t="array" ref="N63">IF(L63&lt;AMOSTRA_MIN,"n&lt;mín",MEDIAN(IF((Vendas!$AK$2:$AK$3001="Validado")*(Vendas!$B$2:$B$3001=$A63)*(Vendas!$C$2:$C$3001=$B63)*(Vendas!$P$2:$P$3001="À vista")*ISNUMBER(Vendas!$S$2:$S$3001),Vendas!$S$2:$S$3001)))</f>
        <v/>
      </c>
      <c r="O63" s="28">
        <f>IF(OR(K63&lt;AMOSTRA_MIN,L63&lt;AMOSTRA_MIN),"n&lt;mín",N63/M63-1)</f>
        <v/>
      </c>
      <c r="P63" s="26">
        <f>SUMPRODUCT((Vendas!$AK$2:$AK$3001="Validado")*(Vendas!$B$2:$B$3001=$A63)*(Vendas!$C$2:$C$3001=$B63)*ISNUMBER(Vendas!$W$2:$W$3001))</f>
        <v/>
      </c>
      <c r="Q63" s="27">
        <f t="array" ref="Q63">IF(P63&lt;AMOSTRA_MIN,"n&lt;mín",MEDIAN(IF((Vendas!$AK$2:$AK$3001="Validado")*(Vendas!$B$2:$B$3001=$A63)*(Vendas!$C$2:$C$3001=$B63)*ISNUMBER(Vendas!$W$2:$W$3001),Vendas!$W$2:$W$3001)))</f>
        <v/>
      </c>
      <c r="R63" s="28">
        <f>IF(P63=0,"-",SUMPRODUCT((Vendas!$AK$2:$AK$3001="Validado")*(Vendas!$B$2:$B$3001=$A63)*(Vendas!$C$2:$C$3001=$B63)*ISNUMBER(Vendas!$W$2:$W$3001)*(Vendas!$W$2:$W$3001&lt;1))/P63)</f>
        <v/>
      </c>
      <c r="S63" s="26">
        <f>SUMPRODUCT((Vendas!$AK$2:$AK$3001="Validado")*(Vendas!$B$2:$B$3001=$A63)*(Vendas!$C$2:$C$3001=$B63)*ISNUMBER(Vendas!$X$2:$X$3001))</f>
        <v/>
      </c>
      <c r="T63" s="28">
        <f>IF(S63=0,"-",SUMPRODUCT((Vendas!$AK$2:$AK$3001="Validado")*(Vendas!$B$2:$B$3001=$A63)*(Vendas!$C$2:$C$3001=$B63)*ISNUMBER(Vendas!$X$2:$X$3001)*(Vendas!$X$2:$X$3001&gt;=1))/S63)</f>
        <v/>
      </c>
    </row>
    <row r="64">
      <c r="A64" s="15" t="inlineStr">
        <is>
          <t>São Sebastião</t>
        </is>
      </c>
      <c r="B64" s="15" t="inlineStr">
        <is>
          <t>Paúba</t>
        </is>
      </c>
      <c r="C64" s="26">
        <f>SUMPRODUCT((Vendas!$AK$2:$AK$3001="Validado")*(Vendas!$B$2:$B$3001=$A64)*(Vendas!$C$2:$C$3001=$B64))</f>
        <v/>
      </c>
      <c r="D64" s="26">
        <f>SUMPRODUCT((Vendas!$AK$2:$AK$3001="Validado")*(Vendas!$B$2:$B$3001=$A64)*(Vendas!$C$2:$C$3001=$B64)*ISNUMBER(Vendas!$U$2:$U$3001))</f>
        <v/>
      </c>
      <c r="E64" s="27">
        <f t="array" ref="E64">IF(D64&lt;AMOSTRA_MIN,"n&lt;mín",MEDIAN(IF((Vendas!$AK$2:$AK$3001="Validado")*(Vendas!$B$2:$B$3001=$A64)*(Vendas!$C$2:$C$3001=$B64)*ISNUMBER(Vendas!$U$2:$U$3001),Vendas!$U$2:$U$3001)))</f>
        <v/>
      </c>
      <c r="F64" s="28">
        <f>IF(D64=0,"-",SUMPRODUCT((Vendas!$AK$2:$AK$3001="Validado")*(Vendas!$B$2:$B$3001=$A64)*(Vendas!$C$2:$C$3001=$B64)*ISNUMBER(Vendas!$U$2:$U$3001)*(Vendas!$U$2:$U$3001&lt;1))/D64)</f>
        <v/>
      </c>
      <c r="G64" s="29">
        <f t="array" ref="G64">IF(D64&lt;AMOSTRA_MIN,"n&lt;mín",100*AVERAGE(IF((Vendas!$AK$2:$AK$3001="Validado")*(Vendas!$B$2:$B$3001=$A64)*(Vendas!$C$2:$C$3001=$B64)*ISNUMBER(Vendas!$U$2:$U$3001),ABS(Vendas!$U$2:$U$3001-E64)))/E64)</f>
        <v/>
      </c>
      <c r="H64" s="26">
        <f>SUMPRODUCT((Vendas!$AK$2:$AK$3001="Validado")*(Vendas!$B$2:$B$3001=$A64)*(Vendas!$C$2:$C$3001=$B64)*ISNUMBER(Vendas!$V$2:$V$3001))</f>
        <v/>
      </c>
      <c r="I64" s="27">
        <f t="array" ref="I64">IF(H64&lt;AMOSTRA_MIN,"n&lt;mín",MEDIAN(IF((Vendas!$AK$2:$AK$3001="Validado")*(Vendas!$B$2:$B$3001=$A64)*(Vendas!$C$2:$C$3001=$B64)*ISNUMBER(Vendas!$V$2:$V$3001),Vendas!$V$2:$V$3001)))</f>
        <v/>
      </c>
      <c r="J64" s="28">
        <f>IF(H64=0,"-",SUMPRODUCT((Vendas!$AK$2:$AK$3001="Validado")*(Vendas!$B$2:$B$3001=$A64)*(Vendas!$C$2:$C$3001=$B64)*ISNUMBER(Vendas!$V$2:$V$3001)*(Vendas!$V$2:$V$3001&lt;=1))/H64)</f>
        <v/>
      </c>
      <c r="K64" s="26">
        <f>SUMPRODUCT((Vendas!$AK$2:$AK$3001="Validado")*(Vendas!$B$2:$B$3001=$A64)*(Vendas!$C$2:$C$3001=$B64)*(Vendas!$P$2:$P$3001="Financiado")*ISNUMBER(Vendas!$S$2:$S$3001))</f>
        <v/>
      </c>
      <c r="L64" s="26">
        <f>SUMPRODUCT((Vendas!$AK$2:$AK$3001="Validado")*(Vendas!$B$2:$B$3001=$A64)*(Vendas!$C$2:$C$3001=$B64)*(Vendas!$P$2:$P$3001="À vista")*ISNUMBER(Vendas!$S$2:$S$3001))</f>
        <v/>
      </c>
      <c r="M64" s="17">
        <f t="array" ref="M64">IF(K64&lt;AMOSTRA_MIN,"n&lt;mín",MEDIAN(IF((Vendas!$AK$2:$AK$3001="Validado")*(Vendas!$B$2:$B$3001=$A64)*(Vendas!$C$2:$C$3001=$B64)*(Vendas!$P$2:$P$3001="Financiado")*ISNUMBER(Vendas!$S$2:$S$3001),Vendas!$S$2:$S$3001)))</f>
        <v/>
      </c>
      <c r="N64" s="17">
        <f t="array" ref="N64">IF(L64&lt;AMOSTRA_MIN,"n&lt;mín",MEDIAN(IF((Vendas!$AK$2:$AK$3001="Validado")*(Vendas!$B$2:$B$3001=$A64)*(Vendas!$C$2:$C$3001=$B64)*(Vendas!$P$2:$P$3001="À vista")*ISNUMBER(Vendas!$S$2:$S$3001),Vendas!$S$2:$S$3001)))</f>
        <v/>
      </c>
      <c r="O64" s="28">
        <f>IF(OR(K64&lt;AMOSTRA_MIN,L64&lt;AMOSTRA_MIN),"n&lt;mín",N64/M64-1)</f>
        <v/>
      </c>
      <c r="P64" s="26">
        <f>SUMPRODUCT((Vendas!$AK$2:$AK$3001="Validado")*(Vendas!$B$2:$B$3001=$A64)*(Vendas!$C$2:$C$3001=$B64)*ISNUMBER(Vendas!$W$2:$W$3001))</f>
        <v/>
      </c>
      <c r="Q64" s="27">
        <f t="array" ref="Q64">IF(P64&lt;AMOSTRA_MIN,"n&lt;mín",MEDIAN(IF((Vendas!$AK$2:$AK$3001="Validado")*(Vendas!$B$2:$B$3001=$A64)*(Vendas!$C$2:$C$3001=$B64)*ISNUMBER(Vendas!$W$2:$W$3001),Vendas!$W$2:$W$3001)))</f>
        <v/>
      </c>
      <c r="R64" s="28">
        <f>IF(P64=0,"-",SUMPRODUCT((Vendas!$AK$2:$AK$3001="Validado")*(Vendas!$B$2:$B$3001=$A64)*(Vendas!$C$2:$C$3001=$B64)*ISNUMBER(Vendas!$W$2:$W$3001)*(Vendas!$W$2:$W$3001&lt;1))/P64)</f>
        <v/>
      </c>
      <c r="S64" s="26">
        <f>SUMPRODUCT((Vendas!$AK$2:$AK$3001="Validado")*(Vendas!$B$2:$B$3001=$A64)*(Vendas!$C$2:$C$3001=$B64)*ISNUMBER(Vendas!$X$2:$X$3001))</f>
        <v/>
      </c>
      <c r="T64" s="28">
        <f>IF(S64=0,"-",SUMPRODUCT((Vendas!$AK$2:$AK$3001="Validado")*(Vendas!$B$2:$B$3001=$A64)*(Vendas!$C$2:$C$3001=$B64)*ISNUMBER(Vendas!$X$2:$X$3001)*(Vendas!$X$2:$X$3001&gt;=1))/S64)</f>
        <v/>
      </c>
    </row>
    <row r="65">
      <c r="A65" s="15" t="inlineStr">
        <is>
          <t>São Sebastião</t>
        </is>
      </c>
      <c r="B65" s="15" t="inlineStr">
        <is>
          <t>Maresias</t>
        </is>
      </c>
      <c r="C65" s="26">
        <f>SUMPRODUCT((Vendas!$AK$2:$AK$3001="Validado")*(Vendas!$B$2:$B$3001=$A65)*(Vendas!$C$2:$C$3001=$B65))</f>
        <v/>
      </c>
      <c r="D65" s="26">
        <f>SUMPRODUCT((Vendas!$AK$2:$AK$3001="Validado")*(Vendas!$B$2:$B$3001=$A65)*(Vendas!$C$2:$C$3001=$B65)*ISNUMBER(Vendas!$U$2:$U$3001))</f>
        <v/>
      </c>
      <c r="E65" s="27">
        <f t="array" ref="E65">IF(D65&lt;AMOSTRA_MIN,"n&lt;mín",MEDIAN(IF((Vendas!$AK$2:$AK$3001="Validado")*(Vendas!$B$2:$B$3001=$A65)*(Vendas!$C$2:$C$3001=$B65)*ISNUMBER(Vendas!$U$2:$U$3001),Vendas!$U$2:$U$3001)))</f>
        <v/>
      </c>
      <c r="F65" s="28">
        <f>IF(D65=0,"-",SUMPRODUCT((Vendas!$AK$2:$AK$3001="Validado")*(Vendas!$B$2:$B$3001=$A65)*(Vendas!$C$2:$C$3001=$B65)*ISNUMBER(Vendas!$U$2:$U$3001)*(Vendas!$U$2:$U$3001&lt;1))/D65)</f>
        <v/>
      </c>
      <c r="G65" s="29">
        <f t="array" ref="G65">IF(D65&lt;AMOSTRA_MIN,"n&lt;mín",100*AVERAGE(IF((Vendas!$AK$2:$AK$3001="Validado")*(Vendas!$B$2:$B$3001=$A65)*(Vendas!$C$2:$C$3001=$B65)*ISNUMBER(Vendas!$U$2:$U$3001),ABS(Vendas!$U$2:$U$3001-E65)))/E65)</f>
        <v/>
      </c>
      <c r="H65" s="26">
        <f>SUMPRODUCT((Vendas!$AK$2:$AK$3001="Validado")*(Vendas!$B$2:$B$3001=$A65)*(Vendas!$C$2:$C$3001=$B65)*ISNUMBER(Vendas!$V$2:$V$3001))</f>
        <v/>
      </c>
      <c r="I65" s="27">
        <f t="array" ref="I65">IF(H65&lt;AMOSTRA_MIN,"n&lt;mín",MEDIAN(IF((Vendas!$AK$2:$AK$3001="Validado")*(Vendas!$B$2:$B$3001=$A65)*(Vendas!$C$2:$C$3001=$B65)*ISNUMBER(Vendas!$V$2:$V$3001),Vendas!$V$2:$V$3001)))</f>
        <v/>
      </c>
      <c r="J65" s="28">
        <f>IF(H65=0,"-",SUMPRODUCT((Vendas!$AK$2:$AK$3001="Validado")*(Vendas!$B$2:$B$3001=$A65)*(Vendas!$C$2:$C$3001=$B65)*ISNUMBER(Vendas!$V$2:$V$3001)*(Vendas!$V$2:$V$3001&lt;=1))/H65)</f>
        <v/>
      </c>
      <c r="K65" s="26">
        <f>SUMPRODUCT((Vendas!$AK$2:$AK$3001="Validado")*(Vendas!$B$2:$B$3001=$A65)*(Vendas!$C$2:$C$3001=$B65)*(Vendas!$P$2:$P$3001="Financiado")*ISNUMBER(Vendas!$S$2:$S$3001))</f>
        <v/>
      </c>
      <c r="L65" s="26">
        <f>SUMPRODUCT((Vendas!$AK$2:$AK$3001="Validado")*(Vendas!$B$2:$B$3001=$A65)*(Vendas!$C$2:$C$3001=$B65)*(Vendas!$P$2:$P$3001="À vista")*ISNUMBER(Vendas!$S$2:$S$3001))</f>
        <v/>
      </c>
      <c r="M65" s="17">
        <f t="array" ref="M65">IF(K65&lt;AMOSTRA_MIN,"n&lt;mín",MEDIAN(IF((Vendas!$AK$2:$AK$3001="Validado")*(Vendas!$B$2:$B$3001=$A65)*(Vendas!$C$2:$C$3001=$B65)*(Vendas!$P$2:$P$3001="Financiado")*ISNUMBER(Vendas!$S$2:$S$3001),Vendas!$S$2:$S$3001)))</f>
        <v/>
      </c>
      <c r="N65" s="17">
        <f t="array" ref="N65">IF(L65&lt;AMOSTRA_MIN,"n&lt;mín",MEDIAN(IF((Vendas!$AK$2:$AK$3001="Validado")*(Vendas!$B$2:$B$3001=$A65)*(Vendas!$C$2:$C$3001=$B65)*(Vendas!$P$2:$P$3001="À vista")*ISNUMBER(Vendas!$S$2:$S$3001),Vendas!$S$2:$S$3001)))</f>
        <v/>
      </c>
      <c r="O65" s="28">
        <f>IF(OR(K65&lt;AMOSTRA_MIN,L65&lt;AMOSTRA_MIN),"n&lt;mín",N65/M65-1)</f>
        <v/>
      </c>
      <c r="P65" s="26">
        <f>SUMPRODUCT((Vendas!$AK$2:$AK$3001="Validado")*(Vendas!$B$2:$B$3001=$A65)*(Vendas!$C$2:$C$3001=$B65)*ISNUMBER(Vendas!$W$2:$W$3001))</f>
        <v/>
      </c>
      <c r="Q65" s="27">
        <f t="array" ref="Q65">IF(P65&lt;AMOSTRA_MIN,"n&lt;mín",MEDIAN(IF((Vendas!$AK$2:$AK$3001="Validado")*(Vendas!$B$2:$B$3001=$A65)*(Vendas!$C$2:$C$3001=$B65)*ISNUMBER(Vendas!$W$2:$W$3001),Vendas!$W$2:$W$3001)))</f>
        <v/>
      </c>
      <c r="R65" s="28">
        <f>IF(P65=0,"-",SUMPRODUCT((Vendas!$AK$2:$AK$3001="Validado")*(Vendas!$B$2:$B$3001=$A65)*(Vendas!$C$2:$C$3001=$B65)*ISNUMBER(Vendas!$W$2:$W$3001)*(Vendas!$W$2:$W$3001&lt;1))/P65)</f>
        <v/>
      </c>
      <c r="S65" s="26">
        <f>SUMPRODUCT((Vendas!$AK$2:$AK$3001="Validado")*(Vendas!$B$2:$B$3001=$A65)*(Vendas!$C$2:$C$3001=$B65)*ISNUMBER(Vendas!$X$2:$X$3001))</f>
        <v/>
      </c>
      <c r="T65" s="28">
        <f>IF(S65=0,"-",SUMPRODUCT((Vendas!$AK$2:$AK$3001="Validado")*(Vendas!$B$2:$B$3001=$A65)*(Vendas!$C$2:$C$3001=$B65)*ISNUMBER(Vendas!$X$2:$X$3001)*(Vendas!$X$2:$X$3001&gt;=1))/S65)</f>
        <v/>
      </c>
    </row>
    <row r="66">
      <c r="A66" s="15" t="inlineStr">
        <is>
          <t>São Sebastião</t>
        </is>
      </c>
      <c r="B66" s="15" t="inlineStr">
        <is>
          <t>Boiçucanga</t>
        </is>
      </c>
      <c r="C66" s="26">
        <f>SUMPRODUCT((Vendas!$AK$2:$AK$3001="Validado")*(Vendas!$B$2:$B$3001=$A66)*(Vendas!$C$2:$C$3001=$B66))</f>
        <v/>
      </c>
      <c r="D66" s="26">
        <f>SUMPRODUCT((Vendas!$AK$2:$AK$3001="Validado")*(Vendas!$B$2:$B$3001=$A66)*(Vendas!$C$2:$C$3001=$B66)*ISNUMBER(Vendas!$U$2:$U$3001))</f>
        <v/>
      </c>
      <c r="E66" s="27">
        <f t="array" ref="E66">IF(D66&lt;AMOSTRA_MIN,"n&lt;mín",MEDIAN(IF((Vendas!$AK$2:$AK$3001="Validado")*(Vendas!$B$2:$B$3001=$A66)*(Vendas!$C$2:$C$3001=$B66)*ISNUMBER(Vendas!$U$2:$U$3001),Vendas!$U$2:$U$3001)))</f>
        <v/>
      </c>
      <c r="F66" s="28">
        <f>IF(D66=0,"-",SUMPRODUCT((Vendas!$AK$2:$AK$3001="Validado")*(Vendas!$B$2:$B$3001=$A66)*(Vendas!$C$2:$C$3001=$B66)*ISNUMBER(Vendas!$U$2:$U$3001)*(Vendas!$U$2:$U$3001&lt;1))/D66)</f>
        <v/>
      </c>
      <c r="G66" s="29">
        <f t="array" ref="G66">IF(D66&lt;AMOSTRA_MIN,"n&lt;mín",100*AVERAGE(IF((Vendas!$AK$2:$AK$3001="Validado")*(Vendas!$B$2:$B$3001=$A66)*(Vendas!$C$2:$C$3001=$B66)*ISNUMBER(Vendas!$U$2:$U$3001),ABS(Vendas!$U$2:$U$3001-E66)))/E66)</f>
        <v/>
      </c>
      <c r="H66" s="26">
        <f>SUMPRODUCT((Vendas!$AK$2:$AK$3001="Validado")*(Vendas!$B$2:$B$3001=$A66)*(Vendas!$C$2:$C$3001=$B66)*ISNUMBER(Vendas!$V$2:$V$3001))</f>
        <v/>
      </c>
      <c r="I66" s="27">
        <f t="array" ref="I66">IF(H66&lt;AMOSTRA_MIN,"n&lt;mín",MEDIAN(IF((Vendas!$AK$2:$AK$3001="Validado")*(Vendas!$B$2:$B$3001=$A66)*(Vendas!$C$2:$C$3001=$B66)*ISNUMBER(Vendas!$V$2:$V$3001),Vendas!$V$2:$V$3001)))</f>
        <v/>
      </c>
      <c r="J66" s="28">
        <f>IF(H66=0,"-",SUMPRODUCT((Vendas!$AK$2:$AK$3001="Validado")*(Vendas!$B$2:$B$3001=$A66)*(Vendas!$C$2:$C$3001=$B66)*ISNUMBER(Vendas!$V$2:$V$3001)*(Vendas!$V$2:$V$3001&lt;=1))/H66)</f>
        <v/>
      </c>
      <c r="K66" s="26">
        <f>SUMPRODUCT((Vendas!$AK$2:$AK$3001="Validado")*(Vendas!$B$2:$B$3001=$A66)*(Vendas!$C$2:$C$3001=$B66)*(Vendas!$P$2:$P$3001="Financiado")*ISNUMBER(Vendas!$S$2:$S$3001))</f>
        <v/>
      </c>
      <c r="L66" s="26">
        <f>SUMPRODUCT((Vendas!$AK$2:$AK$3001="Validado")*(Vendas!$B$2:$B$3001=$A66)*(Vendas!$C$2:$C$3001=$B66)*(Vendas!$P$2:$P$3001="À vista")*ISNUMBER(Vendas!$S$2:$S$3001))</f>
        <v/>
      </c>
      <c r="M66" s="17">
        <f t="array" ref="M66">IF(K66&lt;AMOSTRA_MIN,"n&lt;mín",MEDIAN(IF((Vendas!$AK$2:$AK$3001="Validado")*(Vendas!$B$2:$B$3001=$A66)*(Vendas!$C$2:$C$3001=$B66)*(Vendas!$P$2:$P$3001="Financiado")*ISNUMBER(Vendas!$S$2:$S$3001),Vendas!$S$2:$S$3001)))</f>
        <v/>
      </c>
      <c r="N66" s="17">
        <f t="array" ref="N66">IF(L66&lt;AMOSTRA_MIN,"n&lt;mín",MEDIAN(IF((Vendas!$AK$2:$AK$3001="Validado")*(Vendas!$B$2:$B$3001=$A66)*(Vendas!$C$2:$C$3001=$B66)*(Vendas!$P$2:$P$3001="À vista")*ISNUMBER(Vendas!$S$2:$S$3001),Vendas!$S$2:$S$3001)))</f>
        <v/>
      </c>
      <c r="O66" s="28">
        <f>IF(OR(K66&lt;AMOSTRA_MIN,L66&lt;AMOSTRA_MIN),"n&lt;mín",N66/M66-1)</f>
        <v/>
      </c>
      <c r="P66" s="26">
        <f>SUMPRODUCT((Vendas!$AK$2:$AK$3001="Validado")*(Vendas!$B$2:$B$3001=$A66)*(Vendas!$C$2:$C$3001=$B66)*ISNUMBER(Vendas!$W$2:$W$3001))</f>
        <v/>
      </c>
      <c r="Q66" s="27">
        <f t="array" ref="Q66">IF(P66&lt;AMOSTRA_MIN,"n&lt;mín",MEDIAN(IF((Vendas!$AK$2:$AK$3001="Validado")*(Vendas!$B$2:$B$3001=$A66)*(Vendas!$C$2:$C$3001=$B66)*ISNUMBER(Vendas!$W$2:$W$3001),Vendas!$W$2:$W$3001)))</f>
        <v/>
      </c>
      <c r="R66" s="28">
        <f>IF(P66=0,"-",SUMPRODUCT((Vendas!$AK$2:$AK$3001="Validado")*(Vendas!$B$2:$B$3001=$A66)*(Vendas!$C$2:$C$3001=$B66)*ISNUMBER(Vendas!$W$2:$W$3001)*(Vendas!$W$2:$W$3001&lt;1))/P66)</f>
        <v/>
      </c>
      <c r="S66" s="26">
        <f>SUMPRODUCT((Vendas!$AK$2:$AK$3001="Validado")*(Vendas!$B$2:$B$3001=$A66)*(Vendas!$C$2:$C$3001=$B66)*ISNUMBER(Vendas!$X$2:$X$3001))</f>
        <v/>
      </c>
      <c r="T66" s="28">
        <f>IF(S66=0,"-",SUMPRODUCT((Vendas!$AK$2:$AK$3001="Validado")*(Vendas!$B$2:$B$3001=$A66)*(Vendas!$C$2:$C$3001=$B66)*ISNUMBER(Vendas!$X$2:$X$3001)*(Vendas!$X$2:$X$3001&gt;=1))/S66)</f>
        <v/>
      </c>
    </row>
    <row r="67">
      <c r="A67" s="15" t="inlineStr">
        <is>
          <t>São Sebastião</t>
        </is>
      </c>
      <c r="B67" s="15" t="inlineStr">
        <is>
          <t>Camburi</t>
        </is>
      </c>
      <c r="C67" s="26">
        <f>SUMPRODUCT((Vendas!$AK$2:$AK$3001="Validado")*(Vendas!$B$2:$B$3001=$A67)*(Vendas!$C$2:$C$3001=$B67))</f>
        <v/>
      </c>
      <c r="D67" s="26">
        <f>SUMPRODUCT((Vendas!$AK$2:$AK$3001="Validado")*(Vendas!$B$2:$B$3001=$A67)*(Vendas!$C$2:$C$3001=$B67)*ISNUMBER(Vendas!$U$2:$U$3001))</f>
        <v/>
      </c>
      <c r="E67" s="27">
        <f t="array" ref="E67">IF(D67&lt;AMOSTRA_MIN,"n&lt;mín",MEDIAN(IF((Vendas!$AK$2:$AK$3001="Validado")*(Vendas!$B$2:$B$3001=$A67)*(Vendas!$C$2:$C$3001=$B67)*ISNUMBER(Vendas!$U$2:$U$3001),Vendas!$U$2:$U$3001)))</f>
        <v/>
      </c>
      <c r="F67" s="28">
        <f>IF(D67=0,"-",SUMPRODUCT((Vendas!$AK$2:$AK$3001="Validado")*(Vendas!$B$2:$B$3001=$A67)*(Vendas!$C$2:$C$3001=$B67)*ISNUMBER(Vendas!$U$2:$U$3001)*(Vendas!$U$2:$U$3001&lt;1))/D67)</f>
        <v/>
      </c>
      <c r="G67" s="29">
        <f t="array" ref="G67">IF(D67&lt;AMOSTRA_MIN,"n&lt;mín",100*AVERAGE(IF((Vendas!$AK$2:$AK$3001="Validado")*(Vendas!$B$2:$B$3001=$A67)*(Vendas!$C$2:$C$3001=$B67)*ISNUMBER(Vendas!$U$2:$U$3001),ABS(Vendas!$U$2:$U$3001-E67)))/E67)</f>
        <v/>
      </c>
      <c r="H67" s="26">
        <f>SUMPRODUCT((Vendas!$AK$2:$AK$3001="Validado")*(Vendas!$B$2:$B$3001=$A67)*(Vendas!$C$2:$C$3001=$B67)*ISNUMBER(Vendas!$V$2:$V$3001))</f>
        <v/>
      </c>
      <c r="I67" s="27">
        <f t="array" ref="I67">IF(H67&lt;AMOSTRA_MIN,"n&lt;mín",MEDIAN(IF((Vendas!$AK$2:$AK$3001="Validado")*(Vendas!$B$2:$B$3001=$A67)*(Vendas!$C$2:$C$3001=$B67)*ISNUMBER(Vendas!$V$2:$V$3001),Vendas!$V$2:$V$3001)))</f>
        <v/>
      </c>
      <c r="J67" s="28">
        <f>IF(H67=0,"-",SUMPRODUCT((Vendas!$AK$2:$AK$3001="Validado")*(Vendas!$B$2:$B$3001=$A67)*(Vendas!$C$2:$C$3001=$B67)*ISNUMBER(Vendas!$V$2:$V$3001)*(Vendas!$V$2:$V$3001&lt;=1))/H67)</f>
        <v/>
      </c>
      <c r="K67" s="26">
        <f>SUMPRODUCT((Vendas!$AK$2:$AK$3001="Validado")*(Vendas!$B$2:$B$3001=$A67)*(Vendas!$C$2:$C$3001=$B67)*(Vendas!$P$2:$P$3001="Financiado")*ISNUMBER(Vendas!$S$2:$S$3001))</f>
        <v/>
      </c>
      <c r="L67" s="26">
        <f>SUMPRODUCT((Vendas!$AK$2:$AK$3001="Validado")*(Vendas!$B$2:$B$3001=$A67)*(Vendas!$C$2:$C$3001=$B67)*(Vendas!$P$2:$P$3001="À vista")*ISNUMBER(Vendas!$S$2:$S$3001))</f>
        <v/>
      </c>
      <c r="M67" s="17">
        <f t="array" ref="M67">IF(K67&lt;AMOSTRA_MIN,"n&lt;mín",MEDIAN(IF((Vendas!$AK$2:$AK$3001="Validado")*(Vendas!$B$2:$B$3001=$A67)*(Vendas!$C$2:$C$3001=$B67)*(Vendas!$P$2:$P$3001="Financiado")*ISNUMBER(Vendas!$S$2:$S$3001),Vendas!$S$2:$S$3001)))</f>
        <v/>
      </c>
      <c r="N67" s="17">
        <f t="array" ref="N67">IF(L67&lt;AMOSTRA_MIN,"n&lt;mín",MEDIAN(IF((Vendas!$AK$2:$AK$3001="Validado")*(Vendas!$B$2:$B$3001=$A67)*(Vendas!$C$2:$C$3001=$B67)*(Vendas!$P$2:$P$3001="À vista")*ISNUMBER(Vendas!$S$2:$S$3001),Vendas!$S$2:$S$3001)))</f>
        <v/>
      </c>
      <c r="O67" s="28">
        <f>IF(OR(K67&lt;AMOSTRA_MIN,L67&lt;AMOSTRA_MIN),"n&lt;mín",N67/M67-1)</f>
        <v/>
      </c>
      <c r="P67" s="26">
        <f>SUMPRODUCT((Vendas!$AK$2:$AK$3001="Validado")*(Vendas!$B$2:$B$3001=$A67)*(Vendas!$C$2:$C$3001=$B67)*ISNUMBER(Vendas!$W$2:$W$3001))</f>
        <v/>
      </c>
      <c r="Q67" s="27">
        <f t="array" ref="Q67">IF(P67&lt;AMOSTRA_MIN,"n&lt;mín",MEDIAN(IF((Vendas!$AK$2:$AK$3001="Validado")*(Vendas!$B$2:$B$3001=$A67)*(Vendas!$C$2:$C$3001=$B67)*ISNUMBER(Vendas!$W$2:$W$3001),Vendas!$W$2:$W$3001)))</f>
        <v/>
      </c>
      <c r="R67" s="28">
        <f>IF(P67=0,"-",SUMPRODUCT((Vendas!$AK$2:$AK$3001="Validado")*(Vendas!$B$2:$B$3001=$A67)*(Vendas!$C$2:$C$3001=$B67)*ISNUMBER(Vendas!$W$2:$W$3001)*(Vendas!$W$2:$W$3001&lt;1))/P67)</f>
        <v/>
      </c>
      <c r="S67" s="26">
        <f>SUMPRODUCT((Vendas!$AK$2:$AK$3001="Validado")*(Vendas!$B$2:$B$3001=$A67)*(Vendas!$C$2:$C$3001=$B67)*ISNUMBER(Vendas!$X$2:$X$3001))</f>
        <v/>
      </c>
      <c r="T67" s="28">
        <f>IF(S67=0,"-",SUMPRODUCT((Vendas!$AK$2:$AK$3001="Validado")*(Vendas!$B$2:$B$3001=$A67)*(Vendas!$C$2:$C$3001=$B67)*ISNUMBER(Vendas!$X$2:$X$3001)*(Vendas!$X$2:$X$3001&gt;=1))/S67)</f>
        <v/>
      </c>
    </row>
    <row r="68">
      <c r="A68" s="15" t="inlineStr">
        <is>
          <t>São Sebastião</t>
        </is>
      </c>
      <c r="B68" s="15" t="inlineStr">
        <is>
          <t>Baleia</t>
        </is>
      </c>
      <c r="C68" s="26">
        <f>SUMPRODUCT((Vendas!$AK$2:$AK$3001="Validado")*(Vendas!$B$2:$B$3001=$A68)*(Vendas!$C$2:$C$3001=$B68))</f>
        <v/>
      </c>
      <c r="D68" s="26">
        <f>SUMPRODUCT((Vendas!$AK$2:$AK$3001="Validado")*(Vendas!$B$2:$B$3001=$A68)*(Vendas!$C$2:$C$3001=$B68)*ISNUMBER(Vendas!$U$2:$U$3001))</f>
        <v/>
      </c>
      <c r="E68" s="27">
        <f t="array" ref="E68">IF(D68&lt;AMOSTRA_MIN,"n&lt;mín",MEDIAN(IF((Vendas!$AK$2:$AK$3001="Validado")*(Vendas!$B$2:$B$3001=$A68)*(Vendas!$C$2:$C$3001=$B68)*ISNUMBER(Vendas!$U$2:$U$3001),Vendas!$U$2:$U$3001)))</f>
        <v/>
      </c>
      <c r="F68" s="28">
        <f>IF(D68=0,"-",SUMPRODUCT((Vendas!$AK$2:$AK$3001="Validado")*(Vendas!$B$2:$B$3001=$A68)*(Vendas!$C$2:$C$3001=$B68)*ISNUMBER(Vendas!$U$2:$U$3001)*(Vendas!$U$2:$U$3001&lt;1))/D68)</f>
        <v/>
      </c>
      <c r="G68" s="29">
        <f t="array" ref="G68">IF(D68&lt;AMOSTRA_MIN,"n&lt;mín",100*AVERAGE(IF((Vendas!$AK$2:$AK$3001="Validado")*(Vendas!$B$2:$B$3001=$A68)*(Vendas!$C$2:$C$3001=$B68)*ISNUMBER(Vendas!$U$2:$U$3001),ABS(Vendas!$U$2:$U$3001-E68)))/E68)</f>
        <v/>
      </c>
      <c r="H68" s="26">
        <f>SUMPRODUCT((Vendas!$AK$2:$AK$3001="Validado")*(Vendas!$B$2:$B$3001=$A68)*(Vendas!$C$2:$C$3001=$B68)*ISNUMBER(Vendas!$V$2:$V$3001))</f>
        <v/>
      </c>
      <c r="I68" s="27">
        <f t="array" ref="I68">IF(H68&lt;AMOSTRA_MIN,"n&lt;mín",MEDIAN(IF((Vendas!$AK$2:$AK$3001="Validado")*(Vendas!$B$2:$B$3001=$A68)*(Vendas!$C$2:$C$3001=$B68)*ISNUMBER(Vendas!$V$2:$V$3001),Vendas!$V$2:$V$3001)))</f>
        <v/>
      </c>
      <c r="J68" s="28">
        <f>IF(H68=0,"-",SUMPRODUCT((Vendas!$AK$2:$AK$3001="Validado")*(Vendas!$B$2:$B$3001=$A68)*(Vendas!$C$2:$C$3001=$B68)*ISNUMBER(Vendas!$V$2:$V$3001)*(Vendas!$V$2:$V$3001&lt;=1))/H68)</f>
        <v/>
      </c>
      <c r="K68" s="26">
        <f>SUMPRODUCT((Vendas!$AK$2:$AK$3001="Validado")*(Vendas!$B$2:$B$3001=$A68)*(Vendas!$C$2:$C$3001=$B68)*(Vendas!$P$2:$P$3001="Financiado")*ISNUMBER(Vendas!$S$2:$S$3001))</f>
        <v/>
      </c>
      <c r="L68" s="26">
        <f>SUMPRODUCT((Vendas!$AK$2:$AK$3001="Validado")*(Vendas!$B$2:$B$3001=$A68)*(Vendas!$C$2:$C$3001=$B68)*(Vendas!$P$2:$P$3001="À vista")*ISNUMBER(Vendas!$S$2:$S$3001))</f>
        <v/>
      </c>
      <c r="M68" s="17">
        <f t="array" ref="M68">IF(K68&lt;AMOSTRA_MIN,"n&lt;mín",MEDIAN(IF((Vendas!$AK$2:$AK$3001="Validado")*(Vendas!$B$2:$B$3001=$A68)*(Vendas!$C$2:$C$3001=$B68)*(Vendas!$P$2:$P$3001="Financiado")*ISNUMBER(Vendas!$S$2:$S$3001),Vendas!$S$2:$S$3001)))</f>
        <v/>
      </c>
      <c r="N68" s="17">
        <f t="array" ref="N68">IF(L68&lt;AMOSTRA_MIN,"n&lt;mín",MEDIAN(IF((Vendas!$AK$2:$AK$3001="Validado")*(Vendas!$B$2:$B$3001=$A68)*(Vendas!$C$2:$C$3001=$B68)*(Vendas!$P$2:$P$3001="À vista")*ISNUMBER(Vendas!$S$2:$S$3001),Vendas!$S$2:$S$3001)))</f>
        <v/>
      </c>
      <c r="O68" s="28">
        <f>IF(OR(K68&lt;AMOSTRA_MIN,L68&lt;AMOSTRA_MIN),"n&lt;mín",N68/M68-1)</f>
        <v/>
      </c>
      <c r="P68" s="26">
        <f>SUMPRODUCT((Vendas!$AK$2:$AK$3001="Validado")*(Vendas!$B$2:$B$3001=$A68)*(Vendas!$C$2:$C$3001=$B68)*ISNUMBER(Vendas!$W$2:$W$3001))</f>
        <v/>
      </c>
      <c r="Q68" s="27">
        <f t="array" ref="Q68">IF(P68&lt;AMOSTRA_MIN,"n&lt;mín",MEDIAN(IF((Vendas!$AK$2:$AK$3001="Validado")*(Vendas!$B$2:$B$3001=$A68)*(Vendas!$C$2:$C$3001=$B68)*ISNUMBER(Vendas!$W$2:$W$3001),Vendas!$W$2:$W$3001)))</f>
        <v/>
      </c>
      <c r="R68" s="28">
        <f>IF(P68=0,"-",SUMPRODUCT((Vendas!$AK$2:$AK$3001="Validado")*(Vendas!$B$2:$B$3001=$A68)*(Vendas!$C$2:$C$3001=$B68)*ISNUMBER(Vendas!$W$2:$W$3001)*(Vendas!$W$2:$W$3001&lt;1))/P68)</f>
        <v/>
      </c>
      <c r="S68" s="26">
        <f>SUMPRODUCT((Vendas!$AK$2:$AK$3001="Validado")*(Vendas!$B$2:$B$3001=$A68)*(Vendas!$C$2:$C$3001=$B68)*ISNUMBER(Vendas!$X$2:$X$3001))</f>
        <v/>
      </c>
      <c r="T68" s="28">
        <f>IF(S68=0,"-",SUMPRODUCT((Vendas!$AK$2:$AK$3001="Validado")*(Vendas!$B$2:$B$3001=$A68)*(Vendas!$C$2:$C$3001=$B68)*ISNUMBER(Vendas!$X$2:$X$3001)*(Vendas!$X$2:$X$3001&gt;=1))/S68)</f>
        <v/>
      </c>
    </row>
    <row r="69">
      <c r="A69" s="15" t="inlineStr">
        <is>
          <t>São Sebastião</t>
        </is>
      </c>
      <c r="B69" s="15" t="inlineStr">
        <is>
          <t>Barra do Sahy</t>
        </is>
      </c>
      <c r="C69" s="26">
        <f>SUMPRODUCT((Vendas!$AK$2:$AK$3001="Validado")*(Vendas!$B$2:$B$3001=$A69)*(Vendas!$C$2:$C$3001=$B69))</f>
        <v/>
      </c>
      <c r="D69" s="26">
        <f>SUMPRODUCT((Vendas!$AK$2:$AK$3001="Validado")*(Vendas!$B$2:$B$3001=$A69)*(Vendas!$C$2:$C$3001=$B69)*ISNUMBER(Vendas!$U$2:$U$3001))</f>
        <v/>
      </c>
      <c r="E69" s="27">
        <f t="array" ref="E69">IF(D69&lt;AMOSTRA_MIN,"n&lt;mín",MEDIAN(IF((Vendas!$AK$2:$AK$3001="Validado")*(Vendas!$B$2:$B$3001=$A69)*(Vendas!$C$2:$C$3001=$B69)*ISNUMBER(Vendas!$U$2:$U$3001),Vendas!$U$2:$U$3001)))</f>
        <v/>
      </c>
      <c r="F69" s="28">
        <f>IF(D69=0,"-",SUMPRODUCT((Vendas!$AK$2:$AK$3001="Validado")*(Vendas!$B$2:$B$3001=$A69)*(Vendas!$C$2:$C$3001=$B69)*ISNUMBER(Vendas!$U$2:$U$3001)*(Vendas!$U$2:$U$3001&lt;1))/D69)</f>
        <v/>
      </c>
      <c r="G69" s="29">
        <f t="array" ref="G69">IF(D69&lt;AMOSTRA_MIN,"n&lt;mín",100*AVERAGE(IF((Vendas!$AK$2:$AK$3001="Validado")*(Vendas!$B$2:$B$3001=$A69)*(Vendas!$C$2:$C$3001=$B69)*ISNUMBER(Vendas!$U$2:$U$3001),ABS(Vendas!$U$2:$U$3001-E69)))/E69)</f>
        <v/>
      </c>
      <c r="H69" s="26">
        <f>SUMPRODUCT((Vendas!$AK$2:$AK$3001="Validado")*(Vendas!$B$2:$B$3001=$A69)*(Vendas!$C$2:$C$3001=$B69)*ISNUMBER(Vendas!$V$2:$V$3001))</f>
        <v/>
      </c>
      <c r="I69" s="27">
        <f t="array" ref="I69">IF(H69&lt;AMOSTRA_MIN,"n&lt;mín",MEDIAN(IF((Vendas!$AK$2:$AK$3001="Validado")*(Vendas!$B$2:$B$3001=$A69)*(Vendas!$C$2:$C$3001=$B69)*ISNUMBER(Vendas!$V$2:$V$3001),Vendas!$V$2:$V$3001)))</f>
        <v/>
      </c>
      <c r="J69" s="28">
        <f>IF(H69=0,"-",SUMPRODUCT((Vendas!$AK$2:$AK$3001="Validado")*(Vendas!$B$2:$B$3001=$A69)*(Vendas!$C$2:$C$3001=$B69)*ISNUMBER(Vendas!$V$2:$V$3001)*(Vendas!$V$2:$V$3001&lt;=1))/H69)</f>
        <v/>
      </c>
      <c r="K69" s="26">
        <f>SUMPRODUCT((Vendas!$AK$2:$AK$3001="Validado")*(Vendas!$B$2:$B$3001=$A69)*(Vendas!$C$2:$C$3001=$B69)*(Vendas!$P$2:$P$3001="Financiado")*ISNUMBER(Vendas!$S$2:$S$3001))</f>
        <v/>
      </c>
      <c r="L69" s="26">
        <f>SUMPRODUCT((Vendas!$AK$2:$AK$3001="Validado")*(Vendas!$B$2:$B$3001=$A69)*(Vendas!$C$2:$C$3001=$B69)*(Vendas!$P$2:$P$3001="À vista")*ISNUMBER(Vendas!$S$2:$S$3001))</f>
        <v/>
      </c>
      <c r="M69" s="17">
        <f t="array" ref="M69">IF(K69&lt;AMOSTRA_MIN,"n&lt;mín",MEDIAN(IF((Vendas!$AK$2:$AK$3001="Validado")*(Vendas!$B$2:$B$3001=$A69)*(Vendas!$C$2:$C$3001=$B69)*(Vendas!$P$2:$P$3001="Financiado")*ISNUMBER(Vendas!$S$2:$S$3001),Vendas!$S$2:$S$3001)))</f>
        <v/>
      </c>
      <c r="N69" s="17">
        <f t="array" ref="N69">IF(L69&lt;AMOSTRA_MIN,"n&lt;mín",MEDIAN(IF((Vendas!$AK$2:$AK$3001="Validado")*(Vendas!$B$2:$B$3001=$A69)*(Vendas!$C$2:$C$3001=$B69)*(Vendas!$P$2:$P$3001="À vista")*ISNUMBER(Vendas!$S$2:$S$3001),Vendas!$S$2:$S$3001)))</f>
        <v/>
      </c>
      <c r="O69" s="28">
        <f>IF(OR(K69&lt;AMOSTRA_MIN,L69&lt;AMOSTRA_MIN),"n&lt;mín",N69/M69-1)</f>
        <v/>
      </c>
      <c r="P69" s="26">
        <f>SUMPRODUCT((Vendas!$AK$2:$AK$3001="Validado")*(Vendas!$B$2:$B$3001=$A69)*(Vendas!$C$2:$C$3001=$B69)*ISNUMBER(Vendas!$W$2:$W$3001))</f>
        <v/>
      </c>
      <c r="Q69" s="27">
        <f t="array" ref="Q69">IF(P69&lt;AMOSTRA_MIN,"n&lt;mín",MEDIAN(IF((Vendas!$AK$2:$AK$3001="Validado")*(Vendas!$B$2:$B$3001=$A69)*(Vendas!$C$2:$C$3001=$B69)*ISNUMBER(Vendas!$W$2:$W$3001),Vendas!$W$2:$W$3001)))</f>
        <v/>
      </c>
      <c r="R69" s="28">
        <f>IF(P69=0,"-",SUMPRODUCT((Vendas!$AK$2:$AK$3001="Validado")*(Vendas!$B$2:$B$3001=$A69)*(Vendas!$C$2:$C$3001=$B69)*ISNUMBER(Vendas!$W$2:$W$3001)*(Vendas!$W$2:$W$3001&lt;1))/P69)</f>
        <v/>
      </c>
      <c r="S69" s="26">
        <f>SUMPRODUCT((Vendas!$AK$2:$AK$3001="Validado")*(Vendas!$B$2:$B$3001=$A69)*(Vendas!$C$2:$C$3001=$B69)*ISNUMBER(Vendas!$X$2:$X$3001))</f>
        <v/>
      </c>
      <c r="T69" s="28">
        <f>IF(S69=0,"-",SUMPRODUCT((Vendas!$AK$2:$AK$3001="Validado")*(Vendas!$B$2:$B$3001=$A69)*(Vendas!$C$2:$C$3001=$B69)*ISNUMBER(Vendas!$X$2:$X$3001)*(Vendas!$X$2:$X$3001&gt;=1))/S69)</f>
        <v/>
      </c>
    </row>
    <row r="70">
      <c r="A70" s="15" t="inlineStr">
        <is>
          <t>São Sebastião</t>
        </is>
      </c>
      <c r="B70" s="15" t="inlineStr">
        <is>
          <t>Juqueí</t>
        </is>
      </c>
      <c r="C70" s="26">
        <f>SUMPRODUCT((Vendas!$AK$2:$AK$3001="Validado")*(Vendas!$B$2:$B$3001=$A70)*(Vendas!$C$2:$C$3001=$B70))</f>
        <v/>
      </c>
      <c r="D70" s="26">
        <f>SUMPRODUCT((Vendas!$AK$2:$AK$3001="Validado")*(Vendas!$B$2:$B$3001=$A70)*(Vendas!$C$2:$C$3001=$B70)*ISNUMBER(Vendas!$U$2:$U$3001))</f>
        <v/>
      </c>
      <c r="E70" s="27">
        <f t="array" ref="E70">IF(D70&lt;AMOSTRA_MIN,"n&lt;mín",MEDIAN(IF((Vendas!$AK$2:$AK$3001="Validado")*(Vendas!$B$2:$B$3001=$A70)*(Vendas!$C$2:$C$3001=$B70)*ISNUMBER(Vendas!$U$2:$U$3001),Vendas!$U$2:$U$3001)))</f>
        <v/>
      </c>
      <c r="F70" s="28">
        <f>IF(D70=0,"-",SUMPRODUCT((Vendas!$AK$2:$AK$3001="Validado")*(Vendas!$B$2:$B$3001=$A70)*(Vendas!$C$2:$C$3001=$B70)*ISNUMBER(Vendas!$U$2:$U$3001)*(Vendas!$U$2:$U$3001&lt;1))/D70)</f>
        <v/>
      </c>
      <c r="G70" s="29">
        <f t="array" ref="G70">IF(D70&lt;AMOSTRA_MIN,"n&lt;mín",100*AVERAGE(IF((Vendas!$AK$2:$AK$3001="Validado")*(Vendas!$B$2:$B$3001=$A70)*(Vendas!$C$2:$C$3001=$B70)*ISNUMBER(Vendas!$U$2:$U$3001),ABS(Vendas!$U$2:$U$3001-E70)))/E70)</f>
        <v/>
      </c>
      <c r="H70" s="26">
        <f>SUMPRODUCT((Vendas!$AK$2:$AK$3001="Validado")*(Vendas!$B$2:$B$3001=$A70)*(Vendas!$C$2:$C$3001=$B70)*ISNUMBER(Vendas!$V$2:$V$3001))</f>
        <v/>
      </c>
      <c r="I70" s="27">
        <f t="array" ref="I70">IF(H70&lt;AMOSTRA_MIN,"n&lt;mín",MEDIAN(IF((Vendas!$AK$2:$AK$3001="Validado")*(Vendas!$B$2:$B$3001=$A70)*(Vendas!$C$2:$C$3001=$B70)*ISNUMBER(Vendas!$V$2:$V$3001),Vendas!$V$2:$V$3001)))</f>
        <v/>
      </c>
      <c r="J70" s="28">
        <f>IF(H70=0,"-",SUMPRODUCT((Vendas!$AK$2:$AK$3001="Validado")*(Vendas!$B$2:$B$3001=$A70)*(Vendas!$C$2:$C$3001=$B70)*ISNUMBER(Vendas!$V$2:$V$3001)*(Vendas!$V$2:$V$3001&lt;=1))/H70)</f>
        <v/>
      </c>
      <c r="K70" s="26">
        <f>SUMPRODUCT((Vendas!$AK$2:$AK$3001="Validado")*(Vendas!$B$2:$B$3001=$A70)*(Vendas!$C$2:$C$3001=$B70)*(Vendas!$P$2:$P$3001="Financiado")*ISNUMBER(Vendas!$S$2:$S$3001))</f>
        <v/>
      </c>
      <c r="L70" s="26">
        <f>SUMPRODUCT((Vendas!$AK$2:$AK$3001="Validado")*(Vendas!$B$2:$B$3001=$A70)*(Vendas!$C$2:$C$3001=$B70)*(Vendas!$P$2:$P$3001="À vista")*ISNUMBER(Vendas!$S$2:$S$3001))</f>
        <v/>
      </c>
      <c r="M70" s="17">
        <f t="array" ref="M70">IF(K70&lt;AMOSTRA_MIN,"n&lt;mín",MEDIAN(IF((Vendas!$AK$2:$AK$3001="Validado")*(Vendas!$B$2:$B$3001=$A70)*(Vendas!$C$2:$C$3001=$B70)*(Vendas!$P$2:$P$3001="Financiado")*ISNUMBER(Vendas!$S$2:$S$3001),Vendas!$S$2:$S$3001)))</f>
        <v/>
      </c>
      <c r="N70" s="17">
        <f t="array" ref="N70">IF(L70&lt;AMOSTRA_MIN,"n&lt;mín",MEDIAN(IF((Vendas!$AK$2:$AK$3001="Validado")*(Vendas!$B$2:$B$3001=$A70)*(Vendas!$C$2:$C$3001=$B70)*(Vendas!$P$2:$P$3001="À vista")*ISNUMBER(Vendas!$S$2:$S$3001),Vendas!$S$2:$S$3001)))</f>
        <v/>
      </c>
      <c r="O70" s="28">
        <f>IF(OR(K70&lt;AMOSTRA_MIN,L70&lt;AMOSTRA_MIN),"n&lt;mín",N70/M70-1)</f>
        <v/>
      </c>
      <c r="P70" s="26">
        <f>SUMPRODUCT((Vendas!$AK$2:$AK$3001="Validado")*(Vendas!$B$2:$B$3001=$A70)*(Vendas!$C$2:$C$3001=$B70)*ISNUMBER(Vendas!$W$2:$W$3001))</f>
        <v/>
      </c>
      <c r="Q70" s="27">
        <f t="array" ref="Q70">IF(P70&lt;AMOSTRA_MIN,"n&lt;mín",MEDIAN(IF((Vendas!$AK$2:$AK$3001="Validado")*(Vendas!$B$2:$B$3001=$A70)*(Vendas!$C$2:$C$3001=$B70)*ISNUMBER(Vendas!$W$2:$W$3001),Vendas!$W$2:$W$3001)))</f>
        <v/>
      </c>
      <c r="R70" s="28">
        <f>IF(P70=0,"-",SUMPRODUCT((Vendas!$AK$2:$AK$3001="Validado")*(Vendas!$B$2:$B$3001=$A70)*(Vendas!$C$2:$C$3001=$B70)*ISNUMBER(Vendas!$W$2:$W$3001)*(Vendas!$W$2:$W$3001&lt;1))/P70)</f>
        <v/>
      </c>
      <c r="S70" s="26">
        <f>SUMPRODUCT((Vendas!$AK$2:$AK$3001="Validado")*(Vendas!$B$2:$B$3001=$A70)*(Vendas!$C$2:$C$3001=$B70)*ISNUMBER(Vendas!$X$2:$X$3001))</f>
        <v/>
      </c>
      <c r="T70" s="28">
        <f>IF(S70=0,"-",SUMPRODUCT((Vendas!$AK$2:$AK$3001="Validado")*(Vendas!$B$2:$B$3001=$A70)*(Vendas!$C$2:$C$3001=$B70)*ISNUMBER(Vendas!$X$2:$X$3001)*(Vendas!$X$2:$X$3001&gt;=1))/S70)</f>
        <v/>
      </c>
    </row>
    <row r="71">
      <c r="A71" s="15" t="inlineStr">
        <is>
          <t>São Sebastião</t>
        </is>
      </c>
      <c r="B71" s="15" t="inlineStr">
        <is>
          <t>Barra do Una</t>
        </is>
      </c>
      <c r="C71" s="26">
        <f>SUMPRODUCT((Vendas!$AK$2:$AK$3001="Validado")*(Vendas!$B$2:$B$3001=$A71)*(Vendas!$C$2:$C$3001=$B71))</f>
        <v/>
      </c>
      <c r="D71" s="26">
        <f>SUMPRODUCT((Vendas!$AK$2:$AK$3001="Validado")*(Vendas!$B$2:$B$3001=$A71)*(Vendas!$C$2:$C$3001=$B71)*ISNUMBER(Vendas!$U$2:$U$3001))</f>
        <v/>
      </c>
      <c r="E71" s="27">
        <f t="array" ref="E71">IF(D71&lt;AMOSTRA_MIN,"n&lt;mín",MEDIAN(IF((Vendas!$AK$2:$AK$3001="Validado")*(Vendas!$B$2:$B$3001=$A71)*(Vendas!$C$2:$C$3001=$B71)*ISNUMBER(Vendas!$U$2:$U$3001),Vendas!$U$2:$U$3001)))</f>
        <v/>
      </c>
      <c r="F71" s="28">
        <f>IF(D71=0,"-",SUMPRODUCT((Vendas!$AK$2:$AK$3001="Validado")*(Vendas!$B$2:$B$3001=$A71)*(Vendas!$C$2:$C$3001=$B71)*ISNUMBER(Vendas!$U$2:$U$3001)*(Vendas!$U$2:$U$3001&lt;1))/D71)</f>
        <v/>
      </c>
      <c r="G71" s="29">
        <f t="array" ref="G71">IF(D71&lt;AMOSTRA_MIN,"n&lt;mín",100*AVERAGE(IF((Vendas!$AK$2:$AK$3001="Validado")*(Vendas!$B$2:$B$3001=$A71)*(Vendas!$C$2:$C$3001=$B71)*ISNUMBER(Vendas!$U$2:$U$3001),ABS(Vendas!$U$2:$U$3001-E71)))/E71)</f>
        <v/>
      </c>
      <c r="H71" s="26">
        <f>SUMPRODUCT((Vendas!$AK$2:$AK$3001="Validado")*(Vendas!$B$2:$B$3001=$A71)*(Vendas!$C$2:$C$3001=$B71)*ISNUMBER(Vendas!$V$2:$V$3001))</f>
        <v/>
      </c>
      <c r="I71" s="27">
        <f t="array" ref="I71">IF(H71&lt;AMOSTRA_MIN,"n&lt;mín",MEDIAN(IF((Vendas!$AK$2:$AK$3001="Validado")*(Vendas!$B$2:$B$3001=$A71)*(Vendas!$C$2:$C$3001=$B71)*ISNUMBER(Vendas!$V$2:$V$3001),Vendas!$V$2:$V$3001)))</f>
        <v/>
      </c>
      <c r="J71" s="28">
        <f>IF(H71=0,"-",SUMPRODUCT((Vendas!$AK$2:$AK$3001="Validado")*(Vendas!$B$2:$B$3001=$A71)*(Vendas!$C$2:$C$3001=$B71)*ISNUMBER(Vendas!$V$2:$V$3001)*(Vendas!$V$2:$V$3001&lt;=1))/H71)</f>
        <v/>
      </c>
      <c r="K71" s="26">
        <f>SUMPRODUCT((Vendas!$AK$2:$AK$3001="Validado")*(Vendas!$B$2:$B$3001=$A71)*(Vendas!$C$2:$C$3001=$B71)*(Vendas!$P$2:$P$3001="Financiado")*ISNUMBER(Vendas!$S$2:$S$3001))</f>
        <v/>
      </c>
      <c r="L71" s="26">
        <f>SUMPRODUCT((Vendas!$AK$2:$AK$3001="Validado")*(Vendas!$B$2:$B$3001=$A71)*(Vendas!$C$2:$C$3001=$B71)*(Vendas!$P$2:$P$3001="À vista")*ISNUMBER(Vendas!$S$2:$S$3001))</f>
        <v/>
      </c>
      <c r="M71" s="17">
        <f t="array" ref="M71">IF(K71&lt;AMOSTRA_MIN,"n&lt;mín",MEDIAN(IF((Vendas!$AK$2:$AK$3001="Validado")*(Vendas!$B$2:$B$3001=$A71)*(Vendas!$C$2:$C$3001=$B71)*(Vendas!$P$2:$P$3001="Financiado")*ISNUMBER(Vendas!$S$2:$S$3001),Vendas!$S$2:$S$3001)))</f>
        <v/>
      </c>
      <c r="N71" s="17">
        <f t="array" ref="N71">IF(L71&lt;AMOSTRA_MIN,"n&lt;mín",MEDIAN(IF((Vendas!$AK$2:$AK$3001="Validado")*(Vendas!$B$2:$B$3001=$A71)*(Vendas!$C$2:$C$3001=$B71)*(Vendas!$P$2:$P$3001="À vista")*ISNUMBER(Vendas!$S$2:$S$3001),Vendas!$S$2:$S$3001)))</f>
        <v/>
      </c>
      <c r="O71" s="28">
        <f>IF(OR(K71&lt;AMOSTRA_MIN,L71&lt;AMOSTRA_MIN),"n&lt;mín",N71/M71-1)</f>
        <v/>
      </c>
      <c r="P71" s="26">
        <f>SUMPRODUCT((Vendas!$AK$2:$AK$3001="Validado")*(Vendas!$B$2:$B$3001=$A71)*(Vendas!$C$2:$C$3001=$B71)*ISNUMBER(Vendas!$W$2:$W$3001))</f>
        <v/>
      </c>
      <c r="Q71" s="27">
        <f t="array" ref="Q71">IF(P71&lt;AMOSTRA_MIN,"n&lt;mín",MEDIAN(IF((Vendas!$AK$2:$AK$3001="Validado")*(Vendas!$B$2:$B$3001=$A71)*(Vendas!$C$2:$C$3001=$B71)*ISNUMBER(Vendas!$W$2:$W$3001),Vendas!$W$2:$W$3001)))</f>
        <v/>
      </c>
      <c r="R71" s="28">
        <f>IF(P71=0,"-",SUMPRODUCT((Vendas!$AK$2:$AK$3001="Validado")*(Vendas!$B$2:$B$3001=$A71)*(Vendas!$C$2:$C$3001=$B71)*ISNUMBER(Vendas!$W$2:$W$3001)*(Vendas!$W$2:$W$3001&lt;1))/P71)</f>
        <v/>
      </c>
      <c r="S71" s="26">
        <f>SUMPRODUCT((Vendas!$AK$2:$AK$3001="Validado")*(Vendas!$B$2:$B$3001=$A71)*(Vendas!$C$2:$C$3001=$B71)*ISNUMBER(Vendas!$X$2:$X$3001))</f>
        <v/>
      </c>
      <c r="T71" s="28">
        <f>IF(S71=0,"-",SUMPRODUCT((Vendas!$AK$2:$AK$3001="Validado")*(Vendas!$B$2:$B$3001=$A71)*(Vendas!$C$2:$C$3001=$B71)*ISNUMBER(Vendas!$X$2:$X$3001)*(Vendas!$X$2:$X$3001&gt;=1))/S71)</f>
        <v/>
      </c>
    </row>
    <row r="72">
      <c r="A72" s="15" t="inlineStr">
        <is>
          <t>São Sebastião</t>
        </is>
      </c>
      <c r="B72" s="15" t="inlineStr">
        <is>
          <t>Boracéia</t>
        </is>
      </c>
      <c r="C72" s="26">
        <f>SUMPRODUCT((Vendas!$AK$2:$AK$3001="Validado")*(Vendas!$B$2:$B$3001=$A72)*(Vendas!$C$2:$C$3001=$B72))</f>
        <v/>
      </c>
      <c r="D72" s="26">
        <f>SUMPRODUCT((Vendas!$AK$2:$AK$3001="Validado")*(Vendas!$B$2:$B$3001=$A72)*(Vendas!$C$2:$C$3001=$B72)*ISNUMBER(Vendas!$U$2:$U$3001))</f>
        <v/>
      </c>
      <c r="E72" s="27">
        <f t="array" ref="E72">IF(D72&lt;AMOSTRA_MIN,"n&lt;mín",MEDIAN(IF((Vendas!$AK$2:$AK$3001="Validado")*(Vendas!$B$2:$B$3001=$A72)*(Vendas!$C$2:$C$3001=$B72)*ISNUMBER(Vendas!$U$2:$U$3001),Vendas!$U$2:$U$3001)))</f>
        <v/>
      </c>
      <c r="F72" s="28">
        <f>IF(D72=0,"-",SUMPRODUCT((Vendas!$AK$2:$AK$3001="Validado")*(Vendas!$B$2:$B$3001=$A72)*(Vendas!$C$2:$C$3001=$B72)*ISNUMBER(Vendas!$U$2:$U$3001)*(Vendas!$U$2:$U$3001&lt;1))/D72)</f>
        <v/>
      </c>
      <c r="G72" s="29">
        <f t="array" ref="G72">IF(D72&lt;AMOSTRA_MIN,"n&lt;mín",100*AVERAGE(IF((Vendas!$AK$2:$AK$3001="Validado")*(Vendas!$B$2:$B$3001=$A72)*(Vendas!$C$2:$C$3001=$B72)*ISNUMBER(Vendas!$U$2:$U$3001),ABS(Vendas!$U$2:$U$3001-E72)))/E72)</f>
        <v/>
      </c>
      <c r="H72" s="26">
        <f>SUMPRODUCT((Vendas!$AK$2:$AK$3001="Validado")*(Vendas!$B$2:$B$3001=$A72)*(Vendas!$C$2:$C$3001=$B72)*ISNUMBER(Vendas!$V$2:$V$3001))</f>
        <v/>
      </c>
      <c r="I72" s="27">
        <f t="array" ref="I72">IF(H72&lt;AMOSTRA_MIN,"n&lt;mín",MEDIAN(IF((Vendas!$AK$2:$AK$3001="Validado")*(Vendas!$B$2:$B$3001=$A72)*(Vendas!$C$2:$C$3001=$B72)*ISNUMBER(Vendas!$V$2:$V$3001),Vendas!$V$2:$V$3001)))</f>
        <v/>
      </c>
      <c r="J72" s="28">
        <f>IF(H72=0,"-",SUMPRODUCT((Vendas!$AK$2:$AK$3001="Validado")*(Vendas!$B$2:$B$3001=$A72)*(Vendas!$C$2:$C$3001=$B72)*ISNUMBER(Vendas!$V$2:$V$3001)*(Vendas!$V$2:$V$3001&lt;=1))/H72)</f>
        <v/>
      </c>
      <c r="K72" s="26">
        <f>SUMPRODUCT((Vendas!$AK$2:$AK$3001="Validado")*(Vendas!$B$2:$B$3001=$A72)*(Vendas!$C$2:$C$3001=$B72)*(Vendas!$P$2:$P$3001="Financiado")*ISNUMBER(Vendas!$S$2:$S$3001))</f>
        <v/>
      </c>
      <c r="L72" s="26">
        <f>SUMPRODUCT((Vendas!$AK$2:$AK$3001="Validado")*(Vendas!$B$2:$B$3001=$A72)*(Vendas!$C$2:$C$3001=$B72)*(Vendas!$P$2:$P$3001="À vista")*ISNUMBER(Vendas!$S$2:$S$3001))</f>
        <v/>
      </c>
      <c r="M72" s="17">
        <f t="array" ref="M72">IF(K72&lt;AMOSTRA_MIN,"n&lt;mín",MEDIAN(IF((Vendas!$AK$2:$AK$3001="Validado")*(Vendas!$B$2:$B$3001=$A72)*(Vendas!$C$2:$C$3001=$B72)*(Vendas!$P$2:$P$3001="Financiado")*ISNUMBER(Vendas!$S$2:$S$3001),Vendas!$S$2:$S$3001)))</f>
        <v/>
      </c>
      <c r="N72" s="17">
        <f t="array" ref="N72">IF(L72&lt;AMOSTRA_MIN,"n&lt;mín",MEDIAN(IF((Vendas!$AK$2:$AK$3001="Validado")*(Vendas!$B$2:$B$3001=$A72)*(Vendas!$C$2:$C$3001=$B72)*(Vendas!$P$2:$P$3001="À vista")*ISNUMBER(Vendas!$S$2:$S$3001),Vendas!$S$2:$S$3001)))</f>
        <v/>
      </c>
      <c r="O72" s="28">
        <f>IF(OR(K72&lt;AMOSTRA_MIN,L72&lt;AMOSTRA_MIN),"n&lt;mín",N72/M72-1)</f>
        <v/>
      </c>
      <c r="P72" s="26">
        <f>SUMPRODUCT((Vendas!$AK$2:$AK$3001="Validado")*(Vendas!$B$2:$B$3001=$A72)*(Vendas!$C$2:$C$3001=$B72)*ISNUMBER(Vendas!$W$2:$W$3001))</f>
        <v/>
      </c>
      <c r="Q72" s="27">
        <f t="array" ref="Q72">IF(P72&lt;AMOSTRA_MIN,"n&lt;mín",MEDIAN(IF((Vendas!$AK$2:$AK$3001="Validado")*(Vendas!$B$2:$B$3001=$A72)*(Vendas!$C$2:$C$3001=$B72)*ISNUMBER(Vendas!$W$2:$W$3001),Vendas!$W$2:$W$3001)))</f>
        <v/>
      </c>
      <c r="R72" s="28">
        <f>IF(P72=0,"-",SUMPRODUCT((Vendas!$AK$2:$AK$3001="Validado")*(Vendas!$B$2:$B$3001=$A72)*(Vendas!$C$2:$C$3001=$B72)*ISNUMBER(Vendas!$W$2:$W$3001)*(Vendas!$W$2:$W$3001&lt;1))/P72)</f>
        <v/>
      </c>
      <c r="S72" s="26">
        <f>SUMPRODUCT((Vendas!$AK$2:$AK$3001="Validado")*(Vendas!$B$2:$B$3001=$A72)*(Vendas!$C$2:$C$3001=$B72)*ISNUMBER(Vendas!$X$2:$X$3001))</f>
        <v/>
      </c>
      <c r="T72" s="28">
        <f>IF(S72=0,"-",SUMPRODUCT((Vendas!$AK$2:$AK$3001="Validado")*(Vendas!$B$2:$B$3001=$A72)*(Vendas!$C$2:$C$3001=$B72)*ISNUMBER(Vendas!$X$2:$X$3001)*(Vendas!$X$2:$X$3001&gt;=1))/S72)</f>
        <v/>
      </c>
    </row>
    <row r="73">
      <c r="A73" s="15" t="inlineStr">
        <is>
          <t>São Sebastião</t>
        </is>
      </c>
      <c r="B73" s="15" t="inlineStr">
        <is>
          <t>Canto do Mar</t>
        </is>
      </c>
      <c r="C73" s="26">
        <f>SUMPRODUCT((Vendas!$AK$2:$AK$3001="Validado")*(Vendas!$B$2:$B$3001=$A73)*(Vendas!$C$2:$C$3001=$B73))</f>
        <v/>
      </c>
      <c r="D73" s="26">
        <f>SUMPRODUCT((Vendas!$AK$2:$AK$3001="Validado")*(Vendas!$B$2:$B$3001=$A73)*(Vendas!$C$2:$C$3001=$B73)*ISNUMBER(Vendas!$U$2:$U$3001))</f>
        <v/>
      </c>
      <c r="E73" s="27">
        <f t="array" ref="E73">IF(D73&lt;AMOSTRA_MIN,"n&lt;mín",MEDIAN(IF((Vendas!$AK$2:$AK$3001="Validado")*(Vendas!$B$2:$B$3001=$A73)*(Vendas!$C$2:$C$3001=$B73)*ISNUMBER(Vendas!$U$2:$U$3001),Vendas!$U$2:$U$3001)))</f>
        <v/>
      </c>
      <c r="F73" s="28">
        <f>IF(D73=0,"-",SUMPRODUCT((Vendas!$AK$2:$AK$3001="Validado")*(Vendas!$B$2:$B$3001=$A73)*(Vendas!$C$2:$C$3001=$B73)*ISNUMBER(Vendas!$U$2:$U$3001)*(Vendas!$U$2:$U$3001&lt;1))/D73)</f>
        <v/>
      </c>
      <c r="G73" s="29">
        <f t="array" ref="G73">IF(D73&lt;AMOSTRA_MIN,"n&lt;mín",100*AVERAGE(IF((Vendas!$AK$2:$AK$3001="Validado")*(Vendas!$B$2:$B$3001=$A73)*(Vendas!$C$2:$C$3001=$B73)*ISNUMBER(Vendas!$U$2:$U$3001),ABS(Vendas!$U$2:$U$3001-E73)))/E73)</f>
        <v/>
      </c>
      <c r="H73" s="26">
        <f>SUMPRODUCT((Vendas!$AK$2:$AK$3001="Validado")*(Vendas!$B$2:$B$3001=$A73)*(Vendas!$C$2:$C$3001=$B73)*ISNUMBER(Vendas!$V$2:$V$3001))</f>
        <v/>
      </c>
      <c r="I73" s="27">
        <f t="array" ref="I73">IF(H73&lt;AMOSTRA_MIN,"n&lt;mín",MEDIAN(IF((Vendas!$AK$2:$AK$3001="Validado")*(Vendas!$B$2:$B$3001=$A73)*(Vendas!$C$2:$C$3001=$B73)*ISNUMBER(Vendas!$V$2:$V$3001),Vendas!$V$2:$V$3001)))</f>
        <v/>
      </c>
      <c r="J73" s="28">
        <f>IF(H73=0,"-",SUMPRODUCT((Vendas!$AK$2:$AK$3001="Validado")*(Vendas!$B$2:$B$3001=$A73)*(Vendas!$C$2:$C$3001=$B73)*ISNUMBER(Vendas!$V$2:$V$3001)*(Vendas!$V$2:$V$3001&lt;=1))/H73)</f>
        <v/>
      </c>
      <c r="K73" s="26">
        <f>SUMPRODUCT((Vendas!$AK$2:$AK$3001="Validado")*(Vendas!$B$2:$B$3001=$A73)*(Vendas!$C$2:$C$3001=$B73)*(Vendas!$P$2:$P$3001="Financiado")*ISNUMBER(Vendas!$S$2:$S$3001))</f>
        <v/>
      </c>
      <c r="L73" s="26">
        <f>SUMPRODUCT((Vendas!$AK$2:$AK$3001="Validado")*(Vendas!$B$2:$B$3001=$A73)*(Vendas!$C$2:$C$3001=$B73)*(Vendas!$P$2:$P$3001="À vista")*ISNUMBER(Vendas!$S$2:$S$3001))</f>
        <v/>
      </c>
      <c r="M73" s="17">
        <f t="array" ref="M73">IF(K73&lt;AMOSTRA_MIN,"n&lt;mín",MEDIAN(IF((Vendas!$AK$2:$AK$3001="Validado")*(Vendas!$B$2:$B$3001=$A73)*(Vendas!$C$2:$C$3001=$B73)*(Vendas!$P$2:$P$3001="Financiado")*ISNUMBER(Vendas!$S$2:$S$3001),Vendas!$S$2:$S$3001)))</f>
        <v/>
      </c>
      <c r="N73" s="17">
        <f t="array" ref="N73">IF(L73&lt;AMOSTRA_MIN,"n&lt;mín",MEDIAN(IF((Vendas!$AK$2:$AK$3001="Validado")*(Vendas!$B$2:$B$3001=$A73)*(Vendas!$C$2:$C$3001=$B73)*(Vendas!$P$2:$P$3001="À vista")*ISNUMBER(Vendas!$S$2:$S$3001),Vendas!$S$2:$S$3001)))</f>
        <v/>
      </c>
      <c r="O73" s="28">
        <f>IF(OR(K73&lt;AMOSTRA_MIN,L73&lt;AMOSTRA_MIN),"n&lt;mín",N73/M73-1)</f>
        <v/>
      </c>
      <c r="P73" s="26">
        <f>SUMPRODUCT((Vendas!$AK$2:$AK$3001="Validado")*(Vendas!$B$2:$B$3001=$A73)*(Vendas!$C$2:$C$3001=$B73)*ISNUMBER(Vendas!$W$2:$W$3001))</f>
        <v/>
      </c>
      <c r="Q73" s="27">
        <f t="array" ref="Q73">IF(P73&lt;AMOSTRA_MIN,"n&lt;mín",MEDIAN(IF((Vendas!$AK$2:$AK$3001="Validado")*(Vendas!$B$2:$B$3001=$A73)*(Vendas!$C$2:$C$3001=$B73)*ISNUMBER(Vendas!$W$2:$W$3001),Vendas!$W$2:$W$3001)))</f>
        <v/>
      </c>
      <c r="R73" s="28">
        <f>IF(P73=0,"-",SUMPRODUCT((Vendas!$AK$2:$AK$3001="Validado")*(Vendas!$B$2:$B$3001=$A73)*(Vendas!$C$2:$C$3001=$B73)*ISNUMBER(Vendas!$W$2:$W$3001)*(Vendas!$W$2:$W$3001&lt;1))/P73)</f>
        <v/>
      </c>
      <c r="S73" s="26">
        <f>SUMPRODUCT((Vendas!$AK$2:$AK$3001="Validado")*(Vendas!$B$2:$B$3001=$A73)*(Vendas!$C$2:$C$3001=$B73)*ISNUMBER(Vendas!$X$2:$X$3001))</f>
        <v/>
      </c>
      <c r="T73" s="28">
        <f>IF(S73=0,"-",SUMPRODUCT((Vendas!$AK$2:$AK$3001="Validado")*(Vendas!$B$2:$B$3001=$A73)*(Vendas!$C$2:$C$3001=$B73)*ISNUMBER(Vendas!$X$2:$X$3001)*(Vendas!$X$2:$X$3001&gt;=1))/S73)</f>
        <v/>
      </c>
    </row>
    <row r="74">
      <c r="A74" s="15" t="inlineStr">
        <is>
          <t>São Sebastião</t>
        </is>
      </c>
      <c r="B74" s="15" t="inlineStr">
        <is>
          <t>Vila Amélia</t>
        </is>
      </c>
      <c r="C74" s="26">
        <f>SUMPRODUCT((Vendas!$AK$2:$AK$3001="Validado")*(Vendas!$B$2:$B$3001=$A74)*(Vendas!$C$2:$C$3001=$B74))</f>
        <v/>
      </c>
      <c r="D74" s="26">
        <f>SUMPRODUCT((Vendas!$AK$2:$AK$3001="Validado")*(Vendas!$B$2:$B$3001=$A74)*(Vendas!$C$2:$C$3001=$B74)*ISNUMBER(Vendas!$U$2:$U$3001))</f>
        <v/>
      </c>
      <c r="E74" s="27">
        <f t="array" ref="E74">IF(D74&lt;AMOSTRA_MIN,"n&lt;mín",MEDIAN(IF((Vendas!$AK$2:$AK$3001="Validado")*(Vendas!$B$2:$B$3001=$A74)*(Vendas!$C$2:$C$3001=$B74)*ISNUMBER(Vendas!$U$2:$U$3001),Vendas!$U$2:$U$3001)))</f>
        <v/>
      </c>
      <c r="F74" s="28">
        <f>IF(D74=0,"-",SUMPRODUCT((Vendas!$AK$2:$AK$3001="Validado")*(Vendas!$B$2:$B$3001=$A74)*(Vendas!$C$2:$C$3001=$B74)*ISNUMBER(Vendas!$U$2:$U$3001)*(Vendas!$U$2:$U$3001&lt;1))/D74)</f>
        <v/>
      </c>
      <c r="G74" s="29">
        <f t="array" ref="G74">IF(D74&lt;AMOSTRA_MIN,"n&lt;mín",100*AVERAGE(IF((Vendas!$AK$2:$AK$3001="Validado")*(Vendas!$B$2:$B$3001=$A74)*(Vendas!$C$2:$C$3001=$B74)*ISNUMBER(Vendas!$U$2:$U$3001),ABS(Vendas!$U$2:$U$3001-E74)))/E74)</f>
        <v/>
      </c>
      <c r="H74" s="26">
        <f>SUMPRODUCT((Vendas!$AK$2:$AK$3001="Validado")*(Vendas!$B$2:$B$3001=$A74)*(Vendas!$C$2:$C$3001=$B74)*ISNUMBER(Vendas!$V$2:$V$3001))</f>
        <v/>
      </c>
      <c r="I74" s="27">
        <f t="array" ref="I74">IF(H74&lt;AMOSTRA_MIN,"n&lt;mín",MEDIAN(IF((Vendas!$AK$2:$AK$3001="Validado")*(Vendas!$B$2:$B$3001=$A74)*(Vendas!$C$2:$C$3001=$B74)*ISNUMBER(Vendas!$V$2:$V$3001),Vendas!$V$2:$V$3001)))</f>
        <v/>
      </c>
      <c r="J74" s="28">
        <f>IF(H74=0,"-",SUMPRODUCT((Vendas!$AK$2:$AK$3001="Validado")*(Vendas!$B$2:$B$3001=$A74)*(Vendas!$C$2:$C$3001=$B74)*ISNUMBER(Vendas!$V$2:$V$3001)*(Vendas!$V$2:$V$3001&lt;=1))/H74)</f>
        <v/>
      </c>
      <c r="K74" s="26">
        <f>SUMPRODUCT((Vendas!$AK$2:$AK$3001="Validado")*(Vendas!$B$2:$B$3001=$A74)*(Vendas!$C$2:$C$3001=$B74)*(Vendas!$P$2:$P$3001="Financiado")*ISNUMBER(Vendas!$S$2:$S$3001))</f>
        <v/>
      </c>
      <c r="L74" s="26">
        <f>SUMPRODUCT((Vendas!$AK$2:$AK$3001="Validado")*(Vendas!$B$2:$B$3001=$A74)*(Vendas!$C$2:$C$3001=$B74)*(Vendas!$P$2:$P$3001="À vista")*ISNUMBER(Vendas!$S$2:$S$3001))</f>
        <v/>
      </c>
      <c r="M74" s="17">
        <f t="array" ref="M74">IF(K74&lt;AMOSTRA_MIN,"n&lt;mín",MEDIAN(IF((Vendas!$AK$2:$AK$3001="Validado")*(Vendas!$B$2:$B$3001=$A74)*(Vendas!$C$2:$C$3001=$B74)*(Vendas!$P$2:$P$3001="Financiado")*ISNUMBER(Vendas!$S$2:$S$3001),Vendas!$S$2:$S$3001)))</f>
        <v/>
      </c>
      <c r="N74" s="17">
        <f t="array" ref="N74">IF(L74&lt;AMOSTRA_MIN,"n&lt;mín",MEDIAN(IF((Vendas!$AK$2:$AK$3001="Validado")*(Vendas!$B$2:$B$3001=$A74)*(Vendas!$C$2:$C$3001=$B74)*(Vendas!$P$2:$P$3001="À vista")*ISNUMBER(Vendas!$S$2:$S$3001),Vendas!$S$2:$S$3001)))</f>
        <v/>
      </c>
      <c r="O74" s="28">
        <f>IF(OR(K74&lt;AMOSTRA_MIN,L74&lt;AMOSTRA_MIN),"n&lt;mín",N74/M74-1)</f>
        <v/>
      </c>
      <c r="P74" s="26">
        <f>SUMPRODUCT((Vendas!$AK$2:$AK$3001="Validado")*(Vendas!$B$2:$B$3001=$A74)*(Vendas!$C$2:$C$3001=$B74)*ISNUMBER(Vendas!$W$2:$W$3001))</f>
        <v/>
      </c>
      <c r="Q74" s="27">
        <f t="array" ref="Q74">IF(P74&lt;AMOSTRA_MIN,"n&lt;mín",MEDIAN(IF((Vendas!$AK$2:$AK$3001="Validado")*(Vendas!$B$2:$B$3001=$A74)*(Vendas!$C$2:$C$3001=$B74)*ISNUMBER(Vendas!$W$2:$W$3001),Vendas!$W$2:$W$3001)))</f>
        <v/>
      </c>
      <c r="R74" s="28">
        <f>IF(P74=0,"-",SUMPRODUCT((Vendas!$AK$2:$AK$3001="Validado")*(Vendas!$B$2:$B$3001=$A74)*(Vendas!$C$2:$C$3001=$B74)*ISNUMBER(Vendas!$W$2:$W$3001)*(Vendas!$W$2:$W$3001&lt;1))/P74)</f>
        <v/>
      </c>
      <c r="S74" s="26">
        <f>SUMPRODUCT((Vendas!$AK$2:$AK$3001="Validado")*(Vendas!$B$2:$B$3001=$A74)*(Vendas!$C$2:$C$3001=$B74)*ISNUMBER(Vendas!$X$2:$X$3001))</f>
        <v/>
      </c>
      <c r="T74" s="28">
        <f>IF(S74=0,"-",SUMPRODUCT((Vendas!$AK$2:$AK$3001="Validado")*(Vendas!$B$2:$B$3001=$A74)*(Vendas!$C$2:$C$3001=$B74)*ISNUMBER(Vendas!$X$2:$X$3001)*(Vendas!$X$2:$X$3001&gt;=1))/S74)</f>
        <v/>
      </c>
    </row>
    <row r="75">
      <c r="A75" s="15" t="inlineStr">
        <is>
          <t>São Sebastião</t>
        </is>
      </c>
      <c r="B75" s="15" t="inlineStr">
        <is>
          <t>Reserve Du Moulin</t>
        </is>
      </c>
      <c r="C75" s="26">
        <f>SUMPRODUCT((Vendas!$AK$2:$AK$3001="Validado")*(Vendas!$B$2:$B$3001=$A75)*(Vendas!$C$2:$C$3001=$B75))</f>
        <v/>
      </c>
      <c r="D75" s="26">
        <f>SUMPRODUCT((Vendas!$AK$2:$AK$3001="Validado")*(Vendas!$B$2:$B$3001=$A75)*(Vendas!$C$2:$C$3001=$B75)*ISNUMBER(Vendas!$U$2:$U$3001))</f>
        <v/>
      </c>
      <c r="E75" s="27">
        <f t="array" ref="E75">IF(D75&lt;AMOSTRA_MIN,"n&lt;mín",MEDIAN(IF((Vendas!$AK$2:$AK$3001="Validado")*(Vendas!$B$2:$B$3001=$A75)*(Vendas!$C$2:$C$3001=$B75)*ISNUMBER(Vendas!$U$2:$U$3001),Vendas!$U$2:$U$3001)))</f>
        <v/>
      </c>
      <c r="F75" s="28">
        <f>IF(D75=0,"-",SUMPRODUCT((Vendas!$AK$2:$AK$3001="Validado")*(Vendas!$B$2:$B$3001=$A75)*(Vendas!$C$2:$C$3001=$B75)*ISNUMBER(Vendas!$U$2:$U$3001)*(Vendas!$U$2:$U$3001&lt;1))/D75)</f>
        <v/>
      </c>
      <c r="G75" s="29">
        <f t="array" ref="G75">IF(D75&lt;AMOSTRA_MIN,"n&lt;mín",100*AVERAGE(IF((Vendas!$AK$2:$AK$3001="Validado")*(Vendas!$B$2:$B$3001=$A75)*(Vendas!$C$2:$C$3001=$B75)*ISNUMBER(Vendas!$U$2:$U$3001),ABS(Vendas!$U$2:$U$3001-E75)))/E75)</f>
        <v/>
      </c>
      <c r="H75" s="26">
        <f>SUMPRODUCT((Vendas!$AK$2:$AK$3001="Validado")*(Vendas!$B$2:$B$3001=$A75)*(Vendas!$C$2:$C$3001=$B75)*ISNUMBER(Vendas!$V$2:$V$3001))</f>
        <v/>
      </c>
      <c r="I75" s="27">
        <f t="array" ref="I75">IF(H75&lt;AMOSTRA_MIN,"n&lt;mín",MEDIAN(IF((Vendas!$AK$2:$AK$3001="Validado")*(Vendas!$B$2:$B$3001=$A75)*(Vendas!$C$2:$C$3001=$B75)*ISNUMBER(Vendas!$V$2:$V$3001),Vendas!$V$2:$V$3001)))</f>
        <v/>
      </c>
      <c r="J75" s="28">
        <f>IF(H75=0,"-",SUMPRODUCT((Vendas!$AK$2:$AK$3001="Validado")*(Vendas!$B$2:$B$3001=$A75)*(Vendas!$C$2:$C$3001=$B75)*ISNUMBER(Vendas!$V$2:$V$3001)*(Vendas!$V$2:$V$3001&lt;=1))/H75)</f>
        <v/>
      </c>
      <c r="K75" s="26">
        <f>SUMPRODUCT((Vendas!$AK$2:$AK$3001="Validado")*(Vendas!$B$2:$B$3001=$A75)*(Vendas!$C$2:$C$3001=$B75)*(Vendas!$P$2:$P$3001="Financiado")*ISNUMBER(Vendas!$S$2:$S$3001))</f>
        <v/>
      </c>
      <c r="L75" s="26">
        <f>SUMPRODUCT((Vendas!$AK$2:$AK$3001="Validado")*(Vendas!$B$2:$B$3001=$A75)*(Vendas!$C$2:$C$3001=$B75)*(Vendas!$P$2:$P$3001="À vista")*ISNUMBER(Vendas!$S$2:$S$3001))</f>
        <v/>
      </c>
      <c r="M75" s="17">
        <f t="array" ref="M75">IF(K75&lt;AMOSTRA_MIN,"n&lt;mín",MEDIAN(IF((Vendas!$AK$2:$AK$3001="Validado")*(Vendas!$B$2:$B$3001=$A75)*(Vendas!$C$2:$C$3001=$B75)*(Vendas!$P$2:$P$3001="Financiado")*ISNUMBER(Vendas!$S$2:$S$3001),Vendas!$S$2:$S$3001)))</f>
        <v/>
      </c>
      <c r="N75" s="17">
        <f t="array" ref="N75">IF(L75&lt;AMOSTRA_MIN,"n&lt;mín",MEDIAN(IF((Vendas!$AK$2:$AK$3001="Validado")*(Vendas!$B$2:$B$3001=$A75)*(Vendas!$C$2:$C$3001=$B75)*(Vendas!$P$2:$P$3001="À vista")*ISNUMBER(Vendas!$S$2:$S$3001),Vendas!$S$2:$S$3001)))</f>
        <v/>
      </c>
      <c r="O75" s="28">
        <f>IF(OR(K75&lt;AMOSTRA_MIN,L75&lt;AMOSTRA_MIN),"n&lt;mín",N75/M75-1)</f>
        <v/>
      </c>
      <c r="P75" s="26">
        <f>SUMPRODUCT((Vendas!$AK$2:$AK$3001="Validado")*(Vendas!$B$2:$B$3001=$A75)*(Vendas!$C$2:$C$3001=$B75)*ISNUMBER(Vendas!$W$2:$W$3001))</f>
        <v/>
      </c>
      <c r="Q75" s="27">
        <f t="array" ref="Q75">IF(P75&lt;AMOSTRA_MIN,"n&lt;mín",MEDIAN(IF((Vendas!$AK$2:$AK$3001="Validado")*(Vendas!$B$2:$B$3001=$A75)*(Vendas!$C$2:$C$3001=$B75)*ISNUMBER(Vendas!$W$2:$W$3001),Vendas!$W$2:$W$3001)))</f>
        <v/>
      </c>
      <c r="R75" s="28">
        <f>IF(P75=0,"-",SUMPRODUCT((Vendas!$AK$2:$AK$3001="Validado")*(Vendas!$B$2:$B$3001=$A75)*(Vendas!$C$2:$C$3001=$B75)*ISNUMBER(Vendas!$W$2:$W$3001)*(Vendas!$W$2:$W$3001&lt;1))/P75)</f>
        <v/>
      </c>
      <c r="S75" s="26">
        <f>SUMPRODUCT((Vendas!$AK$2:$AK$3001="Validado")*(Vendas!$B$2:$B$3001=$A75)*(Vendas!$C$2:$C$3001=$B75)*ISNUMBER(Vendas!$X$2:$X$3001))</f>
        <v/>
      </c>
      <c r="T75" s="28">
        <f>IF(S75=0,"-",SUMPRODUCT((Vendas!$AK$2:$AK$3001="Validado")*(Vendas!$B$2:$B$3001=$A75)*(Vendas!$C$2:$C$3001=$B75)*ISNUMBER(Vendas!$X$2:$X$3001)*(Vendas!$X$2:$X$3001&gt;=1))/S75)</f>
        <v/>
      </c>
    </row>
    <row r="76">
      <c r="A76" s="15" t="inlineStr">
        <is>
          <t>São Sebastião</t>
        </is>
      </c>
      <c r="B76" s="15" t="inlineStr">
        <is>
          <t>Industrial</t>
        </is>
      </c>
      <c r="C76" s="26">
        <f>SUMPRODUCT((Vendas!$AK$2:$AK$3001="Validado")*(Vendas!$B$2:$B$3001=$A76)*(Vendas!$C$2:$C$3001=$B76))</f>
        <v/>
      </c>
      <c r="D76" s="26">
        <f>SUMPRODUCT((Vendas!$AK$2:$AK$3001="Validado")*(Vendas!$B$2:$B$3001=$A76)*(Vendas!$C$2:$C$3001=$B76)*ISNUMBER(Vendas!$U$2:$U$3001))</f>
        <v/>
      </c>
      <c r="E76" s="27">
        <f t="array" ref="E76">IF(D76&lt;AMOSTRA_MIN,"n&lt;mín",MEDIAN(IF((Vendas!$AK$2:$AK$3001="Validado")*(Vendas!$B$2:$B$3001=$A76)*(Vendas!$C$2:$C$3001=$B76)*ISNUMBER(Vendas!$U$2:$U$3001),Vendas!$U$2:$U$3001)))</f>
        <v/>
      </c>
      <c r="F76" s="28">
        <f>IF(D76=0,"-",SUMPRODUCT((Vendas!$AK$2:$AK$3001="Validado")*(Vendas!$B$2:$B$3001=$A76)*(Vendas!$C$2:$C$3001=$B76)*ISNUMBER(Vendas!$U$2:$U$3001)*(Vendas!$U$2:$U$3001&lt;1))/D76)</f>
        <v/>
      </c>
      <c r="G76" s="29">
        <f t="array" ref="G76">IF(D76&lt;AMOSTRA_MIN,"n&lt;mín",100*AVERAGE(IF((Vendas!$AK$2:$AK$3001="Validado")*(Vendas!$B$2:$B$3001=$A76)*(Vendas!$C$2:$C$3001=$B76)*ISNUMBER(Vendas!$U$2:$U$3001),ABS(Vendas!$U$2:$U$3001-E76)))/E76)</f>
        <v/>
      </c>
      <c r="H76" s="26">
        <f>SUMPRODUCT((Vendas!$AK$2:$AK$3001="Validado")*(Vendas!$B$2:$B$3001=$A76)*(Vendas!$C$2:$C$3001=$B76)*ISNUMBER(Vendas!$V$2:$V$3001))</f>
        <v/>
      </c>
      <c r="I76" s="27">
        <f t="array" ref="I76">IF(H76&lt;AMOSTRA_MIN,"n&lt;mín",MEDIAN(IF((Vendas!$AK$2:$AK$3001="Validado")*(Vendas!$B$2:$B$3001=$A76)*(Vendas!$C$2:$C$3001=$B76)*ISNUMBER(Vendas!$V$2:$V$3001),Vendas!$V$2:$V$3001)))</f>
        <v/>
      </c>
      <c r="J76" s="28">
        <f>IF(H76=0,"-",SUMPRODUCT((Vendas!$AK$2:$AK$3001="Validado")*(Vendas!$B$2:$B$3001=$A76)*(Vendas!$C$2:$C$3001=$B76)*ISNUMBER(Vendas!$V$2:$V$3001)*(Vendas!$V$2:$V$3001&lt;=1))/H76)</f>
        <v/>
      </c>
      <c r="K76" s="26">
        <f>SUMPRODUCT((Vendas!$AK$2:$AK$3001="Validado")*(Vendas!$B$2:$B$3001=$A76)*(Vendas!$C$2:$C$3001=$B76)*(Vendas!$P$2:$P$3001="Financiado")*ISNUMBER(Vendas!$S$2:$S$3001))</f>
        <v/>
      </c>
      <c r="L76" s="26">
        <f>SUMPRODUCT((Vendas!$AK$2:$AK$3001="Validado")*(Vendas!$B$2:$B$3001=$A76)*(Vendas!$C$2:$C$3001=$B76)*(Vendas!$P$2:$P$3001="À vista")*ISNUMBER(Vendas!$S$2:$S$3001))</f>
        <v/>
      </c>
      <c r="M76" s="17">
        <f t="array" ref="M76">IF(K76&lt;AMOSTRA_MIN,"n&lt;mín",MEDIAN(IF((Vendas!$AK$2:$AK$3001="Validado")*(Vendas!$B$2:$B$3001=$A76)*(Vendas!$C$2:$C$3001=$B76)*(Vendas!$P$2:$P$3001="Financiado")*ISNUMBER(Vendas!$S$2:$S$3001),Vendas!$S$2:$S$3001)))</f>
        <v/>
      </c>
      <c r="N76" s="17">
        <f t="array" ref="N76">IF(L76&lt;AMOSTRA_MIN,"n&lt;mín",MEDIAN(IF((Vendas!$AK$2:$AK$3001="Validado")*(Vendas!$B$2:$B$3001=$A76)*(Vendas!$C$2:$C$3001=$B76)*(Vendas!$P$2:$P$3001="À vista")*ISNUMBER(Vendas!$S$2:$S$3001),Vendas!$S$2:$S$3001)))</f>
        <v/>
      </c>
      <c r="O76" s="28">
        <f>IF(OR(K76&lt;AMOSTRA_MIN,L76&lt;AMOSTRA_MIN),"n&lt;mín",N76/M76-1)</f>
        <v/>
      </c>
      <c r="P76" s="26">
        <f>SUMPRODUCT((Vendas!$AK$2:$AK$3001="Validado")*(Vendas!$B$2:$B$3001=$A76)*(Vendas!$C$2:$C$3001=$B76)*ISNUMBER(Vendas!$W$2:$W$3001))</f>
        <v/>
      </c>
      <c r="Q76" s="27">
        <f t="array" ref="Q76">IF(P76&lt;AMOSTRA_MIN,"n&lt;mín",MEDIAN(IF((Vendas!$AK$2:$AK$3001="Validado")*(Vendas!$B$2:$B$3001=$A76)*(Vendas!$C$2:$C$3001=$B76)*ISNUMBER(Vendas!$W$2:$W$3001),Vendas!$W$2:$W$3001)))</f>
        <v/>
      </c>
      <c r="R76" s="28">
        <f>IF(P76=0,"-",SUMPRODUCT((Vendas!$AK$2:$AK$3001="Validado")*(Vendas!$B$2:$B$3001=$A76)*(Vendas!$C$2:$C$3001=$B76)*ISNUMBER(Vendas!$W$2:$W$3001)*(Vendas!$W$2:$W$3001&lt;1))/P76)</f>
        <v/>
      </c>
      <c r="S76" s="26">
        <f>SUMPRODUCT((Vendas!$AK$2:$AK$3001="Validado")*(Vendas!$B$2:$B$3001=$A76)*(Vendas!$C$2:$C$3001=$B76)*ISNUMBER(Vendas!$X$2:$X$3001))</f>
        <v/>
      </c>
      <c r="T76" s="28">
        <f>IF(S76=0,"-",SUMPRODUCT((Vendas!$AK$2:$AK$3001="Validado")*(Vendas!$B$2:$B$3001=$A76)*(Vendas!$C$2:$C$3001=$B76)*ISNUMBER(Vendas!$X$2:$X$3001)*(Vendas!$X$2:$X$3001&gt;=1))/S76)</f>
        <v/>
      </c>
    </row>
    <row r="77">
      <c r="A77" s="15" t="inlineStr">
        <is>
          <t>São Sebastião</t>
        </is>
      </c>
      <c r="B77" s="15" t="inlineStr">
        <is>
          <t>Jureia</t>
        </is>
      </c>
      <c r="C77" s="26">
        <f>SUMPRODUCT((Vendas!$AK$2:$AK$3001="Validado")*(Vendas!$B$2:$B$3001=$A77)*(Vendas!$C$2:$C$3001=$B77))</f>
        <v/>
      </c>
      <c r="D77" s="26">
        <f>SUMPRODUCT((Vendas!$AK$2:$AK$3001="Validado")*(Vendas!$B$2:$B$3001=$A77)*(Vendas!$C$2:$C$3001=$B77)*ISNUMBER(Vendas!$U$2:$U$3001))</f>
        <v/>
      </c>
      <c r="E77" s="27">
        <f t="array" ref="E77">IF(D77&lt;AMOSTRA_MIN,"n&lt;mín",MEDIAN(IF((Vendas!$AK$2:$AK$3001="Validado")*(Vendas!$B$2:$B$3001=$A77)*(Vendas!$C$2:$C$3001=$B77)*ISNUMBER(Vendas!$U$2:$U$3001),Vendas!$U$2:$U$3001)))</f>
        <v/>
      </c>
      <c r="F77" s="28">
        <f>IF(D77=0,"-",SUMPRODUCT((Vendas!$AK$2:$AK$3001="Validado")*(Vendas!$B$2:$B$3001=$A77)*(Vendas!$C$2:$C$3001=$B77)*ISNUMBER(Vendas!$U$2:$U$3001)*(Vendas!$U$2:$U$3001&lt;1))/D77)</f>
        <v/>
      </c>
      <c r="G77" s="29">
        <f t="array" ref="G77">IF(D77&lt;AMOSTRA_MIN,"n&lt;mín",100*AVERAGE(IF((Vendas!$AK$2:$AK$3001="Validado")*(Vendas!$B$2:$B$3001=$A77)*(Vendas!$C$2:$C$3001=$B77)*ISNUMBER(Vendas!$U$2:$U$3001),ABS(Vendas!$U$2:$U$3001-E77)))/E77)</f>
        <v/>
      </c>
      <c r="H77" s="26">
        <f>SUMPRODUCT((Vendas!$AK$2:$AK$3001="Validado")*(Vendas!$B$2:$B$3001=$A77)*(Vendas!$C$2:$C$3001=$B77)*ISNUMBER(Vendas!$V$2:$V$3001))</f>
        <v/>
      </c>
      <c r="I77" s="27">
        <f t="array" ref="I77">IF(H77&lt;AMOSTRA_MIN,"n&lt;mín",MEDIAN(IF((Vendas!$AK$2:$AK$3001="Validado")*(Vendas!$B$2:$B$3001=$A77)*(Vendas!$C$2:$C$3001=$B77)*ISNUMBER(Vendas!$V$2:$V$3001),Vendas!$V$2:$V$3001)))</f>
        <v/>
      </c>
      <c r="J77" s="28">
        <f>IF(H77=0,"-",SUMPRODUCT((Vendas!$AK$2:$AK$3001="Validado")*(Vendas!$B$2:$B$3001=$A77)*(Vendas!$C$2:$C$3001=$B77)*ISNUMBER(Vendas!$V$2:$V$3001)*(Vendas!$V$2:$V$3001&lt;=1))/H77)</f>
        <v/>
      </c>
      <c r="K77" s="26">
        <f>SUMPRODUCT((Vendas!$AK$2:$AK$3001="Validado")*(Vendas!$B$2:$B$3001=$A77)*(Vendas!$C$2:$C$3001=$B77)*(Vendas!$P$2:$P$3001="Financiado")*ISNUMBER(Vendas!$S$2:$S$3001))</f>
        <v/>
      </c>
      <c r="L77" s="26">
        <f>SUMPRODUCT((Vendas!$AK$2:$AK$3001="Validado")*(Vendas!$B$2:$B$3001=$A77)*(Vendas!$C$2:$C$3001=$B77)*(Vendas!$P$2:$P$3001="À vista")*ISNUMBER(Vendas!$S$2:$S$3001))</f>
        <v/>
      </c>
      <c r="M77" s="17">
        <f t="array" ref="M77">IF(K77&lt;AMOSTRA_MIN,"n&lt;mín",MEDIAN(IF((Vendas!$AK$2:$AK$3001="Validado")*(Vendas!$B$2:$B$3001=$A77)*(Vendas!$C$2:$C$3001=$B77)*(Vendas!$P$2:$P$3001="Financiado")*ISNUMBER(Vendas!$S$2:$S$3001),Vendas!$S$2:$S$3001)))</f>
        <v/>
      </c>
      <c r="N77" s="17">
        <f t="array" ref="N77">IF(L77&lt;AMOSTRA_MIN,"n&lt;mín",MEDIAN(IF((Vendas!$AK$2:$AK$3001="Validado")*(Vendas!$B$2:$B$3001=$A77)*(Vendas!$C$2:$C$3001=$B77)*(Vendas!$P$2:$P$3001="À vista")*ISNUMBER(Vendas!$S$2:$S$3001),Vendas!$S$2:$S$3001)))</f>
        <v/>
      </c>
      <c r="O77" s="28">
        <f>IF(OR(K77&lt;AMOSTRA_MIN,L77&lt;AMOSTRA_MIN),"n&lt;mín",N77/M77-1)</f>
        <v/>
      </c>
      <c r="P77" s="26">
        <f>SUMPRODUCT((Vendas!$AK$2:$AK$3001="Validado")*(Vendas!$B$2:$B$3001=$A77)*(Vendas!$C$2:$C$3001=$B77)*ISNUMBER(Vendas!$W$2:$W$3001))</f>
        <v/>
      </c>
      <c r="Q77" s="27">
        <f t="array" ref="Q77">IF(P77&lt;AMOSTRA_MIN,"n&lt;mín",MEDIAN(IF((Vendas!$AK$2:$AK$3001="Validado")*(Vendas!$B$2:$B$3001=$A77)*(Vendas!$C$2:$C$3001=$B77)*ISNUMBER(Vendas!$W$2:$W$3001),Vendas!$W$2:$W$3001)))</f>
        <v/>
      </c>
      <c r="R77" s="28">
        <f>IF(P77=0,"-",SUMPRODUCT((Vendas!$AK$2:$AK$3001="Validado")*(Vendas!$B$2:$B$3001=$A77)*(Vendas!$C$2:$C$3001=$B77)*ISNUMBER(Vendas!$W$2:$W$3001)*(Vendas!$W$2:$W$3001&lt;1))/P77)</f>
        <v/>
      </c>
      <c r="S77" s="26">
        <f>SUMPRODUCT((Vendas!$AK$2:$AK$3001="Validado")*(Vendas!$B$2:$B$3001=$A77)*(Vendas!$C$2:$C$3001=$B77)*ISNUMBER(Vendas!$X$2:$X$3001))</f>
        <v/>
      </c>
      <c r="T77" s="28">
        <f>IF(S77=0,"-",SUMPRODUCT((Vendas!$AK$2:$AK$3001="Validado")*(Vendas!$B$2:$B$3001=$A77)*(Vendas!$C$2:$C$3001=$B77)*ISNUMBER(Vendas!$X$2:$X$3001)*(Vendas!$X$2:$X$3001&gt;=1))/S77)</f>
        <v/>
      </c>
    </row>
    <row r="78">
      <c r="A78" s="15" t="inlineStr">
        <is>
          <t>São Sebastião</t>
        </is>
      </c>
      <c r="B78" s="15" t="inlineStr">
        <is>
          <t>Engenho</t>
        </is>
      </c>
      <c r="C78" s="26">
        <f>SUMPRODUCT((Vendas!$AK$2:$AK$3001="Validado")*(Vendas!$B$2:$B$3001=$A78)*(Vendas!$C$2:$C$3001=$B78))</f>
        <v/>
      </c>
      <c r="D78" s="26">
        <f>SUMPRODUCT((Vendas!$AK$2:$AK$3001="Validado")*(Vendas!$B$2:$B$3001=$A78)*(Vendas!$C$2:$C$3001=$B78)*ISNUMBER(Vendas!$U$2:$U$3001))</f>
        <v/>
      </c>
      <c r="E78" s="27">
        <f t="array" ref="E78">IF(D78&lt;AMOSTRA_MIN,"n&lt;mín",MEDIAN(IF((Vendas!$AK$2:$AK$3001="Validado")*(Vendas!$B$2:$B$3001=$A78)*(Vendas!$C$2:$C$3001=$B78)*ISNUMBER(Vendas!$U$2:$U$3001),Vendas!$U$2:$U$3001)))</f>
        <v/>
      </c>
      <c r="F78" s="28">
        <f>IF(D78=0,"-",SUMPRODUCT((Vendas!$AK$2:$AK$3001="Validado")*(Vendas!$B$2:$B$3001=$A78)*(Vendas!$C$2:$C$3001=$B78)*ISNUMBER(Vendas!$U$2:$U$3001)*(Vendas!$U$2:$U$3001&lt;1))/D78)</f>
        <v/>
      </c>
      <c r="G78" s="29">
        <f t="array" ref="G78">IF(D78&lt;AMOSTRA_MIN,"n&lt;mín",100*AVERAGE(IF((Vendas!$AK$2:$AK$3001="Validado")*(Vendas!$B$2:$B$3001=$A78)*(Vendas!$C$2:$C$3001=$B78)*ISNUMBER(Vendas!$U$2:$U$3001),ABS(Vendas!$U$2:$U$3001-E78)))/E78)</f>
        <v/>
      </c>
      <c r="H78" s="26">
        <f>SUMPRODUCT((Vendas!$AK$2:$AK$3001="Validado")*(Vendas!$B$2:$B$3001=$A78)*(Vendas!$C$2:$C$3001=$B78)*ISNUMBER(Vendas!$V$2:$V$3001))</f>
        <v/>
      </c>
      <c r="I78" s="27">
        <f t="array" ref="I78">IF(H78&lt;AMOSTRA_MIN,"n&lt;mín",MEDIAN(IF((Vendas!$AK$2:$AK$3001="Validado")*(Vendas!$B$2:$B$3001=$A78)*(Vendas!$C$2:$C$3001=$B78)*ISNUMBER(Vendas!$V$2:$V$3001),Vendas!$V$2:$V$3001)))</f>
        <v/>
      </c>
      <c r="J78" s="28">
        <f>IF(H78=0,"-",SUMPRODUCT((Vendas!$AK$2:$AK$3001="Validado")*(Vendas!$B$2:$B$3001=$A78)*(Vendas!$C$2:$C$3001=$B78)*ISNUMBER(Vendas!$V$2:$V$3001)*(Vendas!$V$2:$V$3001&lt;=1))/H78)</f>
        <v/>
      </c>
      <c r="K78" s="26">
        <f>SUMPRODUCT((Vendas!$AK$2:$AK$3001="Validado")*(Vendas!$B$2:$B$3001=$A78)*(Vendas!$C$2:$C$3001=$B78)*(Vendas!$P$2:$P$3001="Financiado")*ISNUMBER(Vendas!$S$2:$S$3001))</f>
        <v/>
      </c>
      <c r="L78" s="26">
        <f>SUMPRODUCT((Vendas!$AK$2:$AK$3001="Validado")*(Vendas!$B$2:$B$3001=$A78)*(Vendas!$C$2:$C$3001=$B78)*(Vendas!$P$2:$P$3001="À vista")*ISNUMBER(Vendas!$S$2:$S$3001))</f>
        <v/>
      </c>
      <c r="M78" s="17">
        <f t="array" ref="M78">IF(K78&lt;AMOSTRA_MIN,"n&lt;mín",MEDIAN(IF((Vendas!$AK$2:$AK$3001="Validado")*(Vendas!$B$2:$B$3001=$A78)*(Vendas!$C$2:$C$3001=$B78)*(Vendas!$P$2:$P$3001="Financiado")*ISNUMBER(Vendas!$S$2:$S$3001),Vendas!$S$2:$S$3001)))</f>
        <v/>
      </c>
      <c r="N78" s="17">
        <f t="array" ref="N78">IF(L78&lt;AMOSTRA_MIN,"n&lt;mín",MEDIAN(IF((Vendas!$AK$2:$AK$3001="Validado")*(Vendas!$B$2:$B$3001=$A78)*(Vendas!$C$2:$C$3001=$B78)*(Vendas!$P$2:$P$3001="À vista")*ISNUMBER(Vendas!$S$2:$S$3001),Vendas!$S$2:$S$3001)))</f>
        <v/>
      </c>
      <c r="O78" s="28">
        <f>IF(OR(K78&lt;AMOSTRA_MIN,L78&lt;AMOSTRA_MIN),"n&lt;mín",N78/M78-1)</f>
        <v/>
      </c>
      <c r="P78" s="26">
        <f>SUMPRODUCT((Vendas!$AK$2:$AK$3001="Validado")*(Vendas!$B$2:$B$3001=$A78)*(Vendas!$C$2:$C$3001=$B78)*ISNUMBER(Vendas!$W$2:$W$3001))</f>
        <v/>
      </c>
      <c r="Q78" s="27">
        <f t="array" ref="Q78">IF(P78&lt;AMOSTRA_MIN,"n&lt;mín",MEDIAN(IF((Vendas!$AK$2:$AK$3001="Validado")*(Vendas!$B$2:$B$3001=$A78)*(Vendas!$C$2:$C$3001=$B78)*ISNUMBER(Vendas!$W$2:$W$3001),Vendas!$W$2:$W$3001)))</f>
        <v/>
      </c>
      <c r="R78" s="28">
        <f>IF(P78=0,"-",SUMPRODUCT((Vendas!$AK$2:$AK$3001="Validado")*(Vendas!$B$2:$B$3001=$A78)*(Vendas!$C$2:$C$3001=$B78)*ISNUMBER(Vendas!$W$2:$W$3001)*(Vendas!$W$2:$W$3001&lt;1))/P78)</f>
        <v/>
      </c>
      <c r="S78" s="26">
        <f>SUMPRODUCT((Vendas!$AK$2:$AK$3001="Validado")*(Vendas!$B$2:$B$3001=$A78)*(Vendas!$C$2:$C$3001=$B78)*ISNUMBER(Vendas!$X$2:$X$3001))</f>
        <v/>
      </c>
      <c r="T78" s="28">
        <f>IF(S78=0,"-",SUMPRODUCT((Vendas!$AK$2:$AK$3001="Validado")*(Vendas!$B$2:$B$3001=$A78)*(Vendas!$C$2:$C$3001=$B78)*ISNUMBER(Vendas!$X$2:$X$3001)*(Vendas!$X$2:$X$3001&gt;=1))/S78)</f>
        <v/>
      </c>
    </row>
    <row r="79">
      <c r="A79" s="15" t="inlineStr">
        <is>
          <t>Bertioga</t>
        </is>
      </c>
      <c r="B79" s="15" t="inlineStr">
        <is>
          <t>Caiubura</t>
        </is>
      </c>
      <c r="C79" s="26">
        <f>SUMPRODUCT((Vendas!$AK$2:$AK$3001="Validado")*(Vendas!$B$2:$B$3001=$A79)*(Vendas!$C$2:$C$3001=$B79))</f>
        <v/>
      </c>
      <c r="D79" s="26">
        <f>SUMPRODUCT((Vendas!$AK$2:$AK$3001="Validado")*(Vendas!$B$2:$B$3001=$A79)*(Vendas!$C$2:$C$3001=$B79)*ISNUMBER(Vendas!$U$2:$U$3001))</f>
        <v/>
      </c>
      <c r="E79" s="27">
        <f t="array" ref="E79">IF(D79&lt;AMOSTRA_MIN,"n&lt;mín",MEDIAN(IF((Vendas!$AK$2:$AK$3001="Validado")*(Vendas!$B$2:$B$3001=$A79)*(Vendas!$C$2:$C$3001=$B79)*ISNUMBER(Vendas!$U$2:$U$3001),Vendas!$U$2:$U$3001)))</f>
        <v/>
      </c>
      <c r="F79" s="28">
        <f>IF(D79=0,"-",SUMPRODUCT((Vendas!$AK$2:$AK$3001="Validado")*(Vendas!$B$2:$B$3001=$A79)*(Vendas!$C$2:$C$3001=$B79)*ISNUMBER(Vendas!$U$2:$U$3001)*(Vendas!$U$2:$U$3001&lt;1))/D79)</f>
        <v/>
      </c>
      <c r="G79" s="29">
        <f t="array" ref="G79">IF(D79&lt;AMOSTRA_MIN,"n&lt;mín",100*AVERAGE(IF((Vendas!$AK$2:$AK$3001="Validado")*(Vendas!$B$2:$B$3001=$A79)*(Vendas!$C$2:$C$3001=$B79)*ISNUMBER(Vendas!$U$2:$U$3001),ABS(Vendas!$U$2:$U$3001-E79)))/E79)</f>
        <v/>
      </c>
      <c r="H79" s="26">
        <f>SUMPRODUCT((Vendas!$AK$2:$AK$3001="Validado")*(Vendas!$B$2:$B$3001=$A79)*(Vendas!$C$2:$C$3001=$B79)*ISNUMBER(Vendas!$V$2:$V$3001))</f>
        <v/>
      </c>
      <c r="I79" s="27">
        <f t="array" ref="I79">IF(H79&lt;AMOSTRA_MIN,"n&lt;mín",MEDIAN(IF((Vendas!$AK$2:$AK$3001="Validado")*(Vendas!$B$2:$B$3001=$A79)*(Vendas!$C$2:$C$3001=$B79)*ISNUMBER(Vendas!$V$2:$V$3001),Vendas!$V$2:$V$3001)))</f>
        <v/>
      </c>
      <c r="J79" s="28">
        <f>IF(H79=0,"-",SUMPRODUCT((Vendas!$AK$2:$AK$3001="Validado")*(Vendas!$B$2:$B$3001=$A79)*(Vendas!$C$2:$C$3001=$B79)*ISNUMBER(Vendas!$V$2:$V$3001)*(Vendas!$V$2:$V$3001&lt;=1))/H79)</f>
        <v/>
      </c>
      <c r="K79" s="26">
        <f>SUMPRODUCT((Vendas!$AK$2:$AK$3001="Validado")*(Vendas!$B$2:$B$3001=$A79)*(Vendas!$C$2:$C$3001=$B79)*(Vendas!$P$2:$P$3001="Financiado")*ISNUMBER(Vendas!$S$2:$S$3001))</f>
        <v/>
      </c>
      <c r="L79" s="26">
        <f>SUMPRODUCT((Vendas!$AK$2:$AK$3001="Validado")*(Vendas!$B$2:$B$3001=$A79)*(Vendas!$C$2:$C$3001=$B79)*(Vendas!$P$2:$P$3001="À vista")*ISNUMBER(Vendas!$S$2:$S$3001))</f>
        <v/>
      </c>
      <c r="M79" s="17">
        <f t="array" ref="M79">IF(K79&lt;AMOSTRA_MIN,"n&lt;mín",MEDIAN(IF((Vendas!$AK$2:$AK$3001="Validado")*(Vendas!$B$2:$B$3001=$A79)*(Vendas!$C$2:$C$3001=$B79)*(Vendas!$P$2:$P$3001="Financiado")*ISNUMBER(Vendas!$S$2:$S$3001),Vendas!$S$2:$S$3001)))</f>
        <v/>
      </c>
      <c r="N79" s="17">
        <f t="array" ref="N79">IF(L79&lt;AMOSTRA_MIN,"n&lt;mín",MEDIAN(IF((Vendas!$AK$2:$AK$3001="Validado")*(Vendas!$B$2:$B$3001=$A79)*(Vendas!$C$2:$C$3001=$B79)*(Vendas!$P$2:$P$3001="À vista")*ISNUMBER(Vendas!$S$2:$S$3001),Vendas!$S$2:$S$3001)))</f>
        <v/>
      </c>
      <c r="O79" s="28">
        <f>IF(OR(K79&lt;AMOSTRA_MIN,L79&lt;AMOSTRA_MIN),"n&lt;mín",N79/M79-1)</f>
        <v/>
      </c>
      <c r="P79" s="26">
        <f>SUMPRODUCT((Vendas!$AK$2:$AK$3001="Validado")*(Vendas!$B$2:$B$3001=$A79)*(Vendas!$C$2:$C$3001=$B79)*ISNUMBER(Vendas!$W$2:$W$3001))</f>
        <v/>
      </c>
      <c r="Q79" s="27">
        <f t="array" ref="Q79">IF(P79&lt;AMOSTRA_MIN,"n&lt;mín",MEDIAN(IF((Vendas!$AK$2:$AK$3001="Validado")*(Vendas!$B$2:$B$3001=$A79)*(Vendas!$C$2:$C$3001=$B79)*ISNUMBER(Vendas!$W$2:$W$3001),Vendas!$W$2:$W$3001)))</f>
        <v/>
      </c>
      <c r="R79" s="28">
        <f>IF(P79=0,"-",SUMPRODUCT((Vendas!$AK$2:$AK$3001="Validado")*(Vendas!$B$2:$B$3001=$A79)*(Vendas!$C$2:$C$3001=$B79)*ISNUMBER(Vendas!$W$2:$W$3001)*(Vendas!$W$2:$W$3001&lt;1))/P79)</f>
        <v/>
      </c>
      <c r="S79" s="26">
        <f>SUMPRODUCT((Vendas!$AK$2:$AK$3001="Validado")*(Vendas!$B$2:$B$3001=$A79)*(Vendas!$C$2:$C$3001=$B79)*ISNUMBER(Vendas!$X$2:$X$3001))</f>
        <v/>
      </c>
      <c r="T79" s="28">
        <f>IF(S79=0,"-",SUMPRODUCT((Vendas!$AK$2:$AK$3001="Validado")*(Vendas!$B$2:$B$3001=$A79)*(Vendas!$C$2:$C$3001=$B79)*ISNUMBER(Vendas!$X$2:$X$3001)*(Vendas!$X$2:$X$3001&gt;=1))/S79)</f>
        <v/>
      </c>
    </row>
    <row r="80">
      <c r="A80" s="15" t="inlineStr">
        <is>
          <t>Bertioga</t>
        </is>
      </c>
      <c r="B80" s="15" t="inlineStr">
        <is>
          <t>São João</t>
        </is>
      </c>
      <c r="C80" s="26">
        <f>SUMPRODUCT((Vendas!$AK$2:$AK$3001="Validado")*(Vendas!$B$2:$B$3001=$A80)*(Vendas!$C$2:$C$3001=$B80))</f>
        <v/>
      </c>
      <c r="D80" s="26">
        <f>SUMPRODUCT((Vendas!$AK$2:$AK$3001="Validado")*(Vendas!$B$2:$B$3001=$A80)*(Vendas!$C$2:$C$3001=$B80)*ISNUMBER(Vendas!$U$2:$U$3001))</f>
        <v/>
      </c>
      <c r="E80" s="27">
        <f t="array" ref="E80">IF(D80&lt;AMOSTRA_MIN,"n&lt;mín",MEDIAN(IF((Vendas!$AK$2:$AK$3001="Validado")*(Vendas!$B$2:$B$3001=$A80)*(Vendas!$C$2:$C$3001=$B80)*ISNUMBER(Vendas!$U$2:$U$3001),Vendas!$U$2:$U$3001)))</f>
        <v/>
      </c>
      <c r="F80" s="28">
        <f>IF(D80=0,"-",SUMPRODUCT((Vendas!$AK$2:$AK$3001="Validado")*(Vendas!$B$2:$B$3001=$A80)*(Vendas!$C$2:$C$3001=$B80)*ISNUMBER(Vendas!$U$2:$U$3001)*(Vendas!$U$2:$U$3001&lt;1))/D80)</f>
        <v/>
      </c>
      <c r="G80" s="29">
        <f t="array" ref="G80">IF(D80&lt;AMOSTRA_MIN,"n&lt;mín",100*AVERAGE(IF((Vendas!$AK$2:$AK$3001="Validado")*(Vendas!$B$2:$B$3001=$A80)*(Vendas!$C$2:$C$3001=$B80)*ISNUMBER(Vendas!$U$2:$U$3001),ABS(Vendas!$U$2:$U$3001-E80)))/E80)</f>
        <v/>
      </c>
      <c r="H80" s="26">
        <f>SUMPRODUCT((Vendas!$AK$2:$AK$3001="Validado")*(Vendas!$B$2:$B$3001=$A80)*(Vendas!$C$2:$C$3001=$B80)*ISNUMBER(Vendas!$V$2:$V$3001))</f>
        <v/>
      </c>
      <c r="I80" s="27">
        <f t="array" ref="I80">IF(H80&lt;AMOSTRA_MIN,"n&lt;mín",MEDIAN(IF((Vendas!$AK$2:$AK$3001="Validado")*(Vendas!$B$2:$B$3001=$A80)*(Vendas!$C$2:$C$3001=$B80)*ISNUMBER(Vendas!$V$2:$V$3001),Vendas!$V$2:$V$3001)))</f>
        <v/>
      </c>
      <c r="J80" s="28">
        <f>IF(H80=0,"-",SUMPRODUCT((Vendas!$AK$2:$AK$3001="Validado")*(Vendas!$B$2:$B$3001=$A80)*(Vendas!$C$2:$C$3001=$B80)*ISNUMBER(Vendas!$V$2:$V$3001)*(Vendas!$V$2:$V$3001&lt;=1))/H80)</f>
        <v/>
      </c>
      <c r="K80" s="26">
        <f>SUMPRODUCT((Vendas!$AK$2:$AK$3001="Validado")*(Vendas!$B$2:$B$3001=$A80)*(Vendas!$C$2:$C$3001=$B80)*(Vendas!$P$2:$P$3001="Financiado")*ISNUMBER(Vendas!$S$2:$S$3001))</f>
        <v/>
      </c>
      <c r="L80" s="26">
        <f>SUMPRODUCT((Vendas!$AK$2:$AK$3001="Validado")*(Vendas!$B$2:$B$3001=$A80)*(Vendas!$C$2:$C$3001=$B80)*(Vendas!$P$2:$P$3001="À vista")*ISNUMBER(Vendas!$S$2:$S$3001))</f>
        <v/>
      </c>
      <c r="M80" s="17">
        <f t="array" ref="M80">IF(K80&lt;AMOSTRA_MIN,"n&lt;mín",MEDIAN(IF((Vendas!$AK$2:$AK$3001="Validado")*(Vendas!$B$2:$B$3001=$A80)*(Vendas!$C$2:$C$3001=$B80)*(Vendas!$P$2:$P$3001="Financiado")*ISNUMBER(Vendas!$S$2:$S$3001),Vendas!$S$2:$S$3001)))</f>
        <v/>
      </c>
      <c r="N80" s="17">
        <f t="array" ref="N80">IF(L80&lt;AMOSTRA_MIN,"n&lt;mín",MEDIAN(IF((Vendas!$AK$2:$AK$3001="Validado")*(Vendas!$B$2:$B$3001=$A80)*(Vendas!$C$2:$C$3001=$B80)*(Vendas!$P$2:$P$3001="À vista")*ISNUMBER(Vendas!$S$2:$S$3001),Vendas!$S$2:$S$3001)))</f>
        <v/>
      </c>
      <c r="O80" s="28">
        <f>IF(OR(K80&lt;AMOSTRA_MIN,L80&lt;AMOSTRA_MIN),"n&lt;mín",N80/M80-1)</f>
        <v/>
      </c>
      <c r="P80" s="26">
        <f>SUMPRODUCT((Vendas!$AK$2:$AK$3001="Validado")*(Vendas!$B$2:$B$3001=$A80)*(Vendas!$C$2:$C$3001=$B80)*ISNUMBER(Vendas!$W$2:$W$3001))</f>
        <v/>
      </c>
      <c r="Q80" s="27">
        <f t="array" ref="Q80">IF(P80&lt;AMOSTRA_MIN,"n&lt;mín",MEDIAN(IF((Vendas!$AK$2:$AK$3001="Validado")*(Vendas!$B$2:$B$3001=$A80)*(Vendas!$C$2:$C$3001=$B80)*ISNUMBER(Vendas!$W$2:$W$3001),Vendas!$W$2:$W$3001)))</f>
        <v/>
      </c>
      <c r="R80" s="28">
        <f>IF(P80=0,"-",SUMPRODUCT((Vendas!$AK$2:$AK$3001="Validado")*(Vendas!$B$2:$B$3001=$A80)*(Vendas!$C$2:$C$3001=$B80)*ISNUMBER(Vendas!$W$2:$W$3001)*(Vendas!$W$2:$W$3001&lt;1))/P80)</f>
        <v/>
      </c>
      <c r="S80" s="26">
        <f>SUMPRODUCT((Vendas!$AK$2:$AK$3001="Validado")*(Vendas!$B$2:$B$3001=$A80)*(Vendas!$C$2:$C$3001=$B80)*ISNUMBER(Vendas!$X$2:$X$3001))</f>
        <v/>
      </c>
      <c r="T80" s="28">
        <f>IF(S80=0,"-",SUMPRODUCT((Vendas!$AK$2:$AK$3001="Validado")*(Vendas!$B$2:$B$3001=$A80)*(Vendas!$C$2:$C$3001=$B80)*ISNUMBER(Vendas!$X$2:$X$3001)*(Vendas!$X$2:$X$3001&gt;=1))/S80)</f>
        <v/>
      </c>
    </row>
    <row r="81">
      <c r="A81" s="15" t="inlineStr">
        <is>
          <t>Bertioga</t>
        </is>
      </c>
      <c r="B81" s="15" t="inlineStr">
        <is>
          <t>Centro</t>
        </is>
      </c>
      <c r="C81" s="26">
        <f>SUMPRODUCT((Vendas!$AK$2:$AK$3001="Validado")*(Vendas!$B$2:$B$3001=$A81)*(Vendas!$C$2:$C$3001=$B81))</f>
        <v/>
      </c>
      <c r="D81" s="26">
        <f>SUMPRODUCT((Vendas!$AK$2:$AK$3001="Validado")*(Vendas!$B$2:$B$3001=$A81)*(Vendas!$C$2:$C$3001=$B81)*ISNUMBER(Vendas!$U$2:$U$3001))</f>
        <v/>
      </c>
      <c r="E81" s="27">
        <f t="array" ref="E81">IF(D81&lt;AMOSTRA_MIN,"n&lt;mín",MEDIAN(IF((Vendas!$AK$2:$AK$3001="Validado")*(Vendas!$B$2:$B$3001=$A81)*(Vendas!$C$2:$C$3001=$B81)*ISNUMBER(Vendas!$U$2:$U$3001),Vendas!$U$2:$U$3001)))</f>
        <v/>
      </c>
      <c r="F81" s="28">
        <f>IF(D81=0,"-",SUMPRODUCT((Vendas!$AK$2:$AK$3001="Validado")*(Vendas!$B$2:$B$3001=$A81)*(Vendas!$C$2:$C$3001=$B81)*ISNUMBER(Vendas!$U$2:$U$3001)*(Vendas!$U$2:$U$3001&lt;1))/D81)</f>
        <v/>
      </c>
      <c r="G81" s="29">
        <f t="array" ref="G81">IF(D81&lt;AMOSTRA_MIN,"n&lt;mín",100*AVERAGE(IF((Vendas!$AK$2:$AK$3001="Validado")*(Vendas!$B$2:$B$3001=$A81)*(Vendas!$C$2:$C$3001=$B81)*ISNUMBER(Vendas!$U$2:$U$3001),ABS(Vendas!$U$2:$U$3001-E81)))/E81)</f>
        <v/>
      </c>
      <c r="H81" s="26">
        <f>SUMPRODUCT((Vendas!$AK$2:$AK$3001="Validado")*(Vendas!$B$2:$B$3001=$A81)*(Vendas!$C$2:$C$3001=$B81)*ISNUMBER(Vendas!$V$2:$V$3001))</f>
        <v/>
      </c>
      <c r="I81" s="27">
        <f t="array" ref="I81">IF(H81&lt;AMOSTRA_MIN,"n&lt;mín",MEDIAN(IF((Vendas!$AK$2:$AK$3001="Validado")*(Vendas!$B$2:$B$3001=$A81)*(Vendas!$C$2:$C$3001=$B81)*ISNUMBER(Vendas!$V$2:$V$3001),Vendas!$V$2:$V$3001)))</f>
        <v/>
      </c>
      <c r="J81" s="28">
        <f>IF(H81=0,"-",SUMPRODUCT((Vendas!$AK$2:$AK$3001="Validado")*(Vendas!$B$2:$B$3001=$A81)*(Vendas!$C$2:$C$3001=$B81)*ISNUMBER(Vendas!$V$2:$V$3001)*(Vendas!$V$2:$V$3001&lt;=1))/H81)</f>
        <v/>
      </c>
      <c r="K81" s="26">
        <f>SUMPRODUCT((Vendas!$AK$2:$AK$3001="Validado")*(Vendas!$B$2:$B$3001=$A81)*(Vendas!$C$2:$C$3001=$B81)*(Vendas!$P$2:$P$3001="Financiado")*ISNUMBER(Vendas!$S$2:$S$3001))</f>
        <v/>
      </c>
      <c r="L81" s="26">
        <f>SUMPRODUCT((Vendas!$AK$2:$AK$3001="Validado")*(Vendas!$B$2:$B$3001=$A81)*(Vendas!$C$2:$C$3001=$B81)*(Vendas!$P$2:$P$3001="À vista")*ISNUMBER(Vendas!$S$2:$S$3001))</f>
        <v/>
      </c>
      <c r="M81" s="17">
        <f t="array" ref="M81">IF(K81&lt;AMOSTRA_MIN,"n&lt;mín",MEDIAN(IF((Vendas!$AK$2:$AK$3001="Validado")*(Vendas!$B$2:$B$3001=$A81)*(Vendas!$C$2:$C$3001=$B81)*(Vendas!$P$2:$P$3001="Financiado")*ISNUMBER(Vendas!$S$2:$S$3001),Vendas!$S$2:$S$3001)))</f>
        <v/>
      </c>
      <c r="N81" s="17">
        <f t="array" ref="N81">IF(L81&lt;AMOSTRA_MIN,"n&lt;mín",MEDIAN(IF((Vendas!$AK$2:$AK$3001="Validado")*(Vendas!$B$2:$B$3001=$A81)*(Vendas!$C$2:$C$3001=$B81)*(Vendas!$P$2:$P$3001="À vista")*ISNUMBER(Vendas!$S$2:$S$3001),Vendas!$S$2:$S$3001)))</f>
        <v/>
      </c>
      <c r="O81" s="28">
        <f>IF(OR(K81&lt;AMOSTRA_MIN,L81&lt;AMOSTRA_MIN),"n&lt;mín",N81/M81-1)</f>
        <v/>
      </c>
      <c r="P81" s="26">
        <f>SUMPRODUCT((Vendas!$AK$2:$AK$3001="Validado")*(Vendas!$B$2:$B$3001=$A81)*(Vendas!$C$2:$C$3001=$B81)*ISNUMBER(Vendas!$W$2:$W$3001))</f>
        <v/>
      </c>
      <c r="Q81" s="27">
        <f t="array" ref="Q81">IF(P81&lt;AMOSTRA_MIN,"n&lt;mín",MEDIAN(IF((Vendas!$AK$2:$AK$3001="Validado")*(Vendas!$B$2:$B$3001=$A81)*(Vendas!$C$2:$C$3001=$B81)*ISNUMBER(Vendas!$W$2:$W$3001),Vendas!$W$2:$W$3001)))</f>
        <v/>
      </c>
      <c r="R81" s="28">
        <f>IF(P81=0,"-",SUMPRODUCT((Vendas!$AK$2:$AK$3001="Validado")*(Vendas!$B$2:$B$3001=$A81)*(Vendas!$C$2:$C$3001=$B81)*ISNUMBER(Vendas!$W$2:$W$3001)*(Vendas!$W$2:$W$3001&lt;1))/P81)</f>
        <v/>
      </c>
      <c r="S81" s="26">
        <f>SUMPRODUCT((Vendas!$AK$2:$AK$3001="Validado")*(Vendas!$B$2:$B$3001=$A81)*(Vendas!$C$2:$C$3001=$B81)*ISNUMBER(Vendas!$X$2:$X$3001))</f>
        <v/>
      </c>
      <c r="T81" s="28">
        <f>IF(S81=0,"-",SUMPRODUCT((Vendas!$AK$2:$AK$3001="Validado")*(Vendas!$B$2:$B$3001=$A81)*(Vendas!$C$2:$C$3001=$B81)*ISNUMBER(Vendas!$X$2:$X$3001)*(Vendas!$X$2:$X$3001&gt;=1))/S81)</f>
        <v/>
      </c>
    </row>
    <row r="82">
      <c r="A82" s="15" t="inlineStr">
        <is>
          <t>Bertioga</t>
        </is>
      </c>
      <c r="B82" s="15" t="inlineStr">
        <is>
          <t>Jardim Vicente de Carvalho</t>
        </is>
      </c>
      <c r="C82" s="26">
        <f>SUMPRODUCT((Vendas!$AK$2:$AK$3001="Validado")*(Vendas!$B$2:$B$3001=$A82)*(Vendas!$C$2:$C$3001=$B82))</f>
        <v/>
      </c>
      <c r="D82" s="26">
        <f>SUMPRODUCT((Vendas!$AK$2:$AK$3001="Validado")*(Vendas!$B$2:$B$3001=$A82)*(Vendas!$C$2:$C$3001=$B82)*ISNUMBER(Vendas!$U$2:$U$3001))</f>
        <v/>
      </c>
      <c r="E82" s="27">
        <f t="array" ref="E82">IF(D82&lt;AMOSTRA_MIN,"n&lt;mín",MEDIAN(IF((Vendas!$AK$2:$AK$3001="Validado")*(Vendas!$B$2:$B$3001=$A82)*(Vendas!$C$2:$C$3001=$B82)*ISNUMBER(Vendas!$U$2:$U$3001),Vendas!$U$2:$U$3001)))</f>
        <v/>
      </c>
      <c r="F82" s="28">
        <f>IF(D82=0,"-",SUMPRODUCT((Vendas!$AK$2:$AK$3001="Validado")*(Vendas!$B$2:$B$3001=$A82)*(Vendas!$C$2:$C$3001=$B82)*ISNUMBER(Vendas!$U$2:$U$3001)*(Vendas!$U$2:$U$3001&lt;1))/D82)</f>
        <v/>
      </c>
      <c r="G82" s="29">
        <f t="array" ref="G82">IF(D82&lt;AMOSTRA_MIN,"n&lt;mín",100*AVERAGE(IF((Vendas!$AK$2:$AK$3001="Validado")*(Vendas!$B$2:$B$3001=$A82)*(Vendas!$C$2:$C$3001=$B82)*ISNUMBER(Vendas!$U$2:$U$3001),ABS(Vendas!$U$2:$U$3001-E82)))/E82)</f>
        <v/>
      </c>
      <c r="H82" s="26">
        <f>SUMPRODUCT((Vendas!$AK$2:$AK$3001="Validado")*(Vendas!$B$2:$B$3001=$A82)*(Vendas!$C$2:$C$3001=$B82)*ISNUMBER(Vendas!$V$2:$V$3001))</f>
        <v/>
      </c>
      <c r="I82" s="27">
        <f t="array" ref="I82">IF(H82&lt;AMOSTRA_MIN,"n&lt;mín",MEDIAN(IF((Vendas!$AK$2:$AK$3001="Validado")*(Vendas!$B$2:$B$3001=$A82)*(Vendas!$C$2:$C$3001=$B82)*ISNUMBER(Vendas!$V$2:$V$3001),Vendas!$V$2:$V$3001)))</f>
        <v/>
      </c>
      <c r="J82" s="28">
        <f>IF(H82=0,"-",SUMPRODUCT((Vendas!$AK$2:$AK$3001="Validado")*(Vendas!$B$2:$B$3001=$A82)*(Vendas!$C$2:$C$3001=$B82)*ISNUMBER(Vendas!$V$2:$V$3001)*(Vendas!$V$2:$V$3001&lt;=1))/H82)</f>
        <v/>
      </c>
      <c r="K82" s="26">
        <f>SUMPRODUCT((Vendas!$AK$2:$AK$3001="Validado")*(Vendas!$B$2:$B$3001=$A82)*(Vendas!$C$2:$C$3001=$B82)*(Vendas!$P$2:$P$3001="Financiado")*ISNUMBER(Vendas!$S$2:$S$3001))</f>
        <v/>
      </c>
      <c r="L82" s="26">
        <f>SUMPRODUCT((Vendas!$AK$2:$AK$3001="Validado")*(Vendas!$B$2:$B$3001=$A82)*(Vendas!$C$2:$C$3001=$B82)*(Vendas!$P$2:$P$3001="À vista")*ISNUMBER(Vendas!$S$2:$S$3001))</f>
        <v/>
      </c>
      <c r="M82" s="17">
        <f t="array" ref="M82">IF(K82&lt;AMOSTRA_MIN,"n&lt;mín",MEDIAN(IF((Vendas!$AK$2:$AK$3001="Validado")*(Vendas!$B$2:$B$3001=$A82)*(Vendas!$C$2:$C$3001=$B82)*(Vendas!$P$2:$P$3001="Financiado")*ISNUMBER(Vendas!$S$2:$S$3001),Vendas!$S$2:$S$3001)))</f>
        <v/>
      </c>
      <c r="N82" s="17">
        <f t="array" ref="N82">IF(L82&lt;AMOSTRA_MIN,"n&lt;mín",MEDIAN(IF((Vendas!$AK$2:$AK$3001="Validado")*(Vendas!$B$2:$B$3001=$A82)*(Vendas!$C$2:$C$3001=$B82)*(Vendas!$P$2:$P$3001="À vista")*ISNUMBER(Vendas!$S$2:$S$3001),Vendas!$S$2:$S$3001)))</f>
        <v/>
      </c>
      <c r="O82" s="28">
        <f>IF(OR(K82&lt;AMOSTRA_MIN,L82&lt;AMOSTRA_MIN),"n&lt;mín",N82/M82-1)</f>
        <v/>
      </c>
      <c r="P82" s="26">
        <f>SUMPRODUCT((Vendas!$AK$2:$AK$3001="Validado")*(Vendas!$B$2:$B$3001=$A82)*(Vendas!$C$2:$C$3001=$B82)*ISNUMBER(Vendas!$W$2:$W$3001))</f>
        <v/>
      </c>
      <c r="Q82" s="27">
        <f t="array" ref="Q82">IF(P82&lt;AMOSTRA_MIN,"n&lt;mín",MEDIAN(IF((Vendas!$AK$2:$AK$3001="Validado")*(Vendas!$B$2:$B$3001=$A82)*(Vendas!$C$2:$C$3001=$B82)*ISNUMBER(Vendas!$W$2:$W$3001),Vendas!$W$2:$W$3001)))</f>
        <v/>
      </c>
      <c r="R82" s="28">
        <f>IF(P82=0,"-",SUMPRODUCT((Vendas!$AK$2:$AK$3001="Validado")*(Vendas!$B$2:$B$3001=$A82)*(Vendas!$C$2:$C$3001=$B82)*ISNUMBER(Vendas!$W$2:$W$3001)*(Vendas!$W$2:$W$3001&lt;1))/P82)</f>
        <v/>
      </c>
      <c r="S82" s="26">
        <f>SUMPRODUCT((Vendas!$AK$2:$AK$3001="Validado")*(Vendas!$B$2:$B$3001=$A82)*(Vendas!$C$2:$C$3001=$B82)*ISNUMBER(Vendas!$X$2:$X$3001))</f>
        <v/>
      </c>
      <c r="T82" s="28">
        <f>IF(S82=0,"-",SUMPRODUCT((Vendas!$AK$2:$AK$3001="Validado")*(Vendas!$B$2:$B$3001=$A82)*(Vendas!$C$2:$C$3001=$B82)*ISNUMBER(Vendas!$X$2:$X$3001)*(Vendas!$X$2:$X$3001&gt;=1))/S82)</f>
        <v/>
      </c>
    </row>
    <row r="83">
      <c r="A83" s="15" t="inlineStr">
        <is>
          <t>Bertioga</t>
        </is>
      </c>
      <c r="B83" s="15" t="inlineStr">
        <is>
          <t>Albatróz</t>
        </is>
      </c>
      <c r="C83" s="26">
        <f>SUMPRODUCT((Vendas!$AK$2:$AK$3001="Validado")*(Vendas!$B$2:$B$3001=$A83)*(Vendas!$C$2:$C$3001=$B83))</f>
        <v/>
      </c>
      <c r="D83" s="26">
        <f>SUMPRODUCT((Vendas!$AK$2:$AK$3001="Validado")*(Vendas!$B$2:$B$3001=$A83)*(Vendas!$C$2:$C$3001=$B83)*ISNUMBER(Vendas!$U$2:$U$3001))</f>
        <v/>
      </c>
      <c r="E83" s="27">
        <f t="array" ref="E83">IF(D83&lt;AMOSTRA_MIN,"n&lt;mín",MEDIAN(IF((Vendas!$AK$2:$AK$3001="Validado")*(Vendas!$B$2:$B$3001=$A83)*(Vendas!$C$2:$C$3001=$B83)*ISNUMBER(Vendas!$U$2:$U$3001),Vendas!$U$2:$U$3001)))</f>
        <v/>
      </c>
      <c r="F83" s="28">
        <f>IF(D83=0,"-",SUMPRODUCT((Vendas!$AK$2:$AK$3001="Validado")*(Vendas!$B$2:$B$3001=$A83)*(Vendas!$C$2:$C$3001=$B83)*ISNUMBER(Vendas!$U$2:$U$3001)*(Vendas!$U$2:$U$3001&lt;1))/D83)</f>
        <v/>
      </c>
      <c r="G83" s="29">
        <f t="array" ref="G83">IF(D83&lt;AMOSTRA_MIN,"n&lt;mín",100*AVERAGE(IF((Vendas!$AK$2:$AK$3001="Validado")*(Vendas!$B$2:$B$3001=$A83)*(Vendas!$C$2:$C$3001=$B83)*ISNUMBER(Vendas!$U$2:$U$3001),ABS(Vendas!$U$2:$U$3001-E83)))/E83)</f>
        <v/>
      </c>
      <c r="H83" s="26">
        <f>SUMPRODUCT((Vendas!$AK$2:$AK$3001="Validado")*(Vendas!$B$2:$B$3001=$A83)*(Vendas!$C$2:$C$3001=$B83)*ISNUMBER(Vendas!$V$2:$V$3001))</f>
        <v/>
      </c>
      <c r="I83" s="27">
        <f t="array" ref="I83">IF(H83&lt;AMOSTRA_MIN,"n&lt;mín",MEDIAN(IF((Vendas!$AK$2:$AK$3001="Validado")*(Vendas!$B$2:$B$3001=$A83)*(Vendas!$C$2:$C$3001=$B83)*ISNUMBER(Vendas!$V$2:$V$3001),Vendas!$V$2:$V$3001)))</f>
        <v/>
      </c>
      <c r="J83" s="28">
        <f>IF(H83=0,"-",SUMPRODUCT((Vendas!$AK$2:$AK$3001="Validado")*(Vendas!$B$2:$B$3001=$A83)*(Vendas!$C$2:$C$3001=$B83)*ISNUMBER(Vendas!$V$2:$V$3001)*(Vendas!$V$2:$V$3001&lt;=1))/H83)</f>
        <v/>
      </c>
      <c r="K83" s="26">
        <f>SUMPRODUCT((Vendas!$AK$2:$AK$3001="Validado")*(Vendas!$B$2:$B$3001=$A83)*(Vendas!$C$2:$C$3001=$B83)*(Vendas!$P$2:$P$3001="Financiado")*ISNUMBER(Vendas!$S$2:$S$3001))</f>
        <v/>
      </c>
      <c r="L83" s="26">
        <f>SUMPRODUCT((Vendas!$AK$2:$AK$3001="Validado")*(Vendas!$B$2:$B$3001=$A83)*(Vendas!$C$2:$C$3001=$B83)*(Vendas!$P$2:$P$3001="À vista")*ISNUMBER(Vendas!$S$2:$S$3001))</f>
        <v/>
      </c>
      <c r="M83" s="17">
        <f t="array" ref="M83">IF(K83&lt;AMOSTRA_MIN,"n&lt;mín",MEDIAN(IF((Vendas!$AK$2:$AK$3001="Validado")*(Vendas!$B$2:$B$3001=$A83)*(Vendas!$C$2:$C$3001=$B83)*(Vendas!$P$2:$P$3001="Financiado")*ISNUMBER(Vendas!$S$2:$S$3001),Vendas!$S$2:$S$3001)))</f>
        <v/>
      </c>
      <c r="N83" s="17">
        <f t="array" ref="N83">IF(L83&lt;AMOSTRA_MIN,"n&lt;mín",MEDIAN(IF((Vendas!$AK$2:$AK$3001="Validado")*(Vendas!$B$2:$B$3001=$A83)*(Vendas!$C$2:$C$3001=$B83)*(Vendas!$P$2:$P$3001="À vista")*ISNUMBER(Vendas!$S$2:$S$3001),Vendas!$S$2:$S$3001)))</f>
        <v/>
      </c>
      <c r="O83" s="28">
        <f>IF(OR(K83&lt;AMOSTRA_MIN,L83&lt;AMOSTRA_MIN),"n&lt;mín",N83/M83-1)</f>
        <v/>
      </c>
      <c r="P83" s="26">
        <f>SUMPRODUCT((Vendas!$AK$2:$AK$3001="Validado")*(Vendas!$B$2:$B$3001=$A83)*(Vendas!$C$2:$C$3001=$B83)*ISNUMBER(Vendas!$W$2:$W$3001))</f>
        <v/>
      </c>
      <c r="Q83" s="27">
        <f t="array" ref="Q83">IF(P83&lt;AMOSTRA_MIN,"n&lt;mín",MEDIAN(IF((Vendas!$AK$2:$AK$3001="Validado")*(Vendas!$B$2:$B$3001=$A83)*(Vendas!$C$2:$C$3001=$B83)*ISNUMBER(Vendas!$W$2:$W$3001),Vendas!$W$2:$W$3001)))</f>
        <v/>
      </c>
      <c r="R83" s="28">
        <f>IF(P83=0,"-",SUMPRODUCT((Vendas!$AK$2:$AK$3001="Validado")*(Vendas!$B$2:$B$3001=$A83)*(Vendas!$C$2:$C$3001=$B83)*ISNUMBER(Vendas!$W$2:$W$3001)*(Vendas!$W$2:$W$3001&lt;1))/P83)</f>
        <v/>
      </c>
      <c r="S83" s="26">
        <f>SUMPRODUCT((Vendas!$AK$2:$AK$3001="Validado")*(Vendas!$B$2:$B$3001=$A83)*(Vendas!$C$2:$C$3001=$B83)*ISNUMBER(Vendas!$X$2:$X$3001))</f>
        <v/>
      </c>
      <c r="T83" s="28">
        <f>IF(S83=0,"-",SUMPRODUCT((Vendas!$AK$2:$AK$3001="Validado")*(Vendas!$B$2:$B$3001=$A83)*(Vendas!$C$2:$C$3001=$B83)*ISNUMBER(Vendas!$X$2:$X$3001)*(Vendas!$X$2:$X$3001&gt;=1))/S83)</f>
        <v/>
      </c>
    </row>
    <row r="84">
      <c r="A84" s="15" t="inlineStr">
        <is>
          <t>Bertioga</t>
        </is>
      </c>
      <c r="B84" s="15" t="inlineStr">
        <is>
          <t>Maitinga</t>
        </is>
      </c>
      <c r="C84" s="26">
        <f>SUMPRODUCT((Vendas!$AK$2:$AK$3001="Validado")*(Vendas!$B$2:$B$3001=$A84)*(Vendas!$C$2:$C$3001=$B84))</f>
        <v/>
      </c>
      <c r="D84" s="26">
        <f>SUMPRODUCT((Vendas!$AK$2:$AK$3001="Validado")*(Vendas!$B$2:$B$3001=$A84)*(Vendas!$C$2:$C$3001=$B84)*ISNUMBER(Vendas!$U$2:$U$3001))</f>
        <v/>
      </c>
      <c r="E84" s="27">
        <f t="array" ref="E84">IF(D84&lt;AMOSTRA_MIN,"n&lt;mín",MEDIAN(IF((Vendas!$AK$2:$AK$3001="Validado")*(Vendas!$B$2:$B$3001=$A84)*(Vendas!$C$2:$C$3001=$B84)*ISNUMBER(Vendas!$U$2:$U$3001),Vendas!$U$2:$U$3001)))</f>
        <v/>
      </c>
      <c r="F84" s="28">
        <f>IF(D84=0,"-",SUMPRODUCT((Vendas!$AK$2:$AK$3001="Validado")*(Vendas!$B$2:$B$3001=$A84)*(Vendas!$C$2:$C$3001=$B84)*ISNUMBER(Vendas!$U$2:$U$3001)*(Vendas!$U$2:$U$3001&lt;1))/D84)</f>
        <v/>
      </c>
      <c r="G84" s="29">
        <f t="array" ref="G84">IF(D84&lt;AMOSTRA_MIN,"n&lt;mín",100*AVERAGE(IF((Vendas!$AK$2:$AK$3001="Validado")*(Vendas!$B$2:$B$3001=$A84)*(Vendas!$C$2:$C$3001=$B84)*ISNUMBER(Vendas!$U$2:$U$3001),ABS(Vendas!$U$2:$U$3001-E84)))/E84)</f>
        <v/>
      </c>
      <c r="H84" s="26">
        <f>SUMPRODUCT((Vendas!$AK$2:$AK$3001="Validado")*(Vendas!$B$2:$B$3001=$A84)*(Vendas!$C$2:$C$3001=$B84)*ISNUMBER(Vendas!$V$2:$V$3001))</f>
        <v/>
      </c>
      <c r="I84" s="27">
        <f t="array" ref="I84">IF(H84&lt;AMOSTRA_MIN,"n&lt;mín",MEDIAN(IF((Vendas!$AK$2:$AK$3001="Validado")*(Vendas!$B$2:$B$3001=$A84)*(Vendas!$C$2:$C$3001=$B84)*ISNUMBER(Vendas!$V$2:$V$3001),Vendas!$V$2:$V$3001)))</f>
        <v/>
      </c>
      <c r="J84" s="28">
        <f>IF(H84=0,"-",SUMPRODUCT((Vendas!$AK$2:$AK$3001="Validado")*(Vendas!$B$2:$B$3001=$A84)*(Vendas!$C$2:$C$3001=$B84)*ISNUMBER(Vendas!$V$2:$V$3001)*(Vendas!$V$2:$V$3001&lt;=1))/H84)</f>
        <v/>
      </c>
      <c r="K84" s="26">
        <f>SUMPRODUCT((Vendas!$AK$2:$AK$3001="Validado")*(Vendas!$B$2:$B$3001=$A84)*(Vendas!$C$2:$C$3001=$B84)*(Vendas!$P$2:$P$3001="Financiado")*ISNUMBER(Vendas!$S$2:$S$3001))</f>
        <v/>
      </c>
      <c r="L84" s="26">
        <f>SUMPRODUCT((Vendas!$AK$2:$AK$3001="Validado")*(Vendas!$B$2:$B$3001=$A84)*(Vendas!$C$2:$C$3001=$B84)*(Vendas!$P$2:$P$3001="À vista")*ISNUMBER(Vendas!$S$2:$S$3001))</f>
        <v/>
      </c>
      <c r="M84" s="17">
        <f t="array" ref="M84">IF(K84&lt;AMOSTRA_MIN,"n&lt;mín",MEDIAN(IF((Vendas!$AK$2:$AK$3001="Validado")*(Vendas!$B$2:$B$3001=$A84)*(Vendas!$C$2:$C$3001=$B84)*(Vendas!$P$2:$P$3001="Financiado")*ISNUMBER(Vendas!$S$2:$S$3001),Vendas!$S$2:$S$3001)))</f>
        <v/>
      </c>
      <c r="N84" s="17">
        <f t="array" ref="N84">IF(L84&lt;AMOSTRA_MIN,"n&lt;mín",MEDIAN(IF((Vendas!$AK$2:$AK$3001="Validado")*(Vendas!$B$2:$B$3001=$A84)*(Vendas!$C$2:$C$3001=$B84)*(Vendas!$P$2:$P$3001="À vista")*ISNUMBER(Vendas!$S$2:$S$3001),Vendas!$S$2:$S$3001)))</f>
        <v/>
      </c>
      <c r="O84" s="28">
        <f>IF(OR(K84&lt;AMOSTRA_MIN,L84&lt;AMOSTRA_MIN),"n&lt;mín",N84/M84-1)</f>
        <v/>
      </c>
      <c r="P84" s="26">
        <f>SUMPRODUCT((Vendas!$AK$2:$AK$3001="Validado")*(Vendas!$B$2:$B$3001=$A84)*(Vendas!$C$2:$C$3001=$B84)*ISNUMBER(Vendas!$W$2:$W$3001))</f>
        <v/>
      </c>
      <c r="Q84" s="27">
        <f t="array" ref="Q84">IF(P84&lt;AMOSTRA_MIN,"n&lt;mín",MEDIAN(IF((Vendas!$AK$2:$AK$3001="Validado")*(Vendas!$B$2:$B$3001=$A84)*(Vendas!$C$2:$C$3001=$B84)*ISNUMBER(Vendas!$W$2:$W$3001),Vendas!$W$2:$W$3001)))</f>
        <v/>
      </c>
      <c r="R84" s="28">
        <f>IF(P84=0,"-",SUMPRODUCT((Vendas!$AK$2:$AK$3001="Validado")*(Vendas!$B$2:$B$3001=$A84)*(Vendas!$C$2:$C$3001=$B84)*ISNUMBER(Vendas!$W$2:$W$3001)*(Vendas!$W$2:$W$3001&lt;1))/P84)</f>
        <v/>
      </c>
      <c r="S84" s="26">
        <f>SUMPRODUCT((Vendas!$AK$2:$AK$3001="Validado")*(Vendas!$B$2:$B$3001=$A84)*(Vendas!$C$2:$C$3001=$B84)*ISNUMBER(Vendas!$X$2:$X$3001))</f>
        <v/>
      </c>
      <c r="T84" s="28">
        <f>IF(S84=0,"-",SUMPRODUCT((Vendas!$AK$2:$AK$3001="Validado")*(Vendas!$B$2:$B$3001=$A84)*(Vendas!$C$2:$C$3001=$B84)*ISNUMBER(Vendas!$X$2:$X$3001)*(Vendas!$X$2:$X$3001&gt;=1))/S84)</f>
        <v/>
      </c>
    </row>
    <row r="85">
      <c r="A85" s="15" t="inlineStr">
        <is>
          <t>Bertioga</t>
        </is>
      </c>
      <c r="B85" s="15" t="inlineStr">
        <is>
          <t>Rio da Praia</t>
        </is>
      </c>
      <c r="C85" s="26">
        <f>SUMPRODUCT((Vendas!$AK$2:$AK$3001="Validado")*(Vendas!$B$2:$B$3001=$A85)*(Vendas!$C$2:$C$3001=$B85))</f>
        <v/>
      </c>
      <c r="D85" s="26">
        <f>SUMPRODUCT((Vendas!$AK$2:$AK$3001="Validado")*(Vendas!$B$2:$B$3001=$A85)*(Vendas!$C$2:$C$3001=$B85)*ISNUMBER(Vendas!$U$2:$U$3001))</f>
        <v/>
      </c>
      <c r="E85" s="27">
        <f t="array" ref="E85">IF(D85&lt;AMOSTRA_MIN,"n&lt;mín",MEDIAN(IF((Vendas!$AK$2:$AK$3001="Validado")*(Vendas!$B$2:$B$3001=$A85)*(Vendas!$C$2:$C$3001=$B85)*ISNUMBER(Vendas!$U$2:$U$3001),Vendas!$U$2:$U$3001)))</f>
        <v/>
      </c>
      <c r="F85" s="28">
        <f>IF(D85=0,"-",SUMPRODUCT((Vendas!$AK$2:$AK$3001="Validado")*(Vendas!$B$2:$B$3001=$A85)*(Vendas!$C$2:$C$3001=$B85)*ISNUMBER(Vendas!$U$2:$U$3001)*(Vendas!$U$2:$U$3001&lt;1))/D85)</f>
        <v/>
      </c>
      <c r="G85" s="29">
        <f t="array" ref="G85">IF(D85&lt;AMOSTRA_MIN,"n&lt;mín",100*AVERAGE(IF((Vendas!$AK$2:$AK$3001="Validado")*(Vendas!$B$2:$B$3001=$A85)*(Vendas!$C$2:$C$3001=$B85)*ISNUMBER(Vendas!$U$2:$U$3001),ABS(Vendas!$U$2:$U$3001-E85)))/E85)</f>
        <v/>
      </c>
      <c r="H85" s="26">
        <f>SUMPRODUCT((Vendas!$AK$2:$AK$3001="Validado")*(Vendas!$B$2:$B$3001=$A85)*(Vendas!$C$2:$C$3001=$B85)*ISNUMBER(Vendas!$V$2:$V$3001))</f>
        <v/>
      </c>
      <c r="I85" s="27">
        <f t="array" ref="I85">IF(H85&lt;AMOSTRA_MIN,"n&lt;mín",MEDIAN(IF((Vendas!$AK$2:$AK$3001="Validado")*(Vendas!$B$2:$B$3001=$A85)*(Vendas!$C$2:$C$3001=$B85)*ISNUMBER(Vendas!$V$2:$V$3001),Vendas!$V$2:$V$3001)))</f>
        <v/>
      </c>
      <c r="J85" s="28">
        <f>IF(H85=0,"-",SUMPRODUCT((Vendas!$AK$2:$AK$3001="Validado")*(Vendas!$B$2:$B$3001=$A85)*(Vendas!$C$2:$C$3001=$B85)*ISNUMBER(Vendas!$V$2:$V$3001)*(Vendas!$V$2:$V$3001&lt;=1))/H85)</f>
        <v/>
      </c>
      <c r="K85" s="26">
        <f>SUMPRODUCT((Vendas!$AK$2:$AK$3001="Validado")*(Vendas!$B$2:$B$3001=$A85)*(Vendas!$C$2:$C$3001=$B85)*(Vendas!$P$2:$P$3001="Financiado")*ISNUMBER(Vendas!$S$2:$S$3001))</f>
        <v/>
      </c>
      <c r="L85" s="26">
        <f>SUMPRODUCT((Vendas!$AK$2:$AK$3001="Validado")*(Vendas!$B$2:$B$3001=$A85)*(Vendas!$C$2:$C$3001=$B85)*(Vendas!$P$2:$P$3001="À vista")*ISNUMBER(Vendas!$S$2:$S$3001))</f>
        <v/>
      </c>
      <c r="M85" s="17">
        <f t="array" ref="M85">IF(K85&lt;AMOSTRA_MIN,"n&lt;mín",MEDIAN(IF((Vendas!$AK$2:$AK$3001="Validado")*(Vendas!$B$2:$B$3001=$A85)*(Vendas!$C$2:$C$3001=$B85)*(Vendas!$P$2:$P$3001="Financiado")*ISNUMBER(Vendas!$S$2:$S$3001),Vendas!$S$2:$S$3001)))</f>
        <v/>
      </c>
      <c r="N85" s="17">
        <f t="array" ref="N85">IF(L85&lt;AMOSTRA_MIN,"n&lt;mín",MEDIAN(IF((Vendas!$AK$2:$AK$3001="Validado")*(Vendas!$B$2:$B$3001=$A85)*(Vendas!$C$2:$C$3001=$B85)*(Vendas!$P$2:$P$3001="À vista")*ISNUMBER(Vendas!$S$2:$S$3001),Vendas!$S$2:$S$3001)))</f>
        <v/>
      </c>
      <c r="O85" s="28">
        <f>IF(OR(K85&lt;AMOSTRA_MIN,L85&lt;AMOSTRA_MIN),"n&lt;mín",N85/M85-1)</f>
        <v/>
      </c>
      <c r="P85" s="26">
        <f>SUMPRODUCT((Vendas!$AK$2:$AK$3001="Validado")*(Vendas!$B$2:$B$3001=$A85)*(Vendas!$C$2:$C$3001=$B85)*ISNUMBER(Vendas!$W$2:$W$3001))</f>
        <v/>
      </c>
      <c r="Q85" s="27">
        <f t="array" ref="Q85">IF(P85&lt;AMOSTRA_MIN,"n&lt;mín",MEDIAN(IF((Vendas!$AK$2:$AK$3001="Validado")*(Vendas!$B$2:$B$3001=$A85)*(Vendas!$C$2:$C$3001=$B85)*ISNUMBER(Vendas!$W$2:$W$3001),Vendas!$W$2:$W$3001)))</f>
        <v/>
      </c>
      <c r="R85" s="28">
        <f>IF(P85=0,"-",SUMPRODUCT((Vendas!$AK$2:$AK$3001="Validado")*(Vendas!$B$2:$B$3001=$A85)*(Vendas!$C$2:$C$3001=$B85)*ISNUMBER(Vendas!$W$2:$W$3001)*(Vendas!$W$2:$W$3001&lt;1))/P85)</f>
        <v/>
      </c>
      <c r="S85" s="26">
        <f>SUMPRODUCT((Vendas!$AK$2:$AK$3001="Validado")*(Vendas!$B$2:$B$3001=$A85)*(Vendas!$C$2:$C$3001=$B85)*ISNUMBER(Vendas!$X$2:$X$3001))</f>
        <v/>
      </c>
      <c r="T85" s="28">
        <f>IF(S85=0,"-",SUMPRODUCT((Vendas!$AK$2:$AK$3001="Validado")*(Vendas!$B$2:$B$3001=$A85)*(Vendas!$C$2:$C$3001=$B85)*ISNUMBER(Vendas!$X$2:$X$3001)*(Vendas!$X$2:$X$3001&gt;=1))/S85)</f>
        <v/>
      </c>
    </row>
    <row r="86">
      <c r="A86" s="15" t="inlineStr">
        <is>
          <t>Bertioga</t>
        </is>
      </c>
      <c r="B86" s="15" t="inlineStr">
        <is>
          <t>Buriqui Costa Nativa (Brasfanta)</t>
        </is>
      </c>
      <c r="C86" s="26">
        <f>SUMPRODUCT((Vendas!$AK$2:$AK$3001="Validado")*(Vendas!$B$2:$B$3001=$A86)*(Vendas!$C$2:$C$3001=$B86))</f>
        <v/>
      </c>
      <c r="D86" s="26">
        <f>SUMPRODUCT((Vendas!$AK$2:$AK$3001="Validado")*(Vendas!$B$2:$B$3001=$A86)*(Vendas!$C$2:$C$3001=$B86)*ISNUMBER(Vendas!$U$2:$U$3001))</f>
        <v/>
      </c>
      <c r="E86" s="27">
        <f t="array" ref="E86">IF(D86&lt;AMOSTRA_MIN,"n&lt;mín",MEDIAN(IF((Vendas!$AK$2:$AK$3001="Validado")*(Vendas!$B$2:$B$3001=$A86)*(Vendas!$C$2:$C$3001=$B86)*ISNUMBER(Vendas!$U$2:$U$3001),Vendas!$U$2:$U$3001)))</f>
        <v/>
      </c>
      <c r="F86" s="28">
        <f>IF(D86=0,"-",SUMPRODUCT((Vendas!$AK$2:$AK$3001="Validado")*(Vendas!$B$2:$B$3001=$A86)*(Vendas!$C$2:$C$3001=$B86)*ISNUMBER(Vendas!$U$2:$U$3001)*(Vendas!$U$2:$U$3001&lt;1))/D86)</f>
        <v/>
      </c>
      <c r="G86" s="29">
        <f t="array" ref="G86">IF(D86&lt;AMOSTRA_MIN,"n&lt;mín",100*AVERAGE(IF((Vendas!$AK$2:$AK$3001="Validado")*(Vendas!$B$2:$B$3001=$A86)*(Vendas!$C$2:$C$3001=$B86)*ISNUMBER(Vendas!$U$2:$U$3001),ABS(Vendas!$U$2:$U$3001-E86)))/E86)</f>
        <v/>
      </c>
      <c r="H86" s="26">
        <f>SUMPRODUCT((Vendas!$AK$2:$AK$3001="Validado")*(Vendas!$B$2:$B$3001=$A86)*(Vendas!$C$2:$C$3001=$B86)*ISNUMBER(Vendas!$V$2:$V$3001))</f>
        <v/>
      </c>
      <c r="I86" s="27">
        <f t="array" ref="I86">IF(H86&lt;AMOSTRA_MIN,"n&lt;mín",MEDIAN(IF((Vendas!$AK$2:$AK$3001="Validado")*(Vendas!$B$2:$B$3001=$A86)*(Vendas!$C$2:$C$3001=$B86)*ISNUMBER(Vendas!$V$2:$V$3001),Vendas!$V$2:$V$3001)))</f>
        <v/>
      </c>
      <c r="J86" s="28">
        <f>IF(H86=0,"-",SUMPRODUCT((Vendas!$AK$2:$AK$3001="Validado")*(Vendas!$B$2:$B$3001=$A86)*(Vendas!$C$2:$C$3001=$B86)*ISNUMBER(Vendas!$V$2:$V$3001)*(Vendas!$V$2:$V$3001&lt;=1))/H86)</f>
        <v/>
      </c>
      <c r="K86" s="26">
        <f>SUMPRODUCT((Vendas!$AK$2:$AK$3001="Validado")*(Vendas!$B$2:$B$3001=$A86)*(Vendas!$C$2:$C$3001=$B86)*(Vendas!$P$2:$P$3001="Financiado")*ISNUMBER(Vendas!$S$2:$S$3001))</f>
        <v/>
      </c>
      <c r="L86" s="26">
        <f>SUMPRODUCT((Vendas!$AK$2:$AK$3001="Validado")*(Vendas!$B$2:$B$3001=$A86)*(Vendas!$C$2:$C$3001=$B86)*(Vendas!$P$2:$P$3001="À vista")*ISNUMBER(Vendas!$S$2:$S$3001))</f>
        <v/>
      </c>
      <c r="M86" s="17">
        <f t="array" ref="M86">IF(K86&lt;AMOSTRA_MIN,"n&lt;mín",MEDIAN(IF((Vendas!$AK$2:$AK$3001="Validado")*(Vendas!$B$2:$B$3001=$A86)*(Vendas!$C$2:$C$3001=$B86)*(Vendas!$P$2:$P$3001="Financiado")*ISNUMBER(Vendas!$S$2:$S$3001),Vendas!$S$2:$S$3001)))</f>
        <v/>
      </c>
      <c r="N86" s="17">
        <f t="array" ref="N86">IF(L86&lt;AMOSTRA_MIN,"n&lt;mín",MEDIAN(IF((Vendas!$AK$2:$AK$3001="Validado")*(Vendas!$B$2:$B$3001=$A86)*(Vendas!$C$2:$C$3001=$B86)*(Vendas!$P$2:$P$3001="À vista")*ISNUMBER(Vendas!$S$2:$S$3001),Vendas!$S$2:$S$3001)))</f>
        <v/>
      </c>
      <c r="O86" s="28">
        <f>IF(OR(K86&lt;AMOSTRA_MIN,L86&lt;AMOSTRA_MIN),"n&lt;mín",N86/M86-1)</f>
        <v/>
      </c>
      <c r="P86" s="26">
        <f>SUMPRODUCT((Vendas!$AK$2:$AK$3001="Validado")*(Vendas!$B$2:$B$3001=$A86)*(Vendas!$C$2:$C$3001=$B86)*ISNUMBER(Vendas!$W$2:$W$3001))</f>
        <v/>
      </c>
      <c r="Q86" s="27">
        <f t="array" ref="Q86">IF(P86&lt;AMOSTRA_MIN,"n&lt;mín",MEDIAN(IF((Vendas!$AK$2:$AK$3001="Validado")*(Vendas!$B$2:$B$3001=$A86)*(Vendas!$C$2:$C$3001=$B86)*ISNUMBER(Vendas!$W$2:$W$3001),Vendas!$W$2:$W$3001)))</f>
        <v/>
      </c>
      <c r="R86" s="28">
        <f>IF(P86=0,"-",SUMPRODUCT((Vendas!$AK$2:$AK$3001="Validado")*(Vendas!$B$2:$B$3001=$A86)*(Vendas!$C$2:$C$3001=$B86)*ISNUMBER(Vendas!$W$2:$W$3001)*(Vendas!$W$2:$W$3001&lt;1))/P86)</f>
        <v/>
      </c>
      <c r="S86" s="26">
        <f>SUMPRODUCT((Vendas!$AK$2:$AK$3001="Validado")*(Vendas!$B$2:$B$3001=$A86)*(Vendas!$C$2:$C$3001=$B86)*ISNUMBER(Vendas!$X$2:$X$3001))</f>
        <v/>
      </c>
      <c r="T86" s="28">
        <f>IF(S86=0,"-",SUMPRODUCT((Vendas!$AK$2:$AK$3001="Validado")*(Vendas!$B$2:$B$3001=$A86)*(Vendas!$C$2:$C$3001=$B86)*ISNUMBER(Vendas!$X$2:$X$3001)*(Vendas!$X$2:$X$3001&gt;=1))/S86)</f>
        <v/>
      </c>
    </row>
    <row r="87">
      <c r="A87" s="15" t="inlineStr">
        <is>
          <t>Bertioga</t>
        </is>
      </c>
      <c r="B87" s="15" t="inlineStr">
        <is>
          <t>Jardim Raphael</t>
        </is>
      </c>
      <c r="C87" s="26">
        <f>SUMPRODUCT((Vendas!$AK$2:$AK$3001="Validado")*(Vendas!$B$2:$B$3001=$A87)*(Vendas!$C$2:$C$3001=$B87))</f>
        <v/>
      </c>
      <c r="D87" s="26">
        <f>SUMPRODUCT((Vendas!$AK$2:$AK$3001="Validado")*(Vendas!$B$2:$B$3001=$A87)*(Vendas!$C$2:$C$3001=$B87)*ISNUMBER(Vendas!$U$2:$U$3001))</f>
        <v/>
      </c>
      <c r="E87" s="27">
        <f t="array" ref="E87">IF(D87&lt;AMOSTRA_MIN,"n&lt;mín",MEDIAN(IF((Vendas!$AK$2:$AK$3001="Validado")*(Vendas!$B$2:$B$3001=$A87)*(Vendas!$C$2:$C$3001=$B87)*ISNUMBER(Vendas!$U$2:$U$3001),Vendas!$U$2:$U$3001)))</f>
        <v/>
      </c>
      <c r="F87" s="28">
        <f>IF(D87=0,"-",SUMPRODUCT((Vendas!$AK$2:$AK$3001="Validado")*(Vendas!$B$2:$B$3001=$A87)*(Vendas!$C$2:$C$3001=$B87)*ISNUMBER(Vendas!$U$2:$U$3001)*(Vendas!$U$2:$U$3001&lt;1))/D87)</f>
        <v/>
      </c>
      <c r="G87" s="29">
        <f t="array" ref="G87">IF(D87&lt;AMOSTRA_MIN,"n&lt;mín",100*AVERAGE(IF((Vendas!$AK$2:$AK$3001="Validado")*(Vendas!$B$2:$B$3001=$A87)*(Vendas!$C$2:$C$3001=$B87)*ISNUMBER(Vendas!$U$2:$U$3001),ABS(Vendas!$U$2:$U$3001-E87)))/E87)</f>
        <v/>
      </c>
      <c r="H87" s="26">
        <f>SUMPRODUCT((Vendas!$AK$2:$AK$3001="Validado")*(Vendas!$B$2:$B$3001=$A87)*(Vendas!$C$2:$C$3001=$B87)*ISNUMBER(Vendas!$V$2:$V$3001))</f>
        <v/>
      </c>
      <c r="I87" s="27">
        <f t="array" ref="I87">IF(H87&lt;AMOSTRA_MIN,"n&lt;mín",MEDIAN(IF((Vendas!$AK$2:$AK$3001="Validado")*(Vendas!$B$2:$B$3001=$A87)*(Vendas!$C$2:$C$3001=$B87)*ISNUMBER(Vendas!$V$2:$V$3001),Vendas!$V$2:$V$3001)))</f>
        <v/>
      </c>
      <c r="J87" s="28">
        <f>IF(H87=0,"-",SUMPRODUCT((Vendas!$AK$2:$AK$3001="Validado")*(Vendas!$B$2:$B$3001=$A87)*(Vendas!$C$2:$C$3001=$B87)*ISNUMBER(Vendas!$V$2:$V$3001)*(Vendas!$V$2:$V$3001&lt;=1))/H87)</f>
        <v/>
      </c>
      <c r="K87" s="26">
        <f>SUMPRODUCT((Vendas!$AK$2:$AK$3001="Validado")*(Vendas!$B$2:$B$3001=$A87)*(Vendas!$C$2:$C$3001=$B87)*(Vendas!$P$2:$P$3001="Financiado")*ISNUMBER(Vendas!$S$2:$S$3001))</f>
        <v/>
      </c>
      <c r="L87" s="26">
        <f>SUMPRODUCT((Vendas!$AK$2:$AK$3001="Validado")*(Vendas!$B$2:$B$3001=$A87)*(Vendas!$C$2:$C$3001=$B87)*(Vendas!$P$2:$P$3001="À vista")*ISNUMBER(Vendas!$S$2:$S$3001))</f>
        <v/>
      </c>
      <c r="M87" s="17">
        <f t="array" ref="M87">IF(K87&lt;AMOSTRA_MIN,"n&lt;mín",MEDIAN(IF((Vendas!$AK$2:$AK$3001="Validado")*(Vendas!$B$2:$B$3001=$A87)*(Vendas!$C$2:$C$3001=$B87)*(Vendas!$P$2:$P$3001="Financiado")*ISNUMBER(Vendas!$S$2:$S$3001),Vendas!$S$2:$S$3001)))</f>
        <v/>
      </c>
      <c r="N87" s="17">
        <f t="array" ref="N87">IF(L87&lt;AMOSTRA_MIN,"n&lt;mín",MEDIAN(IF((Vendas!$AK$2:$AK$3001="Validado")*(Vendas!$B$2:$B$3001=$A87)*(Vendas!$C$2:$C$3001=$B87)*(Vendas!$P$2:$P$3001="À vista")*ISNUMBER(Vendas!$S$2:$S$3001),Vendas!$S$2:$S$3001)))</f>
        <v/>
      </c>
      <c r="O87" s="28">
        <f>IF(OR(K87&lt;AMOSTRA_MIN,L87&lt;AMOSTRA_MIN),"n&lt;mín",N87/M87-1)</f>
        <v/>
      </c>
      <c r="P87" s="26">
        <f>SUMPRODUCT((Vendas!$AK$2:$AK$3001="Validado")*(Vendas!$B$2:$B$3001=$A87)*(Vendas!$C$2:$C$3001=$B87)*ISNUMBER(Vendas!$W$2:$W$3001))</f>
        <v/>
      </c>
      <c r="Q87" s="27">
        <f t="array" ref="Q87">IF(P87&lt;AMOSTRA_MIN,"n&lt;mín",MEDIAN(IF((Vendas!$AK$2:$AK$3001="Validado")*(Vendas!$B$2:$B$3001=$A87)*(Vendas!$C$2:$C$3001=$B87)*ISNUMBER(Vendas!$W$2:$W$3001),Vendas!$W$2:$W$3001)))</f>
        <v/>
      </c>
      <c r="R87" s="28">
        <f>IF(P87=0,"-",SUMPRODUCT((Vendas!$AK$2:$AK$3001="Validado")*(Vendas!$B$2:$B$3001=$A87)*(Vendas!$C$2:$C$3001=$B87)*ISNUMBER(Vendas!$W$2:$W$3001)*(Vendas!$W$2:$W$3001&lt;1))/P87)</f>
        <v/>
      </c>
      <c r="S87" s="26">
        <f>SUMPRODUCT((Vendas!$AK$2:$AK$3001="Validado")*(Vendas!$B$2:$B$3001=$A87)*(Vendas!$C$2:$C$3001=$B87)*ISNUMBER(Vendas!$X$2:$X$3001))</f>
        <v/>
      </c>
      <c r="T87" s="28">
        <f>IF(S87=0,"-",SUMPRODUCT((Vendas!$AK$2:$AK$3001="Validado")*(Vendas!$B$2:$B$3001=$A87)*(Vendas!$C$2:$C$3001=$B87)*ISNUMBER(Vendas!$X$2:$X$3001)*(Vendas!$X$2:$X$3001&gt;=1))/S87)</f>
        <v/>
      </c>
    </row>
    <row r="88">
      <c r="A88" s="15" t="inlineStr">
        <is>
          <t>Bertioga</t>
        </is>
      </c>
      <c r="B88" s="15" t="inlineStr">
        <is>
          <t>Bairro Chácaras</t>
        </is>
      </c>
      <c r="C88" s="26">
        <f>SUMPRODUCT((Vendas!$AK$2:$AK$3001="Validado")*(Vendas!$B$2:$B$3001=$A88)*(Vendas!$C$2:$C$3001=$B88))</f>
        <v/>
      </c>
      <c r="D88" s="26">
        <f>SUMPRODUCT((Vendas!$AK$2:$AK$3001="Validado")*(Vendas!$B$2:$B$3001=$A88)*(Vendas!$C$2:$C$3001=$B88)*ISNUMBER(Vendas!$U$2:$U$3001))</f>
        <v/>
      </c>
      <c r="E88" s="27">
        <f t="array" ref="E88">IF(D88&lt;AMOSTRA_MIN,"n&lt;mín",MEDIAN(IF((Vendas!$AK$2:$AK$3001="Validado")*(Vendas!$B$2:$B$3001=$A88)*(Vendas!$C$2:$C$3001=$B88)*ISNUMBER(Vendas!$U$2:$U$3001),Vendas!$U$2:$U$3001)))</f>
        <v/>
      </c>
      <c r="F88" s="28">
        <f>IF(D88=0,"-",SUMPRODUCT((Vendas!$AK$2:$AK$3001="Validado")*(Vendas!$B$2:$B$3001=$A88)*(Vendas!$C$2:$C$3001=$B88)*ISNUMBER(Vendas!$U$2:$U$3001)*(Vendas!$U$2:$U$3001&lt;1))/D88)</f>
        <v/>
      </c>
      <c r="G88" s="29">
        <f t="array" ref="G88">IF(D88&lt;AMOSTRA_MIN,"n&lt;mín",100*AVERAGE(IF((Vendas!$AK$2:$AK$3001="Validado")*(Vendas!$B$2:$B$3001=$A88)*(Vendas!$C$2:$C$3001=$B88)*ISNUMBER(Vendas!$U$2:$U$3001),ABS(Vendas!$U$2:$U$3001-E88)))/E88)</f>
        <v/>
      </c>
      <c r="H88" s="26">
        <f>SUMPRODUCT((Vendas!$AK$2:$AK$3001="Validado")*(Vendas!$B$2:$B$3001=$A88)*(Vendas!$C$2:$C$3001=$B88)*ISNUMBER(Vendas!$V$2:$V$3001))</f>
        <v/>
      </c>
      <c r="I88" s="27">
        <f t="array" ref="I88">IF(H88&lt;AMOSTRA_MIN,"n&lt;mín",MEDIAN(IF((Vendas!$AK$2:$AK$3001="Validado")*(Vendas!$B$2:$B$3001=$A88)*(Vendas!$C$2:$C$3001=$B88)*ISNUMBER(Vendas!$V$2:$V$3001),Vendas!$V$2:$V$3001)))</f>
        <v/>
      </c>
      <c r="J88" s="28">
        <f>IF(H88=0,"-",SUMPRODUCT((Vendas!$AK$2:$AK$3001="Validado")*(Vendas!$B$2:$B$3001=$A88)*(Vendas!$C$2:$C$3001=$B88)*ISNUMBER(Vendas!$V$2:$V$3001)*(Vendas!$V$2:$V$3001&lt;=1))/H88)</f>
        <v/>
      </c>
      <c r="K88" s="26">
        <f>SUMPRODUCT((Vendas!$AK$2:$AK$3001="Validado")*(Vendas!$B$2:$B$3001=$A88)*(Vendas!$C$2:$C$3001=$B88)*(Vendas!$P$2:$P$3001="Financiado")*ISNUMBER(Vendas!$S$2:$S$3001))</f>
        <v/>
      </c>
      <c r="L88" s="26">
        <f>SUMPRODUCT((Vendas!$AK$2:$AK$3001="Validado")*(Vendas!$B$2:$B$3001=$A88)*(Vendas!$C$2:$C$3001=$B88)*(Vendas!$P$2:$P$3001="À vista")*ISNUMBER(Vendas!$S$2:$S$3001))</f>
        <v/>
      </c>
      <c r="M88" s="17">
        <f t="array" ref="M88">IF(K88&lt;AMOSTRA_MIN,"n&lt;mín",MEDIAN(IF((Vendas!$AK$2:$AK$3001="Validado")*(Vendas!$B$2:$B$3001=$A88)*(Vendas!$C$2:$C$3001=$B88)*(Vendas!$P$2:$P$3001="Financiado")*ISNUMBER(Vendas!$S$2:$S$3001),Vendas!$S$2:$S$3001)))</f>
        <v/>
      </c>
      <c r="N88" s="17">
        <f t="array" ref="N88">IF(L88&lt;AMOSTRA_MIN,"n&lt;mín",MEDIAN(IF((Vendas!$AK$2:$AK$3001="Validado")*(Vendas!$B$2:$B$3001=$A88)*(Vendas!$C$2:$C$3001=$B88)*(Vendas!$P$2:$P$3001="À vista")*ISNUMBER(Vendas!$S$2:$S$3001),Vendas!$S$2:$S$3001)))</f>
        <v/>
      </c>
      <c r="O88" s="28">
        <f>IF(OR(K88&lt;AMOSTRA_MIN,L88&lt;AMOSTRA_MIN),"n&lt;mín",N88/M88-1)</f>
        <v/>
      </c>
      <c r="P88" s="26">
        <f>SUMPRODUCT((Vendas!$AK$2:$AK$3001="Validado")*(Vendas!$B$2:$B$3001=$A88)*(Vendas!$C$2:$C$3001=$B88)*ISNUMBER(Vendas!$W$2:$W$3001))</f>
        <v/>
      </c>
      <c r="Q88" s="27">
        <f t="array" ref="Q88">IF(P88&lt;AMOSTRA_MIN,"n&lt;mín",MEDIAN(IF((Vendas!$AK$2:$AK$3001="Validado")*(Vendas!$B$2:$B$3001=$A88)*(Vendas!$C$2:$C$3001=$B88)*ISNUMBER(Vendas!$W$2:$W$3001),Vendas!$W$2:$W$3001)))</f>
        <v/>
      </c>
      <c r="R88" s="28">
        <f>IF(P88=0,"-",SUMPRODUCT((Vendas!$AK$2:$AK$3001="Validado")*(Vendas!$B$2:$B$3001=$A88)*(Vendas!$C$2:$C$3001=$B88)*ISNUMBER(Vendas!$W$2:$W$3001)*(Vendas!$W$2:$W$3001&lt;1))/P88)</f>
        <v/>
      </c>
      <c r="S88" s="26">
        <f>SUMPRODUCT((Vendas!$AK$2:$AK$3001="Validado")*(Vendas!$B$2:$B$3001=$A88)*(Vendas!$C$2:$C$3001=$B88)*ISNUMBER(Vendas!$X$2:$X$3001))</f>
        <v/>
      </c>
      <c r="T88" s="28">
        <f>IF(S88=0,"-",SUMPRODUCT((Vendas!$AK$2:$AK$3001="Validado")*(Vendas!$B$2:$B$3001=$A88)*(Vendas!$C$2:$C$3001=$B88)*ISNUMBER(Vendas!$X$2:$X$3001)*(Vendas!$X$2:$X$3001&gt;=1))/S88)</f>
        <v/>
      </c>
    </row>
    <row r="89">
      <c r="A89" s="15" t="inlineStr">
        <is>
          <t>Bertioga</t>
        </is>
      </c>
      <c r="B89" s="15" t="inlineStr">
        <is>
          <t>Vista Linda</t>
        </is>
      </c>
      <c r="C89" s="26">
        <f>SUMPRODUCT((Vendas!$AK$2:$AK$3001="Validado")*(Vendas!$B$2:$B$3001=$A89)*(Vendas!$C$2:$C$3001=$B89))</f>
        <v/>
      </c>
      <c r="D89" s="26">
        <f>SUMPRODUCT((Vendas!$AK$2:$AK$3001="Validado")*(Vendas!$B$2:$B$3001=$A89)*(Vendas!$C$2:$C$3001=$B89)*ISNUMBER(Vendas!$U$2:$U$3001))</f>
        <v/>
      </c>
      <c r="E89" s="27">
        <f t="array" ref="E89">IF(D89&lt;AMOSTRA_MIN,"n&lt;mín",MEDIAN(IF((Vendas!$AK$2:$AK$3001="Validado")*(Vendas!$B$2:$B$3001=$A89)*(Vendas!$C$2:$C$3001=$B89)*ISNUMBER(Vendas!$U$2:$U$3001),Vendas!$U$2:$U$3001)))</f>
        <v/>
      </c>
      <c r="F89" s="28">
        <f>IF(D89=0,"-",SUMPRODUCT((Vendas!$AK$2:$AK$3001="Validado")*(Vendas!$B$2:$B$3001=$A89)*(Vendas!$C$2:$C$3001=$B89)*ISNUMBER(Vendas!$U$2:$U$3001)*(Vendas!$U$2:$U$3001&lt;1))/D89)</f>
        <v/>
      </c>
      <c r="G89" s="29">
        <f t="array" ref="G89">IF(D89&lt;AMOSTRA_MIN,"n&lt;mín",100*AVERAGE(IF((Vendas!$AK$2:$AK$3001="Validado")*(Vendas!$B$2:$B$3001=$A89)*(Vendas!$C$2:$C$3001=$B89)*ISNUMBER(Vendas!$U$2:$U$3001),ABS(Vendas!$U$2:$U$3001-E89)))/E89)</f>
        <v/>
      </c>
      <c r="H89" s="26">
        <f>SUMPRODUCT((Vendas!$AK$2:$AK$3001="Validado")*(Vendas!$B$2:$B$3001=$A89)*(Vendas!$C$2:$C$3001=$B89)*ISNUMBER(Vendas!$V$2:$V$3001))</f>
        <v/>
      </c>
      <c r="I89" s="27">
        <f t="array" ref="I89">IF(H89&lt;AMOSTRA_MIN,"n&lt;mín",MEDIAN(IF((Vendas!$AK$2:$AK$3001="Validado")*(Vendas!$B$2:$B$3001=$A89)*(Vendas!$C$2:$C$3001=$B89)*ISNUMBER(Vendas!$V$2:$V$3001),Vendas!$V$2:$V$3001)))</f>
        <v/>
      </c>
      <c r="J89" s="28">
        <f>IF(H89=0,"-",SUMPRODUCT((Vendas!$AK$2:$AK$3001="Validado")*(Vendas!$B$2:$B$3001=$A89)*(Vendas!$C$2:$C$3001=$B89)*ISNUMBER(Vendas!$V$2:$V$3001)*(Vendas!$V$2:$V$3001&lt;=1))/H89)</f>
        <v/>
      </c>
      <c r="K89" s="26">
        <f>SUMPRODUCT((Vendas!$AK$2:$AK$3001="Validado")*(Vendas!$B$2:$B$3001=$A89)*(Vendas!$C$2:$C$3001=$B89)*(Vendas!$P$2:$P$3001="Financiado")*ISNUMBER(Vendas!$S$2:$S$3001))</f>
        <v/>
      </c>
      <c r="L89" s="26">
        <f>SUMPRODUCT((Vendas!$AK$2:$AK$3001="Validado")*(Vendas!$B$2:$B$3001=$A89)*(Vendas!$C$2:$C$3001=$B89)*(Vendas!$P$2:$P$3001="À vista")*ISNUMBER(Vendas!$S$2:$S$3001))</f>
        <v/>
      </c>
      <c r="M89" s="17">
        <f t="array" ref="M89">IF(K89&lt;AMOSTRA_MIN,"n&lt;mín",MEDIAN(IF((Vendas!$AK$2:$AK$3001="Validado")*(Vendas!$B$2:$B$3001=$A89)*(Vendas!$C$2:$C$3001=$B89)*(Vendas!$P$2:$P$3001="Financiado")*ISNUMBER(Vendas!$S$2:$S$3001),Vendas!$S$2:$S$3001)))</f>
        <v/>
      </c>
      <c r="N89" s="17">
        <f t="array" ref="N89">IF(L89&lt;AMOSTRA_MIN,"n&lt;mín",MEDIAN(IF((Vendas!$AK$2:$AK$3001="Validado")*(Vendas!$B$2:$B$3001=$A89)*(Vendas!$C$2:$C$3001=$B89)*(Vendas!$P$2:$P$3001="À vista")*ISNUMBER(Vendas!$S$2:$S$3001),Vendas!$S$2:$S$3001)))</f>
        <v/>
      </c>
      <c r="O89" s="28">
        <f>IF(OR(K89&lt;AMOSTRA_MIN,L89&lt;AMOSTRA_MIN),"n&lt;mín",N89/M89-1)</f>
        <v/>
      </c>
      <c r="P89" s="26">
        <f>SUMPRODUCT((Vendas!$AK$2:$AK$3001="Validado")*(Vendas!$B$2:$B$3001=$A89)*(Vendas!$C$2:$C$3001=$B89)*ISNUMBER(Vendas!$W$2:$W$3001))</f>
        <v/>
      </c>
      <c r="Q89" s="27">
        <f t="array" ref="Q89">IF(P89&lt;AMOSTRA_MIN,"n&lt;mín",MEDIAN(IF((Vendas!$AK$2:$AK$3001="Validado")*(Vendas!$B$2:$B$3001=$A89)*(Vendas!$C$2:$C$3001=$B89)*ISNUMBER(Vendas!$W$2:$W$3001),Vendas!$W$2:$W$3001)))</f>
        <v/>
      </c>
      <c r="R89" s="28">
        <f>IF(P89=0,"-",SUMPRODUCT((Vendas!$AK$2:$AK$3001="Validado")*(Vendas!$B$2:$B$3001=$A89)*(Vendas!$C$2:$C$3001=$B89)*ISNUMBER(Vendas!$W$2:$W$3001)*(Vendas!$W$2:$W$3001&lt;1))/P89)</f>
        <v/>
      </c>
      <c r="S89" s="26">
        <f>SUMPRODUCT((Vendas!$AK$2:$AK$3001="Validado")*(Vendas!$B$2:$B$3001=$A89)*(Vendas!$C$2:$C$3001=$B89)*ISNUMBER(Vendas!$X$2:$X$3001))</f>
        <v/>
      </c>
      <c r="T89" s="28">
        <f>IF(S89=0,"-",SUMPRODUCT((Vendas!$AK$2:$AK$3001="Validado")*(Vendas!$B$2:$B$3001=$A89)*(Vendas!$C$2:$C$3001=$B89)*ISNUMBER(Vendas!$X$2:$X$3001)*(Vendas!$X$2:$X$3001&gt;=1))/S89)</f>
        <v/>
      </c>
    </row>
    <row r="90">
      <c r="A90" s="15" t="inlineStr">
        <is>
          <t>Bertioga</t>
        </is>
      </c>
      <c r="B90" s="15" t="inlineStr">
        <is>
          <t>Indaiá</t>
        </is>
      </c>
      <c r="C90" s="26">
        <f>SUMPRODUCT((Vendas!$AK$2:$AK$3001="Validado")*(Vendas!$B$2:$B$3001=$A90)*(Vendas!$C$2:$C$3001=$B90))</f>
        <v/>
      </c>
      <c r="D90" s="26">
        <f>SUMPRODUCT((Vendas!$AK$2:$AK$3001="Validado")*(Vendas!$B$2:$B$3001=$A90)*(Vendas!$C$2:$C$3001=$B90)*ISNUMBER(Vendas!$U$2:$U$3001))</f>
        <v/>
      </c>
      <c r="E90" s="27">
        <f t="array" ref="E90">IF(D90&lt;AMOSTRA_MIN,"n&lt;mín",MEDIAN(IF((Vendas!$AK$2:$AK$3001="Validado")*(Vendas!$B$2:$B$3001=$A90)*(Vendas!$C$2:$C$3001=$B90)*ISNUMBER(Vendas!$U$2:$U$3001),Vendas!$U$2:$U$3001)))</f>
        <v/>
      </c>
      <c r="F90" s="28">
        <f>IF(D90=0,"-",SUMPRODUCT((Vendas!$AK$2:$AK$3001="Validado")*(Vendas!$B$2:$B$3001=$A90)*(Vendas!$C$2:$C$3001=$B90)*ISNUMBER(Vendas!$U$2:$U$3001)*(Vendas!$U$2:$U$3001&lt;1))/D90)</f>
        <v/>
      </c>
      <c r="G90" s="29">
        <f t="array" ref="G90">IF(D90&lt;AMOSTRA_MIN,"n&lt;mín",100*AVERAGE(IF((Vendas!$AK$2:$AK$3001="Validado")*(Vendas!$B$2:$B$3001=$A90)*(Vendas!$C$2:$C$3001=$B90)*ISNUMBER(Vendas!$U$2:$U$3001),ABS(Vendas!$U$2:$U$3001-E90)))/E90)</f>
        <v/>
      </c>
      <c r="H90" s="26">
        <f>SUMPRODUCT((Vendas!$AK$2:$AK$3001="Validado")*(Vendas!$B$2:$B$3001=$A90)*(Vendas!$C$2:$C$3001=$B90)*ISNUMBER(Vendas!$V$2:$V$3001))</f>
        <v/>
      </c>
      <c r="I90" s="27">
        <f t="array" ref="I90">IF(H90&lt;AMOSTRA_MIN,"n&lt;mín",MEDIAN(IF((Vendas!$AK$2:$AK$3001="Validado")*(Vendas!$B$2:$B$3001=$A90)*(Vendas!$C$2:$C$3001=$B90)*ISNUMBER(Vendas!$V$2:$V$3001),Vendas!$V$2:$V$3001)))</f>
        <v/>
      </c>
      <c r="J90" s="28">
        <f>IF(H90=0,"-",SUMPRODUCT((Vendas!$AK$2:$AK$3001="Validado")*(Vendas!$B$2:$B$3001=$A90)*(Vendas!$C$2:$C$3001=$B90)*ISNUMBER(Vendas!$V$2:$V$3001)*(Vendas!$V$2:$V$3001&lt;=1))/H90)</f>
        <v/>
      </c>
      <c r="K90" s="26">
        <f>SUMPRODUCT((Vendas!$AK$2:$AK$3001="Validado")*(Vendas!$B$2:$B$3001=$A90)*(Vendas!$C$2:$C$3001=$B90)*(Vendas!$P$2:$P$3001="Financiado")*ISNUMBER(Vendas!$S$2:$S$3001))</f>
        <v/>
      </c>
      <c r="L90" s="26">
        <f>SUMPRODUCT((Vendas!$AK$2:$AK$3001="Validado")*(Vendas!$B$2:$B$3001=$A90)*(Vendas!$C$2:$C$3001=$B90)*(Vendas!$P$2:$P$3001="À vista")*ISNUMBER(Vendas!$S$2:$S$3001))</f>
        <v/>
      </c>
      <c r="M90" s="17">
        <f t="array" ref="M90">IF(K90&lt;AMOSTRA_MIN,"n&lt;mín",MEDIAN(IF((Vendas!$AK$2:$AK$3001="Validado")*(Vendas!$B$2:$B$3001=$A90)*(Vendas!$C$2:$C$3001=$B90)*(Vendas!$P$2:$P$3001="Financiado")*ISNUMBER(Vendas!$S$2:$S$3001),Vendas!$S$2:$S$3001)))</f>
        <v/>
      </c>
      <c r="N90" s="17">
        <f t="array" ref="N90">IF(L90&lt;AMOSTRA_MIN,"n&lt;mín",MEDIAN(IF((Vendas!$AK$2:$AK$3001="Validado")*(Vendas!$B$2:$B$3001=$A90)*(Vendas!$C$2:$C$3001=$B90)*(Vendas!$P$2:$P$3001="À vista")*ISNUMBER(Vendas!$S$2:$S$3001),Vendas!$S$2:$S$3001)))</f>
        <v/>
      </c>
      <c r="O90" s="28">
        <f>IF(OR(K90&lt;AMOSTRA_MIN,L90&lt;AMOSTRA_MIN),"n&lt;mín",N90/M90-1)</f>
        <v/>
      </c>
      <c r="P90" s="26">
        <f>SUMPRODUCT((Vendas!$AK$2:$AK$3001="Validado")*(Vendas!$B$2:$B$3001=$A90)*(Vendas!$C$2:$C$3001=$B90)*ISNUMBER(Vendas!$W$2:$W$3001))</f>
        <v/>
      </c>
      <c r="Q90" s="27">
        <f t="array" ref="Q90">IF(P90&lt;AMOSTRA_MIN,"n&lt;mín",MEDIAN(IF((Vendas!$AK$2:$AK$3001="Validado")*(Vendas!$B$2:$B$3001=$A90)*(Vendas!$C$2:$C$3001=$B90)*ISNUMBER(Vendas!$W$2:$W$3001),Vendas!$W$2:$W$3001)))</f>
        <v/>
      </c>
      <c r="R90" s="28">
        <f>IF(P90=0,"-",SUMPRODUCT((Vendas!$AK$2:$AK$3001="Validado")*(Vendas!$B$2:$B$3001=$A90)*(Vendas!$C$2:$C$3001=$B90)*ISNUMBER(Vendas!$W$2:$W$3001)*(Vendas!$W$2:$W$3001&lt;1))/P90)</f>
        <v/>
      </c>
      <c r="S90" s="26">
        <f>SUMPRODUCT((Vendas!$AK$2:$AK$3001="Validado")*(Vendas!$B$2:$B$3001=$A90)*(Vendas!$C$2:$C$3001=$B90)*ISNUMBER(Vendas!$X$2:$X$3001))</f>
        <v/>
      </c>
      <c r="T90" s="28">
        <f>IF(S90=0,"-",SUMPRODUCT((Vendas!$AK$2:$AK$3001="Validado")*(Vendas!$B$2:$B$3001=$A90)*(Vendas!$C$2:$C$3001=$B90)*ISNUMBER(Vendas!$X$2:$X$3001)*(Vendas!$X$2:$X$3001&gt;=1))/S90)</f>
        <v/>
      </c>
    </row>
    <row r="91">
      <c r="A91" s="15" t="inlineStr">
        <is>
          <t>Bertioga</t>
        </is>
      </c>
      <c r="B91" s="15" t="inlineStr">
        <is>
          <t>Riviera</t>
        </is>
      </c>
      <c r="C91" s="26">
        <f>SUMPRODUCT((Vendas!$AK$2:$AK$3001="Validado")*(Vendas!$B$2:$B$3001=$A91)*(Vendas!$C$2:$C$3001=$B91))</f>
        <v/>
      </c>
      <c r="D91" s="26">
        <f>SUMPRODUCT((Vendas!$AK$2:$AK$3001="Validado")*(Vendas!$B$2:$B$3001=$A91)*(Vendas!$C$2:$C$3001=$B91)*ISNUMBER(Vendas!$U$2:$U$3001))</f>
        <v/>
      </c>
      <c r="E91" s="27">
        <f t="array" ref="E91">IF(D91&lt;AMOSTRA_MIN,"n&lt;mín",MEDIAN(IF((Vendas!$AK$2:$AK$3001="Validado")*(Vendas!$B$2:$B$3001=$A91)*(Vendas!$C$2:$C$3001=$B91)*ISNUMBER(Vendas!$U$2:$U$3001),Vendas!$U$2:$U$3001)))</f>
        <v/>
      </c>
      <c r="F91" s="28">
        <f>IF(D91=0,"-",SUMPRODUCT((Vendas!$AK$2:$AK$3001="Validado")*(Vendas!$B$2:$B$3001=$A91)*(Vendas!$C$2:$C$3001=$B91)*ISNUMBER(Vendas!$U$2:$U$3001)*(Vendas!$U$2:$U$3001&lt;1))/D91)</f>
        <v/>
      </c>
      <c r="G91" s="29">
        <f t="array" ref="G91">IF(D91&lt;AMOSTRA_MIN,"n&lt;mín",100*AVERAGE(IF((Vendas!$AK$2:$AK$3001="Validado")*(Vendas!$B$2:$B$3001=$A91)*(Vendas!$C$2:$C$3001=$B91)*ISNUMBER(Vendas!$U$2:$U$3001),ABS(Vendas!$U$2:$U$3001-E91)))/E91)</f>
        <v/>
      </c>
      <c r="H91" s="26">
        <f>SUMPRODUCT((Vendas!$AK$2:$AK$3001="Validado")*(Vendas!$B$2:$B$3001=$A91)*(Vendas!$C$2:$C$3001=$B91)*ISNUMBER(Vendas!$V$2:$V$3001))</f>
        <v/>
      </c>
      <c r="I91" s="27">
        <f t="array" ref="I91">IF(H91&lt;AMOSTRA_MIN,"n&lt;mín",MEDIAN(IF((Vendas!$AK$2:$AK$3001="Validado")*(Vendas!$B$2:$B$3001=$A91)*(Vendas!$C$2:$C$3001=$B91)*ISNUMBER(Vendas!$V$2:$V$3001),Vendas!$V$2:$V$3001)))</f>
        <v/>
      </c>
      <c r="J91" s="28">
        <f>IF(H91=0,"-",SUMPRODUCT((Vendas!$AK$2:$AK$3001="Validado")*(Vendas!$B$2:$B$3001=$A91)*(Vendas!$C$2:$C$3001=$B91)*ISNUMBER(Vendas!$V$2:$V$3001)*(Vendas!$V$2:$V$3001&lt;=1))/H91)</f>
        <v/>
      </c>
      <c r="K91" s="26">
        <f>SUMPRODUCT((Vendas!$AK$2:$AK$3001="Validado")*(Vendas!$B$2:$B$3001=$A91)*(Vendas!$C$2:$C$3001=$B91)*(Vendas!$P$2:$P$3001="Financiado")*ISNUMBER(Vendas!$S$2:$S$3001))</f>
        <v/>
      </c>
      <c r="L91" s="26">
        <f>SUMPRODUCT((Vendas!$AK$2:$AK$3001="Validado")*(Vendas!$B$2:$B$3001=$A91)*(Vendas!$C$2:$C$3001=$B91)*(Vendas!$P$2:$P$3001="À vista")*ISNUMBER(Vendas!$S$2:$S$3001))</f>
        <v/>
      </c>
      <c r="M91" s="17">
        <f t="array" ref="M91">IF(K91&lt;AMOSTRA_MIN,"n&lt;mín",MEDIAN(IF((Vendas!$AK$2:$AK$3001="Validado")*(Vendas!$B$2:$B$3001=$A91)*(Vendas!$C$2:$C$3001=$B91)*(Vendas!$P$2:$P$3001="Financiado")*ISNUMBER(Vendas!$S$2:$S$3001),Vendas!$S$2:$S$3001)))</f>
        <v/>
      </c>
      <c r="N91" s="17">
        <f t="array" ref="N91">IF(L91&lt;AMOSTRA_MIN,"n&lt;mín",MEDIAN(IF((Vendas!$AK$2:$AK$3001="Validado")*(Vendas!$B$2:$B$3001=$A91)*(Vendas!$C$2:$C$3001=$B91)*(Vendas!$P$2:$P$3001="À vista")*ISNUMBER(Vendas!$S$2:$S$3001),Vendas!$S$2:$S$3001)))</f>
        <v/>
      </c>
      <c r="O91" s="28">
        <f>IF(OR(K91&lt;AMOSTRA_MIN,L91&lt;AMOSTRA_MIN),"n&lt;mín",N91/M91-1)</f>
        <v/>
      </c>
      <c r="P91" s="26">
        <f>SUMPRODUCT((Vendas!$AK$2:$AK$3001="Validado")*(Vendas!$B$2:$B$3001=$A91)*(Vendas!$C$2:$C$3001=$B91)*ISNUMBER(Vendas!$W$2:$W$3001))</f>
        <v/>
      </c>
      <c r="Q91" s="27">
        <f t="array" ref="Q91">IF(P91&lt;AMOSTRA_MIN,"n&lt;mín",MEDIAN(IF((Vendas!$AK$2:$AK$3001="Validado")*(Vendas!$B$2:$B$3001=$A91)*(Vendas!$C$2:$C$3001=$B91)*ISNUMBER(Vendas!$W$2:$W$3001),Vendas!$W$2:$W$3001)))</f>
        <v/>
      </c>
      <c r="R91" s="28">
        <f>IF(P91=0,"-",SUMPRODUCT((Vendas!$AK$2:$AK$3001="Validado")*(Vendas!$B$2:$B$3001=$A91)*(Vendas!$C$2:$C$3001=$B91)*ISNUMBER(Vendas!$W$2:$W$3001)*(Vendas!$W$2:$W$3001&lt;1))/P91)</f>
        <v/>
      </c>
      <c r="S91" s="26">
        <f>SUMPRODUCT((Vendas!$AK$2:$AK$3001="Validado")*(Vendas!$B$2:$B$3001=$A91)*(Vendas!$C$2:$C$3001=$B91)*ISNUMBER(Vendas!$X$2:$X$3001))</f>
        <v/>
      </c>
      <c r="T91" s="28">
        <f>IF(S91=0,"-",SUMPRODUCT((Vendas!$AK$2:$AK$3001="Validado")*(Vendas!$B$2:$B$3001=$A91)*(Vendas!$C$2:$C$3001=$B91)*ISNUMBER(Vendas!$X$2:$X$3001)*(Vendas!$X$2:$X$3001&gt;=1))/S91)</f>
        <v/>
      </c>
    </row>
    <row r="92">
      <c r="A92" s="15" t="inlineStr">
        <is>
          <t>Bertioga</t>
        </is>
      </c>
      <c r="B92" s="15" t="inlineStr">
        <is>
          <t>São Lourenço</t>
        </is>
      </c>
      <c r="C92" s="26">
        <f>SUMPRODUCT((Vendas!$AK$2:$AK$3001="Validado")*(Vendas!$B$2:$B$3001=$A92)*(Vendas!$C$2:$C$3001=$B92))</f>
        <v/>
      </c>
      <c r="D92" s="26">
        <f>SUMPRODUCT((Vendas!$AK$2:$AK$3001="Validado")*(Vendas!$B$2:$B$3001=$A92)*(Vendas!$C$2:$C$3001=$B92)*ISNUMBER(Vendas!$U$2:$U$3001))</f>
        <v/>
      </c>
      <c r="E92" s="27">
        <f t="array" ref="E92">IF(D92&lt;AMOSTRA_MIN,"n&lt;mín",MEDIAN(IF((Vendas!$AK$2:$AK$3001="Validado")*(Vendas!$B$2:$B$3001=$A92)*(Vendas!$C$2:$C$3001=$B92)*ISNUMBER(Vendas!$U$2:$U$3001),Vendas!$U$2:$U$3001)))</f>
        <v/>
      </c>
      <c r="F92" s="28">
        <f>IF(D92=0,"-",SUMPRODUCT((Vendas!$AK$2:$AK$3001="Validado")*(Vendas!$B$2:$B$3001=$A92)*(Vendas!$C$2:$C$3001=$B92)*ISNUMBER(Vendas!$U$2:$U$3001)*(Vendas!$U$2:$U$3001&lt;1))/D92)</f>
        <v/>
      </c>
      <c r="G92" s="29">
        <f t="array" ref="G92">IF(D92&lt;AMOSTRA_MIN,"n&lt;mín",100*AVERAGE(IF((Vendas!$AK$2:$AK$3001="Validado")*(Vendas!$B$2:$B$3001=$A92)*(Vendas!$C$2:$C$3001=$B92)*ISNUMBER(Vendas!$U$2:$U$3001),ABS(Vendas!$U$2:$U$3001-E92)))/E92)</f>
        <v/>
      </c>
      <c r="H92" s="26">
        <f>SUMPRODUCT((Vendas!$AK$2:$AK$3001="Validado")*(Vendas!$B$2:$B$3001=$A92)*(Vendas!$C$2:$C$3001=$B92)*ISNUMBER(Vendas!$V$2:$V$3001))</f>
        <v/>
      </c>
      <c r="I92" s="27">
        <f t="array" ref="I92">IF(H92&lt;AMOSTRA_MIN,"n&lt;mín",MEDIAN(IF((Vendas!$AK$2:$AK$3001="Validado")*(Vendas!$B$2:$B$3001=$A92)*(Vendas!$C$2:$C$3001=$B92)*ISNUMBER(Vendas!$V$2:$V$3001),Vendas!$V$2:$V$3001)))</f>
        <v/>
      </c>
      <c r="J92" s="28">
        <f>IF(H92=0,"-",SUMPRODUCT((Vendas!$AK$2:$AK$3001="Validado")*(Vendas!$B$2:$B$3001=$A92)*(Vendas!$C$2:$C$3001=$B92)*ISNUMBER(Vendas!$V$2:$V$3001)*(Vendas!$V$2:$V$3001&lt;=1))/H92)</f>
        <v/>
      </c>
      <c r="K92" s="26">
        <f>SUMPRODUCT((Vendas!$AK$2:$AK$3001="Validado")*(Vendas!$B$2:$B$3001=$A92)*(Vendas!$C$2:$C$3001=$B92)*(Vendas!$P$2:$P$3001="Financiado")*ISNUMBER(Vendas!$S$2:$S$3001))</f>
        <v/>
      </c>
      <c r="L92" s="26">
        <f>SUMPRODUCT((Vendas!$AK$2:$AK$3001="Validado")*(Vendas!$B$2:$B$3001=$A92)*(Vendas!$C$2:$C$3001=$B92)*(Vendas!$P$2:$P$3001="À vista")*ISNUMBER(Vendas!$S$2:$S$3001))</f>
        <v/>
      </c>
      <c r="M92" s="17">
        <f t="array" ref="M92">IF(K92&lt;AMOSTRA_MIN,"n&lt;mín",MEDIAN(IF((Vendas!$AK$2:$AK$3001="Validado")*(Vendas!$B$2:$B$3001=$A92)*(Vendas!$C$2:$C$3001=$B92)*(Vendas!$P$2:$P$3001="Financiado")*ISNUMBER(Vendas!$S$2:$S$3001),Vendas!$S$2:$S$3001)))</f>
        <v/>
      </c>
      <c r="N92" s="17">
        <f t="array" ref="N92">IF(L92&lt;AMOSTRA_MIN,"n&lt;mín",MEDIAN(IF((Vendas!$AK$2:$AK$3001="Validado")*(Vendas!$B$2:$B$3001=$A92)*(Vendas!$C$2:$C$3001=$B92)*(Vendas!$P$2:$P$3001="À vista")*ISNUMBER(Vendas!$S$2:$S$3001),Vendas!$S$2:$S$3001)))</f>
        <v/>
      </c>
      <c r="O92" s="28">
        <f>IF(OR(K92&lt;AMOSTRA_MIN,L92&lt;AMOSTRA_MIN),"n&lt;mín",N92/M92-1)</f>
        <v/>
      </c>
      <c r="P92" s="26">
        <f>SUMPRODUCT((Vendas!$AK$2:$AK$3001="Validado")*(Vendas!$B$2:$B$3001=$A92)*(Vendas!$C$2:$C$3001=$B92)*ISNUMBER(Vendas!$W$2:$W$3001))</f>
        <v/>
      </c>
      <c r="Q92" s="27">
        <f t="array" ref="Q92">IF(P92&lt;AMOSTRA_MIN,"n&lt;mín",MEDIAN(IF((Vendas!$AK$2:$AK$3001="Validado")*(Vendas!$B$2:$B$3001=$A92)*(Vendas!$C$2:$C$3001=$B92)*ISNUMBER(Vendas!$W$2:$W$3001),Vendas!$W$2:$W$3001)))</f>
        <v/>
      </c>
      <c r="R92" s="28">
        <f>IF(P92=0,"-",SUMPRODUCT((Vendas!$AK$2:$AK$3001="Validado")*(Vendas!$B$2:$B$3001=$A92)*(Vendas!$C$2:$C$3001=$B92)*ISNUMBER(Vendas!$W$2:$W$3001)*(Vendas!$W$2:$W$3001&lt;1))/P92)</f>
        <v/>
      </c>
      <c r="S92" s="26">
        <f>SUMPRODUCT((Vendas!$AK$2:$AK$3001="Validado")*(Vendas!$B$2:$B$3001=$A92)*(Vendas!$C$2:$C$3001=$B92)*ISNUMBER(Vendas!$X$2:$X$3001))</f>
        <v/>
      </c>
      <c r="T92" s="28">
        <f>IF(S92=0,"-",SUMPRODUCT((Vendas!$AK$2:$AK$3001="Validado")*(Vendas!$B$2:$B$3001=$A92)*(Vendas!$C$2:$C$3001=$B92)*ISNUMBER(Vendas!$X$2:$X$3001)*(Vendas!$X$2:$X$3001&gt;=1))/S92)</f>
        <v/>
      </c>
    </row>
    <row r="93">
      <c r="A93" s="15" t="inlineStr">
        <is>
          <t>Bertioga</t>
        </is>
      </c>
      <c r="B93" s="15" t="inlineStr">
        <is>
          <t>Guaratuba</t>
        </is>
      </c>
      <c r="C93" s="26">
        <f>SUMPRODUCT((Vendas!$AK$2:$AK$3001="Validado")*(Vendas!$B$2:$B$3001=$A93)*(Vendas!$C$2:$C$3001=$B93))</f>
        <v/>
      </c>
      <c r="D93" s="26">
        <f>SUMPRODUCT((Vendas!$AK$2:$AK$3001="Validado")*(Vendas!$B$2:$B$3001=$A93)*(Vendas!$C$2:$C$3001=$B93)*ISNUMBER(Vendas!$U$2:$U$3001))</f>
        <v/>
      </c>
      <c r="E93" s="27">
        <f t="array" ref="E93">IF(D93&lt;AMOSTRA_MIN,"n&lt;mín",MEDIAN(IF((Vendas!$AK$2:$AK$3001="Validado")*(Vendas!$B$2:$B$3001=$A93)*(Vendas!$C$2:$C$3001=$B93)*ISNUMBER(Vendas!$U$2:$U$3001),Vendas!$U$2:$U$3001)))</f>
        <v/>
      </c>
      <c r="F93" s="28">
        <f>IF(D93=0,"-",SUMPRODUCT((Vendas!$AK$2:$AK$3001="Validado")*(Vendas!$B$2:$B$3001=$A93)*(Vendas!$C$2:$C$3001=$B93)*ISNUMBER(Vendas!$U$2:$U$3001)*(Vendas!$U$2:$U$3001&lt;1))/D93)</f>
        <v/>
      </c>
      <c r="G93" s="29">
        <f t="array" ref="G93">IF(D93&lt;AMOSTRA_MIN,"n&lt;mín",100*AVERAGE(IF((Vendas!$AK$2:$AK$3001="Validado")*(Vendas!$B$2:$B$3001=$A93)*(Vendas!$C$2:$C$3001=$B93)*ISNUMBER(Vendas!$U$2:$U$3001),ABS(Vendas!$U$2:$U$3001-E93)))/E93)</f>
        <v/>
      </c>
      <c r="H93" s="26">
        <f>SUMPRODUCT((Vendas!$AK$2:$AK$3001="Validado")*(Vendas!$B$2:$B$3001=$A93)*(Vendas!$C$2:$C$3001=$B93)*ISNUMBER(Vendas!$V$2:$V$3001))</f>
        <v/>
      </c>
      <c r="I93" s="27">
        <f t="array" ref="I93">IF(H93&lt;AMOSTRA_MIN,"n&lt;mín",MEDIAN(IF((Vendas!$AK$2:$AK$3001="Validado")*(Vendas!$B$2:$B$3001=$A93)*(Vendas!$C$2:$C$3001=$B93)*ISNUMBER(Vendas!$V$2:$V$3001),Vendas!$V$2:$V$3001)))</f>
        <v/>
      </c>
      <c r="J93" s="28">
        <f>IF(H93=0,"-",SUMPRODUCT((Vendas!$AK$2:$AK$3001="Validado")*(Vendas!$B$2:$B$3001=$A93)*(Vendas!$C$2:$C$3001=$B93)*ISNUMBER(Vendas!$V$2:$V$3001)*(Vendas!$V$2:$V$3001&lt;=1))/H93)</f>
        <v/>
      </c>
      <c r="K93" s="26">
        <f>SUMPRODUCT((Vendas!$AK$2:$AK$3001="Validado")*(Vendas!$B$2:$B$3001=$A93)*(Vendas!$C$2:$C$3001=$B93)*(Vendas!$P$2:$P$3001="Financiado")*ISNUMBER(Vendas!$S$2:$S$3001))</f>
        <v/>
      </c>
      <c r="L93" s="26">
        <f>SUMPRODUCT((Vendas!$AK$2:$AK$3001="Validado")*(Vendas!$B$2:$B$3001=$A93)*(Vendas!$C$2:$C$3001=$B93)*(Vendas!$P$2:$P$3001="À vista")*ISNUMBER(Vendas!$S$2:$S$3001))</f>
        <v/>
      </c>
      <c r="M93" s="17">
        <f t="array" ref="M93">IF(K93&lt;AMOSTRA_MIN,"n&lt;mín",MEDIAN(IF((Vendas!$AK$2:$AK$3001="Validado")*(Vendas!$B$2:$B$3001=$A93)*(Vendas!$C$2:$C$3001=$B93)*(Vendas!$P$2:$P$3001="Financiado")*ISNUMBER(Vendas!$S$2:$S$3001),Vendas!$S$2:$S$3001)))</f>
        <v/>
      </c>
      <c r="N93" s="17">
        <f t="array" ref="N93">IF(L93&lt;AMOSTRA_MIN,"n&lt;mín",MEDIAN(IF((Vendas!$AK$2:$AK$3001="Validado")*(Vendas!$B$2:$B$3001=$A93)*(Vendas!$C$2:$C$3001=$B93)*(Vendas!$P$2:$P$3001="À vista")*ISNUMBER(Vendas!$S$2:$S$3001),Vendas!$S$2:$S$3001)))</f>
        <v/>
      </c>
      <c r="O93" s="28">
        <f>IF(OR(K93&lt;AMOSTRA_MIN,L93&lt;AMOSTRA_MIN),"n&lt;mín",N93/M93-1)</f>
        <v/>
      </c>
      <c r="P93" s="26">
        <f>SUMPRODUCT((Vendas!$AK$2:$AK$3001="Validado")*(Vendas!$B$2:$B$3001=$A93)*(Vendas!$C$2:$C$3001=$B93)*ISNUMBER(Vendas!$W$2:$W$3001))</f>
        <v/>
      </c>
      <c r="Q93" s="27">
        <f t="array" ref="Q93">IF(P93&lt;AMOSTRA_MIN,"n&lt;mín",MEDIAN(IF((Vendas!$AK$2:$AK$3001="Validado")*(Vendas!$B$2:$B$3001=$A93)*(Vendas!$C$2:$C$3001=$B93)*ISNUMBER(Vendas!$W$2:$W$3001),Vendas!$W$2:$W$3001)))</f>
        <v/>
      </c>
      <c r="R93" s="28">
        <f>IF(P93=0,"-",SUMPRODUCT((Vendas!$AK$2:$AK$3001="Validado")*(Vendas!$B$2:$B$3001=$A93)*(Vendas!$C$2:$C$3001=$B93)*ISNUMBER(Vendas!$W$2:$W$3001)*(Vendas!$W$2:$W$3001&lt;1))/P93)</f>
        <v/>
      </c>
      <c r="S93" s="26">
        <f>SUMPRODUCT((Vendas!$AK$2:$AK$3001="Validado")*(Vendas!$B$2:$B$3001=$A93)*(Vendas!$C$2:$C$3001=$B93)*ISNUMBER(Vendas!$X$2:$X$3001))</f>
        <v/>
      </c>
      <c r="T93" s="28">
        <f>IF(S93=0,"-",SUMPRODUCT((Vendas!$AK$2:$AK$3001="Validado")*(Vendas!$B$2:$B$3001=$A93)*(Vendas!$C$2:$C$3001=$B93)*ISNUMBER(Vendas!$X$2:$X$3001)*(Vendas!$X$2:$X$3001&gt;=1))/S93)</f>
        <v/>
      </c>
    </row>
    <row r="94">
      <c r="A94" s="15" t="inlineStr">
        <is>
          <t>Bertioga</t>
        </is>
      </c>
      <c r="B94" s="15" t="inlineStr">
        <is>
          <t>Costa do Sol</t>
        </is>
      </c>
      <c r="C94" s="26">
        <f>SUMPRODUCT((Vendas!$AK$2:$AK$3001="Validado")*(Vendas!$B$2:$B$3001=$A94)*(Vendas!$C$2:$C$3001=$B94))</f>
        <v/>
      </c>
      <c r="D94" s="26">
        <f>SUMPRODUCT((Vendas!$AK$2:$AK$3001="Validado")*(Vendas!$B$2:$B$3001=$A94)*(Vendas!$C$2:$C$3001=$B94)*ISNUMBER(Vendas!$U$2:$U$3001))</f>
        <v/>
      </c>
      <c r="E94" s="27">
        <f t="array" ref="E94">IF(D94&lt;AMOSTRA_MIN,"n&lt;mín",MEDIAN(IF((Vendas!$AK$2:$AK$3001="Validado")*(Vendas!$B$2:$B$3001=$A94)*(Vendas!$C$2:$C$3001=$B94)*ISNUMBER(Vendas!$U$2:$U$3001),Vendas!$U$2:$U$3001)))</f>
        <v/>
      </c>
      <c r="F94" s="28">
        <f>IF(D94=0,"-",SUMPRODUCT((Vendas!$AK$2:$AK$3001="Validado")*(Vendas!$B$2:$B$3001=$A94)*(Vendas!$C$2:$C$3001=$B94)*ISNUMBER(Vendas!$U$2:$U$3001)*(Vendas!$U$2:$U$3001&lt;1))/D94)</f>
        <v/>
      </c>
      <c r="G94" s="29">
        <f t="array" ref="G94">IF(D94&lt;AMOSTRA_MIN,"n&lt;mín",100*AVERAGE(IF((Vendas!$AK$2:$AK$3001="Validado")*(Vendas!$B$2:$B$3001=$A94)*(Vendas!$C$2:$C$3001=$B94)*ISNUMBER(Vendas!$U$2:$U$3001),ABS(Vendas!$U$2:$U$3001-E94)))/E94)</f>
        <v/>
      </c>
      <c r="H94" s="26">
        <f>SUMPRODUCT((Vendas!$AK$2:$AK$3001="Validado")*(Vendas!$B$2:$B$3001=$A94)*(Vendas!$C$2:$C$3001=$B94)*ISNUMBER(Vendas!$V$2:$V$3001))</f>
        <v/>
      </c>
      <c r="I94" s="27">
        <f t="array" ref="I94">IF(H94&lt;AMOSTRA_MIN,"n&lt;mín",MEDIAN(IF((Vendas!$AK$2:$AK$3001="Validado")*(Vendas!$B$2:$B$3001=$A94)*(Vendas!$C$2:$C$3001=$B94)*ISNUMBER(Vendas!$V$2:$V$3001),Vendas!$V$2:$V$3001)))</f>
        <v/>
      </c>
      <c r="J94" s="28">
        <f>IF(H94=0,"-",SUMPRODUCT((Vendas!$AK$2:$AK$3001="Validado")*(Vendas!$B$2:$B$3001=$A94)*(Vendas!$C$2:$C$3001=$B94)*ISNUMBER(Vendas!$V$2:$V$3001)*(Vendas!$V$2:$V$3001&lt;=1))/H94)</f>
        <v/>
      </c>
      <c r="K94" s="26">
        <f>SUMPRODUCT((Vendas!$AK$2:$AK$3001="Validado")*(Vendas!$B$2:$B$3001=$A94)*(Vendas!$C$2:$C$3001=$B94)*(Vendas!$P$2:$P$3001="Financiado")*ISNUMBER(Vendas!$S$2:$S$3001))</f>
        <v/>
      </c>
      <c r="L94" s="26">
        <f>SUMPRODUCT((Vendas!$AK$2:$AK$3001="Validado")*(Vendas!$B$2:$B$3001=$A94)*(Vendas!$C$2:$C$3001=$B94)*(Vendas!$P$2:$P$3001="À vista")*ISNUMBER(Vendas!$S$2:$S$3001))</f>
        <v/>
      </c>
      <c r="M94" s="17">
        <f t="array" ref="M94">IF(K94&lt;AMOSTRA_MIN,"n&lt;mín",MEDIAN(IF((Vendas!$AK$2:$AK$3001="Validado")*(Vendas!$B$2:$B$3001=$A94)*(Vendas!$C$2:$C$3001=$B94)*(Vendas!$P$2:$P$3001="Financiado")*ISNUMBER(Vendas!$S$2:$S$3001),Vendas!$S$2:$S$3001)))</f>
        <v/>
      </c>
      <c r="N94" s="17">
        <f t="array" ref="N94">IF(L94&lt;AMOSTRA_MIN,"n&lt;mín",MEDIAN(IF((Vendas!$AK$2:$AK$3001="Validado")*(Vendas!$B$2:$B$3001=$A94)*(Vendas!$C$2:$C$3001=$B94)*(Vendas!$P$2:$P$3001="À vista")*ISNUMBER(Vendas!$S$2:$S$3001),Vendas!$S$2:$S$3001)))</f>
        <v/>
      </c>
      <c r="O94" s="28">
        <f>IF(OR(K94&lt;AMOSTRA_MIN,L94&lt;AMOSTRA_MIN),"n&lt;mín",N94/M94-1)</f>
        <v/>
      </c>
      <c r="P94" s="26">
        <f>SUMPRODUCT((Vendas!$AK$2:$AK$3001="Validado")*(Vendas!$B$2:$B$3001=$A94)*(Vendas!$C$2:$C$3001=$B94)*ISNUMBER(Vendas!$W$2:$W$3001))</f>
        <v/>
      </c>
      <c r="Q94" s="27">
        <f t="array" ref="Q94">IF(P94&lt;AMOSTRA_MIN,"n&lt;mín",MEDIAN(IF((Vendas!$AK$2:$AK$3001="Validado")*(Vendas!$B$2:$B$3001=$A94)*(Vendas!$C$2:$C$3001=$B94)*ISNUMBER(Vendas!$W$2:$W$3001),Vendas!$W$2:$W$3001)))</f>
        <v/>
      </c>
      <c r="R94" s="28">
        <f>IF(P94=0,"-",SUMPRODUCT((Vendas!$AK$2:$AK$3001="Validado")*(Vendas!$B$2:$B$3001=$A94)*(Vendas!$C$2:$C$3001=$B94)*ISNUMBER(Vendas!$W$2:$W$3001)*(Vendas!$W$2:$W$3001&lt;1))/P94)</f>
        <v/>
      </c>
      <c r="S94" s="26">
        <f>SUMPRODUCT((Vendas!$AK$2:$AK$3001="Validado")*(Vendas!$B$2:$B$3001=$A94)*(Vendas!$C$2:$C$3001=$B94)*ISNUMBER(Vendas!$X$2:$X$3001))</f>
        <v/>
      </c>
      <c r="T94" s="28">
        <f>IF(S94=0,"-",SUMPRODUCT((Vendas!$AK$2:$AK$3001="Validado")*(Vendas!$B$2:$B$3001=$A94)*(Vendas!$C$2:$C$3001=$B94)*ISNUMBER(Vendas!$X$2:$X$3001)*(Vendas!$X$2:$X$3001&gt;=1))/S94)</f>
        <v/>
      </c>
    </row>
    <row r="95">
      <c r="A95" s="15" t="inlineStr">
        <is>
          <t>Bertioga</t>
        </is>
      </c>
      <c r="B95" s="15" t="inlineStr">
        <is>
          <t>Morada da Praia</t>
        </is>
      </c>
      <c r="C95" s="26">
        <f>SUMPRODUCT((Vendas!$AK$2:$AK$3001="Validado")*(Vendas!$B$2:$B$3001=$A95)*(Vendas!$C$2:$C$3001=$B95))</f>
        <v/>
      </c>
      <c r="D95" s="26">
        <f>SUMPRODUCT((Vendas!$AK$2:$AK$3001="Validado")*(Vendas!$B$2:$B$3001=$A95)*(Vendas!$C$2:$C$3001=$B95)*ISNUMBER(Vendas!$U$2:$U$3001))</f>
        <v/>
      </c>
      <c r="E95" s="27">
        <f t="array" ref="E95">IF(D95&lt;AMOSTRA_MIN,"n&lt;mín",MEDIAN(IF((Vendas!$AK$2:$AK$3001="Validado")*(Vendas!$B$2:$B$3001=$A95)*(Vendas!$C$2:$C$3001=$B95)*ISNUMBER(Vendas!$U$2:$U$3001),Vendas!$U$2:$U$3001)))</f>
        <v/>
      </c>
      <c r="F95" s="28">
        <f>IF(D95=0,"-",SUMPRODUCT((Vendas!$AK$2:$AK$3001="Validado")*(Vendas!$B$2:$B$3001=$A95)*(Vendas!$C$2:$C$3001=$B95)*ISNUMBER(Vendas!$U$2:$U$3001)*(Vendas!$U$2:$U$3001&lt;1))/D95)</f>
        <v/>
      </c>
      <c r="G95" s="29">
        <f t="array" ref="G95">IF(D95&lt;AMOSTRA_MIN,"n&lt;mín",100*AVERAGE(IF((Vendas!$AK$2:$AK$3001="Validado")*(Vendas!$B$2:$B$3001=$A95)*(Vendas!$C$2:$C$3001=$B95)*ISNUMBER(Vendas!$U$2:$U$3001),ABS(Vendas!$U$2:$U$3001-E95)))/E95)</f>
        <v/>
      </c>
      <c r="H95" s="26">
        <f>SUMPRODUCT((Vendas!$AK$2:$AK$3001="Validado")*(Vendas!$B$2:$B$3001=$A95)*(Vendas!$C$2:$C$3001=$B95)*ISNUMBER(Vendas!$V$2:$V$3001))</f>
        <v/>
      </c>
      <c r="I95" s="27">
        <f t="array" ref="I95">IF(H95&lt;AMOSTRA_MIN,"n&lt;mín",MEDIAN(IF((Vendas!$AK$2:$AK$3001="Validado")*(Vendas!$B$2:$B$3001=$A95)*(Vendas!$C$2:$C$3001=$B95)*ISNUMBER(Vendas!$V$2:$V$3001),Vendas!$V$2:$V$3001)))</f>
        <v/>
      </c>
      <c r="J95" s="28">
        <f>IF(H95=0,"-",SUMPRODUCT((Vendas!$AK$2:$AK$3001="Validado")*(Vendas!$B$2:$B$3001=$A95)*(Vendas!$C$2:$C$3001=$B95)*ISNUMBER(Vendas!$V$2:$V$3001)*(Vendas!$V$2:$V$3001&lt;=1))/H95)</f>
        <v/>
      </c>
      <c r="K95" s="26">
        <f>SUMPRODUCT((Vendas!$AK$2:$AK$3001="Validado")*(Vendas!$B$2:$B$3001=$A95)*(Vendas!$C$2:$C$3001=$B95)*(Vendas!$P$2:$P$3001="Financiado")*ISNUMBER(Vendas!$S$2:$S$3001))</f>
        <v/>
      </c>
      <c r="L95" s="26">
        <f>SUMPRODUCT((Vendas!$AK$2:$AK$3001="Validado")*(Vendas!$B$2:$B$3001=$A95)*(Vendas!$C$2:$C$3001=$B95)*(Vendas!$P$2:$P$3001="À vista")*ISNUMBER(Vendas!$S$2:$S$3001))</f>
        <v/>
      </c>
      <c r="M95" s="17">
        <f t="array" ref="M95">IF(K95&lt;AMOSTRA_MIN,"n&lt;mín",MEDIAN(IF((Vendas!$AK$2:$AK$3001="Validado")*(Vendas!$B$2:$B$3001=$A95)*(Vendas!$C$2:$C$3001=$B95)*(Vendas!$P$2:$P$3001="Financiado")*ISNUMBER(Vendas!$S$2:$S$3001),Vendas!$S$2:$S$3001)))</f>
        <v/>
      </c>
      <c r="N95" s="17">
        <f t="array" ref="N95">IF(L95&lt;AMOSTRA_MIN,"n&lt;mín",MEDIAN(IF((Vendas!$AK$2:$AK$3001="Validado")*(Vendas!$B$2:$B$3001=$A95)*(Vendas!$C$2:$C$3001=$B95)*(Vendas!$P$2:$P$3001="À vista")*ISNUMBER(Vendas!$S$2:$S$3001),Vendas!$S$2:$S$3001)))</f>
        <v/>
      </c>
      <c r="O95" s="28">
        <f>IF(OR(K95&lt;AMOSTRA_MIN,L95&lt;AMOSTRA_MIN),"n&lt;mín",N95/M95-1)</f>
        <v/>
      </c>
      <c r="P95" s="26">
        <f>SUMPRODUCT((Vendas!$AK$2:$AK$3001="Validado")*(Vendas!$B$2:$B$3001=$A95)*(Vendas!$C$2:$C$3001=$B95)*ISNUMBER(Vendas!$W$2:$W$3001))</f>
        <v/>
      </c>
      <c r="Q95" s="27">
        <f t="array" ref="Q95">IF(P95&lt;AMOSTRA_MIN,"n&lt;mín",MEDIAN(IF((Vendas!$AK$2:$AK$3001="Validado")*(Vendas!$B$2:$B$3001=$A95)*(Vendas!$C$2:$C$3001=$B95)*ISNUMBER(Vendas!$W$2:$W$3001),Vendas!$W$2:$W$3001)))</f>
        <v/>
      </c>
      <c r="R95" s="28">
        <f>IF(P95=0,"-",SUMPRODUCT((Vendas!$AK$2:$AK$3001="Validado")*(Vendas!$B$2:$B$3001=$A95)*(Vendas!$C$2:$C$3001=$B95)*ISNUMBER(Vendas!$W$2:$W$3001)*(Vendas!$W$2:$W$3001&lt;1))/P95)</f>
        <v/>
      </c>
      <c r="S95" s="26">
        <f>SUMPRODUCT((Vendas!$AK$2:$AK$3001="Validado")*(Vendas!$B$2:$B$3001=$A95)*(Vendas!$C$2:$C$3001=$B95)*ISNUMBER(Vendas!$X$2:$X$3001))</f>
        <v/>
      </c>
      <c r="T95" s="28">
        <f>IF(S95=0,"-",SUMPRODUCT((Vendas!$AK$2:$AK$3001="Validado")*(Vendas!$B$2:$B$3001=$A95)*(Vendas!$C$2:$C$3001=$B95)*ISNUMBER(Vendas!$X$2:$X$3001)*(Vendas!$X$2:$X$3001&gt;=1))/S95)</f>
        <v/>
      </c>
    </row>
    <row r="96">
      <c r="A96" s="15" t="inlineStr">
        <is>
          <t>Bertioga</t>
        </is>
      </c>
      <c r="B96" s="15" t="inlineStr">
        <is>
          <t>Boraceia</t>
        </is>
      </c>
      <c r="C96" s="26">
        <f>SUMPRODUCT((Vendas!$AK$2:$AK$3001="Validado")*(Vendas!$B$2:$B$3001=$A96)*(Vendas!$C$2:$C$3001=$B96))</f>
        <v/>
      </c>
      <c r="D96" s="26">
        <f>SUMPRODUCT((Vendas!$AK$2:$AK$3001="Validado")*(Vendas!$B$2:$B$3001=$A96)*(Vendas!$C$2:$C$3001=$B96)*ISNUMBER(Vendas!$U$2:$U$3001))</f>
        <v/>
      </c>
      <c r="E96" s="27">
        <f t="array" ref="E96">IF(D96&lt;AMOSTRA_MIN,"n&lt;mín",MEDIAN(IF((Vendas!$AK$2:$AK$3001="Validado")*(Vendas!$B$2:$B$3001=$A96)*(Vendas!$C$2:$C$3001=$B96)*ISNUMBER(Vendas!$U$2:$U$3001),Vendas!$U$2:$U$3001)))</f>
        <v/>
      </c>
      <c r="F96" s="28">
        <f>IF(D96=0,"-",SUMPRODUCT((Vendas!$AK$2:$AK$3001="Validado")*(Vendas!$B$2:$B$3001=$A96)*(Vendas!$C$2:$C$3001=$B96)*ISNUMBER(Vendas!$U$2:$U$3001)*(Vendas!$U$2:$U$3001&lt;1))/D96)</f>
        <v/>
      </c>
      <c r="G96" s="29">
        <f t="array" ref="G96">IF(D96&lt;AMOSTRA_MIN,"n&lt;mín",100*AVERAGE(IF((Vendas!$AK$2:$AK$3001="Validado")*(Vendas!$B$2:$B$3001=$A96)*(Vendas!$C$2:$C$3001=$B96)*ISNUMBER(Vendas!$U$2:$U$3001),ABS(Vendas!$U$2:$U$3001-E96)))/E96)</f>
        <v/>
      </c>
      <c r="H96" s="26">
        <f>SUMPRODUCT((Vendas!$AK$2:$AK$3001="Validado")*(Vendas!$B$2:$B$3001=$A96)*(Vendas!$C$2:$C$3001=$B96)*ISNUMBER(Vendas!$V$2:$V$3001))</f>
        <v/>
      </c>
      <c r="I96" s="27">
        <f t="array" ref="I96">IF(H96&lt;AMOSTRA_MIN,"n&lt;mín",MEDIAN(IF((Vendas!$AK$2:$AK$3001="Validado")*(Vendas!$B$2:$B$3001=$A96)*(Vendas!$C$2:$C$3001=$B96)*ISNUMBER(Vendas!$V$2:$V$3001),Vendas!$V$2:$V$3001)))</f>
        <v/>
      </c>
      <c r="J96" s="28">
        <f>IF(H96=0,"-",SUMPRODUCT((Vendas!$AK$2:$AK$3001="Validado")*(Vendas!$B$2:$B$3001=$A96)*(Vendas!$C$2:$C$3001=$B96)*ISNUMBER(Vendas!$V$2:$V$3001)*(Vendas!$V$2:$V$3001&lt;=1))/H96)</f>
        <v/>
      </c>
      <c r="K96" s="26">
        <f>SUMPRODUCT((Vendas!$AK$2:$AK$3001="Validado")*(Vendas!$B$2:$B$3001=$A96)*(Vendas!$C$2:$C$3001=$B96)*(Vendas!$P$2:$P$3001="Financiado")*ISNUMBER(Vendas!$S$2:$S$3001))</f>
        <v/>
      </c>
      <c r="L96" s="26">
        <f>SUMPRODUCT((Vendas!$AK$2:$AK$3001="Validado")*(Vendas!$B$2:$B$3001=$A96)*(Vendas!$C$2:$C$3001=$B96)*(Vendas!$P$2:$P$3001="À vista")*ISNUMBER(Vendas!$S$2:$S$3001))</f>
        <v/>
      </c>
      <c r="M96" s="17">
        <f t="array" ref="M96">IF(K96&lt;AMOSTRA_MIN,"n&lt;mín",MEDIAN(IF((Vendas!$AK$2:$AK$3001="Validado")*(Vendas!$B$2:$B$3001=$A96)*(Vendas!$C$2:$C$3001=$B96)*(Vendas!$P$2:$P$3001="Financiado")*ISNUMBER(Vendas!$S$2:$S$3001),Vendas!$S$2:$S$3001)))</f>
        <v/>
      </c>
      <c r="N96" s="17">
        <f t="array" ref="N96">IF(L96&lt;AMOSTRA_MIN,"n&lt;mín",MEDIAN(IF((Vendas!$AK$2:$AK$3001="Validado")*(Vendas!$B$2:$B$3001=$A96)*(Vendas!$C$2:$C$3001=$B96)*(Vendas!$P$2:$P$3001="À vista")*ISNUMBER(Vendas!$S$2:$S$3001),Vendas!$S$2:$S$3001)))</f>
        <v/>
      </c>
      <c r="O96" s="28">
        <f>IF(OR(K96&lt;AMOSTRA_MIN,L96&lt;AMOSTRA_MIN),"n&lt;mín",N96/M96-1)</f>
        <v/>
      </c>
      <c r="P96" s="26">
        <f>SUMPRODUCT((Vendas!$AK$2:$AK$3001="Validado")*(Vendas!$B$2:$B$3001=$A96)*(Vendas!$C$2:$C$3001=$B96)*ISNUMBER(Vendas!$W$2:$W$3001))</f>
        <v/>
      </c>
      <c r="Q96" s="27">
        <f t="array" ref="Q96">IF(P96&lt;AMOSTRA_MIN,"n&lt;mín",MEDIAN(IF((Vendas!$AK$2:$AK$3001="Validado")*(Vendas!$B$2:$B$3001=$A96)*(Vendas!$C$2:$C$3001=$B96)*ISNUMBER(Vendas!$W$2:$W$3001),Vendas!$W$2:$W$3001)))</f>
        <v/>
      </c>
      <c r="R96" s="28">
        <f>IF(P96=0,"-",SUMPRODUCT((Vendas!$AK$2:$AK$3001="Validado")*(Vendas!$B$2:$B$3001=$A96)*(Vendas!$C$2:$C$3001=$B96)*ISNUMBER(Vendas!$W$2:$W$3001)*(Vendas!$W$2:$W$3001&lt;1))/P96)</f>
        <v/>
      </c>
      <c r="S96" s="26">
        <f>SUMPRODUCT((Vendas!$AK$2:$AK$3001="Validado")*(Vendas!$B$2:$B$3001=$A96)*(Vendas!$C$2:$C$3001=$B96)*ISNUMBER(Vendas!$X$2:$X$3001))</f>
        <v/>
      </c>
      <c r="T96" s="28">
        <f>IF(S96=0,"-",SUMPRODUCT((Vendas!$AK$2:$AK$3001="Validado")*(Vendas!$B$2:$B$3001=$A96)*(Vendas!$C$2:$C$3001=$B96)*ISNUMBER(Vendas!$X$2:$X$3001)*(Vendas!$X$2:$X$3001&gt;=1))/S96)</f>
        <v/>
      </c>
    </row>
    <row r="97">
      <c r="A97" s="15" t="inlineStr">
        <is>
          <t>Bertioga</t>
        </is>
      </c>
      <c r="B97" s="15" t="inlineStr">
        <is>
          <t>T.I. (Terras Indígenas do Rio Silveiras)</t>
        </is>
      </c>
      <c r="C97" s="26">
        <f>SUMPRODUCT((Vendas!$AK$2:$AK$3001="Validado")*(Vendas!$B$2:$B$3001=$A97)*(Vendas!$C$2:$C$3001=$B97))</f>
        <v/>
      </c>
      <c r="D97" s="26">
        <f>SUMPRODUCT((Vendas!$AK$2:$AK$3001="Validado")*(Vendas!$B$2:$B$3001=$A97)*(Vendas!$C$2:$C$3001=$B97)*ISNUMBER(Vendas!$U$2:$U$3001))</f>
        <v/>
      </c>
      <c r="E97" s="27">
        <f t="array" ref="E97">IF(D97&lt;AMOSTRA_MIN,"n&lt;mín",MEDIAN(IF((Vendas!$AK$2:$AK$3001="Validado")*(Vendas!$B$2:$B$3001=$A97)*(Vendas!$C$2:$C$3001=$B97)*ISNUMBER(Vendas!$U$2:$U$3001),Vendas!$U$2:$U$3001)))</f>
        <v/>
      </c>
      <c r="F97" s="28">
        <f>IF(D97=0,"-",SUMPRODUCT((Vendas!$AK$2:$AK$3001="Validado")*(Vendas!$B$2:$B$3001=$A97)*(Vendas!$C$2:$C$3001=$B97)*ISNUMBER(Vendas!$U$2:$U$3001)*(Vendas!$U$2:$U$3001&lt;1))/D97)</f>
        <v/>
      </c>
      <c r="G97" s="29">
        <f t="array" ref="G97">IF(D97&lt;AMOSTRA_MIN,"n&lt;mín",100*AVERAGE(IF((Vendas!$AK$2:$AK$3001="Validado")*(Vendas!$B$2:$B$3001=$A97)*(Vendas!$C$2:$C$3001=$B97)*ISNUMBER(Vendas!$U$2:$U$3001),ABS(Vendas!$U$2:$U$3001-E97)))/E97)</f>
        <v/>
      </c>
      <c r="H97" s="26">
        <f>SUMPRODUCT((Vendas!$AK$2:$AK$3001="Validado")*(Vendas!$B$2:$B$3001=$A97)*(Vendas!$C$2:$C$3001=$B97)*ISNUMBER(Vendas!$V$2:$V$3001))</f>
        <v/>
      </c>
      <c r="I97" s="27">
        <f t="array" ref="I97">IF(H97&lt;AMOSTRA_MIN,"n&lt;mín",MEDIAN(IF((Vendas!$AK$2:$AK$3001="Validado")*(Vendas!$B$2:$B$3001=$A97)*(Vendas!$C$2:$C$3001=$B97)*ISNUMBER(Vendas!$V$2:$V$3001),Vendas!$V$2:$V$3001)))</f>
        <v/>
      </c>
      <c r="J97" s="28">
        <f>IF(H97=0,"-",SUMPRODUCT((Vendas!$AK$2:$AK$3001="Validado")*(Vendas!$B$2:$B$3001=$A97)*(Vendas!$C$2:$C$3001=$B97)*ISNUMBER(Vendas!$V$2:$V$3001)*(Vendas!$V$2:$V$3001&lt;=1))/H97)</f>
        <v/>
      </c>
      <c r="K97" s="26">
        <f>SUMPRODUCT((Vendas!$AK$2:$AK$3001="Validado")*(Vendas!$B$2:$B$3001=$A97)*(Vendas!$C$2:$C$3001=$B97)*(Vendas!$P$2:$P$3001="Financiado")*ISNUMBER(Vendas!$S$2:$S$3001))</f>
        <v/>
      </c>
      <c r="L97" s="26">
        <f>SUMPRODUCT((Vendas!$AK$2:$AK$3001="Validado")*(Vendas!$B$2:$B$3001=$A97)*(Vendas!$C$2:$C$3001=$B97)*(Vendas!$P$2:$P$3001="À vista")*ISNUMBER(Vendas!$S$2:$S$3001))</f>
        <v/>
      </c>
      <c r="M97" s="17">
        <f t="array" ref="M97">IF(K97&lt;AMOSTRA_MIN,"n&lt;mín",MEDIAN(IF((Vendas!$AK$2:$AK$3001="Validado")*(Vendas!$B$2:$B$3001=$A97)*(Vendas!$C$2:$C$3001=$B97)*(Vendas!$P$2:$P$3001="Financiado")*ISNUMBER(Vendas!$S$2:$S$3001),Vendas!$S$2:$S$3001)))</f>
        <v/>
      </c>
      <c r="N97" s="17">
        <f t="array" ref="N97">IF(L97&lt;AMOSTRA_MIN,"n&lt;mín",MEDIAN(IF((Vendas!$AK$2:$AK$3001="Validado")*(Vendas!$B$2:$B$3001=$A97)*(Vendas!$C$2:$C$3001=$B97)*(Vendas!$P$2:$P$3001="À vista")*ISNUMBER(Vendas!$S$2:$S$3001),Vendas!$S$2:$S$3001)))</f>
        <v/>
      </c>
      <c r="O97" s="28">
        <f>IF(OR(K97&lt;AMOSTRA_MIN,L97&lt;AMOSTRA_MIN),"n&lt;mín",N97/M97-1)</f>
        <v/>
      </c>
      <c r="P97" s="26">
        <f>SUMPRODUCT((Vendas!$AK$2:$AK$3001="Validado")*(Vendas!$B$2:$B$3001=$A97)*(Vendas!$C$2:$C$3001=$B97)*ISNUMBER(Vendas!$W$2:$W$3001))</f>
        <v/>
      </c>
      <c r="Q97" s="27">
        <f t="array" ref="Q97">IF(P97&lt;AMOSTRA_MIN,"n&lt;mín",MEDIAN(IF((Vendas!$AK$2:$AK$3001="Validado")*(Vendas!$B$2:$B$3001=$A97)*(Vendas!$C$2:$C$3001=$B97)*ISNUMBER(Vendas!$W$2:$W$3001),Vendas!$W$2:$W$3001)))</f>
        <v/>
      </c>
      <c r="R97" s="28">
        <f>IF(P97=0,"-",SUMPRODUCT((Vendas!$AK$2:$AK$3001="Validado")*(Vendas!$B$2:$B$3001=$A97)*(Vendas!$C$2:$C$3001=$B97)*ISNUMBER(Vendas!$W$2:$W$3001)*(Vendas!$W$2:$W$3001&lt;1))/P97)</f>
        <v/>
      </c>
      <c r="S97" s="26">
        <f>SUMPRODUCT((Vendas!$AK$2:$AK$3001="Validado")*(Vendas!$B$2:$B$3001=$A97)*(Vendas!$C$2:$C$3001=$B97)*ISNUMBER(Vendas!$X$2:$X$3001))</f>
        <v/>
      </c>
      <c r="T97" s="28">
        <f>IF(S97=0,"-",SUMPRODUCT((Vendas!$AK$2:$AK$3001="Validado")*(Vendas!$B$2:$B$3001=$A97)*(Vendas!$C$2:$C$3001=$B97)*ISNUMBER(Vendas!$X$2:$X$3001)*(Vendas!$X$2:$X$3001&gt;=1))/S97)</f>
        <v/>
      </c>
    </row>
  </sheetData>
  <mergeCells count="1">
    <mergeCell ref="A2:L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Critério de padrão construtivo</t>
        </is>
      </c>
    </row>
    <row r="3">
      <c r="A3" s="2" t="inlineStr">
        <is>
          <t>Item</t>
        </is>
      </c>
      <c r="B3" s="2" t="inlineStr">
        <is>
          <t>Critério</t>
        </is>
      </c>
    </row>
    <row r="4">
      <c r="A4" s="3" t="inlineStr">
        <is>
          <t>Regra geral</t>
        </is>
      </c>
      <c r="B4" s="4" t="inlineStr">
        <is>
          <t>O padrão só é preenchido a partir de documento ou vistoria. Sem informação, use 'Não informado'. Nunca deduzir pelo preço, bairro ou anúncio.</t>
        </is>
      </c>
    </row>
    <row r="5">
      <c r="A5" s="3" t="inlineStr">
        <is>
          <t>1ª opção — Cadastro municipal</t>
        </is>
      </c>
      <c r="B5" s="4" t="inlineStr">
        <is>
          <t>Se o ITBI/IPTU trouxer a classe/tipo/padrão construtivo da prefeitura, copie o texto literal em 'Padrão (texto do documento)' e converta para Baixo/Normal/Alto com a tabela de equivalência do importador (arquivo mapa_colunas.json, chave 'mapa_padrao'). Origem: Cadastro municipal.</t>
        </is>
      </c>
    </row>
    <row r="6">
      <c r="A6" s="3" t="inlineStr">
        <is>
          <t>2ª opção — Documento</t>
        </is>
      </c>
      <c r="B6" s="4" t="inlineStr">
        <is>
          <t>Memorial descritivo, habite-se ou incorporação registrada na matrícula que declare o padrão (a NBR 12721 exige que incorporações informem o padrão: baixo, normal ou alto). Origem: Certidão/memorial/habite-se.</t>
        </is>
      </c>
    </row>
    <row r="7">
      <c r="A7" s="3" t="inlineStr">
        <is>
          <t>3ª opção — Vistoria própria</t>
        </is>
      </c>
      <c r="B7" s="4" t="inlineStr">
        <is>
          <t>Classificação feita por vistoria do imóvel seguindo os projetos-padrão da ABNT NBR 12721 (Baixo / Normal / Alto), registrando a data e quem vistoriou em Observações. Origem: Vistoria própria.</t>
        </is>
      </c>
    </row>
    <row r="8">
      <c r="A8" s="3" t="inlineStr">
        <is>
          <t>Baixo</t>
        </is>
      </c>
      <c r="B8" s="4" t="inlineStr">
        <is>
          <t>NBR 12721 — padrão de acabamento baixo.</t>
        </is>
      </c>
    </row>
    <row r="9">
      <c r="A9" s="3" t="inlineStr">
        <is>
          <t>Normal</t>
        </is>
      </c>
      <c r="B9" s="4" t="inlineStr">
        <is>
          <t>NBR 12721 — padrão de acabamento normal.</t>
        </is>
      </c>
    </row>
    <row r="10">
      <c r="A10" s="3" t="inlineStr">
        <is>
          <t>Alto</t>
        </is>
      </c>
      <c r="B10" s="4" t="inlineStr">
        <is>
          <t>NBR 12721 — padrão de acabamento alto.</t>
        </is>
      </c>
    </row>
    <row r="11">
      <c r="A11" s="3" t="inlineStr">
        <is>
          <t>Não informado</t>
        </is>
      </c>
      <c r="B11" s="4" t="inlineStr">
        <is>
          <t>O documento não informa e não houve vistoria.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24" customWidth="1" min="4" max="4"/>
    <col width="14" customWidth="1" min="5" max="5"/>
    <col width="16" customWidth="1" min="6" max="6"/>
    <col width="36" customWidth="1" min="7" max="7"/>
    <col width="12" customWidth="1" min="8" max="8"/>
    <col width="40" customWidth="1" min="9" max="9"/>
  </cols>
  <sheetData>
    <row r="1">
      <c r="A1" s="1" t="inlineStr">
        <is>
          <t>Registro dos documentos recebidos</t>
        </is>
      </c>
    </row>
    <row r="3">
      <c r="A3" s="2" t="inlineStr">
        <is>
          <t>Código do documento</t>
        </is>
      </c>
      <c r="B3" s="2" t="inlineStr">
        <is>
          <t>Tipo</t>
        </is>
      </c>
      <c r="C3" s="2" t="inlineStr">
        <is>
          <t>Órgão / Cartório</t>
        </is>
      </c>
      <c r="D3" s="2" t="inlineStr">
        <is>
          <t>Nº protocolo / matrícula</t>
        </is>
      </c>
      <c r="E3" s="2" t="inlineStr">
        <is>
          <t>Data do pedido</t>
        </is>
      </c>
      <c r="F3" s="2" t="inlineStr">
        <is>
          <t>Data da resposta/emissão</t>
        </is>
      </c>
      <c r="G3" s="2" t="inlineStr">
        <is>
          <t>Arquivo (caminho)</t>
        </is>
      </c>
      <c r="H3" s="2" t="inlineStr">
        <is>
          <t>Custo (R$)</t>
        </is>
      </c>
      <c r="I3" s="2" t="inlineStr">
        <is>
          <t>Observações</t>
        </is>
      </c>
    </row>
    <row r="4">
      <c r="E4" s="12" t="n"/>
      <c r="F4" s="12" t="n"/>
      <c r="H4" s="7" t="n"/>
    </row>
    <row r="5">
      <c r="E5" s="12" t="n"/>
      <c r="F5" s="12" t="n"/>
      <c r="H5" s="7" t="n"/>
    </row>
    <row r="6">
      <c r="E6" s="12" t="n"/>
      <c r="F6" s="12" t="n"/>
      <c r="H6" s="7" t="n"/>
    </row>
    <row r="7">
      <c r="E7" s="12" t="n"/>
      <c r="F7" s="12" t="n"/>
      <c r="H7" s="7" t="n"/>
    </row>
    <row r="8">
      <c r="E8" s="12" t="n"/>
      <c r="F8" s="12" t="n"/>
      <c r="H8" s="7" t="n"/>
    </row>
    <row r="9">
      <c r="E9" s="12" t="n"/>
      <c r="F9" s="12" t="n"/>
      <c r="H9" s="7" t="n"/>
    </row>
    <row r="10">
      <c r="E10" s="12" t="n"/>
      <c r="F10" s="12" t="n"/>
      <c r="H10" s="7" t="n"/>
    </row>
    <row r="11">
      <c r="E11" s="12" t="n"/>
      <c r="F11" s="12" t="n"/>
      <c r="H11" s="7" t="n"/>
    </row>
    <row r="12">
      <c r="E12" s="12" t="n"/>
      <c r="F12" s="12" t="n"/>
      <c r="H12" s="7" t="n"/>
    </row>
    <row r="13">
      <c r="E13" s="12" t="n"/>
      <c r="F13" s="12" t="n"/>
      <c r="H13" s="7" t="n"/>
    </row>
    <row r="14">
      <c r="E14" s="12" t="n"/>
      <c r="F14" s="12" t="n"/>
      <c r="H14" s="7" t="n"/>
    </row>
    <row r="15">
      <c r="E15" s="12" t="n"/>
      <c r="F15" s="12" t="n"/>
      <c r="H15" s="7" t="n"/>
    </row>
    <row r="16">
      <c r="E16" s="12" t="n"/>
      <c r="F16" s="12" t="n"/>
      <c r="H16" s="7" t="n"/>
    </row>
    <row r="17">
      <c r="E17" s="12" t="n"/>
      <c r="F17" s="12" t="n"/>
      <c r="H17" s="7" t="n"/>
    </row>
    <row r="18">
      <c r="E18" s="12" t="n"/>
      <c r="F18" s="12" t="n"/>
      <c r="H18" s="7" t="n"/>
    </row>
    <row r="19">
      <c r="E19" s="12" t="n"/>
      <c r="F19" s="12" t="n"/>
      <c r="H19" s="7" t="n"/>
    </row>
    <row r="20">
      <c r="E20" s="12" t="n"/>
      <c r="F20" s="12" t="n"/>
      <c r="H20" s="7" t="n"/>
    </row>
    <row r="21">
      <c r="E21" s="12" t="n"/>
      <c r="F21" s="12" t="n"/>
      <c r="H21" s="7" t="n"/>
    </row>
    <row r="22">
      <c r="E22" s="12" t="n"/>
      <c r="F22" s="12" t="n"/>
      <c r="H22" s="7" t="n"/>
    </row>
    <row r="23">
      <c r="E23" s="12" t="n"/>
      <c r="F23" s="12" t="n"/>
      <c r="H23" s="7" t="n"/>
    </row>
    <row r="24">
      <c r="E24" s="12" t="n"/>
      <c r="F24" s="12" t="n"/>
      <c r="H24" s="7" t="n"/>
    </row>
    <row r="25">
      <c r="E25" s="12" t="n"/>
      <c r="F25" s="12" t="n"/>
      <c r="H25" s="7" t="n"/>
    </row>
    <row r="26">
      <c r="E26" s="12" t="n"/>
      <c r="F26" s="12" t="n"/>
      <c r="H26" s="7" t="n"/>
    </row>
    <row r="27">
      <c r="E27" s="12" t="n"/>
      <c r="F27" s="12" t="n"/>
      <c r="H27" s="7" t="n"/>
    </row>
    <row r="28">
      <c r="E28" s="12" t="n"/>
      <c r="F28" s="12" t="n"/>
      <c r="H28" s="7" t="n"/>
    </row>
    <row r="29">
      <c r="E29" s="12" t="n"/>
      <c r="F29" s="12" t="n"/>
      <c r="H29" s="7" t="n"/>
    </row>
    <row r="30">
      <c r="E30" s="12" t="n"/>
      <c r="F30" s="12" t="n"/>
      <c r="H30" s="7" t="n"/>
    </row>
    <row r="31">
      <c r="E31" s="12" t="n"/>
      <c r="F31" s="12" t="n"/>
      <c r="H31" s="7" t="n"/>
    </row>
    <row r="32">
      <c r="E32" s="12" t="n"/>
      <c r="F32" s="12" t="n"/>
      <c r="H32" s="7" t="n"/>
    </row>
    <row r="33">
      <c r="E33" s="12" t="n"/>
      <c r="F33" s="12" t="n"/>
      <c r="H33" s="7" t="n"/>
    </row>
    <row r="34">
      <c r="E34" s="12" t="n"/>
      <c r="F34" s="12" t="n"/>
      <c r="H34" s="7" t="n"/>
    </row>
    <row r="35">
      <c r="E35" s="12" t="n"/>
      <c r="F35" s="12" t="n"/>
      <c r="H35" s="7" t="n"/>
    </row>
    <row r="36">
      <c r="E36" s="12" t="n"/>
      <c r="F36" s="12" t="n"/>
      <c r="H36" s="7" t="n"/>
    </row>
    <row r="37">
      <c r="E37" s="12" t="n"/>
      <c r="F37" s="12" t="n"/>
      <c r="H37" s="7" t="n"/>
    </row>
    <row r="38">
      <c r="E38" s="12" t="n"/>
      <c r="F38" s="12" t="n"/>
      <c r="H38" s="7" t="n"/>
    </row>
    <row r="39">
      <c r="E39" s="12" t="n"/>
      <c r="F39" s="12" t="n"/>
      <c r="H39" s="7" t="n"/>
    </row>
    <row r="40">
      <c r="E40" s="12" t="n"/>
      <c r="F40" s="12" t="n"/>
      <c r="H40" s="7" t="n"/>
    </row>
    <row r="41">
      <c r="E41" s="12" t="n"/>
      <c r="F41" s="12" t="n"/>
      <c r="H41" s="7" t="n"/>
    </row>
    <row r="42">
      <c r="E42" s="12" t="n"/>
      <c r="F42" s="12" t="n"/>
      <c r="H42" s="7" t="n"/>
    </row>
    <row r="43">
      <c r="E43" s="12" t="n"/>
      <c r="F43" s="12" t="n"/>
      <c r="H43" s="7" t="n"/>
    </row>
    <row r="44">
      <c r="E44" s="12" t="n"/>
      <c r="F44" s="12" t="n"/>
      <c r="H44" s="7" t="n"/>
    </row>
    <row r="45">
      <c r="E45" s="12" t="n"/>
      <c r="F45" s="12" t="n"/>
      <c r="H45" s="7" t="n"/>
    </row>
    <row r="46">
      <c r="E46" s="12" t="n"/>
      <c r="F46" s="12" t="n"/>
      <c r="H46" s="7" t="n"/>
    </row>
    <row r="47">
      <c r="E47" s="12" t="n"/>
      <c r="F47" s="12" t="n"/>
      <c r="H47" s="7" t="n"/>
    </row>
    <row r="48">
      <c r="E48" s="12" t="n"/>
      <c r="F48" s="12" t="n"/>
      <c r="H48" s="7" t="n"/>
    </row>
    <row r="49">
      <c r="E49" s="12" t="n"/>
      <c r="F49" s="12" t="n"/>
      <c r="H49" s="7" t="n"/>
    </row>
    <row r="50">
      <c r="E50" s="12" t="n"/>
      <c r="F50" s="12" t="n"/>
      <c r="H50" s="7" t="n"/>
    </row>
    <row r="51">
      <c r="E51" s="12" t="n"/>
      <c r="F51" s="12" t="n"/>
      <c r="H51" s="7" t="n"/>
    </row>
    <row r="52">
      <c r="E52" s="12" t="n"/>
      <c r="F52" s="12" t="n"/>
      <c r="H52" s="7" t="n"/>
    </row>
    <row r="53">
      <c r="E53" s="12" t="n"/>
      <c r="F53" s="12" t="n"/>
      <c r="H53" s="7" t="n"/>
    </row>
    <row r="54">
      <c r="E54" s="12" t="n"/>
      <c r="F54" s="12" t="n"/>
      <c r="H54" s="7" t="n"/>
    </row>
    <row r="55">
      <c r="E55" s="12" t="n"/>
      <c r="F55" s="12" t="n"/>
      <c r="H55" s="7" t="n"/>
    </row>
    <row r="56">
      <c r="E56" s="12" t="n"/>
      <c r="F56" s="12" t="n"/>
      <c r="H56" s="7" t="n"/>
    </row>
    <row r="57">
      <c r="E57" s="12" t="n"/>
      <c r="F57" s="12" t="n"/>
      <c r="H57" s="7" t="n"/>
    </row>
    <row r="58">
      <c r="E58" s="12" t="n"/>
      <c r="F58" s="12" t="n"/>
      <c r="H58" s="7" t="n"/>
    </row>
    <row r="59">
      <c r="E59" s="12" t="n"/>
      <c r="F59" s="12" t="n"/>
      <c r="H59" s="7" t="n"/>
    </row>
    <row r="60">
      <c r="E60" s="12" t="n"/>
      <c r="F60" s="12" t="n"/>
      <c r="H60" s="7" t="n"/>
    </row>
    <row r="61">
      <c r="E61" s="12" t="n"/>
      <c r="F61" s="12" t="n"/>
      <c r="H61" s="7" t="n"/>
    </row>
    <row r="62">
      <c r="E62" s="12" t="n"/>
      <c r="F62" s="12" t="n"/>
      <c r="H62" s="7" t="n"/>
    </row>
    <row r="63">
      <c r="E63" s="12" t="n"/>
      <c r="F63" s="12" t="n"/>
      <c r="H63" s="7" t="n"/>
    </row>
    <row r="64">
      <c r="E64" s="12" t="n"/>
      <c r="F64" s="12" t="n"/>
      <c r="H64" s="7" t="n"/>
    </row>
    <row r="65">
      <c r="E65" s="12" t="n"/>
      <c r="F65" s="12" t="n"/>
      <c r="H65" s="7" t="n"/>
    </row>
    <row r="66">
      <c r="E66" s="12" t="n"/>
      <c r="F66" s="12" t="n"/>
      <c r="H66" s="7" t="n"/>
    </row>
    <row r="67">
      <c r="E67" s="12" t="n"/>
      <c r="F67" s="12" t="n"/>
      <c r="H67" s="7" t="n"/>
    </row>
    <row r="68">
      <c r="E68" s="12" t="n"/>
      <c r="F68" s="12" t="n"/>
      <c r="H68" s="7" t="n"/>
    </row>
    <row r="69">
      <c r="E69" s="12" t="n"/>
      <c r="F69" s="12" t="n"/>
      <c r="H69" s="7" t="n"/>
    </row>
    <row r="70">
      <c r="E70" s="12" t="n"/>
      <c r="F70" s="12" t="n"/>
      <c r="H70" s="7" t="n"/>
    </row>
    <row r="71">
      <c r="E71" s="12" t="n"/>
      <c r="F71" s="12" t="n"/>
      <c r="H71" s="7" t="n"/>
    </row>
    <row r="72">
      <c r="E72" s="12" t="n"/>
      <c r="F72" s="12" t="n"/>
      <c r="H72" s="7" t="n"/>
    </row>
    <row r="73">
      <c r="E73" s="12" t="n"/>
      <c r="F73" s="12" t="n"/>
      <c r="H73" s="7" t="n"/>
    </row>
    <row r="74">
      <c r="E74" s="12" t="n"/>
      <c r="F74" s="12" t="n"/>
      <c r="H74" s="7" t="n"/>
    </row>
    <row r="75">
      <c r="E75" s="12" t="n"/>
      <c r="F75" s="12" t="n"/>
      <c r="H75" s="7" t="n"/>
    </row>
    <row r="76">
      <c r="E76" s="12" t="n"/>
      <c r="F76" s="12" t="n"/>
      <c r="H76" s="7" t="n"/>
    </row>
    <row r="77">
      <c r="E77" s="12" t="n"/>
      <c r="F77" s="12" t="n"/>
      <c r="H77" s="7" t="n"/>
    </row>
    <row r="78">
      <c r="E78" s="12" t="n"/>
      <c r="F78" s="12" t="n"/>
      <c r="H78" s="7" t="n"/>
    </row>
    <row r="79">
      <c r="E79" s="12" t="n"/>
      <c r="F79" s="12" t="n"/>
      <c r="H79" s="7" t="n"/>
    </row>
    <row r="80">
      <c r="E80" s="12" t="n"/>
      <c r="F80" s="12" t="n"/>
      <c r="H80" s="7" t="n"/>
    </row>
    <row r="81">
      <c r="E81" s="12" t="n"/>
      <c r="F81" s="12" t="n"/>
      <c r="H81" s="7" t="n"/>
    </row>
    <row r="82">
      <c r="E82" s="12" t="n"/>
      <c r="F82" s="12" t="n"/>
      <c r="H82" s="7" t="n"/>
    </row>
    <row r="83">
      <c r="E83" s="12" t="n"/>
      <c r="F83" s="12" t="n"/>
      <c r="H83" s="7" t="n"/>
    </row>
    <row r="84">
      <c r="E84" s="12" t="n"/>
      <c r="F84" s="12" t="n"/>
      <c r="H84" s="7" t="n"/>
    </row>
    <row r="85">
      <c r="E85" s="12" t="n"/>
      <c r="F85" s="12" t="n"/>
      <c r="H85" s="7" t="n"/>
    </row>
    <row r="86">
      <c r="E86" s="12" t="n"/>
      <c r="F86" s="12" t="n"/>
      <c r="H86" s="7" t="n"/>
    </row>
    <row r="87">
      <c r="E87" s="12" t="n"/>
      <c r="F87" s="12" t="n"/>
      <c r="H87" s="7" t="n"/>
    </row>
    <row r="88">
      <c r="E88" s="12" t="n"/>
      <c r="F88" s="12" t="n"/>
      <c r="H88" s="7" t="n"/>
    </row>
    <row r="89">
      <c r="E89" s="12" t="n"/>
      <c r="F89" s="12" t="n"/>
      <c r="H89" s="7" t="n"/>
    </row>
    <row r="90">
      <c r="E90" s="12" t="n"/>
      <c r="F90" s="12" t="n"/>
      <c r="H90" s="7" t="n"/>
    </row>
    <row r="91">
      <c r="E91" s="12" t="n"/>
      <c r="F91" s="12" t="n"/>
      <c r="H91" s="7" t="n"/>
    </row>
    <row r="92">
      <c r="E92" s="12" t="n"/>
      <c r="F92" s="12" t="n"/>
      <c r="H92" s="7" t="n"/>
    </row>
    <row r="93">
      <c r="E93" s="12" t="n"/>
      <c r="F93" s="12" t="n"/>
      <c r="H93" s="7" t="n"/>
    </row>
    <row r="94">
      <c r="E94" s="12" t="n"/>
      <c r="F94" s="12" t="n"/>
      <c r="H94" s="7" t="n"/>
    </row>
    <row r="95">
      <c r="E95" s="12" t="n"/>
      <c r="F95" s="12" t="n"/>
      <c r="H95" s="7" t="n"/>
    </row>
    <row r="96">
      <c r="E96" s="12" t="n"/>
      <c r="F96" s="12" t="n"/>
      <c r="H96" s="7" t="n"/>
    </row>
    <row r="97">
      <c r="E97" s="12" t="n"/>
      <c r="F97" s="12" t="n"/>
      <c r="H97" s="7" t="n"/>
    </row>
    <row r="98">
      <c r="E98" s="12" t="n"/>
      <c r="F98" s="12" t="n"/>
      <c r="H98" s="7" t="n"/>
    </row>
    <row r="99">
      <c r="E99" s="12" t="n"/>
      <c r="F99" s="12" t="n"/>
      <c r="H99" s="7" t="n"/>
    </row>
    <row r="100">
      <c r="E100" s="12" t="n"/>
      <c r="F100" s="12" t="n"/>
      <c r="H100" s="7" t="n"/>
    </row>
    <row r="101">
      <c r="E101" s="12" t="n"/>
      <c r="F101" s="12" t="n"/>
      <c r="H101" s="7" t="n"/>
    </row>
    <row r="102">
      <c r="E102" s="12" t="n"/>
      <c r="F102" s="12" t="n"/>
      <c r="H102" s="7" t="n"/>
    </row>
    <row r="103">
      <c r="E103" s="12" t="n"/>
      <c r="F103" s="12" t="n"/>
      <c r="H103" s="7" t="n"/>
    </row>
    <row r="104">
      <c r="E104" s="12" t="n"/>
      <c r="F104" s="12" t="n"/>
      <c r="H104" s="7" t="n"/>
    </row>
    <row r="105">
      <c r="E105" s="12" t="n"/>
      <c r="F105" s="12" t="n"/>
      <c r="H105" s="7" t="n"/>
    </row>
    <row r="106">
      <c r="E106" s="12" t="n"/>
      <c r="F106" s="12" t="n"/>
      <c r="H106" s="7" t="n"/>
    </row>
    <row r="107">
      <c r="E107" s="12" t="n"/>
      <c r="F107" s="12" t="n"/>
      <c r="H107" s="7" t="n"/>
    </row>
    <row r="108">
      <c r="E108" s="12" t="n"/>
      <c r="F108" s="12" t="n"/>
      <c r="H108" s="7" t="n"/>
    </row>
    <row r="109">
      <c r="E109" s="12" t="n"/>
      <c r="F109" s="12" t="n"/>
      <c r="H109" s="7" t="n"/>
    </row>
    <row r="110">
      <c r="E110" s="12" t="n"/>
      <c r="F110" s="12" t="n"/>
      <c r="H110" s="7" t="n"/>
    </row>
    <row r="111">
      <c r="E111" s="12" t="n"/>
      <c r="F111" s="12" t="n"/>
      <c r="H111" s="7" t="n"/>
    </row>
    <row r="112">
      <c r="E112" s="12" t="n"/>
      <c r="F112" s="12" t="n"/>
      <c r="H112" s="7" t="n"/>
    </row>
    <row r="113">
      <c r="E113" s="12" t="n"/>
      <c r="F113" s="12" t="n"/>
      <c r="H113" s="7" t="n"/>
    </row>
    <row r="114">
      <c r="E114" s="12" t="n"/>
      <c r="F114" s="12" t="n"/>
      <c r="H114" s="7" t="n"/>
    </row>
    <row r="115">
      <c r="E115" s="12" t="n"/>
      <c r="F115" s="12" t="n"/>
      <c r="H115" s="7" t="n"/>
    </row>
    <row r="116">
      <c r="E116" s="12" t="n"/>
      <c r="F116" s="12" t="n"/>
      <c r="H116" s="7" t="n"/>
    </row>
    <row r="117">
      <c r="E117" s="12" t="n"/>
      <c r="F117" s="12" t="n"/>
      <c r="H117" s="7" t="n"/>
    </row>
    <row r="118">
      <c r="E118" s="12" t="n"/>
      <c r="F118" s="12" t="n"/>
      <c r="H118" s="7" t="n"/>
    </row>
    <row r="119">
      <c r="E119" s="12" t="n"/>
      <c r="F119" s="12" t="n"/>
      <c r="H119" s="7" t="n"/>
    </row>
    <row r="120">
      <c r="E120" s="12" t="n"/>
      <c r="F120" s="12" t="n"/>
      <c r="H120" s="7" t="n"/>
    </row>
    <row r="121">
      <c r="E121" s="12" t="n"/>
      <c r="F121" s="12" t="n"/>
      <c r="H121" s="7" t="n"/>
    </row>
    <row r="122">
      <c r="E122" s="12" t="n"/>
      <c r="F122" s="12" t="n"/>
      <c r="H122" s="7" t="n"/>
    </row>
    <row r="123">
      <c r="E123" s="12" t="n"/>
      <c r="F123" s="12" t="n"/>
      <c r="H123" s="7" t="n"/>
    </row>
    <row r="124">
      <c r="E124" s="12" t="n"/>
      <c r="F124" s="12" t="n"/>
      <c r="H124" s="7" t="n"/>
    </row>
    <row r="125">
      <c r="E125" s="12" t="n"/>
      <c r="F125" s="12" t="n"/>
      <c r="H125" s="7" t="n"/>
    </row>
    <row r="126">
      <c r="E126" s="12" t="n"/>
      <c r="F126" s="12" t="n"/>
      <c r="H126" s="7" t="n"/>
    </row>
    <row r="127">
      <c r="E127" s="12" t="n"/>
      <c r="F127" s="12" t="n"/>
      <c r="H127" s="7" t="n"/>
    </row>
    <row r="128">
      <c r="E128" s="12" t="n"/>
      <c r="F128" s="12" t="n"/>
      <c r="H128" s="7" t="n"/>
    </row>
    <row r="129">
      <c r="E129" s="12" t="n"/>
      <c r="F129" s="12" t="n"/>
      <c r="H129" s="7" t="n"/>
    </row>
    <row r="130">
      <c r="E130" s="12" t="n"/>
      <c r="F130" s="12" t="n"/>
      <c r="H130" s="7" t="n"/>
    </row>
    <row r="131">
      <c r="E131" s="12" t="n"/>
      <c r="F131" s="12" t="n"/>
      <c r="H131" s="7" t="n"/>
    </row>
    <row r="132">
      <c r="E132" s="12" t="n"/>
      <c r="F132" s="12" t="n"/>
      <c r="H132" s="7" t="n"/>
    </row>
    <row r="133">
      <c r="E133" s="12" t="n"/>
      <c r="F133" s="12" t="n"/>
      <c r="H133" s="7" t="n"/>
    </row>
    <row r="134">
      <c r="E134" s="12" t="n"/>
      <c r="F134" s="12" t="n"/>
      <c r="H134" s="7" t="n"/>
    </row>
    <row r="135">
      <c r="E135" s="12" t="n"/>
      <c r="F135" s="12" t="n"/>
      <c r="H135" s="7" t="n"/>
    </row>
    <row r="136">
      <c r="E136" s="12" t="n"/>
      <c r="F136" s="12" t="n"/>
      <c r="H136" s="7" t="n"/>
    </row>
    <row r="137">
      <c r="E137" s="12" t="n"/>
      <c r="F137" s="12" t="n"/>
      <c r="H137" s="7" t="n"/>
    </row>
    <row r="138">
      <c r="E138" s="12" t="n"/>
      <c r="F138" s="12" t="n"/>
      <c r="H138" s="7" t="n"/>
    </row>
    <row r="139">
      <c r="E139" s="12" t="n"/>
      <c r="F139" s="12" t="n"/>
      <c r="H139" s="7" t="n"/>
    </row>
    <row r="140">
      <c r="E140" s="12" t="n"/>
      <c r="F140" s="12" t="n"/>
      <c r="H140" s="7" t="n"/>
    </row>
    <row r="141">
      <c r="E141" s="12" t="n"/>
      <c r="F141" s="12" t="n"/>
      <c r="H141" s="7" t="n"/>
    </row>
    <row r="142">
      <c r="E142" s="12" t="n"/>
      <c r="F142" s="12" t="n"/>
      <c r="H142" s="7" t="n"/>
    </row>
    <row r="143">
      <c r="E143" s="12" t="n"/>
      <c r="F143" s="12" t="n"/>
      <c r="H143" s="7" t="n"/>
    </row>
    <row r="144">
      <c r="E144" s="12" t="n"/>
      <c r="F144" s="12" t="n"/>
      <c r="H144" s="7" t="n"/>
    </row>
    <row r="145">
      <c r="E145" s="12" t="n"/>
      <c r="F145" s="12" t="n"/>
      <c r="H145" s="7" t="n"/>
    </row>
    <row r="146">
      <c r="E146" s="12" t="n"/>
      <c r="F146" s="12" t="n"/>
      <c r="H146" s="7" t="n"/>
    </row>
    <row r="147">
      <c r="E147" s="12" t="n"/>
      <c r="F147" s="12" t="n"/>
      <c r="H147" s="7" t="n"/>
    </row>
    <row r="148">
      <c r="E148" s="12" t="n"/>
      <c r="F148" s="12" t="n"/>
      <c r="H148" s="7" t="n"/>
    </row>
    <row r="149">
      <c r="E149" s="12" t="n"/>
      <c r="F149" s="12" t="n"/>
      <c r="H149" s="7" t="n"/>
    </row>
    <row r="150">
      <c r="E150" s="12" t="n"/>
      <c r="F150" s="12" t="n"/>
      <c r="H150" s="7" t="n"/>
    </row>
    <row r="151">
      <c r="E151" s="12" t="n"/>
      <c r="F151" s="12" t="n"/>
      <c r="H151" s="7" t="n"/>
    </row>
    <row r="152">
      <c r="E152" s="12" t="n"/>
      <c r="F152" s="12" t="n"/>
      <c r="H152" s="7" t="n"/>
    </row>
    <row r="153">
      <c r="E153" s="12" t="n"/>
      <c r="F153" s="12" t="n"/>
      <c r="H153" s="7" t="n"/>
    </row>
    <row r="154">
      <c r="E154" s="12" t="n"/>
      <c r="F154" s="12" t="n"/>
      <c r="H154" s="7" t="n"/>
    </row>
    <row r="155">
      <c r="E155" s="12" t="n"/>
      <c r="F155" s="12" t="n"/>
      <c r="H155" s="7" t="n"/>
    </row>
    <row r="156">
      <c r="E156" s="12" t="n"/>
      <c r="F156" s="12" t="n"/>
      <c r="H156" s="7" t="n"/>
    </row>
    <row r="157">
      <c r="E157" s="12" t="n"/>
      <c r="F157" s="12" t="n"/>
      <c r="H157" s="7" t="n"/>
    </row>
    <row r="158">
      <c r="E158" s="12" t="n"/>
      <c r="F158" s="12" t="n"/>
      <c r="H158" s="7" t="n"/>
    </row>
    <row r="159">
      <c r="E159" s="12" t="n"/>
      <c r="F159" s="12" t="n"/>
      <c r="H159" s="7" t="n"/>
    </row>
    <row r="160">
      <c r="E160" s="12" t="n"/>
      <c r="F160" s="12" t="n"/>
      <c r="H160" s="7" t="n"/>
    </row>
    <row r="161">
      <c r="E161" s="12" t="n"/>
      <c r="F161" s="12" t="n"/>
      <c r="H161" s="7" t="n"/>
    </row>
    <row r="162">
      <c r="E162" s="12" t="n"/>
      <c r="F162" s="12" t="n"/>
      <c r="H162" s="7" t="n"/>
    </row>
    <row r="163">
      <c r="E163" s="12" t="n"/>
      <c r="F163" s="12" t="n"/>
      <c r="H163" s="7" t="n"/>
    </row>
    <row r="164">
      <c r="E164" s="12" t="n"/>
      <c r="F164" s="12" t="n"/>
      <c r="H164" s="7" t="n"/>
    </row>
    <row r="165">
      <c r="E165" s="12" t="n"/>
      <c r="F165" s="12" t="n"/>
      <c r="H165" s="7" t="n"/>
    </row>
    <row r="166">
      <c r="E166" s="12" t="n"/>
      <c r="F166" s="12" t="n"/>
      <c r="H166" s="7" t="n"/>
    </row>
    <row r="167">
      <c r="E167" s="12" t="n"/>
      <c r="F167" s="12" t="n"/>
      <c r="H167" s="7" t="n"/>
    </row>
    <row r="168">
      <c r="E168" s="12" t="n"/>
      <c r="F168" s="12" t="n"/>
      <c r="H168" s="7" t="n"/>
    </row>
    <row r="169">
      <c r="E169" s="12" t="n"/>
      <c r="F169" s="12" t="n"/>
      <c r="H169" s="7" t="n"/>
    </row>
    <row r="170">
      <c r="E170" s="12" t="n"/>
      <c r="F170" s="12" t="n"/>
      <c r="H170" s="7" t="n"/>
    </row>
    <row r="171">
      <c r="E171" s="12" t="n"/>
      <c r="F171" s="12" t="n"/>
      <c r="H171" s="7" t="n"/>
    </row>
    <row r="172">
      <c r="E172" s="12" t="n"/>
      <c r="F172" s="12" t="n"/>
      <c r="H172" s="7" t="n"/>
    </row>
    <row r="173">
      <c r="E173" s="12" t="n"/>
      <c r="F173" s="12" t="n"/>
      <c r="H173" s="7" t="n"/>
    </row>
    <row r="174">
      <c r="E174" s="12" t="n"/>
      <c r="F174" s="12" t="n"/>
      <c r="H174" s="7" t="n"/>
    </row>
    <row r="175">
      <c r="E175" s="12" t="n"/>
      <c r="F175" s="12" t="n"/>
      <c r="H175" s="7" t="n"/>
    </row>
    <row r="176">
      <c r="E176" s="12" t="n"/>
      <c r="F176" s="12" t="n"/>
      <c r="H176" s="7" t="n"/>
    </row>
    <row r="177">
      <c r="E177" s="12" t="n"/>
      <c r="F177" s="12" t="n"/>
      <c r="H177" s="7" t="n"/>
    </row>
    <row r="178">
      <c r="E178" s="12" t="n"/>
      <c r="F178" s="12" t="n"/>
      <c r="H178" s="7" t="n"/>
    </row>
    <row r="179">
      <c r="E179" s="12" t="n"/>
      <c r="F179" s="12" t="n"/>
      <c r="H179" s="7" t="n"/>
    </row>
    <row r="180">
      <c r="E180" s="12" t="n"/>
      <c r="F180" s="12" t="n"/>
      <c r="H180" s="7" t="n"/>
    </row>
    <row r="181">
      <c r="E181" s="12" t="n"/>
      <c r="F181" s="12" t="n"/>
      <c r="H181" s="7" t="n"/>
    </row>
    <row r="182">
      <c r="E182" s="12" t="n"/>
      <c r="F182" s="12" t="n"/>
      <c r="H182" s="7" t="n"/>
    </row>
    <row r="183">
      <c r="E183" s="12" t="n"/>
      <c r="F183" s="12" t="n"/>
      <c r="H183" s="7" t="n"/>
    </row>
    <row r="184">
      <c r="E184" s="12" t="n"/>
      <c r="F184" s="12" t="n"/>
      <c r="H184" s="7" t="n"/>
    </row>
    <row r="185">
      <c r="E185" s="12" t="n"/>
      <c r="F185" s="12" t="n"/>
      <c r="H185" s="7" t="n"/>
    </row>
    <row r="186">
      <c r="E186" s="12" t="n"/>
      <c r="F186" s="12" t="n"/>
      <c r="H186" s="7" t="n"/>
    </row>
    <row r="187">
      <c r="E187" s="12" t="n"/>
      <c r="F187" s="12" t="n"/>
      <c r="H187" s="7" t="n"/>
    </row>
    <row r="188">
      <c r="E188" s="12" t="n"/>
      <c r="F188" s="12" t="n"/>
      <c r="H188" s="7" t="n"/>
    </row>
    <row r="189">
      <c r="E189" s="12" t="n"/>
      <c r="F189" s="12" t="n"/>
      <c r="H189" s="7" t="n"/>
    </row>
    <row r="190">
      <c r="E190" s="12" t="n"/>
      <c r="F190" s="12" t="n"/>
      <c r="H190" s="7" t="n"/>
    </row>
    <row r="191">
      <c r="E191" s="12" t="n"/>
      <c r="F191" s="12" t="n"/>
      <c r="H191" s="7" t="n"/>
    </row>
    <row r="192">
      <c r="E192" s="12" t="n"/>
      <c r="F192" s="12" t="n"/>
      <c r="H192" s="7" t="n"/>
    </row>
    <row r="193">
      <c r="E193" s="12" t="n"/>
      <c r="F193" s="12" t="n"/>
      <c r="H193" s="7" t="n"/>
    </row>
    <row r="194">
      <c r="E194" s="12" t="n"/>
      <c r="F194" s="12" t="n"/>
      <c r="H194" s="7" t="n"/>
    </row>
    <row r="195">
      <c r="E195" s="12" t="n"/>
      <c r="F195" s="12" t="n"/>
      <c r="H195" s="7" t="n"/>
    </row>
    <row r="196">
      <c r="E196" s="12" t="n"/>
      <c r="F196" s="12" t="n"/>
      <c r="H196" s="7" t="n"/>
    </row>
    <row r="197">
      <c r="E197" s="12" t="n"/>
      <c r="F197" s="12" t="n"/>
      <c r="H197" s="7" t="n"/>
    </row>
    <row r="198">
      <c r="E198" s="12" t="n"/>
      <c r="F198" s="12" t="n"/>
      <c r="H198" s="7" t="n"/>
    </row>
    <row r="199">
      <c r="E199" s="12" t="n"/>
      <c r="F199" s="12" t="n"/>
      <c r="H199" s="7" t="n"/>
    </row>
    <row r="200">
      <c r="E200" s="12" t="n"/>
      <c r="F200" s="12" t="n"/>
      <c r="H200" s="7" t="n"/>
    </row>
    <row r="201">
      <c r="E201" s="12" t="n"/>
      <c r="F201" s="12" t="n"/>
      <c r="H201" s="7" t="n"/>
    </row>
    <row r="202">
      <c r="E202" s="12" t="n"/>
      <c r="F202" s="12" t="n"/>
      <c r="H202" s="7" t="n"/>
    </row>
    <row r="203">
      <c r="E203" s="12" t="n"/>
      <c r="F203" s="12" t="n"/>
      <c r="H203" s="7" t="n"/>
    </row>
    <row r="204">
      <c r="E204" s="12" t="n"/>
      <c r="F204" s="12" t="n"/>
      <c r="H204" s="7" t="n"/>
    </row>
    <row r="205">
      <c r="E205" s="12" t="n"/>
      <c r="F205" s="12" t="n"/>
      <c r="H205" s="7" t="n"/>
    </row>
    <row r="206">
      <c r="E206" s="12" t="n"/>
      <c r="F206" s="12" t="n"/>
      <c r="H206" s="7" t="n"/>
    </row>
    <row r="207">
      <c r="E207" s="12" t="n"/>
      <c r="F207" s="12" t="n"/>
      <c r="H207" s="7" t="n"/>
    </row>
    <row r="208">
      <c r="E208" s="12" t="n"/>
      <c r="F208" s="12" t="n"/>
      <c r="H208" s="7" t="n"/>
    </row>
    <row r="209">
      <c r="E209" s="12" t="n"/>
      <c r="F209" s="12" t="n"/>
      <c r="H209" s="7" t="n"/>
    </row>
    <row r="210">
      <c r="E210" s="12" t="n"/>
      <c r="F210" s="12" t="n"/>
      <c r="H210" s="7" t="n"/>
    </row>
    <row r="211">
      <c r="E211" s="12" t="n"/>
      <c r="F211" s="12" t="n"/>
      <c r="H211" s="7" t="n"/>
    </row>
    <row r="212">
      <c r="E212" s="12" t="n"/>
      <c r="F212" s="12" t="n"/>
      <c r="H212" s="7" t="n"/>
    </row>
    <row r="213">
      <c r="E213" s="12" t="n"/>
      <c r="F213" s="12" t="n"/>
      <c r="H213" s="7" t="n"/>
    </row>
    <row r="214">
      <c r="E214" s="12" t="n"/>
      <c r="F214" s="12" t="n"/>
      <c r="H214" s="7" t="n"/>
    </row>
    <row r="215">
      <c r="E215" s="12" t="n"/>
      <c r="F215" s="12" t="n"/>
      <c r="H215" s="7" t="n"/>
    </row>
    <row r="216">
      <c r="E216" s="12" t="n"/>
      <c r="F216" s="12" t="n"/>
      <c r="H216" s="7" t="n"/>
    </row>
    <row r="217">
      <c r="E217" s="12" t="n"/>
      <c r="F217" s="12" t="n"/>
      <c r="H217" s="7" t="n"/>
    </row>
    <row r="218">
      <c r="E218" s="12" t="n"/>
      <c r="F218" s="12" t="n"/>
      <c r="H218" s="7" t="n"/>
    </row>
    <row r="219">
      <c r="E219" s="12" t="n"/>
      <c r="F219" s="12" t="n"/>
      <c r="H219" s="7" t="n"/>
    </row>
    <row r="220">
      <c r="E220" s="12" t="n"/>
      <c r="F220" s="12" t="n"/>
      <c r="H220" s="7" t="n"/>
    </row>
    <row r="221">
      <c r="E221" s="12" t="n"/>
      <c r="F221" s="12" t="n"/>
      <c r="H221" s="7" t="n"/>
    </row>
    <row r="222">
      <c r="E222" s="12" t="n"/>
      <c r="F222" s="12" t="n"/>
      <c r="H222" s="7" t="n"/>
    </row>
    <row r="223">
      <c r="E223" s="12" t="n"/>
      <c r="F223" s="12" t="n"/>
      <c r="H223" s="7" t="n"/>
    </row>
    <row r="224">
      <c r="E224" s="12" t="n"/>
      <c r="F224" s="12" t="n"/>
      <c r="H224" s="7" t="n"/>
    </row>
    <row r="225">
      <c r="E225" s="12" t="n"/>
      <c r="F225" s="12" t="n"/>
      <c r="H225" s="7" t="n"/>
    </row>
    <row r="226">
      <c r="E226" s="12" t="n"/>
      <c r="F226" s="12" t="n"/>
      <c r="H226" s="7" t="n"/>
    </row>
    <row r="227">
      <c r="E227" s="12" t="n"/>
      <c r="F227" s="12" t="n"/>
      <c r="H227" s="7" t="n"/>
    </row>
    <row r="228">
      <c r="E228" s="12" t="n"/>
      <c r="F228" s="12" t="n"/>
      <c r="H228" s="7" t="n"/>
    </row>
    <row r="229">
      <c r="E229" s="12" t="n"/>
      <c r="F229" s="12" t="n"/>
      <c r="H229" s="7" t="n"/>
    </row>
    <row r="230">
      <c r="E230" s="12" t="n"/>
      <c r="F230" s="12" t="n"/>
      <c r="H230" s="7" t="n"/>
    </row>
    <row r="231">
      <c r="E231" s="12" t="n"/>
      <c r="F231" s="12" t="n"/>
      <c r="H231" s="7" t="n"/>
    </row>
    <row r="232">
      <c r="E232" s="12" t="n"/>
      <c r="F232" s="12" t="n"/>
      <c r="H232" s="7" t="n"/>
    </row>
    <row r="233">
      <c r="E233" s="12" t="n"/>
      <c r="F233" s="12" t="n"/>
      <c r="H233" s="7" t="n"/>
    </row>
    <row r="234">
      <c r="E234" s="12" t="n"/>
      <c r="F234" s="12" t="n"/>
      <c r="H234" s="7" t="n"/>
    </row>
    <row r="235">
      <c r="E235" s="12" t="n"/>
      <c r="F235" s="12" t="n"/>
      <c r="H235" s="7" t="n"/>
    </row>
    <row r="236">
      <c r="E236" s="12" t="n"/>
      <c r="F236" s="12" t="n"/>
      <c r="H236" s="7" t="n"/>
    </row>
    <row r="237">
      <c r="E237" s="12" t="n"/>
      <c r="F237" s="12" t="n"/>
      <c r="H237" s="7" t="n"/>
    </row>
    <row r="238">
      <c r="E238" s="12" t="n"/>
      <c r="F238" s="12" t="n"/>
      <c r="H238" s="7" t="n"/>
    </row>
    <row r="239">
      <c r="E239" s="12" t="n"/>
      <c r="F239" s="12" t="n"/>
      <c r="H239" s="7" t="n"/>
    </row>
    <row r="240">
      <c r="E240" s="12" t="n"/>
      <c r="F240" s="12" t="n"/>
      <c r="H240" s="7" t="n"/>
    </row>
    <row r="241">
      <c r="E241" s="12" t="n"/>
      <c r="F241" s="12" t="n"/>
      <c r="H241" s="7" t="n"/>
    </row>
    <row r="242">
      <c r="E242" s="12" t="n"/>
      <c r="F242" s="12" t="n"/>
      <c r="H242" s="7" t="n"/>
    </row>
    <row r="243">
      <c r="E243" s="12" t="n"/>
      <c r="F243" s="12" t="n"/>
      <c r="H243" s="7" t="n"/>
    </row>
    <row r="244">
      <c r="E244" s="12" t="n"/>
      <c r="F244" s="12" t="n"/>
      <c r="H244" s="7" t="n"/>
    </row>
    <row r="245">
      <c r="E245" s="12" t="n"/>
      <c r="F245" s="12" t="n"/>
      <c r="H245" s="7" t="n"/>
    </row>
    <row r="246">
      <c r="E246" s="12" t="n"/>
      <c r="F246" s="12" t="n"/>
      <c r="H246" s="7" t="n"/>
    </row>
    <row r="247">
      <c r="E247" s="12" t="n"/>
      <c r="F247" s="12" t="n"/>
      <c r="H247" s="7" t="n"/>
    </row>
    <row r="248">
      <c r="E248" s="12" t="n"/>
      <c r="F248" s="12" t="n"/>
      <c r="H248" s="7" t="n"/>
    </row>
    <row r="249">
      <c r="E249" s="12" t="n"/>
      <c r="F249" s="12" t="n"/>
      <c r="H249" s="7" t="n"/>
    </row>
    <row r="250">
      <c r="E250" s="12" t="n"/>
      <c r="F250" s="12" t="n"/>
      <c r="H250" s="7" t="n"/>
    </row>
    <row r="251">
      <c r="E251" s="12" t="n"/>
      <c r="F251" s="12" t="n"/>
      <c r="H251" s="7" t="n"/>
    </row>
    <row r="252">
      <c r="E252" s="12" t="n"/>
      <c r="F252" s="12" t="n"/>
      <c r="H252" s="7" t="n"/>
    </row>
    <row r="253">
      <c r="E253" s="12" t="n"/>
      <c r="F253" s="12" t="n"/>
      <c r="H253" s="7" t="n"/>
    </row>
    <row r="254">
      <c r="E254" s="12" t="n"/>
      <c r="F254" s="12" t="n"/>
      <c r="H254" s="7" t="n"/>
    </row>
    <row r="255">
      <c r="E255" s="12" t="n"/>
      <c r="F255" s="12" t="n"/>
      <c r="H255" s="7" t="n"/>
    </row>
    <row r="256">
      <c r="E256" s="12" t="n"/>
      <c r="F256" s="12" t="n"/>
      <c r="H256" s="7" t="n"/>
    </row>
    <row r="257">
      <c r="E257" s="12" t="n"/>
      <c r="F257" s="12" t="n"/>
      <c r="H257" s="7" t="n"/>
    </row>
    <row r="258">
      <c r="E258" s="12" t="n"/>
      <c r="F258" s="12" t="n"/>
      <c r="H258" s="7" t="n"/>
    </row>
    <row r="259">
      <c r="E259" s="12" t="n"/>
      <c r="F259" s="12" t="n"/>
      <c r="H259" s="7" t="n"/>
    </row>
    <row r="260">
      <c r="E260" s="12" t="n"/>
      <c r="F260" s="12" t="n"/>
      <c r="H260" s="7" t="n"/>
    </row>
    <row r="261">
      <c r="E261" s="12" t="n"/>
      <c r="F261" s="12" t="n"/>
      <c r="H261" s="7" t="n"/>
    </row>
    <row r="262">
      <c r="E262" s="12" t="n"/>
      <c r="F262" s="12" t="n"/>
      <c r="H262" s="7" t="n"/>
    </row>
    <row r="263">
      <c r="E263" s="12" t="n"/>
      <c r="F263" s="12" t="n"/>
      <c r="H263" s="7" t="n"/>
    </row>
    <row r="264">
      <c r="E264" s="12" t="n"/>
      <c r="F264" s="12" t="n"/>
      <c r="H264" s="7" t="n"/>
    </row>
    <row r="265">
      <c r="E265" s="12" t="n"/>
      <c r="F265" s="12" t="n"/>
      <c r="H265" s="7" t="n"/>
    </row>
    <row r="266">
      <c r="E266" s="12" t="n"/>
      <c r="F266" s="12" t="n"/>
      <c r="H266" s="7" t="n"/>
    </row>
    <row r="267">
      <c r="E267" s="12" t="n"/>
      <c r="F267" s="12" t="n"/>
      <c r="H267" s="7" t="n"/>
    </row>
    <row r="268">
      <c r="E268" s="12" t="n"/>
      <c r="F268" s="12" t="n"/>
      <c r="H268" s="7" t="n"/>
    </row>
    <row r="269">
      <c r="E269" s="12" t="n"/>
      <c r="F269" s="12" t="n"/>
      <c r="H269" s="7" t="n"/>
    </row>
    <row r="270">
      <c r="E270" s="12" t="n"/>
      <c r="F270" s="12" t="n"/>
      <c r="H270" s="7" t="n"/>
    </row>
    <row r="271">
      <c r="E271" s="12" t="n"/>
      <c r="F271" s="12" t="n"/>
      <c r="H271" s="7" t="n"/>
    </row>
    <row r="272">
      <c r="E272" s="12" t="n"/>
      <c r="F272" s="12" t="n"/>
      <c r="H272" s="7" t="n"/>
    </row>
    <row r="273">
      <c r="E273" s="12" t="n"/>
      <c r="F273" s="12" t="n"/>
      <c r="H273" s="7" t="n"/>
    </row>
    <row r="274">
      <c r="E274" s="12" t="n"/>
      <c r="F274" s="12" t="n"/>
      <c r="H274" s="7" t="n"/>
    </row>
    <row r="275">
      <c r="E275" s="12" t="n"/>
      <c r="F275" s="12" t="n"/>
      <c r="H275" s="7" t="n"/>
    </row>
    <row r="276">
      <c r="E276" s="12" t="n"/>
      <c r="F276" s="12" t="n"/>
      <c r="H276" s="7" t="n"/>
    </row>
    <row r="277">
      <c r="E277" s="12" t="n"/>
      <c r="F277" s="12" t="n"/>
      <c r="H277" s="7" t="n"/>
    </row>
    <row r="278">
      <c r="E278" s="12" t="n"/>
      <c r="F278" s="12" t="n"/>
      <c r="H278" s="7" t="n"/>
    </row>
    <row r="279">
      <c r="E279" s="12" t="n"/>
      <c r="F279" s="12" t="n"/>
      <c r="H279" s="7" t="n"/>
    </row>
    <row r="280">
      <c r="E280" s="12" t="n"/>
      <c r="F280" s="12" t="n"/>
      <c r="H280" s="7" t="n"/>
    </row>
    <row r="281">
      <c r="E281" s="12" t="n"/>
      <c r="F281" s="12" t="n"/>
      <c r="H281" s="7" t="n"/>
    </row>
    <row r="282">
      <c r="E282" s="12" t="n"/>
      <c r="F282" s="12" t="n"/>
      <c r="H282" s="7" t="n"/>
    </row>
    <row r="283">
      <c r="E283" s="12" t="n"/>
      <c r="F283" s="12" t="n"/>
      <c r="H283" s="7" t="n"/>
    </row>
    <row r="284">
      <c r="E284" s="12" t="n"/>
      <c r="F284" s="12" t="n"/>
      <c r="H284" s="7" t="n"/>
    </row>
    <row r="285">
      <c r="E285" s="12" t="n"/>
      <c r="F285" s="12" t="n"/>
      <c r="H285" s="7" t="n"/>
    </row>
    <row r="286">
      <c r="E286" s="12" t="n"/>
      <c r="F286" s="12" t="n"/>
      <c r="H286" s="7" t="n"/>
    </row>
    <row r="287">
      <c r="E287" s="12" t="n"/>
      <c r="F287" s="12" t="n"/>
      <c r="H287" s="7" t="n"/>
    </row>
    <row r="288">
      <c r="E288" s="12" t="n"/>
      <c r="F288" s="12" t="n"/>
      <c r="H288" s="7" t="n"/>
    </row>
    <row r="289">
      <c r="E289" s="12" t="n"/>
      <c r="F289" s="12" t="n"/>
      <c r="H289" s="7" t="n"/>
    </row>
    <row r="290">
      <c r="E290" s="12" t="n"/>
      <c r="F290" s="12" t="n"/>
      <c r="H290" s="7" t="n"/>
    </row>
    <row r="291">
      <c r="E291" s="12" t="n"/>
      <c r="F291" s="12" t="n"/>
      <c r="H291" s="7" t="n"/>
    </row>
    <row r="292">
      <c r="E292" s="12" t="n"/>
      <c r="F292" s="12" t="n"/>
      <c r="H292" s="7" t="n"/>
    </row>
    <row r="293">
      <c r="E293" s="12" t="n"/>
      <c r="F293" s="12" t="n"/>
      <c r="H293" s="7" t="n"/>
    </row>
    <row r="294">
      <c r="E294" s="12" t="n"/>
      <c r="F294" s="12" t="n"/>
      <c r="H294" s="7" t="n"/>
    </row>
    <row r="295">
      <c r="E295" s="12" t="n"/>
      <c r="F295" s="12" t="n"/>
      <c r="H295" s="7" t="n"/>
    </row>
    <row r="296">
      <c r="E296" s="12" t="n"/>
      <c r="F296" s="12" t="n"/>
      <c r="H296" s="7" t="n"/>
    </row>
    <row r="297">
      <c r="E297" s="12" t="n"/>
      <c r="F297" s="12" t="n"/>
      <c r="H297" s="7" t="n"/>
    </row>
    <row r="298">
      <c r="E298" s="12" t="n"/>
      <c r="F298" s="12" t="n"/>
      <c r="H298" s="7" t="n"/>
    </row>
    <row r="299">
      <c r="E299" s="12" t="n"/>
      <c r="F299" s="12" t="n"/>
      <c r="H299" s="7" t="n"/>
    </row>
    <row r="300">
      <c r="E300" s="12" t="n"/>
      <c r="F300" s="12" t="n"/>
      <c r="H300" s="7" t="n"/>
    </row>
    <row r="301">
      <c r="E301" s="12" t="n"/>
      <c r="F301" s="12" t="n"/>
      <c r="H301" s="7" t="n"/>
    </row>
    <row r="302">
      <c r="E302" s="12" t="n"/>
      <c r="F302" s="12" t="n"/>
      <c r="H302" s="7" t="n"/>
    </row>
    <row r="303">
      <c r="E303" s="12" t="n"/>
      <c r="F303" s="12" t="n"/>
      <c r="H303" s="7" t="n"/>
    </row>
    <row r="304">
      <c r="E304" s="12" t="n"/>
      <c r="F304" s="12" t="n"/>
      <c r="H304" s="7" t="n"/>
    </row>
    <row r="305">
      <c r="E305" s="12" t="n"/>
      <c r="F305" s="12" t="n"/>
      <c r="H305" s="7" t="n"/>
    </row>
    <row r="306">
      <c r="E306" s="12" t="n"/>
      <c r="F306" s="12" t="n"/>
      <c r="H306" s="7" t="n"/>
    </row>
    <row r="307">
      <c r="E307" s="12" t="n"/>
      <c r="F307" s="12" t="n"/>
      <c r="H307" s="7" t="n"/>
    </row>
    <row r="308">
      <c r="E308" s="12" t="n"/>
      <c r="F308" s="12" t="n"/>
      <c r="H308" s="7" t="n"/>
    </row>
    <row r="309">
      <c r="E309" s="12" t="n"/>
      <c r="F309" s="12" t="n"/>
      <c r="H309" s="7" t="n"/>
    </row>
    <row r="310">
      <c r="E310" s="12" t="n"/>
      <c r="F310" s="12" t="n"/>
      <c r="H310" s="7" t="n"/>
    </row>
    <row r="311">
      <c r="E311" s="12" t="n"/>
      <c r="F311" s="12" t="n"/>
      <c r="H311" s="7" t="n"/>
    </row>
    <row r="312">
      <c r="E312" s="12" t="n"/>
      <c r="F312" s="12" t="n"/>
      <c r="H312" s="7" t="n"/>
    </row>
    <row r="313">
      <c r="E313" s="12" t="n"/>
      <c r="F313" s="12" t="n"/>
      <c r="H313" s="7" t="n"/>
    </row>
    <row r="314">
      <c r="E314" s="12" t="n"/>
      <c r="F314" s="12" t="n"/>
      <c r="H314" s="7" t="n"/>
    </row>
    <row r="315">
      <c r="E315" s="12" t="n"/>
      <c r="F315" s="12" t="n"/>
      <c r="H315" s="7" t="n"/>
    </row>
    <row r="316">
      <c r="E316" s="12" t="n"/>
      <c r="F316" s="12" t="n"/>
      <c r="H316" s="7" t="n"/>
    </row>
    <row r="317">
      <c r="E317" s="12" t="n"/>
      <c r="F317" s="12" t="n"/>
      <c r="H317" s="7" t="n"/>
    </row>
    <row r="318">
      <c r="E318" s="12" t="n"/>
      <c r="F318" s="12" t="n"/>
      <c r="H318" s="7" t="n"/>
    </row>
    <row r="319">
      <c r="E319" s="12" t="n"/>
      <c r="F319" s="12" t="n"/>
      <c r="H319" s="7" t="n"/>
    </row>
    <row r="320">
      <c r="E320" s="12" t="n"/>
      <c r="F320" s="12" t="n"/>
      <c r="H320" s="7" t="n"/>
    </row>
    <row r="321">
      <c r="E321" s="12" t="n"/>
      <c r="F321" s="12" t="n"/>
      <c r="H321" s="7" t="n"/>
    </row>
    <row r="322">
      <c r="E322" s="12" t="n"/>
      <c r="F322" s="12" t="n"/>
      <c r="H322" s="7" t="n"/>
    </row>
    <row r="323">
      <c r="E323" s="12" t="n"/>
      <c r="F323" s="12" t="n"/>
      <c r="H323" s="7" t="n"/>
    </row>
    <row r="324">
      <c r="E324" s="12" t="n"/>
      <c r="F324" s="12" t="n"/>
      <c r="H324" s="7" t="n"/>
    </row>
    <row r="325">
      <c r="E325" s="12" t="n"/>
      <c r="F325" s="12" t="n"/>
      <c r="H325" s="7" t="n"/>
    </row>
    <row r="326">
      <c r="E326" s="12" t="n"/>
      <c r="F326" s="12" t="n"/>
      <c r="H326" s="7" t="n"/>
    </row>
    <row r="327">
      <c r="E327" s="12" t="n"/>
      <c r="F327" s="12" t="n"/>
      <c r="H327" s="7" t="n"/>
    </row>
    <row r="328">
      <c r="E328" s="12" t="n"/>
      <c r="F328" s="12" t="n"/>
      <c r="H328" s="7" t="n"/>
    </row>
    <row r="329">
      <c r="E329" s="12" t="n"/>
      <c r="F329" s="12" t="n"/>
      <c r="H329" s="7" t="n"/>
    </row>
    <row r="330">
      <c r="E330" s="12" t="n"/>
      <c r="F330" s="12" t="n"/>
      <c r="H330" s="7" t="n"/>
    </row>
    <row r="331">
      <c r="E331" s="12" t="n"/>
      <c r="F331" s="12" t="n"/>
      <c r="H331" s="7" t="n"/>
    </row>
    <row r="332">
      <c r="E332" s="12" t="n"/>
      <c r="F332" s="12" t="n"/>
      <c r="H332" s="7" t="n"/>
    </row>
    <row r="333">
      <c r="E333" s="12" t="n"/>
      <c r="F333" s="12" t="n"/>
      <c r="H333" s="7" t="n"/>
    </row>
    <row r="334">
      <c r="E334" s="12" t="n"/>
      <c r="F334" s="12" t="n"/>
      <c r="H334" s="7" t="n"/>
    </row>
    <row r="335">
      <c r="E335" s="12" t="n"/>
      <c r="F335" s="12" t="n"/>
      <c r="H335" s="7" t="n"/>
    </row>
    <row r="336">
      <c r="E336" s="12" t="n"/>
      <c r="F336" s="12" t="n"/>
      <c r="H336" s="7" t="n"/>
    </row>
    <row r="337">
      <c r="E337" s="12" t="n"/>
      <c r="F337" s="12" t="n"/>
      <c r="H337" s="7" t="n"/>
    </row>
    <row r="338">
      <c r="E338" s="12" t="n"/>
      <c r="F338" s="12" t="n"/>
      <c r="H338" s="7" t="n"/>
    </row>
    <row r="339">
      <c r="E339" s="12" t="n"/>
      <c r="F339" s="12" t="n"/>
      <c r="H339" s="7" t="n"/>
    </row>
    <row r="340">
      <c r="E340" s="12" t="n"/>
      <c r="F340" s="12" t="n"/>
      <c r="H340" s="7" t="n"/>
    </row>
    <row r="341">
      <c r="E341" s="12" t="n"/>
      <c r="F341" s="12" t="n"/>
      <c r="H341" s="7" t="n"/>
    </row>
    <row r="342">
      <c r="E342" s="12" t="n"/>
      <c r="F342" s="12" t="n"/>
      <c r="H342" s="7" t="n"/>
    </row>
    <row r="343">
      <c r="E343" s="12" t="n"/>
      <c r="F343" s="12" t="n"/>
      <c r="H343" s="7" t="n"/>
    </row>
    <row r="344">
      <c r="E344" s="12" t="n"/>
      <c r="F344" s="12" t="n"/>
      <c r="H344" s="7" t="n"/>
    </row>
    <row r="345">
      <c r="E345" s="12" t="n"/>
      <c r="F345" s="12" t="n"/>
      <c r="H345" s="7" t="n"/>
    </row>
    <row r="346">
      <c r="E346" s="12" t="n"/>
      <c r="F346" s="12" t="n"/>
      <c r="H346" s="7" t="n"/>
    </row>
    <row r="347">
      <c r="E347" s="12" t="n"/>
      <c r="F347" s="12" t="n"/>
      <c r="H347" s="7" t="n"/>
    </row>
    <row r="348">
      <c r="E348" s="12" t="n"/>
      <c r="F348" s="12" t="n"/>
      <c r="H348" s="7" t="n"/>
    </row>
    <row r="349">
      <c r="E349" s="12" t="n"/>
      <c r="F349" s="12" t="n"/>
      <c r="H349" s="7" t="n"/>
    </row>
    <row r="350">
      <c r="E350" s="12" t="n"/>
      <c r="F350" s="12" t="n"/>
      <c r="H350" s="7" t="n"/>
    </row>
    <row r="351">
      <c r="E351" s="12" t="n"/>
      <c r="F351" s="12" t="n"/>
      <c r="H351" s="7" t="n"/>
    </row>
    <row r="352">
      <c r="E352" s="12" t="n"/>
      <c r="F352" s="12" t="n"/>
      <c r="H352" s="7" t="n"/>
    </row>
    <row r="353">
      <c r="E353" s="12" t="n"/>
      <c r="F353" s="12" t="n"/>
      <c r="H353" s="7" t="n"/>
    </row>
    <row r="354">
      <c r="E354" s="12" t="n"/>
      <c r="F354" s="12" t="n"/>
      <c r="H354" s="7" t="n"/>
    </row>
    <row r="355">
      <c r="E355" s="12" t="n"/>
      <c r="F355" s="12" t="n"/>
      <c r="H355" s="7" t="n"/>
    </row>
    <row r="356">
      <c r="E356" s="12" t="n"/>
      <c r="F356" s="12" t="n"/>
      <c r="H356" s="7" t="n"/>
    </row>
    <row r="357">
      <c r="E357" s="12" t="n"/>
      <c r="F357" s="12" t="n"/>
      <c r="H357" s="7" t="n"/>
    </row>
    <row r="358">
      <c r="E358" s="12" t="n"/>
      <c r="F358" s="12" t="n"/>
      <c r="H358" s="7" t="n"/>
    </row>
    <row r="359">
      <c r="E359" s="12" t="n"/>
      <c r="F359" s="12" t="n"/>
      <c r="H359" s="7" t="n"/>
    </row>
    <row r="360">
      <c r="E360" s="12" t="n"/>
      <c r="F360" s="12" t="n"/>
      <c r="H360" s="7" t="n"/>
    </row>
    <row r="361">
      <c r="E361" s="12" t="n"/>
      <c r="F361" s="12" t="n"/>
      <c r="H361" s="7" t="n"/>
    </row>
    <row r="362">
      <c r="E362" s="12" t="n"/>
      <c r="F362" s="12" t="n"/>
      <c r="H362" s="7" t="n"/>
    </row>
    <row r="363">
      <c r="E363" s="12" t="n"/>
      <c r="F363" s="12" t="n"/>
      <c r="H363" s="7" t="n"/>
    </row>
    <row r="364">
      <c r="E364" s="12" t="n"/>
      <c r="F364" s="12" t="n"/>
      <c r="H364" s="7" t="n"/>
    </row>
    <row r="365">
      <c r="E365" s="12" t="n"/>
      <c r="F365" s="12" t="n"/>
      <c r="H365" s="7" t="n"/>
    </row>
    <row r="366">
      <c r="E366" s="12" t="n"/>
      <c r="F366" s="12" t="n"/>
      <c r="H366" s="7" t="n"/>
    </row>
    <row r="367">
      <c r="E367" s="12" t="n"/>
      <c r="F367" s="12" t="n"/>
      <c r="H367" s="7" t="n"/>
    </row>
    <row r="368">
      <c r="E368" s="12" t="n"/>
      <c r="F368" s="12" t="n"/>
      <c r="H368" s="7" t="n"/>
    </row>
    <row r="369">
      <c r="E369" s="12" t="n"/>
      <c r="F369" s="12" t="n"/>
      <c r="H369" s="7" t="n"/>
    </row>
    <row r="370">
      <c r="E370" s="12" t="n"/>
      <c r="F370" s="12" t="n"/>
      <c r="H370" s="7" t="n"/>
    </row>
    <row r="371">
      <c r="E371" s="12" t="n"/>
      <c r="F371" s="12" t="n"/>
      <c r="H371" s="7" t="n"/>
    </row>
    <row r="372">
      <c r="E372" s="12" t="n"/>
      <c r="F372" s="12" t="n"/>
      <c r="H372" s="7" t="n"/>
    </row>
    <row r="373">
      <c r="E373" s="12" t="n"/>
      <c r="F373" s="12" t="n"/>
      <c r="H373" s="7" t="n"/>
    </row>
    <row r="374">
      <c r="E374" s="12" t="n"/>
      <c r="F374" s="12" t="n"/>
      <c r="H374" s="7" t="n"/>
    </row>
    <row r="375">
      <c r="E375" s="12" t="n"/>
      <c r="F375" s="12" t="n"/>
      <c r="H375" s="7" t="n"/>
    </row>
    <row r="376">
      <c r="E376" s="12" t="n"/>
      <c r="F376" s="12" t="n"/>
      <c r="H376" s="7" t="n"/>
    </row>
    <row r="377">
      <c r="E377" s="12" t="n"/>
      <c r="F377" s="12" t="n"/>
      <c r="H377" s="7" t="n"/>
    </row>
    <row r="378">
      <c r="E378" s="12" t="n"/>
      <c r="F378" s="12" t="n"/>
      <c r="H378" s="7" t="n"/>
    </row>
    <row r="379">
      <c r="E379" s="12" t="n"/>
      <c r="F379" s="12" t="n"/>
      <c r="H379" s="7" t="n"/>
    </row>
    <row r="380">
      <c r="E380" s="12" t="n"/>
      <c r="F380" s="12" t="n"/>
      <c r="H380" s="7" t="n"/>
    </row>
    <row r="381">
      <c r="E381" s="12" t="n"/>
      <c r="F381" s="12" t="n"/>
      <c r="H381" s="7" t="n"/>
    </row>
    <row r="382">
      <c r="E382" s="12" t="n"/>
      <c r="F382" s="12" t="n"/>
      <c r="H382" s="7" t="n"/>
    </row>
    <row r="383">
      <c r="E383" s="12" t="n"/>
      <c r="F383" s="12" t="n"/>
      <c r="H383" s="7" t="n"/>
    </row>
    <row r="384">
      <c r="E384" s="12" t="n"/>
      <c r="F384" s="12" t="n"/>
      <c r="H384" s="7" t="n"/>
    </row>
    <row r="385">
      <c r="E385" s="12" t="n"/>
      <c r="F385" s="12" t="n"/>
      <c r="H385" s="7" t="n"/>
    </row>
    <row r="386">
      <c r="E386" s="12" t="n"/>
      <c r="F386" s="12" t="n"/>
      <c r="H386" s="7" t="n"/>
    </row>
    <row r="387">
      <c r="E387" s="12" t="n"/>
      <c r="F387" s="12" t="n"/>
      <c r="H387" s="7" t="n"/>
    </row>
    <row r="388">
      <c r="E388" s="12" t="n"/>
      <c r="F388" s="12" t="n"/>
      <c r="H388" s="7" t="n"/>
    </row>
    <row r="389">
      <c r="E389" s="12" t="n"/>
      <c r="F389" s="12" t="n"/>
      <c r="H389" s="7" t="n"/>
    </row>
    <row r="390">
      <c r="E390" s="12" t="n"/>
      <c r="F390" s="12" t="n"/>
      <c r="H390" s="7" t="n"/>
    </row>
    <row r="391">
      <c r="E391" s="12" t="n"/>
      <c r="F391" s="12" t="n"/>
      <c r="H391" s="7" t="n"/>
    </row>
    <row r="392">
      <c r="E392" s="12" t="n"/>
      <c r="F392" s="12" t="n"/>
      <c r="H392" s="7" t="n"/>
    </row>
    <row r="393">
      <c r="E393" s="12" t="n"/>
      <c r="F393" s="12" t="n"/>
      <c r="H393" s="7" t="n"/>
    </row>
    <row r="394">
      <c r="E394" s="12" t="n"/>
      <c r="F394" s="12" t="n"/>
      <c r="H394" s="7" t="n"/>
    </row>
    <row r="395">
      <c r="E395" s="12" t="n"/>
      <c r="F395" s="12" t="n"/>
      <c r="H395" s="7" t="n"/>
    </row>
    <row r="396">
      <c r="E396" s="12" t="n"/>
      <c r="F396" s="12" t="n"/>
      <c r="H396" s="7" t="n"/>
    </row>
    <row r="397">
      <c r="E397" s="12" t="n"/>
      <c r="F397" s="12" t="n"/>
      <c r="H397" s="7" t="n"/>
    </row>
    <row r="398">
      <c r="E398" s="12" t="n"/>
      <c r="F398" s="12" t="n"/>
      <c r="H398" s="7" t="n"/>
    </row>
    <row r="399">
      <c r="E399" s="12" t="n"/>
      <c r="F399" s="12" t="n"/>
      <c r="H399" s="7" t="n"/>
    </row>
    <row r="400">
      <c r="E400" s="12" t="n"/>
      <c r="F400" s="12" t="n"/>
      <c r="H400" s="7" t="n"/>
    </row>
    <row r="401">
      <c r="E401" s="12" t="n"/>
      <c r="F401" s="12" t="n"/>
      <c r="H401" s="7" t="n"/>
    </row>
    <row r="402">
      <c r="E402" s="12" t="n"/>
      <c r="F402" s="12" t="n"/>
      <c r="H402" s="7" t="n"/>
    </row>
    <row r="403">
      <c r="E403" s="12" t="n"/>
      <c r="F403" s="12" t="n"/>
      <c r="H403" s="7" t="n"/>
    </row>
    <row r="404">
      <c r="E404" s="12" t="n"/>
      <c r="F404" s="12" t="n"/>
      <c r="H404" s="7" t="n"/>
    </row>
    <row r="405">
      <c r="E405" s="12" t="n"/>
      <c r="F405" s="12" t="n"/>
      <c r="H405" s="7" t="n"/>
    </row>
    <row r="406">
      <c r="E406" s="12" t="n"/>
      <c r="F406" s="12" t="n"/>
      <c r="H406" s="7" t="n"/>
    </row>
    <row r="407">
      <c r="E407" s="12" t="n"/>
      <c r="F407" s="12" t="n"/>
      <c r="H407" s="7" t="n"/>
    </row>
    <row r="408">
      <c r="E408" s="12" t="n"/>
      <c r="F408" s="12" t="n"/>
      <c r="H408" s="7" t="n"/>
    </row>
    <row r="409">
      <c r="E409" s="12" t="n"/>
      <c r="F409" s="12" t="n"/>
      <c r="H409" s="7" t="n"/>
    </row>
    <row r="410">
      <c r="E410" s="12" t="n"/>
      <c r="F410" s="12" t="n"/>
      <c r="H410" s="7" t="n"/>
    </row>
    <row r="411">
      <c r="E411" s="12" t="n"/>
      <c r="F411" s="12" t="n"/>
      <c r="H411" s="7" t="n"/>
    </row>
    <row r="412">
      <c r="E412" s="12" t="n"/>
      <c r="F412" s="12" t="n"/>
      <c r="H412" s="7" t="n"/>
    </row>
    <row r="413">
      <c r="E413" s="12" t="n"/>
      <c r="F413" s="12" t="n"/>
      <c r="H413" s="7" t="n"/>
    </row>
    <row r="414">
      <c r="E414" s="12" t="n"/>
      <c r="F414" s="12" t="n"/>
      <c r="H414" s="7" t="n"/>
    </row>
    <row r="415">
      <c r="E415" s="12" t="n"/>
      <c r="F415" s="12" t="n"/>
      <c r="H415" s="7" t="n"/>
    </row>
    <row r="416">
      <c r="E416" s="12" t="n"/>
      <c r="F416" s="12" t="n"/>
      <c r="H416" s="7" t="n"/>
    </row>
    <row r="417">
      <c r="E417" s="12" t="n"/>
      <c r="F417" s="12" t="n"/>
      <c r="H417" s="7" t="n"/>
    </row>
    <row r="418">
      <c r="E418" s="12" t="n"/>
      <c r="F418" s="12" t="n"/>
      <c r="H418" s="7" t="n"/>
    </row>
    <row r="419">
      <c r="E419" s="12" t="n"/>
      <c r="F419" s="12" t="n"/>
      <c r="H419" s="7" t="n"/>
    </row>
    <row r="420">
      <c r="E420" s="12" t="n"/>
      <c r="F420" s="12" t="n"/>
      <c r="H420" s="7" t="n"/>
    </row>
    <row r="421">
      <c r="E421" s="12" t="n"/>
      <c r="F421" s="12" t="n"/>
      <c r="H421" s="7" t="n"/>
    </row>
    <row r="422">
      <c r="E422" s="12" t="n"/>
      <c r="F422" s="12" t="n"/>
      <c r="H422" s="7" t="n"/>
    </row>
    <row r="423">
      <c r="E423" s="12" t="n"/>
      <c r="F423" s="12" t="n"/>
      <c r="H423" s="7" t="n"/>
    </row>
    <row r="424">
      <c r="E424" s="12" t="n"/>
      <c r="F424" s="12" t="n"/>
      <c r="H424" s="7" t="n"/>
    </row>
    <row r="425">
      <c r="E425" s="12" t="n"/>
      <c r="F425" s="12" t="n"/>
      <c r="H425" s="7" t="n"/>
    </row>
    <row r="426">
      <c r="E426" s="12" t="n"/>
      <c r="F426" s="12" t="n"/>
      <c r="H426" s="7" t="n"/>
    </row>
    <row r="427">
      <c r="E427" s="12" t="n"/>
      <c r="F427" s="12" t="n"/>
      <c r="H427" s="7" t="n"/>
    </row>
    <row r="428">
      <c r="E428" s="12" t="n"/>
      <c r="F428" s="12" t="n"/>
      <c r="H428" s="7" t="n"/>
    </row>
    <row r="429">
      <c r="E429" s="12" t="n"/>
      <c r="F429" s="12" t="n"/>
      <c r="H429" s="7" t="n"/>
    </row>
    <row r="430">
      <c r="E430" s="12" t="n"/>
      <c r="F430" s="12" t="n"/>
      <c r="H430" s="7" t="n"/>
    </row>
    <row r="431">
      <c r="E431" s="12" t="n"/>
      <c r="F431" s="12" t="n"/>
      <c r="H431" s="7" t="n"/>
    </row>
    <row r="432">
      <c r="E432" s="12" t="n"/>
      <c r="F432" s="12" t="n"/>
      <c r="H432" s="7" t="n"/>
    </row>
    <row r="433">
      <c r="E433" s="12" t="n"/>
      <c r="F433" s="12" t="n"/>
      <c r="H433" s="7" t="n"/>
    </row>
    <row r="434">
      <c r="E434" s="12" t="n"/>
      <c r="F434" s="12" t="n"/>
      <c r="H434" s="7" t="n"/>
    </row>
    <row r="435">
      <c r="E435" s="12" t="n"/>
      <c r="F435" s="12" t="n"/>
      <c r="H435" s="7" t="n"/>
    </row>
    <row r="436">
      <c r="E436" s="12" t="n"/>
      <c r="F436" s="12" t="n"/>
      <c r="H436" s="7" t="n"/>
    </row>
    <row r="437">
      <c r="E437" s="12" t="n"/>
      <c r="F437" s="12" t="n"/>
      <c r="H437" s="7" t="n"/>
    </row>
    <row r="438">
      <c r="E438" s="12" t="n"/>
      <c r="F438" s="12" t="n"/>
      <c r="H438" s="7" t="n"/>
    </row>
    <row r="439">
      <c r="E439" s="12" t="n"/>
      <c r="F439" s="12" t="n"/>
      <c r="H439" s="7" t="n"/>
    </row>
    <row r="440">
      <c r="E440" s="12" t="n"/>
      <c r="F440" s="12" t="n"/>
      <c r="H440" s="7" t="n"/>
    </row>
    <row r="441">
      <c r="E441" s="12" t="n"/>
      <c r="F441" s="12" t="n"/>
      <c r="H441" s="7" t="n"/>
    </row>
    <row r="442">
      <c r="E442" s="12" t="n"/>
      <c r="F442" s="12" t="n"/>
      <c r="H442" s="7" t="n"/>
    </row>
    <row r="443">
      <c r="E443" s="12" t="n"/>
      <c r="F443" s="12" t="n"/>
      <c r="H443" s="7" t="n"/>
    </row>
    <row r="444">
      <c r="E444" s="12" t="n"/>
      <c r="F444" s="12" t="n"/>
      <c r="H444" s="7" t="n"/>
    </row>
    <row r="445">
      <c r="E445" s="12" t="n"/>
      <c r="F445" s="12" t="n"/>
      <c r="H445" s="7" t="n"/>
    </row>
    <row r="446">
      <c r="E446" s="12" t="n"/>
      <c r="F446" s="12" t="n"/>
      <c r="H446" s="7" t="n"/>
    </row>
    <row r="447">
      <c r="E447" s="12" t="n"/>
      <c r="F447" s="12" t="n"/>
      <c r="H447" s="7" t="n"/>
    </row>
    <row r="448">
      <c r="E448" s="12" t="n"/>
      <c r="F448" s="12" t="n"/>
      <c r="H448" s="7" t="n"/>
    </row>
    <row r="449">
      <c r="E449" s="12" t="n"/>
      <c r="F449" s="12" t="n"/>
      <c r="H449" s="7" t="n"/>
    </row>
    <row r="450">
      <c r="E450" s="12" t="n"/>
      <c r="F450" s="12" t="n"/>
      <c r="H450" s="7" t="n"/>
    </row>
    <row r="451">
      <c r="E451" s="12" t="n"/>
      <c r="F451" s="12" t="n"/>
      <c r="H451" s="7" t="n"/>
    </row>
    <row r="452">
      <c r="E452" s="12" t="n"/>
      <c r="F452" s="12" t="n"/>
      <c r="H452" s="7" t="n"/>
    </row>
    <row r="453">
      <c r="E453" s="12" t="n"/>
      <c r="F453" s="12" t="n"/>
      <c r="H453" s="7" t="n"/>
    </row>
    <row r="454">
      <c r="E454" s="12" t="n"/>
      <c r="F454" s="12" t="n"/>
      <c r="H454" s="7" t="n"/>
    </row>
    <row r="455">
      <c r="E455" s="12" t="n"/>
      <c r="F455" s="12" t="n"/>
      <c r="H455" s="7" t="n"/>
    </row>
    <row r="456">
      <c r="E456" s="12" t="n"/>
      <c r="F456" s="12" t="n"/>
      <c r="H456" s="7" t="n"/>
    </row>
    <row r="457">
      <c r="E457" s="12" t="n"/>
      <c r="F457" s="12" t="n"/>
      <c r="H457" s="7" t="n"/>
    </row>
    <row r="458">
      <c r="E458" s="12" t="n"/>
      <c r="F458" s="12" t="n"/>
      <c r="H458" s="7" t="n"/>
    </row>
    <row r="459">
      <c r="E459" s="12" t="n"/>
      <c r="F459" s="12" t="n"/>
      <c r="H459" s="7" t="n"/>
    </row>
    <row r="460">
      <c r="E460" s="12" t="n"/>
      <c r="F460" s="12" t="n"/>
      <c r="H460" s="7" t="n"/>
    </row>
    <row r="461">
      <c r="E461" s="12" t="n"/>
      <c r="F461" s="12" t="n"/>
      <c r="H461" s="7" t="n"/>
    </row>
    <row r="462">
      <c r="E462" s="12" t="n"/>
      <c r="F462" s="12" t="n"/>
      <c r="H462" s="7" t="n"/>
    </row>
    <row r="463">
      <c r="E463" s="12" t="n"/>
      <c r="F463" s="12" t="n"/>
      <c r="H463" s="7" t="n"/>
    </row>
    <row r="464">
      <c r="E464" s="12" t="n"/>
      <c r="F464" s="12" t="n"/>
      <c r="H464" s="7" t="n"/>
    </row>
    <row r="465">
      <c r="E465" s="12" t="n"/>
      <c r="F465" s="12" t="n"/>
      <c r="H465" s="7" t="n"/>
    </row>
    <row r="466">
      <c r="E466" s="12" t="n"/>
      <c r="F466" s="12" t="n"/>
      <c r="H466" s="7" t="n"/>
    </row>
    <row r="467">
      <c r="E467" s="12" t="n"/>
      <c r="F467" s="12" t="n"/>
      <c r="H467" s="7" t="n"/>
    </row>
    <row r="468">
      <c r="E468" s="12" t="n"/>
      <c r="F468" s="12" t="n"/>
      <c r="H468" s="7" t="n"/>
    </row>
    <row r="469">
      <c r="E469" s="12" t="n"/>
      <c r="F469" s="12" t="n"/>
      <c r="H469" s="7" t="n"/>
    </row>
    <row r="470">
      <c r="E470" s="12" t="n"/>
      <c r="F470" s="12" t="n"/>
      <c r="H470" s="7" t="n"/>
    </row>
    <row r="471">
      <c r="E471" s="12" t="n"/>
      <c r="F471" s="12" t="n"/>
      <c r="H471" s="7" t="n"/>
    </row>
    <row r="472">
      <c r="E472" s="12" t="n"/>
      <c r="F472" s="12" t="n"/>
      <c r="H472" s="7" t="n"/>
    </row>
    <row r="473">
      <c r="E473" s="12" t="n"/>
      <c r="F473" s="12" t="n"/>
      <c r="H473" s="7" t="n"/>
    </row>
    <row r="474">
      <c r="E474" s="12" t="n"/>
      <c r="F474" s="12" t="n"/>
      <c r="H474" s="7" t="n"/>
    </row>
    <row r="475">
      <c r="E475" s="12" t="n"/>
      <c r="F475" s="12" t="n"/>
      <c r="H475" s="7" t="n"/>
    </row>
    <row r="476">
      <c r="E476" s="12" t="n"/>
      <c r="F476" s="12" t="n"/>
      <c r="H476" s="7" t="n"/>
    </row>
    <row r="477">
      <c r="E477" s="12" t="n"/>
      <c r="F477" s="12" t="n"/>
      <c r="H477" s="7" t="n"/>
    </row>
    <row r="478">
      <c r="E478" s="12" t="n"/>
      <c r="F478" s="12" t="n"/>
      <c r="H478" s="7" t="n"/>
    </row>
    <row r="479">
      <c r="E479" s="12" t="n"/>
      <c r="F479" s="12" t="n"/>
      <c r="H479" s="7" t="n"/>
    </row>
    <row r="480">
      <c r="E480" s="12" t="n"/>
      <c r="F480" s="12" t="n"/>
      <c r="H480" s="7" t="n"/>
    </row>
    <row r="481">
      <c r="E481" s="12" t="n"/>
      <c r="F481" s="12" t="n"/>
      <c r="H481" s="7" t="n"/>
    </row>
    <row r="482">
      <c r="E482" s="12" t="n"/>
      <c r="F482" s="12" t="n"/>
      <c r="H482" s="7" t="n"/>
    </row>
    <row r="483">
      <c r="E483" s="12" t="n"/>
      <c r="F483" s="12" t="n"/>
      <c r="H483" s="7" t="n"/>
    </row>
    <row r="484">
      <c r="E484" s="12" t="n"/>
      <c r="F484" s="12" t="n"/>
      <c r="H484" s="7" t="n"/>
    </row>
    <row r="485">
      <c r="E485" s="12" t="n"/>
      <c r="F485" s="12" t="n"/>
      <c r="H485" s="7" t="n"/>
    </row>
    <row r="486">
      <c r="E486" s="12" t="n"/>
      <c r="F486" s="12" t="n"/>
      <c r="H486" s="7" t="n"/>
    </row>
    <row r="487">
      <c r="E487" s="12" t="n"/>
      <c r="F487" s="12" t="n"/>
      <c r="H487" s="7" t="n"/>
    </row>
    <row r="488">
      <c r="E488" s="12" t="n"/>
      <c r="F488" s="12" t="n"/>
      <c r="H488" s="7" t="n"/>
    </row>
    <row r="489">
      <c r="E489" s="12" t="n"/>
      <c r="F489" s="12" t="n"/>
      <c r="H489" s="7" t="n"/>
    </row>
    <row r="490">
      <c r="E490" s="12" t="n"/>
      <c r="F490" s="12" t="n"/>
      <c r="H490" s="7" t="n"/>
    </row>
    <row r="491">
      <c r="E491" s="12" t="n"/>
      <c r="F491" s="12" t="n"/>
      <c r="H491" s="7" t="n"/>
    </row>
    <row r="492">
      <c r="E492" s="12" t="n"/>
      <c r="F492" s="12" t="n"/>
      <c r="H492" s="7" t="n"/>
    </row>
    <row r="493">
      <c r="E493" s="12" t="n"/>
      <c r="F493" s="12" t="n"/>
      <c r="H493" s="7" t="n"/>
    </row>
    <row r="494">
      <c r="E494" s="12" t="n"/>
      <c r="F494" s="12" t="n"/>
      <c r="H494" s="7" t="n"/>
    </row>
    <row r="495">
      <c r="E495" s="12" t="n"/>
      <c r="F495" s="12" t="n"/>
      <c r="H495" s="7" t="n"/>
    </row>
    <row r="496">
      <c r="E496" s="12" t="n"/>
      <c r="F496" s="12" t="n"/>
      <c r="H496" s="7" t="n"/>
    </row>
    <row r="497">
      <c r="E497" s="12" t="n"/>
      <c r="F497" s="12" t="n"/>
      <c r="H497" s="7" t="n"/>
    </row>
    <row r="498">
      <c r="E498" s="12" t="n"/>
      <c r="F498" s="12" t="n"/>
      <c r="H498" s="7" t="n"/>
    </row>
    <row r="499">
      <c r="E499" s="12" t="n"/>
      <c r="F499" s="12" t="n"/>
      <c r="H499" s="7" t="n"/>
    </row>
    <row r="500">
      <c r="E500" s="12" t="n"/>
      <c r="F500" s="12" t="n"/>
      <c r="H500" s="7" t="n"/>
    </row>
    <row r="501">
      <c r="E501" s="12" t="n"/>
      <c r="F501" s="12" t="n"/>
      <c r="H501" s="7" t="n"/>
    </row>
    <row r="502">
      <c r="E502" s="12" t="n"/>
      <c r="F502" s="12" t="n"/>
      <c r="H502" s="7" t="n"/>
    </row>
    <row r="503">
      <c r="E503" s="12" t="n"/>
      <c r="F503" s="12" t="n"/>
      <c r="H503" s="7" t="n"/>
    </row>
    <row r="504">
      <c r="E504" s="12" t="n"/>
      <c r="F504" s="12" t="n"/>
      <c r="H504" s="7" t="n"/>
    </row>
    <row r="505">
      <c r="E505" s="12" t="n"/>
      <c r="F505" s="12" t="n"/>
      <c r="H505" s="7" t="n"/>
    </row>
    <row r="506">
      <c r="E506" s="12" t="n"/>
      <c r="F506" s="12" t="n"/>
      <c r="H506" s="7" t="n"/>
    </row>
    <row r="507">
      <c r="E507" s="12" t="n"/>
      <c r="F507" s="12" t="n"/>
      <c r="H507" s="7" t="n"/>
    </row>
    <row r="508">
      <c r="E508" s="12" t="n"/>
      <c r="F508" s="12" t="n"/>
      <c r="H508" s="7" t="n"/>
    </row>
    <row r="509">
      <c r="E509" s="12" t="n"/>
      <c r="F509" s="12" t="n"/>
      <c r="H509" s="7" t="n"/>
    </row>
    <row r="510">
      <c r="E510" s="12" t="n"/>
      <c r="F510" s="12" t="n"/>
      <c r="H510" s="7" t="n"/>
    </row>
    <row r="511">
      <c r="E511" s="12" t="n"/>
      <c r="F511" s="12" t="n"/>
      <c r="H511" s="7" t="n"/>
    </row>
    <row r="512">
      <c r="E512" s="12" t="n"/>
      <c r="F512" s="12" t="n"/>
      <c r="H512" s="7" t="n"/>
    </row>
    <row r="513">
      <c r="E513" s="12" t="n"/>
      <c r="F513" s="12" t="n"/>
      <c r="H513" s="7" t="n"/>
    </row>
    <row r="514">
      <c r="E514" s="12" t="n"/>
      <c r="F514" s="12" t="n"/>
      <c r="H514" s="7" t="n"/>
    </row>
    <row r="515">
      <c r="E515" s="12" t="n"/>
      <c r="F515" s="12" t="n"/>
      <c r="H515" s="7" t="n"/>
    </row>
    <row r="516">
      <c r="E516" s="12" t="n"/>
      <c r="F516" s="12" t="n"/>
      <c r="H516" s="7" t="n"/>
    </row>
    <row r="517">
      <c r="E517" s="12" t="n"/>
      <c r="F517" s="12" t="n"/>
      <c r="H517" s="7" t="n"/>
    </row>
    <row r="518">
      <c r="E518" s="12" t="n"/>
      <c r="F518" s="12" t="n"/>
      <c r="H518" s="7" t="n"/>
    </row>
    <row r="519">
      <c r="E519" s="12" t="n"/>
      <c r="F519" s="12" t="n"/>
      <c r="H519" s="7" t="n"/>
    </row>
    <row r="520">
      <c r="E520" s="12" t="n"/>
      <c r="F520" s="12" t="n"/>
      <c r="H520" s="7" t="n"/>
    </row>
    <row r="521">
      <c r="E521" s="12" t="n"/>
      <c r="F521" s="12" t="n"/>
      <c r="H521" s="7" t="n"/>
    </row>
    <row r="522">
      <c r="E522" s="12" t="n"/>
      <c r="F522" s="12" t="n"/>
      <c r="H522" s="7" t="n"/>
    </row>
    <row r="523">
      <c r="E523" s="12" t="n"/>
      <c r="F523" s="12" t="n"/>
      <c r="H523" s="7" t="n"/>
    </row>
    <row r="524">
      <c r="E524" s="12" t="n"/>
      <c r="F524" s="12" t="n"/>
      <c r="H524" s="7" t="n"/>
    </row>
    <row r="525">
      <c r="E525" s="12" t="n"/>
      <c r="F525" s="12" t="n"/>
      <c r="H525" s="7" t="n"/>
    </row>
    <row r="526">
      <c r="E526" s="12" t="n"/>
      <c r="F526" s="12" t="n"/>
      <c r="H526" s="7" t="n"/>
    </row>
    <row r="527">
      <c r="E527" s="12" t="n"/>
      <c r="F527" s="12" t="n"/>
      <c r="H527" s="7" t="n"/>
    </row>
    <row r="528">
      <c r="E528" s="12" t="n"/>
      <c r="F528" s="12" t="n"/>
      <c r="H528" s="7" t="n"/>
    </row>
    <row r="529">
      <c r="E529" s="12" t="n"/>
      <c r="F529" s="12" t="n"/>
      <c r="H529" s="7" t="n"/>
    </row>
    <row r="530">
      <c r="E530" s="12" t="n"/>
      <c r="F530" s="12" t="n"/>
      <c r="H530" s="7" t="n"/>
    </row>
    <row r="531">
      <c r="E531" s="12" t="n"/>
      <c r="F531" s="12" t="n"/>
      <c r="H531" s="7" t="n"/>
    </row>
    <row r="532">
      <c r="E532" s="12" t="n"/>
      <c r="F532" s="12" t="n"/>
      <c r="H532" s="7" t="n"/>
    </row>
    <row r="533">
      <c r="E533" s="12" t="n"/>
      <c r="F533" s="12" t="n"/>
      <c r="H533" s="7" t="n"/>
    </row>
    <row r="534">
      <c r="E534" s="12" t="n"/>
      <c r="F534" s="12" t="n"/>
      <c r="H534" s="7" t="n"/>
    </row>
    <row r="535">
      <c r="E535" s="12" t="n"/>
      <c r="F535" s="12" t="n"/>
      <c r="H535" s="7" t="n"/>
    </row>
    <row r="536">
      <c r="E536" s="12" t="n"/>
      <c r="F536" s="12" t="n"/>
      <c r="H536" s="7" t="n"/>
    </row>
    <row r="537">
      <c r="E537" s="12" t="n"/>
      <c r="F537" s="12" t="n"/>
      <c r="H537" s="7" t="n"/>
    </row>
    <row r="538">
      <c r="E538" s="12" t="n"/>
      <c r="F538" s="12" t="n"/>
      <c r="H538" s="7" t="n"/>
    </row>
    <row r="539">
      <c r="E539" s="12" t="n"/>
      <c r="F539" s="12" t="n"/>
      <c r="H539" s="7" t="n"/>
    </row>
    <row r="540">
      <c r="E540" s="12" t="n"/>
      <c r="F540" s="12" t="n"/>
      <c r="H540" s="7" t="n"/>
    </row>
    <row r="541">
      <c r="E541" s="12" t="n"/>
      <c r="F541" s="12" t="n"/>
      <c r="H541" s="7" t="n"/>
    </row>
    <row r="542">
      <c r="E542" s="12" t="n"/>
      <c r="F542" s="12" t="n"/>
      <c r="H542" s="7" t="n"/>
    </row>
    <row r="543">
      <c r="E543" s="12" t="n"/>
      <c r="F543" s="12" t="n"/>
      <c r="H543" s="7" t="n"/>
    </row>
    <row r="544">
      <c r="E544" s="12" t="n"/>
      <c r="F544" s="12" t="n"/>
      <c r="H544" s="7" t="n"/>
    </row>
    <row r="545">
      <c r="E545" s="12" t="n"/>
      <c r="F545" s="12" t="n"/>
      <c r="H545" s="7" t="n"/>
    </row>
    <row r="546">
      <c r="E546" s="12" t="n"/>
      <c r="F546" s="12" t="n"/>
      <c r="H546" s="7" t="n"/>
    </row>
    <row r="547">
      <c r="E547" s="12" t="n"/>
      <c r="F547" s="12" t="n"/>
      <c r="H547" s="7" t="n"/>
    </row>
    <row r="548">
      <c r="E548" s="12" t="n"/>
      <c r="F548" s="12" t="n"/>
      <c r="H548" s="7" t="n"/>
    </row>
    <row r="549">
      <c r="E549" s="12" t="n"/>
      <c r="F549" s="12" t="n"/>
      <c r="H549" s="7" t="n"/>
    </row>
    <row r="550">
      <c r="E550" s="12" t="n"/>
      <c r="F550" s="12" t="n"/>
      <c r="H550" s="7" t="n"/>
    </row>
    <row r="551">
      <c r="E551" s="12" t="n"/>
      <c r="F551" s="12" t="n"/>
      <c r="H551" s="7" t="n"/>
    </row>
    <row r="552">
      <c r="E552" s="12" t="n"/>
      <c r="F552" s="12" t="n"/>
      <c r="H552" s="7" t="n"/>
    </row>
    <row r="553">
      <c r="E553" s="12" t="n"/>
      <c r="F553" s="12" t="n"/>
      <c r="H553" s="7" t="n"/>
    </row>
    <row r="554">
      <c r="E554" s="12" t="n"/>
      <c r="F554" s="12" t="n"/>
      <c r="H554" s="7" t="n"/>
    </row>
    <row r="555">
      <c r="E555" s="12" t="n"/>
      <c r="F555" s="12" t="n"/>
      <c r="H555" s="7" t="n"/>
    </row>
    <row r="556">
      <c r="E556" s="12" t="n"/>
      <c r="F556" s="12" t="n"/>
      <c r="H556" s="7" t="n"/>
    </row>
    <row r="557">
      <c r="E557" s="12" t="n"/>
      <c r="F557" s="12" t="n"/>
      <c r="H557" s="7" t="n"/>
    </row>
    <row r="558">
      <c r="E558" s="12" t="n"/>
      <c r="F558" s="12" t="n"/>
      <c r="H558" s="7" t="n"/>
    </row>
    <row r="559">
      <c r="E559" s="12" t="n"/>
      <c r="F559" s="12" t="n"/>
      <c r="H559" s="7" t="n"/>
    </row>
    <row r="560">
      <c r="E560" s="12" t="n"/>
      <c r="F560" s="12" t="n"/>
      <c r="H560" s="7" t="n"/>
    </row>
    <row r="561">
      <c r="E561" s="12" t="n"/>
      <c r="F561" s="12" t="n"/>
      <c r="H561" s="7" t="n"/>
    </row>
    <row r="562">
      <c r="E562" s="12" t="n"/>
      <c r="F562" s="12" t="n"/>
      <c r="H562" s="7" t="n"/>
    </row>
    <row r="563">
      <c r="E563" s="12" t="n"/>
      <c r="F563" s="12" t="n"/>
      <c r="H563" s="7" t="n"/>
    </row>
    <row r="564">
      <c r="E564" s="12" t="n"/>
      <c r="F564" s="12" t="n"/>
      <c r="H564" s="7" t="n"/>
    </row>
    <row r="565">
      <c r="E565" s="12" t="n"/>
      <c r="F565" s="12" t="n"/>
      <c r="H565" s="7" t="n"/>
    </row>
    <row r="566">
      <c r="E566" s="12" t="n"/>
      <c r="F566" s="12" t="n"/>
      <c r="H566" s="7" t="n"/>
    </row>
    <row r="567">
      <c r="E567" s="12" t="n"/>
      <c r="F567" s="12" t="n"/>
      <c r="H567" s="7" t="n"/>
    </row>
    <row r="568">
      <c r="E568" s="12" t="n"/>
      <c r="F568" s="12" t="n"/>
      <c r="H568" s="7" t="n"/>
    </row>
    <row r="569">
      <c r="E569" s="12" t="n"/>
      <c r="F569" s="12" t="n"/>
      <c r="H569" s="7" t="n"/>
    </row>
    <row r="570">
      <c r="E570" s="12" t="n"/>
      <c r="F570" s="12" t="n"/>
      <c r="H570" s="7" t="n"/>
    </row>
    <row r="571">
      <c r="E571" s="12" t="n"/>
      <c r="F571" s="12" t="n"/>
      <c r="H571" s="7" t="n"/>
    </row>
    <row r="572">
      <c r="E572" s="12" t="n"/>
      <c r="F572" s="12" t="n"/>
      <c r="H572" s="7" t="n"/>
    </row>
    <row r="573">
      <c r="E573" s="12" t="n"/>
      <c r="F573" s="12" t="n"/>
      <c r="H573" s="7" t="n"/>
    </row>
    <row r="574">
      <c r="E574" s="12" t="n"/>
      <c r="F574" s="12" t="n"/>
      <c r="H574" s="7" t="n"/>
    </row>
    <row r="575">
      <c r="E575" s="12" t="n"/>
      <c r="F575" s="12" t="n"/>
      <c r="H575" s="7" t="n"/>
    </row>
    <row r="576">
      <c r="E576" s="12" t="n"/>
      <c r="F576" s="12" t="n"/>
      <c r="H576" s="7" t="n"/>
    </row>
    <row r="577">
      <c r="E577" s="12" t="n"/>
      <c r="F577" s="12" t="n"/>
      <c r="H577" s="7" t="n"/>
    </row>
    <row r="578">
      <c r="E578" s="12" t="n"/>
      <c r="F578" s="12" t="n"/>
      <c r="H578" s="7" t="n"/>
    </row>
    <row r="579">
      <c r="E579" s="12" t="n"/>
      <c r="F579" s="12" t="n"/>
      <c r="H579" s="7" t="n"/>
    </row>
    <row r="580">
      <c r="E580" s="12" t="n"/>
      <c r="F580" s="12" t="n"/>
      <c r="H580" s="7" t="n"/>
    </row>
    <row r="581">
      <c r="E581" s="12" t="n"/>
      <c r="F581" s="12" t="n"/>
      <c r="H581" s="7" t="n"/>
    </row>
    <row r="582">
      <c r="E582" s="12" t="n"/>
      <c r="F582" s="12" t="n"/>
      <c r="H582" s="7" t="n"/>
    </row>
    <row r="583">
      <c r="E583" s="12" t="n"/>
      <c r="F583" s="12" t="n"/>
      <c r="H583" s="7" t="n"/>
    </row>
    <row r="584">
      <c r="E584" s="12" t="n"/>
      <c r="F584" s="12" t="n"/>
      <c r="H584" s="7" t="n"/>
    </row>
    <row r="585">
      <c r="E585" s="12" t="n"/>
      <c r="F585" s="12" t="n"/>
      <c r="H585" s="7" t="n"/>
    </row>
    <row r="586">
      <c r="E586" s="12" t="n"/>
      <c r="F586" s="12" t="n"/>
      <c r="H586" s="7" t="n"/>
    </row>
    <row r="587">
      <c r="E587" s="12" t="n"/>
      <c r="F587" s="12" t="n"/>
      <c r="H587" s="7" t="n"/>
    </row>
    <row r="588">
      <c r="E588" s="12" t="n"/>
      <c r="F588" s="12" t="n"/>
      <c r="H588" s="7" t="n"/>
    </row>
    <row r="589">
      <c r="E589" s="12" t="n"/>
      <c r="F589" s="12" t="n"/>
      <c r="H589" s="7" t="n"/>
    </row>
    <row r="590">
      <c r="E590" s="12" t="n"/>
      <c r="F590" s="12" t="n"/>
      <c r="H590" s="7" t="n"/>
    </row>
    <row r="591">
      <c r="E591" s="12" t="n"/>
      <c r="F591" s="12" t="n"/>
      <c r="H591" s="7" t="n"/>
    </row>
    <row r="592">
      <c r="E592" s="12" t="n"/>
      <c r="F592" s="12" t="n"/>
      <c r="H592" s="7" t="n"/>
    </row>
    <row r="593">
      <c r="E593" s="12" t="n"/>
      <c r="F593" s="12" t="n"/>
      <c r="H593" s="7" t="n"/>
    </row>
    <row r="594">
      <c r="E594" s="12" t="n"/>
      <c r="F594" s="12" t="n"/>
      <c r="H594" s="7" t="n"/>
    </row>
    <row r="595">
      <c r="E595" s="12" t="n"/>
      <c r="F595" s="12" t="n"/>
      <c r="H595" s="7" t="n"/>
    </row>
    <row r="596">
      <c r="E596" s="12" t="n"/>
      <c r="F596" s="12" t="n"/>
      <c r="H596" s="7" t="n"/>
    </row>
    <row r="597">
      <c r="E597" s="12" t="n"/>
      <c r="F597" s="12" t="n"/>
      <c r="H597" s="7" t="n"/>
    </row>
    <row r="598">
      <c r="E598" s="12" t="n"/>
      <c r="F598" s="12" t="n"/>
      <c r="H598" s="7" t="n"/>
    </row>
    <row r="599">
      <c r="E599" s="12" t="n"/>
      <c r="F599" s="12" t="n"/>
      <c r="H599" s="7" t="n"/>
    </row>
    <row r="600">
      <c r="E600" s="12" t="n"/>
      <c r="F600" s="12" t="n"/>
      <c r="H600" s="7" t="n"/>
    </row>
    <row r="601">
      <c r="E601" s="12" t="n"/>
      <c r="F601" s="12" t="n"/>
      <c r="H601" s="7" t="n"/>
    </row>
    <row r="602">
      <c r="E602" s="12" t="n"/>
      <c r="F602" s="12" t="n"/>
      <c r="H602" s="7" t="n"/>
    </row>
    <row r="603">
      <c r="E603" s="12" t="n"/>
      <c r="F603" s="12" t="n"/>
      <c r="H603" s="7" t="n"/>
    </row>
    <row r="604">
      <c r="E604" s="12" t="n"/>
      <c r="F604" s="12" t="n"/>
      <c r="H604" s="7" t="n"/>
    </row>
    <row r="605">
      <c r="E605" s="12" t="n"/>
      <c r="F605" s="12" t="n"/>
      <c r="H605" s="7" t="n"/>
    </row>
    <row r="606">
      <c r="E606" s="12" t="n"/>
      <c r="F606" s="12" t="n"/>
      <c r="H606" s="7" t="n"/>
    </row>
    <row r="607">
      <c r="E607" s="12" t="n"/>
      <c r="F607" s="12" t="n"/>
      <c r="H607" s="7" t="n"/>
    </row>
    <row r="608">
      <c r="E608" s="12" t="n"/>
      <c r="F608" s="12" t="n"/>
      <c r="H608" s="7" t="n"/>
    </row>
    <row r="609">
      <c r="E609" s="12" t="n"/>
      <c r="F609" s="12" t="n"/>
      <c r="H609" s="7" t="n"/>
    </row>
    <row r="610">
      <c r="E610" s="12" t="n"/>
      <c r="F610" s="12" t="n"/>
      <c r="H610" s="7" t="n"/>
    </row>
    <row r="611">
      <c r="E611" s="12" t="n"/>
      <c r="F611" s="12" t="n"/>
      <c r="H611" s="7" t="n"/>
    </row>
    <row r="612">
      <c r="E612" s="12" t="n"/>
      <c r="F612" s="12" t="n"/>
      <c r="H612" s="7" t="n"/>
    </row>
    <row r="613">
      <c r="E613" s="12" t="n"/>
      <c r="F613" s="12" t="n"/>
      <c r="H613" s="7" t="n"/>
    </row>
    <row r="614">
      <c r="E614" s="12" t="n"/>
      <c r="F614" s="12" t="n"/>
      <c r="H614" s="7" t="n"/>
    </row>
    <row r="615">
      <c r="E615" s="12" t="n"/>
      <c r="F615" s="12" t="n"/>
      <c r="H615" s="7" t="n"/>
    </row>
    <row r="616">
      <c r="E616" s="12" t="n"/>
      <c r="F616" s="12" t="n"/>
      <c r="H616" s="7" t="n"/>
    </row>
    <row r="617">
      <c r="E617" s="12" t="n"/>
      <c r="F617" s="12" t="n"/>
      <c r="H617" s="7" t="n"/>
    </row>
    <row r="618">
      <c r="E618" s="12" t="n"/>
      <c r="F618" s="12" t="n"/>
      <c r="H618" s="7" t="n"/>
    </row>
    <row r="619">
      <c r="E619" s="12" t="n"/>
      <c r="F619" s="12" t="n"/>
      <c r="H619" s="7" t="n"/>
    </row>
    <row r="620">
      <c r="E620" s="12" t="n"/>
      <c r="F620" s="12" t="n"/>
      <c r="H620" s="7" t="n"/>
    </row>
    <row r="621">
      <c r="E621" s="12" t="n"/>
      <c r="F621" s="12" t="n"/>
      <c r="H621" s="7" t="n"/>
    </row>
    <row r="622">
      <c r="E622" s="12" t="n"/>
      <c r="F622" s="12" t="n"/>
      <c r="H622" s="7" t="n"/>
    </row>
    <row r="623">
      <c r="E623" s="12" t="n"/>
      <c r="F623" s="12" t="n"/>
      <c r="H623" s="7" t="n"/>
    </row>
    <row r="624">
      <c r="E624" s="12" t="n"/>
      <c r="F624" s="12" t="n"/>
      <c r="H624" s="7" t="n"/>
    </row>
    <row r="625">
      <c r="E625" s="12" t="n"/>
      <c r="F625" s="12" t="n"/>
      <c r="H625" s="7" t="n"/>
    </row>
    <row r="626">
      <c r="E626" s="12" t="n"/>
      <c r="F626" s="12" t="n"/>
      <c r="H626" s="7" t="n"/>
    </row>
    <row r="627">
      <c r="E627" s="12" t="n"/>
      <c r="F627" s="12" t="n"/>
      <c r="H627" s="7" t="n"/>
    </row>
    <row r="628">
      <c r="E628" s="12" t="n"/>
      <c r="F628" s="12" t="n"/>
      <c r="H628" s="7" t="n"/>
    </row>
    <row r="629">
      <c r="E629" s="12" t="n"/>
      <c r="F629" s="12" t="n"/>
      <c r="H629" s="7" t="n"/>
    </row>
    <row r="630">
      <c r="E630" s="12" t="n"/>
      <c r="F630" s="12" t="n"/>
      <c r="H630" s="7" t="n"/>
    </row>
    <row r="631">
      <c r="E631" s="12" t="n"/>
      <c r="F631" s="12" t="n"/>
      <c r="H631" s="7" t="n"/>
    </row>
    <row r="632">
      <c r="E632" s="12" t="n"/>
      <c r="F632" s="12" t="n"/>
      <c r="H632" s="7" t="n"/>
    </row>
    <row r="633">
      <c r="E633" s="12" t="n"/>
      <c r="F633" s="12" t="n"/>
      <c r="H633" s="7" t="n"/>
    </row>
    <row r="634">
      <c r="E634" s="12" t="n"/>
      <c r="F634" s="12" t="n"/>
      <c r="H634" s="7" t="n"/>
    </row>
    <row r="635">
      <c r="E635" s="12" t="n"/>
      <c r="F635" s="12" t="n"/>
      <c r="H635" s="7" t="n"/>
    </row>
    <row r="636">
      <c r="E636" s="12" t="n"/>
      <c r="F636" s="12" t="n"/>
      <c r="H636" s="7" t="n"/>
    </row>
    <row r="637">
      <c r="E637" s="12" t="n"/>
      <c r="F637" s="12" t="n"/>
      <c r="H637" s="7" t="n"/>
    </row>
    <row r="638">
      <c r="E638" s="12" t="n"/>
      <c r="F638" s="12" t="n"/>
      <c r="H638" s="7" t="n"/>
    </row>
    <row r="639">
      <c r="E639" s="12" t="n"/>
      <c r="F639" s="12" t="n"/>
      <c r="H639" s="7" t="n"/>
    </row>
    <row r="640">
      <c r="E640" s="12" t="n"/>
      <c r="F640" s="12" t="n"/>
      <c r="H640" s="7" t="n"/>
    </row>
    <row r="641">
      <c r="E641" s="12" t="n"/>
      <c r="F641" s="12" t="n"/>
      <c r="H641" s="7" t="n"/>
    </row>
    <row r="642">
      <c r="E642" s="12" t="n"/>
      <c r="F642" s="12" t="n"/>
      <c r="H642" s="7" t="n"/>
    </row>
    <row r="643">
      <c r="E643" s="12" t="n"/>
      <c r="F643" s="12" t="n"/>
      <c r="H643" s="7" t="n"/>
    </row>
    <row r="644">
      <c r="E644" s="12" t="n"/>
      <c r="F644" s="12" t="n"/>
      <c r="H644" s="7" t="n"/>
    </row>
    <row r="645">
      <c r="E645" s="12" t="n"/>
      <c r="F645" s="12" t="n"/>
      <c r="H645" s="7" t="n"/>
    </row>
    <row r="646">
      <c r="E646" s="12" t="n"/>
      <c r="F646" s="12" t="n"/>
      <c r="H646" s="7" t="n"/>
    </row>
    <row r="647">
      <c r="E647" s="12" t="n"/>
      <c r="F647" s="12" t="n"/>
      <c r="H647" s="7" t="n"/>
    </row>
    <row r="648">
      <c r="E648" s="12" t="n"/>
      <c r="F648" s="12" t="n"/>
      <c r="H648" s="7" t="n"/>
    </row>
    <row r="649">
      <c r="E649" s="12" t="n"/>
      <c r="F649" s="12" t="n"/>
      <c r="H649" s="7" t="n"/>
    </row>
    <row r="650">
      <c r="E650" s="12" t="n"/>
      <c r="F650" s="12" t="n"/>
      <c r="H650" s="7" t="n"/>
    </row>
    <row r="651">
      <c r="E651" s="12" t="n"/>
      <c r="F651" s="12" t="n"/>
      <c r="H651" s="7" t="n"/>
    </row>
    <row r="652">
      <c r="E652" s="12" t="n"/>
      <c r="F652" s="12" t="n"/>
      <c r="H652" s="7" t="n"/>
    </row>
    <row r="653">
      <c r="E653" s="12" t="n"/>
      <c r="F653" s="12" t="n"/>
      <c r="H653" s="7" t="n"/>
    </row>
    <row r="654">
      <c r="E654" s="12" t="n"/>
      <c r="F654" s="12" t="n"/>
      <c r="H654" s="7" t="n"/>
    </row>
    <row r="655">
      <c r="E655" s="12" t="n"/>
      <c r="F655" s="12" t="n"/>
      <c r="H655" s="7" t="n"/>
    </row>
    <row r="656">
      <c r="E656" s="12" t="n"/>
      <c r="F656" s="12" t="n"/>
      <c r="H656" s="7" t="n"/>
    </row>
    <row r="657">
      <c r="E657" s="12" t="n"/>
      <c r="F657" s="12" t="n"/>
      <c r="H657" s="7" t="n"/>
    </row>
    <row r="658">
      <c r="E658" s="12" t="n"/>
      <c r="F658" s="12" t="n"/>
      <c r="H658" s="7" t="n"/>
    </row>
    <row r="659">
      <c r="E659" s="12" t="n"/>
      <c r="F659" s="12" t="n"/>
      <c r="H659" s="7" t="n"/>
    </row>
    <row r="660">
      <c r="E660" s="12" t="n"/>
      <c r="F660" s="12" t="n"/>
      <c r="H660" s="7" t="n"/>
    </row>
    <row r="661">
      <c r="E661" s="12" t="n"/>
      <c r="F661" s="12" t="n"/>
      <c r="H661" s="7" t="n"/>
    </row>
    <row r="662">
      <c r="E662" s="12" t="n"/>
      <c r="F662" s="12" t="n"/>
      <c r="H662" s="7" t="n"/>
    </row>
    <row r="663">
      <c r="E663" s="12" t="n"/>
      <c r="F663" s="12" t="n"/>
      <c r="H663" s="7" t="n"/>
    </row>
    <row r="664">
      <c r="E664" s="12" t="n"/>
      <c r="F664" s="12" t="n"/>
      <c r="H664" s="7" t="n"/>
    </row>
    <row r="665">
      <c r="E665" s="12" t="n"/>
      <c r="F665" s="12" t="n"/>
      <c r="H665" s="7" t="n"/>
    </row>
    <row r="666">
      <c r="E666" s="12" t="n"/>
      <c r="F666" s="12" t="n"/>
      <c r="H666" s="7" t="n"/>
    </row>
    <row r="667">
      <c r="E667" s="12" t="n"/>
      <c r="F667" s="12" t="n"/>
      <c r="H667" s="7" t="n"/>
    </row>
    <row r="668">
      <c r="E668" s="12" t="n"/>
      <c r="F668" s="12" t="n"/>
      <c r="H668" s="7" t="n"/>
    </row>
    <row r="669">
      <c r="E669" s="12" t="n"/>
      <c r="F669" s="12" t="n"/>
      <c r="H669" s="7" t="n"/>
    </row>
    <row r="670">
      <c r="E670" s="12" t="n"/>
      <c r="F670" s="12" t="n"/>
      <c r="H670" s="7" t="n"/>
    </row>
    <row r="671">
      <c r="E671" s="12" t="n"/>
      <c r="F671" s="12" t="n"/>
      <c r="H671" s="7" t="n"/>
    </row>
    <row r="672">
      <c r="E672" s="12" t="n"/>
      <c r="F672" s="12" t="n"/>
      <c r="H672" s="7" t="n"/>
    </row>
    <row r="673">
      <c r="E673" s="12" t="n"/>
      <c r="F673" s="12" t="n"/>
      <c r="H673" s="7" t="n"/>
    </row>
    <row r="674">
      <c r="E674" s="12" t="n"/>
      <c r="F674" s="12" t="n"/>
      <c r="H674" s="7" t="n"/>
    </row>
    <row r="675">
      <c r="E675" s="12" t="n"/>
      <c r="F675" s="12" t="n"/>
      <c r="H675" s="7" t="n"/>
    </row>
    <row r="676">
      <c r="E676" s="12" t="n"/>
      <c r="F676" s="12" t="n"/>
      <c r="H676" s="7" t="n"/>
    </row>
    <row r="677">
      <c r="E677" s="12" t="n"/>
      <c r="F677" s="12" t="n"/>
      <c r="H677" s="7" t="n"/>
    </row>
    <row r="678">
      <c r="E678" s="12" t="n"/>
      <c r="F678" s="12" t="n"/>
      <c r="H678" s="7" t="n"/>
    </row>
    <row r="679">
      <c r="E679" s="12" t="n"/>
      <c r="F679" s="12" t="n"/>
      <c r="H679" s="7" t="n"/>
    </row>
    <row r="680">
      <c r="E680" s="12" t="n"/>
      <c r="F680" s="12" t="n"/>
      <c r="H680" s="7" t="n"/>
    </row>
    <row r="681">
      <c r="E681" s="12" t="n"/>
      <c r="F681" s="12" t="n"/>
      <c r="H681" s="7" t="n"/>
    </row>
    <row r="682">
      <c r="E682" s="12" t="n"/>
      <c r="F682" s="12" t="n"/>
      <c r="H682" s="7" t="n"/>
    </row>
    <row r="683">
      <c r="E683" s="12" t="n"/>
      <c r="F683" s="12" t="n"/>
      <c r="H683" s="7" t="n"/>
    </row>
    <row r="684">
      <c r="E684" s="12" t="n"/>
      <c r="F684" s="12" t="n"/>
      <c r="H684" s="7" t="n"/>
    </row>
    <row r="685">
      <c r="E685" s="12" t="n"/>
      <c r="F685" s="12" t="n"/>
      <c r="H685" s="7" t="n"/>
    </row>
    <row r="686">
      <c r="E686" s="12" t="n"/>
      <c r="F686" s="12" t="n"/>
      <c r="H686" s="7" t="n"/>
    </row>
    <row r="687">
      <c r="E687" s="12" t="n"/>
      <c r="F687" s="12" t="n"/>
      <c r="H687" s="7" t="n"/>
    </row>
    <row r="688">
      <c r="E688" s="12" t="n"/>
      <c r="F688" s="12" t="n"/>
      <c r="H688" s="7" t="n"/>
    </row>
    <row r="689">
      <c r="E689" s="12" t="n"/>
      <c r="F689" s="12" t="n"/>
      <c r="H689" s="7" t="n"/>
    </row>
    <row r="690">
      <c r="E690" s="12" t="n"/>
      <c r="F690" s="12" t="n"/>
      <c r="H690" s="7" t="n"/>
    </row>
    <row r="691">
      <c r="E691" s="12" t="n"/>
      <c r="F691" s="12" t="n"/>
      <c r="H691" s="7" t="n"/>
    </row>
    <row r="692">
      <c r="E692" s="12" t="n"/>
      <c r="F692" s="12" t="n"/>
      <c r="H692" s="7" t="n"/>
    </row>
    <row r="693">
      <c r="E693" s="12" t="n"/>
      <c r="F693" s="12" t="n"/>
      <c r="H693" s="7" t="n"/>
    </row>
    <row r="694">
      <c r="E694" s="12" t="n"/>
      <c r="F694" s="12" t="n"/>
      <c r="H694" s="7" t="n"/>
    </row>
    <row r="695">
      <c r="E695" s="12" t="n"/>
      <c r="F695" s="12" t="n"/>
      <c r="H695" s="7" t="n"/>
    </row>
    <row r="696">
      <c r="E696" s="12" t="n"/>
      <c r="F696" s="12" t="n"/>
      <c r="H696" s="7" t="n"/>
    </row>
    <row r="697">
      <c r="E697" s="12" t="n"/>
      <c r="F697" s="12" t="n"/>
      <c r="H697" s="7" t="n"/>
    </row>
    <row r="698">
      <c r="E698" s="12" t="n"/>
      <c r="F698" s="12" t="n"/>
      <c r="H698" s="7" t="n"/>
    </row>
    <row r="699">
      <c r="E699" s="12" t="n"/>
      <c r="F699" s="12" t="n"/>
      <c r="H699" s="7" t="n"/>
    </row>
    <row r="700">
      <c r="E700" s="12" t="n"/>
      <c r="F700" s="12" t="n"/>
      <c r="H700" s="7" t="n"/>
    </row>
    <row r="701">
      <c r="E701" s="12" t="n"/>
      <c r="F701" s="12" t="n"/>
      <c r="H701" s="7" t="n"/>
    </row>
    <row r="702">
      <c r="E702" s="12" t="n"/>
      <c r="F702" s="12" t="n"/>
      <c r="H702" s="7" t="n"/>
    </row>
    <row r="703">
      <c r="E703" s="12" t="n"/>
      <c r="F703" s="12" t="n"/>
      <c r="H703" s="7" t="n"/>
    </row>
    <row r="704">
      <c r="E704" s="12" t="n"/>
      <c r="F704" s="12" t="n"/>
      <c r="H704" s="7" t="n"/>
    </row>
    <row r="705">
      <c r="E705" s="12" t="n"/>
      <c r="F705" s="12" t="n"/>
      <c r="H705" s="7" t="n"/>
    </row>
    <row r="706">
      <c r="E706" s="12" t="n"/>
      <c r="F706" s="12" t="n"/>
      <c r="H706" s="7" t="n"/>
    </row>
    <row r="707">
      <c r="E707" s="12" t="n"/>
      <c r="F707" s="12" t="n"/>
      <c r="H707" s="7" t="n"/>
    </row>
    <row r="708">
      <c r="E708" s="12" t="n"/>
      <c r="F708" s="12" t="n"/>
      <c r="H708" s="7" t="n"/>
    </row>
    <row r="709">
      <c r="E709" s="12" t="n"/>
      <c r="F709" s="12" t="n"/>
      <c r="H709" s="7" t="n"/>
    </row>
    <row r="710">
      <c r="E710" s="12" t="n"/>
      <c r="F710" s="12" t="n"/>
      <c r="H710" s="7" t="n"/>
    </row>
    <row r="711">
      <c r="E711" s="12" t="n"/>
      <c r="F711" s="12" t="n"/>
      <c r="H711" s="7" t="n"/>
    </row>
    <row r="712">
      <c r="E712" s="12" t="n"/>
      <c r="F712" s="12" t="n"/>
      <c r="H712" s="7" t="n"/>
    </row>
    <row r="713">
      <c r="E713" s="12" t="n"/>
      <c r="F713" s="12" t="n"/>
      <c r="H713" s="7" t="n"/>
    </row>
    <row r="714">
      <c r="E714" s="12" t="n"/>
      <c r="F714" s="12" t="n"/>
      <c r="H714" s="7" t="n"/>
    </row>
    <row r="715">
      <c r="E715" s="12" t="n"/>
      <c r="F715" s="12" t="n"/>
      <c r="H715" s="7" t="n"/>
    </row>
    <row r="716">
      <c r="E716" s="12" t="n"/>
      <c r="F716" s="12" t="n"/>
      <c r="H716" s="7" t="n"/>
    </row>
    <row r="717">
      <c r="E717" s="12" t="n"/>
      <c r="F717" s="12" t="n"/>
      <c r="H717" s="7" t="n"/>
    </row>
    <row r="718">
      <c r="E718" s="12" t="n"/>
      <c r="F718" s="12" t="n"/>
      <c r="H718" s="7" t="n"/>
    </row>
    <row r="719">
      <c r="E719" s="12" t="n"/>
      <c r="F719" s="12" t="n"/>
      <c r="H719" s="7" t="n"/>
    </row>
    <row r="720">
      <c r="E720" s="12" t="n"/>
      <c r="F720" s="12" t="n"/>
      <c r="H720" s="7" t="n"/>
    </row>
    <row r="721">
      <c r="E721" s="12" t="n"/>
      <c r="F721" s="12" t="n"/>
      <c r="H721" s="7" t="n"/>
    </row>
    <row r="722">
      <c r="E722" s="12" t="n"/>
      <c r="F722" s="12" t="n"/>
      <c r="H722" s="7" t="n"/>
    </row>
    <row r="723">
      <c r="E723" s="12" t="n"/>
      <c r="F723" s="12" t="n"/>
      <c r="H723" s="7" t="n"/>
    </row>
    <row r="724">
      <c r="E724" s="12" t="n"/>
      <c r="F724" s="12" t="n"/>
      <c r="H724" s="7" t="n"/>
    </row>
    <row r="725">
      <c r="E725" s="12" t="n"/>
      <c r="F725" s="12" t="n"/>
      <c r="H725" s="7" t="n"/>
    </row>
    <row r="726">
      <c r="E726" s="12" t="n"/>
      <c r="F726" s="12" t="n"/>
      <c r="H726" s="7" t="n"/>
    </row>
    <row r="727">
      <c r="E727" s="12" t="n"/>
      <c r="F727" s="12" t="n"/>
      <c r="H727" s="7" t="n"/>
    </row>
    <row r="728">
      <c r="E728" s="12" t="n"/>
      <c r="F728" s="12" t="n"/>
      <c r="H728" s="7" t="n"/>
    </row>
    <row r="729">
      <c r="E729" s="12" t="n"/>
      <c r="F729" s="12" t="n"/>
      <c r="H729" s="7" t="n"/>
    </row>
    <row r="730">
      <c r="E730" s="12" t="n"/>
      <c r="F730" s="12" t="n"/>
      <c r="H730" s="7" t="n"/>
    </row>
    <row r="731">
      <c r="E731" s="12" t="n"/>
      <c r="F731" s="12" t="n"/>
      <c r="H731" s="7" t="n"/>
    </row>
    <row r="732">
      <c r="E732" s="12" t="n"/>
      <c r="F732" s="12" t="n"/>
      <c r="H732" s="7" t="n"/>
    </row>
    <row r="733">
      <c r="E733" s="12" t="n"/>
      <c r="F733" s="12" t="n"/>
      <c r="H733" s="7" t="n"/>
    </row>
    <row r="734">
      <c r="E734" s="12" t="n"/>
      <c r="F734" s="12" t="n"/>
      <c r="H734" s="7" t="n"/>
    </row>
    <row r="735">
      <c r="E735" s="12" t="n"/>
      <c r="F735" s="12" t="n"/>
      <c r="H735" s="7" t="n"/>
    </row>
    <row r="736">
      <c r="E736" s="12" t="n"/>
      <c r="F736" s="12" t="n"/>
      <c r="H736" s="7" t="n"/>
    </row>
    <row r="737">
      <c r="E737" s="12" t="n"/>
      <c r="F737" s="12" t="n"/>
      <c r="H737" s="7" t="n"/>
    </row>
    <row r="738">
      <c r="E738" s="12" t="n"/>
      <c r="F738" s="12" t="n"/>
      <c r="H738" s="7" t="n"/>
    </row>
    <row r="739">
      <c r="E739" s="12" t="n"/>
      <c r="F739" s="12" t="n"/>
      <c r="H739" s="7" t="n"/>
    </row>
    <row r="740">
      <c r="E740" s="12" t="n"/>
      <c r="F740" s="12" t="n"/>
      <c r="H740" s="7" t="n"/>
    </row>
    <row r="741">
      <c r="E741" s="12" t="n"/>
      <c r="F741" s="12" t="n"/>
      <c r="H741" s="7" t="n"/>
    </row>
    <row r="742">
      <c r="E742" s="12" t="n"/>
      <c r="F742" s="12" t="n"/>
      <c r="H742" s="7" t="n"/>
    </row>
    <row r="743">
      <c r="E743" s="12" t="n"/>
      <c r="F743" s="12" t="n"/>
      <c r="H743" s="7" t="n"/>
    </row>
    <row r="744">
      <c r="E744" s="12" t="n"/>
      <c r="F744" s="12" t="n"/>
      <c r="H744" s="7" t="n"/>
    </row>
    <row r="745">
      <c r="E745" s="12" t="n"/>
      <c r="F745" s="12" t="n"/>
      <c r="H745" s="7" t="n"/>
    </row>
    <row r="746">
      <c r="E746" s="12" t="n"/>
      <c r="F746" s="12" t="n"/>
      <c r="H746" s="7" t="n"/>
    </row>
    <row r="747">
      <c r="E747" s="12" t="n"/>
      <c r="F747" s="12" t="n"/>
      <c r="H747" s="7" t="n"/>
    </row>
    <row r="748">
      <c r="E748" s="12" t="n"/>
      <c r="F748" s="12" t="n"/>
      <c r="H748" s="7" t="n"/>
    </row>
    <row r="749">
      <c r="E749" s="12" t="n"/>
      <c r="F749" s="12" t="n"/>
      <c r="H749" s="7" t="n"/>
    </row>
    <row r="750">
      <c r="E750" s="12" t="n"/>
      <c r="F750" s="12" t="n"/>
      <c r="H750" s="7" t="n"/>
    </row>
    <row r="751">
      <c r="E751" s="12" t="n"/>
      <c r="F751" s="12" t="n"/>
      <c r="H751" s="7" t="n"/>
    </row>
    <row r="752">
      <c r="E752" s="12" t="n"/>
      <c r="F752" s="12" t="n"/>
      <c r="H752" s="7" t="n"/>
    </row>
    <row r="753">
      <c r="E753" s="12" t="n"/>
      <c r="F753" s="12" t="n"/>
      <c r="H753" s="7" t="n"/>
    </row>
    <row r="754">
      <c r="E754" s="12" t="n"/>
      <c r="F754" s="12" t="n"/>
      <c r="H754" s="7" t="n"/>
    </row>
    <row r="755">
      <c r="E755" s="12" t="n"/>
      <c r="F755" s="12" t="n"/>
      <c r="H755" s="7" t="n"/>
    </row>
    <row r="756">
      <c r="E756" s="12" t="n"/>
      <c r="F756" s="12" t="n"/>
      <c r="H756" s="7" t="n"/>
    </row>
    <row r="757">
      <c r="E757" s="12" t="n"/>
      <c r="F757" s="12" t="n"/>
      <c r="H757" s="7" t="n"/>
    </row>
    <row r="758">
      <c r="E758" s="12" t="n"/>
      <c r="F758" s="12" t="n"/>
      <c r="H758" s="7" t="n"/>
    </row>
    <row r="759">
      <c r="E759" s="12" t="n"/>
      <c r="F759" s="12" t="n"/>
      <c r="H759" s="7" t="n"/>
    </row>
    <row r="760">
      <c r="E760" s="12" t="n"/>
      <c r="F760" s="12" t="n"/>
      <c r="H760" s="7" t="n"/>
    </row>
    <row r="761">
      <c r="E761" s="12" t="n"/>
      <c r="F761" s="12" t="n"/>
      <c r="H761" s="7" t="n"/>
    </row>
    <row r="762">
      <c r="E762" s="12" t="n"/>
      <c r="F762" s="12" t="n"/>
      <c r="H762" s="7" t="n"/>
    </row>
    <row r="763">
      <c r="E763" s="12" t="n"/>
      <c r="F763" s="12" t="n"/>
      <c r="H763" s="7" t="n"/>
    </row>
    <row r="764">
      <c r="E764" s="12" t="n"/>
      <c r="F764" s="12" t="n"/>
      <c r="H764" s="7" t="n"/>
    </row>
    <row r="765">
      <c r="E765" s="12" t="n"/>
      <c r="F765" s="12" t="n"/>
      <c r="H765" s="7" t="n"/>
    </row>
    <row r="766">
      <c r="E766" s="12" t="n"/>
      <c r="F766" s="12" t="n"/>
      <c r="H766" s="7" t="n"/>
    </row>
    <row r="767">
      <c r="E767" s="12" t="n"/>
      <c r="F767" s="12" t="n"/>
      <c r="H767" s="7" t="n"/>
    </row>
    <row r="768">
      <c r="E768" s="12" t="n"/>
      <c r="F768" s="12" t="n"/>
      <c r="H768" s="7" t="n"/>
    </row>
    <row r="769">
      <c r="E769" s="12" t="n"/>
      <c r="F769" s="12" t="n"/>
      <c r="H769" s="7" t="n"/>
    </row>
    <row r="770">
      <c r="E770" s="12" t="n"/>
      <c r="F770" s="12" t="n"/>
      <c r="H770" s="7" t="n"/>
    </row>
    <row r="771">
      <c r="E771" s="12" t="n"/>
      <c r="F771" s="12" t="n"/>
      <c r="H771" s="7" t="n"/>
    </row>
    <row r="772">
      <c r="E772" s="12" t="n"/>
      <c r="F772" s="12" t="n"/>
      <c r="H772" s="7" t="n"/>
    </row>
    <row r="773">
      <c r="E773" s="12" t="n"/>
      <c r="F773" s="12" t="n"/>
      <c r="H773" s="7" t="n"/>
    </row>
    <row r="774">
      <c r="E774" s="12" t="n"/>
      <c r="F774" s="12" t="n"/>
      <c r="H774" s="7" t="n"/>
    </row>
    <row r="775">
      <c r="E775" s="12" t="n"/>
      <c r="F775" s="12" t="n"/>
      <c r="H775" s="7" t="n"/>
    </row>
    <row r="776">
      <c r="E776" s="12" t="n"/>
      <c r="F776" s="12" t="n"/>
      <c r="H776" s="7" t="n"/>
    </row>
    <row r="777">
      <c r="E777" s="12" t="n"/>
      <c r="F777" s="12" t="n"/>
      <c r="H777" s="7" t="n"/>
    </row>
    <row r="778">
      <c r="E778" s="12" t="n"/>
      <c r="F778" s="12" t="n"/>
      <c r="H778" s="7" t="n"/>
    </row>
    <row r="779">
      <c r="E779" s="12" t="n"/>
      <c r="F779" s="12" t="n"/>
      <c r="H779" s="7" t="n"/>
    </row>
    <row r="780">
      <c r="E780" s="12" t="n"/>
      <c r="F780" s="12" t="n"/>
      <c r="H780" s="7" t="n"/>
    </row>
    <row r="781">
      <c r="E781" s="12" t="n"/>
      <c r="F781" s="12" t="n"/>
      <c r="H781" s="7" t="n"/>
    </row>
    <row r="782">
      <c r="E782" s="12" t="n"/>
      <c r="F782" s="12" t="n"/>
      <c r="H782" s="7" t="n"/>
    </row>
    <row r="783">
      <c r="E783" s="12" t="n"/>
      <c r="F783" s="12" t="n"/>
      <c r="H783" s="7" t="n"/>
    </row>
    <row r="784">
      <c r="E784" s="12" t="n"/>
      <c r="F784" s="12" t="n"/>
      <c r="H784" s="7" t="n"/>
    </row>
    <row r="785">
      <c r="E785" s="12" t="n"/>
      <c r="F785" s="12" t="n"/>
      <c r="H785" s="7" t="n"/>
    </row>
    <row r="786">
      <c r="E786" s="12" t="n"/>
      <c r="F786" s="12" t="n"/>
      <c r="H786" s="7" t="n"/>
    </row>
    <row r="787">
      <c r="E787" s="12" t="n"/>
      <c r="F787" s="12" t="n"/>
      <c r="H787" s="7" t="n"/>
    </row>
    <row r="788">
      <c r="E788" s="12" t="n"/>
      <c r="F788" s="12" t="n"/>
      <c r="H788" s="7" t="n"/>
    </row>
    <row r="789">
      <c r="E789" s="12" t="n"/>
      <c r="F789" s="12" t="n"/>
      <c r="H789" s="7" t="n"/>
    </row>
    <row r="790">
      <c r="E790" s="12" t="n"/>
      <c r="F790" s="12" t="n"/>
      <c r="H790" s="7" t="n"/>
    </row>
    <row r="791">
      <c r="E791" s="12" t="n"/>
      <c r="F791" s="12" t="n"/>
      <c r="H791" s="7" t="n"/>
    </row>
    <row r="792">
      <c r="E792" s="12" t="n"/>
      <c r="F792" s="12" t="n"/>
      <c r="H792" s="7" t="n"/>
    </row>
    <row r="793">
      <c r="E793" s="12" t="n"/>
      <c r="F793" s="12" t="n"/>
      <c r="H793" s="7" t="n"/>
    </row>
    <row r="794">
      <c r="E794" s="12" t="n"/>
      <c r="F794" s="12" t="n"/>
      <c r="H794" s="7" t="n"/>
    </row>
    <row r="795">
      <c r="E795" s="12" t="n"/>
      <c r="F795" s="12" t="n"/>
      <c r="H795" s="7" t="n"/>
    </row>
    <row r="796">
      <c r="E796" s="12" t="n"/>
      <c r="F796" s="12" t="n"/>
      <c r="H796" s="7" t="n"/>
    </row>
    <row r="797">
      <c r="E797" s="12" t="n"/>
      <c r="F797" s="12" t="n"/>
      <c r="H797" s="7" t="n"/>
    </row>
    <row r="798">
      <c r="E798" s="12" t="n"/>
      <c r="F798" s="12" t="n"/>
      <c r="H798" s="7" t="n"/>
    </row>
    <row r="799">
      <c r="E799" s="12" t="n"/>
      <c r="F799" s="12" t="n"/>
      <c r="H799" s="7" t="n"/>
    </row>
    <row r="800">
      <c r="E800" s="12" t="n"/>
      <c r="F800" s="12" t="n"/>
      <c r="H800" s="7" t="n"/>
    </row>
    <row r="801">
      <c r="E801" s="12" t="n"/>
      <c r="F801" s="12" t="n"/>
      <c r="H801" s="7" t="n"/>
    </row>
    <row r="802">
      <c r="E802" s="12" t="n"/>
      <c r="F802" s="12" t="n"/>
      <c r="H802" s="7" t="n"/>
    </row>
    <row r="803">
      <c r="E803" s="12" t="n"/>
      <c r="F803" s="12" t="n"/>
      <c r="H803" s="7" t="n"/>
    </row>
    <row r="804">
      <c r="E804" s="12" t="n"/>
      <c r="F804" s="12" t="n"/>
      <c r="H804" s="7" t="n"/>
    </row>
    <row r="805">
      <c r="E805" s="12" t="n"/>
      <c r="F805" s="12" t="n"/>
      <c r="H805" s="7" t="n"/>
    </row>
    <row r="806">
      <c r="E806" s="12" t="n"/>
      <c r="F806" s="12" t="n"/>
      <c r="H806" s="7" t="n"/>
    </row>
    <row r="807">
      <c r="E807" s="12" t="n"/>
      <c r="F807" s="12" t="n"/>
      <c r="H807" s="7" t="n"/>
    </row>
    <row r="808">
      <c r="E808" s="12" t="n"/>
      <c r="F808" s="12" t="n"/>
      <c r="H808" s="7" t="n"/>
    </row>
    <row r="809">
      <c r="E809" s="12" t="n"/>
      <c r="F809" s="12" t="n"/>
      <c r="H809" s="7" t="n"/>
    </row>
    <row r="810">
      <c r="E810" s="12" t="n"/>
      <c r="F810" s="12" t="n"/>
      <c r="H810" s="7" t="n"/>
    </row>
    <row r="811">
      <c r="E811" s="12" t="n"/>
      <c r="F811" s="12" t="n"/>
      <c r="H811" s="7" t="n"/>
    </row>
    <row r="812">
      <c r="E812" s="12" t="n"/>
      <c r="F812" s="12" t="n"/>
      <c r="H812" s="7" t="n"/>
    </row>
    <row r="813">
      <c r="E813" s="12" t="n"/>
      <c r="F813" s="12" t="n"/>
      <c r="H813" s="7" t="n"/>
    </row>
    <row r="814">
      <c r="E814" s="12" t="n"/>
      <c r="F814" s="12" t="n"/>
      <c r="H814" s="7" t="n"/>
    </row>
    <row r="815">
      <c r="E815" s="12" t="n"/>
      <c r="F815" s="12" t="n"/>
      <c r="H815" s="7" t="n"/>
    </row>
    <row r="816">
      <c r="E816" s="12" t="n"/>
      <c r="F816" s="12" t="n"/>
      <c r="H816" s="7" t="n"/>
    </row>
    <row r="817">
      <c r="E817" s="12" t="n"/>
      <c r="F817" s="12" t="n"/>
      <c r="H817" s="7" t="n"/>
    </row>
    <row r="818">
      <c r="E818" s="12" t="n"/>
      <c r="F818" s="12" t="n"/>
      <c r="H818" s="7" t="n"/>
    </row>
    <row r="819">
      <c r="E819" s="12" t="n"/>
      <c r="F819" s="12" t="n"/>
      <c r="H819" s="7" t="n"/>
    </row>
    <row r="820">
      <c r="E820" s="12" t="n"/>
      <c r="F820" s="12" t="n"/>
      <c r="H820" s="7" t="n"/>
    </row>
    <row r="821">
      <c r="E821" s="12" t="n"/>
      <c r="F821" s="12" t="n"/>
      <c r="H821" s="7" t="n"/>
    </row>
    <row r="822">
      <c r="E822" s="12" t="n"/>
      <c r="F822" s="12" t="n"/>
      <c r="H822" s="7" t="n"/>
    </row>
    <row r="823">
      <c r="E823" s="12" t="n"/>
      <c r="F823" s="12" t="n"/>
      <c r="H823" s="7" t="n"/>
    </row>
    <row r="824">
      <c r="E824" s="12" t="n"/>
      <c r="F824" s="12" t="n"/>
      <c r="H824" s="7" t="n"/>
    </row>
    <row r="825">
      <c r="E825" s="12" t="n"/>
      <c r="F825" s="12" t="n"/>
      <c r="H825" s="7" t="n"/>
    </row>
    <row r="826">
      <c r="E826" s="12" t="n"/>
      <c r="F826" s="12" t="n"/>
      <c r="H826" s="7" t="n"/>
    </row>
    <row r="827">
      <c r="E827" s="12" t="n"/>
      <c r="F827" s="12" t="n"/>
      <c r="H827" s="7" t="n"/>
    </row>
    <row r="828">
      <c r="E828" s="12" t="n"/>
      <c r="F828" s="12" t="n"/>
      <c r="H828" s="7" t="n"/>
    </row>
    <row r="829">
      <c r="E829" s="12" t="n"/>
      <c r="F829" s="12" t="n"/>
      <c r="H829" s="7" t="n"/>
    </row>
    <row r="830">
      <c r="E830" s="12" t="n"/>
      <c r="F830" s="12" t="n"/>
      <c r="H830" s="7" t="n"/>
    </row>
    <row r="831">
      <c r="E831" s="12" t="n"/>
      <c r="F831" s="12" t="n"/>
      <c r="H831" s="7" t="n"/>
    </row>
    <row r="832">
      <c r="E832" s="12" t="n"/>
      <c r="F832" s="12" t="n"/>
      <c r="H832" s="7" t="n"/>
    </row>
    <row r="833">
      <c r="E833" s="12" t="n"/>
      <c r="F833" s="12" t="n"/>
      <c r="H833" s="7" t="n"/>
    </row>
    <row r="834">
      <c r="E834" s="12" t="n"/>
      <c r="F834" s="12" t="n"/>
      <c r="H834" s="7" t="n"/>
    </row>
    <row r="835">
      <c r="E835" s="12" t="n"/>
      <c r="F835" s="12" t="n"/>
      <c r="H835" s="7" t="n"/>
    </row>
    <row r="836">
      <c r="E836" s="12" t="n"/>
      <c r="F836" s="12" t="n"/>
      <c r="H836" s="7" t="n"/>
    </row>
    <row r="837">
      <c r="E837" s="12" t="n"/>
      <c r="F837" s="12" t="n"/>
      <c r="H837" s="7" t="n"/>
    </row>
    <row r="838">
      <c r="E838" s="12" t="n"/>
      <c r="F838" s="12" t="n"/>
      <c r="H838" s="7" t="n"/>
    </row>
    <row r="839">
      <c r="E839" s="12" t="n"/>
      <c r="F839" s="12" t="n"/>
      <c r="H839" s="7" t="n"/>
    </row>
    <row r="840">
      <c r="E840" s="12" t="n"/>
      <c r="F840" s="12" t="n"/>
      <c r="H840" s="7" t="n"/>
    </row>
    <row r="841">
      <c r="E841" s="12" t="n"/>
      <c r="F841" s="12" t="n"/>
      <c r="H841" s="7" t="n"/>
    </row>
    <row r="842">
      <c r="E842" s="12" t="n"/>
      <c r="F842" s="12" t="n"/>
      <c r="H842" s="7" t="n"/>
    </row>
    <row r="843">
      <c r="E843" s="12" t="n"/>
      <c r="F843" s="12" t="n"/>
      <c r="H843" s="7" t="n"/>
    </row>
    <row r="844">
      <c r="E844" s="12" t="n"/>
      <c r="F844" s="12" t="n"/>
      <c r="H844" s="7" t="n"/>
    </row>
    <row r="845">
      <c r="E845" s="12" t="n"/>
      <c r="F845" s="12" t="n"/>
      <c r="H845" s="7" t="n"/>
    </row>
    <row r="846">
      <c r="E846" s="12" t="n"/>
      <c r="F846" s="12" t="n"/>
      <c r="H846" s="7" t="n"/>
    </row>
    <row r="847">
      <c r="E847" s="12" t="n"/>
      <c r="F847" s="12" t="n"/>
      <c r="H847" s="7" t="n"/>
    </row>
    <row r="848">
      <c r="E848" s="12" t="n"/>
      <c r="F848" s="12" t="n"/>
      <c r="H848" s="7" t="n"/>
    </row>
    <row r="849">
      <c r="E849" s="12" t="n"/>
      <c r="F849" s="12" t="n"/>
      <c r="H849" s="7" t="n"/>
    </row>
    <row r="850">
      <c r="E850" s="12" t="n"/>
      <c r="F850" s="12" t="n"/>
      <c r="H850" s="7" t="n"/>
    </row>
    <row r="851">
      <c r="E851" s="12" t="n"/>
      <c r="F851" s="12" t="n"/>
      <c r="H851" s="7" t="n"/>
    </row>
    <row r="852">
      <c r="E852" s="12" t="n"/>
      <c r="F852" s="12" t="n"/>
      <c r="H852" s="7" t="n"/>
    </row>
    <row r="853">
      <c r="E853" s="12" t="n"/>
      <c r="F853" s="12" t="n"/>
      <c r="H853" s="7" t="n"/>
    </row>
    <row r="854">
      <c r="E854" s="12" t="n"/>
      <c r="F854" s="12" t="n"/>
      <c r="H854" s="7" t="n"/>
    </row>
    <row r="855">
      <c r="E855" s="12" t="n"/>
      <c r="F855" s="12" t="n"/>
      <c r="H855" s="7" t="n"/>
    </row>
    <row r="856">
      <c r="E856" s="12" t="n"/>
      <c r="F856" s="12" t="n"/>
      <c r="H856" s="7" t="n"/>
    </row>
    <row r="857">
      <c r="E857" s="12" t="n"/>
      <c r="F857" s="12" t="n"/>
      <c r="H857" s="7" t="n"/>
    </row>
    <row r="858">
      <c r="E858" s="12" t="n"/>
      <c r="F858" s="12" t="n"/>
      <c r="H858" s="7" t="n"/>
    </row>
    <row r="859">
      <c r="E859" s="12" t="n"/>
      <c r="F859" s="12" t="n"/>
      <c r="H859" s="7" t="n"/>
    </row>
    <row r="860">
      <c r="E860" s="12" t="n"/>
      <c r="F860" s="12" t="n"/>
      <c r="H860" s="7" t="n"/>
    </row>
    <row r="861">
      <c r="E861" s="12" t="n"/>
      <c r="F861" s="12" t="n"/>
      <c r="H861" s="7" t="n"/>
    </row>
    <row r="862">
      <c r="E862" s="12" t="n"/>
      <c r="F862" s="12" t="n"/>
      <c r="H862" s="7" t="n"/>
    </row>
    <row r="863">
      <c r="E863" s="12" t="n"/>
      <c r="F863" s="12" t="n"/>
      <c r="H863" s="7" t="n"/>
    </row>
    <row r="864">
      <c r="E864" s="12" t="n"/>
      <c r="F864" s="12" t="n"/>
      <c r="H864" s="7" t="n"/>
    </row>
    <row r="865">
      <c r="E865" s="12" t="n"/>
      <c r="F865" s="12" t="n"/>
      <c r="H865" s="7" t="n"/>
    </row>
    <row r="866">
      <c r="E866" s="12" t="n"/>
      <c r="F866" s="12" t="n"/>
      <c r="H866" s="7" t="n"/>
    </row>
    <row r="867">
      <c r="E867" s="12" t="n"/>
      <c r="F867" s="12" t="n"/>
      <c r="H867" s="7" t="n"/>
    </row>
    <row r="868">
      <c r="E868" s="12" t="n"/>
      <c r="F868" s="12" t="n"/>
      <c r="H868" s="7" t="n"/>
    </row>
    <row r="869">
      <c r="E869" s="12" t="n"/>
      <c r="F869" s="12" t="n"/>
      <c r="H869" s="7" t="n"/>
    </row>
    <row r="870">
      <c r="E870" s="12" t="n"/>
      <c r="F870" s="12" t="n"/>
      <c r="H870" s="7" t="n"/>
    </row>
    <row r="871">
      <c r="E871" s="12" t="n"/>
      <c r="F871" s="12" t="n"/>
      <c r="H871" s="7" t="n"/>
    </row>
    <row r="872">
      <c r="E872" s="12" t="n"/>
      <c r="F872" s="12" t="n"/>
      <c r="H872" s="7" t="n"/>
    </row>
    <row r="873">
      <c r="E873" s="12" t="n"/>
      <c r="F873" s="12" t="n"/>
      <c r="H873" s="7" t="n"/>
    </row>
    <row r="874">
      <c r="E874" s="12" t="n"/>
      <c r="F874" s="12" t="n"/>
      <c r="H874" s="7" t="n"/>
    </row>
    <row r="875">
      <c r="E875" s="12" t="n"/>
      <c r="F875" s="12" t="n"/>
      <c r="H875" s="7" t="n"/>
    </row>
    <row r="876">
      <c r="E876" s="12" t="n"/>
      <c r="F876" s="12" t="n"/>
      <c r="H876" s="7" t="n"/>
    </row>
    <row r="877">
      <c r="E877" s="12" t="n"/>
      <c r="F877" s="12" t="n"/>
      <c r="H877" s="7" t="n"/>
    </row>
    <row r="878">
      <c r="E878" s="12" t="n"/>
      <c r="F878" s="12" t="n"/>
      <c r="H878" s="7" t="n"/>
    </row>
    <row r="879">
      <c r="E879" s="12" t="n"/>
      <c r="F879" s="12" t="n"/>
      <c r="H879" s="7" t="n"/>
    </row>
    <row r="880">
      <c r="E880" s="12" t="n"/>
      <c r="F880" s="12" t="n"/>
      <c r="H880" s="7" t="n"/>
    </row>
    <row r="881">
      <c r="E881" s="12" t="n"/>
      <c r="F881" s="12" t="n"/>
      <c r="H881" s="7" t="n"/>
    </row>
    <row r="882">
      <c r="E882" s="12" t="n"/>
      <c r="F882" s="12" t="n"/>
      <c r="H882" s="7" t="n"/>
    </row>
    <row r="883">
      <c r="E883" s="12" t="n"/>
      <c r="F883" s="12" t="n"/>
      <c r="H883" s="7" t="n"/>
    </row>
    <row r="884">
      <c r="E884" s="12" t="n"/>
      <c r="F884" s="12" t="n"/>
      <c r="H884" s="7" t="n"/>
    </row>
    <row r="885">
      <c r="E885" s="12" t="n"/>
      <c r="F885" s="12" t="n"/>
      <c r="H885" s="7" t="n"/>
    </row>
    <row r="886">
      <c r="E886" s="12" t="n"/>
      <c r="F886" s="12" t="n"/>
      <c r="H886" s="7" t="n"/>
    </row>
    <row r="887">
      <c r="E887" s="12" t="n"/>
      <c r="F887" s="12" t="n"/>
      <c r="H887" s="7" t="n"/>
    </row>
    <row r="888">
      <c r="E888" s="12" t="n"/>
      <c r="F888" s="12" t="n"/>
      <c r="H888" s="7" t="n"/>
    </row>
    <row r="889">
      <c r="E889" s="12" t="n"/>
      <c r="F889" s="12" t="n"/>
      <c r="H889" s="7" t="n"/>
    </row>
    <row r="890">
      <c r="E890" s="12" t="n"/>
      <c r="F890" s="12" t="n"/>
      <c r="H890" s="7" t="n"/>
    </row>
    <row r="891">
      <c r="E891" s="12" t="n"/>
      <c r="F891" s="12" t="n"/>
      <c r="H891" s="7" t="n"/>
    </row>
    <row r="892">
      <c r="E892" s="12" t="n"/>
      <c r="F892" s="12" t="n"/>
      <c r="H892" s="7" t="n"/>
    </row>
    <row r="893">
      <c r="E893" s="12" t="n"/>
      <c r="F893" s="12" t="n"/>
      <c r="H893" s="7" t="n"/>
    </row>
    <row r="894">
      <c r="E894" s="12" t="n"/>
      <c r="F894" s="12" t="n"/>
      <c r="H894" s="7" t="n"/>
    </row>
    <row r="895">
      <c r="E895" s="12" t="n"/>
      <c r="F895" s="12" t="n"/>
      <c r="H895" s="7" t="n"/>
    </row>
    <row r="896">
      <c r="E896" s="12" t="n"/>
      <c r="F896" s="12" t="n"/>
      <c r="H896" s="7" t="n"/>
    </row>
    <row r="897">
      <c r="E897" s="12" t="n"/>
      <c r="F897" s="12" t="n"/>
      <c r="H897" s="7" t="n"/>
    </row>
    <row r="898">
      <c r="E898" s="12" t="n"/>
      <c r="F898" s="12" t="n"/>
      <c r="H898" s="7" t="n"/>
    </row>
    <row r="899">
      <c r="E899" s="12" t="n"/>
      <c r="F899" s="12" t="n"/>
      <c r="H899" s="7" t="n"/>
    </row>
    <row r="900">
      <c r="E900" s="12" t="n"/>
      <c r="F900" s="12" t="n"/>
      <c r="H900" s="7" t="n"/>
    </row>
    <row r="901">
      <c r="E901" s="12" t="n"/>
      <c r="F901" s="12" t="n"/>
      <c r="H901" s="7" t="n"/>
    </row>
    <row r="902">
      <c r="E902" s="12" t="n"/>
      <c r="F902" s="12" t="n"/>
      <c r="H902" s="7" t="n"/>
    </row>
    <row r="903">
      <c r="E903" s="12" t="n"/>
      <c r="F903" s="12" t="n"/>
      <c r="H903" s="7" t="n"/>
    </row>
    <row r="904">
      <c r="E904" s="12" t="n"/>
      <c r="F904" s="12" t="n"/>
      <c r="H904" s="7" t="n"/>
    </row>
    <row r="905">
      <c r="E905" s="12" t="n"/>
      <c r="F905" s="12" t="n"/>
      <c r="H905" s="7" t="n"/>
    </row>
    <row r="906">
      <c r="E906" s="12" t="n"/>
      <c r="F906" s="12" t="n"/>
      <c r="H906" s="7" t="n"/>
    </row>
    <row r="907">
      <c r="E907" s="12" t="n"/>
      <c r="F907" s="12" t="n"/>
      <c r="H907" s="7" t="n"/>
    </row>
    <row r="908">
      <c r="E908" s="12" t="n"/>
      <c r="F908" s="12" t="n"/>
      <c r="H908" s="7" t="n"/>
    </row>
    <row r="909">
      <c r="E909" s="12" t="n"/>
      <c r="F909" s="12" t="n"/>
      <c r="H909" s="7" t="n"/>
    </row>
    <row r="910">
      <c r="E910" s="12" t="n"/>
      <c r="F910" s="12" t="n"/>
      <c r="H910" s="7" t="n"/>
    </row>
    <row r="911">
      <c r="E911" s="12" t="n"/>
      <c r="F911" s="12" t="n"/>
      <c r="H911" s="7" t="n"/>
    </row>
    <row r="912">
      <c r="E912" s="12" t="n"/>
      <c r="F912" s="12" t="n"/>
      <c r="H912" s="7" t="n"/>
    </row>
    <row r="913">
      <c r="E913" s="12" t="n"/>
      <c r="F913" s="12" t="n"/>
      <c r="H913" s="7" t="n"/>
    </row>
    <row r="914">
      <c r="E914" s="12" t="n"/>
      <c r="F914" s="12" t="n"/>
      <c r="H914" s="7" t="n"/>
    </row>
    <row r="915">
      <c r="E915" s="12" t="n"/>
      <c r="F915" s="12" t="n"/>
      <c r="H915" s="7" t="n"/>
    </row>
    <row r="916">
      <c r="E916" s="12" t="n"/>
      <c r="F916" s="12" t="n"/>
      <c r="H916" s="7" t="n"/>
    </row>
    <row r="917">
      <c r="E917" s="12" t="n"/>
      <c r="F917" s="12" t="n"/>
      <c r="H917" s="7" t="n"/>
    </row>
    <row r="918">
      <c r="E918" s="12" t="n"/>
      <c r="F918" s="12" t="n"/>
      <c r="H918" s="7" t="n"/>
    </row>
    <row r="919">
      <c r="E919" s="12" t="n"/>
      <c r="F919" s="12" t="n"/>
      <c r="H919" s="7" t="n"/>
    </row>
    <row r="920">
      <c r="E920" s="12" t="n"/>
      <c r="F920" s="12" t="n"/>
      <c r="H920" s="7" t="n"/>
    </row>
    <row r="921">
      <c r="E921" s="12" t="n"/>
      <c r="F921" s="12" t="n"/>
      <c r="H921" s="7" t="n"/>
    </row>
    <row r="922">
      <c r="E922" s="12" t="n"/>
      <c r="F922" s="12" t="n"/>
      <c r="H922" s="7" t="n"/>
    </row>
    <row r="923">
      <c r="E923" s="12" t="n"/>
      <c r="F923" s="12" t="n"/>
      <c r="H923" s="7" t="n"/>
    </row>
    <row r="924">
      <c r="E924" s="12" t="n"/>
      <c r="F924" s="12" t="n"/>
      <c r="H924" s="7" t="n"/>
    </row>
    <row r="925">
      <c r="E925" s="12" t="n"/>
      <c r="F925" s="12" t="n"/>
      <c r="H925" s="7" t="n"/>
    </row>
    <row r="926">
      <c r="E926" s="12" t="n"/>
      <c r="F926" s="12" t="n"/>
      <c r="H926" s="7" t="n"/>
    </row>
    <row r="927">
      <c r="E927" s="12" t="n"/>
      <c r="F927" s="12" t="n"/>
      <c r="H927" s="7" t="n"/>
    </row>
    <row r="928">
      <c r="E928" s="12" t="n"/>
      <c r="F928" s="12" t="n"/>
      <c r="H928" s="7" t="n"/>
    </row>
    <row r="929">
      <c r="E929" s="12" t="n"/>
      <c r="F929" s="12" t="n"/>
      <c r="H929" s="7" t="n"/>
    </row>
    <row r="930">
      <c r="E930" s="12" t="n"/>
      <c r="F930" s="12" t="n"/>
      <c r="H930" s="7" t="n"/>
    </row>
    <row r="931">
      <c r="E931" s="12" t="n"/>
      <c r="F931" s="12" t="n"/>
      <c r="H931" s="7" t="n"/>
    </row>
    <row r="932">
      <c r="E932" s="12" t="n"/>
      <c r="F932" s="12" t="n"/>
      <c r="H932" s="7" t="n"/>
    </row>
    <row r="933">
      <c r="E933" s="12" t="n"/>
      <c r="F933" s="12" t="n"/>
      <c r="H933" s="7" t="n"/>
    </row>
    <row r="934">
      <c r="E934" s="12" t="n"/>
      <c r="F934" s="12" t="n"/>
      <c r="H934" s="7" t="n"/>
    </row>
    <row r="935">
      <c r="E935" s="12" t="n"/>
      <c r="F935" s="12" t="n"/>
      <c r="H935" s="7" t="n"/>
    </row>
    <row r="936">
      <c r="E936" s="12" t="n"/>
      <c r="F936" s="12" t="n"/>
      <c r="H936" s="7" t="n"/>
    </row>
    <row r="937">
      <c r="E937" s="12" t="n"/>
      <c r="F937" s="12" t="n"/>
      <c r="H937" s="7" t="n"/>
    </row>
    <row r="938">
      <c r="E938" s="12" t="n"/>
      <c r="F938" s="12" t="n"/>
      <c r="H938" s="7" t="n"/>
    </row>
    <row r="939">
      <c r="E939" s="12" t="n"/>
      <c r="F939" s="12" t="n"/>
      <c r="H939" s="7" t="n"/>
    </row>
    <row r="940">
      <c r="E940" s="12" t="n"/>
      <c r="F940" s="12" t="n"/>
      <c r="H940" s="7" t="n"/>
    </row>
    <row r="941">
      <c r="E941" s="12" t="n"/>
      <c r="F941" s="12" t="n"/>
      <c r="H941" s="7" t="n"/>
    </row>
    <row r="942">
      <c r="E942" s="12" t="n"/>
      <c r="F942" s="12" t="n"/>
      <c r="H942" s="7" t="n"/>
    </row>
    <row r="943">
      <c r="E943" s="12" t="n"/>
      <c r="F943" s="12" t="n"/>
      <c r="H943" s="7" t="n"/>
    </row>
    <row r="944">
      <c r="E944" s="12" t="n"/>
      <c r="F944" s="12" t="n"/>
      <c r="H944" s="7" t="n"/>
    </row>
    <row r="945">
      <c r="E945" s="12" t="n"/>
      <c r="F945" s="12" t="n"/>
      <c r="H945" s="7" t="n"/>
    </row>
    <row r="946">
      <c r="E946" s="12" t="n"/>
      <c r="F946" s="12" t="n"/>
      <c r="H946" s="7" t="n"/>
    </row>
    <row r="947">
      <c r="E947" s="12" t="n"/>
      <c r="F947" s="12" t="n"/>
      <c r="H947" s="7" t="n"/>
    </row>
    <row r="948">
      <c r="E948" s="12" t="n"/>
      <c r="F948" s="12" t="n"/>
      <c r="H948" s="7" t="n"/>
    </row>
    <row r="949">
      <c r="E949" s="12" t="n"/>
      <c r="F949" s="12" t="n"/>
      <c r="H949" s="7" t="n"/>
    </row>
    <row r="950">
      <c r="E950" s="12" t="n"/>
      <c r="F950" s="12" t="n"/>
      <c r="H950" s="7" t="n"/>
    </row>
    <row r="951">
      <c r="E951" s="12" t="n"/>
      <c r="F951" s="12" t="n"/>
      <c r="H951" s="7" t="n"/>
    </row>
    <row r="952">
      <c r="E952" s="12" t="n"/>
      <c r="F952" s="12" t="n"/>
      <c r="H952" s="7" t="n"/>
    </row>
    <row r="953">
      <c r="E953" s="12" t="n"/>
      <c r="F953" s="12" t="n"/>
      <c r="H953" s="7" t="n"/>
    </row>
    <row r="954">
      <c r="E954" s="12" t="n"/>
      <c r="F954" s="12" t="n"/>
      <c r="H954" s="7" t="n"/>
    </row>
    <row r="955">
      <c r="E955" s="12" t="n"/>
      <c r="F955" s="12" t="n"/>
      <c r="H955" s="7" t="n"/>
    </row>
    <row r="956">
      <c r="E956" s="12" t="n"/>
      <c r="F956" s="12" t="n"/>
      <c r="H956" s="7" t="n"/>
    </row>
    <row r="957">
      <c r="E957" s="12" t="n"/>
      <c r="F957" s="12" t="n"/>
      <c r="H957" s="7" t="n"/>
    </row>
    <row r="958">
      <c r="E958" s="12" t="n"/>
      <c r="F958" s="12" t="n"/>
      <c r="H958" s="7" t="n"/>
    </row>
    <row r="959">
      <c r="E959" s="12" t="n"/>
      <c r="F959" s="12" t="n"/>
      <c r="H959" s="7" t="n"/>
    </row>
    <row r="960">
      <c r="E960" s="12" t="n"/>
      <c r="F960" s="12" t="n"/>
      <c r="H960" s="7" t="n"/>
    </row>
    <row r="961">
      <c r="E961" s="12" t="n"/>
      <c r="F961" s="12" t="n"/>
      <c r="H961" s="7" t="n"/>
    </row>
    <row r="962">
      <c r="E962" s="12" t="n"/>
      <c r="F962" s="12" t="n"/>
      <c r="H962" s="7" t="n"/>
    </row>
    <row r="963">
      <c r="E963" s="12" t="n"/>
      <c r="F963" s="12" t="n"/>
      <c r="H963" s="7" t="n"/>
    </row>
    <row r="964">
      <c r="E964" s="12" t="n"/>
      <c r="F964" s="12" t="n"/>
      <c r="H964" s="7" t="n"/>
    </row>
    <row r="965">
      <c r="E965" s="12" t="n"/>
      <c r="F965" s="12" t="n"/>
      <c r="H965" s="7" t="n"/>
    </row>
    <row r="966">
      <c r="E966" s="12" t="n"/>
      <c r="F966" s="12" t="n"/>
      <c r="H966" s="7" t="n"/>
    </row>
    <row r="967">
      <c r="E967" s="12" t="n"/>
      <c r="F967" s="12" t="n"/>
      <c r="H967" s="7" t="n"/>
    </row>
    <row r="968">
      <c r="E968" s="12" t="n"/>
      <c r="F968" s="12" t="n"/>
      <c r="H968" s="7" t="n"/>
    </row>
    <row r="969">
      <c r="E969" s="12" t="n"/>
      <c r="F969" s="12" t="n"/>
      <c r="H969" s="7" t="n"/>
    </row>
    <row r="970">
      <c r="E970" s="12" t="n"/>
      <c r="F970" s="12" t="n"/>
      <c r="H970" s="7" t="n"/>
    </row>
    <row r="971">
      <c r="E971" s="12" t="n"/>
      <c r="F971" s="12" t="n"/>
      <c r="H971" s="7" t="n"/>
    </row>
    <row r="972">
      <c r="E972" s="12" t="n"/>
      <c r="F972" s="12" t="n"/>
      <c r="H972" s="7" t="n"/>
    </row>
    <row r="973">
      <c r="E973" s="12" t="n"/>
      <c r="F973" s="12" t="n"/>
      <c r="H973" s="7" t="n"/>
    </row>
    <row r="974">
      <c r="E974" s="12" t="n"/>
      <c r="F974" s="12" t="n"/>
      <c r="H974" s="7" t="n"/>
    </row>
    <row r="975">
      <c r="E975" s="12" t="n"/>
      <c r="F975" s="12" t="n"/>
      <c r="H975" s="7" t="n"/>
    </row>
    <row r="976">
      <c r="E976" s="12" t="n"/>
      <c r="F976" s="12" t="n"/>
      <c r="H976" s="7" t="n"/>
    </row>
    <row r="977">
      <c r="E977" s="12" t="n"/>
      <c r="F977" s="12" t="n"/>
      <c r="H977" s="7" t="n"/>
    </row>
    <row r="978">
      <c r="E978" s="12" t="n"/>
      <c r="F978" s="12" t="n"/>
      <c r="H978" s="7" t="n"/>
    </row>
    <row r="979">
      <c r="E979" s="12" t="n"/>
      <c r="F979" s="12" t="n"/>
      <c r="H979" s="7" t="n"/>
    </row>
    <row r="980">
      <c r="E980" s="12" t="n"/>
      <c r="F980" s="12" t="n"/>
      <c r="H980" s="7" t="n"/>
    </row>
    <row r="981">
      <c r="E981" s="12" t="n"/>
      <c r="F981" s="12" t="n"/>
      <c r="H981" s="7" t="n"/>
    </row>
    <row r="982">
      <c r="E982" s="12" t="n"/>
      <c r="F982" s="12" t="n"/>
      <c r="H982" s="7" t="n"/>
    </row>
    <row r="983">
      <c r="E983" s="12" t="n"/>
      <c r="F983" s="12" t="n"/>
      <c r="H983" s="7" t="n"/>
    </row>
    <row r="984">
      <c r="E984" s="12" t="n"/>
      <c r="F984" s="12" t="n"/>
      <c r="H984" s="7" t="n"/>
    </row>
    <row r="985">
      <c r="E985" s="12" t="n"/>
      <c r="F985" s="12" t="n"/>
      <c r="H985" s="7" t="n"/>
    </row>
    <row r="986">
      <c r="E986" s="12" t="n"/>
      <c r="F986" s="12" t="n"/>
      <c r="H986" s="7" t="n"/>
    </row>
    <row r="987">
      <c r="E987" s="12" t="n"/>
      <c r="F987" s="12" t="n"/>
      <c r="H987" s="7" t="n"/>
    </row>
    <row r="988">
      <c r="E988" s="12" t="n"/>
      <c r="F988" s="12" t="n"/>
      <c r="H988" s="7" t="n"/>
    </row>
    <row r="989">
      <c r="E989" s="12" t="n"/>
      <c r="F989" s="12" t="n"/>
      <c r="H989" s="7" t="n"/>
    </row>
    <row r="990">
      <c r="E990" s="12" t="n"/>
      <c r="F990" s="12" t="n"/>
      <c r="H990" s="7" t="n"/>
    </row>
    <row r="991">
      <c r="E991" s="12" t="n"/>
      <c r="F991" s="12" t="n"/>
      <c r="H991" s="7" t="n"/>
    </row>
    <row r="992">
      <c r="E992" s="12" t="n"/>
      <c r="F992" s="12" t="n"/>
      <c r="H992" s="7" t="n"/>
    </row>
    <row r="993">
      <c r="E993" s="12" t="n"/>
      <c r="F993" s="12" t="n"/>
      <c r="H993" s="7" t="n"/>
    </row>
    <row r="994">
      <c r="E994" s="12" t="n"/>
      <c r="F994" s="12" t="n"/>
      <c r="H994" s="7" t="n"/>
    </row>
    <row r="995">
      <c r="E995" s="12" t="n"/>
      <c r="F995" s="12" t="n"/>
      <c r="H995" s="7" t="n"/>
    </row>
    <row r="996">
      <c r="E996" s="12" t="n"/>
      <c r="F996" s="12" t="n"/>
      <c r="H996" s="7" t="n"/>
    </row>
    <row r="997">
      <c r="E997" s="12" t="n"/>
      <c r="F997" s="12" t="n"/>
      <c r="H997" s="7" t="n"/>
    </row>
    <row r="998">
      <c r="E998" s="12" t="n"/>
      <c r="F998" s="12" t="n"/>
      <c r="H998" s="7" t="n"/>
    </row>
    <row r="999">
      <c r="E999" s="12" t="n"/>
      <c r="F999" s="12" t="n"/>
      <c r="H999" s="7" t="n"/>
    </row>
    <row r="1000">
      <c r="E1000" s="12" t="n"/>
      <c r="F1000" s="12" t="n"/>
      <c r="H1000" s="7" t="n"/>
    </row>
  </sheetData>
  <dataValidations count="1">
    <dataValidation sqref="B4:B1000" showDropDown="0" showInputMessage="0" showErrorMessage="0" allowBlank="1" type="list">
      <formula1>"Resposta LAI,Recurso LAI,Certidão de matrícula,Outro"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Regras de validação</t>
        </is>
      </c>
    </row>
    <row r="3">
      <c r="A3" s="2" t="inlineStr">
        <is>
          <t>Regra</t>
        </is>
      </c>
      <c r="B3" s="2" t="inlineStr">
        <is>
          <t>Descrição</t>
        </is>
      </c>
    </row>
    <row r="4">
      <c r="A4" s="3" t="inlineStr">
        <is>
          <t>1. Valor real</t>
        </is>
      </c>
      <c r="B4" s="4" t="inlineStr">
        <is>
          <t>Valor de venda = valor declarado na escritura registrada (ato R de compra e venda na matrícula) ou valor da transação informado pela prefeitura no ITBI. Valor anunciado, avaliação de corretor ou estimativa NUNCA entram.</t>
        </is>
      </c>
    </row>
    <row r="5">
      <c r="A5" s="3" t="inlineStr">
        <is>
          <t>2. Natureza</t>
        </is>
      </c>
      <c r="B5" s="4" t="inlineStr">
        <is>
          <t>Só compra e venda onerosa. Doação, herança/inventário, permuta, integralização de capital, cessão, dação em pagamento, adjudicação, arrematação/leilão e consolidação de propriedade fiduciária ficam fora (o importador lista como rejeitadas).</t>
        </is>
      </c>
    </row>
    <row r="6">
      <c r="A6" s="3" t="inlineStr">
        <is>
          <t>3. Valor e base de cálculo</t>
        </is>
      </c>
      <c r="B6" s="4" t="inlineStr">
        <is>
          <t>Valor de venda e base de cálculo do ITBI ficam em colunas separadas. Um não substitui o outro.</t>
        </is>
      </c>
    </row>
    <row r="7">
      <c r="A7" s="3" t="inlineStr">
        <is>
          <t>4. Subdeclaração</t>
        </is>
      </c>
      <c r="B7" s="4" t="inlineStr">
        <is>
          <t>Quando o valor de venda é menor ou igual ao valor venal do IPTU a coluna Alerta sinaliza. O valor NÃO é corrigido: o alerta só indica que o valor declarado pode estar abaixo do praticado.</t>
        </is>
      </c>
    </row>
    <row r="8">
      <c r="A8" s="3" t="inlineStr">
        <is>
          <t>5. Duplicidade</t>
        </is>
      </c>
      <c r="B8" s="4" t="inlineStr">
        <is>
          <t>A mesma venda (mesma cidade + matrícula ou inscrição + data) não pode aparecer duas vezes, mesmo que venha da LAI e da certidão. Mantém-se a linha da certidão e cita-se o protocolo LAI em Observações.</t>
        </is>
      </c>
    </row>
    <row r="9">
      <c r="A9" s="3" t="inlineStr">
        <is>
          <t>6. Metragem</t>
        </is>
      </c>
      <c r="B9" s="4" t="inlineStr">
        <is>
          <t>Sem área no documento, a área fica vazia e o R$/m² também. Nunca estimar.</t>
        </is>
      </c>
    </row>
    <row r="10">
      <c r="A10" s="3" t="inlineStr">
        <is>
          <t>7. Bairro</t>
        </is>
      </c>
      <c r="B10" s="4" t="inlineStr">
        <is>
          <t>Só bairros da lista oficial (aba Bairros). Nomes populares são convertidos pelo importador via 'apelidos_bairro' do mapa_colunas.json, sempre de forma explícita.</t>
        </is>
      </c>
    </row>
    <row r="11">
      <c r="A11" s="3" t="inlineStr">
        <is>
          <t>8. Padrão</t>
        </is>
      </c>
      <c r="B11" s="4" t="inlineStr">
        <is>
          <t>Conforme aba Padrão. Sem documento ou vistoria: 'Não informado'.</t>
        </is>
      </c>
    </row>
    <row r="12">
      <c r="A12" s="3" t="inlineStr">
        <is>
          <t>9. Foto</t>
        </is>
      </c>
      <c r="B12" s="4" t="inlineStr">
        <is>
          <t>Somente foto real do imóvel: tirada no local, link do Street View nas coordenadas do imóvel ou imagem constante de documento. Nunca imagem de anúncio de outro imóvel.</t>
        </is>
      </c>
    </row>
    <row r="13">
      <c r="A13" s="3" t="inlineStr">
        <is>
          <t>10. Forma de pagamento</t>
        </is>
      </c>
      <c r="B13" s="4" t="inlineStr">
        <is>
          <t>Financiado só com registro de alienação fiduciária/hipoteca na matrícula ou financiamento informado no ITBI. À vista só se o documento disser. Fora disso, 'Não informado'.</t>
        </is>
      </c>
    </row>
    <row r="14">
      <c r="A14" s="3" t="inlineStr">
        <is>
          <t>11. Análise ITBI</t>
        </is>
      </c>
      <c r="B14" s="4" t="inlineStr">
        <is>
          <t>A aba Análise ITBI e o script analisar_subdeclaracao.py só usam vendas Validado e só mostram mediana/comparação com amostra ≥ mínima (célula B4). Método em docs/analise_subdeclaracao_ITBI.md.</t>
        </is>
      </c>
    </row>
    <row r="15">
      <c r="A15" s="3" t="inlineStr">
        <is>
          <t>12. Status</t>
        </is>
      </c>
      <c r="B15" s="4" t="inlineStr">
        <is>
          <t>Validado = documento conferido e arquivado (aba Fontes). Pendente = falta conferir. Rejeitado = não atende às regras. O Resumo usa só Validado.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90" customWidth="1" min="3" max="3"/>
  </cols>
  <sheetData>
    <row r="1">
      <c r="A1" s="1" t="inlineStr">
        <is>
          <t>Referências e canais</t>
        </is>
      </c>
    </row>
    <row r="3">
      <c r="A3" s="2" t="inlineStr">
        <is>
          <t>Assunto</t>
        </is>
      </c>
      <c r="B3" s="2" t="inlineStr">
        <is>
          <t>Descrição</t>
        </is>
      </c>
      <c r="C3" s="2" t="inlineStr">
        <is>
          <t>Link</t>
        </is>
      </c>
    </row>
    <row r="4">
      <c r="A4" s="3" t="inlineStr">
        <is>
          <t>Bairros de Bertioga</t>
        </is>
      </c>
      <c r="B4" s="4" t="inlineStr">
        <is>
          <t>LC 99/2013 de Bertioga, Anexo 1</t>
        </is>
      </c>
      <c r="C4" s="30" t="inlineStr">
        <is>
          <t>https://www.bertioga.sp.gov.br/wp/wp-content/uploads/2015/06/Lei-Complementar-99.2013.pdf</t>
        </is>
      </c>
    </row>
    <row r="5">
      <c r="A5" s="3" t="inlineStr">
        <is>
          <t>Bairros de São Sebastião</t>
        </is>
      </c>
      <c r="B5" s="4" t="inlineStr">
        <is>
          <t>IBGE – malha de bairros do Censo 2022 (SP)</t>
        </is>
      </c>
      <c r="C5" s="30" t="inlineStr">
        <is>
          <t>https://geoftp.ibge.gov.br/organizacao_do_territorio/malhas_territoriais/malhas_de_setores_censitarios__divisoes_intramunicipais/censo_2022/bairros/shp/UF/SP_bairros_CD2022.zip</t>
        </is>
      </c>
    </row>
    <row r="6">
      <c r="A6" s="3" t="inlineStr">
        <is>
          <t>CRI São Sebastião</t>
        </is>
      </c>
      <c r="B6" s="4" t="inlineStr">
        <is>
          <t>Oficial de Registro de Imóveis e Anexos de São Sebastião</t>
        </is>
      </c>
      <c r="C6" s="30" t="inlineStr">
        <is>
          <t>https://www.risaosebastiao.com.br</t>
        </is>
      </c>
    </row>
    <row r="7">
      <c r="A7" s="3" t="inlineStr">
        <is>
          <t>CRI Bertioga (desde 01/04/2025)</t>
        </is>
      </c>
      <c r="B7" s="4" t="inlineStr">
        <is>
          <t>Oficial de Registro de Imóveis de Bertioga — criado pela Lei Estadual nº 18.075/2024</t>
        </is>
      </c>
      <c r="C7" s="30" t="inlineStr">
        <is>
          <t>https://registrobertioga.com.br/</t>
        </is>
      </c>
    </row>
    <row r="8">
      <c r="A8" s="3" t="inlineStr">
        <is>
          <t>Lei de criação do CRI Bertioga</t>
        </is>
      </c>
      <c r="B8" s="4" t="inlineStr">
        <is>
          <t>Lei Estadual nº 18.075, de 27/12/2024</t>
        </is>
      </c>
      <c r="C8" s="30" t="inlineStr">
        <is>
          <t>https://www.al.sp.gov.br/repositorio/legislacao/lei/2024/lei-18075-27.12.2024.html</t>
        </is>
      </c>
    </row>
    <row r="9">
      <c r="A9" s="3" t="inlineStr">
        <is>
          <t>Matrículas antigas de Bertioga</t>
        </is>
      </c>
      <c r="B9" s="4" t="inlineStr">
        <is>
          <t>1º Oficial de Registro de Imóveis de Santos (atendia Bertioga até a instalação do CRI local)</t>
        </is>
      </c>
      <c r="C9" s="30" t="inlineStr">
        <is>
          <t>https://www.1risantos.com.br/</t>
        </is>
      </c>
    </row>
    <row r="10">
      <c r="A10" s="3" t="inlineStr">
        <is>
          <t>Certidão online</t>
        </is>
      </c>
      <c r="B10" s="4" t="inlineStr">
        <is>
          <t>RI Digital / SAEC (ONR) — antigo registradores.onr.org.br</t>
        </is>
      </c>
      <c r="C10" s="30" t="inlineStr">
        <is>
          <t>https://ridigital.org.br/</t>
        </is>
      </c>
    </row>
    <row r="11">
      <c r="A11" s="3" t="inlineStr">
        <is>
          <t>e-SIC São Sebastião</t>
        </is>
      </c>
      <c r="B11" s="4" t="inlineStr">
        <is>
          <t>Sistema de Informação ao Cidadão da Prefeitura</t>
        </is>
      </c>
      <c r="C11" s="30" t="inlineStr">
        <is>
          <t>http://www.saosebastiao.sp.gov.br/esic/</t>
        </is>
      </c>
    </row>
    <row r="12">
      <c r="A12" s="3" t="inlineStr">
        <is>
          <t>Transparência Bertioga</t>
        </is>
      </c>
      <c r="B12" s="4" t="inlineStr">
        <is>
          <t>Portal da Transparência (seção e-SIC)</t>
        </is>
      </c>
      <c r="C12" s="30" t="inlineStr">
        <is>
          <t>https://transparencia-bertioga.smarapd.com.br/#/esic</t>
        </is>
      </c>
    </row>
    <row r="13">
      <c r="A13" s="3" t="inlineStr">
        <is>
          <t>Ouvidoria Bertioga</t>
        </is>
      </c>
      <c r="B13" s="4" t="inlineStr">
        <is>
          <t>Fala Cidadão</t>
        </is>
      </c>
      <c r="C13" s="30" t="inlineStr">
        <is>
          <t>https://sistemas-smarapd.bertioga.sp.gov.br/falacidadao/#!/demanda</t>
        </is>
      </c>
    </row>
    <row r="14">
      <c r="A14" s="3" t="inlineStr">
        <is>
          <t>Código Tributário de Bertioga</t>
        </is>
      </c>
      <c r="B14" s="4" t="inlineStr">
        <is>
          <t>LC 116/2015 (art. 82 – base de cálculo do ITBI)</t>
        </is>
      </c>
      <c r="C14" s="30" t="inlineStr">
        <is>
          <t>https://sapl.bertioga.sp.leg.br/media/sapl/public/normajuridica/2015/3823/3823_texto_integral.pdf</t>
        </is>
      </c>
    </row>
    <row r="15">
      <c r="A15" s="3" t="inlineStr">
        <is>
          <t>Precedente – capital SP</t>
        </is>
      </c>
      <c r="B15" s="4" t="inlineStr">
        <is>
          <t>A Prefeitura de São Paulo publica as transações de ITBI sem nomes/CPF</t>
        </is>
      </c>
      <c r="C15" s="30" t="inlineStr">
        <is>
          <t>https://www.prefeitura.sp.gov.br/cidade/secretarias/fazenda/noticias/index.php?p=31551</t>
        </is>
      </c>
    </row>
    <row r="16">
      <c r="A16" s="3" t="inlineStr">
        <is>
          <t>Lei de Acesso à Informação</t>
        </is>
      </c>
      <c r="B16" s="4" t="inlineStr">
        <is>
          <t>Lei nº 12.527/2011</t>
        </is>
      </c>
      <c r="C16" s="30" t="inlineStr">
        <is>
          <t>https://www.planalto.gov.br/ccivil_03/_ato2011-2014/2011/lei/l12527.htm</t>
        </is>
      </c>
    </row>
    <row r="18">
      <c r="A18" s="4" t="inlineStr">
        <is>
          <t>Links verificados em 01/10/2026. O site da Prefeitura de São Sebastião estava fora do ar durante a verificação; confirme o endereço do e-SIC antes de protocolar.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32" customWidth="1" min="4" max="4"/>
    <col width="30" customWidth="1" min="5" max="5"/>
    <col width="34" customWidth="1" min="6" max="6"/>
  </cols>
  <sheetData>
    <row r="1">
      <c r="A1" s="1" t="inlineStr">
        <is>
          <t>Galeria de fachadas</t>
        </is>
      </c>
    </row>
    <row r="2">
      <c r="A2" s="16" t="inlineStr">
        <is>
          <t>Gerada por scripts/vincular_fotos.py a partir da pasta fotos/. Não editar à mão.</t>
        </is>
      </c>
    </row>
    <row r="4">
      <c r="A4" s="2" t="inlineStr">
        <is>
          <t>ID</t>
        </is>
      </c>
      <c r="B4" s="2" t="inlineStr">
        <is>
          <t>Cidade</t>
        </is>
      </c>
      <c r="C4" s="2" t="inlineStr">
        <is>
          <t>Bairro</t>
        </is>
      </c>
      <c r="D4" s="2" t="inlineStr">
        <is>
          <t>Endereço</t>
        </is>
      </c>
      <c r="E4" s="2" t="inlineStr">
        <is>
          <t>Arquivo</t>
        </is>
      </c>
      <c r="F4" s="2" t="inlineStr">
        <is>
          <t>Miniatura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2026-10-01T17:56:31Z</dcterms:created>
  <dcterms:modified xsi:type="dcterms:W3CDTF">2026-10-01T17:56:32Z</dcterms:modified>
</cp:coreProperties>
</file>